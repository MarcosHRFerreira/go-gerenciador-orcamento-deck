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FOLLOW-UP\"/>
    </mc:Choice>
  </mc:AlternateContent>
  <xr:revisionPtr revIDLastSave="0" documentId="13_ncr:1_{6F813BD9-EEA2-4224-9579-7D7583D0E926}" xr6:coauthVersionLast="47" xr6:coauthVersionMax="47" xr10:uidLastSave="{00000000-0000-0000-0000-000000000000}"/>
  <bookViews>
    <workbookView xWindow="-120" yWindow="-120" windowWidth="20730" windowHeight="11040" activeTab="1" xr2:uid="{243F9816-F78B-44D4-B7C4-790F635DB23C}"/>
  </bookViews>
  <sheets>
    <sheet name="ORCAMENTOS" sheetId="1" r:id="rId1"/>
    <sheet name="FOLLOW-UP" sheetId="3" r:id="rId2"/>
  </sheets>
  <definedNames>
    <definedName name="_xlnm._FilterDatabase" localSheetId="1" hidden="1">'FOLLOW-UP'!$A$2:$J$3186</definedName>
    <definedName name="_xlnm._FilterDatabase" localSheetId="0" hidden="1">ORCAMENTOS!$A$10:$R$3166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58" i="3" l="1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A32" i="3"/>
  <c r="B32" i="3"/>
  <c r="C32" i="3"/>
  <c r="D32" i="3"/>
  <c r="E32" i="3"/>
  <c r="F32" i="3"/>
  <c r="G32" i="3"/>
  <c r="H32" i="3"/>
  <c r="I32" i="3"/>
  <c r="J32" i="3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G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G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G41" i="3"/>
  <c r="H41" i="3"/>
  <c r="I41" i="3"/>
  <c r="J41" i="3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L52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A56" i="3"/>
  <c r="B56" i="3"/>
  <c r="C56" i="3"/>
  <c r="D56" i="3"/>
  <c r="E56" i="3"/>
  <c r="F56" i="3"/>
  <c r="G56" i="3"/>
  <c r="H56" i="3"/>
  <c r="I56" i="3"/>
  <c r="J56" i="3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A64" i="3"/>
  <c r="B64" i="3"/>
  <c r="C64" i="3"/>
  <c r="D64" i="3"/>
  <c r="E64" i="3"/>
  <c r="F64" i="3"/>
  <c r="G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A68" i="3"/>
  <c r="B68" i="3"/>
  <c r="C68" i="3"/>
  <c r="D68" i="3"/>
  <c r="E68" i="3"/>
  <c r="F68" i="3"/>
  <c r="G68" i="3"/>
  <c r="H68" i="3"/>
  <c r="I68" i="3"/>
  <c r="J68" i="3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A74" i="3"/>
  <c r="B74" i="3"/>
  <c r="C74" i="3"/>
  <c r="D74" i="3"/>
  <c r="E74" i="3"/>
  <c r="F74" i="3"/>
  <c r="G74" i="3"/>
  <c r="H74" i="3"/>
  <c r="I74" i="3"/>
  <c r="J74" i="3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G77" i="3"/>
  <c r="H77" i="3"/>
  <c r="I77" i="3"/>
  <c r="J77" i="3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A80" i="3"/>
  <c r="B80" i="3"/>
  <c r="C80" i="3"/>
  <c r="D80" i="3"/>
  <c r="E80" i="3"/>
  <c r="F80" i="3"/>
  <c r="G80" i="3"/>
  <c r="H80" i="3"/>
  <c r="I80" i="3"/>
  <c r="J80" i="3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L81" i="3"/>
  <c r="A82" i="3"/>
  <c r="B82" i="3"/>
  <c r="C82" i="3"/>
  <c r="D82" i="3"/>
  <c r="E82" i="3"/>
  <c r="F82" i="3"/>
  <c r="G82" i="3"/>
  <c r="H82" i="3"/>
  <c r="I82" i="3"/>
  <c r="J82" i="3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A88" i="3"/>
  <c r="B88" i="3"/>
  <c r="C88" i="3"/>
  <c r="D88" i="3"/>
  <c r="E88" i="3"/>
  <c r="F88" i="3"/>
  <c r="G88" i="3"/>
  <c r="H88" i="3"/>
  <c r="I88" i="3"/>
  <c r="J88" i="3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A92" i="3"/>
  <c r="B92" i="3"/>
  <c r="C92" i="3"/>
  <c r="D92" i="3"/>
  <c r="E92" i="3"/>
  <c r="F92" i="3"/>
  <c r="G92" i="3"/>
  <c r="H92" i="3"/>
  <c r="I92" i="3"/>
  <c r="J92" i="3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G97" i="3"/>
  <c r="H97" i="3"/>
  <c r="I97" i="3"/>
  <c r="J97" i="3"/>
  <c r="K97" i="3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A99" i="3"/>
  <c r="B99" i="3"/>
  <c r="C99" i="3"/>
  <c r="D99" i="3"/>
  <c r="E99" i="3"/>
  <c r="F99" i="3"/>
  <c r="G99" i="3"/>
  <c r="H99" i="3"/>
  <c r="I99" i="3"/>
  <c r="J99" i="3"/>
  <c r="K99" i="3"/>
  <c r="L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A1473" i="3"/>
  <c r="B1473" i="3"/>
  <c r="C1473" i="3"/>
  <c r="D1473" i="3"/>
  <c r="E1473" i="3"/>
  <c r="F1473" i="3"/>
  <c r="G1473" i="3"/>
  <c r="H1473" i="3"/>
  <c r="I1473" i="3"/>
  <c r="J1473" i="3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A1486" i="3"/>
  <c r="B1486" i="3"/>
  <c r="C1486" i="3"/>
  <c r="D1486" i="3"/>
  <c r="E1486" i="3"/>
  <c r="F1486" i="3"/>
  <c r="G1486" i="3"/>
  <c r="H1486" i="3"/>
  <c r="I1486" i="3"/>
  <c r="J1486" i="3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A1505" i="3"/>
  <c r="B1505" i="3"/>
  <c r="C1505" i="3"/>
  <c r="D1505" i="3"/>
  <c r="E1505" i="3"/>
  <c r="F1505" i="3"/>
  <c r="G1505" i="3"/>
  <c r="H1505" i="3"/>
  <c r="I1505" i="3"/>
  <c r="J1505" i="3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A1529" i="3"/>
  <c r="B1529" i="3"/>
  <c r="C1529" i="3"/>
  <c r="D1529" i="3"/>
  <c r="E1529" i="3"/>
  <c r="F1529" i="3"/>
  <c r="G1529" i="3"/>
  <c r="H1529" i="3"/>
  <c r="I1529" i="3"/>
  <c r="J1529" i="3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A1555" i="3"/>
  <c r="B1555" i="3"/>
  <c r="C1555" i="3"/>
  <c r="D1555" i="3"/>
  <c r="E1555" i="3"/>
  <c r="F1555" i="3"/>
  <c r="G1555" i="3"/>
  <c r="H1555" i="3"/>
  <c r="I1555" i="3"/>
  <c r="J1555" i="3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A1579" i="3"/>
  <c r="B1579" i="3"/>
  <c r="C1579" i="3"/>
  <c r="D1579" i="3"/>
  <c r="E1579" i="3"/>
  <c r="F1579" i="3"/>
  <c r="G1579" i="3"/>
  <c r="H1579" i="3"/>
  <c r="I1579" i="3"/>
  <c r="J1579" i="3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A1595" i="3"/>
  <c r="B1595" i="3"/>
  <c r="C1595" i="3"/>
  <c r="D1595" i="3"/>
  <c r="E1595" i="3"/>
  <c r="F1595" i="3"/>
  <c r="G1595" i="3"/>
  <c r="H1595" i="3"/>
  <c r="I1595" i="3"/>
  <c r="J1595" i="3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A1602" i="3"/>
  <c r="B1602" i="3"/>
  <c r="C1602" i="3"/>
  <c r="D1602" i="3"/>
  <c r="E1602" i="3"/>
  <c r="F1602" i="3"/>
  <c r="G1602" i="3"/>
  <c r="H1602" i="3"/>
  <c r="I1602" i="3"/>
  <c r="J1602" i="3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A1639" i="3"/>
  <c r="B1639" i="3"/>
  <c r="C1639" i="3"/>
  <c r="D1639" i="3"/>
  <c r="E1639" i="3"/>
  <c r="F1639" i="3"/>
  <c r="G1639" i="3"/>
  <c r="H1639" i="3"/>
  <c r="I1639" i="3"/>
  <c r="J1639" i="3"/>
  <c r="K1639" i="3"/>
  <c r="L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A1647" i="3"/>
  <c r="B1647" i="3"/>
  <c r="C1647" i="3"/>
  <c r="D1647" i="3"/>
  <c r="E1647" i="3"/>
  <c r="F1647" i="3"/>
  <c r="G1647" i="3"/>
  <c r="H1647" i="3"/>
  <c r="I1647" i="3"/>
  <c r="J1647" i="3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A1651" i="3"/>
  <c r="B1651" i="3"/>
  <c r="C1651" i="3"/>
  <c r="D1651" i="3"/>
  <c r="E1651" i="3"/>
  <c r="F1651" i="3"/>
  <c r="G1651" i="3"/>
  <c r="H1651" i="3"/>
  <c r="I1651" i="3"/>
  <c r="J1651" i="3"/>
  <c r="K1651" i="3"/>
  <c r="L1651" i="3"/>
  <c r="A1652" i="3"/>
  <c r="B1652" i="3"/>
  <c r="C1652" i="3"/>
  <c r="D1652" i="3"/>
  <c r="E1652" i="3"/>
  <c r="F1652" i="3"/>
  <c r="G1652" i="3"/>
  <c r="H1652" i="3"/>
  <c r="I1652" i="3"/>
  <c r="J1652" i="3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A1655" i="3"/>
  <c r="B1655" i="3"/>
  <c r="C1655" i="3"/>
  <c r="D1655" i="3"/>
  <c r="E1655" i="3"/>
  <c r="F1655" i="3"/>
  <c r="G1655" i="3"/>
  <c r="H1655" i="3"/>
  <c r="I1655" i="3"/>
  <c r="J1655" i="3"/>
  <c r="K1655" i="3"/>
  <c r="L1655" i="3"/>
  <c r="A1656" i="3"/>
  <c r="B1656" i="3"/>
  <c r="C1656" i="3"/>
  <c r="D1656" i="3"/>
  <c r="E1656" i="3"/>
  <c r="F1656" i="3"/>
  <c r="G1656" i="3"/>
  <c r="H1656" i="3"/>
  <c r="I1656" i="3"/>
  <c r="J1656" i="3"/>
  <c r="K1656" i="3"/>
  <c r="L1656" i="3"/>
  <c r="A1657" i="3"/>
  <c r="B1657" i="3"/>
  <c r="C1657" i="3"/>
  <c r="D1657" i="3"/>
  <c r="E1657" i="3"/>
  <c r="F1657" i="3"/>
  <c r="G1657" i="3"/>
  <c r="H1657" i="3"/>
  <c r="I1657" i="3"/>
  <c r="J1657" i="3"/>
  <c r="K1657" i="3"/>
  <c r="L1657" i="3"/>
  <c r="A1658" i="3"/>
  <c r="B1658" i="3"/>
  <c r="C1658" i="3"/>
  <c r="D1658" i="3"/>
  <c r="E1658" i="3"/>
  <c r="F1658" i="3"/>
  <c r="G1658" i="3"/>
  <c r="H1658" i="3"/>
  <c r="I1658" i="3"/>
  <c r="J1658" i="3"/>
  <c r="K1658" i="3"/>
  <c r="L1658" i="3"/>
  <c r="A1659" i="3"/>
  <c r="B1659" i="3"/>
  <c r="C1659" i="3"/>
  <c r="D1659" i="3"/>
  <c r="E1659" i="3"/>
  <c r="F1659" i="3"/>
  <c r="G1659" i="3"/>
  <c r="H1659" i="3"/>
  <c r="I1659" i="3"/>
  <c r="J1659" i="3"/>
  <c r="K1659" i="3"/>
  <c r="L1659" i="3"/>
  <c r="A1660" i="3"/>
  <c r="B1660" i="3"/>
  <c r="C1660" i="3"/>
  <c r="D1660" i="3"/>
  <c r="E1660" i="3"/>
  <c r="F1660" i="3"/>
  <c r="G1660" i="3"/>
  <c r="H1660" i="3"/>
  <c r="I1660" i="3"/>
  <c r="J1660" i="3"/>
  <c r="K1660" i="3"/>
  <c r="L1660" i="3"/>
  <c r="A1661" i="3"/>
  <c r="B1661" i="3"/>
  <c r="C1661" i="3"/>
  <c r="D1661" i="3"/>
  <c r="E1661" i="3"/>
  <c r="F1661" i="3"/>
  <c r="G1661" i="3"/>
  <c r="H1661" i="3"/>
  <c r="I1661" i="3"/>
  <c r="J1661" i="3"/>
  <c r="K1661" i="3"/>
  <c r="L1661" i="3"/>
  <c r="A1662" i="3"/>
  <c r="B1662" i="3"/>
  <c r="C1662" i="3"/>
  <c r="D1662" i="3"/>
  <c r="E1662" i="3"/>
  <c r="F1662" i="3"/>
  <c r="G1662" i="3"/>
  <c r="H1662" i="3"/>
  <c r="I1662" i="3"/>
  <c r="J1662" i="3"/>
  <c r="K1662" i="3"/>
  <c r="L1662" i="3"/>
  <c r="A1663" i="3"/>
  <c r="B1663" i="3"/>
  <c r="C1663" i="3"/>
  <c r="D1663" i="3"/>
  <c r="E1663" i="3"/>
  <c r="F1663" i="3"/>
  <c r="G1663" i="3"/>
  <c r="H1663" i="3"/>
  <c r="I1663" i="3"/>
  <c r="J1663" i="3"/>
  <c r="K1663" i="3"/>
  <c r="L1663" i="3"/>
  <c r="A1664" i="3"/>
  <c r="B1664" i="3"/>
  <c r="C1664" i="3"/>
  <c r="D1664" i="3"/>
  <c r="E1664" i="3"/>
  <c r="F1664" i="3"/>
  <c r="G1664" i="3"/>
  <c r="H1664" i="3"/>
  <c r="I1664" i="3"/>
  <c r="J1664" i="3"/>
  <c r="K1664" i="3"/>
  <c r="L1664" i="3"/>
  <c r="A1665" i="3"/>
  <c r="B1665" i="3"/>
  <c r="C1665" i="3"/>
  <c r="D1665" i="3"/>
  <c r="E1665" i="3"/>
  <c r="F1665" i="3"/>
  <c r="G1665" i="3"/>
  <c r="H1665" i="3"/>
  <c r="I1665" i="3"/>
  <c r="J1665" i="3"/>
  <c r="K1665" i="3"/>
  <c r="L1665" i="3"/>
  <c r="A1666" i="3"/>
  <c r="B1666" i="3"/>
  <c r="C1666" i="3"/>
  <c r="D1666" i="3"/>
  <c r="E1666" i="3"/>
  <c r="F1666" i="3"/>
  <c r="G1666" i="3"/>
  <c r="H1666" i="3"/>
  <c r="I1666" i="3"/>
  <c r="J1666" i="3"/>
  <c r="K1666" i="3"/>
  <c r="L1666" i="3"/>
  <c r="A1667" i="3"/>
  <c r="B1667" i="3"/>
  <c r="C1667" i="3"/>
  <c r="D1667" i="3"/>
  <c r="E1667" i="3"/>
  <c r="F1667" i="3"/>
  <c r="G1667" i="3"/>
  <c r="H1667" i="3"/>
  <c r="I1667" i="3"/>
  <c r="J1667" i="3"/>
  <c r="K1667" i="3"/>
  <c r="L1667" i="3"/>
  <c r="A1668" i="3"/>
  <c r="B1668" i="3"/>
  <c r="C1668" i="3"/>
  <c r="D1668" i="3"/>
  <c r="E1668" i="3"/>
  <c r="F1668" i="3"/>
  <c r="G1668" i="3"/>
  <c r="H1668" i="3"/>
  <c r="I1668" i="3"/>
  <c r="J1668" i="3"/>
  <c r="K1668" i="3"/>
  <c r="L1668" i="3"/>
  <c r="A1669" i="3"/>
  <c r="B1669" i="3"/>
  <c r="C1669" i="3"/>
  <c r="D1669" i="3"/>
  <c r="E1669" i="3"/>
  <c r="F1669" i="3"/>
  <c r="G1669" i="3"/>
  <c r="H1669" i="3"/>
  <c r="I1669" i="3"/>
  <c r="J1669" i="3"/>
  <c r="K1669" i="3"/>
  <c r="L1669" i="3"/>
  <c r="A1670" i="3"/>
  <c r="B1670" i="3"/>
  <c r="C1670" i="3"/>
  <c r="D1670" i="3"/>
  <c r="E1670" i="3"/>
  <c r="F1670" i="3"/>
  <c r="G1670" i="3"/>
  <c r="H1670" i="3"/>
  <c r="I1670" i="3"/>
  <c r="J1670" i="3"/>
  <c r="K1670" i="3"/>
  <c r="L1670" i="3"/>
  <c r="A1671" i="3"/>
  <c r="B1671" i="3"/>
  <c r="C1671" i="3"/>
  <c r="D1671" i="3"/>
  <c r="E1671" i="3"/>
  <c r="F1671" i="3"/>
  <c r="G1671" i="3"/>
  <c r="H1671" i="3"/>
  <c r="I1671" i="3"/>
  <c r="J1671" i="3"/>
  <c r="K1671" i="3"/>
  <c r="L1671" i="3"/>
  <c r="A1672" i="3"/>
  <c r="B1672" i="3"/>
  <c r="C1672" i="3"/>
  <c r="D1672" i="3"/>
  <c r="E1672" i="3"/>
  <c r="F1672" i="3"/>
  <c r="G1672" i="3"/>
  <c r="H1672" i="3"/>
  <c r="I1672" i="3"/>
  <c r="J1672" i="3"/>
  <c r="K1672" i="3"/>
  <c r="L1672" i="3"/>
  <c r="A1673" i="3"/>
  <c r="B1673" i="3"/>
  <c r="C1673" i="3"/>
  <c r="D1673" i="3"/>
  <c r="E1673" i="3"/>
  <c r="F1673" i="3"/>
  <c r="G1673" i="3"/>
  <c r="H1673" i="3"/>
  <c r="I1673" i="3"/>
  <c r="J1673" i="3"/>
  <c r="K1673" i="3"/>
  <c r="L1673" i="3"/>
  <c r="A1674" i="3"/>
  <c r="B1674" i="3"/>
  <c r="C1674" i="3"/>
  <c r="D1674" i="3"/>
  <c r="E1674" i="3"/>
  <c r="F1674" i="3"/>
  <c r="G1674" i="3"/>
  <c r="H1674" i="3"/>
  <c r="I1674" i="3"/>
  <c r="J1674" i="3"/>
  <c r="K1674" i="3"/>
  <c r="L1674" i="3"/>
  <c r="A1675" i="3"/>
  <c r="B1675" i="3"/>
  <c r="C1675" i="3"/>
  <c r="D1675" i="3"/>
  <c r="E1675" i="3"/>
  <c r="F1675" i="3"/>
  <c r="G1675" i="3"/>
  <c r="H1675" i="3"/>
  <c r="I1675" i="3"/>
  <c r="J1675" i="3"/>
  <c r="K1675" i="3"/>
  <c r="L1675" i="3"/>
  <c r="A1676" i="3"/>
  <c r="B1676" i="3"/>
  <c r="C1676" i="3"/>
  <c r="D1676" i="3"/>
  <c r="E1676" i="3"/>
  <c r="F1676" i="3"/>
  <c r="G1676" i="3"/>
  <c r="H1676" i="3"/>
  <c r="I1676" i="3"/>
  <c r="J1676" i="3"/>
  <c r="K1676" i="3"/>
  <c r="L1676" i="3"/>
  <c r="A1677" i="3"/>
  <c r="B1677" i="3"/>
  <c r="C1677" i="3"/>
  <c r="D1677" i="3"/>
  <c r="E1677" i="3"/>
  <c r="F1677" i="3"/>
  <c r="G1677" i="3"/>
  <c r="H1677" i="3"/>
  <c r="I1677" i="3"/>
  <c r="J1677" i="3"/>
  <c r="K1677" i="3"/>
  <c r="L1677" i="3"/>
  <c r="A1678" i="3"/>
  <c r="B1678" i="3"/>
  <c r="C1678" i="3"/>
  <c r="D1678" i="3"/>
  <c r="E1678" i="3"/>
  <c r="F1678" i="3"/>
  <c r="G1678" i="3"/>
  <c r="H1678" i="3"/>
  <c r="I1678" i="3"/>
  <c r="J1678" i="3"/>
  <c r="K1678" i="3"/>
  <c r="L1678" i="3"/>
  <c r="A1679" i="3"/>
  <c r="B1679" i="3"/>
  <c r="C1679" i="3"/>
  <c r="D1679" i="3"/>
  <c r="E1679" i="3"/>
  <c r="F1679" i="3"/>
  <c r="G1679" i="3"/>
  <c r="H1679" i="3"/>
  <c r="I1679" i="3"/>
  <c r="J1679" i="3"/>
  <c r="K1679" i="3"/>
  <c r="L1679" i="3"/>
  <c r="A1680" i="3"/>
  <c r="B1680" i="3"/>
  <c r="C1680" i="3"/>
  <c r="D1680" i="3"/>
  <c r="E1680" i="3"/>
  <c r="F1680" i="3"/>
  <c r="G1680" i="3"/>
  <c r="H1680" i="3"/>
  <c r="I1680" i="3"/>
  <c r="J1680" i="3"/>
  <c r="K1680" i="3"/>
  <c r="L1680" i="3"/>
  <c r="A1681" i="3"/>
  <c r="B1681" i="3"/>
  <c r="C1681" i="3"/>
  <c r="D1681" i="3"/>
  <c r="E1681" i="3"/>
  <c r="F1681" i="3"/>
  <c r="G1681" i="3"/>
  <c r="H1681" i="3"/>
  <c r="I1681" i="3"/>
  <c r="J1681" i="3"/>
  <c r="K1681" i="3"/>
  <c r="L1681" i="3"/>
  <c r="A1682" i="3"/>
  <c r="B1682" i="3"/>
  <c r="C1682" i="3"/>
  <c r="D1682" i="3"/>
  <c r="E1682" i="3"/>
  <c r="F1682" i="3"/>
  <c r="G1682" i="3"/>
  <c r="H1682" i="3"/>
  <c r="I1682" i="3"/>
  <c r="J1682" i="3"/>
  <c r="K1682" i="3"/>
  <c r="L1682" i="3"/>
  <c r="A1683" i="3"/>
  <c r="B1683" i="3"/>
  <c r="C1683" i="3"/>
  <c r="D1683" i="3"/>
  <c r="E1683" i="3"/>
  <c r="F1683" i="3"/>
  <c r="G1683" i="3"/>
  <c r="H1683" i="3"/>
  <c r="I1683" i="3"/>
  <c r="J1683" i="3"/>
  <c r="K1683" i="3"/>
  <c r="L1683" i="3"/>
  <c r="A1684" i="3"/>
  <c r="B1684" i="3"/>
  <c r="C1684" i="3"/>
  <c r="D1684" i="3"/>
  <c r="E1684" i="3"/>
  <c r="F1684" i="3"/>
  <c r="G1684" i="3"/>
  <c r="H1684" i="3"/>
  <c r="I1684" i="3"/>
  <c r="J1684" i="3"/>
  <c r="K1684" i="3"/>
  <c r="L1684" i="3"/>
  <c r="A1685" i="3"/>
  <c r="B1685" i="3"/>
  <c r="C1685" i="3"/>
  <c r="D1685" i="3"/>
  <c r="E1685" i="3"/>
  <c r="F1685" i="3"/>
  <c r="G1685" i="3"/>
  <c r="H1685" i="3"/>
  <c r="I1685" i="3"/>
  <c r="J1685" i="3"/>
  <c r="K1685" i="3"/>
  <c r="L1685" i="3"/>
  <c r="A1686" i="3"/>
  <c r="B1686" i="3"/>
  <c r="C1686" i="3"/>
  <c r="D1686" i="3"/>
  <c r="E1686" i="3"/>
  <c r="F1686" i="3"/>
  <c r="G1686" i="3"/>
  <c r="H1686" i="3"/>
  <c r="I1686" i="3"/>
  <c r="J1686" i="3"/>
  <c r="K1686" i="3"/>
  <c r="L1686" i="3"/>
  <c r="A1687" i="3"/>
  <c r="B1687" i="3"/>
  <c r="C1687" i="3"/>
  <c r="D1687" i="3"/>
  <c r="E1687" i="3"/>
  <c r="F1687" i="3"/>
  <c r="G1687" i="3"/>
  <c r="H1687" i="3"/>
  <c r="I1687" i="3"/>
  <c r="J1687" i="3"/>
  <c r="K1687" i="3"/>
  <c r="L1687" i="3"/>
  <c r="A1688" i="3"/>
  <c r="B1688" i="3"/>
  <c r="C1688" i="3"/>
  <c r="D1688" i="3"/>
  <c r="E1688" i="3"/>
  <c r="F1688" i="3"/>
  <c r="G1688" i="3"/>
  <c r="H1688" i="3"/>
  <c r="I1688" i="3"/>
  <c r="J1688" i="3"/>
  <c r="K1688" i="3"/>
  <c r="L1688" i="3"/>
  <c r="A1689" i="3"/>
  <c r="B1689" i="3"/>
  <c r="C1689" i="3"/>
  <c r="D1689" i="3"/>
  <c r="E1689" i="3"/>
  <c r="F1689" i="3"/>
  <c r="G1689" i="3"/>
  <c r="H1689" i="3"/>
  <c r="I1689" i="3"/>
  <c r="J1689" i="3"/>
  <c r="K1689" i="3"/>
  <c r="L1689" i="3"/>
  <c r="A1690" i="3"/>
  <c r="B1690" i="3"/>
  <c r="C1690" i="3"/>
  <c r="D1690" i="3"/>
  <c r="E1690" i="3"/>
  <c r="F1690" i="3"/>
  <c r="G1690" i="3"/>
  <c r="H1690" i="3"/>
  <c r="I1690" i="3"/>
  <c r="J1690" i="3"/>
  <c r="K1690" i="3"/>
  <c r="L1690" i="3"/>
  <c r="A1691" i="3"/>
  <c r="B1691" i="3"/>
  <c r="C1691" i="3"/>
  <c r="D1691" i="3"/>
  <c r="E1691" i="3"/>
  <c r="F1691" i="3"/>
  <c r="G1691" i="3"/>
  <c r="H1691" i="3"/>
  <c r="I1691" i="3"/>
  <c r="J1691" i="3"/>
  <c r="K1691" i="3"/>
  <c r="L1691" i="3"/>
  <c r="A1692" i="3"/>
  <c r="B1692" i="3"/>
  <c r="C1692" i="3"/>
  <c r="D1692" i="3"/>
  <c r="E1692" i="3"/>
  <c r="F1692" i="3"/>
  <c r="G1692" i="3"/>
  <c r="H1692" i="3"/>
  <c r="I1692" i="3"/>
  <c r="J1692" i="3"/>
  <c r="K1692" i="3"/>
  <c r="L1692" i="3"/>
  <c r="A1693" i="3"/>
  <c r="B1693" i="3"/>
  <c r="C1693" i="3"/>
  <c r="D1693" i="3"/>
  <c r="E1693" i="3"/>
  <c r="F1693" i="3"/>
  <c r="G1693" i="3"/>
  <c r="H1693" i="3"/>
  <c r="I1693" i="3"/>
  <c r="J1693" i="3"/>
  <c r="K1693" i="3"/>
  <c r="L1693" i="3"/>
  <c r="A1694" i="3"/>
  <c r="B1694" i="3"/>
  <c r="C1694" i="3"/>
  <c r="D1694" i="3"/>
  <c r="E1694" i="3"/>
  <c r="F1694" i="3"/>
  <c r="G1694" i="3"/>
  <c r="H1694" i="3"/>
  <c r="I1694" i="3"/>
  <c r="J1694" i="3"/>
  <c r="K1694" i="3"/>
  <c r="L1694" i="3"/>
  <c r="A1695" i="3"/>
  <c r="B1695" i="3"/>
  <c r="C1695" i="3"/>
  <c r="D1695" i="3"/>
  <c r="E1695" i="3"/>
  <c r="F1695" i="3"/>
  <c r="G1695" i="3"/>
  <c r="H1695" i="3"/>
  <c r="I1695" i="3"/>
  <c r="J1695" i="3"/>
  <c r="K1695" i="3"/>
  <c r="L1695" i="3"/>
  <c r="A1696" i="3"/>
  <c r="B1696" i="3"/>
  <c r="C1696" i="3"/>
  <c r="D1696" i="3"/>
  <c r="E1696" i="3"/>
  <c r="F1696" i="3"/>
  <c r="G1696" i="3"/>
  <c r="H1696" i="3"/>
  <c r="I1696" i="3"/>
  <c r="J1696" i="3"/>
  <c r="K1696" i="3"/>
  <c r="L1696" i="3"/>
  <c r="A1697" i="3"/>
  <c r="B1697" i="3"/>
  <c r="C1697" i="3"/>
  <c r="D1697" i="3"/>
  <c r="E1697" i="3"/>
  <c r="F1697" i="3"/>
  <c r="G1697" i="3"/>
  <c r="H1697" i="3"/>
  <c r="I1697" i="3"/>
  <c r="J1697" i="3"/>
  <c r="K1697" i="3"/>
  <c r="L1697" i="3"/>
  <c r="A1698" i="3"/>
  <c r="B1698" i="3"/>
  <c r="C1698" i="3"/>
  <c r="D1698" i="3"/>
  <c r="E1698" i="3"/>
  <c r="F1698" i="3"/>
  <c r="G1698" i="3"/>
  <c r="H1698" i="3"/>
  <c r="I1698" i="3"/>
  <c r="J1698" i="3"/>
  <c r="K1698" i="3"/>
  <c r="L1698" i="3"/>
  <c r="A1699" i="3"/>
  <c r="B1699" i="3"/>
  <c r="C1699" i="3"/>
  <c r="D1699" i="3"/>
  <c r="E1699" i="3"/>
  <c r="F1699" i="3"/>
  <c r="G1699" i="3"/>
  <c r="H1699" i="3"/>
  <c r="I1699" i="3"/>
  <c r="J1699" i="3"/>
  <c r="K1699" i="3"/>
  <c r="L1699" i="3"/>
  <c r="A1700" i="3"/>
  <c r="B1700" i="3"/>
  <c r="C1700" i="3"/>
  <c r="D1700" i="3"/>
  <c r="E1700" i="3"/>
  <c r="F1700" i="3"/>
  <c r="G1700" i="3"/>
  <c r="H1700" i="3"/>
  <c r="I1700" i="3"/>
  <c r="J1700" i="3"/>
  <c r="K1700" i="3"/>
  <c r="L1700" i="3"/>
  <c r="A1701" i="3"/>
  <c r="B1701" i="3"/>
  <c r="C1701" i="3"/>
  <c r="D1701" i="3"/>
  <c r="E1701" i="3"/>
  <c r="F1701" i="3"/>
  <c r="G1701" i="3"/>
  <c r="H1701" i="3"/>
  <c r="I1701" i="3"/>
  <c r="J1701" i="3"/>
  <c r="K1701" i="3"/>
  <c r="L1701" i="3"/>
  <c r="A1702" i="3"/>
  <c r="B1702" i="3"/>
  <c r="C1702" i="3"/>
  <c r="D1702" i="3"/>
  <c r="E1702" i="3"/>
  <c r="F1702" i="3"/>
  <c r="G1702" i="3"/>
  <c r="H1702" i="3"/>
  <c r="I1702" i="3"/>
  <c r="J1702" i="3"/>
  <c r="K1702" i="3"/>
  <c r="L1702" i="3"/>
  <c r="A1703" i="3"/>
  <c r="B1703" i="3"/>
  <c r="C1703" i="3"/>
  <c r="D1703" i="3"/>
  <c r="E1703" i="3"/>
  <c r="F1703" i="3"/>
  <c r="G1703" i="3"/>
  <c r="H1703" i="3"/>
  <c r="I1703" i="3"/>
  <c r="J1703" i="3"/>
  <c r="K1703" i="3"/>
  <c r="L1703" i="3"/>
  <c r="A1704" i="3"/>
  <c r="B1704" i="3"/>
  <c r="C1704" i="3"/>
  <c r="D1704" i="3"/>
  <c r="E1704" i="3"/>
  <c r="F1704" i="3"/>
  <c r="G1704" i="3"/>
  <c r="H1704" i="3"/>
  <c r="I1704" i="3"/>
  <c r="J1704" i="3"/>
  <c r="K1704" i="3"/>
  <c r="L1704" i="3"/>
  <c r="A1705" i="3"/>
  <c r="B1705" i="3"/>
  <c r="C1705" i="3"/>
  <c r="D1705" i="3"/>
  <c r="E1705" i="3"/>
  <c r="F1705" i="3"/>
  <c r="G1705" i="3"/>
  <c r="H1705" i="3"/>
  <c r="I1705" i="3"/>
  <c r="J1705" i="3"/>
  <c r="K1705" i="3"/>
  <c r="L1705" i="3"/>
  <c r="A1706" i="3"/>
  <c r="B1706" i="3"/>
  <c r="C1706" i="3"/>
  <c r="D1706" i="3"/>
  <c r="E1706" i="3"/>
  <c r="F1706" i="3"/>
  <c r="G1706" i="3"/>
  <c r="H1706" i="3"/>
  <c r="I1706" i="3"/>
  <c r="J1706" i="3"/>
  <c r="K1706" i="3"/>
  <c r="L1706" i="3"/>
  <c r="A1707" i="3"/>
  <c r="B1707" i="3"/>
  <c r="C1707" i="3"/>
  <c r="D1707" i="3"/>
  <c r="E1707" i="3"/>
  <c r="F1707" i="3"/>
  <c r="G1707" i="3"/>
  <c r="H1707" i="3"/>
  <c r="I1707" i="3"/>
  <c r="J1707" i="3"/>
  <c r="K1707" i="3"/>
  <c r="L1707" i="3"/>
  <c r="A1708" i="3"/>
  <c r="B1708" i="3"/>
  <c r="C1708" i="3"/>
  <c r="D1708" i="3"/>
  <c r="E1708" i="3"/>
  <c r="F1708" i="3"/>
  <c r="G1708" i="3"/>
  <c r="H1708" i="3"/>
  <c r="I1708" i="3"/>
  <c r="J1708" i="3"/>
  <c r="K1708" i="3"/>
  <c r="L1708" i="3"/>
  <c r="A1709" i="3"/>
  <c r="B1709" i="3"/>
  <c r="C1709" i="3"/>
  <c r="D1709" i="3"/>
  <c r="E1709" i="3"/>
  <c r="F1709" i="3"/>
  <c r="G1709" i="3"/>
  <c r="H1709" i="3"/>
  <c r="I1709" i="3"/>
  <c r="J1709" i="3"/>
  <c r="K1709" i="3"/>
  <c r="L1709" i="3"/>
  <c r="A1710" i="3"/>
  <c r="B1710" i="3"/>
  <c r="C1710" i="3"/>
  <c r="D1710" i="3"/>
  <c r="E1710" i="3"/>
  <c r="F1710" i="3"/>
  <c r="G1710" i="3"/>
  <c r="H1710" i="3"/>
  <c r="I1710" i="3"/>
  <c r="J1710" i="3"/>
  <c r="K1710" i="3"/>
  <c r="L1710" i="3"/>
  <c r="A1711" i="3"/>
  <c r="B1711" i="3"/>
  <c r="C1711" i="3"/>
  <c r="D1711" i="3"/>
  <c r="E1711" i="3"/>
  <c r="F1711" i="3"/>
  <c r="G1711" i="3"/>
  <c r="H1711" i="3"/>
  <c r="I1711" i="3"/>
  <c r="J1711" i="3"/>
  <c r="K1711" i="3"/>
  <c r="L1711" i="3"/>
  <c r="A1712" i="3"/>
  <c r="B1712" i="3"/>
  <c r="C1712" i="3"/>
  <c r="D1712" i="3"/>
  <c r="E1712" i="3"/>
  <c r="F1712" i="3"/>
  <c r="G1712" i="3"/>
  <c r="H1712" i="3"/>
  <c r="I1712" i="3"/>
  <c r="J1712" i="3"/>
  <c r="K1712" i="3"/>
  <c r="L1712" i="3"/>
  <c r="A1713" i="3"/>
  <c r="B1713" i="3"/>
  <c r="C1713" i="3"/>
  <c r="D1713" i="3"/>
  <c r="E1713" i="3"/>
  <c r="F1713" i="3"/>
  <c r="G1713" i="3"/>
  <c r="H1713" i="3"/>
  <c r="I1713" i="3"/>
  <c r="J1713" i="3"/>
  <c r="K1713" i="3"/>
  <c r="L1713" i="3"/>
  <c r="A1714" i="3"/>
  <c r="B1714" i="3"/>
  <c r="C1714" i="3"/>
  <c r="D1714" i="3"/>
  <c r="E1714" i="3"/>
  <c r="F1714" i="3"/>
  <c r="G1714" i="3"/>
  <c r="H1714" i="3"/>
  <c r="I1714" i="3"/>
  <c r="J1714" i="3"/>
  <c r="K1714" i="3"/>
  <c r="L1714" i="3"/>
  <c r="A1715" i="3"/>
  <c r="B1715" i="3"/>
  <c r="C1715" i="3"/>
  <c r="D1715" i="3"/>
  <c r="E1715" i="3"/>
  <c r="F1715" i="3"/>
  <c r="G1715" i="3"/>
  <c r="H1715" i="3"/>
  <c r="I1715" i="3"/>
  <c r="J1715" i="3"/>
  <c r="K1715" i="3"/>
  <c r="L1715" i="3"/>
  <c r="A1716" i="3"/>
  <c r="B1716" i="3"/>
  <c r="C1716" i="3"/>
  <c r="D1716" i="3"/>
  <c r="E1716" i="3"/>
  <c r="F1716" i="3"/>
  <c r="G1716" i="3"/>
  <c r="H1716" i="3"/>
  <c r="I1716" i="3"/>
  <c r="J1716" i="3"/>
  <c r="K1716" i="3"/>
  <c r="L1716" i="3"/>
  <c r="A1717" i="3"/>
  <c r="B1717" i="3"/>
  <c r="C1717" i="3"/>
  <c r="D1717" i="3"/>
  <c r="E1717" i="3"/>
  <c r="F1717" i="3"/>
  <c r="G1717" i="3"/>
  <c r="H1717" i="3"/>
  <c r="I1717" i="3"/>
  <c r="J1717" i="3"/>
  <c r="K1717" i="3"/>
  <c r="L1717" i="3"/>
  <c r="A1718" i="3"/>
  <c r="B1718" i="3"/>
  <c r="C1718" i="3"/>
  <c r="D1718" i="3"/>
  <c r="E1718" i="3"/>
  <c r="F1718" i="3"/>
  <c r="G1718" i="3"/>
  <c r="H1718" i="3"/>
  <c r="I1718" i="3"/>
  <c r="J1718" i="3"/>
  <c r="K1718" i="3"/>
  <c r="L1718" i="3"/>
  <c r="A1719" i="3"/>
  <c r="B1719" i="3"/>
  <c r="C1719" i="3"/>
  <c r="D1719" i="3"/>
  <c r="E1719" i="3"/>
  <c r="F1719" i="3"/>
  <c r="G1719" i="3"/>
  <c r="H1719" i="3"/>
  <c r="I1719" i="3"/>
  <c r="J1719" i="3"/>
  <c r="K1719" i="3"/>
  <c r="L1719" i="3"/>
  <c r="A1720" i="3"/>
  <c r="B1720" i="3"/>
  <c r="C1720" i="3"/>
  <c r="D1720" i="3"/>
  <c r="E1720" i="3"/>
  <c r="F1720" i="3"/>
  <c r="G1720" i="3"/>
  <c r="H1720" i="3"/>
  <c r="I1720" i="3"/>
  <c r="J1720" i="3"/>
  <c r="K1720" i="3"/>
  <c r="L1720" i="3"/>
  <c r="A1721" i="3"/>
  <c r="B1721" i="3"/>
  <c r="C1721" i="3"/>
  <c r="D1721" i="3"/>
  <c r="E1721" i="3"/>
  <c r="F1721" i="3"/>
  <c r="G1721" i="3"/>
  <c r="H1721" i="3"/>
  <c r="I1721" i="3"/>
  <c r="J1721" i="3"/>
  <c r="K1721" i="3"/>
  <c r="L1721" i="3"/>
  <c r="A1722" i="3"/>
  <c r="B1722" i="3"/>
  <c r="C1722" i="3"/>
  <c r="D1722" i="3"/>
  <c r="E1722" i="3"/>
  <c r="F1722" i="3"/>
  <c r="G1722" i="3"/>
  <c r="H1722" i="3"/>
  <c r="I1722" i="3"/>
  <c r="J1722" i="3"/>
  <c r="K1722" i="3"/>
  <c r="L1722" i="3"/>
  <c r="A1723" i="3"/>
  <c r="B1723" i="3"/>
  <c r="C1723" i="3"/>
  <c r="D1723" i="3"/>
  <c r="E1723" i="3"/>
  <c r="F1723" i="3"/>
  <c r="G1723" i="3"/>
  <c r="H1723" i="3"/>
  <c r="I1723" i="3"/>
  <c r="J1723" i="3"/>
  <c r="K1723" i="3"/>
  <c r="L1723" i="3"/>
  <c r="A1724" i="3"/>
  <c r="B1724" i="3"/>
  <c r="C1724" i="3"/>
  <c r="D1724" i="3"/>
  <c r="E1724" i="3"/>
  <c r="F1724" i="3"/>
  <c r="G1724" i="3"/>
  <c r="H1724" i="3"/>
  <c r="I1724" i="3"/>
  <c r="J1724" i="3"/>
  <c r="K1724" i="3"/>
  <c r="L1724" i="3"/>
  <c r="A1725" i="3"/>
  <c r="B1725" i="3"/>
  <c r="C1725" i="3"/>
  <c r="D1725" i="3"/>
  <c r="E1725" i="3"/>
  <c r="F1725" i="3"/>
  <c r="G1725" i="3"/>
  <c r="H1725" i="3"/>
  <c r="I1725" i="3"/>
  <c r="J1725" i="3"/>
  <c r="K1725" i="3"/>
  <c r="L1725" i="3"/>
  <c r="A1726" i="3"/>
  <c r="B1726" i="3"/>
  <c r="C1726" i="3"/>
  <c r="D1726" i="3"/>
  <c r="E1726" i="3"/>
  <c r="F1726" i="3"/>
  <c r="G1726" i="3"/>
  <c r="H1726" i="3"/>
  <c r="I1726" i="3"/>
  <c r="J1726" i="3"/>
  <c r="K1726" i="3"/>
  <c r="L1726" i="3"/>
  <c r="A1727" i="3"/>
  <c r="B1727" i="3"/>
  <c r="C1727" i="3"/>
  <c r="D1727" i="3"/>
  <c r="E1727" i="3"/>
  <c r="F1727" i="3"/>
  <c r="G1727" i="3"/>
  <c r="H1727" i="3"/>
  <c r="I1727" i="3"/>
  <c r="J1727" i="3"/>
  <c r="K1727" i="3"/>
  <c r="L1727" i="3"/>
  <c r="A1728" i="3"/>
  <c r="B1728" i="3"/>
  <c r="C1728" i="3"/>
  <c r="D1728" i="3"/>
  <c r="E1728" i="3"/>
  <c r="F1728" i="3"/>
  <c r="G1728" i="3"/>
  <c r="H1728" i="3"/>
  <c r="I1728" i="3"/>
  <c r="J1728" i="3"/>
  <c r="K1728" i="3"/>
  <c r="L1728" i="3"/>
  <c r="A1729" i="3"/>
  <c r="B1729" i="3"/>
  <c r="C1729" i="3"/>
  <c r="D1729" i="3"/>
  <c r="E1729" i="3"/>
  <c r="F1729" i="3"/>
  <c r="G1729" i="3"/>
  <c r="H1729" i="3"/>
  <c r="I1729" i="3"/>
  <c r="J1729" i="3"/>
  <c r="K1729" i="3"/>
  <c r="L1729" i="3"/>
  <c r="A1730" i="3"/>
  <c r="B1730" i="3"/>
  <c r="C1730" i="3"/>
  <c r="D1730" i="3"/>
  <c r="E1730" i="3"/>
  <c r="F1730" i="3"/>
  <c r="G1730" i="3"/>
  <c r="H1730" i="3"/>
  <c r="I1730" i="3"/>
  <c r="J1730" i="3"/>
  <c r="K1730" i="3"/>
  <c r="L1730" i="3"/>
  <c r="A1731" i="3"/>
  <c r="B1731" i="3"/>
  <c r="C1731" i="3"/>
  <c r="D1731" i="3"/>
  <c r="E1731" i="3"/>
  <c r="F1731" i="3"/>
  <c r="G1731" i="3"/>
  <c r="H1731" i="3"/>
  <c r="I1731" i="3"/>
  <c r="J1731" i="3"/>
  <c r="K1731" i="3"/>
  <c r="L1731" i="3"/>
  <c r="A1732" i="3"/>
  <c r="B1732" i="3"/>
  <c r="C1732" i="3"/>
  <c r="D1732" i="3"/>
  <c r="E1732" i="3"/>
  <c r="F1732" i="3"/>
  <c r="G1732" i="3"/>
  <c r="H1732" i="3"/>
  <c r="I1732" i="3"/>
  <c r="J1732" i="3"/>
  <c r="K1732" i="3"/>
  <c r="L1732" i="3"/>
  <c r="A1733" i="3"/>
  <c r="B1733" i="3"/>
  <c r="C1733" i="3"/>
  <c r="D1733" i="3"/>
  <c r="E1733" i="3"/>
  <c r="F1733" i="3"/>
  <c r="G1733" i="3"/>
  <c r="H1733" i="3"/>
  <c r="I1733" i="3"/>
  <c r="J1733" i="3"/>
  <c r="K1733" i="3"/>
  <c r="L1733" i="3"/>
  <c r="A1734" i="3"/>
  <c r="B1734" i="3"/>
  <c r="C1734" i="3"/>
  <c r="D1734" i="3"/>
  <c r="E1734" i="3"/>
  <c r="F1734" i="3"/>
  <c r="G1734" i="3"/>
  <c r="H1734" i="3"/>
  <c r="I1734" i="3"/>
  <c r="J1734" i="3"/>
  <c r="K1734" i="3"/>
  <c r="L1734" i="3"/>
  <c r="A1735" i="3"/>
  <c r="B1735" i="3"/>
  <c r="C1735" i="3"/>
  <c r="D1735" i="3"/>
  <c r="E1735" i="3"/>
  <c r="F1735" i="3"/>
  <c r="G1735" i="3"/>
  <c r="H1735" i="3"/>
  <c r="I1735" i="3"/>
  <c r="J1735" i="3"/>
  <c r="K1735" i="3"/>
  <c r="L1735" i="3"/>
  <c r="A1736" i="3"/>
  <c r="B1736" i="3"/>
  <c r="C1736" i="3"/>
  <c r="D1736" i="3"/>
  <c r="E1736" i="3"/>
  <c r="F1736" i="3"/>
  <c r="G1736" i="3"/>
  <c r="H1736" i="3"/>
  <c r="I1736" i="3"/>
  <c r="J1736" i="3"/>
  <c r="K1736" i="3"/>
  <c r="L1736" i="3"/>
  <c r="A1737" i="3"/>
  <c r="B1737" i="3"/>
  <c r="C1737" i="3"/>
  <c r="D1737" i="3"/>
  <c r="E1737" i="3"/>
  <c r="F1737" i="3"/>
  <c r="G1737" i="3"/>
  <c r="H1737" i="3"/>
  <c r="I1737" i="3"/>
  <c r="J1737" i="3"/>
  <c r="K1737" i="3"/>
  <c r="L1737" i="3"/>
  <c r="A1738" i="3"/>
  <c r="B1738" i="3"/>
  <c r="C1738" i="3"/>
  <c r="D1738" i="3"/>
  <c r="E1738" i="3"/>
  <c r="F1738" i="3"/>
  <c r="G1738" i="3"/>
  <c r="H1738" i="3"/>
  <c r="I1738" i="3"/>
  <c r="J1738" i="3"/>
  <c r="K1738" i="3"/>
  <c r="L1738" i="3"/>
  <c r="A1739" i="3"/>
  <c r="B1739" i="3"/>
  <c r="C1739" i="3"/>
  <c r="D1739" i="3"/>
  <c r="E1739" i="3"/>
  <c r="F1739" i="3"/>
  <c r="G1739" i="3"/>
  <c r="H1739" i="3"/>
  <c r="I1739" i="3"/>
  <c r="J1739" i="3"/>
  <c r="K1739" i="3"/>
  <c r="L1739" i="3"/>
  <c r="A1740" i="3"/>
  <c r="B1740" i="3"/>
  <c r="C1740" i="3"/>
  <c r="D1740" i="3"/>
  <c r="E1740" i="3"/>
  <c r="F1740" i="3"/>
  <c r="G1740" i="3"/>
  <c r="H1740" i="3"/>
  <c r="I1740" i="3"/>
  <c r="J1740" i="3"/>
  <c r="K1740" i="3"/>
  <c r="L1740" i="3"/>
  <c r="A1741" i="3"/>
  <c r="B1741" i="3"/>
  <c r="C1741" i="3"/>
  <c r="D1741" i="3"/>
  <c r="E1741" i="3"/>
  <c r="F1741" i="3"/>
  <c r="G1741" i="3"/>
  <c r="H1741" i="3"/>
  <c r="I1741" i="3"/>
  <c r="J1741" i="3"/>
  <c r="K1741" i="3"/>
  <c r="L1741" i="3"/>
  <c r="A1742" i="3"/>
  <c r="B1742" i="3"/>
  <c r="C1742" i="3"/>
  <c r="D1742" i="3"/>
  <c r="E1742" i="3"/>
  <c r="F1742" i="3"/>
  <c r="G1742" i="3"/>
  <c r="H1742" i="3"/>
  <c r="I1742" i="3"/>
  <c r="J1742" i="3"/>
  <c r="K1742" i="3"/>
  <c r="L1742" i="3"/>
  <c r="A1743" i="3"/>
  <c r="B1743" i="3"/>
  <c r="C1743" i="3"/>
  <c r="D1743" i="3"/>
  <c r="E1743" i="3"/>
  <c r="F1743" i="3"/>
  <c r="G1743" i="3"/>
  <c r="H1743" i="3"/>
  <c r="I1743" i="3"/>
  <c r="J1743" i="3"/>
  <c r="K1743" i="3"/>
  <c r="L1743" i="3"/>
  <c r="A1744" i="3"/>
  <c r="B1744" i="3"/>
  <c r="C1744" i="3"/>
  <c r="D1744" i="3"/>
  <c r="E1744" i="3"/>
  <c r="F1744" i="3"/>
  <c r="G1744" i="3"/>
  <c r="H1744" i="3"/>
  <c r="I1744" i="3"/>
  <c r="J1744" i="3"/>
  <c r="K1744" i="3"/>
  <c r="L1744" i="3"/>
  <c r="A1745" i="3"/>
  <c r="B1745" i="3"/>
  <c r="C1745" i="3"/>
  <c r="D1745" i="3"/>
  <c r="E1745" i="3"/>
  <c r="F1745" i="3"/>
  <c r="G1745" i="3"/>
  <c r="H1745" i="3"/>
  <c r="I1745" i="3"/>
  <c r="J1745" i="3"/>
  <c r="K1745" i="3"/>
  <c r="L1745" i="3"/>
  <c r="A1746" i="3"/>
  <c r="B1746" i="3"/>
  <c r="C1746" i="3"/>
  <c r="D1746" i="3"/>
  <c r="E1746" i="3"/>
  <c r="F1746" i="3"/>
  <c r="G1746" i="3"/>
  <c r="H1746" i="3"/>
  <c r="I1746" i="3"/>
  <c r="J1746" i="3"/>
  <c r="K1746" i="3"/>
  <c r="L1746" i="3"/>
  <c r="A1747" i="3"/>
  <c r="B1747" i="3"/>
  <c r="C1747" i="3"/>
  <c r="D1747" i="3"/>
  <c r="E1747" i="3"/>
  <c r="F1747" i="3"/>
  <c r="G1747" i="3"/>
  <c r="H1747" i="3"/>
  <c r="I1747" i="3"/>
  <c r="J1747" i="3"/>
  <c r="K1747" i="3"/>
  <c r="L1747" i="3"/>
  <c r="A1748" i="3"/>
  <c r="B1748" i="3"/>
  <c r="C1748" i="3"/>
  <c r="D1748" i="3"/>
  <c r="E1748" i="3"/>
  <c r="F1748" i="3"/>
  <c r="G1748" i="3"/>
  <c r="H1748" i="3"/>
  <c r="I1748" i="3"/>
  <c r="J1748" i="3"/>
  <c r="K1748" i="3"/>
  <c r="L1748" i="3"/>
  <c r="A1749" i="3"/>
  <c r="B1749" i="3"/>
  <c r="C1749" i="3"/>
  <c r="D1749" i="3"/>
  <c r="E1749" i="3"/>
  <c r="F1749" i="3"/>
  <c r="G1749" i="3"/>
  <c r="H1749" i="3"/>
  <c r="I1749" i="3"/>
  <c r="J1749" i="3"/>
  <c r="K1749" i="3"/>
  <c r="L1749" i="3"/>
  <c r="A1750" i="3"/>
  <c r="B1750" i="3"/>
  <c r="C1750" i="3"/>
  <c r="D1750" i="3"/>
  <c r="E1750" i="3"/>
  <c r="F1750" i="3"/>
  <c r="G1750" i="3"/>
  <c r="H1750" i="3"/>
  <c r="I1750" i="3"/>
  <c r="J1750" i="3"/>
  <c r="K1750" i="3"/>
  <c r="L1750" i="3"/>
  <c r="A1751" i="3"/>
  <c r="B1751" i="3"/>
  <c r="C1751" i="3"/>
  <c r="D1751" i="3"/>
  <c r="E1751" i="3"/>
  <c r="F1751" i="3"/>
  <c r="G1751" i="3"/>
  <c r="H1751" i="3"/>
  <c r="I1751" i="3"/>
  <c r="J1751" i="3"/>
  <c r="K1751" i="3"/>
  <c r="L1751" i="3"/>
  <c r="A1752" i="3"/>
  <c r="B1752" i="3"/>
  <c r="C1752" i="3"/>
  <c r="D1752" i="3"/>
  <c r="E1752" i="3"/>
  <c r="F1752" i="3"/>
  <c r="G1752" i="3"/>
  <c r="H1752" i="3"/>
  <c r="I1752" i="3"/>
  <c r="J1752" i="3"/>
  <c r="K1752" i="3"/>
  <c r="L1752" i="3"/>
  <c r="A1753" i="3"/>
  <c r="B1753" i="3"/>
  <c r="C1753" i="3"/>
  <c r="D1753" i="3"/>
  <c r="E1753" i="3"/>
  <c r="F1753" i="3"/>
  <c r="G1753" i="3"/>
  <c r="H1753" i="3"/>
  <c r="I1753" i="3"/>
  <c r="J1753" i="3"/>
  <c r="K1753" i="3"/>
  <c r="L1753" i="3"/>
  <c r="A1754" i="3"/>
  <c r="B1754" i="3"/>
  <c r="C1754" i="3"/>
  <c r="D1754" i="3"/>
  <c r="E1754" i="3"/>
  <c r="F1754" i="3"/>
  <c r="G1754" i="3"/>
  <c r="H1754" i="3"/>
  <c r="I1754" i="3"/>
  <c r="J1754" i="3"/>
  <c r="K1754" i="3"/>
  <c r="L1754" i="3"/>
  <c r="A1755" i="3"/>
  <c r="B1755" i="3"/>
  <c r="C1755" i="3"/>
  <c r="D1755" i="3"/>
  <c r="E1755" i="3"/>
  <c r="F1755" i="3"/>
  <c r="G1755" i="3"/>
  <c r="H1755" i="3"/>
  <c r="I1755" i="3"/>
  <c r="J1755" i="3"/>
  <c r="K1755" i="3"/>
  <c r="L1755" i="3"/>
  <c r="A1756" i="3"/>
  <c r="B1756" i="3"/>
  <c r="C1756" i="3"/>
  <c r="D1756" i="3"/>
  <c r="E1756" i="3"/>
  <c r="F1756" i="3"/>
  <c r="G1756" i="3"/>
  <c r="H1756" i="3"/>
  <c r="I1756" i="3"/>
  <c r="J1756" i="3"/>
  <c r="K1756" i="3"/>
  <c r="L1756" i="3"/>
  <c r="A1757" i="3"/>
  <c r="B1757" i="3"/>
  <c r="C1757" i="3"/>
  <c r="D1757" i="3"/>
  <c r="E1757" i="3"/>
  <c r="F1757" i="3"/>
  <c r="G1757" i="3"/>
  <c r="H1757" i="3"/>
  <c r="I1757" i="3"/>
  <c r="J1757" i="3"/>
  <c r="K1757" i="3"/>
  <c r="L1757" i="3"/>
  <c r="A1758" i="3"/>
  <c r="B1758" i="3"/>
  <c r="C1758" i="3"/>
  <c r="D1758" i="3"/>
  <c r="E1758" i="3"/>
  <c r="F1758" i="3"/>
  <c r="G1758" i="3"/>
  <c r="H1758" i="3"/>
  <c r="I1758" i="3"/>
  <c r="J1758" i="3"/>
  <c r="K1758" i="3"/>
  <c r="L1758" i="3"/>
  <c r="A1759" i="3"/>
  <c r="B1759" i="3"/>
  <c r="C1759" i="3"/>
  <c r="D1759" i="3"/>
  <c r="E1759" i="3"/>
  <c r="F1759" i="3"/>
  <c r="G1759" i="3"/>
  <c r="H1759" i="3"/>
  <c r="I1759" i="3"/>
  <c r="J1759" i="3"/>
  <c r="K1759" i="3"/>
  <c r="L1759" i="3"/>
  <c r="A1760" i="3"/>
  <c r="B1760" i="3"/>
  <c r="C1760" i="3"/>
  <c r="D1760" i="3"/>
  <c r="E1760" i="3"/>
  <c r="F1760" i="3"/>
  <c r="G1760" i="3"/>
  <c r="H1760" i="3"/>
  <c r="I1760" i="3"/>
  <c r="J1760" i="3"/>
  <c r="K1760" i="3"/>
  <c r="L1760" i="3"/>
  <c r="A1761" i="3"/>
  <c r="B1761" i="3"/>
  <c r="C1761" i="3"/>
  <c r="D1761" i="3"/>
  <c r="E1761" i="3"/>
  <c r="F1761" i="3"/>
  <c r="G1761" i="3"/>
  <c r="H1761" i="3"/>
  <c r="I1761" i="3"/>
  <c r="J1761" i="3"/>
  <c r="K1761" i="3"/>
  <c r="L1761" i="3"/>
  <c r="A1762" i="3"/>
  <c r="B1762" i="3"/>
  <c r="C1762" i="3"/>
  <c r="D1762" i="3"/>
  <c r="E1762" i="3"/>
  <c r="F1762" i="3"/>
  <c r="G1762" i="3"/>
  <c r="H1762" i="3"/>
  <c r="I1762" i="3"/>
  <c r="J1762" i="3"/>
  <c r="K1762" i="3"/>
  <c r="L1762" i="3"/>
  <c r="A1763" i="3"/>
  <c r="B1763" i="3"/>
  <c r="C1763" i="3"/>
  <c r="D1763" i="3"/>
  <c r="E1763" i="3"/>
  <c r="F1763" i="3"/>
  <c r="G1763" i="3"/>
  <c r="H1763" i="3"/>
  <c r="I1763" i="3"/>
  <c r="J1763" i="3"/>
  <c r="K1763" i="3"/>
  <c r="L1763" i="3"/>
  <c r="A1764" i="3"/>
  <c r="B1764" i="3"/>
  <c r="C1764" i="3"/>
  <c r="D1764" i="3"/>
  <c r="E1764" i="3"/>
  <c r="F1764" i="3"/>
  <c r="G1764" i="3"/>
  <c r="H1764" i="3"/>
  <c r="I1764" i="3"/>
  <c r="J1764" i="3"/>
  <c r="K1764" i="3"/>
  <c r="L1764" i="3"/>
  <c r="A1765" i="3"/>
  <c r="B1765" i="3"/>
  <c r="C1765" i="3"/>
  <c r="D1765" i="3"/>
  <c r="E1765" i="3"/>
  <c r="F1765" i="3"/>
  <c r="G1765" i="3"/>
  <c r="H1765" i="3"/>
  <c r="I1765" i="3"/>
  <c r="J1765" i="3"/>
  <c r="K1765" i="3"/>
  <c r="L1765" i="3"/>
  <c r="A1766" i="3"/>
  <c r="B1766" i="3"/>
  <c r="C1766" i="3"/>
  <c r="D1766" i="3"/>
  <c r="E1766" i="3"/>
  <c r="F1766" i="3"/>
  <c r="G1766" i="3"/>
  <c r="H1766" i="3"/>
  <c r="I1766" i="3"/>
  <c r="J1766" i="3"/>
  <c r="K1766" i="3"/>
  <c r="L1766" i="3"/>
  <c r="A1767" i="3"/>
  <c r="B1767" i="3"/>
  <c r="C1767" i="3"/>
  <c r="D1767" i="3"/>
  <c r="E1767" i="3"/>
  <c r="F1767" i="3"/>
  <c r="G1767" i="3"/>
  <c r="H1767" i="3"/>
  <c r="I1767" i="3"/>
  <c r="J1767" i="3"/>
  <c r="K1767" i="3"/>
  <c r="L1767" i="3"/>
  <c r="A1768" i="3"/>
  <c r="B1768" i="3"/>
  <c r="C1768" i="3"/>
  <c r="D1768" i="3"/>
  <c r="E1768" i="3"/>
  <c r="F1768" i="3"/>
  <c r="G1768" i="3"/>
  <c r="H1768" i="3"/>
  <c r="I1768" i="3"/>
  <c r="J1768" i="3"/>
  <c r="K1768" i="3"/>
  <c r="L1768" i="3"/>
  <c r="A1769" i="3"/>
  <c r="B1769" i="3"/>
  <c r="C1769" i="3"/>
  <c r="D1769" i="3"/>
  <c r="E1769" i="3"/>
  <c r="F1769" i="3"/>
  <c r="G1769" i="3"/>
  <c r="H1769" i="3"/>
  <c r="I1769" i="3"/>
  <c r="J1769" i="3"/>
  <c r="K1769" i="3"/>
  <c r="L1769" i="3"/>
  <c r="A1770" i="3"/>
  <c r="B1770" i="3"/>
  <c r="C1770" i="3"/>
  <c r="D1770" i="3"/>
  <c r="E1770" i="3"/>
  <c r="F1770" i="3"/>
  <c r="G1770" i="3"/>
  <c r="H1770" i="3"/>
  <c r="I1770" i="3"/>
  <c r="J1770" i="3"/>
  <c r="K1770" i="3"/>
  <c r="L1770" i="3"/>
  <c r="A1771" i="3"/>
  <c r="B1771" i="3"/>
  <c r="C1771" i="3"/>
  <c r="D1771" i="3"/>
  <c r="E1771" i="3"/>
  <c r="F1771" i="3"/>
  <c r="G1771" i="3"/>
  <c r="H1771" i="3"/>
  <c r="I1771" i="3"/>
  <c r="J1771" i="3"/>
  <c r="K1771" i="3"/>
  <c r="L1771" i="3"/>
  <c r="A1772" i="3"/>
  <c r="B1772" i="3"/>
  <c r="C1772" i="3"/>
  <c r="D1772" i="3"/>
  <c r="E1772" i="3"/>
  <c r="F1772" i="3"/>
  <c r="G1772" i="3"/>
  <c r="H1772" i="3"/>
  <c r="I1772" i="3"/>
  <c r="J1772" i="3"/>
  <c r="K1772" i="3"/>
  <c r="L1772" i="3"/>
  <c r="A1773" i="3"/>
  <c r="B1773" i="3"/>
  <c r="C1773" i="3"/>
  <c r="D1773" i="3"/>
  <c r="E1773" i="3"/>
  <c r="F1773" i="3"/>
  <c r="G1773" i="3"/>
  <c r="H1773" i="3"/>
  <c r="I1773" i="3"/>
  <c r="J1773" i="3"/>
  <c r="K1773" i="3"/>
  <c r="L1773" i="3"/>
  <c r="A1774" i="3"/>
  <c r="B1774" i="3"/>
  <c r="C1774" i="3"/>
  <c r="D1774" i="3"/>
  <c r="E1774" i="3"/>
  <c r="F1774" i="3"/>
  <c r="G1774" i="3"/>
  <c r="H1774" i="3"/>
  <c r="I1774" i="3"/>
  <c r="J1774" i="3"/>
  <c r="K1774" i="3"/>
  <c r="L1774" i="3"/>
  <c r="A1775" i="3"/>
  <c r="B1775" i="3"/>
  <c r="C1775" i="3"/>
  <c r="D1775" i="3"/>
  <c r="E1775" i="3"/>
  <c r="F1775" i="3"/>
  <c r="G1775" i="3"/>
  <c r="H1775" i="3"/>
  <c r="I1775" i="3"/>
  <c r="J1775" i="3"/>
  <c r="K1775" i="3"/>
  <c r="L1775" i="3"/>
  <c r="A1776" i="3"/>
  <c r="B1776" i="3"/>
  <c r="C1776" i="3"/>
  <c r="D1776" i="3"/>
  <c r="E1776" i="3"/>
  <c r="F1776" i="3"/>
  <c r="G1776" i="3"/>
  <c r="H1776" i="3"/>
  <c r="I1776" i="3"/>
  <c r="J1776" i="3"/>
  <c r="K1776" i="3"/>
  <c r="L1776" i="3"/>
  <c r="A1777" i="3"/>
  <c r="B1777" i="3"/>
  <c r="C1777" i="3"/>
  <c r="D1777" i="3"/>
  <c r="E1777" i="3"/>
  <c r="F1777" i="3"/>
  <c r="G1777" i="3"/>
  <c r="H1777" i="3"/>
  <c r="I1777" i="3"/>
  <c r="J1777" i="3"/>
  <c r="K1777" i="3"/>
  <c r="L1777" i="3"/>
  <c r="A1778" i="3"/>
  <c r="B1778" i="3"/>
  <c r="C1778" i="3"/>
  <c r="D1778" i="3"/>
  <c r="E1778" i="3"/>
  <c r="F1778" i="3"/>
  <c r="G1778" i="3"/>
  <c r="H1778" i="3"/>
  <c r="I1778" i="3"/>
  <c r="J1778" i="3"/>
  <c r="K1778" i="3"/>
  <c r="L1778" i="3"/>
  <c r="A1779" i="3"/>
  <c r="B1779" i="3"/>
  <c r="C1779" i="3"/>
  <c r="D1779" i="3"/>
  <c r="E1779" i="3"/>
  <c r="F1779" i="3"/>
  <c r="G1779" i="3"/>
  <c r="H1779" i="3"/>
  <c r="I1779" i="3"/>
  <c r="J1779" i="3"/>
  <c r="K1779" i="3"/>
  <c r="L1779" i="3"/>
  <c r="A1780" i="3"/>
  <c r="B1780" i="3"/>
  <c r="C1780" i="3"/>
  <c r="D1780" i="3"/>
  <c r="E1780" i="3"/>
  <c r="F1780" i="3"/>
  <c r="G1780" i="3"/>
  <c r="H1780" i="3"/>
  <c r="I1780" i="3"/>
  <c r="J1780" i="3"/>
  <c r="K1780" i="3"/>
  <c r="L1780" i="3"/>
  <c r="A1781" i="3"/>
  <c r="B1781" i="3"/>
  <c r="C1781" i="3"/>
  <c r="D1781" i="3"/>
  <c r="E1781" i="3"/>
  <c r="F1781" i="3"/>
  <c r="G1781" i="3"/>
  <c r="H1781" i="3"/>
  <c r="I1781" i="3"/>
  <c r="J1781" i="3"/>
  <c r="K1781" i="3"/>
  <c r="L1781" i="3"/>
  <c r="A1782" i="3"/>
  <c r="B1782" i="3"/>
  <c r="C1782" i="3"/>
  <c r="D1782" i="3"/>
  <c r="E1782" i="3"/>
  <c r="F1782" i="3"/>
  <c r="G1782" i="3"/>
  <c r="H1782" i="3"/>
  <c r="I1782" i="3"/>
  <c r="J1782" i="3"/>
  <c r="K1782" i="3"/>
  <c r="L1782" i="3"/>
  <c r="A1783" i="3"/>
  <c r="B1783" i="3"/>
  <c r="C1783" i="3"/>
  <c r="D1783" i="3"/>
  <c r="E1783" i="3"/>
  <c r="F1783" i="3"/>
  <c r="G1783" i="3"/>
  <c r="H1783" i="3"/>
  <c r="I1783" i="3"/>
  <c r="J1783" i="3"/>
  <c r="K1783" i="3"/>
  <c r="L1783" i="3"/>
  <c r="A1784" i="3"/>
  <c r="B1784" i="3"/>
  <c r="C1784" i="3"/>
  <c r="D1784" i="3"/>
  <c r="E1784" i="3"/>
  <c r="F1784" i="3"/>
  <c r="G1784" i="3"/>
  <c r="H1784" i="3"/>
  <c r="I1784" i="3"/>
  <c r="J1784" i="3"/>
  <c r="K1784" i="3"/>
  <c r="L1784" i="3"/>
  <c r="A1785" i="3"/>
  <c r="B1785" i="3"/>
  <c r="C1785" i="3"/>
  <c r="D1785" i="3"/>
  <c r="E1785" i="3"/>
  <c r="F1785" i="3"/>
  <c r="G1785" i="3"/>
  <c r="H1785" i="3"/>
  <c r="I1785" i="3"/>
  <c r="J1785" i="3"/>
  <c r="K1785" i="3"/>
  <c r="L1785" i="3"/>
  <c r="A1786" i="3"/>
  <c r="B1786" i="3"/>
  <c r="C1786" i="3"/>
  <c r="D1786" i="3"/>
  <c r="E1786" i="3"/>
  <c r="F1786" i="3"/>
  <c r="G1786" i="3"/>
  <c r="H1786" i="3"/>
  <c r="I1786" i="3"/>
  <c r="J1786" i="3"/>
  <c r="K1786" i="3"/>
  <c r="L1786" i="3"/>
  <c r="A1787" i="3"/>
  <c r="B1787" i="3"/>
  <c r="C1787" i="3"/>
  <c r="D1787" i="3"/>
  <c r="E1787" i="3"/>
  <c r="F1787" i="3"/>
  <c r="G1787" i="3"/>
  <c r="H1787" i="3"/>
  <c r="I1787" i="3"/>
  <c r="J1787" i="3"/>
  <c r="K1787" i="3"/>
  <c r="L1787" i="3"/>
  <c r="A1788" i="3"/>
  <c r="B1788" i="3"/>
  <c r="C1788" i="3"/>
  <c r="D1788" i="3"/>
  <c r="E1788" i="3"/>
  <c r="F1788" i="3"/>
  <c r="G1788" i="3"/>
  <c r="H1788" i="3"/>
  <c r="I1788" i="3"/>
  <c r="J1788" i="3"/>
  <c r="K1788" i="3"/>
  <c r="L1788" i="3"/>
  <c r="A1789" i="3"/>
  <c r="B1789" i="3"/>
  <c r="C1789" i="3"/>
  <c r="D1789" i="3"/>
  <c r="E1789" i="3"/>
  <c r="F1789" i="3"/>
  <c r="G1789" i="3"/>
  <c r="H1789" i="3"/>
  <c r="I1789" i="3"/>
  <c r="J1789" i="3"/>
  <c r="K1789" i="3"/>
  <c r="L1789" i="3"/>
  <c r="A1790" i="3"/>
  <c r="B1790" i="3"/>
  <c r="C1790" i="3"/>
  <c r="D1790" i="3"/>
  <c r="E1790" i="3"/>
  <c r="F1790" i="3"/>
  <c r="G1790" i="3"/>
  <c r="H1790" i="3"/>
  <c r="I1790" i="3"/>
  <c r="J1790" i="3"/>
  <c r="K1790" i="3"/>
  <c r="L1790" i="3"/>
  <c r="A1791" i="3"/>
  <c r="B1791" i="3"/>
  <c r="C1791" i="3"/>
  <c r="D1791" i="3"/>
  <c r="E1791" i="3"/>
  <c r="F1791" i="3"/>
  <c r="G1791" i="3"/>
  <c r="H1791" i="3"/>
  <c r="I1791" i="3"/>
  <c r="J1791" i="3"/>
  <c r="K1791" i="3"/>
  <c r="L1791" i="3"/>
  <c r="A1792" i="3"/>
  <c r="B1792" i="3"/>
  <c r="C1792" i="3"/>
  <c r="D1792" i="3"/>
  <c r="E1792" i="3"/>
  <c r="F1792" i="3"/>
  <c r="G1792" i="3"/>
  <c r="H1792" i="3"/>
  <c r="I1792" i="3"/>
  <c r="J1792" i="3"/>
  <c r="K1792" i="3"/>
  <c r="L1792" i="3"/>
  <c r="A1793" i="3"/>
  <c r="B1793" i="3"/>
  <c r="C1793" i="3"/>
  <c r="D1793" i="3"/>
  <c r="E1793" i="3"/>
  <c r="F1793" i="3"/>
  <c r="G1793" i="3"/>
  <c r="H1793" i="3"/>
  <c r="I1793" i="3"/>
  <c r="J1793" i="3"/>
  <c r="K1793" i="3"/>
  <c r="L1793" i="3"/>
  <c r="A1794" i="3"/>
  <c r="B1794" i="3"/>
  <c r="C1794" i="3"/>
  <c r="D1794" i="3"/>
  <c r="E1794" i="3"/>
  <c r="F1794" i="3"/>
  <c r="G1794" i="3"/>
  <c r="H1794" i="3"/>
  <c r="I1794" i="3"/>
  <c r="J1794" i="3"/>
  <c r="K1794" i="3"/>
  <c r="L1794" i="3"/>
  <c r="A1795" i="3"/>
  <c r="B1795" i="3"/>
  <c r="C1795" i="3"/>
  <c r="D1795" i="3"/>
  <c r="E1795" i="3"/>
  <c r="F1795" i="3"/>
  <c r="G1795" i="3"/>
  <c r="H1795" i="3"/>
  <c r="I1795" i="3"/>
  <c r="J1795" i="3"/>
  <c r="K1795" i="3"/>
  <c r="L1795" i="3"/>
  <c r="A1796" i="3"/>
  <c r="B1796" i="3"/>
  <c r="C1796" i="3"/>
  <c r="D1796" i="3"/>
  <c r="E1796" i="3"/>
  <c r="F1796" i="3"/>
  <c r="G1796" i="3"/>
  <c r="H1796" i="3"/>
  <c r="I1796" i="3"/>
  <c r="J1796" i="3"/>
  <c r="K1796" i="3"/>
  <c r="L1796" i="3"/>
  <c r="A1797" i="3"/>
  <c r="B1797" i="3"/>
  <c r="C1797" i="3"/>
  <c r="D1797" i="3"/>
  <c r="E1797" i="3"/>
  <c r="F1797" i="3"/>
  <c r="G1797" i="3"/>
  <c r="H1797" i="3"/>
  <c r="I1797" i="3"/>
  <c r="J1797" i="3"/>
  <c r="K1797" i="3"/>
  <c r="L1797" i="3"/>
  <c r="A1798" i="3"/>
  <c r="B1798" i="3"/>
  <c r="C1798" i="3"/>
  <c r="D1798" i="3"/>
  <c r="E1798" i="3"/>
  <c r="F1798" i="3"/>
  <c r="G1798" i="3"/>
  <c r="H1798" i="3"/>
  <c r="I1798" i="3"/>
  <c r="J1798" i="3"/>
  <c r="K1798" i="3"/>
  <c r="L1798" i="3"/>
  <c r="A1799" i="3"/>
  <c r="B1799" i="3"/>
  <c r="C1799" i="3"/>
  <c r="D1799" i="3"/>
  <c r="E1799" i="3"/>
  <c r="F1799" i="3"/>
  <c r="G1799" i="3"/>
  <c r="H1799" i="3"/>
  <c r="I1799" i="3"/>
  <c r="J1799" i="3"/>
  <c r="K1799" i="3"/>
  <c r="L1799" i="3"/>
  <c r="A1800" i="3"/>
  <c r="B1800" i="3"/>
  <c r="C1800" i="3"/>
  <c r="D1800" i="3"/>
  <c r="E1800" i="3"/>
  <c r="F1800" i="3"/>
  <c r="G1800" i="3"/>
  <c r="H1800" i="3"/>
  <c r="I1800" i="3"/>
  <c r="J1800" i="3"/>
  <c r="K1800" i="3"/>
  <c r="L1800" i="3"/>
  <c r="A1801" i="3"/>
  <c r="B1801" i="3"/>
  <c r="C1801" i="3"/>
  <c r="D1801" i="3"/>
  <c r="E1801" i="3"/>
  <c r="F1801" i="3"/>
  <c r="G1801" i="3"/>
  <c r="H1801" i="3"/>
  <c r="I1801" i="3"/>
  <c r="J1801" i="3"/>
  <c r="K1801" i="3"/>
  <c r="L1801" i="3"/>
  <c r="A1802" i="3"/>
  <c r="B1802" i="3"/>
  <c r="C1802" i="3"/>
  <c r="D1802" i="3"/>
  <c r="E1802" i="3"/>
  <c r="F1802" i="3"/>
  <c r="G1802" i="3"/>
  <c r="H1802" i="3"/>
  <c r="I1802" i="3"/>
  <c r="J1802" i="3"/>
  <c r="K1802" i="3"/>
  <c r="L1802" i="3"/>
  <c r="A1803" i="3"/>
  <c r="B1803" i="3"/>
  <c r="C1803" i="3"/>
  <c r="D1803" i="3"/>
  <c r="E1803" i="3"/>
  <c r="F1803" i="3"/>
  <c r="G1803" i="3"/>
  <c r="H1803" i="3"/>
  <c r="I1803" i="3"/>
  <c r="J1803" i="3"/>
  <c r="K1803" i="3"/>
  <c r="L1803" i="3"/>
  <c r="A1804" i="3"/>
  <c r="B1804" i="3"/>
  <c r="C1804" i="3"/>
  <c r="D1804" i="3"/>
  <c r="E1804" i="3"/>
  <c r="F1804" i="3"/>
  <c r="G1804" i="3"/>
  <c r="H1804" i="3"/>
  <c r="I1804" i="3"/>
  <c r="J1804" i="3"/>
  <c r="K1804" i="3"/>
  <c r="L1804" i="3"/>
  <c r="A1805" i="3"/>
  <c r="B1805" i="3"/>
  <c r="C1805" i="3"/>
  <c r="D1805" i="3"/>
  <c r="E1805" i="3"/>
  <c r="F1805" i="3"/>
  <c r="G1805" i="3"/>
  <c r="H1805" i="3"/>
  <c r="I1805" i="3"/>
  <c r="J1805" i="3"/>
  <c r="K1805" i="3"/>
  <c r="L1805" i="3"/>
  <c r="A1806" i="3"/>
  <c r="B1806" i="3"/>
  <c r="C1806" i="3"/>
  <c r="D1806" i="3"/>
  <c r="E1806" i="3"/>
  <c r="F1806" i="3"/>
  <c r="G1806" i="3"/>
  <c r="H1806" i="3"/>
  <c r="I1806" i="3"/>
  <c r="J1806" i="3"/>
  <c r="K1806" i="3"/>
  <c r="L1806" i="3"/>
  <c r="A1807" i="3"/>
  <c r="B1807" i="3"/>
  <c r="C1807" i="3"/>
  <c r="D1807" i="3"/>
  <c r="E1807" i="3"/>
  <c r="F1807" i="3"/>
  <c r="G1807" i="3"/>
  <c r="H1807" i="3"/>
  <c r="I1807" i="3"/>
  <c r="J1807" i="3"/>
  <c r="K1807" i="3"/>
  <c r="L1807" i="3"/>
  <c r="A1808" i="3"/>
  <c r="B1808" i="3"/>
  <c r="C1808" i="3"/>
  <c r="D1808" i="3"/>
  <c r="E1808" i="3"/>
  <c r="F1808" i="3"/>
  <c r="G1808" i="3"/>
  <c r="H1808" i="3"/>
  <c r="I1808" i="3"/>
  <c r="J1808" i="3"/>
  <c r="K1808" i="3"/>
  <c r="L1808" i="3"/>
  <c r="A1809" i="3"/>
  <c r="B1809" i="3"/>
  <c r="C1809" i="3"/>
  <c r="D1809" i="3"/>
  <c r="E1809" i="3"/>
  <c r="F1809" i="3"/>
  <c r="G1809" i="3"/>
  <c r="H1809" i="3"/>
  <c r="I1809" i="3"/>
  <c r="J1809" i="3"/>
  <c r="K1809" i="3"/>
  <c r="L1809" i="3"/>
  <c r="A1810" i="3"/>
  <c r="B1810" i="3"/>
  <c r="C1810" i="3"/>
  <c r="D1810" i="3"/>
  <c r="E1810" i="3"/>
  <c r="F1810" i="3"/>
  <c r="G1810" i="3"/>
  <c r="H1810" i="3"/>
  <c r="I1810" i="3"/>
  <c r="J1810" i="3"/>
  <c r="K1810" i="3"/>
  <c r="L1810" i="3"/>
  <c r="A1811" i="3"/>
  <c r="B1811" i="3"/>
  <c r="C1811" i="3"/>
  <c r="D1811" i="3"/>
  <c r="E1811" i="3"/>
  <c r="F1811" i="3"/>
  <c r="G1811" i="3"/>
  <c r="H1811" i="3"/>
  <c r="I1811" i="3"/>
  <c r="J1811" i="3"/>
  <c r="K1811" i="3"/>
  <c r="L1811" i="3"/>
  <c r="A1812" i="3"/>
  <c r="B1812" i="3"/>
  <c r="C1812" i="3"/>
  <c r="D1812" i="3"/>
  <c r="E1812" i="3"/>
  <c r="F1812" i="3"/>
  <c r="G1812" i="3"/>
  <c r="H1812" i="3"/>
  <c r="I1812" i="3"/>
  <c r="J1812" i="3"/>
  <c r="K1812" i="3"/>
  <c r="L1812" i="3"/>
  <c r="A1813" i="3"/>
  <c r="B1813" i="3"/>
  <c r="C1813" i="3"/>
  <c r="D1813" i="3"/>
  <c r="E1813" i="3"/>
  <c r="F1813" i="3"/>
  <c r="G1813" i="3"/>
  <c r="H1813" i="3"/>
  <c r="I1813" i="3"/>
  <c r="J1813" i="3"/>
  <c r="K1813" i="3"/>
  <c r="L1813" i="3"/>
  <c r="A1814" i="3"/>
  <c r="B1814" i="3"/>
  <c r="C1814" i="3"/>
  <c r="D1814" i="3"/>
  <c r="E1814" i="3"/>
  <c r="F1814" i="3"/>
  <c r="G1814" i="3"/>
  <c r="H1814" i="3"/>
  <c r="I1814" i="3"/>
  <c r="J1814" i="3"/>
  <c r="K1814" i="3"/>
  <c r="L1814" i="3"/>
  <c r="A1815" i="3"/>
  <c r="B1815" i="3"/>
  <c r="C1815" i="3"/>
  <c r="D1815" i="3"/>
  <c r="E1815" i="3"/>
  <c r="F1815" i="3"/>
  <c r="G1815" i="3"/>
  <c r="H1815" i="3"/>
  <c r="I1815" i="3"/>
  <c r="J1815" i="3"/>
  <c r="K1815" i="3"/>
  <c r="L1815" i="3"/>
  <c r="A1816" i="3"/>
  <c r="B1816" i="3"/>
  <c r="C1816" i="3"/>
  <c r="D1816" i="3"/>
  <c r="E1816" i="3"/>
  <c r="F1816" i="3"/>
  <c r="G1816" i="3"/>
  <c r="H1816" i="3"/>
  <c r="I1816" i="3"/>
  <c r="J1816" i="3"/>
  <c r="K1816" i="3"/>
  <c r="L1816" i="3"/>
  <c r="A1817" i="3"/>
  <c r="B1817" i="3"/>
  <c r="C1817" i="3"/>
  <c r="D1817" i="3"/>
  <c r="E1817" i="3"/>
  <c r="F1817" i="3"/>
  <c r="G1817" i="3"/>
  <c r="H1817" i="3"/>
  <c r="I1817" i="3"/>
  <c r="J1817" i="3"/>
  <c r="K1817" i="3"/>
  <c r="L1817" i="3"/>
  <c r="A1818" i="3"/>
  <c r="B1818" i="3"/>
  <c r="C1818" i="3"/>
  <c r="D1818" i="3"/>
  <c r="E1818" i="3"/>
  <c r="F1818" i="3"/>
  <c r="G1818" i="3"/>
  <c r="H1818" i="3"/>
  <c r="I1818" i="3"/>
  <c r="J1818" i="3"/>
  <c r="K1818" i="3"/>
  <c r="L1818" i="3"/>
  <c r="A1819" i="3"/>
  <c r="B1819" i="3"/>
  <c r="C1819" i="3"/>
  <c r="D1819" i="3"/>
  <c r="E1819" i="3"/>
  <c r="F1819" i="3"/>
  <c r="G1819" i="3"/>
  <c r="H1819" i="3"/>
  <c r="I1819" i="3"/>
  <c r="J1819" i="3"/>
  <c r="K1819" i="3"/>
  <c r="L1819" i="3"/>
  <c r="A1820" i="3"/>
  <c r="B1820" i="3"/>
  <c r="C1820" i="3"/>
  <c r="D1820" i="3"/>
  <c r="E1820" i="3"/>
  <c r="F1820" i="3"/>
  <c r="G1820" i="3"/>
  <c r="H1820" i="3"/>
  <c r="I1820" i="3"/>
  <c r="J1820" i="3"/>
  <c r="K1820" i="3"/>
  <c r="L1820" i="3"/>
  <c r="A1821" i="3"/>
  <c r="B1821" i="3"/>
  <c r="C1821" i="3"/>
  <c r="D1821" i="3"/>
  <c r="E1821" i="3"/>
  <c r="F1821" i="3"/>
  <c r="G1821" i="3"/>
  <c r="H1821" i="3"/>
  <c r="I1821" i="3"/>
  <c r="J1821" i="3"/>
  <c r="K1821" i="3"/>
  <c r="L1821" i="3"/>
  <c r="A1822" i="3"/>
  <c r="B1822" i="3"/>
  <c r="C1822" i="3"/>
  <c r="D1822" i="3"/>
  <c r="E1822" i="3"/>
  <c r="F1822" i="3"/>
  <c r="G1822" i="3"/>
  <c r="H1822" i="3"/>
  <c r="I1822" i="3"/>
  <c r="J1822" i="3"/>
  <c r="K1822" i="3"/>
  <c r="L1822" i="3"/>
  <c r="A1823" i="3"/>
  <c r="B1823" i="3"/>
  <c r="C1823" i="3"/>
  <c r="D1823" i="3"/>
  <c r="E1823" i="3"/>
  <c r="F1823" i="3"/>
  <c r="G1823" i="3"/>
  <c r="H1823" i="3"/>
  <c r="I1823" i="3"/>
  <c r="J1823" i="3"/>
  <c r="K1823" i="3"/>
  <c r="L1823" i="3"/>
  <c r="A1824" i="3"/>
  <c r="B1824" i="3"/>
  <c r="C1824" i="3"/>
  <c r="D1824" i="3"/>
  <c r="E1824" i="3"/>
  <c r="F1824" i="3"/>
  <c r="G1824" i="3"/>
  <c r="H1824" i="3"/>
  <c r="I1824" i="3"/>
  <c r="J1824" i="3"/>
  <c r="K1824" i="3"/>
  <c r="L1824" i="3"/>
  <c r="A1825" i="3"/>
  <c r="B1825" i="3"/>
  <c r="C1825" i="3"/>
  <c r="D1825" i="3"/>
  <c r="E1825" i="3"/>
  <c r="F1825" i="3"/>
  <c r="G1825" i="3"/>
  <c r="H1825" i="3"/>
  <c r="I1825" i="3"/>
  <c r="J1825" i="3"/>
  <c r="K1825" i="3"/>
  <c r="L1825" i="3"/>
  <c r="A1826" i="3"/>
  <c r="B1826" i="3"/>
  <c r="C1826" i="3"/>
  <c r="D1826" i="3"/>
  <c r="E1826" i="3"/>
  <c r="F1826" i="3"/>
  <c r="G1826" i="3"/>
  <c r="H1826" i="3"/>
  <c r="I1826" i="3"/>
  <c r="J1826" i="3"/>
  <c r="K1826" i="3"/>
  <c r="L1826" i="3"/>
  <c r="A1827" i="3"/>
  <c r="B1827" i="3"/>
  <c r="C1827" i="3"/>
  <c r="D1827" i="3"/>
  <c r="E1827" i="3"/>
  <c r="F1827" i="3"/>
  <c r="G1827" i="3"/>
  <c r="H1827" i="3"/>
  <c r="I1827" i="3"/>
  <c r="J1827" i="3"/>
  <c r="K1827" i="3"/>
  <c r="L1827" i="3"/>
  <c r="A1828" i="3"/>
  <c r="B1828" i="3"/>
  <c r="C1828" i="3"/>
  <c r="D1828" i="3"/>
  <c r="E1828" i="3"/>
  <c r="F1828" i="3"/>
  <c r="G1828" i="3"/>
  <c r="H1828" i="3"/>
  <c r="I1828" i="3"/>
  <c r="J1828" i="3"/>
  <c r="K1828" i="3"/>
  <c r="L1828" i="3"/>
  <c r="A1829" i="3"/>
  <c r="B1829" i="3"/>
  <c r="C1829" i="3"/>
  <c r="D1829" i="3"/>
  <c r="E1829" i="3"/>
  <c r="F1829" i="3"/>
  <c r="G1829" i="3"/>
  <c r="H1829" i="3"/>
  <c r="I1829" i="3"/>
  <c r="J1829" i="3"/>
  <c r="K1829" i="3"/>
  <c r="L1829" i="3"/>
  <c r="A1830" i="3"/>
  <c r="B1830" i="3"/>
  <c r="C1830" i="3"/>
  <c r="D1830" i="3"/>
  <c r="E1830" i="3"/>
  <c r="F1830" i="3"/>
  <c r="G1830" i="3"/>
  <c r="H1830" i="3"/>
  <c r="I1830" i="3"/>
  <c r="J1830" i="3"/>
  <c r="K1830" i="3"/>
  <c r="L1830" i="3"/>
  <c r="A1831" i="3"/>
  <c r="B1831" i="3"/>
  <c r="C1831" i="3"/>
  <c r="D1831" i="3"/>
  <c r="E1831" i="3"/>
  <c r="F1831" i="3"/>
  <c r="G1831" i="3"/>
  <c r="H1831" i="3"/>
  <c r="I1831" i="3"/>
  <c r="J1831" i="3"/>
  <c r="K1831" i="3"/>
  <c r="L1831" i="3"/>
  <c r="A1832" i="3"/>
  <c r="B1832" i="3"/>
  <c r="C1832" i="3"/>
  <c r="D1832" i="3"/>
  <c r="E1832" i="3"/>
  <c r="F1832" i="3"/>
  <c r="G1832" i="3"/>
  <c r="H1832" i="3"/>
  <c r="I1832" i="3"/>
  <c r="J1832" i="3"/>
  <c r="K1832" i="3"/>
  <c r="L1832" i="3"/>
  <c r="A1833" i="3"/>
  <c r="B1833" i="3"/>
  <c r="C1833" i="3"/>
  <c r="D1833" i="3"/>
  <c r="E1833" i="3"/>
  <c r="F1833" i="3"/>
  <c r="G1833" i="3"/>
  <c r="H1833" i="3"/>
  <c r="I1833" i="3"/>
  <c r="J1833" i="3"/>
  <c r="K1833" i="3"/>
  <c r="L1833" i="3"/>
  <c r="A1834" i="3"/>
  <c r="B1834" i="3"/>
  <c r="C1834" i="3"/>
  <c r="D1834" i="3"/>
  <c r="E1834" i="3"/>
  <c r="F1834" i="3"/>
  <c r="G1834" i="3"/>
  <c r="H1834" i="3"/>
  <c r="I1834" i="3"/>
  <c r="J1834" i="3"/>
  <c r="K1834" i="3"/>
  <c r="L1834" i="3"/>
  <c r="A1835" i="3"/>
  <c r="B1835" i="3"/>
  <c r="C1835" i="3"/>
  <c r="D1835" i="3"/>
  <c r="E1835" i="3"/>
  <c r="F1835" i="3"/>
  <c r="G1835" i="3"/>
  <c r="H1835" i="3"/>
  <c r="I1835" i="3"/>
  <c r="J1835" i="3"/>
  <c r="K1835" i="3"/>
  <c r="L1835" i="3"/>
  <c r="A1836" i="3"/>
  <c r="B1836" i="3"/>
  <c r="C1836" i="3"/>
  <c r="D1836" i="3"/>
  <c r="E1836" i="3"/>
  <c r="F1836" i="3"/>
  <c r="G1836" i="3"/>
  <c r="H1836" i="3"/>
  <c r="I1836" i="3"/>
  <c r="J1836" i="3"/>
  <c r="K1836" i="3"/>
  <c r="L1836" i="3"/>
  <c r="A1837" i="3"/>
  <c r="B1837" i="3"/>
  <c r="C1837" i="3"/>
  <c r="D1837" i="3"/>
  <c r="E1837" i="3"/>
  <c r="F1837" i="3"/>
  <c r="G1837" i="3"/>
  <c r="H1837" i="3"/>
  <c r="I1837" i="3"/>
  <c r="J1837" i="3"/>
  <c r="K1837" i="3"/>
  <c r="L1837" i="3"/>
  <c r="A1838" i="3"/>
  <c r="B1838" i="3"/>
  <c r="C1838" i="3"/>
  <c r="D1838" i="3"/>
  <c r="E1838" i="3"/>
  <c r="F1838" i="3"/>
  <c r="G1838" i="3"/>
  <c r="H1838" i="3"/>
  <c r="I1838" i="3"/>
  <c r="J1838" i="3"/>
  <c r="K1838" i="3"/>
  <c r="L1838" i="3"/>
  <c r="A1839" i="3"/>
  <c r="B1839" i="3"/>
  <c r="C1839" i="3"/>
  <c r="D1839" i="3"/>
  <c r="E1839" i="3"/>
  <c r="F1839" i="3"/>
  <c r="G1839" i="3"/>
  <c r="H1839" i="3"/>
  <c r="I1839" i="3"/>
  <c r="J1839" i="3"/>
  <c r="K1839" i="3"/>
  <c r="L1839" i="3"/>
  <c r="A1840" i="3"/>
  <c r="B1840" i="3"/>
  <c r="C1840" i="3"/>
  <c r="D1840" i="3"/>
  <c r="E1840" i="3"/>
  <c r="F1840" i="3"/>
  <c r="G1840" i="3"/>
  <c r="H1840" i="3"/>
  <c r="I1840" i="3"/>
  <c r="J1840" i="3"/>
  <c r="K1840" i="3"/>
  <c r="L1840" i="3"/>
  <c r="A1841" i="3"/>
  <c r="B1841" i="3"/>
  <c r="C1841" i="3"/>
  <c r="D1841" i="3"/>
  <c r="E1841" i="3"/>
  <c r="F1841" i="3"/>
  <c r="G1841" i="3"/>
  <c r="H1841" i="3"/>
  <c r="I1841" i="3"/>
  <c r="J1841" i="3"/>
  <c r="K1841" i="3"/>
  <c r="L1841" i="3"/>
  <c r="A1842" i="3"/>
  <c r="B1842" i="3"/>
  <c r="C1842" i="3"/>
  <c r="D1842" i="3"/>
  <c r="E1842" i="3"/>
  <c r="F1842" i="3"/>
  <c r="G1842" i="3"/>
  <c r="H1842" i="3"/>
  <c r="I1842" i="3"/>
  <c r="J1842" i="3"/>
  <c r="K1842" i="3"/>
  <c r="L1842" i="3"/>
  <c r="A1843" i="3"/>
  <c r="B1843" i="3"/>
  <c r="C1843" i="3"/>
  <c r="D1843" i="3"/>
  <c r="E1843" i="3"/>
  <c r="F1843" i="3"/>
  <c r="G1843" i="3"/>
  <c r="H1843" i="3"/>
  <c r="I1843" i="3"/>
  <c r="J1843" i="3"/>
  <c r="K1843" i="3"/>
  <c r="L1843" i="3"/>
  <c r="A1844" i="3"/>
  <c r="B1844" i="3"/>
  <c r="C1844" i="3"/>
  <c r="D1844" i="3"/>
  <c r="E1844" i="3"/>
  <c r="F1844" i="3"/>
  <c r="G1844" i="3"/>
  <c r="H1844" i="3"/>
  <c r="I1844" i="3"/>
  <c r="J1844" i="3"/>
  <c r="K1844" i="3"/>
  <c r="L1844" i="3"/>
  <c r="A1845" i="3"/>
  <c r="B1845" i="3"/>
  <c r="C1845" i="3"/>
  <c r="D1845" i="3"/>
  <c r="E1845" i="3"/>
  <c r="F1845" i="3"/>
  <c r="G1845" i="3"/>
  <c r="H1845" i="3"/>
  <c r="I1845" i="3"/>
  <c r="J1845" i="3"/>
  <c r="K1845" i="3"/>
  <c r="L1845" i="3"/>
  <c r="A1846" i="3"/>
  <c r="B1846" i="3"/>
  <c r="C1846" i="3"/>
  <c r="D1846" i="3"/>
  <c r="E1846" i="3"/>
  <c r="F1846" i="3"/>
  <c r="G1846" i="3"/>
  <c r="H1846" i="3"/>
  <c r="I1846" i="3"/>
  <c r="J1846" i="3"/>
  <c r="K1846" i="3"/>
  <c r="L1846" i="3"/>
  <c r="A1847" i="3"/>
  <c r="B1847" i="3"/>
  <c r="C1847" i="3"/>
  <c r="D1847" i="3"/>
  <c r="E1847" i="3"/>
  <c r="F1847" i="3"/>
  <c r="G1847" i="3"/>
  <c r="H1847" i="3"/>
  <c r="I1847" i="3"/>
  <c r="J1847" i="3"/>
  <c r="K1847" i="3"/>
  <c r="L1847" i="3"/>
  <c r="A1848" i="3"/>
  <c r="B1848" i="3"/>
  <c r="C1848" i="3"/>
  <c r="D1848" i="3"/>
  <c r="E1848" i="3"/>
  <c r="F1848" i="3"/>
  <c r="G1848" i="3"/>
  <c r="H1848" i="3"/>
  <c r="I1848" i="3"/>
  <c r="J1848" i="3"/>
  <c r="K1848" i="3"/>
  <c r="L1848" i="3"/>
  <c r="A1849" i="3"/>
  <c r="B1849" i="3"/>
  <c r="C1849" i="3"/>
  <c r="D1849" i="3"/>
  <c r="E1849" i="3"/>
  <c r="F1849" i="3"/>
  <c r="G1849" i="3"/>
  <c r="H1849" i="3"/>
  <c r="I1849" i="3"/>
  <c r="J1849" i="3"/>
  <c r="K1849" i="3"/>
  <c r="L1849" i="3"/>
  <c r="A1850" i="3"/>
  <c r="B1850" i="3"/>
  <c r="C1850" i="3"/>
  <c r="D1850" i="3"/>
  <c r="E1850" i="3"/>
  <c r="F1850" i="3"/>
  <c r="G1850" i="3"/>
  <c r="H1850" i="3"/>
  <c r="I1850" i="3"/>
  <c r="J1850" i="3"/>
  <c r="K1850" i="3"/>
  <c r="L1850" i="3"/>
  <c r="A1851" i="3"/>
  <c r="B1851" i="3"/>
  <c r="C1851" i="3"/>
  <c r="D1851" i="3"/>
  <c r="E1851" i="3"/>
  <c r="F1851" i="3"/>
  <c r="G1851" i="3"/>
  <c r="H1851" i="3"/>
  <c r="I1851" i="3"/>
  <c r="J1851" i="3"/>
  <c r="K1851" i="3"/>
  <c r="L1851" i="3"/>
  <c r="A1852" i="3"/>
  <c r="B1852" i="3"/>
  <c r="C1852" i="3"/>
  <c r="D1852" i="3"/>
  <c r="E1852" i="3"/>
  <c r="F1852" i="3"/>
  <c r="G1852" i="3"/>
  <c r="H1852" i="3"/>
  <c r="I1852" i="3"/>
  <c r="J1852" i="3"/>
  <c r="K1852" i="3"/>
  <c r="L1852" i="3"/>
  <c r="A1853" i="3"/>
  <c r="B1853" i="3"/>
  <c r="C1853" i="3"/>
  <c r="D1853" i="3"/>
  <c r="E1853" i="3"/>
  <c r="F1853" i="3"/>
  <c r="G1853" i="3"/>
  <c r="H1853" i="3"/>
  <c r="I1853" i="3"/>
  <c r="J1853" i="3"/>
  <c r="K1853" i="3"/>
  <c r="L1853" i="3"/>
  <c r="A1854" i="3"/>
  <c r="B1854" i="3"/>
  <c r="C1854" i="3"/>
  <c r="D1854" i="3"/>
  <c r="E1854" i="3"/>
  <c r="F1854" i="3"/>
  <c r="G1854" i="3"/>
  <c r="H1854" i="3"/>
  <c r="I1854" i="3"/>
  <c r="J1854" i="3"/>
  <c r="K1854" i="3"/>
  <c r="L1854" i="3"/>
  <c r="A1855" i="3"/>
  <c r="B1855" i="3"/>
  <c r="C1855" i="3"/>
  <c r="D1855" i="3"/>
  <c r="E1855" i="3"/>
  <c r="F1855" i="3"/>
  <c r="G1855" i="3"/>
  <c r="H1855" i="3"/>
  <c r="I1855" i="3"/>
  <c r="J1855" i="3"/>
  <c r="K1855" i="3"/>
  <c r="L1855" i="3"/>
  <c r="A1856" i="3"/>
  <c r="B1856" i="3"/>
  <c r="C1856" i="3"/>
  <c r="D1856" i="3"/>
  <c r="E1856" i="3"/>
  <c r="F1856" i="3"/>
  <c r="G1856" i="3"/>
  <c r="H1856" i="3"/>
  <c r="I1856" i="3"/>
  <c r="J1856" i="3"/>
  <c r="K1856" i="3"/>
  <c r="L1856" i="3"/>
  <c r="A1857" i="3"/>
  <c r="B1857" i="3"/>
  <c r="C1857" i="3"/>
  <c r="D1857" i="3"/>
  <c r="E1857" i="3"/>
  <c r="F1857" i="3"/>
  <c r="G1857" i="3"/>
  <c r="H1857" i="3"/>
  <c r="I1857" i="3"/>
  <c r="J1857" i="3"/>
  <c r="K1857" i="3"/>
  <c r="L1857" i="3"/>
  <c r="A1858" i="3"/>
  <c r="B1858" i="3"/>
  <c r="C1858" i="3"/>
  <c r="D1858" i="3"/>
  <c r="E1858" i="3"/>
  <c r="F1858" i="3"/>
  <c r="G1858" i="3"/>
  <c r="H1858" i="3"/>
  <c r="I1858" i="3"/>
  <c r="J1858" i="3"/>
  <c r="K1858" i="3"/>
  <c r="L1858" i="3"/>
  <c r="A1859" i="3"/>
  <c r="B1859" i="3"/>
  <c r="C1859" i="3"/>
  <c r="D1859" i="3"/>
  <c r="E1859" i="3"/>
  <c r="F1859" i="3"/>
  <c r="G1859" i="3"/>
  <c r="H1859" i="3"/>
  <c r="I1859" i="3"/>
  <c r="J1859" i="3"/>
  <c r="K1859" i="3"/>
  <c r="L1859" i="3"/>
  <c r="A1860" i="3"/>
  <c r="B1860" i="3"/>
  <c r="C1860" i="3"/>
  <c r="D1860" i="3"/>
  <c r="E1860" i="3"/>
  <c r="F1860" i="3"/>
  <c r="G1860" i="3"/>
  <c r="H1860" i="3"/>
  <c r="I1860" i="3"/>
  <c r="J1860" i="3"/>
  <c r="K1860" i="3"/>
  <c r="L1860" i="3"/>
  <c r="A1861" i="3"/>
  <c r="B1861" i="3"/>
  <c r="C1861" i="3"/>
  <c r="D1861" i="3"/>
  <c r="E1861" i="3"/>
  <c r="F1861" i="3"/>
  <c r="G1861" i="3"/>
  <c r="H1861" i="3"/>
  <c r="I1861" i="3"/>
  <c r="J1861" i="3"/>
  <c r="K1861" i="3"/>
  <c r="L1861" i="3"/>
  <c r="A1862" i="3"/>
  <c r="B1862" i="3"/>
  <c r="C1862" i="3"/>
  <c r="D1862" i="3"/>
  <c r="E1862" i="3"/>
  <c r="F1862" i="3"/>
  <c r="G1862" i="3"/>
  <c r="H1862" i="3"/>
  <c r="I1862" i="3"/>
  <c r="J1862" i="3"/>
  <c r="K1862" i="3"/>
  <c r="L1862" i="3"/>
  <c r="A1863" i="3"/>
  <c r="B1863" i="3"/>
  <c r="C1863" i="3"/>
  <c r="D1863" i="3"/>
  <c r="E1863" i="3"/>
  <c r="F1863" i="3"/>
  <c r="G1863" i="3"/>
  <c r="H1863" i="3"/>
  <c r="I1863" i="3"/>
  <c r="J1863" i="3"/>
  <c r="K1863" i="3"/>
  <c r="L1863" i="3"/>
  <c r="A1864" i="3"/>
  <c r="B1864" i="3"/>
  <c r="C1864" i="3"/>
  <c r="D1864" i="3"/>
  <c r="E1864" i="3"/>
  <c r="F1864" i="3"/>
  <c r="G1864" i="3"/>
  <c r="H1864" i="3"/>
  <c r="I1864" i="3"/>
  <c r="J1864" i="3"/>
  <c r="K1864" i="3"/>
  <c r="L1864" i="3"/>
  <c r="A1865" i="3"/>
  <c r="B1865" i="3"/>
  <c r="C1865" i="3"/>
  <c r="D1865" i="3"/>
  <c r="E1865" i="3"/>
  <c r="F1865" i="3"/>
  <c r="G1865" i="3"/>
  <c r="H1865" i="3"/>
  <c r="I1865" i="3"/>
  <c r="J1865" i="3"/>
  <c r="K1865" i="3"/>
  <c r="L1865" i="3"/>
  <c r="A1866" i="3"/>
  <c r="B1866" i="3"/>
  <c r="C1866" i="3"/>
  <c r="D1866" i="3"/>
  <c r="E1866" i="3"/>
  <c r="F1866" i="3"/>
  <c r="G1866" i="3"/>
  <c r="H1866" i="3"/>
  <c r="I1866" i="3"/>
  <c r="J1866" i="3"/>
  <c r="K1866" i="3"/>
  <c r="L1866" i="3"/>
  <c r="A1867" i="3"/>
  <c r="B1867" i="3"/>
  <c r="C1867" i="3"/>
  <c r="D1867" i="3"/>
  <c r="E1867" i="3"/>
  <c r="F1867" i="3"/>
  <c r="G1867" i="3"/>
  <c r="H1867" i="3"/>
  <c r="I1867" i="3"/>
  <c r="J1867" i="3"/>
  <c r="K1867" i="3"/>
  <c r="L1867" i="3"/>
  <c r="A1868" i="3"/>
  <c r="B1868" i="3"/>
  <c r="C1868" i="3"/>
  <c r="D1868" i="3"/>
  <c r="E1868" i="3"/>
  <c r="F1868" i="3"/>
  <c r="G1868" i="3"/>
  <c r="H1868" i="3"/>
  <c r="I1868" i="3"/>
  <c r="J1868" i="3"/>
  <c r="K1868" i="3"/>
  <c r="L1868" i="3"/>
  <c r="A1869" i="3"/>
  <c r="B1869" i="3"/>
  <c r="C1869" i="3"/>
  <c r="D1869" i="3"/>
  <c r="E1869" i="3"/>
  <c r="F1869" i="3"/>
  <c r="G1869" i="3"/>
  <c r="H1869" i="3"/>
  <c r="I1869" i="3"/>
  <c r="J1869" i="3"/>
  <c r="K1869" i="3"/>
  <c r="L1869" i="3"/>
  <c r="A1870" i="3"/>
  <c r="B1870" i="3"/>
  <c r="C1870" i="3"/>
  <c r="D1870" i="3"/>
  <c r="E1870" i="3"/>
  <c r="F1870" i="3"/>
  <c r="G1870" i="3"/>
  <c r="H1870" i="3"/>
  <c r="I1870" i="3"/>
  <c r="J1870" i="3"/>
  <c r="K1870" i="3"/>
  <c r="L1870" i="3"/>
  <c r="A1871" i="3"/>
  <c r="B1871" i="3"/>
  <c r="C1871" i="3"/>
  <c r="D1871" i="3"/>
  <c r="E1871" i="3"/>
  <c r="F1871" i="3"/>
  <c r="G1871" i="3"/>
  <c r="H1871" i="3"/>
  <c r="I1871" i="3"/>
  <c r="J1871" i="3"/>
  <c r="K1871" i="3"/>
  <c r="L1871" i="3"/>
  <c r="A1872" i="3"/>
  <c r="B1872" i="3"/>
  <c r="C1872" i="3"/>
  <c r="D1872" i="3"/>
  <c r="E1872" i="3"/>
  <c r="F1872" i="3"/>
  <c r="G1872" i="3"/>
  <c r="H1872" i="3"/>
  <c r="I1872" i="3"/>
  <c r="J1872" i="3"/>
  <c r="K1872" i="3"/>
  <c r="L1872" i="3"/>
  <c r="A1873" i="3"/>
  <c r="B1873" i="3"/>
  <c r="C1873" i="3"/>
  <c r="D1873" i="3"/>
  <c r="E1873" i="3"/>
  <c r="F1873" i="3"/>
  <c r="G1873" i="3"/>
  <c r="H1873" i="3"/>
  <c r="I1873" i="3"/>
  <c r="J1873" i="3"/>
  <c r="K1873" i="3"/>
  <c r="L1873" i="3"/>
  <c r="A1874" i="3"/>
  <c r="B1874" i="3"/>
  <c r="C1874" i="3"/>
  <c r="D1874" i="3"/>
  <c r="E1874" i="3"/>
  <c r="F1874" i="3"/>
  <c r="G1874" i="3"/>
  <c r="H1874" i="3"/>
  <c r="I1874" i="3"/>
  <c r="J1874" i="3"/>
  <c r="K1874" i="3"/>
  <c r="L1874" i="3"/>
  <c r="A1875" i="3"/>
  <c r="B1875" i="3"/>
  <c r="C1875" i="3"/>
  <c r="D1875" i="3"/>
  <c r="E1875" i="3"/>
  <c r="F1875" i="3"/>
  <c r="G1875" i="3"/>
  <c r="H1875" i="3"/>
  <c r="I1875" i="3"/>
  <c r="J1875" i="3"/>
  <c r="K1875" i="3"/>
  <c r="L1875" i="3"/>
  <c r="A1876" i="3"/>
  <c r="B1876" i="3"/>
  <c r="C1876" i="3"/>
  <c r="D1876" i="3"/>
  <c r="E1876" i="3"/>
  <c r="F1876" i="3"/>
  <c r="G1876" i="3"/>
  <c r="H1876" i="3"/>
  <c r="I1876" i="3"/>
  <c r="J1876" i="3"/>
  <c r="K1876" i="3"/>
  <c r="L1876" i="3"/>
  <c r="A1877" i="3"/>
  <c r="B1877" i="3"/>
  <c r="C1877" i="3"/>
  <c r="D1877" i="3"/>
  <c r="E1877" i="3"/>
  <c r="F1877" i="3"/>
  <c r="G1877" i="3"/>
  <c r="H1877" i="3"/>
  <c r="I1877" i="3"/>
  <c r="J1877" i="3"/>
  <c r="K1877" i="3"/>
  <c r="L1877" i="3"/>
  <c r="A1878" i="3"/>
  <c r="B1878" i="3"/>
  <c r="C1878" i="3"/>
  <c r="D1878" i="3"/>
  <c r="E1878" i="3"/>
  <c r="F1878" i="3"/>
  <c r="G1878" i="3"/>
  <c r="H1878" i="3"/>
  <c r="I1878" i="3"/>
  <c r="J1878" i="3"/>
  <c r="K1878" i="3"/>
  <c r="L1878" i="3"/>
  <c r="A1879" i="3"/>
  <c r="B1879" i="3"/>
  <c r="C1879" i="3"/>
  <c r="D1879" i="3"/>
  <c r="E1879" i="3"/>
  <c r="F1879" i="3"/>
  <c r="G1879" i="3"/>
  <c r="H1879" i="3"/>
  <c r="I1879" i="3"/>
  <c r="J1879" i="3"/>
  <c r="K1879" i="3"/>
  <c r="L1879" i="3"/>
  <c r="A1880" i="3"/>
  <c r="B1880" i="3"/>
  <c r="C1880" i="3"/>
  <c r="D1880" i="3"/>
  <c r="E1880" i="3"/>
  <c r="F1880" i="3"/>
  <c r="G1880" i="3"/>
  <c r="H1880" i="3"/>
  <c r="I1880" i="3"/>
  <c r="J1880" i="3"/>
  <c r="K1880" i="3"/>
  <c r="L1880" i="3"/>
  <c r="A1881" i="3"/>
  <c r="B1881" i="3"/>
  <c r="C1881" i="3"/>
  <c r="D1881" i="3"/>
  <c r="E1881" i="3"/>
  <c r="F1881" i="3"/>
  <c r="G1881" i="3"/>
  <c r="H1881" i="3"/>
  <c r="I1881" i="3"/>
  <c r="J1881" i="3"/>
  <c r="K1881" i="3"/>
  <c r="L1881" i="3"/>
  <c r="A1882" i="3"/>
  <c r="B1882" i="3"/>
  <c r="C1882" i="3"/>
  <c r="D1882" i="3"/>
  <c r="E1882" i="3"/>
  <c r="F1882" i="3"/>
  <c r="G1882" i="3"/>
  <c r="H1882" i="3"/>
  <c r="I1882" i="3"/>
  <c r="J1882" i="3"/>
  <c r="K1882" i="3"/>
  <c r="L1882" i="3"/>
  <c r="A1883" i="3"/>
  <c r="B1883" i="3"/>
  <c r="C1883" i="3"/>
  <c r="D1883" i="3"/>
  <c r="E1883" i="3"/>
  <c r="F1883" i="3"/>
  <c r="G1883" i="3"/>
  <c r="H1883" i="3"/>
  <c r="I1883" i="3"/>
  <c r="J1883" i="3"/>
  <c r="K1883" i="3"/>
  <c r="L1883" i="3"/>
  <c r="A1884" i="3"/>
  <c r="B1884" i="3"/>
  <c r="C1884" i="3"/>
  <c r="D1884" i="3"/>
  <c r="E1884" i="3"/>
  <c r="F1884" i="3"/>
  <c r="G1884" i="3"/>
  <c r="H1884" i="3"/>
  <c r="I1884" i="3"/>
  <c r="J1884" i="3"/>
  <c r="K1884" i="3"/>
  <c r="L1884" i="3"/>
  <c r="A1885" i="3"/>
  <c r="B1885" i="3"/>
  <c r="C1885" i="3"/>
  <c r="D1885" i="3"/>
  <c r="E1885" i="3"/>
  <c r="F1885" i="3"/>
  <c r="G1885" i="3"/>
  <c r="H1885" i="3"/>
  <c r="I1885" i="3"/>
  <c r="J1885" i="3"/>
  <c r="K1885" i="3"/>
  <c r="L1885" i="3"/>
  <c r="A1886" i="3"/>
  <c r="B1886" i="3"/>
  <c r="C1886" i="3"/>
  <c r="D1886" i="3"/>
  <c r="E1886" i="3"/>
  <c r="F1886" i="3"/>
  <c r="G1886" i="3"/>
  <c r="H1886" i="3"/>
  <c r="I1886" i="3"/>
  <c r="J1886" i="3"/>
  <c r="K1886" i="3"/>
  <c r="L1886" i="3"/>
  <c r="A1887" i="3"/>
  <c r="B1887" i="3"/>
  <c r="C1887" i="3"/>
  <c r="D1887" i="3"/>
  <c r="E1887" i="3"/>
  <c r="F1887" i="3"/>
  <c r="G1887" i="3"/>
  <c r="H1887" i="3"/>
  <c r="I1887" i="3"/>
  <c r="J1887" i="3"/>
  <c r="K1887" i="3"/>
  <c r="L1887" i="3"/>
  <c r="A1888" i="3"/>
  <c r="B1888" i="3"/>
  <c r="C1888" i="3"/>
  <c r="D1888" i="3"/>
  <c r="E1888" i="3"/>
  <c r="F1888" i="3"/>
  <c r="G1888" i="3"/>
  <c r="H1888" i="3"/>
  <c r="I1888" i="3"/>
  <c r="J1888" i="3"/>
  <c r="K1888" i="3"/>
  <c r="L1888" i="3"/>
  <c r="A1889" i="3"/>
  <c r="B1889" i="3"/>
  <c r="C1889" i="3"/>
  <c r="D1889" i="3"/>
  <c r="E1889" i="3"/>
  <c r="F1889" i="3"/>
  <c r="G1889" i="3"/>
  <c r="H1889" i="3"/>
  <c r="I1889" i="3"/>
  <c r="J1889" i="3"/>
  <c r="K1889" i="3"/>
  <c r="L1889" i="3"/>
  <c r="A1890" i="3"/>
  <c r="B1890" i="3"/>
  <c r="C1890" i="3"/>
  <c r="D1890" i="3"/>
  <c r="E1890" i="3"/>
  <c r="F1890" i="3"/>
  <c r="G1890" i="3"/>
  <c r="H1890" i="3"/>
  <c r="I1890" i="3"/>
  <c r="J1890" i="3"/>
  <c r="K1890" i="3"/>
  <c r="L1890" i="3"/>
  <c r="A1891" i="3"/>
  <c r="B1891" i="3"/>
  <c r="C1891" i="3"/>
  <c r="D1891" i="3"/>
  <c r="E1891" i="3"/>
  <c r="F1891" i="3"/>
  <c r="G1891" i="3"/>
  <c r="H1891" i="3"/>
  <c r="I1891" i="3"/>
  <c r="J1891" i="3"/>
  <c r="K1891" i="3"/>
  <c r="L1891" i="3"/>
  <c r="A1892" i="3"/>
  <c r="B1892" i="3"/>
  <c r="C1892" i="3"/>
  <c r="D1892" i="3"/>
  <c r="E1892" i="3"/>
  <c r="F1892" i="3"/>
  <c r="G1892" i="3"/>
  <c r="H1892" i="3"/>
  <c r="I1892" i="3"/>
  <c r="J1892" i="3"/>
  <c r="K1892" i="3"/>
  <c r="L1892" i="3"/>
  <c r="A1893" i="3"/>
  <c r="B1893" i="3"/>
  <c r="C1893" i="3"/>
  <c r="D1893" i="3"/>
  <c r="E1893" i="3"/>
  <c r="F1893" i="3"/>
  <c r="G1893" i="3"/>
  <c r="H1893" i="3"/>
  <c r="I1893" i="3"/>
  <c r="J1893" i="3"/>
  <c r="K1893" i="3"/>
  <c r="L1893" i="3"/>
  <c r="A1894" i="3"/>
  <c r="B1894" i="3"/>
  <c r="C1894" i="3"/>
  <c r="D1894" i="3"/>
  <c r="E1894" i="3"/>
  <c r="F1894" i="3"/>
  <c r="G1894" i="3"/>
  <c r="H1894" i="3"/>
  <c r="I1894" i="3"/>
  <c r="J1894" i="3"/>
  <c r="K1894" i="3"/>
  <c r="L1894" i="3"/>
  <c r="A1895" i="3"/>
  <c r="B1895" i="3"/>
  <c r="C1895" i="3"/>
  <c r="D1895" i="3"/>
  <c r="E1895" i="3"/>
  <c r="F1895" i="3"/>
  <c r="G1895" i="3"/>
  <c r="H1895" i="3"/>
  <c r="I1895" i="3"/>
  <c r="J1895" i="3"/>
  <c r="K1895" i="3"/>
  <c r="L1895" i="3"/>
  <c r="A1896" i="3"/>
  <c r="B1896" i="3"/>
  <c r="C1896" i="3"/>
  <c r="D1896" i="3"/>
  <c r="E1896" i="3"/>
  <c r="F1896" i="3"/>
  <c r="G1896" i="3"/>
  <c r="H1896" i="3"/>
  <c r="I1896" i="3"/>
  <c r="J1896" i="3"/>
  <c r="K1896" i="3"/>
  <c r="L1896" i="3"/>
  <c r="A1897" i="3"/>
  <c r="B1897" i="3"/>
  <c r="C1897" i="3"/>
  <c r="D1897" i="3"/>
  <c r="E1897" i="3"/>
  <c r="F1897" i="3"/>
  <c r="G1897" i="3"/>
  <c r="H1897" i="3"/>
  <c r="I1897" i="3"/>
  <c r="J1897" i="3"/>
  <c r="K1897" i="3"/>
  <c r="L1897" i="3"/>
  <c r="A1898" i="3"/>
  <c r="B1898" i="3"/>
  <c r="C1898" i="3"/>
  <c r="D1898" i="3"/>
  <c r="E1898" i="3"/>
  <c r="F1898" i="3"/>
  <c r="G1898" i="3"/>
  <c r="H1898" i="3"/>
  <c r="I1898" i="3"/>
  <c r="J1898" i="3"/>
  <c r="K1898" i="3"/>
  <c r="L1898" i="3"/>
  <c r="A1899" i="3"/>
  <c r="B1899" i="3"/>
  <c r="C1899" i="3"/>
  <c r="D1899" i="3"/>
  <c r="E1899" i="3"/>
  <c r="F1899" i="3"/>
  <c r="G1899" i="3"/>
  <c r="H1899" i="3"/>
  <c r="I1899" i="3"/>
  <c r="J1899" i="3"/>
  <c r="K1899" i="3"/>
  <c r="L1899" i="3"/>
  <c r="A1900" i="3"/>
  <c r="B1900" i="3"/>
  <c r="C1900" i="3"/>
  <c r="D1900" i="3"/>
  <c r="E1900" i="3"/>
  <c r="F1900" i="3"/>
  <c r="G1900" i="3"/>
  <c r="H1900" i="3"/>
  <c r="I1900" i="3"/>
  <c r="J1900" i="3"/>
  <c r="K1900" i="3"/>
  <c r="L1900" i="3"/>
  <c r="A1901" i="3"/>
  <c r="B1901" i="3"/>
  <c r="C1901" i="3"/>
  <c r="D1901" i="3"/>
  <c r="E1901" i="3"/>
  <c r="F1901" i="3"/>
  <c r="G1901" i="3"/>
  <c r="H1901" i="3"/>
  <c r="I1901" i="3"/>
  <c r="J1901" i="3"/>
  <c r="K1901" i="3"/>
  <c r="L1901" i="3"/>
  <c r="A1902" i="3"/>
  <c r="B1902" i="3"/>
  <c r="C1902" i="3"/>
  <c r="D1902" i="3"/>
  <c r="E1902" i="3"/>
  <c r="F1902" i="3"/>
  <c r="G1902" i="3"/>
  <c r="H1902" i="3"/>
  <c r="I1902" i="3"/>
  <c r="J1902" i="3"/>
  <c r="K1902" i="3"/>
  <c r="L1902" i="3"/>
  <c r="A1903" i="3"/>
  <c r="B1903" i="3"/>
  <c r="C1903" i="3"/>
  <c r="D1903" i="3"/>
  <c r="E1903" i="3"/>
  <c r="F1903" i="3"/>
  <c r="G1903" i="3"/>
  <c r="H1903" i="3"/>
  <c r="I1903" i="3"/>
  <c r="J1903" i="3"/>
  <c r="K1903" i="3"/>
  <c r="L1903" i="3"/>
  <c r="A1904" i="3"/>
  <c r="B1904" i="3"/>
  <c r="C1904" i="3"/>
  <c r="D1904" i="3"/>
  <c r="E1904" i="3"/>
  <c r="F1904" i="3"/>
  <c r="G1904" i="3"/>
  <c r="H1904" i="3"/>
  <c r="I1904" i="3"/>
  <c r="J1904" i="3"/>
  <c r="K1904" i="3"/>
  <c r="L1904" i="3"/>
  <c r="A1905" i="3"/>
  <c r="B1905" i="3"/>
  <c r="C1905" i="3"/>
  <c r="D1905" i="3"/>
  <c r="E1905" i="3"/>
  <c r="F1905" i="3"/>
  <c r="G1905" i="3"/>
  <c r="H1905" i="3"/>
  <c r="I1905" i="3"/>
  <c r="J1905" i="3"/>
  <c r="K1905" i="3"/>
  <c r="L1905" i="3"/>
  <c r="A1906" i="3"/>
  <c r="B1906" i="3"/>
  <c r="C1906" i="3"/>
  <c r="D1906" i="3"/>
  <c r="E1906" i="3"/>
  <c r="F1906" i="3"/>
  <c r="G1906" i="3"/>
  <c r="H1906" i="3"/>
  <c r="I1906" i="3"/>
  <c r="J1906" i="3"/>
  <c r="K1906" i="3"/>
  <c r="L1906" i="3"/>
  <c r="A1907" i="3"/>
  <c r="B1907" i="3"/>
  <c r="C1907" i="3"/>
  <c r="D1907" i="3"/>
  <c r="E1907" i="3"/>
  <c r="F1907" i="3"/>
  <c r="G1907" i="3"/>
  <c r="H1907" i="3"/>
  <c r="I1907" i="3"/>
  <c r="J1907" i="3"/>
  <c r="K1907" i="3"/>
  <c r="L1907" i="3"/>
  <c r="A1908" i="3"/>
  <c r="B1908" i="3"/>
  <c r="C1908" i="3"/>
  <c r="D1908" i="3"/>
  <c r="E1908" i="3"/>
  <c r="F1908" i="3"/>
  <c r="G1908" i="3"/>
  <c r="H1908" i="3"/>
  <c r="I1908" i="3"/>
  <c r="J1908" i="3"/>
  <c r="K1908" i="3"/>
  <c r="L1908" i="3"/>
  <c r="A1909" i="3"/>
  <c r="B1909" i="3"/>
  <c r="C1909" i="3"/>
  <c r="D1909" i="3"/>
  <c r="E1909" i="3"/>
  <c r="F1909" i="3"/>
  <c r="G1909" i="3"/>
  <c r="H1909" i="3"/>
  <c r="I1909" i="3"/>
  <c r="J1909" i="3"/>
  <c r="K1909" i="3"/>
  <c r="L1909" i="3"/>
  <c r="A1910" i="3"/>
  <c r="B1910" i="3"/>
  <c r="C1910" i="3"/>
  <c r="D1910" i="3"/>
  <c r="E1910" i="3"/>
  <c r="F1910" i="3"/>
  <c r="G1910" i="3"/>
  <c r="H1910" i="3"/>
  <c r="I1910" i="3"/>
  <c r="J1910" i="3"/>
  <c r="K1910" i="3"/>
  <c r="L1910" i="3"/>
  <c r="A1911" i="3"/>
  <c r="B1911" i="3"/>
  <c r="C1911" i="3"/>
  <c r="D1911" i="3"/>
  <c r="E1911" i="3"/>
  <c r="F1911" i="3"/>
  <c r="G1911" i="3"/>
  <c r="H1911" i="3"/>
  <c r="I1911" i="3"/>
  <c r="J1911" i="3"/>
  <c r="K1911" i="3"/>
  <c r="L1911" i="3"/>
  <c r="A1912" i="3"/>
  <c r="B1912" i="3"/>
  <c r="C1912" i="3"/>
  <c r="D1912" i="3"/>
  <c r="E1912" i="3"/>
  <c r="F1912" i="3"/>
  <c r="G1912" i="3"/>
  <c r="H1912" i="3"/>
  <c r="I1912" i="3"/>
  <c r="J1912" i="3"/>
  <c r="K1912" i="3"/>
  <c r="L1912" i="3"/>
  <c r="A1913" i="3"/>
  <c r="B1913" i="3"/>
  <c r="C1913" i="3"/>
  <c r="D1913" i="3"/>
  <c r="E1913" i="3"/>
  <c r="F1913" i="3"/>
  <c r="G1913" i="3"/>
  <c r="H1913" i="3"/>
  <c r="I1913" i="3"/>
  <c r="J1913" i="3"/>
  <c r="K1913" i="3"/>
  <c r="L1913" i="3"/>
  <c r="A1914" i="3"/>
  <c r="B1914" i="3"/>
  <c r="C1914" i="3"/>
  <c r="D1914" i="3"/>
  <c r="E1914" i="3"/>
  <c r="F1914" i="3"/>
  <c r="G1914" i="3"/>
  <c r="H1914" i="3"/>
  <c r="I1914" i="3"/>
  <c r="J1914" i="3"/>
  <c r="K1914" i="3"/>
  <c r="L1914" i="3"/>
  <c r="A1915" i="3"/>
  <c r="B1915" i="3"/>
  <c r="C1915" i="3"/>
  <c r="D1915" i="3"/>
  <c r="E1915" i="3"/>
  <c r="F1915" i="3"/>
  <c r="G1915" i="3"/>
  <c r="H1915" i="3"/>
  <c r="I1915" i="3"/>
  <c r="J1915" i="3"/>
  <c r="K1915" i="3"/>
  <c r="L1915" i="3"/>
  <c r="A1916" i="3"/>
  <c r="B1916" i="3"/>
  <c r="C1916" i="3"/>
  <c r="D1916" i="3"/>
  <c r="E1916" i="3"/>
  <c r="F1916" i="3"/>
  <c r="G1916" i="3"/>
  <c r="H1916" i="3"/>
  <c r="I1916" i="3"/>
  <c r="J1916" i="3"/>
  <c r="K1916" i="3"/>
  <c r="L1916" i="3"/>
  <c r="A1917" i="3"/>
  <c r="B1917" i="3"/>
  <c r="C1917" i="3"/>
  <c r="D1917" i="3"/>
  <c r="E1917" i="3"/>
  <c r="F1917" i="3"/>
  <c r="G1917" i="3"/>
  <c r="H1917" i="3"/>
  <c r="I1917" i="3"/>
  <c r="J1917" i="3"/>
  <c r="K1917" i="3"/>
  <c r="L1917" i="3"/>
  <c r="A1918" i="3"/>
  <c r="B1918" i="3"/>
  <c r="C1918" i="3"/>
  <c r="D1918" i="3"/>
  <c r="E1918" i="3"/>
  <c r="F1918" i="3"/>
  <c r="G1918" i="3"/>
  <c r="H1918" i="3"/>
  <c r="I1918" i="3"/>
  <c r="J1918" i="3"/>
  <c r="K1918" i="3"/>
  <c r="L1918" i="3"/>
  <c r="A1919" i="3"/>
  <c r="B1919" i="3"/>
  <c r="C1919" i="3"/>
  <c r="D1919" i="3"/>
  <c r="E1919" i="3"/>
  <c r="F1919" i="3"/>
  <c r="G1919" i="3"/>
  <c r="H1919" i="3"/>
  <c r="I1919" i="3"/>
  <c r="J1919" i="3"/>
  <c r="K1919" i="3"/>
  <c r="L1919" i="3"/>
  <c r="A1920" i="3"/>
  <c r="B1920" i="3"/>
  <c r="C1920" i="3"/>
  <c r="D1920" i="3"/>
  <c r="E1920" i="3"/>
  <c r="F1920" i="3"/>
  <c r="G1920" i="3"/>
  <c r="H1920" i="3"/>
  <c r="I1920" i="3"/>
  <c r="J1920" i="3"/>
  <c r="K1920" i="3"/>
  <c r="L1920" i="3"/>
  <c r="A1921" i="3"/>
  <c r="B1921" i="3"/>
  <c r="C1921" i="3"/>
  <c r="D1921" i="3"/>
  <c r="E1921" i="3"/>
  <c r="F1921" i="3"/>
  <c r="G1921" i="3"/>
  <c r="H1921" i="3"/>
  <c r="I1921" i="3"/>
  <c r="J1921" i="3"/>
  <c r="K1921" i="3"/>
  <c r="L1921" i="3"/>
  <c r="A1922" i="3"/>
  <c r="B1922" i="3"/>
  <c r="C1922" i="3"/>
  <c r="D1922" i="3"/>
  <c r="E1922" i="3"/>
  <c r="F1922" i="3"/>
  <c r="G1922" i="3"/>
  <c r="H1922" i="3"/>
  <c r="I1922" i="3"/>
  <c r="J1922" i="3"/>
  <c r="K1922" i="3"/>
  <c r="L1922" i="3"/>
  <c r="A1923" i="3"/>
  <c r="B1923" i="3"/>
  <c r="C1923" i="3"/>
  <c r="D1923" i="3"/>
  <c r="E1923" i="3"/>
  <c r="F1923" i="3"/>
  <c r="G1923" i="3"/>
  <c r="H1923" i="3"/>
  <c r="I1923" i="3"/>
  <c r="J1923" i="3"/>
  <c r="K1923" i="3"/>
  <c r="L1923" i="3"/>
  <c r="A1924" i="3"/>
  <c r="B1924" i="3"/>
  <c r="C1924" i="3"/>
  <c r="D1924" i="3"/>
  <c r="E1924" i="3"/>
  <c r="F1924" i="3"/>
  <c r="G1924" i="3"/>
  <c r="H1924" i="3"/>
  <c r="I1924" i="3"/>
  <c r="J1924" i="3"/>
  <c r="K1924" i="3"/>
  <c r="L1924" i="3"/>
  <c r="A1925" i="3"/>
  <c r="B1925" i="3"/>
  <c r="C1925" i="3"/>
  <c r="D1925" i="3"/>
  <c r="E1925" i="3"/>
  <c r="F1925" i="3"/>
  <c r="G1925" i="3"/>
  <c r="H1925" i="3"/>
  <c r="I1925" i="3"/>
  <c r="J1925" i="3"/>
  <c r="K1925" i="3"/>
  <c r="L1925" i="3"/>
  <c r="A1926" i="3"/>
  <c r="B1926" i="3"/>
  <c r="C1926" i="3"/>
  <c r="D1926" i="3"/>
  <c r="E1926" i="3"/>
  <c r="F1926" i="3"/>
  <c r="G1926" i="3"/>
  <c r="H1926" i="3"/>
  <c r="I1926" i="3"/>
  <c r="J1926" i="3"/>
  <c r="K1926" i="3"/>
  <c r="L1926" i="3"/>
  <c r="A1927" i="3"/>
  <c r="B1927" i="3"/>
  <c r="C1927" i="3"/>
  <c r="D1927" i="3"/>
  <c r="E1927" i="3"/>
  <c r="F1927" i="3"/>
  <c r="G1927" i="3"/>
  <c r="H1927" i="3"/>
  <c r="I1927" i="3"/>
  <c r="J1927" i="3"/>
  <c r="K1927" i="3"/>
  <c r="L1927" i="3"/>
  <c r="A1928" i="3"/>
  <c r="B1928" i="3"/>
  <c r="C1928" i="3"/>
  <c r="D1928" i="3"/>
  <c r="E1928" i="3"/>
  <c r="F1928" i="3"/>
  <c r="G1928" i="3"/>
  <c r="H1928" i="3"/>
  <c r="I1928" i="3"/>
  <c r="J1928" i="3"/>
  <c r="K1928" i="3"/>
  <c r="L1928" i="3"/>
  <c r="A1929" i="3"/>
  <c r="B1929" i="3"/>
  <c r="C1929" i="3"/>
  <c r="D1929" i="3"/>
  <c r="E1929" i="3"/>
  <c r="F1929" i="3"/>
  <c r="G1929" i="3"/>
  <c r="H1929" i="3"/>
  <c r="I1929" i="3"/>
  <c r="J1929" i="3"/>
  <c r="K1929" i="3"/>
  <c r="L1929" i="3"/>
  <c r="A1930" i="3"/>
  <c r="B1930" i="3"/>
  <c r="C1930" i="3"/>
  <c r="D1930" i="3"/>
  <c r="E1930" i="3"/>
  <c r="F1930" i="3"/>
  <c r="G1930" i="3"/>
  <c r="H1930" i="3"/>
  <c r="I1930" i="3"/>
  <c r="J1930" i="3"/>
  <c r="K1930" i="3"/>
  <c r="L1930" i="3"/>
  <c r="A1931" i="3"/>
  <c r="B1931" i="3"/>
  <c r="C1931" i="3"/>
  <c r="D1931" i="3"/>
  <c r="E1931" i="3"/>
  <c r="F1931" i="3"/>
  <c r="G1931" i="3"/>
  <c r="H1931" i="3"/>
  <c r="I1931" i="3"/>
  <c r="J1931" i="3"/>
  <c r="K1931" i="3"/>
  <c r="L1931" i="3"/>
  <c r="A1932" i="3"/>
  <c r="B1932" i="3"/>
  <c r="C1932" i="3"/>
  <c r="D1932" i="3"/>
  <c r="E1932" i="3"/>
  <c r="F1932" i="3"/>
  <c r="G1932" i="3"/>
  <c r="H1932" i="3"/>
  <c r="I1932" i="3"/>
  <c r="J1932" i="3"/>
  <c r="K1932" i="3"/>
  <c r="L1932" i="3"/>
  <c r="A1933" i="3"/>
  <c r="B1933" i="3"/>
  <c r="C1933" i="3"/>
  <c r="D1933" i="3"/>
  <c r="E1933" i="3"/>
  <c r="F1933" i="3"/>
  <c r="G1933" i="3"/>
  <c r="H1933" i="3"/>
  <c r="I1933" i="3"/>
  <c r="J1933" i="3"/>
  <c r="K1933" i="3"/>
  <c r="L1933" i="3"/>
  <c r="A1934" i="3"/>
  <c r="B1934" i="3"/>
  <c r="C1934" i="3"/>
  <c r="D1934" i="3"/>
  <c r="E1934" i="3"/>
  <c r="F1934" i="3"/>
  <c r="G1934" i="3"/>
  <c r="H1934" i="3"/>
  <c r="I1934" i="3"/>
  <c r="J1934" i="3"/>
  <c r="K1934" i="3"/>
  <c r="L1934" i="3"/>
  <c r="A1935" i="3"/>
  <c r="B1935" i="3"/>
  <c r="C1935" i="3"/>
  <c r="D1935" i="3"/>
  <c r="E1935" i="3"/>
  <c r="F1935" i="3"/>
  <c r="G1935" i="3"/>
  <c r="H1935" i="3"/>
  <c r="I1935" i="3"/>
  <c r="J1935" i="3"/>
  <c r="K1935" i="3"/>
  <c r="L1935" i="3"/>
  <c r="A1936" i="3"/>
  <c r="B1936" i="3"/>
  <c r="C1936" i="3"/>
  <c r="D1936" i="3"/>
  <c r="E1936" i="3"/>
  <c r="F1936" i="3"/>
  <c r="G1936" i="3"/>
  <c r="H1936" i="3"/>
  <c r="I1936" i="3"/>
  <c r="J1936" i="3"/>
  <c r="K1936" i="3"/>
  <c r="L1936" i="3"/>
  <c r="A1937" i="3"/>
  <c r="B1937" i="3"/>
  <c r="C1937" i="3"/>
  <c r="D1937" i="3"/>
  <c r="E1937" i="3"/>
  <c r="F1937" i="3"/>
  <c r="G1937" i="3"/>
  <c r="H1937" i="3"/>
  <c r="I1937" i="3"/>
  <c r="J1937" i="3"/>
  <c r="K1937" i="3"/>
  <c r="L1937" i="3"/>
  <c r="A1938" i="3"/>
  <c r="B1938" i="3"/>
  <c r="C1938" i="3"/>
  <c r="D1938" i="3"/>
  <c r="E1938" i="3"/>
  <c r="F1938" i="3"/>
  <c r="G1938" i="3"/>
  <c r="H1938" i="3"/>
  <c r="I1938" i="3"/>
  <c r="J1938" i="3"/>
  <c r="K1938" i="3"/>
  <c r="L1938" i="3"/>
  <c r="A1939" i="3"/>
  <c r="B1939" i="3"/>
  <c r="C1939" i="3"/>
  <c r="D1939" i="3"/>
  <c r="E1939" i="3"/>
  <c r="F1939" i="3"/>
  <c r="G1939" i="3"/>
  <c r="H1939" i="3"/>
  <c r="I1939" i="3"/>
  <c r="J1939" i="3"/>
  <c r="K1939" i="3"/>
  <c r="L1939" i="3"/>
  <c r="A1940" i="3"/>
  <c r="B1940" i="3"/>
  <c r="C1940" i="3"/>
  <c r="D1940" i="3"/>
  <c r="E1940" i="3"/>
  <c r="F1940" i="3"/>
  <c r="G1940" i="3"/>
  <c r="H1940" i="3"/>
  <c r="I1940" i="3"/>
  <c r="J1940" i="3"/>
  <c r="K1940" i="3"/>
  <c r="L1940" i="3"/>
  <c r="A1941" i="3"/>
  <c r="B1941" i="3"/>
  <c r="C1941" i="3"/>
  <c r="D1941" i="3"/>
  <c r="E1941" i="3"/>
  <c r="F1941" i="3"/>
  <c r="G1941" i="3"/>
  <c r="H1941" i="3"/>
  <c r="I1941" i="3"/>
  <c r="J1941" i="3"/>
  <c r="K1941" i="3"/>
  <c r="L1941" i="3"/>
  <c r="A1942" i="3"/>
  <c r="B1942" i="3"/>
  <c r="C1942" i="3"/>
  <c r="D1942" i="3"/>
  <c r="E1942" i="3"/>
  <c r="F1942" i="3"/>
  <c r="G1942" i="3"/>
  <c r="H1942" i="3"/>
  <c r="I1942" i="3"/>
  <c r="J1942" i="3"/>
  <c r="K1942" i="3"/>
  <c r="L1942" i="3"/>
  <c r="A1943" i="3"/>
  <c r="B1943" i="3"/>
  <c r="C1943" i="3"/>
  <c r="D1943" i="3"/>
  <c r="E1943" i="3"/>
  <c r="F1943" i="3"/>
  <c r="G1943" i="3"/>
  <c r="H1943" i="3"/>
  <c r="I1943" i="3"/>
  <c r="J1943" i="3"/>
  <c r="K1943" i="3"/>
  <c r="L1943" i="3"/>
  <c r="A1944" i="3"/>
  <c r="B1944" i="3"/>
  <c r="C1944" i="3"/>
  <c r="D1944" i="3"/>
  <c r="E1944" i="3"/>
  <c r="F1944" i="3"/>
  <c r="G1944" i="3"/>
  <c r="H1944" i="3"/>
  <c r="I1944" i="3"/>
  <c r="J1944" i="3"/>
  <c r="K1944" i="3"/>
  <c r="L1944" i="3"/>
  <c r="A1945" i="3"/>
  <c r="B1945" i="3"/>
  <c r="C1945" i="3"/>
  <c r="D1945" i="3"/>
  <c r="E1945" i="3"/>
  <c r="F1945" i="3"/>
  <c r="G1945" i="3"/>
  <c r="H1945" i="3"/>
  <c r="I1945" i="3"/>
  <c r="J1945" i="3"/>
  <c r="K1945" i="3"/>
  <c r="L1945" i="3"/>
  <c r="A1946" i="3"/>
  <c r="B1946" i="3"/>
  <c r="C1946" i="3"/>
  <c r="D1946" i="3"/>
  <c r="E1946" i="3"/>
  <c r="F1946" i="3"/>
  <c r="G1946" i="3"/>
  <c r="H1946" i="3"/>
  <c r="I1946" i="3"/>
  <c r="J1946" i="3"/>
  <c r="K1946" i="3"/>
  <c r="L1946" i="3"/>
  <c r="A1947" i="3"/>
  <c r="B1947" i="3"/>
  <c r="C1947" i="3"/>
  <c r="D1947" i="3"/>
  <c r="E1947" i="3"/>
  <c r="F1947" i="3"/>
  <c r="G1947" i="3"/>
  <c r="H1947" i="3"/>
  <c r="I1947" i="3"/>
  <c r="J1947" i="3"/>
  <c r="K1947" i="3"/>
  <c r="L1947" i="3"/>
  <c r="A1948" i="3"/>
  <c r="B1948" i="3"/>
  <c r="C1948" i="3"/>
  <c r="D1948" i="3"/>
  <c r="E1948" i="3"/>
  <c r="F1948" i="3"/>
  <c r="G1948" i="3"/>
  <c r="H1948" i="3"/>
  <c r="I1948" i="3"/>
  <c r="J1948" i="3"/>
  <c r="K1948" i="3"/>
  <c r="L1948" i="3"/>
  <c r="A1949" i="3"/>
  <c r="B1949" i="3"/>
  <c r="C1949" i="3"/>
  <c r="D1949" i="3"/>
  <c r="E1949" i="3"/>
  <c r="F1949" i="3"/>
  <c r="G1949" i="3"/>
  <c r="H1949" i="3"/>
  <c r="I1949" i="3"/>
  <c r="J1949" i="3"/>
  <c r="K1949" i="3"/>
  <c r="L1949" i="3"/>
  <c r="A1950" i="3"/>
  <c r="B1950" i="3"/>
  <c r="C1950" i="3"/>
  <c r="D1950" i="3"/>
  <c r="E1950" i="3"/>
  <c r="F1950" i="3"/>
  <c r="G1950" i="3"/>
  <c r="H1950" i="3"/>
  <c r="I1950" i="3"/>
  <c r="J1950" i="3"/>
  <c r="K1950" i="3"/>
  <c r="L1950" i="3"/>
  <c r="A1951" i="3"/>
  <c r="B1951" i="3"/>
  <c r="C1951" i="3"/>
  <c r="D1951" i="3"/>
  <c r="E1951" i="3"/>
  <c r="F1951" i="3"/>
  <c r="G1951" i="3"/>
  <c r="H1951" i="3"/>
  <c r="I1951" i="3"/>
  <c r="J1951" i="3"/>
  <c r="K1951" i="3"/>
  <c r="L1951" i="3"/>
  <c r="A1952" i="3"/>
  <c r="B1952" i="3"/>
  <c r="C1952" i="3"/>
  <c r="D1952" i="3"/>
  <c r="E1952" i="3"/>
  <c r="F1952" i="3"/>
  <c r="G1952" i="3"/>
  <c r="H1952" i="3"/>
  <c r="I1952" i="3"/>
  <c r="J1952" i="3"/>
  <c r="K1952" i="3"/>
  <c r="L1952" i="3"/>
  <c r="A1953" i="3"/>
  <c r="B1953" i="3"/>
  <c r="C1953" i="3"/>
  <c r="D1953" i="3"/>
  <c r="E1953" i="3"/>
  <c r="F1953" i="3"/>
  <c r="G1953" i="3"/>
  <c r="H1953" i="3"/>
  <c r="I1953" i="3"/>
  <c r="J1953" i="3"/>
  <c r="K1953" i="3"/>
  <c r="L1953" i="3"/>
  <c r="A1954" i="3"/>
  <c r="B1954" i="3"/>
  <c r="C1954" i="3"/>
  <c r="D1954" i="3"/>
  <c r="E1954" i="3"/>
  <c r="F1954" i="3"/>
  <c r="G1954" i="3"/>
  <c r="H1954" i="3"/>
  <c r="I1954" i="3"/>
  <c r="J1954" i="3"/>
  <c r="K1954" i="3"/>
  <c r="L1954" i="3"/>
  <c r="A1955" i="3"/>
  <c r="B1955" i="3"/>
  <c r="C1955" i="3"/>
  <c r="D1955" i="3"/>
  <c r="E1955" i="3"/>
  <c r="F1955" i="3"/>
  <c r="G1955" i="3"/>
  <c r="H1955" i="3"/>
  <c r="I1955" i="3"/>
  <c r="J1955" i="3"/>
  <c r="K1955" i="3"/>
  <c r="L1955" i="3"/>
  <c r="A1956" i="3"/>
  <c r="B1956" i="3"/>
  <c r="C1956" i="3"/>
  <c r="D1956" i="3"/>
  <c r="E1956" i="3"/>
  <c r="F1956" i="3"/>
  <c r="G1956" i="3"/>
  <c r="H1956" i="3"/>
  <c r="I1956" i="3"/>
  <c r="J1956" i="3"/>
  <c r="K1956" i="3"/>
  <c r="L1956" i="3"/>
  <c r="A1957" i="3"/>
  <c r="B1957" i="3"/>
  <c r="C1957" i="3"/>
  <c r="D1957" i="3"/>
  <c r="E1957" i="3"/>
  <c r="F1957" i="3"/>
  <c r="G1957" i="3"/>
  <c r="H1957" i="3"/>
  <c r="I1957" i="3"/>
  <c r="J1957" i="3"/>
  <c r="K1957" i="3"/>
  <c r="L1957" i="3"/>
  <c r="A1958" i="3"/>
  <c r="B1958" i="3"/>
  <c r="C1958" i="3"/>
  <c r="D1958" i="3"/>
  <c r="E1958" i="3"/>
  <c r="F1958" i="3"/>
  <c r="G1958" i="3"/>
  <c r="H1958" i="3"/>
  <c r="I1958" i="3"/>
  <c r="J1958" i="3"/>
  <c r="K1958" i="3"/>
  <c r="L1958" i="3"/>
  <c r="A1959" i="3"/>
  <c r="B1959" i="3"/>
  <c r="C1959" i="3"/>
  <c r="D1959" i="3"/>
  <c r="E1959" i="3"/>
  <c r="F1959" i="3"/>
  <c r="G1959" i="3"/>
  <c r="H1959" i="3"/>
  <c r="I1959" i="3"/>
  <c r="J1959" i="3"/>
  <c r="K1959" i="3"/>
  <c r="L1959" i="3"/>
  <c r="A1960" i="3"/>
  <c r="B1960" i="3"/>
  <c r="C1960" i="3"/>
  <c r="D1960" i="3"/>
  <c r="E1960" i="3"/>
  <c r="F1960" i="3"/>
  <c r="G1960" i="3"/>
  <c r="H1960" i="3"/>
  <c r="I1960" i="3"/>
  <c r="J1960" i="3"/>
  <c r="K1960" i="3"/>
  <c r="L1960" i="3"/>
  <c r="A1961" i="3"/>
  <c r="B1961" i="3"/>
  <c r="C1961" i="3"/>
  <c r="D1961" i="3"/>
  <c r="E1961" i="3"/>
  <c r="F1961" i="3"/>
  <c r="G1961" i="3"/>
  <c r="H1961" i="3"/>
  <c r="I1961" i="3"/>
  <c r="J1961" i="3"/>
  <c r="K1961" i="3"/>
  <c r="L1961" i="3"/>
  <c r="A1962" i="3"/>
  <c r="B1962" i="3"/>
  <c r="C1962" i="3"/>
  <c r="D1962" i="3"/>
  <c r="E1962" i="3"/>
  <c r="F1962" i="3"/>
  <c r="G1962" i="3"/>
  <c r="H1962" i="3"/>
  <c r="I1962" i="3"/>
  <c r="J1962" i="3"/>
  <c r="K1962" i="3"/>
  <c r="L1962" i="3"/>
  <c r="A1963" i="3"/>
  <c r="B1963" i="3"/>
  <c r="C1963" i="3"/>
  <c r="D1963" i="3"/>
  <c r="E1963" i="3"/>
  <c r="F1963" i="3"/>
  <c r="G1963" i="3"/>
  <c r="H1963" i="3"/>
  <c r="I1963" i="3"/>
  <c r="J1963" i="3"/>
  <c r="K1963" i="3"/>
  <c r="L1963" i="3"/>
  <c r="A1964" i="3"/>
  <c r="B1964" i="3"/>
  <c r="C1964" i="3"/>
  <c r="D1964" i="3"/>
  <c r="E1964" i="3"/>
  <c r="F1964" i="3"/>
  <c r="G1964" i="3"/>
  <c r="H1964" i="3"/>
  <c r="I1964" i="3"/>
  <c r="J1964" i="3"/>
  <c r="K1964" i="3"/>
  <c r="L1964" i="3"/>
  <c r="A1965" i="3"/>
  <c r="B1965" i="3"/>
  <c r="C1965" i="3"/>
  <c r="D1965" i="3"/>
  <c r="E1965" i="3"/>
  <c r="F1965" i="3"/>
  <c r="G1965" i="3"/>
  <c r="H1965" i="3"/>
  <c r="I1965" i="3"/>
  <c r="J1965" i="3"/>
  <c r="K1965" i="3"/>
  <c r="L1965" i="3"/>
  <c r="A1966" i="3"/>
  <c r="B1966" i="3"/>
  <c r="C1966" i="3"/>
  <c r="D1966" i="3"/>
  <c r="E1966" i="3"/>
  <c r="F1966" i="3"/>
  <c r="G1966" i="3"/>
  <c r="H1966" i="3"/>
  <c r="I1966" i="3"/>
  <c r="J1966" i="3"/>
  <c r="K1966" i="3"/>
  <c r="L1966" i="3"/>
  <c r="A1967" i="3"/>
  <c r="B1967" i="3"/>
  <c r="C1967" i="3"/>
  <c r="D1967" i="3"/>
  <c r="E1967" i="3"/>
  <c r="F1967" i="3"/>
  <c r="G1967" i="3"/>
  <c r="H1967" i="3"/>
  <c r="I1967" i="3"/>
  <c r="J1967" i="3"/>
  <c r="K1967" i="3"/>
  <c r="L1967" i="3"/>
  <c r="A1968" i="3"/>
  <c r="B1968" i="3"/>
  <c r="C1968" i="3"/>
  <c r="D1968" i="3"/>
  <c r="E1968" i="3"/>
  <c r="F1968" i="3"/>
  <c r="G1968" i="3"/>
  <c r="H1968" i="3"/>
  <c r="I1968" i="3"/>
  <c r="J1968" i="3"/>
  <c r="K1968" i="3"/>
  <c r="L1968" i="3"/>
  <c r="A1969" i="3"/>
  <c r="B1969" i="3"/>
  <c r="C1969" i="3"/>
  <c r="D1969" i="3"/>
  <c r="E1969" i="3"/>
  <c r="F1969" i="3"/>
  <c r="G1969" i="3"/>
  <c r="H1969" i="3"/>
  <c r="I1969" i="3"/>
  <c r="J1969" i="3"/>
  <c r="K1969" i="3"/>
  <c r="L1969" i="3"/>
  <c r="A1970" i="3"/>
  <c r="B1970" i="3"/>
  <c r="C1970" i="3"/>
  <c r="D1970" i="3"/>
  <c r="E1970" i="3"/>
  <c r="F1970" i="3"/>
  <c r="G1970" i="3"/>
  <c r="H1970" i="3"/>
  <c r="I1970" i="3"/>
  <c r="J1970" i="3"/>
  <c r="K1970" i="3"/>
  <c r="L1970" i="3"/>
  <c r="A1971" i="3"/>
  <c r="B1971" i="3"/>
  <c r="C1971" i="3"/>
  <c r="D1971" i="3"/>
  <c r="E1971" i="3"/>
  <c r="F1971" i="3"/>
  <c r="G1971" i="3"/>
  <c r="H1971" i="3"/>
  <c r="I1971" i="3"/>
  <c r="J1971" i="3"/>
  <c r="K1971" i="3"/>
  <c r="L1971" i="3"/>
  <c r="A1972" i="3"/>
  <c r="B1972" i="3"/>
  <c r="C1972" i="3"/>
  <c r="D1972" i="3"/>
  <c r="E1972" i="3"/>
  <c r="F1972" i="3"/>
  <c r="G1972" i="3"/>
  <c r="H1972" i="3"/>
  <c r="I1972" i="3"/>
  <c r="J1972" i="3"/>
  <c r="K1972" i="3"/>
  <c r="L1972" i="3"/>
  <c r="A1973" i="3"/>
  <c r="B1973" i="3"/>
  <c r="C1973" i="3"/>
  <c r="D1973" i="3"/>
  <c r="E1973" i="3"/>
  <c r="F1973" i="3"/>
  <c r="G1973" i="3"/>
  <c r="H1973" i="3"/>
  <c r="I1973" i="3"/>
  <c r="J1973" i="3"/>
  <c r="K1973" i="3"/>
  <c r="L1973" i="3"/>
  <c r="A1974" i="3"/>
  <c r="B1974" i="3"/>
  <c r="C1974" i="3"/>
  <c r="D1974" i="3"/>
  <c r="E1974" i="3"/>
  <c r="F1974" i="3"/>
  <c r="G1974" i="3"/>
  <c r="H1974" i="3"/>
  <c r="I1974" i="3"/>
  <c r="J1974" i="3"/>
  <c r="K1974" i="3"/>
  <c r="L1974" i="3"/>
  <c r="A1975" i="3"/>
  <c r="B1975" i="3"/>
  <c r="C1975" i="3"/>
  <c r="D1975" i="3"/>
  <c r="E1975" i="3"/>
  <c r="F1975" i="3"/>
  <c r="G1975" i="3"/>
  <c r="H1975" i="3"/>
  <c r="I1975" i="3"/>
  <c r="J1975" i="3"/>
  <c r="K1975" i="3"/>
  <c r="L1975" i="3"/>
  <c r="A1976" i="3"/>
  <c r="B1976" i="3"/>
  <c r="C1976" i="3"/>
  <c r="D1976" i="3"/>
  <c r="E1976" i="3"/>
  <c r="F1976" i="3"/>
  <c r="G1976" i="3"/>
  <c r="H1976" i="3"/>
  <c r="I1976" i="3"/>
  <c r="J1976" i="3"/>
  <c r="K1976" i="3"/>
  <c r="L1976" i="3"/>
  <c r="A1977" i="3"/>
  <c r="B1977" i="3"/>
  <c r="C1977" i="3"/>
  <c r="D1977" i="3"/>
  <c r="E1977" i="3"/>
  <c r="F1977" i="3"/>
  <c r="G1977" i="3"/>
  <c r="H1977" i="3"/>
  <c r="I1977" i="3"/>
  <c r="J1977" i="3"/>
  <c r="K1977" i="3"/>
  <c r="L1977" i="3"/>
  <c r="A1978" i="3"/>
  <c r="B1978" i="3"/>
  <c r="C1978" i="3"/>
  <c r="D1978" i="3"/>
  <c r="E1978" i="3"/>
  <c r="F1978" i="3"/>
  <c r="G1978" i="3"/>
  <c r="H1978" i="3"/>
  <c r="I1978" i="3"/>
  <c r="J1978" i="3"/>
  <c r="K1978" i="3"/>
  <c r="L1978" i="3"/>
  <c r="A1979" i="3"/>
  <c r="B1979" i="3"/>
  <c r="C1979" i="3"/>
  <c r="D1979" i="3"/>
  <c r="E1979" i="3"/>
  <c r="F1979" i="3"/>
  <c r="G1979" i="3"/>
  <c r="H1979" i="3"/>
  <c r="I1979" i="3"/>
  <c r="J1979" i="3"/>
  <c r="K1979" i="3"/>
  <c r="L1979" i="3"/>
  <c r="A1980" i="3"/>
  <c r="B1980" i="3"/>
  <c r="C1980" i="3"/>
  <c r="D1980" i="3"/>
  <c r="E1980" i="3"/>
  <c r="F1980" i="3"/>
  <c r="G1980" i="3"/>
  <c r="H1980" i="3"/>
  <c r="I1980" i="3"/>
  <c r="J1980" i="3"/>
  <c r="K1980" i="3"/>
  <c r="L1980" i="3"/>
  <c r="A1981" i="3"/>
  <c r="B1981" i="3"/>
  <c r="C1981" i="3"/>
  <c r="D1981" i="3"/>
  <c r="E1981" i="3"/>
  <c r="F1981" i="3"/>
  <c r="G1981" i="3"/>
  <c r="H1981" i="3"/>
  <c r="I1981" i="3"/>
  <c r="J1981" i="3"/>
  <c r="K1981" i="3"/>
  <c r="L1981" i="3"/>
  <c r="A1982" i="3"/>
  <c r="B1982" i="3"/>
  <c r="C1982" i="3"/>
  <c r="D1982" i="3"/>
  <c r="E1982" i="3"/>
  <c r="F1982" i="3"/>
  <c r="G1982" i="3"/>
  <c r="H1982" i="3"/>
  <c r="I1982" i="3"/>
  <c r="J1982" i="3"/>
  <c r="K1982" i="3"/>
  <c r="L1982" i="3"/>
  <c r="A1983" i="3"/>
  <c r="B1983" i="3"/>
  <c r="C1983" i="3"/>
  <c r="D1983" i="3"/>
  <c r="E1983" i="3"/>
  <c r="F1983" i="3"/>
  <c r="G1983" i="3"/>
  <c r="H1983" i="3"/>
  <c r="I1983" i="3"/>
  <c r="J1983" i="3"/>
  <c r="K1983" i="3"/>
  <c r="L1983" i="3"/>
  <c r="A1984" i="3"/>
  <c r="B1984" i="3"/>
  <c r="C1984" i="3"/>
  <c r="D1984" i="3"/>
  <c r="E1984" i="3"/>
  <c r="F1984" i="3"/>
  <c r="G1984" i="3"/>
  <c r="H1984" i="3"/>
  <c r="I1984" i="3"/>
  <c r="J1984" i="3"/>
  <c r="K1984" i="3"/>
  <c r="L1984" i="3"/>
  <c r="A1985" i="3"/>
  <c r="B1985" i="3"/>
  <c r="C1985" i="3"/>
  <c r="D1985" i="3"/>
  <c r="E1985" i="3"/>
  <c r="F1985" i="3"/>
  <c r="G1985" i="3"/>
  <c r="H1985" i="3"/>
  <c r="I1985" i="3"/>
  <c r="J1985" i="3"/>
  <c r="K1985" i="3"/>
  <c r="L1985" i="3"/>
  <c r="A1986" i="3"/>
  <c r="B1986" i="3"/>
  <c r="C1986" i="3"/>
  <c r="D1986" i="3"/>
  <c r="E1986" i="3"/>
  <c r="F1986" i="3"/>
  <c r="G1986" i="3"/>
  <c r="H1986" i="3"/>
  <c r="I1986" i="3"/>
  <c r="J1986" i="3"/>
  <c r="K1986" i="3"/>
  <c r="L1986" i="3"/>
  <c r="A1987" i="3"/>
  <c r="B1987" i="3"/>
  <c r="C1987" i="3"/>
  <c r="D1987" i="3"/>
  <c r="E1987" i="3"/>
  <c r="F1987" i="3"/>
  <c r="G1987" i="3"/>
  <c r="H1987" i="3"/>
  <c r="I1987" i="3"/>
  <c r="J1987" i="3"/>
  <c r="K1987" i="3"/>
  <c r="L1987" i="3"/>
  <c r="A1988" i="3"/>
  <c r="B1988" i="3"/>
  <c r="C1988" i="3"/>
  <c r="D1988" i="3"/>
  <c r="E1988" i="3"/>
  <c r="F1988" i="3"/>
  <c r="G1988" i="3"/>
  <c r="H1988" i="3"/>
  <c r="I1988" i="3"/>
  <c r="J1988" i="3"/>
  <c r="K1988" i="3"/>
  <c r="L1988" i="3"/>
  <c r="A1989" i="3"/>
  <c r="B1989" i="3"/>
  <c r="C1989" i="3"/>
  <c r="D1989" i="3"/>
  <c r="E1989" i="3"/>
  <c r="F1989" i="3"/>
  <c r="G1989" i="3"/>
  <c r="H1989" i="3"/>
  <c r="I1989" i="3"/>
  <c r="J1989" i="3"/>
  <c r="K1989" i="3"/>
  <c r="L1989" i="3"/>
  <c r="A1990" i="3"/>
  <c r="B1990" i="3"/>
  <c r="C1990" i="3"/>
  <c r="D1990" i="3"/>
  <c r="E1990" i="3"/>
  <c r="F1990" i="3"/>
  <c r="G1990" i="3"/>
  <c r="H1990" i="3"/>
  <c r="I1990" i="3"/>
  <c r="J1990" i="3"/>
  <c r="K1990" i="3"/>
  <c r="L1990" i="3"/>
  <c r="A1991" i="3"/>
  <c r="B1991" i="3"/>
  <c r="C1991" i="3"/>
  <c r="D1991" i="3"/>
  <c r="E1991" i="3"/>
  <c r="F1991" i="3"/>
  <c r="G1991" i="3"/>
  <c r="H1991" i="3"/>
  <c r="I1991" i="3"/>
  <c r="J1991" i="3"/>
  <c r="K1991" i="3"/>
  <c r="L1991" i="3"/>
  <c r="A1992" i="3"/>
  <c r="B1992" i="3"/>
  <c r="C1992" i="3"/>
  <c r="D1992" i="3"/>
  <c r="E1992" i="3"/>
  <c r="F1992" i="3"/>
  <c r="G1992" i="3"/>
  <c r="H1992" i="3"/>
  <c r="I1992" i="3"/>
  <c r="J1992" i="3"/>
  <c r="K1992" i="3"/>
  <c r="L1992" i="3"/>
  <c r="A1993" i="3"/>
  <c r="B1993" i="3"/>
  <c r="C1993" i="3"/>
  <c r="D1993" i="3"/>
  <c r="E1993" i="3"/>
  <c r="F1993" i="3"/>
  <c r="G1993" i="3"/>
  <c r="H1993" i="3"/>
  <c r="I1993" i="3"/>
  <c r="J1993" i="3"/>
  <c r="K1993" i="3"/>
  <c r="L1993" i="3"/>
  <c r="A1994" i="3"/>
  <c r="B1994" i="3"/>
  <c r="C1994" i="3"/>
  <c r="D1994" i="3"/>
  <c r="E1994" i="3"/>
  <c r="F1994" i="3"/>
  <c r="G1994" i="3"/>
  <c r="H1994" i="3"/>
  <c r="I1994" i="3"/>
  <c r="J1994" i="3"/>
  <c r="K1994" i="3"/>
  <c r="L1994" i="3"/>
  <c r="A1995" i="3"/>
  <c r="B1995" i="3"/>
  <c r="C1995" i="3"/>
  <c r="D1995" i="3"/>
  <c r="E1995" i="3"/>
  <c r="F1995" i="3"/>
  <c r="G1995" i="3"/>
  <c r="H1995" i="3"/>
  <c r="I1995" i="3"/>
  <c r="J1995" i="3"/>
  <c r="K1995" i="3"/>
  <c r="L1995" i="3"/>
  <c r="A1996" i="3"/>
  <c r="B1996" i="3"/>
  <c r="C1996" i="3"/>
  <c r="D1996" i="3"/>
  <c r="E1996" i="3"/>
  <c r="F1996" i="3"/>
  <c r="G1996" i="3"/>
  <c r="H1996" i="3"/>
  <c r="I1996" i="3"/>
  <c r="J1996" i="3"/>
  <c r="K1996" i="3"/>
  <c r="L1996" i="3"/>
  <c r="A1997" i="3"/>
  <c r="B1997" i="3"/>
  <c r="C1997" i="3"/>
  <c r="D1997" i="3"/>
  <c r="E1997" i="3"/>
  <c r="F1997" i="3"/>
  <c r="G1997" i="3"/>
  <c r="H1997" i="3"/>
  <c r="I1997" i="3"/>
  <c r="J1997" i="3"/>
  <c r="K1997" i="3"/>
  <c r="L1997" i="3"/>
  <c r="A1998" i="3"/>
  <c r="B1998" i="3"/>
  <c r="C1998" i="3"/>
  <c r="D1998" i="3"/>
  <c r="E1998" i="3"/>
  <c r="F1998" i="3"/>
  <c r="G1998" i="3"/>
  <c r="H1998" i="3"/>
  <c r="I1998" i="3"/>
  <c r="J1998" i="3"/>
  <c r="K1998" i="3"/>
  <c r="L1998" i="3"/>
  <c r="A1999" i="3"/>
  <c r="B1999" i="3"/>
  <c r="C1999" i="3"/>
  <c r="D1999" i="3"/>
  <c r="E1999" i="3"/>
  <c r="F1999" i="3"/>
  <c r="G1999" i="3"/>
  <c r="H1999" i="3"/>
  <c r="I1999" i="3"/>
  <c r="J1999" i="3"/>
  <c r="K1999" i="3"/>
  <c r="L1999" i="3"/>
  <c r="A2000" i="3"/>
  <c r="B2000" i="3"/>
  <c r="C2000" i="3"/>
  <c r="D2000" i="3"/>
  <c r="E2000" i="3"/>
  <c r="F2000" i="3"/>
  <c r="G2000" i="3"/>
  <c r="H2000" i="3"/>
  <c r="I2000" i="3"/>
  <c r="J2000" i="3"/>
  <c r="K2000" i="3"/>
  <c r="L2000" i="3"/>
  <c r="A2001" i="3"/>
  <c r="B2001" i="3"/>
  <c r="C2001" i="3"/>
  <c r="D2001" i="3"/>
  <c r="E2001" i="3"/>
  <c r="F2001" i="3"/>
  <c r="G2001" i="3"/>
  <c r="H2001" i="3"/>
  <c r="I2001" i="3"/>
  <c r="J2001" i="3"/>
  <c r="K2001" i="3"/>
  <c r="L2001" i="3"/>
  <c r="A2002" i="3"/>
  <c r="B2002" i="3"/>
  <c r="C2002" i="3"/>
  <c r="D2002" i="3"/>
  <c r="E2002" i="3"/>
  <c r="F2002" i="3"/>
  <c r="G2002" i="3"/>
  <c r="H2002" i="3"/>
  <c r="I2002" i="3"/>
  <c r="J2002" i="3"/>
  <c r="K2002" i="3"/>
  <c r="L2002" i="3"/>
  <c r="A2003" i="3"/>
  <c r="B2003" i="3"/>
  <c r="C2003" i="3"/>
  <c r="D2003" i="3"/>
  <c r="E2003" i="3"/>
  <c r="F2003" i="3"/>
  <c r="G2003" i="3"/>
  <c r="H2003" i="3"/>
  <c r="I2003" i="3"/>
  <c r="J2003" i="3"/>
  <c r="K2003" i="3"/>
  <c r="L2003" i="3"/>
  <c r="A2004" i="3"/>
  <c r="B2004" i="3"/>
  <c r="C2004" i="3"/>
  <c r="D2004" i="3"/>
  <c r="E2004" i="3"/>
  <c r="F2004" i="3"/>
  <c r="G2004" i="3"/>
  <c r="H2004" i="3"/>
  <c r="I2004" i="3"/>
  <c r="J2004" i="3"/>
  <c r="K2004" i="3"/>
  <c r="L2004" i="3"/>
  <c r="A2005" i="3"/>
  <c r="B2005" i="3"/>
  <c r="C2005" i="3"/>
  <c r="D2005" i="3"/>
  <c r="E2005" i="3"/>
  <c r="F2005" i="3"/>
  <c r="G2005" i="3"/>
  <c r="H2005" i="3"/>
  <c r="I2005" i="3"/>
  <c r="J2005" i="3"/>
  <c r="K2005" i="3"/>
  <c r="L2005" i="3"/>
  <c r="A2006" i="3"/>
  <c r="B2006" i="3"/>
  <c r="C2006" i="3"/>
  <c r="D2006" i="3"/>
  <c r="E2006" i="3"/>
  <c r="F2006" i="3"/>
  <c r="G2006" i="3"/>
  <c r="H2006" i="3"/>
  <c r="I2006" i="3"/>
  <c r="J2006" i="3"/>
  <c r="K2006" i="3"/>
  <c r="L2006" i="3"/>
  <c r="A2007" i="3"/>
  <c r="B2007" i="3"/>
  <c r="C2007" i="3"/>
  <c r="D2007" i="3"/>
  <c r="E2007" i="3"/>
  <c r="F2007" i="3"/>
  <c r="G2007" i="3"/>
  <c r="H2007" i="3"/>
  <c r="I2007" i="3"/>
  <c r="J2007" i="3"/>
  <c r="K2007" i="3"/>
  <c r="L2007" i="3"/>
  <c r="A2008" i="3"/>
  <c r="B2008" i="3"/>
  <c r="C2008" i="3"/>
  <c r="D2008" i="3"/>
  <c r="E2008" i="3"/>
  <c r="F2008" i="3"/>
  <c r="G2008" i="3"/>
  <c r="H2008" i="3"/>
  <c r="I2008" i="3"/>
  <c r="J2008" i="3"/>
  <c r="K2008" i="3"/>
  <c r="L2008" i="3"/>
  <c r="A2009" i="3"/>
  <c r="B2009" i="3"/>
  <c r="C2009" i="3"/>
  <c r="D2009" i="3"/>
  <c r="E2009" i="3"/>
  <c r="F2009" i="3"/>
  <c r="G2009" i="3"/>
  <c r="H2009" i="3"/>
  <c r="I2009" i="3"/>
  <c r="J2009" i="3"/>
  <c r="K2009" i="3"/>
  <c r="L2009" i="3"/>
  <c r="A2010" i="3"/>
  <c r="B2010" i="3"/>
  <c r="C2010" i="3"/>
  <c r="D2010" i="3"/>
  <c r="E2010" i="3"/>
  <c r="F2010" i="3"/>
  <c r="G2010" i="3"/>
  <c r="H2010" i="3"/>
  <c r="I2010" i="3"/>
  <c r="J2010" i="3"/>
  <c r="K2010" i="3"/>
  <c r="L2010" i="3"/>
  <c r="A2011" i="3"/>
  <c r="B2011" i="3"/>
  <c r="C2011" i="3"/>
  <c r="D2011" i="3"/>
  <c r="E2011" i="3"/>
  <c r="F2011" i="3"/>
  <c r="G2011" i="3"/>
  <c r="H2011" i="3"/>
  <c r="I2011" i="3"/>
  <c r="J2011" i="3"/>
  <c r="K2011" i="3"/>
  <c r="L2011" i="3"/>
  <c r="A2012" i="3"/>
  <c r="B2012" i="3"/>
  <c r="C2012" i="3"/>
  <c r="D2012" i="3"/>
  <c r="E2012" i="3"/>
  <c r="F2012" i="3"/>
  <c r="G2012" i="3"/>
  <c r="H2012" i="3"/>
  <c r="I2012" i="3"/>
  <c r="J2012" i="3"/>
  <c r="K2012" i="3"/>
  <c r="L2012" i="3"/>
  <c r="A2013" i="3"/>
  <c r="B2013" i="3"/>
  <c r="C2013" i="3"/>
  <c r="D2013" i="3"/>
  <c r="E2013" i="3"/>
  <c r="F2013" i="3"/>
  <c r="G2013" i="3"/>
  <c r="H2013" i="3"/>
  <c r="I2013" i="3"/>
  <c r="J2013" i="3"/>
  <c r="K2013" i="3"/>
  <c r="L2013" i="3"/>
  <c r="A2014" i="3"/>
  <c r="B2014" i="3"/>
  <c r="C2014" i="3"/>
  <c r="D2014" i="3"/>
  <c r="E2014" i="3"/>
  <c r="F2014" i="3"/>
  <c r="G2014" i="3"/>
  <c r="H2014" i="3"/>
  <c r="I2014" i="3"/>
  <c r="J2014" i="3"/>
  <c r="K2014" i="3"/>
  <c r="L2014" i="3"/>
  <c r="A2015" i="3"/>
  <c r="B2015" i="3"/>
  <c r="C2015" i="3"/>
  <c r="D2015" i="3"/>
  <c r="E2015" i="3"/>
  <c r="F2015" i="3"/>
  <c r="G2015" i="3"/>
  <c r="H2015" i="3"/>
  <c r="I2015" i="3"/>
  <c r="J2015" i="3"/>
  <c r="K2015" i="3"/>
  <c r="L2015" i="3"/>
  <c r="A2016" i="3"/>
  <c r="B2016" i="3"/>
  <c r="C2016" i="3"/>
  <c r="D2016" i="3"/>
  <c r="E2016" i="3"/>
  <c r="F2016" i="3"/>
  <c r="G2016" i="3"/>
  <c r="H2016" i="3"/>
  <c r="I2016" i="3"/>
  <c r="J2016" i="3"/>
  <c r="K2016" i="3"/>
  <c r="L2016" i="3"/>
  <c r="A2017" i="3"/>
  <c r="B2017" i="3"/>
  <c r="C2017" i="3"/>
  <c r="D2017" i="3"/>
  <c r="E2017" i="3"/>
  <c r="F2017" i="3"/>
  <c r="G2017" i="3"/>
  <c r="H2017" i="3"/>
  <c r="I2017" i="3"/>
  <c r="J2017" i="3"/>
  <c r="K2017" i="3"/>
  <c r="L2017" i="3"/>
  <c r="A2018" i="3"/>
  <c r="B2018" i="3"/>
  <c r="C2018" i="3"/>
  <c r="D2018" i="3"/>
  <c r="E2018" i="3"/>
  <c r="F2018" i="3"/>
  <c r="G2018" i="3"/>
  <c r="H2018" i="3"/>
  <c r="I2018" i="3"/>
  <c r="J2018" i="3"/>
  <c r="K2018" i="3"/>
  <c r="L2018" i="3"/>
  <c r="A2019" i="3"/>
  <c r="B2019" i="3"/>
  <c r="C2019" i="3"/>
  <c r="D2019" i="3"/>
  <c r="E2019" i="3"/>
  <c r="F2019" i="3"/>
  <c r="G2019" i="3"/>
  <c r="H2019" i="3"/>
  <c r="I2019" i="3"/>
  <c r="J2019" i="3"/>
  <c r="K2019" i="3"/>
  <c r="L2019" i="3"/>
  <c r="A2020" i="3"/>
  <c r="B2020" i="3"/>
  <c r="C2020" i="3"/>
  <c r="D2020" i="3"/>
  <c r="E2020" i="3"/>
  <c r="F2020" i="3"/>
  <c r="G2020" i="3"/>
  <c r="H2020" i="3"/>
  <c r="I2020" i="3"/>
  <c r="J2020" i="3"/>
  <c r="K2020" i="3"/>
  <c r="L2020" i="3"/>
  <c r="A2021" i="3"/>
  <c r="B2021" i="3"/>
  <c r="C2021" i="3"/>
  <c r="D2021" i="3"/>
  <c r="E2021" i="3"/>
  <c r="F2021" i="3"/>
  <c r="G2021" i="3"/>
  <c r="H2021" i="3"/>
  <c r="I2021" i="3"/>
  <c r="J2021" i="3"/>
  <c r="K2021" i="3"/>
  <c r="L2021" i="3"/>
  <c r="A2022" i="3"/>
  <c r="B2022" i="3"/>
  <c r="C2022" i="3"/>
  <c r="D2022" i="3"/>
  <c r="E2022" i="3"/>
  <c r="F2022" i="3"/>
  <c r="G2022" i="3"/>
  <c r="H2022" i="3"/>
  <c r="I2022" i="3"/>
  <c r="J2022" i="3"/>
  <c r="K2022" i="3"/>
  <c r="L2022" i="3"/>
  <c r="A2023" i="3"/>
  <c r="B2023" i="3"/>
  <c r="C2023" i="3"/>
  <c r="D2023" i="3"/>
  <c r="E2023" i="3"/>
  <c r="F2023" i="3"/>
  <c r="G2023" i="3"/>
  <c r="H2023" i="3"/>
  <c r="I2023" i="3"/>
  <c r="J2023" i="3"/>
  <c r="K2023" i="3"/>
  <c r="L2023" i="3"/>
  <c r="A2024" i="3"/>
  <c r="B2024" i="3"/>
  <c r="C2024" i="3"/>
  <c r="D2024" i="3"/>
  <c r="E2024" i="3"/>
  <c r="F2024" i="3"/>
  <c r="G2024" i="3"/>
  <c r="H2024" i="3"/>
  <c r="I2024" i="3"/>
  <c r="J2024" i="3"/>
  <c r="K2024" i="3"/>
  <c r="L2024" i="3"/>
  <c r="A2025" i="3"/>
  <c r="B2025" i="3"/>
  <c r="C2025" i="3"/>
  <c r="D2025" i="3"/>
  <c r="E2025" i="3"/>
  <c r="F2025" i="3"/>
  <c r="G2025" i="3"/>
  <c r="H2025" i="3"/>
  <c r="I2025" i="3"/>
  <c r="J2025" i="3"/>
  <c r="K2025" i="3"/>
  <c r="L2025" i="3"/>
  <c r="A2026" i="3"/>
  <c r="B2026" i="3"/>
  <c r="C2026" i="3"/>
  <c r="D2026" i="3"/>
  <c r="E2026" i="3"/>
  <c r="F2026" i="3"/>
  <c r="G2026" i="3"/>
  <c r="H2026" i="3"/>
  <c r="I2026" i="3"/>
  <c r="J2026" i="3"/>
  <c r="K2026" i="3"/>
  <c r="L2026" i="3"/>
  <c r="A2027" i="3"/>
  <c r="B2027" i="3"/>
  <c r="C2027" i="3"/>
  <c r="D2027" i="3"/>
  <c r="E2027" i="3"/>
  <c r="F2027" i="3"/>
  <c r="G2027" i="3"/>
  <c r="H2027" i="3"/>
  <c r="I2027" i="3"/>
  <c r="J2027" i="3"/>
  <c r="K2027" i="3"/>
  <c r="L2027" i="3"/>
  <c r="A2028" i="3"/>
  <c r="B2028" i="3"/>
  <c r="C2028" i="3"/>
  <c r="D2028" i="3"/>
  <c r="E2028" i="3"/>
  <c r="F2028" i="3"/>
  <c r="G2028" i="3"/>
  <c r="H2028" i="3"/>
  <c r="I2028" i="3"/>
  <c r="J2028" i="3"/>
  <c r="K2028" i="3"/>
  <c r="L2028" i="3"/>
  <c r="A2029" i="3"/>
  <c r="B2029" i="3"/>
  <c r="C2029" i="3"/>
  <c r="D2029" i="3"/>
  <c r="E2029" i="3"/>
  <c r="F2029" i="3"/>
  <c r="G2029" i="3"/>
  <c r="H2029" i="3"/>
  <c r="I2029" i="3"/>
  <c r="J2029" i="3"/>
  <c r="K2029" i="3"/>
  <c r="L2029" i="3"/>
  <c r="A2030" i="3"/>
  <c r="B2030" i="3"/>
  <c r="C2030" i="3"/>
  <c r="D2030" i="3"/>
  <c r="E2030" i="3"/>
  <c r="F2030" i="3"/>
  <c r="G2030" i="3"/>
  <c r="H2030" i="3"/>
  <c r="I2030" i="3"/>
  <c r="J2030" i="3"/>
  <c r="K2030" i="3"/>
  <c r="L2030" i="3"/>
  <c r="A2031" i="3"/>
  <c r="B2031" i="3"/>
  <c r="C2031" i="3"/>
  <c r="D2031" i="3"/>
  <c r="E2031" i="3"/>
  <c r="F2031" i="3"/>
  <c r="G2031" i="3"/>
  <c r="H2031" i="3"/>
  <c r="I2031" i="3"/>
  <c r="J2031" i="3"/>
  <c r="K2031" i="3"/>
  <c r="L2031" i="3"/>
  <c r="A2032" i="3"/>
  <c r="B2032" i="3"/>
  <c r="C2032" i="3"/>
  <c r="D2032" i="3"/>
  <c r="E2032" i="3"/>
  <c r="F2032" i="3"/>
  <c r="G2032" i="3"/>
  <c r="H2032" i="3"/>
  <c r="I2032" i="3"/>
  <c r="J2032" i="3"/>
  <c r="K2032" i="3"/>
  <c r="L2032" i="3"/>
  <c r="A2033" i="3"/>
  <c r="B2033" i="3"/>
  <c r="C2033" i="3"/>
  <c r="D2033" i="3"/>
  <c r="E2033" i="3"/>
  <c r="F2033" i="3"/>
  <c r="G2033" i="3"/>
  <c r="H2033" i="3"/>
  <c r="I2033" i="3"/>
  <c r="J2033" i="3"/>
  <c r="K2033" i="3"/>
  <c r="L2033" i="3"/>
  <c r="A2034" i="3"/>
  <c r="B2034" i="3"/>
  <c r="C2034" i="3"/>
  <c r="D2034" i="3"/>
  <c r="E2034" i="3"/>
  <c r="F2034" i="3"/>
  <c r="G2034" i="3"/>
  <c r="H2034" i="3"/>
  <c r="I2034" i="3"/>
  <c r="J2034" i="3"/>
  <c r="K2034" i="3"/>
  <c r="L2034" i="3"/>
  <c r="A2035" i="3"/>
  <c r="B2035" i="3"/>
  <c r="C2035" i="3"/>
  <c r="D2035" i="3"/>
  <c r="E2035" i="3"/>
  <c r="F2035" i="3"/>
  <c r="G2035" i="3"/>
  <c r="H2035" i="3"/>
  <c r="I2035" i="3"/>
  <c r="J2035" i="3"/>
  <c r="K2035" i="3"/>
  <c r="L2035" i="3"/>
  <c r="A2036" i="3"/>
  <c r="B2036" i="3"/>
  <c r="C2036" i="3"/>
  <c r="D2036" i="3"/>
  <c r="E2036" i="3"/>
  <c r="F2036" i="3"/>
  <c r="G2036" i="3"/>
  <c r="H2036" i="3"/>
  <c r="I2036" i="3"/>
  <c r="J2036" i="3"/>
  <c r="K2036" i="3"/>
  <c r="L2036" i="3"/>
  <c r="A2037" i="3"/>
  <c r="B2037" i="3"/>
  <c r="C2037" i="3"/>
  <c r="D2037" i="3"/>
  <c r="E2037" i="3"/>
  <c r="F2037" i="3"/>
  <c r="G2037" i="3"/>
  <c r="H2037" i="3"/>
  <c r="I2037" i="3"/>
  <c r="J2037" i="3"/>
  <c r="K2037" i="3"/>
  <c r="L2037" i="3"/>
  <c r="A2038" i="3"/>
  <c r="B2038" i="3"/>
  <c r="C2038" i="3"/>
  <c r="D2038" i="3"/>
  <c r="E2038" i="3"/>
  <c r="F2038" i="3"/>
  <c r="G2038" i="3"/>
  <c r="H2038" i="3"/>
  <c r="I2038" i="3"/>
  <c r="J2038" i="3"/>
  <c r="K2038" i="3"/>
  <c r="L2038" i="3"/>
  <c r="A2039" i="3"/>
  <c r="B2039" i="3"/>
  <c r="C2039" i="3"/>
  <c r="D2039" i="3"/>
  <c r="E2039" i="3"/>
  <c r="F2039" i="3"/>
  <c r="G2039" i="3"/>
  <c r="H2039" i="3"/>
  <c r="I2039" i="3"/>
  <c r="J2039" i="3"/>
  <c r="K2039" i="3"/>
  <c r="L2039" i="3"/>
  <c r="A2040" i="3"/>
  <c r="B2040" i="3"/>
  <c r="C2040" i="3"/>
  <c r="D2040" i="3"/>
  <c r="E2040" i="3"/>
  <c r="F2040" i="3"/>
  <c r="G2040" i="3"/>
  <c r="H2040" i="3"/>
  <c r="I2040" i="3"/>
  <c r="J2040" i="3"/>
  <c r="K2040" i="3"/>
  <c r="L2040" i="3"/>
  <c r="A2041" i="3"/>
  <c r="B2041" i="3"/>
  <c r="C2041" i="3"/>
  <c r="D2041" i="3"/>
  <c r="E2041" i="3"/>
  <c r="F2041" i="3"/>
  <c r="G2041" i="3"/>
  <c r="H2041" i="3"/>
  <c r="I2041" i="3"/>
  <c r="J2041" i="3"/>
  <c r="K2041" i="3"/>
  <c r="L2041" i="3"/>
  <c r="A2042" i="3"/>
  <c r="B2042" i="3"/>
  <c r="C2042" i="3"/>
  <c r="D2042" i="3"/>
  <c r="E2042" i="3"/>
  <c r="F2042" i="3"/>
  <c r="G2042" i="3"/>
  <c r="H2042" i="3"/>
  <c r="I2042" i="3"/>
  <c r="J2042" i="3"/>
  <c r="K2042" i="3"/>
  <c r="L2042" i="3"/>
  <c r="A2043" i="3"/>
  <c r="B2043" i="3"/>
  <c r="C2043" i="3"/>
  <c r="D2043" i="3"/>
  <c r="E2043" i="3"/>
  <c r="F2043" i="3"/>
  <c r="G2043" i="3"/>
  <c r="H2043" i="3"/>
  <c r="I2043" i="3"/>
  <c r="J2043" i="3"/>
  <c r="K2043" i="3"/>
  <c r="L2043" i="3"/>
  <c r="A2044" i="3"/>
  <c r="B2044" i="3"/>
  <c r="C2044" i="3"/>
  <c r="D2044" i="3"/>
  <c r="E2044" i="3"/>
  <c r="F2044" i="3"/>
  <c r="G2044" i="3"/>
  <c r="H2044" i="3"/>
  <c r="I2044" i="3"/>
  <c r="J2044" i="3"/>
  <c r="K2044" i="3"/>
  <c r="L2044" i="3"/>
  <c r="A2045" i="3"/>
  <c r="B2045" i="3"/>
  <c r="C2045" i="3"/>
  <c r="D2045" i="3"/>
  <c r="E2045" i="3"/>
  <c r="F2045" i="3"/>
  <c r="G2045" i="3"/>
  <c r="H2045" i="3"/>
  <c r="I2045" i="3"/>
  <c r="J2045" i="3"/>
  <c r="K2045" i="3"/>
  <c r="L2045" i="3"/>
  <c r="A2046" i="3"/>
  <c r="B2046" i="3"/>
  <c r="C2046" i="3"/>
  <c r="D2046" i="3"/>
  <c r="E2046" i="3"/>
  <c r="F2046" i="3"/>
  <c r="G2046" i="3"/>
  <c r="H2046" i="3"/>
  <c r="I2046" i="3"/>
  <c r="J2046" i="3"/>
  <c r="K2046" i="3"/>
  <c r="L2046" i="3"/>
  <c r="A2047" i="3"/>
  <c r="B2047" i="3"/>
  <c r="C2047" i="3"/>
  <c r="D2047" i="3"/>
  <c r="E2047" i="3"/>
  <c r="F2047" i="3"/>
  <c r="G2047" i="3"/>
  <c r="H2047" i="3"/>
  <c r="I2047" i="3"/>
  <c r="J2047" i="3"/>
  <c r="K2047" i="3"/>
  <c r="L2047" i="3"/>
  <c r="A2048" i="3"/>
  <c r="B2048" i="3"/>
  <c r="C2048" i="3"/>
  <c r="D2048" i="3"/>
  <c r="E2048" i="3"/>
  <c r="F2048" i="3"/>
  <c r="G2048" i="3"/>
  <c r="H2048" i="3"/>
  <c r="I2048" i="3"/>
  <c r="J2048" i="3"/>
  <c r="K2048" i="3"/>
  <c r="L2048" i="3"/>
  <c r="A2049" i="3"/>
  <c r="B2049" i="3"/>
  <c r="C2049" i="3"/>
  <c r="D2049" i="3"/>
  <c r="E2049" i="3"/>
  <c r="F2049" i="3"/>
  <c r="G2049" i="3"/>
  <c r="H2049" i="3"/>
  <c r="I2049" i="3"/>
  <c r="J2049" i="3"/>
  <c r="K2049" i="3"/>
  <c r="L2049" i="3"/>
  <c r="A2050" i="3"/>
  <c r="B2050" i="3"/>
  <c r="C2050" i="3"/>
  <c r="D2050" i="3"/>
  <c r="E2050" i="3"/>
  <c r="F2050" i="3"/>
  <c r="G2050" i="3"/>
  <c r="H2050" i="3"/>
  <c r="I2050" i="3"/>
  <c r="J2050" i="3"/>
  <c r="K2050" i="3"/>
  <c r="L2050" i="3"/>
  <c r="A2051" i="3"/>
  <c r="B2051" i="3"/>
  <c r="C2051" i="3"/>
  <c r="D2051" i="3"/>
  <c r="E2051" i="3"/>
  <c r="F2051" i="3"/>
  <c r="G2051" i="3"/>
  <c r="H2051" i="3"/>
  <c r="I2051" i="3"/>
  <c r="J2051" i="3"/>
  <c r="K2051" i="3"/>
  <c r="L2051" i="3"/>
  <c r="A2052" i="3"/>
  <c r="B2052" i="3"/>
  <c r="C2052" i="3"/>
  <c r="D2052" i="3"/>
  <c r="E2052" i="3"/>
  <c r="F2052" i="3"/>
  <c r="G2052" i="3"/>
  <c r="H2052" i="3"/>
  <c r="I2052" i="3"/>
  <c r="J2052" i="3"/>
  <c r="K2052" i="3"/>
  <c r="L2052" i="3"/>
  <c r="A2053" i="3"/>
  <c r="B2053" i="3"/>
  <c r="C2053" i="3"/>
  <c r="D2053" i="3"/>
  <c r="E2053" i="3"/>
  <c r="F2053" i="3"/>
  <c r="G2053" i="3"/>
  <c r="H2053" i="3"/>
  <c r="I2053" i="3"/>
  <c r="J2053" i="3"/>
  <c r="K2053" i="3"/>
  <c r="L2053" i="3"/>
  <c r="A2054" i="3"/>
  <c r="B2054" i="3"/>
  <c r="C2054" i="3"/>
  <c r="D2054" i="3"/>
  <c r="E2054" i="3"/>
  <c r="F2054" i="3"/>
  <c r="G2054" i="3"/>
  <c r="H2054" i="3"/>
  <c r="I2054" i="3"/>
  <c r="J2054" i="3"/>
  <c r="K2054" i="3"/>
  <c r="L2054" i="3"/>
  <c r="A2055" i="3"/>
  <c r="B2055" i="3"/>
  <c r="C2055" i="3"/>
  <c r="D2055" i="3"/>
  <c r="E2055" i="3"/>
  <c r="F2055" i="3"/>
  <c r="G2055" i="3"/>
  <c r="H2055" i="3"/>
  <c r="I2055" i="3"/>
  <c r="J2055" i="3"/>
  <c r="K2055" i="3"/>
  <c r="L2055" i="3"/>
  <c r="A2056" i="3"/>
  <c r="B2056" i="3"/>
  <c r="C2056" i="3"/>
  <c r="D2056" i="3"/>
  <c r="E2056" i="3"/>
  <c r="F2056" i="3"/>
  <c r="G2056" i="3"/>
  <c r="H2056" i="3"/>
  <c r="I2056" i="3"/>
  <c r="J2056" i="3"/>
  <c r="K2056" i="3"/>
  <c r="L2056" i="3"/>
  <c r="A2057" i="3"/>
  <c r="B2057" i="3"/>
  <c r="C2057" i="3"/>
  <c r="D2057" i="3"/>
  <c r="E2057" i="3"/>
  <c r="F2057" i="3"/>
  <c r="G2057" i="3"/>
  <c r="H2057" i="3"/>
  <c r="I2057" i="3"/>
  <c r="J2057" i="3"/>
  <c r="K2057" i="3"/>
  <c r="L2057" i="3"/>
  <c r="A2058" i="3"/>
  <c r="B2058" i="3"/>
  <c r="C2058" i="3"/>
  <c r="D2058" i="3"/>
  <c r="E2058" i="3"/>
  <c r="F2058" i="3"/>
  <c r="G2058" i="3"/>
  <c r="H2058" i="3"/>
  <c r="I2058" i="3"/>
  <c r="J2058" i="3"/>
  <c r="K2058" i="3"/>
  <c r="L2058" i="3"/>
  <c r="A2059" i="3"/>
  <c r="B2059" i="3"/>
  <c r="C2059" i="3"/>
  <c r="D2059" i="3"/>
  <c r="E2059" i="3"/>
  <c r="F2059" i="3"/>
  <c r="G2059" i="3"/>
  <c r="H2059" i="3"/>
  <c r="I2059" i="3"/>
  <c r="J2059" i="3"/>
  <c r="K2059" i="3"/>
  <c r="L2059" i="3"/>
  <c r="A2060" i="3"/>
  <c r="B2060" i="3"/>
  <c r="C2060" i="3"/>
  <c r="D2060" i="3"/>
  <c r="E2060" i="3"/>
  <c r="F2060" i="3"/>
  <c r="G2060" i="3"/>
  <c r="H2060" i="3"/>
  <c r="I2060" i="3"/>
  <c r="J2060" i="3"/>
  <c r="K2060" i="3"/>
  <c r="L2060" i="3"/>
  <c r="A2061" i="3"/>
  <c r="B2061" i="3"/>
  <c r="C2061" i="3"/>
  <c r="D2061" i="3"/>
  <c r="E2061" i="3"/>
  <c r="F2061" i="3"/>
  <c r="G2061" i="3"/>
  <c r="H2061" i="3"/>
  <c r="I2061" i="3"/>
  <c r="J2061" i="3"/>
  <c r="K2061" i="3"/>
  <c r="L2061" i="3"/>
  <c r="A2062" i="3"/>
  <c r="B2062" i="3"/>
  <c r="C2062" i="3"/>
  <c r="D2062" i="3"/>
  <c r="E2062" i="3"/>
  <c r="F2062" i="3"/>
  <c r="G2062" i="3"/>
  <c r="H2062" i="3"/>
  <c r="I2062" i="3"/>
  <c r="J2062" i="3"/>
  <c r="K2062" i="3"/>
  <c r="L2062" i="3"/>
  <c r="A2063" i="3"/>
  <c r="B2063" i="3"/>
  <c r="C2063" i="3"/>
  <c r="D2063" i="3"/>
  <c r="E2063" i="3"/>
  <c r="F2063" i="3"/>
  <c r="G2063" i="3"/>
  <c r="H2063" i="3"/>
  <c r="I2063" i="3"/>
  <c r="J2063" i="3"/>
  <c r="K2063" i="3"/>
  <c r="L2063" i="3"/>
  <c r="A2064" i="3"/>
  <c r="B2064" i="3"/>
  <c r="C2064" i="3"/>
  <c r="D2064" i="3"/>
  <c r="E2064" i="3"/>
  <c r="F2064" i="3"/>
  <c r="G2064" i="3"/>
  <c r="H2064" i="3"/>
  <c r="I2064" i="3"/>
  <c r="J2064" i="3"/>
  <c r="K2064" i="3"/>
  <c r="L2064" i="3"/>
  <c r="A2065" i="3"/>
  <c r="B2065" i="3"/>
  <c r="C2065" i="3"/>
  <c r="D2065" i="3"/>
  <c r="E2065" i="3"/>
  <c r="F2065" i="3"/>
  <c r="G2065" i="3"/>
  <c r="H2065" i="3"/>
  <c r="I2065" i="3"/>
  <c r="J2065" i="3"/>
  <c r="K2065" i="3"/>
  <c r="L2065" i="3"/>
  <c r="A2066" i="3"/>
  <c r="B2066" i="3"/>
  <c r="C2066" i="3"/>
  <c r="D2066" i="3"/>
  <c r="E2066" i="3"/>
  <c r="F2066" i="3"/>
  <c r="G2066" i="3"/>
  <c r="H2066" i="3"/>
  <c r="I2066" i="3"/>
  <c r="J2066" i="3"/>
  <c r="K2066" i="3"/>
  <c r="L2066" i="3"/>
  <c r="A2067" i="3"/>
  <c r="B2067" i="3"/>
  <c r="C2067" i="3"/>
  <c r="D2067" i="3"/>
  <c r="E2067" i="3"/>
  <c r="F2067" i="3"/>
  <c r="G2067" i="3"/>
  <c r="H2067" i="3"/>
  <c r="I2067" i="3"/>
  <c r="J2067" i="3"/>
  <c r="K2067" i="3"/>
  <c r="L2067" i="3"/>
  <c r="A2068" i="3"/>
  <c r="B2068" i="3"/>
  <c r="C2068" i="3"/>
  <c r="D2068" i="3"/>
  <c r="E2068" i="3"/>
  <c r="F2068" i="3"/>
  <c r="G2068" i="3"/>
  <c r="H2068" i="3"/>
  <c r="I2068" i="3"/>
  <c r="J2068" i="3"/>
  <c r="K2068" i="3"/>
  <c r="L2068" i="3"/>
  <c r="A2069" i="3"/>
  <c r="B2069" i="3"/>
  <c r="C2069" i="3"/>
  <c r="D2069" i="3"/>
  <c r="E2069" i="3"/>
  <c r="F2069" i="3"/>
  <c r="G2069" i="3"/>
  <c r="H2069" i="3"/>
  <c r="I2069" i="3"/>
  <c r="J2069" i="3"/>
  <c r="K2069" i="3"/>
  <c r="L2069" i="3"/>
  <c r="A2070" i="3"/>
  <c r="B2070" i="3"/>
  <c r="C2070" i="3"/>
  <c r="D2070" i="3"/>
  <c r="E2070" i="3"/>
  <c r="F2070" i="3"/>
  <c r="G2070" i="3"/>
  <c r="H2070" i="3"/>
  <c r="I2070" i="3"/>
  <c r="J2070" i="3"/>
  <c r="K2070" i="3"/>
  <c r="L2070" i="3"/>
  <c r="A2071" i="3"/>
  <c r="B2071" i="3"/>
  <c r="C2071" i="3"/>
  <c r="D2071" i="3"/>
  <c r="E2071" i="3"/>
  <c r="F2071" i="3"/>
  <c r="G2071" i="3"/>
  <c r="H2071" i="3"/>
  <c r="I2071" i="3"/>
  <c r="J2071" i="3"/>
  <c r="K2071" i="3"/>
  <c r="L2071" i="3"/>
  <c r="A2072" i="3"/>
  <c r="B2072" i="3"/>
  <c r="C2072" i="3"/>
  <c r="D2072" i="3"/>
  <c r="E2072" i="3"/>
  <c r="F2072" i="3"/>
  <c r="G2072" i="3"/>
  <c r="H2072" i="3"/>
  <c r="I2072" i="3"/>
  <c r="J2072" i="3"/>
  <c r="K2072" i="3"/>
  <c r="L2072" i="3"/>
  <c r="A2073" i="3"/>
  <c r="B2073" i="3"/>
  <c r="C2073" i="3"/>
  <c r="D2073" i="3"/>
  <c r="E2073" i="3"/>
  <c r="F2073" i="3"/>
  <c r="G2073" i="3"/>
  <c r="H2073" i="3"/>
  <c r="I2073" i="3"/>
  <c r="J2073" i="3"/>
  <c r="K2073" i="3"/>
  <c r="L2073" i="3"/>
  <c r="A2074" i="3"/>
  <c r="B2074" i="3"/>
  <c r="C2074" i="3"/>
  <c r="D2074" i="3"/>
  <c r="E2074" i="3"/>
  <c r="F2074" i="3"/>
  <c r="G2074" i="3"/>
  <c r="H2074" i="3"/>
  <c r="I2074" i="3"/>
  <c r="J2074" i="3"/>
  <c r="K2074" i="3"/>
  <c r="L2074" i="3"/>
  <c r="A2075" i="3"/>
  <c r="B2075" i="3"/>
  <c r="C2075" i="3"/>
  <c r="D2075" i="3"/>
  <c r="E2075" i="3"/>
  <c r="F2075" i="3"/>
  <c r="G2075" i="3"/>
  <c r="H2075" i="3"/>
  <c r="I2075" i="3"/>
  <c r="J2075" i="3"/>
  <c r="K2075" i="3"/>
  <c r="L2075" i="3"/>
  <c r="A2076" i="3"/>
  <c r="B2076" i="3"/>
  <c r="C2076" i="3"/>
  <c r="D2076" i="3"/>
  <c r="E2076" i="3"/>
  <c r="F2076" i="3"/>
  <c r="G2076" i="3"/>
  <c r="H2076" i="3"/>
  <c r="I2076" i="3"/>
  <c r="J2076" i="3"/>
  <c r="K2076" i="3"/>
  <c r="L2076" i="3"/>
  <c r="A2077" i="3"/>
  <c r="B2077" i="3"/>
  <c r="C2077" i="3"/>
  <c r="D2077" i="3"/>
  <c r="E2077" i="3"/>
  <c r="F2077" i="3"/>
  <c r="G2077" i="3"/>
  <c r="H2077" i="3"/>
  <c r="I2077" i="3"/>
  <c r="J2077" i="3"/>
  <c r="K2077" i="3"/>
  <c r="L2077" i="3"/>
  <c r="A2078" i="3"/>
  <c r="B2078" i="3"/>
  <c r="C2078" i="3"/>
  <c r="D2078" i="3"/>
  <c r="E2078" i="3"/>
  <c r="F2078" i="3"/>
  <c r="G2078" i="3"/>
  <c r="H2078" i="3"/>
  <c r="I2078" i="3"/>
  <c r="J2078" i="3"/>
  <c r="K2078" i="3"/>
  <c r="L2078" i="3"/>
  <c r="A2079" i="3"/>
  <c r="B2079" i="3"/>
  <c r="C2079" i="3"/>
  <c r="D2079" i="3"/>
  <c r="E2079" i="3"/>
  <c r="F2079" i="3"/>
  <c r="G2079" i="3"/>
  <c r="H2079" i="3"/>
  <c r="I2079" i="3"/>
  <c r="J2079" i="3"/>
  <c r="K2079" i="3"/>
  <c r="L2079" i="3"/>
  <c r="A2080" i="3"/>
  <c r="B2080" i="3"/>
  <c r="C2080" i="3"/>
  <c r="D2080" i="3"/>
  <c r="E2080" i="3"/>
  <c r="F2080" i="3"/>
  <c r="G2080" i="3"/>
  <c r="H2080" i="3"/>
  <c r="I2080" i="3"/>
  <c r="J2080" i="3"/>
  <c r="K2080" i="3"/>
  <c r="L2080" i="3"/>
  <c r="A2081" i="3"/>
  <c r="B2081" i="3"/>
  <c r="C2081" i="3"/>
  <c r="D2081" i="3"/>
  <c r="E2081" i="3"/>
  <c r="F2081" i="3"/>
  <c r="G2081" i="3"/>
  <c r="H2081" i="3"/>
  <c r="I2081" i="3"/>
  <c r="J2081" i="3"/>
  <c r="K2081" i="3"/>
  <c r="L2081" i="3"/>
  <c r="A2082" i="3"/>
  <c r="B2082" i="3"/>
  <c r="C2082" i="3"/>
  <c r="D2082" i="3"/>
  <c r="E2082" i="3"/>
  <c r="F2082" i="3"/>
  <c r="G2082" i="3"/>
  <c r="H2082" i="3"/>
  <c r="I2082" i="3"/>
  <c r="J2082" i="3"/>
  <c r="K2082" i="3"/>
  <c r="L2082" i="3"/>
  <c r="A2083" i="3"/>
  <c r="B2083" i="3"/>
  <c r="C2083" i="3"/>
  <c r="D2083" i="3"/>
  <c r="E2083" i="3"/>
  <c r="F2083" i="3"/>
  <c r="G2083" i="3"/>
  <c r="H2083" i="3"/>
  <c r="I2083" i="3"/>
  <c r="J2083" i="3"/>
  <c r="K2083" i="3"/>
  <c r="L2083" i="3"/>
  <c r="A2084" i="3"/>
  <c r="B2084" i="3"/>
  <c r="C2084" i="3"/>
  <c r="D2084" i="3"/>
  <c r="E2084" i="3"/>
  <c r="F2084" i="3"/>
  <c r="G2084" i="3"/>
  <c r="H2084" i="3"/>
  <c r="I2084" i="3"/>
  <c r="J2084" i="3"/>
  <c r="K2084" i="3"/>
  <c r="L2084" i="3"/>
  <c r="A2085" i="3"/>
  <c r="B2085" i="3"/>
  <c r="C2085" i="3"/>
  <c r="D2085" i="3"/>
  <c r="E2085" i="3"/>
  <c r="F2085" i="3"/>
  <c r="G2085" i="3"/>
  <c r="H2085" i="3"/>
  <c r="I2085" i="3"/>
  <c r="J2085" i="3"/>
  <c r="K2085" i="3"/>
  <c r="L2085" i="3"/>
  <c r="A2086" i="3"/>
  <c r="B2086" i="3"/>
  <c r="C2086" i="3"/>
  <c r="D2086" i="3"/>
  <c r="E2086" i="3"/>
  <c r="F2086" i="3"/>
  <c r="G2086" i="3"/>
  <c r="H2086" i="3"/>
  <c r="I2086" i="3"/>
  <c r="J2086" i="3"/>
  <c r="K2086" i="3"/>
  <c r="L2086" i="3"/>
  <c r="A2087" i="3"/>
  <c r="B2087" i="3"/>
  <c r="C2087" i="3"/>
  <c r="D2087" i="3"/>
  <c r="E2087" i="3"/>
  <c r="F2087" i="3"/>
  <c r="G2087" i="3"/>
  <c r="H2087" i="3"/>
  <c r="I2087" i="3"/>
  <c r="J2087" i="3"/>
  <c r="K2087" i="3"/>
  <c r="L2087" i="3"/>
  <c r="A2088" i="3"/>
  <c r="B2088" i="3"/>
  <c r="C2088" i="3"/>
  <c r="D2088" i="3"/>
  <c r="E2088" i="3"/>
  <c r="F2088" i="3"/>
  <c r="G2088" i="3"/>
  <c r="H2088" i="3"/>
  <c r="I2088" i="3"/>
  <c r="J2088" i="3"/>
  <c r="K2088" i="3"/>
  <c r="L2088" i="3"/>
  <c r="A2089" i="3"/>
  <c r="B2089" i="3"/>
  <c r="C2089" i="3"/>
  <c r="D2089" i="3"/>
  <c r="E2089" i="3"/>
  <c r="F2089" i="3"/>
  <c r="G2089" i="3"/>
  <c r="H2089" i="3"/>
  <c r="I2089" i="3"/>
  <c r="J2089" i="3"/>
  <c r="K2089" i="3"/>
  <c r="L2089" i="3"/>
  <c r="A2090" i="3"/>
  <c r="B2090" i="3"/>
  <c r="C2090" i="3"/>
  <c r="D2090" i="3"/>
  <c r="E2090" i="3"/>
  <c r="F2090" i="3"/>
  <c r="G2090" i="3"/>
  <c r="H2090" i="3"/>
  <c r="I2090" i="3"/>
  <c r="J2090" i="3"/>
  <c r="K2090" i="3"/>
  <c r="L2090" i="3"/>
  <c r="A2091" i="3"/>
  <c r="B2091" i="3"/>
  <c r="C2091" i="3"/>
  <c r="D2091" i="3"/>
  <c r="E2091" i="3"/>
  <c r="F2091" i="3"/>
  <c r="G2091" i="3"/>
  <c r="H2091" i="3"/>
  <c r="I2091" i="3"/>
  <c r="J2091" i="3"/>
  <c r="K2091" i="3"/>
  <c r="L2091" i="3"/>
  <c r="A2092" i="3"/>
  <c r="B2092" i="3"/>
  <c r="C2092" i="3"/>
  <c r="D2092" i="3"/>
  <c r="E2092" i="3"/>
  <c r="F2092" i="3"/>
  <c r="G2092" i="3"/>
  <c r="H2092" i="3"/>
  <c r="I2092" i="3"/>
  <c r="J2092" i="3"/>
  <c r="K2092" i="3"/>
  <c r="L2092" i="3"/>
  <c r="A2093" i="3"/>
  <c r="B2093" i="3"/>
  <c r="C2093" i="3"/>
  <c r="D2093" i="3"/>
  <c r="E2093" i="3"/>
  <c r="F2093" i="3"/>
  <c r="G2093" i="3"/>
  <c r="H2093" i="3"/>
  <c r="I2093" i="3"/>
  <c r="J2093" i="3"/>
  <c r="K2093" i="3"/>
  <c r="L2093" i="3"/>
  <c r="A2094" i="3"/>
  <c r="B2094" i="3"/>
  <c r="C2094" i="3"/>
  <c r="D2094" i="3"/>
  <c r="E2094" i="3"/>
  <c r="F2094" i="3"/>
  <c r="G2094" i="3"/>
  <c r="H2094" i="3"/>
  <c r="I2094" i="3"/>
  <c r="J2094" i="3"/>
  <c r="K2094" i="3"/>
  <c r="L2094" i="3"/>
  <c r="A2095" i="3"/>
  <c r="B2095" i="3"/>
  <c r="C2095" i="3"/>
  <c r="D2095" i="3"/>
  <c r="E2095" i="3"/>
  <c r="F2095" i="3"/>
  <c r="G2095" i="3"/>
  <c r="H2095" i="3"/>
  <c r="I2095" i="3"/>
  <c r="J2095" i="3"/>
  <c r="K2095" i="3"/>
  <c r="L2095" i="3"/>
  <c r="A2096" i="3"/>
  <c r="B2096" i="3"/>
  <c r="C2096" i="3"/>
  <c r="D2096" i="3"/>
  <c r="E2096" i="3"/>
  <c r="F2096" i="3"/>
  <c r="G2096" i="3"/>
  <c r="H2096" i="3"/>
  <c r="I2096" i="3"/>
  <c r="J2096" i="3"/>
  <c r="K2096" i="3"/>
  <c r="L2096" i="3"/>
  <c r="A2097" i="3"/>
  <c r="B2097" i="3"/>
  <c r="C2097" i="3"/>
  <c r="D2097" i="3"/>
  <c r="E2097" i="3"/>
  <c r="F2097" i="3"/>
  <c r="G2097" i="3"/>
  <c r="H2097" i="3"/>
  <c r="I2097" i="3"/>
  <c r="J2097" i="3"/>
  <c r="K2097" i="3"/>
  <c r="L2097" i="3"/>
  <c r="A2098" i="3"/>
  <c r="B2098" i="3"/>
  <c r="C2098" i="3"/>
  <c r="D2098" i="3"/>
  <c r="E2098" i="3"/>
  <c r="F2098" i="3"/>
  <c r="G2098" i="3"/>
  <c r="H2098" i="3"/>
  <c r="I2098" i="3"/>
  <c r="J2098" i="3"/>
  <c r="K2098" i="3"/>
  <c r="L2098" i="3"/>
  <c r="A2099" i="3"/>
  <c r="B2099" i="3"/>
  <c r="C2099" i="3"/>
  <c r="D2099" i="3"/>
  <c r="E2099" i="3"/>
  <c r="F2099" i="3"/>
  <c r="G2099" i="3"/>
  <c r="H2099" i="3"/>
  <c r="I2099" i="3"/>
  <c r="J2099" i="3"/>
  <c r="K2099" i="3"/>
  <c r="L2099" i="3"/>
  <c r="A2100" i="3"/>
  <c r="B2100" i="3"/>
  <c r="C2100" i="3"/>
  <c r="D2100" i="3"/>
  <c r="E2100" i="3"/>
  <c r="F2100" i="3"/>
  <c r="G2100" i="3"/>
  <c r="H2100" i="3"/>
  <c r="I2100" i="3"/>
  <c r="J2100" i="3"/>
  <c r="K2100" i="3"/>
  <c r="L2100" i="3"/>
  <c r="A2101" i="3"/>
  <c r="B2101" i="3"/>
  <c r="C2101" i="3"/>
  <c r="D2101" i="3"/>
  <c r="E2101" i="3"/>
  <c r="F2101" i="3"/>
  <c r="G2101" i="3"/>
  <c r="H2101" i="3"/>
  <c r="I2101" i="3"/>
  <c r="J2101" i="3"/>
  <c r="K2101" i="3"/>
  <c r="L2101" i="3"/>
  <c r="A2102" i="3"/>
  <c r="B2102" i="3"/>
  <c r="C2102" i="3"/>
  <c r="D2102" i="3"/>
  <c r="E2102" i="3"/>
  <c r="F2102" i="3"/>
  <c r="G2102" i="3"/>
  <c r="H2102" i="3"/>
  <c r="I2102" i="3"/>
  <c r="J2102" i="3"/>
  <c r="K2102" i="3"/>
  <c r="L2102" i="3"/>
  <c r="A2103" i="3"/>
  <c r="B2103" i="3"/>
  <c r="C2103" i="3"/>
  <c r="D2103" i="3"/>
  <c r="E2103" i="3"/>
  <c r="F2103" i="3"/>
  <c r="G2103" i="3"/>
  <c r="H2103" i="3"/>
  <c r="I2103" i="3"/>
  <c r="J2103" i="3"/>
  <c r="K2103" i="3"/>
  <c r="L2103" i="3"/>
  <c r="A2104" i="3"/>
  <c r="B2104" i="3"/>
  <c r="C2104" i="3"/>
  <c r="D2104" i="3"/>
  <c r="E2104" i="3"/>
  <c r="F2104" i="3"/>
  <c r="G2104" i="3"/>
  <c r="H2104" i="3"/>
  <c r="I2104" i="3"/>
  <c r="J2104" i="3"/>
  <c r="K2104" i="3"/>
  <c r="L2104" i="3"/>
  <c r="A2105" i="3"/>
  <c r="B2105" i="3"/>
  <c r="C2105" i="3"/>
  <c r="D2105" i="3"/>
  <c r="E2105" i="3"/>
  <c r="F2105" i="3"/>
  <c r="G2105" i="3"/>
  <c r="H2105" i="3"/>
  <c r="I2105" i="3"/>
  <c r="J2105" i="3"/>
  <c r="K2105" i="3"/>
  <c r="L2105" i="3"/>
  <c r="A2106" i="3"/>
  <c r="B2106" i="3"/>
  <c r="C2106" i="3"/>
  <c r="D2106" i="3"/>
  <c r="E2106" i="3"/>
  <c r="F2106" i="3"/>
  <c r="G2106" i="3"/>
  <c r="H2106" i="3"/>
  <c r="I2106" i="3"/>
  <c r="J2106" i="3"/>
  <c r="K2106" i="3"/>
  <c r="L2106" i="3"/>
  <c r="A2107" i="3"/>
  <c r="B2107" i="3"/>
  <c r="C2107" i="3"/>
  <c r="D2107" i="3"/>
  <c r="E2107" i="3"/>
  <c r="F2107" i="3"/>
  <c r="G2107" i="3"/>
  <c r="H2107" i="3"/>
  <c r="I2107" i="3"/>
  <c r="J2107" i="3"/>
  <c r="K2107" i="3"/>
  <c r="L2107" i="3"/>
  <c r="A2108" i="3"/>
  <c r="B2108" i="3"/>
  <c r="C2108" i="3"/>
  <c r="D2108" i="3"/>
  <c r="E2108" i="3"/>
  <c r="F2108" i="3"/>
  <c r="G2108" i="3"/>
  <c r="H2108" i="3"/>
  <c r="I2108" i="3"/>
  <c r="J2108" i="3"/>
  <c r="K2108" i="3"/>
  <c r="L2108" i="3"/>
  <c r="A2109" i="3"/>
  <c r="B2109" i="3"/>
  <c r="C2109" i="3"/>
  <c r="D2109" i="3"/>
  <c r="E2109" i="3"/>
  <c r="F2109" i="3"/>
  <c r="G2109" i="3"/>
  <c r="H2109" i="3"/>
  <c r="I2109" i="3"/>
  <c r="J2109" i="3"/>
  <c r="K2109" i="3"/>
  <c r="L2109" i="3"/>
  <c r="A2110" i="3"/>
  <c r="B2110" i="3"/>
  <c r="C2110" i="3"/>
  <c r="D2110" i="3"/>
  <c r="E2110" i="3"/>
  <c r="F2110" i="3"/>
  <c r="G2110" i="3"/>
  <c r="H2110" i="3"/>
  <c r="I2110" i="3"/>
  <c r="J2110" i="3"/>
  <c r="K2110" i="3"/>
  <c r="L2110" i="3"/>
  <c r="A2111" i="3"/>
  <c r="B2111" i="3"/>
  <c r="C2111" i="3"/>
  <c r="D2111" i="3"/>
  <c r="E2111" i="3"/>
  <c r="F2111" i="3"/>
  <c r="G2111" i="3"/>
  <c r="H2111" i="3"/>
  <c r="I2111" i="3"/>
  <c r="J2111" i="3"/>
  <c r="K2111" i="3"/>
  <c r="L2111" i="3"/>
  <c r="A2112" i="3"/>
  <c r="B2112" i="3"/>
  <c r="C2112" i="3"/>
  <c r="D2112" i="3"/>
  <c r="E2112" i="3"/>
  <c r="F2112" i="3"/>
  <c r="G2112" i="3"/>
  <c r="H2112" i="3"/>
  <c r="I2112" i="3"/>
  <c r="J2112" i="3"/>
  <c r="K2112" i="3"/>
  <c r="L2112" i="3"/>
  <c r="A2113" i="3"/>
  <c r="B2113" i="3"/>
  <c r="C2113" i="3"/>
  <c r="D2113" i="3"/>
  <c r="E2113" i="3"/>
  <c r="F2113" i="3"/>
  <c r="G2113" i="3"/>
  <c r="H2113" i="3"/>
  <c r="I2113" i="3"/>
  <c r="J2113" i="3"/>
  <c r="K2113" i="3"/>
  <c r="L2113" i="3"/>
  <c r="A2114" i="3"/>
  <c r="B2114" i="3"/>
  <c r="C2114" i="3"/>
  <c r="D2114" i="3"/>
  <c r="E2114" i="3"/>
  <c r="F2114" i="3"/>
  <c r="G2114" i="3"/>
  <c r="H2114" i="3"/>
  <c r="I2114" i="3"/>
  <c r="J2114" i="3"/>
  <c r="K2114" i="3"/>
  <c r="L2114" i="3"/>
  <c r="A2115" i="3"/>
  <c r="B2115" i="3"/>
  <c r="C2115" i="3"/>
  <c r="D2115" i="3"/>
  <c r="E2115" i="3"/>
  <c r="F2115" i="3"/>
  <c r="G2115" i="3"/>
  <c r="H2115" i="3"/>
  <c r="I2115" i="3"/>
  <c r="J2115" i="3"/>
  <c r="K2115" i="3"/>
  <c r="L2115" i="3"/>
  <c r="A2116" i="3"/>
  <c r="B2116" i="3"/>
  <c r="C2116" i="3"/>
  <c r="D2116" i="3"/>
  <c r="E2116" i="3"/>
  <c r="F2116" i="3"/>
  <c r="G2116" i="3"/>
  <c r="H2116" i="3"/>
  <c r="I2116" i="3"/>
  <c r="J2116" i="3"/>
  <c r="K2116" i="3"/>
  <c r="L2116" i="3"/>
  <c r="A2117" i="3"/>
  <c r="B2117" i="3"/>
  <c r="C2117" i="3"/>
  <c r="D2117" i="3"/>
  <c r="E2117" i="3"/>
  <c r="F2117" i="3"/>
  <c r="G2117" i="3"/>
  <c r="H2117" i="3"/>
  <c r="I2117" i="3"/>
  <c r="J2117" i="3"/>
  <c r="K2117" i="3"/>
  <c r="L2117" i="3"/>
  <c r="A2118" i="3"/>
  <c r="B2118" i="3"/>
  <c r="C2118" i="3"/>
  <c r="D2118" i="3"/>
  <c r="E2118" i="3"/>
  <c r="F2118" i="3"/>
  <c r="G2118" i="3"/>
  <c r="H2118" i="3"/>
  <c r="I2118" i="3"/>
  <c r="J2118" i="3"/>
  <c r="K2118" i="3"/>
  <c r="L2118" i="3"/>
  <c r="A2119" i="3"/>
  <c r="B2119" i="3"/>
  <c r="C2119" i="3"/>
  <c r="D2119" i="3"/>
  <c r="E2119" i="3"/>
  <c r="F2119" i="3"/>
  <c r="G2119" i="3"/>
  <c r="H2119" i="3"/>
  <c r="I2119" i="3"/>
  <c r="J2119" i="3"/>
  <c r="K2119" i="3"/>
  <c r="L2119" i="3"/>
  <c r="A2120" i="3"/>
  <c r="B2120" i="3"/>
  <c r="C2120" i="3"/>
  <c r="D2120" i="3"/>
  <c r="E2120" i="3"/>
  <c r="F2120" i="3"/>
  <c r="G2120" i="3"/>
  <c r="H2120" i="3"/>
  <c r="I2120" i="3"/>
  <c r="J2120" i="3"/>
  <c r="K2120" i="3"/>
  <c r="L2120" i="3"/>
  <c r="A2121" i="3"/>
  <c r="B2121" i="3"/>
  <c r="C2121" i="3"/>
  <c r="D2121" i="3"/>
  <c r="E2121" i="3"/>
  <c r="F2121" i="3"/>
  <c r="G2121" i="3"/>
  <c r="H2121" i="3"/>
  <c r="I2121" i="3"/>
  <c r="J2121" i="3"/>
  <c r="K2121" i="3"/>
  <c r="L2121" i="3"/>
  <c r="A2122" i="3"/>
  <c r="B2122" i="3"/>
  <c r="C2122" i="3"/>
  <c r="D2122" i="3"/>
  <c r="E2122" i="3"/>
  <c r="F2122" i="3"/>
  <c r="G2122" i="3"/>
  <c r="H2122" i="3"/>
  <c r="I2122" i="3"/>
  <c r="J2122" i="3"/>
  <c r="K2122" i="3"/>
  <c r="L2122" i="3"/>
  <c r="A2123" i="3"/>
  <c r="B2123" i="3"/>
  <c r="C2123" i="3"/>
  <c r="D2123" i="3"/>
  <c r="E2123" i="3"/>
  <c r="F2123" i="3"/>
  <c r="G2123" i="3"/>
  <c r="H2123" i="3"/>
  <c r="I2123" i="3"/>
  <c r="J2123" i="3"/>
  <c r="K2123" i="3"/>
  <c r="L2123" i="3"/>
  <c r="A2124" i="3"/>
  <c r="B2124" i="3"/>
  <c r="C2124" i="3"/>
  <c r="D2124" i="3"/>
  <c r="E2124" i="3"/>
  <c r="F2124" i="3"/>
  <c r="G2124" i="3"/>
  <c r="H2124" i="3"/>
  <c r="I2124" i="3"/>
  <c r="J2124" i="3"/>
  <c r="K2124" i="3"/>
  <c r="L2124" i="3"/>
  <c r="A2125" i="3"/>
  <c r="B2125" i="3"/>
  <c r="C2125" i="3"/>
  <c r="D2125" i="3"/>
  <c r="E2125" i="3"/>
  <c r="F2125" i="3"/>
  <c r="G2125" i="3"/>
  <c r="H2125" i="3"/>
  <c r="I2125" i="3"/>
  <c r="J2125" i="3"/>
  <c r="K2125" i="3"/>
  <c r="L2125" i="3"/>
  <c r="A2126" i="3"/>
  <c r="B2126" i="3"/>
  <c r="C2126" i="3"/>
  <c r="D2126" i="3"/>
  <c r="E2126" i="3"/>
  <c r="F2126" i="3"/>
  <c r="G2126" i="3"/>
  <c r="H2126" i="3"/>
  <c r="I2126" i="3"/>
  <c r="J2126" i="3"/>
  <c r="K2126" i="3"/>
  <c r="L2126" i="3"/>
  <c r="A2127" i="3"/>
  <c r="B2127" i="3"/>
  <c r="C2127" i="3"/>
  <c r="D2127" i="3"/>
  <c r="E2127" i="3"/>
  <c r="F2127" i="3"/>
  <c r="G2127" i="3"/>
  <c r="H2127" i="3"/>
  <c r="I2127" i="3"/>
  <c r="J2127" i="3"/>
  <c r="K2127" i="3"/>
  <c r="L2127" i="3"/>
  <c r="A2128" i="3"/>
  <c r="B2128" i="3"/>
  <c r="C2128" i="3"/>
  <c r="D2128" i="3"/>
  <c r="E2128" i="3"/>
  <c r="F2128" i="3"/>
  <c r="G2128" i="3"/>
  <c r="H2128" i="3"/>
  <c r="I2128" i="3"/>
  <c r="J2128" i="3"/>
  <c r="K2128" i="3"/>
  <c r="L2128" i="3"/>
  <c r="A2129" i="3"/>
  <c r="B2129" i="3"/>
  <c r="C2129" i="3"/>
  <c r="D2129" i="3"/>
  <c r="E2129" i="3"/>
  <c r="F2129" i="3"/>
  <c r="G2129" i="3"/>
  <c r="H2129" i="3"/>
  <c r="I2129" i="3"/>
  <c r="J2129" i="3"/>
  <c r="K2129" i="3"/>
  <c r="L2129" i="3"/>
  <c r="A2130" i="3"/>
  <c r="B2130" i="3"/>
  <c r="C2130" i="3"/>
  <c r="D2130" i="3"/>
  <c r="E2130" i="3"/>
  <c r="F2130" i="3"/>
  <c r="G2130" i="3"/>
  <c r="H2130" i="3"/>
  <c r="I2130" i="3"/>
  <c r="J2130" i="3"/>
  <c r="K2130" i="3"/>
  <c r="L2130" i="3"/>
  <c r="A2131" i="3"/>
  <c r="B2131" i="3"/>
  <c r="C2131" i="3"/>
  <c r="D2131" i="3"/>
  <c r="E2131" i="3"/>
  <c r="F2131" i="3"/>
  <c r="G2131" i="3"/>
  <c r="H2131" i="3"/>
  <c r="I2131" i="3"/>
  <c r="J2131" i="3"/>
  <c r="K2131" i="3"/>
  <c r="L2131" i="3"/>
  <c r="A2132" i="3"/>
  <c r="B2132" i="3"/>
  <c r="C2132" i="3"/>
  <c r="D2132" i="3"/>
  <c r="E2132" i="3"/>
  <c r="F2132" i="3"/>
  <c r="G2132" i="3"/>
  <c r="H2132" i="3"/>
  <c r="I2132" i="3"/>
  <c r="J2132" i="3"/>
  <c r="K2132" i="3"/>
  <c r="L2132" i="3"/>
  <c r="A2133" i="3"/>
  <c r="B2133" i="3"/>
  <c r="C2133" i="3"/>
  <c r="D2133" i="3"/>
  <c r="E2133" i="3"/>
  <c r="F2133" i="3"/>
  <c r="G2133" i="3"/>
  <c r="H2133" i="3"/>
  <c r="I2133" i="3"/>
  <c r="J2133" i="3"/>
  <c r="K2133" i="3"/>
  <c r="L2133" i="3"/>
  <c r="A2134" i="3"/>
  <c r="B2134" i="3"/>
  <c r="C2134" i="3"/>
  <c r="D2134" i="3"/>
  <c r="E2134" i="3"/>
  <c r="F2134" i="3"/>
  <c r="G2134" i="3"/>
  <c r="H2134" i="3"/>
  <c r="I2134" i="3"/>
  <c r="J2134" i="3"/>
  <c r="K2134" i="3"/>
  <c r="L2134" i="3"/>
  <c r="A2135" i="3"/>
  <c r="B2135" i="3"/>
  <c r="C2135" i="3"/>
  <c r="D2135" i="3"/>
  <c r="E2135" i="3"/>
  <c r="F2135" i="3"/>
  <c r="G2135" i="3"/>
  <c r="H2135" i="3"/>
  <c r="I2135" i="3"/>
  <c r="J2135" i="3"/>
  <c r="K2135" i="3"/>
  <c r="L2135" i="3"/>
  <c r="A2136" i="3"/>
  <c r="B2136" i="3"/>
  <c r="C2136" i="3"/>
  <c r="D2136" i="3"/>
  <c r="E2136" i="3"/>
  <c r="F2136" i="3"/>
  <c r="G2136" i="3"/>
  <c r="H2136" i="3"/>
  <c r="I2136" i="3"/>
  <c r="J2136" i="3"/>
  <c r="K2136" i="3"/>
  <c r="L2136" i="3"/>
  <c r="A2137" i="3"/>
  <c r="B2137" i="3"/>
  <c r="C2137" i="3"/>
  <c r="D2137" i="3"/>
  <c r="E2137" i="3"/>
  <c r="F2137" i="3"/>
  <c r="G2137" i="3"/>
  <c r="H2137" i="3"/>
  <c r="I2137" i="3"/>
  <c r="J2137" i="3"/>
  <c r="K2137" i="3"/>
  <c r="L2137" i="3"/>
  <c r="A2138" i="3"/>
  <c r="B2138" i="3"/>
  <c r="C2138" i="3"/>
  <c r="D2138" i="3"/>
  <c r="E2138" i="3"/>
  <c r="F2138" i="3"/>
  <c r="G2138" i="3"/>
  <c r="H2138" i="3"/>
  <c r="I2138" i="3"/>
  <c r="J2138" i="3"/>
  <c r="K2138" i="3"/>
  <c r="L2138" i="3"/>
  <c r="A2139" i="3"/>
  <c r="B2139" i="3"/>
  <c r="C2139" i="3"/>
  <c r="D2139" i="3"/>
  <c r="E2139" i="3"/>
  <c r="F2139" i="3"/>
  <c r="G2139" i="3"/>
  <c r="H2139" i="3"/>
  <c r="I2139" i="3"/>
  <c r="J2139" i="3"/>
  <c r="K2139" i="3"/>
  <c r="L2139" i="3"/>
  <c r="A2140" i="3"/>
  <c r="B2140" i="3"/>
  <c r="C2140" i="3"/>
  <c r="D2140" i="3"/>
  <c r="E2140" i="3"/>
  <c r="F2140" i="3"/>
  <c r="G2140" i="3"/>
  <c r="H2140" i="3"/>
  <c r="I2140" i="3"/>
  <c r="J2140" i="3"/>
  <c r="K2140" i="3"/>
  <c r="L2140" i="3"/>
  <c r="A2141" i="3"/>
  <c r="B2141" i="3"/>
  <c r="C2141" i="3"/>
  <c r="D2141" i="3"/>
  <c r="E2141" i="3"/>
  <c r="F2141" i="3"/>
  <c r="G2141" i="3"/>
  <c r="H2141" i="3"/>
  <c r="I2141" i="3"/>
  <c r="J2141" i="3"/>
  <c r="K2141" i="3"/>
  <c r="L2141" i="3"/>
  <c r="A2142" i="3"/>
  <c r="B2142" i="3"/>
  <c r="C2142" i="3"/>
  <c r="D2142" i="3"/>
  <c r="E2142" i="3"/>
  <c r="F2142" i="3"/>
  <c r="G2142" i="3"/>
  <c r="H2142" i="3"/>
  <c r="I2142" i="3"/>
  <c r="J2142" i="3"/>
  <c r="K2142" i="3"/>
  <c r="L2142" i="3"/>
  <c r="A2143" i="3"/>
  <c r="B2143" i="3"/>
  <c r="C2143" i="3"/>
  <c r="D2143" i="3"/>
  <c r="E2143" i="3"/>
  <c r="F2143" i="3"/>
  <c r="G2143" i="3"/>
  <c r="H2143" i="3"/>
  <c r="I2143" i="3"/>
  <c r="J2143" i="3"/>
  <c r="K2143" i="3"/>
  <c r="L2143" i="3"/>
  <c r="A2144" i="3"/>
  <c r="B2144" i="3"/>
  <c r="C2144" i="3"/>
  <c r="D2144" i="3"/>
  <c r="E2144" i="3"/>
  <c r="F2144" i="3"/>
  <c r="G2144" i="3"/>
  <c r="H2144" i="3"/>
  <c r="I2144" i="3"/>
  <c r="J2144" i="3"/>
  <c r="K2144" i="3"/>
  <c r="L2144" i="3"/>
  <c r="A2145" i="3"/>
  <c r="B2145" i="3"/>
  <c r="C2145" i="3"/>
  <c r="D2145" i="3"/>
  <c r="E2145" i="3"/>
  <c r="F2145" i="3"/>
  <c r="G2145" i="3"/>
  <c r="H2145" i="3"/>
  <c r="I2145" i="3"/>
  <c r="J2145" i="3"/>
  <c r="K2145" i="3"/>
  <c r="L2145" i="3"/>
  <c r="A2146" i="3"/>
  <c r="B2146" i="3"/>
  <c r="C2146" i="3"/>
  <c r="D2146" i="3"/>
  <c r="E2146" i="3"/>
  <c r="F2146" i="3"/>
  <c r="G2146" i="3"/>
  <c r="H2146" i="3"/>
  <c r="I2146" i="3"/>
  <c r="J2146" i="3"/>
  <c r="K2146" i="3"/>
  <c r="L2146" i="3"/>
  <c r="A2147" i="3"/>
  <c r="B2147" i="3"/>
  <c r="C2147" i="3"/>
  <c r="D2147" i="3"/>
  <c r="E2147" i="3"/>
  <c r="F2147" i="3"/>
  <c r="G2147" i="3"/>
  <c r="H2147" i="3"/>
  <c r="I2147" i="3"/>
  <c r="J2147" i="3"/>
  <c r="K2147" i="3"/>
  <c r="L2147" i="3"/>
  <c r="A2148" i="3"/>
  <c r="B2148" i="3"/>
  <c r="C2148" i="3"/>
  <c r="D2148" i="3"/>
  <c r="E2148" i="3"/>
  <c r="F2148" i="3"/>
  <c r="G2148" i="3"/>
  <c r="H2148" i="3"/>
  <c r="I2148" i="3"/>
  <c r="J2148" i="3"/>
  <c r="K2148" i="3"/>
  <c r="L2148" i="3"/>
  <c r="A2149" i="3"/>
  <c r="B2149" i="3"/>
  <c r="C2149" i="3"/>
  <c r="D2149" i="3"/>
  <c r="E2149" i="3"/>
  <c r="F2149" i="3"/>
  <c r="G2149" i="3"/>
  <c r="H2149" i="3"/>
  <c r="I2149" i="3"/>
  <c r="J2149" i="3"/>
  <c r="K2149" i="3"/>
  <c r="L2149" i="3"/>
  <c r="A2150" i="3"/>
  <c r="B2150" i="3"/>
  <c r="C2150" i="3"/>
  <c r="D2150" i="3"/>
  <c r="E2150" i="3"/>
  <c r="F2150" i="3"/>
  <c r="G2150" i="3"/>
  <c r="H2150" i="3"/>
  <c r="I2150" i="3"/>
  <c r="J2150" i="3"/>
  <c r="K2150" i="3"/>
  <c r="L2150" i="3"/>
  <c r="A2151" i="3"/>
  <c r="B2151" i="3"/>
  <c r="C2151" i="3"/>
  <c r="D2151" i="3"/>
  <c r="E2151" i="3"/>
  <c r="F2151" i="3"/>
  <c r="G2151" i="3"/>
  <c r="H2151" i="3"/>
  <c r="I2151" i="3"/>
  <c r="J2151" i="3"/>
  <c r="K2151" i="3"/>
  <c r="L2151" i="3"/>
  <c r="A2152" i="3"/>
  <c r="B2152" i="3"/>
  <c r="C2152" i="3"/>
  <c r="D2152" i="3"/>
  <c r="E2152" i="3"/>
  <c r="F2152" i="3"/>
  <c r="G2152" i="3"/>
  <c r="H2152" i="3"/>
  <c r="I2152" i="3"/>
  <c r="J2152" i="3"/>
  <c r="K2152" i="3"/>
  <c r="L2152" i="3"/>
  <c r="A2153" i="3"/>
  <c r="B2153" i="3"/>
  <c r="C2153" i="3"/>
  <c r="D2153" i="3"/>
  <c r="E2153" i="3"/>
  <c r="F2153" i="3"/>
  <c r="G2153" i="3"/>
  <c r="H2153" i="3"/>
  <c r="I2153" i="3"/>
  <c r="J2153" i="3"/>
  <c r="K2153" i="3"/>
  <c r="L2153" i="3"/>
  <c r="A2154" i="3"/>
  <c r="B2154" i="3"/>
  <c r="C2154" i="3"/>
  <c r="D2154" i="3"/>
  <c r="E2154" i="3"/>
  <c r="F2154" i="3"/>
  <c r="G2154" i="3"/>
  <c r="H2154" i="3"/>
  <c r="I2154" i="3"/>
  <c r="J2154" i="3"/>
  <c r="K2154" i="3"/>
  <c r="L2154" i="3"/>
  <c r="A2155" i="3"/>
  <c r="B2155" i="3"/>
  <c r="C2155" i="3"/>
  <c r="D2155" i="3"/>
  <c r="E2155" i="3"/>
  <c r="F2155" i="3"/>
  <c r="G2155" i="3"/>
  <c r="H2155" i="3"/>
  <c r="I2155" i="3"/>
  <c r="J2155" i="3"/>
  <c r="K2155" i="3"/>
  <c r="L2155" i="3"/>
  <c r="A2156" i="3"/>
  <c r="B2156" i="3"/>
  <c r="C2156" i="3"/>
  <c r="D2156" i="3"/>
  <c r="E2156" i="3"/>
  <c r="F2156" i="3"/>
  <c r="G2156" i="3"/>
  <c r="H2156" i="3"/>
  <c r="I2156" i="3"/>
  <c r="J2156" i="3"/>
  <c r="K2156" i="3"/>
  <c r="L2156" i="3"/>
  <c r="A2157" i="3"/>
  <c r="B2157" i="3"/>
  <c r="C2157" i="3"/>
  <c r="D2157" i="3"/>
  <c r="E2157" i="3"/>
  <c r="F2157" i="3"/>
  <c r="G2157" i="3"/>
  <c r="H2157" i="3"/>
  <c r="I2157" i="3"/>
  <c r="J2157" i="3"/>
  <c r="K2157" i="3"/>
  <c r="L2157" i="3"/>
  <c r="A2158" i="3"/>
  <c r="B2158" i="3"/>
  <c r="C2158" i="3"/>
  <c r="D2158" i="3"/>
  <c r="E2158" i="3"/>
  <c r="F2158" i="3"/>
  <c r="G2158" i="3"/>
  <c r="H2158" i="3"/>
  <c r="I2158" i="3"/>
  <c r="J2158" i="3"/>
  <c r="K2158" i="3"/>
  <c r="L2158" i="3"/>
  <c r="A2159" i="3"/>
  <c r="B2159" i="3"/>
  <c r="C2159" i="3"/>
  <c r="D2159" i="3"/>
  <c r="E2159" i="3"/>
  <c r="F2159" i="3"/>
  <c r="G2159" i="3"/>
  <c r="H2159" i="3"/>
  <c r="I2159" i="3"/>
  <c r="J2159" i="3"/>
  <c r="K2159" i="3"/>
  <c r="L2159" i="3"/>
  <c r="A2160" i="3"/>
  <c r="B2160" i="3"/>
  <c r="C2160" i="3"/>
  <c r="D2160" i="3"/>
  <c r="E2160" i="3"/>
  <c r="F2160" i="3"/>
  <c r="G2160" i="3"/>
  <c r="H2160" i="3"/>
  <c r="I2160" i="3"/>
  <c r="J2160" i="3"/>
  <c r="K2160" i="3"/>
  <c r="L2160" i="3"/>
  <c r="A2161" i="3"/>
  <c r="B2161" i="3"/>
  <c r="C2161" i="3"/>
  <c r="D2161" i="3"/>
  <c r="E2161" i="3"/>
  <c r="F2161" i="3"/>
  <c r="G2161" i="3"/>
  <c r="H2161" i="3"/>
  <c r="I2161" i="3"/>
  <c r="J2161" i="3"/>
  <c r="K2161" i="3"/>
  <c r="L2161" i="3"/>
  <c r="A2162" i="3"/>
  <c r="B2162" i="3"/>
  <c r="C2162" i="3"/>
  <c r="D2162" i="3"/>
  <c r="E2162" i="3"/>
  <c r="F2162" i="3"/>
  <c r="G2162" i="3"/>
  <c r="H2162" i="3"/>
  <c r="I2162" i="3"/>
  <c r="J2162" i="3"/>
  <c r="K2162" i="3"/>
  <c r="L2162" i="3"/>
  <c r="A2163" i="3"/>
  <c r="B2163" i="3"/>
  <c r="C2163" i="3"/>
  <c r="D2163" i="3"/>
  <c r="E2163" i="3"/>
  <c r="F2163" i="3"/>
  <c r="G2163" i="3"/>
  <c r="H2163" i="3"/>
  <c r="I2163" i="3"/>
  <c r="J2163" i="3"/>
  <c r="K2163" i="3"/>
  <c r="L2163" i="3"/>
  <c r="A2164" i="3"/>
  <c r="B2164" i="3"/>
  <c r="C2164" i="3"/>
  <c r="D2164" i="3"/>
  <c r="E2164" i="3"/>
  <c r="F2164" i="3"/>
  <c r="G2164" i="3"/>
  <c r="H2164" i="3"/>
  <c r="I2164" i="3"/>
  <c r="J2164" i="3"/>
  <c r="K2164" i="3"/>
  <c r="L2164" i="3"/>
  <c r="A2165" i="3"/>
  <c r="B2165" i="3"/>
  <c r="C2165" i="3"/>
  <c r="D2165" i="3"/>
  <c r="E2165" i="3"/>
  <c r="F2165" i="3"/>
  <c r="G2165" i="3"/>
  <c r="H2165" i="3"/>
  <c r="I2165" i="3"/>
  <c r="J2165" i="3"/>
  <c r="K2165" i="3"/>
  <c r="L2165" i="3"/>
  <c r="A2166" i="3"/>
  <c r="B2166" i="3"/>
  <c r="C2166" i="3"/>
  <c r="D2166" i="3"/>
  <c r="E2166" i="3"/>
  <c r="F2166" i="3"/>
  <c r="G2166" i="3"/>
  <c r="H2166" i="3"/>
  <c r="I2166" i="3"/>
  <c r="J2166" i="3"/>
  <c r="K2166" i="3"/>
  <c r="L2166" i="3"/>
  <c r="A2167" i="3"/>
  <c r="B2167" i="3"/>
  <c r="C2167" i="3"/>
  <c r="D2167" i="3"/>
  <c r="E2167" i="3"/>
  <c r="F2167" i="3"/>
  <c r="G2167" i="3"/>
  <c r="H2167" i="3"/>
  <c r="I2167" i="3"/>
  <c r="J2167" i="3"/>
  <c r="K2167" i="3"/>
  <c r="L2167" i="3"/>
  <c r="A2168" i="3"/>
  <c r="B2168" i="3"/>
  <c r="C2168" i="3"/>
  <c r="D2168" i="3"/>
  <c r="E2168" i="3"/>
  <c r="F2168" i="3"/>
  <c r="G2168" i="3"/>
  <c r="H2168" i="3"/>
  <c r="I2168" i="3"/>
  <c r="J2168" i="3"/>
  <c r="K2168" i="3"/>
  <c r="L2168" i="3"/>
  <c r="A2169" i="3"/>
  <c r="B2169" i="3"/>
  <c r="C2169" i="3"/>
  <c r="D2169" i="3"/>
  <c r="E2169" i="3"/>
  <c r="F2169" i="3"/>
  <c r="G2169" i="3"/>
  <c r="H2169" i="3"/>
  <c r="I2169" i="3"/>
  <c r="J2169" i="3"/>
  <c r="K2169" i="3"/>
  <c r="L2169" i="3"/>
  <c r="A2170" i="3"/>
  <c r="B2170" i="3"/>
  <c r="C2170" i="3"/>
  <c r="D2170" i="3"/>
  <c r="E2170" i="3"/>
  <c r="F2170" i="3"/>
  <c r="G2170" i="3"/>
  <c r="H2170" i="3"/>
  <c r="I2170" i="3"/>
  <c r="J2170" i="3"/>
  <c r="K2170" i="3"/>
  <c r="L2170" i="3"/>
  <c r="A2171" i="3"/>
  <c r="B2171" i="3"/>
  <c r="C2171" i="3"/>
  <c r="D2171" i="3"/>
  <c r="E2171" i="3"/>
  <c r="F2171" i="3"/>
  <c r="G2171" i="3"/>
  <c r="H2171" i="3"/>
  <c r="I2171" i="3"/>
  <c r="J2171" i="3"/>
  <c r="K2171" i="3"/>
  <c r="L2171" i="3"/>
  <c r="A2172" i="3"/>
  <c r="B2172" i="3"/>
  <c r="C2172" i="3"/>
  <c r="D2172" i="3"/>
  <c r="E2172" i="3"/>
  <c r="F2172" i="3"/>
  <c r="G2172" i="3"/>
  <c r="H2172" i="3"/>
  <c r="I2172" i="3"/>
  <c r="J2172" i="3"/>
  <c r="K2172" i="3"/>
  <c r="L2172" i="3"/>
  <c r="A2173" i="3"/>
  <c r="B2173" i="3"/>
  <c r="C2173" i="3"/>
  <c r="D2173" i="3"/>
  <c r="E2173" i="3"/>
  <c r="F2173" i="3"/>
  <c r="G2173" i="3"/>
  <c r="H2173" i="3"/>
  <c r="I2173" i="3"/>
  <c r="J2173" i="3"/>
  <c r="K2173" i="3"/>
  <c r="L2173" i="3"/>
  <c r="A2174" i="3"/>
  <c r="B2174" i="3"/>
  <c r="C2174" i="3"/>
  <c r="D2174" i="3"/>
  <c r="E2174" i="3"/>
  <c r="F2174" i="3"/>
  <c r="G2174" i="3"/>
  <c r="H2174" i="3"/>
  <c r="I2174" i="3"/>
  <c r="J2174" i="3"/>
  <c r="K2174" i="3"/>
  <c r="L2174" i="3"/>
  <c r="A2175" i="3"/>
  <c r="B2175" i="3"/>
  <c r="C2175" i="3"/>
  <c r="D2175" i="3"/>
  <c r="E2175" i="3"/>
  <c r="F2175" i="3"/>
  <c r="G2175" i="3"/>
  <c r="H2175" i="3"/>
  <c r="I2175" i="3"/>
  <c r="J2175" i="3"/>
  <c r="K2175" i="3"/>
  <c r="L2175" i="3"/>
  <c r="A2176" i="3"/>
  <c r="B2176" i="3"/>
  <c r="C2176" i="3"/>
  <c r="D2176" i="3"/>
  <c r="E2176" i="3"/>
  <c r="F2176" i="3"/>
  <c r="G2176" i="3"/>
  <c r="H2176" i="3"/>
  <c r="I2176" i="3"/>
  <c r="J2176" i="3"/>
  <c r="K2176" i="3"/>
  <c r="L2176" i="3"/>
  <c r="A2177" i="3"/>
  <c r="B2177" i="3"/>
  <c r="C2177" i="3"/>
  <c r="D2177" i="3"/>
  <c r="E2177" i="3"/>
  <c r="F2177" i="3"/>
  <c r="G2177" i="3"/>
  <c r="H2177" i="3"/>
  <c r="I2177" i="3"/>
  <c r="J2177" i="3"/>
  <c r="K2177" i="3"/>
  <c r="L2177" i="3"/>
  <c r="A2178" i="3"/>
  <c r="B2178" i="3"/>
  <c r="C2178" i="3"/>
  <c r="D2178" i="3"/>
  <c r="E2178" i="3"/>
  <c r="F2178" i="3"/>
  <c r="G2178" i="3"/>
  <c r="H2178" i="3"/>
  <c r="I2178" i="3"/>
  <c r="J2178" i="3"/>
  <c r="K2178" i="3"/>
  <c r="L2178" i="3"/>
  <c r="A2179" i="3"/>
  <c r="B2179" i="3"/>
  <c r="C2179" i="3"/>
  <c r="D2179" i="3"/>
  <c r="E2179" i="3"/>
  <c r="F2179" i="3"/>
  <c r="G2179" i="3"/>
  <c r="H2179" i="3"/>
  <c r="I2179" i="3"/>
  <c r="J2179" i="3"/>
  <c r="K2179" i="3"/>
  <c r="L2179" i="3"/>
  <c r="A2180" i="3"/>
  <c r="B2180" i="3"/>
  <c r="C2180" i="3"/>
  <c r="D2180" i="3"/>
  <c r="E2180" i="3"/>
  <c r="F2180" i="3"/>
  <c r="G2180" i="3"/>
  <c r="H2180" i="3"/>
  <c r="I2180" i="3"/>
  <c r="J2180" i="3"/>
  <c r="K2180" i="3"/>
  <c r="L2180" i="3"/>
  <c r="A2181" i="3"/>
  <c r="B2181" i="3"/>
  <c r="C2181" i="3"/>
  <c r="D2181" i="3"/>
  <c r="E2181" i="3"/>
  <c r="F2181" i="3"/>
  <c r="G2181" i="3"/>
  <c r="H2181" i="3"/>
  <c r="I2181" i="3"/>
  <c r="J2181" i="3"/>
  <c r="K2181" i="3"/>
  <c r="L2181" i="3"/>
  <c r="A2182" i="3"/>
  <c r="B2182" i="3"/>
  <c r="C2182" i="3"/>
  <c r="D2182" i="3"/>
  <c r="E2182" i="3"/>
  <c r="F2182" i="3"/>
  <c r="G2182" i="3"/>
  <c r="H2182" i="3"/>
  <c r="I2182" i="3"/>
  <c r="J2182" i="3"/>
  <c r="K2182" i="3"/>
  <c r="L2182" i="3"/>
  <c r="A2183" i="3"/>
  <c r="B2183" i="3"/>
  <c r="C2183" i="3"/>
  <c r="D2183" i="3"/>
  <c r="E2183" i="3"/>
  <c r="F2183" i="3"/>
  <c r="G2183" i="3"/>
  <c r="H2183" i="3"/>
  <c r="I2183" i="3"/>
  <c r="J2183" i="3"/>
  <c r="K2183" i="3"/>
  <c r="L2183" i="3"/>
  <c r="A2184" i="3"/>
  <c r="B2184" i="3"/>
  <c r="C2184" i="3"/>
  <c r="D2184" i="3"/>
  <c r="E2184" i="3"/>
  <c r="F2184" i="3"/>
  <c r="G2184" i="3"/>
  <c r="H2184" i="3"/>
  <c r="I2184" i="3"/>
  <c r="J2184" i="3"/>
  <c r="K2184" i="3"/>
  <c r="L2184" i="3"/>
  <c r="A2185" i="3"/>
  <c r="B2185" i="3"/>
  <c r="C2185" i="3"/>
  <c r="D2185" i="3"/>
  <c r="E2185" i="3"/>
  <c r="F2185" i="3"/>
  <c r="G2185" i="3"/>
  <c r="H2185" i="3"/>
  <c r="I2185" i="3"/>
  <c r="J2185" i="3"/>
  <c r="K2185" i="3"/>
  <c r="L2185" i="3"/>
  <c r="A2186" i="3"/>
  <c r="B2186" i="3"/>
  <c r="C2186" i="3"/>
  <c r="D2186" i="3"/>
  <c r="E2186" i="3"/>
  <c r="F2186" i="3"/>
  <c r="G2186" i="3"/>
  <c r="H2186" i="3"/>
  <c r="I2186" i="3"/>
  <c r="J2186" i="3"/>
  <c r="K2186" i="3"/>
  <c r="L2186" i="3"/>
  <c r="A2187" i="3"/>
  <c r="B2187" i="3"/>
  <c r="C2187" i="3"/>
  <c r="D2187" i="3"/>
  <c r="E2187" i="3"/>
  <c r="F2187" i="3"/>
  <c r="G2187" i="3"/>
  <c r="H2187" i="3"/>
  <c r="I2187" i="3"/>
  <c r="J2187" i="3"/>
  <c r="K2187" i="3"/>
  <c r="L2187" i="3"/>
  <c r="A2188" i="3"/>
  <c r="B2188" i="3"/>
  <c r="C2188" i="3"/>
  <c r="D2188" i="3"/>
  <c r="E2188" i="3"/>
  <c r="F2188" i="3"/>
  <c r="G2188" i="3"/>
  <c r="H2188" i="3"/>
  <c r="I2188" i="3"/>
  <c r="J2188" i="3"/>
  <c r="K2188" i="3"/>
  <c r="L2188" i="3"/>
  <c r="A2189" i="3"/>
  <c r="B2189" i="3"/>
  <c r="C2189" i="3"/>
  <c r="D2189" i="3"/>
  <c r="E2189" i="3"/>
  <c r="F2189" i="3"/>
  <c r="G2189" i="3"/>
  <c r="H2189" i="3"/>
  <c r="I2189" i="3"/>
  <c r="J2189" i="3"/>
  <c r="K2189" i="3"/>
  <c r="L2189" i="3"/>
  <c r="A2190" i="3"/>
  <c r="B2190" i="3"/>
  <c r="C2190" i="3"/>
  <c r="D2190" i="3"/>
  <c r="E2190" i="3"/>
  <c r="F2190" i="3"/>
  <c r="G2190" i="3"/>
  <c r="H2190" i="3"/>
  <c r="I2190" i="3"/>
  <c r="J2190" i="3"/>
  <c r="K2190" i="3"/>
  <c r="L2190" i="3"/>
  <c r="A2191" i="3"/>
  <c r="B2191" i="3"/>
  <c r="C2191" i="3"/>
  <c r="D2191" i="3"/>
  <c r="E2191" i="3"/>
  <c r="F2191" i="3"/>
  <c r="G2191" i="3"/>
  <c r="H2191" i="3"/>
  <c r="I2191" i="3"/>
  <c r="J2191" i="3"/>
  <c r="K2191" i="3"/>
  <c r="L2191" i="3"/>
  <c r="A2192" i="3"/>
  <c r="B2192" i="3"/>
  <c r="C2192" i="3"/>
  <c r="D2192" i="3"/>
  <c r="E2192" i="3"/>
  <c r="F2192" i="3"/>
  <c r="G2192" i="3"/>
  <c r="H2192" i="3"/>
  <c r="I2192" i="3"/>
  <c r="J2192" i="3"/>
  <c r="K2192" i="3"/>
  <c r="L2192" i="3"/>
  <c r="A2193" i="3"/>
  <c r="B2193" i="3"/>
  <c r="C2193" i="3"/>
  <c r="D2193" i="3"/>
  <c r="E2193" i="3"/>
  <c r="F2193" i="3"/>
  <c r="G2193" i="3"/>
  <c r="H2193" i="3"/>
  <c r="I2193" i="3"/>
  <c r="J2193" i="3"/>
  <c r="K2193" i="3"/>
  <c r="L2193" i="3"/>
  <c r="A2194" i="3"/>
  <c r="B2194" i="3"/>
  <c r="C2194" i="3"/>
  <c r="D2194" i="3"/>
  <c r="E2194" i="3"/>
  <c r="F2194" i="3"/>
  <c r="G2194" i="3"/>
  <c r="H2194" i="3"/>
  <c r="I2194" i="3"/>
  <c r="J2194" i="3"/>
  <c r="K2194" i="3"/>
  <c r="L2194" i="3"/>
  <c r="A2195" i="3"/>
  <c r="B2195" i="3"/>
  <c r="C2195" i="3"/>
  <c r="D2195" i="3"/>
  <c r="E2195" i="3"/>
  <c r="F2195" i="3"/>
  <c r="G2195" i="3"/>
  <c r="H2195" i="3"/>
  <c r="I2195" i="3"/>
  <c r="J2195" i="3"/>
  <c r="K2195" i="3"/>
  <c r="L2195" i="3"/>
  <c r="A2196" i="3"/>
  <c r="B2196" i="3"/>
  <c r="C2196" i="3"/>
  <c r="D2196" i="3"/>
  <c r="E2196" i="3"/>
  <c r="F2196" i="3"/>
  <c r="G2196" i="3"/>
  <c r="H2196" i="3"/>
  <c r="I2196" i="3"/>
  <c r="J2196" i="3"/>
  <c r="K2196" i="3"/>
  <c r="L2196" i="3"/>
  <c r="A2197" i="3"/>
  <c r="B2197" i="3"/>
  <c r="C2197" i="3"/>
  <c r="D2197" i="3"/>
  <c r="E2197" i="3"/>
  <c r="F2197" i="3"/>
  <c r="G2197" i="3"/>
  <c r="H2197" i="3"/>
  <c r="I2197" i="3"/>
  <c r="J2197" i="3"/>
  <c r="K2197" i="3"/>
  <c r="L2197" i="3"/>
  <c r="A2198" i="3"/>
  <c r="B2198" i="3"/>
  <c r="C2198" i="3"/>
  <c r="D2198" i="3"/>
  <c r="E2198" i="3"/>
  <c r="F2198" i="3"/>
  <c r="G2198" i="3"/>
  <c r="H2198" i="3"/>
  <c r="I2198" i="3"/>
  <c r="J2198" i="3"/>
  <c r="K2198" i="3"/>
  <c r="L2198" i="3"/>
  <c r="A2199" i="3"/>
  <c r="B2199" i="3"/>
  <c r="C2199" i="3"/>
  <c r="D2199" i="3"/>
  <c r="E2199" i="3"/>
  <c r="F2199" i="3"/>
  <c r="G2199" i="3"/>
  <c r="H2199" i="3"/>
  <c r="I2199" i="3"/>
  <c r="J2199" i="3"/>
  <c r="K2199" i="3"/>
  <c r="L2199" i="3"/>
  <c r="A2200" i="3"/>
  <c r="B2200" i="3"/>
  <c r="C2200" i="3"/>
  <c r="D2200" i="3"/>
  <c r="E2200" i="3"/>
  <c r="F2200" i="3"/>
  <c r="G2200" i="3"/>
  <c r="H2200" i="3"/>
  <c r="I2200" i="3"/>
  <c r="J2200" i="3"/>
  <c r="K2200" i="3"/>
  <c r="L2200" i="3"/>
  <c r="A2201" i="3"/>
  <c r="B2201" i="3"/>
  <c r="C2201" i="3"/>
  <c r="D2201" i="3"/>
  <c r="E2201" i="3"/>
  <c r="F2201" i="3"/>
  <c r="G2201" i="3"/>
  <c r="H2201" i="3"/>
  <c r="I2201" i="3"/>
  <c r="J2201" i="3"/>
  <c r="K2201" i="3"/>
  <c r="L2201" i="3"/>
  <c r="A2202" i="3"/>
  <c r="B2202" i="3"/>
  <c r="C2202" i="3"/>
  <c r="D2202" i="3"/>
  <c r="E2202" i="3"/>
  <c r="F2202" i="3"/>
  <c r="G2202" i="3"/>
  <c r="H2202" i="3"/>
  <c r="I2202" i="3"/>
  <c r="J2202" i="3"/>
  <c r="K2202" i="3"/>
  <c r="L2202" i="3"/>
  <c r="A2203" i="3"/>
  <c r="B2203" i="3"/>
  <c r="C2203" i="3"/>
  <c r="D2203" i="3"/>
  <c r="E2203" i="3"/>
  <c r="F2203" i="3"/>
  <c r="G2203" i="3"/>
  <c r="H2203" i="3"/>
  <c r="I2203" i="3"/>
  <c r="J2203" i="3"/>
  <c r="K2203" i="3"/>
  <c r="L2203" i="3"/>
  <c r="A2204" i="3"/>
  <c r="B2204" i="3"/>
  <c r="C2204" i="3"/>
  <c r="D2204" i="3"/>
  <c r="E2204" i="3"/>
  <c r="F2204" i="3"/>
  <c r="G2204" i="3"/>
  <c r="H2204" i="3"/>
  <c r="I2204" i="3"/>
  <c r="J2204" i="3"/>
  <c r="K2204" i="3"/>
  <c r="L2204" i="3"/>
  <c r="A2205" i="3"/>
  <c r="B2205" i="3"/>
  <c r="C2205" i="3"/>
  <c r="D2205" i="3"/>
  <c r="E2205" i="3"/>
  <c r="F2205" i="3"/>
  <c r="G2205" i="3"/>
  <c r="H2205" i="3"/>
  <c r="I2205" i="3"/>
  <c r="J2205" i="3"/>
  <c r="K2205" i="3"/>
  <c r="L2205" i="3"/>
  <c r="A2206" i="3"/>
  <c r="B2206" i="3"/>
  <c r="C2206" i="3"/>
  <c r="D2206" i="3"/>
  <c r="E2206" i="3"/>
  <c r="F2206" i="3"/>
  <c r="G2206" i="3"/>
  <c r="H2206" i="3"/>
  <c r="I2206" i="3"/>
  <c r="J2206" i="3"/>
  <c r="K2206" i="3"/>
  <c r="L2206" i="3"/>
  <c r="A2207" i="3"/>
  <c r="B2207" i="3"/>
  <c r="C2207" i="3"/>
  <c r="D2207" i="3"/>
  <c r="E2207" i="3"/>
  <c r="F2207" i="3"/>
  <c r="G2207" i="3"/>
  <c r="H2207" i="3"/>
  <c r="I2207" i="3"/>
  <c r="J2207" i="3"/>
  <c r="K2207" i="3"/>
  <c r="L2207" i="3"/>
  <c r="A2208" i="3"/>
  <c r="B2208" i="3"/>
  <c r="C2208" i="3"/>
  <c r="D2208" i="3"/>
  <c r="E2208" i="3"/>
  <c r="F2208" i="3"/>
  <c r="G2208" i="3"/>
  <c r="H2208" i="3"/>
  <c r="I2208" i="3"/>
  <c r="J2208" i="3"/>
  <c r="K2208" i="3"/>
  <c r="L2208" i="3"/>
  <c r="A2209" i="3"/>
  <c r="B2209" i="3"/>
  <c r="C2209" i="3"/>
  <c r="D2209" i="3"/>
  <c r="E2209" i="3"/>
  <c r="F2209" i="3"/>
  <c r="G2209" i="3"/>
  <c r="H2209" i="3"/>
  <c r="I2209" i="3"/>
  <c r="J2209" i="3"/>
  <c r="K2209" i="3"/>
  <c r="L2209" i="3"/>
  <c r="A2210" i="3"/>
  <c r="B2210" i="3"/>
  <c r="C2210" i="3"/>
  <c r="D2210" i="3"/>
  <c r="E2210" i="3"/>
  <c r="F2210" i="3"/>
  <c r="G2210" i="3"/>
  <c r="H2210" i="3"/>
  <c r="I2210" i="3"/>
  <c r="J2210" i="3"/>
  <c r="K2210" i="3"/>
  <c r="L2210" i="3"/>
  <c r="A2211" i="3"/>
  <c r="B2211" i="3"/>
  <c r="C2211" i="3"/>
  <c r="D2211" i="3"/>
  <c r="E2211" i="3"/>
  <c r="F2211" i="3"/>
  <c r="G2211" i="3"/>
  <c r="H2211" i="3"/>
  <c r="I2211" i="3"/>
  <c r="J2211" i="3"/>
  <c r="K2211" i="3"/>
  <c r="L2211" i="3"/>
  <c r="A2212" i="3"/>
  <c r="B2212" i="3"/>
  <c r="C2212" i="3"/>
  <c r="D2212" i="3"/>
  <c r="E2212" i="3"/>
  <c r="F2212" i="3"/>
  <c r="G2212" i="3"/>
  <c r="H2212" i="3"/>
  <c r="I2212" i="3"/>
  <c r="J2212" i="3"/>
  <c r="K2212" i="3"/>
  <c r="L2212" i="3"/>
  <c r="A2213" i="3"/>
  <c r="B2213" i="3"/>
  <c r="C2213" i="3"/>
  <c r="D2213" i="3"/>
  <c r="E2213" i="3"/>
  <c r="F2213" i="3"/>
  <c r="G2213" i="3"/>
  <c r="H2213" i="3"/>
  <c r="I2213" i="3"/>
  <c r="J2213" i="3"/>
  <c r="K2213" i="3"/>
  <c r="L2213" i="3"/>
  <c r="A2214" i="3"/>
  <c r="B2214" i="3"/>
  <c r="C2214" i="3"/>
  <c r="D2214" i="3"/>
  <c r="E2214" i="3"/>
  <c r="F2214" i="3"/>
  <c r="G2214" i="3"/>
  <c r="H2214" i="3"/>
  <c r="I2214" i="3"/>
  <c r="J2214" i="3"/>
  <c r="K2214" i="3"/>
  <c r="L2214" i="3"/>
  <c r="A2215" i="3"/>
  <c r="B2215" i="3"/>
  <c r="C2215" i="3"/>
  <c r="D2215" i="3"/>
  <c r="E2215" i="3"/>
  <c r="F2215" i="3"/>
  <c r="G2215" i="3"/>
  <c r="H2215" i="3"/>
  <c r="I2215" i="3"/>
  <c r="J2215" i="3"/>
  <c r="K2215" i="3"/>
  <c r="L2215" i="3"/>
  <c r="A2216" i="3"/>
  <c r="B2216" i="3"/>
  <c r="C2216" i="3"/>
  <c r="D2216" i="3"/>
  <c r="E2216" i="3"/>
  <c r="F2216" i="3"/>
  <c r="G2216" i="3"/>
  <c r="H2216" i="3"/>
  <c r="I2216" i="3"/>
  <c r="J2216" i="3"/>
  <c r="K2216" i="3"/>
  <c r="L2216" i="3"/>
  <c r="A2217" i="3"/>
  <c r="B2217" i="3"/>
  <c r="C2217" i="3"/>
  <c r="D2217" i="3"/>
  <c r="E2217" i="3"/>
  <c r="F2217" i="3"/>
  <c r="G2217" i="3"/>
  <c r="H2217" i="3"/>
  <c r="I2217" i="3"/>
  <c r="J2217" i="3"/>
  <c r="K2217" i="3"/>
  <c r="L2217" i="3"/>
  <c r="A2218" i="3"/>
  <c r="B2218" i="3"/>
  <c r="C2218" i="3"/>
  <c r="D2218" i="3"/>
  <c r="E2218" i="3"/>
  <c r="F2218" i="3"/>
  <c r="G2218" i="3"/>
  <c r="H2218" i="3"/>
  <c r="I2218" i="3"/>
  <c r="J2218" i="3"/>
  <c r="K2218" i="3"/>
  <c r="L2218" i="3"/>
  <c r="A2219" i="3"/>
  <c r="B2219" i="3"/>
  <c r="C2219" i="3"/>
  <c r="D2219" i="3"/>
  <c r="E2219" i="3"/>
  <c r="F2219" i="3"/>
  <c r="G2219" i="3"/>
  <c r="H2219" i="3"/>
  <c r="I2219" i="3"/>
  <c r="J2219" i="3"/>
  <c r="K2219" i="3"/>
  <c r="L2219" i="3"/>
  <c r="A2220" i="3"/>
  <c r="B2220" i="3"/>
  <c r="C2220" i="3"/>
  <c r="D2220" i="3"/>
  <c r="E2220" i="3"/>
  <c r="F2220" i="3"/>
  <c r="G2220" i="3"/>
  <c r="H2220" i="3"/>
  <c r="I2220" i="3"/>
  <c r="J2220" i="3"/>
  <c r="K2220" i="3"/>
  <c r="L2220" i="3"/>
  <c r="A2221" i="3"/>
  <c r="B2221" i="3"/>
  <c r="C2221" i="3"/>
  <c r="D2221" i="3"/>
  <c r="E2221" i="3"/>
  <c r="F2221" i="3"/>
  <c r="G2221" i="3"/>
  <c r="H2221" i="3"/>
  <c r="I2221" i="3"/>
  <c r="J2221" i="3"/>
  <c r="K2221" i="3"/>
  <c r="L2221" i="3"/>
  <c r="A2222" i="3"/>
  <c r="B2222" i="3"/>
  <c r="C2222" i="3"/>
  <c r="D2222" i="3"/>
  <c r="E2222" i="3"/>
  <c r="F2222" i="3"/>
  <c r="G2222" i="3"/>
  <c r="H2222" i="3"/>
  <c r="I2222" i="3"/>
  <c r="J2222" i="3"/>
  <c r="K2222" i="3"/>
  <c r="L2222" i="3"/>
  <c r="A2223" i="3"/>
  <c r="B2223" i="3"/>
  <c r="C2223" i="3"/>
  <c r="D2223" i="3"/>
  <c r="E2223" i="3"/>
  <c r="F2223" i="3"/>
  <c r="G2223" i="3"/>
  <c r="H2223" i="3"/>
  <c r="I2223" i="3"/>
  <c r="J2223" i="3"/>
  <c r="K2223" i="3"/>
  <c r="L2223" i="3"/>
  <c r="A2224" i="3"/>
  <c r="B2224" i="3"/>
  <c r="C2224" i="3"/>
  <c r="D2224" i="3"/>
  <c r="E2224" i="3"/>
  <c r="F2224" i="3"/>
  <c r="G2224" i="3"/>
  <c r="H2224" i="3"/>
  <c r="I2224" i="3"/>
  <c r="J2224" i="3"/>
  <c r="K2224" i="3"/>
  <c r="L2224" i="3"/>
  <c r="A2225" i="3"/>
  <c r="B2225" i="3"/>
  <c r="C2225" i="3"/>
  <c r="D2225" i="3"/>
  <c r="E2225" i="3"/>
  <c r="F2225" i="3"/>
  <c r="G2225" i="3"/>
  <c r="H2225" i="3"/>
  <c r="I2225" i="3"/>
  <c r="J2225" i="3"/>
  <c r="K2225" i="3"/>
  <c r="L2225" i="3"/>
  <c r="A2226" i="3"/>
  <c r="B2226" i="3"/>
  <c r="C2226" i="3"/>
  <c r="D2226" i="3"/>
  <c r="E2226" i="3"/>
  <c r="F2226" i="3"/>
  <c r="G2226" i="3"/>
  <c r="H2226" i="3"/>
  <c r="I2226" i="3"/>
  <c r="J2226" i="3"/>
  <c r="K2226" i="3"/>
  <c r="L2226" i="3"/>
  <c r="A2227" i="3"/>
  <c r="B2227" i="3"/>
  <c r="C2227" i="3"/>
  <c r="D2227" i="3"/>
  <c r="E2227" i="3"/>
  <c r="F2227" i="3"/>
  <c r="G2227" i="3"/>
  <c r="H2227" i="3"/>
  <c r="I2227" i="3"/>
  <c r="J2227" i="3"/>
  <c r="K2227" i="3"/>
  <c r="L2227" i="3"/>
  <c r="A2228" i="3"/>
  <c r="B2228" i="3"/>
  <c r="C2228" i="3"/>
  <c r="D2228" i="3"/>
  <c r="E2228" i="3"/>
  <c r="F2228" i="3"/>
  <c r="G2228" i="3"/>
  <c r="H2228" i="3"/>
  <c r="I2228" i="3"/>
  <c r="J2228" i="3"/>
  <c r="K2228" i="3"/>
  <c r="L2228" i="3"/>
  <c r="A2229" i="3"/>
  <c r="B2229" i="3"/>
  <c r="C2229" i="3"/>
  <c r="D2229" i="3"/>
  <c r="E2229" i="3"/>
  <c r="F2229" i="3"/>
  <c r="G2229" i="3"/>
  <c r="H2229" i="3"/>
  <c r="I2229" i="3"/>
  <c r="J2229" i="3"/>
  <c r="K2229" i="3"/>
  <c r="L2229" i="3"/>
  <c r="A2230" i="3"/>
  <c r="B2230" i="3"/>
  <c r="C2230" i="3"/>
  <c r="D2230" i="3"/>
  <c r="E2230" i="3"/>
  <c r="F2230" i="3"/>
  <c r="G2230" i="3"/>
  <c r="H2230" i="3"/>
  <c r="I2230" i="3"/>
  <c r="J2230" i="3"/>
  <c r="K2230" i="3"/>
  <c r="L2230" i="3"/>
  <c r="A2231" i="3"/>
  <c r="B2231" i="3"/>
  <c r="C2231" i="3"/>
  <c r="D2231" i="3"/>
  <c r="E2231" i="3"/>
  <c r="F2231" i="3"/>
  <c r="G2231" i="3"/>
  <c r="H2231" i="3"/>
  <c r="I2231" i="3"/>
  <c r="J2231" i="3"/>
  <c r="K2231" i="3"/>
  <c r="L2231" i="3"/>
  <c r="A2232" i="3"/>
  <c r="B2232" i="3"/>
  <c r="C2232" i="3"/>
  <c r="D2232" i="3"/>
  <c r="E2232" i="3"/>
  <c r="F2232" i="3"/>
  <c r="G2232" i="3"/>
  <c r="H2232" i="3"/>
  <c r="I2232" i="3"/>
  <c r="J2232" i="3"/>
  <c r="K2232" i="3"/>
  <c r="L2232" i="3"/>
  <c r="A2233" i="3"/>
  <c r="B2233" i="3"/>
  <c r="C2233" i="3"/>
  <c r="D2233" i="3"/>
  <c r="E2233" i="3"/>
  <c r="F2233" i="3"/>
  <c r="G2233" i="3"/>
  <c r="H2233" i="3"/>
  <c r="I2233" i="3"/>
  <c r="J2233" i="3"/>
  <c r="K2233" i="3"/>
  <c r="L2233" i="3"/>
  <c r="A2234" i="3"/>
  <c r="B2234" i="3"/>
  <c r="C2234" i="3"/>
  <c r="D2234" i="3"/>
  <c r="E2234" i="3"/>
  <c r="F2234" i="3"/>
  <c r="G2234" i="3"/>
  <c r="H2234" i="3"/>
  <c r="I2234" i="3"/>
  <c r="J2234" i="3"/>
  <c r="K2234" i="3"/>
  <c r="L2234" i="3"/>
  <c r="A2235" i="3"/>
  <c r="B2235" i="3"/>
  <c r="C2235" i="3"/>
  <c r="D2235" i="3"/>
  <c r="E2235" i="3"/>
  <c r="F2235" i="3"/>
  <c r="G2235" i="3"/>
  <c r="H2235" i="3"/>
  <c r="I2235" i="3"/>
  <c r="J2235" i="3"/>
  <c r="K2235" i="3"/>
  <c r="L2235" i="3"/>
  <c r="A2236" i="3"/>
  <c r="B2236" i="3"/>
  <c r="C2236" i="3"/>
  <c r="D2236" i="3"/>
  <c r="E2236" i="3"/>
  <c r="F2236" i="3"/>
  <c r="G2236" i="3"/>
  <c r="H2236" i="3"/>
  <c r="I2236" i="3"/>
  <c r="J2236" i="3"/>
  <c r="K2236" i="3"/>
  <c r="L2236" i="3"/>
  <c r="A2237" i="3"/>
  <c r="B2237" i="3"/>
  <c r="C2237" i="3"/>
  <c r="D2237" i="3"/>
  <c r="E2237" i="3"/>
  <c r="F2237" i="3"/>
  <c r="G2237" i="3"/>
  <c r="H2237" i="3"/>
  <c r="I2237" i="3"/>
  <c r="J2237" i="3"/>
  <c r="K2237" i="3"/>
  <c r="L2237" i="3"/>
  <c r="A2238" i="3"/>
  <c r="B2238" i="3"/>
  <c r="C2238" i="3"/>
  <c r="D2238" i="3"/>
  <c r="E2238" i="3"/>
  <c r="F2238" i="3"/>
  <c r="G2238" i="3"/>
  <c r="H2238" i="3"/>
  <c r="I2238" i="3"/>
  <c r="J2238" i="3"/>
  <c r="K2238" i="3"/>
  <c r="L2238" i="3"/>
  <c r="A2239" i="3"/>
  <c r="B2239" i="3"/>
  <c r="C2239" i="3"/>
  <c r="D2239" i="3"/>
  <c r="E2239" i="3"/>
  <c r="F2239" i="3"/>
  <c r="G2239" i="3"/>
  <c r="H2239" i="3"/>
  <c r="I2239" i="3"/>
  <c r="J2239" i="3"/>
  <c r="K2239" i="3"/>
  <c r="L2239" i="3"/>
  <c r="A2240" i="3"/>
  <c r="B2240" i="3"/>
  <c r="C2240" i="3"/>
  <c r="D2240" i="3"/>
  <c r="E2240" i="3"/>
  <c r="F2240" i="3"/>
  <c r="G2240" i="3"/>
  <c r="H2240" i="3"/>
  <c r="I2240" i="3"/>
  <c r="J2240" i="3"/>
  <c r="K2240" i="3"/>
  <c r="L2240" i="3"/>
  <c r="A2241" i="3"/>
  <c r="B2241" i="3"/>
  <c r="C2241" i="3"/>
  <c r="D2241" i="3"/>
  <c r="E2241" i="3"/>
  <c r="F2241" i="3"/>
  <c r="G2241" i="3"/>
  <c r="H2241" i="3"/>
  <c r="I2241" i="3"/>
  <c r="J2241" i="3"/>
  <c r="K2241" i="3"/>
  <c r="L2241" i="3"/>
  <c r="A2242" i="3"/>
  <c r="B2242" i="3"/>
  <c r="C2242" i="3"/>
  <c r="D2242" i="3"/>
  <c r="E2242" i="3"/>
  <c r="F2242" i="3"/>
  <c r="G2242" i="3"/>
  <c r="H2242" i="3"/>
  <c r="I2242" i="3"/>
  <c r="J2242" i="3"/>
  <c r="K2242" i="3"/>
  <c r="L2242" i="3"/>
  <c r="A2243" i="3"/>
  <c r="B2243" i="3"/>
  <c r="C2243" i="3"/>
  <c r="D2243" i="3"/>
  <c r="E2243" i="3"/>
  <c r="F2243" i="3"/>
  <c r="G2243" i="3"/>
  <c r="H2243" i="3"/>
  <c r="I2243" i="3"/>
  <c r="J2243" i="3"/>
  <c r="K2243" i="3"/>
  <c r="L2243" i="3"/>
  <c r="A2244" i="3"/>
  <c r="B2244" i="3"/>
  <c r="C2244" i="3"/>
  <c r="D2244" i="3"/>
  <c r="E2244" i="3"/>
  <c r="F2244" i="3"/>
  <c r="G2244" i="3"/>
  <c r="H2244" i="3"/>
  <c r="I2244" i="3"/>
  <c r="J2244" i="3"/>
  <c r="K2244" i="3"/>
  <c r="L2244" i="3"/>
  <c r="A2245" i="3"/>
  <c r="B2245" i="3"/>
  <c r="C2245" i="3"/>
  <c r="D2245" i="3"/>
  <c r="E2245" i="3"/>
  <c r="F2245" i="3"/>
  <c r="G2245" i="3"/>
  <c r="H2245" i="3"/>
  <c r="I2245" i="3"/>
  <c r="J2245" i="3"/>
  <c r="K2245" i="3"/>
  <c r="L2245" i="3"/>
  <c r="A2246" i="3"/>
  <c r="B2246" i="3"/>
  <c r="C2246" i="3"/>
  <c r="D2246" i="3"/>
  <c r="E2246" i="3"/>
  <c r="F2246" i="3"/>
  <c r="G2246" i="3"/>
  <c r="H2246" i="3"/>
  <c r="I2246" i="3"/>
  <c r="J2246" i="3"/>
  <c r="K2246" i="3"/>
  <c r="L2246" i="3"/>
  <c r="A2247" i="3"/>
  <c r="B2247" i="3"/>
  <c r="C2247" i="3"/>
  <c r="D2247" i="3"/>
  <c r="E2247" i="3"/>
  <c r="F2247" i="3"/>
  <c r="G2247" i="3"/>
  <c r="H2247" i="3"/>
  <c r="I2247" i="3"/>
  <c r="J2247" i="3"/>
  <c r="K2247" i="3"/>
  <c r="L2247" i="3"/>
  <c r="A2248" i="3"/>
  <c r="B2248" i="3"/>
  <c r="C2248" i="3"/>
  <c r="D2248" i="3"/>
  <c r="E2248" i="3"/>
  <c r="F2248" i="3"/>
  <c r="G2248" i="3"/>
  <c r="H2248" i="3"/>
  <c r="I2248" i="3"/>
  <c r="J2248" i="3"/>
  <c r="K2248" i="3"/>
  <c r="L2248" i="3"/>
  <c r="A2249" i="3"/>
  <c r="B2249" i="3"/>
  <c r="C2249" i="3"/>
  <c r="D2249" i="3"/>
  <c r="E2249" i="3"/>
  <c r="F2249" i="3"/>
  <c r="G2249" i="3"/>
  <c r="H2249" i="3"/>
  <c r="I2249" i="3"/>
  <c r="J2249" i="3"/>
  <c r="K2249" i="3"/>
  <c r="L2249" i="3"/>
  <c r="A2250" i="3"/>
  <c r="B2250" i="3"/>
  <c r="C2250" i="3"/>
  <c r="D2250" i="3"/>
  <c r="E2250" i="3"/>
  <c r="F2250" i="3"/>
  <c r="G2250" i="3"/>
  <c r="H2250" i="3"/>
  <c r="I2250" i="3"/>
  <c r="J2250" i="3"/>
  <c r="K2250" i="3"/>
  <c r="L2250" i="3"/>
  <c r="A2251" i="3"/>
  <c r="B2251" i="3"/>
  <c r="C2251" i="3"/>
  <c r="D2251" i="3"/>
  <c r="E2251" i="3"/>
  <c r="F2251" i="3"/>
  <c r="G2251" i="3"/>
  <c r="H2251" i="3"/>
  <c r="I2251" i="3"/>
  <c r="J2251" i="3"/>
  <c r="K2251" i="3"/>
  <c r="L2251" i="3"/>
  <c r="A2252" i="3"/>
  <c r="B2252" i="3"/>
  <c r="C2252" i="3"/>
  <c r="D2252" i="3"/>
  <c r="E2252" i="3"/>
  <c r="F2252" i="3"/>
  <c r="G2252" i="3"/>
  <c r="H2252" i="3"/>
  <c r="I2252" i="3"/>
  <c r="J2252" i="3"/>
  <c r="K2252" i="3"/>
  <c r="L2252" i="3"/>
  <c r="A2253" i="3"/>
  <c r="B2253" i="3"/>
  <c r="C2253" i="3"/>
  <c r="D2253" i="3"/>
  <c r="E2253" i="3"/>
  <c r="F2253" i="3"/>
  <c r="G2253" i="3"/>
  <c r="H2253" i="3"/>
  <c r="I2253" i="3"/>
  <c r="J2253" i="3"/>
  <c r="K2253" i="3"/>
  <c r="L2253" i="3"/>
  <c r="A2254" i="3"/>
  <c r="B2254" i="3"/>
  <c r="C2254" i="3"/>
  <c r="D2254" i="3"/>
  <c r="E2254" i="3"/>
  <c r="F2254" i="3"/>
  <c r="G2254" i="3"/>
  <c r="H2254" i="3"/>
  <c r="I2254" i="3"/>
  <c r="J2254" i="3"/>
  <c r="K2254" i="3"/>
  <c r="L2254" i="3"/>
  <c r="A2255" i="3"/>
  <c r="B2255" i="3"/>
  <c r="C2255" i="3"/>
  <c r="D2255" i="3"/>
  <c r="E2255" i="3"/>
  <c r="F2255" i="3"/>
  <c r="G2255" i="3"/>
  <c r="H2255" i="3"/>
  <c r="I2255" i="3"/>
  <c r="J2255" i="3"/>
  <c r="K2255" i="3"/>
  <c r="L2255" i="3"/>
  <c r="A2256" i="3"/>
  <c r="B2256" i="3"/>
  <c r="C2256" i="3"/>
  <c r="D2256" i="3"/>
  <c r="E2256" i="3"/>
  <c r="F2256" i="3"/>
  <c r="G2256" i="3"/>
  <c r="H2256" i="3"/>
  <c r="I2256" i="3"/>
  <c r="J2256" i="3"/>
  <c r="K2256" i="3"/>
  <c r="L2256" i="3"/>
  <c r="A2257" i="3"/>
  <c r="B2257" i="3"/>
  <c r="C2257" i="3"/>
  <c r="D2257" i="3"/>
  <c r="E2257" i="3"/>
  <c r="F2257" i="3"/>
  <c r="G2257" i="3"/>
  <c r="H2257" i="3"/>
  <c r="I2257" i="3"/>
  <c r="J2257" i="3"/>
  <c r="K2257" i="3"/>
  <c r="L2257" i="3"/>
  <c r="A2258" i="3"/>
  <c r="B2258" i="3"/>
  <c r="C2258" i="3"/>
  <c r="D2258" i="3"/>
  <c r="E2258" i="3"/>
  <c r="F2258" i="3"/>
  <c r="G2258" i="3"/>
  <c r="H2258" i="3"/>
  <c r="I2258" i="3"/>
  <c r="J2258" i="3"/>
  <c r="K2258" i="3"/>
  <c r="L2258" i="3"/>
  <c r="A2259" i="3"/>
  <c r="B2259" i="3"/>
  <c r="C2259" i="3"/>
  <c r="D2259" i="3"/>
  <c r="E2259" i="3"/>
  <c r="F2259" i="3"/>
  <c r="G2259" i="3"/>
  <c r="H2259" i="3"/>
  <c r="I2259" i="3"/>
  <c r="J2259" i="3"/>
  <c r="K2259" i="3"/>
  <c r="L2259" i="3"/>
  <c r="A2260" i="3"/>
  <c r="B2260" i="3"/>
  <c r="C2260" i="3"/>
  <c r="D2260" i="3"/>
  <c r="E2260" i="3"/>
  <c r="F2260" i="3"/>
  <c r="G2260" i="3"/>
  <c r="H2260" i="3"/>
  <c r="I2260" i="3"/>
  <c r="J2260" i="3"/>
  <c r="K2260" i="3"/>
  <c r="L2260" i="3"/>
  <c r="A2261" i="3"/>
  <c r="B2261" i="3"/>
  <c r="C2261" i="3"/>
  <c r="D2261" i="3"/>
  <c r="E2261" i="3"/>
  <c r="F2261" i="3"/>
  <c r="G2261" i="3"/>
  <c r="H2261" i="3"/>
  <c r="I2261" i="3"/>
  <c r="J2261" i="3"/>
  <c r="K2261" i="3"/>
  <c r="L2261" i="3"/>
  <c r="A2262" i="3"/>
  <c r="B2262" i="3"/>
  <c r="C2262" i="3"/>
  <c r="D2262" i="3"/>
  <c r="E2262" i="3"/>
  <c r="F2262" i="3"/>
  <c r="G2262" i="3"/>
  <c r="H2262" i="3"/>
  <c r="I2262" i="3"/>
  <c r="J2262" i="3"/>
  <c r="K2262" i="3"/>
  <c r="L2262" i="3"/>
  <c r="A2263" i="3"/>
  <c r="B2263" i="3"/>
  <c r="C2263" i="3"/>
  <c r="D2263" i="3"/>
  <c r="E2263" i="3"/>
  <c r="F2263" i="3"/>
  <c r="G2263" i="3"/>
  <c r="H2263" i="3"/>
  <c r="I2263" i="3"/>
  <c r="J2263" i="3"/>
  <c r="K2263" i="3"/>
  <c r="L2263" i="3"/>
  <c r="A2264" i="3"/>
  <c r="B2264" i="3"/>
  <c r="C2264" i="3"/>
  <c r="D2264" i="3"/>
  <c r="E2264" i="3"/>
  <c r="F2264" i="3"/>
  <c r="G2264" i="3"/>
  <c r="H2264" i="3"/>
  <c r="I2264" i="3"/>
  <c r="J2264" i="3"/>
  <c r="K2264" i="3"/>
  <c r="L2264" i="3"/>
  <c r="A2265" i="3"/>
  <c r="B2265" i="3"/>
  <c r="C2265" i="3"/>
  <c r="D2265" i="3"/>
  <c r="E2265" i="3"/>
  <c r="F2265" i="3"/>
  <c r="G2265" i="3"/>
  <c r="H2265" i="3"/>
  <c r="I2265" i="3"/>
  <c r="J2265" i="3"/>
  <c r="K2265" i="3"/>
  <c r="L2265" i="3"/>
  <c r="A2266" i="3"/>
  <c r="B2266" i="3"/>
  <c r="C2266" i="3"/>
  <c r="D2266" i="3"/>
  <c r="E2266" i="3"/>
  <c r="F2266" i="3"/>
  <c r="G2266" i="3"/>
  <c r="H2266" i="3"/>
  <c r="I2266" i="3"/>
  <c r="J2266" i="3"/>
  <c r="K2266" i="3"/>
  <c r="L2266" i="3"/>
  <c r="A2267" i="3"/>
  <c r="B2267" i="3"/>
  <c r="C2267" i="3"/>
  <c r="D2267" i="3"/>
  <c r="E2267" i="3"/>
  <c r="F2267" i="3"/>
  <c r="G2267" i="3"/>
  <c r="H2267" i="3"/>
  <c r="I2267" i="3"/>
  <c r="J2267" i="3"/>
  <c r="K2267" i="3"/>
  <c r="L2267" i="3"/>
  <c r="A2268" i="3"/>
  <c r="B2268" i="3"/>
  <c r="C2268" i="3"/>
  <c r="D2268" i="3"/>
  <c r="E2268" i="3"/>
  <c r="F2268" i="3"/>
  <c r="G2268" i="3"/>
  <c r="H2268" i="3"/>
  <c r="I2268" i="3"/>
  <c r="J2268" i="3"/>
  <c r="K2268" i="3"/>
  <c r="L2268" i="3"/>
  <c r="A2269" i="3"/>
  <c r="B2269" i="3"/>
  <c r="C2269" i="3"/>
  <c r="D2269" i="3"/>
  <c r="E2269" i="3"/>
  <c r="F2269" i="3"/>
  <c r="G2269" i="3"/>
  <c r="H2269" i="3"/>
  <c r="I2269" i="3"/>
  <c r="J2269" i="3"/>
  <c r="K2269" i="3"/>
  <c r="L2269" i="3"/>
  <c r="A2270" i="3"/>
  <c r="B2270" i="3"/>
  <c r="C2270" i="3"/>
  <c r="D2270" i="3"/>
  <c r="E2270" i="3"/>
  <c r="F2270" i="3"/>
  <c r="G2270" i="3"/>
  <c r="H2270" i="3"/>
  <c r="I2270" i="3"/>
  <c r="J2270" i="3"/>
  <c r="K2270" i="3"/>
  <c r="L2270" i="3"/>
  <c r="A2271" i="3"/>
  <c r="B2271" i="3"/>
  <c r="C2271" i="3"/>
  <c r="D2271" i="3"/>
  <c r="E2271" i="3"/>
  <c r="F2271" i="3"/>
  <c r="G2271" i="3"/>
  <c r="H2271" i="3"/>
  <c r="I2271" i="3"/>
  <c r="J2271" i="3"/>
  <c r="K2271" i="3"/>
  <c r="L2271" i="3"/>
  <c r="A2272" i="3"/>
  <c r="B2272" i="3"/>
  <c r="C2272" i="3"/>
  <c r="D2272" i="3"/>
  <c r="E2272" i="3"/>
  <c r="F2272" i="3"/>
  <c r="G2272" i="3"/>
  <c r="H2272" i="3"/>
  <c r="I2272" i="3"/>
  <c r="J2272" i="3"/>
  <c r="K2272" i="3"/>
  <c r="L2272" i="3"/>
  <c r="A2273" i="3"/>
  <c r="B2273" i="3"/>
  <c r="C2273" i="3"/>
  <c r="D2273" i="3"/>
  <c r="E2273" i="3"/>
  <c r="F2273" i="3"/>
  <c r="G2273" i="3"/>
  <c r="H2273" i="3"/>
  <c r="I2273" i="3"/>
  <c r="J2273" i="3"/>
  <c r="K2273" i="3"/>
  <c r="L2273" i="3"/>
  <c r="A2274" i="3"/>
  <c r="B2274" i="3"/>
  <c r="C2274" i="3"/>
  <c r="D2274" i="3"/>
  <c r="E2274" i="3"/>
  <c r="F2274" i="3"/>
  <c r="G2274" i="3"/>
  <c r="H2274" i="3"/>
  <c r="I2274" i="3"/>
  <c r="J2274" i="3"/>
  <c r="K2274" i="3"/>
  <c r="L2274" i="3"/>
  <c r="A2275" i="3"/>
  <c r="B2275" i="3"/>
  <c r="C2275" i="3"/>
  <c r="D2275" i="3"/>
  <c r="E2275" i="3"/>
  <c r="F2275" i="3"/>
  <c r="G2275" i="3"/>
  <c r="H2275" i="3"/>
  <c r="I2275" i="3"/>
  <c r="J2275" i="3"/>
  <c r="K2275" i="3"/>
  <c r="L2275" i="3"/>
  <c r="A2276" i="3"/>
  <c r="B2276" i="3"/>
  <c r="C2276" i="3"/>
  <c r="D2276" i="3"/>
  <c r="E2276" i="3"/>
  <c r="F2276" i="3"/>
  <c r="G2276" i="3"/>
  <c r="H2276" i="3"/>
  <c r="I2276" i="3"/>
  <c r="J2276" i="3"/>
  <c r="K2276" i="3"/>
  <c r="L2276" i="3"/>
  <c r="A2277" i="3"/>
  <c r="B2277" i="3"/>
  <c r="C2277" i="3"/>
  <c r="D2277" i="3"/>
  <c r="E2277" i="3"/>
  <c r="F2277" i="3"/>
  <c r="G2277" i="3"/>
  <c r="H2277" i="3"/>
  <c r="I2277" i="3"/>
  <c r="J2277" i="3"/>
  <c r="K2277" i="3"/>
  <c r="L2277" i="3"/>
  <c r="A2278" i="3"/>
  <c r="B2278" i="3"/>
  <c r="C2278" i="3"/>
  <c r="D2278" i="3"/>
  <c r="E2278" i="3"/>
  <c r="F2278" i="3"/>
  <c r="G2278" i="3"/>
  <c r="H2278" i="3"/>
  <c r="I2278" i="3"/>
  <c r="J2278" i="3"/>
  <c r="K2278" i="3"/>
  <c r="L2278" i="3"/>
  <c r="A2279" i="3"/>
  <c r="B2279" i="3"/>
  <c r="C2279" i="3"/>
  <c r="D2279" i="3"/>
  <c r="E2279" i="3"/>
  <c r="F2279" i="3"/>
  <c r="G2279" i="3"/>
  <c r="H2279" i="3"/>
  <c r="I2279" i="3"/>
  <c r="J2279" i="3"/>
  <c r="K2279" i="3"/>
  <c r="L2279" i="3"/>
  <c r="A2280" i="3"/>
  <c r="B2280" i="3"/>
  <c r="C2280" i="3"/>
  <c r="D2280" i="3"/>
  <c r="E2280" i="3"/>
  <c r="F2280" i="3"/>
  <c r="G2280" i="3"/>
  <c r="H2280" i="3"/>
  <c r="I2280" i="3"/>
  <c r="J2280" i="3"/>
  <c r="K2280" i="3"/>
  <c r="L2280" i="3"/>
  <c r="A2281" i="3"/>
  <c r="B2281" i="3"/>
  <c r="C2281" i="3"/>
  <c r="D2281" i="3"/>
  <c r="E2281" i="3"/>
  <c r="F2281" i="3"/>
  <c r="G2281" i="3"/>
  <c r="H2281" i="3"/>
  <c r="I2281" i="3"/>
  <c r="J2281" i="3"/>
  <c r="K2281" i="3"/>
  <c r="L2281" i="3"/>
  <c r="A2282" i="3"/>
  <c r="B2282" i="3"/>
  <c r="C2282" i="3"/>
  <c r="D2282" i="3"/>
  <c r="E2282" i="3"/>
  <c r="F2282" i="3"/>
  <c r="G2282" i="3"/>
  <c r="H2282" i="3"/>
  <c r="I2282" i="3"/>
  <c r="J2282" i="3"/>
  <c r="K2282" i="3"/>
  <c r="L2282" i="3"/>
  <c r="A2283" i="3"/>
  <c r="B2283" i="3"/>
  <c r="C2283" i="3"/>
  <c r="D2283" i="3"/>
  <c r="E2283" i="3"/>
  <c r="F2283" i="3"/>
  <c r="G2283" i="3"/>
  <c r="H2283" i="3"/>
  <c r="I2283" i="3"/>
  <c r="J2283" i="3"/>
  <c r="K2283" i="3"/>
  <c r="L2283" i="3"/>
  <c r="A2284" i="3"/>
  <c r="B2284" i="3"/>
  <c r="C2284" i="3"/>
  <c r="D2284" i="3"/>
  <c r="E2284" i="3"/>
  <c r="F2284" i="3"/>
  <c r="G2284" i="3"/>
  <c r="H2284" i="3"/>
  <c r="I2284" i="3"/>
  <c r="J2284" i="3"/>
  <c r="K2284" i="3"/>
  <c r="L2284" i="3"/>
  <c r="A2285" i="3"/>
  <c r="B2285" i="3"/>
  <c r="C2285" i="3"/>
  <c r="D2285" i="3"/>
  <c r="E2285" i="3"/>
  <c r="F2285" i="3"/>
  <c r="G2285" i="3"/>
  <c r="H2285" i="3"/>
  <c r="I2285" i="3"/>
  <c r="J2285" i="3"/>
  <c r="K2285" i="3"/>
  <c r="L2285" i="3"/>
  <c r="A2286" i="3"/>
  <c r="B2286" i="3"/>
  <c r="C2286" i="3"/>
  <c r="D2286" i="3"/>
  <c r="E2286" i="3"/>
  <c r="F2286" i="3"/>
  <c r="G2286" i="3"/>
  <c r="H2286" i="3"/>
  <c r="I2286" i="3"/>
  <c r="J2286" i="3"/>
  <c r="K2286" i="3"/>
  <c r="L2286" i="3"/>
  <c r="A2287" i="3"/>
  <c r="B2287" i="3"/>
  <c r="C2287" i="3"/>
  <c r="D2287" i="3"/>
  <c r="E2287" i="3"/>
  <c r="F2287" i="3"/>
  <c r="G2287" i="3"/>
  <c r="H2287" i="3"/>
  <c r="I2287" i="3"/>
  <c r="J2287" i="3"/>
  <c r="K2287" i="3"/>
  <c r="L2287" i="3"/>
  <c r="A2288" i="3"/>
  <c r="B2288" i="3"/>
  <c r="C2288" i="3"/>
  <c r="D2288" i="3"/>
  <c r="E2288" i="3"/>
  <c r="F2288" i="3"/>
  <c r="G2288" i="3"/>
  <c r="H2288" i="3"/>
  <c r="I2288" i="3"/>
  <c r="J2288" i="3"/>
  <c r="K2288" i="3"/>
  <c r="L2288" i="3"/>
  <c r="A2289" i="3"/>
  <c r="B2289" i="3"/>
  <c r="C2289" i="3"/>
  <c r="D2289" i="3"/>
  <c r="E2289" i="3"/>
  <c r="F2289" i="3"/>
  <c r="G2289" i="3"/>
  <c r="H2289" i="3"/>
  <c r="I2289" i="3"/>
  <c r="J2289" i="3"/>
  <c r="K2289" i="3"/>
  <c r="L2289" i="3"/>
  <c r="A2290" i="3"/>
  <c r="B2290" i="3"/>
  <c r="C2290" i="3"/>
  <c r="D2290" i="3"/>
  <c r="E2290" i="3"/>
  <c r="F2290" i="3"/>
  <c r="G2290" i="3"/>
  <c r="H2290" i="3"/>
  <c r="I2290" i="3"/>
  <c r="J2290" i="3"/>
  <c r="K2290" i="3"/>
  <c r="L2290" i="3"/>
  <c r="A2291" i="3"/>
  <c r="B2291" i="3"/>
  <c r="C2291" i="3"/>
  <c r="D2291" i="3"/>
  <c r="E2291" i="3"/>
  <c r="F2291" i="3"/>
  <c r="G2291" i="3"/>
  <c r="H2291" i="3"/>
  <c r="I2291" i="3"/>
  <c r="J2291" i="3"/>
  <c r="K2291" i="3"/>
  <c r="L2291" i="3"/>
  <c r="A2292" i="3"/>
  <c r="B2292" i="3"/>
  <c r="C2292" i="3"/>
  <c r="D2292" i="3"/>
  <c r="E2292" i="3"/>
  <c r="F2292" i="3"/>
  <c r="G2292" i="3"/>
  <c r="H2292" i="3"/>
  <c r="I2292" i="3"/>
  <c r="J2292" i="3"/>
  <c r="K2292" i="3"/>
  <c r="L2292" i="3"/>
  <c r="A2293" i="3"/>
  <c r="B2293" i="3"/>
  <c r="C2293" i="3"/>
  <c r="D2293" i="3"/>
  <c r="E2293" i="3"/>
  <c r="F2293" i="3"/>
  <c r="G2293" i="3"/>
  <c r="H2293" i="3"/>
  <c r="I2293" i="3"/>
  <c r="J2293" i="3"/>
  <c r="K2293" i="3"/>
  <c r="L2293" i="3"/>
  <c r="A2294" i="3"/>
  <c r="B2294" i="3"/>
  <c r="C2294" i="3"/>
  <c r="D2294" i="3"/>
  <c r="E2294" i="3"/>
  <c r="F2294" i="3"/>
  <c r="G2294" i="3"/>
  <c r="H2294" i="3"/>
  <c r="I2294" i="3"/>
  <c r="J2294" i="3"/>
  <c r="K2294" i="3"/>
  <c r="L2294" i="3"/>
  <c r="A2295" i="3"/>
  <c r="B2295" i="3"/>
  <c r="C2295" i="3"/>
  <c r="D2295" i="3"/>
  <c r="E2295" i="3"/>
  <c r="F2295" i="3"/>
  <c r="G2295" i="3"/>
  <c r="H2295" i="3"/>
  <c r="I2295" i="3"/>
  <c r="J2295" i="3"/>
  <c r="K2295" i="3"/>
  <c r="L2295" i="3"/>
  <c r="A2296" i="3"/>
  <c r="B2296" i="3"/>
  <c r="C2296" i="3"/>
  <c r="D2296" i="3"/>
  <c r="E2296" i="3"/>
  <c r="F2296" i="3"/>
  <c r="G2296" i="3"/>
  <c r="H2296" i="3"/>
  <c r="I2296" i="3"/>
  <c r="J2296" i="3"/>
  <c r="K2296" i="3"/>
  <c r="L2296" i="3"/>
  <c r="A2297" i="3"/>
  <c r="B2297" i="3"/>
  <c r="C2297" i="3"/>
  <c r="D2297" i="3"/>
  <c r="E2297" i="3"/>
  <c r="F2297" i="3"/>
  <c r="G2297" i="3"/>
  <c r="H2297" i="3"/>
  <c r="I2297" i="3"/>
  <c r="J2297" i="3"/>
  <c r="K2297" i="3"/>
  <c r="L2297" i="3"/>
  <c r="A2298" i="3"/>
  <c r="B2298" i="3"/>
  <c r="C2298" i="3"/>
  <c r="D2298" i="3"/>
  <c r="E2298" i="3"/>
  <c r="F2298" i="3"/>
  <c r="G2298" i="3"/>
  <c r="H2298" i="3"/>
  <c r="I2298" i="3"/>
  <c r="J2298" i="3"/>
  <c r="K2298" i="3"/>
  <c r="L2298" i="3"/>
  <c r="A2299" i="3"/>
  <c r="B2299" i="3"/>
  <c r="C2299" i="3"/>
  <c r="D2299" i="3"/>
  <c r="E2299" i="3"/>
  <c r="F2299" i="3"/>
  <c r="G2299" i="3"/>
  <c r="H2299" i="3"/>
  <c r="I2299" i="3"/>
  <c r="J2299" i="3"/>
  <c r="K2299" i="3"/>
  <c r="L2299" i="3"/>
  <c r="A2300" i="3"/>
  <c r="B2300" i="3"/>
  <c r="C2300" i="3"/>
  <c r="D2300" i="3"/>
  <c r="E2300" i="3"/>
  <c r="F2300" i="3"/>
  <c r="G2300" i="3"/>
  <c r="H2300" i="3"/>
  <c r="I2300" i="3"/>
  <c r="J2300" i="3"/>
  <c r="K2300" i="3"/>
  <c r="L2300" i="3"/>
  <c r="A2301" i="3"/>
  <c r="B2301" i="3"/>
  <c r="C2301" i="3"/>
  <c r="D2301" i="3"/>
  <c r="E2301" i="3"/>
  <c r="F2301" i="3"/>
  <c r="G2301" i="3"/>
  <c r="H2301" i="3"/>
  <c r="I2301" i="3"/>
  <c r="J2301" i="3"/>
  <c r="K2301" i="3"/>
  <c r="L2301" i="3"/>
  <c r="A2302" i="3"/>
  <c r="B2302" i="3"/>
  <c r="C2302" i="3"/>
  <c r="D2302" i="3"/>
  <c r="E2302" i="3"/>
  <c r="F2302" i="3"/>
  <c r="G2302" i="3"/>
  <c r="H2302" i="3"/>
  <c r="I2302" i="3"/>
  <c r="J2302" i="3"/>
  <c r="K2302" i="3"/>
  <c r="L2302" i="3"/>
  <c r="A2303" i="3"/>
  <c r="B2303" i="3"/>
  <c r="C2303" i="3"/>
  <c r="D2303" i="3"/>
  <c r="E2303" i="3"/>
  <c r="F2303" i="3"/>
  <c r="G2303" i="3"/>
  <c r="H2303" i="3"/>
  <c r="I2303" i="3"/>
  <c r="J2303" i="3"/>
  <c r="K2303" i="3"/>
  <c r="L2303" i="3"/>
  <c r="A2304" i="3"/>
  <c r="B2304" i="3"/>
  <c r="C2304" i="3"/>
  <c r="D2304" i="3"/>
  <c r="E2304" i="3"/>
  <c r="F2304" i="3"/>
  <c r="G2304" i="3"/>
  <c r="H2304" i="3"/>
  <c r="I2304" i="3"/>
  <c r="J2304" i="3"/>
  <c r="K2304" i="3"/>
  <c r="L2304" i="3"/>
  <c r="A2305" i="3"/>
  <c r="B2305" i="3"/>
  <c r="C2305" i="3"/>
  <c r="D2305" i="3"/>
  <c r="E2305" i="3"/>
  <c r="F2305" i="3"/>
  <c r="G2305" i="3"/>
  <c r="H2305" i="3"/>
  <c r="I2305" i="3"/>
  <c r="J2305" i="3"/>
  <c r="K2305" i="3"/>
  <c r="L2305" i="3"/>
  <c r="A2306" i="3"/>
  <c r="B2306" i="3"/>
  <c r="C2306" i="3"/>
  <c r="D2306" i="3"/>
  <c r="E2306" i="3"/>
  <c r="F2306" i="3"/>
  <c r="G2306" i="3"/>
  <c r="H2306" i="3"/>
  <c r="I2306" i="3"/>
  <c r="J2306" i="3"/>
  <c r="K2306" i="3"/>
  <c r="L2306" i="3"/>
  <c r="A2307" i="3"/>
  <c r="B2307" i="3"/>
  <c r="C2307" i="3"/>
  <c r="D2307" i="3"/>
  <c r="E2307" i="3"/>
  <c r="F2307" i="3"/>
  <c r="G2307" i="3"/>
  <c r="H2307" i="3"/>
  <c r="I2307" i="3"/>
  <c r="J2307" i="3"/>
  <c r="K2307" i="3"/>
  <c r="L2307" i="3"/>
  <c r="A2308" i="3"/>
  <c r="B2308" i="3"/>
  <c r="C2308" i="3"/>
  <c r="D2308" i="3"/>
  <c r="E2308" i="3"/>
  <c r="F2308" i="3"/>
  <c r="G2308" i="3"/>
  <c r="H2308" i="3"/>
  <c r="I2308" i="3"/>
  <c r="J2308" i="3"/>
  <c r="K2308" i="3"/>
  <c r="L2308" i="3"/>
  <c r="A2309" i="3"/>
  <c r="B2309" i="3"/>
  <c r="C2309" i="3"/>
  <c r="D2309" i="3"/>
  <c r="E2309" i="3"/>
  <c r="F2309" i="3"/>
  <c r="G2309" i="3"/>
  <c r="H2309" i="3"/>
  <c r="I2309" i="3"/>
  <c r="J2309" i="3"/>
  <c r="K2309" i="3"/>
  <c r="L2309" i="3"/>
  <c r="A2310" i="3"/>
  <c r="B2310" i="3"/>
  <c r="C2310" i="3"/>
  <c r="D2310" i="3"/>
  <c r="E2310" i="3"/>
  <c r="F2310" i="3"/>
  <c r="G2310" i="3"/>
  <c r="H2310" i="3"/>
  <c r="I2310" i="3"/>
  <c r="J2310" i="3"/>
  <c r="K2310" i="3"/>
  <c r="L2310" i="3"/>
  <c r="A2311" i="3"/>
  <c r="B2311" i="3"/>
  <c r="C2311" i="3"/>
  <c r="D2311" i="3"/>
  <c r="E2311" i="3"/>
  <c r="F2311" i="3"/>
  <c r="G2311" i="3"/>
  <c r="H2311" i="3"/>
  <c r="I2311" i="3"/>
  <c r="J2311" i="3"/>
  <c r="K2311" i="3"/>
  <c r="L2311" i="3"/>
  <c r="A2312" i="3"/>
  <c r="B2312" i="3"/>
  <c r="C2312" i="3"/>
  <c r="D2312" i="3"/>
  <c r="E2312" i="3"/>
  <c r="F2312" i="3"/>
  <c r="G2312" i="3"/>
  <c r="H2312" i="3"/>
  <c r="I2312" i="3"/>
  <c r="J2312" i="3"/>
  <c r="K2312" i="3"/>
  <c r="L2312" i="3"/>
  <c r="A2313" i="3"/>
  <c r="B2313" i="3"/>
  <c r="C2313" i="3"/>
  <c r="D2313" i="3"/>
  <c r="E2313" i="3"/>
  <c r="F2313" i="3"/>
  <c r="G2313" i="3"/>
  <c r="H2313" i="3"/>
  <c r="I2313" i="3"/>
  <c r="J2313" i="3"/>
  <c r="K2313" i="3"/>
  <c r="L2313" i="3"/>
  <c r="A2314" i="3"/>
  <c r="B2314" i="3"/>
  <c r="C2314" i="3"/>
  <c r="D2314" i="3"/>
  <c r="E2314" i="3"/>
  <c r="F2314" i="3"/>
  <c r="G2314" i="3"/>
  <c r="H2314" i="3"/>
  <c r="I2314" i="3"/>
  <c r="J2314" i="3"/>
  <c r="K2314" i="3"/>
  <c r="L2314" i="3"/>
  <c r="A2315" i="3"/>
  <c r="B2315" i="3"/>
  <c r="C2315" i="3"/>
  <c r="D2315" i="3"/>
  <c r="E2315" i="3"/>
  <c r="F2315" i="3"/>
  <c r="G2315" i="3"/>
  <c r="H2315" i="3"/>
  <c r="I2315" i="3"/>
  <c r="J2315" i="3"/>
  <c r="K2315" i="3"/>
  <c r="L2315" i="3"/>
  <c r="A2316" i="3"/>
  <c r="B2316" i="3"/>
  <c r="C2316" i="3"/>
  <c r="D2316" i="3"/>
  <c r="E2316" i="3"/>
  <c r="F2316" i="3"/>
  <c r="G2316" i="3"/>
  <c r="H2316" i="3"/>
  <c r="I2316" i="3"/>
  <c r="J2316" i="3"/>
  <c r="K2316" i="3"/>
  <c r="L2316" i="3"/>
  <c r="A2317" i="3"/>
  <c r="B2317" i="3"/>
  <c r="C2317" i="3"/>
  <c r="D2317" i="3"/>
  <c r="E2317" i="3"/>
  <c r="F2317" i="3"/>
  <c r="G2317" i="3"/>
  <c r="H2317" i="3"/>
  <c r="I2317" i="3"/>
  <c r="J2317" i="3"/>
  <c r="K2317" i="3"/>
  <c r="L2317" i="3"/>
  <c r="A2318" i="3"/>
  <c r="B2318" i="3"/>
  <c r="C2318" i="3"/>
  <c r="D2318" i="3"/>
  <c r="E2318" i="3"/>
  <c r="F2318" i="3"/>
  <c r="G2318" i="3"/>
  <c r="H2318" i="3"/>
  <c r="I2318" i="3"/>
  <c r="J2318" i="3"/>
  <c r="K2318" i="3"/>
  <c r="L2318" i="3"/>
  <c r="A2319" i="3"/>
  <c r="B2319" i="3"/>
  <c r="C2319" i="3"/>
  <c r="D2319" i="3"/>
  <c r="E2319" i="3"/>
  <c r="F2319" i="3"/>
  <c r="G2319" i="3"/>
  <c r="H2319" i="3"/>
  <c r="I2319" i="3"/>
  <c r="J2319" i="3"/>
  <c r="K2319" i="3"/>
  <c r="L2319" i="3"/>
  <c r="A2320" i="3"/>
  <c r="B2320" i="3"/>
  <c r="C2320" i="3"/>
  <c r="D2320" i="3"/>
  <c r="E2320" i="3"/>
  <c r="F2320" i="3"/>
  <c r="G2320" i="3"/>
  <c r="H2320" i="3"/>
  <c r="I2320" i="3"/>
  <c r="J2320" i="3"/>
  <c r="K2320" i="3"/>
  <c r="L2320" i="3"/>
  <c r="A2321" i="3"/>
  <c r="B2321" i="3"/>
  <c r="C2321" i="3"/>
  <c r="D2321" i="3"/>
  <c r="E2321" i="3"/>
  <c r="F2321" i="3"/>
  <c r="G2321" i="3"/>
  <c r="H2321" i="3"/>
  <c r="I2321" i="3"/>
  <c r="J2321" i="3"/>
  <c r="K2321" i="3"/>
  <c r="L2321" i="3"/>
  <c r="A2322" i="3"/>
  <c r="B2322" i="3"/>
  <c r="C2322" i="3"/>
  <c r="D2322" i="3"/>
  <c r="E2322" i="3"/>
  <c r="F2322" i="3"/>
  <c r="G2322" i="3"/>
  <c r="H2322" i="3"/>
  <c r="I2322" i="3"/>
  <c r="J2322" i="3"/>
  <c r="K2322" i="3"/>
  <c r="L2322" i="3"/>
  <c r="A2323" i="3"/>
  <c r="B2323" i="3"/>
  <c r="C2323" i="3"/>
  <c r="D2323" i="3"/>
  <c r="E2323" i="3"/>
  <c r="F2323" i="3"/>
  <c r="G2323" i="3"/>
  <c r="H2323" i="3"/>
  <c r="I2323" i="3"/>
  <c r="J2323" i="3"/>
  <c r="K2323" i="3"/>
  <c r="L2323" i="3"/>
  <c r="A2324" i="3"/>
  <c r="B2324" i="3"/>
  <c r="C2324" i="3"/>
  <c r="D2324" i="3"/>
  <c r="E2324" i="3"/>
  <c r="F2324" i="3"/>
  <c r="G2324" i="3"/>
  <c r="H2324" i="3"/>
  <c r="I2324" i="3"/>
  <c r="J2324" i="3"/>
  <c r="K2324" i="3"/>
  <c r="L2324" i="3"/>
  <c r="A2325" i="3"/>
  <c r="B2325" i="3"/>
  <c r="C2325" i="3"/>
  <c r="D2325" i="3"/>
  <c r="E2325" i="3"/>
  <c r="F2325" i="3"/>
  <c r="G2325" i="3"/>
  <c r="H2325" i="3"/>
  <c r="I2325" i="3"/>
  <c r="J2325" i="3"/>
  <c r="K2325" i="3"/>
  <c r="L2325" i="3"/>
  <c r="A2326" i="3"/>
  <c r="B2326" i="3"/>
  <c r="C2326" i="3"/>
  <c r="D2326" i="3"/>
  <c r="E2326" i="3"/>
  <c r="F2326" i="3"/>
  <c r="G2326" i="3"/>
  <c r="H2326" i="3"/>
  <c r="I2326" i="3"/>
  <c r="J2326" i="3"/>
  <c r="K2326" i="3"/>
  <c r="L2326" i="3"/>
  <c r="A2327" i="3"/>
  <c r="B2327" i="3"/>
  <c r="C2327" i="3"/>
  <c r="D2327" i="3"/>
  <c r="E2327" i="3"/>
  <c r="F2327" i="3"/>
  <c r="G2327" i="3"/>
  <c r="H2327" i="3"/>
  <c r="I2327" i="3"/>
  <c r="J2327" i="3"/>
  <c r="K2327" i="3"/>
  <c r="L2327" i="3"/>
  <c r="A2328" i="3"/>
  <c r="B2328" i="3"/>
  <c r="C2328" i="3"/>
  <c r="D2328" i="3"/>
  <c r="E2328" i="3"/>
  <c r="F2328" i="3"/>
  <c r="G2328" i="3"/>
  <c r="H2328" i="3"/>
  <c r="I2328" i="3"/>
  <c r="J2328" i="3"/>
  <c r="K2328" i="3"/>
  <c r="L2328" i="3"/>
  <c r="A2329" i="3"/>
  <c r="B2329" i="3"/>
  <c r="C2329" i="3"/>
  <c r="D2329" i="3"/>
  <c r="E2329" i="3"/>
  <c r="F2329" i="3"/>
  <c r="G2329" i="3"/>
  <c r="H2329" i="3"/>
  <c r="I2329" i="3"/>
  <c r="J2329" i="3"/>
  <c r="K2329" i="3"/>
  <c r="L2329" i="3"/>
  <c r="A2330" i="3"/>
  <c r="B2330" i="3"/>
  <c r="C2330" i="3"/>
  <c r="D2330" i="3"/>
  <c r="E2330" i="3"/>
  <c r="F2330" i="3"/>
  <c r="G2330" i="3"/>
  <c r="H2330" i="3"/>
  <c r="I2330" i="3"/>
  <c r="J2330" i="3"/>
  <c r="K2330" i="3"/>
  <c r="L2330" i="3"/>
  <c r="A2331" i="3"/>
  <c r="B2331" i="3"/>
  <c r="C2331" i="3"/>
  <c r="D2331" i="3"/>
  <c r="E2331" i="3"/>
  <c r="F2331" i="3"/>
  <c r="G2331" i="3"/>
  <c r="H2331" i="3"/>
  <c r="I2331" i="3"/>
  <c r="J2331" i="3"/>
  <c r="K2331" i="3"/>
  <c r="L2331" i="3"/>
  <c r="A2332" i="3"/>
  <c r="B2332" i="3"/>
  <c r="C2332" i="3"/>
  <c r="D2332" i="3"/>
  <c r="E2332" i="3"/>
  <c r="F2332" i="3"/>
  <c r="G2332" i="3"/>
  <c r="H2332" i="3"/>
  <c r="I2332" i="3"/>
  <c r="J2332" i="3"/>
  <c r="K2332" i="3"/>
  <c r="L2332" i="3"/>
  <c r="A2333" i="3"/>
  <c r="B2333" i="3"/>
  <c r="C2333" i="3"/>
  <c r="D2333" i="3"/>
  <c r="E2333" i="3"/>
  <c r="F2333" i="3"/>
  <c r="G2333" i="3"/>
  <c r="H2333" i="3"/>
  <c r="I2333" i="3"/>
  <c r="J2333" i="3"/>
  <c r="K2333" i="3"/>
  <c r="L2333" i="3"/>
  <c r="A2334" i="3"/>
  <c r="B2334" i="3"/>
  <c r="C2334" i="3"/>
  <c r="D2334" i="3"/>
  <c r="E2334" i="3"/>
  <c r="F2334" i="3"/>
  <c r="G2334" i="3"/>
  <c r="H2334" i="3"/>
  <c r="I2334" i="3"/>
  <c r="J2334" i="3"/>
  <c r="K2334" i="3"/>
  <c r="L2334" i="3"/>
  <c r="A2335" i="3"/>
  <c r="B2335" i="3"/>
  <c r="C2335" i="3"/>
  <c r="D2335" i="3"/>
  <c r="E2335" i="3"/>
  <c r="F2335" i="3"/>
  <c r="G2335" i="3"/>
  <c r="H2335" i="3"/>
  <c r="I2335" i="3"/>
  <c r="J2335" i="3"/>
  <c r="K2335" i="3"/>
  <c r="L2335" i="3"/>
  <c r="A2336" i="3"/>
  <c r="B2336" i="3"/>
  <c r="C2336" i="3"/>
  <c r="D2336" i="3"/>
  <c r="E2336" i="3"/>
  <c r="F2336" i="3"/>
  <c r="G2336" i="3"/>
  <c r="H2336" i="3"/>
  <c r="I2336" i="3"/>
  <c r="J2336" i="3"/>
  <c r="K2336" i="3"/>
  <c r="L2336" i="3"/>
  <c r="A2337" i="3"/>
  <c r="B2337" i="3"/>
  <c r="C2337" i="3"/>
  <c r="D2337" i="3"/>
  <c r="E2337" i="3"/>
  <c r="F2337" i="3"/>
  <c r="G2337" i="3"/>
  <c r="H2337" i="3"/>
  <c r="I2337" i="3"/>
  <c r="J2337" i="3"/>
  <c r="K2337" i="3"/>
  <c r="L2337" i="3"/>
  <c r="A2338" i="3"/>
  <c r="B2338" i="3"/>
  <c r="C2338" i="3"/>
  <c r="D2338" i="3"/>
  <c r="E2338" i="3"/>
  <c r="F2338" i="3"/>
  <c r="G2338" i="3"/>
  <c r="H2338" i="3"/>
  <c r="I2338" i="3"/>
  <c r="J2338" i="3"/>
  <c r="K2338" i="3"/>
  <c r="L2338" i="3"/>
  <c r="A2339" i="3"/>
  <c r="B2339" i="3"/>
  <c r="C2339" i="3"/>
  <c r="D2339" i="3"/>
  <c r="E2339" i="3"/>
  <c r="F2339" i="3"/>
  <c r="G2339" i="3"/>
  <c r="H2339" i="3"/>
  <c r="I2339" i="3"/>
  <c r="J2339" i="3"/>
  <c r="K2339" i="3"/>
  <c r="L2339" i="3"/>
  <c r="A2340" i="3"/>
  <c r="B2340" i="3"/>
  <c r="C2340" i="3"/>
  <c r="D2340" i="3"/>
  <c r="E2340" i="3"/>
  <c r="F2340" i="3"/>
  <c r="G2340" i="3"/>
  <c r="H2340" i="3"/>
  <c r="I2340" i="3"/>
  <c r="J2340" i="3"/>
  <c r="K2340" i="3"/>
  <c r="L2340" i="3"/>
  <c r="A2341" i="3"/>
  <c r="B2341" i="3"/>
  <c r="C2341" i="3"/>
  <c r="D2341" i="3"/>
  <c r="E2341" i="3"/>
  <c r="F2341" i="3"/>
  <c r="G2341" i="3"/>
  <c r="H2341" i="3"/>
  <c r="I2341" i="3"/>
  <c r="J2341" i="3"/>
  <c r="K2341" i="3"/>
  <c r="L2341" i="3"/>
  <c r="A2342" i="3"/>
  <c r="B2342" i="3"/>
  <c r="C2342" i="3"/>
  <c r="D2342" i="3"/>
  <c r="E2342" i="3"/>
  <c r="F2342" i="3"/>
  <c r="G2342" i="3"/>
  <c r="H2342" i="3"/>
  <c r="I2342" i="3"/>
  <c r="J2342" i="3"/>
  <c r="K2342" i="3"/>
  <c r="L2342" i="3"/>
  <c r="A2343" i="3"/>
  <c r="B2343" i="3"/>
  <c r="C2343" i="3"/>
  <c r="D2343" i="3"/>
  <c r="E2343" i="3"/>
  <c r="F2343" i="3"/>
  <c r="G2343" i="3"/>
  <c r="H2343" i="3"/>
  <c r="I2343" i="3"/>
  <c r="J2343" i="3"/>
  <c r="K2343" i="3"/>
  <c r="L2343" i="3"/>
  <c r="A2344" i="3"/>
  <c r="B2344" i="3"/>
  <c r="C2344" i="3"/>
  <c r="D2344" i="3"/>
  <c r="E2344" i="3"/>
  <c r="F2344" i="3"/>
  <c r="G2344" i="3"/>
  <c r="H2344" i="3"/>
  <c r="I2344" i="3"/>
  <c r="J2344" i="3"/>
  <c r="K2344" i="3"/>
  <c r="L2344" i="3"/>
  <c r="A2345" i="3"/>
  <c r="B2345" i="3"/>
  <c r="C2345" i="3"/>
  <c r="D2345" i="3"/>
  <c r="E2345" i="3"/>
  <c r="F2345" i="3"/>
  <c r="G2345" i="3"/>
  <c r="H2345" i="3"/>
  <c r="I2345" i="3"/>
  <c r="J2345" i="3"/>
  <c r="K2345" i="3"/>
  <c r="L2345" i="3"/>
  <c r="A2346" i="3"/>
  <c r="B2346" i="3"/>
  <c r="C2346" i="3"/>
  <c r="D2346" i="3"/>
  <c r="E2346" i="3"/>
  <c r="F2346" i="3"/>
  <c r="G2346" i="3"/>
  <c r="H2346" i="3"/>
  <c r="I2346" i="3"/>
  <c r="J2346" i="3"/>
  <c r="K2346" i="3"/>
  <c r="L2346" i="3"/>
  <c r="A2347" i="3"/>
  <c r="B2347" i="3"/>
  <c r="C2347" i="3"/>
  <c r="D2347" i="3"/>
  <c r="E2347" i="3"/>
  <c r="F2347" i="3"/>
  <c r="G2347" i="3"/>
  <c r="H2347" i="3"/>
  <c r="I2347" i="3"/>
  <c r="J2347" i="3"/>
  <c r="K2347" i="3"/>
  <c r="L2347" i="3"/>
  <c r="A2348" i="3"/>
  <c r="B2348" i="3"/>
  <c r="C2348" i="3"/>
  <c r="D2348" i="3"/>
  <c r="E2348" i="3"/>
  <c r="F2348" i="3"/>
  <c r="G2348" i="3"/>
  <c r="H2348" i="3"/>
  <c r="I2348" i="3"/>
  <c r="J2348" i="3"/>
  <c r="K2348" i="3"/>
  <c r="L2348" i="3"/>
  <c r="A2349" i="3"/>
  <c r="B2349" i="3"/>
  <c r="C2349" i="3"/>
  <c r="D2349" i="3"/>
  <c r="E2349" i="3"/>
  <c r="F2349" i="3"/>
  <c r="G2349" i="3"/>
  <c r="H2349" i="3"/>
  <c r="I2349" i="3"/>
  <c r="J2349" i="3"/>
  <c r="K2349" i="3"/>
  <c r="L2349" i="3"/>
  <c r="A2350" i="3"/>
  <c r="B2350" i="3"/>
  <c r="C2350" i="3"/>
  <c r="D2350" i="3"/>
  <c r="E2350" i="3"/>
  <c r="F2350" i="3"/>
  <c r="G2350" i="3"/>
  <c r="H2350" i="3"/>
  <c r="I2350" i="3"/>
  <c r="J2350" i="3"/>
  <c r="K2350" i="3"/>
  <c r="L2350" i="3"/>
  <c r="A2351" i="3"/>
  <c r="B2351" i="3"/>
  <c r="C2351" i="3"/>
  <c r="D2351" i="3"/>
  <c r="E2351" i="3"/>
  <c r="F2351" i="3"/>
  <c r="G2351" i="3"/>
  <c r="H2351" i="3"/>
  <c r="I2351" i="3"/>
  <c r="J2351" i="3"/>
  <c r="K2351" i="3"/>
  <c r="L2351" i="3"/>
  <c r="A2352" i="3"/>
  <c r="B2352" i="3"/>
  <c r="C2352" i="3"/>
  <c r="D2352" i="3"/>
  <c r="E2352" i="3"/>
  <c r="F2352" i="3"/>
  <c r="G2352" i="3"/>
  <c r="H2352" i="3"/>
  <c r="I2352" i="3"/>
  <c r="J2352" i="3"/>
  <c r="K2352" i="3"/>
  <c r="L2352" i="3"/>
  <c r="A2353" i="3"/>
  <c r="B2353" i="3"/>
  <c r="C2353" i="3"/>
  <c r="D2353" i="3"/>
  <c r="E2353" i="3"/>
  <c r="F2353" i="3"/>
  <c r="G2353" i="3"/>
  <c r="H2353" i="3"/>
  <c r="I2353" i="3"/>
  <c r="J2353" i="3"/>
  <c r="K2353" i="3"/>
  <c r="L2353" i="3"/>
  <c r="A2354" i="3"/>
  <c r="B2354" i="3"/>
  <c r="C2354" i="3"/>
  <c r="D2354" i="3"/>
  <c r="E2354" i="3"/>
  <c r="F2354" i="3"/>
  <c r="G2354" i="3"/>
  <c r="H2354" i="3"/>
  <c r="I2354" i="3"/>
  <c r="J2354" i="3"/>
  <c r="K2354" i="3"/>
  <c r="L2354" i="3"/>
  <c r="A2355" i="3"/>
  <c r="B2355" i="3"/>
  <c r="C2355" i="3"/>
  <c r="D2355" i="3"/>
  <c r="E2355" i="3"/>
  <c r="F2355" i="3"/>
  <c r="G2355" i="3"/>
  <c r="H2355" i="3"/>
  <c r="I2355" i="3"/>
  <c r="J2355" i="3"/>
  <c r="K2355" i="3"/>
  <c r="L2355" i="3"/>
  <c r="A2356" i="3"/>
  <c r="B2356" i="3"/>
  <c r="C2356" i="3"/>
  <c r="D2356" i="3"/>
  <c r="E2356" i="3"/>
  <c r="F2356" i="3"/>
  <c r="G2356" i="3"/>
  <c r="H2356" i="3"/>
  <c r="I2356" i="3"/>
  <c r="J2356" i="3"/>
  <c r="K2356" i="3"/>
  <c r="L2356" i="3"/>
  <c r="A2357" i="3"/>
  <c r="B2357" i="3"/>
  <c r="C2357" i="3"/>
  <c r="D2357" i="3"/>
  <c r="E2357" i="3"/>
  <c r="F2357" i="3"/>
  <c r="G2357" i="3"/>
  <c r="H2357" i="3"/>
  <c r="I2357" i="3"/>
  <c r="J2357" i="3"/>
  <c r="K2357" i="3"/>
  <c r="L2357" i="3"/>
  <c r="A2358" i="3"/>
  <c r="B2358" i="3"/>
  <c r="C2358" i="3"/>
  <c r="D2358" i="3"/>
  <c r="E2358" i="3"/>
  <c r="F2358" i="3"/>
  <c r="G2358" i="3"/>
  <c r="H2358" i="3"/>
  <c r="I2358" i="3"/>
  <c r="J2358" i="3"/>
  <c r="K2358" i="3"/>
  <c r="L2358" i="3"/>
  <c r="A2359" i="3"/>
  <c r="B2359" i="3"/>
  <c r="C2359" i="3"/>
  <c r="D2359" i="3"/>
  <c r="E2359" i="3"/>
  <c r="F2359" i="3"/>
  <c r="G2359" i="3"/>
  <c r="H2359" i="3"/>
  <c r="I2359" i="3"/>
  <c r="J2359" i="3"/>
  <c r="K2359" i="3"/>
  <c r="L2359" i="3"/>
  <c r="A2360" i="3"/>
  <c r="B2360" i="3"/>
  <c r="C2360" i="3"/>
  <c r="D2360" i="3"/>
  <c r="E2360" i="3"/>
  <c r="F2360" i="3"/>
  <c r="G2360" i="3"/>
  <c r="H2360" i="3"/>
  <c r="I2360" i="3"/>
  <c r="J2360" i="3"/>
  <c r="K2360" i="3"/>
  <c r="L2360" i="3"/>
  <c r="A2361" i="3"/>
  <c r="B2361" i="3"/>
  <c r="C2361" i="3"/>
  <c r="D2361" i="3"/>
  <c r="E2361" i="3"/>
  <c r="F2361" i="3"/>
  <c r="G2361" i="3"/>
  <c r="H2361" i="3"/>
  <c r="I2361" i="3"/>
  <c r="J2361" i="3"/>
  <c r="K2361" i="3"/>
  <c r="L2361" i="3"/>
  <c r="A2362" i="3"/>
  <c r="B2362" i="3"/>
  <c r="C2362" i="3"/>
  <c r="D2362" i="3"/>
  <c r="E2362" i="3"/>
  <c r="F2362" i="3"/>
  <c r="G2362" i="3"/>
  <c r="H2362" i="3"/>
  <c r="I2362" i="3"/>
  <c r="J2362" i="3"/>
  <c r="K2362" i="3"/>
  <c r="L2362" i="3"/>
  <c r="A2363" i="3"/>
  <c r="B2363" i="3"/>
  <c r="C2363" i="3"/>
  <c r="D2363" i="3"/>
  <c r="E2363" i="3"/>
  <c r="F2363" i="3"/>
  <c r="G2363" i="3"/>
  <c r="H2363" i="3"/>
  <c r="I2363" i="3"/>
  <c r="J2363" i="3"/>
  <c r="K2363" i="3"/>
  <c r="L2363" i="3"/>
  <c r="A2364" i="3"/>
  <c r="B2364" i="3"/>
  <c r="C2364" i="3"/>
  <c r="D2364" i="3"/>
  <c r="E2364" i="3"/>
  <c r="F2364" i="3"/>
  <c r="G2364" i="3"/>
  <c r="H2364" i="3"/>
  <c r="I2364" i="3"/>
  <c r="J2364" i="3"/>
  <c r="K2364" i="3"/>
  <c r="L2364" i="3"/>
  <c r="A2365" i="3"/>
  <c r="B2365" i="3"/>
  <c r="C2365" i="3"/>
  <c r="D2365" i="3"/>
  <c r="E2365" i="3"/>
  <c r="F2365" i="3"/>
  <c r="G2365" i="3"/>
  <c r="H2365" i="3"/>
  <c r="I2365" i="3"/>
  <c r="J2365" i="3"/>
  <c r="K2365" i="3"/>
  <c r="L2365" i="3"/>
  <c r="A2366" i="3"/>
  <c r="B2366" i="3"/>
  <c r="C2366" i="3"/>
  <c r="D2366" i="3"/>
  <c r="E2366" i="3"/>
  <c r="F2366" i="3"/>
  <c r="G2366" i="3"/>
  <c r="H2366" i="3"/>
  <c r="I2366" i="3"/>
  <c r="J2366" i="3"/>
  <c r="K2366" i="3"/>
  <c r="L2366" i="3"/>
  <c r="A2367" i="3"/>
  <c r="B2367" i="3"/>
  <c r="C2367" i="3"/>
  <c r="D2367" i="3"/>
  <c r="E2367" i="3"/>
  <c r="F2367" i="3"/>
  <c r="G2367" i="3"/>
  <c r="H2367" i="3"/>
  <c r="I2367" i="3"/>
  <c r="J2367" i="3"/>
  <c r="K2367" i="3"/>
  <c r="L2367" i="3"/>
  <c r="A2368" i="3"/>
  <c r="B2368" i="3"/>
  <c r="C2368" i="3"/>
  <c r="D2368" i="3"/>
  <c r="E2368" i="3"/>
  <c r="F2368" i="3"/>
  <c r="G2368" i="3"/>
  <c r="H2368" i="3"/>
  <c r="I2368" i="3"/>
  <c r="J2368" i="3"/>
  <c r="K2368" i="3"/>
  <c r="L2368" i="3"/>
  <c r="A2369" i="3"/>
  <c r="B2369" i="3"/>
  <c r="C2369" i="3"/>
  <c r="D2369" i="3"/>
  <c r="E2369" i="3"/>
  <c r="F2369" i="3"/>
  <c r="G2369" i="3"/>
  <c r="H2369" i="3"/>
  <c r="I2369" i="3"/>
  <c r="J2369" i="3"/>
  <c r="K2369" i="3"/>
  <c r="L2369" i="3"/>
  <c r="A2370" i="3"/>
  <c r="B2370" i="3"/>
  <c r="C2370" i="3"/>
  <c r="D2370" i="3"/>
  <c r="E2370" i="3"/>
  <c r="F2370" i="3"/>
  <c r="G2370" i="3"/>
  <c r="H2370" i="3"/>
  <c r="I2370" i="3"/>
  <c r="J2370" i="3"/>
  <c r="K2370" i="3"/>
  <c r="L2370" i="3"/>
  <c r="A2371" i="3"/>
  <c r="B2371" i="3"/>
  <c r="C2371" i="3"/>
  <c r="D2371" i="3"/>
  <c r="E2371" i="3"/>
  <c r="F2371" i="3"/>
  <c r="G2371" i="3"/>
  <c r="H2371" i="3"/>
  <c r="I2371" i="3"/>
  <c r="J2371" i="3"/>
  <c r="K2371" i="3"/>
  <c r="L2371" i="3"/>
  <c r="A2372" i="3"/>
  <c r="B2372" i="3"/>
  <c r="C2372" i="3"/>
  <c r="D2372" i="3"/>
  <c r="E2372" i="3"/>
  <c r="F2372" i="3"/>
  <c r="G2372" i="3"/>
  <c r="H2372" i="3"/>
  <c r="I2372" i="3"/>
  <c r="J2372" i="3"/>
  <c r="K2372" i="3"/>
  <c r="L2372" i="3"/>
  <c r="A2373" i="3"/>
  <c r="B2373" i="3"/>
  <c r="C2373" i="3"/>
  <c r="D2373" i="3"/>
  <c r="E2373" i="3"/>
  <c r="F2373" i="3"/>
  <c r="G2373" i="3"/>
  <c r="H2373" i="3"/>
  <c r="I2373" i="3"/>
  <c r="J2373" i="3"/>
  <c r="K2373" i="3"/>
  <c r="L2373" i="3"/>
  <c r="A2374" i="3"/>
  <c r="B2374" i="3"/>
  <c r="C2374" i="3"/>
  <c r="D2374" i="3"/>
  <c r="E2374" i="3"/>
  <c r="F2374" i="3"/>
  <c r="G2374" i="3"/>
  <c r="H2374" i="3"/>
  <c r="I2374" i="3"/>
  <c r="J2374" i="3"/>
  <c r="K2374" i="3"/>
  <c r="L2374" i="3"/>
  <c r="A2375" i="3"/>
  <c r="B2375" i="3"/>
  <c r="C2375" i="3"/>
  <c r="D2375" i="3"/>
  <c r="E2375" i="3"/>
  <c r="F2375" i="3"/>
  <c r="G2375" i="3"/>
  <c r="H2375" i="3"/>
  <c r="I2375" i="3"/>
  <c r="J2375" i="3"/>
  <c r="K2375" i="3"/>
  <c r="L2375" i="3"/>
  <c r="A2376" i="3"/>
  <c r="B2376" i="3"/>
  <c r="C2376" i="3"/>
  <c r="D2376" i="3"/>
  <c r="E2376" i="3"/>
  <c r="F2376" i="3"/>
  <c r="G2376" i="3"/>
  <c r="H2376" i="3"/>
  <c r="I2376" i="3"/>
  <c r="J2376" i="3"/>
  <c r="K2376" i="3"/>
  <c r="L2376" i="3"/>
  <c r="A2377" i="3"/>
  <c r="B2377" i="3"/>
  <c r="C2377" i="3"/>
  <c r="D2377" i="3"/>
  <c r="E2377" i="3"/>
  <c r="F2377" i="3"/>
  <c r="G2377" i="3"/>
  <c r="H2377" i="3"/>
  <c r="I2377" i="3"/>
  <c r="J2377" i="3"/>
  <c r="K2377" i="3"/>
  <c r="L2377" i="3"/>
  <c r="A2378" i="3"/>
  <c r="B2378" i="3"/>
  <c r="C2378" i="3"/>
  <c r="D2378" i="3"/>
  <c r="E2378" i="3"/>
  <c r="F2378" i="3"/>
  <c r="G2378" i="3"/>
  <c r="H2378" i="3"/>
  <c r="I2378" i="3"/>
  <c r="J2378" i="3"/>
  <c r="K2378" i="3"/>
  <c r="L2378" i="3"/>
  <c r="A2379" i="3"/>
  <c r="B2379" i="3"/>
  <c r="C2379" i="3"/>
  <c r="D2379" i="3"/>
  <c r="E2379" i="3"/>
  <c r="F2379" i="3"/>
  <c r="G2379" i="3"/>
  <c r="H2379" i="3"/>
  <c r="I2379" i="3"/>
  <c r="J2379" i="3"/>
  <c r="K2379" i="3"/>
  <c r="L2379" i="3"/>
  <c r="A2380" i="3"/>
  <c r="B2380" i="3"/>
  <c r="C2380" i="3"/>
  <c r="D2380" i="3"/>
  <c r="E2380" i="3"/>
  <c r="F2380" i="3"/>
  <c r="G2380" i="3"/>
  <c r="H2380" i="3"/>
  <c r="I2380" i="3"/>
  <c r="J2380" i="3"/>
  <c r="K2380" i="3"/>
  <c r="L2380" i="3"/>
  <c r="A2381" i="3"/>
  <c r="B2381" i="3"/>
  <c r="C2381" i="3"/>
  <c r="D2381" i="3"/>
  <c r="E2381" i="3"/>
  <c r="F2381" i="3"/>
  <c r="G2381" i="3"/>
  <c r="H2381" i="3"/>
  <c r="I2381" i="3"/>
  <c r="J2381" i="3"/>
  <c r="K2381" i="3"/>
  <c r="L2381" i="3"/>
  <c r="A2382" i="3"/>
  <c r="B2382" i="3"/>
  <c r="C2382" i="3"/>
  <c r="D2382" i="3"/>
  <c r="E2382" i="3"/>
  <c r="F2382" i="3"/>
  <c r="G2382" i="3"/>
  <c r="H2382" i="3"/>
  <c r="I2382" i="3"/>
  <c r="J2382" i="3"/>
  <c r="K2382" i="3"/>
  <c r="L2382" i="3"/>
  <c r="A2383" i="3"/>
  <c r="B2383" i="3"/>
  <c r="C2383" i="3"/>
  <c r="D2383" i="3"/>
  <c r="E2383" i="3"/>
  <c r="F2383" i="3"/>
  <c r="G2383" i="3"/>
  <c r="H2383" i="3"/>
  <c r="I2383" i="3"/>
  <c r="J2383" i="3"/>
  <c r="K2383" i="3"/>
  <c r="L2383" i="3"/>
  <c r="A2384" i="3"/>
  <c r="B2384" i="3"/>
  <c r="C2384" i="3"/>
  <c r="D2384" i="3"/>
  <c r="E2384" i="3"/>
  <c r="F2384" i="3"/>
  <c r="G2384" i="3"/>
  <c r="H2384" i="3"/>
  <c r="I2384" i="3"/>
  <c r="J2384" i="3"/>
  <c r="K2384" i="3"/>
  <c r="L2384" i="3"/>
  <c r="A2385" i="3"/>
  <c r="B2385" i="3"/>
  <c r="C2385" i="3"/>
  <c r="D2385" i="3"/>
  <c r="E2385" i="3"/>
  <c r="F2385" i="3"/>
  <c r="G2385" i="3"/>
  <c r="H2385" i="3"/>
  <c r="I2385" i="3"/>
  <c r="J2385" i="3"/>
  <c r="K2385" i="3"/>
  <c r="L2385" i="3"/>
  <c r="A2386" i="3"/>
  <c r="B2386" i="3"/>
  <c r="C2386" i="3"/>
  <c r="D2386" i="3"/>
  <c r="E2386" i="3"/>
  <c r="F2386" i="3"/>
  <c r="G2386" i="3"/>
  <c r="H2386" i="3"/>
  <c r="I2386" i="3"/>
  <c r="J2386" i="3"/>
  <c r="K2386" i="3"/>
  <c r="L2386" i="3"/>
  <c r="A2387" i="3"/>
  <c r="B2387" i="3"/>
  <c r="C2387" i="3"/>
  <c r="D2387" i="3"/>
  <c r="E2387" i="3"/>
  <c r="F2387" i="3"/>
  <c r="G2387" i="3"/>
  <c r="H2387" i="3"/>
  <c r="I2387" i="3"/>
  <c r="J2387" i="3"/>
  <c r="K2387" i="3"/>
  <c r="L2387" i="3"/>
  <c r="A2388" i="3"/>
  <c r="B2388" i="3"/>
  <c r="C2388" i="3"/>
  <c r="D2388" i="3"/>
  <c r="E2388" i="3"/>
  <c r="F2388" i="3"/>
  <c r="G2388" i="3"/>
  <c r="H2388" i="3"/>
  <c r="I2388" i="3"/>
  <c r="J2388" i="3"/>
  <c r="K2388" i="3"/>
  <c r="L2388" i="3"/>
  <c r="A2389" i="3"/>
  <c r="B2389" i="3"/>
  <c r="C2389" i="3"/>
  <c r="D2389" i="3"/>
  <c r="E2389" i="3"/>
  <c r="F2389" i="3"/>
  <c r="G2389" i="3"/>
  <c r="H2389" i="3"/>
  <c r="I2389" i="3"/>
  <c r="J2389" i="3"/>
  <c r="K2389" i="3"/>
  <c r="L2389" i="3"/>
  <c r="A2390" i="3"/>
  <c r="B2390" i="3"/>
  <c r="C2390" i="3"/>
  <c r="D2390" i="3"/>
  <c r="E2390" i="3"/>
  <c r="F2390" i="3"/>
  <c r="G2390" i="3"/>
  <c r="H2390" i="3"/>
  <c r="I2390" i="3"/>
  <c r="J2390" i="3"/>
  <c r="K2390" i="3"/>
  <c r="L2390" i="3"/>
  <c r="A2391" i="3"/>
  <c r="B2391" i="3"/>
  <c r="C2391" i="3"/>
  <c r="D2391" i="3"/>
  <c r="E2391" i="3"/>
  <c r="F2391" i="3"/>
  <c r="G2391" i="3"/>
  <c r="H2391" i="3"/>
  <c r="I2391" i="3"/>
  <c r="J2391" i="3"/>
  <c r="K2391" i="3"/>
  <c r="L2391" i="3"/>
  <c r="A2392" i="3"/>
  <c r="B2392" i="3"/>
  <c r="C2392" i="3"/>
  <c r="D2392" i="3"/>
  <c r="E2392" i="3"/>
  <c r="F2392" i="3"/>
  <c r="G2392" i="3"/>
  <c r="H2392" i="3"/>
  <c r="I2392" i="3"/>
  <c r="J2392" i="3"/>
  <c r="K2392" i="3"/>
  <c r="L2392" i="3"/>
  <c r="A2393" i="3"/>
  <c r="B2393" i="3"/>
  <c r="C2393" i="3"/>
  <c r="D2393" i="3"/>
  <c r="E2393" i="3"/>
  <c r="F2393" i="3"/>
  <c r="G2393" i="3"/>
  <c r="H2393" i="3"/>
  <c r="I2393" i="3"/>
  <c r="J2393" i="3"/>
  <c r="K2393" i="3"/>
  <c r="L2393" i="3"/>
  <c r="A2394" i="3"/>
  <c r="B2394" i="3"/>
  <c r="C2394" i="3"/>
  <c r="D2394" i="3"/>
  <c r="E2394" i="3"/>
  <c r="F2394" i="3"/>
  <c r="G2394" i="3"/>
  <c r="H2394" i="3"/>
  <c r="I2394" i="3"/>
  <c r="J2394" i="3"/>
  <c r="K2394" i="3"/>
  <c r="L2394" i="3"/>
  <c r="A2395" i="3"/>
  <c r="B2395" i="3"/>
  <c r="C2395" i="3"/>
  <c r="D2395" i="3"/>
  <c r="E2395" i="3"/>
  <c r="F2395" i="3"/>
  <c r="G2395" i="3"/>
  <c r="H2395" i="3"/>
  <c r="I2395" i="3"/>
  <c r="J2395" i="3"/>
  <c r="K2395" i="3"/>
  <c r="L2395" i="3"/>
  <c r="A2396" i="3"/>
  <c r="B2396" i="3"/>
  <c r="C2396" i="3"/>
  <c r="D2396" i="3"/>
  <c r="E2396" i="3"/>
  <c r="F2396" i="3"/>
  <c r="G2396" i="3"/>
  <c r="H2396" i="3"/>
  <c r="I2396" i="3"/>
  <c r="J2396" i="3"/>
  <c r="K2396" i="3"/>
  <c r="L2396" i="3"/>
  <c r="A2397" i="3"/>
  <c r="B2397" i="3"/>
  <c r="C2397" i="3"/>
  <c r="D2397" i="3"/>
  <c r="E2397" i="3"/>
  <c r="F2397" i="3"/>
  <c r="G2397" i="3"/>
  <c r="H2397" i="3"/>
  <c r="I2397" i="3"/>
  <c r="J2397" i="3"/>
  <c r="K2397" i="3"/>
  <c r="L2397" i="3"/>
  <c r="A2398" i="3"/>
  <c r="B2398" i="3"/>
  <c r="C2398" i="3"/>
  <c r="D2398" i="3"/>
  <c r="E2398" i="3"/>
  <c r="F2398" i="3"/>
  <c r="G2398" i="3"/>
  <c r="H2398" i="3"/>
  <c r="I2398" i="3"/>
  <c r="J2398" i="3"/>
  <c r="K2398" i="3"/>
  <c r="L2398" i="3"/>
  <c r="A2399" i="3"/>
  <c r="B2399" i="3"/>
  <c r="C2399" i="3"/>
  <c r="D2399" i="3"/>
  <c r="E2399" i="3"/>
  <c r="F2399" i="3"/>
  <c r="G2399" i="3"/>
  <c r="H2399" i="3"/>
  <c r="I2399" i="3"/>
  <c r="J2399" i="3"/>
  <c r="K2399" i="3"/>
  <c r="L2399" i="3"/>
  <c r="A2400" i="3"/>
  <c r="B2400" i="3"/>
  <c r="C2400" i="3"/>
  <c r="D2400" i="3"/>
  <c r="E2400" i="3"/>
  <c r="F2400" i="3"/>
  <c r="G2400" i="3"/>
  <c r="H2400" i="3"/>
  <c r="I2400" i="3"/>
  <c r="J2400" i="3"/>
  <c r="K2400" i="3"/>
  <c r="L2400" i="3"/>
  <c r="A2401" i="3"/>
  <c r="B2401" i="3"/>
  <c r="C2401" i="3"/>
  <c r="D2401" i="3"/>
  <c r="E2401" i="3"/>
  <c r="F2401" i="3"/>
  <c r="G2401" i="3"/>
  <c r="H2401" i="3"/>
  <c r="I2401" i="3"/>
  <c r="J2401" i="3"/>
  <c r="K2401" i="3"/>
  <c r="L2401" i="3"/>
  <c r="A2402" i="3"/>
  <c r="B2402" i="3"/>
  <c r="C2402" i="3"/>
  <c r="D2402" i="3"/>
  <c r="E2402" i="3"/>
  <c r="F2402" i="3"/>
  <c r="G2402" i="3"/>
  <c r="H2402" i="3"/>
  <c r="I2402" i="3"/>
  <c r="J2402" i="3"/>
  <c r="K2402" i="3"/>
  <c r="L2402" i="3"/>
  <c r="A2403" i="3"/>
  <c r="B2403" i="3"/>
  <c r="C2403" i="3"/>
  <c r="D2403" i="3"/>
  <c r="E2403" i="3"/>
  <c r="F2403" i="3"/>
  <c r="G2403" i="3"/>
  <c r="H2403" i="3"/>
  <c r="I2403" i="3"/>
  <c r="J2403" i="3"/>
  <c r="K2403" i="3"/>
  <c r="L2403" i="3"/>
  <c r="A2404" i="3"/>
  <c r="B2404" i="3"/>
  <c r="C2404" i="3"/>
  <c r="D2404" i="3"/>
  <c r="E2404" i="3"/>
  <c r="F2404" i="3"/>
  <c r="G2404" i="3"/>
  <c r="H2404" i="3"/>
  <c r="I2404" i="3"/>
  <c r="J2404" i="3"/>
  <c r="K2404" i="3"/>
  <c r="L2404" i="3"/>
  <c r="A2405" i="3"/>
  <c r="B2405" i="3"/>
  <c r="C2405" i="3"/>
  <c r="D2405" i="3"/>
  <c r="E2405" i="3"/>
  <c r="F2405" i="3"/>
  <c r="G2405" i="3"/>
  <c r="H2405" i="3"/>
  <c r="I2405" i="3"/>
  <c r="J2405" i="3"/>
  <c r="K2405" i="3"/>
  <c r="L2405" i="3"/>
  <c r="A2406" i="3"/>
  <c r="B2406" i="3"/>
  <c r="C2406" i="3"/>
  <c r="D2406" i="3"/>
  <c r="E2406" i="3"/>
  <c r="F2406" i="3"/>
  <c r="G2406" i="3"/>
  <c r="H2406" i="3"/>
  <c r="I2406" i="3"/>
  <c r="J2406" i="3"/>
  <c r="K2406" i="3"/>
  <c r="L2406" i="3"/>
  <c r="A2407" i="3"/>
  <c r="B2407" i="3"/>
  <c r="C2407" i="3"/>
  <c r="D2407" i="3"/>
  <c r="E2407" i="3"/>
  <c r="F2407" i="3"/>
  <c r="G2407" i="3"/>
  <c r="H2407" i="3"/>
  <c r="I2407" i="3"/>
  <c r="J2407" i="3"/>
  <c r="K2407" i="3"/>
  <c r="L2407" i="3"/>
  <c r="A2408" i="3"/>
  <c r="B2408" i="3"/>
  <c r="C2408" i="3"/>
  <c r="D2408" i="3"/>
  <c r="E2408" i="3"/>
  <c r="F2408" i="3"/>
  <c r="G2408" i="3"/>
  <c r="H2408" i="3"/>
  <c r="I2408" i="3"/>
  <c r="J2408" i="3"/>
  <c r="K2408" i="3"/>
  <c r="L2408" i="3"/>
  <c r="A2409" i="3"/>
  <c r="B2409" i="3"/>
  <c r="C2409" i="3"/>
  <c r="D2409" i="3"/>
  <c r="E2409" i="3"/>
  <c r="F2409" i="3"/>
  <c r="G2409" i="3"/>
  <c r="H2409" i="3"/>
  <c r="I2409" i="3"/>
  <c r="J2409" i="3"/>
  <c r="K2409" i="3"/>
  <c r="L2409" i="3"/>
  <c r="A2410" i="3"/>
  <c r="B2410" i="3"/>
  <c r="C2410" i="3"/>
  <c r="D2410" i="3"/>
  <c r="E2410" i="3"/>
  <c r="F2410" i="3"/>
  <c r="G2410" i="3"/>
  <c r="H2410" i="3"/>
  <c r="I2410" i="3"/>
  <c r="J2410" i="3"/>
  <c r="K2410" i="3"/>
  <c r="L2410" i="3"/>
  <c r="A2411" i="3"/>
  <c r="B2411" i="3"/>
  <c r="C2411" i="3"/>
  <c r="D2411" i="3"/>
  <c r="E2411" i="3"/>
  <c r="F2411" i="3"/>
  <c r="G2411" i="3"/>
  <c r="H2411" i="3"/>
  <c r="I2411" i="3"/>
  <c r="J2411" i="3"/>
  <c r="K2411" i="3"/>
  <c r="L2411" i="3"/>
  <c r="A2412" i="3"/>
  <c r="B2412" i="3"/>
  <c r="C2412" i="3"/>
  <c r="D2412" i="3"/>
  <c r="E2412" i="3"/>
  <c r="F2412" i="3"/>
  <c r="G2412" i="3"/>
  <c r="H2412" i="3"/>
  <c r="I2412" i="3"/>
  <c r="J2412" i="3"/>
  <c r="K2412" i="3"/>
  <c r="L2412" i="3"/>
  <c r="A2413" i="3"/>
  <c r="B2413" i="3"/>
  <c r="C2413" i="3"/>
  <c r="D2413" i="3"/>
  <c r="E2413" i="3"/>
  <c r="F2413" i="3"/>
  <c r="G2413" i="3"/>
  <c r="H2413" i="3"/>
  <c r="I2413" i="3"/>
  <c r="J2413" i="3"/>
  <c r="K2413" i="3"/>
  <c r="L2413" i="3"/>
  <c r="A2414" i="3"/>
  <c r="B2414" i="3"/>
  <c r="C2414" i="3"/>
  <c r="D2414" i="3"/>
  <c r="E2414" i="3"/>
  <c r="F2414" i="3"/>
  <c r="G2414" i="3"/>
  <c r="H2414" i="3"/>
  <c r="I2414" i="3"/>
  <c r="J2414" i="3"/>
  <c r="K2414" i="3"/>
  <c r="L2414" i="3"/>
  <c r="A2415" i="3"/>
  <c r="B2415" i="3"/>
  <c r="C2415" i="3"/>
  <c r="D2415" i="3"/>
  <c r="E2415" i="3"/>
  <c r="F2415" i="3"/>
  <c r="G2415" i="3"/>
  <c r="H2415" i="3"/>
  <c r="I2415" i="3"/>
  <c r="J2415" i="3"/>
  <c r="K2415" i="3"/>
  <c r="L2415" i="3"/>
  <c r="A2416" i="3"/>
  <c r="B2416" i="3"/>
  <c r="C2416" i="3"/>
  <c r="D2416" i="3"/>
  <c r="E2416" i="3"/>
  <c r="F2416" i="3"/>
  <c r="G2416" i="3"/>
  <c r="H2416" i="3"/>
  <c r="I2416" i="3"/>
  <c r="J2416" i="3"/>
  <c r="K2416" i="3"/>
  <c r="L2416" i="3"/>
  <c r="A2417" i="3"/>
  <c r="B2417" i="3"/>
  <c r="C2417" i="3"/>
  <c r="D2417" i="3"/>
  <c r="E2417" i="3"/>
  <c r="F2417" i="3"/>
  <c r="G2417" i="3"/>
  <c r="H2417" i="3"/>
  <c r="I2417" i="3"/>
  <c r="J2417" i="3"/>
  <c r="K2417" i="3"/>
  <c r="L2417" i="3"/>
  <c r="A2418" i="3"/>
  <c r="B2418" i="3"/>
  <c r="C2418" i="3"/>
  <c r="D2418" i="3"/>
  <c r="E2418" i="3"/>
  <c r="F2418" i="3"/>
  <c r="G2418" i="3"/>
  <c r="H2418" i="3"/>
  <c r="I2418" i="3"/>
  <c r="J2418" i="3"/>
  <c r="K2418" i="3"/>
  <c r="L2418" i="3"/>
  <c r="A2419" i="3"/>
  <c r="B2419" i="3"/>
  <c r="C2419" i="3"/>
  <c r="D2419" i="3"/>
  <c r="E2419" i="3"/>
  <c r="F2419" i="3"/>
  <c r="G2419" i="3"/>
  <c r="H2419" i="3"/>
  <c r="I2419" i="3"/>
  <c r="J2419" i="3"/>
  <c r="K2419" i="3"/>
  <c r="L2419" i="3"/>
  <c r="A2420" i="3"/>
  <c r="B2420" i="3"/>
  <c r="C2420" i="3"/>
  <c r="D2420" i="3"/>
  <c r="E2420" i="3"/>
  <c r="F2420" i="3"/>
  <c r="G2420" i="3"/>
  <c r="H2420" i="3"/>
  <c r="I2420" i="3"/>
  <c r="J2420" i="3"/>
  <c r="K2420" i="3"/>
  <c r="L2420" i="3"/>
  <c r="A2421" i="3"/>
  <c r="B2421" i="3"/>
  <c r="C2421" i="3"/>
  <c r="D2421" i="3"/>
  <c r="E2421" i="3"/>
  <c r="F2421" i="3"/>
  <c r="G2421" i="3"/>
  <c r="H2421" i="3"/>
  <c r="I2421" i="3"/>
  <c r="J2421" i="3"/>
  <c r="K2421" i="3"/>
  <c r="L2421" i="3"/>
  <c r="A2422" i="3"/>
  <c r="B2422" i="3"/>
  <c r="C2422" i="3"/>
  <c r="D2422" i="3"/>
  <c r="E2422" i="3"/>
  <c r="F2422" i="3"/>
  <c r="G2422" i="3"/>
  <c r="H2422" i="3"/>
  <c r="I2422" i="3"/>
  <c r="J2422" i="3"/>
  <c r="K2422" i="3"/>
  <c r="L2422" i="3"/>
  <c r="A2423" i="3"/>
  <c r="B2423" i="3"/>
  <c r="C2423" i="3"/>
  <c r="D2423" i="3"/>
  <c r="E2423" i="3"/>
  <c r="F2423" i="3"/>
  <c r="G2423" i="3"/>
  <c r="H2423" i="3"/>
  <c r="I2423" i="3"/>
  <c r="J2423" i="3"/>
  <c r="K2423" i="3"/>
  <c r="L2423" i="3"/>
  <c r="A2424" i="3"/>
  <c r="B2424" i="3"/>
  <c r="C2424" i="3"/>
  <c r="D2424" i="3"/>
  <c r="E2424" i="3"/>
  <c r="F2424" i="3"/>
  <c r="G2424" i="3"/>
  <c r="H2424" i="3"/>
  <c r="I2424" i="3"/>
  <c r="J2424" i="3"/>
  <c r="K2424" i="3"/>
  <c r="L2424" i="3"/>
  <c r="A2425" i="3"/>
  <c r="B2425" i="3"/>
  <c r="C2425" i="3"/>
  <c r="D2425" i="3"/>
  <c r="E2425" i="3"/>
  <c r="F2425" i="3"/>
  <c r="G2425" i="3"/>
  <c r="H2425" i="3"/>
  <c r="I2425" i="3"/>
  <c r="J2425" i="3"/>
  <c r="K2425" i="3"/>
  <c r="L2425" i="3"/>
  <c r="A2426" i="3"/>
  <c r="B2426" i="3"/>
  <c r="C2426" i="3"/>
  <c r="D2426" i="3"/>
  <c r="E2426" i="3"/>
  <c r="F2426" i="3"/>
  <c r="G2426" i="3"/>
  <c r="H2426" i="3"/>
  <c r="I2426" i="3"/>
  <c r="J2426" i="3"/>
  <c r="K2426" i="3"/>
  <c r="L2426" i="3"/>
  <c r="A2427" i="3"/>
  <c r="B2427" i="3"/>
  <c r="C2427" i="3"/>
  <c r="D2427" i="3"/>
  <c r="E2427" i="3"/>
  <c r="F2427" i="3"/>
  <c r="G2427" i="3"/>
  <c r="H2427" i="3"/>
  <c r="I2427" i="3"/>
  <c r="J2427" i="3"/>
  <c r="K2427" i="3"/>
  <c r="L2427" i="3"/>
  <c r="A2428" i="3"/>
  <c r="B2428" i="3"/>
  <c r="C2428" i="3"/>
  <c r="D2428" i="3"/>
  <c r="E2428" i="3"/>
  <c r="F2428" i="3"/>
  <c r="G2428" i="3"/>
  <c r="H2428" i="3"/>
  <c r="I2428" i="3"/>
  <c r="J2428" i="3"/>
  <c r="K2428" i="3"/>
  <c r="L2428" i="3"/>
  <c r="A2429" i="3"/>
  <c r="B2429" i="3"/>
  <c r="C2429" i="3"/>
  <c r="D2429" i="3"/>
  <c r="E2429" i="3"/>
  <c r="F2429" i="3"/>
  <c r="G2429" i="3"/>
  <c r="H2429" i="3"/>
  <c r="I2429" i="3"/>
  <c r="J2429" i="3"/>
  <c r="K2429" i="3"/>
  <c r="L2429" i="3"/>
  <c r="A2430" i="3"/>
  <c r="B2430" i="3"/>
  <c r="C2430" i="3"/>
  <c r="D2430" i="3"/>
  <c r="E2430" i="3"/>
  <c r="F2430" i="3"/>
  <c r="G2430" i="3"/>
  <c r="H2430" i="3"/>
  <c r="I2430" i="3"/>
  <c r="J2430" i="3"/>
  <c r="K2430" i="3"/>
  <c r="L2430" i="3"/>
  <c r="A2431" i="3"/>
  <c r="B2431" i="3"/>
  <c r="C2431" i="3"/>
  <c r="D2431" i="3"/>
  <c r="E2431" i="3"/>
  <c r="F2431" i="3"/>
  <c r="G2431" i="3"/>
  <c r="H2431" i="3"/>
  <c r="I2431" i="3"/>
  <c r="J2431" i="3"/>
  <c r="K2431" i="3"/>
  <c r="L2431" i="3"/>
  <c r="A2432" i="3"/>
  <c r="B2432" i="3"/>
  <c r="C2432" i="3"/>
  <c r="D2432" i="3"/>
  <c r="E2432" i="3"/>
  <c r="F2432" i="3"/>
  <c r="G2432" i="3"/>
  <c r="H2432" i="3"/>
  <c r="I2432" i="3"/>
  <c r="J2432" i="3"/>
  <c r="K2432" i="3"/>
  <c r="L2432" i="3"/>
  <c r="A2433" i="3"/>
  <c r="B2433" i="3"/>
  <c r="C2433" i="3"/>
  <c r="D2433" i="3"/>
  <c r="E2433" i="3"/>
  <c r="F2433" i="3"/>
  <c r="G2433" i="3"/>
  <c r="H2433" i="3"/>
  <c r="I2433" i="3"/>
  <c r="J2433" i="3"/>
  <c r="K2433" i="3"/>
  <c r="L2433" i="3"/>
  <c r="A2434" i="3"/>
  <c r="B2434" i="3"/>
  <c r="C2434" i="3"/>
  <c r="D2434" i="3"/>
  <c r="E2434" i="3"/>
  <c r="F2434" i="3"/>
  <c r="G2434" i="3"/>
  <c r="H2434" i="3"/>
  <c r="I2434" i="3"/>
  <c r="J2434" i="3"/>
  <c r="K2434" i="3"/>
  <c r="L2434" i="3"/>
  <c r="A2435" i="3"/>
  <c r="B2435" i="3"/>
  <c r="C2435" i="3"/>
  <c r="D2435" i="3"/>
  <c r="E2435" i="3"/>
  <c r="F2435" i="3"/>
  <c r="G2435" i="3"/>
  <c r="H2435" i="3"/>
  <c r="I2435" i="3"/>
  <c r="J2435" i="3"/>
  <c r="K2435" i="3"/>
  <c r="L2435" i="3"/>
  <c r="A2436" i="3"/>
  <c r="B2436" i="3"/>
  <c r="C2436" i="3"/>
  <c r="D2436" i="3"/>
  <c r="E2436" i="3"/>
  <c r="F2436" i="3"/>
  <c r="G2436" i="3"/>
  <c r="H2436" i="3"/>
  <c r="I2436" i="3"/>
  <c r="J2436" i="3"/>
  <c r="K2436" i="3"/>
  <c r="L2436" i="3"/>
  <c r="A2437" i="3"/>
  <c r="B2437" i="3"/>
  <c r="C2437" i="3"/>
  <c r="D2437" i="3"/>
  <c r="E2437" i="3"/>
  <c r="F2437" i="3"/>
  <c r="G2437" i="3"/>
  <c r="H2437" i="3"/>
  <c r="I2437" i="3"/>
  <c r="J2437" i="3"/>
  <c r="K2437" i="3"/>
  <c r="L2437" i="3"/>
  <c r="A2438" i="3"/>
  <c r="B2438" i="3"/>
  <c r="C2438" i="3"/>
  <c r="D2438" i="3"/>
  <c r="E2438" i="3"/>
  <c r="F2438" i="3"/>
  <c r="G2438" i="3"/>
  <c r="H2438" i="3"/>
  <c r="I2438" i="3"/>
  <c r="J2438" i="3"/>
  <c r="K2438" i="3"/>
  <c r="L2438" i="3"/>
  <c r="A2439" i="3"/>
  <c r="B2439" i="3"/>
  <c r="C2439" i="3"/>
  <c r="D2439" i="3"/>
  <c r="E2439" i="3"/>
  <c r="F2439" i="3"/>
  <c r="G2439" i="3"/>
  <c r="H2439" i="3"/>
  <c r="I2439" i="3"/>
  <c r="J2439" i="3"/>
  <c r="K2439" i="3"/>
  <c r="L2439" i="3"/>
  <c r="A2440" i="3"/>
  <c r="B2440" i="3"/>
  <c r="C2440" i="3"/>
  <c r="D2440" i="3"/>
  <c r="E2440" i="3"/>
  <c r="F2440" i="3"/>
  <c r="G2440" i="3"/>
  <c r="H2440" i="3"/>
  <c r="I2440" i="3"/>
  <c r="J2440" i="3"/>
  <c r="K2440" i="3"/>
  <c r="L2440" i="3"/>
  <c r="A2441" i="3"/>
  <c r="B2441" i="3"/>
  <c r="C2441" i="3"/>
  <c r="D2441" i="3"/>
  <c r="E2441" i="3"/>
  <c r="F2441" i="3"/>
  <c r="G2441" i="3"/>
  <c r="H2441" i="3"/>
  <c r="I2441" i="3"/>
  <c r="J2441" i="3"/>
  <c r="K2441" i="3"/>
  <c r="L2441" i="3"/>
  <c r="A2442" i="3"/>
  <c r="B2442" i="3"/>
  <c r="C2442" i="3"/>
  <c r="D2442" i="3"/>
  <c r="E2442" i="3"/>
  <c r="F2442" i="3"/>
  <c r="G2442" i="3"/>
  <c r="H2442" i="3"/>
  <c r="I2442" i="3"/>
  <c r="J2442" i="3"/>
  <c r="K2442" i="3"/>
  <c r="L2442" i="3"/>
  <c r="A2443" i="3"/>
  <c r="B2443" i="3"/>
  <c r="C2443" i="3"/>
  <c r="D2443" i="3"/>
  <c r="E2443" i="3"/>
  <c r="F2443" i="3"/>
  <c r="G2443" i="3"/>
  <c r="H2443" i="3"/>
  <c r="I2443" i="3"/>
  <c r="J2443" i="3"/>
  <c r="K2443" i="3"/>
  <c r="L2443" i="3"/>
  <c r="A2444" i="3"/>
  <c r="B2444" i="3"/>
  <c r="C2444" i="3"/>
  <c r="D2444" i="3"/>
  <c r="E2444" i="3"/>
  <c r="F2444" i="3"/>
  <c r="G2444" i="3"/>
  <c r="H2444" i="3"/>
  <c r="I2444" i="3"/>
  <c r="J2444" i="3"/>
  <c r="K2444" i="3"/>
  <c r="L2444" i="3"/>
  <c r="A2445" i="3"/>
  <c r="B2445" i="3"/>
  <c r="C2445" i="3"/>
  <c r="D2445" i="3"/>
  <c r="E2445" i="3"/>
  <c r="F2445" i="3"/>
  <c r="G2445" i="3"/>
  <c r="H2445" i="3"/>
  <c r="I2445" i="3"/>
  <c r="J2445" i="3"/>
  <c r="K2445" i="3"/>
  <c r="L2445" i="3"/>
  <c r="A2446" i="3"/>
  <c r="B2446" i="3"/>
  <c r="C2446" i="3"/>
  <c r="D2446" i="3"/>
  <c r="E2446" i="3"/>
  <c r="F2446" i="3"/>
  <c r="G2446" i="3"/>
  <c r="H2446" i="3"/>
  <c r="I2446" i="3"/>
  <c r="J2446" i="3"/>
  <c r="K2446" i="3"/>
  <c r="L2446" i="3"/>
  <c r="A2447" i="3"/>
  <c r="B2447" i="3"/>
  <c r="C2447" i="3"/>
  <c r="D2447" i="3"/>
  <c r="E2447" i="3"/>
  <c r="F2447" i="3"/>
  <c r="G2447" i="3"/>
  <c r="H2447" i="3"/>
  <c r="I2447" i="3"/>
  <c r="J2447" i="3"/>
  <c r="K2447" i="3"/>
  <c r="L2447" i="3"/>
  <c r="A2448" i="3"/>
  <c r="B2448" i="3"/>
  <c r="C2448" i="3"/>
  <c r="D2448" i="3"/>
  <c r="E2448" i="3"/>
  <c r="F2448" i="3"/>
  <c r="G2448" i="3"/>
  <c r="H2448" i="3"/>
  <c r="I2448" i="3"/>
  <c r="J2448" i="3"/>
  <c r="K2448" i="3"/>
  <c r="L2448" i="3"/>
  <c r="A2449" i="3"/>
  <c r="B2449" i="3"/>
  <c r="C2449" i="3"/>
  <c r="D2449" i="3"/>
  <c r="E2449" i="3"/>
  <c r="F2449" i="3"/>
  <c r="G2449" i="3"/>
  <c r="H2449" i="3"/>
  <c r="I2449" i="3"/>
  <c r="J2449" i="3"/>
  <c r="K2449" i="3"/>
  <c r="L2449" i="3"/>
  <c r="A2450" i="3"/>
  <c r="B2450" i="3"/>
  <c r="C2450" i="3"/>
  <c r="D2450" i="3"/>
  <c r="E2450" i="3"/>
  <c r="F2450" i="3"/>
  <c r="G2450" i="3"/>
  <c r="H2450" i="3"/>
  <c r="I2450" i="3"/>
  <c r="J2450" i="3"/>
  <c r="K2450" i="3"/>
  <c r="L2450" i="3"/>
  <c r="A2451" i="3"/>
  <c r="B2451" i="3"/>
  <c r="C2451" i="3"/>
  <c r="D2451" i="3"/>
  <c r="E2451" i="3"/>
  <c r="F2451" i="3"/>
  <c r="G2451" i="3"/>
  <c r="H2451" i="3"/>
  <c r="I2451" i="3"/>
  <c r="J2451" i="3"/>
  <c r="K2451" i="3"/>
  <c r="L2451" i="3"/>
  <c r="A2452" i="3"/>
  <c r="B2452" i="3"/>
  <c r="C2452" i="3"/>
  <c r="D2452" i="3"/>
  <c r="E2452" i="3"/>
  <c r="F2452" i="3"/>
  <c r="G2452" i="3"/>
  <c r="H2452" i="3"/>
  <c r="I2452" i="3"/>
  <c r="J2452" i="3"/>
  <c r="K2452" i="3"/>
  <c r="L2452" i="3"/>
  <c r="A2453" i="3"/>
  <c r="B2453" i="3"/>
  <c r="C2453" i="3"/>
  <c r="D2453" i="3"/>
  <c r="E2453" i="3"/>
  <c r="F2453" i="3"/>
  <c r="G2453" i="3"/>
  <c r="H2453" i="3"/>
  <c r="I2453" i="3"/>
  <c r="J2453" i="3"/>
  <c r="K2453" i="3"/>
  <c r="L2453" i="3"/>
  <c r="A2454" i="3"/>
  <c r="B2454" i="3"/>
  <c r="C2454" i="3"/>
  <c r="D2454" i="3"/>
  <c r="E2454" i="3"/>
  <c r="F2454" i="3"/>
  <c r="G2454" i="3"/>
  <c r="H2454" i="3"/>
  <c r="I2454" i="3"/>
  <c r="J2454" i="3"/>
  <c r="K2454" i="3"/>
  <c r="L2454" i="3"/>
  <c r="A2455" i="3"/>
  <c r="B2455" i="3"/>
  <c r="C2455" i="3"/>
  <c r="D2455" i="3"/>
  <c r="E2455" i="3"/>
  <c r="F2455" i="3"/>
  <c r="G2455" i="3"/>
  <c r="H2455" i="3"/>
  <c r="I2455" i="3"/>
  <c r="J2455" i="3"/>
  <c r="K2455" i="3"/>
  <c r="L2455" i="3"/>
  <c r="A2456" i="3"/>
  <c r="B2456" i="3"/>
  <c r="C2456" i="3"/>
  <c r="D2456" i="3"/>
  <c r="E2456" i="3"/>
  <c r="F2456" i="3"/>
  <c r="G2456" i="3"/>
  <c r="H2456" i="3"/>
  <c r="I2456" i="3"/>
  <c r="J2456" i="3"/>
  <c r="K2456" i="3"/>
  <c r="L2456" i="3"/>
  <c r="A2457" i="3"/>
  <c r="B2457" i="3"/>
  <c r="C2457" i="3"/>
  <c r="D2457" i="3"/>
  <c r="E2457" i="3"/>
  <c r="F2457" i="3"/>
  <c r="G2457" i="3"/>
  <c r="H2457" i="3"/>
  <c r="I2457" i="3"/>
  <c r="J2457" i="3"/>
  <c r="K2457" i="3"/>
  <c r="L2457" i="3"/>
  <c r="A2458" i="3"/>
  <c r="B2458" i="3"/>
  <c r="C2458" i="3"/>
  <c r="D2458" i="3"/>
  <c r="E2458" i="3"/>
  <c r="F2458" i="3"/>
  <c r="G2458" i="3"/>
  <c r="H2458" i="3"/>
  <c r="I2458" i="3"/>
  <c r="J2458" i="3"/>
  <c r="K2458" i="3"/>
  <c r="L2458" i="3"/>
  <c r="A2459" i="3"/>
  <c r="B2459" i="3"/>
  <c r="C2459" i="3"/>
  <c r="D2459" i="3"/>
  <c r="E2459" i="3"/>
  <c r="F2459" i="3"/>
  <c r="G2459" i="3"/>
  <c r="H2459" i="3"/>
  <c r="I2459" i="3"/>
  <c r="J2459" i="3"/>
  <c r="K2459" i="3"/>
  <c r="L2459" i="3"/>
  <c r="A2460" i="3"/>
  <c r="B2460" i="3"/>
  <c r="C2460" i="3"/>
  <c r="D2460" i="3"/>
  <c r="E2460" i="3"/>
  <c r="F2460" i="3"/>
  <c r="G2460" i="3"/>
  <c r="H2460" i="3"/>
  <c r="I2460" i="3"/>
  <c r="J2460" i="3"/>
  <c r="K2460" i="3"/>
  <c r="L2460" i="3"/>
  <c r="A2461" i="3"/>
  <c r="B2461" i="3"/>
  <c r="C2461" i="3"/>
  <c r="D2461" i="3"/>
  <c r="E2461" i="3"/>
  <c r="F2461" i="3"/>
  <c r="G2461" i="3"/>
  <c r="H2461" i="3"/>
  <c r="I2461" i="3"/>
  <c r="J2461" i="3"/>
  <c r="K2461" i="3"/>
  <c r="L2461" i="3"/>
  <c r="A2462" i="3"/>
  <c r="B2462" i="3"/>
  <c r="C2462" i="3"/>
  <c r="D2462" i="3"/>
  <c r="E2462" i="3"/>
  <c r="F2462" i="3"/>
  <c r="G2462" i="3"/>
  <c r="H2462" i="3"/>
  <c r="I2462" i="3"/>
  <c r="J2462" i="3"/>
  <c r="K2462" i="3"/>
  <c r="L2462" i="3"/>
  <c r="A2463" i="3"/>
  <c r="B2463" i="3"/>
  <c r="C2463" i="3"/>
  <c r="D2463" i="3"/>
  <c r="E2463" i="3"/>
  <c r="F2463" i="3"/>
  <c r="G2463" i="3"/>
  <c r="H2463" i="3"/>
  <c r="I2463" i="3"/>
  <c r="J2463" i="3"/>
  <c r="K2463" i="3"/>
  <c r="L2463" i="3"/>
  <c r="A2464" i="3"/>
  <c r="B2464" i="3"/>
  <c r="C2464" i="3"/>
  <c r="D2464" i="3"/>
  <c r="E2464" i="3"/>
  <c r="F2464" i="3"/>
  <c r="G2464" i="3"/>
  <c r="H2464" i="3"/>
  <c r="I2464" i="3"/>
  <c r="J2464" i="3"/>
  <c r="K2464" i="3"/>
  <c r="L2464" i="3"/>
  <c r="A2465" i="3"/>
  <c r="B2465" i="3"/>
  <c r="C2465" i="3"/>
  <c r="D2465" i="3"/>
  <c r="E2465" i="3"/>
  <c r="F2465" i="3"/>
  <c r="G2465" i="3"/>
  <c r="H2465" i="3"/>
  <c r="I2465" i="3"/>
  <c r="J2465" i="3"/>
  <c r="K2465" i="3"/>
  <c r="L2465" i="3"/>
  <c r="A2466" i="3"/>
  <c r="B2466" i="3"/>
  <c r="C2466" i="3"/>
  <c r="D2466" i="3"/>
  <c r="E2466" i="3"/>
  <c r="F2466" i="3"/>
  <c r="G2466" i="3"/>
  <c r="H2466" i="3"/>
  <c r="I2466" i="3"/>
  <c r="J2466" i="3"/>
  <c r="K2466" i="3"/>
  <c r="L2466" i="3"/>
  <c r="A2467" i="3"/>
  <c r="B2467" i="3"/>
  <c r="C2467" i="3"/>
  <c r="D2467" i="3"/>
  <c r="E2467" i="3"/>
  <c r="F2467" i="3"/>
  <c r="G2467" i="3"/>
  <c r="H2467" i="3"/>
  <c r="I2467" i="3"/>
  <c r="J2467" i="3"/>
  <c r="K2467" i="3"/>
  <c r="L2467" i="3"/>
  <c r="A2468" i="3"/>
  <c r="B2468" i="3"/>
  <c r="C2468" i="3"/>
  <c r="D2468" i="3"/>
  <c r="E2468" i="3"/>
  <c r="F2468" i="3"/>
  <c r="G2468" i="3"/>
  <c r="H2468" i="3"/>
  <c r="I2468" i="3"/>
  <c r="J2468" i="3"/>
  <c r="K2468" i="3"/>
  <c r="L2468" i="3"/>
  <c r="A2469" i="3"/>
  <c r="B2469" i="3"/>
  <c r="C2469" i="3"/>
  <c r="D2469" i="3"/>
  <c r="E2469" i="3"/>
  <c r="F2469" i="3"/>
  <c r="G2469" i="3"/>
  <c r="H2469" i="3"/>
  <c r="I2469" i="3"/>
  <c r="J2469" i="3"/>
  <c r="K2469" i="3"/>
  <c r="L2469" i="3"/>
  <c r="A2470" i="3"/>
  <c r="B2470" i="3"/>
  <c r="C2470" i="3"/>
  <c r="D2470" i="3"/>
  <c r="E2470" i="3"/>
  <c r="F2470" i="3"/>
  <c r="G2470" i="3"/>
  <c r="H2470" i="3"/>
  <c r="I2470" i="3"/>
  <c r="J2470" i="3"/>
  <c r="K2470" i="3"/>
  <c r="L2470" i="3"/>
  <c r="A2471" i="3"/>
  <c r="B2471" i="3"/>
  <c r="C2471" i="3"/>
  <c r="D2471" i="3"/>
  <c r="E2471" i="3"/>
  <c r="F2471" i="3"/>
  <c r="G2471" i="3"/>
  <c r="H2471" i="3"/>
  <c r="I2471" i="3"/>
  <c r="J2471" i="3"/>
  <c r="K2471" i="3"/>
  <c r="L2471" i="3"/>
  <c r="A2472" i="3"/>
  <c r="B2472" i="3"/>
  <c r="C2472" i="3"/>
  <c r="D2472" i="3"/>
  <c r="E2472" i="3"/>
  <c r="F2472" i="3"/>
  <c r="G2472" i="3"/>
  <c r="H2472" i="3"/>
  <c r="I2472" i="3"/>
  <c r="J2472" i="3"/>
  <c r="K2472" i="3"/>
  <c r="L2472" i="3"/>
  <c r="A2473" i="3"/>
  <c r="B2473" i="3"/>
  <c r="C2473" i="3"/>
  <c r="D2473" i="3"/>
  <c r="E2473" i="3"/>
  <c r="F2473" i="3"/>
  <c r="G2473" i="3"/>
  <c r="H2473" i="3"/>
  <c r="I2473" i="3"/>
  <c r="J2473" i="3"/>
  <c r="K2473" i="3"/>
  <c r="L2473" i="3"/>
  <c r="A2474" i="3"/>
  <c r="B2474" i="3"/>
  <c r="C2474" i="3"/>
  <c r="D2474" i="3"/>
  <c r="E2474" i="3"/>
  <c r="F2474" i="3"/>
  <c r="G2474" i="3"/>
  <c r="H2474" i="3"/>
  <c r="I2474" i="3"/>
  <c r="J2474" i="3"/>
  <c r="K2474" i="3"/>
  <c r="L2474" i="3"/>
  <c r="A2475" i="3"/>
  <c r="B2475" i="3"/>
  <c r="C2475" i="3"/>
  <c r="D2475" i="3"/>
  <c r="E2475" i="3"/>
  <c r="F2475" i="3"/>
  <c r="G2475" i="3"/>
  <c r="H2475" i="3"/>
  <c r="I2475" i="3"/>
  <c r="J2475" i="3"/>
  <c r="K2475" i="3"/>
  <c r="L2475" i="3"/>
  <c r="A2476" i="3"/>
  <c r="B2476" i="3"/>
  <c r="C2476" i="3"/>
  <c r="D2476" i="3"/>
  <c r="E2476" i="3"/>
  <c r="F2476" i="3"/>
  <c r="G2476" i="3"/>
  <c r="H2476" i="3"/>
  <c r="I2476" i="3"/>
  <c r="J2476" i="3"/>
  <c r="K2476" i="3"/>
  <c r="L2476" i="3"/>
  <c r="A2477" i="3"/>
  <c r="B2477" i="3"/>
  <c r="C2477" i="3"/>
  <c r="D2477" i="3"/>
  <c r="E2477" i="3"/>
  <c r="F2477" i="3"/>
  <c r="G2477" i="3"/>
  <c r="H2477" i="3"/>
  <c r="I2477" i="3"/>
  <c r="J2477" i="3"/>
  <c r="K2477" i="3"/>
  <c r="L2477" i="3"/>
  <c r="A2478" i="3"/>
  <c r="B2478" i="3"/>
  <c r="C2478" i="3"/>
  <c r="D2478" i="3"/>
  <c r="E2478" i="3"/>
  <c r="F2478" i="3"/>
  <c r="G2478" i="3"/>
  <c r="H2478" i="3"/>
  <c r="I2478" i="3"/>
  <c r="J2478" i="3"/>
  <c r="K2478" i="3"/>
  <c r="L2478" i="3"/>
  <c r="A2479" i="3"/>
  <c r="B2479" i="3"/>
  <c r="C2479" i="3"/>
  <c r="D2479" i="3"/>
  <c r="E2479" i="3"/>
  <c r="F2479" i="3"/>
  <c r="G2479" i="3"/>
  <c r="H2479" i="3"/>
  <c r="I2479" i="3"/>
  <c r="J2479" i="3"/>
  <c r="K2479" i="3"/>
  <c r="L2479" i="3"/>
  <c r="A2480" i="3"/>
  <c r="B2480" i="3"/>
  <c r="C2480" i="3"/>
  <c r="D2480" i="3"/>
  <c r="E2480" i="3"/>
  <c r="F2480" i="3"/>
  <c r="G2480" i="3"/>
  <c r="H2480" i="3"/>
  <c r="I2480" i="3"/>
  <c r="J2480" i="3"/>
  <c r="K2480" i="3"/>
  <c r="L2480" i="3"/>
  <c r="A2481" i="3"/>
  <c r="B2481" i="3"/>
  <c r="C2481" i="3"/>
  <c r="D2481" i="3"/>
  <c r="E2481" i="3"/>
  <c r="F2481" i="3"/>
  <c r="G2481" i="3"/>
  <c r="H2481" i="3"/>
  <c r="I2481" i="3"/>
  <c r="J2481" i="3"/>
  <c r="K2481" i="3"/>
  <c r="L2481" i="3"/>
  <c r="A2482" i="3"/>
  <c r="B2482" i="3"/>
  <c r="C2482" i="3"/>
  <c r="D2482" i="3"/>
  <c r="E2482" i="3"/>
  <c r="F2482" i="3"/>
  <c r="G2482" i="3"/>
  <c r="H2482" i="3"/>
  <c r="I2482" i="3"/>
  <c r="J2482" i="3"/>
  <c r="K2482" i="3"/>
  <c r="L2482" i="3"/>
  <c r="A2483" i="3"/>
  <c r="B2483" i="3"/>
  <c r="C2483" i="3"/>
  <c r="D2483" i="3"/>
  <c r="E2483" i="3"/>
  <c r="F2483" i="3"/>
  <c r="G2483" i="3"/>
  <c r="H2483" i="3"/>
  <c r="I2483" i="3"/>
  <c r="J2483" i="3"/>
  <c r="K2483" i="3"/>
  <c r="L2483" i="3"/>
  <c r="A2484" i="3"/>
  <c r="B2484" i="3"/>
  <c r="C2484" i="3"/>
  <c r="D2484" i="3"/>
  <c r="E2484" i="3"/>
  <c r="F2484" i="3"/>
  <c r="G2484" i="3"/>
  <c r="H2484" i="3"/>
  <c r="I2484" i="3"/>
  <c r="J2484" i="3"/>
  <c r="K2484" i="3"/>
  <c r="L2484" i="3"/>
  <c r="A2485" i="3"/>
  <c r="B2485" i="3"/>
  <c r="C2485" i="3"/>
  <c r="D2485" i="3"/>
  <c r="E2485" i="3"/>
  <c r="F2485" i="3"/>
  <c r="G2485" i="3"/>
  <c r="H2485" i="3"/>
  <c r="I2485" i="3"/>
  <c r="J2485" i="3"/>
  <c r="K2485" i="3"/>
  <c r="L2485" i="3"/>
  <c r="A2486" i="3"/>
  <c r="B2486" i="3"/>
  <c r="C2486" i="3"/>
  <c r="D2486" i="3"/>
  <c r="E2486" i="3"/>
  <c r="F2486" i="3"/>
  <c r="G2486" i="3"/>
  <c r="H2486" i="3"/>
  <c r="I2486" i="3"/>
  <c r="J2486" i="3"/>
  <c r="K2486" i="3"/>
  <c r="L2486" i="3"/>
  <c r="A2487" i="3"/>
  <c r="B2487" i="3"/>
  <c r="C2487" i="3"/>
  <c r="D2487" i="3"/>
  <c r="E2487" i="3"/>
  <c r="F2487" i="3"/>
  <c r="G2487" i="3"/>
  <c r="H2487" i="3"/>
  <c r="I2487" i="3"/>
  <c r="J2487" i="3"/>
  <c r="K2487" i="3"/>
  <c r="L2487" i="3"/>
  <c r="A2488" i="3"/>
  <c r="B2488" i="3"/>
  <c r="C2488" i="3"/>
  <c r="D2488" i="3"/>
  <c r="E2488" i="3"/>
  <c r="F2488" i="3"/>
  <c r="G2488" i="3"/>
  <c r="H2488" i="3"/>
  <c r="I2488" i="3"/>
  <c r="J2488" i="3"/>
  <c r="K2488" i="3"/>
  <c r="L2488" i="3"/>
  <c r="A2489" i="3"/>
  <c r="B2489" i="3"/>
  <c r="C2489" i="3"/>
  <c r="D2489" i="3"/>
  <c r="E2489" i="3"/>
  <c r="F2489" i="3"/>
  <c r="G2489" i="3"/>
  <c r="H2489" i="3"/>
  <c r="I2489" i="3"/>
  <c r="J2489" i="3"/>
  <c r="K2489" i="3"/>
  <c r="L2489" i="3"/>
  <c r="A2490" i="3"/>
  <c r="B2490" i="3"/>
  <c r="C2490" i="3"/>
  <c r="D2490" i="3"/>
  <c r="E2490" i="3"/>
  <c r="F2490" i="3"/>
  <c r="G2490" i="3"/>
  <c r="H2490" i="3"/>
  <c r="I2490" i="3"/>
  <c r="J2490" i="3"/>
  <c r="K2490" i="3"/>
  <c r="L2490" i="3"/>
  <c r="A2491" i="3"/>
  <c r="B2491" i="3"/>
  <c r="C2491" i="3"/>
  <c r="D2491" i="3"/>
  <c r="E2491" i="3"/>
  <c r="F2491" i="3"/>
  <c r="G2491" i="3"/>
  <c r="H2491" i="3"/>
  <c r="I2491" i="3"/>
  <c r="J2491" i="3"/>
  <c r="K2491" i="3"/>
  <c r="L2491" i="3"/>
  <c r="A2492" i="3"/>
  <c r="B2492" i="3"/>
  <c r="C2492" i="3"/>
  <c r="D2492" i="3"/>
  <c r="E2492" i="3"/>
  <c r="F2492" i="3"/>
  <c r="G2492" i="3"/>
  <c r="H2492" i="3"/>
  <c r="I2492" i="3"/>
  <c r="J2492" i="3"/>
  <c r="K2492" i="3"/>
  <c r="L2492" i="3"/>
  <c r="A2493" i="3"/>
  <c r="B2493" i="3"/>
  <c r="C2493" i="3"/>
  <c r="D2493" i="3"/>
  <c r="E2493" i="3"/>
  <c r="F2493" i="3"/>
  <c r="G2493" i="3"/>
  <c r="H2493" i="3"/>
  <c r="I2493" i="3"/>
  <c r="J2493" i="3"/>
  <c r="K2493" i="3"/>
  <c r="L2493" i="3"/>
  <c r="A2494" i="3"/>
  <c r="B2494" i="3"/>
  <c r="C2494" i="3"/>
  <c r="D2494" i="3"/>
  <c r="E2494" i="3"/>
  <c r="F2494" i="3"/>
  <c r="G2494" i="3"/>
  <c r="H2494" i="3"/>
  <c r="I2494" i="3"/>
  <c r="J2494" i="3"/>
  <c r="K2494" i="3"/>
  <c r="L2494" i="3"/>
  <c r="A2495" i="3"/>
  <c r="B2495" i="3"/>
  <c r="C2495" i="3"/>
  <c r="D2495" i="3"/>
  <c r="E2495" i="3"/>
  <c r="F2495" i="3"/>
  <c r="G2495" i="3"/>
  <c r="H2495" i="3"/>
  <c r="I2495" i="3"/>
  <c r="J2495" i="3"/>
  <c r="K2495" i="3"/>
  <c r="L2495" i="3"/>
  <c r="A2496" i="3"/>
  <c r="B2496" i="3"/>
  <c r="C2496" i="3"/>
  <c r="D2496" i="3"/>
  <c r="E2496" i="3"/>
  <c r="F2496" i="3"/>
  <c r="G2496" i="3"/>
  <c r="H2496" i="3"/>
  <c r="I2496" i="3"/>
  <c r="J2496" i="3"/>
  <c r="K2496" i="3"/>
  <c r="L2496" i="3"/>
  <c r="A2497" i="3"/>
  <c r="B2497" i="3"/>
  <c r="C2497" i="3"/>
  <c r="D2497" i="3"/>
  <c r="E2497" i="3"/>
  <c r="F2497" i="3"/>
  <c r="G2497" i="3"/>
  <c r="H2497" i="3"/>
  <c r="I2497" i="3"/>
  <c r="J2497" i="3"/>
  <c r="K2497" i="3"/>
  <c r="L2497" i="3"/>
  <c r="A2498" i="3"/>
  <c r="B2498" i="3"/>
  <c r="C2498" i="3"/>
  <c r="D2498" i="3"/>
  <c r="E2498" i="3"/>
  <c r="F2498" i="3"/>
  <c r="G2498" i="3"/>
  <c r="H2498" i="3"/>
  <c r="I2498" i="3"/>
  <c r="J2498" i="3"/>
  <c r="K2498" i="3"/>
  <c r="L2498" i="3"/>
  <c r="A2499" i="3"/>
  <c r="B2499" i="3"/>
  <c r="C2499" i="3"/>
  <c r="D2499" i="3"/>
  <c r="E2499" i="3"/>
  <c r="F2499" i="3"/>
  <c r="G2499" i="3"/>
  <c r="H2499" i="3"/>
  <c r="I2499" i="3"/>
  <c r="J2499" i="3"/>
  <c r="K2499" i="3"/>
  <c r="L2499" i="3"/>
  <c r="A2500" i="3"/>
  <c r="B2500" i="3"/>
  <c r="C2500" i="3"/>
  <c r="D2500" i="3"/>
  <c r="E2500" i="3"/>
  <c r="F2500" i="3"/>
  <c r="G2500" i="3"/>
  <c r="H2500" i="3"/>
  <c r="I2500" i="3"/>
  <c r="J2500" i="3"/>
  <c r="K2500" i="3"/>
  <c r="L2500" i="3"/>
  <c r="A2501" i="3"/>
  <c r="B2501" i="3"/>
  <c r="C2501" i="3"/>
  <c r="D2501" i="3"/>
  <c r="E2501" i="3"/>
  <c r="F2501" i="3"/>
  <c r="G2501" i="3"/>
  <c r="H2501" i="3"/>
  <c r="I2501" i="3"/>
  <c r="J2501" i="3"/>
  <c r="K2501" i="3"/>
  <c r="L2501" i="3"/>
  <c r="A2502" i="3"/>
  <c r="B2502" i="3"/>
  <c r="C2502" i="3"/>
  <c r="D2502" i="3"/>
  <c r="E2502" i="3"/>
  <c r="F2502" i="3"/>
  <c r="G2502" i="3"/>
  <c r="H2502" i="3"/>
  <c r="I2502" i="3"/>
  <c r="J2502" i="3"/>
  <c r="K2502" i="3"/>
  <c r="L2502" i="3"/>
  <c r="A2503" i="3"/>
  <c r="B2503" i="3"/>
  <c r="C2503" i="3"/>
  <c r="D2503" i="3"/>
  <c r="E2503" i="3"/>
  <c r="F2503" i="3"/>
  <c r="G2503" i="3"/>
  <c r="H2503" i="3"/>
  <c r="I2503" i="3"/>
  <c r="J2503" i="3"/>
  <c r="K2503" i="3"/>
  <c r="L2503" i="3"/>
  <c r="A2504" i="3"/>
  <c r="B2504" i="3"/>
  <c r="C2504" i="3"/>
  <c r="D2504" i="3"/>
  <c r="E2504" i="3"/>
  <c r="F2504" i="3"/>
  <c r="G2504" i="3"/>
  <c r="H2504" i="3"/>
  <c r="I2504" i="3"/>
  <c r="J2504" i="3"/>
  <c r="K2504" i="3"/>
  <c r="L2504" i="3"/>
  <c r="A2505" i="3"/>
  <c r="B2505" i="3"/>
  <c r="C2505" i="3"/>
  <c r="D2505" i="3"/>
  <c r="E2505" i="3"/>
  <c r="F2505" i="3"/>
  <c r="G2505" i="3"/>
  <c r="H2505" i="3"/>
  <c r="I2505" i="3"/>
  <c r="J2505" i="3"/>
  <c r="K2505" i="3"/>
  <c r="L2505" i="3"/>
  <c r="A2506" i="3"/>
  <c r="B2506" i="3"/>
  <c r="C2506" i="3"/>
  <c r="D2506" i="3"/>
  <c r="E2506" i="3"/>
  <c r="F2506" i="3"/>
  <c r="G2506" i="3"/>
  <c r="H2506" i="3"/>
  <c r="I2506" i="3"/>
  <c r="J2506" i="3"/>
  <c r="K2506" i="3"/>
  <c r="L2506" i="3"/>
  <c r="A2507" i="3"/>
  <c r="B2507" i="3"/>
  <c r="C2507" i="3"/>
  <c r="D2507" i="3"/>
  <c r="E2507" i="3"/>
  <c r="F2507" i="3"/>
  <c r="G2507" i="3"/>
  <c r="H2507" i="3"/>
  <c r="I2507" i="3"/>
  <c r="J2507" i="3"/>
  <c r="K2507" i="3"/>
  <c r="L2507" i="3"/>
  <c r="A2508" i="3"/>
  <c r="B2508" i="3"/>
  <c r="C2508" i="3"/>
  <c r="D2508" i="3"/>
  <c r="E2508" i="3"/>
  <c r="F2508" i="3"/>
  <c r="G2508" i="3"/>
  <c r="H2508" i="3"/>
  <c r="I2508" i="3"/>
  <c r="J2508" i="3"/>
  <c r="K2508" i="3"/>
  <c r="L2508" i="3"/>
  <c r="A2509" i="3"/>
  <c r="B2509" i="3"/>
  <c r="C2509" i="3"/>
  <c r="D2509" i="3"/>
  <c r="E2509" i="3"/>
  <c r="F2509" i="3"/>
  <c r="G2509" i="3"/>
  <c r="H2509" i="3"/>
  <c r="I2509" i="3"/>
  <c r="J2509" i="3"/>
  <c r="K2509" i="3"/>
  <c r="L2509" i="3"/>
  <c r="A2510" i="3"/>
  <c r="B2510" i="3"/>
  <c r="C2510" i="3"/>
  <c r="D2510" i="3"/>
  <c r="E2510" i="3"/>
  <c r="F2510" i="3"/>
  <c r="G2510" i="3"/>
  <c r="H2510" i="3"/>
  <c r="I2510" i="3"/>
  <c r="J2510" i="3"/>
  <c r="K2510" i="3"/>
  <c r="L2510" i="3"/>
  <c r="A2511" i="3"/>
  <c r="B2511" i="3"/>
  <c r="C2511" i="3"/>
  <c r="D2511" i="3"/>
  <c r="E2511" i="3"/>
  <c r="F2511" i="3"/>
  <c r="G2511" i="3"/>
  <c r="H2511" i="3"/>
  <c r="I2511" i="3"/>
  <c r="J2511" i="3"/>
  <c r="K2511" i="3"/>
  <c r="L2511" i="3"/>
  <c r="A2512" i="3"/>
  <c r="B2512" i="3"/>
  <c r="C2512" i="3"/>
  <c r="D2512" i="3"/>
  <c r="E2512" i="3"/>
  <c r="F2512" i="3"/>
  <c r="G2512" i="3"/>
  <c r="H2512" i="3"/>
  <c r="I2512" i="3"/>
  <c r="J2512" i="3"/>
  <c r="K2512" i="3"/>
  <c r="L2512" i="3"/>
  <c r="A2513" i="3"/>
  <c r="B2513" i="3"/>
  <c r="C2513" i="3"/>
  <c r="D2513" i="3"/>
  <c r="E2513" i="3"/>
  <c r="F2513" i="3"/>
  <c r="G2513" i="3"/>
  <c r="H2513" i="3"/>
  <c r="I2513" i="3"/>
  <c r="J2513" i="3"/>
  <c r="K2513" i="3"/>
  <c r="L2513" i="3"/>
  <c r="A2514" i="3"/>
  <c r="B2514" i="3"/>
  <c r="C2514" i="3"/>
  <c r="D2514" i="3"/>
  <c r="E2514" i="3"/>
  <c r="F2514" i="3"/>
  <c r="G2514" i="3"/>
  <c r="H2514" i="3"/>
  <c r="I2514" i="3"/>
  <c r="J2514" i="3"/>
  <c r="K2514" i="3"/>
  <c r="L2514" i="3"/>
  <c r="A2515" i="3"/>
  <c r="B2515" i="3"/>
  <c r="C2515" i="3"/>
  <c r="D2515" i="3"/>
  <c r="E2515" i="3"/>
  <c r="F2515" i="3"/>
  <c r="G2515" i="3"/>
  <c r="H2515" i="3"/>
  <c r="I2515" i="3"/>
  <c r="J2515" i="3"/>
  <c r="K2515" i="3"/>
  <c r="L2515" i="3"/>
  <c r="A2516" i="3"/>
  <c r="B2516" i="3"/>
  <c r="C2516" i="3"/>
  <c r="D2516" i="3"/>
  <c r="E2516" i="3"/>
  <c r="F2516" i="3"/>
  <c r="G2516" i="3"/>
  <c r="H2516" i="3"/>
  <c r="I2516" i="3"/>
  <c r="J2516" i="3"/>
  <c r="K2516" i="3"/>
  <c r="L2516" i="3"/>
  <c r="A2517" i="3"/>
  <c r="B2517" i="3"/>
  <c r="C2517" i="3"/>
  <c r="D2517" i="3"/>
  <c r="E2517" i="3"/>
  <c r="F2517" i="3"/>
  <c r="G2517" i="3"/>
  <c r="H2517" i="3"/>
  <c r="I2517" i="3"/>
  <c r="J2517" i="3"/>
  <c r="K2517" i="3"/>
  <c r="L2517" i="3"/>
  <c r="A2518" i="3"/>
  <c r="B2518" i="3"/>
  <c r="C2518" i="3"/>
  <c r="D2518" i="3"/>
  <c r="E2518" i="3"/>
  <c r="F2518" i="3"/>
  <c r="G2518" i="3"/>
  <c r="H2518" i="3"/>
  <c r="I2518" i="3"/>
  <c r="J2518" i="3"/>
  <c r="K2518" i="3"/>
  <c r="L2518" i="3"/>
  <c r="A2519" i="3"/>
  <c r="B2519" i="3"/>
  <c r="C2519" i="3"/>
  <c r="D2519" i="3"/>
  <c r="E2519" i="3"/>
  <c r="F2519" i="3"/>
  <c r="G2519" i="3"/>
  <c r="H2519" i="3"/>
  <c r="I2519" i="3"/>
  <c r="J2519" i="3"/>
  <c r="K2519" i="3"/>
  <c r="L2519" i="3"/>
  <c r="A2520" i="3"/>
  <c r="B2520" i="3"/>
  <c r="C2520" i="3"/>
  <c r="D2520" i="3"/>
  <c r="E2520" i="3"/>
  <c r="F2520" i="3"/>
  <c r="G2520" i="3"/>
  <c r="H2520" i="3"/>
  <c r="I2520" i="3"/>
  <c r="J2520" i="3"/>
  <c r="K2520" i="3"/>
  <c r="L2520" i="3"/>
  <c r="A2521" i="3"/>
  <c r="B2521" i="3"/>
  <c r="C2521" i="3"/>
  <c r="D2521" i="3"/>
  <c r="E2521" i="3"/>
  <c r="F2521" i="3"/>
  <c r="G2521" i="3"/>
  <c r="H2521" i="3"/>
  <c r="I2521" i="3"/>
  <c r="J2521" i="3"/>
  <c r="K2521" i="3"/>
  <c r="L2521" i="3"/>
  <c r="A2522" i="3"/>
  <c r="B2522" i="3"/>
  <c r="C2522" i="3"/>
  <c r="D2522" i="3"/>
  <c r="E2522" i="3"/>
  <c r="F2522" i="3"/>
  <c r="G2522" i="3"/>
  <c r="H2522" i="3"/>
  <c r="I2522" i="3"/>
  <c r="J2522" i="3"/>
  <c r="K2522" i="3"/>
  <c r="L2522" i="3"/>
  <c r="A2523" i="3"/>
  <c r="B2523" i="3"/>
  <c r="C2523" i="3"/>
  <c r="D2523" i="3"/>
  <c r="E2523" i="3"/>
  <c r="F2523" i="3"/>
  <c r="G2523" i="3"/>
  <c r="H2523" i="3"/>
  <c r="I2523" i="3"/>
  <c r="J2523" i="3"/>
  <c r="K2523" i="3"/>
  <c r="L2523" i="3"/>
  <c r="A2524" i="3"/>
  <c r="B2524" i="3"/>
  <c r="C2524" i="3"/>
  <c r="D2524" i="3"/>
  <c r="E2524" i="3"/>
  <c r="F2524" i="3"/>
  <c r="G2524" i="3"/>
  <c r="H2524" i="3"/>
  <c r="I2524" i="3"/>
  <c r="J2524" i="3"/>
  <c r="K2524" i="3"/>
  <c r="L2524" i="3"/>
  <c r="A2525" i="3"/>
  <c r="B2525" i="3"/>
  <c r="C2525" i="3"/>
  <c r="D2525" i="3"/>
  <c r="E2525" i="3"/>
  <c r="F2525" i="3"/>
  <c r="G2525" i="3"/>
  <c r="H2525" i="3"/>
  <c r="I2525" i="3"/>
  <c r="J2525" i="3"/>
  <c r="K2525" i="3"/>
  <c r="L2525" i="3"/>
  <c r="A2526" i="3"/>
  <c r="B2526" i="3"/>
  <c r="C2526" i="3"/>
  <c r="D2526" i="3"/>
  <c r="E2526" i="3"/>
  <c r="F2526" i="3"/>
  <c r="G2526" i="3"/>
  <c r="H2526" i="3"/>
  <c r="I2526" i="3"/>
  <c r="J2526" i="3"/>
  <c r="K2526" i="3"/>
  <c r="L2526" i="3"/>
  <c r="A2527" i="3"/>
  <c r="B2527" i="3"/>
  <c r="C2527" i="3"/>
  <c r="D2527" i="3"/>
  <c r="E2527" i="3"/>
  <c r="F2527" i="3"/>
  <c r="G2527" i="3"/>
  <c r="H2527" i="3"/>
  <c r="I2527" i="3"/>
  <c r="J2527" i="3"/>
  <c r="K2527" i="3"/>
  <c r="L2527" i="3"/>
  <c r="A2528" i="3"/>
  <c r="B2528" i="3"/>
  <c r="C2528" i="3"/>
  <c r="D2528" i="3"/>
  <c r="E2528" i="3"/>
  <c r="F2528" i="3"/>
  <c r="G2528" i="3"/>
  <c r="H2528" i="3"/>
  <c r="I2528" i="3"/>
  <c r="J2528" i="3"/>
  <c r="K2528" i="3"/>
  <c r="L2528" i="3"/>
  <c r="A2529" i="3"/>
  <c r="B2529" i="3"/>
  <c r="C2529" i="3"/>
  <c r="D2529" i="3"/>
  <c r="E2529" i="3"/>
  <c r="F2529" i="3"/>
  <c r="G2529" i="3"/>
  <c r="H2529" i="3"/>
  <c r="I2529" i="3"/>
  <c r="J2529" i="3"/>
  <c r="K2529" i="3"/>
  <c r="L2529" i="3"/>
  <c r="A2530" i="3"/>
  <c r="B2530" i="3"/>
  <c r="C2530" i="3"/>
  <c r="D2530" i="3"/>
  <c r="E2530" i="3"/>
  <c r="F2530" i="3"/>
  <c r="G2530" i="3"/>
  <c r="H2530" i="3"/>
  <c r="I2530" i="3"/>
  <c r="J2530" i="3"/>
  <c r="K2530" i="3"/>
  <c r="L2530" i="3"/>
  <c r="A2531" i="3"/>
  <c r="B2531" i="3"/>
  <c r="C2531" i="3"/>
  <c r="D2531" i="3"/>
  <c r="E2531" i="3"/>
  <c r="F2531" i="3"/>
  <c r="G2531" i="3"/>
  <c r="H2531" i="3"/>
  <c r="I2531" i="3"/>
  <c r="J2531" i="3"/>
  <c r="K2531" i="3"/>
  <c r="L2531" i="3"/>
  <c r="A2532" i="3"/>
  <c r="B2532" i="3"/>
  <c r="C2532" i="3"/>
  <c r="D2532" i="3"/>
  <c r="E2532" i="3"/>
  <c r="F2532" i="3"/>
  <c r="G2532" i="3"/>
  <c r="H2532" i="3"/>
  <c r="I2532" i="3"/>
  <c r="J2532" i="3"/>
  <c r="K2532" i="3"/>
  <c r="L2532" i="3"/>
  <c r="A2533" i="3"/>
  <c r="B2533" i="3"/>
  <c r="C2533" i="3"/>
  <c r="D2533" i="3"/>
  <c r="E2533" i="3"/>
  <c r="F2533" i="3"/>
  <c r="G2533" i="3"/>
  <c r="H2533" i="3"/>
  <c r="I2533" i="3"/>
  <c r="J2533" i="3"/>
  <c r="K2533" i="3"/>
  <c r="L2533" i="3"/>
  <c r="A2534" i="3"/>
  <c r="B2534" i="3"/>
  <c r="C2534" i="3"/>
  <c r="D2534" i="3"/>
  <c r="E2534" i="3"/>
  <c r="F2534" i="3"/>
  <c r="G2534" i="3"/>
  <c r="H2534" i="3"/>
  <c r="I2534" i="3"/>
  <c r="J2534" i="3"/>
  <c r="K2534" i="3"/>
  <c r="L2534" i="3"/>
  <c r="A2535" i="3"/>
  <c r="B2535" i="3"/>
  <c r="C2535" i="3"/>
  <c r="D2535" i="3"/>
  <c r="E2535" i="3"/>
  <c r="F2535" i="3"/>
  <c r="G2535" i="3"/>
  <c r="H2535" i="3"/>
  <c r="I2535" i="3"/>
  <c r="J2535" i="3"/>
  <c r="K2535" i="3"/>
  <c r="L2535" i="3"/>
  <c r="A2536" i="3"/>
  <c r="B2536" i="3"/>
  <c r="C2536" i="3"/>
  <c r="D2536" i="3"/>
  <c r="E2536" i="3"/>
  <c r="F2536" i="3"/>
  <c r="G2536" i="3"/>
  <c r="H2536" i="3"/>
  <c r="I2536" i="3"/>
  <c r="J2536" i="3"/>
  <c r="K2536" i="3"/>
  <c r="L2536" i="3"/>
  <c r="A2537" i="3"/>
  <c r="B2537" i="3"/>
  <c r="C2537" i="3"/>
  <c r="D2537" i="3"/>
  <c r="E2537" i="3"/>
  <c r="F2537" i="3"/>
  <c r="G2537" i="3"/>
  <c r="H2537" i="3"/>
  <c r="I2537" i="3"/>
  <c r="J2537" i="3"/>
  <c r="K2537" i="3"/>
  <c r="L2537" i="3"/>
  <c r="A2538" i="3"/>
  <c r="B2538" i="3"/>
  <c r="C2538" i="3"/>
  <c r="D2538" i="3"/>
  <c r="E2538" i="3"/>
  <c r="F2538" i="3"/>
  <c r="G2538" i="3"/>
  <c r="H2538" i="3"/>
  <c r="I2538" i="3"/>
  <c r="J2538" i="3"/>
  <c r="K2538" i="3"/>
  <c r="L2538" i="3"/>
  <c r="A2539" i="3"/>
  <c r="B2539" i="3"/>
  <c r="C2539" i="3"/>
  <c r="D2539" i="3"/>
  <c r="E2539" i="3"/>
  <c r="F2539" i="3"/>
  <c r="G2539" i="3"/>
  <c r="H2539" i="3"/>
  <c r="I2539" i="3"/>
  <c r="J2539" i="3"/>
  <c r="K2539" i="3"/>
  <c r="L2539" i="3"/>
  <c r="A2540" i="3"/>
  <c r="B2540" i="3"/>
  <c r="C2540" i="3"/>
  <c r="D2540" i="3"/>
  <c r="E2540" i="3"/>
  <c r="F2540" i="3"/>
  <c r="G2540" i="3"/>
  <c r="H2540" i="3"/>
  <c r="I2540" i="3"/>
  <c r="J2540" i="3"/>
  <c r="K2540" i="3"/>
  <c r="L2540" i="3"/>
  <c r="A2541" i="3"/>
  <c r="B2541" i="3"/>
  <c r="C2541" i="3"/>
  <c r="D2541" i="3"/>
  <c r="E2541" i="3"/>
  <c r="F2541" i="3"/>
  <c r="G2541" i="3"/>
  <c r="H2541" i="3"/>
  <c r="I2541" i="3"/>
  <c r="J2541" i="3"/>
  <c r="K2541" i="3"/>
  <c r="L2541" i="3"/>
  <c r="A2542" i="3"/>
  <c r="B2542" i="3"/>
  <c r="C2542" i="3"/>
  <c r="D2542" i="3"/>
  <c r="E2542" i="3"/>
  <c r="F2542" i="3"/>
  <c r="G2542" i="3"/>
  <c r="H2542" i="3"/>
  <c r="I2542" i="3"/>
  <c r="J2542" i="3"/>
  <c r="K2542" i="3"/>
  <c r="L2542" i="3"/>
  <c r="A2543" i="3"/>
  <c r="B2543" i="3"/>
  <c r="C2543" i="3"/>
  <c r="D2543" i="3"/>
  <c r="E2543" i="3"/>
  <c r="F2543" i="3"/>
  <c r="G2543" i="3"/>
  <c r="H2543" i="3"/>
  <c r="I2543" i="3"/>
  <c r="J2543" i="3"/>
  <c r="K2543" i="3"/>
  <c r="L2543" i="3"/>
  <c r="A2544" i="3"/>
  <c r="B2544" i="3"/>
  <c r="C2544" i="3"/>
  <c r="D2544" i="3"/>
  <c r="E2544" i="3"/>
  <c r="F2544" i="3"/>
  <c r="G2544" i="3"/>
  <c r="H2544" i="3"/>
  <c r="I2544" i="3"/>
  <c r="J2544" i="3"/>
  <c r="K2544" i="3"/>
  <c r="L2544" i="3"/>
  <c r="A2545" i="3"/>
  <c r="B2545" i="3"/>
  <c r="C2545" i="3"/>
  <c r="D2545" i="3"/>
  <c r="E2545" i="3"/>
  <c r="F2545" i="3"/>
  <c r="G2545" i="3"/>
  <c r="H2545" i="3"/>
  <c r="I2545" i="3"/>
  <c r="J2545" i="3"/>
  <c r="K2545" i="3"/>
  <c r="L2545" i="3"/>
  <c r="A2546" i="3"/>
  <c r="B2546" i="3"/>
  <c r="C2546" i="3"/>
  <c r="D2546" i="3"/>
  <c r="E2546" i="3"/>
  <c r="F2546" i="3"/>
  <c r="G2546" i="3"/>
  <c r="H2546" i="3"/>
  <c r="I2546" i="3"/>
  <c r="J2546" i="3"/>
  <c r="K2546" i="3"/>
  <c r="L2546" i="3"/>
  <c r="A2547" i="3"/>
  <c r="B2547" i="3"/>
  <c r="C2547" i="3"/>
  <c r="D2547" i="3"/>
  <c r="E2547" i="3"/>
  <c r="F2547" i="3"/>
  <c r="G2547" i="3"/>
  <c r="H2547" i="3"/>
  <c r="I2547" i="3"/>
  <c r="J2547" i="3"/>
  <c r="K2547" i="3"/>
  <c r="L2547" i="3"/>
  <c r="A2548" i="3"/>
  <c r="B2548" i="3"/>
  <c r="C2548" i="3"/>
  <c r="D2548" i="3"/>
  <c r="E2548" i="3"/>
  <c r="F2548" i="3"/>
  <c r="G2548" i="3"/>
  <c r="H2548" i="3"/>
  <c r="I2548" i="3"/>
  <c r="J2548" i="3"/>
  <c r="K2548" i="3"/>
  <c r="L2548" i="3"/>
  <c r="A2549" i="3"/>
  <c r="B2549" i="3"/>
  <c r="C2549" i="3"/>
  <c r="D2549" i="3"/>
  <c r="E2549" i="3"/>
  <c r="F2549" i="3"/>
  <c r="G2549" i="3"/>
  <c r="H2549" i="3"/>
  <c r="I2549" i="3"/>
  <c r="J2549" i="3"/>
  <c r="K2549" i="3"/>
  <c r="L2549" i="3"/>
  <c r="A2550" i="3"/>
  <c r="B2550" i="3"/>
  <c r="C2550" i="3"/>
  <c r="D2550" i="3"/>
  <c r="E2550" i="3"/>
  <c r="F2550" i="3"/>
  <c r="G2550" i="3"/>
  <c r="H2550" i="3"/>
  <c r="I2550" i="3"/>
  <c r="J2550" i="3"/>
  <c r="K2550" i="3"/>
  <c r="L2550" i="3"/>
  <c r="A2551" i="3"/>
  <c r="B2551" i="3"/>
  <c r="C2551" i="3"/>
  <c r="D2551" i="3"/>
  <c r="E2551" i="3"/>
  <c r="F2551" i="3"/>
  <c r="G2551" i="3"/>
  <c r="H2551" i="3"/>
  <c r="I2551" i="3"/>
  <c r="J2551" i="3"/>
  <c r="K2551" i="3"/>
  <c r="L2551" i="3"/>
  <c r="A2552" i="3"/>
  <c r="B2552" i="3"/>
  <c r="C2552" i="3"/>
  <c r="D2552" i="3"/>
  <c r="E2552" i="3"/>
  <c r="F2552" i="3"/>
  <c r="G2552" i="3"/>
  <c r="H2552" i="3"/>
  <c r="I2552" i="3"/>
  <c r="J2552" i="3"/>
  <c r="K2552" i="3"/>
  <c r="L2552" i="3"/>
  <c r="A2553" i="3"/>
  <c r="B2553" i="3"/>
  <c r="C2553" i="3"/>
  <c r="D2553" i="3"/>
  <c r="E2553" i="3"/>
  <c r="F2553" i="3"/>
  <c r="G2553" i="3"/>
  <c r="H2553" i="3"/>
  <c r="I2553" i="3"/>
  <c r="J2553" i="3"/>
  <c r="K2553" i="3"/>
  <c r="L2553" i="3"/>
  <c r="A2554" i="3"/>
  <c r="B2554" i="3"/>
  <c r="C2554" i="3"/>
  <c r="D2554" i="3"/>
  <c r="E2554" i="3"/>
  <c r="F2554" i="3"/>
  <c r="G2554" i="3"/>
  <c r="H2554" i="3"/>
  <c r="I2554" i="3"/>
  <c r="J2554" i="3"/>
  <c r="K2554" i="3"/>
  <c r="L2554" i="3"/>
  <c r="A2555" i="3"/>
  <c r="B2555" i="3"/>
  <c r="C2555" i="3"/>
  <c r="D2555" i="3"/>
  <c r="E2555" i="3"/>
  <c r="F2555" i="3"/>
  <c r="G2555" i="3"/>
  <c r="H2555" i="3"/>
  <c r="I2555" i="3"/>
  <c r="J2555" i="3"/>
  <c r="K2555" i="3"/>
  <c r="L2555" i="3"/>
  <c r="A2556" i="3"/>
  <c r="B2556" i="3"/>
  <c r="C2556" i="3"/>
  <c r="D2556" i="3"/>
  <c r="E2556" i="3"/>
  <c r="F2556" i="3"/>
  <c r="G2556" i="3"/>
  <c r="H2556" i="3"/>
  <c r="I2556" i="3"/>
  <c r="J2556" i="3"/>
  <c r="K2556" i="3"/>
  <c r="L2556" i="3"/>
  <c r="A2557" i="3"/>
  <c r="B2557" i="3"/>
  <c r="C2557" i="3"/>
  <c r="D2557" i="3"/>
  <c r="E2557" i="3"/>
  <c r="F2557" i="3"/>
  <c r="G2557" i="3"/>
  <c r="H2557" i="3"/>
  <c r="I2557" i="3"/>
  <c r="J2557" i="3"/>
  <c r="K2557" i="3"/>
  <c r="L2557" i="3"/>
  <c r="A2558" i="3"/>
  <c r="B2558" i="3"/>
  <c r="C2558" i="3"/>
  <c r="D2558" i="3"/>
  <c r="E2558" i="3"/>
  <c r="F2558" i="3"/>
  <c r="G2558" i="3"/>
  <c r="H2558" i="3"/>
  <c r="I2558" i="3"/>
  <c r="J2558" i="3"/>
  <c r="K2558" i="3"/>
  <c r="L2558" i="3"/>
  <c r="A2559" i="3"/>
  <c r="B2559" i="3"/>
  <c r="C2559" i="3"/>
  <c r="D2559" i="3"/>
  <c r="E2559" i="3"/>
  <c r="F2559" i="3"/>
  <c r="G2559" i="3"/>
  <c r="H2559" i="3"/>
  <c r="I2559" i="3"/>
  <c r="J2559" i="3"/>
  <c r="K2559" i="3"/>
  <c r="L2559" i="3"/>
  <c r="A2560" i="3"/>
  <c r="B2560" i="3"/>
  <c r="C2560" i="3"/>
  <c r="D2560" i="3"/>
  <c r="E2560" i="3"/>
  <c r="F2560" i="3"/>
  <c r="G2560" i="3"/>
  <c r="H2560" i="3"/>
  <c r="I2560" i="3"/>
  <c r="J2560" i="3"/>
  <c r="K2560" i="3"/>
  <c r="L2560" i="3"/>
  <c r="A2561" i="3"/>
  <c r="B2561" i="3"/>
  <c r="C2561" i="3"/>
  <c r="D2561" i="3"/>
  <c r="E2561" i="3"/>
  <c r="F2561" i="3"/>
  <c r="G2561" i="3"/>
  <c r="H2561" i="3"/>
  <c r="I2561" i="3"/>
  <c r="J2561" i="3"/>
  <c r="K2561" i="3"/>
  <c r="L2561" i="3"/>
  <c r="A2562" i="3"/>
  <c r="B2562" i="3"/>
  <c r="C2562" i="3"/>
  <c r="D2562" i="3"/>
  <c r="E2562" i="3"/>
  <c r="F2562" i="3"/>
  <c r="G2562" i="3"/>
  <c r="H2562" i="3"/>
  <c r="I2562" i="3"/>
  <c r="J2562" i="3"/>
  <c r="K2562" i="3"/>
  <c r="L2562" i="3"/>
  <c r="A2563" i="3"/>
  <c r="B2563" i="3"/>
  <c r="C2563" i="3"/>
  <c r="D2563" i="3"/>
  <c r="E2563" i="3"/>
  <c r="F2563" i="3"/>
  <c r="G2563" i="3"/>
  <c r="H2563" i="3"/>
  <c r="I2563" i="3"/>
  <c r="J2563" i="3"/>
  <c r="K2563" i="3"/>
  <c r="L2563" i="3"/>
  <c r="A2564" i="3"/>
  <c r="B2564" i="3"/>
  <c r="C2564" i="3"/>
  <c r="D2564" i="3"/>
  <c r="E2564" i="3"/>
  <c r="F2564" i="3"/>
  <c r="G2564" i="3"/>
  <c r="H2564" i="3"/>
  <c r="I2564" i="3"/>
  <c r="J2564" i="3"/>
  <c r="K2564" i="3"/>
  <c r="L2564" i="3"/>
  <c r="A2565" i="3"/>
  <c r="B2565" i="3"/>
  <c r="C2565" i="3"/>
  <c r="D2565" i="3"/>
  <c r="E2565" i="3"/>
  <c r="F2565" i="3"/>
  <c r="G2565" i="3"/>
  <c r="H2565" i="3"/>
  <c r="I2565" i="3"/>
  <c r="J2565" i="3"/>
  <c r="K2565" i="3"/>
  <c r="L2565" i="3"/>
  <c r="A2566" i="3"/>
  <c r="B2566" i="3"/>
  <c r="C2566" i="3"/>
  <c r="D2566" i="3"/>
  <c r="E2566" i="3"/>
  <c r="F2566" i="3"/>
  <c r="G2566" i="3"/>
  <c r="H2566" i="3"/>
  <c r="I2566" i="3"/>
  <c r="J2566" i="3"/>
  <c r="K2566" i="3"/>
  <c r="L2566" i="3"/>
  <c r="A2567" i="3"/>
  <c r="B2567" i="3"/>
  <c r="C2567" i="3"/>
  <c r="D2567" i="3"/>
  <c r="E2567" i="3"/>
  <c r="F2567" i="3"/>
  <c r="G2567" i="3"/>
  <c r="H2567" i="3"/>
  <c r="I2567" i="3"/>
  <c r="J2567" i="3"/>
  <c r="K2567" i="3"/>
  <c r="L2567" i="3"/>
  <c r="A2568" i="3"/>
  <c r="B2568" i="3"/>
  <c r="C2568" i="3"/>
  <c r="D2568" i="3"/>
  <c r="E2568" i="3"/>
  <c r="F2568" i="3"/>
  <c r="G2568" i="3"/>
  <c r="H2568" i="3"/>
  <c r="I2568" i="3"/>
  <c r="J2568" i="3"/>
  <c r="K2568" i="3"/>
  <c r="L2568" i="3"/>
  <c r="A2569" i="3"/>
  <c r="B2569" i="3"/>
  <c r="C2569" i="3"/>
  <c r="D2569" i="3"/>
  <c r="E2569" i="3"/>
  <c r="F2569" i="3"/>
  <c r="G2569" i="3"/>
  <c r="H2569" i="3"/>
  <c r="I2569" i="3"/>
  <c r="J2569" i="3"/>
  <c r="K2569" i="3"/>
  <c r="L2569" i="3"/>
  <c r="A2570" i="3"/>
  <c r="B2570" i="3"/>
  <c r="C2570" i="3"/>
  <c r="D2570" i="3"/>
  <c r="E2570" i="3"/>
  <c r="F2570" i="3"/>
  <c r="G2570" i="3"/>
  <c r="H2570" i="3"/>
  <c r="I2570" i="3"/>
  <c r="J2570" i="3"/>
  <c r="K2570" i="3"/>
  <c r="L2570" i="3"/>
  <c r="A2571" i="3"/>
  <c r="B2571" i="3"/>
  <c r="C2571" i="3"/>
  <c r="D2571" i="3"/>
  <c r="E2571" i="3"/>
  <c r="F2571" i="3"/>
  <c r="G2571" i="3"/>
  <c r="H2571" i="3"/>
  <c r="I2571" i="3"/>
  <c r="J2571" i="3"/>
  <c r="K2571" i="3"/>
  <c r="L2571" i="3"/>
  <c r="A2572" i="3"/>
  <c r="B2572" i="3"/>
  <c r="C2572" i="3"/>
  <c r="D2572" i="3"/>
  <c r="E2572" i="3"/>
  <c r="F2572" i="3"/>
  <c r="G2572" i="3"/>
  <c r="H2572" i="3"/>
  <c r="I2572" i="3"/>
  <c r="J2572" i="3"/>
  <c r="K2572" i="3"/>
  <c r="L2572" i="3"/>
  <c r="A2573" i="3"/>
  <c r="B2573" i="3"/>
  <c r="C2573" i="3"/>
  <c r="D2573" i="3"/>
  <c r="E2573" i="3"/>
  <c r="F2573" i="3"/>
  <c r="G2573" i="3"/>
  <c r="H2573" i="3"/>
  <c r="I2573" i="3"/>
  <c r="J2573" i="3"/>
  <c r="K2573" i="3"/>
  <c r="L2573" i="3"/>
  <c r="A2574" i="3"/>
  <c r="B2574" i="3"/>
  <c r="C2574" i="3"/>
  <c r="D2574" i="3"/>
  <c r="E2574" i="3"/>
  <c r="F2574" i="3"/>
  <c r="G2574" i="3"/>
  <c r="H2574" i="3"/>
  <c r="I2574" i="3"/>
  <c r="J2574" i="3"/>
  <c r="K2574" i="3"/>
  <c r="L2574" i="3"/>
  <c r="A2575" i="3"/>
  <c r="B2575" i="3"/>
  <c r="C2575" i="3"/>
  <c r="D2575" i="3"/>
  <c r="E2575" i="3"/>
  <c r="F2575" i="3"/>
  <c r="G2575" i="3"/>
  <c r="H2575" i="3"/>
  <c r="I2575" i="3"/>
  <c r="J2575" i="3"/>
  <c r="K2575" i="3"/>
  <c r="L2575" i="3"/>
  <c r="A2576" i="3"/>
  <c r="B2576" i="3"/>
  <c r="C2576" i="3"/>
  <c r="D2576" i="3"/>
  <c r="E2576" i="3"/>
  <c r="F2576" i="3"/>
  <c r="G2576" i="3"/>
  <c r="H2576" i="3"/>
  <c r="I2576" i="3"/>
  <c r="J2576" i="3"/>
  <c r="K2576" i="3"/>
  <c r="L2576" i="3"/>
  <c r="A2577" i="3"/>
  <c r="B2577" i="3"/>
  <c r="C2577" i="3"/>
  <c r="D2577" i="3"/>
  <c r="E2577" i="3"/>
  <c r="F2577" i="3"/>
  <c r="G2577" i="3"/>
  <c r="H2577" i="3"/>
  <c r="I2577" i="3"/>
  <c r="J2577" i="3"/>
  <c r="K2577" i="3"/>
  <c r="L2577" i="3"/>
  <c r="A2578" i="3"/>
  <c r="B2578" i="3"/>
  <c r="C2578" i="3"/>
  <c r="D2578" i="3"/>
  <c r="E2578" i="3"/>
  <c r="F2578" i="3"/>
  <c r="G2578" i="3"/>
  <c r="H2578" i="3"/>
  <c r="I2578" i="3"/>
  <c r="J2578" i="3"/>
  <c r="K2578" i="3"/>
  <c r="L2578" i="3"/>
  <c r="A2579" i="3"/>
  <c r="B2579" i="3"/>
  <c r="C2579" i="3"/>
  <c r="D2579" i="3"/>
  <c r="E2579" i="3"/>
  <c r="F2579" i="3"/>
  <c r="G2579" i="3"/>
  <c r="H2579" i="3"/>
  <c r="I2579" i="3"/>
  <c r="J2579" i="3"/>
  <c r="K2579" i="3"/>
  <c r="L2579" i="3"/>
  <c r="A2580" i="3"/>
  <c r="B2580" i="3"/>
  <c r="C2580" i="3"/>
  <c r="D2580" i="3"/>
  <c r="E2580" i="3"/>
  <c r="F2580" i="3"/>
  <c r="G2580" i="3"/>
  <c r="H2580" i="3"/>
  <c r="I2580" i="3"/>
  <c r="J2580" i="3"/>
  <c r="K2580" i="3"/>
  <c r="L2580" i="3"/>
  <c r="A2581" i="3"/>
  <c r="B2581" i="3"/>
  <c r="C2581" i="3"/>
  <c r="D2581" i="3"/>
  <c r="E2581" i="3"/>
  <c r="F2581" i="3"/>
  <c r="G2581" i="3"/>
  <c r="H2581" i="3"/>
  <c r="I2581" i="3"/>
  <c r="J2581" i="3"/>
  <c r="K2581" i="3"/>
  <c r="L2581" i="3"/>
  <c r="A2582" i="3"/>
  <c r="B2582" i="3"/>
  <c r="C2582" i="3"/>
  <c r="D2582" i="3"/>
  <c r="E2582" i="3"/>
  <c r="F2582" i="3"/>
  <c r="G2582" i="3"/>
  <c r="H2582" i="3"/>
  <c r="I2582" i="3"/>
  <c r="J2582" i="3"/>
  <c r="K2582" i="3"/>
  <c r="L2582" i="3"/>
  <c r="A2583" i="3"/>
  <c r="B2583" i="3"/>
  <c r="C2583" i="3"/>
  <c r="D2583" i="3"/>
  <c r="E2583" i="3"/>
  <c r="F2583" i="3"/>
  <c r="G2583" i="3"/>
  <c r="H2583" i="3"/>
  <c r="I2583" i="3"/>
  <c r="J2583" i="3"/>
  <c r="K2583" i="3"/>
  <c r="L2583" i="3"/>
  <c r="A2584" i="3"/>
  <c r="B2584" i="3"/>
  <c r="C2584" i="3"/>
  <c r="D2584" i="3"/>
  <c r="E2584" i="3"/>
  <c r="F2584" i="3"/>
  <c r="G2584" i="3"/>
  <c r="H2584" i="3"/>
  <c r="I2584" i="3"/>
  <c r="J2584" i="3"/>
  <c r="K2584" i="3"/>
  <c r="L2584" i="3"/>
  <c r="A2585" i="3"/>
  <c r="B2585" i="3"/>
  <c r="C2585" i="3"/>
  <c r="D2585" i="3"/>
  <c r="E2585" i="3"/>
  <c r="F2585" i="3"/>
  <c r="G2585" i="3"/>
  <c r="H2585" i="3"/>
  <c r="I2585" i="3"/>
  <c r="J2585" i="3"/>
  <c r="K2585" i="3"/>
  <c r="L2585" i="3"/>
  <c r="A2586" i="3"/>
  <c r="B2586" i="3"/>
  <c r="C2586" i="3"/>
  <c r="D2586" i="3"/>
  <c r="E2586" i="3"/>
  <c r="F2586" i="3"/>
  <c r="G2586" i="3"/>
  <c r="H2586" i="3"/>
  <c r="I2586" i="3"/>
  <c r="J2586" i="3"/>
  <c r="K2586" i="3"/>
  <c r="L2586" i="3"/>
  <c r="A2587" i="3"/>
  <c r="B2587" i="3"/>
  <c r="C2587" i="3"/>
  <c r="D2587" i="3"/>
  <c r="E2587" i="3"/>
  <c r="F2587" i="3"/>
  <c r="G2587" i="3"/>
  <c r="H2587" i="3"/>
  <c r="I2587" i="3"/>
  <c r="J2587" i="3"/>
  <c r="K2587" i="3"/>
  <c r="L2587" i="3"/>
  <c r="A2588" i="3"/>
  <c r="B2588" i="3"/>
  <c r="C2588" i="3"/>
  <c r="D2588" i="3"/>
  <c r="E2588" i="3"/>
  <c r="F2588" i="3"/>
  <c r="G2588" i="3"/>
  <c r="H2588" i="3"/>
  <c r="I2588" i="3"/>
  <c r="J2588" i="3"/>
  <c r="K2588" i="3"/>
  <c r="L2588" i="3"/>
  <c r="A2589" i="3"/>
  <c r="B2589" i="3"/>
  <c r="C2589" i="3"/>
  <c r="D2589" i="3"/>
  <c r="E2589" i="3"/>
  <c r="F2589" i="3"/>
  <c r="G2589" i="3"/>
  <c r="H2589" i="3"/>
  <c r="I2589" i="3"/>
  <c r="J2589" i="3"/>
  <c r="K2589" i="3"/>
  <c r="L2589" i="3"/>
  <c r="A2590" i="3"/>
  <c r="B2590" i="3"/>
  <c r="C2590" i="3"/>
  <c r="D2590" i="3"/>
  <c r="E2590" i="3"/>
  <c r="F2590" i="3"/>
  <c r="G2590" i="3"/>
  <c r="H2590" i="3"/>
  <c r="I2590" i="3"/>
  <c r="J2590" i="3"/>
  <c r="K2590" i="3"/>
  <c r="L2590" i="3"/>
  <c r="A2591" i="3"/>
  <c r="B2591" i="3"/>
  <c r="C2591" i="3"/>
  <c r="D2591" i="3"/>
  <c r="E2591" i="3"/>
  <c r="F2591" i="3"/>
  <c r="G2591" i="3"/>
  <c r="H2591" i="3"/>
  <c r="I2591" i="3"/>
  <c r="J2591" i="3"/>
  <c r="K2591" i="3"/>
  <c r="L2591" i="3"/>
  <c r="A2592" i="3"/>
  <c r="B2592" i="3"/>
  <c r="C2592" i="3"/>
  <c r="D2592" i="3"/>
  <c r="E2592" i="3"/>
  <c r="F2592" i="3"/>
  <c r="G2592" i="3"/>
  <c r="H2592" i="3"/>
  <c r="I2592" i="3"/>
  <c r="J2592" i="3"/>
  <c r="K2592" i="3"/>
  <c r="L2592" i="3"/>
  <c r="A2593" i="3"/>
  <c r="B2593" i="3"/>
  <c r="C2593" i="3"/>
  <c r="D2593" i="3"/>
  <c r="E2593" i="3"/>
  <c r="F2593" i="3"/>
  <c r="G2593" i="3"/>
  <c r="H2593" i="3"/>
  <c r="I2593" i="3"/>
  <c r="J2593" i="3"/>
  <c r="K2593" i="3"/>
  <c r="L2593" i="3"/>
  <c r="A2594" i="3"/>
  <c r="B2594" i="3"/>
  <c r="C2594" i="3"/>
  <c r="D2594" i="3"/>
  <c r="E2594" i="3"/>
  <c r="F2594" i="3"/>
  <c r="G2594" i="3"/>
  <c r="H2594" i="3"/>
  <c r="I2594" i="3"/>
  <c r="J2594" i="3"/>
  <c r="K2594" i="3"/>
  <c r="L2594" i="3"/>
  <c r="A2595" i="3"/>
  <c r="B2595" i="3"/>
  <c r="C2595" i="3"/>
  <c r="D2595" i="3"/>
  <c r="E2595" i="3"/>
  <c r="F2595" i="3"/>
  <c r="G2595" i="3"/>
  <c r="H2595" i="3"/>
  <c r="I2595" i="3"/>
  <c r="J2595" i="3"/>
  <c r="K2595" i="3"/>
  <c r="L2595" i="3"/>
  <c r="A2596" i="3"/>
  <c r="B2596" i="3"/>
  <c r="C2596" i="3"/>
  <c r="D2596" i="3"/>
  <c r="E2596" i="3"/>
  <c r="F2596" i="3"/>
  <c r="G2596" i="3"/>
  <c r="H2596" i="3"/>
  <c r="I2596" i="3"/>
  <c r="J2596" i="3"/>
  <c r="K2596" i="3"/>
  <c r="L2596" i="3"/>
  <c r="A2597" i="3"/>
  <c r="B2597" i="3"/>
  <c r="C2597" i="3"/>
  <c r="D2597" i="3"/>
  <c r="E2597" i="3"/>
  <c r="F2597" i="3"/>
  <c r="G2597" i="3"/>
  <c r="H2597" i="3"/>
  <c r="I2597" i="3"/>
  <c r="J2597" i="3"/>
  <c r="K2597" i="3"/>
  <c r="L2597" i="3"/>
  <c r="A2598" i="3"/>
  <c r="B2598" i="3"/>
  <c r="C2598" i="3"/>
  <c r="D2598" i="3"/>
  <c r="E2598" i="3"/>
  <c r="F2598" i="3"/>
  <c r="G2598" i="3"/>
  <c r="H2598" i="3"/>
  <c r="I2598" i="3"/>
  <c r="J2598" i="3"/>
  <c r="K2598" i="3"/>
  <c r="L2598" i="3"/>
  <c r="A2599" i="3"/>
  <c r="B2599" i="3"/>
  <c r="C2599" i="3"/>
  <c r="D2599" i="3"/>
  <c r="E2599" i="3"/>
  <c r="F2599" i="3"/>
  <c r="G2599" i="3"/>
  <c r="H2599" i="3"/>
  <c r="I2599" i="3"/>
  <c r="J2599" i="3"/>
  <c r="K2599" i="3"/>
  <c r="L2599" i="3"/>
  <c r="A2600" i="3"/>
  <c r="B2600" i="3"/>
  <c r="C2600" i="3"/>
  <c r="D2600" i="3"/>
  <c r="E2600" i="3"/>
  <c r="F2600" i="3"/>
  <c r="G2600" i="3"/>
  <c r="H2600" i="3"/>
  <c r="I2600" i="3"/>
  <c r="J2600" i="3"/>
  <c r="K2600" i="3"/>
  <c r="L2600" i="3"/>
  <c r="A2601" i="3"/>
  <c r="B2601" i="3"/>
  <c r="C2601" i="3"/>
  <c r="D2601" i="3"/>
  <c r="E2601" i="3"/>
  <c r="F2601" i="3"/>
  <c r="G2601" i="3"/>
  <c r="H2601" i="3"/>
  <c r="I2601" i="3"/>
  <c r="J2601" i="3"/>
  <c r="K2601" i="3"/>
  <c r="L2601" i="3"/>
  <c r="A2602" i="3"/>
  <c r="B2602" i="3"/>
  <c r="C2602" i="3"/>
  <c r="D2602" i="3"/>
  <c r="E2602" i="3"/>
  <c r="F2602" i="3"/>
  <c r="G2602" i="3"/>
  <c r="H2602" i="3"/>
  <c r="I2602" i="3"/>
  <c r="J2602" i="3"/>
  <c r="K2602" i="3"/>
  <c r="L2602" i="3"/>
  <c r="A2603" i="3"/>
  <c r="B2603" i="3"/>
  <c r="C2603" i="3"/>
  <c r="D2603" i="3"/>
  <c r="E2603" i="3"/>
  <c r="F2603" i="3"/>
  <c r="G2603" i="3"/>
  <c r="H2603" i="3"/>
  <c r="I2603" i="3"/>
  <c r="J2603" i="3"/>
  <c r="K2603" i="3"/>
  <c r="L2603" i="3"/>
  <c r="A2604" i="3"/>
  <c r="B2604" i="3"/>
  <c r="C2604" i="3"/>
  <c r="D2604" i="3"/>
  <c r="E2604" i="3"/>
  <c r="F2604" i="3"/>
  <c r="G2604" i="3"/>
  <c r="H2604" i="3"/>
  <c r="I2604" i="3"/>
  <c r="J2604" i="3"/>
  <c r="K2604" i="3"/>
  <c r="L2604" i="3"/>
  <c r="A2605" i="3"/>
  <c r="B2605" i="3"/>
  <c r="C2605" i="3"/>
  <c r="D2605" i="3"/>
  <c r="E2605" i="3"/>
  <c r="F2605" i="3"/>
  <c r="G2605" i="3"/>
  <c r="H2605" i="3"/>
  <c r="I2605" i="3"/>
  <c r="J2605" i="3"/>
  <c r="K2605" i="3"/>
  <c r="L2605" i="3"/>
  <c r="A2606" i="3"/>
  <c r="B2606" i="3"/>
  <c r="C2606" i="3"/>
  <c r="D2606" i="3"/>
  <c r="E2606" i="3"/>
  <c r="F2606" i="3"/>
  <c r="G2606" i="3"/>
  <c r="H2606" i="3"/>
  <c r="I2606" i="3"/>
  <c r="J2606" i="3"/>
  <c r="K2606" i="3"/>
  <c r="L2606" i="3"/>
  <c r="A2607" i="3"/>
  <c r="B2607" i="3"/>
  <c r="C2607" i="3"/>
  <c r="D2607" i="3"/>
  <c r="E2607" i="3"/>
  <c r="F2607" i="3"/>
  <c r="G2607" i="3"/>
  <c r="H2607" i="3"/>
  <c r="I2607" i="3"/>
  <c r="J2607" i="3"/>
  <c r="K2607" i="3"/>
  <c r="L2607" i="3"/>
  <c r="A2608" i="3"/>
  <c r="B2608" i="3"/>
  <c r="C2608" i="3"/>
  <c r="D2608" i="3"/>
  <c r="E2608" i="3"/>
  <c r="F2608" i="3"/>
  <c r="G2608" i="3"/>
  <c r="H2608" i="3"/>
  <c r="I2608" i="3"/>
  <c r="J2608" i="3"/>
  <c r="K2608" i="3"/>
  <c r="L2608" i="3"/>
  <c r="A2609" i="3"/>
  <c r="B2609" i="3"/>
  <c r="C2609" i="3"/>
  <c r="D2609" i="3"/>
  <c r="E2609" i="3"/>
  <c r="F2609" i="3"/>
  <c r="G2609" i="3"/>
  <c r="H2609" i="3"/>
  <c r="I2609" i="3"/>
  <c r="J2609" i="3"/>
  <c r="K2609" i="3"/>
  <c r="L2609" i="3"/>
  <c r="A2610" i="3"/>
  <c r="B2610" i="3"/>
  <c r="C2610" i="3"/>
  <c r="D2610" i="3"/>
  <c r="E2610" i="3"/>
  <c r="F2610" i="3"/>
  <c r="G2610" i="3"/>
  <c r="H2610" i="3"/>
  <c r="I2610" i="3"/>
  <c r="J2610" i="3"/>
  <c r="K2610" i="3"/>
  <c r="L2610" i="3"/>
  <c r="A2611" i="3"/>
  <c r="B2611" i="3"/>
  <c r="C2611" i="3"/>
  <c r="D2611" i="3"/>
  <c r="E2611" i="3"/>
  <c r="F2611" i="3"/>
  <c r="G2611" i="3"/>
  <c r="H2611" i="3"/>
  <c r="I2611" i="3"/>
  <c r="J2611" i="3"/>
  <c r="K2611" i="3"/>
  <c r="L2611" i="3"/>
  <c r="A2612" i="3"/>
  <c r="B2612" i="3"/>
  <c r="C2612" i="3"/>
  <c r="D2612" i="3"/>
  <c r="E2612" i="3"/>
  <c r="F2612" i="3"/>
  <c r="G2612" i="3"/>
  <c r="H2612" i="3"/>
  <c r="I2612" i="3"/>
  <c r="J2612" i="3"/>
  <c r="K2612" i="3"/>
  <c r="L2612" i="3"/>
  <c r="A2613" i="3"/>
  <c r="B2613" i="3"/>
  <c r="C2613" i="3"/>
  <c r="D2613" i="3"/>
  <c r="E2613" i="3"/>
  <c r="F2613" i="3"/>
  <c r="G2613" i="3"/>
  <c r="H2613" i="3"/>
  <c r="I2613" i="3"/>
  <c r="J2613" i="3"/>
  <c r="K2613" i="3"/>
  <c r="L2613" i="3"/>
  <c r="A2614" i="3"/>
  <c r="B2614" i="3"/>
  <c r="C2614" i="3"/>
  <c r="D2614" i="3"/>
  <c r="E2614" i="3"/>
  <c r="F2614" i="3"/>
  <c r="G2614" i="3"/>
  <c r="H2614" i="3"/>
  <c r="I2614" i="3"/>
  <c r="J2614" i="3"/>
  <c r="K2614" i="3"/>
  <c r="L2614" i="3"/>
  <c r="A2615" i="3"/>
  <c r="B2615" i="3"/>
  <c r="C2615" i="3"/>
  <c r="D2615" i="3"/>
  <c r="E2615" i="3"/>
  <c r="F2615" i="3"/>
  <c r="G2615" i="3"/>
  <c r="H2615" i="3"/>
  <c r="I2615" i="3"/>
  <c r="J2615" i="3"/>
  <c r="K2615" i="3"/>
  <c r="L2615" i="3"/>
  <c r="A2616" i="3"/>
  <c r="B2616" i="3"/>
  <c r="C2616" i="3"/>
  <c r="D2616" i="3"/>
  <c r="E2616" i="3"/>
  <c r="F2616" i="3"/>
  <c r="G2616" i="3"/>
  <c r="H2616" i="3"/>
  <c r="I2616" i="3"/>
  <c r="J2616" i="3"/>
  <c r="K2616" i="3"/>
  <c r="L2616" i="3"/>
  <c r="A2617" i="3"/>
  <c r="B2617" i="3"/>
  <c r="C2617" i="3"/>
  <c r="D2617" i="3"/>
  <c r="E2617" i="3"/>
  <c r="F2617" i="3"/>
  <c r="G2617" i="3"/>
  <c r="H2617" i="3"/>
  <c r="I2617" i="3"/>
  <c r="J2617" i="3"/>
  <c r="K2617" i="3"/>
  <c r="L2617" i="3"/>
  <c r="A2618" i="3"/>
  <c r="B2618" i="3"/>
  <c r="C2618" i="3"/>
  <c r="D2618" i="3"/>
  <c r="E2618" i="3"/>
  <c r="F2618" i="3"/>
  <c r="G2618" i="3"/>
  <c r="H2618" i="3"/>
  <c r="I2618" i="3"/>
  <c r="J2618" i="3"/>
  <c r="K2618" i="3"/>
  <c r="L2618" i="3"/>
  <c r="A2619" i="3"/>
  <c r="B2619" i="3"/>
  <c r="C2619" i="3"/>
  <c r="D2619" i="3"/>
  <c r="E2619" i="3"/>
  <c r="F2619" i="3"/>
  <c r="G2619" i="3"/>
  <c r="H2619" i="3"/>
  <c r="I2619" i="3"/>
  <c r="J2619" i="3"/>
  <c r="K2619" i="3"/>
  <c r="L2619" i="3"/>
  <c r="A2620" i="3"/>
  <c r="B2620" i="3"/>
  <c r="C2620" i="3"/>
  <c r="D2620" i="3"/>
  <c r="E2620" i="3"/>
  <c r="F2620" i="3"/>
  <c r="G2620" i="3"/>
  <c r="H2620" i="3"/>
  <c r="I2620" i="3"/>
  <c r="J2620" i="3"/>
  <c r="K2620" i="3"/>
  <c r="L2620" i="3"/>
  <c r="A2621" i="3"/>
  <c r="B2621" i="3"/>
  <c r="C2621" i="3"/>
  <c r="D2621" i="3"/>
  <c r="E2621" i="3"/>
  <c r="F2621" i="3"/>
  <c r="G2621" i="3"/>
  <c r="H2621" i="3"/>
  <c r="I2621" i="3"/>
  <c r="J2621" i="3"/>
  <c r="K2621" i="3"/>
  <c r="L2621" i="3"/>
  <c r="A2622" i="3"/>
  <c r="B2622" i="3"/>
  <c r="C2622" i="3"/>
  <c r="D2622" i="3"/>
  <c r="E2622" i="3"/>
  <c r="F2622" i="3"/>
  <c r="G2622" i="3"/>
  <c r="H2622" i="3"/>
  <c r="I2622" i="3"/>
  <c r="J2622" i="3"/>
  <c r="K2622" i="3"/>
  <c r="L2622" i="3"/>
  <c r="A2623" i="3"/>
  <c r="B2623" i="3"/>
  <c r="C2623" i="3"/>
  <c r="D2623" i="3"/>
  <c r="E2623" i="3"/>
  <c r="F2623" i="3"/>
  <c r="G2623" i="3"/>
  <c r="H2623" i="3"/>
  <c r="I2623" i="3"/>
  <c r="J2623" i="3"/>
  <c r="K2623" i="3"/>
  <c r="L2623" i="3"/>
  <c r="A2624" i="3"/>
  <c r="B2624" i="3"/>
  <c r="C2624" i="3"/>
  <c r="D2624" i="3"/>
  <c r="E2624" i="3"/>
  <c r="F2624" i="3"/>
  <c r="G2624" i="3"/>
  <c r="H2624" i="3"/>
  <c r="I2624" i="3"/>
  <c r="J2624" i="3"/>
  <c r="K2624" i="3"/>
  <c r="L2624" i="3"/>
  <c r="A2625" i="3"/>
  <c r="B2625" i="3"/>
  <c r="C2625" i="3"/>
  <c r="D2625" i="3"/>
  <c r="E2625" i="3"/>
  <c r="F2625" i="3"/>
  <c r="G2625" i="3"/>
  <c r="H2625" i="3"/>
  <c r="I2625" i="3"/>
  <c r="J2625" i="3"/>
  <c r="K2625" i="3"/>
  <c r="L2625" i="3"/>
  <c r="A2626" i="3"/>
  <c r="B2626" i="3"/>
  <c r="C2626" i="3"/>
  <c r="D2626" i="3"/>
  <c r="E2626" i="3"/>
  <c r="F2626" i="3"/>
  <c r="G2626" i="3"/>
  <c r="H2626" i="3"/>
  <c r="I2626" i="3"/>
  <c r="J2626" i="3"/>
  <c r="K2626" i="3"/>
  <c r="L2626" i="3"/>
  <c r="A2627" i="3"/>
  <c r="B2627" i="3"/>
  <c r="C2627" i="3"/>
  <c r="D2627" i="3"/>
  <c r="E2627" i="3"/>
  <c r="F2627" i="3"/>
  <c r="G2627" i="3"/>
  <c r="H2627" i="3"/>
  <c r="I2627" i="3"/>
  <c r="J2627" i="3"/>
  <c r="K2627" i="3"/>
  <c r="L2627" i="3"/>
  <c r="A2628" i="3"/>
  <c r="B2628" i="3"/>
  <c r="C2628" i="3"/>
  <c r="D2628" i="3"/>
  <c r="E2628" i="3"/>
  <c r="F2628" i="3"/>
  <c r="G2628" i="3"/>
  <c r="H2628" i="3"/>
  <c r="I2628" i="3"/>
  <c r="J2628" i="3"/>
  <c r="K2628" i="3"/>
  <c r="L2628" i="3"/>
  <c r="A2629" i="3"/>
  <c r="B2629" i="3"/>
  <c r="C2629" i="3"/>
  <c r="D2629" i="3"/>
  <c r="E2629" i="3"/>
  <c r="F2629" i="3"/>
  <c r="G2629" i="3"/>
  <c r="H2629" i="3"/>
  <c r="I2629" i="3"/>
  <c r="J2629" i="3"/>
  <c r="K2629" i="3"/>
  <c r="L2629" i="3"/>
  <c r="A2630" i="3"/>
  <c r="B2630" i="3"/>
  <c r="C2630" i="3"/>
  <c r="D2630" i="3"/>
  <c r="E2630" i="3"/>
  <c r="F2630" i="3"/>
  <c r="G2630" i="3"/>
  <c r="H2630" i="3"/>
  <c r="I2630" i="3"/>
  <c r="J2630" i="3"/>
  <c r="K2630" i="3"/>
  <c r="L2630" i="3"/>
  <c r="A2631" i="3"/>
  <c r="B2631" i="3"/>
  <c r="C2631" i="3"/>
  <c r="D2631" i="3"/>
  <c r="E2631" i="3"/>
  <c r="F2631" i="3"/>
  <c r="G2631" i="3"/>
  <c r="H2631" i="3"/>
  <c r="I2631" i="3"/>
  <c r="J2631" i="3"/>
  <c r="K2631" i="3"/>
  <c r="L2631" i="3"/>
  <c r="A2632" i="3"/>
  <c r="B2632" i="3"/>
  <c r="C2632" i="3"/>
  <c r="D2632" i="3"/>
  <c r="E2632" i="3"/>
  <c r="F2632" i="3"/>
  <c r="G2632" i="3"/>
  <c r="H2632" i="3"/>
  <c r="I2632" i="3"/>
  <c r="J2632" i="3"/>
  <c r="K2632" i="3"/>
  <c r="L2632" i="3"/>
  <c r="A2633" i="3"/>
  <c r="B2633" i="3"/>
  <c r="C2633" i="3"/>
  <c r="D2633" i="3"/>
  <c r="E2633" i="3"/>
  <c r="F2633" i="3"/>
  <c r="G2633" i="3"/>
  <c r="H2633" i="3"/>
  <c r="I2633" i="3"/>
  <c r="J2633" i="3"/>
  <c r="K2633" i="3"/>
  <c r="L2633" i="3"/>
  <c r="A2634" i="3"/>
  <c r="B2634" i="3"/>
  <c r="C2634" i="3"/>
  <c r="D2634" i="3"/>
  <c r="E2634" i="3"/>
  <c r="F2634" i="3"/>
  <c r="G2634" i="3"/>
  <c r="H2634" i="3"/>
  <c r="I2634" i="3"/>
  <c r="J2634" i="3"/>
  <c r="K2634" i="3"/>
  <c r="L2634" i="3"/>
  <c r="A2635" i="3"/>
  <c r="B2635" i="3"/>
  <c r="C2635" i="3"/>
  <c r="D2635" i="3"/>
  <c r="E2635" i="3"/>
  <c r="F2635" i="3"/>
  <c r="G2635" i="3"/>
  <c r="H2635" i="3"/>
  <c r="I2635" i="3"/>
  <c r="J2635" i="3"/>
  <c r="K2635" i="3"/>
  <c r="L2635" i="3"/>
  <c r="A2636" i="3"/>
  <c r="B2636" i="3"/>
  <c r="C2636" i="3"/>
  <c r="D2636" i="3"/>
  <c r="E2636" i="3"/>
  <c r="F2636" i="3"/>
  <c r="G2636" i="3"/>
  <c r="H2636" i="3"/>
  <c r="I2636" i="3"/>
  <c r="J2636" i="3"/>
  <c r="K2636" i="3"/>
  <c r="L2636" i="3"/>
  <c r="A2637" i="3"/>
  <c r="B2637" i="3"/>
  <c r="C2637" i="3"/>
  <c r="D2637" i="3"/>
  <c r="E2637" i="3"/>
  <c r="F2637" i="3"/>
  <c r="G2637" i="3"/>
  <c r="H2637" i="3"/>
  <c r="I2637" i="3"/>
  <c r="J2637" i="3"/>
  <c r="K2637" i="3"/>
  <c r="L2637" i="3"/>
  <c r="A2638" i="3"/>
  <c r="B2638" i="3"/>
  <c r="C2638" i="3"/>
  <c r="D2638" i="3"/>
  <c r="E2638" i="3"/>
  <c r="F2638" i="3"/>
  <c r="G2638" i="3"/>
  <c r="H2638" i="3"/>
  <c r="I2638" i="3"/>
  <c r="J2638" i="3"/>
  <c r="K2638" i="3"/>
  <c r="L2638" i="3"/>
  <c r="A2639" i="3"/>
  <c r="B2639" i="3"/>
  <c r="C2639" i="3"/>
  <c r="D2639" i="3"/>
  <c r="E2639" i="3"/>
  <c r="F2639" i="3"/>
  <c r="G2639" i="3"/>
  <c r="H2639" i="3"/>
  <c r="I2639" i="3"/>
  <c r="J2639" i="3"/>
  <c r="K2639" i="3"/>
  <c r="L2639" i="3"/>
  <c r="A2640" i="3"/>
  <c r="B2640" i="3"/>
  <c r="C2640" i="3"/>
  <c r="D2640" i="3"/>
  <c r="E2640" i="3"/>
  <c r="F2640" i="3"/>
  <c r="G2640" i="3"/>
  <c r="H2640" i="3"/>
  <c r="I2640" i="3"/>
  <c r="J2640" i="3"/>
  <c r="K2640" i="3"/>
  <c r="L2640" i="3"/>
  <c r="A2641" i="3"/>
  <c r="B2641" i="3"/>
  <c r="C2641" i="3"/>
  <c r="D2641" i="3"/>
  <c r="E2641" i="3"/>
  <c r="F2641" i="3"/>
  <c r="G2641" i="3"/>
  <c r="H2641" i="3"/>
  <c r="I2641" i="3"/>
  <c r="J2641" i="3"/>
  <c r="K2641" i="3"/>
  <c r="L2641" i="3"/>
  <c r="A2642" i="3"/>
  <c r="B2642" i="3"/>
  <c r="C2642" i="3"/>
  <c r="D2642" i="3"/>
  <c r="E2642" i="3"/>
  <c r="F2642" i="3"/>
  <c r="G2642" i="3"/>
  <c r="H2642" i="3"/>
  <c r="I2642" i="3"/>
  <c r="J2642" i="3"/>
  <c r="K2642" i="3"/>
  <c r="L2642" i="3"/>
  <c r="A2643" i="3"/>
  <c r="B2643" i="3"/>
  <c r="C2643" i="3"/>
  <c r="D2643" i="3"/>
  <c r="E2643" i="3"/>
  <c r="F2643" i="3"/>
  <c r="G2643" i="3"/>
  <c r="H2643" i="3"/>
  <c r="I2643" i="3"/>
  <c r="J2643" i="3"/>
  <c r="K2643" i="3"/>
  <c r="L2643" i="3"/>
  <c r="A2644" i="3"/>
  <c r="B2644" i="3"/>
  <c r="C2644" i="3"/>
  <c r="D2644" i="3"/>
  <c r="E2644" i="3"/>
  <c r="F2644" i="3"/>
  <c r="G2644" i="3"/>
  <c r="H2644" i="3"/>
  <c r="I2644" i="3"/>
  <c r="J2644" i="3"/>
  <c r="K2644" i="3"/>
  <c r="L2644" i="3"/>
  <c r="A2645" i="3"/>
  <c r="B2645" i="3"/>
  <c r="C2645" i="3"/>
  <c r="D2645" i="3"/>
  <c r="E2645" i="3"/>
  <c r="F2645" i="3"/>
  <c r="G2645" i="3"/>
  <c r="H2645" i="3"/>
  <c r="I2645" i="3"/>
  <c r="J2645" i="3"/>
  <c r="K2645" i="3"/>
  <c r="L2645" i="3"/>
  <c r="A2646" i="3"/>
  <c r="B2646" i="3"/>
  <c r="C2646" i="3"/>
  <c r="D2646" i="3"/>
  <c r="E2646" i="3"/>
  <c r="F2646" i="3"/>
  <c r="G2646" i="3"/>
  <c r="H2646" i="3"/>
  <c r="I2646" i="3"/>
  <c r="J2646" i="3"/>
  <c r="K2646" i="3"/>
  <c r="L2646" i="3"/>
  <c r="A2647" i="3"/>
  <c r="B2647" i="3"/>
  <c r="C2647" i="3"/>
  <c r="D2647" i="3"/>
  <c r="E2647" i="3"/>
  <c r="F2647" i="3"/>
  <c r="G2647" i="3"/>
  <c r="H2647" i="3"/>
  <c r="I2647" i="3"/>
  <c r="J2647" i="3"/>
  <c r="K2647" i="3"/>
  <c r="L2647" i="3"/>
  <c r="A2648" i="3"/>
  <c r="B2648" i="3"/>
  <c r="C2648" i="3"/>
  <c r="D2648" i="3"/>
  <c r="E2648" i="3"/>
  <c r="F2648" i="3"/>
  <c r="G2648" i="3"/>
  <c r="H2648" i="3"/>
  <c r="I2648" i="3"/>
  <c r="J2648" i="3"/>
  <c r="K2648" i="3"/>
  <c r="L2648" i="3"/>
  <c r="A2649" i="3"/>
  <c r="B2649" i="3"/>
  <c r="C2649" i="3"/>
  <c r="D2649" i="3"/>
  <c r="E2649" i="3"/>
  <c r="F2649" i="3"/>
  <c r="G2649" i="3"/>
  <c r="H2649" i="3"/>
  <c r="I2649" i="3"/>
  <c r="J2649" i="3"/>
  <c r="K2649" i="3"/>
  <c r="L2649" i="3"/>
  <c r="A2650" i="3"/>
  <c r="B2650" i="3"/>
  <c r="C2650" i="3"/>
  <c r="D2650" i="3"/>
  <c r="E2650" i="3"/>
  <c r="F2650" i="3"/>
  <c r="G2650" i="3"/>
  <c r="H2650" i="3"/>
  <c r="I2650" i="3"/>
  <c r="J2650" i="3"/>
  <c r="K2650" i="3"/>
  <c r="L2650" i="3"/>
  <c r="A2651" i="3"/>
  <c r="B2651" i="3"/>
  <c r="C2651" i="3"/>
  <c r="D2651" i="3"/>
  <c r="E2651" i="3"/>
  <c r="F2651" i="3"/>
  <c r="G2651" i="3"/>
  <c r="H2651" i="3"/>
  <c r="I2651" i="3"/>
  <c r="J2651" i="3"/>
  <c r="K2651" i="3"/>
  <c r="L2651" i="3"/>
  <c r="A2652" i="3"/>
  <c r="B2652" i="3"/>
  <c r="C2652" i="3"/>
  <c r="D2652" i="3"/>
  <c r="E2652" i="3"/>
  <c r="F2652" i="3"/>
  <c r="G2652" i="3"/>
  <c r="H2652" i="3"/>
  <c r="I2652" i="3"/>
  <c r="J2652" i="3"/>
  <c r="K2652" i="3"/>
  <c r="L2652" i="3"/>
  <c r="A2653" i="3"/>
  <c r="B2653" i="3"/>
  <c r="C2653" i="3"/>
  <c r="D2653" i="3"/>
  <c r="E2653" i="3"/>
  <c r="F2653" i="3"/>
  <c r="G2653" i="3"/>
  <c r="H2653" i="3"/>
  <c r="I2653" i="3"/>
  <c r="J2653" i="3"/>
  <c r="K2653" i="3"/>
  <c r="L2653" i="3"/>
  <c r="A2654" i="3"/>
  <c r="B2654" i="3"/>
  <c r="C2654" i="3"/>
  <c r="D2654" i="3"/>
  <c r="E2654" i="3"/>
  <c r="F2654" i="3"/>
  <c r="G2654" i="3"/>
  <c r="H2654" i="3"/>
  <c r="I2654" i="3"/>
  <c r="J2654" i="3"/>
  <c r="K2654" i="3"/>
  <c r="L2654" i="3"/>
  <c r="A2655" i="3"/>
  <c r="B2655" i="3"/>
  <c r="C2655" i="3"/>
  <c r="D2655" i="3"/>
  <c r="E2655" i="3"/>
  <c r="F2655" i="3"/>
  <c r="G2655" i="3"/>
  <c r="H2655" i="3"/>
  <c r="I2655" i="3"/>
  <c r="J2655" i="3"/>
  <c r="K2655" i="3"/>
  <c r="L2655" i="3"/>
  <c r="A2656" i="3"/>
  <c r="B2656" i="3"/>
  <c r="C2656" i="3"/>
  <c r="D2656" i="3"/>
  <c r="E2656" i="3"/>
  <c r="F2656" i="3"/>
  <c r="G2656" i="3"/>
  <c r="H2656" i="3"/>
  <c r="I2656" i="3"/>
  <c r="J2656" i="3"/>
  <c r="K2656" i="3"/>
  <c r="L2656" i="3"/>
  <c r="A2657" i="3"/>
  <c r="B2657" i="3"/>
  <c r="C2657" i="3"/>
  <c r="D2657" i="3"/>
  <c r="E2657" i="3"/>
  <c r="F2657" i="3"/>
  <c r="G2657" i="3"/>
  <c r="H2657" i="3"/>
  <c r="I2657" i="3"/>
  <c r="J2657" i="3"/>
  <c r="K2657" i="3"/>
  <c r="L2657" i="3"/>
  <c r="A2658" i="3"/>
  <c r="B2658" i="3"/>
  <c r="C2658" i="3"/>
  <c r="D2658" i="3"/>
  <c r="E2658" i="3"/>
  <c r="F2658" i="3"/>
  <c r="G2658" i="3"/>
  <c r="H2658" i="3"/>
  <c r="I2658" i="3"/>
  <c r="J2658" i="3"/>
  <c r="K2658" i="3"/>
  <c r="L2658" i="3"/>
  <c r="A2659" i="3"/>
  <c r="B2659" i="3"/>
  <c r="C2659" i="3"/>
  <c r="D2659" i="3"/>
  <c r="E2659" i="3"/>
  <c r="F2659" i="3"/>
  <c r="G2659" i="3"/>
  <c r="H2659" i="3"/>
  <c r="I2659" i="3"/>
  <c r="J2659" i="3"/>
  <c r="K2659" i="3"/>
  <c r="L2659" i="3"/>
  <c r="A2660" i="3"/>
  <c r="B2660" i="3"/>
  <c r="C2660" i="3"/>
  <c r="D2660" i="3"/>
  <c r="E2660" i="3"/>
  <c r="F2660" i="3"/>
  <c r="G2660" i="3"/>
  <c r="H2660" i="3"/>
  <c r="I2660" i="3"/>
  <c r="J2660" i="3"/>
  <c r="K2660" i="3"/>
  <c r="L2660" i="3"/>
  <c r="A2661" i="3"/>
  <c r="B2661" i="3"/>
  <c r="C2661" i="3"/>
  <c r="D2661" i="3"/>
  <c r="E2661" i="3"/>
  <c r="F2661" i="3"/>
  <c r="G2661" i="3"/>
  <c r="H2661" i="3"/>
  <c r="I2661" i="3"/>
  <c r="J2661" i="3"/>
  <c r="K2661" i="3"/>
  <c r="L2661" i="3"/>
  <c r="A2662" i="3"/>
  <c r="B2662" i="3"/>
  <c r="C2662" i="3"/>
  <c r="D2662" i="3"/>
  <c r="E2662" i="3"/>
  <c r="F2662" i="3"/>
  <c r="G2662" i="3"/>
  <c r="H2662" i="3"/>
  <c r="I2662" i="3"/>
  <c r="J2662" i="3"/>
  <c r="K2662" i="3"/>
  <c r="L2662" i="3"/>
  <c r="A2663" i="3"/>
  <c r="B2663" i="3"/>
  <c r="C2663" i="3"/>
  <c r="D2663" i="3"/>
  <c r="E2663" i="3"/>
  <c r="F2663" i="3"/>
  <c r="G2663" i="3"/>
  <c r="H2663" i="3"/>
  <c r="I2663" i="3"/>
  <c r="J2663" i="3"/>
  <c r="K2663" i="3"/>
  <c r="L2663" i="3"/>
  <c r="A2664" i="3"/>
  <c r="B2664" i="3"/>
  <c r="C2664" i="3"/>
  <c r="D2664" i="3"/>
  <c r="E2664" i="3"/>
  <c r="F2664" i="3"/>
  <c r="G2664" i="3"/>
  <c r="H2664" i="3"/>
  <c r="I2664" i="3"/>
  <c r="J2664" i="3"/>
  <c r="K2664" i="3"/>
  <c r="L2664" i="3"/>
  <c r="A2665" i="3"/>
  <c r="B2665" i="3"/>
  <c r="C2665" i="3"/>
  <c r="D2665" i="3"/>
  <c r="E2665" i="3"/>
  <c r="F2665" i="3"/>
  <c r="G2665" i="3"/>
  <c r="H2665" i="3"/>
  <c r="I2665" i="3"/>
  <c r="J2665" i="3"/>
  <c r="K2665" i="3"/>
  <c r="L2665" i="3"/>
  <c r="A2666" i="3"/>
  <c r="B2666" i="3"/>
  <c r="C2666" i="3"/>
  <c r="D2666" i="3"/>
  <c r="E2666" i="3"/>
  <c r="F2666" i="3"/>
  <c r="G2666" i="3"/>
  <c r="H2666" i="3"/>
  <c r="I2666" i="3"/>
  <c r="J2666" i="3"/>
  <c r="K2666" i="3"/>
  <c r="L2666" i="3"/>
  <c r="A2667" i="3"/>
  <c r="B2667" i="3"/>
  <c r="C2667" i="3"/>
  <c r="D2667" i="3"/>
  <c r="E2667" i="3"/>
  <c r="F2667" i="3"/>
  <c r="G2667" i="3"/>
  <c r="H2667" i="3"/>
  <c r="I2667" i="3"/>
  <c r="J2667" i="3"/>
  <c r="K2667" i="3"/>
  <c r="L2667" i="3"/>
  <c r="A2668" i="3"/>
  <c r="B2668" i="3"/>
  <c r="C2668" i="3"/>
  <c r="D2668" i="3"/>
  <c r="E2668" i="3"/>
  <c r="F2668" i="3"/>
  <c r="G2668" i="3"/>
  <c r="H2668" i="3"/>
  <c r="I2668" i="3"/>
  <c r="J2668" i="3"/>
  <c r="K2668" i="3"/>
  <c r="L2668" i="3"/>
  <c r="A2669" i="3"/>
  <c r="B2669" i="3"/>
  <c r="C2669" i="3"/>
  <c r="D2669" i="3"/>
  <c r="E2669" i="3"/>
  <c r="F2669" i="3"/>
  <c r="G2669" i="3"/>
  <c r="H2669" i="3"/>
  <c r="I2669" i="3"/>
  <c r="J2669" i="3"/>
  <c r="K2669" i="3"/>
  <c r="L2669" i="3"/>
  <c r="A2670" i="3"/>
  <c r="B2670" i="3"/>
  <c r="C2670" i="3"/>
  <c r="D2670" i="3"/>
  <c r="E2670" i="3"/>
  <c r="F2670" i="3"/>
  <c r="G2670" i="3"/>
  <c r="H2670" i="3"/>
  <c r="I2670" i="3"/>
  <c r="J2670" i="3"/>
  <c r="K2670" i="3"/>
  <c r="L2670" i="3"/>
  <c r="A2671" i="3"/>
  <c r="B2671" i="3"/>
  <c r="C2671" i="3"/>
  <c r="D2671" i="3"/>
  <c r="E2671" i="3"/>
  <c r="F2671" i="3"/>
  <c r="G2671" i="3"/>
  <c r="H2671" i="3"/>
  <c r="I2671" i="3"/>
  <c r="J2671" i="3"/>
  <c r="K2671" i="3"/>
  <c r="L2671" i="3"/>
  <c r="A2672" i="3"/>
  <c r="B2672" i="3"/>
  <c r="C2672" i="3"/>
  <c r="D2672" i="3"/>
  <c r="E2672" i="3"/>
  <c r="F2672" i="3"/>
  <c r="G2672" i="3"/>
  <c r="H2672" i="3"/>
  <c r="I2672" i="3"/>
  <c r="J2672" i="3"/>
  <c r="K2672" i="3"/>
  <c r="L2672" i="3"/>
  <c r="A2673" i="3"/>
  <c r="B2673" i="3"/>
  <c r="C2673" i="3"/>
  <c r="D2673" i="3"/>
  <c r="E2673" i="3"/>
  <c r="F2673" i="3"/>
  <c r="G2673" i="3"/>
  <c r="H2673" i="3"/>
  <c r="I2673" i="3"/>
  <c r="J2673" i="3"/>
  <c r="K2673" i="3"/>
  <c r="L2673" i="3"/>
  <c r="A2674" i="3"/>
  <c r="B2674" i="3"/>
  <c r="C2674" i="3"/>
  <c r="D2674" i="3"/>
  <c r="E2674" i="3"/>
  <c r="F2674" i="3"/>
  <c r="G2674" i="3"/>
  <c r="H2674" i="3"/>
  <c r="I2674" i="3"/>
  <c r="J2674" i="3"/>
  <c r="K2674" i="3"/>
  <c r="L2674" i="3"/>
  <c r="A2675" i="3"/>
  <c r="B2675" i="3"/>
  <c r="C2675" i="3"/>
  <c r="D2675" i="3"/>
  <c r="E2675" i="3"/>
  <c r="F2675" i="3"/>
  <c r="G2675" i="3"/>
  <c r="H2675" i="3"/>
  <c r="I2675" i="3"/>
  <c r="J2675" i="3"/>
  <c r="K2675" i="3"/>
  <c r="L2675" i="3"/>
  <c r="A2676" i="3"/>
  <c r="B2676" i="3"/>
  <c r="C2676" i="3"/>
  <c r="D2676" i="3"/>
  <c r="E2676" i="3"/>
  <c r="F2676" i="3"/>
  <c r="G2676" i="3"/>
  <c r="H2676" i="3"/>
  <c r="I2676" i="3"/>
  <c r="J2676" i="3"/>
  <c r="K2676" i="3"/>
  <c r="L2676" i="3"/>
  <c r="A2677" i="3"/>
  <c r="B2677" i="3"/>
  <c r="C2677" i="3"/>
  <c r="D2677" i="3"/>
  <c r="E2677" i="3"/>
  <c r="F2677" i="3"/>
  <c r="G2677" i="3"/>
  <c r="H2677" i="3"/>
  <c r="I2677" i="3"/>
  <c r="J2677" i="3"/>
  <c r="K2677" i="3"/>
  <c r="L2677" i="3"/>
  <c r="A2678" i="3"/>
  <c r="B2678" i="3"/>
  <c r="C2678" i="3"/>
  <c r="D2678" i="3"/>
  <c r="E2678" i="3"/>
  <c r="F2678" i="3"/>
  <c r="G2678" i="3"/>
  <c r="H2678" i="3"/>
  <c r="I2678" i="3"/>
  <c r="J2678" i="3"/>
  <c r="K2678" i="3"/>
  <c r="L2678" i="3"/>
  <c r="A2679" i="3"/>
  <c r="B2679" i="3"/>
  <c r="C2679" i="3"/>
  <c r="D2679" i="3"/>
  <c r="E2679" i="3"/>
  <c r="F2679" i="3"/>
  <c r="G2679" i="3"/>
  <c r="H2679" i="3"/>
  <c r="I2679" i="3"/>
  <c r="J2679" i="3"/>
  <c r="K2679" i="3"/>
  <c r="L2679" i="3"/>
  <c r="A2680" i="3"/>
  <c r="B2680" i="3"/>
  <c r="C2680" i="3"/>
  <c r="D2680" i="3"/>
  <c r="E2680" i="3"/>
  <c r="F2680" i="3"/>
  <c r="G2680" i="3"/>
  <c r="H2680" i="3"/>
  <c r="I2680" i="3"/>
  <c r="J2680" i="3"/>
  <c r="K2680" i="3"/>
  <c r="L2680" i="3"/>
  <c r="A2681" i="3"/>
  <c r="B2681" i="3"/>
  <c r="C2681" i="3"/>
  <c r="D2681" i="3"/>
  <c r="E2681" i="3"/>
  <c r="F2681" i="3"/>
  <c r="G2681" i="3"/>
  <c r="H2681" i="3"/>
  <c r="I2681" i="3"/>
  <c r="J2681" i="3"/>
  <c r="K2681" i="3"/>
  <c r="L2681" i="3"/>
  <c r="A2682" i="3"/>
  <c r="B2682" i="3"/>
  <c r="C2682" i="3"/>
  <c r="D2682" i="3"/>
  <c r="E2682" i="3"/>
  <c r="F2682" i="3"/>
  <c r="G2682" i="3"/>
  <c r="H2682" i="3"/>
  <c r="I2682" i="3"/>
  <c r="J2682" i="3"/>
  <c r="K2682" i="3"/>
  <c r="L2682" i="3"/>
  <c r="A2683" i="3"/>
  <c r="B2683" i="3"/>
  <c r="C2683" i="3"/>
  <c r="D2683" i="3"/>
  <c r="E2683" i="3"/>
  <c r="F2683" i="3"/>
  <c r="G2683" i="3"/>
  <c r="H2683" i="3"/>
  <c r="I2683" i="3"/>
  <c r="J2683" i="3"/>
  <c r="K2683" i="3"/>
  <c r="L2683" i="3"/>
  <c r="A2684" i="3"/>
  <c r="B2684" i="3"/>
  <c r="C2684" i="3"/>
  <c r="D2684" i="3"/>
  <c r="E2684" i="3"/>
  <c r="F2684" i="3"/>
  <c r="G2684" i="3"/>
  <c r="H2684" i="3"/>
  <c r="I2684" i="3"/>
  <c r="J2684" i="3"/>
  <c r="K2684" i="3"/>
  <c r="L2684" i="3"/>
  <c r="A2685" i="3"/>
  <c r="B2685" i="3"/>
  <c r="C2685" i="3"/>
  <c r="D2685" i="3"/>
  <c r="E2685" i="3"/>
  <c r="F2685" i="3"/>
  <c r="G2685" i="3"/>
  <c r="H2685" i="3"/>
  <c r="I2685" i="3"/>
  <c r="J2685" i="3"/>
  <c r="K2685" i="3"/>
  <c r="L2685" i="3"/>
  <c r="A2686" i="3"/>
  <c r="B2686" i="3"/>
  <c r="C2686" i="3"/>
  <c r="D2686" i="3"/>
  <c r="E2686" i="3"/>
  <c r="F2686" i="3"/>
  <c r="G2686" i="3"/>
  <c r="H2686" i="3"/>
  <c r="I2686" i="3"/>
  <c r="J2686" i="3"/>
  <c r="K2686" i="3"/>
  <c r="L2686" i="3"/>
  <c r="A2687" i="3"/>
  <c r="B2687" i="3"/>
  <c r="C2687" i="3"/>
  <c r="D2687" i="3"/>
  <c r="E2687" i="3"/>
  <c r="F2687" i="3"/>
  <c r="G2687" i="3"/>
  <c r="H2687" i="3"/>
  <c r="I2687" i="3"/>
  <c r="J2687" i="3"/>
  <c r="K2687" i="3"/>
  <c r="L2687" i="3"/>
  <c r="A2688" i="3"/>
  <c r="B2688" i="3"/>
  <c r="C2688" i="3"/>
  <c r="D2688" i="3"/>
  <c r="E2688" i="3"/>
  <c r="F2688" i="3"/>
  <c r="G2688" i="3"/>
  <c r="H2688" i="3"/>
  <c r="I2688" i="3"/>
  <c r="J2688" i="3"/>
  <c r="K2688" i="3"/>
  <c r="L2688" i="3"/>
  <c r="A2689" i="3"/>
  <c r="B2689" i="3"/>
  <c r="C2689" i="3"/>
  <c r="D2689" i="3"/>
  <c r="E2689" i="3"/>
  <c r="F2689" i="3"/>
  <c r="G2689" i="3"/>
  <c r="H2689" i="3"/>
  <c r="I2689" i="3"/>
  <c r="J2689" i="3"/>
  <c r="K2689" i="3"/>
  <c r="L2689" i="3"/>
  <c r="A2690" i="3"/>
  <c r="B2690" i="3"/>
  <c r="C2690" i="3"/>
  <c r="D2690" i="3"/>
  <c r="E2690" i="3"/>
  <c r="F2690" i="3"/>
  <c r="G2690" i="3"/>
  <c r="H2690" i="3"/>
  <c r="I2690" i="3"/>
  <c r="J2690" i="3"/>
  <c r="K2690" i="3"/>
  <c r="L2690" i="3"/>
  <c r="A2691" i="3"/>
  <c r="B2691" i="3"/>
  <c r="C2691" i="3"/>
  <c r="D2691" i="3"/>
  <c r="E2691" i="3"/>
  <c r="F2691" i="3"/>
  <c r="G2691" i="3"/>
  <c r="H2691" i="3"/>
  <c r="I2691" i="3"/>
  <c r="J2691" i="3"/>
  <c r="K2691" i="3"/>
  <c r="L2691" i="3"/>
  <c r="A2692" i="3"/>
  <c r="B2692" i="3"/>
  <c r="C2692" i="3"/>
  <c r="D2692" i="3"/>
  <c r="E2692" i="3"/>
  <c r="F2692" i="3"/>
  <c r="G2692" i="3"/>
  <c r="H2692" i="3"/>
  <c r="I2692" i="3"/>
  <c r="J2692" i="3"/>
  <c r="K2692" i="3"/>
  <c r="L2692" i="3"/>
  <c r="A2693" i="3"/>
  <c r="B2693" i="3"/>
  <c r="C2693" i="3"/>
  <c r="D2693" i="3"/>
  <c r="E2693" i="3"/>
  <c r="F2693" i="3"/>
  <c r="G2693" i="3"/>
  <c r="H2693" i="3"/>
  <c r="I2693" i="3"/>
  <c r="J2693" i="3"/>
  <c r="K2693" i="3"/>
  <c r="L2693" i="3"/>
  <c r="A2694" i="3"/>
  <c r="B2694" i="3"/>
  <c r="C2694" i="3"/>
  <c r="D2694" i="3"/>
  <c r="E2694" i="3"/>
  <c r="F2694" i="3"/>
  <c r="G2694" i="3"/>
  <c r="H2694" i="3"/>
  <c r="I2694" i="3"/>
  <c r="J2694" i="3"/>
  <c r="K2694" i="3"/>
  <c r="L2694" i="3"/>
  <c r="A2695" i="3"/>
  <c r="B2695" i="3"/>
  <c r="C2695" i="3"/>
  <c r="D2695" i="3"/>
  <c r="E2695" i="3"/>
  <c r="F2695" i="3"/>
  <c r="G2695" i="3"/>
  <c r="H2695" i="3"/>
  <c r="I2695" i="3"/>
  <c r="J2695" i="3"/>
  <c r="K2695" i="3"/>
  <c r="L2695" i="3"/>
  <c r="A2696" i="3"/>
  <c r="B2696" i="3"/>
  <c r="C2696" i="3"/>
  <c r="D2696" i="3"/>
  <c r="E2696" i="3"/>
  <c r="F2696" i="3"/>
  <c r="G2696" i="3"/>
  <c r="H2696" i="3"/>
  <c r="I2696" i="3"/>
  <c r="J2696" i="3"/>
  <c r="K2696" i="3"/>
  <c r="L2696" i="3"/>
  <c r="A2697" i="3"/>
  <c r="B2697" i="3"/>
  <c r="C2697" i="3"/>
  <c r="D2697" i="3"/>
  <c r="E2697" i="3"/>
  <c r="F2697" i="3"/>
  <c r="G2697" i="3"/>
  <c r="H2697" i="3"/>
  <c r="I2697" i="3"/>
  <c r="J2697" i="3"/>
  <c r="K2697" i="3"/>
  <c r="L2697" i="3"/>
  <c r="A2698" i="3"/>
  <c r="B2698" i="3"/>
  <c r="C2698" i="3"/>
  <c r="D2698" i="3"/>
  <c r="E2698" i="3"/>
  <c r="F2698" i="3"/>
  <c r="G2698" i="3"/>
  <c r="H2698" i="3"/>
  <c r="I2698" i="3"/>
  <c r="J2698" i="3"/>
  <c r="K2698" i="3"/>
  <c r="L2698" i="3"/>
  <c r="A2699" i="3"/>
  <c r="B2699" i="3"/>
  <c r="C2699" i="3"/>
  <c r="D2699" i="3"/>
  <c r="E2699" i="3"/>
  <c r="F2699" i="3"/>
  <c r="G2699" i="3"/>
  <c r="H2699" i="3"/>
  <c r="I2699" i="3"/>
  <c r="J2699" i="3"/>
  <c r="K2699" i="3"/>
  <c r="L2699" i="3"/>
  <c r="A2700" i="3"/>
  <c r="B2700" i="3"/>
  <c r="C2700" i="3"/>
  <c r="D2700" i="3"/>
  <c r="E2700" i="3"/>
  <c r="F2700" i="3"/>
  <c r="G2700" i="3"/>
  <c r="H2700" i="3"/>
  <c r="I2700" i="3"/>
  <c r="J2700" i="3"/>
  <c r="K2700" i="3"/>
  <c r="L2700" i="3"/>
  <c r="A2701" i="3"/>
  <c r="B2701" i="3"/>
  <c r="C2701" i="3"/>
  <c r="D2701" i="3"/>
  <c r="E2701" i="3"/>
  <c r="F2701" i="3"/>
  <c r="G2701" i="3"/>
  <c r="H2701" i="3"/>
  <c r="I2701" i="3"/>
  <c r="J2701" i="3"/>
  <c r="K2701" i="3"/>
  <c r="L2701" i="3"/>
  <c r="A2702" i="3"/>
  <c r="B2702" i="3"/>
  <c r="C2702" i="3"/>
  <c r="D2702" i="3"/>
  <c r="E2702" i="3"/>
  <c r="F2702" i="3"/>
  <c r="G2702" i="3"/>
  <c r="H2702" i="3"/>
  <c r="I2702" i="3"/>
  <c r="J2702" i="3"/>
  <c r="K2702" i="3"/>
  <c r="L2702" i="3"/>
  <c r="A2703" i="3"/>
  <c r="B2703" i="3"/>
  <c r="C2703" i="3"/>
  <c r="D2703" i="3"/>
  <c r="E2703" i="3"/>
  <c r="F2703" i="3"/>
  <c r="G2703" i="3"/>
  <c r="H2703" i="3"/>
  <c r="I2703" i="3"/>
  <c r="J2703" i="3"/>
  <c r="K2703" i="3"/>
  <c r="L2703" i="3"/>
  <c r="A2704" i="3"/>
  <c r="B2704" i="3"/>
  <c r="C2704" i="3"/>
  <c r="D2704" i="3"/>
  <c r="E2704" i="3"/>
  <c r="F2704" i="3"/>
  <c r="G2704" i="3"/>
  <c r="H2704" i="3"/>
  <c r="I2704" i="3"/>
  <c r="J2704" i="3"/>
  <c r="K2704" i="3"/>
  <c r="L2704" i="3"/>
  <c r="A2705" i="3"/>
  <c r="B2705" i="3"/>
  <c r="C2705" i="3"/>
  <c r="D2705" i="3"/>
  <c r="E2705" i="3"/>
  <c r="F2705" i="3"/>
  <c r="G2705" i="3"/>
  <c r="H2705" i="3"/>
  <c r="I2705" i="3"/>
  <c r="J2705" i="3"/>
  <c r="K2705" i="3"/>
  <c r="L2705" i="3"/>
  <c r="A2706" i="3"/>
  <c r="B2706" i="3"/>
  <c r="C2706" i="3"/>
  <c r="D2706" i="3"/>
  <c r="E2706" i="3"/>
  <c r="F2706" i="3"/>
  <c r="G2706" i="3"/>
  <c r="H2706" i="3"/>
  <c r="I2706" i="3"/>
  <c r="J2706" i="3"/>
  <c r="K2706" i="3"/>
  <c r="L2706" i="3"/>
  <c r="A2707" i="3"/>
  <c r="B2707" i="3"/>
  <c r="C2707" i="3"/>
  <c r="D2707" i="3"/>
  <c r="E2707" i="3"/>
  <c r="F2707" i="3"/>
  <c r="G2707" i="3"/>
  <c r="H2707" i="3"/>
  <c r="I2707" i="3"/>
  <c r="J2707" i="3"/>
  <c r="K2707" i="3"/>
  <c r="L2707" i="3"/>
  <c r="A2708" i="3"/>
  <c r="B2708" i="3"/>
  <c r="C2708" i="3"/>
  <c r="D2708" i="3"/>
  <c r="E2708" i="3"/>
  <c r="F2708" i="3"/>
  <c r="G2708" i="3"/>
  <c r="H2708" i="3"/>
  <c r="I2708" i="3"/>
  <c r="J2708" i="3"/>
  <c r="K2708" i="3"/>
  <c r="L2708" i="3"/>
  <c r="A2709" i="3"/>
  <c r="B2709" i="3"/>
  <c r="C2709" i="3"/>
  <c r="D2709" i="3"/>
  <c r="E2709" i="3"/>
  <c r="F2709" i="3"/>
  <c r="G2709" i="3"/>
  <c r="H2709" i="3"/>
  <c r="I2709" i="3"/>
  <c r="J2709" i="3"/>
  <c r="K2709" i="3"/>
  <c r="L2709" i="3"/>
  <c r="A2710" i="3"/>
  <c r="B2710" i="3"/>
  <c r="C2710" i="3"/>
  <c r="D2710" i="3"/>
  <c r="E2710" i="3"/>
  <c r="F2710" i="3"/>
  <c r="G2710" i="3"/>
  <c r="H2710" i="3"/>
  <c r="I2710" i="3"/>
  <c r="J2710" i="3"/>
  <c r="K2710" i="3"/>
  <c r="L2710" i="3"/>
  <c r="A2711" i="3"/>
  <c r="B2711" i="3"/>
  <c r="C2711" i="3"/>
  <c r="D2711" i="3"/>
  <c r="E2711" i="3"/>
  <c r="F2711" i="3"/>
  <c r="G2711" i="3"/>
  <c r="H2711" i="3"/>
  <c r="I2711" i="3"/>
  <c r="J2711" i="3"/>
  <c r="K2711" i="3"/>
  <c r="L2711" i="3"/>
  <c r="A2712" i="3"/>
  <c r="B2712" i="3"/>
  <c r="C2712" i="3"/>
  <c r="D2712" i="3"/>
  <c r="E2712" i="3"/>
  <c r="F2712" i="3"/>
  <c r="G2712" i="3"/>
  <c r="H2712" i="3"/>
  <c r="I2712" i="3"/>
  <c r="J2712" i="3"/>
  <c r="K2712" i="3"/>
  <c r="L2712" i="3"/>
  <c r="A2713" i="3"/>
  <c r="B2713" i="3"/>
  <c r="C2713" i="3"/>
  <c r="D2713" i="3"/>
  <c r="E2713" i="3"/>
  <c r="F2713" i="3"/>
  <c r="G2713" i="3"/>
  <c r="H2713" i="3"/>
  <c r="I2713" i="3"/>
  <c r="J2713" i="3"/>
  <c r="K2713" i="3"/>
  <c r="L2713" i="3"/>
  <c r="A2714" i="3"/>
  <c r="B2714" i="3"/>
  <c r="C2714" i="3"/>
  <c r="D2714" i="3"/>
  <c r="E2714" i="3"/>
  <c r="F2714" i="3"/>
  <c r="G2714" i="3"/>
  <c r="H2714" i="3"/>
  <c r="I2714" i="3"/>
  <c r="J2714" i="3"/>
  <c r="K2714" i="3"/>
  <c r="L2714" i="3"/>
  <c r="A2715" i="3"/>
  <c r="B2715" i="3"/>
  <c r="C2715" i="3"/>
  <c r="D2715" i="3"/>
  <c r="E2715" i="3"/>
  <c r="F2715" i="3"/>
  <c r="G2715" i="3"/>
  <c r="H2715" i="3"/>
  <c r="I2715" i="3"/>
  <c r="J2715" i="3"/>
  <c r="K2715" i="3"/>
  <c r="L2715" i="3"/>
  <c r="A2716" i="3"/>
  <c r="B2716" i="3"/>
  <c r="C2716" i="3"/>
  <c r="D2716" i="3"/>
  <c r="E2716" i="3"/>
  <c r="F2716" i="3"/>
  <c r="G2716" i="3"/>
  <c r="H2716" i="3"/>
  <c r="I2716" i="3"/>
  <c r="J2716" i="3"/>
  <c r="K2716" i="3"/>
  <c r="L2716" i="3"/>
  <c r="A2717" i="3"/>
  <c r="B2717" i="3"/>
  <c r="C2717" i="3"/>
  <c r="D2717" i="3"/>
  <c r="E2717" i="3"/>
  <c r="F2717" i="3"/>
  <c r="G2717" i="3"/>
  <c r="H2717" i="3"/>
  <c r="I2717" i="3"/>
  <c r="J2717" i="3"/>
  <c r="K2717" i="3"/>
  <c r="L2717" i="3"/>
  <c r="A2718" i="3"/>
  <c r="B2718" i="3"/>
  <c r="C2718" i="3"/>
  <c r="D2718" i="3"/>
  <c r="E2718" i="3"/>
  <c r="F2718" i="3"/>
  <c r="G2718" i="3"/>
  <c r="H2718" i="3"/>
  <c r="I2718" i="3"/>
  <c r="J2718" i="3"/>
  <c r="K2718" i="3"/>
  <c r="L2718" i="3"/>
  <c r="A2719" i="3"/>
  <c r="B2719" i="3"/>
  <c r="C2719" i="3"/>
  <c r="D2719" i="3"/>
  <c r="E2719" i="3"/>
  <c r="F2719" i="3"/>
  <c r="G2719" i="3"/>
  <c r="H2719" i="3"/>
  <c r="I2719" i="3"/>
  <c r="J2719" i="3"/>
  <c r="K2719" i="3"/>
  <c r="L2719" i="3"/>
  <c r="A2720" i="3"/>
  <c r="B2720" i="3"/>
  <c r="C2720" i="3"/>
  <c r="D2720" i="3"/>
  <c r="E2720" i="3"/>
  <c r="F2720" i="3"/>
  <c r="G2720" i="3"/>
  <c r="H2720" i="3"/>
  <c r="I2720" i="3"/>
  <c r="J2720" i="3"/>
  <c r="K2720" i="3"/>
  <c r="L2720" i="3"/>
  <c r="A2721" i="3"/>
  <c r="B2721" i="3"/>
  <c r="C2721" i="3"/>
  <c r="D2721" i="3"/>
  <c r="E2721" i="3"/>
  <c r="F2721" i="3"/>
  <c r="G2721" i="3"/>
  <c r="H2721" i="3"/>
  <c r="I2721" i="3"/>
  <c r="J2721" i="3"/>
  <c r="K2721" i="3"/>
  <c r="L2721" i="3"/>
  <c r="A2722" i="3"/>
  <c r="B2722" i="3"/>
  <c r="C2722" i="3"/>
  <c r="D2722" i="3"/>
  <c r="E2722" i="3"/>
  <c r="F2722" i="3"/>
  <c r="G2722" i="3"/>
  <c r="H2722" i="3"/>
  <c r="I2722" i="3"/>
  <c r="J2722" i="3"/>
  <c r="K2722" i="3"/>
  <c r="L2722" i="3"/>
  <c r="A2723" i="3"/>
  <c r="B2723" i="3"/>
  <c r="C2723" i="3"/>
  <c r="D2723" i="3"/>
  <c r="E2723" i="3"/>
  <c r="F2723" i="3"/>
  <c r="G2723" i="3"/>
  <c r="H2723" i="3"/>
  <c r="I2723" i="3"/>
  <c r="J2723" i="3"/>
  <c r="K2723" i="3"/>
  <c r="L2723" i="3"/>
  <c r="A2724" i="3"/>
  <c r="B2724" i="3"/>
  <c r="C2724" i="3"/>
  <c r="D2724" i="3"/>
  <c r="E2724" i="3"/>
  <c r="F2724" i="3"/>
  <c r="G2724" i="3"/>
  <c r="H2724" i="3"/>
  <c r="I2724" i="3"/>
  <c r="J2724" i="3"/>
  <c r="K2724" i="3"/>
  <c r="L2724" i="3"/>
  <c r="A2725" i="3"/>
  <c r="B2725" i="3"/>
  <c r="C2725" i="3"/>
  <c r="D2725" i="3"/>
  <c r="E2725" i="3"/>
  <c r="F2725" i="3"/>
  <c r="G2725" i="3"/>
  <c r="H2725" i="3"/>
  <c r="I2725" i="3"/>
  <c r="J2725" i="3"/>
  <c r="K2725" i="3"/>
  <c r="L2725" i="3"/>
  <c r="A2726" i="3"/>
  <c r="B2726" i="3"/>
  <c r="C2726" i="3"/>
  <c r="D2726" i="3"/>
  <c r="E2726" i="3"/>
  <c r="F2726" i="3"/>
  <c r="G2726" i="3"/>
  <c r="H2726" i="3"/>
  <c r="I2726" i="3"/>
  <c r="J2726" i="3"/>
  <c r="K2726" i="3"/>
  <c r="L2726" i="3"/>
  <c r="A2727" i="3"/>
  <c r="B2727" i="3"/>
  <c r="C2727" i="3"/>
  <c r="D2727" i="3"/>
  <c r="E2727" i="3"/>
  <c r="F2727" i="3"/>
  <c r="G2727" i="3"/>
  <c r="H2727" i="3"/>
  <c r="I2727" i="3"/>
  <c r="J2727" i="3"/>
  <c r="K2727" i="3"/>
  <c r="L2727" i="3"/>
  <c r="A2728" i="3"/>
  <c r="B2728" i="3"/>
  <c r="C2728" i="3"/>
  <c r="D2728" i="3"/>
  <c r="E2728" i="3"/>
  <c r="F2728" i="3"/>
  <c r="G2728" i="3"/>
  <c r="H2728" i="3"/>
  <c r="I2728" i="3"/>
  <c r="J2728" i="3"/>
  <c r="K2728" i="3"/>
  <c r="L2728" i="3"/>
  <c r="A2729" i="3"/>
  <c r="B2729" i="3"/>
  <c r="C2729" i="3"/>
  <c r="D2729" i="3"/>
  <c r="E2729" i="3"/>
  <c r="F2729" i="3"/>
  <c r="G2729" i="3"/>
  <c r="H2729" i="3"/>
  <c r="I2729" i="3"/>
  <c r="J2729" i="3"/>
  <c r="K2729" i="3"/>
  <c r="L2729" i="3"/>
  <c r="A2730" i="3"/>
  <c r="B2730" i="3"/>
  <c r="C2730" i="3"/>
  <c r="D2730" i="3"/>
  <c r="E2730" i="3"/>
  <c r="F2730" i="3"/>
  <c r="G2730" i="3"/>
  <c r="H2730" i="3"/>
  <c r="I2730" i="3"/>
  <c r="J2730" i="3"/>
  <c r="K2730" i="3"/>
  <c r="L2730" i="3"/>
  <c r="A2731" i="3"/>
  <c r="B2731" i="3"/>
  <c r="C2731" i="3"/>
  <c r="D2731" i="3"/>
  <c r="E2731" i="3"/>
  <c r="F2731" i="3"/>
  <c r="G2731" i="3"/>
  <c r="H2731" i="3"/>
  <c r="I2731" i="3"/>
  <c r="J2731" i="3"/>
  <c r="K2731" i="3"/>
  <c r="L2731" i="3"/>
  <c r="A2732" i="3"/>
  <c r="B2732" i="3"/>
  <c r="C2732" i="3"/>
  <c r="D2732" i="3"/>
  <c r="E2732" i="3"/>
  <c r="F2732" i="3"/>
  <c r="G2732" i="3"/>
  <c r="H2732" i="3"/>
  <c r="I2732" i="3"/>
  <c r="J2732" i="3"/>
  <c r="K2732" i="3"/>
  <c r="L2732" i="3"/>
  <c r="A2733" i="3"/>
  <c r="B2733" i="3"/>
  <c r="C2733" i="3"/>
  <c r="D2733" i="3"/>
  <c r="E2733" i="3"/>
  <c r="F2733" i="3"/>
  <c r="G2733" i="3"/>
  <c r="H2733" i="3"/>
  <c r="I2733" i="3"/>
  <c r="J2733" i="3"/>
  <c r="K2733" i="3"/>
  <c r="L2733" i="3"/>
  <c r="A2734" i="3"/>
  <c r="B2734" i="3"/>
  <c r="C2734" i="3"/>
  <c r="D2734" i="3"/>
  <c r="E2734" i="3"/>
  <c r="F2734" i="3"/>
  <c r="G2734" i="3"/>
  <c r="H2734" i="3"/>
  <c r="I2734" i="3"/>
  <c r="J2734" i="3"/>
  <c r="K2734" i="3"/>
  <c r="L2734" i="3"/>
  <c r="A2735" i="3"/>
  <c r="B2735" i="3"/>
  <c r="C2735" i="3"/>
  <c r="D2735" i="3"/>
  <c r="E2735" i="3"/>
  <c r="F2735" i="3"/>
  <c r="G2735" i="3"/>
  <c r="H2735" i="3"/>
  <c r="I2735" i="3"/>
  <c r="J2735" i="3"/>
  <c r="K2735" i="3"/>
  <c r="L2735" i="3"/>
  <c r="A2736" i="3"/>
  <c r="B2736" i="3"/>
  <c r="C2736" i="3"/>
  <c r="D2736" i="3"/>
  <c r="E2736" i="3"/>
  <c r="F2736" i="3"/>
  <c r="G2736" i="3"/>
  <c r="H2736" i="3"/>
  <c r="I2736" i="3"/>
  <c r="J2736" i="3"/>
  <c r="K2736" i="3"/>
  <c r="L2736" i="3"/>
  <c r="A2737" i="3"/>
  <c r="B2737" i="3"/>
  <c r="C2737" i="3"/>
  <c r="D2737" i="3"/>
  <c r="E2737" i="3"/>
  <c r="F2737" i="3"/>
  <c r="G2737" i="3"/>
  <c r="H2737" i="3"/>
  <c r="I2737" i="3"/>
  <c r="J2737" i="3"/>
  <c r="K2737" i="3"/>
  <c r="L2737" i="3"/>
  <c r="A2738" i="3"/>
  <c r="B2738" i="3"/>
  <c r="C2738" i="3"/>
  <c r="D2738" i="3"/>
  <c r="E2738" i="3"/>
  <c r="F2738" i="3"/>
  <c r="G2738" i="3"/>
  <c r="H2738" i="3"/>
  <c r="I2738" i="3"/>
  <c r="J2738" i="3"/>
  <c r="K2738" i="3"/>
  <c r="L2738" i="3"/>
  <c r="A2739" i="3"/>
  <c r="B2739" i="3"/>
  <c r="C2739" i="3"/>
  <c r="D2739" i="3"/>
  <c r="E2739" i="3"/>
  <c r="F2739" i="3"/>
  <c r="G2739" i="3"/>
  <c r="H2739" i="3"/>
  <c r="I2739" i="3"/>
  <c r="J2739" i="3"/>
  <c r="K2739" i="3"/>
  <c r="L2739" i="3"/>
  <c r="A2740" i="3"/>
  <c r="B2740" i="3"/>
  <c r="C2740" i="3"/>
  <c r="D2740" i="3"/>
  <c r="E2740" i="3"/>
  <c r="F2740" i="3"/>
  <c r="G2740" i="3"/>
  <c r="H2740" i="3"/>
  <c r="I2740" i="3"/>
  <c r="J2740" i="3"/>
  <c r="K2740" i="3"/>
  <c r="L2740" i="3"/>
  <c r="A2741" i="3"/>
  <c r="B2741" i="3"/>
  <c r="C2741" i="3"/>
  <c r="D2741" i="3"/>
  <c r="E2741" i="3"/>
  <c r="F2741" i="3"/>
  <c r="G2741" i="3"/>
  <c r="H2741" i="3"/>
  <c r="I2741" i="3"/>
  <c r="J2741" i="3"/>
  <c r="K2741" i="3"/>
  <c r="L2741" i="3"/>
  <c r="A2742" i="3"/>
  <c r="B2742" i="3"/>
  <c r="C2742" i="3"/>
  <c r="D2742" i="3"/>
  <c r="E2742" i="3"/>
  <c r="F2742" i="3"/>
  <c r="G2742" i="3"/>
  <c r="H2742" i="3"/>
  <c r="I2742" i="3"/>
  <c r="J2742" i="3"/>
  <c r="K2742" i="3"/>
  <c r="L2742" i="3"/>
  <c r="A2743" i="3"/>
  <c r="B2743" i="3"/>
  <c r="C2743" i="3"/>
  <c r="D2743" i="3"/>
  <c r="E2743" i="3"/>
  <c r="F2743" i="3"/>
  <c r="G2743" i="3"/>
  <c r="H2743" i="3"/>
  <c r="I2743" i="3"/>
  <c r="J2743" i="3"/>
  <c r="K2743" i="3"/>
  <c r="L2743" i="3"/>
  <c r="A2744" i="3"/>
  <c r="B2744" i="3"/>
  <c r="C2744" i="3"/>
  <c r="D2744" i="3"/>
  <c r="E2744" i="3"/>
  <c r="F2744" i="3"/>
  <c r="G2744" i="3"/>
  <c r="H2744" i="3"/>
  <c r="I2744" i="3"/>
  <c r="J2744" i="3"/>
  <c r="K2744" i="3"/>
  <c r="L2744" i="3"/>
  <c r="A2745" i="3"/>
  <c r="B2745" i="3"/>
  <c r="C2745" i="3"/>
  <c r="D2745" i="3"/>
  <c r="E2745" i="3"/>
  <c r="F2745" i="3"/>
  <c r="G2745" i="3"/>
  <c r="H2745" i="3"/>
  <c r="I2745" i="3"/>
  <c r="J2745" i="3"/>
  <c r="K2745" i="3"/>
  <c r="L2745" i="3"/>
  <c r="A2746" i="3"/>
  <c r="B2746" i="3"/>
  <c r="C2746" i="3"/>
  <c r="D2746" i="3"/>
  <c r="E2746" i="3"/>
  <c r="F2746" i="3"/>
  <c r="G2746" i="3"/>
  <c r="H2746" i="3"/>
  <c r="I2746" i="3"/>
  <c r="J2746" i="3"/>
  <c r="K2746" i="3"/>
  <c r="L2746" i="3"/>
  <c r="A2747" i="3"/>
  <c r="B2747" i="3"/>
  <c r="C2747" i="3"/>
  <c r="D2747" i="3"/>
  <c r="E2747" i="3"/>
  <c r="F2747" i="3"/>
  <c r="G2747" i="3"/>
  <c r="H2747" i="3"/>
  <c r="I2747" i="3"/>
  <c r="J2747" i="3"/>
  <c r="K2747" i="3"/>
  <c r="L2747" i="3"/>
  <c r="A2748" i="3"/>
  <c r="B2748" i="3"/>
  <c r="C2748" i="3"/>
  <c r="D2748" i="3"/>
  <c r="E2748" i="3"/>
  <c r="F2748" i="3"/>
  <c r="G2748" i="3"/>
  <c r="H2748" i="3"/>
  <c r="I2748" i="3"/>
  <c r="J2748" i="3"/>
  <c r="K2748" i="3"/>
  <c r="L2748" i="3"/>
  <c r="A2749" i="3"/>
  <c r="B2749" i="3"/>
  <c r="C2749" i="3"/>
  <c r="D2749" i="3"/>
  <c r="E2749" i="3"/>
  <c r="F2749" i="3"/>
  <c r="G2749" i="3"/>
  <c r="H2749" i="3"/>
  <c r="I2749" i="3"/>
  <c r="J2749" i="3"/>
  <c r="K2749" i="3"/>
  <c r="L2749" i="3"/>
  <c r="A2750" i="3"/>
  <c r="B2750" i="3"/>
  <c r="C2750" i="3"/>
  <c r="D2750" i="3"/>
  <c r="E2750" i="3"/>
  <c r="F2750" i="3"/>
  <c r="G2750" i="3"/>
  <c r="H2750" i="3"/>
  <c r="I2750" i="3"/>
  <c r="J2750" i="3"/>
  <c r="K2750" i="3"/>
  <c r="L2750" i="3"/>
  <c r="A2751" i="3"/>
  <c r="B2751" i="3"/>
  <c r="C2751" i="3"/>
  <c r="D2751" i="3"/>
  <c r="E2751" i="3"/>
  <c r="F2751" i="3"/>
  <c r="G2751" i="3"/>
  <c r="H2751" i="3"/>
  <c r="I2751" i="3"/>
  <c r="J2751" i="3"/>
  <c r="K2751" i="3"/>
  <c r="L2751" i="3"/>
  <c r="A2752" i="3"/>
  <c r="B2752" i="3"/>
  <c r="C2752" i="3"/>
  <c r="D2752" i="3"/>
  <c r="E2752" i="3"/>
  <c r="F2752" i="3"/>
  <c r="G2752" i="3"/>
  <c r="H2752" i="3"/>
  <c r="I2752" i="3"/>
  <c r="J2752" i="3"/>
  <c r="K2752" i="3"/>
  <c r="L2752" i="3"/>
  <c r="A2753" i="3"/>
  <c r="B2753" i="3"/>
  <c r="C2753" i="3"/>
  <c r="D2753" i="3"/>
  <c r="E2753" i="3"/>
  <c r="F2753" i="3"/>
  <c r="G2753" i="3"/>
  <c r="H2753" i="3"/>
  <c r="I2753" i="3"/>
  <c r="J2753" i="3"/>
  <c r="K2753" i="3"/>
  <c r="L2753" i="3"/>
  <c r="A2754" i="3"/>
  <c r="B2754" i="3"/>
  <c r="C2754" i="3"/>
  <c r="D2754" i="3"/>
  <c r="E2754" i="3"/>
  <c r="F2754" i="3"/>
  <c r="G2754" i="3"/>
  <c r="H2754" i="3"/>
  <c r="I2754" i="3"/>
  <c r="J2754" i="3"/>
  <c r="K2754" i="3"/>
  <c r="L2754" i="3"/>
  <c r="A2755" i="3"/>
  <c r="B2755" i="3"/>
  <c r="C2755" i="3"/>
  <c r="D2755" i="3"/>
  <c r="E2755" i="3"/>
  <c r="F2755" i="3"/>
  <c r="G2755" i="3"/>
  <c r="H2755" i="3"/>
  <c r="I2755" i="3"/>
  <c r="J2755" i="3"/>
  <c r="K2755" i="3"/>
  <c r="L2755" i="3"/>
  <c r="A2756" i="3"/>
  <c r="B2756" i="3"/>
  <c r="C2756" i="3"/>
  <c r="D2756" i="3"/>
  <c r="E2756" i="3"/>
  <c r="F2756" i="3"/>
  <c r="G2756" i="3"/>
  <c r="H2756" i="3"/>
  <c r="I2756" i="3"/>
  <c r="J2756" i="3"/>
  <c r="K2756" i="3"/>
  <c r="L2756" i="3"/>
  <c r="A2757" i="3"/>
  <c r="B2757" i="3"/>
  <c r="C2757" i="3"/>
  <c r="D2757" i="3"/>
  <c r="E2757" i="3"/>
  <c r="F2757" i="3"/>
  <c r="G2757" i="3"/>
  <c r="H2757" i="3"/>
  <c r="I2757" i="3"/>
  <c r="J2757" i="3"/>
  <c r="K2757" i="3"/>
  <c r="L2757" i="3"/>
  <c r="A2758" i="3"/>
  <c r="B2758" i="3"/>
  <c r="C2758" i="3"/>
  <c r="D2758" i="3"/>
  <c r="E2758" i="3"/>
  <c r="F2758" i="3"/>
  <c r="G2758" i="3"/>
  <c r="H2758" i="3"/>
  <c r="I2758" i="3"/>
  <c r="J2758" i="3"/>
  <c r="K2758" i="3"/>
  <c r="L2758" i="3"/>
  <c r="A2759" i="3"/>
  <c r="B2759" i="3"/>
  <c r="C2759" i="3"/>
  <c r="D2759" i="3"/>
  <c r="E2759" i="3"/>
  <c r="F2759" i="3"/>
  <c r="G2759" i="3"/>
  <c r="H2759" i="3"/>
  <c r="I2759" i="3"/>
  <c r="J2759" i="3"/>
  <c r="K2759" i="3"/>
  <c r="L2759" i="3"/>
  <c r="A2760" i="3"/>
  <c r="B2760" i="3"/>
  <c r="C2760" i="3"/>
  <c r="D2760" i="3"/>
  <c r="E2760" i="3"/>
  <c r="F2760" i="3"/>
  <c r="G2760" i="3"/>
  <c r="H2760" i="3"/>
  <c r="I2760" i="3"/>
  <c r="J2760" i="3"/>
  <c r="K2760" i="3"/>
  <c r="L2760" i="3"/>
  <c r="A2761" i="3"/>
  <c r="B2761" i="3"/>
  <c r="C2761" i="3"/>
  <c r="D2761" i="3"/>
  <c r="E2761" i="3"/>
  <c r="F2761" i="3"/>
  <c r="G2761" i="3"/>
  <c r="H2761" i="3"/>
  <c r="I2761" i="3"/>
  <c r="J2761" i="3"/>
  <c r="K2761" i="3"/>
  <c r="L2761" i="3"/>
  <c r="A2762" i="3"/>
  <c r="B2762" i="3"/>
  <c r="C2762" i="3"/>
  <c r="D2762" i="3"/>
  <c r="E2762" i="3"/>
  <c r="F2762" i="3"/>
  <c r="G2762" i="3"/>
  <c r="H2762" i="3"/>
  <c r="I2762" i="3"/>
  <c r="J2762" i="3"/>
  <c r="K2762" i="3"/>
  <c r="L2762" i="3"/>
  <c r="A2763" i="3"/>
  <c r="B2763" i="3"/>
  <c r="C2763" i="3"/>
  <c r="D2763" i="3"/>
  <c r="E2763" i="3"/>
  <c r="F2763" i="3"/>
  <c r="G2763" i="3"/>
  <c r="H2763" i="3"/>
  <c r="I2763" i="3"/>
  <c r="J2763" i="3"/>
  <c r="K2763" i="3"/>
  <c r="L2763" i="3"/>
  <c r="A2764" i="3"/>
  <c r="B2764" i="3"/>
  <c r="C2764" i="3"/>
  <c r="D2764" i="3"/>
  <c r="E2764" i="3"/>
  <c r="F2764" i="3"/>
  <c r="G2764" i="3"/>
  <c r="H2764" i="3"/>
  <c r="I2764" i="3"/>
  <c r="J2764" i="3"/>
  <c r="K2764" i="3"/>
  <c r="L2764" i="3"/>
  <c r="A2765" i="3"/>
  <c r="B2765" i="3"/>
  <c r="C2765" i="3"/>
  <c r="D2765" i="3"/>
  <c r="E2765" i="3"/>
  <c r="F2765" i="3"/>
  <c r="G2765" i="3"/>
  <c r="H2765" i="3"/>
  <c r="I2765" i="3"/>
  <c r="J2765" i="3"/>
  <c r="K2765" i="3"/>
  <c r="L2765" i="3"/>
  <c r="A2766" i="3"/>
  <c r="B2766" i="3"/>
  <c r="C2766" i="3"/>
  <c r="D2766" i="3"/>
  <c r="E2766" i="3"/>
  <c r="F2766" i="3"/>
  <c r="G2766" i="3"/>
  <c r="H2766" i="3"/>
  <c r="I2766" i="3"/>
  <c r="J2766" i="3"/>
  <c r="K2766" i="3"/>
  <c r="L2766" i="3"/>
  <c r="A2767" i="3"/>
  <c r="B2767" i="3"/>
  <c r="C2767" i="3"/>
  <c r="D2767" i="3"/>
  <c r="E2767" i="3"/>
  <c r="F2767" i="3"/>
  <c r="G2767" i="3"/>
  <c r="H2767" i="3"/>
  <c r="I2767" i="3"/>
  <c r="J2767" i="3"/>
  <c r="K2767" i="3"/>
  <c r="L2767" i="3"/>
  <c r="A2768" i="3"/>
  <c r="B2768" i="3"/>
  <c r="C2768" i="3"/>
  <c r="D2768" i="3"/>
  <c r="E2768" i="3"/>
  <c r="F2768" i="3"/>
  <c r="G2768" i="3"/>
  <c r="H2768" i="3"/>
  <c r="I2768" i="3"/>
  <c r="J2768" i="3"/>
  <c r="K2768" i="3"/>
  <c r="L2768" i="3"/>
  <c r="A2769" i="3"/>
  <c r="B2769" i="3"/>
  <c r="C2769" i="3"/>
  <c r="D2769" i="3"/>
  <c r="E2769" i="3"/>
  <c r="F2769" i="3"/>
  <c r="G2769" i="3"/>
  <c r="H2769" i="3"/>
  <c r="I2769" i="3"/>
  <c r="J2769" i="3"/>
  <c r="K2769" i="3"/>
  <c r="L2769" i="3"/>
  <c r="A2770" i="3"/>
  <c r="B2770" i="3"/>
  <c r="C2770" i="3"/>
  <c r="D2770" i="3"/>
  <c r="E2770" i="3"/>
  <c r="F2770" i="3"/>
  <c r="G2770" i="3"/>
  <c r="H2770" i="3"/>
  <c r="I2770" i="3"/>
  <c r="J2770" i="3"/>
  <c r="K2770" i="3"/>
  <c r="L2770" i="3"/>
  <c r="A2771" i="3"/>
  <c r="B2771" i="3"/>
  <c r="C2771" i="3"/>
  <c r="D2771" i="3"/>
  <c r="E2771" i="3"/>
  <c r="F2771" i="3"/>
  <c r="G2771" i="3"/>
  <c r="H2771" i="3"/>
  <c r="I2771" i="3"/>
  <c r="J2771" i="3"/>
  <c r="K2771" i="3"/>
  <c r="L2771" i="3"/>
  <c r="A2772" i="3"/>
  <c r="B2772" i="3"/>
  <c r="C2772" i="3"/>
  <c r="D2772" i="3"/>
  <c r="E2772" i="3"/>
  <c r="F2772" i="3"/>
  <c r="G2772" i="3"/>
  <c r="H2772" i="3"/>
  <c r="I2772" i="3"/>
  <c r="J2772" i="3"/>
  <c r="K2772" i="3"/>
  <c r="L2772" i="3"/>
  <c r="A2773" i="3"/>
  <c r="B2773" i="3"/>
  <c r="C2773" i="3"/>
  <c r="D2773" i="3"/>
  <c r="E2773" i="3"/>
  <c r="F2773" i="3"/>
  <c r="G2773" i="3"/>
  <c r="H2773" i="3"/>
  <c r="I2773" i="3"/>
  <c r="J2773" i="3"/>
  <c r="K2773" i="3"/>
  <c r="L2773" i="3"/>
  <c r="A2774" i="3"/>
  <c r="B2774" i="3"/>
  <c r="C2774" i="3"/>
  <c r="D2774" i="3"/>
  <c r="E2774" i="3"/>
  <c r="F2774" i="3"/>
  <c r="G2774" i="3"/>
  <c r="H2774" i="3"/>
  <c r="I2774" i="3"/>
  <c r="J2774" i="3"/>
  <c r="K2774" i="3"/>
  <c r="L2774" i="3"/>
  <c r="A2775" i="3"/>
  <c r="B2775" i="3"/>
  <c r="C2775" i="3"/>
  <c r="D2775" i="3"/>
  <c r="E2775" i="3"/>
  <c r="F2775" i="3"/>
  <c r="G2775" i="3"/>
  <c r="H2775" i="3"/>
  <c r="I2775" i="3"/>
  <c r="J2775" i="3"/>
  <c r="K2775" i="3"/>
  <c r="L2775" i="3"/>
  <c r="A2776" i="3"/>
  <c r="B2776" i="3"/>
  <c r="C2776" i="3"/>
  <c r="D2776" i="3"/>
  <c r="E2776" i="3"/>
  <c r="F2776" i="3"/>
  <c r="G2776" i="3"/>
  <c r="H2776" i="3"/>
  <c r="I2776" i="3"/>
  <c r="J2776" i="3"/>
  <c r="K2776" i="3"/>
  <c r="L2776" i="3"/>
  <c r="A2777" i="3"/>
  <c r="B2777" i="3"/>
  <c r="C2777" i="3"/>
  <c r="D2777" i="3"/>
  <c r="E2777" i="3"/>
  <c r="F2777" i="3"/>
  <c r="G2777" i="3"/>
  <c r="H2777" i="3"/>
  <c r="I2777" i="3"/>
  <c r="J2777" i="3"/>
  <c r="K2777" i="3"/>
  <c r="L2777" i="3"/>
  <c r="A2778" i="3"/>
  <c r="B2778" i="3"/>
  <c r="C2778" i="3"/>
  <c r="D2778" i="3"/>
  <c r="E2778" i="3"/>
  <c r="F2778" i="3"/>
  <c r="G2778" i="3"/>
  <c r="H2778" i="3"/>
  <c r="I2778" i="3"/>
  <c r="J2778" i="3"/>
  <c r="K2778" i="3"/>
  <c r="L2778" i="3"/>
  <c r="A2779" i="3"/>
  <c r="B2779" i="3"/>
  <c r="C2779" i="3"/>
  <c r="D2779" i="3"/>
  <c r="E2779" i="3"/>
  <c r="F2779" i="3"/>
  <c r="G2779" i="3"/>
  <c r="H2779" i="3"/>
  <c r="I2779" i="3"/>
  <c r="J2779" i="3"/>
  <c r="K2779" i="3"/>
  <c r="L2779" i="3"/>
  <c r="A2780" i="3"/>
  <c r="B2780" i="3"/>
  <c r="C2780" i="3"/>
  <c r="D2780" i="3"/>
  <c r="E2780" i="3"/>
  <c r="F2780" i="3"/>
  <c r="G2780" i="3"/>
  <c r="H2780" i="3"/>
  <c r="I2780" i="3"/>
  <c r="J2780" i="3"/>
  <c r="K2780" i="3"/>
  <c r="L2780" i="3"/>
  <c r="A2781" i="3"/>
  <c r="B2781" i="3"/>
  <c r="C2781" i="3"/>
  <c r="D2781" i="3"/>
  <c r="E2781" i="3"/>
  <c r="F2781" i="3"/>
  <c r="G2781" i="3"/>
  <c r="H2781" i="3"/>
  <c r="I2781" i="3"/>
  <c r="J2781" i="3"/>
  <c r="K2781" i="3"/>
  <c r="L2781" i="3"/>
  <c r="A2782" i="3"/>
  <c r="B2782" i="3"/>
  <c r="C2782" i="3"/>
  <c r="D2782" i="3"/>
  <c r="E2782" i="3"/>
  <c r="F2782" i="3"/>
  <c r="G2782" i="3"/>
  <c r="H2782" i="3"/>
  <c r="I2782" i="3"/>
  <c r="J2782" i="3"/>
  <c r="K2782" i="3"/>
  <c r="L2782" i="3"/>
  <c r="A2783" i="3"/>
  <c r="B2783" i="3"/>
  <c r="C2783" i="3"/>
  <c r="D2783" i="3"/>
  <c r="E2783" i="3"/>
  <c r="F2783" i="3"/>
  <c r="G2783" i="3"/>
  <c r="H2783" i="3"/>
  <c r="I2783" i="3"/>
  <c r="J2783" i="3"/>
  <c r="K2783" i="3"/>
  <c r="L2783" i="3"/>
  <c r="A2784" i="3"/>
  <c r="B2784" i="3"/>
  <c r="C2784" i="3"/>
  <c r="D2784" i="3"/>
  <c r="E2784" i="3"/>
  <c r="F2784" i="3"/>
  <c r="G2784" i="3"/>
  <c r="H2784" i="3"/>
  <c r="I2784" i="3"/>
  <c r="J2784" i="3"/>
  <c r="K2784" i="3"/>
  <c r="L2784" i="3"/>
  <c r="A2785" i="3"/>
  <c r="B2785" i="3"/>
  <c r="C2785" i="3"/>
  <c r="D2785" i="3"/>
  <c r="E2785" i="3"/>
  <c r="F2785" i="3"/>
  <c r="G2785" i="3"/>
  <c r="H2785" i="3"/>
  <c r="I2785" i="3"/>
  <c r="J2785" i="3"/>
  <c r="K2785" i="3"/>
  <c r="L2785" i="3"/>
  <c r="A2786" i="3"/>
  <c r="B2786" i="3"/>
  <c r="C2786" i="3"/>
  <c r="D2786" i="3"/>
  <c r="E2786" i="3"/>
  <c r="F2786" i="3"/>
  <c r="G2786" i="3"/>
  <c r="H2786" i="3"/>
  <c r="I2786" i="3"/>
  <c r="J2786" i="3"/>
  <c r="K2786" i="3"/>
  <c r="L2786" i="3"/>
  <c r="A2787" i="3"/>
  <c r="B2787" i="3"/>
  <c r="C2787" i="3"/>
  <c r="D2787" i="3"/>
  <c r="E2787" i="3"/>
  <c r="F2787" i="3"/>
  <c r="G2787" i="3"/>
  <c r="H2787" i="3"/>
  <c r="I2787" i="3"/>
  <c r="J2787" i="3"/>
  <c r="K2787" i="3"/>
  <c r="L2787" i="3"/>
  <c r="A2788" i="3"/>
  <c r="B2788" i="3"/>
  <c r="C2788" i="3"/>
  <c r="D2788" i="3"/>
  <c r="E2788" i="3"/>
  <c r="F2788" i="3"/>
  <c r="G2788" i="3"/>
  <c r="H2788" i="3"/>
  <c r="I2788" i="3"/>
  <c r="J2788" i="3"/>
  <c r="K2788" i="3"/>
  <c r="L2788" i="3"/>
  <c r="A2789" i="3"/>
  <c r="B2789" i="3"/>
  <c r="C2789" i="3"/>
  <c r="D2789" i="3"/>
  <c r="E2789" i="3"/>
  <c r="F2789" i="3"/>
  <c r="G2789" i="3"/>
  <c r="H2789" i="3"/>
  <c r="I2789" i="3"/>
  <c r="J2789" i="3"/>
  <c r="K2789" i="3"/>
  <c r="L2789" i="3"/>
  <c r="A2790" i="3"/>
  <c r="B2790" i="3"/>
  <c r="C2790" i="3"/>
  <c r="D2790" i="3"/>
  <c r="E2790" i="3"/>
  <c r="F2790" i="3"/>
  <c r="G2790" i="3"/>
  <c r="H2790" i="3"/>
  <c r="I2790" i="3"/>
  <c r="J2790" i="3"/>
  <c r="K2790" i="3"/>
  <c r="L2790" i="3"/>
  <c r="A2791" i="3"/>
  <c r="B2791" i="3"/>
  <c r="C2791" i="3"/>
  <c r="D2791" i="3"/>
  <c r="E2791" i="3"/>
  <c r="F2791" i="3"/>
  <c r="G2791" i="3"/>
  <c r="H2791" i="3"/>
  <c r="I2791" i="3"/>
  <c r="J2791" i="3"/>
  <c r="K2791" i="3"/>
  <c r="L2791" i="3"/>
  <c r="A2792" i="3"/>
  <c r="B2792" i="3"/>
  <c r="C2792" i="3"/>
  <c r="D2792" i="3"/>
  <c r="E2792" i="3"/>
  <c r="F2792" i="3"/>
  <c r="G2792" i="3"/>
  <c r="H2792" i="3"/>
  <c r="I2792" i="3"/>
  <c r="J2792" i="3"/>
  <c r="K2792" i="3"/>
  <c r="L2792" i="3"/>
  <c r="A2793" i="3"/>
  <c r="B2793" i="3"/>
  <c r="C2793" i="3"/>
  <c r="D2793" i="3"/>
  <c r="E2793" i="3"/>
  <c r="F2793" i="3"/>
  <c r="G2793" i="3"/>
  <c r="H2793" i="3"/>
  <c r="I2793" i="3"/>
  <c r="J2793" i="3"/>
  <c r="K2793" i="3"/>
  <c r="L2793" i="3"/>
  <c r="A2794" i="3"/>
  <c r="B2794" i="3"/>
  <c r="C2794" i="3"/>
  <c r="D2794" i="3"/>
  <c r="E2794" i="3"/>
  <c r="F2794" i="3"/>
  <c r="G2794" i="3"/>
  <c r="H2794" i="3"/>
  <c r="I2794" i="3"/>
  <c r="J2794" i="3"/>
  <c r="K2794" i="3"/>
  <c r="L2794" i="3"/>
  <c r="A2795" i="3"/>
  <c r="B2795" i="3"/>
  <c r="C2795" i="3"/>
  <c r="D2795" i="3"/>
  <c r="E2795" i="3"/>
  <c r="F2795" i="3"/>
  <c r="G2795" i="3"/>
  <c r="H2795" i="3"/>
  <c r="I2795" i="3"/>
  <c r="J2795" i="3"/>
  <c r="K2795" i="3"/>
  <c r="L2795" i="3"/>
  <c r="A2796" i="3"/>
  <c r="B2796" i="3"/>
  <c r="C2796" i="3"/>
  <c r="D2796" i="3"/>
  <c r="E2796" i="3"/>
  <c r="F2796" i="3"/>
  <c r="G2796" i="3"/>
  <c r="H2796" i="3"/>
  <c r="I2796" i="3"/>
  <c r="J2796" i="3"/>
  <c r="K2796" i="3"/>
  <c r="L2796" i="3"/>
  <c r="A2797" i="3"/>
  <c r="B2797" i="3"/>
  <c r="C2797" i="3"/>
  <c r="D2797" i="3"/>
  <c r="E2797" i="3"/>
  <c r="F2797" i="3"/>
  <c r="G2797" i="3"/>
  <c r="H2797" i="3"/>
  <c r="I2797" i="3"/>
  <c r="J2797" i="3"/>
  <c r="K2797" i="3"/>
  <c r="L2797" i="3"/>
  <c r="A2798" i="3"/>
  <c r="B2798" i="3"/>
  <c r="C2798" i="3"/>
  <c r="D2798" i="3"/>
  <c r="E2798" i="3"/>
  <c r="F2798" i="3"/>
  <c r="G2798" i="3"/>
  <c r="H2798" i="3"/>
  <c r="I2798" i="3"/>
  <c r="J2798" i="3"/>
  <c r="K2798" i="3"/>
  <c r="L2798" i="3"/>
  <c r="A2799" i="3"/>
  <c r="B2799" i="3"/>
  <c r="C2799" i="3"/>
  <c r="D2799" i="3"/>
  <c r="E2799" i="3"/>
  <c r="F2799" i="3"/>
  <c r="G2799" i="3"/>
  <c r="H2799" i="3"/>
  <c r="I2799" i="3"/>
  <c r="J2799" i="3"/>
  <c r="K2799" i="3"/>
  <c r="L2799" i="3"/>
  <c r="A2800" i="3"/>
  <c r="B2800" i="3"/>
  <c r="C2800" i="3"/>
  <c r="D2800" i="3"/>
  <c r="E2800" i="3"/>
  <c r="F2800" i="3"/>
  <c r="G2800" i="3"/>
  <c r="H2800" i="3"/>
  <c r="I2800" i="3"/>
  <c r="J2800" i="3"/>
  <c r="K2800" i="3"/>
  <c r="L2800" i="3"/>
  <c r="A2801" i="3"/>
  <c r="B2801" i="3"/>
  <c r="C2801" i="3"/>
  <c r="D2801" i="3"/>
  <c r="E2801" i="3"/>
  <c r="F2801" i="3"/>
  <c r="G2801" i="3"/>
  <c r="H2801" i="3"/>
  <c r="I2801" i="3"/>
  <c r="J2801" i="3"/>
  <c r="K2801" i="3"/>
  <c r="L2801" i="3"/>
  <c r="A2802" i="3"/>
  <c r="B2802" i="3"/>
  <c r="C2802" i="3"/>
  <c r="D2802" i="3"/>
  <c r="E2802" i="3"/>
  <c r="F2802" i="3"/>
  <c r="G2802" i="3"/>
  <c r="H2802" i="3"/>
  <c r="I2802" i="3"/>
  <c r="J2802" i="3"/>
  <c r="K2802" i="3"/>
  <c r="L2802" i="3"/>
  <c r="A2803" i="3"/>
  <c r="B2803" i="3"/>
  <c r="C2803" i="3"/>
  <c r="D2803" i="3"/>
  <c r="E2803" i="3"/>
  <c r="F2803" i="3"/>
  <c r="G2803" i="3"/>
  <c r="H2803" i="3"/>
  <c r="I2803" i="3"/>
  <c r="J2803" i="3"/>
  <c r="K2803" i="3"/>
  <c r="L2803" i="3"/>
  <c r="A2804" i="3"/>
  <c r="B2804" i="3"/>
  <c r="C2804" i="3"/>
  <c r="D2804" i="3"/>
  <c r="E2804" i="3"/>
  <c r="F2804" i="3"/>
  <c r="G2804" i="3"/>
  <c r="H2804" i="3"/>
  <c r="I2804" i="3"/>
  <c r="J2804" i="3"/>
  <c r="K2804" i="3"/>
  <c r="L2804" i="3"/>
  <c r="A2805" i="3"/>
  <c r="B2805" i="3"/>
  <c r="C2805" i="3"/>
  <c r="D2805" i="3"/>
  <c r="E2805" i="3"/>
  <c r="F2805" i="3"/>
  <c r="G2805" i="3"/>
  <c r="H2805" i="3"/>
  <c r="I2805" i="3"/>
  <c r="J2805" i="3"/>
  <c r="K2805" i="3"/>
  <c r="L2805" i="3"/>
  <c r="A2806" i="3"/>
  <c r="B2806" i="3"/>
  <c r="C2806" i="3"/>
  <c r="D2806" i="3"/>
  <c r="E2806" i="3"/>
  <c r="F2806" i="3"/>
  <c r="G2806" i="3"/>
  <c r="H2806" i="3"/>
  <c r="I2806" i="3"/>
  <c r="J2806" i="3"/>
  <c r="K2806" i="3"/>
  <c r="L2806" i="3"/>
  <c r="A2807" i="3"/>
  <c r="B2807" i="3"/>
  <c r="C2807" i="3"/>
  <c r="D2807" i="3"/>
  <c r="E2807" i="3"/>
  <c r="F2807" i="3"/>
  <c r="G2807" i="3"/>
  <c r="H2807" i="3"/>
  <c r="I2807" i="3"/>
  <c r="J2807" i="3"/>
  <c r="K2807" i="3"/>
  <c r="L2807" i="3"/>
  <c r="A2808" i="3"/>
  <c r="B2808" i="3"/>
  <c r="C2808" i="3"/>
  <c r="D2808" i="3"/>
  <c r="E2808" i="3"/>
  <c r="F2808" i="3"/>
  <c r="G2808" i="3"/>
  <c r="H2808" i="3"/>
  <c r="I2808" i="3"/>
  <c r="J2808" i="3"/>
  <c r="K2808" i="3"/>
  <c r="L2808" i="3"/>
  <c r="A2809" i="3"/>
  <c r="B2809" i="3"/>
  <c r="C2809" i="3"/>
  <c r="D2809" i="3"/>
  <c r="E2809" i="3"/>
  <c r="F2809" i="3"/>
  <c r="G2809" i="3"/>
  <c r="H2809" i="3"/>
  <c r="I2809" i="3"/>
  <c r="J2809" i="3"/>
  <c r="K2809" i="3"/>
  <c r="L2809" i="3"/>
  <c r="A2810" i="3"/>
  <c r="B2810" i="3"/>
  <c r="C2810" i="3"/>
  <c r="D2810" i="3"/>
  <c r="E2810" i="3"/>
  <c r="F2810" i="3"/>
  <c r="G2810" i="3"/>
  <c r="H2810" i="3"/>
  <c r="I2810" i="3"/>
  <c r="J2810" i="3"/>
  <c r="K2810" i="3"/>
  <c r="L2810" i="3"/>
  <c r="A2811" i="3"/>
  <c r="B2811" i="3"/>
  <c r="C2811" i="3"/>
  <c r="D2811" i="3"/>
  <c r="E2811" i="3"/>
  <c r="F2811" i="3"/>
  <c r="G2811" i="3"/>
  <c r="H2811" i="3"/>
  <c r="I2811" i="3"/>
  <c r="J2811" i="3"/>
  <c r="K2811" i="3"/>
  <c r="L2811" i="3"/>
  <c r="A2812" i="3"/>
  <c r="B2812" i="3"/>
  <c r="C2812" i="3"/>
  <c r="D2812" i="3"/>
  <c r="E2812" i="3"/>
  <c r="F2812" i="3"/>
  <c r="G2812" i="3"/>
  <c r="H2812" i="3"/>
  <c r="I2812" i="3"/>
  <c r="J2812" i="3"/>
  <c r="K2812" i="3"/>
  <c r="L2812" i="3"/>
  <c r="A2813" i="3"/>
  <c r="B2813" i="3"/>
  <c r="C2813" i="3"/>
  <c r="D2813" i="3"/>
  <c r="E2813" i="3"/>
  <c r="F2813" i="3"/>
  <c r="G2813" i="3"/>
  <c r="H2813" i="3"/>
  <c r="I2813" i="3"/>
  <c r="J2813" i="3"/>
  <c r="K2813" i="3"/>
  <c r="L2813" i="3"/>
  <c r="A2814" i="3"/>
  <c r="B2814" i="3"/>
  <c r="C2814" i="3"/>
  <c r="D2814" i="3"/>
  <c r="E2814" i="3"/>
  <c r="F2814" i="3"/>
  <c r="G2814" i="3"/>
  <c r="H2814" i="3"/>
  <c r="I2814" i="3"/>
  <c r="J2814" i="3"/>
  <c r="K2814" i="3"/>
  <c r="L2814" i="3"/>
  <c r="A2815" i="3"/>
  <c r="B2815" i="3"/>
  <c r="C2815" i="3"/>
  <c r="D2815" i="3"/>
  <c r="E2815" i="3"/>
  <c r="F2815" i="3"/>
  <c r="G2815" i="3"/>
  <c r="H2815" i="3"/>
  <c r="I2815" i="3"/>
  <c r="J2815" i="3"/>
  <c r="K2815" i="3"/>
  <c r="L2815" i="3"/>
  <c r="A2816" i="3"/>
  <c r="B2816" i="3"/>
  <c r="C2816" i="3"/>
  <c r="D2816" i="3"/>
  <c r="E2816" i="3"/>
  <c r="F2816" i="3"/>
  <c r="G2816" i="3"/>
  <c r="H2816" i="3"/>
  <c r="I2816" i="3"/>
  <c r="J2816" i="3"/>
  <c r="K2816" i="3"/>
  <c r="L2816" i="3"/>
  <c r="A2817" i="3"/>
  <c r="B2817" i="3"/>
  <c r="C2817" i="3"/>
  <c r="D2817" i="3"/>
  <c r="E2817" i="3"/>
  <c r="F2817" i="3"/>
  <c r="G2817" i="3"/>
  <c r="H2817" i="3"/>
  <c r="I2817" i="3"/>
  <c r="J2817" i="3"/>
  <c r="K2817" i="3"/>
  <c r="L2817" i="3"/>
  <c r="A2818" i="3"/>
  <c r="B2818" i="3"/>
  <c r="C2818" i="3"/>
  <c r="D2818" i="3"/>
  <c r="E2818" i="3"/>
  <c r="F2818" i="3"/>
  <c r="G2818" i="3"/>
  <c r="H2818" i="3"/>
  <c r="I2818" i="3"/>
  <c r="J2818" i="3"/>
  <c r="K2818" i="3"/>
  <c r="L2818" i="3"/>
  <c r="A2819" i="3"/>
  <c r="B2819" i="3"/>
  <c r="C2819" i="3"/>
  <c r="D2819" i="3"/>
  <c r="E2819" i="3"/>
  <c r="F2819" i="3"/>
  <c r="G2819" i="3"/>
  <c r="H2819" i="3"/>
  <c r="I2819" i="3"/>
  <c r="J2819" i="3"/>
  <c r="K2819" i="3"/>
  <c r="L2819" i="3"/>
  <c r="A2820" i="3"/>
  <c r="B2820" i="3"/>
  <c r="C2820" i="3"/>
  <c r="D2820" i="3"/>
  <c r="E2820" i="3"/>
  <c r="F2820" i="3"/>
  <c r="G2820" i="3"/>
  <c r="H2820" i="3"/>
  <c r="I2820" i="3"/>
  <c r="J2820" i="3"/>
  <c r="K2820" i="3"/>
  <c r="L2820" i="3"/>
  <c r="A2821" i="3"/>
  <c r="B2821" i="3"/>
  <c r="C2821" i="3"/>
  <c r="D2821" i="3"/>
  <c r="E2821" i="3"/>
  <c r="F2821" i="3"/>
  <c r="G2821" i="3"/>
  <c r="H2821" i="3"/>
  <c r="I2821" i="3"/>
  <c r="J2821" i="3"/>
  <c r="K2821" i="3"/>
  <c r="L2821" i="3"/>
  <c r="A2822" i="3"/>
  <c r="B2822" i="3"/>
  <c r="C2822" i="3"/>
  <c r="D2822" i="3"/>
  <c r="E2822" i="3"/>
  <c r="F2822" i="3"/>
  <c r="G2822" i="3"/>
  <c r="H2822" i="3"/>
  <c r="I2822" i="3"/>
  <c r="J2822" i="3"/>
  <c r="K2822" i="3"/>
  <c r="L2822" i="3"/>
  <c r="A2823" i="3"/>
  <c r="B2823" i="3"/>
  <c r="C2823" i="3"/>
  <c r="D2823" i="3"/>
  <c r="E2823" i="3"/>
  <c r="F2823" i="3"/>
  <c r="G2823" i="3"/>
  <c r="H2823" i="3"/>
  <c r="I2823" i="3"/>
  <c r="J2823" i="3"/>
  <c r="K2823" i="3"/>
  <c r="L2823" i="3"/>
  <c r="A2824" i="3"/>
  <c r="B2824" i="3"/>
  <c r="C2824" i="3"/>
  <c r="D2824" i="3"/>
  <c r="E2824" i="3"/>
  <c r="F2824" i="3"/>
  <c r="G2824" i="3"/>
  <c r="H2824" i="3"/>
  <c r="I2824" i="3"/>
  <c r="J2824" i="3"/>
  <c r="K2824" i="3"/>
  <c r="L2824" i="3"/>
  <c r="A2825" i="3"/>
  <c r="B2825" i="3"/>
  <c r="C2825" i="3"/>
  <c r="D2825" i="3"/>
  <c r="E2825" i="3"/>
  <c r="F2825" i="3"/>
  <c r="G2825" i="3"/>
  <c r="H2825" i="3"/>
  <c r="I2825" i="3"/>
  <c r="J2825" i="3"/>
  <c r="K2825" i="3"/>
  <c r="L2825" i="3"/>
  <c r="A2826" i="3"/>
  <c r="B2826" i="3"/>
  <c r="C2826" i="3"/>
  <c r="D2826" i="3"/>
  <c r="E2826" i="3"/>
  <c r="F2826" i="3"/>
  <c r="G2826" i="3"/>
  <c r="H2826" i="3"/>
  <c r="I2826" i="3"/>
  <c r="J2826" i="3"/>
  <c r="K2826" i="3"/>
  <c r="L2826" i="3"/>
  <c r="A2827" i="3"/>
  <c r="B2827" i="3"/>
  <c r="C2827" i="3"/>
  <c r="D2827" i="3"/>
  <c r="E2827" i="3"/>
  <c r="F2827" i="3"/>
  <c r="G2827" i="3"/>
  <c r="H2827" i="3"/>
  <c r="I2827" i="3"/>
  <c r="J2827" i="3"/>
  <c r="K2827" i="3"/>
  <c r="L2827" i="3"/>
  <c r="A2828" i="3"/>
  <c r="B2828" i="3"/>
  <c r="C2828" i="3"/>
  <c r="D2828" i="3"/>
  <c r="E2828" i="3"/>
  <c r="F2828" i="3"/>
  <c r="G2828" i="3"/>
  <c r="H2828" i="3"/>
  <c r="I2828" i="3"/>
  <c r="J2828" i="3"/>
  <c r="K2828" i="3"/>
  <c r="L2828" i="3"/>
  <c r="A2829" i="3"/>
  <c r="B2829" i="3"/>
  <c r="C2829" i="3"/>
  <c r="D2829" i="3"/>
  <c r="E2829" i="3"/>
  <c r="F2829" i="3"/>
  <c r="G2829" i="3"/>
  <c r="H2829" i="3"/>
  <c r="I2829" i="3"/>
  <c r="J2829" i="3"/>
  <c r="K2829" i="3"/>
  <c r="L2829" i="3"/>
  <c r="A2830" i="3"/>
  <c r="B2830" i="3"/>
  <c r="C2830" i="3"/>
  <c r="D2830" i="3"/>
  <c r="E2830" i="3"/>
  <c r="F2830" i="3"/>
  <c r="G2830" i="3"/>
  <c r="H2830" i="3"/>
  <c r="I2830" i="3"/>
  <c r="J2830" i="3"/>
  <c r="K2830" i="3"/>
  <c r="L2830" i="3"/>
  <c r="A2831" i="3"/>
  <c r="B2831" i="3"/>
  <c r="C2831" i="3"/>
  <c r="D2831" i="3"/>
  <c r="E2831" i="3"/>
  <c r="F2831" i="3"/>
  <c r="G2831" i="3"/>
  <c r="H2831" i="3"/>
  <c r="I2831" i="3"/>
  <c r="J2831" i="3"/>
  <c r="K2831" i="3"/>
  <c r="L2831" i="3"/>
  <c r="A2832" i="3"/>
  <c r="B2832" i="3"/>
  <c r="C2832" i="3"/>
  <c r="D2832" i="3"/>
  <c r="E2832" i="3"/>
  <c r="F2832" i="3"/>
  <c r="G2832" i="3"/>
  <c r="H2832" i="3"/>
  <c r="I2832" i="3"/>
  <c r="J2832" i="3"/>
  <c r="K2832" i="3"/>
  <c r="L2832" i="3"/>
  <c r="A2833" i="3"/>
  <c r="B2833" i="3"/>
  <c r="C2833" i="3"/>
  <c r="D2833" i="3"/>
  <c r="E2833" i="3"/>
  <c r="F2833" i="3"/>
  <c r="G2833" i="3"/>
  <c r="H2833" i="3"/>
  <c r="I2833" i="3"/>
  <c r="J2833" i="3"/>
  <c r="K2833" i="3"/>
  <c r="L2833" i="3"/>
  <c r="A2834" i="3"/>
  <c r="B2834" i="3"/>
  <c r="C2834" i="3"/>
  <c r="D2834" i="3"/>
  <c r="E2834" i="3"/>
  <c r="F2834" i="3"/>
  <c r="G2834" i="3"/>
  <c r="H2834" i="3"/>
  <c r="I2834" i="3"/>
  <c r="J2834" i="3"/>
  <c r="K2834" i="3"/>
  <c r="L2834" i="3"/>
  <c r="A2835" i="3"/>
  <c r="B2835" i="3"/>
  <c r="C2835" i="3"/>
  <c r="D2835" i="3"/>
  <c r="E2835" i="3"/>
  <c r="F2835" i="3"/>
  <c r="G2835" i="3"/>
  <c r="H2835" i="3"/>
  <c r="I2835" i="3"/>
  <c r="J2835" i="3"/>
  <c r="K2835" i="3"/>
  <c r="L2835" i="3"/>
  <c r="A2836" i="3"/>
  <c r="B2836" i="3"/>
  <c r="C2836" i="3"/>
  <c r="D2836" i="3"/>
  <c r="E2836" i="3"/>
  <c r="F2836" i="3"/>
  <c r="G2836" i="3"/>
  <c r="H2836" i="3"/>
  <c r="I2836" i="3"/>
  <c r="J2836" i="3"/>
  <c r="K2836" i="3"/>
  <c r="L2836" i="3"/>
  <c r="A2837" i="3"/>
  <c r="B2837" i="3"/>
  <c r="C2837" i="3"/>
  <c r="D2837" i="3"/>
  <c r="E2837" i="3"/>
  <c r="F2837" i="3"/>
  <c r="G2837" i="3"/>
  <c r="H2837" i="3"/>
  <c r="I2837" i="3"/>
  <c r="J2837" i="3"/>
  <c r="K2837" i="3"/>
  <c r="L2837" i="3"/>
  <c r="A2838" i="3"/>
  <c r="B2838" i="3"/>
  <c r="C2838" i="3"/>
  <c r="D2838" i="3"/>
  <c r="E2838" i="3"/>
  <c r="F2838" i="3"/>
  <c r="G2838" i="3"/>
  <c r="H2838" i="3"/>
  <c r="I2838" i="3"/>
  <c r="J2838" i="3"/>
  <c r="K2838" i="3"/>
  <c r="L2838" i="3"/>
  <c r="A2839" i="3"/>
  <c r="B2839" i="3"/>
  <c r="C2839" i="3"/>
  <c r="D2839" i="3"/>
  <c r="E2839" i="3"/>
  <c r="F2839" i="3"/>
  <c r="G2839" i="3"/>
  <c r="H2839" i="3"/>
  <c r="I2839" i="3"/>
  <c r="J2839" i="3"/>
  <c r="K2839" i="3"/>
  <c r="L2839" i="3"/>
  <c r="A2840" i="3"/>
  <c r="B2840" i="3"/>
  <c r="C2840" i="3"/>
  <c r="D2840" i="3"/>
  <c r="E2840" i="3"/>
  <c r="F2840" i="3"/>
  <c r="G2840" i="3"/>
  <c r="H2840" i="3"/>
  <c r="I2840" i="3"/>
  <c r="J2840" i="3"/>
  <c r="K2840" i="3"/>
  <c r="L2840" i="3"/>
  <c r="A2841" i="3"/>
  <c r="B2841" i="3"/>
  <c r="C2841" i="3"/>
  <c r="D2841" i="3"/>
  <c r="E2841" i="3"/>
  <c r="F2841" i="3"/>
  <c r="G2841" i="3"/>
  <c r="H2841" i="3"/>
  <c r="I2841" i="3"/>
  <c r="J2841" i="3"/>
  <c r="K2841" i="3"/>
  <c r="L2841" i="3"/>
  <c r="A2842" i="3"/>
  <c r="B2842" i="3"/>
  <c r="C2842" i="3"/>
  <c r="D2842" i="3"/>
  <c r="E2842" i="3"/>
  <c r="F2842" i="3"/>
  <c r="G2842" i="3"/>
  <c r="H2842" i="3"/>
  <c r="I2842" i="3"/>
  <c r="J2842" i="3"/>
  <c r="K2842" i="3"/>
  <c r="L2842" i="3"/>
  <c r="A2843" i="3"/>
  <c r="B2843" i="3"/>
  <c r="C2843" i="3"/>
  <c r="D2843" i="3"/>
  <c r="E2843" i="3"/>
  <c r="F2843" i="3"/>
  <c r="G2843" i="3"/>
  <c r="H2843" i="3"/>
  <c r="I2843" i="3"/>
  <c r="J2843" i="3"/>
  <c r="K2843" i="3"/>
  <c r="L2843" i="3"/>
  <c r="A2844" i="3"/>
  <c r="B2844" i="3"/>
  <c r="C2844" i="3"/>
  <c r="D2844" i="3"/>
  <c r="E2844" i="3"/>
  <c r="F2844" i="3"/>
  <c r="G2844" i="3"/>
  <c r="H2844" i="3"/>
  <c r="I2844" i="3"/>
  <c r="J2844" i="3"/>
  <c r="K2844" i="3"/>
  <c r="L2844" i="3"/>
  <c r="A2845" i="3"/>
  <c r="B2845" i="3"/>
  <c r="C2845" i="3"/>
  <c r="D2845" i="3"/>
  <c r="E2845" i="3"/>
  <c r="F2845" i="3"/>
  <c r="G2845" i="3"/>
  <c r="H2845" i="3"/>
  <c r="I2845" i="3"/>
  <c r="J2845" i="3"/>
  <c r="K2845" i="3"/>
  <c r="L2845" i="3"/>
  <c r="A2846" i="3"/>
  <c r="B2846" i="3"/>
  <c r="C2846" i="3"/>
  <c r="D2846" i="3"/>
  <c r="E2846" i="3"/>
  <c r="F2846" i="3"/>
  <c r="G2846" i="3"/>
  <c r="H2846" i="3"/>
  <c r="I2846" i="3"/>
  <c r="J2846" i="3"/>
  <c r="K2846" i="3"/>
  <c r="L2846" i="3"/>
  <c r="A2847" i="3"/>
  <c r="B2847" i="3"/>
  <c r="C2847" i="3"/>
  <c r="D2847" i="3"/>
  <c r="E2847" i="3"/>
  <c r="F2847" i="3"/>
  <c r="G2847" i="3"/>
  <c r="H2847" i="3"/>
  <c r="I2847" i="3"/>
  <c r="J2847" i="3"/>
  <c r="K2847" i="3"/>
  <c r="L2847" i="3"/>
  <c r="A2848" i="3"/>
  <c r="B2848" i="3"/>
  <c r="C2848" i="3"/>
  <c r="D2848" i="3"/>
  <c r="E2848" i="3"/>
  <c r="F2848" i="3"/>
  <c r="G2848" i="3"/>
  <c r="H2848" i="3"/>
  <c r="I2848" i="3"/>
  <c r="J2848" i="3"/>
  <c r="K2848" i="3"/>
  <c r="L2848" i="3"/>
  <c r="A2849" i="3"/>
  <c r="B2849" i="3"/>
  <c r="C2849" i="3"/>
  <c r="D2849" i="3"/>
  <c r="E2849" i="3"/>
  <c r="F2849" i="3"/>
  <c r="G2849" i="3"/>
  <c r="H2849" i="3"/>
  <c r="I2849" i="3"/>
  <c r="J2849" i="3"/>
  <c r="K2849" i="3"/>
  <c r="L2849" i="3"/>
  <c r="A2850" i="3"/>
  <c r="B2850" i="3"/>
  <c r="C2850" i="3"/>
  <c r="D2850" i="3"/>
  <c r="E2850" i="3"/>
  <c r="F2850" i="3"/>
  <c r="G2850" i="3"/>
  <c r="H2850" i="3"/>
  <c r="I2850" i="3"/>
  <c r="J2850" i="3"/>
  <c r="K2850" i="3"/>
  <c r="L2850" i="3"/>
  <c r="A2851" i="3"/>
  <c r="B2851" i="3"/>
  <c r="C2851" i="3"/>
  <c r="D2851" i="3"/>
  <c r="E2851" i="3"/>
  <c r="F2851" i="3"/>
  <c r="G2851" i="3"/>
  <c r="H2851" i="3"/>
  <c r="I2851" i="3"/>
  <c r="J2851" i="3"/>
  <c r="K2851" i="3"/>
  <c r="L2851" i="3"/>
  <c r="A2852" i="3"/>
  <c r="B2852" i="3"/>
  <c r="C2852" i="3"/>
  <c r="D2852" i="3"/>
  <c r="E2852" i="3"/>
  <c r="F2852" i="3"/>
  <c r="G2852" i="3"/>
  <c r="H2852" i="3"/>
  <c r="I2852" i="3"/>
  <c r="J2852" i="3"/>
  <c r="K2852" i="3"/>
  <c r="L2852" i="3"/>
  <c r="A2853" i="3"/>
  <c r="B2853" i="3"/>
  <c r="C2853" i="3"/>
  <c r="D2853" i="3"/>
  <c r="E2853" i="3"/>
  <c r="F2853" i="3"/>
  <c r="G2853" i="3"/>
  <c r="H2853" i="3"/>
  <c r="I2853" i="3"/>
  <c r="J2853" i="3"/>
  <c r="K2853" i="3"/>
  <c r="L2853" i="3"/>
  <c r="A2854" i="3"/>
  <c r="B2854" i="3"/>
  <c r="C2854" i="3"/>
  <c r="D2854" i="3"/>
  <c r="E2854" i="3"/>
  <c r="F2854" i="3"/>
  <c r="G2854" i="3"/>
  <c r="H2854" i="3"/>
  <c r="I2854" i="3"/>
  <c r="J2854" i="3"/>
  <c r="K2854" i="3"/>
  <c r="L2854" i="3"/>
  <c r="A2855" i="3"/>
  <c r="B2855" i="3"/>
  <c r="C2855" i="3"/>
  <c r="D2855" i="3"/>
  <c r="E2855" i="3"/>
  <c r="F2855" i="3"/>
  <c r="G2855" i="3"/>
  <c r="H2855" i="3"/>
  <c r="I2855" i="3"/>
  <c r="J2855" i="3"/>
  <c r="K2855" i="3"/>
  <c r="L2855" i="3"/>
  <c r="A2856" i="3"/>
  <c r="B2856" i="3"/>
  <c r="C2856" i="3"/>
  <c r="D2856" i="3"/>
  <c r="E2856" i="3"/>
  <c r="F2856" i="3"/>
  <c r="G2856" i="3"/>
  <c r="H2856" i="3"/>
  <c r="I2856" i="3"/>
  <c r="J2856" i="3"/>
  <c r="K2856" i="3"/>
  <c r="L2856" i="3"/>
  <c r="A2857" i="3"/>
  <c r="B2857" i="3"/>
  <c r="C2857" i="3"/>
  <c r="D2857" i="3"/>
  <c r="E2857" i="3"/>
  <c r="F2857" i="3"/>
  <c r="G2857" i="3"/>
  <c r="H2857" i="3"/>
  <c r="I2857" i="3"/>
  <c r="J2857" i="3"/>
  <c r="K2857" i="3"/>
  <c r="L2857" i="3"/>
  <c r="A2858" i="3"/>
  <c r="B2858" i="3"/>
  <c r="C2858" i="3"/>
  <c r="D2858" i="3"/>
  <c r="E2858" i="3"/>
  <c r="F2858" i="3"/>
  <c r="G2858" i="3"/>
  <c r="H2858" i="3"/>
  <c r="I2858" i="3"/>
  <c r="J2858" i="3"/>
  <c r="K2858" i="3"/>
  <c r="L2858" i="3"/>
  <c r="A2859" i="3"/>
  <c r="B2859" i="3"/>
  <c r="C2859" i="3"/>
  <c r="D2859" i="3"/>
  <c r="E2859" i="3"/>
  <c r="F2859" i="3"/>
  <c r="G2859" i="3"/>
  <c r="H2859" i="3"/>
  <c r="I2859" i="3"/>
  <c r="J2859" i="3"/>
  <c r="K2859" i="3"/>
  <c r="L2859" i="3"/>
  <c r="A2860" i="3"/>
  <c r="B2860" i="3"/>
  <c r="C2860" i="3"/>
  <c r="D2860" i="3"/>
  <c r="E2860" i="3"/>
  <c r="F2860" i="3"/>
  <c r="G2860" i="3"/>
  <c r="H2860" i="3"/>
  <c r="I2860" i="3"/>
  <c r="J2860" i="3"/>
  <c r="K2860" i="3"/>
  <c r="L2860" i="3"/>
  <c r="A2861" i="3"/>
  <c r="B2861" i="3"/>
  <c r="C2861" i="3"/>
  <c r="D2861" i="3"/>
  <c r="E2861" i="3"/>
  <c r="F2861" i="3"/>
  <c r="G2861" i="3"/>
  <c r="H2861" i="3"/>
  <c r="I2861" i="3"/>
  <c r="J2861" i="3"/>
  <c r="K2861" i="3"/>
  <c r="L2861" i="3"/>
  <c r="A2862" i="3"/>
  <c r="B2862" i="3"/>
  <c r="C2862" i="3"/>
  <c r="D2862" i="3"/>
  <c r="E2862" i="3"/>
  <c r="F2862" i="3"/>
  <c r="G2862" i="3"/>
  <c r="H2862" i="3"/>
  <c r="I2862" i="3"/>
  <c r="J2862" i="3"/>
  <c r="K2862" i="3"/>
  <c r="L2862" i="3"/>
  <c r="A2863" i="3"/>
  <c r="B2863" i="3"/>
  <c r="C2863" i="3"/>
  <c r="D2863" i="3"/>
  <c r="E2863" i="3"/>
  <c r="F2863" i="3"/>
  <c r="G2863" i="3"/>
  <c r="H2863" i="3"/>
  <c r="I2863" i="3"/>
  <c r="J2863" i="3"/>
  <c r="K2863" i="3"/>
  <c r="L2863" i="3"/>
  <c r="A2864" i="3"/>
  <c r="B2864" i="3"/>
  <c r="C2864" i="3"/>
  <c r="D2864" i="3"/>
  <c r="E2864" i="3"/>
  <c r="F2864" i="3"/>
  <c r="G2864" i="3"/>
  <c r="H2864" i="3"/>
  <c r="I2864" i="3"/>
  <c r="J2864" i="3"/>
  <c r="K2864" i="3"/>
  <c r="L2864" i="3"/>
  <c r="A2865" i="3"/>
  <c r="B2865" i="3"/>
  <c r="C2865" i="3"/>
  <c r="D2865" i="3"/>
  <c r="E2865" i="3"/>
  <c r="F2865" i="3"/>
  <c r="G2865" i="3"/>
  <c r="H2865" i="3"/>
  <c r="I2865" i="3"/>
  <c r="J2865" i="3"/>
  <c r="K2865" i="3"/>
  <c r="L2865" i="3"/>
  <c r="A2866" i="3"/>
  <c r="B2866" i="3"/>
  <c r="C2866" i="3"/>
  <c r="D2866" i="3"/>
  <c r="E2866" i="3"/>
  <c r="F2866" i="3"/>
  <c r="G2866" i="3"/>
  <c r="H2866" i="3"/>
  <c r="I2866" i="3"/>
  <c r="J2866" i="3"/>
  <c r="K2866" i="3"/>
  <c r="L2866" i="3"/>
  <c r="A2867" i="3"/>
  <c r="B2867" i="3"/>
  <c r="C2867" i="3"/>
  <c r="D2867" i="3"/>
  <c r="E2867" i="3"/>
  <c r="F2867" i="3"/>
  <c r="G2867" i="3"/>
  <c r="H2867" i="3"/>
  <c r="I2867" i="3"/>
  <c r="J2867" i="3"/>
  <c r="K2867" i="3"/>
  <c r="L2867" i="3"/>
  <c r="A2868" i="3"/>
  <c r="B2868" i="3"/>
  <c r="C2868" i="3"/>
  <c r="D2868" i="3"/>
  <c r="E2868" i="3"/>
  <c r="F2868" i="3"/>
  <c r="G2868" i="3"/>
  <c r="H2868" i="3"/>
  <c r="I2868" i="3"/>
  <c r="J2868" i="3"/>
  <c r="K2868" i="3"/>
  <c r="L2868" i="3"/>
  <c r="A2869" i="3"/>
  <c r="B2869" i="3"/>
  <c r="C2869" i="3"/>
  <c r="D2869" i="3"/>
  <c r="E2869" i="3"/>
  <c r="F2869" i="3"/>
  <c r="G2869" i="3"/>
  <c r="H2869" i="3"/>
  <c r="I2869" i="3"/>
  <c r="J2869" i="3"/>
  <c r="K2869" i="3"/>
  <c r="L2869" i="3"/>
  <c r="A2870" i="3"/>
  <c r="B2870" i="3"/>
  <c r="C2870" i="3"/>
  <c r="D2870" i="3"/>
  <c r="E2870" i="3"/>
  <c r="F2870" i="3"/>
  <c r="G2870" i="3"/>
  <c r="H2870" i="3"/>
  <c r="I2870" i="3"/>
  <c r="J2870" i="3"/>
  <c r="K2870" i="3"/>
  <c r="L2870" i="3"/>
  <c r="A2871" i="3"/>
  <c r="B2871" i="3"/>
  <c r="C2871" i="3"/>
  <c r="D2871" i="3"/>
  <c r="E2871" i="3"/>
  <c r="F2871" i="3"/>
  <c r="G2871" i="3"/>
  <c r="H2871" i="3"/>
  <c r="I2871" i="3"/>
  <c r="J2871" i="3"/>
  <c r="K2871" i="3"/>
  <c r="L2871" i="3"/>
  <c r="A2872" i="3"/>
  <c r="B2872" i="3"/>
  <c r="C2872" i="3"/>
  <c r="D2872" i="3"/>
  <c r="E2872" i="3"/>
  <c r="F2872" i="3"/>
  <c r="G2872" i="3"/>
  <c r="H2872" i="3"/>
  <c r="I2872" i="3"/>
  <c r="J2872" i="3"/>
  <c r="K2872" i="3"/>
  <c r="L2872" i="3"/>
  <c r="A2873" i="3"/>
  <c r="B2873" i="3"/>
  <c r="C2873" i="3"/>
  <c r="D2873" i="3"/>
  <c r="E2873" i="3"/>
  <c r="F2873" i="3"/>
  <c r="G2873" i="3"/>
  <c r="H2873" i="3"/>
  <c r="I2873" i="3"/>
  <c r="J2873" i="3"/>
  <c r="K2873" i="3"/>
  <c r="L2873" i="3"/>
  <c r="A2874" i="3"/>
  <c r="B2874" i="3"/>
  <c r="C2874" i="3"/>
  <c r="D2874" i="3"/>
  <c r="E2874" i="3"/>
  <c r="F2874" i="3"/>
  <c r="G2874" i="3"/>
  <c r="H2874" i="3"/>
  <c r="I2874" i="3"/>
  <c r="J2874" i="3"/>
  <c r="K2874" i="3"/>
  <c r="L2874" i="3"/>
  <c r="A2875" i="3"/>
  <c r="B2875" i="3"/>
  <c r="C2875" i="3"/>
  <c r="D2875" i="3"/>
  <c r="E2875" i="3"/>
  <c r="F2875" i="3"/>
  <c r="G2875" i="3"/>
  <c r="H2875" i="3"/>
  <c r="I2875" i="3"/>
  <c r="J2875" i="3"/>
  <c r="K2875" i="3"/>
  <c r="L2875" i="3"/>
  <c r="A2876" i="3"/>
  <c r="B2876" i="3"/>
  <c r="C2876" i="3"/>
  <c r="D2876" i="3"/>
  <c r="E2876" i="3"/>
  <c r="F2876" i="3"/>
  <c r="G2876" i="3"/>
  <c r="H2876" i="3"/>
  <c r="I2876" i="3"/>
  <c r="J2876" i="3"/>
  <c r="K2876" i="3"/>
  <c r="L2876" i="3"/>
  <c r="A2877" i="3"/>
  <c r="B2877" i="3"/>
  <c r="C2877" i="3"/>
  <c r="D2877" i="3"/>
  <c r="E2877" i="3"/>
  <c r="F2877" i="3"/>
  <c r="G2877" i="3"/>
  <c r="H2877" i="3"/>
  <c r="I2877" i="3"/>
  <c r="J2877" i="3"/>
  <c r="K2877" i="3"/>
  <c r="L2877" i="3"/>
  <c r="A2878" i="3"/>
  <c r="B2878" i="3"/>
  <c r="C2878" i="3"/>
  <c r="D2878" i="3"/>
  <c r="E2878" i="3"/>
  <c r="F2878" i="3"/>
  <c r="G2878" i="3"/>
  <c r="H2878" i="3"/>
  <c r="I2878" i="3"/>
  <c r="J2878" i="3"/>
  <c r="K2878" i="3"/>
  <c r="L2878" i="3"/>
  <c r="A2879" i="3"/>
  <c r="B2879" i="3"/>
  <c r="C2879" i="3"/>
  <c r="D2879" i="3"/>
  <c r="E2879" i="3"/>
  <c r="F2879" i="3"/>
  <c r="G2879" i="3"/>
  <c r="H2879" i="3"/>
  <c r="I2879" i="3"/>
  <c r="J2879" i="3"/>
  <c r="K2879" i="3"/>
  <c r="L2879" i="3"/>
  <c r="A2880" i="3"/>
  <c r="B2880" i="3"/>
  <c r="C2880" i="3"/>
  <c r="D2880" i="3"/>
  <c r="E2880" i="3"/>
  <c r="F2880" i="3"/>
  <c r="G2880" i="3"/>
  <c r="H2880" i="3"/>
  <c r="I2880" i="3"/>
  <c r="J2880" i="3"/>
  <c r="K2880" i="3"/>
  <c r="L2880" i="3"/>
  <c r="A2881" i="3"/>
  <c r="B2881" i="3"/>
  <c r="C2881" i="3"/>
  <c r="D2881" i="3"/>
  <c r="E2881" i="3"/>
  <c r="F2881" i="3"/>
  <c r="G2881" i="3"/>
  <c r="H2881" i="3"/>
  <c r="I2881" i="3"/>
  <c r="J2881" i="3"/>
  <c r="K2881" i="3"/>
  <c r="L2881" i="3"/>
  <c r="A2882" i="3"/>
  <c r="B2882" i="3"/>
  <c r="C2882" i="3"/>
  <c r="D2882" i="3"/>
  <c r="E2882" i="3"/>
  <c r="F2882" i="3"/>
  <c r="G2882" i="3"/>
  <c r="H2882" i="3"/>
  <c r="I2882" i="3"/>
  <c r="J2882" i="3"/>
  <c r="K2882" i="3"/>
  <c r="L2882" i="3"/>
  <c r="A2883" i="3"/>
  <c r="B2883" i="3"/>
  <c r="C2883" i="3"/>
  <c r="D2883" i="3"/>
  <c r="E2883" i="3"/>
  <c r="F2883" i="3"/>
  <c r="G2883" i="3"/>
  <c r="H2883" i="3"/>
  <c r="I2883" i="3"/>
  <c r="J2883" i="3"/>
  <c r="K2883" i="3"/>
  <c r="L2883" i="3"/>
  <c r="A2884" i="3"/>
  <c r="B2884" i="3"/>
  <c r="C2884" i="3"/>
  <c r="D2884" i="3"/>
  <c r="E2884" i="3"/>
  <c r="F2884" i="3"/>
  <c r="G2884" i="3"/>
  <c r="H2884" i="3"/>
  <c r="I2884" i="3"/>
  <c r="J2884" i="3"/>
  <c r="K2884" i="3"/>
  <c r="L2884" i="3"/>
  <c r="A2885" i="3"/>
  <c r="B2885" i="3"/>
  <c r="C2885" i="3"/>
  <c r="D2885" i="3"/>
  <c r="E2885" i="3"/>
  <c r="F2885" i="3"/>
  <c r="G2885" i="3"/>
  <c r="H2885" i="3"/>
  <c r="I2885" i="3"/>
  <c r="J2885" i="3"/>
  <c r="K2885" i="3"/>
  <c r="L2885" i="3"/>
  <c r="A2886" i="3"/>
  <c r="B2886" i="3"/>
  <c r="C2886" i="3"/>
  <c r="D2886" i="3"/>
  <c r="E2886" i="3"/>
  <c r="F2886" i="3"/>
  <c r="G2886" i="3"/>
  <c r="H2886" i="3"/>
  <c r="I2886" i="3"/>
  <c r="J2886" i="3"/>
  <c r="K2886" i="3"/>
  <c r="L2886" i="3"/>
  <c r="A2887" i="3"/>
  <c r="B2887" i="3"/>
  <c r="C2887" i="3"/>
  <c r="D2887" i="3"/>
  <c r="E2887" i="3"/>
  <c r="F2887" i="3"/>
  <c r="G2887" i="3"/>
  <c r="H2887" i="3"/>
  <c r="I2887" i="3"/>
  <c r="J2887" i="3"/>
  <c r="K2887" i="3"/>
  <c r="L2887" i="3"/>
  <c r="A2888" i="3"/>
  <c r="B2888" i="3"/>
  <c r="C2888" i="3"/>
  <c r="D2888" i="3"/>
  <c r="E2888" i="3"/>
  <c r="F2888" i="3"/>
  <c r="G2888" i="3"/>
  <c r="H2888" i="3"/>
  <c r="I2888" i="3"/>
  <c r="J2888" i="3"/>
  <c r="K2888" i="3"/>
  <c r="L2888" i="3"/>
  <c r="A2889" i="3"/>
  <c r="B2889" i="3"/>
  <c r="C2889" i="3"/>
  <c r="D2889" i="3"/>
  <c r="E2889" i="3"/>
  <c r="F2889" i="3"/>
  <c r="G2889" i="3"/>
  <c r="H2889" i="3"/>
  <c r="I2889" i="3"/>
  <c r="J2889" i="3"/>
  <c r="K2889" i="3"/>
  <c r="L2889" i="3"/>
  <c r="A2890" i="3"/>
  <c r="B2890" i="3"/>
  <c r="C2890" i="3"/>
  <c r="D2890" i="3"/>
  <c r="E2890" i="3"/>
  <c r="F2890" i="3"/>
  <c r="G2890" i="3"/>
  <c r="H2890" i="3"/>
  <c r="I2890" i="3"/>
  <c r="J2890" i="3"/>
  <c r="K2890" i="3"/>
  <c r="L2890" i="3"/>
  <c r="A2891" i="3"/>
  <c r="B2891" i="3"/>
  <c r="C2891" i="3"/>
  <c r="D2891" i="3"/>
  <c r="E2891" i="3"/>
  <c r="F2891" i="3"/>
  <c r="G2891" i="3"/>
  <c r="H2891" i="3"/>
  <c r="I2891" i="3"/>
  <c r="J2891" i="3"/>
  <c r="K2891" i="3"/>
  <c r="L2891" i="3"/>
  <c r="A2892" i="3"/>
  <c r="B2892" i="3"/>
  <c r="C2892" i="3"/>
  <c r="D2892" i="3"/>
  <c r="E2892" i="3"/>
  <c r="F2892" i="3"/>
  <c r="G2892" i="3"/>
  <c r="H2892" i="3"/>
  <c r="I2892" i="3"/>
  <c r="J2892" i="3"/>
  <c r="K2892" i="3"/>
  <c r="L2892" i="3"/>
  <c r="A2893" i="3"/>
  <c r="B2893" i="3"/>
  <c r="C2893" i="3"/>
  <c r="D2893" i="3"/>
  <c r="E2893" i="3"/>
  <c r="F2893" i="3"/>
  <c r="G2893" i="3"/>
  <c r="H2893" i="3"/>
  <c r="I2893" i="3"/>
  <c r="J2893" i="3"/>
  <c r="K2893" i="3"/>
  <c r="L2893" i="3"/>
  <c r="A2894" i="3"/>
  <c r="B2894" i="3"/>
  <c r="C2894" i="3"/>
  <c r="D2894" i="3"/>
  <c r="E2894" i="3"/>
  <c r="F2894" i="3"/>
  <c r="G2894" i="3"/>
  <c r="H2894" i="3"/>
  <c r="I2894" i="3"/>
  <c r="J2894" i="3"/>
  <c r="K2894" i="3"/>
  <c r="L2894" i="3"/>
  <c r="A2895" i="3"/>
  <c r="B2895" i="3"/>
  <c r="C2895" i="3"/>
  <c r="D2895" i="3"/>
  <c r="E2895" i="3"/>
  <c r="F2895" i="3"/>
  <c r="G2895" i="3"/>
  <c r="H2895" i="3"/>
  <c r="I2895" i="3"/>
  <c r="J2895" i="3"/>
  <c r="K2895" i="3"/>
  <c r="L2895" i="3"/>
  <c r="A2896" i="3"/>
  <c r="B2896" i="3"/>
  <c r="C2896" i="3"/>
  <c r="D2896" i="3"/>
  <c r="E2896" i="3"/>
  <c r="F2896" i="3"/>
  <c r="G2896" i="3"/>
  <c r="H2896" i="3"/>
  <c r="I2896" i="3"/>
  <c r="J2896" i="3"/>
  <c r="K2896" i="3"/>
  <c r="L2896" i="3"/>
  <c r="A2897" i="3"/>
  <c r="B2897" i="3"/>
  <c r="C2897" i="3"/>
  <c r="D2897" i="3"/>
  <c r="E2897" i="3"/>
  <c r="F2897" i="3"/>
  <c r="G2897" i="3"/>
  <c r="H2897" i="3"/>
  <c r="I2897" i="3"/>
  <c r="J2897" i="3"/>
  <c r="K2897" i="3"/>
  <c r="L2897" i="3"/>
  <c r="A2898" i="3"/>
  <c r="B2898" i="3"/>
  <c r="C2898" i="3"/>
  <c r="D2898" i="3"/>
  <c r="E2898" i="3"/>
  <c r="F2898" i="3"/>
  <c r="G2898" i="3"/>
  <c r="H2898" i="3"/>
  <c r="I2898" i="3"/>
  <c r="J2898" i="3"/>
  <c r="K2898" i="3"/>
  <c r="L2898" i="3"/>
  <c r="A2899" i="3"/>
  <c r="B2899" i="3"/>
  <c r="C2899" i="3"/>
  <c r="D2899" i="3"/>
  <c r="E2899" i="3"/>
  <c r="F2899" i="3"/>
  <c r="G2899" i="3"/>
  <c r="H2899" i="3"/>
  <c r="I2899" i="3"/>
  <c r="J2899" i="3"/>
  <c r="K2899" i="3"/>
  <c r="L2899" i="3"/>
  <c r="A2900" i="3"/>
  <c r="B2900" i="3"/>
  <c r="C2900" i="3"/>
  <c r="D2900" i="3"/>
  <c r="E2900" i="3"/>
  <c r="F2900" i="3"/>
  <c r="G2900" i="3"/>
  <c r="H2900" i="3"/>
  <c r="I2900" i="3"/>
  <c r="J2900" i="3"/>
  <c r="K2900" i="3"/>
  <c r="L2900" i="3"/>
  <c r="A2901" i="3"/>
  <c r="B2901" i="3"/>
  <c r="C2901" i="3"/>
  <c r="D2901" i="3"/>
  <c r="E2901" i="3"/>
  <c r="F2901" i="3"/>
  <c r="G2901" i="3"/>
  <c r="H2901" i="3"/>
  <c r="I2901" i="3"/>
  <c r="J2901" i="3"/>
  <c r="K2901" i="3"/>
  <c r="L2901" i="3"/>
  <c r="A2902" i="3"/>
  <c r="B2902" i="3"/>
  <c r="C2902" i="3"/>
  <c r="D2902" i="3"/>
  <c r="E2902" i="3"/>
  <c r="F2902" i="3"/>
  <c r="G2902" i="3"/>
  <c r="H2902" i="3"/>
  <c r="I2902" i="3"/>
  <c r="J2902" i="3"/>
  <c r="K2902" i="3"/>
  <c r="L2902" i="3"/>
  <c r="A2903" i="3"/>
  <c r="B2903" i="3"/>
  <c r="C2903" i="3"/>
  <c r="D2903" i="3"/>
  <c r="E2903" i="3"/>
  <c r="F2903" i="3"/>
  <c r="G2903" i="3"/>
  <c r="H2903" i="3"/>
  <c r="I2903" i="3"/>
  <c r="J2903" i="3"/>
  <c r="K2903" i="3"/>
  <c r="L2903" i="3"/>
  <c r="A2904" i="3"/>
  <c r="B2904" i="3"/>
  <c r="C2904" i="3"/>
  <c r="D2904" i="3"/>
  <c r="E2904" i="3"/>
  <c r="F2904" i="3"/>
  <c r="G2904" i="3"/>
  <c r="H2904" i="3"/>
  <c r="I2904" i="3"/>
  <c r="J2904" i="3"/>
  <c r="K2904" i="3"/>
  <c r="L2904" i="3"/>
  <c r="A2905" i="3"/>
  <c r="B2905" i="3"/>
  <c r="C2905" i="3"/>
  <c r="D2905" i="3"/>
  <c r="E2905" i="3"/>
  <c r="F2905" i="3"/>
  <c r="G2905" i="3"/>
  <c r="H2905" i="3"/>
  <c r="I2905" i="3"/>
  <c r="J2905" i="3"/>
  <c r="K2905" i="3"/>
  <c r="L2905" i="3"/>
  <c r="A2906" i="3"/>
  <c r="B2906" i="3"/>
  <c r="C2906" i="3"/>
  <c r="D2906" i="3"/>
  <c r="E2906" i="3"/>
  <c r="F2906" i="3"/>
  <c r="G2906" i="3"/>
  <c r="H2906" i="3"/>
  <c r="I2906" i="3"/>
  <c r="J2906" i="3"/>
  <c r="K2906" i="3"/>
  <c r="L2906" i="3"/>
  <c r="A2907" i="3"/>
  <c r="B2907" i="3"/>
  <c r="C2907" i="3"/>
  <c r="D2907" i="3"/>
  <c r="E2907" i="3"/>
  <c r="F2907" i="3"/>
  <c r="G2907" i="3"/>
  <c r="H2907" i="3"/>
  <c r="I2907" i="3"/>
  <c r="J2907" i="3"/>
  <c r="K2907" i="3"/>
  <c r="L2907" i="3"/>
  <c r="A2908" i="3"/>
  <c r="B2908" i="3"/>
  <c r="C2908" i="3"/>
  <c r="D2908" i="3"/>
  <c r="E2908" i="3"/>
  <c r="F2908" i="3"/>
  <c r="G2908" i="3"/>
  <c r="H2908" i="3"/>
  <c r="I2908" i="3"/>
  <c r="J2908" i="3"/>
  <c r="K2908" i="3"/>
  <c r="L2908" i="3"/>
  <c r="A2909" i="3"/>
  <c r="B2909" i="3"/>
  <c r="C2909" i="3"/>
  <c r="D2909" i="3"/>
  <c r="E2909" i="3"/>
  <c r="F2909" i="3"/>
  <c r="G2909" i="3"/>
  <c r="H2909" i="3"/>
  <c r="I2909" i="3"/>
  <c r="J2909" i="3"/>
  <c r="K2909" i="3"/>
  <c r="L2909" i="3"/>
  <c r="A2910" i="3"/>
  <c r="B2910" i="3"/>
  <c r="C2910" i="3"/>
  <c r="D2910" i="3"/>
  <c r="E2910" i="3"/>
  <c r="F2910" i="3"/>
  <c r="G2910" i="3"/>
  <c r="H2910" i="3"/>
  <c r="I2910" i="3"/>
  <c r="J2910" i="3"/>
  <c r="K2910" i="3"/>
  <c r="L2910" i="3"/>
  <c r="A2911" i="3"/>
  <c r="B2911" i="3"/>
  <c r="C2911" i="3"/>
  <c r="D2911" i="3"/>
  <c r="E2911" i="3"/>
  <c r="F2911" i="3"/>
  <c r="G2911" i="3"/>
  <c r="H2911" i="3"/>
  <c r="I2911" i="3"/>
  <c r="J2911" i="3"/>
  <c r="K2911" i="3"/>
  <c r="L2911" i="3"/>
  <c r="A2912" i="3"/>
  <c r="B2912" i="3"/>
  <c r="C2912" i="3"/>
  <c r="D2912" i="3"/>
  <c r="E2912" i="3"/>
  <c r="F2912" i="3"/>
  <c r="G2912" i="3"/>
  <c r="H2912" i="3"/>
  <c r="I2912" i="3"/>
  <c r="J2912" i="3"/>
  <c r="K2912" i="3"/>
  <c r="L2912" i="3"/>
  <c r="A2913" i="3"/>
  <c r="B2913" i="3"/>
  <c r="C2913" i="3"/>
  <c r="D2913" i="3"/>
  <c r="E2913" i="3"/>
  <c r="F2913" i="3"/>
  <c r="G2913" i="3"/>
  <c r="H2913" i="3"/>
  <c r="I2913" i="3"/>
  <c r="J2913" i="3"/>
  <c r="K2913" i="3"/>
  <c r="L2913" i="3"/>
  <c r="A2914" i="3"/>
  <c r="B2914" i="3"/>
  <c r="C2914" i="3"/>
  <c r="D2914" i="3"/>
  <c r="E2914" i="3"/>
  <c r="F2914" i="3"/>
  <c r="G2914" i="3"/>
  <c r="H2914" i="3"/>
  <c r="I2914" i="3"/>
  <c r="J2914" i="3"/>
  <c r="K2914" i="3"/>
  <c r="L2914" i="3"/>
  <c r="A2915" i="3"/>
  <c r="B2915" i="3"/>
  <c r="C2915" i="3"/>
  <c r="D2915" i="3"/>
  <c r="E2915" i="3"/>
  <c r="F2915" i="3"/>
  <c r="G2915" i="3"/>
  <c r="H2915" i="3"/>
  <c r="I2915" i="3"/>
  <c r="J2915" i="3"/>
  <c r="K2915" i="3"/>
  <c r="L2915" i="3"/>
  <c r="A2916" i="3"/>
  <c r="B2916" i="3"/>
  <c r="C2916" i="3"/>
  <c r="D2916" i="3"/>
  <c r="E2916" i="3"/>
  <c r="F2916" i="3"/>
  <c r="G2916" i="3"/>
  <c r="H2916" i="3"/>
  <c r="I2916" i="3"/>
  <c r="J2916" i="3"/>
  <c r="K2916" i="3"/>
  <c r="L2916" i="3"/>
  <c r="A2917" i="3"/>
  <c r="B2917" i="3"/>
  <c r="C2917" i="3"/>
  <c r="D2917" i="3"/>
  <c r="E2917" i="3"/>
  <c r="F2917" i="3"/>
  <c r="G2917" i="3"/>
  <c r="H2917" i="3"/>
  <c r="I2917" i="3"/>
  <c r="J2917" i="3"/>
  <c r="K2917" i="3"/>
  <c r="L2917" i="3"/>
  <c r="A2918" i="3"/>
  <c r="B2918" i="3"/>
  <c r="C2918" i="3"/>
  <c r="D2918" i="3"/>
  <c r="E2918" i="3"/>
  <c r="F2918" i="3"/>
  <c r="G2918" i="3"/>
  <c r="H2918" i="3"/>
  <c r="I2918" i="3"/>
  <c r="J2918" i="3"/>
  <c r="K2918" i="3"/>
  <c r="L2918" i="3"/>
  <c r="A2919" i="3"/>
  <c r="B2919" i="3"/>
  <c r="C2919" i="3"/>
  <c r="D2919" i="3"/>
  <c r="E2919" i="3"/>
  <c r="F2919" i="3"/>
  <c r="G2919" i="3"/>
  <c r="H2919" i="3"/>
  <c r="I2919" i="3"/>
  <c r="J2919" i="3"/>
  <c r="K2919" i="3"/>
  <c r="L2919" i="3"/>
  <c r="A2920" i="3"/>
  <c r="B2920" i="3"/>
  <c r="C2920" i="3"/>
  <c r="D2920" i="3"/>
  <c r="E2920" i="3"/>
  <c r="F2920" i="3"/>
  <c r="G2920" i="3"/>
  <c r="H2920" i="3"/>
  <c r="I2920" i="3"/>
  <c r="J2920" i="3"/>
  <c r="K2920" i="3"/>
  <c r="L2920" i="3"/>
  <c r="A2921" i="3"/>
  <c r="B2921" i="3"/>
  <c r="C2921" i="3"/>
  <c r="D2921" i="3"/>
  <c r="E2921" i="3"/>
  <c r="F2921" i="3"/>
  <c r="G2921" i="3"/>
  <c r="H2921" i="3"/>
  <c r="I2921" i="3"/>
  <c r="J2921" i="3"/>
  <c r="K2921" i="3"/>
  <c r="L2921" i="3"/>
  <c r="A2922" i="3"/>
  <c r="B2922" i="3"/>
  <c r="C2922" i="3"/>
  <c r="D2922" i="3"/>
  <c r="E2922" i="3"/>
  <c r="F2922" i="3"/>
  <c r="G2922" i="3"/>
  <c r="H2922" i="3"/>
  <c r="I2922" i="3"/>
  <c r="J2922" i="3"/>
  <c r="K2922" i="3"/>
  <c r="L2922" i="3"/>
  <c r="A2923" i="3"/>
  <c r="B2923" i="3"/>
  <c r="C2923" i="3"/>
  <c r="D2923" i="3"/>
  <c r="E2923" i="3"/>
  <c r="F2923" i="3"/>
  <c r="G2923" i="3"/>
  <c r="H2923" i="3"/>
  <c r="I2923" i="3"/>
  <c r="J2923" i="3"/>
  <c r="K2923" i="3"/>
  <c r="L2923" i="3"/>
  <c r="A2924" i="3"/>
  <c r="B2924" i="3"/>
  <c r="C2924" i="3"/>
  <c r="D2924" i="3"/>
  <c r="E2924" i="3"/>
  <c r="F2924" i="3"/>
  <c r="G2924" i="3"/>
  <c r="H2924" i="3"/>
  <c r="I2924" i="3"/>
  <c r="J2924" i="3"/>
  <c r="K2924" i="3"/>
  <c r="L2924" i="3"/>
  <c r="A2925" i="3"/>
  <c r="B2925" i="3"/>
  <c r="C2925" i="3"/>
  <c r="D2925" i="3"/>
  <c r="E2925" i="3"/>
  <c r="F2925" i="3"/>
  <c r="G2925" i="3"/>
  <c r="H2925" i="3"/>
  <c r="I2925" i="3"/>
  <c r="J2925" i="3"/>
  <c r="K2925" i="3"/>
  <c r="L2925" i="3"/>
  <c r="A2926" i="3"/>
  <c r="B2926" i="3"/>
  <c r="C2926" i="3"/>
  <c r="D2926" i="3"/>
  <c r="E2926" i="3"/>
  <c r="F2926" i="3"/>
  <c r="G2926" i="3"/>
  <c r="H2926" i="3"/>
  <c r="I2926" i="3"/>
  <c r="J2926" i="3"/>
  <c r="K2926" i="3"/>
  <c r="L2926" i="3"/>
  <c r="A2927" i="3"/>
  <c r="B2927" i="3"/>
  <c r="C2927" i="3"/>
  <c r="D2927" i="3"/>
  <c r="E2927" i="3"/>
  <c r="F2927" i="3"/>
  <c r="G2927" i="3"/>
  <c r="H2927" i="3"/>
  <c r="I2927" i="3"/>
  <c r="J2927" i="3"/>
  <c r="K2927" i="3"/>
  <c r="L2927" i="3"/>
  <c r="A2928" i="3"/>
  <c r="B2928" i="3"/>
  <c r="C2928" i="3"/>
  <c r="D2928" i="3"/>
  <c r="E2928" i="3"/>
  <c r="F2928" i="3"/>
  <c r="G2928" i="3"/>
  <c r="H2928" i="3"/>
  <c r="I2928" i="3"/>
  <c r="J2928" i="3"/>
  <c r="K2928" i="3"/>
  <c r="L2928" i="3"/>
  <c r="A2929" i="3"/>
  <c r="B2929" i="3"/>
  <c r="C2929" i="3"/>
  <c r="D2929" i="3"/>
  <c r="E2929" i="3"/>
  <c r="F2929" i="3"/>
  <c r="G2929" i="3"/>
  <c r="H2929" i="3"/>
  <c r="I2929" i="3"/>
  <c r="J2929" i="3"/>
  <c r="K2929" i="3"/>
  <c r="L2929" i="3"/>
  <c r="A2930" i="3"/>
  <c r="B2930" i="3"/>
  <c r="C2930" i="3"/>
  <c r="D2930" i="3"/>
  <c r="E2930" i="3"/>
  <c r="F2930" i="3"/>
  <c r="G2930" i="3"/>
  <c r="H2930" i="3"/>
  <c r="I2930" i="3"/>
  <c r="J2930" i="3"/>
  <c r="K2930" i="3"/>
  <c r="L2930" i="3"/>
  <c r="A2931" i="3"/>
  <c r="B2931" i="3"/>
  <c r="C2931" i="3"/>
  <c r="D2931" i="3"/>
  <c r="E2931" i="3"/>
  <c r="F2931" i="3"/>
  <c r="G2931" i="3"/>
  <c r="H2931" i="3"/>
  <c r="I2931" i="3"/>
  <c r="J2931" i="3"/>
  <c r="K2931" i="3"/>
  <c r="L2931" i="3"/>
  <c r="A2932" i="3"/>
  <c r="B2932" i="3"/>
  <c r="C2932" i="3"/>
  <c r="D2932" i="3"/>
  <c r="E2932" i="3"/>
  <c r="F2932" i="3"/>
  <c r="G2932" i="3"/>
  <c r="H2932" i="3"/>
  <c r="I2932" i="3"/>
  <c r="J2932" i="3"/>
  <c r="K2932" i="3"/>
  <c r="L2932" i="3"/>
  <c r="A2933" i="3"/>
  <c r="B2933" i="3"/>
  <c r="C2933" i="3"/>
  <c r="D2933" i="3"/>
  <c r="E2933" i="3"/>
  <c r="F2933" i="3"/>
  <c r="G2933" i="3"/>
  <c r="H2933" i="3"/>
  <c r="I2933" i="3"/>
  <c r="J2933" i="3"/>
  <c r="K2933" i="3"/>
  <c r="L2933" i="3"/>
  <c r="A2934" i="3"/>
  <c r="B2934" i="3"/>
  <c r="C2934" i="3"/>
  <c r="D2934" i="3"/>
  <c r="E2934" i="3"/>
  <c r="F2934" i="3"/>
  <c r="G2934" i="3"/>
  <c r="H2934" i="3"/>
  <c r="I2934" i="3"/>
  <c r="J2934" i="3"/>
  <c r="K2934" i="3"/>
  <c r="L2934" i="3"/>
  <c r="A2935" i="3"/>
  <c r="B2935" i="3"/>
  <c r="C2935" i="3"/>
  <c r="D2935" i="3"/>
  <c r="E2935" i="3"/>
  <c r="F2935" i="3"/>
  <c r="G2935" i="3"/>
  <c r="H2935" i="3"/>
  <c r="I2935" i="3"/>
  <c r="J2935" i="3"/>
  <c r="K2935" i="3"/>
  <c r="L2935" i="3"/>
  <c r="A2936" i="3"/>
  <c r="B2936" i="3"/>
  <c r="C2936" i="3"/>
  <c r="D2936" i="3"/>
  <c r="E2936" i="3"/>
  <c r="F2936" i="3"/>
  <c r="G2936" i="3"/>
  <c r="H2936" i="3"/>
  <c r="I2936" i="3"/>
  <c r="J2936" i="3"/>
  <c r="K2936" i="3"/>
  <c r="L2936" i="3"/>
  <c r="A2937" i="3"/>
  <c r="B2937" i="3"/>
  <c r="C2937" i="3"/>
  <c r="D2937" i="3"/>
  <c r="E2937" i="3"/>
  <c r="F2937" i="3"/>
  <c r="G2937" i="3"/>
  <c r="H2937" i="3"/>
  <c r="I2937" i="3"/>
  <c r="J2937" i="3"/>
  <c r="K2937" i="3"/>
  <c r="L2937" i="3"/>
  <c r="A2938" i="3"/>
  <c r="B2938" i="3"/>
  <c r="C2938" i="3"/>
  <c r="D2938" i="3"/>
  <c r="E2938" i="3"/>
  <c r="F2938" i="3"/>
  <c r="G2938" i="3"/>
  <c r="H2938" i="3"/>
  <c r="I2938" i="3"/>
  <c r="J2938" i="3"/>
  <c r="K2938" i="3"/>
  <c r="L2938" i="3"/>
  <c r="A2939" i="3"/>
  <c r="B2939" i="3"/>
  <c r="C2939" i="3"/>
  <c r="D2939" i="3"/>
  <c r="E2939" i="3"/>
  <c r="F2939" i="3"/>
  <c r="G2939" i="3"/>
  <c r="H2939" i="3"/>
  <c r="I2939" i="3"/>
  <c r="J2939" i="3"/>
  <c r="K2939" i="3"/>
  <c r="L2939" i="3"/>
  <c r="A2940" i="3"/>
  <c r="B2940" i="3"/>
  <c r="C2940" i="3"/>
  <c r="D2940" i="3"/>
  <c r="E2940" i="3"/>
  <c r="F2940" i="3"/>
  <c r="G2940" i="3"/>
  <c r="H2940" i="3"/>
  <c r="I2940" i="3"/>
  <c r="J2940" i="3"/>
  <c r="K2940" i="3"/>
  <c r="L2940" i="3"/>
  <c r="A2941" i="3"/>
  <c r="B2941" i="3"/>
  <c r="C2941" i="3"/>
  <c r="D2941" i="3"/>
  <c r="E2941" i="3"/>
  <c r="F2941" i="3"/>
  <c r="G2941" i="3"/>
  <c r="H2941" i="3"/>
  <c r="I2941" i="3"/>
  <c r="J2941" i="3"/>
  <c r="K2941" i="3"/>
  <c r="L2941" i="3"/>
  <c r="A2942" i="3"/>
  <c r="B2942" i="3"/>
  <c r="C2942" i="3"/>
  <c r="D2942" i="3"/>
  <c r="E2942" i="3"/>
  <c r="F2942" i="3"/>
  <c r="G2942" i="3"/>
  <c r="H2942" i="3"/>
  <c r="I2942" i="3"/>
  <c r="J2942" i="3"/>
  <c r="K2942" i="3"/>
  <c r="L2942" i="3"/>
  <c r="A2943" i="3"/>
  <c r="B2943" i="3"/>
  <c r="C2943" i="3"/>
  <c r="D2943" i="3"/>
  <c r="E2943" i="3"/>
  <c r="F2943" i="3"/>
  <c r="G2943" i="3"/>
  <c r="H2943" i="3"/>
  <c r="I2943" i="3"/>
  <c r="J2943" i="3"/>
  <c r="K2943" i="3"/>
  <c r="L2943" i="3"/>
  <c r="A2944" i="3"/>
  <c r="B2944" i="3"/>
  <c r="C2944" i="3"/>
  <c r="D2944" i="3"/>
  <c r="E2944" i="3"/>
  <c r="F2944" i="3"/>
  <c r="G2944" i="3"/>
  <c r="H2944" i="3"/>
  <c r="I2944" i="3"/>
  <c r="J2944" i="3"/>
  <c r="K2944" i="3"/>
  <c r="L2944" i="3"/>
  <c r="A2945" i="3"/>
  <c r="B2945" i="3"/>
  <c r="C2945" i="3"/>
  <c r="D2945" i="3"/>
  <c r="E2945" i="3"/>
  <c r="F2945" i="3"/>
  <c r="G2945" i="3"/>
  <c r="H2945" i="3"/>
  <c r="I2945" i="3"/>
  <c r="J2945" i="3"/>
  <c r="K2945" i="3"/>
  <c r="L2945" i="3"/>
  <c r="A2946" i="3"/>
  <c r="B2946" i="3"/>
  <c r="C2946" i="3"/>
  <c r="D2946" i="3"/>
  <c r="E2946" i="3"/>
  <c r="F2946" i="3"/>
  <c r="G2946" i="3"/>
  <c r="H2946" i="3"/>
  <c r="I2946" i="3"/>
  <c r="J2946" i="3"/>
  <c r="K2946" i="3"/>
  <c r="L2946" i="3"/>
  <c r="A2947" i="3"/>
  <c r="B2947" i="3"/>
  <c r="C2947" i="3"/>
  <c r="D2947" i="3"/>
  <c r="E2947" i="3"/>
  <c r="F2947" i="3"/>
  <c r="G2947" i="3"/>
  <c r="H2947" i="3"/>
  <c r="I2947" i="3"/>
  <c r="J2947" i="3"/>
  <c r="K2947" i="3"/>
  <c r="L2947" i="3"/>
  <c r="A2948" i="3"/>
  <c r="B2948" i="3"/>
  <c r="C2948" i="3"/>
  <c r="D2948" i="3"/>
  <c r="E2948" i="3"/>
  <c r="F2948" i="3"/>
  <c r="G2948" i="3"/>
  <c r="H2948" i="3"/>
  <c r="I2948" i="3"/>
  <c r="J2948" i="3"/>
  <c r="K2948" i="3"/>
  <c r="L2948" i="3"/>
  <c r="A2949" i="3"/>
  <c r="B2949" i="3"/>
  <c r="C2949" i="3"/>
  <c r="D2949" i="3"/>
  <c r="E2949" i="3"/>
  <c r="F2949" i="3"/>
  <c r="G2949" i="3"/>
  <c r="H2949" i="3"/>
  <c r="I2949" i="3"/>
  <c r="J2949" i="3"/>
  <c r="K2949" i="3"/>
  <c r="L2949" i="3"/>
  <c r="A2950" i="3"/>
  <c r="B2950" i="3"/>
  <c r="C2950" i="3"/>
  <c r="D2950" i="3"/>
  <c r="E2950" i="3"/>
  <c r="F2950" i="3"/>
  <c r="G2950" i="3"/>
  <c r="H2950" i="3"/>
  <c r="I2950" i="3"/>
  <c r="J2950" i="3"/>
  <c r="K2950" i="3"/>
  <c r="L2950" i="3"/>
  <c r="A2951" i="3"/>
  <c r="B2951" i="3"/>
  <c r="C2951" i="3"/>
  <c r="D2951" i="3"/>
  <c r="E2951" i="3"/>
  <c r="F2951" i="3"/>
  <c r="G2951" i="3"/>
  <c r="H2951" i="3"/>
  <c r="I2951" i="3"/>
  <c r="J2951" i="3"/>
  <c r="K2951" i="3"/>
  <c r="L2951" i="3"/>
  <c r="A2952" i="3"/>
  <c r="B2952" i="3"/>
  <c r="C2952" i="3"/>
  <c r="D2952" i="3"/>
  <c r="E2952" i="3"/>
  <c r="F2952" i="3"/>
  <c r="G2952" i="3"/>
  <c r="H2952" i="3"/>
  <c r="I2952" i="3"/>
  <c r="J2952" i="3"/>
  <c r="K2952" i="3"/>
  <c r="L2952" i="3"/>
  <c r="A2953" i="3"/>
  <c r="B2953" i="3"/>
  <c r="C2953" i="3"/>
  <c r="D2953" i="3"/>
  <c r="E2953" i="3"/>
  <c r="F2953" i="3"/>
  <c r="G2953" i="3"/>
  <c r="H2953" i="3"/>
  <c r="I2953" i="3"/>
  <c r="J2953" i="3"/>
  <c r="K2953" i="3"/>
  <c r="L2953" i="3"/>
  <c r="A2954" i="3"/>
  <c r="B2954" i="3"/>
  <c r="C2954" i="3"/>
  <c r="D2954" i="3"/>
  <c r="E2954" i="3"/>
  <c r="F2954" i="3"/>
  <c r="G2954" i="3"/>
  <c r="H2954" i="3"/>
  <c r="I2954" i="3"/>
  <c r="J2954" i="3"/>
  <c r="K2954" i="3"/>
  <c r="L2954" i="3"/>
  <c r="A2955" i="3"/>
  <c r="B2955" i="3"/>
  <c r="C2955" i="3"/>
  <c r="D2955" i="3"/>
  <c r="E2955" i="3"/>
  <c r="F2955" i="3"/>
  <c r="G2955" i="3"/>
  <c r="H2955" i="3"/>
  <c r="I2955" i="3"/>
  <c r="J2955" i="3"/>
  <c r="K2955" i="3"/>
  <c r="L2955" i="3"/>
  <c r="A2956" i="3"/>
  <c r="B2956" i="3"/>
  <c r="C2956" i="3"/>
  <c r="D2956" i="3"/>
  <c r="E2956" i="3"/>
  <c r="F2956" i="3"/>
  <c r="G2956" i="3"/>
  <c r="H2956" i="3"/>
  <c r="I2956" i="3"/>
  <c r="J2956" i="3"/>
  <c r="K2956" i="3"/>
  <c r="L2956" i="3"/>
  <c r="A2957" i="3"/>
  <c r="B2957" i="3"/>
  <c r="C2957" i="3"/>
  <c r="D2957" i="3"/>
  <c r="E2957" i="3"/>
  <c r="F2957" i="3"/>
  <c r="G2957" i="3"/>
  <c r="H2957" i="3"/>
  <c r="I2957" i="3"/>
  <c r="J2957" i="3"/>
  <c r="K2957" i="3"/>
  <c r="L2957" i="3"/>
  <c r="A2958" i="3"/>
  <c r="B2958" i="3"/>
  <c r="C2958" i="3"/>
  <c r="D2958" i="3"/>
  <c r="E2958" i="3"/>
  <c r="F2958" i="3"/>
  <c r="G2958" i="3"/>
  <c r="H2958" i="3"/>
  <c r="I2958" i="3"/>
  <c r="J2958" i="3"/>
  <c r="K2958" i="3"/>
  <c r="L2958" i="3"/>
  <c r="A2959" i="3"/>
  <c r="B2959" i="3"/>
  <c r="C2959" i="3"/>
  <c r="D2959" i="3"/>
  <c r="E2959" i="3"/>
  <c r="F2959" i="3"/>
  <c r="G2959" i="3"/>
  <c r="H2959" i="3"/>
  <c r="I2959" i="3"/>
  <c r="J2959" i="3"/>
  <c r="K2959" i="3"/>
  <c r="L2959" i="3"/>
  <c r="A2960" i="3"/>
  <c r="B2960" i="3"/>
  <c r="C2960" i="3"/>
  <c r="D2960" i="3"/>
  <c r="E2960" i="3"/>
  <c r="F2960" i="3"/>
  <c r="G2960" i="3"/>
  <c r="H2960" i="3"/>
  <c r="I2960" i="3"/>
  <c r="J2960" i="3"/>
  <c r="K2960" i="3"/>
  <c r="L2960" i="3"/>
  <c r="A2961" i="3"/>
  <c r="B2961" i="3"/>
  <c r="C2961" i="3"/>
  <c r="D2961" i="3"/>
  <c r="E2961" i="3"/>
  <c r="F2961" i="3"/>
  <c r="G2961" i="3"/>
  <c r="H2961" i="3"/>
  <c r="I2961" i="3"/>
  <c r="J2961" i="3"/>
  <c r="K2961" i="3"/>
  <c r="L2961" i="3"/>
  <c r="A2962" i="3"/>
  <c r="B2962" i="3"/>
  <c r="C2962" i="3"/>
  <c r="D2962" i="3"/>
  <c r="E2962" i="3"/>
  <c r="F2962" i="3"/>
  <c r="G2962" i="3"/>
  <c r="H2962" i="3"/>
  <c r="I2962" i="3"/>
  <c r="J2962" i="3"/>
  <c r="K2962" i="3"/>
  <c r="L2962" i="3"/>
  <c r="A2963" i="3"/>
  <c r="B2963" i="3"/>
  <c r="C2963" i="3"/>
  <c r="D2963" i="3"/>
  <c r="E2963" i="3"/>
  <c r="F2963" i="3"/>
  <c r="G2963" i="3"/>
  <c r="H2963" i="3"/>
  <c r="I2963" i="3"/>
  <c r="J2963" i="3"/>
  <c r="K2963" i="3"/>
  <c r="L2963" i="3"/>
  <c r="A2964" i="3"/>
  <c r="B2964" i="3"/>
  <c r="C2964" i="3"/>
  <c r="D2964" i="3"/>
  <c r="E2964" i="3"/>
  <c r="F2964" i="3"/>
  <c r="G2964" i="3"/>
  <c r="H2964" i="3"/>
  <c r="I2964" i="3"/>
  <c r="J2964" i="3"/>
  <c r="K2964" i="3"/>
  <c r="L2964" i="3"/>
  <c r="A2965" i="3"/>
  <c r="B2965" i="3"/>
  <c r="C2965" i="3"/>
  <c r="D2965" i="3"/>
  <c r="E2965" i="3"/>
  <c r="F2965" i="3"/>
  <c r="G2965" i="3"/>
  <c r="H2965" i="3"/>
  <c r="I2965" i="3"/>
  <c r="J2965" i="3"/>
  <c r="K2965" i="3"/>
  <c r="L2965" i="3"/>
  <c r="A2966" i="3"/>
  <c r="B2966" i="3"/>
  <c r="C2966" i="3"/>
  <c r="D2966" i="3"/>
  <c r="E2966" i="3"/>
  <c r="F2966" i="3"/>
  <c r="G2966" i="3"/>
  <c r="H2966" i="3"/>
  <c r="I2966" i="3"/>
  <c r="J2966" i="3"/>
  <c r="K2966" i="3"/>
  <c r="L2966" i="3"/>
  <c r="A2967" i="3"/>
  <c r="B2967" i="3"/>
  <c r="C2967" i="3"/>
  <c r="D2967" i="3"/>
  <c r="E2967" i="3"/>
  <c r="F2967" i="3"/>
  <c r="G2967" i="3"/>
  <c r="H2967" i="3"/>
  <c r="I2967" i="3"/>
  <c r="J2967" i="3"/>
  <c r="K2967" i="3"/>
  <c r="L2967" i="3"/>
  <c r="A2968" i="3"/>
  <c r="B2968" i="3"/>
  <c r="C2968" i="3"/>
  <c r="D2968" i="3"/>
  <c r="E2968" i="3"/>
  <c r="F2968" i="3"/>
  <c r="G2968" i="3"/>
  <c r="H2968" i="3"/>
  <c r="I2968" i="3"/>
  <c r="J2968" i="3"/>
  <c r="K2968" i="3"/>
  <c r="L2968" i="3"/>
  <c r="A2969" i="3"/>
  <c r="B2969" i="3"/>
  <c r="C2969" i="3"/>
  <c r="D2969" i="3"/>
  <c r="E2969" i="3"/>
  <c r="F2969" i="3"/>
  <c r="G2969" i="3"/>
  <c r="H2969" i="3"/>
  <c r="I2969" i="3"/>
  <c r="J2969" i="3"/>
  <c r="K2969" i="3"/>
  <c r="L2969" i="3"/>
  <c r="A2970" i="3"/>
  <c r="B2970" i="3"/>
  <c r="C2970" i="3"/>
  <c r="D2970" i="3"/>
  <c r="E2970" i="3"/>
  <c r="F2970" i="3"/>
  <c r="G2970" i="3"/>
  <c r="H2970" i="3"/>
  <c r="I2970" i="3"/>
  <c r="J2970" i="3"/>
  <c r="K2970" i="3"/>
  <c r="L2970" i="3"/>
  <c r="A2971" i="3"/>
  <c r="B2971" i="3"/>
  <c r="C2971" i="3"/>
  <c r="D2971" i="3"/>
  <c r="E2971" i="3"/>
  <c r="F2971" i="3"/>
  <c r="G2971" i="3"/>
  <c r="H2971" i="3"/>
  <c r="I2971" i="3"/>
  <c r="J2971" i="3"/>
  <c r="K2971" i="3"/>
  <c r="L2971" i="3"/>
  <c r="A2972" i="3"/>
  <c r="B2972" i="3"/>
  <c r="C2972" i="3"/>
  <c r="D2972" i="3"/>
  <c r="E2972" i="3"/>
  <c r="F2972" i="3"/>
  <c r="G2972" i="3"/>
  <c r="H2972" i="3"/>
  <c r="I2972" i="3"/>
  <c r="J2972" i="3"/>
  <c r="K2972" i="3"/>
  <c r="L2972" i="3"/>
  <c r="A2973" i="3"/>
  <c r="B2973" i="3"/>
  <c r="C2973" i="3"/>
  <c r="D2973" i="3"/>
  <c r="E2973" i="3"/>
  <c r="F2973" i="3"/>
  <c r="G2973" i="3"/>
  <c r="H2973" i="3"/>
  <c r="I2973" i="3"/>
  <c r="J2973" i="3"/>
  <c r="K2973" i="3"/>
  <c r="L2973" i="3"/>
  <c r="A2974" i="3"/>
  <c r="B2974" i="3"/>
  <c r="C2974" i="3"/>
  <c r="D2974" i="3"/>
  <c r="E2974" i="3"/>
  <c r="F2974" i="3"/>
  <c r="G2974" i="3"/>
  <c r="H2974" i="3"/>
  <c r="I2974" i="3"/>
  <c r="J2974" i="3"/>
  <c r="K2974" i="3"/>
  <c r="L2974" i="3"/>
  <c r="A2975" i="3"/>
  <c r="B2975" i="3"/>
  <c r="C2975" i="3"/>
  <c r="D2975" i="3"/>
  <c r="E2975" i="3"/>
  <c r="F2975" i="3"/>
  <c r="G2975" i="3"/>
  <c r="H2975" i="3"/>
  <c r="I2975" i="3"/>
  <c r="J2975" i="3"/>
  <c r="K2975" i="3"/>
  <c r="L2975" i="3"/>
  <c r="A2976" i="3"/>
  <c r="B2976" i="3"/>
  <c r="C2976" i="3"/>
  <c r="D2976" i="3"/>
  <c r="E2976" i="3"/>
  <c r="F2976" i="3"/>
  <c r="G2976" i="3"/>
  <c r="H2976" i="3"/>
  <c r="I2976" i="3"/>
  <c r="J2976" i="3"/>
  <c r="K2976" i="3"/>
  <c r="L2976" i="3"/>
  <c r="A2977" i="3"/>
  <c r="B2977" i="3"/>
  <c r="C2977" i="3"/>
  <c r="D2977" i="3"/>
  <c r="E2977" i="3"/>
  <c r="F2977" i="3"/>
  <c r="G2977" i="3"/>
  <c r="H2977" i="3"/>
  <c r="I2977" i="3"/>
  <c r="J2977" i="3"/>
  <c r="K2977" i="3"/>
  <c r="L2977" i="3"/>
  <c r="A2978" i="3"/>
  <c r="B2978" i="3"/>
  <c r="C2978" i="3"/>
  <c r="D2978" i="3"/>
  <c r="E2978" i="3"/>
  <c r="F2978" i="3"/>
  <c r="G2978" i="3"/>
  <c r="H2978" i="3"/>
  <c r="I2978" i="3"/>
  <c r="J2978" i="3"/>
  <c r="K2978" i="3"/>
  <c r="L2978" i="3"/>
  <c r="A2979" i="3"/>
  <c r="B2979" i="3"/>
  <c r="C2979" i="3"/>
  <c r="D2979" i="3"/>
  <c r="E2979" i="3"/>
  <c r="F2979" i="3"/>
  <c r="G2979" i="3"/>
  <c r="H2979" i="3"/>
  <c r="I2979" i="3"/>
  <c r="J2979" i="3"/>
  <c r="K2979" i="3"/>
  <c r="L2979" i="3"/>
  <c r="A2980" i="3"/>
  <c r="B2980" i="3"/>
  <c r="C2980" i="3"/>
  <c r="D2980" i="3"/>
  <c r="E2980" i="3"/>
  <c r="F2980" i="3"/>
  <c r="G2980" i="3"/>
  <c r="H2980" i="3"/>
  <c r="I2980" i="3"/>
  <c r="J2980" i="3"/>
  <c r="K2980" i="3"/>
  <c r="L2980" i="3"/>
  <c r="A2981" i="3"/>
  <c r="B2981" i="3"/>
  <c r="C2981" i="3"/>
  <c r="D2981" i="3"/>
  <c r="E2981" i="3"/>
  <c r="F2981" i="3"/>
  <c r="G2981" i="3"/>
  <c r="H2981" i="3"/>
  <c r="I2981" i="3"/>
  <c r="J2981" i="3"/>
  <c r="K2981" i="3"/>
  <c r="L2981" i="3"/>
  <c r="A2982" i="3"/>
  <c r="B2982" i="3"/>
  <c r="C2982" i="3"/>
  <c r="D2982" i="3"/>
  <c r="E2982" i="3"/>
  <c r="F2982" i="3"/>
  <c r="G2982" i="3"/>
  <c r="H2982" i="3"/>
  <c r="I2982" i="3"/>
  <c r="J2982" i="3"/>
  <c r="K2982" i="3"/>
  <c r="L2982" i="3"/>
  <c r="A2983" i="3"/>
  <c r="B2983" i="3"/>
  <c r="C2983" i="3"/>
  <c r="D2983" i="3"/>
  <c r="E2983" i="3"/>
  <c r="F2983" i="3"/>
  <c r="G2983" i="3"/>
  <c r="H2983" i="3"/>
  <c r="I2983" i="3"/>
  <c r="J2983" i="3"/>
  <c r="K2983" i="3"/>
  <c r="L2983" i="3"/>
  <c r="A2984" i="3"/>
  <c r="B2984" i="3"/>
  <c r="C2984" i="3"/>
  <c r="D2984" i="3"/>
  <c r="E2984" i="3"/>
  <c r="F2984" i="3"/>
  <c r="G2984" i="3"/>
  <c r="H2984" i="3"/>
  <c r="I2984" i="3"/>
  <c r="J2984" i="3"/>
  <c r="K2984" i="3"/>
  <c r="L2984" i="3"/>
  <c r="A2985" i="3"/>
  <c r="B2985" i="3"/>
  <c r="C2985" i="3"/>
  <c r="D2985" i="3"/>
  <c r="E2985" i="3"/>
  <c r="F2985" i="3"/>
  <c r="G2985" i="3"/>
  <c r="H2985" i="3"/>
  <c r="I2985" i="3"/>
  <c r="J2985" i="3"/>
  <c r="K2985" i="3"/>
  <c r="L2985" i="3"/>
  <c r="A2986" i="3"/>
  <c r="B2986" i="3"/>
  <c r="C2986" i="3"/>
  <c r="D2986" i="3"/>
  <c r="E2986" i="3"/>
  <c r="F2986" i="3"/>
  <c r="G2986" i="3"/>
  <c r="H2986" i="3"/>
  <c r="I2986" i="3"/>
  <c r="J2986" i="3"/>
  <c r="K2986" i="3"/>
  <c r="L2986" i="3"/>
  <c r="A2987" i="3"/>
  <c r="B2987" i="3"/>
  <c r="C2987" i="3"/>
  <c r="D2987" i="3"/>
  <c r="E2987" i="3"/>
  <c r="F2987" i="3"/>
  <c r="G2987" i="3"/>
  <c r="H2987" i="3"/>
  <c r="I2987" i="3"/>
  <c r="J2987" i="3"/>
  <c r="K2987" i="3"/>
  <c r="L2987" i="3"/>
  <c r="A2988" i="3"/>
  <c r="B2988" i="3"/>
  <c r="C2988" i="3"/>
  <c r="D2988" i="3"/>
  <c r="E2988" i="3"/>
  <c r="F2988" i="3"/>
  <c r="G2988" i="3"/>
  <c r="H2988" i="3"/>
  <c r="I2988" i="3"/>
  <c r="J2988" i="3"/>
  <c r="K2988" i="3"/>
  <c r="L2988" i="3"/>
  <c r="A2989" i="3"/>
  <c r="B2989" i="3"/>
  <c r="C2989" i="3"/>
  <c r="D2989" i="3"/>
  <c r="E2989" i="3"/>
  <c r="F2989" i="3"/>
  <c r="G2989" i="3"/>
  <c r="H2989" i="3"/>
  <c r="I2989" i="3"/>
  <c r="J2989" i="3"/>
  <c r="K2989" i="3"/>
  <c r="L2989" i="3"/>
  <c r="A2990" i="3"/>
  <c r="B2990" i="3"/>
  <c r="C2990" i="3"/>
  <c r="D2990" i="3"/>
  <c r="E2990" i="3"/>
  <c r="F2990" i="3"/>
  <c r="G2990" i="3"/>
  <c r="H2990" i="3"/>
  <c r="I2990" i="3"/>
  <c r="J2990" i="3"/>
  <c r="K2990" i="3"/>
  <c r="L2990" i="3"/>
  <c r="A2991" i="3"/>
  <c r="B2991" i="3"/>
  <c r="C2991" i="3"/>
  <c r="D2991" i="3"/>
  <c r="E2991" i="3"/>
  <c r="F2991" i="3"/>
  <c r="G2991" i="3"/>
  <c r="H2991" i="3"/>
  <c r="I2991" i="3"/>
  <c r="J2991" i="3"/>
  <c r="K2991" i="3"/>
  <c r="L2991" i="3"/>
  <c r="A2992" i="3"/>
  <c r="B2992" i="3"/>
  <c r="C2992" i="3"/>
  <c r="D2992" i="3"/>
  <c r="E2992" i="3"/>
  <c r="F2992" i="3"/>
  <c r="G2992" i="3"/>
  <c r="H2992" i="3"/>
  <c r="I2992" i="3"/>
  <c r="J2992" i="3"/>
  <c r="K2992" i="3"/>
  <c r="L2992" i="3"/>
  <c r="A2993" i="3"/>
  <c r="B2993" i="3"/>
  <c r="C2993" i="3"/>
  <c r="D2993" i="3"/>
  <c r="E2993" i="3"/>
  <c r="F2993" i="3"/>
  <c r="G2993" i="3"/>
  <c r="H2993" i="3"/>
  <c r="I2993" i="3"/>
  <c r="J2993" i="3"/>
  <c r="K2993" i="3"/>
  <c r="L2993" i="3"/>
  <c r="A2994" i="3"/>
  <c r="B2994" i="3"/>
  <c r="C2994" i="3"/>
  <c r="D2994" i="3"/>
  <c r="E2994" i="3"/>
  <c r="F2994" i="3"/>
  <c r="G2994" i="3"/>
  <c r="H2994" i="3"/>
  <c r="I2994" i="3"/>
  <c r="J2994" i="3"/>
  <c r="K2994" i="3"/>
  <c r="L2994" i="3"/>
  <c r="A2995" i="3"/>
  <c r="B2995" i="3"/>
  <c r="C2995" i="3"/>
  <c r="D2995" i="3"/>
  <c r="E2995" i="3"/>
  <c r="F2995" i="3"/>
  <c r="G2995" i="3"/>
  <c r="H2995" i="3"/>
  <c r="I2995" i="3"/>
  <c r="J2995" i="3"/>
  <c r="K2995" i="3"/>
  <c r="L2995" i="3"/>
  <c r="A2996" i="3"/>
  <c r="B2996" i="3"/>
  <c r="C2996" i="3"/>
  <c r="D2996" i="3"/>
  <c r="E2996" i="3"/>
  <c r="F2996" i="3"/>
  <c r="G2996" i="3"/>
  <c r="H2996" i="3"/>
  <c r="I2996" i="3"/>
  <c r="J2996" i="3"/>
  <c r="K2996" i="3"/>
  <c r="L2996" i="3"/>
  <c r="A2997" i="3"/>
  <c r="B2997" i="3"/>
  <c r="C2997" i="3"/>
  <c r="D2997" i="3"/>
  <c r="E2997" i="3"/>
  <c r="F2997" i="3"/>
  <c r="G2997" i="3"/>
  <c r="H2997" i="3"/>
  <c r="I2997" i="3"/>
  <c r="J2997" i="3"/>
  <c r="K2997" i="3"/>
  <c r="L2997" i="3"/>
  <c r="A2998" i="3"/>
  <c r="B2998" i="3"/>
  <c r="C2998" i="3"/>
  <c r="D2998" i="3"/>
  <c r="E2998" i="3"/>
  <c r="F2998" i="3"/>
  <c r="G2998" i="3"/>
  <c r="H2998" i="3"/>
  <c r="I2998" i="3"/>
  <c r="J2998" i="3"/>
  <c r="K2998" i="3"/>
  <c r="L2998" i="3"/>
  <c r="A2999" i="3"/>
  <c r="B2999" i="3"/>
  <c r="C2999" i="3"/>
  <c r="D2999" i="3"/>
  <c r="E2999" i="3"/>
  <c r="F2999" i="3"/>
  <c r="G2999" i="3"/>
  <c r="H2999" i="3"/>
  <c r="I2999" i="3"/>
  <c r="J2999" i="3"/>
  <c r="K2999" i="3"/>
  <c r="L2999" i="3"/>
  <c r="A3000" i="3"/>
  <c r="B3000" i="3"/>
  <c r="C3000" i="3"/>
  <c r="D3000" i="3"/>
  <c r="E3000" i="3"/>
  <c r="F3000" i="3"/>
  <c r="G3000" i="3"/>
  <c r="H3000" i="3"/>
  <c r="I3000" i="3"/>
  <c r="J3000" i="3"/>
  <c r="K3000" i="3"/>
  <c r="L3000" i="3"/>
  <c r="A3001" i="3"/>
  <c r="B3001" i="3"/>
  <c r="C3001" i="3"/>
  <c r="D3001" i="3"/>
  <c r="E3001" i="3"/>
  <c r="F3001" i="3"/>
  <c r="G3001" i="3"/>
  <c r="H3001" i="3"/>
  <c r="I3001" i="3"/>
  <c r="J3001" i="3"/>
  <c r="K3001" i="3"/>
  <c r="L3001" i="3"/>
  <c r="A3002" i="3"/>
  <c r="B3002" i="3"/>
  <c r="C3002" i="3"/>
  <c r="D3002" i="3"/>
  <c r="E3002" i="3"/>
  <c r="F3002" i="3"/>
  <c r="G3002" i="3"/>
  <c r="H3002" i="3"/>
  <c r="I3002" i="3"/>
  <c r="J3002" i="3"/>
  <c r="K3002" i="3"/>
  <c r="L3002" i="3"/>
  <c r="A3003" i="3"/>
  <c r="B3003" i="3"/>
  <c r="C3003" i="3"/>
  <c r="D3003" i="3"/>
  <c r="E3003" i="3"/>
  <c r="F3003" i="3"/>
  <c r="G3003" i="3"/>
  <c r="H3003" i="3"/>
  <c r="I3003" i="3"/>
  <c r="J3003" i="3"/>
  <c r="K3003" i="3"/>
  <c r="L3003" i="3"/>
  <c r="A3004" i="3"/>
  <c r="B3004" i="3"/>
  <c r="C3004" i="3"/>
  <c r="D3004" i="3"/>
  <c r="E3004" i="3"/>
  <c r="F3004" i="3"/>
  <c r="G3004" i="3"/>
  <c r="H3004" i="3"/>
  <c r="I3004" i="3"/>
  <c r="J3004" i="3"/>
  <c r="K3004" i="3"/>
  <c r="L3004" i="3"/>
  <c r="A3005" i="3"/>
  <c r="B3005" i="3"/>
  <c r="C3005" i="3"/>
  <c r="D3005" i="3"/>
  <c r="E3005" i="3"/>
  <c r="F3005" i="3"/>
  <c r="G3005" i="3"/>
  <c r="H3005" i="3"/>
  <c r="I3005" i="3"/>
  <c r="J3005" i="3"/>
  <c r="K3005" i="3"/>
  <c r="L3005" i="3"/>
  <c r="A3006" i="3"/>
  <c r="B3006" i="3"/>
  <c r="C3006" i="3"/>
  <c r="D3006" i="3"/>
  <c r="E3006" i="3"/>
  <c r="F3006" i="3"/>
  <c r="G3006" i="3"/>
  <c r="H3006" i="3"/>
  <c r="I3006" i="3"/>
  <c r="J3006" i="3"/>
  <c r="K3006" i="3"/>
  <c r="L3006" i="3"/>
  <c r="A3007" i="3"/>
  <c r="B3007" i="3"/>
  <c r="C3007" i="3"/>
  <c r="D3007" i="3"/>
  <c r="E3007" i="3"/>
  <c r="F3007" i="3"/>
  <c r="G3007" i="3"/>
  <c r="H3007" i="3"/>
  <c r="I3007" i="3"/>
  <c r="J3007" i="3"/>
  <c r="K3007" i="3"/>
  <c r="L3007" i="3"/>
  <c r="A3008" i="3"/>
  <c r="B3008" i="3"/>
  <c r="C3008" i="3"/>
  <c r="D3008" i="3"/>
  <c r="E3008" i="3"/>
  <c r="F3008" i="3"/>
  <c r="G3008" i="3"/>
  <c r="H3008" i="3"/>
  <c r="I3008" i="3"/>
  <c r="J3008" i="3"/>
  <c r="K3008" i="3"/>
  <c r="L3008" i="3"/>
  <c r="A3009" i="3"/>
  <c r="B3009" i="3"/>
  <c r="C3009" i="3"/>
  <c r="D3009" i="3"/>
  <c r="E3009" i="3"/>
  <c r="F3009" i="3"/>
  <c r="G3009" i="3"/>
  <c r="H3009" i="3"/>
  <c r="I3009" i="3"/>
  <c r="J3009" i="3"/>
  <c r="K3009" i="3"/>
  <c r="L3009" i="3"/>
  <c r="A3010" i="3"/>
  <c r="B3010" i="3"/>
  <c r="C3010" i="3"/>
  <c r="D3010" i="3"/>
  <c r="E3010" i="3"/>
  <c r="F3010" i="3"/>
  <c r="G3010" i="3"/>
  <c r="H3010" i="3"/>
  <c r="I3010" i="3"/>
  <c r="J3010" i="3"/>
  <c r="K3010" i="3"/>
  <c r="L3010" i="3"/>
  <c r="A3011" i="3"/>
  <c r="B3011" i="3"/>
  <c r="C3011" i="3"/>
  <c r="D3011" i="3"/>
  <c r="E3011" i="3"/>
  <c r="F3011" i="3"/>
  <c r="G3011" i="3"/>
  <c r="H3011" i="3"/>
  <c r="I3011" i="3"/>
  <c r="J3011" i="3"/>
  <c r="K3011" i="3"/>
  <c r="L3011" i="3"/>
  <c r="A3012" i="3"/>
  <c r="B3012" i="3"/>
  <c r="C3012" i="3"/>
  <c r="D3012" i="3"/>
  <c r="E3012" i="3"/>
  <c r="F3012" i="3"/>
  <c r="G3012" i="3"/>
  <c r="H3012" i="3"/>
  <c r="I3012" i="3"/>
  <c r="J3012" i="3"/>
  <c r="K3012" i="3"/>
  <c r="L3012" i="3"/>
  <c r="A3013" i="3"/>
  <c r="B3013" i="3"/>
  <c r="C3013" i="3"/>
  <c r="D3013" i="3"/>
  <c r="E3013" i="3"/>
  <c r="F3013" i="3"/>
  <c r="G3013" i="3"/>
  <c r="H3013" i="3"/>
  <c r="I3013" i="3"/>
  <c r="J3013" i="3"/>
  <c r="K3013" i="3"/>
  <c r="L3013" i="3"/>
  <c r="A3014" i="3"/>
  <c r="B3014" i="3"/>
  <c r="C3014" i="3"/>
  <c r="D3014" i="3"/>
  <c r="E3014" i="3"/>
  <c r="F3014" i="3"/>
  <c r="G3014" i="3"/>
  <c r="H3014" i="3"/>
  <c r="I3014" i="3"/>
  <c r="J3014" i="3"/>
  <c r="K3014" i="3"/>
  <c r="L3014" i="3"/>
  <c r="A3015" i="3"/>
  <c r="B3015" i="3"/>
  <c r="C3015" i="3"/>
  <c r="D3015" i="3"/>
  <c r="E3015" i="3"/>
  <c r="F3015" i="3"/>
  <c r="G3015" i="3"/>
  <c r="H3015" i="3"/>
  <c r="I3015" i="3"/>
  <c r="J3015" i="3"/>
  <c r="K3015" i="3"/>
  <c r="L3015" i="3"/>
  <c r="A3016" i="3"/>
  <c r="B3016" i="3"/>
  <c r="C3016" i="3"/>
  <c r="D3016" i="3"/>
  <c r="E3016" i="3"/>
  <c r="F3016" i="3"/>
  <c r="G3016" i="3"/>
  <c r="H3016" i="3"/>
  <c r="I3016" i="3"/>
  <c r="J3016" i="3"/>
  <c r="K3016" i="3"/>
  <c r="L3016" i="3"/>
  <c r="A3017" i="3"/>
  <c r="B3017" i="3"/>
  <c r="C3017" i="3"/>
  <c r="D3017" i="3"/>
  <c r="E3017" i="3"/>
  <c r="F3017" i="3"/>
  <c r="G3017" i="3"/>
  <c r="H3017" i="3"/>
  <c r="I3017" i="3"/>
  <c r="J3017" i="3"/>
  <c r="K3017" i="3"/>
  <c r="L3017" i="3"/>
  <c r="A3018" i="3"/>
  <c r="B3018" i="3"/>
  <c r="C3018" i="3"/>
  <c r="D3018" i="3"/>
  <c r="E3018" i="3"/>
  <c r="F3018" i="3"/>
  <c r="G3018" i="3"/>
  <c r="H3018" i="3"/>
  <c r="I3018" i="3"/>
  <c r="J3018" i="3"/>
  <c r="K3018" i="3"/>
  <c r="L3018" i="3"/>
  <c r="A3019" i="3"/>
  <c r="B3019" i="3"/>
  <c r="C3019" i="3"/>
  <c r="D3019" i="3"/>
  <c r="E3019" i="3"/>
  <c r="F3019" i="3"/>
  <c r="G3019" i="3"/>
  <c r="H3019" i="3"/>
  <c r="I3019" i="3"/>
  <c r="J3019" i="3"/>
  <c r="K3019" i="3"/>
  <c r="L3019" i="3"/>
  <c r="A3020" i="3"/>
  <c r="B3020" i="3"/>
  <c r="C3020" i="3"/>
  <c r="D3020" i="3"/>
  <c r="E3020" i="3"/>
  <c r="F3020" i="3"/>
  <c r="G3020" i="3"/>
  <c r="H3020" i="3"/>
  <c r="I3020" i="3"/>
  <c r="J3020" i="3"/>
  <c r="K3020" i="3"/>
  <c r="L3020" i="3"/>
  <c r="A3021" i="3"/>
  <c r="B3021" i="3"/>
  <c r="C3021" i="3"/>
  <c r="D3021" i="3"/>
  <c r="E3021" i="3"/>
  <c r="F3021" i="3"/>
  <c r="G3021" i="3"/>
  <c r="H3021" i="3"/>
  <c r="I3021" i="3"/>
  <c r="J3021" i="3"/>
  <c r="K3021" i="3"/>
  <c r="L3021" i="3"/>
  <c r="A3022" i="3"/>
  <c r="B3022" i="3"/>
  <c r="C3022" i="3"/>
  <c r="D3022" i="3"/>
  <c r="E3022" i="3"/>
  <c r="F3022" i="3"/>
  <c r="G3022" i="3"/>
  <c r="H3022" i="3"/>
  <c r="I3022" i="3"/>
  <c r="J3022" i="3"/>
  <c r="K3022" i="3"/>
  <c r="L3022" i="3"/>
  <c r="A3023" i="3"/>
  <c r="B3023" i="3"/>
  <c r="C3023" i="3"/>
  <c r="D3023" i="3"/>
  <c r="E3023" i="3"/>
  <c r="F3023" i="3"/>
  <c r="G3023" i="3"/>
  <c r="H3023" i="3"/>
  <c r="I3023" i="3"/>
  <c r="J3023" i="3"/>
  <c r="K3023" i="3"/>
  <c r="L3023" i="3"/>
  <c r="A3024" i="3"/>
  <c r="B3024" i="3"/>
  <c r="C3024" i="3"/>
  <c r="D3024" i="3"/>
  <c r="E3024" i="3"/>
  <c r="F3024" i="3"/>
  <c r="G3024" i="3"/>
  <c r="H3024" i="3"/>
  <c r="I3024" i="3"/>
  <c r="J3024" i="3"/>
  <c r="K3024" i="3"/>
  <c r="L3024" i="3"/>
  <c r="A3025" i="3"/>
  <c r="B3025" i="3"/>
  <c r="C3025" i="3"/>
  <c r="D3025" i="3"/>
  <c r="E3025" i="3"/>
  <c r="F3025" i="3"/>
  <c r="G3025" i="3"/>
  <c r="H3025" i="3"/>
  <c r="I3025" i="3"/>
  <c r="J3025" i="3"/>
  <c r="K3025" i="3"/>
  <c r="L3025" i="3"/>
  <c r="A3026" i="3"/>
  <c r="B3026" i="3"/>
  <c r="C3026" i="3"/>
  <c r="D3026" i="3"/>
  <c r="E3026" i="3"/>
  <c r="F3026" i="3"/>
  <c r="G3026" i="3"/>
  <c r="H3026" i="3"/>
  <c r="I3026" i="3"/>
  <c r="J3026" i="3"/>
  <c r="K3026" i="3"/>
  <c r="L3026" i="3"/>
  <c r="A3027" i="3"/>
  <c r="B3027" i="3"/>
  <c r="C3027" i="3"/>
  <c r="D3027" i="3"/>
  <c r="E3027" i="3"/>
  <c r="F3027" i="3"/>
  <c r="G3027" i="3"/>
  <c r="H3027" i="3"/>
  <c r="I3027" i="3"/>
  <c r="J3027" i="3"/>
  <c r="K3027" i="3"/>
  <c r="L3027" i="3"/>
  <c r="A3028" i="3"/>
  <c r="B3028" i="3"/>
  <c r="C3028" i="3"/>
  <c r="D3028" i="3"/>
  <c r="E3028" i="3"/>
  <c r="F3028" i="3"/>
  <c r="G3028" i="3"/>
  <c r="H3028" i="3"/>
  <c r="I3028" i="3"/>
  <c r="J3028" i="3"/>
  <c r="K3028" i="3"/>
  <c r="L3028" i="3"/>
  <c r="A3029" i="3"/>
  <c r="B3029" i="3"/>
  <c r="C3029" i="3"/>
  <c r="D3029" i="3"/>
  <c r="E3029" i="3"/>
  <c r="F3029" i="3"/>
  <c r="G3029" i="3"/>
  <c r="H3029" i="3"/>
  <c r="I3029" i="3"/>
  <c r="J3029" i="3"/>
  <c r="K3029" i="3"/>
  <c r="L3029" i="3"/>
  <c r="A3030" i="3"/>
  <c r="B3030" i="3"/>
  <c r="C3030" i="3"/>
  <c r="D3030" i="3"/>
  <c r="E3030" i="3"/>
  <c r="F3030" i="3"/>
  <c r="G3030" i="3"/>
  <c r="H3030" i="3"/>
  <c r="I3030" i="3"/>
  <c r="J3030" i="3"/>
  <c r="K3030" i="3"/>
  <c r="L3030" i="3"/>
  <c r="A3031" i="3"/>
  <c r="B3031" i="3"/>
  <c r="C3031" i="3"/>
  <c r="D3031" i="3"/>
  <c r="E3031" i="3"/>
  <c r="F3031" i="3"/>
  <c r="G3031" i="3"/>
  <c r="H3031" i="3"/>
  <c r="I3031" i="3"/>
  <c r="J3031" i="3"/>
  <c r="K3031" i="3"/>
  <c r="L3031" i="3"/>
  <c r="A3032" i="3"/>
  <c r="B3032" i="3"/>
  <c r="C3032" i="3"/>
  <c r="D3032" i="3"/>
  <c r="E3032" i="3"/>
  <c r="F3032" i="3"/>
  <c r="G3032" i="3"/>
  <c r="H3032" i="3"/>
  <c r="I3032" i="3"/>
  <c r="J3032" i="3"/>
  <c r="K3032" i="3"/>
  <c r="L3032" i="3"/>
  <c r="A3033" i="3"/>
  <c r="B3033" i="3"/>
  <c r="C3033" i="3"/>
  <c r="D3033" i="3"/>
  <c r="E3033" i="3"/>
  <c r="F3033" i="3"/>
  <c r="G3033" i="3"/>
  <c r="H3033" i="3"/>
  <c r="I3033" i="3"/>
  <c r="J3033" i="3"/>
  <c r="K3033" i="3"/>
  <c r="L3033" i="3"/>
  <c r="A3034" i="3"/>
  <c r="B3034" i="3"/>
  <c r="C3034" i="3"/>
  <c r="D3034" i="3"/>
  <c r="E3034" i="3"/>
  <c r="F3034" i="3"/>
  <c r="G3034" i="3"/>
  <c r="H3034" i="3"/>
  <c r="I3034" i="3"/>
  <c r="J3034" i="3"/>
  <c r="K3034" i="3"/>
  <c r="L3034" i="3"/>
  <c r="A3035" i="3"/>
  <c r="B3035" i="3"/>
  <c r="C3035" i="3"/>
  <c r="D3035" i="3"/>
  <c r="E3035" i="3"/>
  <c r="F3035" i="3"/>
  <c r="G3035" i="3"/>
  <c r="H3035" i="3"/>
  <c r="I3035" i="3"/>
  <c r="J3035" i="3"/>
  <c r="K3035" i="3"/>
  <c r="L3035" i="3"/>
  <c r="A3036" i="3"/>
  <c r="B3036" i="3"/>
  <c r="C3036" i="3"/>
  <c r="D3036" i="3"/>
  <c r="E3036" i="3"/>
  <c r="F3036" i="3"/>
  <c r="G3036" i="3"/>
  <c r="H3036" i="3"/>
  <c r="I3036" i="3"/>
  <c r="J3036" i="3"/>
  <c r="K3036" i="3"/>
  <c r="L3036" i="3"/>
  <c r="A3037" i="3"/>
  <c r="B3037" i="3"/>
  <c r="C3037" i="3"/>
  <c r="D3037" i="3"/>
  <c r="E3037" i="3"/>
  <c r="F3037" i="3"/>
  <c r="G3037" i="3"/>
  <c r="H3037" i="3"/>
  <c r="I3037" i="3"/>
  <c r="J3037" i="3"/>
  <c r="K3037" i="3"/>
  <c r="L3037" i="3"/>
  <c r="A3038" i="3"/>
  <c r="B3038" i="3"/>
  <c r="C3038" i="3"/>
  <c r="D3038" i="3"/>
  <c r="E3038" i="3"/>
  <c r="F3038" i="3"/>
  <c r="G3038" i="3"/>
  <c r="H3038" i="3"/>
  <c r="I3038" i="3"/>
  <c r="J3038" i="3"/>
  <c r="K3038" i="3"/>
  <c r="L3038" i="3"/>
  <c r="A3039" i="3"/>
  <c r="B3039" i="3"/>
  <c r="C3039" i="3"/>
  <c r="D3039" i="3"/>
  <c r="E3039" i="3"/>
  <c r="F3039" i="3"/>
  <c r="G3039" i="3"/>
  <c r="H3039" i="3"/>
  <c r="I3039" i="3"/>
  <c r="J3039" i="3"/>
  <c r="K3039" i="3"/>
  <c r="L3039" i="3"/>
  <c r="A3040" i="3"/>
  <c r="B3040" i="3"/>
  <c r="C3040" i="3"/>
  <c r="D3040" i="3"/>
  <c r="E3040" i="3"/>
  <c r="F3040" i="3"/>
  <c r="G3040" i="3"/>
  <c r="H3040" i="3"/>
  <c r="I3040" i="3"/>
  <c r="J3040" i="3"/>
  <c r="K3040" i="3"/>
  <c r="L3040" i="3"/>
  <c r="A3041" i="3"/>
  <c r="B3041" i="3"/>
  <c r="C3041" i="3"/>
  <c r="D3041" i="3"/>
  <c r="E3041" i="3"/>
  <c r="F3041" i="3"/>
  <c r="G3041" i="3"/>
  <c r="H3041" i="3"/>
  <c r="I3041" i="3"/>
  <c r="J3041" i="3"/>
  <c r="K3041" i="3"/>
  <c r="L3041" i="3"/>
  <c r="A3042" i="3"/>
  <c r="B3042" i="3"/>
  <c r="C3042" i="3"/>
  <c r="D3042" i="3"/>
  <c r="E3042" i="3"/>
  <c r="F3042" i="3"/>
  <c r="G3042" i="3"/>
  <c r="H3042" i="3"/>
  <c r="I3042" i="3"/>
  <c r="J3042" i="3"/>
  <c r="K3042" i="3"/>
  <c r="L3042" i="3"/>
  <c r="A3043" i="3"/>
  <c r="B3043" i="3"/>
  <c r="C3043" i="3"/>
  <c r="D3043" i="3"/>
  <c r="E3043" i="3"/>
  <c r="F3043" i="3"/>
  <c r="G3043" i="3"/>
  <c r="H3043" i="3"/>
  <c r="I3043" i="3"/>
  <c r="J3043" i="3"/>
  <c r="K3043" i="3"/>
  <c r="L3043" i="3"/>
  <c r="A3044" i="3"/>
  <c r="B3044" i="3"/>
  <c r="C3044" i="3"/>
  <c r="D3044" i="3"/>
  <c r="E3044" i="3"/>
  <c r="F3044" i="3"/>
  <c r="G3044" i="3"/>
  <c r="H3044" i="3"/>
  <c r="I3044" i="3"/>
  <c r="J3044" i="3"/>
  <c r="K3044" i="3"/>
  <c r="L3044" i="3"/>
  <c r="A3045" i="3"/>
  <c r="B3045" i="3"/>
  <c r="C3045" i="3"/>
  <c r="D3045" i="3"/>
  <c r="E3045" i="3"/>
  <c r="F3045" i="3"/>
  <c r="G3045" i="3"/>
  <c r="H3045" i="3"/>
  <c r="I3045" i="3"/>
  <c r="J3045" i="3"/>
  <c r="K3045" i="3"/>
  <c r="L3045" i="3"/>
  <c r="A3046" i="3"/>
  <c r="B3046" i="3"/>
  <c r="C3046" i="3"/>
  <c r="D3046" i="3"/>
  <c r="E3046" i="3"/>
  <c r="F3046" i="3"/>
  <c r="G3046" i="3"/>
  <c r="H3046" i="3"/>
  <c r="I3046" i="3"/>
  <c r="J3046" i="3"/>
  <c r="K3046" i="3"/>
  <c r="L3046" i="3"/>
  <c r="A3047" i="3"/>
  <c r="B3047" i="3"/>
  <c r="C3047" i="3"/>
  <c r="D3047" i="3"/>
  <c r="E3047" i="3"/>
  <c r="F3047" i="3"/>
  <c r="G3047" i="3"/>
  <c r="H3047" i="3"/>
  <c r="I3047" i="3"/>
  <c r="J3047" i="3"/>
  <c r="K3047" i="3"/>
  <c r="L3047" i="3"/>
  <c r="A3048" i="3"/>
  <c r="B3048" i="3"/>
  <c r="C3048" i="3"/>
  <c r="D3048" i="3"/>
  <c r="E3048" i="3"/>
  <c r="F3048" i="3"/>
  <c r="G3048" i="3"/>
  <c r="H3048" i="3"/>
  <c r="I3048" i="3"/>
  <c r="J3048" i="3"/>
  <c r="K3048" i="3"/>
  <c r="L3048" i="3"/>
  <c r="A3049" i="3"/>
  <c r="B3049" i="3"/>
  <c r="C3049" i="3"/>
  <c r="D3049" i="3"/>
  <c r="E3049" i="3"/>
  <c r="F3049" i="3"/>
  <c r="G3049" i="3"/>
  <c r="H3049" i="3"/>
  <c r="I3049" i="3"/>
  <c r="J3049" i="3"/>
  <c r="K3049" i="3"/>
  <c r="L3049" i="3"/>
  <c r="A3050" i="3"/>
  <c r="B3050" i="3"/>
  <c r="C3050" i="3"/>
  <c r="D3050" i="3"/>
  <c r="E3050" i="3"/>
  <c r="F3050" i="3"/>
  <c r="G3050" i="3"/>
  <c r="H3050" i="3"/>
  <c r="I3050" i="3"/>
  <c r="J3050" i="3"/>
  <c r="K3050" i="3"/>
  <c r="L3050" i="3"/>
  <c r="A3051" i="3"/>
  <c r="B3051" i="3"/>
  <c r="C3051" i="3"/>
  <c r="D3051" i="3"/>
  <c r="E3051" i="3"/>
  <c r="F3051" i="3"/>
  <c r="G3051" i="3"/>
  <c r="H3051" i="3"/>
  <c r="I3051" i="3"/>
  <c r="J3051" i="3"/>
  <c r="K3051" i="3"/>
  <c r="L3051" i="3"/>
  <c r="A3052" i="3"/>
  <c r="B3052" i="3"/>
  <c r="C3052" i="3"/>
  <c r="D3052" i="3"/>
  <c r="E3052" i="3"/>
  <c r="F3052" i="3"/>
  <c r="G3052" i="3"/>
  <c r="H3052" i="3"/>
  <c r="I3052" i="3"/>
  <c r="J3052" i="3"/>
  <c r="K3052" i="3"/>
  <c r="L3052" i="3"/>
  <c r="A3053" i="3"/>
  <c r="B3053" i="3"/>
  <c r="C3053" i="3"/>
  <c r="D3053" i="3"/>
  <c r="E3053" i="3"/>
  <c r="F3053" i="3"/>
  <c r="G3053" i="3"/>
  <c r="H3053" i="3"/>
  <c r="I3053" i="3"/>
  <c r="J3053" i="3"/>
  <c r="K3053" i="3"/>
  <c r="L3053" i="3"/>
  <c r="A3054" i="3"/>
  <c r="B3054" i="3"/>
  <c r="C3054" i="3"/>
  <c r="D3054" i="3"/>
  <c r="E3054" i="3"/>
  <c r="F3054" i="3"/>
  <c r="G3054" i="3"/>
  <c r="H3054" i="3"/>
  <c r="I3054" i="3"/>
  <c r="J3054" i="3"/>
  <c r="K3054" i="3"/>
  <c r="L3054" i="3"/>
  <c r="A3055" i="3"/>
  <c r="B3055" i="3"/>
  <c r="C3055" i="3"/>
  <c r="D3055" i="3"/>
  <c r="E3055" i="3"/>
  <c r="F3055" i="3"/>
  <c r="G3055" i="3"/>
  <c r="H3055" i="3"/>
  <c r="I3055" i="3"/>
  <c r="J3055" i="3"/>
  <c r="K3055" i="3"/>
  <c r="L3055" i="3"/>
  <c r="A3056" i="3"/>
  <c r="B3056" i="3"/>
  <c r="C3056" i="3"/>
  <c r="D3056" i="3"/>
  <c r="E3056" i="3"/>
  <c r="F3056" i="3"/>
  <c r="G3056" i="3"/>
  <c r="H3056" i="3"/>
  <c r="I3056" i="3"/>
  <c r="J3056" i="3"/>
  <c r="K3056" i="3"/>
  <c r="L3056" i="3"/>
  <c r="A3057" i="3"/>
  <c r="B3057" i="3"/>
  <c r="C3057" i="3"/>
  <c r="D3057" i="3"/>
  <c r="E3057" i="3"/>
  <c r="F3057" i="3"/>
  <c r="G3057" i="3"/>
  <c r="H3057" i="3"/>
  <c r="I3057" i="3"/>
  <c r="J3057" i="3"/>
  <c r="K3057" i="3"/>
  <c r="L3057" i="3"/>
  <c r="A3058" i="3"/>
  <c r="B3058" i="3"/>
  <c r="C3058" i="3"/>
  <c r="D3058" i="3"/>
  <c r="E3058" i="3"/>
  <c r="F3058" i="3"/>
  <c r="G3058" i="3"/>
  <c r="H3058" i="3"/>
  <c r="I3058" i="3"/>
  <c r="J3058" i="3"/>
  <c r="K3058" i="3"/>
  <c r="L3058" i="3"/>
  <c r="A3059" i="3"/>
  <c r="B3059" i="3"/>
  <c r="C3059" i="3"/>
  <c r="D3059" i="3"/>
  <c r="E3059" i="3"/>
  <c r="F3059" i="3"/>
  <c r="G3059" i="3"/>
  <c r="H3059" i="3"/>
  <c r="I3059" i="3"/>
  <c r="J3059" i="3"/>
  <c r="K3059" i="3"/>
  <c r="L3059" i="3"/>
  <c r="A3060" i="3"/>
  <c r="B3060" i="3"/>
  <c r="C3060" i="3"/>
  <c r="D3060" i="3"/>
  <c r="E3060" i="3"/>
  <c r="F3060" i="3"/>
  <c r="G3060" i="3"/>
  <c r="H3060" i="3"/>
  <c r="I3060" i="3"/>
  <c r="J3060" i="3"/>
  <c r="K3060" i="3"/>
  <c r="L3060" i="3"/>
  <c r="A3061" i="3"/>
  <c r="B3061" i="3"/>
  <c r="C3061" i="3"/>
  <c r="D3061" i="3"/>
  <c r="E3061" i="3"/>
  <c r="F3061" i="3"/>
  <c r="G3061" i="3"/>
  <c r="H3061" i="3"/>
  <c r="I3061" i="3"/>
  <c r="J3061" i="3"/>
  <c r="K3061" i="3"/>
  <c r="L3061" i="3"/>
  <c r="A3062" i="3"/>
  <c r="B3062" i="3"/>
  <c r="C3062" i="3"/>
  <c r="D3062" i="3"/>
  <c r="E3062" i="3"/>
  <c r="F3062" i="3"/>
  <c r="G3062" i="3"/>
  <c r="H3062" i="3"/>
  <c r="I3062" i="3"/>
  <c r="J3062" i="3"/>
  <c r="K3062" i="3"/>
  <c r="L3062" i="3"/>
  <c r="A3063" i="3"/>
  <c r="B3063" i="3"/>
  <c r="C3063" i="3"/>
  <c r="D3063" i="3"/>
  <c r="E3063" i="3"/>
  <c r="F3063" i="3"/>
  <c r="G3063" i="3"/>
  <c r="H3063" i="3"/>
  <c r="I3063" i="3"/>
  <c r="J3063" i="3"/>
  <c r="K3063" i="3"/>
  <c r="L3063" i="3"/>
  <c r="A3064" i="3"/>
  <c r="B3064" i="3"/>
  <c r="C3064" i="3"/>
  <c r="D3064" i="3"/>
  <c r="E3064" i="3"/>
  <c r="F3064" i="3"/>
  <c r="G3064" i="3"/>
  <c r="H3064" i="3"/>
  <c r="I3064" i="3"/>
  <c r="J3064" i="3"/>
  <c r="K3064" i="3"/>
  <c r="L3064" i="3"/>
  <c r="A3065" i="3"/>
  <c r="B3065" i="3"/>
  <c r="C3065" i="3"/>
  <c r="D3065" i="3"/>
  <c r="E3065" i="3"/>
  <c r="F3065" i="3"/>
  <c r="G3065" i="3"/>
  <c r="H3065" i="3"/>
  <c r="I3065" i="3"/>
  <c r="J3065" i="3"/>
  <c r="K3065" i="3"/>
  <c r="L3065" i="3"/>
  <c r="A3066" i="3"/>
  <c r="B3066" i="3"/>
  <c r="C3066" i="3"/>
  <c r="D3066" i="3"/>
  <c r="E3066" i="3"/>
  <c r="F3066" i="3"/>
  <c r="G3066" i="3"/>
  <c r="H3066" i="3"/>
  <c r="I3066" i="3"/>
  <c r="J3066" i="3"/>
  <c r="K3066" i="3"/>
  <c r="L3066" i="3"/>
  <c r="A3067" i="3"/>
  <c r="B3067" i="3"/>
  <c r="C3067" i="3"/>
  <c r="D3067" i="3"/>
  <c r="E3067" i="3"/>
  <c r="F3067" i="3"/>
  <c r="G3067" i="3"/>
  <c r="H3067" i="3"/>
  <c r="I3067" i="3"/>
  <c r="J3067" i="3"/>
  <c r="K3067" i="3"/>
  <c r="L3067" i="3"/>
  <c r="A3068" i="3"/>
  <c r="B3068" i="3"/>
  <c r="C3068" i="3"/>
  <c r="D3068" i="3"/>
  <c r="E3068" i="3"/>
  <c r="F3068" i="3"/>
  <c r="G3068" i="3"/>
  <c r="H3068" i="3"/>
  <c r="I3068" i="3"/>
  <c r="J3068" i="3"/>
  <c r="K3068" i="3"/>
  <c r="L3068" i="3"/>
  <c r="A3069" i="3"/>
  <c r="B3069" i="3"/>
  <c r="C3069" i="3"/>
  <c r="D3069" i="3"/>
  <c r="E3069" i="3"/>
  <c r="F3069" i="3"/>
  <c r="G3069" i="3"/>
  <c r="H3069" i="3"/>
  <c r="I3069" i="3"/>
  <c r="J3069" i="3"/>
  <c r="K3069" i="3"/>
  <c r="L3069" i="3"/>
  <c r="A3070" i="3"/>
  <c r="B3070" i="3"/>
  <c r="C3070" i="3"/>
  <c r="D3070" i="3"/>
  <c r="E3070" i="3"/>
  <c r="F3070" i="3"/>
  <c r="G3070" i="3"/>
  <c r="H3070" i="3"/>
  <c r="I3070" i="3"/>
  <c r="J3070" i="3"/>
  <c r="K3070" i="3"/>
  <c r="L3070" i="3"/>
  <c r="A3071" i="3"/>
  <c r="B3071" i="3"/>
  <c r="C3071" i="3"/>
  <c r="D3071" i="3"/>
  <c r="E3071" i="3"/>
  <c r="F3071" i="3"/>
  <c r="G3071" i="3"/>
  <c r="H3071" i="3"/>
  <c r="I3071" i="3"/>
  <c r="J3071" i="3"/>
  <c r="K3071" i="3"/>
  <c r="L3071" i="3"/>
  <c r="A3072" i="3"/>
  <c r="B3072" i="3"/>
  <c r="C3072" i="3"/>
  <c r="D3072" i="3"/>
  <c r="E3072" i="3"/>
  <c r="F3072" i="3"/>
  <c r="G3072" i="3"/>
  <c r="H3072" i="3"/>
  <c r="I3072" i="3"/>
  <c r="J3072" i="3"/>
  <c r="K3072" i="3"/>
  <c r="L3072" i="3"/>
  <c r="A3073" i="3"/>
  <c r="B3073" i="3"/>
  <c r="C3073" i="3"/>
  <c r="D3073" i="3"/>
  <c r="E3073" i="3"/>
  <c r="F3073" i="3"/>
  <c r="G3073" i="3"/>
  <c r="H3073" i="3"/>
  <c r="I3073" i="3"/>
  <c r="J3073" i="3"/>
  <c r="K3073" i="3"/>
  <c r="L3073" i="3"/>
  <c r="A3074" i="3"/>
  <c r="B3074" i="3"/>
  <c r="C3074" i="3"/>
  <c r="D3074" i="3"/>
  <c r="E3074" i="3"/>
  <c r="F3074" i="3"/>
  <c r="G3074" i="3"/>
  <c r="H3074" i="3"/>
  <c r="I3074" i="3"/>
  <c r="J3074" i="3"/>
  <c r="K3074" i="3"/>
  <c r="L3074" i="3"/>
  <c r="A3075" i="3"/>
  <c r="B3075" i="3"/>
  <c r="C3075" i="3"/>
  <c r="D3075" i="3"/>
  <c r="E3075" i="3"/>
  <c r="F3075" i="3"/>
  <c r="G3075" i="3"/>
  <c r="H3075" i="3"/>
  <c r="I3075" i="3"/>
  <c r="J3075" i="3"/>
  <c r="K3075" i="3"/>
  <c r="L3075" i="3"/>
  <c r="A3076" i="3"/>
  <c r="B3076" i="3"/>
  <c r="C3076" i="3"/>
  <c r="D3076" i="3"/>
  <c r="E3076" i="3"/>
  <c r="F3076" i="3"/>
  <c r="G3076" i="3"/>
  <c r="H3076" i="3"/>
  <c r="I3076" i="3"/>
  <c r="J3076" i="3"/>
  <c r="K3076" i="3"/>
  <c r="L3076" i="3"/>
  <c r="A3077" i="3"/>
  <c r="B3077" i="3"/>
  <c r="C3077" i="3"/>
  <c r="D3077" i="3"/>
  <c r="E3077" i="3"/>
  <c r="F3077" i="3"/>
  <c r="G3077" i="3"/>
  <c r="H3077" i="3"/>
  <c r="I3077" i="3"/>
  <c r="J3077" i="3"/>
  <c r="K3077" i="3"/>
  <c r="L3077" i="3"/>
  <c r="A3078" i="3"/>
  <c r="B3078" i="3"/>
  <c r="C3078" i="3"/>
  <c r="D3078" i="3"/>
  <c r="E3078" i="3"/>
  <c r="F3078" i="3"/>
  <c r="G3078" i="3"/>
  <c r="H3078" i="3"/>
  <c r="I3078" i="3"/>
  <c r="J3078" i="3"/>
  <c r="K3078" i="3"/>
  <c r="L3078" i="3"/>
  <c r="A3079" i="3"/>
  <c r="B3079" i="3"/>
  <c r="C3079" i="3"/>
  <c r="D3079" i="3"/>
  <c r="E3079" i="3"/>
  <c r="F3079" i="3"/>
  <c r="G3079" i="3"/>
  <c r="H3079" i="3"/>
  <c r="I3079" i="3"/>
  <c r="J3079" i="3"/>
  <c r="K3079" i="3"/>
  <c r="L3079" i="3"/>
  <c r="A3080" i="3"/>
  <c r="B3080" i="3"/>
  <c r="C3080" i="3"/>
  <c r="D3080" i="3"/>
  <c r="E3080" i="3"/>
  <c r="F3080" i="3"/>
  <c r="G3080" i="3"/>
  <c r="H3080" i="3"/>
  <c r="I3080" i="3"/>
  <c r="J3080" i="3"/>
  <c r="K3080" i="3"/>
  <c r="L3080" i="3"/>
  <c r="A3081" i="3"/>
  <c r="B3081" i="3"/>
  <c r="C3081" i="3"/>
  <c r="D3081" i="3"/>
  <c r="E3081" i="3"/>
  <c r="F3081" i="3"/>
  <c r="G3081" i="3"/>
  <c r="H3081" i="3"/>
  <c r="I3081" i="3"/>
  <c r="J3081" i="3"/>
  <c r="K3081" i="3"/>
  <c r="L3081" i="3"/>
  <c r="A3082" i="3"/>
  <c r="B3082" i="3"/>
  <c r="C3082" i="3"/>
  <c r="D3082" i="3"/>
  <c r="E3082" i="3"/>
  <c r="F3082" i="3"/>
  <c r="G3082" i="3"/>
  <c r="H3082" i="3"/>
  <c r="I3082" i="3"/>
  <c r="J3082" i="3"/>
  <c r="K3082" i="3"/>
  <c r="L3082" i="3"/>
  <c r="A3083" i="3"/>
  <c r="B3083" i="3"/>
  <c r="C3083" i="3"/>
  <c r="D3083" i="3"/>
  <c r="E3083" i="3"/>
  <c r="F3083" i="3"/>
  <c r="G3083" i="3"/>
  <c r="H3083" i="3"/>
  <c r="I3083" i="3"/>
  <c r="J3083" i="3"/>
  <c r="K3083" i="3"/>
  <c r="L3083" i="3"/>
  <c r="A3084" i="3"/>
  <c r="B3084" i="3"/>
  <c r="C3084" i="3"/>
  <c r="D3084" i="3"/>
  <c r="E3084" i="3"/>
  <c r="F3084" i="3"/>
  <c r="G3084" i="3"/>
  <c r="H3084" i="3"/>
  <c r="I3084" i="3"/>
  <c r="J3084" i="3"/>
  <c r="K3084" i="3"/>
  <c r="L3084" i="3"/>
  <c r="A3085" i="3"/>
  <c r="B3085" i="3"/>
  <c r="C3085" i="3"/>
  <c r="D3085" i="3"/>
  <c r="E3085" i="3"/>
  <c r="F3085" i="3"/>
  <c r="G3085" i="3"/>
  <c r="H3085" i="3"/>
  <c r="I3085" i="3"/>
  <c r="J3085" i="3"/>
  <c r="K3085" i="3"/>
  <c r="L3085" i="3"/>
  <c r="A3086" i="3"/>
  <c r="B3086" i="3"/>
  <c r="C3086" i="3"/>
  <c r="D3086" i="3"/>
  <c r="E3086" i="3"/>
  <c r="F3086" i="3"/>
  <c r="G3086" i="3"/>
  <c r="H3086" i="3"/>
  <c r="I3086" i="3"/>
  <c r="J3086" i="3"/>
  <c r="K3086" i="3"/>
  <c r="L3086" i="3"/>
  <c r="A3087" i="3"/>
  <c r="B3087" i="3"/>
  <c r="C3087" i="3"/>
  <c r="D3087" i="3"/>
  <c r="E3087" i="3"/>
  <c r="F3087" i="3"/>
  <c r="G3087" i="3"/>
  <c r="H3087" i="3"/>
  <c r="I3087" i="3"/>
  <c r="J3087" i="3"/>
  <c r="K3087" i="3"/>
  <c r="L3087" i="3"/>
  <c r="A3088" i="3"/>
  <c r="B3088" i="3"/>
  <c r="C3088" i="3"/>
  <c r="D3088" i="3"/>
  <c r="E3088" i="3"/>
  <c r="F3088" i="3"/>
  <c r="G3088" i="3"/>
  <c r="H3088" i="3"/>
  <c r="I3088" i="3"/>
  <c r="J3088" i="3"/>
  <c r="K3088" i="3"/>
  <c r="L3088" i="3"/>
  <c r="A3089" i="3"/>
  <c r="B3089" i="3"/>
  <c r="C3089" i="3"/>
  <c r="D3089" i="3"/>
  <c r="E3089" i="3"/>
  <c r="F3089" i="3"/>
  <c r="G3089" i="3"/>
  <c r="H3089" i="3"/>
  <c r="I3089" i="3"/>
  <c r="J3089" i="3"/>
  <c r="K3089" i="3"/>
  <c r="L3089" i="3"/>
  <c r="A3090" i="3"/>
  <c r="B3090" i="3"/>
  <c r="C3090" i="3"/>
  <c r="D3090" i="3"/>
  <c r="E3090" i="3"/>
  <c r="F3090" i="3"/>
  <c r="G3090" i="3"/>
  <c r="H3090" i="3"/>
  <c r="I3090" i="3"/>
  <c r="J3090" i="3"/>
  <c r="K3090" i="3"/>
  <c r="L3090" i="3"/>
  <c r="A3091" i="3"/>
  <c r="B3091" i="3"/>
  <c r="C3091" i="3"/>
  <c r="D3091" i="3"/>
  <c r="E3091" i="3"/>
  <c r="F3091" i="3"/>
  <c r="G3091" i="3"/>
  <c r="H3091" i="3"/>
  <c r="I3091" i="3"/>
  <c r="J3091" i="3"/>
  <c r="K3091" i="3"/>
  <c r="L3091" i="3"/>
  <c r="A3092" i="3"/>
  <c r="B3092" i="3"/>
  <c r="C3092" i="3"/>
  <c r="D3092" i="3"/>
  <c r="E3092" i="3"/>
  <c r="F3092" i="3"/>
  <c r="G3092" i="3"/>
  <c r="H3092" i="3"/>
  <c r="I3092" i="3"/>
  <c r="J3092" i="3"/>
  <c r="K3092" i="3"/>
  <c r="L3092" i="3"/>
  <c r="A3093" i="3"/>
  <c r="B3093" i="3"/>
  <c r="C3093" i="3"/>
  <c r="D3093" i="3"/>
  <c r="E3093" i="3"/>
  <c r="F3093" i="3"/>
  <c r="G3093" i="3"/>
  <c r="H3093" i="3"/>
  <c r="I3093" i="3"/>
  <c r="J3093" i="3"/>
  <c r="K3093" i="3"/>
  <c r="L3093" i="3"/>
  <c r="A3094" i="3"/>
  <c r="B3094" i="3"/>
  <c r="C3094" i="3"/>
  <c r="D3094" i="3"/>
  <c r="E3094" i="3"/>
  <c r="F3094" i="3"/>
  <c r="G3094" i="3"/>
  <c r="H3094" i="3"/>
  <c r="I3094" i="3"/>
  <c r="J3094" i="3"/>
  <c r="K3094" i="3"/>
  <c r="L3094" i="3"/>
  <c r="A3095" i="3"/>
  <c r="B3095" i="3"/>
  <c r="C3095" i="3"/>
  <c r="D3095" i="3"/>
  <c r="E3095" i="3"/>
  <c r="F3095" i="3"/>
  <c r="G3095" i="3"/>
  <c r="H3095" i="3"/>
  <c r="I3095" i="3"/>
  <c r="J3095" i="3"/>
  <c r="K3095" i="3"/>
  <c r="L3095" i="3"/>
  <c r="A3096" i="3"/>
  <c r="B3096" i="3"/>
  <c r="C3096" i="3"/>
  <c r="D3096" i="3"/>
  <c r="E3096" i="3"/>
  <c r="F3096" i="3"/>
  <c r="G3096" i="3"/>
  <c r="H3096" i="3"/>
  <c r="I3096" i="3"/>
  <c r="J3096" i="3"/>
  <c r="K3096" i="3"/>
  <c r="L3096" i="3"/>
  <c r="A3097" i="3"/>
  <c r="B3097" i="3"/>
  <c r="C3097" i="3"/>
  <c r="D3097" i="3"/>
  <c r="E3097" i="3"/>
  <c r="F3097" i="3"/>
  <c r="G3097" i="3"/>
  <c r="H3097" i="3"/>
  <c r="I3097" i="3"/>
  <c r="J3097" i="3"/>
  <c r="K3097" i="3"/>
  <c r="L3097" i="3"/>
  <c r="A3098" i="3"/>
  <c r="B3098" i="3"/>
  <c r="C3098" i="3"/>
  <c r="D3098" i="3"/>
  <c r="E3098" i="3"/>
  <c r="F3098" i="3"/>
  <c r="G3098" i="3"/>
  <c r="H3098" i="3"/>
  <c r="I3098" i="3"/>
  <c r="J3098" i="3"/>
  <c r="K3098" i="3"/>
  <c r="L3098" i="3"/>
  <c r="A3099" i="3"/>
  <c r="B3099" i="3"/>
  <c r="C3099" i="3"/>
  <c r="D3099" i="3"/>
  <c r="E3099" i="3"/>
  <c r="F3099" i="3"/>
  <c r="G3099" i="3"/>
  <c r="H3099" i="3"/>
  <c r="I3099" i="3"/>
  <c r="J3099" i="3"/>
  <c r="K3099" i="3"/>
  <c r="L3099" i="3"/>
  <c r="A3100" i="3"/>
  <c r="B3100" i="3"/>
  <c r="C3100" i="3"/>
  <c r="D3100" i="3"/>
  <c r="E3100" i="3"/>
  <c r="F3100" i="3"/>
  <c r="G3100" i="3"/>
  <c r="H3100" i="3"/>
  <c r="I3100" i="3"/>
  <c r="J3100" i="3"/>
  <c r="K3100" i="3"/>
  <c r="L3100" i="3"/>
  <c r="A3101" i="3"/>
  <c r="B3101" i="3"/>
  <c r="C3101" i="3"/>
  <c r="D3101" i="3"/>
  <c r="E3101" i="3"/>
  <c r="F3101" i="3"/>
  <c r="G3101" i="3"/>
  <c r="H3101" i="3"/>
  <c r="I3101" i="3"/>
  <c r="J3101" i="3"/>
  <c r="K3101" i="3"/>
  <c r="L3101" i="3"/>
  <c r="A3102" i="3"/>
  <c r="B3102" i="3"/>
  <c r="C3102" i="3"/>
  <c r="D3102" i="3"/>
  <c r="E3102" i="3"/>
  <c r="F3102" i="3"/>
  <c r="G3102" i="3"/>
  <c r="H3102" i="3"/>
  <c r="I3102" i="3"/>
  <c r="J3102" i="3"/>
  <c r="K3102" i="3"/>
  <c r="L3102" i="3"/>
  <c r="A3103" i="3"/>
  <c r="B3103" i="3"/>
  <c r="C3103" i="3"/>
  <c r="D3103" i="3"/>
  <c r="E3103" i="3"/>
  <c r="F3103" i="3"/>
  <c r="G3103" i="3"/>
  <c r="H3103" i="3"/>
  <c r="I3103" i="3"/>
  <c r="J3103" i="3"/>
  <c r="K3103" i="3"/>
  <c r="L3103" i="3"/>
  <c r="A3104" i="3"/>
  <c r="B3104" i="3"/>
  <c r="C3104" i="3"/>
  <c r="D3104" i="3"/>
  <c r="E3104" i="3"/>
  <c r="F3104" i="3"/>
  <c r="G3104" i="3"/>
  <c r="H3104" i="3"/>
  <c r="I3104" i="3"/>
  <c r="J3104" i="3"/>
  <c r="K3104" i="3"/>
  <c r="L3104" i="3"/>
  <c r="A3105" i="3"/>
  <c r="B3105" i="3"/>
  <c r="C3105" i="3"/>
  <c r="D3105" i="3"/>
  <c r="E3105" i="3"/>
  <c r="F3105" i="3"/>
  <c r="G3105" i="3"/>
  <c r="H3105" i="3"/>
  <c r="I3105" i="3"/>
  <c r="J3105" i="3"/>
  <c r="K3105" i="3"/>
  <c r="L3105" i="3"/>
  <c r="A3106" i="3"/>
  <c r="B3106" i="3"/>
  <c r="C3106" i="3"/>
  <c r="D3106" i="3"/>
  <c r="E3106" i="3"/>
  <c r="F3106" i="3"/>
  <c r="G3106" i="3"/>
  <c r="H3106" i="3"/>
  <c r="I3106" i="3"/>
  <c r="J3106" i="3"/>
  <c r="K3106" i="3"/>
  <c r="L3106" i="3"/>
  <c r="A3107" i="3"/>
  <c r="B3107" i="3"/>
  <c r="C3107" i="3"/>
  <c r="D3107" i="3"/>
  <c r="E3107" i="3"/>
  <c r="F3107" i="3"/>
  <c r="G3107" i="3"/>
  <c r="H3107" i="3"/>
  <c r="I3107" i="3"/>
  <c r="J3107" i="3"/>
  <c r="K3107" i="3"/>
  <c r="L3107" i="3"/>
  <c r="A3108" i="3"/>
  <c r="B3108" i="3"/>
  <c r="C3108" i="3"/>
  <c r="D3108" i="3"/>
  <c r="E3108" i="3"/>
  <c r="F3108" i="3"/>
  <c r="G3108" i="3"/>
  <c r="H3108" i="3"/>
  <c r="I3108" i="3"/>
  <c r="J3108" i="3"/>
  <c r="K3108" i="3"/>
  <c r="L3108" i="3"/>
  <c r="A3109" i="3"/>
  <c r="B3109" i="3"/>
  <c r="C3109" i="3"/>
  <c r="D3109" i="3"/>
  <c r="E3109" i="3"/>
  <c r="F3109" i="3"/>
  <c r="G3109" i="3"/>
  <c r="H3109" i="3"/>
  <c r="I3109" i="3"/>
  <c r="J3109" i="3"/>
  <c r="K3109" i="3"/>
  <c r="L3109" i="3"/>
  <c r="A3110" i="3"/>
  <c r="B3110" i="3"/>
  <c r="C3110" i="3"/>
  <c r="D3110" i="3"/>
  <c r="E3110" i="3"/>
  <c r="F3110" i="3"/>
  <c r="G3110" i="3"/>
  <c r="H3110" i="3"/>
  <c r="I3110" i="3"/>
  <c r="J3110" i="3"/>
  <c r="K3110" i="3"/>
  <c r="L3110" i="3"/>
  <c r="A3111" i="3"/>
  <c r="B3111" i="3"/>
  <c r="C3111" i="3"/>
  <c r="D3111" i="3"/>
  <c r="E3111" i="3"/>
  <c r="F3111" i="3"/>
  <c r="G3111" i="3"/>
  <c r="H3111" i="3"/>
  <c r="I3111" i="3"/>
  <c r="J3111" i="3"/>
  <c r="K3111" i="3"/>
  <c r="L3111" i="3"/>
  <c r="A3112" i="3"/>
  <c r="B3112" i="3"/>
  <c r="C3112" i="3"/>
  <c r="D3112" i="3"/>
  <c r="E3112" i="3"/>
  <c r="F3112" i="3"/>
  <c r="G3112" i="3"/>
  <c r="H3112" i="3"/>
  <c r="I3112" i="3"/>
  <c r="J3112" i="3"/>
  <c r="K3112" i="3"/>
  <c r="L3112" i="3"/>
  <c r="A3113" i="3"/>
  <c r="B3113" i="3"/>
  <c r="C3113" i="3"/>
  <c r="D3113" i="3"/>
  <c r="E3113" i="3"/>
  <c r="F3113" i="3"/>
  <c r="G3113" i="3"/>
  <c r="H3113" i="3"/>
  <c r="I3113" i="3"/>
  <c r="J3113" i="3"/>
  <c r="K3113" i="3"/>
  <c r="L3113" i="3"/>
  <c r="A3114" i="3"/>
  <c r="B3114" i="3"/>
  <c r="C3114" i="3"/>
  <c r="D3114" i="3"/>
  <c r="E3114" i="3"/>
  <c r="F3114" i="3"/>
  <c r="G3114" i="3"/>
  <c r="H3114" i="3"/>
  <c r="I3114" i="3"/>
  <c r="J3114" i="3"/>
  <c r="K3114" i="3"/>
  <c r="L3114" i="3"/>
  <c r="A3115" i="3"/>
  <c r="B3115" i="3"/>
  <c r="C3115" i="3"/>
  <c r="D3115" i="3"/>
  <c r="E3115" i="3"/>
  <c r="F3115" i="3"/>
  <c r="G3115" i="3"/>
  <c r="H3115" i="3"/>
  <c r="I3115" i="3"/>
  <c r="J3115" i="3"/>
  <c r="K3115" i="3"/>
  <c r="L3115" i="3"/>
  <c r="A3116" i="3"/>
  <c r="B3116" i="3"/>
  <c r="C3116" i="3"/>
  <c r="D3116" i="3"/>
  <c r="E3116" i="3"/>
  <c r="F3116" i="3"/>
  <c r="G3116" i="3"/>
  <c r="H3116" i="3"/>
  <c r="I3116" i="3"/>
  <c r="J3116" i="3"/>
  <c r="K3116" i="3"/>
  <c r="L3116" i="3"/>
  <c r="A3117" i="3"/>
  <c r="B3117" i="3"/>
  <c r="C3117" i="3"/>
  <c r="D3117" i="3"/>
  <c r="E3117" i="3"/>
  <c r="F3117" i="3"/>
  <c r="G3117" i="3"/>
  <c r="H3117" i="3"/>
  <c r="I3117" i="3"/>
  <c r="J3117" i="3"/>
  <c r="K3117" i="3"/>
  <c r="L3117" i="3"/>
  <c r="A3118" i="3"/>
  <c r="B3118" i="3"/>
  <c r="C3118" i="3"/>
  <c r="D3118" i="3"/>
  <c r="E3118" i="3"/>
  <c r="F3118" i="3"/>
  <c r="G3118" i="3"/>
  <c r="H3118" i="3"/>
  <c r="I3118" i="3"/>
  <c r="J3118" i="3"/>
  <c r="K3118" i="3"/>
  <c r="L3118" i="3"/>
  <c r="A3119" i="3"/>
  <c r="B3119" i="3"/>
  <c r="C3119" i="3"/>
  <c r="D3119" i="3"/>
  <c r="E3119" i="3"/>
  <c r="F3119" i="3"/>
  <c r="G3119" i="3"/>
  <c r="H3119" i="3"/>
  <c r="I3119" i="3"/>
  <c r="J3119" i="3"/>
  <c r="K3119" i="3"/>
  <c r="L3119" i="3"/>
  <c r="A3120" i="3"/>
  <c r="B3120" i="3"/>
  <c r="C3120" i="3"/>
  <c r="D3120" i="3"/>
  <c r="E3120" i="3"/>
  <c r="F3120" i="3"/>
  <c r="G3120" i="3"/>
  <c r="H3120" i="3"/>
  <c r="I3120" i="3"/>
  <c r="J3120" i="3"/>
  <c r="K3120" i="3"/>
  <c r="L3120" i="3"/>
  <c r="A3121" i="3"/>
  <c r="B3121" i="3"/>
  <c r="C3121" i="3"/>
  <c r="D3121" i="3"/>
  <c r="E3121" i="3"/>
  <c r="F3121" i="3"/>
  <c r="G3121" i="3"/>
  <c r="H3121" i="3"/>
  <c r="I3121" i="3"/>
  <c r="J3121" i="3"/>
  <c r="K3121" i="3"/>
  <c r="L3121" i="3"/>
  <c r="A3122" i="3"/>
  <c r="B3122" i="3"/>
  <c r="C3122" i="3"/>
  <c r="D3122" i="3"/>
  <c r="E3122" i="3"/>
  <c r="F3122" i="3"/>
  <c r="G3122" i="3"/>
  <c r="H3122" i="3"/>
  <c r="I3122" i="3"/>
  <c r="J3122" i="3"/>
  <c r="K3122" i="3"/>
  <c r="L3122" i="3"/>
  <c r="A3123" i="3"/>
  <c r="B3123" i="3"/>
  <c r="C3123" i="3"/>
  <c r="D3123" i="3"/>
  <c r="E3123" i="3"/>
  <c r="F3123" i="3"/>
  <c r="G3123" i="3"/>
  <c r="H3123" i="3"/>
  <c r="I3123" i="3"/>
  <c r="J3123" i="3"/>
  <c r="K3123" i="3"/>
  <c r="L3123" i="3"/>
  <c r="A3124" i="3"/>
  <c r="B3124" i="3"/>
  <c r="C3124" i="3"/>
  <c r="D3124" i="3"/>
  <c r="E3124" i="3"/>
  <c r="F3124" i="3"/>
  <c r="G3124" i="3"/>
  <c r="H3124" i="3"/>
  <c r="I3124" i="3"/>
  <c r="J3124" i="3"/>
  <c r="K3124" i="3"/>
  <c r="L3124" i="3"/>
  <c r="A3125" i="3"/>
  <c r="B3125" i="3"/>
  <c r="C3125" i="3"/>
  <c r="D3125" i="3"/>
  <c r="E3125" i="3"/>
  <c r="F3125" i="3"/>
  <c r="G3125" i="3"/>
  <c r="H3125" i="3"/>
  <c r="I3125" i="3"/>
  <c r="J3125" i="3"/>
  <c r="K3125" i="3"/>
  <c r="L3125" i="3"/>
  <c r="A3126" i="3"/>
  <c r="B3126" i="3"/>
  <c r="C3126" i="3"/>
  <c r="D3126" i="3"/>
  <c r="E3126" i="3"/>
  <c r="F3126" i="3"/>
  <c r="G3126" i="3"/>
  <c r="H3126" i="3"/>
  <c r="I3126" i="3"/>
  <c r="J3126" i="3"/>
  <c r="K3126" i="3"/>
  <c r="L3126" i="3"/>
  <c r="A3127" i="3"/>
  <c r="B3127" i="3"/>
  <c r="C3127" i="3"/>
  <c r="D3127" i="3"/>
  <c r="E3127" i="3"/>
  <c r="F3127" i="3"/>
  <c r="G3127" i="3"/>
  <c r="H3127" i="3"/>
  <c r="I3127" i="3"/>
  <c r="J3127" i="3"/>
  <c r="K3127" i="3"/>
  <c r="L3127" i="3"/>
  <c r="A3128" i="3"/>
  <c r="B3128" i="3"/>
  <c r="C3128" i="3"/>
  <c r="D3128" i="3"/>
  <c r="E3128" i="3"/>
  <c r="F3128" i="3"/>
  <c r="G3128" i="3"/>
  <c r="H3128" i="3"/>
  <c r="I3128" i="3"/>
  <c r="J3128" i="3"/>
  <c r="K3128" i="3"/>
  <c r="L3128" i="3"/>
  <c r="A3129" i="3"/>
  <c r="B3129" i="3"/>
  <c r="C3129" i="3"/>
  <c r="D3129" i="3"/>
  <c r="E3129" i="3"/>
  <c r="F3129" i="3"/>
  <c r="G3129" i="3"/>
  <c r="H3129" i="3"/>
  <c r="I3129" i="3"/>
  <c r="J3129" i="3"/>
  <c r="K3129" i="3"/>
  <c r="L3129" i="3"/>
  <c r="A3130" i="3"/>
  <c r="B3130" i="3"/>
  <c r="C3130" i="3"/>
  <c r="D3130" i="3"/>
  <c r="E3130" i="3"/>
  <c r="F3130" i="3"/>
  <c r="G3130" i="3"/>
  <c r="H3130" i="3"/>
  <c r="I3130" i="3"/>
  <c r="J3130" i="3"/>
  <c r="K3130" i="3"/>
  <c r="L3130" i="3"/>
  <c r="A3131" i="3"/>
  <c r="B3131" i="3"/>
  <c r="C3131" i="3"/>
  <c r="D3131" i="3"/>
  <c r="E3131" i="3"/>
  <c r="F3131" i="3"/>
  <c r="G3131" i="3"/>
  <c r="H3131" i="3"/>
  <c r="I3131" i="3"/>
  <c r="J3131" i="3"/>
  <c r="K3131" i="3"/>
  <c r="L3131" i="3"/>
  <c r="A3132" i="3"/>
  <c r="B3132" i="3"/>
  <c r="C3132" i="3"/>
  <c r="D3132" i="3"/>
  <c r="E3132" i="3"/>
  <c r="F3132" i="3"/>
  <c r="G3132" i="3"/>
  <c r="H3132" i="3"/>
  <c r="I3132" i="3"/>
  <c r="J3132" i="3"/>
  <c r="K3132" i="3"/>
  <c r="L3132" i="3"/>
  <c r="A3133" i="3"/>
  <c r="B3133" i="3"/>
  <c r="C3133" i="3"/>
  <c r="D3133" i="3"/>
  <c r="E3133" i="3"/>
  <c r="F3133" i="3"/>
  <c r="G3133" i="3"/>
  <c r="H3133" i="3"/>
  <c r="I3133" i="3"/>
  <c r="J3133" i="3"/>
  <c r="K3133" i="3"/>
  <c r="L3133" i="3"/>
  <c r="A3134" i="3"/>
  <c r="B3134" i="3"/>
  <c r="C3134" i="3"/>
  <c r="D3134" i="3"/>
  <c r="E3134" i="3"/>
  <c r="F3134" i="3"/>
  <c r="G3134" i="3"/>
  <c r="H3134" i="3"/>
  <c r="I3134" i="3"/>
  <c r="J3134" i="3"/>
  <c r="K3134" i="3"/>
  <c r="L3134" i="3"/>
  <c r="A3135" i="3"/>
  <c r="B3135" i="3"/>
  <c r="C3135" i="3"/>
  <c r="D3135" i="3"/>
  <c r="E3135" i="3"/>
  <c r="F3135" i="3"/>
  <c r="G3135" i="3"/>
  <c r="H3135" i="3"/>
  <c r="I3135" i="3"/>
  <c r="J3135" i="3"/>
  <c r="K3135" i="3"/>
  <c r="L3135" i="3"/>
  <c r="A3136" i="3"/>
  <c r="B3136" i="3"/>
  <c r="C3136" i="3"/>
  <c r="D3136" i="3"/>
  <c r="E3136" i="3"/>
  <c r="F3136" i="3"/>
  <c r="G3136" i="3"/>
  <c r="H3136" i="3"/>
  <c r="I3136" i="3"/>
  <c r="J3136" i="3"/>
  <c r="K3136" i="3"/>
  <c r="L3136" i="3"/>
  <c r="A3137" i="3"/>
  <c r="B3137" i="3"/>
  <c r="C3137" i="3"/>
  <c r="D3137" i="3"/>
  <c r="E3137" i="3"/>
  <c r="F3137" i="3"/>
  <c r="G3137" i="3"/>
  <c r="H3137" i="3"/>
  <c r="I3137" i="3"/>
  <c r="J3137" i="3"/>
  <c r="K3137" i="3"/>
  <c r="L3137" i="3"/>
  <c r="A3138" i="3"/>
  <c r="B3138" i="3"/>
  <c r="C3138" i="3"/>
  <c r="D3138" i="3"/>
  <c r="E3138" i="3"/>
  <c r="F3138" i="3"/>
  <c r="G3138" i="3"/>
  <c r="H3138" i="3"/>
  <c r="I3138" i="3"/>
  <c r="J3138" i="3"/>
  <c r="K3138" i="3"/>
  <c r="L3138" i="3"/>
  <c r="A3139" i="3"/>
  <c r="B3139" i="3"/>
  <c r="C3139" i="3"/>
  <c r="D3139" i="3"/>
  <c r="E3139" i="3"/>
  <c r="F3139" i="3"/>
  <c r="G3139" i="3"/>
  <c r="H3139" i="3"/>
  <c r="I3139" i="3"/>
  <c r="J3139" i="3"/>
  <c r="K3139" i="3"/>
  <c r="L3139" i="3"/>
  <c r="A3140" i="3"/>
  <c r="B3140" i="3"/>
  <c r="C3140" i="3"/>
  <c r="D3140" i="3"/>
  <c r="E3140" i="3"/>
  <c r="F3140" i="3"/>
  <c r="G3140" i="3"/>
  <c r="H3140" i="3"/>
  <c r="I3140" i="3"/>
  <c r="J3140" i="3"/>
  <c r="K3140" i="3"/>
  <c r="L3140" i="3"/>
  <c r="A3141" i="3"/>
  <c r="B3141" i="3"/>
  <c r="C3141" i="3"/>
  <c r="D3141" i="3"/>
  <c r="E3141" i="3"/>
  <c r="F3141" i="3"/>
  <c r="G3141" i="3"/>
  <c r="H3141" i="3"/>
  <c r="I3141" i="3"/>
  <c r="J3141" i="3"/>
  <c r="K3141" i="3"/>
  <c r="L3141" i="3"/>
  <c r="A3142" i="3"/>
  <c r="B3142" i="3"/>
  <c r="C3142" i="3"/>
  <c r="D3142" i="3"/>
  <c r="E3142" i="3"/>
  <c r="F3142" i="3"/>
  <c r="G3142" i="3"/>
  <c r="H3142" i="3"/>
  <c r="I3142" i="3"/>
  <c r="J3142" i="3"/>
  <c r="K3142" i="3"/>
  <c r="L3142" i="3"/>
  <c r="A3143" i="3"/>
  <c r="B3143" i="3"/>
  <c r="C3143" i="3"/>
  <c r="D3143" i="3"/>
  <c r="E3143" i="3"/>
  <c r="F3143" i="3"/>
  <c r="G3143" i="3"/>
  <c r="H3143" i="3"/>
  <c r="I3143" i="3"/>
  <c r="J3143" i="3"/>
  <c r="K3143" i="3"/>
  <c r="L3143" i="3"/>
  <c r="A3144" i="3"/>
  <c r="B3144" i="3"/>
  <c r="C3144" i="3"/>
  <c r="D3144" i="3"/>
  <c r="E3144" i="3"/>
  <c r="F3144" i="3"/>
  <c r="G3144" i="3"/>
  <c r="H3144" i="3"/>
  <c r="I3144" i="3"/>
  <c r="J3144" i="3"/>
  <c r="K3144" i="3"/>
  <c r="L3144" i="3"/>
  <c r="A3145" i="3"/>
  <c r="B3145" i="3"/>
  <c r="C3145" i="3"/>
  <c r="D3145" i="3"/>
  <c r="E3145" i="3"/>
  <c r="F3145" i="3"/>
  <c r="G3145" i="3"/>
  <c r="H3145" i="3"/>
  <c r="I3145" i="3"/>
  <c r="J3145" i="3"/>
  <c r="K3145" i="3"/>
  <c r="L3145" i="3"/>
  <c r="A3146" i="3"/>
  <c r="B3146" i="3"/>
  <c r="C3146" i="3"/>
  <c r="D3146" i="3"/>
  <c r="E3146" i="3"/>
  <c r="F3146" i="3"/>
  <c r="G3146" i="3"/>
  <c r="H3146" i="3"/>
  <c r="I3146" i="3"/>
  <c r="J3146" i="3"/>
  <c r="K3146" i="3"/>
  <c r="L3146" i="3"/>
  <c r="A3147" i="3"/>
  <c r="B3147" i="3"/>
  <c r="C3147" i="3"/>
  <c r="D3147" i="3"/>
  <c r="E3147" i="3"/>
  <c r="F3147" i="3"/>
  <c r="G3147" i="3"/>
  <c r="H3147" i="3"/>
  <c r="I3147" i="3"/>
  <c r="J3147" i="3"/>
  <c r="K3147" i="3"/>
  <c r="L3147" i="3"/>
  <c r="A3148" i="3"/>
  <c r="B3148" i="3"/>
  <c r="C3148" i="3"/>
  <c r="D3148" i="3"/>
  <c r="E3148" i="3"/>
  <c r="F3148" i="3"/>
  <c r="G3148" i="3"/>
  <c r="H3148" i="3"/>
  <c r="I3148" i="3"/>
  <c r="J3148" i="3"/>
  <c r="K3148" i="3"/>
  <c r="L3148" i="3"/>
  <c r="A3149" i="3"/>
  <c r="B3149" i="3"/>
  <c r="C3149" i="3"/>
  <c r="D3149" i="3"/>
  <c r="E3149" i="3"/>
  <c r="F3149" i="3"/>
  <c r="G3149" i="3"/>
  <c r="H3149" i="3"/>
  <c r="I3149" i="3"/>
  <c r="J3149" i="3"/>
  <c r="K3149" i="3"/>
  <c r="L3149" i="3"/>
  <c r="A3150" i="3"/>
  <c r="B3150" i="3"/>
  <c r="C3150" i="3"/>
  <c r="D3150" i="3"/>
  <c r="E3150" i="3"/>
  <c r="F3150" i="3"/>
  <c r="G3150" i="3"/>
  <c r="H3150" i="3"/>
  <c r="I3150" i="3"/>
  <c r="J3150" i="3"/>
  <c r="K3150" i="3"/>
  <c r="L3150" i="3"/>
  <c r="A3151" i="3"/>
  <c r="B3151" i="3"/>
  <c r="C3151" i="3"/>
  <c r="D3151" i="3"/>
  <c r="E3151" i="3"/>
  <c r="F3151" i="3"/>
  <c r="G3151" i="3"/>
  <c r="H3151" i="3"/>
  <c r="I3151" i="3"/>
  <c r="J3151" i="3"/>
  <c r="K3151" i="3"/>
  <c r="L3151" i="3"/>
  <c r="A3152" i="3"/>
  <c r="B3152" i="3"/>
  <c r="C3152" i="3"/>
  <c r="D3152" i="3"/>
  <c r="E3152" i="3"/>
  <c r="F3152" i="3"/>
  <c r="G3152" i="3"/>
  <c r="H3152" i="3"/>
  <c r="I3152" i="3"/>
  <c r="J3152" i="3"/>
  <c r="K3152" i="3"/>
  <c r="L3152" i="3"/>
  <c r="A3153" i="3"/>
  <c r="B3153" i="3"/>
  <c r="C3153" i="3"/>
  <c r="D3153" i="3"/>
  <c r="E3153" i="3"/>
  <c r="F3153" i="3"/>
  <c r="G3153" i="3"/>
  <c r="H3153" i="3"/>
  <c r="I3153" i="3"/>
  <c r="J3153" i="3"/>
  <c r="K3153" i="3"/>
  <c r="L3153" i="3"/>
  <c r="A3154" i="3"/>
  <c r="B3154" i="3"/>
  <c r="C3154" i="3"/>
  <c r="D3154" i="3"/>
  <c r="E3154" i="3"/>
  <c r="F3154" i="3"/>
  <c r="G3154" i="3"/>
  <c r="H3154" i="3"/>
  <c r="I3154" i="3"/>
  <c r="J3154" i="3"/>
  <c r="K3154" i="3"/>
  <c r="L3154" i="3"/>
  <c r="A3155" i="3"/>
  <c r="B3155" i="3"/>
  <c r="C3155" i="3"/>
  <c r="D3155" i="3"/>
  <c r="E3155" i="3"/>
  <c r="F3155" i="3"/>
  <c r="G3155" i="3"/>
  <c r="H3155" i="3"/>
  <c r="I3155" i="3"/>
  <c r="J3155" i="3"/>
  <c r="K3155" i="3"/>
  <c r="L3155" i="3"/>
  <c r="A3156" i="3"/>
  <c r="B3156" i="3"/>
  <c r="C3156" i="3"/>
  <c r="D3156" i="3"/>
  <c r="E3156" i="3"/>
  <c r="F3156" i="3"/>
  <c r="G3156" i="3"/>
  <c r="H3156" i="3"/>
  <c r="I3156" i="3"/>
  <c r="J3156" i="3"/>
  <c r="K3156" i="3"/>
  <c r="L3156" i="3"/>
  <c r="A3157" i="3"/>
  <c r="B3157" i="3"/>
  <c r="C3157" i="3"/>
  <c r="D3157" i="3"/>
  <c r="E3157" i="3"/>
  <c r="F3157" i="3"/>
  <c r="G3157" i="3"/>
  <c r="H3157" i="3"/>
  <c r="I3157" i="3"/>
  <c r="J3157" i="3"/>
  <c r="K3157" i="3"/>
  <c r="L3157" i="3"/>
  <c r="A3158" i="3"/>
  <c r="B3158" i="3"/>
  <c r="C3158" i="3"/>
  <c r="D3158" i="3"/>
  <c r="E3158" i="3"/>
  <c r="F3158" i="3"/>
  <c r="H3158" i="3"/>
  <c r="I3158" i="3"/>
  <c r="J3158" i="3"/>
  <c r="K3158" i="3"/>
  <c r="L3158" i="3"/>
  <c r="A3159" i="3"/>
  <c r="B3159" i="3"/>
  <c r="C3159" i="3"/>
  <c r="D3159" i="3"/>
  <c r="E3159" i="3"/>
  <c r="F3159" i="3"/>
  <c r="G3159" i="3"/>
  <c r="H3159" i="3"/>
  <c r="I3159" i="3"/>
  <c r="J3159" i="3"/>
  <c r="K3159" i="3"/>
  <c r="L3159" i="3"/>
  <c r="A3160" i="3"/>
  <c r="B3160" i="3"/>
  <c r="C3160" i="3"/>
  <c r="D3160" i="3"/>
  <c r="E3160" i="3"/>
  <c r="F3160" i="3"/>
  <c r="G3160" i="3"/>
  <c r="H3160" i="3"/>
  <c r="I3160" i="3"/>
  <c r="J3160" i="3"/>
  <c r="K3160" i="3"/>
  <c r="L3160" i="3"/>
  <c r="A3161" i="3"/>
  <c r="B3161" i="3"/>
  <c r="C3161" i="3"/>
  <c r="D3161" i="3"/>
  <c r="E3161" i="3"/>
  <c r="F3161" i="3"/>
  <c r="G3161" i="3"/>
  <c r="H3161" i="3"/>
  <c r="I3161" i="3"/>
  <c r="J3161" i="3"/>
  <c r="K3161" i="3"/>
  <c r="L3161" i="3"/>
  <c r="A3162" i="3"/>
  <c r="B3162" i="3"/>
  <c r="C3162" i="3"/>
  <c r="D3162" i="3"/>
  <c r="E3162" i="3"/>
  <c r="F3162" i="3"/>
  <c r="G3162" i="3"/>
  <c r="H3162" i="3"/>
  <c r="I3162" i="3"/>
  <c r="J3162" i="3"/>
  <c r="K3162" i="3"/>
  <c r="L3162" i="3"/>
  <c r="A3163" i="3"/>
  <c r="B3163" i="3"/>
  <c r="C3163" i="3"/>
  <c r="D3163" i="3"/>
  <c r="E3163" i="3"/>
  <c r="F3163" i="3"/>
  <c r="G3163" i="3"/>
  <c r="H3163" i="3"/>
  <c r="I3163" i="3"/>
  <c r="J3163" i="3"/>
  <c r="K3163" i="3"/>
  <c r="L3163" i="3"/>
  <c r="A3164" i="3"/>
  <c r="B3164" i="3"/>
  <c r="C3164" i="3"/>
  <c r="D3164" i="3"/>
  <c r="E3164" i="3"/>
  <c r="F3164" i="3"/>
  <c r="G3164" i="3"/>
  <c r="H3164" i="3"/>
  <c r="I3164" i="3"/>
  <c r="J3164" i="3"/>
  <c r="K3164" i="3"/>
  <c r="L3164" i="3"/>
  <c r="A3165" i="3"/>
  <c r="B3165" i="3"/>
  <c r="C3165" i="3"/>
  <c r="D3165" i="3"/>
  <c r="E3165" i="3"/>
  <c r="F3165" i="3"/>
  <c r="G3165" i="3"/>
  <c r="H3165" i="3"/>
  <c r="I3165" i="3"/>
  <c r="J3165" i="3"/>
  <c r="K3165" i="3"/>
  <c r="L3165" i="3"/>
  <c r="A3166" i="3"/>
  <c r="B3166" i="3"/>
  <c r="C3166" i="3"/>
  <c r="D3166" i="3"/>
  <c r="E3166" i="3"/>
  <c r="F3166" i="3"/>
  <c r="G3166" i="3"/>
  <c r="H3166" i="3"/>
  <c r="I3166" i="3"/>
  <c r="J3166" i="3"/>
  <c r="K3166" i="3"/>
  <c r="L3166" i="3"/>
  <c r="A3167" i="3"/>
  <c r="B3167" i="3"/>
  <c r="C3167" i="3"/>
  <c r="D3167" i="3"/>
  <c r="E3167" i="3"/>
  <c r="F3167" i="3"/>
  <c r="G3167" i="3"/>
  <c r="H3167" i="3"/>
  <c r="I3167" i="3"/>
  <c r="J3167" i="3"/>
  <c r="K3167" i="3"/>
  <c r="L3167" i="3"/>
  <c r="A3168" i="3"/>
  <c r="B3168" i="3"/>
  <c r="C3168" i="3"/>
  <c r="D3168" i="3"/>
  <c r="E3168" i="3"/>
  <c r="F3168" i="3"/>
  <c r="G3168" i="3"/>
  <c r="H3168" i="3"/>
  <c r="I3168" i="3"/>
  <c r="J3168" i="3"/>
  <c r="K3168" i="3"/>
  <c r="L3168" i="3"/>
  <c r="A3169" i="3"/>
  <c r="B3169" i="3"/>
  <c r="C3169" i="3"/>
  <c r="D3169" i="3"/>
  <c r="E3169" i="3"/>
  <c r="F3169" i="3"/>
  <c r="G3169" i="3"/>
  <c r="H3169" i="3"/>
  <c r="I3169" i="3"/>
  <c r="J3169" i="3"/>
  <c r="K3169" i="3"/>
  <c r="L3169" i="3"/>
  <c r="A3170" i="3"/>
  <c r="B3170" i="3"/>
  <c r="C3170" i="3"/>
  <c r="D3170" i="3"/>
  <c r="E3170" i="3"/>
  <c r="F3170" i="3"/>
  <c r="G3170" i="3"/>
  <c r="H3170" i="3"/>
  <c r="I3170" i="3"/>
  <c r="J3170" i="3"/>
  <c r="K3170" i="3"/>
  <c r="L3170" i="3"/>
  <c r="A3171" i="3"/>
  <c r="B3171" i="3"/>
  <c r="C3171" i="3"/>
  <c r="D3171" i="3"/>
  <c r="E3171" i="3"/>
  <c r="F3171" i="3"/>
  <c r="G3171" i="3"/>
  <c r="H3171" i="3"/>
  <c r="I3171" i="3"/>
  <c r="J3171" i="3"/>
  <c r="K3171" i="3"/>
  <c r="L3171" i="3"/>
  <c r="A3172" i="3"/>
  <c r="B3172" i="3"/>
  <c r="C3172" i="3"/>
  <c r="D3172" i="3"/>
  <c r="E3172" i="3"/>
  <c r="F3172" i="3"/>
  <c r="G3172" i="3"/>
  <c r="H3172" i="3"/>
  <c r="I3172" i="3"/>
  <c r="J3172" i="3"/>
  <c r="K3172" i="3"/>
  <c r="L3172" i="3"/>
  <c r="A3173" i="3"/>
  <c r="B3173" i="3"/>
  <c r="C3173" i="3"/>
  <c r="D3173" i="3"/>
  <c r="E3173" i="3"/>
  <c r="F3173" i="3"/>
  <c r="G3173" i="3"/>
  <c r="H3173" i="3"/>
  <c r="I3173" i="3"/>
  <c r="J3173" i="3"/>
  <c r="K3173" i="3"/>
  <c r="L3173" i="3"/>
  <c r="A3174" i="3"/>
  <c r="B3174" i="3"/>
  <c r="C3174" i="3"/>
  <c r="D3174" i="3"/>
  <c r="E3174" i="3"/>
  <c r="F3174" i="3"/>
  <c r="G3174" i="3"/>
  <c r="H3174" i="3"/>
  <c r="I3174" i="3"/>
  <c r="J3174" i="3"/>
  <c r="K3174" i="3"/>
  <c r="L3174" i="3"/>
  <c r="A3175" i="3"/>
  <c r="B3175" i="3"/>
  <c r="C3175" i="3"/>
  <c r="D3175" i="3"/>
  <c r="E3175" i="3"/>
  <c r="F3175" i="3"/>
  <c r="G3175" i="3"/>
  <c r="H3175" i="3"/>
  <c r="I3175" i="3"/>
  <c r="J3175" i="3"/>
  <c r="K3175" i="3"/>
  <c r="L3175" i="3"/>
  <c r="A3176" i="3"/>
  <c r="B3176" i="3"/>
  <c r="C3176" i="3"/>
  <c r="D3176" i="3"/>
  <c r="E3176" i="3"/>
  <c r="F3176" i="3"/>
  <c r="G3176" i="3"/>
  <c r="H3176" i="3"/>
  <c r="I3176" i="3"/>
  <c r="J3176" i="3"/>
  <c r="K3176" i="3"/>
  <c r="L3176" i="3"/>
  <c r="A3177" i="3"/>
  <c r="B3177" i="3"/>
  <c r="C3177" i="3"/>
  <c r="D3177" i="3"/>
  <c r="E3177" i="3"/>
  <c r="F3177" i="3"/>
  <c r="G3177" i="3"/>
  <c r="H3177" i="3"/>
  <c r="I3177" i="3"/>
  <c r="J3177" i="3"/>
  <c r="K3177" i="3"/>
  <c r="L3177" i="3"/>
  <c r="A3178" i="3"/>
  <c r="B3178" i="3"/>
  <c r="C3178" i="3"/>
  <c r="D3178" i="3"/>
  <c r="E3178" i="3"/>
  <c r="F3178" i="3"/>
  <c r="G3178" i="3"/>
  <c r="H3178" i="3"/>
  <c r="I3178" i="3"/>
  <c r="J3178" i="3"/>
  <c r="K3178" i="3"/>
  <c r="L3178" i="3"/>
  <c r="A3179" i="3"/>
  <c r="B3179" i="3"/>
  <c r="C3179" i="3"/>
  <c r="D3179" i="3"/>
  <c r="E3179" i="3"/>
  <c r="F3179" i="3"/>
  <c r="G3179" i="3"/>
  <c r="H3179" i="3"/>
  <c r="I3179" i="3"/>
  <c r="J3179" i="3"/>
  <c r="K3179" i="3"/>
  <c r="L3179" i="3"/>
  <c r="A3180" i="3"/>
  <c r="B3180" i="3"/>
  <c r="C3180" i="3"/>
  <c r="D3180" i="3"/>
  <c r="E3180" i="3"/>
  <c r="F3180" i="3"/>
  <c r="G3180" i="3"/>
  <c r="H3180" i="3"/>
  <c r="I3180" i="3"/>
  <c r="J3180" i="3"/>
  <c r="K3180" i="3"/>
  <c r="L3180" i="3"/>
  <c r="A3181" i="3"/>
  <c r="B3181" i="3"/>
  <c r="C3181" i="3"/>
  <c r="D3181" i="3"/>
  <c r="E3181" i="3"/>
  <c r="F3181" i="3"/>
  <c r="G3181" i="3"/>
  <c r="H3181" i="3"/>
  <c r="I3181" i="3"/>
  <c r="J3181" i="3"/>
  <c r="K3181" i="3"/>
  <c r="L3181" i="3"/>
  <c r="A3182" i="3"/>
  <c r="B3182" i="3"/>
  <c r="C3182" i="3"/>
  <c r="D3182" i="3"/>
  <c r="E3182" i="3"/>
  <c r="F3182" i="3"/>
  <c r="G3182" i="3"/>
  <c r="H3182" i="3"/>
  <c r="I3182" i="3"/>
  <c r="J3182" i="3"/>
  <c r="K3182" i="3"/>
  <c r="L3182" i="3"/>
  <c r="A3183" i="3"/>
  <c r="B3183" i="3"/>
  <c r="C3183" i="3"/>
  <c r="D3183" i="3"/>
  <c r="E3183" i="3"/>
  <c r="F3183" i="3"/>
  <c r="G3183" i="3"/>
  <c r="H3183" i="3"/>
  <c r="I3183" i="3"/>
  <c r="J3183" i="3"/>
  <c r="K3183" i="3"/>
  <c r="L3183" i="3"/>
  <c r="A3184" i="3"/>
  <c r="B3184" i="3"/>
  <c r="C3184" i="3"/>
  <c r="D3184" i="3"/>
  <c r="E3184" i="3"/>
  <c r="F3184" i="3"/>
  <c r="G3184" i="3"/>
  <c r="H3184" i="3"/>
  <c r="I3184" i="3"/>
  <c r="J3184" i="3"/>
  <c r="K3184" i="3"/>
  <c r="L3184" i="3"/>
  <c r="A3185" i="3"/>
  <c r="B3185" i="3"/>
  <c r="C3185" i="3"/>
  <c r="D3185" i="3"/>
  <c r="E3185" i="3"/>
  <c r="F3185" i="3"/>
  <c r="G3185" i="3"/>
  <c r="H3185" i="3"/>
  <c r="I3185" i="3"/>
  <c r="J3185" i="3"/>
  <c r="K3185" i="3"/>
  <c r="L3185" i="3"/>
  <c r="A3186" i="3"/>
  <c r="B3186" i="3"/>
  <c r="C3186" i="3"/>
  <c r="D3186" i="3"/>
  <c r="E3186" i="3"/>
  <c r="F3186" i="3"/>
  <c r="G3186" i="3"/>
  <c r="H3186" i="3"/>
  <c r="I3186" i="3"/>
  <c r="J3186" i="3"/>
  <c r="K3186" i="3"/>
  <c r="L3186" i="3"/>
  <c r="I2686" i="1"/>
  <c r="A1" i="3" l="1"/>
  <c r="L3188" i="3"/>
  <c r="L3189" i="3"/>
  <c r="L3190" i="3"/>
  <c r="I3" i="3" l="1"/>
  <c r="C3" i="3"/>
  <c r="L3" i="3" l="1"/>
  <c r="J3" i="3"/>
  <c r="H3" i="3"/>
  <c r="D3188" i="3" s="1"/>
  <c r="G3" i="3"/>
  <c r="E3" i="3"/>
  <c r="F3" i="3"/>
  <c r="D3" i="3"/>
  <c r="B3" i="3"/>
  <c r="A3" i="3"/>
  <c r="K3" i="3"/>
</calcChain>
</file>

<file path=xl/sharedStrings.xml><?xml version="1.0" encoding="utf-8"?>
<sst xmlns="http://schemas.openxmlformats.org/spreadsheetml/2006/main" count="34413" uniqueCount="3426">
  <si>
    <t>DATA</t>
  </si>
  <si>
    <t>Nº DE ORÇA</t>
  </si>
  <si>
    <t>RELATÓRIO ORCAMENTOS</t>
  </si>
  <si>
    <t>NOME DA OBRA</t>
  </si>
  <si>
    <t>VENDEDOR</t>
  </si>
  <si>
    <t>CONTATO</t>
  </si>
  <si>
    <t>VALOR</t>
  </si>
  <si>
    <t>M2</t>
  </si>
  <si>
    <t>PROJETISTA</t>
  </si>
  <si>
    <t>ESPECIFICAÇÕES</t>
  </si>
  <si>
    <t>PRIORIDADE</t>
  </si>
  <si>
    <t>CONCORRENTE</t>
  </si>
  <si>
    <t>-</t>
  </si>
  <si>
    <t>Gabriel</t>
  </si>
  <si>
    <t>VALOR CONCORRENTE</t>
  </si>
  <si>
    <t>Pedro</t>
  </si>
  <si>
    <t>COMISSÃO  10mm</t>
  </si>
  <si>
    <t>COMISSÃO  20mm</t>
  </si>
  <si>
    <t>COMISSÃO  30mm</t>
  </si>
  <si>
    <t>a</t>
  </si>
  <si>
    <t>Fernando</t>
  </si>
  <si>
    <t>COMPRA</t>
  </si>
  <si>
    <t>AIR SUPPLY</t>
  </si>
  <si>
    <t>INOVECTOR</t>
  </si>
  <si>
    <t>Cristina</t>
  </si>
  <si>
    <t>KEEVA TEIC</t>
  </si>
  <si>
    <t>Michel</t>
  </si>
  <si>
    <t>Rachel</t>
  </si>
  <si>
    <t>SOLAR AR</t>
  </si>
  <si>
    <t>HOSPITAL DE REGISTRO - SIRIO LIBANES - DUTOS CENTRO CIRURGICO</t>
  </si>
  <si>
    <t>Claudenir</t>
  </si>
  <si>
    <t>HOSP. MORUMBI_SADT</t>
  </si>
  <si>
    <t>Eliete</t>
  </si>
  <si>
    <t>REWELL OTAVIO</t>
  </si>
  <si>
    <t>ENG BRUNO NY TOWER</t>
  </si>
  <si>
    <t>Rewell</t>
  </si>
  <si>
    <t>VILLA LOBOS - REQ 2.04</t>
  </si>
  <si>
    <t>RESIDENCIA UNIFAMILIAR - FERNANDO PORTOLANI DE ANDRADE</t>
  </si>
  <si>
    <t>SALA 104 - NY TOWER - ARACATUBA - SP</t>
  </si>
  <si>
    <t>GRUPO R1</t>
  </si>
  <si>
    <t>Janaina</t>
  </si>
  <si>
    <t>AWA AR CONDICIONADO</t>
  </si>
  <si>
    <t>ATACADAO - LAURO DE FREITAS CAJI - BA</t>
  </si>
  <si>
    <t>Guilherme</t>
  </si>
  <si>
    <t>Maria Julia</t>
  </si>
  <si>
    <t>CONSTARCO</t>
  </si>
  <si>
    <t>Fabricio</t>
  </si>
  <si>
    <t>ANALIA FRANCO - REQ 2.03</t>
  </si>
  <si>
    <t>HOSP.OSASCO - REQ 2.04</t>
  </si>
  <si>
    <t>ASSAI ATACADISTA - SJRP PALESTRA - RENOVACAO</t>
  </si>
  <si>
    <t>GSA DUTOS</t>
  </si>
  <si>
    <t>Geraldo</t>
  </si>
  <si>
    <t>CATELAN</t>
  </si>
  <si>
    <t>Priscila</t>
  </si>
  <si>
    <t>DUCTBUSTERS</t>
  </si>
  <si>
    <t>Camila</t>
  </si>
  <si>
    <t>AIRPLAN</t>
  </si>
  <si>
    <t>SHOPPING CENTER - MISTRAL - JK IGUATEMI</t>
  </si>
  <si>
    <t>Laercio</t>
  </si>
  <si>
    <t>CIVIL AR</t>
  </si>
  <si>
    <t>THYSSENKRUPP - POÇOS DE CALDAS - MG</t>
  </si>
  <si>
    <t>Atila</t>
  </si>
  <si>
    <t>EKO CLIMAX</t>
  </si>
  <si>
    <t>Rogerio</t>
  </si>
  <si>
    <t>FECHADO</t>
  </si>
  <si>
    <t>FAZENG</t>
  </si>
  <si>
    <t>CLÍNICA PAULISTA - 13º ANDAR - BELA VISTA - SP</t>
  </si>
  <si>
    <t>Andrey</t>
  </si>
  <si>
    <t>HELP AIR</t>
  </si>
  <si>
    <t>Joyce</t>
  </si>
  <si>
    <t>DUTOLEVE</t>
  </si>
  <si>
    <t>GESTAMP - TATUAPE - SP</t>
  </si>
  <si>
    <t>Newton</t>
  </si>
  <si>
    <t>ORCAMENTO</t>
  </si>
  <si>
    <t>COLD SPACE</t>
  </si>
  <si>
    <t>N/E</t>
  </si>
  <si>
    <t>CHAPA DE ACO GALVANIZADO</t>
  </si>
  <si>
    <t>ARCO +</t>
  </si>
  <si>
    <t>PLANENRAC</t>
  </si>
  <si>
    <t>FORTIORE SP</t>
  </si>
  <si>
    <t>MPU</t>
  </si>
  <si>
    <t>FEZENG</t>
  </si>
  <si>
    <t>MLF ENGENHARIA</t>
  </si>
  <si>
    <t>INSTALADOR</t>
  </si>
  <si>
    <t>MOTIVO</t>
  </si>
  <si>
    <t>STATUS</t>
  </si>
  <si>
    <t>VALOR BRUTO</t>
  </si>
  <si>
    <t>AMS INSTALACOES</t>
  </si>
  <si>
    <t>COMPER - BELVEDERE</t>
  </si>
  <si>
    <t>Almir</t>
  </si>
  <si>
    <t>INTEG ENGENHARIA</t>
  </si>
  <si>
    <t>Angela</t>
  </si>
  <si>
    <t>ENEBRAS</t>
  </si>
  <si>
    <t>3671_GRAAC - 3671-24 - GRAAC - 1° E 7° ANDAR</t>
  </si>
  <si>
    <t>Bruna</t>
  </si>
  <si>
    <t>UNION RHAC</t>
  </si>
  <si>
    <t>NISSIN CHOCOLATE</t>
  </si>
  <si>
    <t>Emanuel</t>
  </si>
  <si>
    <t>Vinicius</t>
  </si>
  <si>
    <t>ADALTA ENGENHARIA</t>
  </si>
  <si>
    <t>COPERMED - POUSO ALGRE - MG</t>
  </si>
  <si>
    <t>Joao</t>
  </si>
  <si>
    <t>K SET</t>
  </si>
  <si>
    <t>COLDTERMICA</t>
  </si>
  <si>
    <t>RNR - FLAMBOYANT - GO</t>
  </si>
  <si>
    <t>Gabriella</t>
  </si>
  <si>
    <t>R1 SOLUCOES</t>
  </si>
  <si>
    <t>GF ENGENHARIA</t>
  </si>
  <si>
    <t>Ricardo</t>
  </si>
  <si>
    <t>NEWSET</t>
  </si>
  <si>
    <t>HOSPITAL SABARA</t>
  </si>
  <si>
    <t xml:space="preserve">Aldavir </t>
  </si>
  <si>
    <t>Rodrigo</t>
  </si>
  <si>
    <t>HOSPITAL SÃO LUIZ - OSASCO</t>
  </si>
  <si>
    <t>Felipe</t>
  </si>
  <si>
    <t>AIR GREEN</t>
  </si>
  <si>
    <t>Renata</t>
  </si>
  <si>
    <t>CARLOS ANTONIO</t>
  </si>
  <si>
    <t>LABORATÓRIO QUÍMICO FARMACÊUTICO DA AERONÁUTICA - LAQFA</t>
  </si>
  <si>
    <t>Carlos</t>
  </si>
  <si>
    <t>ATACADAO - PALMAS III - TO</t>
  </si>
  <si>
    <t>Genilson</t>
  </si>
  <si>
    <t>ATACADAO - LOJA OSASCO PANORAMICA II - SP</t>
  </si>
  <si>
    <t>ATACADAO - REDENCAO - PA</t>
  </si>
  <si>
    <t>ENGEMAC</t>
  </si>
  <si>
    <t>HOSPITAL UNIMED - BLOCO 2 - SÃO CARLOS - SP</t>
  </si>
  <si>
    <t>BOM CLIMA</t>
  </si>
  <si>
    <t>Roberto</t>
  </si>
  <si>
    <t>HARCO ENGENHARIA</t>
  </si>
  <si>
    <t>Andre</t>
  </si>
  <si>
    <t>AR SISTEMAS</t>
  </si>
  <si>
    <t>Thatila</t>
  </si>
  <si>
    <t>CAMALEAO ENGENHARIA</t>
  </si>
  <si>
    <t>GRAU ENGENHARIA</t>
  </si>
  <si>
    <t>PERDIDO</t>
  </si>
  <si>
    <t>MULTIVAC</t>
  </si>
  <si>
    <t>COND. PGTO</t>
  </si>
  <si>
    <t>ECOLOGIC AIR</t>
  </si>
  <si>
    <t>RESUMO DOS ORÇAMENTOS - ALU-PIR</t>
  </si>
  <si>
    <t>Data</t>
  </si>
  <si>
    <t>Número</t>
  </si>
  <si>
    <t xml:space="preserve">Cliente </t>
  </si>
  <si>
    <t xml:space="preserve">Obra </t>
  </si>
  <si>
    <t>Vendedor</t>
  </si>
  <si>
    <t>Contato</t>
  </si>
  <si>
    <t>Valor</t>
  </si>
  <si>
    <t>ATUALIZAÇÃO</t>
  </si>
  <si>
    <t>GRANDVISION - SHOPPING PAULISTA</t>
  </si>
  <si>
    <t>Marcio</t>
  </si>
  <si>
    <t>GENILSON GERALDO</t>
  </si>
  <si>
    <t>ATACADAO - LAURO DE FREITAS - BA</t>
  </si>
  <si>
    <t>SCS ENGENHARIA</t>
  </si>
  <si>
    <t>Christopher</t>
  </si>
  <si>
    <t>LEGIAO DA BOA VONTADE - BOM RETIRO - SP</t>
  </si>
  <si>
    <t>Edmilson</t>
  </si>
  <si>
    <t>QUALITY AIR</t>
  </si>
  <si>
    <t>WHITE &amp; CASE - FARIA LIMA - SP</t>
  </si>
  <si>
    <t>MIX - BOA VIAGEM - PE</t>
  </si>
  <si>
    <t>Marcela</t>
  </si>
  <si>
    <t>CBS SIDER SHOPPING - VOLTA REDONDA - RJ</t>
  </si>
  <si>
    <t>TEKNOAR</t>
  </si>
  <si>
    <t>HOSPITAL BENEFICIENTE - DONA ELMIRIA SILVEIRO BARBOSA</t>
  </si>
  <si>
    <t>Mario</t>
  </si>
  <si>
    <t>GLOBAL AR CONDICIONADO</t>
  </si>
  <si>
    <t>PROMEDON - SOROCABA - SP</t>
  </si>
  <si>
    <t>ECOTHERM</t>
  </si>
  <si>
    <t>HOSPITAL DE FRANCA</t>
  </si>
  <si>
    <t>Selma</t>
  </si>
  <si>
    <t>RM3 ENGENHARIA</t>
  </si>
  <si>
    <t>MERCADÃO ATACADISTA ENSEADA - GUARUJA - SP</t>
  </si>
  <si>
    <t>Diego</t>
  </si>
  <si>
    <t>TARKAT REFRIGERACAO</t>
  </si>
  <si>
    <t>Artur</t>
  </si>
  <si>
    <t>EBM ENGENHARIA</t>
  </si>
  <si>
    <t>BANDEIRAS CENTRO EMPRESARIAL - PROTESTANTES -VOTORANTIM</t>
  </si>
  <si>
    <t>Laelda</t>
  </si>
  <si>
    <t>WELLNESS</t>
  </si>
  <si>
    <t>Ivanise</t>
  </si>
  <si>
    <t>FIDELISAR</t>
  </si>
  <si>
    <t>HAPVIDA - CLINICA SOROCABA - SP</t>
  </si>
  <si>
    <t>Edson</t>
  </si>
  <si>
    <t>NIKE UNITE - SANTA MARIA OUTLET</t>
  </si>
  <si>
    <t>Lenah</t>
  </si>
  <si>
    <t>D'FAMY EMPREENDIMENTOS - OSASCO - SÃO PAULO - SP</t>
  </si>
  <si>
    <t>RNR - SHOP MORUMBI - SP</t>
  </si>
  <si>
    <t>Albertino</t>
  </si>
  <si>
    <t>VOAR AVIATION</t>
  </si>
  <si>
    <t>Roniel</t>
  </si>
  <si>
    <t>MASSER REFRIGERACAO</t>
  </si>
  <si>
    <t>Claudemir</t>
  </si>
  <si>
    <t>RDS ENGENHARIA</t>
  </si>
  <si>
    <t>MAXI SHOPPING</t>
  </si>
  <si>
    <t>SUPERMERCADO TAUSTE</t>
  </si>
  <si>
    <t>MARQUI SOLUCOES E PROJETOS</t>
  </si>
  <si>
    <t>ALUPIR</t>
  </si>
  <si>
    <t>MAC ENGENHARIA E CLIMATIZACAO</t>
  </si>
  <si>
    <t>LEONE ENGENHARIA</t>
  </si>
  <si>
    <t>ORFEU CAFÉ - FAZENDA SERTÃOZINHO - BOTELHOS - MG</t>
  </si>
  <si>
    <t>Adriano</t>
  </si>
  <si>
    <t>BARTIRA - REQ 2.04</t>
  </si>
  <si>
    <t>UNIMED JAÚ - AMPLIAÇÃO UTI</t>
  </si>
  <si>
    <t>Sandro</t>
  </si>
  <si>
    <t>ADRIATIC</t>
  </si>
  <si>
    <t>C&amp;A - SHOPPING VALINHOS - SP</t>
  </si>
  <si>
    <t>CONFORTO ENGENHARIA</t>
  </si>
  <si>
    <t>HOSPITAL MUNICIPAL - DOUTOR FERNANDO MAURO PIRES DA ROCHA - VILA MARACANA</t>
  </si>
  <si>
    <t>COLD CONTROL</t>
  </si>
  <si>
    <t>SUPERMERCADOS PIERIM - LOJA 07 - SÃO JOSE DO RIO PARDO</t>
  </si>
  <si>
    <t>FL HVAC</t>
  </si>
  <si>
    <t>SMART FIT - BUCAREIN - JOINVILLE - SC</t>
  </si>
  <si>
    <t>Ynnaie</t>
  </si>
  <si>
    <t>SMART FIT - SÃO MIGUEL PAULISTA 3 - SP</t>
  </si>
  <si>
    <t>AIR NET</t>
  </si>
  <si>
    <t>Santa Casa - RM13</t>
  </si>
  <si>
    <t>SMART FIT - SÃO GONCALO BARCELOS - VISTA ALEGE - RJ</t>
  </si>
  <si>
    <t>HVAC ENGENHARIA</t>
  </si>
  <si>
    <t>Alvaro</t>
  </si>
  <si>
    <t>THERMOMATIC</t>
  </si>
  <si>
    <t>Calil</t>
  </si>
  <si>
    <t>LC ARQUITETURA  E ENGENHARIA</t>
  </si>
  <si>
    <t>SISTEMAS ENGENHARIA</t>
  </si>
  <si>
    <t>TERMOCLIMA ENGENHARIA</t>
  </si>
  <si>
    <t>ACO GALVANIZADO</t>
  </si>
  <si>
    <t>CONTRAT AR</t>
  </si>
  <si>
    <t>422-24 - JHSF -Usina - Adt</t>
  </si>
  <si>
    <t>Fabio</t>
  </si>
  <si>
    <t>CANCELADO</t>
  </si>
  <si>
    <t>ESPECIFICAÇÃO</t>
  </si>
  <si>
    <t>Aguardando aprovação</t>
  </si>
  <si>
    <t>Apenas consulta</t>
  </si>
  <si>
    <t>Negociando</t>
  </si>
  <si>
    <t>Proposta reenviada</t>
  </si>
  <si>
    <t>NOVA SEDE - SICOOB AGROCREDI - GUAXUPE - MG</t>
  </si>
  <si>
    <t>PU DUTOS</t>
  </si>
  <si>
    <t>DM SERVICOS EM GERAL - AREA DE MOAGEM</t>
  </si>
  <si>
    <t>Thiago</t>
  </si>
  <si>
    <t>AIR TIME</t>
  </si>
  <si>
    <t>CAISM - CENTRO DE ATENÇÃO INTEGRADA A SAÚDE DA MULHER - JUNDIAI - SP</t>
  </si>
  <si>
    <t>Renan</t>
  </si>
  <si>
    <t>MONTES CLIMA</t>
  </si>
  <si>
    <t>BRISA AR CONDICIONADO</t>
  </si>
  <si>
    <t>VALGROUP LTDA - LORENA - SP</t>
  </si>
  <si>
    <t>Sidnei</t>
  </si>
  <si>
    <t>NEW AIR</t>
  </si>
  <si>
    <t>Igor</t>
  </si>
  <si>
    <t>HITECH INSTALACOES</t>
  </si>
  <si>
    <t>STUDIO VILA ANDRADE - SP</t>
  </si>
  <si>
    <t>Edmundo</t>
  </si>
  <si>
    <t>ATACADAO - BANGU SHOPPING - RJ</t>
  </si>
  <si>
    <t>RENNER SHOPPING MORUMBI - SÃO PAULO - SP</t>
  </si>
  <si>
    <t>WHITE &amp; CASE</t>
  </si>
  <si>
    <t>Rafael</t>
  </si>
  <si>
    <t>COLD SERVICE</t>
  </si>
  <si>
    <t>C&amp;A MODAS - PARTAGE SHOPPING JARAGUA SUL - SC</t>
  </si>
  <si>
    <t>Walyson</t>
  </si>
  <si>
    <t>ADL DUTOS</t>
  </si>
  <si>
    <t>AR SET</t>
  </si>
  <si>
    <t>Lais</t>
  </si>
  <si>
    <t>REFRISAT</t>
  </si>
  <si>
    <t>Amaro</t>
  </si>
  <si>
    <t>INOVACAO AR</t>
  </si>
  <si>
    <t>Maycon</t>
  </si>
  <si>
    <t>VENETO</t>
  </si>
  <si>
    <t>Daniel</t>
  </si>
  <si>
    <t>COFCO SANTOS</t>
  </si>
  <si>
    <t>RESIDENCIA - 3º PAVIMENTO - SÃO GOTARGO - MG</t>
  </si>
  <si>
    <t>ALVE AR</t>
  </si>
  <si>
    <t>CLINICA DR DIORIVANO</t>
  </si>
  <si>
    <t>Jose</t>
  </si>
  <si>
    <t>ATACADAO - PAU DA LIMA - SALVADOR - BA</t>
  </si>
  <si>
    <t>Alexandre</t>
  </si>
  <si>
    <t>QUALI AR CONDICIONADO</t>
  </si>
  <si>
    <t>STUDIO MARILIA - MARILIA - SP</t>
  </si>
  <si>
    <t>RECLIMA</t>
  </si>
  <si>
    <t>GAVIOES - ARACATI - CE</t>
  </si>
  <si>
    <t>Henrique</t>
  </si>
  <si>
    <t>RICH ENGENHARIA</t>
  </si>
  <si>
    <t>RESIDENCIA UNIFAMILIAR - CONDOMINIO VILA REAL - ITU - SP</t>
  </si>
  <si>
    <t>BARTIRA - REQ 2.05</t>
  </si>
  <si>
    <t>MULTICLINICAS - JOAQUIM FLORIANO - SÃO PAULO - SP</t>
  </si>
  <si>
    <t>ATACADAO - BANGU SHOPPING - RIO DE JANEIRO - RJ</t>
  </si>
  <si>
    <t>ABPF - UNIDADE MORUMBI - SÃO PAULO - SP</t>
  </si>
  <si>
    <t>Jandilson</t>
  </si>
  <si>
    <t>ECOWORK</t>
  </si>
  <si>
    <t>COTACAO: SOMT 66</t>
  </si>
  <si>
    <t>Julyane</t>
  </si>
  <si>
    <t>SP1 ENGENHARIA</t>
  </si>
  <si>
    <t>CLINICA VETERINARIA - UNITAU - TAUBATE - SP</t>
  </si>
  <si>
    <t>Silvio</t>
  </si>
  <si>
    <t>MARCIA AUGUSTO</t>
  </si>
  <si>
    <t>Lojão Filhos do Rei</t>
  </si>
  <si>
    <t>Marcia</t>
  </si>
  <si>
    <t>NISSIN - PR</t>
  </si>
  <si>
    <t>HOSPITAL ITAIM - SÃO PAULO - SP</t>
  </si>
  <si>
    <t>Silvia</t>
  </si>
  <si>
    <t>BBT CLIMATIZACAO</t>
  </si>
  <si>
    <t>LOGIPROJECT</t>
  </si>
  <si>
    <t>FACILITAS</t>
  </si>
  <si>
    <t>SO AR CLIMATIZACAO</t>
  </si>
  <si>
    <t>SUPERMERCADO PIERIM - LOJA 07 - SÃO JOSE DO RIO PARDO - SP</t>
  </si>
  <si>
    <t>PREVISÃO FEV/25</t>
  </si>
  <si>
    <t>CESTAC</t>
  </si>
  <si>
    <t>Eduardo</t>
  </si>
  <si>
    <t>M&amp;L SOLUCOES</t>
  </si>
  <si>
    <t>ASSAÍ ADÉLIA FRANCO - ARACAJU-SE</t>
  </si>
  <si>
    <t>BOLSA DE IMOVEIS - EDIFICIO FARIA LIMA 2</t>
  </si>
  <si>
    <t>ARB ASSESSORIA</t>
  </si>
  <si>
    <t>Abdul</t>
  </si>
  <si>
    <t>ASF SERVICOS</t>
  </si>
  <si>
    <t xml:space="preserve">DIAGRAMA AR </t>
  </si>
  <si>
    <t>BBB - EMBU DAS ARTES</t>
  </si>
  <si>
    <t>MJ CLIMATIZACAO</t>
  </si>
  <si>
    <t>MERCADO EXTRA - JOAO ABEL - PERUIBE - SP</t>
  </si>
  <si>
    <t>Andreia</t>
  </si>
  <si>
    <t>FRIOSHOPPING</t>
  </si>
  <si>
    <t>IVTEC</t>
  </si>
  <si>
    <t>USP RIBEIRÃO PRETO</t>
  </si>
  <si>
    <t>Wellington</t>
  </si>
  <si>
    <t>OSPITAL SÃO LUIZ - ALPHAMED - UTI - ENDOSCOPIA</t>
  </si>
  <si>
    <t>Gustavo</t>
  </si>
  <si>
    <t>Domicio</t>
  </si>
  <si>
    <t>CLIMA SPACE</t>
  </si>
  <si>
    <t>Sirley</t>
  </si>
  <si>
    <t>ALECRIM FESTAS</t>
  </si>
  <si>
    <t>TGE ENERGIA</t>
  </si>
  <si>
    <t>Ronnie</t>
  </si>
  <si>
    <t>D'FAMY EMPREENDIMENTOS E PARTICIPACOES - OSASCO - SP</t>
  </si>
  <si>
    <t>ENFOSOL ENGENHARIA</t>
  </si>
  <si>
    <t>GRACO - JUNDIAI - SP</t>
  </si>
  <si>
    <t>Pamela</t>
  </si>
  <si>
    <t>CELSO DE LIMA</t>
  </si>
  <si>
    <t>Celso</t>
  </si>
  <si>
    <t>POUPAKI OSASCO</t>
  </si>
  <si>
    <t>TNAC ENGENHARIA</t>
  </si>
  <si>
    <t>TEATRO ECA</t>
  </si>
  <si>
    <t>Nara</t>
  </si>
  <si>
    <t>SESIL AR</t>
  </si>
  <si>
    <t>Luciana</t>
  </si>
  <si>
    <t>X AIR</t>
  </si>
  <si>
    <t>Isabela</t>
  </si>
  <si>
    <t>MECALOR</t>
  </si>
  <si>
    <t>Adhalid</t>
  </si>
  <si>
    <t>PRINSTARC</t>
  </si>
  <si>
    <t>NOTEDRAME TABOAO</t>
  </si>
  <si>
    <t>Glauco</t>
  </si>
  <si>
    <t>COPERMED</t>
  </si>
  <si>
    <t>Andressa</t>
  </si>
  <si>
    <t>EDIFICIO FARIA LIMA 2</t>
  </si>
  <si>
    <t>SENSCO</t>
  </si>
  <si>
    <t>G FORMA SISTEMAS LTDA</t>
  </si>
  <si>
    <t>Gardner</t>
  </si>
  <si>
    <t>EDL ENGENHARIA</t>
  </si>
  <si>
    <t>SMART FIT - PERUIBE - SP</t>
  </si>
  <si>
    <t>HEATING COOLING</t>
  </si>
  <si>
    <t>ERGO ENGENHARIA</t>
  </si>
  <si>
    <t>CLIMAARC</t>
  </si>
  <si>
    <t>PIRACAM</t>
  </si>
  <si>
    <t>GAVAZZI ENGENHARIA</t>
  </si>
  <si>
    <t>HIPER TEREZINA JOÃO XXIII - GRUPO MATEUS</t>
  </si>
  <si>
    <t>Aguardando retorno - Previsão comço do mês</t>
  </si>
  <si>
    <t>Aguardando o OK para finalizar a compra</t>
  </si>
  <si>
    <t>PRINSTARC ENGENHARIA</t>
  </si>
  <si>
    <t>SURF CLUB</t>
  </si>
  <si>
    <t>NEXT DUCT</t>
  </si>
  <si>
    <t>HOSP. ANALIA_FRANCO_ MAMOGRAFIA - REQ 2. 03</t>
  </si>
  <si>
    <t>Aguardando a aprovaçao até o começo de fev</t>
  </si>
  <si>
    <t>HOSPITAL MARIAO COVAS - ILHABELA</t>
  </si>
  <si>
    <t>AVANT ENGENHARIA</t>
  </si>
  <si>
    <t>Marcelo</t>
  </si>
  <si>
    <t>Anderson</t>
  </si>
  <si>
    <t>CLIMAPALA</t>
  </si>
  <si>
    <t>FEITO EM CHAPA</t>
  </si>
  <si>
    <t>OBRA INOVACAO AR</t>
  </si>
  <si>
    <t>ARCOTEC</t>
  </si>
  <si>
    <t>PREÇO</t>
  </si>
  <si>
    <t>Janice</t>
  </si>
  <si>
    <t>JGTEC</t>
  </si>
  <si>
    <t>Milena</t>
  </si>
  <si>
    <t>HEBERT FELIPE</t>
  </si>
  <si>
    <t>Hebert</t>
  </si>
  <si>
    <t>SVNG - SERTAOZINHO - SP</t>
  </si>
  <si>
    <t>Angelica</t>
  </si>
  <si>
    <t>SOFTCLIMA</t>
  </si>
  <si>
    <t>Rubens</t>
  </si>
  <si>
    <t>FLEURY CAMPINA</t>
  </si>
  <si>
    <t>MATEUS SUPERMERCADOS - LOJA COHATRAC - SÃO JOSE DO RIBAMAR - MA</t>
  </si>
  <si>
    <t>OPHTHALMOS</t>
  </si>
  <si>
    <t>PARQUES SÃO DOMINGOS - SÃO PAULO - SP</t>
  </si>
  <si>
    <t>MONDARC</t>
  </si>
  <si>
    <t>ADIDAS - SHOPPING ARICANDUVA</t>
  </si>
  <si>
    <t>Matheus</t>
  </si>
  <si>
    <t>MOVE AR</t>
  </si>
  <si>
    <t>Debora</t>
  </si>
  <si>
    <t>LTX CLIMATIZACAO</t>
  </si>
  <si>
    <t>FAST SHOP</t>
  </si>
  <si>
    <t>David</t>
  </si>
  <si>
    <t>SMART FIT - PIRACICABA - SP</t>
  </si>
  <si>
    <t>Rebeca</t>
  </si>
  <si>
    <t>FAZENDA BOA VISTA</t>
  </si>
  <si>
    <t>SMART FIT - TABOAO SPITA - TABOAO DA SERRA - SP</t>
  </si>
  <si>
    <t>CLIMAPRESS</t>
  </si>
  <si>
    <t>AMPLIACAO - HOSPITAL ASSUNCAO</t>
  </si>
  <si>
    <t>Vainer</t>
  </si>
  <si>
    <t>BMS ENGENHARIA</t>
  </si>
  <si>
    <t>OBRAMAX - SÃO GONCALO - RIO DE JANEIRO - RJ</t>
  </si>
  <si>
    <t>Aleison</t>
  </si>
  <si>
    <t>SMART FIT - PINHAIS 2 - PR</t>
  </si>
  <si>
    <t>Beatriz</t>
  </si>
  <si>
    <t>BELLY NESTLE - PREDIO A</t>
  </si>
  <si>
    <t>REDE DOR SÃO LUIZ - HOSPITAL ITAIM - RM - SÃO PAULO - SP</t>
  </si>
  <si>
    <t>Kaio</t>
  </si>
  <si>
    <t>ISOTEMP</t>
  </si>
  <si>
    <t>WHITE &amp; CASE - FARIA LIMA - SÃO PAULO - SP</t>
  </si>
  <si>
    <t>Caique</t>
  </si>
  <si>
    <t>COOLING HVAC</t>
  </si>
  <si>
    <t>EXAUSTAR</t>
  </si>
  <si>
    <t>CAMICADO - SHOPPING VITORIA - ES</t>
  </si>
  <si>
    <t>Paula</t>
  </si>
  <si>
    <t>SOLLO ENGENHARIA</t>
  </si>
  <si>
    <t>Bia</t>
  </si>
  <si>
    <t>AEROPORTO DE CONGONHAS - SÃO PAULO - SP</t>
  </si>
  <si>
    <t>JA SANTANA</t>
  </si>
  <si>
    <t>Jonatas</t>
  </si>
  <si>
    <t>CARTERS - JUNDIAI SHOPPING</t>
  </si>
  <si>
    <t>Hugo</t>
  </si>
  <si>
    <t>FANCOLD SERVICE</t>
  </si>
  <si>
    <t>VOA - SP</t>
  </si>
  <si>
    <t>Luis</t>
  </si>
  <si>
    <t>SMARTFRIO</t>
  </si>
  <si>
    <t>Delsinho</t>
  </si>
  <si>
    <t>AR AR ENGENHARIA</t>
  </si>
  <si>
    <t>EDGE - BIOMETRANO VERDE PAULINIA</t>
  </si>
  <si>
    <t>Antonio</t>
  </si>
  <si>
    <t>ACSISTEM</t>
  </si>
  <si>
    <t>AIR COOLER</t>
  </si>
  <si>
    <t>KARINA PLASTICOS - LABORATORIO MODULO III</t>
  </si>
  <si>
    <t>SHIBATA</t>
  </si>
  <si>
    <t>EUROFARMA</t>
  </si>
  <si>
    <t>Marcos</t>
  </si>
  <si>
    <t>Vilma</t>
  </si>
  <si>
    <t>ENERGY AIR</t>
  </si>
  <si>
    <t>EDGE - BIOMETANO VERDE PAULINIA - PAULINIA / SP</t>
  </si>
  <si>
    <t>CACAU SHOW LINHARES ES</t>
  </si>
  <si>
    <t>PACOTE</t>
  </si>
  <si>
    <t>ENGPLAN</t>
  </si>
  <si>
    <t>PREV JULHO 2025</t>
  </si>
  <si>
    <t>Clevison</t>
  </si>
  <si>
    <t>CAMICADO - VILLA ROMANA - FLORIANOPOLIS - SC</t>
  </si>
  <si>
    <t>Filipe</t>
  </si>
  <si>
    <t>THERMOCLIMA</t>
  </si>
  <si>
    <t>ANHANGABAU - JUNDIAI - SP</t>
  </si>
  <si>
    <t>Sumany</t>
  </si>
  <si>
    <t>CENTRAL CLIMATIZA</t>
  </si>
  <si>
    <t>Fernanda</t>
  </si>
  <si>
    <t>Jessica</t>
  </si>
  <si>
    <t>BYD CAMAÇARI</t>
  </si>
  <si>
    <t>VM PROJETOS</t>
  </si>
  <si>
    <t>ENERPRO</t>
  </si>
  <si>
    <t>K2P PROJETOS</t>
  </si>
  <si>
    <t>TERMODATTA ENGENHARIA</t>
  </si>
  <si>
    <t>AF ENGENHARIA</t>
  </si>
  <si>
    <t>RS ENGENHARIA</t>
  </si>
  <si>
    <t>CLUBE TERMAS DE ITU II ACADEMIA TERRAS 2 - ITU - SP</t>
  </si>
  <si>
    <t>CLUBE TERMAS DE ITU II ACADEMIA TERRAS 2 - ITU - SP - PISCINA OPCAO 1</t>
  </si>
  <si>
    <t>CLUBE TERMAS DE ITU II ACADEMIA TERRAS 2 - ITU - SP - PISCINA OPCAO 2</t>
  </si>
  <si>
    <t>ARCON AIR</t>
  </si>
  <si>
    <t>PS SÃO MATEUS</t>
  </si>
  <si>
    <t>Karina</t>
  </si>
  <si>
    <t>PETZ - MOGI DAS CRUZES - SP</t>
  </si>
  <si>
    <t>DSP - NOVA ODESSA - SP</t>
  </si>
  <si>
    <t>CLIMTEC</t>
  </si>
  <si>
    <t>Sergio</t>
  </si>
  <si>
    <t>ITAUSA</t>
  </si>
  <si>
    <t>Armando</t>
  </si>
  <si>
    <t>INOVAR</t>
  </si>
  <si>
    <t>BLS MEDICAL COMERCIO</t>
  </si>
  <si>
    <t>AEROPORTO INTERNACIONAL DE SÃO PAULO - GUARULHOS</t>
  </si>
  <si>
    <t>AIRVEN</t>
  </si>
  <si>
    <t>AEROPORTO DE GUARULHOS</t>
  </si>
  <si>
    <t>CEMED_JOSE - REQ 2.01</t>
  </si>
  <si>
    <t>REDE DOR SÃO LUIZ - HCO - TOMOGRAFIA</t>
  </si>
  <si>
    <t>CLIMATIZAÇÃO CD ITATUBA - EMBU DAS ARTES - SP</t>
  </si>
  <si>
    <t>VANESSA OLIVEIRA</t>
  </si>
  <si>
    <t>Vanessa</t>
  </si>
  <si>
    <t>SPANI - SÃO JOAO DA BOA VISTA - SP</t>
  </si>
  <si>
    <t>Welly</t>
  </si>
  <si>
    <t>Hospital Atibaia CC 2430</t>
  </si>
  <si>
    <t>FRANCA CLIMATIZADORES</t>
  </si>
  <si>
    <t>Davi</t>
  </si>
  <si>
    <t>HOSPITAL VARZEA</t>
  </si>
  <si>
    <t>Kaine</t>
  </si>
  <si>
    <t>Denis</t>
  </si>
  <si>
    <t>TECNO AIR</t>
  </si>
  <si>
    <t>ARP ENGENHARIA</t>
  </si>
  <si>
    <t>SESC PARATY - TERREO</t>
  </si>
  <si>
    <t>Stephanie</t>
  </si>
  <si>
    <t>GELOMAC</t>
  </si>
  <si>
    <t>CN COLD</t>
  </si>
  <si>
    <t>INDUSTRIA DE PAES</t>
  </si>
  <si>
    <t>UBS - JARDIM HELENA</t>
  </si>
  <si>
    <t>VALMY JOSE</t>
  </si>
  <si>
    <t>BANCO CENTRAL DO BRASIL - EDIFICIO BACEN - SP</t>
  </si>
  <si>
    <t>Valmy</t>
  </si>
  <si>
    <t>NISSIN CHOCOLATES</t>
  </si>
  <si>
    <t>TR MARAZZATTO</t>
  </si>
  <si>
    <t>Telmo</t>
  </si>
  <si>
    <t>Mercado Municial</t>
  </si>
  <si>
    <t>Patricia</t>
  </si>
  <si>
    <t>CHD SISTEMAS</t>
  </si>
  <si>
    <t>ARPOL CONFORTO</t>
  </si>
  <si>
    <t>HOSPITAL - RIBEIRAO PRETO - SP</t>
  </si>
  <si>
    <t>HIROTA SUPERMERCADO - GRANJA VIANA - COTIA - SP</t>
  </si>
  <si>
    <t>FRT 885 - OPCAO 1</t>
  </si>
  <si>
    <t>SIDNEI</t>
  </si>
  <si>
    <t>ELO AR CONDICIONADO</t>
  </si>
  <si>
    <t>AR CLEAN</t>
  </si>
  <si>
    <t>BEST CLIMA</t>
  </si>
  <si>
    <t>GLACIAR</t>
  </si>
  <si>
    <t>NIT - BIO RITMO NITERÓI (ICARAÍ)</t>
  </si>
  <si>
    <t>IGREJA BATISTA AVIVAMENTO MUNDIAL</t>
  </si>
  <si>
    <t>FACULDADE DE MEDICINA DA USP RIBEIRÃO PRETO - FMRP</t>
  </si>
  <si>
    <t>GREEN SOLUTION</t>
  </si>
  <si>
    <t>KSG AR CONDICIONADO</t>
  </si>
  <si>
    <t>VETOR AR CONDICIONADO</t>
  </si>
  <si>
    <t>TELMEC</t>
  </si>
  <si>
    <t>M&amp;M ENGENHARIA</t>
  </si>
  <si>
    <t>CLIENTE FINAL NÃO ACEITOU PAINEL</t>
  </si>
  <si>
    <t>PREV. MARÇO/25</t>
  </si>
  <si>
    <t>PRAZO</t>
  </si>
  <si>
    <t>REFRIN</t>
  </si>
  <si>
    <t>AGUARDANDO PEDIDO</t>
  </si>
  <si>
    <t xml:space="preserve">SKIN CHEMICAL </t>
  </si>
  <si>
    <t>Claudio</t>
  </si>
  <si>
    <t>HAPVIDA BARRA DA TIJUCA</t>
  </si>
  <si>
    <t>HAPVIDA TABOÃO DA SERRA</t>
  </si>
  <si>
    <t>Leandro</t>
  </si>
  <si>
    <t>CNPEM - SIRIUS AUDITORIO</t>
  </si>
  <si>
    <t>André</t>
  </si>
  <si>
    <t>HAPVIDA - MOGI DAS CRUZES</t>
  </si>
  <si>
    <t>SICREDI - Laranjeiras</t>
  </si>
  <si>
    <t>SUPERMERCADO - PAGUE MENOS - LOJA 16</t>
  </si>
  <si>
    <t>ART AR</t>
  </si>
  <si>
    <t>MAX ATACADISTA GIOVANNI GRONCHI</t>
  </si>
  <si>
    <t>Jorge</t>
  </si>
  <si>
    <t>MAX ATACADISTA MANOEL GAYA</t>
  </si>
  <si>
    <t>TEMA FRIO</t>
  </si>
  <si>
    <t>THERMAL ENERGY</t>
  </si>
  <si>
    <t>MAX SHOPPING - THERMAL</t>
  </si>
  <si>
    <t>AR 2 SOLUCOES</t>
  </si>
  <si>
    <t>Ronilson</t>
  </si>
  <si>
    <t>Rede Dor Assunção</t>
  </si>
  <si>
    <t>2190 COPERMED</t>
  </si>
  <si>
    <t>Unimed Cuiabá P2</t>
  </si>
  <si>
    <t>RD SAUDE - PORTO ALEGRE - RS</t>
  </si>
  <si>
    <t>Iris</t>
  </si>
  <si>
    <t>ATACADAO - BANGU SHOPPING</t>
  </si>
  <si>
    <t>GESTARE</t>
  </si>
  <si>
    <t>MONTAGEM VIEIRA</t>
  </si>
  <si>
    <t>AEROTHERMIC</t>
  </si>
  <si>
    <t>NARANDIBA</t>
  </si>
  <si>
    <t>Loja RNR 603 Singapura Shopping - CNO 90.022.60590/76</t>
  </si>
  <si>
    <t>ENGEMON COMERCIO E SERVICOS TECNICOS LTDA</t>
  </si>
  <si>
    <t>PALMATEC</t>
  </si>
  <si>
    <t>OBRA: RESIDENCIA UNIFALIMIAR - MARINA E ALESSANDRO</t>
  </si>
  <si>
    <t>PROINJECT</t>
  </si>
  <si>
    <t>Roni</t>
  </si>
  <si>
    <t>Daniele</t>
  </si>
  <si>
    <t>VIVO - SHOPPING IGUATEMI - CAMPINAS - SP</t>
  </si>
  <si>
    <t>Igreja Lagoinha de Alphaville</t>
  </si>
  <si>
    <t>MEDIX BRASIL - EMPREENDIMENTO COMERCIAL</t>
  </si>
  <si>
    <t>REDE DOR - HOSPITAL SERRA MAYOR - UTI 2º PAVIMENTO</t>
  </si>
  <si>
    <t>REDE DOR - HOSPITAL SERRA MAYOR</t>
  </si>
  <si>
    <t>ATAKAREJO - NOSSA SENHORA DA GLORIA - SE</t>
  </si>
  <si>
    <t>CENTRO MULTIUSO - ARENA SALVADOR - CMAS</t>
  </si>
  <si>
    <t>SHOPPING CENTER JK IGUATEMI - MISTRAL</t>
  </si>
  <si>
    <t>Lavvi</t>
  </si>
  <si>
    <t>24-160_HOSPITAL ANALIA FRANCO_ENDOSCOPIA</t>
  </si>
  <si>
    <t>ARKEN PROJETOS</t>
  </si>
  <si>
    <t>AFTERMIICA</t>
  </si>
  <si>
    <t>ENGEMON</t>
  </si>
  <si>
    <t>DUTOS TDC</t>
  </si>
  <si>
    <t>ARCHITECTS OFFICE SP</t>
  </si>
  <si>
    <t>MSA</t>
  </si>
  <si>
    <t>FORTIORI SP</t>
  </si>
  <si>
    <t>ACREDITA QUE TENHA PERDIDO A OBRA, MAS ESTA AGUARDANDO A CONFIRMACAO AINDA</t>
  </si>
  <si>
    <t>VAI CONFIRMAR, MAS ACREDITA QUE NÃO CONSIGA A OBRA POR QUE O DIRETOR TEM UMAS EMPRESAS LA QUE E DO AMIGO DELE</t>
  </si>
  <si>
    <t>SEM ATUALIZACOES, AGUARDANDO RETORNO</t>
  </si>
  <si>
    <t>Em vias de fechar, mas cliente final está tentando compraar pelo Rio</t>
  </si>
  <si>
    <t xml:space="preserve">Flat Ibirapuera </t>
  </si>
  <si>
    <t xml:space="preserve">AEROPORTO DE RIBEIRÃO PRETO </t>
  </si>
  <si>
    <t>João</t>
  </si>
  <si>
    <t>GRU AIRPORT - EXPANSÃO SALA DE EMBARQUE TPS 2</t>
  </si>
  <si>
    <t>Melaine</t>
  </si>
  <si>
    <t>ESCOLA RUDOLF STEINER</t>
  </si>
  <si>
    <t>SOORO RENER</t>
  </si>
  <si>
    <t>ESTOQUE</t>
  </si>
  <si>
    <t>Paulo</t>
  </si>
  <si>
    <t>CONTINUIDADE OBRA</t>
  </si>
  <si>
    <t>CONTINUIDADE</t>
  </si>
  <si>
    <t xml:space="preserve">DECLINADO - INCÊNDIO </t>
  </si>
  <si>
    <t>ATAKAREJO - ITABAIANA - SE</t>
  </si>
  <si>
    <t>NOSSO AR</t>
  </si>
  <si>
    <t>SACOLAO E MERCADO - SÃO CAETANO DO SUL - SP</t>
  </si>
  <si>
    <t>ESPACO LASER - MAUA</t>
  </si>
  <si>
    <t>ESPACO LASER - GAVEA</t>
  </si>
  <si>
    <t>LICCF2224147</t>
  </si>
  <si>
    <t>LICDDG224207</t>
  </si>
  <si>
    <t>RENNER FLAMBOYANT GO</t>
  </si>
  <si>
    <t>WPP</t>
  </si>
  <si>
    <t>Murilo</t>
  </si>
  <si>
    <t>MERCADO EXTRA - PERUIBE PORTAL - SP</t>
  </si>
  <si>
    <t>Escobar</t>
  </si>
  <si>
    <t>ASSAI - ADELIA FRANCO - ARACAJU - SE</t>
  </si>
  <si>
    <t>GIVAN DIAS</t>
  </si>
  <si>
    <t>Givan</t>
  </si>
  <si>
    <t>TROX DO BRASIL - EDIFICIO SEDE - SP</t>
  </si>
  <si>
    <t>Clovis</t>
  </si>
  <si>
    <t>FORT ATACADISTA - PENHA - SP</t>
  </si>
  <si>
    <t>MOISES VIRIATO</t>
  </si>
  <si>
    <t>BLUEFIT - UBERLANDIA - MG</t>
  </si>
  <si>
    <t>Nivaldo</t>
  </si>
  <si>
    <t>ICE GREEN</t>
  </si>
  <si>
    <t>CASA VETTORI</t>
  </si>
  <si>
    <t>C&amp;A MODAS</t>
  </si>
  <si>
    <t>CACCIARI CENTRO MEDICO HOSPITALAR LTDA - URUPES - SP</t>
  </si>
  <si>
    <t>JOETEC</t>
  </si>
  <si>
    <t>NISSIN - PONTA GROSSA</t>
  </si>
  <si>
    <t>Robson</t>
  </si>
  <si>
    <t>ARGUS CLIMATIZACAO</t>
  </si>
  <si>
    <t>Calabasas apto 91 e 92</t>
  </si>
  <si>
    <t>Umberto</t>
  </si>
  <si>
    <t>TECNICO AR</t>
  </si>
  <si>
    <t>DROGASIL - SHOPPING ANALIA FRANCO</t>
  </si>
  <si>
    <t>Charles</t>
  </si>
  <si>
    <t>FORT ATACADISTA - GRAVATAI - RS</t>
  </si>
  <si>
    <t>AR SERVICE</t>
  </si>
  <si>
    <t>SERVIDOR - PADRONIZAÇÃO</t>
  </si>
  <si>
    <t>TERMOCLIMA</t>
  </si>
  <si>
    <t>SESC - SAO SEBASTIAO DO PARAISO</t>
  </si>
  <si>
    <t>PREFEITURA MUNICIPAL DE TEIXEIRA FREITAS - SALVADOR - BA</t>
  </si>
  <si>
    <t>APICE CLIMA</t>
  </si>
  <si>
    <t>BANCO DO BRASIL - CENTRO MARILIA - SP</t>
  </si>
  <si>
    <t>Djair</t>
  </si>
  <si>
    <t>GRAAC - 3671-24 - GRAAC - 1° E 7° ANDAR</t>
  </si>
  <si>
    <t>2XR ENGENHARIA</t>
  </si>
  <si>
    <t>ACHE</t>
  </si>
  <si>
    <t>THERMOPOLO</t>
  </si>
  <si>
    <t>SURF CLUB - REAL PARQUE - SÃO PAULO - SP</t>
  </si>
  <si>
    <t>Cecilia</t>
  </si>
  <si>
    <t>BOLSA DE IMOVEIS - EDIFICIO FARIA LIMA 1</t>
  </si>
  <si>
    <t>HOSPITAL MUNICIPAL DOUTOR FERNANDO MAURO PIRES DA ROCHA</t>
  </si>
  <si>
    <t>YOUCOM - LORENA - RJ</t>
  </si>
  <si>
    <t>Enzo</t>
  </si>
  <si>
    <t>Angelo</t>
  </si>
  <si>
    <t>EL E COMMERCE</t>
  </si>
  <si>
    <t>Naira</t>
  </si>
  <si>
    <t>SANTA CASA SOROCABA</t>
  </si>
  <si>
    <t>SANTA CASA DE MISERICORDIA</t>
  </si>
  <si>
    <t>REDE DOR - HOSPITAL SÃO LUIZ - RIBEIRAO PRETO - SP</t>
  </si>
  <si>
    <t>CLIMA SHOP</t>
  </si>
  <si>
    <t>NEWAY ENGENHARIA</t>
  </si>
  <si>
    <t>NEAN</t>
  </si>
  <si>
    <t>BNL ENGENHARIA</t>
  </si>
  <si>
    <t>AGUARDANDO LIBERACAO</t>
  </si>
  <si>
    <t>PROPOSTA ENVIADA AO CLIENTE, NO AGUARDO DO RETORNO DELES PARA O PEDIDO</t>
  </si>
  <si>
    <t>PARA SEMANA QUE VEM DEVE SAIR QUEM GANHOU A OBRA</t>
  </si>
  <si>
    <t>CONSTRUTORA COMPROU DIRETO</t>
  </si>
  <si>
    <t>BOAS CHANCES</t>
  </si>
  <si>
    <t>KIKO MULLER</t>
  </si>
  <si>
    <t>MIX MATEUS - FEIRA DE SANTANA - BA</t>
  </si>
  <si>
    <t>HEITOR JOSE</t>
  </si>
  <si>
    <t>Heitor</t>
  </si>
  <si>
    <t>ARTHI</t>
  </si>
  <si>
    <t>CLOUDDOG - MOGI DAS CRUZES - SP</t>
  </si>
  <si>
    <t>Moises</t>
  </si>
  <si>
    <t>YOUCOM - BH SHOPPING</t>
  </si>
  <si>
    <t>IEDA DOS SANTOS</t>
  </si>
  <si>
    <t>Ieda</t>
  </si>
  <si>
    <t>FABRICA DE PAES - PANCO</t>
  </si>
  <si>
    <t>ADIDAS - FO TEODORO - SÃO PAULO - SP</t>
  </si>
  <si>
    <t>GLASSPECAS</t>
  </si>
  <si>
    <t>VEMKITEM - ARACAJU - SERGIPE - SE</t>
  </si>
  <si>
    <t>HOSPITAL BENEFICENTE - DONA ELMIRIA SILVERIO BARBOSA</t>
  </si>
  <si>
    <t>CASA MAGNOLIA</t>
  </si>
  <si>
    <t>STAR CENTER</t>
  </si>
  <si>
    <t>PREDIO ADMINISTRATIVO - WBS - JAGUARA SUL - SC - 1º PAVIMENTO</t>
  </si>
  <si>
    <t>Wenderson</t>
  </si>
  <si>
    <t>PREDIO ADMINISTRATIVO - WBS - JAGUARA SUL - SC - 2º PAVIMENTO</t>
  </si>
  <si>
    <t>PREDIO ADMINISTRATIVO - WBS - JAGUARA SUL - SC - 3º PAVIMENTO</t>
  </si>
  <si>
    <t>PREDIO ADMINISTRATIVO - WBS - JAGUARA SUL - SC - TERREO</t>
  </si>
  <si>
    <t>EDIFICIO PLAZA BELMAR</t>
  </si>
  <si>
    <t>HIROCLEAN</t>
  </si>
  <si>
    <t>AFRIOTHERM</t>
  </si>
  <si>
    <t>TREMEMBE - SP - 8501</t>
  </si>
  <si>
    <t>TREMEMBE - SP - 8502</t>
  </si>
  <si>
    <t>TREMEMBE - SP - 8504</t>
  </si>
  <si>
    <t>ENTHAL ENGENHARIA</t>
  </si>
  <si>
    <t>SERENO EXPRESS</t>
  </si>
  <si>
    <t>OBRAMAX - LONDRINA - PR</t>
  </si>
  <si>
    <t>NISSIN FOODS DO BRASIL LTDA</t>
  </si>
  <si>
    <t>LUPO - JARDIM RECANTO - DIADEMA - SP</t>
  </si>
  <si>
    <t>CASA MAGNOLIA - AREA COMUM</t>
  </si>
  <si>
    <t>CASA MAGNOLIA - DUTOS A</t>
  </si>
  <si>
    <t>CASA MAGNOLIA - DUTOS B</t>
  </si>
  <si>
    <t>WHEATON BRASIL VIDRO - PREDIO FORNOS</t>
  </si>
  <si>
    <t>TRENTO PARTICIPAÇÕES</t>
  </si>
  <si>
    <t>MULTIVAC/DEVIDO AO INCÊNDIO</t>
  </si>
  <si>
    <t>AGUARDANDO PEDIDO EM PARTES</t>
  </si>
  <si>
    <t xml:space="preserve">AGUARDANDO PEDIDO </t>
  </si>
  <si>
    <t>Deixar IN HOLD</t>
  </si>
  <si>
    <t>NÃO TEMOS MATERIAL A PRAZO</t>
  </si>
  <si>
    <t>PREV. ABRIL</t>
  </si>
  <si>
    <t xml:space="preserve">Haverá revisão no projeto, a previsão para efetivar a compra é para o final do mês de março. </t>
  </si>
  <si>
    <t xml:space="preserve">Conforme a Kaine disse é uma estimativa, não é obra para fechamento ainda. </t>
  </si>
  <si>
    <t>O Thiago informou que ganharam somente o projeto da obra Sapopemba, mas vai para concorrência e licitação no mercado, não é obra da Enebras.</t>
  </si>
  <si>
    <t>Enviado ao cliente, aguardando retorno / orçamento</t>
  </si>
  <si>
    <t>HOSP. JABAQUARA_TOMOGRAFRIA</t>
  </si>
  <si>
    <t>PAULISTAO EMPREENDIMENTOS - SERTAOZINHO - SP</t>
  </si>
  <si>
    <t>SEMAR SUPERMERCADO - LOJA JACAREI - SP</t>
  </si>
  <si>
    <t>FUNDACAO ASSISTENCIAL DA</t>
  </si>
  <si>
    <t>GLACIAL REFRIGERACOES</t>
  </si>
  <si>
    <t>ITAU - SILVA BUENO - IPIRANGA - SP</t>
  </si>
  <si>
    <t>Gilvan</t>
  </si>
  <si>
    <t>CRIOVAC</t>
  </si>
  <si>
    <t>GRAACC UPT</t>
  </si>
  <si>
    <t>Karen</t>
  </si>
  <si>
    <t>L MONTE</t>
  </si>
  <si>
    <t>Gurgel</t>
  </si>
  <si>
    <t>HOSPITAL BRASIL MAUA</t>
  </si>
  <si>
    <t>P&amp;D HERSHEYS - SÃO ROQUE - SP</t>
  </si>
  <si>
    <t>HOSP. ANTONIO AFONSO_RENOVAÇÃO DE AR</t>
  </si>
  <si>
    <t>CLIMA PERFEITO</t>
  </si>
  <si>
    <t>CASA MILAN - ALTO DE PINHEIROS - SP</t>
  </si>
  <si>
    <t>Andrews</t>
  </si>
  <si>
    <t>RODRIGUES REFRIGERACAO</t>
  </si>
  <si>
    <t>Michele</t>
  </si>
  <si>
    <t>VEMKITEM - ARACAJU - SERGIPE</t>
  </si>
  <si>
    <t>ARSERVICE</t>
  </si>
  <si>
    <t>YOUCOM - BALNEARIO DE CAMBORIU - SC</t>
  </si>
  <si>
    <t>YOUCOM - SHOPPING SIDER - VOLTA REDONDA - RJ</t>
  </si>
  <si>
    <t>YOUCOM - CASCAVEL - PR</t>
  </si>
  <si>
    <t>ATAKADAO - ATAKAREJO - CATU - BA</t>
  </si>
  <si>
    <t>ATAKADAO - ATAKAREJO - ARACAJU II - SE</t>
  </si>
  <si>
    <t>SUSANTHERM</t>
  </si>
  <si>
    <t>GRANJA MANTIQUEIRA - LORENA - SP</t>
  </si>
  <si>
    <t>ESPACO LASER - HIPERMERCADO BERGAMINI - SÃO PAULO - SP</t>
  </si>
  <si>
    <t>AGEPLAN</t>
  </si>
  <si>
    <t>CLARO - ESTACAO RECIFE - PE</t>
  </si>
  <si>
    <t>FUSP - SÃO PAULO - SP</t>
  </si>
  <si>
    <t>HOSPITAL UNIMED ITAPETININGA - SÃO PAULO - SP</t>
  </si>
  <si>
    <t>REDE DOR - BARTIRA - CLIMATIZAÇÃO DA SUBESTAÇÃO</t>
  </si>
  <si>
    <t>Gabrielle</t>
  </si>
  <si>
    <t>PREDIO ADMINISTRATIVO - WBS - JAGUARA SUL - SC</t>
  </si>
  <si>
    <t>POLO CLIMA</t>
  </si>
  <si>
    <t>MEDSENIOR - AVENIDA BRASIL - SÃO PAULO - SP</t>
  </si>
  <si>
    <t>YOUCOM ARAÇATUBA SP</t>
  </si>
  <si>
    <t>MIX MATEUS - SANTA MONICA</t>
  </si>
  <si>
    <t>YOUCOM - SHOPPING PRACA NOVA - ARACATUBA - SP</t>
  </si>
  <si>
    <t>Alisson</t>
  </si>
  <si>
    <t>DEVIDO AO INCENDIO</t>
  </si>
  <si>
    <t>Aberto, estou marcando no cliente para proxima semana</t>
  </si>
  <si>
    <t>COMPRA / EM NEGOCIAÇÃO COM NEWTON</t>
  </si>
  <si>
    <t>PERDIDO - JULIO DECIDIU FECHAR COM A MULTIVAC</t>
  </si>
  <si>
    <t>RODRIGO DISSE QUE POR ENQUANTO NÃO VAI COMPRAR</t>
  </si>
  <si>
    <t>CONSTRUTORA OPTOU POR ALUMINIO</t>
  </si>
  <si>
    <t>ASSISTEC</t>
  </si>
  <si>
    <t>YOUCOM BALNEÁRIO CAMBORIÚ</t>
  </si>
  <si>
    <t>ATACADAO - GULLIVER - SALVADOR IGUATEMI - BA</t>
  </si>
  <si>
    <t>AUDITORIO - SP</t>
  </si>
  <si>
    <t>Sandra</t>
  </si>
  <si>
    <t>RENNER MORUBI SP</t>
  </si>
  <si>
    <t>CS MOBI - MERCADO MUNICIPAL - CUIABA - MT</t>
  </si>
  <si>
    <t>DOM ATACADISTA - BANGU - RIO DE JANEIRO - RJ</t>
  </si>
  <si>
    <t>TROX DO BRASIL - TERREO - SP</t>
  </si>
  <si>
    <t>NSP</t>
  </si>
  <si>
    <t>MIX MATEUS - JANGURUSSU - FORTALEZA - CE</t>
  </si>
  <si>
    <t>COZINHA - REQ 2.01</t>
  </si>
  <si>
    <t>18/003</t>
  </si>
  <si>
    <t>TERMOTEMP</t>
  </si>
  <si>
    <t>Eleomar</t>
  </si>
  <si>
    <t>LUNAL REFRIGERACAO</t>
  </si>
  <si>
    <t>DATABRICKS - JARDIM PAULISTA - SP</t>
  </si>
  <si>
    <t>Gaviões Araguaína</t>
  </si>
  <si>
    <t>LEGIÃO DA BOA VONTADE SP - JARDIM ATENAS - SÃO PAULO - SP</t>
  </si>
  <si>
    <t>RICCO - JARDIM AMERICA</t>
  </si>
  <si>
    <t>Cassio</t>
  </si>
  <si>
    <t>EXAUSTOTEC</t>
  </si>
  <si>
    <t>TTAIS ENGENHARIA - PREDIO P - 10A - OPCAO 2</t>
  </si>
  <si>
    <t>TTAIS ENGENHARIA - PREDIO P - 10A - OPCAO 3</t>
  </si>
  <si>
    <t>PTW - 9º PAVIMENTO - BUTANTA - SP</t>
  </si>
  <si>
    <t>OBRA PERDIDA</t>
  </si>
  <si>
    <t>NÃO CONSEGUIMOS ATENDER AO PRAZO</t>
  </si>
  <si>
    <t>CLIENTE PERDEU A OBRA</t>
  </si>
  <si>
    <t>FECHADO COM A MULTIVAC</t>
  </si>
  <si>
    <t>3671 GRAAC</t>
  </si>
  <si>
    <t>REDE CARE - CAMPINAS</t>
  </si>
  <si>
    <t>FORT ATACADISTA - JOINVILLE - SC</t>
  </si>
  <si>
    <t>SITIO DO PICA PAU AMARELO - ELDORADO ATIBAIA ECORESORT</t>
  </si>
  <si>
    <t>THERMOAR</t>
  </si>
  <si>
    <t>Marco</t>
  </si>
  <si>
    <t>ECA</t>
  </si>
  <si>
    <t>THERMOTECNICA</t>
  </si>
  <si>
    <t>THC - ACA - 1424-02 / 25</t>
  </si>
  <si>
    <t>AIR SOLUTION</t>
  </si>
  <si>
    <t>AIR DESIGN</t>
  </si>
  <si>
    <t>PIRACICABA - SP</t>
  </si>
  <si>
    <t>Vanilda</t>
  </si>
  <si>
    <t>SIVAC</t>
  </si>
  <si>
    <t>ACADEMIA DE GINASTICA - CLUBE ESPORTIVO HELVETIA</t>
  </si>
  <si>
    <t>Franco</t>
  </si>
  <si>
    <t>CALCOMP JUNDIAÍ - EF CONSTRUÇÕES</t>
  </si>
  <si>
    <t>Thay</t>
  </si>
  <si>
    <t>MULTICLINICAS JOAQUIM FLORIANO - ITAIM BIBI - SÃO PAULO - SP</t>
  </si>
  <si>
    <t>CLIMENGE</t>
  </si>
  <si>
    <t>PG Shopping</t>
  </si>
  <si>
    <t>Claudinei</t>
  </si>
  <si>
    <t>HP VIDA - BRIGADEIRO LUIZ ANTONIO</t>
  </si>
  <si>
    <t>MULTICLINICAS JOAQUIM FLORIANO - ITAIM BIBI - SAO PAULO - SP</t>
  </si>
  <si>
    <t>AKTEC</t>
  </si>
  <si>
    <t>Kleber</t>
  </si>
  <si>
    <t>SMART FIT TABOÃO TABOÃO</t>
  </si>
  <si>
    <t>HARD ROCK CAFE - PRAIA GRANDE - SP</t>
  </si>
  <si>
    <t>CLINICA CLIO LINO JARDIM - SANTO ANDRE - SP</t>
  </si>
  <si>
    <t>SMART FIT JUNDIAÍ</t>
  </si>
  <si>
    <t>SPANI - JARDIM SANTA EFIGENIA - ARARAS - SP</t>
  </si>
  <si>
    <t>CACR ENGENHARIA</t>
  </si>
  <si>
    <t>SKIN CHEMICAL FARMACÊUTICA - SUSANO/SP</t>
  </si>
  <si>
    <t>Leonardo</t>
  </si>
  <si>
    <t>NOVO ATACAREJO ABREU E LIMA</t>
  </si>
  <si>
    <t>SUPERMERCADO AP FORTE - CANTO DO FORTE</t>
  </si>
  <si>
    <t>RAIA DROGASIL - CD GRAVATAI</t>
  </si>
  <si>
    <t>PERDERAM A OBRA</t>
  </si>
  <si>
    <t>PREVISAO ABRIL</t>
  </si>
  <si>
    <t>TROX TROCOU PROJETO PARA CHAPA</t>
  </si>
  <si>
    <t>SERA FECHADO ATRAVES DO NEWTON</t>
  </si>
  <si>
    <t>PRECO</t>
  </si>
  <si>
    <t>FECHOU COM A MULTIVAC/ESTAVAMOS NO MINIMO</t>
  </si>
  <si>
    <t>ESTIMATIVA</t>
  </si>
  <si>
    <t>NOVO ATACADO COMERCIO DE ALIMENTOS LTDA</t>
  </si>
  <si>
    <t>PRODAC</t>
  </si>
  <si>
    <t>SHOPPING MACEIO</t>
  </si>
  <si>
    <t>OUT ARQUITETURA</t>
  </si>
  <si>
    <t>Vitor</t>
  </si>
  <si>
    <t>HAPVIDA - RIO DE JANEIRO - RJ</t>
  </si>
  <si>
    <t>CABANA ARGENTINA - SAO PAULO - SP</t>
  </si>
  <si>
    <t>FORT ATACADISTA - GRAVATAI</t>
  </si>
  <si>
    <t>BANCO DO BRASIL - AGÊNCIA SAMPAIO VIDAL - MARILIA - SP</t>
  </si>
  <si>
    <t>PANCO - TUCURUVI - SÃO PAULO - SP</t>
  </si>
  <si>
    <t>CIMED SITE 01 - POUSO ALEGRE - MG</t>
  </si>
  <si>
    <t>TRANSITBR - ITAJAI - SC</t>
  </si>
  <si>
    <t>GLP - SP</t>
  </si>
  <si>
    <t>MAX SHOPPING</t>
  </si>
  <si>
    <t>Rosana</t>
  </si>
  <si>
    <t>ALFA</t>
  </si>
  <si>
    <t>Ayra</t>
  </si>
  <si>
    <t>PORTUBRAS</t>
  </si>
  <si>
    <t>SESI EPITÁCIO - SALAO DE FESTAS</t>
  </si>
  <si>
    <t>SESI EPITÁCIO - SALAO MULTIUSO</t>
  </si>
  <si>
    <t>POLO NORTE</t>
  </si>
  <si>
    <t>Miriam</t>
  </si>
  <si>
    <t>SESC GINASIO - RIO DE JANEIRO - RJ</t>
  </si>
  <si>
    <t>NISSIN - LINHAS COPOS - IBIUNA - SP</t>
  </si>
  <si>
    <t>BR AR CONDICIONADO</t>
  </si>
  <si>
    <t>Tatiana</t>
  </si>
  <si>
    <t>CARLOS ABDALLA</t>
  </si>
  <si>
    <t>RESIDENCIAL ENTRE VERDES - RESIDENCIA CRISTIANE E CARLOS</t>
  </si>
  <si>
    <t>VRG SISTEMAS</t>
  </si>
  <si>
    <t>Flavio</t>
  </si>
  <si>
    <t>RESIDENCIA SR GUILHERME - MOCOCA - SP</t>
  </si>
  <si>
    <t>PERDERAM A CONCORRENCIA</t>
  </si>
  <si>
    <t>SICOOB - GUAXUPE - MG</t>
  </si>
  <si>
    <t>UNITED AIRLINES - UAGRU - 4WB HANGAR - SÃO PAULO - SP</t>
  </si>
  <si>
    <t>Lana</t>
  </si>
  <si>
    <t>BAYPAR - FABRICA COSMO - VINHEDO - SP</t>
  </si>
  <si>
    <t>Veruza</t>
  </si>
  <si>
    <t>RENTH THERM</t>
  </si>
  <si>
    <t>NOVA SEDE MMV - SP - FASE 1</t>
  </si>
  <si>
    <t>NOVA SEDE MMV - SP - FASE 2</t>
  </si>
  <si>
    <t>NOVA SEDE MMV - SP - FASE 3</t>
  </si>
  <si>
    <t>RESIDENCIA ANDRE SAITO - ITU - SP</t>
  </si>
  <si>
    <t>CNPEM - REQ 2.05</t>
  </si>
  <si>
    <t>CAROLINE GIORGETTI</t>
  </si>
  <si>
    <t>Caroline</t>
  </si>
  <si>
    <t>Otavio</t>
  </si>
  <si>
    <t>White &amp; Case</t>
  </si>
  <si>
    <t>SERRARIA SOUZA PINTO - BELO HORIZONTE - MG</t>
  </si>
  <si>
    <t>KSY CLIMATIZACAO</t>
  </si>
  <si>
    <t>PANCO TUCURUVI - SALA LIMPA</t>
  </si>
  <si>
    <t>Sidney</t>
  </si>
  <si>
    <t>PANCO TUCURUVI - SALA DE RESFRIAMENTO</t>
  </si>
  <si>
    <t>PANCO TUCURUVI - EMBALAGEM</t>
  </si>
  <si>
    <t>PANCO TUCURUVI - MASSEIRA</t>
  </si>
  <si>
    <t>FLEURY - REQ 2.01</t>
  </si>
  <si>
    <t>NIKE RISE - IGUATEMI CAMPINAS</t>
  </si>
  <si>
    <t>SOMMARE</t>
  </si>
  <si>
    <t>RESIDENCIA UNIFAMILIAR - AURELIO E ADRIANA ROCHA - DOURADOS - MS</t>
  </si>
  <si>
    <t>USP - RIBEIRÃO - FMRP</t>
  </si>
  <si>
    <t>Sinagoga Zagury</t>
  </si>
  <si>
    <t>PAO DE ACUCAR - SANTA CRUZ - SÃO PAULO - SP</t>
  </si>
  <si>
    <t>UNIMED SÃO CARLOS</t>
  </si>
  <si>
    <t>COMPER LOJA - 330</t>
  </si>
  <si>
    <t>MAFRE SÃO CARLOS</t>
  </si>
  <si>
    <t>Kleverton</t>
  </si>
  <si>
    <t>FRAIHA - ED RESIDENCIAL - APARTAMENTO 261</t>
  </si>
  <si>
    <t>FRIOCENTER</t>
  </si>
  <si>
    <t>TERMODINAMICA</t>
  </si>
  <si>
    <t>PROJETARG</t>
  </si>
  <si>
    <t>CUSTODIO SOLUCOES</t>
  </si>
  <si>
    <t>CG PROJETO</t>
  </si>
  <si>
    <t>CHRISTAR</t>
  </si>
  <si>
    <t>SOUTH CARGO</t>
  </si>
  <si>
    <t>CACAU SHOW</t>
  </si>
  <si>
    <t>Cliente Negociando</t>
  </si>
  <si>
    <t xml:space="preserve">PACOTE </t>
  </si>
  <si>
    <t>PACOTE + PRAZO</t>
  </si>
  <si>
    <t>NISSIN-PR</t>
  </si>
  <si>
    <t>RIJK ZWAAN - OS. 1933</t>
  </si>
  <si>
    <t>WEBEDIA BRASIL - VILA CORDEIRO - SP</t>
  </si>
  <si>
    <t>MARINA E ALESSANDRO - RESIDENCIA UNIFAMILIAR</t>
  </si>
  <si>
    <t>AEROPORTO DE CONGONHAS - CONSOLIDADO</t>
  </si>
  <si>
    <t>RD - ITUPEVA</t>
  </si>
  <si>
    <t>AR2 SOLUCOES</t>
  </si>
  <si>
    <t>HAPVIDA - AV CRUZEIRO DO SUL - SANTANA</t>
  </si>
  <si>
    <t>HAPVIDA - PENHA</t>
  </si>
  <si>
    <t>HOSPITAL UNIVERSITARIO - CENTRO OBSTETRICO</t>
  </si>
  <si>
    <t>ARPOL ENGENHARIA</t>
  </si>
  <si>
    <t>William</t>
  </si>
  <si>
    <t>ASSAI SEDE - ELIZABETH DE ROBIANO - SP</t>
  </si>
  <si>
    <t>Fabiana</t>
  </si>
  <si>
    <t>CONCRETO ITAIM</t>
  </si>
  <si>
    <t>INDA CLIMA</t>
  </si>
  <si>
    <t>CAIXA ECONOMICA FEDERAL - GALPAO 1</t>
  </si>
  <si>
    <t>CAIXA ECONOMICA FEDERAL - GALPAO 2</t>
  </si>
  <si>
    <t>THERMOCENTER</t>
  </si>
  <si>
    <t>OBRAMAX - SUZANO - SP</t>
  </si>
  <si>
    <t>Silvana</t>
  </si>
  <si>
    <t>DASA ONCOLOGIA - JARDIM PAULISTA - SP</t>
  </si>
  <si>
    <t>GVS PROJETOS</t>
  </si>
  <si>
    <t>Francisco</t>
  </si>
  <si>
    <t>SAO PAULO - SURF CLUB - REAL PARQUE</t>
  </si>
  <si>
    <t>CACAU SHOW - ITU - SP</t>
  </si>
  <si>
    <t>EXPANSAO AR</t>
  </si>
  <si>
    <t>EDIFICIO SECULUM II - ITAIM BIBI - SP</t>
  </si>
  <si>
    <t>Natanael</t>
  </si>
  <si>
    <t>NOVO CD MT - GRUPO SANTA CRUZ</t>
  </si>
  <si>
    <t>Ygor</t>
  </si>
  <si>
    <t>DANIEL STELLO - HECTARES PARK &amp; RESORT</t>
  </si>
  <si>
    <t>COFCO</t>
  </si>
  <si>
    <t>Luiz</t>
  </si>
  <si>
    <t>SEMAR SUPERMERCADOS - SAO SEBASTIAO - SP</t>
  </si>
  <si>
    <t>Thais</t>
  </si>
  <si>
    <t>PAULISTAO EMPREENDIMENTOS - SANTA BARBARA D' OESTE - SP</t>
  </si>
  <si>
    <t>SPECIAL AIR</t>
  </si>
  <si>
    <t>Alessandro</t>
  </si>
  <si>
    <t>REV</t>
  </si>
  <si>
    <t>MPU/ALUPIR</t>
  </si>
  <si>
    <t>YOUCOM</t>
  </si>
  <si>
    <t>GAJPROJETOS</t>
  </si>
  <si>
    <t>HAPVIDA</t>
  </si>
  <si>
    <t>PRORAC</t>
  </si>
  <si>
    <t>THERMOPLAN</t>
  </si>
  <si>
    <t>BIOLUX</t>
  </si>
  <si>
    <t>COMPER BELVEDERE</t>
  </si>
  <si>
    <t>Iara</t>
  </si>
  <si>
    <t>SMART FIT - JUNDIAI - SP</t>
  </si>
  <si>
    <t>REDE DOR - SÃO LUIZ - RIBEIRAO PRETO - SP</t>
  </si>
  <si>
    <t>CASA DO PEIXE - CAMPO GRANDE - MS</t>
  </si>
  <si>
    <t>ALmir</t>
  </si>
  <si>
    <t>TROPICAL HOTEL - MANAUS - AM</t>
  </si>
  <si>
    <t>CINE TEATRO - CORONEL RAYMUNDO - SANTANA DE PARNAIBA - SP</t>
  </si>
  <si>
    <t>ATACADAO OSASCO</t>
  </si>
  <si>
    <t>AEROPORTO DE SÃO PAULO - CONGONHAS</t>
  </si>
  <si>
    <t>SMART FIT - LONDRINA - PR</t>
  </si>
  <si>
    <t>COLEGIO SANTO AMERICO</t>
  </si>
  <si>
    <t>PETZ - SAMAMBAIA - DF</t>
  </si>
  <si>
    <t>SCS ENGNEHARIA</t>
  </si>
  <si>
    <t>Silas</t>
  </si>
  <si>
    <t>CONGREGACAO</t>
  </si>
  <si>
    <t>Adenir</t>
  </si>
  <si>
    <t>YOUCOM - SHOPPING LESTE ARICANDUVA - SP</t>
  </si>
  <si>
    <t>REFORMA SUPERMERCADO</t>
  </si>
  <si>
    <t>SANTA CASA SANTOS</t>
  </si>
  <si>
    <t>VENT FRIO</t>
  </si>
  <si>
    <t>SUPER SÃO LUIS SHOPPING - SÃO LUIS - MA</t>
  </si>
  <si>
    <t>PROJETTEC</t>
  </si>
  <si>
    <t>SUPERMERCADO CORONEL - AMARANTE DO MARANHAO - MA</t>
  </si>
  <si>
    <t>ESTUDIO JUNIOR - SÃO PAULO - SP</t>
  </si>
  <si>
    <t>Dalaval</t>
  </si>
  <si>
    <t>Sicredi Valor Sustentavel PR/SP - Nova Sede</t>
  </si>
  <si>
    <t>ECOCLIMA</t>
  </si>
  <si>
    <t>RESID DE ANGRA</t>
  </si>
  <si>
    <t>PROVIDE INSTALACOES</t>
  </si>
  <si>
    <t>Mariko</t>
  </si>
  <si>
    <t>OXIGENAR CLIMATIZACAO</t>
  </si>
  <si>
    <t>Isaac</t>
  </si>
  <si>
    <t>HOSPITAL RIBEIRAO PRETO</t>
  </si>
  <si>
    <t>OBRAMAX - UBERLANDIA - MG</t>
  </si>
  <si>
    <t>SMART FIT - MARINGA - PR</t>
  </si>
  <si>
    <t>SMART FIT - TAUBATE - SP</t>
  </si>
  <si>
    <t>DISTRITO REVEE - PAVILHAO - ARARAQUARA - SP</t>
  </si>
  <si>
    <t>Danilo</t>
  </si>
  <si>
    <t>COOP AO</t>
  </si>
  <si>
    <t>PASSO FUNDO - RS</t>
  </si>
  <si>
    <t>Taina</t>
  </si>
  <si>
    <t>RAC ENGENHARIA</t>
  </si>
  <si>
    <t>MAXDUCTS</t>
  </si>
  <si>
    <t>ALLOS</t>
  </si>
  <si>
    <t>LS SISTEMAS</t>
  </si>
  <si>
    <t>JLM ENGENHARIA</t>
  </si>
  <si>
    <t>PERDIDO ARCOTEC - PRAZO</t>
  </si>
  <si>
    <t>CACAU SHOW - LINHARES-ES</t>
  </si>
  <si>
    <t>PERDIDO MULTIVAC - PREÇO</t>
  </si>
  <si>
    <t>SISNOR PARANÁ - HOSPITAL DO CORAÇÃO</t>
  </si>
  <si>
    <t>Tayna</t>
  </si>
  <si>
    <t>XPM LOGISTICA</t>
  </si>
  <si>
    <t>James</t>
  </si>
  <si>
    <t>HRIM</t>
  </si>
  <si>
    <t>Genivon</t>
  </si>
  <si>
    <t xml:space="preserve">CACAU SHOW ITAPEVI </t>
  </si>
  <si>
    <t xml:space="preserve">Gustavo </t>
  </si>
  <si>
    <t>AGUARDANDO RTORNO DO CLIENTE</t>
  </si>
  <si>
    <t>ESTAO AVALIANDO A PROPOSTA AINDA</t>
  </si>
  <si>
    <t>PREV MAIO</t>
  </si>
  <si>
    <t>PREV MAIO-25</t>
  </si>
  <si>
    <t>HOSPITAL SAMARITANO - UNIDADE SUMARÉ / SP</t>
  </si>
  <si>
    <t>Aureliano</t>
  </si>
  <si>
    <t>SHINNYO-EM BRASIL</t>
  </si>
  <si>
    <t>Jackson</t>
  </si>
  <si>
    <t>CLIENTE NEGOCIANDO PREV. MAIO</t>
  </si>
  <si>
    <t>CLIENTE SEM CRÉDITO</t>
  </si>
  <si>
    <t>SEM CRÉDITO</t>
  </si>
  <si>
    <t>PREV. MAIO</t>
  </si>
  <si>
    <t>MULTIVAC PACOTE</t>
  </si>
  <si>
    <t>CONDOMÍNIO TERRAS DE SÃO JOSÉ II - ITU - SP</t>
  </si>
  <si>
    <t>EXTRUSORA MANAUS</t>
  </si>
  <si>
    <t>HOSP. NOVA ATIBAIA_NEFROLOGIA</t>
  </si>
  <si>
    <t>ADITIVO CENTER NORTE</t>
  </si>
  <si>
    <t>Thaina</t>
  </si>
  <si>
    <t>SOLAR AR CONDICIONADO</t>
  </si>
  <si>
    <t>BOSS IGUATEMI BOSQUE - FORTALEZA - CE</t>
  </si>
  <si>
    <t>MAJ MORENO MOVELARIA</t>
  </si>
  <si>
    <t>CENTAURO - SHOPPING RIO PRETO</t>
  </si>
  <si>
    <t>SUPERMERCADO TAUSTE - TAUBATE - SP</t>
  </si>
  <si>
    <t>Dacio</t>
  </si>
  <si>
    <t>CONSTRUMAX</t>
  </si>
  <si>
    <t>FMUSP - FARMACIA DOS IRC</t>
  </si>
  <si>
    <t>Gaviões Carapicuiba</t>
  </si>
  <si>
    <t>ASSAI JACAREPAGUA - RIO DE JANEIRO - RJ</t>
  </si>
  <si>
    <t>WACKER JANDIRA - PERDIZES - SAO PAULO</t>
  </si>
  <si>
    <t>SMAR HAIR</t>
  </si>
  <si>
    <t>Macatake</t>
  </si>
  <si>
    <t>Lincoln</t>
  </si>
  <si>
    <t>SUPERMERCADO PAGUE MENOS - HORTOLANDIA - SANTA ISABEL</t>
  </si>
  <si>
    <t>SAMPAIO E MOURA</t>
  </si>
  <si>
    <t>APARTAMENTO ARBOREA - SÃO PAULO - SP</t>
  </si>
  <si>
    <t>Livia</t>
  </si>
  <si>
    <t>HOSPITAL DE URGENCIA - SAO BERNARDO DO CAMPO</t>
  </si>
  <si>
    <t>SERGIO K - L36B - BLOCO 08</t>
  </si>
  <si>
    <t>HOSPITAL GRAAC - QUIMIOTERAPIA - SP</t>
  </si>
  <si>
    <t>Wesley</t>
  </si>
  <si>
    <t>HOSPITAL UNIMED - UNIDADE ANHANGUERA - JUNDIAI - SP</t>
  </si>
  <si>
    <t>Rosania</t>
  </si>
  <si>
    <t>ASSAI - LOJA AV RECIFE - PE</t>
  </si>
  <si>
    <t>MPRETTI</t>
  </si>
  <si>
    <t>LUCIANO DALLA ARQUITETURA</t>
  </si>
  <si>
    <t>CHAPA GALVANIZADA</t>
  </si>
  <si>
    <t>CENTAURO</t>
  </si>
  <si>
    <t>AGUARDANDO RETORNO</t>
  </si>
  <si>
    <t>TECVENT</t>
  </si>
  <si>
    <t>Sabrina</t>
  </si>
  <si>
    <t>PREVENT SENIOR - GONZAGA - SANTOS</t>
  </si>
  <si>
    <t>RIACHUELO - SÃO JOSE DO RIO PRETO - SP</t>
  </si>
  <si>
    <t>RAIA DROGASIL - RIBEIRAO PRETO - SP</t>
  </si>
  <si>
    <t>ASSAI - JACAREPAGUA - RIO DE JANEIRO - RJ</t>
  </si>
  <si>
    <t>XP - JOAO PESSOA</t>
  </si>
  <si>
    <t>PASSO FUNDO - RS - CENTRO DE CONVENCOES</t>
  </si>
  <si>
    <t>DUTOMAX</t>
  </si>
  <si>
    <t>Valmir</t>
  </si>
  <si>
    <t>BIG FOCO</t>
  </si>
  <si>
    <t>IGREJA ALEM DO VEU - SANTO ANDRE - SP</t>
  </si>
  <si>
    <t>Everton</t>
  </si>
  <si>
    <t>HIPERMERCADO VILLEFORT - ANAPOLIS - GO</t>
  </si>
  <si>
    <t>NISSIN TEMPERO</t>
  </si>
  <si>
    <t>SMART FIT - GUILHERMINA - PRAIA GRANDE - SP</t>
  </si>
  <si>
    <t>SMART FIT - TATUAPE - SP</t>
  </si>
  <si>
    <t>CLIMAFRIO</t>
  </si>
  <si>
    <t>ESCOLA SENAI - DUQUE DE CAXIAS - ARACATUBA - SP</t>
  </si>
  <si>
    <t>DUTOLEX</t>
  </si>
  <si>
    <t>SISNOR - HOSPITAL DO CORACAO</t>
  </si>
  <si>
    <t>PIMENTA CLIMATIZACAO</t>
  </si>
  <si>
    <t>AVM COMERCIO</t>
  </si>
  <si>
    <t>KONAR</t>
  </si>
  <si>
    <t>CH - Retrofit ED. BRASÍLIO MACHADO</t>
  </si>
  <si>
    <t>ASSAI - JACAREPAGUA - RIO DE JANEIRO - RJ - COZINHA</t>
  </si>
  <si>
    <t>ASSAI - JACAREPAGUA - RIO DE JANEIRO - RJ - ADM</t>
  </si>
  <si>
    <t>ASSAI - JACAREPAGUA - RIO DE JANEIRO - RJ - SALAO DE VENDAS</t>
  </si>
  <si>
    <t>AMYRIS BIOTECNOLOGIA - CAMPINAS - SP</t>
  </si>
  <si>
    <t>AGR ENGENHARIA</t>
  </si>
  <si>
    <t>Cristofher</t>
  </si>
  <si>
    <t>AFTERMICA</t>
  </si>
  <si>
    <t>PRO STAR</t>
  </si>
  <si>
    <t>GAJ ARQUITETURA</t>
  </si>
  <si>
    <t>MP</t>
  </si>
  <si>
    <t>RSAC ENGENHARIA</t>
  </si>
  <si>
    <t>Tassya</t>
  </si>
  <si>
    <t>SHOPEE - BETIM - M</t>
  </si>
  <si>
    <t>HIAE CC Morumbi</t>
  </si>
  <si>
    <t>Lucca</t>
  </si>
  <si>
    <t>LUFTKLIMA</t>
  </si>
  <si>
    <t>KRAFT HEINZ - ENVASE DE KETCHUP</t>
  </si>
  <si>
    <t>Edna</t>
  </si>
  <si>
    <t>ARDORO CLIMATIZACAO</t>
  </si>
  <si>
    <t>PETZ SEMINARIO - CURITIBA - PR</t>
  </si>
  <si>
    <t>Alessandra</t>
  </si>
  <si>
    <t>HAPVIDA - CRUZEIRO DO SUL - OSASCO</t>
  </si>
  <si>
    <t>RAIA DROGASIL</t>
  </si>
  <si>
    <t>Marcea</t>
  </si>
  <si>
    <t>AEROPORTO CESAR BOMBONATO - UBERLANDIA - MG</t>
  </si>
  <si>
    <t>AERODUTO</t>
  </si>
  <si>
    <t>HSFA</t>
  </si>
  <si>
    <t>FRIOCLIMAT</t>
  </si>
  <si>
    <t>HUB RECREIO - RECREIO DOS BANDEIRANTES - SP</t>
  </si>
  <si>
    <t>FLEURY VESPASIANO</t>
  </si>
  <si>
    <t>STUDIO JUNDIAI - SP</t>
  </si>
  <si>
    <t>ASSAI - JACANA - SP</t>
  </si>
  <si>
    <t>ASSAI - LOJA 012 - JUNDIAI - SP</t>
  </si>
  <si>
    <t>ASSAI - LOJA SÃO MIGUEL - SP</t>
  </si>
  <si>
    <t>ASSAI - AV SANTA CATARINA - SP</t>
  </si>
  <si>
    <t>ARDUENG</t>
  </si>
  <si>
    <t>VISTEON AMAZONAS</t>
  </si>
  <si>
    <t>M&amp;M SOLUCOES</t>
  </si>
  <si>
    <t>AEROPORTO TEN CEL AVIADOR - CESAR BOMBONATO - UBERLANDIA - MG</t>
  </si>
  <si>
    <t>Glaucia</t>
  </si>
  <si>
    <t>AEROPORTO MARIO RIBEIRO - MONTES CLAROS</t>
  </si>
  <si>
    <t>AEROPORTO MARIO DE ALMEIDA FRANCO - UBERABA - MG</t>
  </si>
  <si>
    <t>ASSAI - CAMPINAS - CENTRO</t>
  </si>
  <si>
    <t>ASSAI - ITAVUVU - SOROCABA - SP</t>
  </si>
  <si>
    <t>ASSAI - CASA VERDE - SP</t>
  </si>
  <si>
    <t>ASSAI - LOJA OSASCO - SP</t>
  </si>
  <si>
    <t>ASSAI - LOJA COTIA - SP</t>
  </si>
  <si>
    <t>ASSAI - LOJA SANTO ANDRE - SP</t>
  </si>
  <si>
    <t>ASSAI - PRAIA GRANDE - SP</t>
  </si>
  <si>
    <t>C&amp;A VALINHOS - COMPLEMENTO</t>
  </si>
  <si>
    <t>Erika</t>
  </si>
  <si>
    <t>C&amp;A CENTER NORTE - COMPLEMENTO</t>
  </si>
  <si>
    <t>CPD - SANTANDER - CAMPINAS-SP</t>
  </si>
  <si>
    <t>LAVOSIER - SHOPPING UNIAO OSASCO - SP</t>
  </si>
  <si>
    <t>PREDIO ADMINISTRATIVO - WSD - JARAGUA DO SUL - SC</t>
  </si>
  <si>
    <t>Francis</t>
  </si>
  <si>
    <t>RAIA DROGASIL - JUNDIAI - SP</t>
  </si>
  <si>
    <t>CCR JUNDIA</t>
  </si>
  <si>
    <t>Bradesco Ômega</t>
  </si>
  <si>
    <t>CONSORCIO ARC</t>
  </si>
  <si>
    <t>Wagner</t>
  </si>
  <si>
    <t>HBR/MAIZ</t>
  </si>
  <si>
    <t>AEROPORTO INTERNACIONAL DE PONTA PORA - MS</t>
  </si>
  <si>
    <t>HSP CRISTO REDENTOR</t>
  </si>
  <si>
    <t>LEOPOLDO</t>
  </si>
  <si>
    <t>JBAR AR CONDICIONADO</t>
  </si>
  <si>
    <t>I4 ENGENHARIA</t>
  </si>
  <si>
    <t>MULTIVAC - PREÇO</t>
  </si>
  <si>
    <t>PLACA 145,00</t>
  </si>
  <si>
    <t>MULTVAC PREÇO</t>
  </si>
  <si>
    <t>MULTIVAC PREÇO</t>
  </si>
  <si>
    <t>PREV JUNHO</t>
  </si>
  <si>
    <t xml:space="preserve">UNIMED CAMPINAS </t>
  </si>
  <si>
    <t>ARCOTEC - PACOTE</t>
  </si>
  <si>
    <t>VIDEOLAR - INNOVA S.A - MANAUS / MA</t>
  </si>
  <si>
    <t>Melanie</t>
  </si>
  <si>
    <t>Lucas</t>
  </si>
  <si>
    <t>PQ. MIRANTE</t>
  </si>
  <si>
    <t>Arion</t>
  </si>
  <si>
    <t>CD RIBEIRÃO PRETO</t>
  </si>
  <si>
    <t>SMARTH HAIR</t>
  </si>
  <si>
    <t>Fabiano</t>
  </si>
  <si>
    <t>ARCOTEC - PACOTEC</t>
  </si>
  <si>
    <t>SHINNYO-EN BRASIL</t>
  </si>
  <si>
    <t>HIPER TERESINA</t>
  </si>
  <si>
    <t>COCA-COLA FENSA - PORTO ALEGRE / RS</t>
  </si>
  <si>
    <t>CLIENTE NEGOCIANDO</t>
  </si>
  <si>
    <t>TEATRO JK - GOMES DE CARVALHO - SP</t>
  </si>
  <si>
    <t>PREZUNIC - ESTRADA DO TINGUI - CAMPO GRANDE - RJ</t>
  </si>
  <si>
    <t>DAJA JPR</t>
  </si>
  <si>
    <t>SATURNO AR</t>
  </si>
  <si>
    <t>CLINICA LEGER - INDIANOPOLIS - SP</t>
  </si>
  <si>
    <t>FORT ATACADISTA - ITAJAI - SC</t>
  </si>
  <si>
    <t>HITECH</t>
  </si>
  <si>
    <t>Arnaldo</t>
  </si>
  <si>
    <t>TELHACO</t>
  </si>
  <si>
    <t>RENNER FAROL - SUC A5 TUBARAO - SC</t>
  </si>
  <si>
    <t>IVTEC ENGENHARIA</t>
  </si>
  <si>
    <t>BOSQUE DOS IPES - CAMPO GRANDE - MS</t>
  </si>
  <si>
    <t>HIPER DOCAS - BELEM - PA</t>
  </si>
  <si>
    <t>GLOBAL CLIMA</t>
  </si>
  <si>
    <t>INTERA ENGENHARIA</t>
  </si>
  <si>
    <t>Adium Produtos Farmacêuticos S/A – Ampliação Fabril – Depósito VI</t>
  </si>
  <si>
    <t>ETERNAMENTE AR</t>
  </si>
  <si>
    <t>Fleury Campinas</t>
  </si>
  <si>
    <t>AMERICANA</t>
  </si>
  <si>
    <t>YOUCOM SHOP BOULEVARD - TATUAPE</t>
  </si>
  <si>
    <t>PRESTMAN</t>
  </si>
  <si>
    <t>Brunna</t>
  </si>
  <si>
    <t>DUPLIX ENGENHARIA</t>
  </si>
  <si>
    <t>AMBULATORIO ONCOLOGICO</t>
  </si>
  <si>
    <t>Clodoaldo</t>
  </si>
  <si>
    <t>Vanderlei</t>
  </si>
  <si>
    <t>ISOLEV</t>
  </si>
  <si>
    <t>AEROPORTO DE UBERABA</t>
  </si>
  <si>
    <t>DIEBOLD NIXDORF</t>
  </si>
  <si>
    <t>TERMAX ENGENHARIA</t>
  </si>
  <si>
    <t>BRAVO TECNOLOGIA</t>
  </si>
  <si>
    <t>CREMOSA</t>
  </si>
  <si>
    <t>H. SÃO LUIZ ITAIM - RNM - TÉRREO</t>
  </si>
  <si>
    <t>AGUARDANDO CONFIRMACAO DE PEDIDO</t>
  </si>
  <si>
    <t>CONTINUAÇÃO OBRA</t>
  </si>
  <si>
    <t>SERÁ EM CHAPA</t>
  </si>
  <si>
    <t>ELETRO DALBEM</t>
  </si>
  <si>
    <t>Joel</t>
  </si>
  <si>
    <t xml:space="preserve">ELEMAX </t>
  </si>
  <si>
    <t>BARROS DE ANDRADE</t>
  </si>
  <si>
    <t>Adeilson</t>
  </si>
  <si>
    <t>RDS SERVICOS</t>
  </si>
  <si>
    <t>Brenda</t>
  </si>
  <si>
    <t>SECRETARIA DA CULTURA</t>
  </si>
  <si>
    <t>PROGERAR</t>
  </si>
  <si>
    <t>PREDIO P10A - TERREO</t>
  </si>
  <si>
    <t>SMART FIT - SUZANO - SP</t>
  </si>
  <si>
    <t>ASSAI - LOJA ITAQUERA - SP</t>
  </si>
  <si>
    <t>AIR QUALITY</t>
  </si>
  <si>
    <t>Obra Hospital Aeroporto Bahia-BA</t>
  </si>
  <si>
    <t>ARDU INVEST INVESTIMENTOS - SETOR B</t>
  </si>
  <si>
    <t>AMAZON CGH7 - CAJAMAR - SP</t>
  </si>
  <si>
    <t>CENTAURO - SHOPPING - RIO PRETO</t>
  </si>
  <si>
    <t>WEBEDIA INTERNET BRASIL S.A.</t>
  </si>
  <si>
    <t>UNIMED - CENTRO DE MEDICINA PREVENTIVA - PIRACICABA - SP</t>
  </si>
  <si>
    <t>H. JABAQURA_UTI ADULTO</t>
  </si>
  <si>
    <t>HOSP. JABAGUARA_CRIANÇA</t>
  </si>
  <si>
    <t>LKT AR CONDICIONADO</t>
  </si>
  <si>
    <t>XP - JOÃO PESSOA</t>
  </si>
  <si>
    <t>Nicolas</t>
  </si>
  <si>
    <t>HOSP VARZEA PAULISTA</t>
  </si>
  <si>
    <t>HAPVIDA - CLINICA TUCURUVI - SP</t>
  </si>
  <si>
    <t>ACADEMIA GAVIOES - VILA MATILDE - SP</t>
  </si>
  <si>
    <t>EDIFICIO BANDEIRANTES - SAO PAULO - SP</t>
  </si>
  <si>
    <t>ESPACO LASER - TAMBORE</t>
  </si>
  <si>
    <t>LANA</t>
  </si>
  <si>
    <t>HOSPITAL GRAAC - QUIMIOTERAPIA - SÃO PAULO - SP</t>
  </si>
  <si>
    <t>OBRAMAX - GUARULHOS - SP</t>
  </si>
  <si>
    <t>FUNDACAO DORINA NOWIL - VILA CLEMENTINO - SP</t>
  </si>
  <si>
    <t>SOLUTION CLIMATIZACAO</t>
  </si>
  <si>
    <t>BAUDUCCO - SALA FERMENTOS E 1 IMPASTO - COMPLEMENTO</t>
  </si>
  <si>
    <t>Emerson</t>
  </si>
  <si>
    <t>SUPERMERCADO FRADE - ILHABELA - SP</t>
  </si>
  <si>
    <t>Projeto 009 – São Paulo Surf Club – Fase 02 Clube</t>
  </si>
  <si>
    <t>HARC INSTALACOES</t>
  </si>
  <si>
    <t>Libbs</t>
  </si>
  <si>
    <t>HOSPITAL DA MULHER E MATERNIDADE ESTADUAL - PALMAS - TO</t>
  </si>
  <si>
    <t>UNIMED CAMPINAS</t>
  </si>
  <si>
    <t>SOLUFARMA</t>
  </si>
  <si>
    <t>Hospital Universitário de Jundiaí SP</t>
  </si>
  <si>
    <t>Leticia</t>
  </si>
  <si>
    <t>BK COMPER - JUCA GUARANA - CUIABA - MT</t>
  </si>
  <si>
    <t>SEPACO</t>
  </si>
  <si>
    <t>Lenilson</t>
  </si>
  <si>
    <t>CHRISTAR AR</t>
  </si>
  <si>
    <t>SONY SJC</t>
  </si>
  <si>
    <t>KZ PROJETOS</t>
  </si>
  <si>
    <t>CORE ENGENHARIA</t>
  </si>
  <si>
    <t>MOVIMENTAR</t>
  </si>
  <si>
    <t>PAINEIS PRE ISOLADOS DE PU</t>
  </si>
  <si>
    <t>PERILLO ENGENHARIA</t>
  </si>
  <si>
    <t>FECHADO PELA CONSTARCO</t>
  </si>
  <si>
    <t>FECHADO PELA AIRPLAN</t>
  </si>
  <si>
    <t>FECHADO PELA ECOLOGIC AIR</t>
  </si>
  <si>
    <t xml:space="preserve">MULTIVAC </t>
  </si>
  <si>
    <t>FECHADO PELA SESIL-AR</t>
  </si>
  <si>
    <t>FECHADO PELA ARPOL</t>
  </si>
  <si>
    <t>SKIN CHEMICAL</t>
  </si>
  <si>
    <t>RD SAÚDE - CD ITUPEVA</t>
  </si>
  <si>
    <t>SEL - CAMPINAS / SP</t>
  </si>
  <si>
    <t>FECHADO PELA PROTÉRMICA</t>
  </si>
  <si>
    <t>OPTOU POR CHAPA</t>
  </si>
  <si>
    <t>COMPLEMENTO</t>
  </si>
  <si>
    <t>9014-25 - AR CONDICIONADO</t>
  </si>
  <si>
    <t>STA ISABEL - 3ºAND</t>
  </si>
  <si>
    <t>PREDIO ADMINISTRATIVO - CSC - JARAGUA DO SUL - SC</t>
  </si>
  <si>
    <t>MIX MATEUS - ARAPIRACA - AL</t>
  </si>
  <si>
    <t>HAITEC</t>
  </si>
  <si>
    <t>VIVO - OSCAR FREIRE - SÃO PAULO - SP</t>
  </si>
  <si>
    <t>Sileide</t>
  </si>
  <si>
    <t>SMURF</t>
  </si>
  <si>
    <t>AUTOGLASS</t>
  </si>
  <si>
    <t>Heber</t>
  </si>
  <si>
    <t>SANTANDER CAMPINAS - LADO A DC NORTE</t>
  </si>
  <si>
    <t>HAPVIDA - TATUAPE - SP</t>
  </si>
  <si>
    <t>GOLDEN WEST LINS</t>
  </si>
  <si>
    <t>AIRLIX</t>
  </si>
  <si>
    <t>OHANA BEACH PARK RESORT</t>
  </si>
  <si>
    <t>Monica</t>
  </si>
  <si>
    <t>SAUK ENGENHARIA</t>
  </si>
  <si>
    <t>HOSPITAL MUNICIPAL DE VARZEA PAULISTA - SP</t>
  </si>
  <si>
    <t>COLORTEL</t>
  </si>
  <si>
    <t>REGIONAL SÃO PAULO</t>
  </si>
  <si>
    <t>Renato</t>
  </si>
  <si>
    <t>SUPER JACUNDA - JACUNDA - PA</t>
  </si>
  <si>
    <t>HAP VID</t>
  </si>
  <si>
    <t>HOSPITAL SÃO VICENTE DE PAULO - TRES DE MAIO - RS</t>
  </si>
  <si>
    <t>HOSPITAL SÃO VICENTE DE PAULO - TRES DE MAIO - RS - 2º PAVIMENTO</t>
  </si>
  <si>
    <t>PREZUNIC TINGUI</t>
  </si>
  <si>
    <t>AEROPORTO DE GUARULHOS - SALA VIP - TERMINAL 3 - PISO DE EMBARQUE</t>
  </si>
  <si>
    <t>ATAKAREJO - FEIRA DE SANTANA - BA</t>
  </si>
  <si>
    <t>BIENAL</t>
  </si>
  <si>
    <t>ASSAI - BUSSOCABA - OSASCO - SP - ADM</t>
  </si>
  <si>
    <t>ASSAI - BUSSOCABA - OSASCO - SP - SALAO DE VENDAS</t>
  </si>
  <si>
    <t>ADERBAL AR CONDICIONADO</t>
  </si>
  <si>
    <t>PLANEJAR</t>
  </si>
  <si>
    <t>MARCONI SOUTO</t>
  </si>
  <si>
    <t>TLSERVICE</t>
  </si>
  <si>
    <t>STA ISABEL - TODOS PVTOS</t>
  </si>
  <si>
    <t>SP CLIMAT</t>
  </si>
  <si>
    <t>LECLAIR BAURU</t>
  </si>
  <si>
    <t>Samuel</t>
  </si>
  <si>
    <t>P&amp;G</t>
  </si>
  <si>
    <t>AGUARDANDO SINAL DE 30% PARA SEGUIRMOS COM O PEDIDO</t>
  </si>
  <si>
    <t>CLUBE TERMAS DE ITU - ACADEMIA TERRAS 2 - COBERTURA</t>
  </si>
  <si>
    <t>CLUBE TERMAS DE ITU - ACADEMIA TERRAS 2 - TERREO</t>
  </si>
  <si>
    <t>CLUBE TERMAS DE ITU - ACADEMIA TERRAS 2 - SUBSOLO</t>
  </si>
  <si>
    <t>Victoria</t>
  </si>
  <si>
    <t>VELTTER ENGENHARIA</t>
  </si>
  <si>
    <t>PROJETO RESIDENCIAL - OURINHOS - SP</t>
  </si>
  <si>
    <t>ATAKADAO - DIAS D AVILA - BA</t>
  </si>
  <si>
    <t>ELIANE PRADO PASCHOAL - BAURU - SP</t>
  </si>
  <si>
    <t>TETRA BASE</t>
  </si>
  <si>
    <t>UNIMED CAMPINAS - SEDE II - 3º PAVIMENTO</t>
  </si>
  <si>
    <t>MANOEL FRANCISCO BARBOSA</t>
  </si>
  <si>
    <t>STA ISABEL - 5º ANDAR</t>
  </si>
  <si>
    <t>STA ISABEL - 6º ANDAR</t>
  </si>
  <si>
    <t>STA ISABEL - 7º ANDAR</t>
  </si>
  <si>
    <t>STA ISABEL - 8º ANDAR</t>
  </si>
  <si>
    <t>STA ISABEL - 3º ANDAR</t>
  </si>
  <si>
    <t>JOANIN - LOJA 01 - SÃO CAETANO - SP</t>
  </si>
  <si>
    <t>Larissa</t>
  </si>
  <si>
    <t>JOANIN - LOJA 03 - SÃO CAETANO - SP</t>
  </si>
  <si>
    <t>JOANIN SBC</t>
  </si>
  <si>
    <t>RANKINE ENGENHARIA</t>
  </si>
  <si>
    <t>UNIMED PIRACICABA - PREDIO LEITO - PIRACICABA - SP - OPCAO 2</t>
  </si>
  <si>
    <t>UNIMED PIRACICABA - PREDIO LEITO - PIRACICABA - SP - OPCAO 1</t>
  </si>
  <si>
    <t>SMART FIT - POUPAKI OSASCO - SP</t>
  </si>
  <si>
    <t>SMART FIT - MALL CAIEIRAS - SP</t>
  </si>
  <si>
    <t>REFRIARTEC</t>
  </si>
  <si>
    <t>SMART FIT - VILA FORMOSA - JUNDIAI - SP</t>
  </si>
  <si>
    <t>Neusa</t>
  </si>
  <si>
    <t>REFRIMAG</t>
  </si>
  <si>
    <t>PRO RAC</t>
  </si>
  <si>
    <t>FECHOU POR 7K</t>
  </si>
  <si>
    <t>FECHADO COM ARCOTEC</t>
  </si>
  <si>
    <t>PROJETAR</t>
  </si>
  <si>
    <t>HOSPITAL SÃO LUIZ ITAIM - NOVA REMA BLOCO C</t>
  </si>
  <si>
    <t>EM NEGOCIAÇÃO</t>
  </si>
  <si>
    <t>CYBELE OLIVEIRA SANTOS</t>
  </si>
  <si>
    <t>OBRA FECHADA AWA</t>
  </si>
  <si>
    <t>CAMICADO - CAMPINAS</t>
  </si>
  <si>
    <t>OBRA FECHADA ADALTA</t>
  </si>
  <si>
    <t>PERDIDO ARCOTEC</t>
  </si>
  <si>
    <t>COMPANHIA DO METROPOLITANO DE SÃO PAULO</t>
  </si>
  <si>
    <t>MARIA FILO - IGUATEMI</t>
  </si>
  <si>
    <t>INSTITUTO MAUA - H100</t>
  </si>
  <si>
    <t>SICRED - CENTRO - MOGI DAS CRUZES - SP</t>
  </si>
  <si>
    <t>HEMODIALISE - HOSPITAL REGIONAL DO ALTO TIETE - SUZANO - SP</t>
  </si>
  <si>
    <t>SMART FIT - JUNDIAI PINCINATO - SP</t>
  </si>
  <si>
    <t>AEROPORTO DE CORUMBA - MS</t>
  </si>
  <si>
    <t>HAPVIDA - SÃO MIGUEL</t>
  </si>
  <si>
    <t>CORPORATIVO PAULISTA</t>
  </si>
  <si>
    <t>Carmen</t>
  </si>
  <si>
    <t>TENDA - LOJA ITU - SP</t>
  </si>
  <si>
    <t>HOSPITAL PEQUENO PRINCIPE</t>
  </si>
  <si>
    <t>IPP</t>
  </si>
  <si>
    <t>AMAZON CGH7 - CAJAMAR - SP - CENTRO DE CUSTO 319 / OBRA CGH7</t>
  </si>
  <si>
    <t>V3 DUTOS</t>
  </si>
  <si>
    <t>Divino</t>
  </si>
  <si>
    <t>RENNER - LUCAS DO RIO VERDE - MT</t>
  </si>
  <si>
    <t>EDP</t>
  </si>
  <si>
    <t>SUPERMERCADO ALABARCE LTDA</t>
  </si>
  <si>
    <t>FORT - SANTA CRUZ DO SUL</t>
  </si>
  <si>
    <t>COMPER - FORT ATACADISTA - CT AURORA - MT</t>
  </si>
  <si>
    <t>RENNER RECIFE</t>
  </si>
  <si>
    <t>CCR JUNDIAI</t>
  </si>
  <si>
    <t>DONIZETI SANTOS</t>
  </si>
  <si>
    <t>PAROQUIA SÃO BENEDITO</t>
  </si>
  <si>
    <t>Donizeti</t>
  </si>
  <si>
    <t>HOSP. MAUÁ_RX</t>
  </si>
  <si>
    <t>CINEPOLIS MANAUS - SHOPPING PONTA NEGRA - AM</t>
  </si>
  <si>
    <t>PILKINGTON</t>
  </si>
  <si>
    <t>Ed. Brasilio Olimpo - 11º ao 15º</t>
  </si>
  <si>
    <t>EBM - GWS - FUNDO C25 - 11° e 15º Pav.</t>
  </si>
  <si>
    <t>ACTEC ENGENHARIA</t>
  </si>
  <si>
    <t>CLIMASPACE</t>
  </si>
  <si>
    <t>PREV AGOSTO</t>
  </si>
  <si>
    <t>PREV JULHO</t>
  </si>
  <si>
    <t>REVISÃO DE PROJETO</t>
  </si>
  <si>
    <t>FECHADO MULTIVAC</t>
  </si>
  <si>
    <t>PLACA 140,00</t>
  </si>
  <si>
    <t>AGUARDANDO LOCAL DE ENTREGA</t>
  </si>
  <si>
    <t>SOLAR SERVIÇO</t>
  </si>
  <si>
    <t>Graziele</t>
  </si>
  <si>
    <t>NOVA CRUZEIRO</t>
  </si>
  <si>
    <t>CASA 2 - GUSTAVO CONDE</t>
  </si>
  <si>
    <t>Mauricio</t>
  </si>
  <si>
    <t>MG CLIMATIZAÇÃO</t>
  </si>
  <si>
    <t>HOSPITAL VETERINARIO - PATOLOGIA - MARINGA - PR</t>
  </si>
  <si>
    <t>LEGIAO DA BOA VONTADE - JARDIM ATENAS - SP - BLOCO A</t>
  </si>
  <si>
    <t>SESC - RIBEIRAO PRETO - SP</t>
  </si>
  <si>
    <t>CONSTRUTORA MULT</t>
  </si>
  <si>
    <t>Bruno</t>
  </si>
  <si>
    <t>ARENA PARANA</t>
  </si>
  <si>
    <t>NUHALA BEATRIZ</t>
  </si>
  <si>
    <t>21º PAVIMENTO - AV NACOES UNIDAS</t>
  </si>
  <si>
    <t>BENEFICENCIA NIPO BRASILEIRA</t>
  </si>
  <si>
    <t>APARTAMENTO LAFER 424 - ITAIM BIBI - SP</t>
  </si>
  <si>
    <t>JWA</t>
  </si>
  <si>
    <t>MAXICLIMA</t>
  </si>
  <si>
    <t>Raimundo</t>
  </si>
  <si>
    <t>RA ENGENHARIAS</t>
  </si>
  <si>
    <t>HOTEL PRAÇA BENTO</t>
  </si>
  <si>
    <t>Ailton</t>
  </si>
  <si>
    <t>ASSAÍ - LOJA ITAQUAQUECETUBA-SP</t>
  </si>
  <si>
    <t>ARIS NET</t>
  </si>
  <si>
    <t>Daiana e Daniel</t>
  </si>
  <si>
    <t>Adilson</t>
  </si>
  <si>
    <t>DM SERVIÇOS</t>
  </si>
  <si>
    <t>Hospital Dr. Benedicto Montenegro</t>
  </si>
  <si>
    <t>JOANINN</t>
  </si>
  <si>
    <t>AGK AR CONDICIONADO</t>
  </si>
  <si>
    <t>Alexandre Zolko Baleia</t>
  </si>
  <si>
    <t>BRASTERRA EMPREENDIMENTOS IMOBILIARIOS</t>
  </si>
  <si>
    <t>SO-AR CLIMATIZAÇÃO</t>
  </si>
  <si>
    <t>Gabriel Cerini</t>
  </si>
  <si>
    <t>MARTMINAS - BARREIRO - MINAS GERAIS-MG</t>
  </si>
  <si>
    <t>STEPHAN SCHAFER CONSERVACAO</t>
  </si>
  <si>
    <t>Magda</t>
  </si>
  <si>
    <t>HOSPITAL AMIL - PRAIA GRANDE/SP</t>
  </si>
  <si>
    <t>YOUCOM - SHOPPING SUPER OSASCO</t>
  </si>
  <si>
    <t>Junior</t>
  </si>
  <si>
    <t>FORT ATACADISTA - SC</t>
  </si>
  <si>
    <t>ENGITEL</t>
  </si>
  <si>
    <t>CAMERA MUNICIPAL DE LIMEIRA</t>
  </si>
  <si>
    <t>NP CLIMATIZAÇÃO</t>
  </si>
  <si>
    <t>GIHAD</t>
  </si>
  <si>
    <t>Maria Luisa</t>
  </si>
  <si>
    <t>TENDA - ITU/SP</t>
  </si>
  <si>
    <t>SESC RIBEIRÃO PRETO/SP - GALPÃO EVENTOS</t>
  </si>
  <si>
    <t>SESC RIBEIRÃO PRETO/SP - GALPÃO GMF</t>
  </si>
  <si>
    <t>HOSPITAL SÃO LUIZ - OSASCO - 2º PAVTO - PARTE 1</t>
  </si>
  <si>
    <t>JEFFERSON DOS SANTOS</t>
  </si>
  <si>
    <t>Jefferson</t>
  </si>
  <si>
    <t>HOSPITAL MUNICIPAL JOSÉ SOARES HUNGRIA</t>
  </si>
  <si>
    <t>PREDIO P05</t>
  </si>
  <si>
    <t>PREDIO P06</t>
  </si>
  <si>
    <t>Giovana</t>
  </si>
  <si>
    <t>RECKTHERM</t>
  </si>
  <si>
    <t>HOSPITAL REGIONAL DE REGISTRO</t>
  </si>
  <si>
    <t>Reginaldo</t>
  </si>
  <si>
    <t>SAVEGNAGO - INDAIATUBA/SP</t>
  </si>
  <si>
    <t>SAVEGNAGO - SERTÃOZINHO/SP</t>
  </si>
  <si>
    <t>TEAG - TERMINAL DE EXPORTAÇÃO</t>
  </si>
  <si>
    <t>PETZ PARNAMIRIM</t>
  </si>
  <si>
    <t>HERSA</t>
  </si>
  <si>
    <t>RECAP (PETROBRAS) - MAUA/SP</t>
  </si>
  <si>
    <t>BCGP 2503 - ALBA HOTELARIA</t>
  </si>
  <si>
    <t>HOSPITAL SÃO CAMILO - POMPÉIA</t>
  </si>
  <si>
    <t>ACHÊ - DOCAS - GUARULHOS/SP</t>
  </si>
  <si>
    <t>CNPEM</t>
  </si>
  <si>
    <t>José Vitor</t>
  </si>
  <si>
    <t xml:space="preserve">LOJAS RENNER </t>
  </si>
  <si>
    <t>Wilson</t>
  </si>
  <si>
    <t>TOMMY HILFIGER - OUTLET SANTA MARIA</t>
  </si>
  <si>
    <t>MANTIQUEIRA BRASIL - LORENA-SP</t>
  </si>
  <si>
    <t>LOJA SALTO - ROLDÃO SUPER ATACADO</t>
  </si>
  <si>
    <t>TTAIS ENGENHARIA - PREDIO 1 - OPCAO 3</t>
  </si>
  <si>
    <t>Josue</t>
  </si>
  <si>
    <t>PLACA 180,00 (3m)</t>
  </si>
  <si>
    <t>HOSPITAL TATUAPÉ</t>
  </si>
  <si>
    <t>CADASTRO</t>
  </si>
  <si>
    <t>CENTAURO CARUARU</t>
  </si>
  <si>
    <t>LS AR CONDICIONADO</t>
  </si>
  <si>
    <t>CENTAURO CASCAVEL</t>
  </si>
  <si>
    <t>RD - EXPANSÃO CD - RIBEIRÃO PRETO-SP</t>
  </si>
  <si>
    <t>FOUR C - BAURU-SP</t>
  </si>
  <si>
    <t>F F SCHULTZ</t>
  </si>
  <si>
    <t>Cesar</t>
  </si>
  <si>
    <t>IEDA DOS SANTOS ICO</t>
  </si>
  <si>
    <t>SUPERMERCADO FRADE</t>
  </si>
  <si>
    <t>Aeroporto Internacional de Florianópolis - SC</t>
  </si>
  <si>
    <t>HOSPITAL AVICCENA - REDE DO'R TATUAPÉ</t>
  </si>
  <si>
    <t>Alberto Praia Baleia</t>
  </si>
  <si>
    <t>BRUNO ZANINI - FAZENDA BOA VISTA</t>
  </si>
  <si>
    <t>NIKE RISE BARIGUI</t>
  </si>
  <si>
    <t>CENTAURO MAX JUNDIAÍ</t>
  </si>
  <si>
    <t>Sidinei</t>
  </si>
  <si>
    <t>RENNER PARKSHOPPING CANOAS</t>
  </si>
  <si>
    <t>YOUCOM - MANHATTAN SHOPPING</t>
  </si>
  <si>
    <t>FORT ATACADISTA - ITAJAÍ/SC</t>
  </si>
  <si>
    <t>Yuri</t>
  </si>
  <si>
    <t xml:space="preserve">RECLIMA </t>
  </si>
  <si>
    <t>MECA MATERIAL ELETRICO</t>
  </si>
  <si>
    <t>Gerardo</t>
  </si>
  <si>
    <t>TEAG - GUARUJÁ/SP - FRETE FOB</t>
  </si>
  <si>
    <t xml:space="preserve">Thiago </t>
  </si>
  <si>
    <t>NIKE - BALNEARIO SHOPPING/SC</t>
  </si>
  <si>
    <t>LABORATÓRIO SANTA HELENA</t>
  </si>
  <si>
    <t>C&amp;A AMR - SHOPPING AMERICANA MALL</t>
  </si>
  <si>
    <t>OBRAMAX - UBERLÂNDIA/MG</t>
  </si>
  <si>
    <t>CARLOS AUGUSTO AIELLO LACORTE</t>
  </si>
  <si>
    <t>HOSPITAL DO RIM - PÓS-TRANSPLANTE</t>
  </si>
  <si>
    <t>SS MOURA TECNOLOGIA</t>
  </si>
  <si>
    <t>25/007 - STA ISABEL - REQ 2.06</t>
  </si>
  <si>
    <t>MIX MATEUS IMPERATRIZ JK</t>
  </si>
  <si>
    <t>SAVEGNAGO INDAIATUBA</t>
  </si>
  <si>
    <t>PANPHARMA</t>
  </si>
  <si>
    <t>DIOGO FARIA MOREIRA - FRANCA-SP</t>
  </si>
  <si>
    <t>TECON TECNOLOGIA</t>
  </si>
  <si>
    <t>FORO PELOTAS</t>
  </si>
  <si>
    <t>Gerson</t>
  </si>
  <si>
    <t>ARCLEAN</t>
  </si>
  <si>
    <t>AENA Campo Grande</t>
  </si>
  <si>
    <t>CS MOBI - MERCADO MUNICIPAL CUIABÁ</t>
  </si>
  <si>
    <t>TRIBASE CONSTRUTORA</t>
  </si>
  <si>
    <t>GBA ADVOGADOS - SPARK - 11º PAVTO</t>
  </si>
  <si>
    <t>SMART FIT - EMBU DAS ARTES-SP</t>
  </si>
  <si>
    <t>CHAN YOUNG KOO</t>
  </si>
  <si>
    <t xml:space="preserve">FECHADO </t>
  </si>
  <si>
    <t>CHAPA</t>
  </si>
  <si>
    <t>COMPRADO DIRETO PELO CLIENTE FINAL</t>
  </si>
  <si>
    <t>EM NEGOCIAÇÃO BOAS CHANCES</t>
  </si>
  <si>
    <t>CONTINUAÇÃO DA OBRA EM MPU</t>
  </si>
  <si>
    <t>FR COMOLATTI</t>
  </si>
  <si>
    <t>Distrito Araraquara | Centro de Convenção</t>
  </si>
  <si>
    <t xml:space="preserve">Lucas </t>
  </si>
  <si>
    <t>RENNER SHOPPING LAVRAS</t>
  </si>
  <si>
    <t>ANIMALE - SHOPPING JK IGUATEMI</t>
  </si>
  <si>
    <t>Nilson</t>
  </si>
  <si>
    <t>HYUNDAI - PIRACICABA/SP</t>
  </si>
  <si>
    <t>HYUNDAI</t>
  </si>
  <si>
    <t>Ana</t>
  </si>
  <si>
    <t>APICE KLIMA</t>
  </si>
  <si>
    <t>SMART FIT - SOROCABA-SP</t>
  </si>
  <si>
    <t>Luis Carlos</t>
  </si>
  <si>
    <t>AIR CONDYGIO</t>
  </si>
  <si>
    <t>GAME STATION</t>
  </si>
  <si>
    <t>GAME STATION - FORTALEZA</t>
  </si>
  <si>
    <t>Adriana</t>
  </si>
  <si>
    <t>APO ENGENHARIA</t>
  </si>
  <si>
    <t>Hospital das Clinicas - ICR</t>
  </si>
  <si>
    <t>José de Araújo</t>
  </si>
  <si>
    <t>SANTA MAGGIORE - UNIDADE HAVAÍ - 2º PAVTO</t>
  </si>
  <si>
    <t>AR2 SOLUÇÕES</t>
  </si>
  <si>
    <t>WELLNESS SOLUTIONS</t>
  </si>
  <si>
    <t>NIKE CAMPINAS</t>
  </si>
  <si>
    <t>AEROPORTO INTERNACIONAL DE PONTA PORÃ/MS</t>
  </si>
  <si>
    <t>SANTA MAGGIORE - UNIDADE HAVAÍ - 4º PAVTO</t>
  </si>
  <si>
    <t>TAUSTE SUPERMERCADOS</t>
  </si>
  <si>
    <t>SANTA CASA DE SOROCABA</t>
  </si>
  <si>
    <t>SANTA CASA DE MISERICÓRDIA DE SOROCABA</t>
  </si>
  <si>
    <t>ANDRE LUIS SILVA</t>
  </si>
  <si>
    <t>POWERTECH</t>
  </si>
  <si>
    <t>PWT 986</t>
  </si>
  <si>
    <t>HOSPITAL SÃO RAFAEL - VILA MARIANA-SP</t>
  </si>
  <si>
    <t>MATRES - CONSULTORIA</t>
  </si>
  <si>
    <t>FUNDAÇÃO BUTANTAN - PRÉDIO P0306</t>
  </si>
  <si>
    <t>Luis Rodrigues</t>
  </si>
  <si>
    <t>RENNER - SH FABRIKA MALL</t>
  </si>
  <si>
    <t>ITV - BELEM DO PARÁ</t>
  </si>
  <si>
    <t>Gestão Joanin São Caetano Loja 03</t>
  </si>
  <si>
    <t>ASSAÍ - LOJA VILHA VELHA-ES - GERAL</t>
  </si>
  <si>
    <t>CINÉPOLIS</t>
  </si>
  <si>
    <t>FR CLIMATIZAÇÃO</t>
  </si>
  <si>
    <t>Vagner</t>
  </si>
  <si>
    <t>GRUPO GR SOLUÇÕES</t>
  </si>
  <si>
    <t>CLINICA GÁVEA</t>
  </si>
  <si>
    <t>CAM ENERGY</t>
  </si>
  <si>
    <t>GV PORTO SÃO PEDRO</t>
  </si>
  <si>
    <t>TENDA ATACADO - LOJA TAUBATÉ-SP</t>
  </si>
  <si>
    <t>NAVES ENGENHARIA - NOVA SEDE - ITV BELÉM</t>
  </si>
  <si>
    <t>Pedro Soares</t>
  </si>
  <si>
    <t>GRAMA SINTÉTICA</t>
  </si>
  <si>
    <t>RENNER LUCAS DO RIO VERDE</t>
  </si>
  <si>
    <t>BRICK</t>
  </si>
  <si>
    <t>SICREDI - AG TIETÊ-SP</t>
  </si>
  <si>
    <t>João Pedro</t>
  </si>
  <si>
    <t>NSP115C25 - HCOR - TMO 2º PAVIMENTO</t>
  </si>
  <si>
    <t>TARGINO AR CONDICIONADO</t>
  </si>
  <si>
    <t>Talita</t>
  </si>
  <si>
    <t>HOFFMAN D'AVLLA CÂNDIDO E SOUSA</t>
  </si>
  <si>
    <t>ASSAÍ - LOJA SÃO JOSE DOS CAMPOS - JK</t>
  </si>
  <si>
    <t>SBRMGCNAZ01 - SUPERMERCADO OPA NAZARÉ</t>
  </si>
  <si>
    <t>SBRSPICAI01 - MALL CAIEIRAS</t>
  </si>
  <si>
    <t>MANENG</t>
  </si>
  <si>
    <t>Hanna</t>
  </si>
  <si>
    <t>SMART FIT - JARDIM ADRIANA - GUARULHOS/SP</t>
  </si>
  <si>
    <t>CELSO LIMA</t>
  </si>
  <si>
    <t>POPEYES - VALE SUL SHOPPING</t>
  </si>
  <si>
    <t>DECORADO OSCAR - TORRE A</t>
  </si>
  <si>
    <t>SMART FIT - JUNDIAI - CECAP - VILA FORMOSA</t>
  </si>
  <si>
    <t>ATACADAO - MARACANAU - CE</t>
  </si>
  <si>
    <t>26/25 - BB IPIRANGA MONUMENTO</t>
  </si>
  <si>
    <t>RAIA DROGRASIL</t>
  </si>
  <si>
    <t>SICOOB AGROGREDI - NOVA SEDE - GUAXUPE - MG</t>
  </si>
  <si>
    <t>MICHELE VIEIRA</t>
  </si>
  <si>
    <t>Ernandes</t>
  </si>
  <si>
    <t>GVHVAC</t>
  </si>
  <si>
    <t>HOSPITAL UNIDADE VIÇOSA - MG</t>
  </si>
  <si>
    <t>KLIMATOS</t>
  </si>
  <si>
    <t>INSTITUTO DE PESQUISA EL DORADO</t>
  </si>
  <si>
    <t>Felicio</t>
  </si>
  <si>
    <t>SURYHA E JORGE LUIZ ZENATTI - DOURADOS - MS</t>
  </si>
  <si>
    <t>AIRCAM</t>
  </si>
  <si>
    <t>MH INSTALACOES</t>
  </si>
  <si>
    <t>CLINICA CIMED - MORUMBI</t>
  </si>
  <si>
    <t>Alexandra</t>
  </si>
  <si>
    <t>SESI - SÃO JOSE DO RIO PRETO - SP</t>
  </si>
  <si>
    <t>TERESA GUARITA</t>
  </si>
  <si>
    <t>HOSPITAL DF STAR II BRASILIA</t>
  </si>
  <si>
    <t>THEMA ENGENHARIA</t>
  </si>
  <si>
    <t>FAVALE E ASSOCIADOS</t>
  </si>
  <si>
    <t>NSP 118.25 - REDE D'OR CAMPINAS</t>
  </si>
  <si>
    <t>NSP 149.25 - ANÁLIA FRANCO</t>
  </si>
  <si>
    <t>NSP 160.25 - PET CET - 7º ANDAR</t>
  </si>
  <si>
    <t>NSP 159.25 - CME - OSASCO</t>
  </si>
  <si>
    <t>NSP094.25 - HOSP. REDE D'OR CENTRAL LESTE</t>
  </si>
  <si>
    <t>FECHOU EM CHAPA</t>
  </si>
  <si>
    <t>Talles</t>
  </si>
  <si>
    <t>STAR BRASÍLIA</t>
  </si>
  <si>
    <t>4424_QUIMIO - 4424-25 - GRAAC - 2º ANDAR - QUIMIOTERAPIA</t>
  </si>
  <si>
    <t>HOSP. ASSUNÇÃO - 3ºPAV</t>
  </si>
  <si>
    <t>HOSP. ASSUNÇÃO - 1ºPAV</t>
  </si>
  <si>
    <t>HOSP. ASSUNÇÃO - TERREO</t>
  </si>
  <si>
    <t>AIRCONDYGUI</t>
  </si>
  <si>
    <t>YOUCOM - SHOPPING ANALIA FRANCO - SP</t>
  </si>
  <si>
    <t>ASSAI - ARAGUAIANA - TO</t>
  </si>
  <si>
    <t>WSR REFRIGERACAO</t>
  </si>
  <si>
    <t>Willy</t>
  </si>
  <si>
    <t>SAVEGNAGO SERTÃOZINHO - JD DAS PALMEIRAS</t>
  </si>
  <si>
    <t>RESIDENCIA UNIFAMILIAR - MARINA E ALESSANDRO</t>
  </si>
  <si>
    <t>DARKSTORE - SÃO LUIS - MA</t>
  </si>
  <si>
    <t>Joanin SBC - 1527.2023</t>
  </si>
  <si>
    <t>Ary</t>
  </si>
  <si>
    <t>KEMP</t>
  </si>
  <si>
    <t>PAINEL DE POLIURETANO</t>
  </si>
  <si>
    <t>COMPRARAM EM RECIFE</t>
  </si>
  <si>
    <t>PLACA 131,00</t>
  </si>
  <si>
    <t>RESIDENCIA JOSEF SOUED - GUARUJA - SP</t>
  </si>
  <si>
    <t>CENTRO DE PESQUISA FUNDAMENTAL - CEP MORUMBI</t>
  </si>
  <si>
    <t>APOLLO CLIMA</t>
  </si>
  <si>
    <t>Cleverson</t>
  </si>
  <si>
    <t>NOVO ATACAREJO GARANHUNS</t>
  </si>
  <si>
    <t>RIACHUELO PONTA GROSSA PR</t>
  </si>
  <si>
    <t>NOVO ATACAREJO IGARASSU</t>
  </si>
  <si>
    <t>YOUCOM - SH JARAGUA - ARARAQUARA -</t>
  </si>
  <si>
    <t>DR CONSULTA - SANTO ANDRE - SP</t>
  </si>
  <si>
    <t>NISSIN - MEZANINO - FABRICA 3 - IBIUNA - SP</t>
  </si>
  <si>
    <t>Rodolfo</t>
  </si>
  <si>
    <t>MIX SANTA INES - MA</t>
  </si>
  <si>
    <t>PROFORT</t>
  </si>
  <si>
    <t>VILA STARTUPS - CAMPINAS - SP</t>
  </si>
  <si>
    <t>SICOOB - GUAXUPE MG</t>
  </si>
  <si>
    <t>HOSPITAL SÃO LUIZ ITAIM</t>
  </si>
  <si>
    <t>ASSAI - UTINGA - SANTO ANDRE- SP - ADM</t>
  </si>
  <si>
    <t>ASSAI - UTINGA - SANTO ANDRE- SP - SALAO DE VENDAS</t>
  </si>
  <si>
    <t>JPR DASA</t>
  </si>
  <si>
    <t>CSM TUBE DO BRASIL</t>
  </si>
  <si>
    <t>LUCIANO DA CRUZ</t>
  </si>
  <si>
    <t>NIKE - BALNEARIO SHOPPING - SC</t>
  </si>
  <si>
    <t>Luciano</t>
  </si>
  <si>
    <t>HAITEC AR CONDICIONADO</t>
  </si>
  <si>
    <t>SHOPPING JK IGUATEM</t>
  </si>
  <si>
    <t>Nilton</t>
  </si>
  <si>
    <t>YOUCOM - SH JARAGUA - ARARAQUARA - SP</t>
  </si>
  <si>
    <t>TDA ENGENHARIA</t>
  </si>
  <si>
    <t>ALP ENGENHARIA</t>
  </si>
  <si>
    <t>WGA ENGENHARIA</t>
  </si>
  <si>
    <t>ARIEL GANDELMAN</t>
  </si>
  <si>
    <t>ICA ARQUITETURA</t>
  </si>
  <si>
    <t>IBR ENGENHARIA</t>
  </si>
  <si>
    <t>AVENIDA WASHINGTON LUIS, S/Nº, AEROPORTO DE SÃO PAULO/CONGONHAS</t>
  </si>
  <si>
    <t>ORCAMENTO ENCAMINHADA AO CLIENTE PARA SEGUIR COM O PEDIDO</t>
  </si>
  <si>
    <t>OBRA DA AWA</t>
  </si>
  <si>
    <t>DECLINARAM</t>
  </si>
  <si>
    <t>OBRA DA M&amp;M</t>
  </si>
  <si>
    <t>OBRA DA CONTROLE E CLIMA</t>
  </si>
  <si>
    <t>OBRA DA AFTERMICA</t>
  </si>
  <si>
    <t>CLIENTE NEGOCIANDO PREV. AGOSTO</t>
  </si>
  <si>
    <t>ADIUM</t>
  </si>
  <si>
    <t>MARCO E CIRLANDA MARACCINI</t>
  </si>
  <si>
    <t>RAFAEL ANTONELLI</t>
  </si>
  <si>
    <t>CÂMERA MUNICIPAL DE LIMEIRA / SP</t>
  </si>
  <si>
    <t>CENTRO MEDICO CAMPINAS</t>
  </si>
  <si>
    <t>UNIMED CAPIVARI - EDIFICIO DE DIAGNÓSTICO</t>
  </si>
  <si>
    <t>Israel</t>
  </si>
  <si>
    <t>OBRA DA ECOLOGIC AIR</t>
  </si>
  <si>
    <t>YOUCOM - AMERICANA MALL</t>
  </si>
  <si>
    <t>Joanin São Caetano Loja 03</t>
  </si>
  <si>
    <t>ACADEMIA SANTOS - SP</t>
  </si>
  <si>
    <t>SMART FIT - D' AVO - SÃO MIGUEL</t>
  </si>
  <si>
    <t>TENDA ATACADO - TAUBATE - SP</t>
  </si>
  <si>
    <t>SLH ENGENHARIA</t>
  </si>
  <si>
    <t>CHARLES NASCIMENTO</t>
  </si>
  <si>
    <t>Nelia</t>
  </si>
  <si>
    <t>CINE TEATRO CORONEL RAYMUNDO - SANTANA DO PARNAÍBA</t>
  </si>
  <si>
    <t>RENNER - TRAVESSA CASALBUONO - LOJA N502</t>
  </si>
  <si>
    <t>REDE DOR - SÃO LUIZ CAMPINAS - SP - 2º PAVIMENTO</t>
  </si>
  <si>
    <t>REDE DOR - SÃO LUIZ CAMPINAS - SP - 3º PAVIMENTO</t>
  </si>
  <si>
    <t>CONTROLE CLIMA</t>
  </si>
  <si>
    <t>Edimario</t>
  </si>
  <si>
    <t>GLOBAL QUALITY</t>
  </si>
  <si>
    <t>GRAAC</t>
  </si>
  <si>
    <t>HOSPITAL FRANCA</t>
  </si>
  <si>
    <t>JHSF - PORTO FELIZ - SÃO PAULO</t>
  </si>
  <si>
    <t>SMART FIT - ROLDAO SÃO VICENTE - SP</t>
  </si>
  <si>
    <t>IGREJA BATISTA - OSASCO - SP</t>
  </si>
  <si>
    <t>Shopping Maceió</t>
  </si>
  <si>
    <t>AC CAMARGO CANCER</t>
  </si>
  <si>
    <t>SIARCON</t>
  </si>
  <si>
    <t>Aline</t>
  </si>
  <si>
    <t>VIVACE ADM</t>
  </si>
  <si>
    <t>D'BRESCIA - SAO BERNARDO</t>
  </si>
  <si>
    <t>DUTOPLAN</t>
  </si>
  <si>
    <t>Victor</t>
  </si>
  <si>
    <t>ACHE - DOCAS</t>
  </si>
  <si>
    <t>YOUCOM - AMERICANA HALL</t>
  </si>
  <si>
    <t>ANIMALE - MORUMBI SHOPPING</t>
  </si>
  <si>
    <t>MIX MATEUS - GUARARAPES - FORTALEZA - CE</t>
  </si>
  <si>
    <t>AUTOGLASS - VILA VELHA - ES</t>
  </si>
  <si>
    <t>Jesse</t>
  </si>
  <si>
    <t>EKOCLIMAX</t>
  </si>
  <si>
    <t>LIB - LABORATORIO DE IMAGNES BIOLOGICAS - CAMPINAS - SP</t>
  </si>
  <si>
    <t>GUILHERME RODRIGUES - OURINHOS - SP</t>
  </si>
  <si>
    <t>ACADEMIA GAVIOES - CAJAMAR</t>
  </si>
  <si>
    <t>BIOSAFE</t>
  </si>
  <si>
    <t>ASSAI - SUMARE - SP - ADM</t>
  </si>
  <si>
    <t>ASSAI - SUMARE - SP - SALAO DE VENDAS</t>
  </si>
  <si>
    <t>SERTTA ENGENHARIA</t>
  </si>
  <si>
    <t>ENERGISA - VITORIA - ES</t>
  </si>
  <si>
    <t>Liliane</t>
  </si>
  <si>
    <t>HOSPITAL UNIVERSITARIO DA UFGD - DOURADOS - MS</t>
  </si>
  <si>
    <t>ARCOSERV</t>
  </si>
  <si>
    <t>MZAA ENGENHARIA</t>
  </si>
  <si>
    <t>ATHOS CONSTRUCOES</t>
  </si>
  <si>
    <t>PLACA DE POLIURETANO</t>
  </si>
  <si>
    <t>SISTEMA ENGENHARIA</t>
  </si>
  <si>
    <t>FMORENO PROJETOS</t>
  </si>
  <si>
    <t>VELTTER GROUP</t>
  </si>
  <si>
    <t>ARCO+</t>
  </si>
  <si>
    <t>ARCHITECTUS</t>
  </si>
  <si>
    <t>BALNEARIO SHOPPING</t>
  </si>
  <si>
    <t>ACESSÓRIOS</t>
  </si>
  <si>
    <t>NEOTHERMICA</t>
  </si>
  <si>
    <t>YOUCOM - SHOPPING ESPLANADA - VOTORANTIM - SP</t>
  </si>
  <si>
    <t>ATACADAO - LOJA AL MARE - SÃO JOSE DE RIBAMAR - MA</t>
  </si>
  <si>
    <t>ASSAI - UTINGA - SANTO ANDRE- SP</t>
  </si>
  <si>
    <t>MATEUS - MIX TIMON - MA</t>
  </si>
  <si>
    <t>COSMO - VINHEDO - SP</t>
  </si>
  <si>
    <t>Gilmar</t>
  </si>
  <si>
    <t>SC 8034 - OS2128 - HCOR</t>
  </si>
  <si>
    <t>Hiago</t>
  </si>
  <si>
    <t>XORORO</t>
  </si>
  <si>
    <t>RAIZEN - PIRACICABA - SP</t>
  </si>
  <si>
    <t>CAMICADO - SHOPPING AURORA - LONDRINA - PR</t>
  </si>
  <si>
    <t>SP1 AR CONDICIONADO</t>
  </si>
  <si>
    <t>PAROQUIA NOSSA SENHORA DA SOLEDADE - VISTA VERDE - SP</t>
  </si>
  <si>
    <t>Karla</t>
  </si>
  <si>
    <t>CLIMATIZAR</t>
  </si>
  <si>
    <t>PREFEITURA MUNICIPAL DE GARCA - SP</t>
  </si>
  <si>
    <t>Giovanni</t>
  </si>
  <si>
    <t>ASSAI - SUMARE - SP</t>
  </si>
  <si>
    <t>VNS SOLUCOES</t>
  </si>
  <si>
    <t>CASA JABUTICABEIRAS</t>
  </si>
  <si>
    <t>CRH - HUNTINGTON - PINHEIROS - SP</t>
  </si>
  <si>
    <t>CASA CENTAURO</t>
  </si>
  <si>
    <t>UNIAZUL - NOVO SIMILADOR DE VOO - CAMPINAS - SP</t>
  </si>
  <si>
    <t>OBRAMAX UBERLÂNDIA</t>
  </si>
  <si>
    <t>AMBIKONTROL</t>
  </si>
  <si>
    <t>Bianca</t>
  </si>
  <si>
    <t>LUPO - ARARAQUARA - SP</t>
  </si>
  <si>
    <t>UNIAZUL</t>
  </si>
  <si>
    <t>AP MAURO MUTRAN - HAUS MITRE JARDIM - SP</t>
  </si>
  <si>
    <t>Jura</t>
  </si>
  <si>
    <t>SMART FIT - VILA NOVA CACHOEIRINHA - SP</t>
  </si>
  <si>
    <t>BCGP 2420 Racional Google</t>
  </si>
  <si>
    <t>FARM - RIBEIRAO PRETO - SP</t>
  </si>
  <si>
    <t>EDUARDO SAMPAIO</t>
  </si>
  <si>
    <t>RODRIGO BIANCA</t>
  </si>
  <si>
    <t>CASSI - FLORIANOPOLIS</t>
  </si>
  <si>
    <t>SPAZIO MATEUS - OLHO D AGUA - SÃO LUIS - MS</t>
  </si>
  <si>
    <t>EDIFICIO VIRGINIA - SÃO PAULO - SP</t>
  </si>
  <si>
    <t>ELEA MANJUBA</t>
  </si>
  <si>
    <t>GRUPO VIDY</t>
  </si>
  <si>
    <t>AF ENGENHARIA TERMICA</t>
  </si>
  <si>
    <t>A&amp;PROJETOS</t>
  </si>
  <si>
    <t>SR REFRIGERACOES</t>
  </si>
  <si>
    <t>CHAPA DE ACO CARBONO</t>
  </si>
  <si>
    <t>BEG NATURAL CLIMA</t>
  </si>
  <si>
    <t>CONTRATAR</t>
  </si>
  <si>
    <t>FUNDAMENT AR</t>
  </si>
  <si>
    <t>NÃO PRECISAM MAIS NO MOMENTO</t>
  </si>
  <si>
    <t>SUBSTITUIDO</t>
  </si>
  <si>
    <t>Placas 132 (20mm) e 110 (10mm)</t>
  </si>
  <si>
    <t>AGUARDANDO APROVAÇÃO</t>
  </si>
  <si>
    <t>CONC. DE CONSTRUTORA</t>
  </si>
  <si>
    <t>GOOGLE - BOULEVARD TOWER</t>
  </si>
  <si>
    <t>Daniela</t>
  </si>
  <si>
    <t>CPTM - LINHA AZUL</t>
  </si>
  <si>
    <t>GRANADA</t>
  </si>
  <si>
    <t>RENNER - PATIO CENTRAL SHOPPING - PATOS DE MINAS - MG</t>
  </si>
  <si>
    <t>CARPA</t>
  </si>
  <si>
    <t>GRUPO CHAMA</t>
  </si>
  <si>
    <t>Vitoria</t>
  </si>
  <si>
    <t>H. ANÁLIA FRANCO_PET-CT</t>
  </si>
  <si>
    <t>YOUCOM - PARK SHOPPING - CAMPO GRANDE - RJ</t>
  </si>
  <si>
    <t>FORT ATACADISTA - CAMBORIU - SC</t>
  </si>
  <si>
    <t>H. VILA NOVA STAR</t>
  </si>
  <si>
    <t>ARDORO</t>
  </si>
  <si>
    <t>TTAC ENGENHARIA</t>
  </si>
  <si>
    <t>AMA PERI PERI</t>
  </si>
  <si>
    <t>TECNOTHERM</t>
  </si>
  <si>
    <t>CLUBE FASE 2</t>
  </si>
  <si>
    <t>SUPER MATEUS - CAXIAS - MA</t>
  </si>
  <si>
    <t>C&amp;A - CATANDUVA GARDEN SHOPPING - SP</t>
  </si>
  <si>
    <t>ASPEN - Sampaio.</t>
  </si>
  <si>
    <t>DR CONSULTA - SANTO ANDRÉ</t>
  </si>
  <si>
    <t>Kassia</t>
  </si>
  <si>
    <t>GRUPO AUTOGLASS - VILA VELHA - ES</t>
  </si>
  <si>
    <t>AEROPORTO INTERNACIONAL DE PONTA PORA</t>
  </si>
  <si>
    <t>RENNER - SHOPPING APARECIDA DE GOIANIA - GO</t>
  </si>
  <si>
    <t>MARIO CRISTIANE</t>
  </si>
  <si>
    <t>AEROPORTO INTERNACIONAL DE PONTA PORA - PARTE 2</t>
  </si>
  <si>
    <t>BIORECIFE - RECIFE - PE</t>
  </si>
  <si>
    <t>CHAPA DE ACO</t>
  </si>
  <si>
    <t>RS SANTOS ENGENHARIA</t>
  </si>
  <si>
    <t>PAINEIS PRE ISOLADOS</t>
  </si>
  <si>
    <t>BFS ENGENHARIA</t>
  </si>
  <si>
    <t>ELEMAX ENGENHARIA</t>
  </si>
  <si>
    <t>VÃO REVISAR AS PLACAS</t>
  </si>
  <si>
    <t>PREV SETEMBRO</t>
  </si>
  <si>
    <t>HOSPITAL NOSSA SENHORA DA CONCEIÇÃO - FORTALEZA</t>
  </si>
  <si>
    <t>ACADEMIA</t>
  </si>
  <si>
    <t>Afonso</t>
  </si>
  <si>
    <t>PORTO SÃO PEDRO</t>
  </si>
  <si>
    <t>SMARTI FIT - TATUAPÉ / SP</t>
  </si>
  <si>
    <t>Anerson</t>
  </si>
  <si>
    <t>FECHADO NO RJ</t>
  </si>
  <si>
    <t>MPU E ARCOTEC</t>
  </si>
  <si>
    <t xml:space="preserve">MPU </t>
  </si>
  <si>
    <t>EMPREITEIRO TEM PREFERÊNCIA</t>
  </si>
  <si>
    <t>SESI - OSCAR RODRIGUES ALVES - IPIRANGA - SP</t>
  </si>
  <si>
    <t>SMART FIT - ALEM PONTE - SOROCABA - SP</t>
  </si>
  <si>
    <t>SUPER MATEUS - FREI SERAFIM - JACUNDA - PA</t>
  </si>
  <si>
    <t>LOJAS AMERICANAS - RIO DE JANEIRO - RJ</t>
  </si>
  <si>
    <t>PORTO SÃO PEDRO - PORTO FELIZ - SP</t>
  </si>
  <si>
    <t>AMCHAM</t>
  </si>
  <si>
    <t>HOSPITAL ORTO - SAO JOSE DOS CAMPOS - SP</t>
  </si>
  <si>
    <t>FORT ATACADISTA 245 - ITAJAI - SC - SALAO DE VENDAS</t>
  </si>
  <si>
    <t>FORT ATACADISTA 245 - ITAJAI - SC - RESTAURANTE</t>
  </si>
  <si>
    <t>SHOPPING PATIO HIGIENOPOLIS</t>
  </si>
  <si>
    <t>DIAGRAMA AR</t>
  </si>
  <si>
    <t>RENNER APUCARANA PR</t>
  </si>
  <si>
    <t>JOSE CARLOS DOS SANTOS</t>
  </si>
  <si>
    <t>EDIFICACOES TEAG</t>
  </si>
  <si>
    <t>YOUCOM - SHOP CITY - OUTLET PREMIUM - PR</t>
  </si>
  <si>
    <t>CAROL BASSI - IGUATEMI - CAMPINAS - SP</t>
  </si>
  <si>
    <t>LIEBHERR LAB02 - GUARATINGUETA - SP</t>
  </si>
  <si>
    <t>Ligia</t>
  </si>
  <si>
    <t>MONICA</t>
  </si>
  <si>
    <t>WANDERLEY</t>
  </si>
  <si>
    <t>GARDEN HOUSE</t>
  </si>
  <si>
    <t>ZE LOPES</t>
  </si>
  <si>
    <t>SMART FIT - SUZANO DOCELAR SUPERMERCADOS - SP</t>
  </si>
  <si>
    <t>GUILHERME HENRIQUE</t>
  </si>
  <si>
    <t>REDE DOR - HOSPITAL CAMPINAS</t>
  </si>
  <si>
    <t>SETIN INCORPORADORA - SÃO PAULO - SP</t>
  </si>
  <si>
    <t>INTEG MONTAGEM</t>
  </si>
  <si>
    <t>CDT AR CONDICIONADO</t>
  </si>
  <si>
    <t>HOSPITAL DO RIM RECEB</t>
  </si>
  <si>
    <t>Caio</t>
  </si>
  <si>
    <t>Sicredi - Tiete SP</t>
  </si>
  <si>
    <t>HOSP VARZEA</t>
  </si>
  <si>
    <t>REWELL</t>
  </si>
  <si>
    <t>RESIDENCIA UNIFAMILIAR - DIEGO MESTRINER - ARACATUBA - SP</t>
  </si>
  <si>
    <t>RESIDENCIA UNIFAMILIAR - ARMANDO E VERA GOTTARDI - ARACATUBA - SP</t>
  </si>
  <si>
    <t>RESIDENCIA UNIFAMILIAR - GEISA E CARLOS LEMOS</t>
  </si>
  <si>
    <t>RESIDENCIA UNIFAMILIAR - FABIO GOTTARDI - ARACATUBA - SP</t>
  </si>
  <si>
    <t>PAULINIA CASCATA</t>
  </si>
  <si>
    <t>MAX UBERLANDIA</t>
  </si>
  <si>
    <t>Cleo</t>
  </si>
  <si>
    <t>CE PRIME</t>
  </si>
  <si>
    <t>R REFRIGERACAO</t>
  </si>
  <si>
    <t>ATAKADAO - ARACAJU II - TAMBASA - SE</t>
  </si>
  <si>
    <t>ASSAI ATACADISTA - APARECIDA DE GOIANIA - GO</t>
  </si>
  <si>
    <t>ASSAI ATACADISTA - APARECIDA DE GOIANIA - GO - SALAO DE VENDAS</t>
  </si>
  <si>
    <t>G&amp;A AR CONDICIONADO</t>
  </si>
  <si>
    <t>GOLD AR CONDICIONADO</t>
  </si>
  <si>
    <t>EF PROJETOS</t>
  </si>
  <si>
    <t>AMAR CLITAZICAVAO</t>
  </si>
  <si>
    <t>CHAPA DE ALUMINIO</t>
  </si>
  <si>
    <t>TCS AR CONDICIONADO</t>
  </si>
  <si>
    <t>FMORENO</t>
  </si>
  <si>
    <t>FC VILELA PROJETOS</t>
  </si>
  <si>
    <t>GREEN SOLURION</t>
  </si>
  <si>
    <t>VOLKSWAGEN CAMINHÕES E ONIBUS - RESENDE / RJ</t>
  </si>
  <si>
    <t>ELABORANDO PROJETO</t>
  </si>
  <si>
    <t>DOCTOR ICE</t>
  </si>
  <si>
    <t>Maykonn</t>
  </si>
  <si>
    <t>SMART FIT - MAX MUFFATO MOGI - SP</t>
  </si>
  <si>
    <t>LINEAR MULT</t>
  </si>
  <si>
    <t>Jean</t>
  </si>
  <si>
    <t>RETROFIT EBM - GW</t>
  </si>
  <si>
    <t>SHOPPING JK IGUATEMI</t>
  </si>
  <si>
    <t>HOSPITAL JABAQUARA - ENDOSCOPIA E BRONCOSPIA - SP</t>
  </si>
  <si>
    <t>AUTOZONE - CASCATA - PAULINIA - SP</t>
  </si>
  <si>
    <t>SANTA CASA DE ARARAQUARA - SP</t>
  </si>
  <si>
    <t>Joanin São Caetano Loja 01</t>
  </si>
  <si>
    <t>Lucimere</t>
  </si>
  <si>
    <t>AEROPORTO INTERNACIONAL DE SÃO PAULO - GUARULHOS - SP</t>
  </si>
  <si>
    <t>RESIDENCIAL IBI ARAM II - SÃO PAULO - SP</t>
  </si>
  <si>
    <t>AEROPORTO INTERNACIONAL DE SÃO PAULO - GUARULHOS - SP - TERMINAL DE PASSAGEIROS</t>
  </si>
  <si>
    <t>CENTRO DE EVENTOS DE CARAPINA</t>
  </si>
  <si>
    <t>ACADEMIA GAVIOES - SANTOS DUMONT FORTALEZA</t>
  </si>
  <si>
    <t>ACADEMIA GAVIOES - MONDUBIM - CE</t>
  </si>
  <si>
    <t>TJMG - TRIBUNAL DE JUSTICA DO ESTADO DE MINAS GERAIS</t>
  </si>
  <si>
    <t>Silvio Romero</t>
  </si>
  <si>
    <t>EDIFICIO DE DIAGNOSTICO E TRATAMENTO MEDICO - CAPIVARI - SP</t>
  </si>
  <si>
    <t>Hospital DF Star II Brasilia</t>
  </si>
  <si>
    <t>Renner Peixoto - SE</t>
  </si>
  <si>
    <t>Kleverson</t>
  </si>
  <si>
    <t>STA PARNAIBA</t>
  </si>
  <si>
    <t>INFINITY</t>
  </si>
  <si>
    <t>Apto Caio Fonseca</t>
  </si>
  <si>
    <t>Natalia</t>
  </si>
  <si>
    <t>QUALIENG</t>
  </si>
  <si>
    <t>GALPAO LIGISTICO</t>
  </si>
  <si>
    <t>ESCOLA SENAI MIRASSOL - CENTRO - SP</t>
  </si>
  <si>
    <t>VALTER ARAUJO</t>
  </si>
  <si>
    <t>VILA TRAMPOLIM - RIBEIRAO SHOPPING - SP</t>
  </si>
  <si>
    <t>Valter</t>
  </si>
  <si>
    <t>ACO GALVANIZADO - PU</t>
  </si>
  <si>
    <t>3D AR CONDICIONADO</t>
  </si>
  <si>
    <t>WSR</t>
  </si>
  <si>
    <t>AVO GALVANIZADO</t>
  </si>
  <si>
    <t>TJMG</t>
  </si>
  <si>
    <t>EVEREST AR CONDICIONADO</t>
  </si>
  <si>
    <t>SMART ABC</t>
  </si>
  <si>
    <t>REDE DOR SÃO LUIZ - GAMA - BRASILIA</t>
  </si>
  <si>
    <t>SMART SBC</t>
  </si>
  <si>
    <t>TITULO DE CORTESIA</t>
  </si>
  <si>
    <t>NSS333.25 - AGC</t>
  </si>
  <si>
    <t>PANTERAMONT</t>
  </si>
  <si>
    <t>QUALIAR</t>
  </si>
  <si>
    <t>RECKITT BENCKISER</t>
  </si>
  <si>
    <t>HIago</t>
  </si>
  <si>
    <t>TRANSPORTAINER</t>
  </si>
  <si>
    <t>AEROPORTO INTERNACIONAL DE SÃO PAULO - GUARULHOS - LOUNGE ITAU</t>
  </si>
  <si>
    <t>TENDA ITU</t>
  </si>
  <si>
    <t>ALL VENT</t>
  </si>
  <si>
    <t>MARCOS M</t>
  </si>
  <si>
    <t>SANTA CASA DE ARARAQUARA - SP - MAQUINAS RESTANTES</t>
  </si>
  <si>
    <t>Sienge - 026</t>
  </si>
  <si>
    <t>ARPRESS</t>
  </si>
  <si>
    <t>FRESH CENTER</t>
  </si>
  <si>
    <t>PREVENT MADAGASCAR</t>
  </si>
  <si>
    <t>Loja RNR 613 Sh Praia Sul</t>
  </si>
  <si>
    <t>COOPERATIVA DE CREDITO TEIXEIRA DE FREITAS - CENTRO - BA</t>
  </si>
  <si>
    <t>CONSTRUCLIMA</t>
  </si>
  <si>
    <t>GENERAL MOTORS - REFEITÓRIO RM 10</t>
  </si>
  <si>
    <t>Douglas</t>
  </si>
  <si>
    <t>SPAZIO MATEUS OLHO D AGUA - SÃO LUIS - MA</t>
  </si>
  <si>
    <t>SMARTFIT - CARAPICUIBA - SP</t>
  </si>
  <si>
    <t>TDC EM CHAPA GALVANIZADA</t>
  </si>
  <si>
    <t>THERMOCOP</t>
  </si>
  <si>
    <t>ADICIONAL - NOVA FASE</t>
  </si>
  <si>
    <t>TDT_MAN01 - 25_0613</t>
  </si>
  <si>
    <t>PREFERÊNCIA</t>
  </si>
  <si>
    <t>PRAZO CADASTRO</t>
  </si>
  <si>
    <t>RECKITT - CLIMATIZAÇÃO DE GALPÃO</t>
  </si>
  <si>
    <t>UNIMED ARARAS - (em levantamento)</t>
  </si>
  <si>
    <t>RENNER LAVRAS MG</t>
  </si>
  <si>
    <t>AIRCONDYGIO</t>
  </si>
  <si>
    <t>RIACHUELO - RUA DOS PINHEIROS</t>
  </si>
  <si>
    <t>MERCADO PROENCA</t>
  </si>
  <si>
    <t>Rede D'or Central Leste</t>
  </si>
  <si>
    <t>FABFRIO</t>
  </si>
  <si>
    <t>HOSPITAL POSSE 4</t>
  </si>
  <si>
    <t>Fabrio</t>
  </si>
  <si>
    <t>ROGERIO MORENO</t>
  </si>
  <si>
    <t>AURI PLAZA GARTEN - JOINVILLE - SC</t>
  </si>
  <si>
    <t>DIFERENCIAL COMERCIO</t>
  </si>
  <si>
    <t>SHOPEE - FORTALEZA - CE</t>
  </si>
  <si>
    <t>Loja RNR 611 Lj Lucas do Rio Verde</t>
  </si>
  <si>
    <t>TECNOG INSTALACOES</t>
  </si>
  <si>
    <t>BR AR</t>
  </si>
  <si>
    <t>MIT TECH</t>
  </si>
  <si>
    <t>SHOPPING RIOMAR RECIFE - ZARA RIOMAR</t>
  </si>
  <si>
    <t>SHOPPING PARK BRASILIA</t>
  </si>
  <si>
    <t>HANES</t>
  </si>
  <si>
    <t>AMYRIS - BARRA BONITA</t>
  </si>
  <si>
    <t>Roger</t>
  </si>
  <si>
    <t>BB ITU</t>
  </si>
  <si>
    <t>ROQUETTE BRASIL</t>
  </si>
  <si>
    <t>APTO - THALES DELMONDES GALVÃO</t>
  </si>
  <si>
    <t>Maria</t>
  </si>
  <si>
    <t>NSP094.25</t>
  </si>
  <si>
    <t>ACADEMIA GAVIOES - RECIFE - PE</t>
  </si>
  <si>
    <t>ARPEN ENGENHARIA</t>
  </si>
  <si>
    <t>SESC PARATY</t>
  </si>
  <si>
    <t>Blanver Mairiporã - SP</t>
  </si>
  <si>
    <t>LIEBHERR - GALPAO 2 - VILA BELA - GUARATINGUETA - SP</t>
  </si>
  <si>
    <t>RESIDENCIA UNIFAMILIAR - BRAGANCA - SP</t>
  </si>
  <si>
    <t>SMART FIT - ITAQUERA - GAMELINHA</t>
  </si>
  <si>
    <t>KOVAX ENGENHARIA</t>
  </si>
  <si>
    <t>CENTRO DE DISTRIBUICAO - CAJAMAR</t>
  </si>
  <si>
    <t>EVOLUTIVA</t>
  </si>
  <si>
    <t>DOIS VIZINHOS-PR</t>
  </si>
  <si>
    <t>Mariana</t>
  </si>
  <si>
    <t>FRIDUTOS</t>
  </si>
  <si>
    <t>BLUEFIT - APARECIDA SHOPPING - GO</t>
  </si>
  <si>
    <t>LFB PROJETOS</t>
  </si>
  <si>
    <t>SC LAUDOS</t>
  </si>
  <si>
    <t>PGMAK</t>
  </si>
  <si>
    <t>LOGI PROJECT</t>
  </si>
  <si>
    <t>EM DEFINIÇÃO DE PROJETO</t>
  </si>
  <si>
    <t xml:space="preserve">P&amp;G - 2º PAVMENTO </t>
  </si>
  <si>
    <t>MULTIVAC - PRAZO</t>
  </si>
  <si>
    <t>MULTIVAC - PREFERÊNCIA</t>
  </si>
  <si>
    <t>MULTIVAC - COND PGTO</t>
  </si>
  <si>
    <t>MELINDA - RIBEIRAO PRETO - SP</t>
  </si>
  <si>
    <t>FUNDACAO BUTANTA</t>
  </si>
  <si>
    <t>Supermercado Aquilante</t>
  </si>
  <si>
    <t>SBT - ADM</t>
  </si>
  <si>
    <t>Savegnago Sertãozinho</t>
  </si>
  <si>
    <t>AEROPORTO INTERNACIONAL DE SÃO PAULO - GUARULHOS - SALA VIP LATAM</t>
  </si>
  <si>
    <t>HOSPITAL ANA COSTA - SANTOS - 8º PAVIMENTO</t>
  </si>
  <si>
    <t>BCGP 2506 CONJUNTO NACIONAL TFT</t>
  </si>
  <si>
    <t>COZINHA - REQ 2.15</t>
  </si>
  <si>
    <t>SAAR CLIMATIZACAO</t>
  </si>
  <si>
    <t>SENAI - MIRASSOL - SP</t>
  </si>
  <si>
    <t>Luciane</t>
  </si>
  <si>
    <t>OBRA: H. VILLA LOBOS - REQ 3.01</t>
  </si>
  <si>
    <t>UNIDADE FLEURY MARCO 100 - JD AMERICA - SÃO PAULO - SP</t>
  </si>
  <si>
    <t>FORT ATACADISTA - 214 - CAMBORIU - SC</t>
  </si>
  <si>
    <t>AMBII KONTROL</t>
  </si>
  <si>
    <t>Alan</t>
  </si>
  <si>
    <t>Bourgogne</t>
  </si>
  <si>
    <t>USP - FACULDADE DE MEDICINA DE RIBEIRAO PRETO - SP</t>
  </si>
  <si>
    <t>FOGO DE CHAO - JARDINS - SP</t>
  </si>
  <si>
    <t>AMIL - ITAQUAQUECETUBA - SP</t>
  </si>
  <si>
    <t>Gilson</t>
  </si>
  <si>
    <t>HOTEL HILTON - MORUMBI - 28 PV</t>
  </si>
  <si>
    <t>HOSPITAL BOM JESUS DO MATOSINHO</t>
  </si>
  <si>
    <t>ATEM CONSTRUCOES</t>
  </si>
  <si>
    <t>CAPELA</t>
  </si>
  <si>
    <t>Rafaela</t>
  </si>
  <si>
    <t>FORT ATACADISTA - CT AURORA</t>
  </si>
  <si>
    <t>FORT ATACADISTA - CT AURORA - RESTAURANTE</t>
  </si>
  <si>
    <t>FORT ATACADISTA - CT AURORA - COZINHA</t>
  </si>
  <si>
    <t>WEG TINTAS - GUARAMIRIM - SC</t>
  </si>
  <si>
    <t>GRUPO SC - BENEVIDES - PA</t>
  </si>
  <si>
    <t xml:space="preserve">AIRCOOLTECH </t>
  </si>
  <si>
    <t>FORTIOTI SP</t>
  </si>
  <si>
    <t>RMP ENGENHARIA</t>
  </si>
  <si>
    <t>AMS ISNTALACOES</t>
  </si>
  <si>
    <t>VCM ENGEHARIA</t>
  </si>
  <si>
    <t>CITYCON</t>
  </si>
  <si>
    <t>COMISSÃO</t>
  </si>
  <si>
    <t>REV.</t>
  </si>
  <si>
    <t>PREV. OUTUBRO</t>
  </si>
  <si>
    <t>AGUARDANDO DEFINIÇÃO</t>
  </si>
  <si>
    <t>AEROPORTO UBERLANDIA - MG</t>
  </si>
  <si>
    <t>OBRA DA SATURNO AR</t>
  </si>
  <si>
    <t>OBRA DA FANCOLD</t>
  </si>
  <si>
    <t>HOSPITAL SANTA TEREZA - REFORMA CENTRO CIRURGICO - PRÉDIO 3000</t>
  </si>
  <si>
    <t>Irineu</t>
  </si>
  <si>
    <t>Mateus</t>
  </si>
  <si>
    <t>FECHADO PELA LS AR CONDICIONADO</t>
  </si>
  <si>
    <t>BUTANTAN  CASA 08</t>
  </si>
  <si>
    <t xml:space="preserve">COMPRA </t>
  </si>
  <si>
    <t>PREV. NOVEMBRO</t>
  </si>
  <si>
    <t>SANTA ANGELA EMPREENDIMENTO IMOBILIARIO 42</t>
  </si>
  <si>
    <t>TAUSTE</t>
  </si>
  <si>
    <t>EDIFICIO FLAMENGO - TOWER EMPRESARIAL - VERENE - RIO DE JANEIRO - RJ</t>
  </si>
  <si>
    <t>HOSPITAL AMIL - PRAIA GRANDE - SP</t>
  </si>
  <si>
    <t>SESC - SÃO SEBASTIAO DO PARAISO</t>
  </si>
  <si>
    <t>JUNDIAI</t>
  </si>
  <si>
    <t>HOSPITAL SANTA ISABEL - PREDIO APOIO - SUBSOLO</t>
  </si>
  <si>
    <t>HOSPITAL SANTA ISABEL - PREDIO APOIO - TERREO</t>
  </si>
  <si>
    <t>HOSPITAL SANTA ISABEL - PREDIO APOIO - 1ºPV</t>
  </si>
  <si>
    <t>ASSAI ATACADISTA - ARAGUAINA - TO - ADM</t>
  </si>
  <si>
    <t>SCHOTT PHARMA</t>
  </si>
  <si>
    <t>SCHOTT PHARMA BRASIL - ITUPEVA - SP</t>
  </si>
  <si>
    <t>Leis</t>
  </si>
  <si>
    <t>SENAI IPIRANGA</t>
  </si>
  <si>
    <t>SAFETY WALL</t>
  </si>
  <si>
    <t>SUPER MATEUS - ESTRADA DA MAIOBA - PACO DO LUMIAR - MA</t>
  </si>
  <si>
    <t>ARTEC SOLAR</t>
  </si>
  <si>
    <t>LICRTO225186</t>
  </si>
  <si>
    <t>VIA RIO PARTICIPACOES - 27º PAVTO</t>
  </si>
  <si>
    <t>RENNER CENTER NORTE - RETAGUARDA</t>
  </si>
  <si>
    <t>Viktor</t>
  </si>
  <si>
    <t>FAZDUTOS</t>
  </si>
  <si>
    <t>--</t>
  </si>
  <si>
    <t>THE CAVERN CLUB</t>
  </si>
  <si>
    <t>SMART FIT SENADOR FLAQUER</t>
  </si>
  <si>
    <t>AC AR CONDICIONADO</t>
  </si>
  <si>
    <t>AEROPORTO CARAJAS - PARAUAPEBAS</t>
  </si>
  <si>
    <t>AEROPORTO JOAO CORREA DA ROCHA - MARABA</t>
  </si>
  <si>
    <t>PETRO ENGENHARIA</t>
  </si>
  <si>
    <t>HOSPITAL UNIVERSITARIO DA UNIVERSIDADE FEDERAL DO CARIRI</t>
  </si>
  <si>
    <t>NOVAX ENGENHARIA</t>
  </si>
  <si>
    <t>IBL GUARULHOS</t>
  </si>
  <si>
    <t>HAPVIDA - CC ZONA LESTE 2 - SÃO MIGUEL</t>
  </si>
  <si>
    <t>TRANSAMERICA</t>
  </si>
  <si>
    <t>SHOPEE - SANTO ANGELO - RS</t>
  </si>
  <si>
    <t>HOSPITAL AC CAMARGO - FARMACIA CLINICA - TAMANDARE - SP</t>
  </si>
  <si>
    <t>M P IMPORTACAO</t>
  </si>
  <si>
    <t>A N T REFRIGERACAO</t>
  </si>
  <si>
    <t>QUALITYNEW</t>
  </si>
  <si>
    <t>Flukka</t>
  </si>
  <si>
    <t>Robemilson</t>
  </si>
  <si>
    <t>ASSOCIACAO PEDAGOGICA RUDOLF STEINER - SP</t>
  </si>
  <si>
    <t>MACEDO AR</t>
  </si>
  <si>
    <t>BLUEFIT - JAC CENTRO - 1320</t>
  </si>
  <si>
    <t>FORT ATACADISTA 395 - SÃO FRANCISCO DO SUL - SC</t>
  </si>
  <si>
    <t>HOSPITAL SAMARITANO - HIGIENOPOLIS - COM RETORNO</t>
  </si>
  <si>
    <t>ICP ENGENHARIA</t>
  </si>
  <si>
    <t>FERRARI ENGEHARIA</t>
  </si>
  <si>
    <t>EQUIPE3</t>
  </si>
  <si>
    <t>ELEMAX</t>
  </si>
  <si>
    <t>STUDIOMEP</t>
  </si>
  <si>
    <t>AENA</t>
  </si>
  <si>
    <t>HTB FIL</t>
  </si>
  <si>
    <t>PREFERENCIA</t>
  </si>
  <si>
    <t>TES - TERMINAL EXPORTADOR DE SANTOS</t>
  </si>
  <si>
    <t>PAGUE MENOS</t>
  </si>
  <si>
    <t>ESCRITORIO MADEIRA MADEIRA - CURITIBA - PR</t>
  </si>
  <si>
    <t>LNBR – LABORATÓRIO NACIONAL DE BIORRENOVÁVEIS - CAMPINAS - SP</t>
  </si>
  <si>
    <t>BIO RITMO - PACAEMBU - SP</t>
  </si>
  <si>
    <t>HOSPITAL SÃO LUIZ - OSASCO - 7ºPAVIMENTO</t>
  </si>
  <si>
    <t>FULL SERVICE</t>
  </si>
  <si>
    <t>STUDIO GABRIEL</t>
  </si>
  <si>
    <t>Wander</t>
  </si>
  <si>
    <t>VILLEFORT BH - SANTA LUZIA</t>
  </si>
  <si>
    <t>RENNER PATIO CENTRAL</t>
  </si>
  <si>
    <t>LIEHBERR - NOVO GALPAO</t>
  </si>
  <si>
    <t>Elisangela</t>
  </si>
  <si>
    <t>SMARTFIT LAR ABC</t>
  </si>
  <si>
    <t>CONJUNTO NACIONAL</t>
  </si>
  <si>
    <t>SAMPAIO &amp; MOURA</t>
  </si>
  <si>
    <t>ANA LUIZA E VICTOR</t>
  </si>
  <si>
    <t>EDIFICIO PLAZA - SANTOS - SP</t>
  </si>
  <si>
    <t>CAMPO LIMPO</t>
  </si>
  <si>
    <t>HOSPITAL SÃO VICENTE DE PAULO</t>
  </si>
  <si>
    <t>CHESTERTON</t>
  </si>
  <si>
    <t>GRUPO PERMANEO - SÃO PAULO - SP</t>
  </si>
  <si>
    <t>545 - PAULISTÃO DA SAÚDE - NORTE</t>
  </si>
  <si>
    <t>R1</t>
  </si>
  <si>
    <t>R2</t>
  </si>
  <si>
    <t>RESTAURANTE CLUBE DE CAMPO SÃO PAULO</t>
  </si>
  <si>
    <t>FIBERTEX</t>
  </si>
  <si>
    <t>Witor</t>
  </si>
  <si>
    <t>FECHADO - AGUARDANDO APROVAÇÃO</t>
  </si>
  <si>
    <t>Revisão</t>
  </si>
  <si>
    <t>Comissão</t>
  </si>
  <si>
    <t>832 R2</t>
  </si>
  <si>
    <t>PANCO SEROPEDICA</t>
  </si>
  <si>
    <t>4434_ONCO_REMA - 4434-25 - HOSPITAL ASSUNÇÃO - ONCOLOGIA E REMA</t>
  </si>
  <si>
    <t>AEROPORTO INTERNACIONAL DE FLORIANOPOLIS</t>
  </si>
  <si>
    <t>GIGA ATAKADO - SOROCABA</t>
  </si>
  <si>
    <t>MP FORTALEZA</t>
  </si>
  <si>
    <t>AILTON SOARES - RIBEIRAO PRETO - SP</t>
  </si>
  <si>
    <t>SUPLAN - CENTRO PARAOLIMPICO</t>
  </si>
  <si>
    <t>LIEBHER</t>
  </si>
  <si>
    <t>SmartFit Leblon - ABC</t>
  </si>
  <si>
    <t>GIGA ATACADO - PIRAPORINHA - SÃO BERNARDO DO CAMPO - SP</t>
  </si>
  <si>
    <t>ACK AR CONDICIONADO</t>
  </si>
  <si>
    <t>Juliana</t>
  </si>
  <si>
    <t>ROMULO SAMUEL</t>
  </si>
  <si>
    <t>SMARTFIT - BACABAL - MA</t>
  </si>
  <si>
    <t>Romulo</t>
  </si>
  <si>
    <t>GRUPO SC PARA</t>
  </si>
  <si>
    <t>OBRAMAX - SHOPPING LESTE ARICANDUVA</t>
  </si>
  <si>
    <t>454-24 - RETROFIT EBM - GW</t>
  </si>
  <si>
    <t>AEROPORTO INTERNACIONAL DE GUARULHOS - PIER T3B</t>
  </si>
  <si>
    <t>LOBBY PAULISTA - 1100 - SP</t>
  </si>
  <si>
    <t>A2 SERVICOS</t>
  </si>
  <si>
    <t>ALEX DAS NEVES</t>
  </si>
  <si>
    <t>Alex</t>
  </si>
  <si>
    <t>HOSPITAL SANTA CRUZ - TERREO_1°PAVIMENTO</t>
  </si>
  <si>
    <t>SF GUILHERMINA</t>
  </si>
  <si>
    <t>SF TAMBORE - BARUERI</t>
  </si>
  <si>
    <t>JPI AR CONDICIONADO</t>
  </si>
  <si>
    <t>Janio</t>
  </si>
  <si>
    <t>CASA SANCHEZ</t>
  </si>
  <si>
    <t>LICBRL225175-05</t>
  </si>
  <si>
    <t>LICDBM225174</t>
  </si>
  <si>
    <t>LICRIT225197</t>
  </si>
  <si>
    <t>AIR CLIMATIZACAO</t>
  </si>
  <si>
    <t>SUITES 01 E 02</t>
  </si>
  <si>
    <t>REDE DOR - OSASCO</t>
  </si>
  <si>
    <t>CASH ATACADOS - SANTANA DE PARNAIBA - SP</t>
  </si>
  <si>
    <t>ASSAI SUMARE - SP</t>
  </si>
  <si>
    <t>SMART CARAPICUÍBA</t>
  </si>
  <si>
    <t>KEISAN CONSULTORIA</t>
  </si>
  <si>
    <t>REGUS - ALPHAVILLE</t>
  </si>
  <si>
    <t>HCOR - TMO 2º PAVIMENTO</t>
  </si>
  <si>
    <t>DC INSTALACOES</t>
  </si>
  <si>
    <t>Claudino</t>
  </si>
  <si>
    <t>SYSMEX DO BRASIL - SÃO JOSE DOS PINHAIS - PR</t>
  </si>
  <si>
    <t>Manioca JK Iguatemi</t>
  </si>
  <si>
    <t>MARISTA CAMPO GRANDE</t>
  </si>
  <si>
    <t>ISOLITE SOLUCOES</t>
  </si>
  <si>
    <t>SHOPPING SUZANO - SP</t>
  </si>
  <si>
    <t>EMBRION MEDICINA REPRODUTIVA - SÃO PAULO - SP</t>
  </si>
  <si>
    <t xml:space="preserve">EGIS </t>
  </si>
  <si>
    <t>JH CLIMA</t>
  </si>
  <si>
    <t>MVWP</t>
  </si>
  <si>
    <t>CONTRACTOR</t>
  </si>
  <si>
    <t>VAM CONSULTORIA</t>
  </si>
  <si>
    <t>LBF ENGENHARIA</t>
  </si>
  <si>
    <t>DSR COLD ENGENHARIA</t>
  </si>
  <si>
    <t>VETOR</t>
  </si>
  <si>
    <t>PREV. 2026</t>
  </si>
  <si>
    <t>SMARTFIT MAIRIPORÃ - COMPLEMENTO</t>
  </si>
  <si>
    <t>R3</t>
  </si>
  <si>
    <t>CGH7 CAJAMAR</t>
  </si>
  <si>
    <t>AFERMICA</t>
  </si>
  <si>
    <t>SMART FIT - JD ARICANDUVA - SP</t>
  </si>
  <si>
    <t>CASSI FLORIANOPOLIS</t>
  </si>
  <si>
    <t>223/10</t>
  </si>
  <si>
    <t>SR.ARMANDO</t>
  </si>
  <si>
    <t>R4</t>
  </si>
  <si>
    <t>IGREJA BOA VISTA VILLAGE - PREDIO 19</t>
  </si>
  <si>
    <t>HOSPITAL SÃO LUIS - 1º e 2º PAVIMENTO - OSASCO</t>
  </si>
  <si>
    <t>SC VALEJJO</t>
  </si>
  <si>
    <t>REDE DOR OSASCO - 1 E 2 PAVIMENTO</t>
  </si>
  <si>
    <t>IGREJA</t>
  </si>
  <si>
    <t>STA ISABEL - 3º PAV</t>
  </si>
  <si>
    <t>CLINICA DE FERTILIZACAO - EMBRION</t>
  </si>
  <si>
    <t>FEMSA COCA COLA - CURITIBA</t>
  </si>
  <si>
    <t>UNIMED JUNDIAI</t>
  </si>
  <si>
    <t>COMPLEMENTARES P&amp;G</t>
  </si>
  <si>
    <t>CINEMA</t>
  </si>
  <si>
    <t>TECNOVENTI</t>
  </si>
  <si>
    <t>Nathan</t>
  </si>
  <si>
    <t>FAM - AUGUSTA - EDF YARA VIANNA LAMACCHIA</t>
  </si>
  <si>
    <t>OSASCO CMS - REQ 0087</t>
  </si>
  <si>
    <t>BAUDUCCO - CHOCO BAKERY</t>
  </si>
  <si>
    <t>TPCONS</t>
  </si>
  <si>
    <t>HOSP. JABAQUARA - UTI_ADULTO</t>
  </si>
  <si>
    <t>COMPER - CT - AURORA</t>
  </si>
  <si>
    <t>LABORATORIOS FERRING - SÃO PAULO - SP</t>
  </si>
  <si>
    <t>RANKINE</t>
  </si>
  <si>
    <t>CLÍNICA STEM_BRIGADEIRO</t>
  </si>
  <si>
    <t>ALS INDUSTRIA</t>
  </si>
  <si>
    <t>CAMICADO - SHOPPING MORUMBI - BRASILIA</t>
  </si>
  <si>
    <t>SANTA CASA SOROCABA - BLOCO SAO CAMILO - 1PV E 2PV</t>
  </si>
  <si>
    <t>EXSERGIA</t>
  </si>
  <si>
    <t>Gisele</t>
  </si>
  <si>
    <t>RESTAURANTE FILO</t>
  </si>
  <si>
    <t>PROJETTARE</t>
  </si>
  <si>
    <t>GRUPO WALT AIR</t>
  </si>
  <si>
    <t>LFB `RROJETOS</t>
  </si>
  <si>
    <t>SKF - Solution Factory</t>
  </si>
  <si>
    <t>Mauro</t>
  </si>
  <si>
    <t>FECHADO ARCOTEC</t>
  </si>
  <si>
    <t>R5</t>
  </si>
  <si>
    <t>MIT ENGENHARIA</t>
  </si>
  <si>
    <t>FECHADO PELA AMS</t>
  </si>
  <si>
    <t>INCÊNDIO</t>
  </si>
  <si>
    <t>H_GUARULHOS_ÁREA DA MULHER</t>
  </si>
  <si>
    <t>UNIAR ENGENHARIA</t>
  </si>
  <si>
    <t>TRIO - MOR ROQUE BARRETO - SP</t>
  </si>
  <si>
    <t>Liborio</t>
  </si>
  <si>
    <t>CASA JARDIM - JARDIM PAULISTA - SP</t>
  </si>
  <si>
    <t>LOGIC SETUP</t>
  </si>
  <si>
    <t>LIBBS FARMACÊUTICA LTDA</t>
  </si>
  <si>
    <t>Vicente</t>
  </si>
  <si>
    <t>ASSAI - LOJA UTINGA - SANTO ANDRE - SP - COMPLEMENTO</t>
  </si>
  <si>
    <t>SMARTFIT - ATACADAO PACAEMBU - BARRA FUNDA</t>
  </si>
  <si>
    <t>BRASBIO - USINA DE ETANOL DE MILHO</t>
  </si>
  <si>
    <t>SMART FIT LAR ABC</t>
  </si>
  <si>
    <t>RENNER FERNANDOPOLIS SP</t>
  </si>
  <si>
    <t>HOSPITAL ORTO - SJ DOS CAMPOS - SP</t>
  </si>
  <si>
    <t>AEROPORTO ESTADUAL DE RIBEIRAO PRETO</t>
  </si>
  <si>
    <t>007 -ESTOQUE - REQ 1.42</t>
  </si>
  <si>
    <t>SHOPPE G04 - FORTALEZA</t>
  </si>
  <si>
    <t>BEGNATURAL</t>
  </si>
  <si>
    <t>BLUEFIT - JATAI - GO - 1261</t>
  </si>
  <si>
    <t>HELIO PELLEGRINO - GERAL</t>
  </si>
  <si>
    <t>HELIO PELLEGRINO - PARCIAL</t>
  </si>
  <si>
    <t>Zhu Duplex</t>
  </si>
  <si>
    <t>ABREU &amp; CARVALHO</t>
  </si>
  <si>
    <t>HOSPITAL SAO CAMILO - MACAPA - AP</t>
  </si>
  <si>
    <t>ANALISEPLAN</t>
  </si>
  <si>
    <t>HOSPITAL NIPO</t>
  </si>
  <si>
    <t>HOSPITAL CARE</t>
  </si>
  <si>
    <t>HC</t>
  </si>
  <si>
    <t>RESIDENCIA UNIFAMILIAR - JARAGUA DO SUL - SP</t>
  </si>
  <si>
    <t>ARARAQUARA</t>
  </si>
  <si>
    <t>2003 - INSTITUTO DE PESQUISAS ELDORADO</t>
  </si>
  <si>
    <t>ASPEN 1903</t>
  </si>
  <si>
    <t xml:space="preserve">BGA PROJETOS </t>
  </si>
  <si>
    <t>LIBBS</t>
  </si>
  <si>
    <t>APLUS ENGENHARIA</t>
  </si>
  <si>
    <t>UNICIUS ENGENHARIA</t>
  </si>
  <si>
    <t>APM ENGENHARIA</t>
  </si>
  <si>
    <t>BOAS CHANCES - PREV. JAN/26</t>
  </si>
  <si>
    <t>PEPSICO DO BRASIL SETE LAGOAS</t>
  </si>
  <si>
    <t>BLENZ CAFÉ</t>
  </si>
  <si>
    <t>Misael</t>
  </si>
  <si>
    <t>LIEBHERR LAB02 - GUARATINGUETA</t>
  </si>
  <si>
    <t>AMAZON - DPE4 - SP</t>
  </si>
  <si>
    <t>Monique</t>
  </si>
  <si>
    <t>CINEART LAVRAS - MG</t>
  </si>
  <si>
    <t>SF MACAE</t>
  </si>
  <si>
    <t>C&amp;A BLN - NORTE SHOPPING BLUMENAU - SC</t>
  </si>
  <si>
    <t>COLGATE - SÃO PAULO - SP</t>
  </si>
  <si>
    <t>REDE DOR SÃO LUIZ - TATUAPE - SP</t>
  </si>
  <si>
    <t>CHARLO</t>
  </si>
  <si>
    <t>SF - NAGUMO KEMEL</t>
  </si>
  <si>
    <t>SMARTFIT - VILA MADALENA - SP</t>
  </si>
  <si>
    <t>SMART FIT - EMPORIO BAHAMAS - UBERLANDIA - MG</t>
  </si>
  <si>
    <t>SF - VAZ LOBO</t>
  </si>
  <si>
    <t>GIGA TREMEMBÉ - COMPLEMENTO</t>
  </si>
  <si>
    <t>Denise</t>
  </si>
  <si>
    <t>HOSPITAL BARTIRA - UTI - UNI</t>
  </si>
  <si>
    <t>HOSPITAL BARTIRA - UTI - UNI - PT02</t>
  </si>
  <si>
    <t>HOSPITAL BARTIRA - UTI - UNI - PT03</t>
  </si>
  <si>
    <t>GLACIAL AR</t>
  </si>
  <si>
    <t>LUAR DUTOS</t>
  </si>
  <si>
    <t>NOTRE DAME INTERMEDICA - CIDADE NOVA</t>
  </si>
  <si>
    <t>TULIO DOS SANTOS PATTO</t>
  </si>
  <si>
    <t>FUNDACAO ANTONIO PRUDENTE - AC CAMARGO CANCER CENTER - SP</t>
  </si>
  <si>
    <t>SMART FIT NOVA IGUAÇU</t>
  </si>
  <si>
    <t>Lucimeire</t>
  </si>
  <si>
    <t>IVAI AR CONDICIONADO</t>
  </si>
  <si>
    <t>BB PASSEIO PAULISTA</t>
  </si>
  <si>
    <t>Eder</t>
  </si>
  <si>
    <t>WJ AR CONDICIONADO</t>
  </si>
  <si>
    <t>Obramax Aricanduva</t>
  </si>
  <si>
    <t>Ederson</t>
  </si>
  <si>
    <t>DAVITA GUARULHOS - SP</t>
  </si>
  <si>
    <t>Odair</t>
  </si>
  <si>
    <t>POWER FIELD</t>
  </si>
  <si>
    <t>PAGUE MENOS - CD PARAIBA</t>
  </si>
  <si>
    <t>Yasmin</t>
  </si>
  <si>
    <t>C&amp;A BLK - SHOPPING NEUMARKT BLUMENAU - SC</t>
  </si>
  <si>
    <t>SOFTYS</t>
  </si>
  <si>
    <t>ATACADAO - LOJA ARICANDUVA - TELHA NORTE - SP - OPCAO A</t>
  </si>
  <si>
    <t>ATACADAO - LOJA ARICANDUVA - TELHA NORTE - SP - OPCAO B</t>
  </si>
  <si>
    <t>PORTONAVE</t>
  </si>
  <si>
    <t>ISABELA E MARIO</t>
  </si>
  <si>
    <t>Davita Guarulhos</t>
  </si>
  <si>
    <t>COMPER CT AURORA</t>
  </si>
  <si>
    <t>Atakarejo Aracaju</t>
  </si>
  <si>
    <t>SISTEMA ENGENHAIA</t>
  </si>
  <si>
    <t>AFRONTT</t>
  </si>
  <si>
    <t>VECTRA ENGENHARIA</t>
  </si>
  <si>
    <t>ARIS SOLUCOES</t>
  </si>
  <si>
    <t>AIR TECH</t>
  </si>
  <si>
    <t>H. ANÁLIA FRANCO</t>
  </si>
  <si>
    <t>ATACADAO - TAMAIOS SANTO ANDRE CAPUAVA - SP</t>
  </si>
  <si>
    <t>Liliam</t>
  </si>
  <si>
    <t>São João da Boa Vista</t>
  </si>
  <si>
    <t>AMAZON - DCE5</t>
  </si>
  <si>
    <t>HOSP. SÃO CAETANO DAY</t>
  </si>
  <si>
    <t>SPORTY GROUP</t>
  </si>
  <si>
    <t>WWM EFICIENCIA</t>
  </si>
  <si>
    <t>DISTRITO REVEE - ARARAQUARA - SP</t>
  </si>
  <si>
    <t>SABESP CJ - COSTA CARVALHO</t>
  </si>
  <si>
    <t>TERRA ALL RESORT</t>
  </si>
  <si>
    <t>ATAKADAO - CAMINHO DA AREIA - SALVADOR - BA</t>
  </si>
  <si>
    <t>ARVITTA</t>
  </si>
  <si>
    <t>FGV - ARTES</t>
  </si>
  <si>
    <t>Obramax Contagem</t>
  </si>
  <si>
    <t>FORT 880 - INTERLAGOS - SÃO PAULO - SP</t>
  </si>
  <si>
    <t>REDE D'OR RIBEIRÃO PRETO</t>
  </si>
  <si>
    <t>CLIMATIKO</t>
  </si>
  <si>
    <t>MARGIRIUS - FERRAMENTARIA</t>
  </si>
  <si>
    <t>Luana</t>
  </si>
  <si>
    <t>ADVANCE REFRIGERACAO</t>
  </si>
  <si>
    <t>JARDIM</t>
  </si>
  <si>
    <t>SPLIT REFRIGERACAO</t>
  </si>
  <si>
    <t>MORUMBI 1934 - MORUMBI</t>
  </si>
  <si>
    <t>GRUPO PERMANEO - VILLA LOBOS - 17PV</t>
  </si>
  <si>
    <t>W MLOPES</t>
  </si>
  <si>
    <t>ANDRE SANTOS</t>
  </si>
  <si>
    <t>Walison</t>
  </si>
  <si>
    <t>Smart Fit Guilhermina Praia Grande - SP</t>
  </si>
  <si>
    <t>Wilian</t>
  </si>
  <si>
    <t>4°PAV - STA. ISABEL</t>
  </si>
  <si>
    <t>DOMPER REFRIGERACAO</t>
  </si>
  <si>
    <t>Smart Fit Uberlândia - MG</t>
  </si>
  <si>
    <t>DUCTAIR</t>
  </si>
  <si>
    <t>Wyllian</t>
  </si>
  <si>
    <t>FORT ATACADISTA - 845 MANOEL ELIAS - PORTO ALEGRE - RS</t>
  </si>
  <si>
    <t>Smart Fit Guilhermina - SP</t>
  </si>
  <si>
    <t>BEG NATURAL</t>
  </si>
  <si>
    <t>Tais</t>
  </si>
  <si>
    <t>JOSELITO OLIVEIRA</t>
  </si>
  <si>
    <t>IMT - INSTITUTO MAUA DE TECNOLOGIA - SÃO CAETANO DO SUL - SP</t>
  </si>
  <si>
    <t>Joselito</t>
  </si>
  <si>
    <t>Parque Global - Einstein</t>
  </si>
  <si>
    <t>Henirque</t>
  </si>
  <si>
    <t>DABI BUSINESS PARK - RIBEIRAO PRETO - SP</t>
  </si>
  <si>
    <t>PU/PIR</t>
  </si>
  <si>
    <t>MPU-ALUPIR</t>
  </si>
  <si>
    <t>THRE</t>
  </si>
  <si>
    <t>SENER</t>
  </si>
  <si>
    <t>PIRES &amp; SOUZA</t>
  </si>
  <si>
    <t>SUL AMERICA SERVICOS DE SAUDE S.A.</t>
  </si>
  <si>
    <t>MULTIVAC - CAMPINAS</t>
  </si>
  <si>
    <t>LOCAL</t>
  </si>
  <si>
    <t>GALLI</t>
  </si>
  <si>
    <t>HOSPITAL SÃO LUIZ OSASCO - RETROFIT - UTI</t>
  </si>
  <si>
    <t>RENNER 592 - PARTAGE - DF</t>
  </si>
  <si>
    <t>Luan</t>
  </si>
  <si>
    <t>TIVOLI</t>
  </si>
  <si>
    <t>HOSPITAL GERAL PIRAJUSSARA - CME - TABOAO DA SERRA - SP</t>
  </si>
  <si>
    <t>GDM AR CONDICIONADO</t>
  </si>
  <si>
    <t>CSSM ITAQUERA - TEATRO - SP</t>
  </si>
  <si>
    <t>RESTAURANTE VILA LEOPOLDINA</t>
  </si>
  <si>
    <t>Wender</t>
  </si>
  <si>
    <t>SO AR</t>
  </si>
  <si>
    <t>REDE DOR - HOSPITAL SÃO LUIZ - OSASCO</t>
  </si>
  <si>
    <t>AEROPORTO INTERNACIONAL DE SÃO PAULO - GUARULHOS - TERMINAL DE PASSAGEIROS</t>
  </si>
  <si>
    <t>FERRING</t>
  </si>
  <si>
    <t>RENNER SHOPPING MANAIRA</t>
  </si>
  <si>
    <t>IESSI - VASCO DA GAMA PLAZA</t>
  </si>
  <si>
    <t>ATACADAO ARICANDUVA</t>
  </si>
  <si>
    <t>LMGETS</t>
  </si>
  <si>
    <t>SD AR CONDICIONADO</t>
  </si>
  <si>
    <t>PERDERAM</t>
  </si>
  <si>
    <t>PREV. JANEIRO</t>
  </si>
  <si>
    <t>AUTOGLASS - ES</t>
  </si>
  <si>
    <t>H&amp;M IGUATEMI - PORTO ALEGRE - RS</t>
  </si>
  <si>
    <t>ANDRE LUIS</t>
  </si>
  <si>
    <t>PAROQUIA</t>
  </si>
  <si>
    <t>Joarene</t>
  </si>
  <si>
    <t>IESSI - VASCO DA GAMA PLAZA - 11º PAVIMENTO</t>
  </si>
  <si>
    <t>RITMO ITAIM</t>
  </si>
  <si>
    <t>DUTOBRAS</t>
  </si>
  <si>
    <t>CONE SHOPEE - GALPAO</t>
  </si>
  <si>
    <t>Nissin foods</t>
  </si>
  <si>
    <t>SUPER MATEUS - GENERAL ARTHUR - SÃO LUIS MA</t>
  </si>
  <si>
    <t>RIACHUELO - BARIGUI SHOPPING - CURITIBA - PR</t>
  </si>
  <si>
    <t>INPASA RONDONOPOLIS - USINA DE ETANOL - RIO VERDE - GO</t>
  </si>
  <si>
    <t>ESCRITÓRIO LAURA ROCHA</t>
  </si>
  <si>
    <t>HOSPITAL SANTA MARIA</t>
  </si>
  <si>
    <t>Pacheco</t>
  </si>
  <si>
    <t>HMCG - REDE AMERICAS - SANTO ANDRE - SP</t>
  </si>
  <si>
    <t>MIX MATEUS - JUAZEIRO DO NORTE - LAGOA SECA - CE</t>
  </si>
  <si>
    <t>DMD AR CONDICIONADO</t>
  </si>
  <si>
    <t>FRANCA</t>
  </si>
  <si>
    <t>H&amp;M BR0019 - IGUATEMI PRAIAS BELAS - PORTO ALEGRE - RS</t>
  </si>
  <si>
    <t>COLD QUALITY</t>
  </si>
  <si>
    <t>TUY COCINA - MORUMBI SHOPPING</t>
  </si>
  <si>
    <t>MELI CRISTAIS - FRANCO DA ROCHA</t>
  </si>
  <si>
    <t>RODRIGO TARGINO</t>
  </si>
  <si>
    <t>MELI CRISTAIS - FRANCO DA ROCHA - TERREO</t>
  </si>
  <si>
    <t>MELI CRISTAIS - FRANCO DA ROCHA - TERREO PT02</t>
  </si>
  <si>
    <t>MELI CRISTAIS - FRANCO DA ROCHA - TERREO PT03</t>
  </si>
  <si>
    <t>MIX MATEUS - CAMETA - SANTA MARIA - PA</t>
  </si>
  <si>
    <t>IGREJA PLENITUDE CRISTA</t>
  </si>
  <si>
    <t>FELIPE AUGUSTO</t>
  </si>
  <si>
    <t>HOSPITAL ANTONIO MOREIRA COSTA - REFORMA HAMC - UTI E CENTRO CIRURGICO</t>
  </si>
  <si>
    <t>18125 P&amp;G LOUVEIRA - SUM ENGENHARIA</t>
  </si>
  <si>
    <t>Jussara</t>
  </si>
  <si>
    <t>MELI CRISTAIS - FRANCO DA ROCHA -DUTOS COMPLEMENTARES</t>
  </si>
  <si>
    <t>OBRAMAX SOROCABA - SP</t>
  </si>
  <si>
    <t>RESIDENCIA HARAS - MONTE MOR - SP</t>
  </si>
  <si>
    <t>HUB CAPAO REDONDO</t>
  </si>
  <si>
    <t>ZARA SHOPPING JK IGUATEMI</t>
  </si>
  <si>
    <t>ZARA SHOPPING IGUATEMI SP</t>
  </si>
  <si>
    <t>ZARA BH SHOPPING IGUATEMI_MG</t>
  </si>
  <si>
    <t>ZARA SHOPPING MUELLER PR</t>
  </si>
  <si>
    <t>ATACADAO - LOJA SANTOS PORTO - SP</t>
  </si>
  <si>
    <t>SOLUCAO DUTOS</t>
  </si>
  <si>
    <t>BIOTEC</t>
  </si>
  <si>
    <t>BIOMODULO</t>
  </si>
  <si>
    <t xml:space="preserve">REDE D'OR SÃO LUIS S.A. 13 - ZONA LESTE TATUAPÉ </t>
  </si>
  <si>
    <t>UNIGRA BRASIL - PROJETO PRODUÇÃO DE CHOCOLATES</t>
  </si>
  <si>
    <t>BARBACOA</t>
  </si>
  <si>
    <t>PERDIDO MULTIVAC</t>
  </si>
  <si>
    <t>OBRA DA NEWSET</t>
  </si>
  <si>
    <t>OBRA DA HVAC</t>
  </si>
  <si>
    <t>FLEURY MARCO 100</t>
  </si>
  <si>
    <t>LOJA H&amp;M BR0016 Shopping Iguatemi Esplanada</t>
  </si>
  <si>
    <t>LFB ENGENHARIA</t>
  </si>
  <si>
    <t>AUTOGLASS CEC HUB</t>
  </si>
  <si>
    <t>ATACADAO LONDRINA</t>
  </si>
  <si>
    <t>KM TADA ENGENHARIA</t>
  </si>
  <si>
    <t>HOSPITAL UNIMED - TORRE II - NOVO HAMBURGO - RS</t>
  </si>
  <si>
    <t>OBRAMAX - VARZEA GRANDE</t>
  </si>
  <si>
    <t>THERMON</t>
  </si>
  <si>
    <t>VANSIL DESCALVADO</t>
  </si>
  <si>
    <t>PAULISTAO EMPREENDIMENTO 13 - SAO CARLOS - SP</t>
  </si>
  <si>
    <t>DALBEM PAULINIA</t>
  </si>
  <si>
    <t>RESIDENCIA YURI</t>
  </si>
  <si>
    <t>MARCONI COUTO</t>
  </si>
  <si>
    <t>SEDE ADMINISTRATIVO - SITIO RECANTO DO QUEIJO</t>
  </si>
  <si>
    <t>SC9040 - OS2134 - NISSIN FOODS DO BRASIL LTDA</t>
  </si>
  <si>
    <t>SElma</t>
  </si>
  <si>
    <t>Santa Casa de Araquara</t>
  </si>
  <si>
    <t>SAINT GOBAN</t>
  </si>
  <si>
    <t>SOLAR CONSTRUCOES</t>
  </si>
  <si>
    <t>UASA</t>
  </si>
  <si>
    <t xml:space="preserve">Emanuel </t>
  </si>
  <si>
    <t>LICDAU225206</t>
  </si>
  <si>
    <t>GRAPE</t>
  </si>
  <si>
    <t>G BARBOSA - BARRA DOS COQUEIROS</t>
  </si>
  <si>
    <t>TECNORAC</t>
  </si>
  <si>
    <t>BEIERSDORF INDUSTRIA &amp; COMERCIO - ITATIBA - SP</t>
  </si>
  <si>
    <t>BRISA SERVICE</t>
  </si>
  <si>
    <t>ASSAI AEROPORTO</t>
  </si>
  <si>
    <t>KATEKA CLIMA</t>
  </si>
  <si>
    <t>ZONA SUL - SP</t>
  </si>
  <si>
    <t>HOSPITAL UNIMED - UNIDADE ANHANGUERA - JUNDIAI - SP - TERREO</t>
  </si>
  <si>
    <t>HOSPITAL UNIMED - UNIDADE ANHANGUERA - JUNDIAI - SP - 1º PAVIMENTO</t>
  </si>
  <si>
    <t>HOSPITAL UNIMED - UNIDADE ANHANGUERA - JUNDIAI - SP - 2º PAVIMENTO</t>
  </si>
  <si>
    <t>HOSPITAL UNIMED - UNIDADE ANHANGUERA - JUNDIAI - SP - 3º PAVIMENTO</t>
  </si>
  <si>
    <t>HOSPITAL UNIMED - UNIDADE ANHANGUERA - JUNDIAI - SP - 4º PAVIMENTO</t>
  </si>
  <si>
    <t>HOSPITAL UNIMED - UNIDADE ANHANGUERA - JUNDIAI - SP - 5º - 6º E 7º PAVIMENTO</t>
  </si>
  <si>
    <t>HOSPITAL UNIMED - UNIDADE ANHANGUERA - JUNDIAI - SP - AREA TECNICA</t>
  </si>
  <si>
    <t>MR IN SITE</t>
  </si>
  <si>
    <t>SÃO MIGUEL</t>
  </si>
  <si>
    <t>HOSPITAL UNIMED - VALE DOS SINOS - TORRE III</t>
  </si>
  <si>
    <t>FECOM - SESC - SENAC - CAMPO GRANDE - MS</t>
  </si>
  <si>
    <t>CINEART LAVRAS - BOCAINA - MG</t>
  </si>
  <si>
    <t>SUPER MATEUS - NEWTON BELO - IMPERATRIZ - MA</t>
  </si>
  <si>
    <t>Anders</t>
  </si>
  <si>
    <t>FUUL TEC</t>
  </si>
  <si>
    <t>PU</t>
  </si>
  <si>
    <t>AF ENGEHARIA</t>
  </si>
  <si>
    <t>STRATTNER - PALHOÇA / SC</t>
  </si>
  <si>
    <t>Kinji</t>
  </si>
  <si>
    <t xml:space="preserve">PERDIDO </t>
  </si>
  <si>
    <t>OBRA DA RANKINE</t>
  </si>
  <si>
    <t>Hotel Hilton</t>
  </si>
  <si>
    <t>PLACA R$ 132,00+IPI</t>
  </si>
  <si>
    <t>PLACA R$ 136,00 + IPI</t>
  </si>
  <si>
    <t>MARCELINHO TEIXEIRA</t>
  </si>
  <si>
    <t>RESID. VINICIUS E ROSE GUIDI</t>
  </si>
  <si>
    <t>COMTEC</t>
  </si>
  <si>
    <t>Jeremias</t>
  </si>
  <si>
    <t>YPE SANTOS</t>
  </si>
  <si>
    <t>RAIZEN - ANDRADINA</t>
  </si>
  <si>
    <t>HOSPITAL SANTA CASA DE MISERICORDIA - DE CAPAO BONITO</t>
  </si>
  <si>
    <t>HOSPITAL SANTA CATARINA - BELA VISTA - SÃO PAULO - SP</t>
  </si>
  <si>
    <t>RIBEIRAO PIRES</t>
  </si>
  <si>
    <t>EMERSON NICKEL</t>
  </si>
  <si>
    <t>HOSPITAL SANTA MARCELINA - ITAQUAQUECETUBA - SP</t>
  </si>
  <si>
    <t>ASSAI SANTOS</t>
  </si>
  <si>
    <t>Alejandra</t>
  </si>
  <si>
    <t>AEROPORTO INTERNACIONAL DE SÃO PAULO - GUARULHOS - TERMINAL 2 - TERREO</t>
  </si>
  <si>
    <t>ALMEIDA E LIMA</t>
  </si>
  <si>
    <t>DUTO 06 - BALL JACAREÍ</t>
  </si>
  <si>
    <t>DUTO 02 - BALL JACAREÍ</t>
  </si>
  <si>
    <t>ARTS CLIMA</t>
  </si>
  <si>
    <t>SUZUKI</t>
  </si>
  <si>
    <t>FG AR CONDICIONADO</t>
  </si>
  <si>
    <t>COMERCIAL ESPERANCA - ITAQUAQUECETUBA - SP</t>
  </si>
  <si>
    <t>ERALDO OLIVEIRA</t>
  </si>
  <si>
    <t>Eraldo</t>
  </si>
  <si>
    <t>ANALISE PLAN</t>
  </si>
  <si>
    <t>AC TIJUCA</t>
  </si>
  <si>
    <t>ALMAPUR - 7º PV</t>
  </si>
  <si>
    <t>ENGETAL</t>
  </si>
  <si>
    <t>NBR GROUP</t>
  </si>
  <si>
    <t>PCA ENGENHARIA</t>
  </si>
  <si>
    <t>LABRE</t>
  </si>
  <si>
    <t>FLOW TEC</t>
  </si>
  <si>
    <t>PREV. MARÇO</t>
  </si>
  <si>
    <t>VISITA PRÓX. SEMANA</t>
  </si>
  <si>
    <t>GUAXUPE</t>
  </si>
  <si>
    <t>LACORTE REFRIGERACAO</t>
  </si>
  <si>
    <t>OBRAMAX ARICANDUVA</t>
  </si>
  <si>
    <t>SANTA MAGGIORE - UNIDADE MADAGASCAR</t>
  </si>
  <si>
    <t>RAIZEN GASA</t>
  </si>
  <si>
    <t>Flavia</t>
  </si>
  <si>
    <t>MIX MATEUS - TERESINA SUL - PI</t>
  </si>
  <si>
    <t>YOUCOM - SH TOP CENTER PAULISTA - SP</t>
  </si>
  <si>
    <t>CONFIAR AR CONDICIONADO</t>
  </si>
  <si>
    <t>RESIDENCIA UNIFAMILIAR - ARACATUBA - SP</t>
  </si>
  <si>
    <t>PROTHERM</t>
  </si>
  <si>
    <t>PORTONAVE ICEPORT</t>
  </si>
  <si>
    <t>SERTTA CLIMATIZACAO</t>
  </si>
  <si>
    <t>AMAZON - DRJ5</t>
  </si>
  <si>
    <t>YAMA ENGENHARIA</t>
  </si>
  <si>
    <t>RESIDENCIA UNIFAMILIAR - GEISA E CARLOS LEMOS - ARACATUBA - SP</t>
  </si>
  <si>
    <t>Elton</t>
  </si>
  <si>
    <t>2040 - GONÇALVES S/A</t>
  </si>
  <si>
    <t>Loja RNR 616 Sh Paulínia</t>
  </si>
  <si>
    <t>FS PHARMA - PALMARES - SP</t>
  </si>
  <si>
    <t>CLINICA NEFROLOGICA - MARIA DAS GRACAS - SÃO PAULO - SP</t>
  </si>
  <si>
    <t>LOTEAMENTO BRISA AVARE - VILA BRISAS</t>
  </si>
  <si>
    <t>BOA VISTA VILLAGE - PORTO FELIZ - SP</t>
  </si>
  <si>
    <t>Augusto</t>
  </si>
  <si>
    <t>CLIMASUL</t>
  </si>
  <si>
    <t>RESIDÊNCIA FATIMA E MAURO - BERTIOGA - SP</t>
  </si>
  <si>
    <t>Helton</t>
  </si>
  <si>
    <t>QUALITYAIR</t>
  </si>
  <si>
    <t>OKNO CAPITAL - PINHEIROS - SÃO PAULO - SP</t>
  </si>
  <si>
    <t>SANCTA MAGGIORE - UNIDADE MADAGASCAR - 2º PAVIMENTO</t>
  </si>
  <si>
    <t>AVM AR CONDICIONADO</t>
  </si>
  <si>
    <t>Rosival</t>
  </si>
  <si>
    <t xml:space="preserve">LOGITEV </t>
  </si>
  <si>
    <t>INFORMOV</t>
  </si>
  <si>
    <t>THERMO AVAC</t>
  </si>
  <si>
    <t>FECHADO PARCIAL</t>
  </si>
  <si>
    <t>CURITIBA</t>
  </si>
  <si>
    <t>SANTA ISABEL</t>
  </si>
  <si>
    <t>25/093 ADC01</t>
  </si>
  <si>
    <t>GM</t>
  </si>
  <si>
    <t>GRANDES CHANCES</t>
  </si>
  <si>
    <t>7472 - RS</t>
  </si>
  <si>
    <t>OBRA ISOTEMP</t>
  </si>
  <si>
    <t>OBRA RM3</t>
  </si>
  <si>
    <t>MULTVAC - PREFERÊNCIA</t>
  </si>
  <si>
    <t>QUALIDADE MATERIAL</t>
  </si>
  <si>
    <t>OBRA DA AR SISTEMAS</t>
  </si>
  <si>
    <t>Esther</t>
  </si>
  <si>
    <t>H&amp;M BR0019 - IGUATEMI PRAIA BELAS - PORTO ALEGRE- RS</t>
  </si>
  <si>
    <t>STZ - SHOPPING IGUATEMI BOSQUE - FORTALEZA - CE</t>
  </si>
  <si>
    <t>BLUEFIT - CAMPO GRANDE - MT</t>
  </si>
  <si>
    <t>RENNER - NITEROI - RJ</t>
  </si>
  <si>
    <t>ARCOS DOURADOS - FRANCA</t>
  </si>
  <si>
    <t>AMAZON - VBM2</t>
  </si>
  <si>
    <t>BIOSAFE - GUARATIBA - RJ</t>
  </si>
  <si>
    <t>QUADRI DUTO</t>
  </si>
  <si>
    <t>PASU PATRIMONIAL LTDA</t>
  </si>
  <si>
    <t>REKTERM</t>
  </si>
  <si>
    <t>HOSPITAL REGIONAL ROTA DOS BANDEIRANTES - PARQUE VIANA - BARUERI - SP</t>
  </si>
  <si>
    <t>SMART FIT - ROTARY EMBU - SP</t>
  </si>
  <si>
    <t>SILVA CLIMATIZACAO</t>
  </si>
  <si>
    <t>CLIMATEC</t>
  </si>
  <si>
    <t>426-23 - Libercon - KSM LOG Guarulhos</t>
  </si>
  <si>
    <t>HOSPITAL AVICCENA - TATUAPE - SP - 2ºSUBSOLO</t>
  </si>
  <si>
    <t>HOSPITAL AVICCENA - TATUAPE - SP - 1ºSUBSOLO</t>
  </si>
  <si>
    <t>HOSPITAL AVICCENA - TATUAPE - SP - TERREO</t>
  </si>
  <si>
    <t>HOSPITAL AVICCENA - TATUAPE - SP - 1º PAVIMENTO</t>
  </si>
  <si>
    <t>HOSPITAL AVICCENA - TATUAPE - SP - 2º PAVIMENTO</t>
  </si>
  <si>
    <t>HOSPITAL AVICCENA - TATUAPE - SP - 3º PAVIMENTO</t>
  </si>
  <si>
    <t>HOSPITAL AVICCENA - TATUAPE - SP - 4º PAVIMENTO</t>
  </si>
  <si>
    <t>HOSPITAL AVICCENA - TATUAPE - SP - 5º PAVIMENTO</t>
  </si>
  <si>
    <t>HOSPITAL AVICCENA - TATUAPE - SP - 6º PAVIMENTO</t>
  </si>
  <si>
    <t>CLIMA CLEAN</t>
  </si>
  <si>
    <t>HOSPITAL AVICCENA - TATUAPE - SP - 7º PAVIMENTO</t>
  </si>
  <si>
    <t>HOSPITAL AVICCENA - TATUAPE - SP - 8º PAVIMENTO</t>
  </si>
  <si>
    <t>HOSPITAL AVICCENA - TATUAPE - SP - 9º PAVIMENTO</t>
  </si>
  <si>
    <t>HOSPITAL AVICCENA - TATUAPE - SP - 10º PAVIMENTO</t>
  </si>
  <si>
    <t>HOSPITAL AVICCENA - TATUAPE - SP - 11º PAVIMENTO</t>
  </si>
  <si>
    <t>HOSPITAL AVICCENA - TATUAPE - SP - COBERTURA</t>
  </si>
  <si>
    <t>HOSPITAL AVICCENA - TATUAPE - SP - 12º AO 15º PAVIMENTO</t>
  </si>
  <si>
    <t>TKP POCOS</t>
  </si>
  <si>
    <t>OUROFRIO</t>
  </si>
  <si>
    <t>SANTANDER RADAR</t>
  </si>
  <si>
    <t>GALPAO - OLIMPIA - SP</t>
  </si>
  <si>
    <t>ASSAI OSASCO - FERNAO DIAS - SP</t>
  </si>
  <si>
    <t>APS - ASSOCIACAO PAULISTA SUL - SP</t>
  </si>
  <si>
    <t>NIKE - BH SHOPPING - BELO HORIZONTE - MG</t>
  </si>
  <si>
    <t>ESTUDIO MODULO - CURY - CENTRO CULTURAL - RIO AFRICA - RJ</t>
  </si>
  <si>
    <t xml:space="preserve">ABB </t>
  </si>
  <si>
    <t>NOVO ATIBAIA</t>
  </si>
  <si>
    <t>NSP183.25</t>
  </si>
  <si>
    <t>ADIDAS - SO MARCAS - GUARULHOS - SP</t>
  </si>
  <si>
    <t>ATACADAO - MATRIZ VILA MARIA</t>
  </si>
  <si>
    <t>ASSIM INSTALACOES</t>
  </si>
  <si>
    <t>Ataide</t>
  </si>
  <si>
    <t>TONE CONSTRUCOES</t>
  </si>
  <si>
    <t>SAO CAMILO - TERREO FRONTAL</t>
  </si>
  <si>
    <t>RETROFIT PSA-PSI E RECEPÇÃO INFANTIL – HOSPOTAL ALVORADA - MOEMA</t>
  </si>
  <si>
    <t>C&amp;A - MAXI SHOPPING JUNDIAI - SP</t>
  </si>
  <si>
    <t>2TPROJ</t>
  </si>
  <si>
    <t>FC VILELA</t>
  </si>
  <si>
    <t>AF TERMICA</t>
  </si>
  <si>
    <t>TIPO DE OBRA</t>
  </si>
  <si>
    <t>N/I</t>
  </si>
  <si>
    <t>GM - SJC</t>
  </si>
  <si>
    <t>TAUSTE SUPERMERCADOS - LOJA SANTANA - SP</t>
  </si>
  <si>
    <t>HAPVIDA - TEA SÃO VICENTE - SP</t>
  </si>
  <si>
    <t>HAPVIDA - NOVA CLINICA - SANTOS - SP</t>
  </si>
  <si>
    <t>LOJA NIKE - BH</t>
  </si>
  <si>
    <t>MARTINS REFRIGERACAO</t>
  </si>
  <si>
    <t>ATAC - VILA MARIA</t>
  </si>
  <si>
    <t>MARQUISE - PORTO FELIZ</t>
  </si>
  <si>
    <t>PANORAMA - PORTO FELIZ</t>
  </si>
  <si>
    <t>DIVERSOS</t>
  </si>
  <si>
    <t>RESIDENCIA</t>
  </si>
  <si>
    <t>PIB - SOROCABA - SP</t>
  </si>
  <si>
    <t>CNPEM - UHV - SIRIUS</t>
  </si>
  <si>
    <t>INDUSTRIAL</t>
  </si>
  <si>
    <t>PHARLAB</t>
  </si>
  <si>
    <t>Soraya</t>
  </si>
  <si>
    <t>HOSPITAL NIPO BRASILEIRO - PARQUE NOVO MUNDO - SP</t>
  </si>
  <si>
    <t>CICERO</t>
  </si>
  <si>
    <t>CONDOMINIO SAFFIRE - LAVVI</t>
  </si>
  <si>
    <t>Cicero</t>
  </si>
  <si>
    <t>RESIDENCIA ROBERTO GUARNIERI</t>
  </si>
  <si>
    <t>HOSPITAL IFOR - CEMED - SÃO BERNARDO DO CAMPO - SP</t>
  </si>
  <si>
    <t>HOSPITAL SAO LUIZ - OSASCO - UTI ADULTO - 2PV</t>
  </si>
  <si>
    <t>MTA ARUJA</t>
  </si>
  <si>
    <t>ELINTON BOBRIK</t>
  </si>
  <si>
    <t>PREVENT SENIOR - MADAGASCAR</t>
  </si>
  <si>
    <t>ATACADAO - MATRIZ TATUAPE - SÃO PAULO - SP</t>
  </si>
  <si>
    <t>ATACADAO - MATRIZ TATUAPE - SÃO PAULO - SP - OVAIS</t>
  </si>
  <si>
    <t>mPU</t>
  </si>
  <si>
    <t>Obramax - Aricanduva - Mezanino / Térr / Cx / Subsolo</t>
  </si>
  <si>
    <t>SHOPPING JAGUARIUNA</t>
  </si>
  <si>
    <t>SHOPPING</t>
  </si>
  <si>
    <t>HOSPITAL AVICCENA - TATUAPE - SP - GERAL</t>
  </si>
  <si>
    <t>WH ENGENHARIA</t>
  </si>
  <si>
    <t>RECKITT - EMBU DAS ARTES</t>
  </si>
  <si>
    <t>MIX SANTA INES - CANAA - MA</t>
  </si>
  <si>
    <t>IZL CONSTRUTORA</t>
  </si>
  <si>
    <t>Fatima</t>
  </si>
  <si>
    <t>MEDCOF</t>
  </si>
  <si>
    <t>JAILSON BARBOSA</t>
  </si>
  <si>
    <t>EDIFICIO MIRAGE</t>
  </si>
  <si>
    <t>Jailson</t>
  </si>
  <si>
    <t>HOSPITAL - CAPAO BONITO</t>
  </si>
  <si>
    <t>CLE - TAMBORE</t>
  </si>
  <si>
    <t>CNPE</t>
  </si>
  <si>
    <t>VORTEIL ENGENHARIA</t>
  </si>
  <si>
    <t>GSC PROJETOS</t>
  </si>
  <si>
    <t>SIS THERM</t>
  </si>
  <si>
    <t>BB Ponte Pequena</t>
  </si>
  <si>
    <t>CORPORATIVO</t>
  </si>
  <si>
    <t>RM3</t>
  </si>
  <si>
    <t>FÁBRICA</t>
  </si>
  <si>
    <t>Hosp. São Luiz Osasco - UTI 7º Pav.</t>
  </si>
  <si>
    <t>ARCOTEC-PRAZO</t>
  </si>
  <si>
    <t>DELL COMPUTADORES</t>
  </si>
  <si>
    <t>REMA - HOSPITAL SÃO LUIZ ALPHAVILLE - REDE D'OR</t>
  </si>
  <si>
    <t>Ubiratan</t>
  </si>
  <si>
    <t>PERFIL BAIONETA EM ALUMINIO</t>
  </si>
  <si>
    <t>ARCOTEC - PREÇO</t>
  </si>
  <si>
    <t>GUARULHOS</t>
  </si>
  <si>
    <t>OBRA DA RM3</t>
  </si>
  <si>
    <t>OBRA DA ISOTEMP</t>
  </si>
  <si>
    <t>CINE</t>
  </si>
  <si>
    <t>OBRA DA ECOTHERM</t>
  </si>
  <si>
    <t>AC - JUSTUS</t>
  </si>
  <si>
    <t>FORT ATACADISTA 455 - ERECHIM - RS</t>
  </si>
  <si>
    <t>FORT ATACADISTA 845 - MANOEL ELIAS - RS</t>
  </si>
  <si>
    <t>FORT ATACADISTA 400 - SÃO BENTO DO SUL - SC</t>
  </si>
  <si>
    <t>ATACADAO - MATRIZ TATUAPE - SÃO PAULO -</t>
  </si>
  <si>
    <t>REDE DOR - HOSPITAL SÃO LUIZ TATUAPÉ</t>
  </si>
  <si>
    <t>HOSPITAL - CAPAO REDONDO</t>
  </si>
  <si>
    <t>ABS CONSTRUCOES</t>
  </si>
  <si>
    <t>ABB</t>
  </si>
  <si>
    <t>SMART FIT - PENHA - SAO PAULO - SP</t>
  </si>
  <si>
    <t>RESIDENCIA RODRIGO - OURINHOS - SP</t>
  </si>
  <si>
    <t>ATACADAO - LOJA SANTANA - AP - AMAPA</t>
  </si>
  <si>
    <t>ASSAI SOROCABA - ITAVUVU</t>
  </si>
  <si>
    <t>PETZ - JACANA - VILA CONSTANCIA - SP</t>
  </si>
  <si>
    <t>UNILEVER - VALINHOS</t>
  </si>
  <si>
    <t>121-25 - Shopping Mall Americana - Cine A</t>
  </si>
  <si>
    <t>121-25 - CINE A</t>
  </si>
  <si>
    <t>FUNDACAO ZERBINI - CERQUEIRA CESAR - SP</t>
  </si>
  <si>
    <t>RESIDENCIA UNIFALIMIAR - BEATRIZ CINTRA - SP</t>
  </si>
  <si>
    <t>Fagner</t>
  </si>
  <si>
    <t>ATC - SANTANA</t>
  </si>
  <si>
    <t>AIR SYSTEMS</t>
  </si>
  <si>
    <t>PREMIUM CARE - MORUMBI - SP</t>
  </si>
  <si>
    <t>AKMX</t>
  </si>
  <si>
    <t>ALUMINIO PRE ISOLADO</t>
  </si>
  <si>
    <t>MUDANÇA DE PROJETO</t>
  </si>
  <si>
    <t>OBRA DA AMS</t>
  </si>
  <si>
    <t>PRISMA</t>
  </si>
  <si>
    <t>Ed</t>
  </si>
  <si>
    <t>JESSICA ANDRADE</t>
  </si>
  <si>
    <t>AMERICAS HOSPITAL ALVORADA - VILA SÃO PAULO - SP</t>
  </si>
  <si>
    <t>LOGITEC</t>
  </si>
  <si>
    <t>NIKE - DOM PEDRO</t>
  </si>
  <si>
    <t>PAULISTAO EMPREENDIMENTOS - PAULISTA 15 - INDAIATUBA - SP</t>
  </si>
  <si>
    <t>RONALDO DONIZETE</t>
  </si>
  <si>
    <t>Ronaldo</t>
  </si>
  <si>
    <t>AEROPORTO INTERNACIONAL DE PORTO ALEGRE - W PREMIUM - SALA VIP</t>
  </si>
  <si>
    <t>AEROPORTO</t>
  </si>
  <si>
    <t>Sicoob Guaxupe/MG</t>
  </si>
  <si>
    <t>BANCO</t>
  </si>
  <si>
    <t>SUPER CEARA - IMPERATRIZ - MA</t>
  </si>
  <si>
    <t>SUPER GOIAS - IMPERATRIZ - MA</t>
  </si>
  <si>
    <t>NIKE - PARQUE DOM PEDRO</t>
  </si>
  <si>
    <t>MADEIRAMADEIRA - ITAQUERA</t>
  </si>
  <si>
    <t>NIKE - BH SHOPPING</t>
  </si>
  <si>
    <t>ATACADAO - TAMOIOS SANTO ANDRE - CAPUAVA - SP</t>
  </si>
  <si>
    <t>003-26 - EBM - GW</t>
  </si>
  <si>
    <t>BR AR SISTEMAS</t>
  </si>
  <si>
    <t>STAND ATILIO</t>
  </si>
  <si>
    <t>HOSPITAL DO RIM - COZINHA - VILA CLEMENTINO - SP</t>
  </si>
  <si>
    <t>CLARO - ESTACAO ARACAJU - AJU - IT - CE</t>
  </si>
  <si>
    <t>HIPER BALSAS - BALSAS - MA</t>
  </si>
  <si>
    <t>30/02</t>
  </si>
  <si>
    <t>ACADEMIA TERRAS - 2 - CONDOMINIO TERRAS DE SÃO JOSE II - ITU - SP</t>
  </si>
  <si>
    <t>FAMILIA SILVA SANTOS - NEYMAR - TRIPLEX</t>
  </si>
  <si>
    <t>COMPARCO</t>
  </si>
  <si>
    <t>Eliane</t>
  </si>
  <si>
    <t>RENNER PARTAGE - DF</t>
  </si>
  <si>
    <t>YOUCOM - SHOP PARK - JACAREPAGUA - RJ</t>
  </si>
  <si>
    <t>RIO NEGRO</t>
  </si>
  <si>
    <t>SOGO PLAZA</t>
  </si>
  <si>
    <t>ANA LUIZA RIBEIRO</t>
  </si>
  <si>
    <t>ATC TATUAPE - ESCRITORIO</t>
  </si>
  <si>
    <t>SMART FIT - BIO RITMO - GOIANIA - GO</t>
  </si>
  <si>
    <t>BI SÃO CAMILO - 1 E 2 PV CENTRAL</t>
  </si>
  <si>
    <t>ON RUNNING</t>
  </si>
  <si>
    <t>HOSPITAL ALVORADA</t>
  </si>
  <si>
    <t>NIKE - SHOPPING ANALIA FRANCO</t>
  </si>
  <si>
    <t>BI SÃO CAMILO - PV TERREO - FRONTAL FASE</t>
  </si>
  <si>
    <t>C&amp;A - PATIO PAULISTA - BELA VISTA - SP</t>
  </si>
  <si>
    <t>Ancora - Canpack-MG</t>
  </si>
  <si>
    <t>PROJETO APROVADO ESPEC. ALU-PIR</t>
  </si>
  <si>
    <t>WHEATON</t>
  </si>
  <si>
    <t>MULTIVAC - QUALIDADE</t>
  </si>
  <si>
    <t>QUALIDADE</t>
  </si>
  <si>
    <t>BLUEFIT - JATAI GO - 1261</t>
  </si>
  <si>
    <t>SMART FIT - ROLDAO BRASILANDIA - SP</t>
  </si>
  <si>
    <t>ENTAIN</t>
  </si>
  <si>
    <t>RIACHUELO - SHOPPING CIDADE DA SERRA - LAVRAS - MG</t>
  </si>
  <si>
    <t>YOUCOM - SH MESTRE ALVARO - SERRA - ES</t>
  </si>
  <si>
    <t>CLARO - ESTACAO TERMINAL DE SÃO PAULO - SPO - PH</t>
  </si>
  <si>
    <t>Helena</t>
  </si>
  <si>
    <t>CASH</t>
  </si>
  <si>
    <t>Barbara</t>
  </si>
  <si>
    <t>CAMICADO - IGUATEMI RIBEIRAO PRETO - SP</t>
  </si>
  <si>
    <t>UNITEC</t>
  </si>
  <si>
    <t>YOUCOM - SHOPPING NOVA IGUACU - RJ</t>
  </si>
  <si>
    <t>PA MOEMA</t>
  </si>
  <si>
    <t>DF STRAR</t>
  </si>
  <si>
    <t>Giulia</t>
  </si>
  <si>
    <t>ARMARINHOS FERNANDO - CAMPINAS - SP</t>
  </si>
  <si>
    <t>CSMOBI</t>
  </si>
  <si>
    <t>AC - REREN</t>
  </si>
  <si>
    <t>YOUCOM - SH MORUMBI - SP</t>
  </si>
  <si>
    <t>SUPERPERCADIO - KRILL - PRAIA GRANDE</t>
  </si>
  <si>
    <t>LEVEMAX PARANAIBA</t>
  </si>
  <si>
    <t>SMART FIT - JACANA</t>
  </si>
  <si>
    <t>ATACADÃO MATRIZ - VILA MARIA</t>
  </si>
  <si>
    <t>Loja RNR 621 Sh Prêmio</t>
  </si>
  <si>
    <t>UNIMED - SÃO CARLOS</t>
  </si>
  <si>
    <t>FARM RIO - SHOPPING IGUATEMI - SÃO PAULO - SP</t>
  </si>
  <si>
    <t>GUTI  ENGENHARIA</t>
  </si>
  <si>
    <t>BIOLUX ENGENHARIA</t>
  </si>
  <si>
    <t>CLUTCH ENGENHARIA</t>
  </si>
  <si>
    <t>RGK ENGENHARIA</t>
  </si>
  <si>
    <t>RFN ENGEHHARIA</t>
  </si>
  <si>
    <t>PERDIDO - FRETE</t>
  </si>
  <si>
    <t>AJUSTE DE QUANTITATIVO</t>
  </si>
  <si>
    <t>AGUARDANDO REVISÃO DE PROJETO</t>
  </si>
  <si>
    <t>JOSUE CONCEIÇÃO CARVALHO</t>
  </si>
  <si>
    <t>Luciete</t>
  </si>
  <si>
    <t>PERDIDO - ARCOTEC</t>
  </si>
  <si>
    <t>MULTIVAC - ESTOQUE</t>
  </si>
  <si>
    <t>Lakeshore</t>
  </si>
  <si>
    <t>AMIL BOTAFOGO</t>
  </si>
  <si>
    <t>BLUEFIT - CURSINO SP - 1317 - JARDIM SAUDE - SP</t>
  </si>
  <si>
    <t>Fanny</t>
  </si>
  <si>
    <t>ISODUR</t>
  </si>
  <si>
    <t>Rodemir</t>
  </si>
  <si>
    <t>BP - CONSULTÓRIOS 2º ANDAR -T2</t>
  </si>
  <si>
    <t>FABIO ANDRADE GOTTARDI - RESID. DELTA PARK – ARAÇATUBA/SP</t>
  </si>
  <si>
    <t>OFFICEZ COMPANY</t>
  </si>
  <si>
    <t>Blanver - Nova área</t>
  </si>
  <si>
    <t>JEFFERSON SANTOS</t>
  </si>
  <si>
    <t>FREMIX</t>
  </si>
  <si>
    <t>DASA - NSP015B26</t>
  </si>
  <si>
    <t>OBRAMAX VARZEA GRANDE</t>
  </si>
  <si>
    <t>DUTO UCI</t>
  </si>
  <si>
    <t>NISSIN FOODS DO BRASIL - FABRICA PONTA GROSSA - PR</t>
  </si>
  <si>
    <t>EDUARDO GRINBERG</t>
  </si>
  <si>
    <t>CENTRO NACIONAL DE PESQUISA E ENERGIA - AUDITORIO SIRIUS</t>
  </si>
  <si>
    <t>ESCOLA</t>
  </si>
  <si>
    <t>ATACADAO - LOJA ARAGUAINA - TO</t>
  </si>
  <si>
    <t>RNR 146 - SHOPPING MANAUARA</t>
  </si>
  <si>
    <t>G BARBOSA - BARRA DOS COQUEIROS - SE</t>
  </si>
  <si>
    <t>HOSPITAL BOM JESUS DE MATOSINHOS - CONCEICAO DO MATO DENTRO - MG</t>
  </si>
  <si>
    <t>OBRAMAX - SP - SUZANO</t>
  </si>
  <si>
    <t>HOSP SANTA ISABEL</t>
  </si>
  <si>
    <t>SMART FIT - JARDIM SÃO RAFAEL - SP</t>
  </si>
  <si>
    <t>ATACADAO - MOGI DAS CRUZES MODERNO - SP</t>
  </si>
  <si>
    <t>ATC - ARAGUAINA</t>
  </si>
  <si>
    <t>AUDITORIO SIRIUS - PE</t>
  </si>
  <si>
    <t>ATACADAO - SUZANO - SP</t>
  </si>
  <si>
    <t>BLUEFIT - MT RND - VILA ELDORADO - RONDONOPOLIS - MT</t>
  </si>
  <si>
    <t>CINEMA UBERLANDIA</t>
  </si>
  <si>
    <t>NSP057.25</t>
  </si>
  <si>
    <t>ATACADAO - LOJA CAIEIRAS - SP</t>
  </si>
  <si>
    <t>WEG - JARAGUA DO SUL - SC - REFEITORIO</t>
  </si>
  <si>
    <t>ZEMPACK</t>
  </si>
  <si>
    <t>Jandira</t>
  </si>
  <si>
    <t>Santa Casa de Araraquara</t>
  </si>
  <si>
    <t>HID - LAPA - SP</t>
  </si>
  <si>
    <t>UNIMED - HOSPITAL UNIMED - MACEIO - AL</t>
  </si>
  <si>
    <t>GENERAL MOTORS - RONDA - SÃO JOSE DOS CAMPOS</t>
  </si>
  <si>
    <t>INDUSTRIA</t>
  </si>
  <si>
    <t>CIDADE JARDIM - 4 CASAS</t>
  </si>
  <si>
    <t xml:space="preserve">NSP.155E.25 - ALOJAMENTO MACEIO </t>
  </si>
  <si>
    <t>E10 - 5901 - HOSPITAL IBIRAPUERA</t>
  </si>
  <si>
    <t>FIRMENICH</t>
  </si>
  <si>
    <t xml:space="preserve">Lucimar </t>
  </si>
  <si>
    <t xml:space="preserve">CLIENTE NEGOCIANDO  </t>
  </si>
  <si>
    <t>SULMEDIC - COMERCIO DE MEDICAMENTOS - CONDOMINIO BUSSINES PARK</t>
  </si>
  <si>
    <t>MIX TAMANDARE - IMPERATRIZ - MA</t>
  </si>
  <si>
    <t>SMART FIT - JACANA - SÃO PAULO</t>
  </si>
  <si>
    <t>OBRAMAX SUZANO</t>
  </si>
  <si>
    <t>THERMO CENTRAL</t>
  </si>
  <si>
    <t>VETERANOS DE AMERICANA</t>
  </si>
  <si>
    <t>GALPAO 2 - BETIM - MG</t>
  </si>
  <si>
    <t>SMART FIT - CLUBE DE REGATAS FLAMENGO - LAGOA - SP</t>
  </si>
  <si>
    <t>CCR JUNDIA 2ª Fase</t>
  </si>
  <si>
    <t>MHEGA CONSTRUCOES</t>
  </si>
  <si>
    <t>Tiago</t>
  </si>
  <si>
    <t>C&amp;A 240 JND - MAXI SHOPPING JUNDIAI - SP</t>
  </si>
  <si>
    <t>CEMED</t>
  </si>
  <si>
    <t>CEMED II</t>
  </si>
  <si>
    <t>ADRIANO E VANESSA</t>
  </si>
  <si>
    <t>AEROGHERMIC</t>
  </si>
  <si>
    <t>ON RUNNING MORUMBI - SÃO PAULO - SP</t>
  </si>
  <si>
    <t>REDE DOR TATUAPE</t>
  </si>
  <si>
    <t>CLINICA NEFROLOGICA</t>
  </si>
  <si>
    <t>MSE ENGENHARIA</t>
  </si>
  <si>
    <t>CNPEM - AUDITORIO SIRIUS</t>
  </si>
  <si>
    <t>Milton</t>
  </si>
  <si>
    <t>ATC SUZANO</t>
  </si>
  <si>
    <t>HUNTINGTON</t>
  </si>
  <si>
    <t>HUAWEI - RECIFE - PE</t>
  </si>
  <si>
    <t>NSP.177C.25 - UNIMED SÃO CARLOS</t>
  </si>
  <si>
    <t>ASSAI - OSASCO AUTONOMISTA - OSASCO - SP</t>
  </si>
  <si>
    <t>JM - CARDIOLOGIA - DANTE PAZZANESE - SP</t>
  </si>
  <si>
    <t>TORRA TORRA - BELEM - PA</t>
  </si>
  <si>
    <t>BANCO DO BRASIL - CORP BANK VL PARAIBA - SP</t>
  </si>
  <si>
    <t>CBA ALUMÍNIO</t>
  </si>
  <si>
    <t>CBA ALUMÍNIO - SALA ELÉTRICA H3SEB01</t>
  </si>
  <si>
    <t>FERNANDA E OCTAVIO</t>
  </si>
  <si>
    <t>BURGER KING - LAVRAS - MG</t>
  </si>
  <si>
    <t>POPEYES - SHOPPING ABC - SANTO ANDRE - SP</t>
  </si>
  <si>
    <t>CONGREGACAO CRISTA NO BRASIL - FEIRA DE SANTANA - BA</t>
  </si>
  <si>
    <t>UFABC</t>
  </si>
  <si>
    <t>SANCTA MAGGIORE - UNIDADE MADAGASCAR - 1ºPV</t>
  </si>
  <si>
    <t>42719-1013</t>
  </si>
  <si>
    <t>EDIVANDO SILVA</t>
  </si>
  <si>
    <t>Edivando</t>
  </si>
  <si>
    <t>FS - CAMPO NOVO DO PARECIS - MT</t>
  </si>
  <si>
    <t>FRANCO MARTINS</t>
  </si>
  <si>
    <t>RAAS PROJETOS</t>
  </si>
  <si>
    <t>SUL FRIO</t>
  </si>
  <si>
    <t>JMR</t>
  </si>
  <si>
    <t>SAM`PAIO ENGENHARIA</t>
  </si>
  <si>
    <t>CJ Shops - Conj "C"</t>
  </si>
  <si>
    <t>n</t>
  </si>
  <si>
    <t>Galpão logístico (TPC) em Cajamar</t>
  </si>
  <si>
    <t>GALPÃO LOGÍSTICO</t>
  </si>
  <si>
    <t>PORTE ENGENHARIA - VOZZ</t>
  </si>
  <si>
    <t>HOSPITAL SÃO LUIZ CAMPINAS ATLÂNTICA</t>
  </si>
  <si>
    <t>ARCOTEC - PRAZO</t>
  </si>
  <si>
    <t>Orçamento nº 2026.000134</t>
  </si>
  <si>
    <t>SANTA CRUZ</t>
  </si>
  <si>
    <t>MULTIVAC - CADASTRO</t>
  </si>
  <si>
    <t>LOJA INDAIATUBA</t>
  </si>
  <si>
    <t>MULTIVAC - COND PAGTO</t>
  </si>
  <si>
    <t>CONDIÇÃO PAGAMENTO</t>
  </si>
  <si>
    <t>REPRES. RJ</t>
  </si>
  <si>
    <t>E10 -5921</t>
  </si>
  <si>
    <t>SBT Bloco B - NSP018.26</t>
  </si>
  <si>
    <t>COMERCIAL/LOJA</t>
  </si>
  <si>
    <t>CYRELA - OSCAR FREIRE - SP</t>
  </si>
  <si>
    <t>SMART FIT - PARELHEIROS</t>
  </si>
  <si>
    <t>CD - LONDRINA - PR</t>
  </si>
  <si>
    <t>PAO DE ACUCAR - MOEMA - SÃO PAULO - SP</t>
  </si>
  <si>
    <t>FOGO DE CHAO - BOTAFOGO</t>
  </si>
  <si>
    <t>UNIMED ITAPETTININGA</t>
  </si>
  <si>
    <t>MAX ENGENHARIA</t>
  </si>
  <si>
    <t>HOT BEACH - OLIMPIA</t>
  </si>
  <si>
    <t>Janeclea</t>
  </si>
  <si>
    <t>McDonald's praia grande</t>
  </si>
  <si>
    <t>Regiane</t>
  </si>
  <si>
    <t>AIRCOOLTECH</t>
  </si>
  <si>
    <t>LUPO SA - ARARAQUARA - SP</t>
  </si>
  <si>
    <t>HOSPITAL VERA CRUZ - REFORMA UTI E TOMO - CAMPINAS - SP</t>
  </si>
  <si>
    <t>SUPER CEARA</t>
  </si>
  <si>
    <t>PREVENT SENIOR - HIGIENOPOLIS - SP</t>
  </si>
  <si>
    <t>Henio</t>
  </si>
  <si>
    <t>BAUDUCCO EXTERMA</t>
  </si>
  <si>
    <t>LOJAS RIACHUELO - IBIRAPUERA SHOPPING - SP</t>
  </si>
  <si>
    <t>CLINICA CASSI - FLORIANOPOLIS - SC</t>
  </si>
  <si>
    <t>MIX BALSAS</t>
  </si>
  <si>
    <t>PU/PI</t>
  </si>
  <si>
    <t xml:space="preserve">GPA </t>
  </si>
  <si>
    <t>RAFESA</t>
  </si>
  <si>
    <t>SR REFRIGERACAO</t>
  </si>
  <si>
    <t>DALTON ENGENHAIRA</t>
  </si>
  <si>
    <t>2T PROJETOS</t>
  </si>
  <si>
    <t>PAINEIS DE ALUM ISOLADOS</t>
  </si>
  <si>
    <t>HOSPITALAR/FARMACEUTICO</t>
  </si>
  <si>
    <t>ATACADISTA/SUPER</t>
  </si>
  <si>
    <t>LOGISTICA/GALPAO</t>
  </si>
  <si>
    <t>HOTEL</t>
  </si>
  <si>
    <t>Hospital Santa Tereza - Campinas / SP</t>
  </si>
  <si>
    <t>WEGER - SEROPEDICA - RJ - CN 2024 560</t>
  </si>
  <si>
    <t>HOSPITAL RIBEIRÃO PRETO</t>
  </si>
  <si>
    <t>METROWAY - SAO PAULO - SP</t>
  </si>
  <si>
    <t>ROLDAO - SANTOS</t>
  </si>
  <si>
    <t>MORELLI ODONTO - SOROCABA - SP</t>
  </si>
  <si>
    <t>GENIAR</t>
  </si>
  <si>
    <t>2462 - M BOI MIRIM</t>
  </si>
  <si>
    <t>ENGEVALE</t>
  </si>
  <si>
    <t>PETROBRAS - REFINARIA PRESIDENTE BERNARDES - RPBC</t>
  </si>
  <si>
    <t>SC 284509</t>
  </si>
  <si>
    <t>POPEYES</t>
  </si>
  <si>
    <t>AIRVENT</t>
  </si>
  <si>
    <t>SMART FIT JAÇANÃ</t>
  </si>
  <si>
    <t>ADIDAS - GUARULHOS</t>
  </si>
  <si>
    <t>025-26 - CASA ALEMANHA</t>
  </si>
  <si>
    <t>SEDE JPG - PATOS DE MINAS</t>
  </si>
  <si>
    <t>AEROTHERMIKA</t>
  </si>
  <si>
    <t>PAINEL DE POLIURETANO EXPANDIDO</t>
  </si>
  <si>
    <t xml:space="preserve">AP CONSULTORIA </t>
  </si>
  <si>
    <t>112 - INTERLAR ARICANDUVA - 62 - ÂNCORA A (1 - Geral)</t>
  </si>
  <si>
    <t>LIEBHERR - GALPÃO PRODUÇÃO - GUARATINGUETA - SP</t>
  </si>
  <si>
    <t>EMPREITEIRO NP - OBRA RESIDENCIAL</t>
  </si>
  <si>
    <t>INOX</t>
  </si>
  <si>
    <t>PREV. JULHO</t>
  </si>
  <si>
    <t>EM ATUALIZAÇÃO</t>
  </si>
  <si>
    <t>Ntahan</t>
  </si>
  <si>
    <t>Elaine</t>
  </si>
  <si>
    <t>MATRES ENGENHARIA</t>
  </si>
  <si>
    <t>APARTAMENTO UNIFAMILIAR - SERGIO E JUJU</t>
  </si>
  <si>
    <t xml:space="preserve">R1 </t>
  </si>
  <si>
    <t>TAUSTE SUPERMERCADOS - LOJA SANTANA - SP - INS + RET</t>
  </si>
  <si>
    <t>TAUSTE SUPERMERCADOS - LOJA SANTANA - SP - RETORNO</t>
  </si>
  <si>
    <t>TAUSTE SUPERMERCADOS - LOJA SANTANA - SP - AR EXTERNO</t>
  </si>
  <si>
    <t>DUTIOBRASS</t>
  </si>
  <si>
    <t>PWT 1001</t>
  </si>
  <si>
    <t>DE SALTO NA OBRA</t>
  </si>
  <si>
    <t>AMPLIAÇÃO DUTOS LAR ABC</t>
  </si>
  <si>
    <t>AMARAL CARVALHO</t>
  </si>
  <si>
    <t>FESTPAN</t>
  </si>
  <si>
    <t>25/100 - NOVA STAR</t>
  </si>
  <si>
    <t>MAICON NASCIMENTO</t>
  </si>
  <si>
    <t>BP - 2°PAV</t>
  </si>
  <si>
    <t>Graacc UTA 1SS (Cozinha)</t>
  </si>
  <si>
    <t>25/094</t>
  </si>
  <si>
    <t>HOSPITAL ORTO - VILA ICARAI - SP</t>
  </si>
  <si>
    <t>RENNER BARRA DO GARCA MT</t>
  </si>
  <si>
    <t>SONDA SUPERMERCADOS - TAIPAS - SP</t>
  </si>
  <si>
    <t>PAGUE MENOS - CD PARAÍBA</t>
  </si>
  <si>
    <t>EVENTO - CASA CIDADE JARDIM</t>
  </si>
  <si>
    <t>RENNER - SH PITAGUARY - MARACANAU - CE</t>
  </si>
  <si>
    <t>VILLEFORT MONTES CLAROS</t>
  </si>
  <si>
    <t>CORTEVA - MOGI MIRIN - SP</t>
  </si>
  <si>
    <t>HILEIA CARLOS</t>
  </si>
  <si>
    <t>AC - ROBERTO</t>
  </si>
  <si>
    <t>EBM – GW - FUNDO C25 - 003-26 - Retrofit ED. BRASÍLIO</t>
  </si>
  <si>
    <t>ENERLAB</t>
  </si>
  <si>
    <t>SHOPPING CENTER PENHA</t>
  </si>
  <si>
    <t>Erik</t>
  </si>
  <si>
    <t>IGREJA - SAO SEBASTIAO</t>
  </si>
  <si>
    <t>AMB ENGNEHARIA</t>
  </si>
  <si>
    <t>RENNER - UBERLANDIA - MG</t>
  </si>
  <si>
    <t>BREISA ACUSTICA</t>
  </si>
  <si>
    <t>SM 94. MATEUS SUPERMERCADOS S.A – MIX BALSAS</t>
  </si>
  <si>
    <t>GRU AIRPORT - AMPLIAÇÃO</t>
  </si>
  <si>
    <t>GRU AIRPORT -  PIER</t>
  </si>
  <si>
    <t>MINISTRO JAU CLINICA HOSPITALAR SPE LTDA</t>
  </si>
  <si>
    <t>TERMO FISHER - BARUERI / SP</t>
  </si>
  <si>
    <t>CENTRO DE REABILITAÇÃO UBERLANDIA-MG</t>
  </si>
  <si>
    <t>BP - 1ºPAV</t>
  </si>
  <si>
    <t>NZA ENGENHARIA</t>
  </si>
  <si>
    <t>Arlete</t>
  </si>
  <si>
    <t>RD SAUDE - PE</t>
  </si>
  <si>
    <t>MORUMBI</t>
  </si>
  <si>
    <t>BAUDUCCO EXTREMA</t>
  </si>
  <si>
    <t>RD - JABOATAO DOS GUARARAPES</t>
  </si>
  <si>
    <t>FUTURA AR</t>
  </si>
  <si>
    <t>BRITOAR</t>
  </si>
  <si>
    <t>AKRK</t>
  </si>
  <si>
    <t>COMPLEXO HOSPITALAR C MATERNIDADE SILVERO FONTES - SANTOS</t>
  </si>
  <si>
    <t>JCL BARUERI - SP</t>
  </si>
  <si>
    <t>TREND TOWER - COPACABANA - SALA 1 A 10</t>
  </si>
  <si>
    <t>SF ITAQUERA</t>
  </si>
  <si>
    <t>BLUE NOTE 2 - CONSOLACAO - SALA 2</t>
  </si>
  <si>
    <t>RENNER VENANCIO AIRES - RS</t>
  </si>
  <si>
    <t>RENNER - SH PARQUE OESTE</t>
  </si>
  <si>
    <t>GRU</t>
  </si>
  <si>
    <t>OBRAMAX - TAGUATINGA - DF</t>
  </si>
  <si>
    <t>RM 26186</t>
  </si>
  <si>
    <t>C&amp;A - SHOPPING IBIRAPUERA - SP</t>
  </si>
  <si>
    <t>RESIDENCIA VETTORAZZO - SÃO SEBASTIAO - SP</t>
  </si>
  <si>
    <t>PUC CAMPINAS - HOSPITAL E MARTENIDADE CELSO PIERRO - CAMPINAS - SP</t>
  </si>
  <si>
    <t>7919-25552 MARINA BERTI (9º PAVIMENTO - GAIBOLA)</t>
  </si>
  <si>
    <t>COMPER 223 - CORDEIROS</t>
  </si>
  <si>
    <t>REDE DOR</t>
  </si>
  <si>
    <t>Helida</t>
  </si>
  <si>
    <t>25/007 - SANTA ISABEL</t>
  </si>
  <si>
    <t>070/4</t>
  </si>
  <si>
    <t>BURGUER KING - ALVARENGA - SP</t>
  </si>
  <si>
    <t>kONAR</t>
  </si>
  <si>
    <t>426-23 - KSM GUARULHOS</t>
  </si>
  <si>
    <t>NATIAR CLIMATIZACAO</t>
  </si>
  <si>
    <t>Walquiria</t>
  </si>
  <si>
    <t>DF STAR</t>
  </si>
  <si>
    <t>RI HAPPY - SHOPPING MORUMBI</t>
  </si>
  <si>
    <t>BARRY CALLEBAUT ITABUNA - BA - PULVERIZACAO FASE 1</t>
  </si>
  <si>
    <t>BARRY CALLEBAUT ITABUNA - BA - PULVERIZACAO FASE 2</t>
  </si>
  <si>
    <t>KEISAN</t>
  </si>
  <si>
    <t>HOSPITAL REDE D ÓR RIBEIRÃO PRETO -SP</t>
  </si>
  <si>
    <t>FORT VIDEIRAS</t>
  </si>
  <si>
    <t>SANDRA CHECHTER</t>
  </si>
  <si>
    <t>STUDIO MEP</t>
  </si>
  <si>
    <t>PROJETTARG</t>
  </si>
  <si>
    <t>JCF ENGENHARIA</t>
  </si>
  <si>
    <t>PRAZO E QNT</t>
  </si>
  <si>
    <t>MULTIVAC - SEQUENCIA</t>
  </si>
  <si>
    <t>SEQUÊNCIA DE OBRA</t>
  </si>
  <si>
    <t>PREV ABRIL</t>
  </si>
  <si>
    <t xml:space="preserve">CLIENTE NEGOCIANDO </t>
  </si>
  <si>
    <t xml:space="preserve">HOSPITAL SÃO LUIZ CAMPINAS </t>
  </si>
  <si>
    <t>JHSF ENGENHARIA LTDA</t>
  </si>
  <si>
    <t>Nêlia</t>
  </si>
  <si>
    <t>USIMINAS CUBATÃO</t>
  </si>
  <si>
    <t>BQ AR CONDICIONADO</t>
  </si>
  <si>
    <t>Cristian</t>
  </si>
  <si>
    <t>ITV BELÉM -ADICIONAL NO BREAK</t>
  </si>
  <si>
    <t>LUIZ FERNANDO CARDOSO AIRES - RESIDENCIAL TAMBORE</t>
  </si>
  <si>
    <t>INNOMOTICS MOTORES - JUNDIAI - SP</t>
  </si>
  <si>
    <t>025-26 - JHSF - Casa Alemanha</t>
  </si>
  <si>
    <t>FRM FABRICA</t>
  </si>
  <si>
    <t>ARPOL</t>
  </si>
  <si>
    <t>07399 - Candeias - SALA DE BATERIAS</t>
  </si>
  <si>
    <t>CLARO ARACAJU</t>
  </si>
  <si>
    <t>Nissin Tempero</t>
  </si>
  <si>
    <t>GRIFO ENGENHARIA</t>
  </si>
  <si>
    <t>Tarcisio</t>
  </si>
  <si>
    <t>CEMED MARENGO</t>
  </si>
  <si>
    <t>AMBI KONTROL</t>
  </si>
  <si>
    <t>RIACHUELO - LAGO AZUL - BRASILIA - DF</t>
  </si>
  <si>
    <t>A R SILVA</t>
  </si>
  <si>
    <t>PWR ENGENHARIA</t>
  </si>
  <si>
    <t>SHOPPING SÃO PAULO - FRAUDARIO</t>
  </si>
  <si>
    <t>SERRA BRANCA AR</t>
  </si>
  <si>
    <t>SESIL</t>
  </si>
  <si>
    <t>Blaver Mairiporã - SP (2° Fase)</t>
  </si>
  <si>
    <t>Obramax - Contagem</t>
  </si>
  <si>
    <t>SF PEDRA GUARATIBA</t>
  </si>
  <si>
    <t>ARD AR CONDICIONADO</t>
  </si>
  <si>
    <t>MIRAI</t>
  </si>
  <si>
    <t>SMART FIT - SERTAOZINHO - SP</t>
  </si>
  <si>
    <t>SM PINIAGO - AGUAS CLARAS - MS</t>
  </si>
  <si>
    <t>ASTRA - NOVA SEDE ADM - JUNDIAI - SP</t>
  </si>
  <si>
    <t>GLM SOLUCOES</t>
  </si>
  <si>
    <t>RGK COLABORATIVA</t>
  </si>
  <si>
    <t>GQ_2026_04_14 - Casa Barts</t>
  </si>
  <si>
    <t>PARAGUAÇU ENGENHARIA</t>
  </si>
  <si>
    <t>LKT INSTALACOES</t>
  </si>
  <si>
    <t>PRUDENTIAL - PORTO ALEGRE</t>
  </si>
  <si>
    <t>HIGIDENT</t>
  </si>
  <si>
    <t>ATACADAO PACAEMBU - SAO PAULO - SP</t>
  </si>
  <si>
    <t>Marco Mello</t>
  </si>
  <si>
    <t>FOGO DE CHAO - BOTAFOGO - RV01</t>
  </si>
  <si>
    <t>FORT 540 VIDEIRAS - SP - EXAUSTAO/AR EXTERNO</t>
  </si>
  <si>
    <t>C&amp;A 201 - IGUATEMI - SÃO JOSE DO RIO PRETO</t>
  </si>
  <si>
    <t>RD LONDRINA</t>
  </si>
  <si>
    <t>MAUREN JOAO</t>
  </si>
  <si>
    <t>CASA DE CULTURA SÃO MATEUS - SP</t>
  </si>
  <si>
    <t>AMN MONTAGEM</t>
  </si>
  <si>
    <t>Adelmir</t>
  </si>
  <si>
    <t>EMBRION</t>
  </si>
  <si>
    <t>GRUPO ULTRA - UNIDADE CAMPINAS - SP</t>
  </si>
  <si>
    <t>DALTON ENGENHARIA</t>
  </si>
  <si>
    <t>Pronto Socorro Hospital Dante Pazzanese</t>
  </si>
  <si>
    <t>Viviane</t>
  </si>
  <si>
    <t>CLUBE PINHEIROS</t>
  </si>
  <si>
    <t>RESTAURANTE</t>
  </si>
  <si>
    <t>RAFESA VENTILACAO</t>
  </si>
  <si>
    <t>XIVLAMAR HVAC</t>
  </si>
  <si>
    <t>ADICIONAL</t>
  </si>
  <si>
    <t>ALUÍSIO CHAVES</t>
  </si>
  <si>
    <t>LUIS HENRIQUE RODRIGUES SIQUEIRA</t>
  </si>
  <si>
    <t>REDE D'OR SÃO LUIZ - SÃO BERNARDO DO CAMPO</t>
  </si>
  <si>
    <t>HOSPITAL SANTA JOANA</t>
  </si>
  <si>
    <t>C&amp;A - PRAIA DE BELAS</t>
  </si>
  <si>
    <t>POWERFIELD - PACOTE</t>
  </si>
  <si>
    <t>POWERFIELD</t>
  </si>
  <si>
    <t>OS2141 - HOSPITAL SÃO LUIZ SÃO BERNARDO - RESÍDUOS</t>
  </si>
  <si>
    <t>PRATIKA</t>
  </si>
  <si>
    <t>DESUMIDIFICADOR PISCINA COBERTA</t>
  </si>
  <si>
    <t>Lauro</t>
  </si>
  <si>
    <t>CCR JUNDIAÍ</t>
  </si>
  <si>
    <t>DUTOCLIMA</t>
  </si>
  <si>
    <t>243-25 - HOSS - IMMB LAPA</t>
  </si>
  <si>
    <t>FAbio</t>
  </si>
  <si>
    <t>SUPERPERCADO KRILL - VILA CAICARA</t>
  </si>
  <si>
    <t>REVENDA</t>
  </si>
  <si>
    <t>CLINICA HARMONIA - INDIANOPOLIS</t>
  </si>
  <si>
    <t>PARANÁ CLINICAS</t>
  </si>
  <si>
    <t>AP - MONTECARLO</t>
  </si>
  <si>
    <t>FIACAO SÃO BENTO - UNIDADE 2A - SC</t>
  </si>
  <si>
    <t>ATC PACAEMBU</t>
  </si>
  <si>
    <t>HOSPITAL MIRANTE DO PARANAPANEMA</t>
  </si>
  <si>
    <t>KELVIN CLIMA</t>
  </si>
  <si>
    <t>APIACAS - PERDIZES - SP</t>
  </si>
  <si>
    <t>CENTRO DE OPERAÇÕES INTEGRADO – COI</t>
  </si>
  <si>
    <t>MUSEU TAUBATÉ</t>
  </si>
  <si>
    <t>MUSEU</t>
  </si>
  <si>
    <t>APARTAMENTO MARTIN MICHAEL SCHULZ - SP</t>
  </si>
  <si>
    <t>NOVO RESTAURANTE - SIMEC - PINDAMONHANGABA - SP</t>
  </si>
  <si>
    <t>MITRA DIOCESANA</t>
  </si>
  <si>
    <t>IGREJA SÃO SEBASTIAO</t>
  </si>
  <si>
    <t>BRASFOR</t>
  </si>
  <si>
    <t>RESIDENCIA UNIFAMILIAR - ALEXANDRE E NAYARA</t>
  </si>
  <si>
    <t>ALEX REPARACAO</t>
  </si>
  <si>
    <t>C&amp;A BHS - BH SHOPPING</t>
  </si>
  <si>
    <t>ZEON REFRIGERACAO</t>
  </si>
  <si>
    <t>Alexandro</t>
  </si>
  <si>
    <t>ROFRAN</t>
  </si>
  <si>
    <t>VALUE PROJETOS</t>
  </si>
  <si>
    <t>YELLOW ENGENHARIA</t>
  </si>
  <si>
    <t>BOA VISTA VILLAGE - GALERIA DE ARTES</t>
  </si>
  <si>
    <t>CACAU SHOW PARK</t>
  </si>
  <si>
    <t>HOSPITAL SANTA CLARA - BRAGANÇA PAULISTA / S</t>
  </si>
  <si>
    <t>CONSTRUTORA ARBAIT</t>
  </si>
  <si>
    <t>BOAS CHANCES - CONSTRUTORA PARCEIRA</t>
  </si>
  <si>
    <t xml:space="preserve">CLIENTE NEGOCIANDO PREV. MAIO </t>
  </si>
  <si>
    <t>MULTIVAC - PACOTE</t>
  </si>
  <si>
    <t>TIK TOK INFINITY - ITAIM BIBI - SP</t>
  </si>
  <si>
    <t>ATLAS - FASE 01</t>
  </si>
  <si>
    <t>ATLAS - FASE 02</t>
  </si>
  <si>
    <t>CASA ARG - ALEXANDRA E RENATO GODOI - SP</t>
  </si>
  <si>
    <t>CALFAT</t>
  </si>
  <si>
    <t>RAVI ENGENHARIA</t>
  </si>
  <si>
    <t>068-26 - JHSF - Shopping Cidade Jardins - CJ Fashion</t>
  </si>
  <si>
    <t>DF Star</t>
  </si>
  <si>
    <t>GLTHERM</t>
  </si>
  <si>
    <t>UNIFESP OSASCO</t>
  </si>
  <si>
    <t>Thalyson</t>
  </si>
  <si>
    <t>BIBLIOTECA UNIFESP OSASCO - SP - 1PV</t>
  </si>
  <si>
    <t>BIBLIOTECA UNIFESP OSASCO - SP - 1 MEZANINO</t>
  </si>
  <si>
    <t>BIBLIOTECA UNIFESP OSASCO - SP - 2PV</t>
  </si>
  <si>
    <t>BIBLIOTECA UNIFESP OSASCO - SP - 2 MEZANINO</t>
  </si>
  <si>
    <t>BIBLIOTECA UNIFESP OSASCO - SP - TERRACO</t>
  </si>
  <si>
    <t>ALGITEC</t>
  </si>
  <si>
    <t>POBRE JUAN - PORTO FELIZ - SP</t>
  </si>
  <si>
    <t>RIACHUELO - BALNEARIO SHOPPING</t>
  </si>
  <si>
    <t>HOSPITAL EBSERH - SÃO PAULO</t>
  </si>
  <si>
    <t>RENNER - LOJA TATUI - SP</t>
  </si>
  <si>
    <t>ELIAR</t>
  </si>
  <si>
    <t>ESPUMA RIGIDA DE POLIURETANO</t>
  </si>
  <si>
    <t>SCOPUS CONSTRUTORA</t>
  </si>
  <si>
    <t>26/084 DR. CONSULTA CENTRO MEDICO LTDA_COPACABANA</t>
  </si>
  <si>
    <t>HOSPITAL UNIMED - PRESIDENTE PRUDENTE</t>
  </si>
  <si>
    <t>HRIM - REFORMA DA COZINHA</t>
  </si>
  <si>
    <t>Sara</t>
  </si>
  <si>
    <t>HOSPITAL SANTA MARIA - 9º, 10º E 11º PAVIMENTO</t>
  </si>
  <si>
    <t>HAPVIDA - IBIRAPUERA</t>
  </si>
  <si>
    <t>ACM - CENTRO EMPRESARIAL NORTE SUL - CAMPINAS - SP - TERREO</t>
  </si>
  <si>
    <t>ACM - CENTRO EMPRESARIAL NORTE SUL - CAMPINAS - SP - TERREO 2</t>
  </si>
  <si>
    <t>ACM - CENTRO EMPRESARIAL NORTE SUL - CAMPINAS - SP - 4 AO 13PV</t>
  </si>
  <si>
    <t>ACM - CENTRO EMPRESARIAL NORTE SUL - CAMPINAS - SP - 14PV</t>
  </si>
  <si>
    <t>426-23 - KSM</t>
  </si>
  <si>
    <t>HOSP. SANTA ISABEL - 3° PAV</t>
  </si>
  <si>
    <t>ECOFORTO</t>
  </si>
  <si>
    <t>CLINICA HARMONIA - UNIDADE SP</t>
  </si>
  <si>
    <t>MULTIVAC MPU</t>
  </si>
  <si>
    <t>REDE DOR RIBEIRÃO PRETO</t>
  </si>
  <si>
    <t>UNILA</t>
  </si>
  <si>
    <t>Oscar</t>
  </si>
  <si>
    <t>RESIDENCIA UNIFAMILIAR - EDUARDO CORSETTI - RJ</t>
  </si>
  <si>
    <t>NISSAN - RIO DE JANEIRO</t>
  </si>
  <si>
    <t>LEONARDO GALVAO</t>
  </si>
  <si>
    <t>COBERTURA DUPLEX MARCELO TEIXEIRA</t>
  </si>
  <si>
    <t>RAFAEL DA COSTA</t>
  </si>
  <si>
    <t>CHAPADAO - MS</t>
  </si>
  <si>
    <t>MVJ DUTOS</t>
  </si>
  <si>
    <t>UNIVERSIDADE DE SAO PAULO - USP - CAMPUS CAPITAL</t>
  </si>
  <si>
    <t>BRADESCO - JARDIM PAULISTA - SP</t>
  </si>
  <si>
    <t>RIACHUELO - LAVRAS - MG</t>
  </si>
  <si>
    <t>Nice</t>
  </si>
  <si>
    <t>FERCALLI</t>
  </si>
  <si>
    <t>NOURYON - ITUPEVA - SP</t>
  </si>
  <si>
    <t>OLIVEAR</t>
  </si>
  <si>
    <t>CHAMA SUPERMERCADO - GUARULHOS - SP</t>
  </si>
  <si>
    <t>ATACADAO - GULLIVER - JUAZEIRO DO NORTE - CE</t>
  </si>
  <si>
    <t>Shopping Sider</t>
  </si>
  <si>
    <t>CLIMA 23</t>
  </si>
  <si>
    <t>Anthony</t>
  </si>
  <si>
    <t>RIACHUELO - PLAZA MACAE</t>
  </si>
  <si>
    <t>OBRAMAX - BRASILIA - DF</t>
  </si>
  <si>
    <t>VENTFRIO</t>
  </si>
  <si>
    <t>Unigra' Fábrica Chocolate</t>
  </si>
  <si>
    <t>THERMON ENGENHARIA</t>
  </si>
  <si>
    <t>HOSPITAL SÃO LUIZ REDE DÓR</t>
  </si>
  <si>
    <t>CE PRIME ENGNEHARIA</t>
  </si>
  <si>
    <t>QUALIPROJ</t>
  </si>
  <si>
    <t>EXIGENAR AR</t>
  </si>
  <si>
    <t>GRANDES CHANCES DE FECHAR</t>
  </si>
  <si>
    <t>NISSIN FOODS BRASIL</t>
  </si>
  <si>
    <t>IPEPO ITAQUERA 2</t>
  </si>
  <si>
    <t>VRV AR CONDICIONADO</t>
  </si>
  <si>
    <t>CEMIG</t>
  </si>
  <si>
    <t>ECOPOLI</t>
  </si>
  <si>
    <t>SENAC - CAMPOS DO JORDAO</t>
  </si>
  <si>
    <t>Valquiria</t>
  </si>
  <si>
    <t>SAUIPE RESORTS - LAKE CLUB</t>
  </si>
  <si>
    <t>RESORT</t>
  </si>
  <si>
    <t>Tarcila</t>
  </si>
  <si>
    <t>VITAL CLIMA</t>
  </si>
  <si>
    <t>IGREJA METODISTA - COLATINA - ES</t>
  </si>
  <si>
    <t>TRE DONNE - ARUJA - SP</t>
  </si>
  <si>
    <t>BANCO DO BRASIL - CESUP IGP - VERBO</t>
  </si>
  <si>
    <t>C&amp;A IBI 100 - SHOPPING IBIRAPUERA - SP</t>
  </si>
  <si>
    <t>8168-25634 MELANIE CHEVRIER</t>
  </si>
  <si>
    <t>RIACHUELO - RIO ILHA PLAZA SHOP - RJ</t>
  </si>
  <si>
    <t>ARCOS RESTAURANTE - SÃO PAULO - SP</t>
  </si>
  <si>
    <t>MAXIMUS - CASA DE SHOW - JARDIM PANAMERICANO - SP</t>
  </si>
  <si>
    <t>EVENTOS</t>
  </si>
  <si>
    <t>SMART FIT - GARANHUNS - PE</t>
  </si>
  <si>
    <t>GENIAIR</t>
  </si>
  <si>
    <t>Kenedy</t>
  </si>
  <si>
    <t>DECEM - CARDIO PULMONAR</t>
  </si>
  <si>
    <t>HUB RECREIO - RJ</t>
  </si>
  <si>
    <t>SEB - 7º PAVIMENTO - PINHEIROS - SP</t>
  </si>
  <si>
    <t>OPUS GLOBAL</t>
  </si>
  <si>
    <t>Tassio</t>
  </si>
  <si>
    <t>C&amp;A 538 MCS - PARQUE SHOPPING - MACEIO</t>
  </si>
  <si>
    <t>CASA DO COMERCIO - RIO BRANCO - CENTRO</t>
  </si>
  <si>
    <t>Jaime</t>
  </si>
  <si>
    <t>REDE DOR - CARDIO PULMONAR - SALVADOR - BA</t>
  </si>
  <si>
    <t>DIG CONSIG (AKRK ANTÔNIO DE BARROS</t>
  </si>
  <si>
    <t>AMAZON - GCH9</t>
  </si>
  <si>
    <t>GALPAO LOGISTICO</t>
  </si>
  <si>
    <t>Malanie</t>
  </si>
  <si>
    <t>TAQUARAL</t>
  </si>
  <si>
    <t>SMART FIT - TAGUATINGA SUL - BRASILIA - DF</t>
  </si>
  <si>
    <t>Willian</t>
  </si>
  <si>
    <t>HOSPITAL SANCTA MAGGIORE MADAGASCAR - PREVENT SENIOR</t>
  </si>
  <si>
    <t>DR CONSULTA BOTAFOGO</t>
  </si>
  <si>
    <t>MENDES ENGENHARIA</t>
  </si>
  <si>
    <t>MARTINS NOTARI</t>
  </si>
  <si>
    <t>HC PINHEIROS</t>
  </si>
  <si>
    <t>DUTOS DE CHAPA</t>
  </si>
  <si>
    <t>REDE D'OR SÃO LUIZ - TAUBATÉ / SP</t>
  </si>
  <si>
    <t>SESC CAMPINAS</t>
  </si>
  <si>
    <t>SC 9890</t>
  </si>
  <si>
    <t>PETZ JAÇANÃ</t>
  </si>
  <si>
    <t>GILBERTO SCHINCARIOL - ITU - SP</t>
  </si>
  <si>
    <t>FORT ATACADISTA 435 - PALMIRO - SP</t>
  </si>
  <si>
    <t>HILTON-MORUMB</t>
  </si>
  <si>
    <t>SEW EURODRIVE - MONTADORA - RIO CLARO - SP</t>
  </si>
  <si>
    <t>BENEFICÊNCIA PORTUGUESA - UTI 1º ANDAR - T1</t>
  </si>
  <si>
    <t>UNIGRA - 1919 - EDUARDO</t>
  </si>
  <si>
    <t>021-26 - CONSTRUTORA LAMMART - MARCOS GUERRA</t>
  </si>
  <si>
    <t>ELDORADO - CSA3M - CAMPINAS - SP</t>
  </si>
  <si>
    <t>TAUSTE SANTANA</t>
  </si>
  <si>
    <t>CANPACK</t>
  </si>
  <si>
    <t>SEINFRA - SECRETARIA DE INFRAESTRUTURA DA BAHIA</t>
  </si>
  <si>
    <t>NISSIN PARANA</t>
  </si>
  <si>
    <t>ASSAI - SANTOS - SP</t>
  </si>
  <si>
    <t>(335) LIEBHERR - GALPAO 2 - VILA BELA - GUARATINGUETA - SP</t>
  </si>
  <si>
    <t>SMART FIT - BARRETOS CENTRO - SP</t>
  </si>
  <si>
    <t>IMPRESSÃO - AMPARO</t>
  </si>
  <si>
    <t>SEW</t>
  </si>
  <si>
    <t>OBRAMAX - CAMPO GRANDE - RJ</t>
  </si>
  <si>
    <t>DIAGRAMA</t>
  </si>
  <si>
    <t>7539 - RJ</t>
  </si>
  <si>
    <t>GRANDES CHANCES DE FECHAR / CONC. INSTALADOR</t>
  </si>
  <si>
    <t>HOSPITALAR</t>
  </si>
  <si>
    <t xml:space="preserve">K.M. TADA ENGENHARIA </t>
  </si>
  <si>
    <t>SINAPSE FARMA</t>
  </si>
  <si>
    <t>Carlos Mazzini</t>
  </si>
  <si>
    <t>MT + MO</t>
  </si>
  <si>
    <t>MC DONALDS</t>
  </si>
  <si>
    <t>PREV. JULHO/26</t>
  </si>
  <si>
    <t>PREV. JUNHO/26</t>
  </si>
  <si>
    <t>FS INDUSTRIA</t>
  </si>
  <si>
    <t>OSASCO UTI</t>
  </si>
  <si>
    <t>RIACHUELO - CONTINENTAL SHOP - SÃO PAULO - SP</t>
  </si>
  <si>
    <t>UPA III - ITAQUERA - SP</t>
  </si>
  <si>
    <t>Renner SH Pitaguary</t>
  </si>
  <si>
    <t>PETZ - PEREIRA BARRETO - SAO BERNARDO DO CAMPO - SP</t>
  </si>
  <si>
    <t>W PREMIUM GROUP SERVICOS AUXILIARES EM PORTOS E AEROPORTOS LTDA</t>
  </si>
  <si>
    <t>SF CURITIBA</t>
  </si>
  <si>
    <t>UNIMED - BOITUVA</t>
  </si>
  <si>
    <t>OBRAMAX - CONTAGEM</t>
  </si>
  <si>
    <t>MIX PEDREIRA - INFRAERO - BELEM - PA</t>
  </si>
  <si>
    <t>LUCI PATRIANI GONCALVES - SANTANA DE PARNAIBA - SP</t>
  </si>
  <si>
    <t>GRASCON</t>
  </si>
  <si>
    <t>PETZ JACANA</t>
  </si>
  <si>
    <t>CRUZ ENGENHARIA</t>
  </si>
  <si>
    <t>RENNER - RNR SHP - AGUAS LINDAS - SANTA LUZIA</t>
  </si>
  <si>
    <t>RENNER - PETROLINA RIVER SHOPPING - PE</t>
  </si>
  <si>
    <t>PRÉDIO DO ADMINISTRATIVO - USINA DE ETANOL - RIO VERDE - GOIAS</t>
  </si>
  <si>
    <t>BB ESTILO BARÃO DE ITAPURA – AV BARÃO DE ITAPURA, 863 – BOTAFOGO – CAMPINAS – SP</t>
  </si>
  <si>
    <t>HOSPITAL SAPEZAL - MIT - CENTRO CIRURGICO</t>
  </si>
  <si>
    <t>MAUA</t>
  </si>
  <si>
    <t>ITALO NASCIMENTO</t>
  </si>
  <si>
    <t>HOSPITAL PEQUENO PRINCIPE - CURITIBA - PR</t>
  </si>
  <si>
    <t>Italo</t>
  </si>
  <si>
    <t>RGB LICENCE</t>
  </si>
  <si>
    <t>AEROPOSTALE - SHOPPING IBIRAPUERA</t>
  </si>
  <si>
    <t>CEC SOLUCOES</t>
  </si>
  <si>
    <t>BANCO DO BRASIL - AVENIDA DOUTOR NELSON D AVILA - CENTRO</t>
  </si>
  <si>
    <t>Cristiano</t>
  </si>
  <si>
    <t>PAROQUIA SÃO INACIO DE LOYOLA</t>
  </si>
  <si>
    <t>RENNER - SHOPPING IPE - MINEIROS - GO</t>
  </si>
  <si>
    <t>Ribeirão Preto - Rede Dor</t>
  </si>
  <si>
    <t>AR CONDICIONADO JWA</t>
  </si>
  <si>
    <t>IBR</t>
  </si>
  <si>
    <t>I2N ENGENHARIA</t>
  </si>
  <si>
    <t>GUTI ENGENHARIA</t>
  </si>
  <si>
    <t>CHD AR CONDICIONADO</t>
  </si>
  <si>
    <t>CE PRIME ENGENHARIA</t>
  </si>
  <si>
    <t>JP PROJETOS</t>
  </si>
  <si>
    <t>DISEC</t>
  </si>
  <si>
    <t>ASMONTEC</t>
  </si>
  <si>
    <t>PAIX ENGENHARIA</t>
  </si>
  <si>
    <t>MARPERCLIMA</t>
  </si>
  <si>
    <t>SMARTFIT - LONDRINA CELSO GARCIA</t>
  </si>
  <si>
    <t>ED. IGUATEMI -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</si>
</sst>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000"/>
    <numFmt numFmtId="166" formatCode="&quot;R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10" fontId="0" fillId="0" borderId="0" xfId="2" applyNumberFormat="1" applyFont="1"/>
    <xf numFmtId="10" fontId="0" fillId="0" borderId="0" xfId="0" applyNumberFormat="1"/>
    <xf numFmtId="10" fontId="0" fillId="0" borderId="1" xfId="2" applyNumberFormat="1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4" fontId="0" fillId="0" borderId="1" xfId="1" applyFont="1" applyBorder="1"/>
    <xf numFmtId="44" fontId="0" fillId="0" borderId="1" xfId="1" applyFont="1" applyBorder="1" applyAlignment="1">
      <alignment horizontal="center"/>
    </xf>
    <xf numFmtId="44" fontId="0" fillId="0" borderId="0" xfId="1" applyFont="1"/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64" fontId="0" fillId="4" borderId="1" xfId="1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16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44" fontId="0" fillId="0" borderId="10" xfId="3" applyFont="1" applyBorder="1"/>
    <xf numFmtId="0" fontId="0" fillId="0" borderId="10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4" fontId="6" fillId="0" borderId="21" xfId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0" fontId="4" fillId="3" borderId="3" xfId="0" applyNumberFormat="1" applyFont="1" applyFill="1" applyBorder="1" applyAlignment="1">
      <alignment horizontal="left"/>
    </xf>
    <xf numFmtId="10" fontId="4" fillId="3" borderId="4" xfId="0" applyNumberFormat="1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" fontId="0" fillId="0" borderId="0" xfId="0" applyNumberFormat="1" applyAlignment="1">
      <alignment horizontal="center"/>
    </xf>
    <xf numFmtId="44" fontId="0" fillId="0" borderId="0" xfId="3" applyFont="1" applyBorder="1"/>
    <xf numFmtId="0" fontId="0" fillId="0" borderId="0" xfId="0" applyAlignment="1">
      <alignment horizontal="center" vertical="center"/>
    </xf>
    <xf numFmtId="0" fontId="2" fillId="4" borderId="1" xfId="0" quotePrefix="1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9" fontId="2" fillId="4" borderId="1" xfId="1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9" fontId="0" fillId="4" borderId="1" xfId="1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0" xfId="2" applyFont="1" applyBorder="1" applyAlignment="1">
      <alignment horizontal="center"/>
    </xf>
    <xf numFmtId="9" fontId="6" fillId="0" borderId="23" xfId="2" applyFon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0" xfId="0" applyFill="1" applyBorder="1"/>
    <xf numFmtId="44" fontId="0" fillId="4" borderId="10" xfId="3" applyFont="1" applyFill="1" applyBorder="1"/>
    <xf numFmtId="3" fontId="2" fillId="4" borderId="1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10" fontId="4" fillId="3" borderId="3" xfId="0" applyNumberFormat="1" applyFont="1" applyFill="1" applyBorder="1" applyAlignment="1">
      <alignment horizontal="left"/>
    </xf>
    <xf numFmtId="10" fontId="4" fillId="3" borderId="4" xfId="0" applyNumberFormat="1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44" fontId="4" fillId="3" borderId="5" xfId="1" applyFont="1" applyFill="1" applyBorder="1" applyAlignment="1">
      <alignment horizontal="center"/>
    </xf>
    <xf numFmtId="44" fontId="4" fillId="3" borderId="6" xfId="1" applyFont="1" applyFill="1" applyBorder="1" applyAlignment="1">
      <alignment horizontal="center"/>
    </xf>
    <xf numFmtId="44" fontId="4" fillId="3" borderId="2" xfId="1" applyFont="1" applyFill="1" applyBorder="1" applyAlignment="1">
      <alignment horizontal="center"/>
    </xf>
    <xf numFmtId="44" fontId="4" fillId="3" borderId="0" xfId="1" applyFont="1" applyFill="1" applyBorder="1" applyAlignment="1">
      <alignment horizontal="center"/>
    </xf>
    <xf numFmtId="166" fontId="6" fillId="0" borderId="11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5">
    <cellStyle name="Moeda" xfId="1" builtinId="4"/>
    <cellStyle name="Moeda 2" xfId="3" xr:uid="{410E46DD-3304-445D-BF6F-DD1AF900F3D4}"/>
    <cellStyle name="Moeda 2 2" xfId="4" xr:uid="{481B37D3-6A57-4C39-A3D1-417351CEE05D}"/>
    <cellStyle name="Normal" xfId="0" builtinId="0"/>
    <cellStyle name="Porcentagem" xfId="2" builtinId="5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  <color rgb="FFFF5050"/>
      <color rgb="FFFFF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2A78-D8CF-4E71-AB09-00FA474DF92F}">
  <dimension ref="A1:Y3177"/>
  <sheetViews>
    <sheetView zoomScale="70" zoomScaleNormal="70" workbookViewId="0">
      <pane ySplit="10" topLeftCell="A3157" activePane="bottomLeft" state="frozen"/>
      <selection pane="bottomLeft" activeCell="A3167" sqref="A3167"/>
    </sheetView>
  </sheetViews>
  <sheetFormatPr defaultRowHeight="15" x14ac:dyDescent="0.25"/>
  <cols>
    <col min="1" max="1" width="10.5703125" style="1" bestFit="1" customWidth="1"/>
    <col min="2" max="2" width="13.28515625" style="33" bestFit="1" customWidth="1"/>
    <col min="3" max="3" width="7.28515625" style="33" customWidth="1"/>
    <col min="4" max="4" width="32.5703125" bestFit="1" customWidth="1"/>
    <col min="5" max="5" width="50.85546875" style="8" bestFit="1" customWidth="1"/>
    <col min="6" max="6" width="17.85546875" style="8" bestFit="1" customWidth="1"/>
    <col min="7" max="7" width="12.5703125" bestFit="1" customWidth="1"/>
    <col min="8" max="8" width="11.42578125" customWidth="1"/>
    <col min="9" max="9" width="17.85546875" style="6" bestFit="1" customWidth="1"/>
    <col min="10" max="10" width="15.85546875" style="59" customWidth="1"/>
    <col min="11" max="11" width="8.42578125" style="1" customWidth="1"/>
    <col min="12" max="12" width="16.28515625" bestFit="1" customWidth="1"/>
    <col min="13" max="13" width="21.140625" customWidth="1"/>
    <col min="14" max="14" width="18.28515625" bestFit="1" customWidth="1"/>
    <col min="15" max="15" width="18.28515625" customWidth="1"/>
    <col min="16" max="16" width="25.28515625" style="22" bestFit="1" customWidth="1"/>
    <col min="17" max="17" width="29.7109375" style="1" bestFit="1" customWidth="1"/>
    <col min="18" max="18" width="32.42578125" style="1" bestFit="1" customWidth="1"/>
    <col min="21" max="21" width="11.42578125" style="12" bestFit="1" customWidth="1"/>
    <col min="23" max="23" width="13.140625" bestFit="1" customWidth="1"/>
    <col min="24" max="24" width="9.42578125" bestFit="1" customWidth="1"/>
    <col min="25" max="25" width="13.140625" bestFit="1" customWidth="1"/>
  </cols>
  <sheetData>
    <row r="1" spans="1:25" ht="21" x14ac:dyDescent="0.35">
      <c r="A1" s="68" t="s">
        <v>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25" ht="15.75" hidden="1" x14ac:dyDescent="0.25">
      <c r="A2" s="19"/>
      <c r="B2" s="32"/>
      <c r="C2" s="32"/>
      <c r="D2" s="9"/>
      <c r="E2" s="9"/>
      <c r="F2" s="9"/>
      <c r="G2" s="9"/>
      <c r="H2" s="9"/>
      <c r="I2" s="10"/>
      <c r="J2" s="55"/>
      <c r="K2" s="9"/>
      <c r="L2" s="9"/>
      <c r="M2" s="9"/>
      <c r="N2" s="9"/>
      <c r="O2" s="9"/>
      <c r="P2" s="20"/>
      <c r="Q2" s="19"/>
      <c r="R2" s="19"/>
      <c r="U2" s="47"/>
      <c r="V2" s="48"/>
      <c r="W2" s="49"/>
      <c r="X2" s="50"/>
      <c r="Y2" s="50"/>
    </row>
    <row r="3" spans="1:25" ht="15.75" hidden="1" x14ac:dyDescent="0.25">
      <c r="A3" s="19"/>
      <c r="B3" s="32"/>
      <c r="C3" s="32"/>
      <c r="D3" s="9"/>
      <c r="E3" s="9"/>
      <c r="F3" s="9"/>
      <c r="G3" s="9"/>
      <c r="H3" s="9"/>
      <c r="I3" s="10"/>
      <c r="J3" s="55"/>
      <c r="K3" s="9"/>
      <c r="L3" s="9"/>
      <c r="M3" s="9"/>
      <c r="N3" s="9"/>
      <c r="O3" s="9"/>
      <c r="P3" s="20"/>
      <c r="Q3" s="19"/>
      <c r="R3" s="19"/>
      <c r="U3" s="47"/>
      <c r="V3" s="48"/>
      <c r="W3" s="49"/>
      <c r="X3" s="50"/>
      <c r="Y3" s="50"/>
    </row>
    <row r="4" spans="1:25" ht="15.75" hidden="1" x14ac:dyDescent="0.25">
      <c r="A4" s="19"/>
      <c r="B4" s="32"/>
      <c r="C4" s="32"/>
      <c r="D4" s="9"/>
      <c r="E4" s="9"/>
      <c r="F4" s="9"/>
      <c r="G4" s="9"/>
      <c r="H4" s="9"/>
      <c r="I4" s="10"/>
      <c r="J4" s="55"/>
      <c r="K4" s="9"/>
      <c r="L4" s="9"/>
      <c r="M4" s="9"/>
      <c r="N4" s="9"/>
      <c r="O4" s="9"/>
      <c r="P4" s="20"/>
      <c r="Q4" s="19"/>
      <c r="R4" s="19"/>
      <c r="U4" s="47"/>
      <c r="V4" s="48"/>
      <c r="W4" s="49"/>
      <c r="X4" s="50"/>
      <c r="Y4" s="50"/>
    </row>
    <row r="5" spans="1:25" ht="15.75" hidden="1" x14ac:dyDescent="0.25">
      <c r="A5" s="19"/>
      <c r="B5" s="32"/>
      <c r="C5" s="32"/>
      <c r="D5" s="9"/>
      <c r="E5" s="9"/>
      <c r="F5" s="9"/>
      <c r="G5" s="9"/>
      <c r="H5" s="9"/>
      <c r="I5" s="10"/>
      <c r="J5" s="55"/>
      <c r="K5" s="9"/>
      <c r="L5" s="9"/>
      <c r="M5" s="9"/>
      <c r="N5" s="9"/>
      <c r="O5" s="9"/>
      <c r="P5" s="20"/>
      <c r="Q5" s="19"/>
      <c r="R5" s="19"/>
      <c r="U5" s="47"/>
      <c r="V5" s="48"/>
      <c r="W5" s="49"/>
      <c r="X5" s="50"/>
      <c r="Y5" s="50"/>
    </row>
    <row r="6" spans="1:25" ht="15.75" hidden="1" x14ac:dyDescent="0.25">
      <c r="A6" s="19"/>
      <c r="B6" s="32"/>
      <c r="C6" s="32"/>
      <c r="D6" s="9"/>
      <c r="E6" s="9"/>
      <c r="F6" s="9"/>
      <c r="G6" s="9"/>
      <c r="H6" s="9"/>
      <c r="I6" s="10"/>
      <c r="J6" s="55"/>
      <c r="K6" s="9"/>
      <c r="L6" s="9"/>
      <c r="M6" s="9"/>
      <c r="N6" s="9"/>
      <c r="O6" s="9"/>
      <c r="P6" s="20"/>
      <c r="Q6" s="19"/>
      <c r="R6" s="19"/>
      <c r="U6" s="47"/>
      <c r="V6" s="48"/>
      <c r="W6" s="49"/>
      <c r="X6" s="50"/>
      <c r="Y6" s="50"/>
    </row>
    <row r="7" spans="1:25" ht="15.75" hidden="1" x14ac:dyDescent="0.25">
      <c r="A7" s="19"/>
      <c r="B7" s="32"/>
      <c r="C7" s="32"/>
      <c r="D7" s="9"/>
      <c r="E7" s="9"/>
      <c r="F7" s="9"/>
      <c r="G7" s="9"/>
      <c r="H7" s="9"/>
      <c r="I7" s="10"/>
      <c r="J7" s="55"/>
      <c r="K7" s="9"/>
      <c r="L7" s="9"/>
      <c r="M7" s="9"/>
      <c r="N7" s="9"/>
      <c r="O7" s="9"/>
      <c r="P7" s="20"/>
      <c r="Q7" s="19"/>
      <c r="R7" s="19"/>
      <c r="U7" s="47"/>
      <c r="V7" s="48"/>
      <c r="W7" s="49"/>
      <c r="X7" s="50"/>
      <c r="Y7" s="50"/>
    </row>
    <row r="8" spans="1:25" ht="15.75" hidden="1" x14ac:dyDescent="0.25">
      <c r="A8" s="19"/>
      <c r="B8" s="32"/>
      <c r="C8" s="32"/>
      <c r="D8" s="9"/>
      <c r="E8" s="9"/>
      <c r="F8" s="9"/>
      <c r="G8" s="9"/>
      <c r="H8" s="9"/>
      <c r="I8" s="10"/>
      <c r="J8" s="55"/>
      <c r="K8" s="9"/>
      <c r="L8" s="9"/>
      <c r="M8" s="9"/>
      <c r="N8" s="9"/>
      <c r="O8" s="9"/>
      <c r="P8" s="20"/>
      <c r="Q8" s="19"/>
      <c r="R8" s="19"/>
      <c r="U8" s="47"/>
      <c r="V8" s="48"/>
      <c r="W8" s="49"/>
      <c r="X8" s="50"/>
      <c r="Y8" s="50"/>
    </row>
    <row r="9" spans="1:25" ht="15.75" hidden="1" x14ac:dyDescent="0.25">
      <c r="A9" s="19"/>
      <c r="B9" s="32"/>
      <c r="C9" s="32"/>
      <c r="D9" s="9"/>
      <c r="E9" s="9"/>
      <c r="F9" s="9"/>
      <c r="G9" s="9"/>
      <c r="H9" s="9"/>
      <c r="I9" s="10"/>
      <c r="J9" s="55"/>
      <c r="K9" s="9"/>
      <c r="L9" s="9"/>
      <c r="M9" s="9"/>
      <c r="N9" s="9"/>
      <c r="O9" s="9"/>
      <c r="P9" s="20"/>
      <c r="Q9" s="19"/>
      <c r="R9" s="19"/>
      <c r="U9" s="47"/>
      <c r="V9" s="48"/>
      <c r="W9" s="49"/>
      <c r="X9" s="50"/>
      <c r="Y9" s="50"/>
    </row>
    <row r="10" spans="1:25" ht="15.75" x14ac:dyDescent="0.25">
      <c r="A10" s="19" t="s">
        <v>0</v>
      </c>
      <c r="B10" s="32" t="s">
        <v>1</v>
      </c>
      <c r="C10" s="32" t="s">
        <v>2071</v>
      </c>
      <c r="D10" s="9" t="s">
        <v>83</v>
      </c>
      <c r="E10" s="9" t="s">
        <v>3</v>
      </c>
      <c r="F10" s="9" t="s">
        <v>2682</v>
      </c>
      <c r="G10" s="9" t="s">
        <v>4</v>
      </c>
      <c r="H10" s="9" t="s">
        <v>5</v>
      </c>
      <c r="I10" s="10" t="s">
        <v>86</v>
      </c>
      <c r="J10" s="55" t="s">
        <v>2070</v>
      </c>
      <c r="K10" s="9" t="s">
        <v>7</v>
      </c>
      <c r="L10" s="9" t="s">
        <v>10</v>
      </c>
      <c r="M10" s="9" t="s">
        <v>85</v>
      </c>
      <c r="N10" s="9" t="s">
        <v>11</v>
      </c>
      <c r="O10" s="9" t="s">
        <v>84</v>
      </c>
      <c r="P10" s="20" t="s">
        <v>14</v>
      </c>
      <c r="Q10" s="19" t="s">
        <v>8</v>
      </c>
      <c r="R10" s="19" t="s">
        <v>9</v>
      </c>
      <c r="U10" s="69" t="s">
        <v>16</v>
      </c>
      <c r="V10" s="70"/>
      <c r="W10" s="71" t="s">
        <v>6</v>
      </c>
      <c r="X10" s="72"/>
      <c r="Y10" s="72"/>
    </row>
    <row r="11" spans="1:25" x14ac:dyDescent="0.25">
      <c r="A11" s="30">
        <v>45660</v>
      </c>
      <c r="B11" s="28">
        <v>1</v>
      </c>
      <c r="C11" s="28"/>
      <c r="D11" s="2" t="s">
        <v>25</v>
      </c>
      <c r="E11" s="7" t="s">
        <v>12</v>
      </c>
      <c r="F11" s="7"/>
      <c r="G11" s="2" t="s">
        <v>26</v>
      </c>
      <c r="H11" s="2" t="s">
        <v>27</v>
      </c>
      <c r="I11" s="4">
        <v>3411.11</v>
      </c>
      <c r="J11" s="56"/>
      <c r="K11" s="3">
        <v>24</v>
      </c>
      <c r="L11" s="2" t="s">
        <v>64</v>
      </c>
      <c r="M11" s="2"/>
      <c r="N11" s="2" t="s">
        <v>12</v>
      </c>
      <c r="O11" s="2"/>
      <c r="P11" s="21" t="s">
        <v>12</v>
      </c>
      <c r="Q11" s="3" t="s">
        <v>12</v>
      </c>
      <c r="R11" s="3" t="s">
        <v>12</v>
      </c>
      <c r="U11" s="13">
        <v>7.0000000000000007E-2</v>
      </c>
      <c r="V11" s="14" t="s">
        <v>12</v>
      </c>
      <c r="W11" s="16">
        <v>148.05000000000001</v>
      </c>
      <c r="X11" s="17" t="s">
        <v>19</v>
      </c>
      <c r="Y11" s="16">
        <v>164.5</v>
      </c>
    </row>
    <row r="12" spans="1:25" x14ac:dyDescent="0.25">
      <c r="A12" s="30">
        <v>45663</v>
      </c>
      <c r="B12" s="28">
        <v>2</v>
      </c>
      <c r="C12" s="28"/>
      <c r="D12" s="2" t="s">
        <v>28</v>
      </c>
      <c r="E12" s="7" t="s">
        <v>29</v>
      </c>
      <c r="F12" s="7"/>
      <c r="G12" s="2" t="s">
        <v>26</v>
      </c>
      <c r="H12" s="2" t="s">
        <v>30</v>
      </c>
      <c r="I12" s="5">
        <v>8092.7</v>
      </c>
      <c r="J12" s="57"/>
      <c r="K12" s="3">
        <v>96</v>
      </c>
      <c r="L12" s="2" t="s">
        <v>64</v>
      </c>
      <c r="M12" s="2"/>
      <c r="N12" s="2" t="s">
        <v>12</v>
      </c>
      <c r="O12" s="2"/>
      <c r="P12" s="21" t="s">
        <v>12</v>
      </c>
      <c r="Q12" s="3" t="s">
        <v>12</v>
      </c>
      <c r="R12" s="3" t="s">
        <v>12</v>
      </c>
      <c r="U12" s="13">
        <v>0.06</v>
      </c>
      <c r="V12" s="14" t="s">
        <v>12</v>
      </c>
      <c r="W12" s="16">
        <v>144.82</v>
      </c>
      <c r="X12" s="17" t="s">
        <v>19</v>
      </c>
      <c r="Y12" s="16">
        <v>148.04</v>
      </c>
    </row>
    <row r="13" spans="1:25" x14ac:dyDescent="0.25">
      <c r="A13" s="30">
        <v>45663</v>
      </c>
      <c r="B13" s="28">
        <v>3</v>
      </c>
      <c r="C13" s="28"/>
      <c r="D13" s="2" t="s">
        <v>23</v>
      </c>
      <c r="E13" s="7" t="s">
        <v>31</v>
      </c>
      <c r="F13" s="7"/>
      <c r="G13" s="2" t="s">
        <v>20</v>
      </c>
      <c r="H13" s="2" t="s">
        <v>32</v>
      </c>
      <c r="I13" s="5">
        <v>14294.94</v>
      </c>
      <c r="J13" s="57"/>
      <c r="K13" s="3">
        <v>192</v>
      </c>
      <c r="L13" s="2" t="s">
        <v>64</v>
      </c>
      <c r="M13" s="2"/>
      <c r="N13" s="2" t="s">
        <v>12</v>
      </c>
      <c r="O13" s="2"/>
      <c r="P13" s="21" t="s">
        <v>12</v>
      </c>
      <c r="Q13" s="3" t="s">
        <v>12</v>
      </c>
      <c r="R13" s="3" t="s">
        <v>12</v>
      </c>
      <c r="U13" s="13">
        <v>0.05</v>
      </c>
      <c r="V13" s="15" t="s">
        <v>12</v>
      </c>
      <c r="W13" s="16">
        <v>134.63999999999999</v>
      </c>
      <c r="X13" s="17" t="s">
        <v>19</v>
      </c>
      <c r="Y13" s="16">
        <v>144.81</v>
      </c>
    </row>
    <row r="14" spans="1:25" x14ac:dyDescent="0.25">
      <c r="A14" s="30">
        <v>45663</v>
      </c>
      <c r="B14" s="28">
        <v>4</v>
      </c>
      <c r="C14" s="28"/>
      <c r="D14" s="2" t="s">
        <v>33</v>
      </c>
      <c r="E14" s="7" t="s">
        <v>34</v>
      </c>
      <c r="F14" s="7"/>
      <c r="G14" s="2" t="s">
        <v>13</v>
      </c>
      <c r="H14" s="2" t="s">
        <v>35</v>
      </c>
      <c r="I14" s="5">
        <v>2259.2600000000002</v>
      </c>
      <c r="J14" s="57"/>
      <c r="K14" s="3">
        <v>24</v>
      </c>
      <c r="L14" s="2" t="s">
        <v>226</v>
      </c>
      <c r="M14" s="31"/>
      <c r="N14" s="2" t="s">
        <v>12</v>
      </c>
      <c r="O14" s="2"/>
      <c r="P14" s="21" t="s">
        <v>12</v>
      </c>
      <c r="Q14" s="3" t="s">
        <v>12</v>
      </c>
      <c r="R14" s="3" t="s">
        <v>12</v>
      </c>
      <c r="U14" s="13">
        <v>0.04</v>
      </c>
      <c r="V14" s="14" t="s">
        <v>12</v>
      </c>
      <c r="W14" s="16">
        <v>125.83</v>
      </c>
      <c r="X14" s="17" t="s">
        <v>19</v>
      </c>
      <c r="Y14" s="16">
        <v>134.63</v>
      </c>
    </row>
    <row r="15" spans="1:25" x14ac:dyDescent="0.25">
      <c r="A15" s="30">
        <v>45663</v>
      </c>
      <c r="B15" s="28">
        <v>5</v>
      </c>
      <c r="C15" s="28"/>
      <c r="D15" s="2" t="s">
        <v>23</v>
      </c>
      <c r="E15" s="7" t="s">
        <v>36</v>
      </c>
      <c r="F15" s="7"/>
      <c r="G15" s="2" t="s">
        <v>20</v>
      </c>
      <c r="H15" s="2" t="s">
        <v>24</v>
      </c>
      <c r="I15" s="5">
        <v>6933.2</v>
      </c>
      <c r="J15" s="57"/>
      <c r="K15" s="3">
        <v>96</v>
      </c>
      <c r="L15" s="2" t="s">
        <v>64</v>
      </c>
      <c r="M15" s="2"/>
      <c r="N15" s="2" t="s">
        <v>12</v>
      </c>
      <c r="O15" s="2"/>
      <c r="P15" s="21" t="s">
        <v>12</v>
      </c>
      <c r="Q15" s="3" t="s">
        <v>12</v>
      </c>
      <c r="R15" s="3" t="s">
        <v>12</v>
      </c>
      <c r="U15" s="13">
        <v>0.03</v>
      </c>
      <c r="V15" s="14" t="s">
        <v>12</v>
      </c>
      <c r="W15" s="16">
        <v>118.08</v>
      </c>
      <c r="X15" s="17" t="s">
        <v>19</v>
      </c>
      <c r="Y15" s="16">
        <v>125.82</v>
      </c>
    </row>
    <row r="16" spans="1:25" x14ac:dyDescent="0.25">
      <c r="A16" s="30">
        <v>45663</v>
      </c>
      <c r="B16" s="28">
        <v>6</v>
      </c>
      <c r="C16" s="28"/>
      <c r="D16" s="2" t="s">
        <v>33</v>
      </c>
      <c r="E16" s="7" t="s">
        <v>37</v>
      </c>
      <c r="F16" s="7"/>
      <c r="G16" s="2" t="s">
        <v>13</v>
      </c>
      <c r="H16" s="2" t="s">
        <v>35</v>
      </c>
      <c r="I16" s="5">
        <v>9106.66</v>
      </c>
      <c r="J16" s="57"/>
      <c r="K16" s="3">
        <v>72</v>
      </c>
      <c r="L16" s="2" t="s">
        <v>226</v>
      </c>
      <c r="M16" s="7"/>
      <c r="N16" s="2" t="s">
        <v>12</v>
      </c>
      <c r="O16" s="2"/>
      <c r="P16" s="21" t="s">
        <v>12</v>
      </c>
      <c r="Q16" s="3" t="s">
        <v>74</v>
      </c>
      <c r="R16" s="3" t="s">
        <v>76</v>
      </c>
      <c r="U16" s="13">
        <v>0.02</v>
      </c>
      <c r="V16" s="14" t="s">
        <v>12</v>
      </c>
      <c r="W16" s="16">
        <v>111.24</v>
      </c>
      <c r="X16" s="17" t="s">
        <v>19</v>
      </c>
      <c r="Y16" s="16">
        <v>118.07</v>
      </c>
    </row>
    <row r="17" spans="1:25" x14ac:dyDescent="0.25">
      <c r="A17" s="30">
        <v>45663</v>
      </c>
      <c r="B17" s="28">
        <v>7</v>
      </c>
      <c r="C17" s="28"/>
      <c r="D17" s="2" t="s">
        <v>33</v>
      </c>
      <c r="E17" s="7" t="s">
        <v>38</v>
      </c>
      <c r="F17" s="7"/>
      <c r="G17" s="2" t="s">
        <v>13</v>
      </c>
      <c r="H17" s="2" t="s">
        <v>35</v>
      </c>
      <c r="I17" s="5">
        <v>26029.3</v>
      </c>
      <c r="J17" s="57"/>
      <c r="K17" s="3">
        <v>240</v>
      </c>
      <c r="L17" s="2" t="s">
        <v>226</v>
      </c>
      <c r="M17" s="7"/>
      <c r="N17" s="2" t="s">
        <v>12</v>
      </c>
      <c r="O17" s="2"/>
      <c r="P17" s="21" t="s">
        <v>12</v>
      </c>
      <c r="Q17" s="3" t="s">
        <v>74</v>
      </c>
      <c r="R17" s="3" t="s">
        <v>76</v>
      </c>
      <c r="U17" s="11"/>
      <c r="W17" s="18"/>
      <c r="X17" s="18"/>
      <c r="Y17" s="18"/>
    </row>
    <row r="18" spans="1:25" x14ac:dyDescent="0.25">
      <c r="A18" s="30">
        <v>45663</v>
      </c>
      <c r="B18" s="28">
        <v>8</v>
      </c>
      <c r="C18" s="28"/>
      <c r="D18" s="2" t="s">
        <v>39</v>
      </c>
      <c r="E18" s="7" t="s">
        <v>12</v>
      </c>
      <c r="F18" s="7"/>
      <c r="G18" s="2" t="s">
        <v>13</v>
      </c>
      <c r="H18" s="2" t="s">
        <v>40</v>
      </c>
      <c r="I18" s="5">
        <v>3232.69</v>
      </c>
      <c r="J18" s="57"/>
      <c r="K18" s="3" t="s">
        <v>12</v>
      </c>
      <c r="L18" s="2" t="s">
        <v>226</v>
      </c>
      <c r="M18" s="7" t="s">
        <v>230</v>
      </c>
      <c r="N18" s="2" t="s">
        <v>12</v>
      </c>
      <c r="O18" s="2"/>
      <c r="P18" s="21" t="s">
        <v>12</v>
      </c>
      <c r="Q18" s="3" t="s">
        <v>12</v>
      </c>
      <c r="R18" s="3" t="s">
        <v>12</v>
      </c>
      <c r="W18" s="18"/>
      <c r="X18" s="18"/>
      <c r="Y18" s="18"/>
    </row>
    <row r="19" spans="1:25" ht="15.75" x14ac:dyDescent="0.25">
      <c r="A19" s="30">
        <v>45663</v>
      </c>
      <c r="B19" s="28">
        <v>9</v>
      </c>
      <c r="C19" s="28"/>
      <c r="D19" s="2" t="s">
        <v>41</v>
      </c>
      <c r="E19" s="7" t="s">
        <v>42</v>
      </c>
      <c r="F19" s="7"/>
      <c r="G19" s="2" t="s">
        <v>43</v>
      </c>
      <c r="H19" s="2" t="s">
        <v>44</v>
      </c>
      <c r="I19" s="5">
        <v>175342.6</v>
      </c>
      <c r="J19" s="57"/>
      <c r="K19" s="3">
        <v>1752</v>
      </c>
      <c r="L19" s="2" t="s">
        <v>226</v>
      </c>
      <c r="M19" s="2"/>
      <c r="N19" s="2" t="s">
        <v>12</v>
      </c>
      <c r="O19" s="2"/>
      <c r="P19" s="21" t="s">
        <v>12</v>
      </c>
      <c r="Q19" s="3" t="s">
        <v>77</v>
      </c>
      <c r="R19" s="3" t="s">
        <v>75</v>
      </c>
      <c r="U19" s="69" t="s">
        <v>17</v>
      </c>
      <c r="V19" s="70"/>
      <c r="W19" s="75" t="s">
        <v>6</v>
      </c>
      <c r="X19" s="76"/>
      <c r="Y19" s="76"/>
    </row>
    <row r="20" spans="1:25" x14ac:dyDescent="0.25">
      <c r="A20" s="30">
        <v>45663</v>
      </c>
      <c r="B20" s="28">
        <v>10</v>
      </c>
      <c r="C20" s="28"/>
      <c r="D20" s="2" t="s">
        <v>45</v>
      </c>
      <c r="E20" s="7" t="s">
        <v>12</v>
      </c>
      <c r="F20" s="7"/>
      <c r="G20" s="2" t="s">
        <v>20</v>
      </c>
      <c r="H20" s="2" t="s">
        <v>46</v>
      </c>
      <c r="I20" s="5">
        <v>297411.92</v>
      </c>
      <c r="J20" s="57"/>
      <c r="K20" s="3">
        <v>3408</v>
      </c>
      <c r="L20" s="2" t="s">
        <v>226</v>
      </c>
      <c r="M20" s="2" t="s">
        <v>831</v>
      </c>
      <c r="N20" s="2" t="s">
        <v>12</v>
      </c>
      <c r="O20" s="2"/>
      <c r="P20" s="21" t="s">
        <v>12</v>
      </c>
      <c r="Q20" s="3" t="s">
        <v>12</v>
      </c>
      <c r="R20" s="3" t="s">
        <v>12</v>
      </c>
      <c r="U20" s="13">
        <v>7.0000000000000007E-2</v>
      </c>
      <c r="V20" s="14" t="s">
        <v>12</v>
      </c>
      <c r="W20" s="16">
        <v>181.58</v>
      </c>
      <c r="X20" s="17" t="s">
        <v>19</v>
      </c>
      <c r="Y20" s="16">
        <v>201.76</v>
      </c>
    </row>
    <row r="21" spans="1:25" x14ac:dyDescent="0.25">
      <c r="A21" s="30">
        <v>45663</v>
      </c>
      <c r="B21" s="28">
        <v>11</v>
      </c>
      <c r="C21" s="28"/>
      <c r="D21" s="2" t="s">
        <v>23</v>
      </c>
      <c r="E21" s="7" t="s">
        <v>47</v>
      </c>
      <c r="F21" s="7"/>
      <c r="G21" s="2" t="s">
        <v>20</v>
      </c>
      <c r="H21" s="2" t="s">
        <v>32</v>
      </c>
      <c r="I21" s="5">
        <v>9352.59</v>
      </c>
      <c r="J21" s="57"/>
      <c r="K21" s="3">
        <v>144</v>
      </c>
      <c r="L21" s="2" t="s">
        <v>64</v>
      </c>
      <c r="M21" s="2"/>
      <c r="N21" s="2" t="s">
        <v>12</v>
      </c>
      <c r="O21" s="2"/>
      <c r="P21" s="21" t="s">
        <v>12</v>
      </c>
      <c r="Q21" s="3" t="s">
        <v>12</v>
      </c>
      <c r="R21" s="3" t="s">
        <v>12</v>
      </c>
      <c r="U21" s="13">
        <v>0.06</v>
      </c>
      <c r="V21" s="14" t="s">
        <v>12</v>
      </c>
      <c r="W21" s="16">
        <v>177.86</v>
      </c>
      <c r="X21" s="17" t="s">
        <v>19</v>
      </c>
      <c r="Y21" s="16">
        <v>181.57</v>
      </c>
    </row>
    <row r="22" spans="1:25" x14ac:dyDescent="0.25">
      <c r="A22" s="30">
        <v>45663</v>
      </c>
      <c r="B22" s="28">
        <v>12</v>
      </c>
      <c r="C22" s="28"/>
      <c r="D22" s="2" t="s">
        <v>23</v>
      </c>
      <c r="E22" s="7" t="s">
        <v>48</v>
      </c>
      <c r="F22" s="7"/>
      <c r="G22" s="2" t="s">
        <v>20</v>
      </c>
      <c r="H22" s="2" t="s">
        <v>24</v>
      </c>
      <c r="I22" s="5">
        <v>169.83</v>
      </c>
      <c r="J22" s="57"/>
      <c r="K22" s="3" t="s">
        <v>12</v>
      </c>
      <c r="L22" s="2" t="s">
        <v>226</v>
      </c>
      <c r="M22" s="2"/>
      <c r="N22" s="2" t="s">
        <v>12</v>
      </c>
      <c r="O22" s="2"/>
      <c r="P22" s="21" t="s">
        <v>12</v>
      </c>
      <c r="Q22" s="3" t="s">
        <v>12</v>
      </c>
      <c r="R22" s="3" t="s">
        <v>12</v>
      </c>
      <c r="U22" s="13">
        <v>0.05</v>
      </c>
      <c r="V22" s="15" t="s">
        <v>12</v>
      </c>
      <c r="W22" s="16">
        <v>165.39</v>
      </c>
      <c r="X22" s="17" t="s">
        <v>19</v>
      </c>
      <c r="Y22" s="16">
        <v>177.85</v>
      </c>
    </row>
    <row r="23" spans="1:25" x14ac:dyDescent="0.25">
      <c r="A23" s="30">
        <v>45663</v>
      </c>
      <c r="B23" s="28">
        <v>13</v>
      </c>
      <c r="C23" s="28"/>
      <c r="D23" s="2" t="s">
        <v>22</v>
      </c>
      <c r="E23" s="7" t="s">
        <v>49</v>
      </c>
      <c r="F23" s="7"/>
      <c r="G23" s="2" t="s">
        <v>13</v>
      </c>
      <c r="H23" s="2" t="s">
        <v>15</v>
      </c>
      <c r="I23" s="5">
        <v>51413.93</v>
      </c>
      <c r="J23" s="57"/>
      <c r="K23" s="3">
        <v>624</v>
      </c>
      <c r="L23" s="2" t="s">
        <v>226</v>
      </c>
      <c r="M23" s="7"/>
      <c r="N23" s="2" t="s">
        <v>12</v>
      </c>
      <c r="O23" s="2"/>
      <c r="P23" s="21" t="s">
        <v>12</v>
      </c>
      <c r="Q23" s="3" t="s">
        <v>78</v>
      </c>
      <c r="R23" s="3" t="s">
        <v>75</v>
      </c>
      <c r="U23" s="13">
        <v>0.04</v>
      </c>
      <c r="V23" s="14" t="s">
        <v>12</v>
      </c>
      <c r="W23" s="16">
        <v>154.54</v>
      </c>
      <c r="X23" s="17" t="s">
        <v>19</v>
      </c>
      <c r="Y23" s="16">
        <v>165.38</v>
      </c>
    </row>
    <row r="24" spans="1:25" x14ac:dyDescent="0.25">
      <c r="A24" s="23">
        <v>45664</v>
      </c>
      <c r="B24" s="29">
        <v>14</v>
      </c>
      <c r="C24" s="29"/>
      <c r="D24" s="25" t="s">
        <v>50</v>
      </c>
      <c r="E24" s="26" t="s">
        <v>12</v>
      </c>
      <c r="F24" s="26"/>
      <c r="G24" s="25" t="s">
        <v>13</v>
      </c>
      <c r="H24" s="25" t="s">
        <v>51</v>
      </c>
      <c r="I24" s="27">
        <v>835.52</v>
      </c>
      <c r="J24" s="58"/>
      <c r="K24" s="24">
        <v>4.8</v>
      </c>
      <c r="L24" s="2" t="s">
        <v>226</v>
      </c>
      <c r="M24" s="7"/>
      <c r="N24" s="2" t="s">
        <v>12</v>
      </c>
      <c r="O24" s="2"/>
      <c r="P24" s="21" t="s">
        <v>12</v>
      </c>
      <c r="Q24" s="24" t="s">
        <v>12</v>
      </c>
      <c r="R24" s="24" t="s">
        <v>12</v>
      </c>
      <c r="U24" s="13">
        <v>0.03</v>
      </c>
      <c r="V24" s="14" t="s">
        <v>12</v>
      </c>
      <c r="W24" s="16">
        <v>145.03</v>
      </c>
      <c r="X24" s="17" t="s">
        <v>19</v>
      </c>
      <c r="Y24" s="16">
        <v>154.53</v>
      </c>
    </row>
    <row r="25" spans="1:25" x14ac:dyDescent="0.25">
      <c r="A25" s="23">
        <v>45664</v>
      </c>
      <c r="B25" s="29">
        <v>15</v>
      </c>
      <c r="C25" s="29"/>
      <c r="D25" s="25" t="s">
        <v>52</v>
      </c>
      <c r="E25" s="26" t="s">
        <v>12</v>
      </c>
      <c r="F25" s="26"/>
      <c r="G25" s="25" t="s">
        <v>13</v>
      </c>
      <c r="H25" s="25" t="s">
        <v>53</v>
      </c>
      <c r="I25" s="27">
        <v>2024.86</v>
      </c>
      <c r="J25" s="58"/>
      <c r="K25" s="24">
        <v>26.4</v>
      </c>
      <c r="L25" s="2" t="s">
        <v>226</v>
      </c>
      <c r="M25" s="7" t="s">
        <v>229</v>
      </c>
      <c r="N25" s="2" t="s">
        <v>12</v>
      </c>
      <c r="O25" s="2"/>
      <c r="P25" s="21" t="s">
        <v>12</v>
      </c>
      <c r="Q25" s="24" t="s">
        <v>12</v>
      </c>
      <c r="R25" s="24" t="s">
        <v>12</v>
      </c>
      <c r="U25" s="13">
        <v>0.02</v>
      </c>
      <c r="V25" s="14" t="s">
        <v>12</v>
      </c>
      <c r="W25" s="16">
        <v>136.61000000000001</v>
      </c>
      <c r="X25" s="17" t="s">
        <v>19</v>
      </c>
      <c r="Y25" s="16">
        <v>145.02000000000001</v>
      </c>
    </row>
    <row r="26" spans="1:25" x14ac:dyDescent="0.25">
      <c r="A26" s="23">
        <v>45664</v>
      </c>
      <c r="B26" s="29">
        <v>16</v>
      </c>
      <c r="C26" s="29"/>
      <c r="D26" s="25" t="s">
        <v>54</v>
      </c>
      <c r="E26" s="26" t="s">
        <v>12</v>
      </c>
      <c r="F26" s="26"/>
      <c r="G26" s="25" t="s">
        <v>26</v>
      </c>
      <c r="H26" s="25" t="s">
        <v>55</v>
      </c>
      <c r="I26" s="27">
        <v>947.84</v>
      </c>
      <c r="J26" s="58"/>
      <c r="K26" s="24" t="s">
        <v>12</v>
      </c>
      <c r="L26" s="2" t="s">
        <v>64</v>
      </c>
      <c r="M26" s="2"/>
      <c r="N26" s="2" t="s">
        <v>12</v>
      </c>
      <c r="O26" s="2"/>
      <c r="P26" s="21" t="s">
        <v>12</v>
      </c>
      <c r="Q26" s="24" t="s">
        <v>12</v>
      </c>
      <c r="R26" s="24" t="s">
        <v>12</v>
      </c>
      <c r="W26" s="18"/>
      <c r="X26" s="18"/>
      <c r="Y26" s="18"/>
    </row>
    <row r="27" spans="1:25" x14ac:dyDescent="0.25">
      <c r="A27" s="23">
        <v>45664</v>
      </c>
      <c r="B27" s="29">
        <v>17</v>
      </c>
      <c r="C27" s="29"/>
      <c r="D27" s="25" t="s">
        <v>56</v>
      </c>
      <c r="E27" s="26" t="s">
        <v>57</v>
      </c>
      <c r="F27" s="26"/>
      <c r="G27" s="25" t="s">
        <v>13</v>
      </c>
      <c r="H27" s="25" t="s">
        <v>58</v>
      </c>
      <c r="I27" s="27">
        <v>8557.66</v>
      </c>
      <c r="J27" s="58"/>
      <c r="K27" s="24">
        <v>96</v>
      </c>
      <c r="L27" s="2" t="s">
        <v>226</v>
      </c>
      <c r="M27" s="7"/>
      <c r="N27" s="2" t="s">
        <v>12</v>
      </c>
      <c r="O27" s="2"/>
      <c r="P27" s="21" t="s">
        <v>12</v>
      </c>
      <c r="Q27" s="24" t="s">
        <v>79</v>
      </c>
      <c r="R27" s="24" t="s">
        <v>80</v>
      </c>
      <c r="W27" s="18"/>
      <c r="X27" s="18"/>
      <c r="Y27" s="18"/>
    </row>
    <row r="28" spans="1:25" ht="15.75" x14ac:dyDescent="0.25">
      <c r="A28" s="23">
        <v>45664</v>
      </c>
      <c r="B28" s="29">
        <v>18</v>
      </c>
      <c r="C28" s="29"/>
      <c r="D28" s="25" t="s">
        <v>59</v>
      </c>
      <c r="E28" s="26" t="s">
        <v>60</v>
      </c>
      <c r="F28" s="26"/>
      <c r="G28" s="25" t="s">
        <v>20</v>
      </c>
      <c r="H28" s="25" t="s">
        <v>61</v>
      </c>
      <c r="I28" s="27">
        <v>12090.52</v>
      </c>
      <c r="J28" s="58"/>
      <c r="K28" s="24">
        <v>912</v>
      </c>
      <c r="L28" s="2" t="s">
        <v>64</v>
      </c>
      <c r="M28" s="2" t="s">
        <v>228</v>
      </c>
      <c r="N28" s="2" t="s">
        <v>12</v>
      </c>
      <c r="O28" s="2"/>
      <c r="P28" s="21" t="s">
        <v>12</v>
      </c>
      <c r="Q28" s="24" t="s">
        <v>59</v>
      </c>
      <c r="R28" s="24" t="s">
        <v>80</v>
      </c>
      <c r="U28" s="69" t="s">
        <v>18</v>
      </c>
      <c r="V28" s="70"/>
      <c r="W28" s="73" t="s">
        <v>6</v>
      </c>
      <c r="X28" s="74"/>
      <c r="Y28" s="74"/>
    </row>
    <row r="29" spans="1:25" x14ac:dyDescent="0.25">
      <c r="A29" s="23">
        <v>45664</v>
      </c>
      <c r="B29" s="29">
        <v>19</v>
      </c>
      <c r="C29" s="29"/>
      <c r="D29" s="25" t="s">
        <v>62</v>
      </c>
      <c r="E29" s="26" t="s">
        <v>12</v>
      </c>
      <c r="F29" s="26"/>
      <c r="G29" s="25" t="s">
        <v>26</v>
      </c>
      <c r="H29" s="25" t="s">
        <v>63</v>
      </c>
      <c r="I29" s="27">
        <v>8569.14</v>
      </c>
      <c r="J29" s="58"/>
      <c r="K29" s="24">
        <v>72</v>
      </c>
      <c r="L29" s="2" t="s">
        <v>64</v>
      </c>
      <c r="M29" s="2"/>
      <c r="N29" s="2" t="s">
        <v>12</v>
      </c>
      <c r="O29" s="2"/>
      <c r="P29" s="21" t="s">
        <v>12</v>
      </c>
      <c r="Q29" s="24" t="s">
        <v>12</v>
      </c>
      <c r="R29" s="24" t="s">
        <v>12</v>
      </c>
      <c r="U29" s="13">
        <v>7.0000000000000007E-2</v>
      </c>
      <c r="V29" s="14" t="s">
        <v>12</v>
      </c>
      <c r="W29" s="16">
        <v>337.68</v>
      </c>
      <c r="X29" s="17" t="s">
        <v>19</v>
      </c>
      <c r="Y29" s="16">
        <v>375.2</v>
      </c>
    </row>
    <row r="30" spans="1:25" x14ac:dyDescent="0.25">
      <c r="A30" s="23">
        <v>45664</v>
      </c>
      <c r="B30" s="29">
        <v>20</v>
      </c>
      <c r="C30" s="29"/>
      <c r="D30" s="25" t="s">
        <v>65</v>
      </c>
      <c r="E30" s="26" t="s">
        <v>66</v>
      </c>
      <c r="F30" s="26"/>
      <c r="G30" s="25" t="s">
        <v>13</v>
      </c>
      <c r="H30" s="25" t="s">
        <v>67</v>
      </c>
      <c r="I30" s="27">
        <v>15600.04</v>
      </c>
      <c r="J30" s="58"/>
      <c r="K30" s="24">
        <v>144</v>
      </c>
      <c r="L30" s="2" t="s">
        <v>226</v>
      </c>
      <c r="M30" s="7" t="s">
        <v>228</v>
      </c>
      <c r="N30" s="2" t="s">
        <v>12</v>
      </c>
      <c r="O30" s="2"/>
      <c r="P30" s="21" t="s">
        <v>12</v>
      </c>
      <c r="Q30" s="24" t="s">
        <v>81</v>
      </c>
      <c r="R30" s="24" t="s">
        <v>75</v>
      </c>
      <c r="U30" s="13">
        <v>0.06</v>
      </c>
      <c r="V30" s="14" t="s">
        <v>12</v>
      </c>
      <c r="W30" s="16">
        <v>328.72</v>
      </c>
      <c r="X30" s="17" t="s">
        <v>19</v>
      </c>
      <c r="Y30" s="16">
        <v>337.67</v>
      </c>
    </row>
    <row r="31" spans="1:25" x14ac:dyDescent="0.25">
      <c r="A31" s="23">
        <v>45664</v>
      </c>
      <c r="B31" s="29">
        <v>21</v>
      </c>
      <c r="C31" s="29"/>
      <c r="D31" s="25" t="s">
        <v>68</v>
      </c>
      <c r="E31" s="26" t="s">
        <v>12</v>
      </c>
      <c r="F31" s="26"/>
      <c r="G31" s="25" t="s">
        <v>13</v>
      </c>
      <c r="H31" s="25" t="s">
        <v>69</v>
      </c>
      <c r="I31" s="27">
        <v>2288.37</v>
      </c>
      <c r="J31" s="58"/>
      <c r="K31" s="24">
        <v>24</v>
      </c>
      <c r="L31" s="2" t="s">
        <v>226</v>
      </c>
      <c r="M31" s="7"/>
      <c r="N31" s="2" t="s">
        <v>12</v>
      </c>
      <c r="O31" s="2"/>
      <c r="P31" s="21" t="s">
        <v>12</v>
      </c>
      <c r="Q31" s="24" t="s">
        <v>12</v>
      </c>
      <c r="R31" s="24" t="s">
        <v>12</v>
      </c>
      <c r="U31" s="13">
        <v>0.05</v>
      </c>
      <c r="V31" s="15" t="s">
        <v>12</v>
      </c>
      <c r="W31" s="16">
        <v>305.64</v>
      </c>
      <c r="X31" s="17" t="s">
        <v>19</v>
      </c>
      <c r="Y31" s="16">
        <v>328.71</v>
      </c>
    </row>
    <row r="32" spans="1:25" x14ac:dyDescent="0.25">
      <c r="A32" s="23">
        <v>45664</v>
      </c>
      <c r="B32" s="29">
        <v>22</v>
      </c>
      <c r="C32" s="29"/>
      <c r="D32" s="25" t="s">
        <v>70</v>
      </c>
      <c r="E32" s="26" t="s">
        <v>71</v>
      </c>
      <c r="F32" s="26"/>
      <c r="G32" s="25" t="s">
        <v>13</v>
      </c>
      <c r="H32" s="25" t="s">
        <v>72</v>
      </c>
      <c r="I32" s="27">
        <v>4668.8500000000004</v>
      </c>
      <c r="J32" s="58"/>
      <c r="K32" s="24">
        <v>48</v>
      </c>
      <c r="L32" s="2" t="s">
        <v>226</v>
      </c>
      <c r="M32" s="7"/>
      <c r="N32" s="2" t="s">
        <v>12</v>
      </c>
      <c r="O32" s="2"/>
      <c r="P32" s="21" t="s">
        <v>12</v>
      </c>
      <c r="Q32" s="24" t="s">
        <v>82</v>
      </c>
      <c r="R32" s="24" t="s">
        <v>75</v>
      </c>
      <c r="U32" s="13">
        <v>0.04</v>
      </c>
      <c r="V32" s="14" t="s">
        <v>12</v>
      </c>
      <c r="W32" s="16">
        <v>285.58999999999997</v>
      </c>
      <c r="X32" s="17" t="s">
        <v>19</v>
      </c>
      <c r="Y32" s="16">
        <v>305.63</v>
      </c>
    </row>
    <row r="33" spans="1:25" x14ac:dyDescent="0.25">
      <c r="A33" s="23">
        <v>45664</v>
      </c>
      <c r="B33" s="29">
        <v>23</v>
      </c>
      <c r="C33" s="29"/>
      <c r="D33" s="25" t="s">
        <v>87</v>
      </c>
      <c r="E33" s="26" t="s">
        <v>88</v>
      </c>
      <c r="F33" s="26"/>
      <c r="G33" s="25" t="s">
        <v>13</v>
      </c>
      <c r="H33" s="25" t="s">
        <v>89</v>
      </c>
      <c r="I33" s="27">
        <v>86323.42</v>
      </c>
      <c r="J33" s="58"/>
      <c r="K33" s="24">
        <v>1200</v>
      </c>
      <c r="L33" s="2" t="s">
        <v>64</v>
      </c>
      <c r="M33" s="2" t="s">
        <v>12</v>
      </c>
      <c r="N33" s="2" t="s">
        <v>12</v>
      </c>
      <c r="O33" s="2" t="s">
        <v>12</v>
      </c>
      <c r="P33" s="21" t="s">
        <v>12</v>
      </c>
      <c r="Q33" s="24" t="s">
        <v>12</v>
      </c>
      <c r="R33" s="24" t="s">
        <v>12</v>
      </c>
      <c r="U33" s="13">
        <v>0.03</v>
      </c>
      <c r="V33" s="14" t="s">
        <v>12</v>
      </c>
      <c r="W33" s="16">
        <v>268.02</v>
      </c>
      <c r="X33" s="17" t="s">
        <v>19</v>
      </c>
      <c r="Y33" s="16">
        <v>285.58</v>
      </c>
    </row>
    <row r="34" spans="1:25" x14ac:dyDescent="0.25">
      <c r="A34" s="23">
        <v>45665</v>
      </c>
      <c r="B34" s="29">
        <v>24</v>
      </c>
      <c r="C34" s="29"/>
      <c r="D34" s="25" t="s">
        <v>90</v>
      </c>
      <c r="E34" s="26" t="s">
        <v>12</v>
      </c>
      <c r="F34" s="26"/>
      <c r="G34" s="25" t="s">
        <v>20</v>
      </c>
      <c r="H34" s="25" t="s">
        <v>91</v>
      </c>
      <c r="I34" s="27">
        <v>16406.46</v>
      </c>
      <c r="J34" s="58"/>
      <c r="K34" s="24" t="s">
        <v>12</v>
      </c>
      <c r="L34" s="2" t="s">
        <v>134</v>
      </c>
      <c r="M34" s="2" t="s">
        <v>2031</v>
      </c>
      <c r="N34" s="2" t="s">
        <v>135</v>
      </c>
      <c r="O34" s="2" t="s">
        <v>136</v>
      </c>
      <c r="P34" s="21" t="s">
        <v>12</v>
      </c>
      <c r="Q34" s="24" t="s">
        <v>12</v>
      </c>
      <c r="R34" s="24" t="s">
        <v>12</v>
      </c>
      <c r="U34" s="13">
        <v>0.02</v>
      </c>
      <c r="V34" s="14" t="s">
        <v>12</v>
      </c>
      <c r="W34" s="16">
        <v>252.57</v>
      </c>
      <c r="X34" s="17" t="s">
        <v>19</v>
      </c>
      <c r="Y34" s="16">
        <v>268.01</v>
      </c>
    </row>
    <row r="35" spans="1:25" x14ac:dyDescent="0.25">
      <c r="A35" s="23">
        <v>45665</v>
      </c>
      <c r="B35" s="29">
        <v>25</v>
      </c>
      <c r="C35" s="29"/>
      <c r="D35" s="25" t="s">
        <v>92</v>
      </c>
      <c r="E35" s="26" t="s">
        <v>93</v>
      </c>
      <c r="F35" s="26"/>
      <c r="G35" s="25" t="s">
        <v>26</v>
      </c>
      <c r="H35" s="25" t="s">
        <v>94</v>
      </c>
      <c r="I35" s="27">
        <v>17023.2</v>
      </c>
      <c r="J35" s="58"/>
      <c r="K35" s="24">
        <v>264</v>
      </c>
      <c r="L35" s="2" t="s">
        <v>64</v>
      </c>
      <c r="M35" s="2" t="s">
        <v>228</v>
      </c>
      <c r="N35" s="2" t="s">
        <v>12</v>
      </c>
      <c r="O35" s="2" t="s">
        <v>12</v>
      </c>
      <c r="P35" s="21" t="s">
        <v>12</v>
      </c>
      <c r="Q35" s="24" t="s">
        <v>12</v>
      </c>
      <c r="R35" s="24" t="s">
        <v>12</v>
      </c>
    </row>
    <row r="36" spans="1:25" x14ac:dyDescent="0.25">
      <c r="A36" s="23">
        <v>45664</v>
      </c>
      <c r="B36" s="29">
        <v>26</v>
      </c>
      <c r="C36" s="29"/>
      <c r="D36" s="25" t="s">
        <v>95</v>
      </c>
      <c r="E36" s="26" t="s">
        <v>96</v>
      </c>
      <c r="F36" s="26"/>
      <c r="G36" s="25" t="s">
        <v>97</v>
      </c>
      <c r="H36" s="25" t="s">
        <v>98</v>
      </c>
      <c r="I36" s="27">
        <v>76571.13</v>
      </c>
      <c r="J36" s="58"/>
      <c r="K36" s="24">
        <v>888</v>
      </c>
      <c r="L36" s="2" t="s">
        <v>64</v>
      </c>
      <c r="M36" s="2" t="s">
        <v>12</v>
      </c>
      <c r="N36" s="2" t="s">
        <v>12</v>
      </c>
      <c r="O36" s="2" t="s">
        <v>12</v>
      </c>
      <c r="P36" s="21" t="s">
        <v>12</v>
      </c>
      <c r="Q36" s="24" t="s">
        <v>12</v>
      </c>
      <c r="R36" s="24" t="s">
        <v>12</v>
      </c>
    </row>
    <row r="37" spans="1:25" x14ac:dyDescent="0.25">
      <c r="A37" s="23">
        <v>45665</v>
      </c>
      <c r="B37" s="29">
        <v>27</v>
      </c>
      <c r="C37" s="29"/>
      <c r="D37" s="25" t="s">
        <v>99</v>
      </c>
      <c r="E37" s="26" t="s">
        <v>100</v>
      </c>
      <c r="F37" s="26"/>
      <c r="G37" s="25" t="s">
        <v>20</v>
      </c>
      <c r="H37" s="25" t="s">
        <v>101</v>
      </c>
      <c r="I37" s="27">
        <v>70206.27</v>
      </c>
      <c r="J37" s="58"/>
      <c r="K37" s="24">
        <v>840</v>
      </c>
      <c r="L37" s="2" t="s">
        <v>64</v>
      </c>
      <c r="M37" s="2" t="s">
        <v>12</v>
      </c>
      <c r="N37" s="2" t="s">
        <v>12</v>
      </c>
      <c r="O37" s="2" t="s">
        <v>12</v>
      </c>
      <c r="P37" s="21" t="s">
        <v>12</v>
      </c>
      <c r="Q37" s="24" t="s">
        <v>12</v>
      </c>
      <c r="R37" s="24" t="s">
        <v>12</v>
      </c>
    </row>
    <row r="38" spans="1:25" x14ac:dyDescent="0.25">
      <c r="A38" s="23">
        <v>45665</v>
      </c>
      <c r="B38" s="29">
        <v>28</v>
      </c>
      <c r="C38" s="29"/>
      <c r="D38" s="25" t="s">
        <v>102</v>
      </c>
      <c r="E38" s="26" t="s">
        <v>12</v>
      </c>
      <c r="F38" s="26"/>
      <c r="G38" s="25" t="s">
        <v>13</v>
      </c>
      <c r="H38" s="25" t="s">
        <v>94</v>
      </c>
      <c r="I38" s="27">
        <v>1595.63</v>
      </c>
      <c r="J38" s="58"/>
      <c r="K38" s="24">
        <v>24</v>
      </c>
      <c r="L38" s="2" t="s">
        <v>64</v>
      </c>
      <c r="M38" s="2" t="s">
        <v>12</v>
      </c>
      <c r="N38" s="2" t="s">
        <v>12</v>
      </c>
      <c r="O38" s="2" t="s">
        <v>12</v>
      </c>
      <c r="P38" s="21" t="s">
        <v>12</v>
      </c>
      <c r="Q38" s="24" t="s">
        <v>12</v>
      </c>
      <c r="R38" s="24" t="s">
        <v>12</v>
      </c>
    </row>
    <row r="39" spans="1:25" x14ac:dyDescent="0.25">
      <c r="A39" s="23">
        <v>45665</v>
      </c>
      <c r="B39" s="29">
        <v>29</v>
      </c>
      <c r="C39" s="29"/>
      <c r="D39" s="25" t="s">
        <v>103</v>
      </c>
      <c r="E39" s="26" t="s">
        <v>104</v>
      </c>
      <c r="F39" s="26"/>
      <c r="G39" s="25" t="s">
        <v>13</v>
      </c>
      <c r="H39" s="25" t="s">
        <v>105</v>
      </c>
      <c r="I39" s="27">
        <v>6177.05</v>
      </c>
      <c r="J39" s="58"/>
      <c r="K39" s="24">
        <v>48</v>
      </c>
      <c r="L39" s="2" t="s">
        <v>226</v>
      </c>
      <c r="M39" s="2" t="s">
        <v>12</v>
      </c>
      <c r="N39" s="2" t="s">
        <v>12</v>
      </c>
      <c r="O39" s="2" t="s">
        <v>12</v>
      </c>
      <c r="P39" s="21" t="s">
        <v>12</v>
      </c>
      <c r="Q39" s="24" t="s">
        <v>12</v>
      </c>
      <c r="R39" s="24" t="s">
        <v>12</v>
      </c>
    </row>
    <row r="40" spans="1:25" x14ac:dyDescent="0.25">
      <c r="A40" s="23">
        <v>45665</v>
      </c>
      <c r="B40" s="29">
        <v>30</v>
      </c>
      <c r="C40" s="29"/>
      <c r="D40" s="25" t="s">
        <v>106</v>
      </c>
      <c r="E40" s="26" t="s">
        <v>12</v>
      </c>
      <c r="F40" s="26"/>
      <c r="G40" s="25" t="s">
        <v>13</v>
      </c>
      <c r="H40" s="25" t="s">
        <v>40</v>
      </c>
      <c r="I40" s="27">
        <v>3975.32</v>
      </c>
      <c r="J40" s="58"/>
      <c r="K40" s="24">
        <v>48</v>
      </c>
      <c r="L40" s="2" t="s">
        <v>226</v>
      </c>
      <c r="M40" s="2" t="s">
        <v>230</v>
      </c>
      <c r="N40" s="2" t="s">
        <v>12</v>
      </c>
      <c r="O40" s="2" t="s">
        <v>12</v>
      </c>
      <c r="P40" s="21" t="s">
        <v>12</v>
      </c>
      <c r="Q40" s="24" t="s">
        <v>12</v>
      </c>
      <c r="R40" s="24" t="s">
        <v>12</v>
      </c>
    </row>
    <row r="41" spans="1:25" x14ac:dyDescent="0.25">
      <c r="A41" s="23">
        <v>45665</v>
      </c>
      <c r="B41" s="29">
        <v>31</v>
      </c>
      <c r="C41" s="29"/>
      <c r="D41" s="25" t="s">
        <v>107</v>
      </c>
      <c r="E41" s="26" t="s">
        <v>12</v>
      </c>
      <c r="F41" s="26"/>
      <c r="G41" s="25" t="s">
        <v>13</v>
      </c>
      <c r="H41" s="25" t="s">
        <v>108</v>
      </c>
      <c r="I41" s="27">
        <v>728.5</v>
      </c>
      <c r="J41" s="58"/>
      <c r="K41" s="24" t="s">
        <v>12</v>
      </c>
      <c r="L41" s="2" t="s">
        <v>226</v>
      </c>
      <c r="M41" s="2" t="s">
        <v>12</v>
      </c>
      <c r="N41" s="2" t="s">
        <v>12</v>
      </c>
      <c r="O41" s="2" t="s">
        <v>12</v>
      </c>
      <c r="P41" s="21" t="s">
        <v>12</v>
      </c>
      <c r="Q41" s="24" t="s">
        <v>12</v>
      </c>
      <c r="R41" s="24" t="s">
        <v>12</v>
      </c>
    </row>
    <row r="42" spans="1:25" x14ac:dyDescent="0.25">
      <c r="A42" s="23">
        <v>45665</v>
      </c>
      <c r="B42" s="29">
        <v>32</v>
      </c>
      <c r="C42" s="29"/>
      <c r="D42" s="25" t="s">
        <v>109</v>
      </c>
      <c r="E42" s="26" t="s">
        <v>110</v>
      </c>
      <c r="F42" s="26"/>
      <c r="G42" s="25" t="s">
        <v>111</v>
      </c>
      <c r="H42" s="25" t="s">
        <v>112</v>
      </c>
      <c r="I42" s="27">
        <v>1207781.3400000001</v>
      </c>
      <c r="J42" s="58"/>
      <c r="K42" s="24">
        <v>15144</v>
      </c>
      <c r="L42" s="2" t="s">
        <v>226</v>
      </c>
      <c r="M42" s="2" t="s">
        <v>1276</v>
      </c>
      <c r="N42" s="2" t="s">
        <v>12</v>
      </c>
      <c r="O42" s="2" t="s">
        <v>12</v>
      </c>
      <c r="P42" s="21" t="s">
        <v>12</v>
      </c>
      <c r="Q42" s="24" t="s">
        <v>12</v>
      </c>
      <c r="R42" s="24" t="s">
        <v>12</v>
      </c>
    </row>
    <row r="43" spans="1:25" x14ac:dyDescent="0.25">
      <c r="A43" s="23">
        <v>45665</v>
      </c>
      <c r="B43" s="29">
        <v>33</v>
      </c>
      <c r="C43" s="29"/>
      <c r="D43" s="25" t="s">
        <v>109</v>
      </c>
      <c r="E43" s="26" t="s">
        <v>113</v>
      </c>
      <c r="F43" s="26"/>
      <c r="G43" s="25" t="s">
        <v>111</v>
      </c>
      <c r="H43" s="25" t="s">
        <v>114</v>
      </c>
      <c r="I43" s="27">
        <v>48379.54</v>
      </c>
      <c r="J43" s="58"/>
      <c r="K43" s="24">
        <v>528</v>
      </c>
      <c r="L43" s="2" t="s">
        <v>226</v>
      </c>
      <c r="M43" s="2" t="s">
        <v>12</v>
      </c>
      <c r="N43" s="2" t="s">
        <v>12</v>
      </c>
      <c r="O43" s="2" t="s">
        <v>12</v>
      </c>
      <c r="P43" s="21" t="s">
        <v>12</v>
      </c>
      <c r="Q43" s="24" t="s">
        <v>12</v>
      </c>
      <c r="R43" s="24" t="s">
        <v>12</v>
      </c>
    </row>
    <row r="44" spans="1:25" x14ac:dyDescent="0.25">
      <c r="A44" s="23">
        <v>45665</v>
      </c>
      <c r="B44" s="29">
        <v>34</v>
      </c>
      <c r="C44" s="29"/>
      <c r="D44" s="25" t="s">
        <v>115</v>
      </c>
      <c r="E44" s="26" t="s">
        <v>12</v>
      </c>
      <c r="F44" s="26"/>
      <c r="G44" s="25" t="s">
        <v>20</v>
      </c>
      <c r="H44" s="25" t="s">
        <v>116</v>
      </c>
      <c r="I44" s="27">
        <v>3110.21</v>
      </c>
      <c r="J44" s="58"/>
      <c r="K44" s="24">
        <v>48</v>
      </c>
      <c r="L44" s="2" t="s">
        <v>64</v>
      </c>
      <c r="M44" s="2" t="s">
        <v>12</v>
      </c>
      <c r="N44" s="2" t="s">
        <v>12</v>
      </c>
      <c r="O44" s="2" t="s">
        <v>12</v>
      </c>
      <c r="P44" s="21" t="s">
        <v>12</v>
      </c>
      <c r="Q44" s="24" t="s">
        <v>12</v>
      </c>
      <c r="R44" s="24" t="s">
        <v>12</v>
      </c>
    </row>
    <row r="45" spans="1:25" x14ac:dyDescent="0.25">
      <c r="A45" s="23">
        <v>45665</v>
      </c>
      <c r="B45" s="29">
        <v>35</v>
      </c>
      <c r="C45" s="29"/>
      <c r="D45" s="25" t="s">
        <v>117</v>
      </c>
      <c r="E45" s="26" t="s">
        <v>118</v>
      </c>
      <c r="F45" s="26"/>
      <c r="G45" s="25" t="s">
        <v>97</v>
      </c>
      <c r="H45" s="25" t="s">
        <v>119</v>
      </c>
      <c r="I45" s="27">
        <v>61538.58</v>
      </c>
      <c r="J45" s="58"/>
      <c r="K45" s="24">
        <v>672</v>
      </c>
      <c r="L45" s="2" t="s">
        <v>226</v>
      </c>
      <c r="M45" s="2" t="s">
        <v>587</v>
      </c>
      <c r="N45" s="2" t="s">
        <v>12</v>
      </c>
      <c r="O45" s="2" t="s">
        <v>12</v>
      </c>
      <c r="P45" s="21" t="s">
        <v>12</v>
      </c>
      <c r="Q45" s="24" t="s">
        <v>132</v>
      </c>
      <c r="R45" s="24" t="s">
        <v>75</v>
      </c>
    </row>
    <row r="46" spans="1:25" x14ac:dyDescent="0.25">
      <c r="A46" s="23">
        <v>45665</v>
      </c>
      <c r="B46" s="29">
        <v>36</v>
      </c>
      <c r="C46" s="29"/>
      <c r="D46" s="25" t="s">
        <v>137</v>
      </c>
      <c r="E46" s="26" t="s">
        <v>120</v>
      </c>
      <c r="F46" s="26"/>
      <c r="G46" s="25" t="s">
        <v>26</v>
      </c>
      <c r="H46" s="25" t="s">
        <v>121</v>
      </c>
      <c r="I46" s="27">
        <v>257079.26</v>
      </c>
      <c r="J46" s="58"/>
      <c r="K46" s="24">
        <v>2592</v>
      </c>
      <c r="L46" s="2" t="s">
        <v>226</v>
      </c>
      <c r="M46" s="2" t="s">
        <v>12</v>
      </c>
      <c r="N46" s="2" t="s">
        <v>12</v>
      </c>
      <c r="O46" s="2" t="s">
        <v>12</v>
      </c>
      <c r="P46" s="21" t="s">
        <v>12</v>
      </c>
      <c r="Q46" s="24" t="s">
        <v>78</v>
      </c>
      <c r="R46" s="24" t="s">
        <v>75</v>
      </c>
    </row>
    <row r="47" spans="1:25" x14ac:dyDescent="0.25">
      <c r="A47" s="23">
        <v>45665</v>
      </c>
      <c r="B47" s="29">
        <v>37</v>
      </c>
      <c r="C47" s="29"/>
      <c r="D47" s="25" t="s">
        <v>137</v>
      </c>
      <c r="E47" s="26" t="s">
        <v>122</v>
      </c>
      <c r="F47" s="26"/>
      <c r="G47" s="25" t="s">
        <v>26</v>
      </c>
      <c r="H47" s="25" t="s">
        <v>121</v>
      </c>
      <c r="I47" s="27">
        <v>238482.66</v>
      </c>
      <c r="J47" s="58"/>
      <c r="K47" s="24">
        <v>2402.4</v>
      </c>
      <c r="L47" s="2" t="s">
        <v>226</v>
      </c>
      <c r="M47" s="2" t="s">
        <v>12</v>
      </c>
      <c r="N47" s="2" t="s">
        <v>12</v>
      </c>
      <c r="O47" s="2" t="s">
        <v>12</v>
      </c>
      <c r="P47" s="21" t="s">
        <v>12</v>
      </c>
      <c r="Q47" s="24" t="s">
        <v>78</v>
      </c>
      <c r="R47" s="24" t="s">
        <v>75</v>
      </c>
    </row>
    <row r="48" spans="1:25" x14ac:dyDescent="0.25">
      <c r="A48" s="23">
        <v>45665</v>
      </c>
      <c r="B48" s="29">
        <v>38</v>
      </c>
      <c r="C48" s="29"/>
      <c r="D48" s="25" t="s">
        <v>137</v>
      </c>
      <c r="E48" s="26" t="s">
        <v>123</v>
      </c>
      <c r="F48" s="26"/>
      <c r="G48" s="25" t="s">
        <v>26</v>
      </c>
      <c r="H48" s="25" t="s">
        <v>121</v>
      </c>
      <c r="I48" s="27">
        <v>170730.37</v>
      </c>
      <c r="J48" s="58"/>
      <c r="K48" s="24">
        <v>1729.2</v>
      </c>
      <c r="L48" s="2" t="s">
        <v>226</v>
      </c>
      <c r="M48" s="2" t="s">
        <v>12</v>
      </c>
      <c r="N48" s="2" t="s">
        <v>12</v>
      </c>
      <c r="O48" s="2" t="s">
        <v>12</v>
      </c>
      <c r="P48" s="21" t="s">
        <v>12</v>
      </c>
      <c r="Q48" s="24" t="s">
        <v>78</v>
      </c>
      <c r="R48" s="24" t="s">
        <v>75</v>
      </c>
    </row>
    <row r="49" spans="1:18" x14ac:dyDescent="0.25">
      <c r="A49" s="23">
        <v>45665</v>
      </c>
      <c r="B49" s="29">
        <v>39</v>
      </c>
      <c r="C49" s="29"/>
      <c r="D49" s="25" t="s">
        <v>124</v>
      </c>
      <c r="E49" s="26" t="s">
        <v>125</v>
      </c>
      <c r="F49" s="26"/>
      <c r="G49" s="25" t="s">
        <v>20</v>
      </c>
      <c r="H49" s="25" t="s">
        <v>112</v>
      </c>
      <c r="I49" s="27">
        <v>170134.38</v>
      </c>
      <c r="J49" s="58"/>
      <c r="K49" s="24">
        <v>1944</v>
      </c>
      <c r="L49" s="2" t="s">
        <v>226</v>
      </c>
      <c r="M49" s="2" t="s">
        <v>832</v>
      </c>
      <c r="N49" s="2" t="s">
        <v>12</v>
      </c>
      <c r="O49" s="2" t="s">
        <v>12</v>
      </c>
      <c r="P49" s="21" t="s">
        <v>12</v>
      </c>
      <c r="Q49" s="24" t="s">
        <v>133</v>
      </c>
      <c r="R49" s="24" t="s">
        <v>75</v>
      </c>
    </row>
    <row r="50" spans="1:18" x14ac:dyDescent="0.25">
      <c r="A50" s="23">
        <v>45665</v>
      </c>
      <c r="B50" s="29">
        <v>40</v>
      </c>
      <c r="C50" s="29"/>
      <c r="D50" s="25" t="s">
        <v>126</v>
      </c>
      <c r="E50" s="26" t="s">
        <v>12</v>
      </c>
      <c r="F50" s="26"/>
      <c r="G50" s="25" t="s">
        <v>13</v>
      </c>
      <c r="H50" s="25" t="s">
        <v>127</v>
      </c>
      <c r="I50" s="27">
        <v>9206.41</v>
      </c>
      <c r="J50" s="58"/>
      <c r="K50" s="24">
        <v>120</v>
      </c>
      <c r="L50" s="2" t="s">
        <v>64</v>
      </c>
      <c r="M50" s="2" t="s">
        <v>12</v>
      </c>
      <c r="N50" s="2" t="s">
        <v>12</v>
      </c>
      <c r="O50" s="2" t="s">
        <v>12</v>
      </c>
      <c r="P50" s="21" t="s">
        <v>12</v>
      </c>
      <c r="Q50" s="24" t="s">
        <v>12</v>
      </c>
      <c r="R50" s="24" t="s">
        <v>12</v>
      </c>
    </row>
    <row r="51" spans="1:18" x14ac:dyDescent="0.25">
      <c r="A51" s="23">
        <v>45665</v>
      </c>
      <c r="B51" s="29">
        <v>41</v>
      </c>
      <c r="C51" s="29"/>
      <c r="D51" s="25" t="s">
        <v>128</v>
      </c>
      <c r="E51" s="26" t="s">
        <v>12</v>
      </c>
      <c r="F51" s="26"/>
      <c r="G51" s="25" t="s">
        <v>97</v>
      </c>
      <c r="H51" s="25" t="s">
        <v>129</v>
      </c>
      <c r="I51" s="27">
        <v>9333.2900000000009</v>
      </c>
      <c r="J51" s="58"/>
      <c r="K51" s="24">
        <v>120</v>
      </c>
      <c r="L51" s="2" t="s">
        <v>226</v>
      </c>
      <c r="M51" s="2" t="s">
        <v>12</v>
      </c>
      <c r="N51" s="2" t="s">
        <v>12</v>
      </c>
      <c r="O51" s="2" t="s">
        <v>12</v>
      </c>
      <c r="P51" s="21" t="s">
        <v>12</v>
      </c>
      <c r="Q51" s="24" t="s">
        <v>12</v>
      </c>
      <c r="R51" s="24" t="s">
        <v>12</v>
      </c>
    </row>
    <row r="52" spans="1:18" x14ac:dyDescent="0.25">
      <c r="A52" s="23">
        <v>45665</v>
      </c>
      <c r="B52" s="29">
        <v>42</v>
      </c>
      <c r="C52" s="29"/>
      <c r="D52" s="25" t="s">
        <v>130</v>
      </c>
      <c r="E52" s="26" t="s">
        <v>12</v>
      </c>
      <c r="F52" s="26"/>
      <c r="G52" s="25" t="s">
        <v>26</v>
      </c>
      <c r="H52" s="25" t="s">
        <v>131</v>
      </c>
      <c r="I52" s="27">
        <v>3936.47</v>
      </c>
      <c r="J52" s="58"/>
      <c r="K52" s="24">
        <v>48</v>
      </c>
      <c r="L52" s="2" t="s">
        <v>64</v>
      </c>
      <c r="M52" s="2" t="s">
        <v>12</v>
      </c>
      <c r="N52" s="2" t="s">
        <v>12</v>
      </c>
      <c r="O52" s="2" t="s">
        <v>12</v>
      </c>
      <c r="P52" s="21" t="s">
        <v>12</v>
      </c>
      <c r="Q52" s="24" t="s">
        <v>12</v>
      </c>
      <c r="R52" s="24" t="s">
        <v>12</v>
      </c>
    </row>
    <row r="53" spans="1:18" x14ac:dyDescent="0.25">
      <c r="A53" s="23">
        <v>45666</v>
      </c>
      <c r="B53" s="29">
        <v>43</v>
      </c>
      <c r="C53" s="29"/>
      <c r="D53" s="25" t="s">
        <v>188</v>
      </c>
      <c r="E53" s="26" t="s">
        <v>12</v>
      </c>
      <c r="F53" s="26"/>
      <c r="G53" s="25" t="s">
        <v>13</v>
      </c>
      <c r="H53" s="25" t="s">
        <v>101</v>
      </c>
      <c r="I53" s="27">
        <v>1789.27</v>
      </c>
      <c r="J53" s="58"/>
      <c r="K53" s="24" t="s">
        <v>12</v>
      </c>
      <c r="L53" s="2" t="s">
        <v>226</v>
      </c>
      <c r="M53" s="2" t="s">
        <v>231</v>
      </c>
      <c r="N53" s="2" t="s">
        <v>12</v>
      </c>
      <c r="O53" s="2" t="s">
        <v>12</v>
      </c>
      <c r="P53" s="21" t="s">
        <v>12</v>
      </c>
      <c r="Q53" s="24" t="s">
        <v>12</v>
      </c>
      <c r="R53" s="24" t="s">
        <v>12</v>
      </c>
    </row>
    <row r="54" spans="1:18" x14ac:dyDescent="0.25">
      <c r="A54" s="23">
        <v>45666</v>
      </c>
      <c r="B54" s="29">
        <v>44</v>
      </c>
      <c r="C54" s="29"/>
      <c r="D54" s="25" t="s">
        <v>370</v>
      </c>
      <c r="E54" s="26" t="s">
        <v>147</v>
      </c>
      <c r="F54" s="26"/>
      <c r="G54" s="25" t="s">
        <v>26</v>
      </c>
      <c r="H54" s="25" t="s">
        <v>148</v>
      </c>
      <c r="I54" s="27">
        <v>13466.98</v>
      </c>
      <c r="J54" s="58"/>
      <c r="K54" s="24">
        <v>144</v>
      </c>
      <c r="L54" s="2" t="s">
        <v>226</v>
      </c>
      <c r="M54" s="2" t="s">
        <v>371</v>
      </c>
      <c r="N54" s="2" t="s">
        <v>12</v>
      </c>
      <c r="O54" s="2" t="s">
        <v>12</v>
      </c>
      <c r="P54" s="21" t="s">
        <v>12</v>
      </c>
      <c r="Q54" s="24" t="s">
        <v>193</v>
      </c>
      <c r="R54" s="24" t="s">
        <v>75</v>
      </c>
    </row>
    <row r="55" spans="1:18" x14ac:dyDescent="0.25">
      <c r="A55" s="23">
        <v>45666</v>
      </c>
      <c r="B55" s="29">
        <v>45</v>
      </c>
      <c r="C55" s="29"/>
      <c r="D55" s="25" t="s">
        <v>149</v>
      </c>
      <c r="E55" s="26" t="s">
        <v>150</v>
      </c>
      <c r="F55" s="26"/>
      <c r="G55" s="25" t="s">
        <v>26</v>
      </c>
      <c r="H55" s="25" t="s">
        <v>121</v>
      </c>
      <c r="I55" s="27">
        <v>177912.42</v>
      </c>
      <c r="J55" s="58"/>
      <c r="K55" s="24">
        <v>1760.4</v>
      </c>
      <c r="L55" s="2" t="s">
        <v>226</v>
      </c>
      <c r="M55" s="2" t="s">
        <v>12</v>
      </c>
      <c r="N55" s="2" t="s">
        <v>12</v>
      </c>
      <c r="O55" s="2" t="s">
        <v>12</v>
      </c>
      <c r="P55" s="21" t="s">
        <v>12</v>
      </c>
      <c r="Q55" s="24" t="s">
        <v>77</v>
      </c>
      <c r="R55" s="24" t="s">
        <v>75</v>
      </c>
    </row>
    <row r="56" spans="1:18" x14ac:dyDescent="0.25">
      <c r="A56" s="23">
        <v>45667</v>
      </c>
      <c r="B56" s="29">
        <v>46</v>
      </c>
      <c r="C56" s="29"/>
      <c r="D56" s="25" t="s">
        <v>151</v>
      </c>
      <c r="E56" s="26" t="s">
        <v>12</v>
      </c>
      <c r="F56" s="26"/>
      <c r="G56" s="25" t="s">
        <v>13</v>
      </c>
      <c r="H56" s="25" t="s">
        <v>152</v>
      </c>
      <c r="I56" s="27">
        <v>4417.5</v>
      </c>
      <c r="J56" s="58"/>
      <c r="K56" s="24" t="s">
        <v>12</v>
      </c>
      <c r="L56" s="2" t="s">
        <v>64</v>
      </c>
      <c r="M56" s="2" t="s">
        <v>12</v>
      </c>
      <c r="N56" s="2" t="s">
        <v>12</v>
      </c>
      <c r="O56" s="2" t="s">
        <v>12</v>
      </c>
      <c r="P56" s="21" t="s">
        <v>12</v>
      </c>
      <c r="Q56" s="24" t="s">
        <v>12</v>
      </c>
      <c r="R56" s="24" t="s">
        <v>12</v>
      </c>
    </row>
    <row r="57" spans="1:18" x14ac:dyDescent="0.25">
      <c r="A57" s="30">
        <v>45667</v>
      </c>
      <c r="B57" s="28">
        <v>47</v>
      </c>
      <c r="C57" s="28"/>
      <c r="D57" s="2" t="s">
        <v>124</v>
      </c>
      <c r="E57" s="7" t="s">
        <v>153</v>
      </c>
      <c r="F57" s="7"/>
      <c r="G57" s="2" t="s">
        <v>20</v>
      </c>
      <c r="H57" s="2" t="s">
        <v>154</v>
      </c>
      <c r="I57" s="5">
        <v>4198.0200000000004</v>
      </c>
      <c r="J57" s="57"/>
      <c r="K57" s="3">
        <v>48</v>
      </c>
      <c r="L57" s="2" t="s">
        <v>226</v>
      </c>
      <c r="M57" s="2" t="s">
        <v>12</v>
      </c>
      <c r="N57" s="2" t="s">
        <v>12</v>
      </c>
      <c r="O57" s="2" t="s">
        <v>12</v>
      </c>
      <c r="P57" s="21" t="s">
        <v>12</v>
      </c>
      <c r="Q57" s="3" t="s">
        <v>124</v>
      </c>
      <c r="R57" s="3" t="s">
        <v>194</v>
      </c>
    </row>
    <row r="58" spans="1:18" x14ac:dyDescent="0.25">
      <c r="A58" s="30">
        <v>45667</v>
      </c>
      <c r="B58" s="28">
        <v>48</v>
      </c>
      <c r="C58" s="28"/>
      <c r="D58" s="2" t="s">
        <v>155</v>
      </c>
      <c r="E58" s="7" t="s">
        <v>156</v>
      </c>
      <c r="F58" s="7"/>
      <c r="G58" s="2" t="s">
        <v>26</v>
      </c>
      <c r="H58" s="2" t="s">
        <v>112</v>
      </c>
      <c r="I58" s="5">
        <v>52358.28</v>
      </c>
      <c r="J58" s="57"/>
      <c r="K58" s="3">
        <v>456</v>
      </c>
      <c r="L58" s="2" t="s">
        <v>226</v>
      </c>
      <c r="M58" s="2" t="s">
        <v>12</v>
      </c>
      <c r="N58" s="2" t="s">
        <v>12</v>
      </c>
      <c r="O58" s="2" t="s">
        <v>12</v>
      </c>
      <c r="P58" s="21" t="s">
        <v>12</v>
      </c>
      <c r="Q58" s="3" t="s">
        <v>12</v>
      </c>
      <c r="R58" s="3" t="s">
        <v>12</v>
      </c>
    </row>
    <row r="59" spans="1:18" x14ac:dyDescent="0.25">
      <c r="A59" s="30">
        <v>45667</v>
      </c>
      <c r="B59" s="28">
        <v>49</v>
      </c>
      <c r="C59" s="28"/>
      <c r="D59" s="2" t="s">
        <v>41</v>
      </c>
      <c r="E59" s="7" t="s">
        <v>157</v>
      </c>
      <c r="F59" s="7"/>
      <c r="G59" s="2" t="s">
        <v>43</v>
      </c>
      <c r="H59" s="2" t="s">
        <v>158</v>
      </c>
      <c r="I59" s="5">
        <v>8086.95</v>
      </c>
      <c r="J59" s="57"/>
      <c r="K59" s="3">
        <v>144</v>
      </c>
      <c r="L59" s="2" t="s">
        <v>64</v>
      </c>
      <c r="M59" s="2" t="s">
        <v>12</v>
      </c>
      <c r="N59" s="2" t="s">
        <v>12</v>
      </c>
      <c r="O59" s="2" t="s">
        <v>12</v>
      </c>
      <c r="P59" s="21" t="s">
        <v>12</v>
      </c>
      <c r="Q59" s="3" t="s">
        <v>12</v>
      </c>
      <c r="R59" s="3" t="s">
        <v>12</v>
      </c>
    </row>
    <row r="60" spans="1:18" x14ac:dyDescent="0.25">
      <c r="A60" s="30">
        <v>45667</v>
      </c>
      <c r="B60" s="28">
        <v>50</v>
      </c>
      <c r="C60" s="28"/>
      <c r="D60" s="2" t="s">
        <v>149</v>
      </c>
      <c r="E60" s="7" t="s">
        <v>159</v>
      </c>
      <c r="F60" s="7"/>
      <c r="G60" s="2" t="s">
        <v>13</v>
      </c>
      <c r="H60" s="2" t="s">
        <v>121</v>
      </c>
      <c r="I60" s="5">
        <v>88793.64</v>
      </c>
      <c r="J60" s="57"/>
      <c r="K60" s="3">
        <v>840</v>
      </c>
      <c r="L60" s="2" t="s">
        <v>226</v>
      </c>
      <c r="M60" s="2" t="s">
        <v>12</v>
      </c>
      <c r="N60" s="2" t="s">
        <v>12</v>
      </c>
      <c r="O60" s="2" t="s">
        <v>12</v>
      </c>
      <c r="P60" s="21" t="s">
        <v>12</v>
      </c>
      <c r="Q60" s="3" t="s">
        <v>12</v>
      </c>
      <c r="R60" s="3" t="s">
        <v>12</v>
      </c>
    </row>
    <row r="61" spans="1:18" x14ac:dyDescent="0.25">
      <c r="A61" s="30">
        <v>45667</v>
      </c>
      <c r="B61" s="28">
        <v>51</v>
      </c>
      <c r="C61" s="28"/>
      <c r="D61" s="2" t="s">
        <v>160</v>
      </c>
      <c r="E61" s="7" t="s">
        <v>161</v>
      </c>
      <c r="F61" s="7"/>
      <c r="G61" s="2" t="s">
        <v>13</v>
      </c>
      <c r="H61" s="2" t="s">
        <v>162</v>
      </c>
      <c r="I61" s="5">
        <v>34000</v>
      </c>
      <c r="J61" s="57"/>
      <c r="K61" s="3">
        <v>576</v>
      </c>
      <c r="L61" s="2" t="s">
        <v>64</v>
      </c>
      <c r="M61" s="2" t="s">
        <v>12</v>
      </c>
      <c r="N61" s="2" t="s">
        <v>12</v>
      </c>
      <c r="O61" s="2" t="s">
        <v>12</v>
      </c>
      <c r="P61" s="21" t="s">
        <v>12</v>
      </c>
      <c r="Q61" s="3" t="s">
        <v>12</v>
      </c>
      <c r="R61" s="3" t="s">
        <v>12</v>
      </c>
    </row>
    <row r="62" spans="1:18" x14ac:dyDescent="0.25">
      <c r="A62" s="30">
        <v>45667</v>
      </c>
      <c r="B62" s="28">
        <v>52</v>
      </c>
      <c r="C62" s="28"/>
      <c r="D62" s="2" t="s">
        <v>190</v>
      </c>
      <c r="E62" s="7" t="s">
        <v>191</v>
      </c>
      <c r="F62" s="7"/>
      <c r="G62" s="2" t="s">
        <v>111</v>
      </c>
      <c r="H62" s="2" t="s">
        <v>446</v>
      </c>
      <c r="I62" s="5">
        <v>123973.35</v>
      </c>
      <c r="J62" s="57"/>
      <c r="K62" s="3"/>
      <c r="L62" s="2" t="s">
        <v>226</v>
      </c>
      <c r="M62" s="2"/>
      <c r="N62" s="2"/>
      <c r="O62" s="2"/>
      <c r="P62" s="21"/>
      <c r="Q62" s="3"/>
      <c r="R62" s="3"/>
    </row>
    <row r="63" spans="1:18" x14ac:dyDescent="0.25">
      <c r="A63" s="30">
        <v>45667</v>
      </c>
      <c r="B63" s="28">
        <v>53</v>
      </c>
      <c r="C63" s="28"/>
      <c r="D63" s="2" t="s">
        <v>190</v>
      </c>
      <c r="E63" s="7" t="s">
        <v>192</v>
      </c>
      <c r="F63" s="7"/>
      <c r="G63" s="2" t="s">
        <v>111</v>
      </c>
      <c r="H63" s="2" t="s">
        <v>446</v>
      </c>
      <c r="I63" s="5">
        <v>154829.39000000001</v>
      </c>
      <c r="J63" s="57"/>
      <c r="K63" s="3"/>
      <c r="L63" s="2" t="s">
        <v>226</v>
      </c>
      <c r="M63" s="2"/>
      <c r="N63" s="2"/>
      <c r="O63" s="2"/>
      <c r="P63" s="21"/>
      <c r="Q63" s="3"/>
      <c r="R63" s="3"/>
    </row>
    <row r="64" spans="1:18" x14ac:dyDescent="0.25">
      <c r="A64" s="30">
        <v>45667</v>
      </c>
      <c r="B64" s="28">
        <v>54</v>
      </c>
      <c r="C64" s="28"/>
      <c r="D64" s="2" t="s">
        <v>163</v>
      </c>
      <c r="E64" s="7" t="s">
        <v>164</v>
      </c>
      <c r="F64" s="7"/>
      <c r="G64" s="2" t="s">
        <v>97</v>
      </c>
      <c r="H64" s="2" t="s">
        <v>189</v>
      </c>
      <c r="I64" s="5">
        <v>73497.59</v>
      </c>
      <c r="J64" s="57"/>
      <c r="K64" s="3">
        <v>672</v>
      </c>
      <c r="L64" s="2" t="s">
        <v>226</v>
      </c>
      <c r="M64" s="2" t="s">
        <v>372</v>
      </c>
      <c r="N64" s="2" t="s">
        <v>12</v>
      </c>
      <c r="O64" s="2" t="s">
        <v>12</v>
      </c>
      <c r="P64" s="21" t="s">
        <v>12</v>
      </c>
      <c r="Q64" s="3" t="s">
        <v>12</v>
      </c>
      <c r="R64" s="3" t="s">
        <v>12</v>
      </c>
    </row>
    <row r="65" spans="1:18" x14ac:dyDescent="0.25">
      <c r="A65" s="30">
        <v>45667</v>
      </c>
      <c r="B65" s="28">
        <v>55</v>
      </c>
      <c r="C65" s="28"/>
      <c r="D65" s="2" t="s">
        <v>165</v>
      </c>
      <c r="E65" s="7" t="s">
        <v>166</v>
      </c>
      <c r="F65" s="7"/>
      <c r="G65" s="2" t="s">
        <v>97</v>
      </c>
      <c r="H65" s="2" t="s">
        <v>167</v>
      </c>
      <c r="I65" s="5">
        <v>275605.01</v>
      </c>
      <c r="J65" s="57"/>
      <c r="K65" s="3">
        <v>3600</v>
      </c>
      <c r="L65" s="2" t="s">
        <v>226</v>
      </c>
      <c r="M65" s="2" t="s">
        <v>760</v>
      </c>
      <c r="N65" s="2" t="s">
        <v>12</v>
      </c>
      <c r="O65" s="2" t="s">
        <v>12</v>
      </c>
      <c r="P65" s="21" t="s">
        <v>12</v>
      </c>
      <c r="Q65" s="3" t="s">
        <v>12</v>
      </c>
      <c r="R65" s="3" t="s">
        <v>12</v>
      </c>
    </row>
    <row r="66" spans="1:18" x14ac:dyDescent="0.25">
      <c r="A66" s="30">
        <v>45667</v>
      </c>
      <c r="B66" s="28">
        <v>56</v>
      </c>
      <c r="C66" s="28"/>
      <c r="D66" s="2" t="s">
        <v>168</v>
      </c>
      <c r="E66" s="7" t="s">
        <v>169</v>
      </c>
      <c r="F66" s="7"/>
      <c r="G66" s="2" t="s">
        <v>43</v>
      </c>
      <c r="H66" s="2" t="s">
        <v>170</v>
      </c>
      <c r="I66" s="5">
        <v>124316.04</v>
      </c>
      <c r="J66" s="57"/>
      <c r="K66" s="3">
        <v>1200</v>
      </c>
      <c r="L66" s="2" t="s">
        <v>64</v>
      </c>
      <c r="M66" s="2" t="s">
        <v>834</v>
      </c>
      <c r="N66" s="2" t="s">
        <v>12</v>
      </c>
      <c r="O66" s="2" t="s">
        <v>12</v>
      </c>
      <c r="P66" s="21" t="s">
        <v>12</v>
      </c>
      <c r="Q66" s="3" t="s">
        <v>168</v>
      </c>
      <c r="R66" s="3" t="s">
        <v>80</v>
      </c>
    </row>
    <row r="67" spans="1:18" x14ac:dyDescent="0.25">
      <c r="A67" s="30">
        <v>45670</v>
      </c>
      <c r="B67" s="28">
        <v>57</v>
      </c>
      <c r="C67" s="28"/>
      <c r="D67" s="2" t="s">
        <v>171</v>
      </c>
      <c r="E67" s="7" t="s">
        <v>12</v>
      </c>
      <c r="F67" s="7"/>
      <c r="G67" s="2" t="s">
        <v>26</v>
      </c>
      <c r="H67" s="2" t="s">
        <v>172</v>
      </c>
      <c r="I67" s="5">
        <v>5091.99</v>
      </c>
      <c r="J67" s="57"/>
      <c r="K67" s="3" t="s">
        <v>12</v>
      </c>
      <c r="L67" s="2" t="s">
        <v>64</v>
      </c>
      <c r="M67" s="2" t="s">
        <v>12</v>
      </c>
      <c r="N67" s="2" t="s">
        <v>12</v>
      </c>
      <c r="O67" s="2" t="s">
        <v>12</v>
      </c>
      <c r="P67" s="21" t="s">
        <v>12</v>
      </c>
      <c r="Q67" s="3" t="s">
        <v>12</v>
      </c>
      <c r="R67" s="3" t="s">
        <v>12</v>
      </c>
    </row>
    <row r="68" spans="1:18" x14ac:dyDescent="0.25">
      <c r="A68" s="30">
        <v>45670</v>
      </c>
      <c r="B68" s="28">
        <v>58</v>
      </c>
      <c r="C68" s="28"/>
      <c r="D68" s="2" t="s">
        <v>126</v>
      </c>
      <c r="E68" s="7" t="s">
        <v>12</v>
      </c>
      <c r="F68" s="7"/>
      <c r="G68" s="2" t="s">
        <v>13</v>
      </c>
      <c r="H68" s="2" t="s">
        <v>127</v>
      </c>
      <c r="I68" s="5">
        <v>17563.669999999998</v>
      </c>
      <c r="J68" s="57"/>
      <c r="K68" s="3">
        <v>240</v>
      </c>
      <c r="L68" s="2" t="s">
        <v>226</v>
      </c>
      <c r="M68" s="2" t="s">
        <v>12</v>
      </c>
      <c r="N68" s="2" t="s">
        <v>12</v>
      </c>
      <c r="O68" s="2" t="s">
        <v>12</v>
      </c>
      <c r="P68" s="21" t="s">
        <v>12</v>
      </c>
      <c r="Q68" s="3" t="s">
        <v>12</v>
      </c>
      <c r="R68" s="3" t="s">
        <v>12</v>
      </c>
    </row>
    <row r="69" spans="1:18" x14ac:dyDescent="0.25">
      <c r="A69" s="30">
        <v>45670</v>
      </c>
      <c r="B69" s="28">
        <v>59</v>
      </c>
      <c r="C69" s="28"/>
      <c r="D69" s="2" t="s">
        <v>173</v>
      </c>
      <c r="E69" s="7" t="s">
        <v>174</v>
      </c>
      <c r="F69" s="7"/>
      <c r="G69" s="2" t="s">
        <v>97</v>
      </c>
      <c r="H69" s="2" t="s">
        <v>175</v>
      </c>
      <c r="I69" s="5">
        <v>22219.21</v>
      </c>
      <c r="J69" s="57"/>
      <c r="K69" s="3">
        <v>77.599999999999994</v>
      </c>
      <c r="L69" s="2" t="s">
        <v>226</v>
      </c>
      <c r="M69" s="2" t="s">
        <v>12</v>
      </c>
      <c r="N69" s="2" t="s">
        <v>12</v>
      </c>
      <c r="O69" s="2" t="s">
        <v>12</v>
      </c>
      <c r="P69" s="21" t="s">
        <v>12</v>
      </c>
      <c r="Q69" s="3" t="s">
        <v>195</v>
      </c>
      <c r="R69" s="3" t="s">
        <v>80</v>
      </c>
    </row>
    <row r="70" spans="1:18" x14ac:dyDescent="0.25">
      <c r="A70" s="30">
        <v>45670</v>
      </c>
      <c r="B70" s="28">
        <v>60</v>
      </c>
      <c r="C70" s="28"/>
      <c r="D70" s="2" t="s">
        <v>176</v>
      </c>
      <c r="E70" s="7" t="s">
        <v>12</v>
      </c>
      <c r="F70" s="7"/>
      <c r="G70" s="2" t="s">
        <v>13</v>
      </c>
      <c r="H70" s="2" t="s">
        <v>177</v>
      </c>
      <c r="I70" s="5">
        <v>33405.5</v>
      </c>
      <c r="J70" s="57"/>
      <c r="K70" s="3">
        <v>360</v>
      </c>
      <c r="L70" s="2" t="s">
        <v>64</v>
      </c>
      <c r="M70" s="2" t="s">
        <v>12</v>
      </c>
      <c r="N70" s="2" t="s">
        <v>12</v>
      </c>
      <c r="O70" s="2" t="s">
        <v>12</v>
      </c>
      <c r="P70" s="21" t="s">
        <v>12</v>
      </c>
      <c r="Q70" s="3" t="s">
        <v>12</v>
      </c>
      <c r="R70" s="3" t="s">
        <v>12</v>
      </c>
    </row>
    <row r="71" spans="1:18" x14ac:dyDescent="0.25">
      <c r="A71" s="30">
        <v>45670</v>
      </c>
      <c r="B71" s="28">
        <v>61</v>
      </c>
      <c r="C71" s="28"/>
      <c r="D71" s="2" t="s">
        <v>178</v>
      </c>
      <c r="E71" s="7" t="s">
        <v>179</v>
      </c>
      <c r="F71" s="7"/>
      <c r="G71" s="2" t="s">
        <v>13</v>
      </c>
      <c r="H71" s="2" t="s">
        <v>180</v>
      </c>
      <c r="I71" s="5">
        <v>37894.17</v>
      </c>
      <c r="J71" s="57"/>
      <c r="K71" s="3">
        <v>408</v>
      </c>
      <c r="L71" s="2" t="s">
        <v>226</v>
      </c>
      <c r="M71" s="2" t="s">
        <v>12</v>
      </c>
      <c r="N71" s="2" t="s">
        <v>12</v>
      </c>
      <c r="O71" s="2" t="s">
        <v>12</v>
      </c>
      <c r="P71" s="21" t="s">
        <v>12</v>
      </c>
      <c r="Q71" s="3" t="s">
        <v>12</v>
      </c>
      <c r="R71" s="3" t="s">
        <v>12</v>
      </c>
    </row>
    <row r="72" spans="1:18" x14ac:dyDescent="0.25">
      <c r="A72" s="30">
        <v>45670</v>
      </c>
      <c r="B72" s="28">
        <v>62</v>
      </c>
      <c r="C72" s="28"/>
      <c r="D72" s="2" t="s">
        <v>168</v>
      </c>
      <c r="E72" s="7" t="s">
        <v>181</v>
      </c>
      <c r="F72" s="7"/>
      <c r="G72" s="2" t="s">
        <v>43</v>
      </c>
      <c r="H72" s="2" t="s">
        <v>182</v>
      </c>
      <c r="I72" s="5">
        <v>104137.26</v>
      </c>
      <c r="J72" s="57"/>
      <c r="K72" s="3">
        <v>1032</v>
      </c>
      <c r="L72" s="2" t="s">
        <v>226</v>
      </c>
      <c r="M72" s="2" t="s">
        <v>792</v>
      </c>
      <c r="N72" s="2" t="s">
        <v>12</v>
      </c>
      <c r="O72" s="2" t="s">
        <v>12</v>
      </c>
      <c r="P72" s="21" t="s">
        <v>12</v>
      </c>
      <c r="Q72" s="3" t="s">
        <v>12</v>
      </c>
      <c r="R72" s="3" t="s">
        <v>80</v>
      </c>
    </row>
    <row r="73" spans="1:18" x14ac:dyDescent="0.25">
      <c r="A73" s="30">
        <v>45670</v>
      </c>
      <c r="B73" s="28">
        <v>63</v>
      </c>
      <c r="C73" s="28"/>
      <c r="D73" s="2" t="s">
        <v>41</v>
      </c>
      <c r="E73" s="7" t="s">
        <v>183</v>
      </c>
      <c r="F73" s="7"/>
      <c r="G73" s="2" t="s">
        <v>43</v>
      </c>
      <c r="H73" s="2" t="s">
        <v>44</v>
      </c>
      <c r="I73" s="5">
        <v>73128</v>
      </c>
      <c r="J73" s="57"/>
      <c r="K73" s="3">
        <v>696</v>
      </c>
      <c r="L73" s="2" t="s">
        <v>226</v>
      </c>
      <c r="M73" s="2" t="s">
        <v>792</v>
      </c>
      <c r="N73" s="2" t="s">
        <v>12</v>
      </c>
      <c r="O73" s="2" t="s">
        <v>12</v>
      </c>
      <c r="P73" s="21" t="s">
        <v>12</v>
      </c>
      <c r="Q73" s="3" t="s">
        <v>12</v>
      </c>
      <c r="R73" s="3" t="s">
        <v>12</v>
      </c>
    </row>
    <row r="74" spans="1:18" x14ac:dyDescent="0.25">
      <c r="A74" s="30">
        <v>45670</v>
      </c>
      <c r="B74" s="28">
        <v>64</v>
      </c>
      <c r="C74" s="28"/>
      <c r="D74" s="2" t="s">
        <v>103</v>
      </c>
      <c r="E74" s="7" t="s">
        <v>184</v>
      </c>
      <c r="F74" s="7"/>
      <c r="G74" s="2" t="s">
        <v>13</v>
      </c>
      <c r="H74" s="2" t="s">
        <v>105</v>
      </c>
      <c r="I74" s="5">
        <v>166827.46</v>
      </c>
      <c r="J74" s="57"/>
      <c r="K74" s="3">
        <v>1560</v>
      </c>
      <c r="L74" s="2" t="s">
        <v>226</v>
      </c>
      <c r="M74" s="2" t="s">
        <v>12</v>
      </c>
      <c r="N74" s="2" t="s">
        <v>12</v>
      </c>
      <c r="O74" s="2" t="s">
        <v>12</v>
      </c>
      <c r="P74" s="21" t="s">
        <v>12</v>
      </c>
      <c r="Q74" s="3" t="s">
        <v>12</v>
      </c>
      <c r="R74" s="3" t="s">
        <v>12</v>
      </c>
    </row>
    <row r="75" spans="1:18" x14ac:dyDescent="0.25">
      <c r="A75" s="30">
        <v>45670</v>
      </c>
      <c r="B75" s="28">
        <v>65</v>
      </c>
      <c r="C75" s="28"/>
      <c r="D75" s="2" t="s">
        <v>87</v>
      </c>
      <c r="E75" s="7" t="s">
        <v>150</v>
      </c>
      <c r="F75" s="7"/>
      <c r="G75" s="2" t="s">
        <v>13</v>
      </c>
      <c r="H75" s="2" t="s">
        <v>185</v>
      </c>
      <c r="I75" s="5">
        <v>177912.42</v>
      </c>
      <c r="J75" s="57"/>
      <c r="K75" s="3">
        <v>1760.4</v>
      </c>
      <c r="L75" s="2" t="s">
        <v>226</v>
      </c>
      <c r="M75" s="2" t="s">
        <v>12</v>
      </c>
      <c r="N75" s="2" t="s">
        <v>12</v>
      </c>
      <c r="O75" s="2" t="s">
        <v>12</v>
      </c>
      <c r="P75" s="21" t="s">
        <v>12</v>
      </c>
      <c r="Q75" s="3" t="s">
        <v>78</v>
      </c>
      <c r="R75" s="3" t="s">
        <v>75</v>
      </c>
    </row>
    <row r="76" spans="1:18" x14ac:dyDescent="0.25">
      <c r="A76" s="30">
        <v>45670</v>
      </c>
      <c r="B76" s="28">
        <v>66</v>
      </c>
      <c r="C76" s="28"/>
      <c r="D76" s="2" t="s">
        <v>186</v>
      </c>
      <c r="E76" s="7" t="s">
        <v>12</v>
      </c>
      <c r="F76" s="7"/>
      <c r="G76" s="2" t="s">
        <v>13</v>
      </c>
      <c r="H76" s="2" t="s">
        <v>187</v>
      </c>
      <c r="I76" s="5">
        <v>4126.3100000000004</v>
      </c>
      <c r="J76" s="57"/>
      <c r="K76" s="3">
        <v>24</v>
      </c>
      <c r="L76" s="2" t="s">
        <v>226</v>
      </c>
      <c r="M76" s="2" t="s">
        <v>12</v>
      </c>
      <c r="N76" s="2" t="s">
        <v>12</v>
      </c>
      <c r="O76" s="2" t="s">
        <v>12</v>
      </c>
      <c r="P76" s="21" t="s">
        <v>12</v>
      </c>
      <c r="Q76" s="3" t="s">
        <v>12</v>
      </c>
      <c r="R76" s="3" t="s">
        <v>12</v>
      </c>
    </row>
    <row r="77" spans="1:18" x14ac:dyDescent="0.25">
      <c r="A77" s="30">
        <v>45670</v>
      </c>
      <c r="B77" s="28">
        <v>67</v>
      </c>
      <c r="C77" s="28"/>
      <c r="D77" s="2" t="s">
        <v>196</v>
      </c>
      <c r="E77" s="7" t="s">
        <v>197</v>
      </c>
      <c r="F77" s="7"/>
      <c r="G77" s="2" t="s">
        <v>13</v>
      </c>
      <c r="H77" s="2" t="s">
        <v>198</v>
      </c>
      <c r="I77" s="5">
        <v>69294.289999999994</v>
      </c>
      <c r="J77" s="57"/>
      <c r="K77" s="3">
        <v>672</v>
      </c>
      <c r="L77" s="2" t="s">
        <v>226</v>
      </c>
      <c r="M77" s="2" t="s">
        <v>12</v>
      </c>
      <c r="N77" s="2" t="s">
        <v>12</v>
      </c>
      <c r="O77" s="2" t="s">
        <v>12</v>
      </c>
      <c r="P77" s="21" t="s">
        <v>12</v>
      </c>
      <c r="Q77" s="3" t="s">
        <v>219</v>
      </c>
      <c r="R77" s="3" t="s">
        <v>80</v>
      </c>
    </row>
    <row r="78" spans="1:18" x14ac:dyDescent="0.25">
      <c r="A78" s="30">
        <v>45670</v>
      </c>
      <c r="B78" s="28">
        <v>68</v>
      </c>
      <c r="C78" s="28"/>
      <c r="D78" s="2" t="s">
        <v>23</v>
      </c>
      <c r="E78" s="7" t="s">
        <v>199</v>
      </c>
      <c r="F78" s="7"/>
      <c r="G78" s="2" t="s">
        <v>20</v>
      </c>
      <c r="H78" s="2" t="s">
        <v>24</v>
      </c>
      <c r="I78" s="5">
        <v>2907.6</v>
      </c>
      <c r="J78" s="57"/>
      <c r="K78" s="3" t="s">
        <v>12</v>
      </c>
      <c r="L78" s="2" t="s">
        <v>64</v>
      </c>
      <c r="M78" s="2" t="s">
        <v>12</v>
      </c>
      <c r="N78" s="2" t="s">
        <v>12</v>
      </c>
      <c r="O78" s="2" t="s">
        <v>12</v>
      </c>
      <c r="P78" s="21" t="s">
        <v>12</v>
      </c>
      <c r="Q78" s="3" t="s">
        <v>12</v>
      </c>
      <c r="R78" s="3" t="s">
        <v>12</v>
      </c>
    </row>
    <row r="79" spans="1:18" x14ac:dyDescent="0.25">
      <c r="A79" s="30">
        <v>45671</v>
      </c>
      <c r="B79" s="28">
        <v>69</v>
      </c>
      <c r="C79" s="28"/>
      <c r="D79" s="2" t="s">
        <v>124</v>
      </c>
      <c r="E79" s="7" t="s">
        <v>200</v>
      </c>
      <c r="F79" s="7"/>
      <c r="G79" s="2" t="s">
        <v>20</v>
      </c>
      <c r="H79" s="2" t="s">
        <v>201</v>
      </c>
      <c r="I79" s="5">
        <v>17943.009999999998</v>
      </c>
      <c r="J79" s="57"/>
      <c r="K79" s="3">
        <v>240</v>
      </c>
      <c r="L79" s="2" t="s">
        <v>64</v>
      </c>
      <c r="M79" s="2" t="s">
        <v>12</v>
      </c>
      <c r="N79" s="2" t="s">
        <v>12</v>
      </c>
      <c r="O79" s="2" t="s">
        <v>12</v>
      </c>
      <c r="P79" s="21" t="s">
        <v>12</v>
      </c>
      <c r="Q79" s="3" t="s">
        <v>12</v>
      </c>
      <c r="R79" s="3" t="s">
        <v>12</v>
      </c>
    </row>
    <row r="80" spans="1:18" x14ac:dyDescent="0.25">
      <c r="A80" s="30">
        <v>45671</v>
      </c>
      <c r="B80" s="28">
        <v>70</v>
      </c>
      <c r="C80" s="28"/>
      <c r="D80" s="2" t="s">
        <v>202</v>
      </c>
      <c r="E80" s="7" t="s">
        <v>203</v>
      </c>
      <c r="F80" s="7"/>
      <c r="G80" s="2" t="s">
        <v>97</v>
      </c>
      <c r="H80" s="2" t="s">
        <v>119</v>
      </c>
      <c r="I80" s="5">
        <v>107779.99</v>
      </c>
      <c r="J80" s="57"/>
      <c r="K80" s="3">
        <v>1320</v>
      </c>
      <c r="L80" s="2" t="s">
        <v>64</v>
      </c>
      <c r="M80" s="2" t="s">
        <v>12</v>
      </c>
      <c r="N80" s="2" t="s">
        <v>12</v>
      </c>
      <c r="O80" s="2" t="s">
        <v>12</v>
      </c>
      <c r="P80" s="21" t="s">
        <v>12</v>
      </c>
      <c r="Q80" s="3" t="s">
        <v>220</v>
      </c>
      <c r="R80" s="3" t="s">
        <v>80</v>
      </c>
    </row>
    <row r="81" spans="1:19" x14ac:dyDescent="0.25">
      <c r="A81" s="30">
        <v>45671</v>
      </c>
      <c r="B81" s="28">
        <v>71</v>
      </c>
      <c r="C81" s="28"/>
      <c r="D81" s="2" t="s">
        <v>204</v>
      </c>
      <c r="E81" s="7" t="s">
        <v>205</v>
      </c>
      <c r="F81" s="7"/>
      <c r="G81" s="2" t="s">
        <v>26</v>
      </c>
      <c r="H81" s="2" t="s">
        <v>15</v>
      </c>
      <c r="I81" s="5">
        <v>34696.35</v>
      </c>
      <c r="J81" s="57"/>
      <c r="K81" s="3">
        <v>360</v>
      </c>
      <c r="L81" s="2" t="s">
        <v>226</v>
      </c>
      <c r="M81" s="2" t="s">
        <v>12</v>
      </c>
      <c r="N81" s="2" t="s">
        <v>12</v>
      </c>
      <c r="O81" s="2" t="s">
        <v>12</v>
      </c>
      <c r="P81" s="21" t="s">
        <v>12</v>
      </c>
      <c r="Q81" s="3" t="s">
        <v>12</v>
      </c>
      <c r="R81" s="3" t="s">
        <v>12</v>
      </c>
    </row>
    <row r="82" spans="1:19" x14ac:dyDescent="0.25">
      <c r="A82" s="30">
        <v>45671</v>
      </c>
      <c r="B82" s="28">
        <v>72</v>
      </c>
      <c r="C82" s="28"/>
      <c r="D82" s="2" t="s">
        <v>206</v>
      </c>
      <c r="E82" s="7" t="s">
        <v>156</v>
      </c>
      <c r="F82" s="7"/>
      <c r="G82" s="2" t="s">
        <v>97</v>
      </c>
      <c r="H82" s="2" t="s">
        <v>43</v>
      </c>
      <c r="I82" s="5">
        <v>52358.28</v>
      </c>
      <c r="J82" s="57"/>
      <c r="K82" s="3">
        <v>456</v>
      </c>
      <c r="L82" s="2" t="s">
        <v>226</v>
      </c>
      <c r="M82" s="2" t="s">
        <v>12</v>
      </c>
      <c r="N82" s="2" t="s">
        <v>12</v>
      </c>
      <c r="O82" s="2" t="s">
        <v>12</v>
      </c>
      <c r="P82" s="21" t="s">
        <v>12</v>
      </c>
      <c r="Q82" s="3" t="s">
        <v>12</v>
      </c>
      <c r="R82" s="3" t="s">
        <v>12</v>
      </c>
    </row>
    <row r="83" spans="1:19" x14ac:dyDescent="0.25">
      <c r="A83" s="30">
        <v>45671</v>
      </c>
      <c r="B83" s="28">
        <v>73</v>
      </c>
      <c r="C83" s="28"/>
      <c r="D83" s="2" t="s">
        <v>22</v>
      </c>
      <c r="E83" s="7" t="s">
        <v>207</v>
      </c>
      <c r="F83" s="7"/>
      <c r="G83" s="2" t="s">
        <v>13</v>
      </c>
      <c r="H83" s="2" t="s">
        <v>15</v>
      </c>
      <c r="I83" s="5">
        <v>58484.3</v>
      </c>
      <c r="J83" s="57"/>
      <c r="K83" s="3">
        <v>600</v>
      </c>
      <c r="L83" s="2" t="s">
        <v>226</v>
      </c>
      <c r="M83" s="2" t="s">
        <v>12</v>
      </c>
      <c r="N83" s="2" t="s">
        <v>12</v>
      </c>
      <c r="O83" s="2" t="s">
        <v>12</v>
      </c>
      <c r="P83" s="21" t="s">
        <v>12</v>
      </c>
      <c r="Q83" s="3" t="s">
        <v>221</v>
      </c>
      <c r="R83" s="3" t="s">
        <v>222</v>
      </c>
    </row>
    <row r="84" spans="1:19" x14ac:dyDescent="0.25">
      <c r="A84" s="30">
        <v>45671</v>
      </c>
      <c r="B84" s="28">
        <v>74</v>
      </c>
      <c r="C84" s="28"/>
      <c r="D84" s="2" t="s">
        <v>130</v>
      </c>
      <c r="E84" s="7" t="s">
        <v>12</v>
      </c>
      <c r="F84" s="7"/>
      <c r="G84" s="2" t="s">
        <v>26</v>
      </c>
      <c r="H84" s="2" t="s">
        <v>131</v>
      </c>
      <c r="I84" s="5">
        <v>4256</v>
      </c>
      <c r="J84" s="57"/>
      <c r="K84" s="3" t="s">
        <v>12</v>
      </c>
      <c r="L84" s="2" t="s">
        <v>64</v>
      </c>
      <c r="M84" s="2" t="s">
        <v>12</v>
      </c>
      <c r="N84" s="2" t="s">
        <v>12</v>
      </c>
      <c r="O84" s="2" t="s">
        <v>12</v>
      </c>
      <c r="P84" s="21" t="s">
        <v>12</v>
      </c>
      <c r="Q84" s="3" t="s">
        <v>12</v>
      </c>
      <c r="R84" s="3" t="s">
        <v>12</v>
      </c>
    </row>
    <row r="85" spans="1:19" x14ac:dyDescent="0.25">
      <c r="A85" s="30">
        <v>45671</v>
      </c>
      <c r="B85" s="28">
        <v>75</v>
      </c>
      <c r="C85" s="28"/>
      <c r="D85" s="2" t="s">
        <v>208</v>
      </c>
      <c r="E85" s="7" t="s">
        <v>209</v>
      </c>
      <c r="F85" s="7"/>
      <c r="G85" s="2" t="s">
        <v>43</v>
      </c>
      <c r="H85" s="2" t="s">
        <v>210</v>
      </c>
      <c r="I85" s="5">
        <v>52518.879999999997</v>
      </c>
      <c r="J85" s="57"/>
      <c r="K85" s="3">
        <v>576</v>
      </c>
      <c r="L85" s="2" t="s">
        <v>226</v>
      </c>
      <c r="M85" s="2" t="s">
        <v>792</v>
      </c>
      <c r="N85" s="2" t="s">
        <v>12</v>
      </c>
      <c r="O85" s="2" t="s">
        <v>12</v>
      </c>
      <c r="P85" s="21" t="s">
        <v>12</v>
      </c>
      <c r="Q85" s="3" t="s">
        <v>223</v>
      </c>
      <c r="R85" s="3" t="s">
        <v>80</v>
      </c>
    </row>
    <row r="86" spans="1:19" x14ac:dyDescent="0.25">
      <c r="A86" s="30">
        <v>45671</v>
      </c>
      <c r="B86" s="28">
        <v>76</v>
      </c>
      <c r="C86" s="28"/>
      <c r="D86" s="2" t="s">
        <v>208</v>
      </c>
      <c r="E86" s="7" t="s">
        <v>211</v>
      </c>
      <c r="F86" s="7"/>
      <c r="G86" s="2" t="s">
        <v>43</v>
      </c>
      <c r="H86" s="2" t="s">
        <v>210</v>
      </c>
      <c r="I86" s="5">
        <v>101845.23</v>
      </c>
      <c r="J86" s="57"/>
      <c r="K86" s="3">
        <v>1032</v>
      </c>
      <c r="L86" s="2" t="s">
        <v>226</v>
      </c>
      <c r="M86" s="2" t="s">
        <v>792</v>
      </c>
      <c r="N86" s="2" t="s">
        <v>12</v>
      </c>
      <c r="O86" s="2" t="s">
        <v>12</v>
      </c>
      <c r="P86" s="21" t="s">
        <v>12</v>
      </c>
      <c r="Q86" s="3" t="s">
        <v>223</v>
      </c>
      <c r="R86" s="3" t="s">
        <v>80</v>
      </c>
    </row>
    <row r="87" spans="1:19" x14ac:dyDescent="0.25">
      <c r="A87" s="30">
        <v>45671</v>
      </c>
      <c r="B87" s="28">
        <v>77</v>
      </c>
      <c r="C87" s="28"/>
      <c r="D87" s="2" t="s">
        <v>212</v>
      </c>
      <c r="E87" s="7" t="s">
        <v>213</v>
      </c>
      <c r="F87" s="7"/>
      <c r="G87" s="2" t="s">
        <v>20</v>
      </c>
      <c r="H87" s="2" t="s">
        <v>108</v>
      </c>
      <c r="I87" s="5">
        <v>16883.54</v>
      </c>
      <c r="J87" s="57"/>
      <c r="K87" s="3">
        <v>168</v>
      </c>
      <c r="L87" s="2" t="s">
        <v>134</v>
      </c>
      <c r="M87" s="2" t="s">
        <v>12</v>
      </c>
      <c r="N87" s="2" t="s">
        <v>373</v>
      </c>
      <c r="O87" s="2" t="s">
        <v>374</v>
      </c>
      <c r="P87" s="21" t="s">
        <v>12</v>
      </c>
      <c r="Q87" s="3" t="s">
        <v>12</v>
      </c>
      <c r="R87" s="3" t="s">
        <v>12</v>
      </c>
    </row>
    <row r="88" spans="1:19" x14ac:dyDescent="0.25">
      <c r="A88" s="30">
        <v>45671</v>
      </c>
      <c r="B88" s="28">
        <v>78</v>
      </c>
      <c r="C88" s="28"/>
      <c r="D88" s="2" t="s">
        <v>130</v>
      </c>
      <c r="E88" s="7" t="s">
        <v>12</v>
      </c>
      <c r="F88" s="7"/>
      <c r="G88" s="2" t="s">
        <v>26</v>
      </c>
      <c r="H88" s="2" t="s">
        <v>131</v>
      </c>
      <c r="I88" s="5">
        <v>9663.01</v>
      </c>
      <c r="J88" s="57"/>
      <c r="K88" s="3" t="s">
        <v>12</v>
      </c>
      <c r="L88" s="2" t="s">
        <v>64</v>
      </c>
      <c r="M88" s="2" t="s">
        <v>12</v>
      </c>
      <c r="N88" s="2" t="s">
        <v>12</v>
      </c>
      <c r="O88" s="2" t="s">
        <v>12</v>
      </c>
      <c r="P88" s="21"/>
      <c r="Q88" s="3" t="s">
        <v>12</v>
      </c>
      <c r="R88" s="3" t="s">
        <v>12</v>
      </c>
    </row>
    <row r="89" spans="1:19" x14ac:dyDescent="0.25">
      <c r="A89" s="30">
        <v>45671</v>
      </c>
      <c r="B89" s="28">
        <v>79</v>
      </c>
      <c r="C89" s="28"/>
      <c r="D89" s="2" t="s">
        <v>208</v>
      </c>
      <c r="E89" s="7" t="s">
        <v>214</v>
      </c>
      <c r="F89" s="7"/>
      <c r="G89" s="2" t="s">
        <v>43</v>
      </c>
      <c r="H89" s="2" t="s">
        <v>210</v>
      </c>
      <c r="I89" s="5">
        <v>52586.080000000002</v>
      </c>
      <c r="J89" s="57"/>
      <c r="K89" s="3">
        <v>528</v>
      </c>
      <c r="L89" s="2" t="s">
        <v>226</v>
      </c>
      <c r="M89" s="2" t="s">
        <v>792</v>
      </c>
      <c r="N89" s="2" t="s">
        <v>12</v>
      </c>
      <c r="O89" s="2" t="s">
        <v>12</v>
      </c>
      <c r="P89" s="21" t="s">
        <v>12</v>
      </c>
      <c r="Q89" s="3" t="s">
        <v>223</v>
      </c>
      <c r="R89" s="3" t="s">
        <v>80</v>
      </c>
    </row>
    <row r="90" spans="1:19" x14ac:dyDescent="0.25">
      <c r="A90" s="30">
        <v>45672</v>
      </c>
      <c r="B90" s="28">
        <v>80</v>
      </c>
      <c r="C90" s="28"/>
      <c r="D90" s="2" t="s">
        <v>215</v>
      </c>
      <c r="E90" s="7" t="s">
        <v>12</v>
      </c>
      <c r="F90" s="7"/>
      <c r="G90" s="2" t="s">
        <v>26</v>
      </c>
      <c r="H90" s="2" t="s">
        <v>216</v>
      </c>
      <c r="I90" s="5">
        <v>303.31</v>
      </c>
      <c r="J90" s="57"/>
      <c r="K90" s="3" t="s">
        <v>12</v>
      </c>
      <c r="L90" s="2" t="s">
        <v>226</v>
      </c>
      <c r="M90" s="2" t="s">
        <v>12</v>
      </c>
      <c r="N90" s="2" t="s">
        <v>12</v>
      </c>
      <c r="O90" s="2" t="s">
        <v>12</v>
      </c>
      <c r="P90" s="21" t="s">
        <v>12</v>
      </c>
      <c r="Q90" s="3" t="s">
        <v>12</v>
      </c>
      <c r="R90" s="3" t="s">
        <v>12</v>
      </c>
    </row>
    <row r="91" spans="1:19" x14ac:dyDescent="0.25">
      <c r="A91" s="30">
        <v>45672</v>
      </c>
      <c r="B91" s="28">
        <v>81</v>
      </c>
      <c r="C91" s="28"/>
      <c r="D91" s="2" t="s">
        <v>217</v>
      </c>
      <c r="E91" s="7" t="s">
        <v>12</v>
      </c>
      <c r="F91" s="7"/>
      <c r="G91" s="2" t="s">
        <v>13</v>
      </c>
      <c r="H91" s="2" t="s">
        <v>218</v>
      </c>
      <c r="I91" s="5">
        <v>2079.5700000000002</v>
      </c>
      <c r="J91" s="57"/>
      <c r="K91" s="3" t="s">
        <v>12</v>
      </c>
      <c r="L91" s="2" t="s">
        <v>64</v>
      </c>
      <c r="M91" s="2" t="s">
        <v>12</v>
      </c>
      <c r="N91" s="2" t="s">
        <v>12</v>
      </c>
      <c r="O91" s="2" t="s">
        <v>12</v>
      </c>
      <c r="P91" s="21" t="s">
        <v>12</v>
      </c>
      <c r="Q91" s="3" t="s">
        <v>12</v>
      </c>
      <c r="R91" s="3" t="s">
        <v>12</v>
      </c>
      <c r="S91" t="s">
        <v>12</v>
      </c>
    </row>
    <row r="92" spans="1:19" x14ac:dyDescent="0.25">
      <c r="A92" s="30">
        <v>45672</v>
      </c>
      <c r="B92" s="28">
        <v>82</v>
      </c>
      <c r="C92" s="28"/>
      <c r="D92" s="2" t="s">
        <v>151</v>
      </c>
      <c r="E92" s="7" t="s">
        <v>12</v>
      </c>
      <c r="F92" s="7"/>
      <c r="G92" s="2" t="s">
        <v>13</v>
      </c>
      <c r="H92" s="2" t="s">
        <v>152</v>
      </c>
      <c r="I92" s="5">
        <v>4305.8500000000004</v>
      </c>
      <c r="J92" s="57"/>
      <c r="K92" s="3">
        <v>24</v>
      </c>
      <c r="L92" s="2" t="s">
        <v>64</v>
      </c>
      <c r="M92" s="2" t="s">
        <v>12</v>
      </c>
      <c r="N92" s="2" t="s">
        <v>12</v>
      </c>
      <c r="O92" s="2" t="s">
        <v>12</v>
      </c>
      <c r="P92" s="21" t="s">
        <v>12</v>
      </c>
      <c r="Q92" s="3" t="s">
        <v>12</v>
      </c>
      <c r="R92" s="3" t="s">
        <v>12</v>
      </c>
    </row>
    <row r="93" spans="1:19" x14ac:dyDescent="0.25">
      <c r="A93" s="30">
        <v>45672</v>
      </c>
      <c r="B93" s="28">
        <v>83</v>
      </c>
      <c r="C93" s="28"/>
      <c r="D93" s="2" t="s">
        <v>1091</v>
      </c>
      <c r="E93" s="7" t="s">
        <v>224</v>
      </c>
      <c r="F93" s="7"/>
      <c r="G93" s="2" t="s">
        <v>26</v>
      </c>
      <c r="H93" s="2" t="s">
        <v>225</v>
      </c>
      <c r="I93" s="5">
        <v>25170.68</v>
      </c>
      <c r="J93" s="57"/>
      <c r="K93" s="3">
        <v>216</v>
      </c>
      <c r="L93" s="2" t="s">
        <v>134</v>
      </c>
      <c r="M93" s="2" t="s">
        <v>443</v>
      </c>
      <c r="N93" s="2" t="s">
        <v>373</v>
      </c>
      <c r="O93" s="2" t="s">
        <v>443</v>
      </c>
      <c r="P93" s="21" t="s">
        <v>12</v>
      </c>
      <c r="Q93" s="3" t="s">
        <v>12</v>
      </c>
      <c r="R93" s="3" t="s">
        <v>12</v>
      </c>
    </row>
    <row r="94" spans="1:19" x14ac:dyDescent="0.25">
      <c r="A94" s="30">
        <v>45673</v>
      </c>
      <c r="B94" s="28">
        <v>84</v>
      </c>
      <c r="C94" s="28"/>
      <c r="D94" s="2" t="s">
        <v>87</v>
      </c>
      <c r="E94" s="7" t="s">
        <v>232</v>
      </c>
      <c r="F94" s="7"/>
      <c r="G94" s="2" t="s">
        <v>13</v>
      </c>
      <c r="H94" s="2" t="s">
        <v>185</v>
      </c>
      <c r="I94" s="5">
        <v>194099.96</v>
      </c>
      <c r="J94" s="57"/>
      <c r="K94" s="3">
        <v>1824</v>
      </c>
      <c r="L94" s="2" t="s">
        <v>226</v>
      </c>
      <c r="M94" s="2" t="s">
        <v>12</v>
      </c>
      <c r="N94" s="2" t="s">
        <v>12</v>
      </c>
      <c r="O94" s="2" t="s">
        <v>12</v>
      </c>
      <c r="P94" s="21" t="s">
        <v>12</v>
      </c>
      <c r="Q94" s="3"/>
      <c r="R94" s="3"/>
    </row>
    <row r="95" spans="1:19" x14ac:dyDescent="0.25">
      <c r="A95" s="30">
        <v>45674</v>
      </c>
      <c r="B95" s="28">
        <v>85</v>
      </c>
      <c r="C95" s="28"/>
      <c r="D95" s="2" t="s">
        <v>233</v>
      </c>
      <c r="E95" s="7" t="s">
        <v>234</v>
      </c>
      <c r="F95" s="7"/>
      <c r="G95" s="2" t="s">
        <v>13</v>
      </c>
      <c r="H95" s="2" t="s">
        <v>235</v>
      </c>
      <c r="I95" s="5">
        <v>23984.880000000001</v>
      </c>
      <c r="J95" s="57"/>
      <c r="K95" s="3">
        <v>288</v>
      </c>
      <c r="L95" s="2" t="s">
        <v>226</v>
      </c>
      <c r="M95" s="2" t="s">
        <v>12</v>
      </c>
      <c r="N95" s="2" t="s">
        <v>12</v>
      </c>
      <c r="O95" s="2" t="s">
        <v>12</v>
      </c>
      <c r="P95" s="21" t="s">
        <v>12</v>
      </c>
      <c r="Q95" s="3" t="s">
        <v>12</v>
      </c>
      <c r="R95" s="3" t="s">
        <v>12</v>
      </c>
    </row>
    <row r="96" spans="1:19" x14ac:dyDescent="0.25">
      <c r="A96" s="30">
        <v>45674</v>
      </c>
      <c r="B96" s="28">
        <v>86</v>
      </c>
      <c r="C96" s="28"/>
      <c r="D96" s="2" t="s">
        <v>236</v>
      </c>
      <c r="E96" s="7" t="s">
        <v>237</v>
      </c>
      <c r="F96" s="7"/>
      <c r="G96" s="2" t="s">
        <v>97</v>
      </c>
      <c r="H96" s="2" t="s">
        <v>238</v>
      </c>
      <c r="I96" s="5">
        <v>65374.74</v>
      </c>
      <c r="J96" s="57"/>
      <c r="K96" s="3">
        <v>768</v>
      </c>
      <c r="L96" s="2" t="s">
        <v>64</v>
      </c>
      <c r="M96" s="2" t="s">
        <v>12</v>
      </c>
      <c r="N96" s="2" t="s">
        <v>12</v>
      </c>
      <c r="O96" s="2" t="s">
        <v>12</v>
      </c>
      <c r="P96" s="21" t="s">
        <v>12</v>
      </c>
      <c r="Q96" s="3" t="s">
        <v>12</v>
      </c>
      <c r="R96" s="3" t="s">
        <v>12</v>
      </c>
    </row>
    <row r="97" spans="1:18" x14ac:dyDescent="0.25">
      <c r="A97" s="30">
        <v>45677</v>
      </c>
      <c r="B97" s="28">
        <v>87</v>
      </c>
      <c r="C97" s="28"/>
      <c r="D97" s="2" t="s">
        <v>239</v>
      </c>
      <c r="E97" s="7" t="s">
        <v>12</v>
      </c>
      <c r="F97" s="7"/>
      <c r="G97" s="2" t="s">
        <v>13</v>
      </c>
      <c r="H97" s="2" t="s">
        <v>127</v>
      </c>
      <c r="I97" s="5">
        <v>2442.7199999999998</v>
      </c>
      <c r="J97" s="57"/>
      <c r="K97" s="3">
        <v>24</v>
      </c>
      <c r="L97" s="2" t="s">
        <v>64</v>
      </c>
      <c r="M97" s="2" t="s">
        <v>12</v>
      </c>
      <c r="N97" s="2" t="s">
        <v>12</v>
      </c>
      <c r="O97" s="2" t="s">
        <v>12</v>
      </c>
      <c r="P97" s="21" t="s">
        <v>12</v>
      </c>
      <c r="Q97" s="3" t="s">
        <v>12</v>
      </c>
      <c r="R97" s="3" t="s">
        <v>12</v>
      </c>
    </row>
    <row r="98" spans="1:18" x14ac:dyDescent="0.25">
      <c r="A98" s="30">
        <v>45673</v>
      </c>
      <c r="B98" s="28">
        <v>88</v>
      </c>
      <c r="C98" s="28"/>
      <c r="D98" s="2" t="s">
        <v>240</v>
      </c>
      <c r="E98" s="7" t="s">
        <v>241</v>
      </c>
      <c r="F98" s="7"/>
      <c r="G98" s="2" t="s">
        <v>26</v>
      </c>
      <c r="H98" s="2" t="s">
        <v>242</v>
      </c>
      <c r="I98" s="5">
        <v>230102.64</v>
      </c>
      <c r="J98" s="57"/>
      <c r="K98" s="3">
        <v>1968</v>
      </c>
      <c r="L98" s="2" t="s">
        <v>226</v>
      </c>
      <c r="M98" s="2" t="s">
        <v>12</v>
      </c>
      <c r="N98" s="2" t="s">
        <v>12</v>
      </c>
      <c r="O98" s="2" t="s">
        <v>12</v>
      </c>
      <c r="P98" s="21" t="s">
        <v>12</v>
      </c>
      <c r="Q98" s="3" t="s">
        <v>295</v>
      </c>
      <c r="R98" s="3" t="s">
        <v>75</v>
      </c>
    </row>
    <row r="99" spans="1:18" x14ac:dyDescent="0.25">
      <c r="A99" s="30">
        <v>45673</v>
      </c>
      <c r="B99" s="28">
        <v>89</v>
      </c>
      <c r="C99" s="28"/>
      <c r="D99" s="2" t="s">
        <v>115</v>
      </c>
      <c r="E99" s="7" t="s">
        <v>12</v>
      </c>
      <c r="F99" s="7"/>
      <c r="G99" s="2" t="s">
        <v>20</v>
      </c>
      <c r="H99" s="2" t="s">
        <v>116</v>
      </c>
      <c r="I99" s="5">
        <v>11342.42</v>
      </c>
      <c r="J99" s="57"/>
      <c r="K99" s="3">
        <v>144</v>
      </c>
      <c r="L99" s="2" t="s">
        <v>64</v>
      </c>
      <c r="M99" s="2" t="s">
        <v>12</v>
      </c>
      <c r="N99" s="2" t="s">
        <v>12</v>
      </c>
      <c r="O99" s="2"/>
      <c r="P99" s="21" t="s">
        <v>12</v>
      </c>
      <c r="Q99" s="3" t="s">
        <v>12</v>
      </c>
      <c r="R99" s="3" t="s">
        <v>12</v>
      </c>
    </row>
    <row r="100" spans="1:18" x14ac:dyDescent="0.25">
      <c r="A100" s="30">
        <v>45674</v>
      </c>
      <c r="B100" s="28">
        <v>90</v>
      </c>
      <c r="C100" s="28"/>
      <c r="D100" s="2" t="s">
        <v>243</v>
      </c>
      <c r="E100" s="7" t="s">
        <v>12</v>
      </c>
      <c r="F100" s="7"/>
      <c r="G100" s="2" t="s">
        <v>20</v>
      </c>
      <c r="H100" s="2" t="s">
        <v>244</v>
      </c>
      <c r="I100" s="5">
        <v>9682.07</v>
      </c>
      <c r="J100" s="57"/>
      <c r="K100" s="3">
        <v>120</v>
      </c>
      <c r="L100" s="2" t="s">
        <v>64</v>
      </c>
      <c r="M100" s="2" t="s">
        <v>12</v>
      </c>
      <c r="N100" s="2" t="s">
        <v>12</v>
      </c>
      <c r="O100" s="2" t="s">
        <v>12</v>
      </c>
      <c r="P100" s="21" t="s">
        <v>12</v>
      </c>
      <c r="Q100" s="3" t="s">
        <v>12</v>
      </c>
      <c r="R100" s="3" t="s">
        <v>12</v>
      </c>
    </row>
    <row r="101" spans="1:18" x14ac:dyDescent="0.25">
      <c r="A101" s="30">
        <v>45673</v>
      </c>
      <c r="B101" s="28">
        <v>91</v>
      </c>
      <c r="C101" s="28"/>
      <c r="D101" s="2" t="s">
        <v>245</v>
      </c>
      <c r="E101" s="7" t="s">
        <v>246</v>
      </c>
      <c r="F101" s="7"/>
      <c r="G101" s="2" t="s">
        <v>13</v>
      </c>
      <c r="H101" s="2" t="s">
        <v>247</v>
      </c>
      <c r="I101" s="5">
        <v>18830.189999999999</v>
      </c>
      <c r="J101" s="57"/>
      <c r="K101" s="3">
        <v>192</v>
      </c>
      <c r="L101" s="2" t="s">
        <v>226</v>
      </c>
      <c r="M101" s="2" t="s">
        <v>12</v>
      </c>
      <c r="N101" s="2" t="s">
        <v>12</v>
      </c>
      <c r="O101" s="2" t="s">
        <v>12</v>
      </c>
      <c r="P101" s="21" t="s">
        <v>12</v>
      </c>
      <c r="Q101" s="3" t="s">
        <v>12</v>
      </c>
      <c r="R101" s="3" t="s">
        <v>12</v>
      </c>
    </row>
    <row r="102" spans="1:18" x14ac:dyDescent="0.25">
      <c r="A102" s="30">
        <v>45674</v>
      </c>
      <c r="B102" s="28">
        <v>92</v>
      </c>
      <c r="C102" s="28"/>
      <c r="D102" s="2" t="s">
        <v>217</v>
      </c>
      <c r="E102" s="7" t="s">
        <v>12</v>
      </c>
      <c r="F102" s="7"/>
      <c r="G102" s="2" t="s">
        <v>13</v>
      </c>
      <c r="H102" s="2" t="s">
        <v>26</v>
      </c>
      <c r="I102" s="5">
        <v>4328.8</v>
      </c>
      <c r="J102" s="57"/>
      <c r="K102" s="3" t="s">
        <v>12</v>
      </c>
      <c r="L102" s="2" t="s">
        <v>64</v>
      </c>
      <c r="M102" s="2" t="s">
        <v>12</v>
      </c>
      <c r="N102" s="2" t="s">
        <v>12</v>
      </c>
      <c r="O102" s="2" t="s">
        <v>12</v>
      </c>
      <c r="P102" s="21" t="s">
        <v>12</v>
      </c>
      <c r="Q102" s="3" t="s">
        <v>12</v>
      </c>
      <c r="R102" s="3" t="s">
        <v>12</v>
      </c>
    </row>
    <row r="103" spans="1:18" x14ac:dyDescent="0.25">
      <c r="A103" s="30">
        <v>45674</v>
      </c>
      <c r="B103" s="28">
        <v>93</v>
      </c>
      <c r="C103" s="28"/>
      <c r="D103" s="2" t="s">
        <v>41</v>
      </c>
      <c r="E103" s="7" t="s">
        <v>248</v>
      </c>
      <c r="F103" s="7"/>
      <c r="G103" s="2" t="s">
        <v>43</v>
      </c>
      <c r="H103" s="2" t="s">
        <v>44</v>
      </c>
      <c r="I103" s="5">
        <v>125238.88</v>
      </c>
      <c r="J103" s="57"/>
      <c r="K103" s="3">
        <v>1176</v>
      </c>
      <c r="L103" s="2" t="s">
        <v>226</v>
      </c>
      <c r="M103" s="2" t="s">
        <v>12</v>
      </c>
      <c r="N103" s="2" t="s">
        <v>12</v>
      </c>
      <c r="O103" s="2" t="s">
        <v>12</v>
      </c>
      <c r="P103" s="21" t="s">
        <v>12</v>
      </c>
      <c r="Q103" s="3" t="s">
        <v>77</v>
      </c>
      <c r="R103" s="3" t="s">
        <v>75</v>
      </c>
    </row>
    <row r="104" spans="1:18" x14ac:dyDescent="0.25">
      <c r="A104" s="30">
        <v>45674</v>
      </c>
      <c r="B104" s="28">
        <v>94</v>
      </c>
      <c r="C104" s="28"/>
      <c r="D104" s="2" t="s">
        <v>56</v>
      </c>
      <c r="E104" s="7" t="s">
        <v>249</v>
      </c>
      <c r="F104" s="7"/>
      <c r="G104" s="2" t="s">
        <v>13</v>
      </c>
      <c r="H104" s="2" t="s">
        <v>58</v>
      </c>
      <c r="I104" s="5">
        <v>205337.59</v>
      </c>
      <c r="J104" s="57"/>
      <c r="K104" s="3">
        <v>1848</v>
      </c>
      <c r="L104" s="2" t="s">
        <v>226</v>
      </c>
      <c r="M104" s="2" t="s">
        <v>12</v>
      </c>
      <c r="N104" s="2" t="s">
        <v>12</v>
      </c>
      <c r="O104" s="2" t="s">
        <v>12</v>
      </c>
      <c r="P104" s="21" t="s">
        <v>12</v>
      </c>
      <c r="Q104" s="3" t="s">
        <v>220</v>
      </c>
      <c r="R104" s="3" t="s">
        <v>80</v>
      </c>
    </row>
    <row r="105" spans="1:18" x14ac:dyDescent="0.25">
      <c r="A105" s="30">
        <v>45674</v>
      </c>
      <c r="B105" s="28">
        <v>95</v>
      </c>
      <c r="C105" s="28"/>
      <c r="D105" s="2" t="s">
        <v>1237</v>
      </c>
      <c r="E105" s="7" t="s">
        <v>250</v>
      </c>
      <c r="F105" s="7"/>
      <c r="G105" s="2" t="s">
        <v>20</v>
      </c>
      <c r="H105" s="2" t="s">
        <v>251</v>
      </c>
      <c r="I105" s="5">
        <v>46570.57</v>
      </c>
      <c r="J105" s="57"/>
      <c r="K105" s="3">
        <v>456</v>
      </c>
      <c r="L105" s="2" t="s">
        <v>226</v>
      </c>
      <c r="M105" s="2" t="s">
        <v>667</v>
      </c>
      <c r="N105" s="2" t="s">
        <v>12</v>
      </c>
      <c r="O105" s="2" t="s">
        <v>12</v>
      </c>
      <c r="P105" s="21" t="s">
        <v>12</v>
      </c>
      <c r="Q105" s="3" t="s">
        <v>12</v>
      </c>
      <c r="R105" s="3" t="s">
        <v>12</v>
      </c>
    </row>
    <row r="106" spans="1:18" x14ac:dyDescent="0.25">
      <c r="A106" s="30">
        <v>45674</v>
      </c>
      <c r="B106" s="28">
        <v>96</v>
      </c>
      <c r="C106" s="28"/>
      <c r="D106" s="2" t="s">
        <v>102</v>
      </c>
      <c r="E106" s="7" t="s">
        <v>12</v>
      </c>
      <c r="F106" s="7"/>
      <c r="G106" s="2" t="s">
        <v>13</v>
      </c>
      <c r="H106" s="2" t="s">
        <v>94</v>
      </c>
      <c r="I106" s="5">
        <v>1707.65</v>
      </c>
      <c r="J106" s="57"/>
      <c r="K106" s="3">
        <v>24</v>
      </c>
      <c r="L106" s="2" t="s">
        <v>64</v>
      </c>
      <c r="M106" s="2" t="s">
        <v>12</v>
      </c>
      <c r="N106" s="2" t="s">
        <v>12</v>
      </c>
      <c r="O106" s="2" t="s">
        <v>12</v>
      </c>
      <c r="P106" s="21" t="s">
        <v>12</v>
      </c>
      <c r="Q106" s="3" t="s">
        <v>12</v>
      </c>
      <c r="R106" s="3" t="s">
        <v>12</v>
      </c>
    </row>
    <row r="107" spans="1:18" x14ac:dyDescent="0.25">
      <c r="A107" s="30">
        <v>45674</v>
      </c>
      <c r="B107" s="28">
        <v>97</v>
      </c>
      <c r="C107" s="28"/>
      <c r="D107" s="2" t="s">
        <v>252</v>
      </c>
      <c r="E107" s="7" t="s">
        <v>12</v>
      </c>
      <c r="F107" s="7"/>
      <c r="G107" s="2" t="s">
        <v>13</v>
      </c>
      <c r="H107" s="2" t="s">
        <v>63</v>
      </c>
      <c r="I107" s="5">
        <v>1242.8</v>
      </c>
      <c r="J107" s="57"/>
      <c r="K107" s="3">
        <v>7.2</v>
      </c>
      <c r="L107" s="2" t="s">
        <v>226</v>
      </c>
      <c r="M107" s="2" t="s">
        <v>12</v>
      </c>
      <c r="N107" s="2" t="s">
        <v>12</v>
      </c>
      <c r="O107" s="2" t="s">
        <v>12</v>
      </c>
      <c r="P107" s="21" t="s">
        <v>12</v>
      </c>
      <c r="Q107" s="3" t="s">
        <v>12</v>
      </c>
      <c r="R107" s="3" t="s">
        <v>12</v>
      </c>
    </row>
    <row r="108" spans="1:18" x14ac:dyDescent="0.25">
      <c r="A108" s="30">
        <v>45674</v>
      </c>
      <c r="B108" s="28">
        <v>98</v>
      </c>
      <c r="C108" s="28"/>
      <c r="D108" s="2" t="s">
        <v>87</v>
      </c>
      <c r="E108" s="7" t="s">
        <v>248</v>
      </c>
      <c r="F108" s="7"/>
      <c r="G108" s="2" t="s">
        <v>13</v>
      </c>
      <c r="H108" s="2" t="s">
        <v>185</v>
      </c>
      <c r="I108" s="5">
        <v>103725.05</v>
      </c>
      <c r="J108" s="57"/>
      <c r="K108" s="3">
        <v>1200</v>
      </c>
      <c r="L108" s="2" t="s">
        <v>64</v>
      </c>
      <c r="M108" s="2" t="s">
        <v>12</v>
      </c>
      <c r="N108" s="2" t="s">
        <v>12</v>
      </c>
      <c r="O108" s="2" t="s">
        <v>12</v>
      </c>
      <c r="P108" s="21" t="s">
        <v>12</v>
      </c>
      <c r="Q108" s="3" t="s">
        <v>77</v>
      </c>
      <c r="R108" s="3" t="s">
        <v>75</v>
      </c>
    </row>
    <row r="109" spans="1:18" x14ac:dyDescent="0.25">
      <c r="A109" s="30">
        <v>45677</v>
      </c>
      <c r="B109" s="28">
        <v>99</v>
      </c>
      <c r="C109" s="28"/>
      <c r="D109" s="2" t="s">
        <v>202</v>
      </c>
      <c r="E109" s="7" t="s">
        <v>253</v>
      </c>
      <c r="F109" s="7"/>
      <c r="G109" s="2" t="s">
        <v>97</v>
      </c>
      <c r="H109" s="2" t="s">
        <v>254</v>
      </c>
      <c r="I109" s="5">
        <v>13533.77</v>
      </c>
      <c r="J109" s="57"/>
      <c r="K109" s="3">
        <v>192</v>
      </c>
      <c r="L109" s="2" t="s">
        <v>64</v>
      </c>
      <c r="M109" s="2" t="s">
        <v>12</v>
      </c>
      <c r="N109" s="2" t="s">
        <v>12</v>
      </c>
      <c r="O109" s="2" t="s">
        <v>12</v>
      </c>
      <c r="P109" s="21" t="s">
        <v>12</v>
      </c>
      <c r="Q109" s="3" t="s">
        <v>220</v>
      </c>
      <c r="R109" s="3" t="s">
        <v>75</v>
      </c>
    </row>
    <row r="110" spans="1:18" x14ac:dyDescent="0.25">
      <c r="A110" s="30">
        <v>45674</v>
      </c>
      <c r="B110" s="28">
        <v>100</v>
      </c>
      <c r="C110" s="28"/>
      <c r="D110" s="2" t="s">
        <v>255</v>
      </c>
      <c r="E110" s="7" t="s">
        <v>12</v>
      </c>
      <c r="F110" s="7"/>
      <c r="G110" s="2" t="s">
        <v>13</v>
      </c>
      <c r="H110" s="2" t="s">
        <v>129</v>
      </c>
      <c r="I110" s="5">
        <v>5655.17</v>
      </c>
      <c r="J110" s="57"/>
      <c r="K110" s="3">
        <v>48</v>
      </c>
      <c r="L110" s="2" t="s">
        <v>226</v>
      </c>
      <c r="M110" s="2" t="s">
        <v>12</v>
      </c>
      <c r="N110" s="2" t="s">
        <v>12</v>
      </c>
      <c r="O110" s="2" t="s">
        <v>12</v>
      </c>
      <c r="P110" s="21" t="s">
        <v>12</v>
      </c>
      <c r="Q110" s="3" t="s">
        <v>12</v>
      </c>
      <c r="R110" s="3" t="s">
        <v>12</v>
      </c>
    </row>
    <row r="111" spans="1:18" x14ac:dyDescent="0.25">
      <c r="A111" s="30">
        <v>45674</v>
      </c>
      <c r="B111" s="28">
        <v>101</v>
      </c>
      <c r="C111" s="28"/>
      <c r="D111" s="2" t="s">
        <v>256</v>
      </c>
      <c r="E111" s="7" t="s">
        <v>12</v>
      </c>
      <c r="F111" s="7"/>
      <c r="G111" s="2" t="s">
        <v>20</v>
      </c>
      <c r="H111" s="2" t="s">
        <v>257</v>
      </c>
      <c r="I111" s="5">
        <v>1385.5</v>
      </c>
      <c r="J111" s="57"/>
      <c r="K111" s="3" t="s">
        <v>12</v>
      </c>
      <c r="L111" s="2" t="s">
        <v>64</v>
      </c>
      <c r="M111" s="2" t="s">
        <v>12</v>
      </c>
      <c r="N111" s="2" t="s">
        <v>12</v>
      </c>
      <c r="O111" s="2" t="s">
        <v>12</v>
      </c>
      <c r="P111" s="21" t="s">
        <v>12</v>
      </c>
      <c r="Q111" s="3" t="s">
        <v>12</v>
      </c>
      <c r="R111" s="3" t="s">
        <v>12</v>
      </c>
    </row>
    <row r="112" spans="1:18" x14ac:dyDescent="0.25">
      <c r="A112" s="30">
        <v>45674</v>
      </c>
      <c r="B112" s="28">
        <v>102</v>
      </c>
      <c r="C112" s="28"/>
      <c r="D112" s="2" t="s">
        <v>106</v>
      </c>
      <c r="E112" s="7" t="s">
        <v>12</v>
      </c>
      <c r="F112" s="7"/>
      <c r="G112" s="2" t="s">
        <v>13</v>
      </c>
      <c r="H112" s="2" t="s">
        <v>40</v>
      </c>
      <c r="I112" s="5">
        <v>5200.1400000000003</v>
      </c>
      <c r="J112" s="57"/>
      <c r="K112" s="3">
        <v>72</v>
      </c>
      <c r="L112" s="2" t="s">
        <v>64</v>
      </c>
      <c r="M112" s="2" t="s">
        <v>300</v>
      </c>
      <c r="N112" s="2" t="s">
        <v>12</v>
      </c>
      <c r="O112" s="2" t="s">
        <v>12</v>
      </c>
      <c r="P112" s="21" t="s">
        <v>12</v>
      </c>
      <c r="Q112" s="3" t="s">
        <v>12</v>
      </c>
      <c r="R112" s="3" t="s">
        <v>12</v>
      </c>
    </row>
    <row r="113" spans="1:18" x14ac:dyDescent="0.25">
      <c r="A113" s="30">
        <v>45677</v>
      </c>
      <c r="B113" s="28">
        <v>103</v>
      </c>
      <c r="C113" s="28"/>
      <c r="D113" s="2" t="s">
        <v>258</v>
      </c>
      <c r="E113" s="7" t="s">
        <v>12</v>
      </c>
      <c r="F113" s="7"/>
      <c r="G113" s="2" t="s">
        <v>13</v>
      </c>
      <c r="H113" s="2" t="s">
        <v>259</v>
      </c>
      <c r="I113" s="5">
        <v>15641.49</v>
      </c>
      <c r="J113" s="57"/>
      <c r="K113" s="3">
        <v>120</v>
      </c>
      <c r="L113" s="2" t="s">
        <v>64</v>
      </c>
      <c r="M113" s="2" t="s">
        <v>12</v>
      </c>
      <c r="N113" s="2" t="s">
        <v>12</v>
      </c>
      <c r="O113" s="2" t="s">
        <v>12</v>
      </c>
      <c r="P113" s="21" t="s">
        <v>12</v>
      </c>
      <c r="Q113" s="3" t="s">
        <v>12</v>
      </c>
      <c r="R113" s="3" t="s">
        <v>12</v>
      </c>
    </row>
    <row r="114" spans="1:18" x14ac:dyDescent="0.25">
      <c r="A114" s="30">
        <v>45677</v>
      </c>
      <c r="B114" s="28">
        <v>104</v>
      </c>
      <c r="C114" s="28"/>
      <c r="D114" s="2" t="s">
        <v>41</v>
      </c>
      <c r="E114" s="7" t="s">
        <v>358</v>
      </c>
      <c r="F114" s="7"/>
      <c r="G114" s="2" t="s">
        <v>43</v>
      </c>
      <c r="H114" s="2" t="s">
        <v>158</v>
      </c>
      <c r="I114" s="5">
        <v>217103.15</v>
      </c>
      <c r="J114" s="57"/>
      <c r="K114" s="3">
        <v>3312</v>
      </c>
      <c r="L114" s="2" t="s">
        <v>64</v>
      </c>
      <c r="M114" s="2" t="s">
        <v>12</v>
      </c>
      <c r="N114" s="2" t="s">
        <v>12</v>
      </c>
      <c r="O114" s="2" t="s">
        <v>12</v>
      </c>
      <c r="P114" s="21" t="s">
        <v>12</v>
      </c>
      <c r="Q114" s="3" t="s">
        <v>12</v>
      </c>
      <c r="R114" s="3" t="s">
        <v>12</v>
      </c>
    </row>
    <row r="115" spans="1:18" x14ac:dyDescent="0.25">
      <c r="A115" s="30">
        <v>45677</v>
      </c>
      <c r="B115" s="28">
        <v>105</v>
      </c>
      <c r="C115" s="28"/>
      <c r="D115" s="2" t="s">
        <v>115</v>
      </c>
      <c r="E115" s="7" t="s">
        <v>12</v>
      </c>
      <c r="F115" s="7"/>
      <c r="G115" s="2" t="s">
        <v>20</v>
      </c>
      <c r="H115" s="2" t="s">
        <v>116</v>
      </c>
      <c r="I115" s="5">
        <v>1209.93</v>
      </c>
      <c r="J115" s="57"/>
      <c r="K115" s="3" t="s">
        <v>12</v>
      </c>
      <c r="L115" s="2" t="s">
        <v>64</v>
      </c>
      <c r="M115" s="2" t="s">
        <v>12</v>
      </c>
      <c r="N115" s="2" t="s">
        <v>12</v>
      </c>
      <c r="O115" s="2" t="s">
        <v>12</v>
      </c>
      <c r="P115" s="21" t="s">
        <v>12</v>
      </c>
      <c r="Q115" s="3" t="s">
        <v>12</v>
      </c>
      <c r="R115" s="3" t="s">
        <v>12</v>
      </c>
    </row>
    <row r="116" spans="1:18" x14ac:dyDescent="0.25">
      <c r="A116" s="30">
        <v>45677</v>
      </c>
      <c r="B116" s="28">
        <v>106</v>
      </c>
      <c r="C116" s="28"/>
      <c r="D116" s="2" t="s">
        <v>151</v>
      </c>
      <c r="E116" s="7" t="s">
        <v>12</v>
      </c>
      <c r="F116" s="7"/>
      <c r="G116" s="2" t="s">
        <v>13</v>
      </c>
      <c r="H116" s="2" t="s">
        <v>152</v>
      </c>
      <c r="I116" s="5">
        <v>633.6</v>
      </c>
      <c r="J116" s="57"/>
      <c r="K116" s="3" t="s">
        <v>12</v>
      </c>
      <c r="L116" s="2" t="s">
        <v>64</v>
      </c>
      <c r="M116" s="2" t="s">
        <v>12</v>
      </c>
      <c r="N116" s="2" t="s">
        <v>12</v>
      </c>
      <c r="O116" s="2" t="s">
        <v>12</v>
      </c>
      <c r="P116" s="21" t="s">
        <v>12</v>
      </c>
      <c r="Q116" s="3" t="s">
        <v>12</v>
      </c>
      <c r="R116" s="3" t="s">
        <v>12</v>
      </c>
    </row>
    <row r="117" spans="1:18" x14ac:dyDescent="0.25">
      <c r="A117" s="30">
        <v>45677</v>
      </c>
      <c r="B117" s="28">
        <v>107</v>
      </c>
      <c r="C117" s="28"/>
      <c r="D117" s="2" t="s">
        <v>260</v>
      </c>
      <c r="E117" s="7" t="s">
        <v>12</v>
      </c>
      <c r="F117" s="7"/>
      <c r="G117" s="2" t="s">
        <v>13</v>
      </c>
      <c r="H117" s="2" t="s">
        <v>261</v>
      </c>
      <c r="I117" s="5">
        <v>59934.3</v>
      </c>
      <c r="J117" s="57"/>
      <c r="K117" s="3">
        <v>528</v>
      </c>
      <c r="L117" s="2" t="s">
        <v>64</v>
      </c>
      <c r="M117" s="2" t="s">
        <v>12</v>
      </c>
      <c r="N117" s="2" t="s">
        <v>12</v>
      </c>
      <c r="O117" s="2" t="s">
        <v>12</v>
      </c>
      <c r="P117" s="21" t="s">
        <v>12</v>
      </c>
      <c r="Q117" s="3" t="s">
        <v>12</v>
      </c>
      <c r="R117" s="3" t="s">
        <v>12</v>
      </c>
    </row>
    <row r="118" spans="1:18" x14ac:dyDescent="0.25">
      <c r="A118" s="30">
        <v>45677</v>
      </c>
      <c r="B118" s="28">
        <v>108</v>
      </c>
      <c r="C118" s="28"/>
      <c r="D118" s="2" t="s">
        <v>262</v>
      </c>
      <c r="E118" s="7" t="s">
        <v>12</v>
      </c>
      <c r="F118" s="7"/>
      <c r="G118" s="2" t="s">
        <v>13</v>
      </c>
      <c r="H118" s="2" t="s">
        <v>263</v>
      </c>
      <c r="I118" s="5">
        <v>7605.4</v>
      </c>
      <c r="J118" s="57"/>
      <c r="K118" s="3">
        <v>96</v>
      </c>
      <c r="L118" s="2" t="s">
        <v>226</v>
      </c>
      <c r="M118" s="2" t="s">
        <v>12</v>
      </c>
      <c r="N118" s="2" t="s">
        <v>12</v>
      </c>
      <c r="O118" s="2" t="s">
        <v>12</v>
      </c>
      <c r="P118" s="21" t="s">
        <v>12</v>
      </c>
      <c r="Q118" s="3" t="s">
        <v>12</v>
      </c>
      <c r="R118" s="3" t="s">
        <v>12</v>
      </c>
    </row>
    <row r="119" spans="1:18" x14ac:dyDescent="0.25">
      <c r="A119" s="30">
        <v>45677</v>
      </c>
      <c r="B119" s="28">
        <v>109</v>
      </c>
      <c r="C119" s="28"/>
      <c r="D119" s="2" t="s">
        <v>212</v>
      </c>
      <c r="E119" s="7" t="s">
        <v>264</v>
      </c>
      <c r="F119" s="7"/>
      <c r="G119" s="2" t="s">
        <v>20</v>
      </c>
      <c r="H119" s="2" t="s">
        <v>108</v>
      </c>
      <c r="I119" s="5">
        <v>2934.35</v>
      </c>
      <c r="J119" s="57"/>
      <c r="K119" s="3" t="s">
        <v>12</v>
      </c>
      <c r="L119" s="2" t="s">
        <v>134</v>
      </c>
      <c r="M119" s="2" t="s">
        <v>12</v>
      </c>
      <c r="N119" s="2" t="s">
        <v>373</v>
      </c>
      <c r="O119" s="2" t="s">
        <v>374</v>
      </c>
      <c r="P119" s="21" t="s">
        <v>12</v>
      </c>
      <c r="Q119" s="3" t="s">
        <v>12</v>
      </c>
      <c r="R119" s="3" t="s">
        <v>12</v>
      </c>
    </row>
    <row r="120" spans="1:18" x14ac:dyDescent="0.25">
      <c r="A120" s="30">
        <v>45677</v>
      </c>
      <c r="B120" s="28">
        <v>110</v>
      </c>
      <c r="C120" s="28"/>
      <c r="D120" s="2" t="s">
        <v>41</v>
      </c>
      <c r="E120" s="7" t="s">
        <v>265</v>
      </c>
      <c r="F120" s="7"/>
      <c r="G120" s="2" t="s">
        <v>43</v>
      </c>
      <c r="H120" s="2" t="s">
        <v>44</v>
      </c>
      <c r="I120" s="5">
        <v>12909.06</v>
      </c>
      <c r="J120" s="57"/>
      <c r="K120" s="3">
        <v>96</v>
      </c>
      <c r="L120" s="2" t="s">
        <v>226</v>
      </c>
      <c r="M120" s="2" t="s">
        <v>792</v>
      </c>
      <c r="N120" s="2" t="s">
        <v>12</v>
      </c>
      <c r="O120" s="2" t="s">
        <v>12</v>
      </c>
      <c r="P120" s="21" t="s">
        <v>12</v>
      </c>
      <c r="Q120" s="3" t="s">
        <v>41</v>
      </c>
      <c r="R120" s="3" t="s">
        <v>75</v>
      </c>
    </row>
    <row r="121" spans="1:18" x14ac:dyDescent="0.25">
      <c r="A121" s="30">
        <v>45677</v>
      </c>
      <c r="B121" s="28">
        <v>111</v>
      </c>
      <c r="C121" s="28"/>
      <c r="D121" s="2" t="s">
        <v>266</v>
      </c>
      <c r="E121" s="7" t="s">
        <v>267</v>
      </c>
      <c r="F121" s="7"/>
      <c r="G121" s="2" t="s">
        <v>26</v>
      </c>
      <c r="H121" s="2" t="s">
        <v>268</v>
      </c>
      <c r="I121" s="5">
        <v>21460.3</v>
      </c>
      <c r="J121" s="57"/>
      <c r="K121" s="3">
        <v>216</v>
      </c>
      <c r="L121" s="2" t="s">
        <v>226</v>
      </c>
      <c r="M121" s="2" t="s">
        <v>12</v>
      </c>
      <c r="N121" s="2" t="s">
        <v>12</v>
      </c>
      <c r="O121" s="2" t="s">
        <v>12</v>
      </c>
      <c r="P121" s="21" t="s">
        <v>12</v>
      </c>
      <c r="Q121" s="3" t="s">
        <v>12</v>
      </c>
      <c r="R121" s="3" t="s">
        <v>12</v>
      </c>
    </row>
    <row r="122" spans="1:18" x14ac:dyDescent="0.25">
      <c r="A122" s="30">
        <v>45677</v>
      </c>
      <c r="B122" s="28">
        <v>112</v>
      </c>
      <c r="C122" s="28"/>
      <c r="D122" s="2" t="s">
        <v>87</v>
      </c>
      <c r="E122" s="7" t="s">
        <v>269</v>
      </c>
      <c r="F122" s="7"/>
      <c r="G122" s="2" t="s">
        <v>13</v>
      </c>
      <c r="H122" s="2" t="s">
        <v>185</v>
      </c>
      <c r="I122" s="5">
        <v>153968.97</v>
      </c>
      <c r="J122" s="57"/>
      <c r="K122" s="3">
        <v>1386</v>
      </c>
      <c r="L122" s="2" t="s">
        <v>226</v>
      </c>
      <c r="M122" s="2" t="s">
        <v>12</v>
      </c>
      <c r="N122" s="2" t="s">
        <v>12</v>
      </c>
      <c r="O122" s="2" t="s">
        <v>12</v>
      </c>
      <c r="P122" s="21" t="s">
        <v>12</v>
      </c>
      <c r="Q122" s="3" t="s">
        <v>77</v>
      </c>
      <c r="R122" s="3" t="s">
        <v>75</v>
      </c>
    </row>
    <row r="123" spans="1:18" x14ac:dyDescent="0.25">
      <c r="A123" s="30">
        <v>45677</v>
      </c>
      <c r="B123" s="28">
        <v>113</v>
      </c>
      <c r="C123" s="28"/>
      <c r="D123" s="2" t="s">
        <v>41</v>
      </c>
      <c r="E123" s="7" t="s">
        <v>269</v>
      </c>
      <c r="F123" s="7"/>
      <c r="G123" s="2" t="s">
        <v>43</v>
      </c>
      <c r="H123" s="2" t="s">
        <v>270</v>
      </c>
      <c r="I123" s="5">
        <v>153698.97</v>
      </c>
      <c r="J123" s="57"/>
      <c r="K123" s="3">
        <v>1386</v>
      </c>
      <c r="L123" s="2" t="s">
        <v>226</v>
      </c>
      <c r="M123" s="2" t="s">
        <v>12</v>
      </c>
      <c r="N123" s="2" t="s">
        <v>12</v>
      </c>
      <c r="O123" s="2" t="s">
        <v>12</v>
      </c>
      <c r="P123" s="21" t="s">
        <v>12</v>
      </c>
      <c r="Q123" s="3" t="s">
        <v>77</v>
      </c>
      <c r="R123" s="3" t="s">
        <v>75</v>
      </c>
    </row>
    <row r="124" spans="1:18" x14ac:dyDescent="0.25">
      <c r="A124" s="30">
        <v>45677</v>
      </c>
      <c r="B124" s="28">
        <v>114</v>
      </c>
      <c r="C124" s="28"/>
      <c r="D124" s="2" t="s">
        <v>271</v>
      </c>
      <c r="E124" s="7" t="s">
        <v>272</v>
      </c>
      <c r="F124" s="7"/>
      <c r="G124" s="2" t="s">
        <v>13</v>
      </c>
      <c r="H124" s="2" t="s">
        <v>129</v>
      </c>
      <c r="I124" s="5">
        <v>24186.5</v>
      </c>
      <c r="J124" s="57"/>
      <c r="K124" s="3">
        <v>336</v>
      </c>
      <c r="L124" s="2" t="s">
        <v>64</v>
      </c>
      <c r="M124" s="2" t="s">
        <v>12</v>
      </c>
      <c r="N124" s="2" t="s">
        <v>12</v>
      </c>
      <c r="O124" s="2" t="s">
        <v>12</v>
      </c>
      <c r="P124" s="21" t="s">
        <v>12</v>
      </c>
      <c r="Q124" s="3" t="s">
        <v>12</v>
      </c>
      <c r="R124" s="3" t="s">
        <v>12</v>
      </c>
    </row>
    <row r="125" spans="1:18" x14ac:dyDescent="0.25">
      <c r="A125" s="30">
        <v>45677</v>
      </c>
      <c r="B125" s="28">
        <v>115</v>
      </c>
      <c r="C125" s="28"/>
      <c r="D125" s="2" t="s">
        <v>273</v>
      </c>
      <c r="E125" s="7" t="s">
        <v>12</v>
      </c>
      <c r="F125" s="7"/>
      <c r="G125" s="2" t="s">
        <v>26</v>
      </c>
      <c r="H125" s="2" t="s">
        <v>116</v>
      </c>
      <c r="I125" s="5">
        <v>9296.5300000000007</v>
      </c>
      <c r="J125" s="57"/>
      <c r="K125" s="3">
        <v>120</v>
      </c>
      <c r="L125" s="2" t="s">
        <v>64</v>
      </c>
      <c r="M125" s="2" t="s">
        <v>12</v>
      </c>
      <c r="N125" s="2" t="s">
        <v>12</v>
      </c>
      <c r="O125" s="2" t="s">
        <v>12</v>
      </c>
      <c r="P125" s="21" t="s">
        <v>12</v>
      </c>
      <c r="Q125" s="3" t="s">
        <v>12</v>
      </c>
      <c r="R125" s="3" t="s">
        <v>12</v>
      </c>
    </row>
    <row r="126" spans="1:18" x14ac:dyDescent="0.25">
      <c r="A126" s="30">
        <v>45677</v>
      </c>
      <c r="B126" s="28">
        <v>116</v>
      </c>
      <c r="C126" s="28"/>
      <c r="D126" s="2" t="s">
        <v>28</v>
      </c>
      <c r="E126" s="7" t="s">
        <v>12</v>
      </c>
      <c r="F126" s="7"/>
      <c r="G126" s="2" t="s">
        <v>26</v>
      </c>
      <c r="H126" s="2" t="s">
        <v>30</v>
      </c>
      <c r="I126" s="5">
        <v>209.8</v>
      </c>
      <c r="J126" s="57"/>
      <c r="K126" s="3" t="s">
        <v>12</v>
      </c>
      <c r="L126" s="2" t="s">
        <v>64</v>
      </c>
      <c r="M126" s="2" t="s">
        <v>12</v>
      </c>
      <c r="N126" s="2" t="s">
        <v>12</v>
      </c>
      <c r="O126" s="2" t="s">
        <v>12</v>
      </c>
      <c r="P126" s="21" t="s">
        <v>12</v>
      </c>
      <c r="Q126" s="3" t="s">
        <v>12</v>
      </c>
      <c r="R126" s="3" t="s">
        <v>12</v>
      </c>
    </row>
    <row r="127" spans="1:18" x14ac:dyDescent="0.25">
      <c r="A127" s="30">
        <v>45677</v>
      </c>
      <c r="B127" s="28">
        <v>117</v>
      </c>
      <c r="C127" s="28"/>
      <c r="D127" s="2" t="s">
        <v>56</v>
      </c>
      <c r="E127" s="7" t="s">
        <v>274</v>
      </c>
      <c r="F127" s="7"/>
      <c r="G127" s="2" t="s">
        <v>13</v>
      </c>
      <c r="H127" s="2" t="s">
        <v>275</v>
      </c>
      <c r="I127" s="5">
        <v>12302.84</v>
      </c>
      <c r="J127" s="57"/>
      <c r="K127" s="3">
        <v>96</v>
      </c>
      <c r="L127" s="2" t="s">
        <v>64</v>
      </c>
      <c r="M127" s="2" t="s">
        <v>12</v>
      </c>
      <c r="N127" s="2" t="s">
        <v>12</v>
      </c>
      <c r="O127" s="2" t="s">
        <v>12</v>
      </c>
      <c r="P127" s="21" t="s">
        <v>12</v>
      </c>
      <c r="Q127" s="3" t="s">
        <v>56</v>
      </c>
      <c r="R127" s="3" t="s">
        <v>80</v>
      </c>
    </row>
    <row r="128" spans="1:18" x14ac:dyDescent="0.25">
      <c r="A128" s="30">
        <v>45677</v>
      </c>
      <c r="B128" s="28">
        <v>118</v>
      </c>
      <c r="C128" s="28"/>
      <c r="D128" s="2" t="s">
        <v>276</v>
      </c>
      <c r="E128" s="7" t="s">
        <v>277</v>
      </c>
      <c r="F128" s="7"/>
      <c r="G128" s="2" t="s">
        <v>43</v>
      </c>
      <c r="H128" s="2" t="s">
        <v>108</v>
      </c>
      <c r="I128" s="5">
        <v>11951.67</v>
      </c>
      <c r="J128" s="57"/>
      <c r="K128" s="3">
        <v>120</v>
      </c>
      <c r="L128" s="2" t="s">
        <v>226</v>
      </c>
      <c r="M128" s="2" t="s">
        <v>527</v>
      </c>
      <c r="N128" s="2" t="s">
        <v>12</v>
      </c>
      <c r="O128" s="2" t="s">
        <v>12</v>
      </c>
      <c r="P128" s="21" t="s">
        <v>12</v>
      </c>
      <c r="Q128" s="3" t="s">
        <v>296</v>
      </c>
      <c r="R128" s="3" t="s">
        <v>76</v>
      </c>
    </row>
    <row r="129" spans="1:18" x14ac:dyDescent="0.25">
      <c r="A129" s="30">
        <v>45678</v>
      </c>
      <c r="B129" s="28">
        <v>119</v>
      </c>
      <c r="C129" s="28"/>
      <c r="D129" s="2" t="s">
        <v>23</v>
      </c>
      <c r="E129" s="7" t="s">
        <v>278</v>
      </c>
      <c r="F129" s="7"/>
      <c r="G129" s="2" t="s">
        <v>20</v>
      </c>
      <c r="H129" s="2" t="s">
        <v>24</v>
      </c>
      <c r="I129" s="5">
        <v>6709.14</v>
      </c>
      <c r="J129" s="57"/>
      <c r="K129" s="3">
        <v>96</v>
      </c>
      <c r="L129" s="2" t="s">
        <v>64</v>
      </c>
      <c r="M129" s="2" t="s">
        <v>12</v>
      </c>
      <c r="N129" s="2" t="s">
        <v>12</v>
      </c>
      <c r="O129" s="2" t="s">
        <v>12</v>
      </c>
      <c r="P129" s="21" t="s">
        <v>12</v>
      </c>
      <c r="Q129" s="3" t="s">
        <v>12</v>
      </c>
      <c r="R129" s="3" t="s">
        <v>12</v>
      </c>
    </row>
    <row r="130" spans="1:18" x14ac:dyDescent="0.25">
      <c r="A130" s="30">
        <v>45678</v>
      </c>
      <c r="B130" s="28">
        <v>120</v>
      </c>
      <c r="C130" s="28"/>
      <c r="D130" s="2" t="s">
        <v>163</v>
      </c>
      <c r="E130" s="7" t="s">
        <v>279</v>
      </c>
      <c r="F130" s="7"/>
      <c r="G130" s="2" t="s">
        <v>97</v>
      </c>
      <c r="H130" s="2" t="s">
        <v>189</v>
      </c>
      <c r="I130" s="5">
        <v>18097.28</v>
      </c>
      <c r="J130" s="57"/>
      <c r="K130" s="3">
        <v>192</v>
      </c>
      <c r="L130" s="2" t="s">
        <v>226</v>
      </c>
      <c r="M130" s="2" t="s">
        <v>12</v>
      </c>
      <c r="N130" s="2" t="s">
        <v>12</v>
      </c>
      <c r="O130" s="2" t="s">
        <v>12</v>
      </c>
      <c r="P130" s="21" t="s">
        <v>12</v>
      </c>
      <c r="Q130" s="3" t="s">
        <v>297</v>
      </c>
      <c r="R130" s="3" t="s">
        <v>80</v>
      </c>
    </row>
    <row r="131" spans="1:18" x14ac:dyDescent="0.25">
      <c r="A131" s="30">
        <v>45678</v>
      </c>
      <c r="B131" s="28">
        <v>121</v>
      </c>
      <c r="C131" s="28"/>
      <c r="D131" s="2" t="s">
        <v>233</v>
      </c>
      <c r="E131" s="7" t="s">
        <v>12</v>
      </c>
      <c r="F131" s="7"/>
      <c r="G131" s="2" t="s">
        <v>13</v>
      </c>
      <c r="H131" s="2" t="s">
        <v>235</v>
      </c>
      <c r="I131" s="5">
        <v>26699.3</v>
      </c>
      <c r="J131" s="57"/>
      <c r="K131" s="3">
        <v>336</v>
      </c>
      <c r="L131" s="2" t="s">
        <v>226</v>
      </c>
      <c r="M131" s="2" t="s">
        <v>12</v>
      </c>
      <c r="N131" s="2" t="s">
        <v>12</v>
      </c>
      <c r="O131" s="2" t="s">
        <v>12</v>
      </c>
      <c r="P131" s="21" t="s">
        <v>12</v>
      </c>
      <c r="Q131" s="3" t="s">
        <v>12</v>
      </c>
      <c r="R131" s="3" t="s">
        <v>12</v>
      </c>
    </row>
    <row r="132" spans="1:18" x14ac:dyDescent="0.25">
      <c r="A132" s="30">
        <v>45678</v>
      </c>
      <c r="B132" s="28">
        <v>122</v>
      </c>
      <c r="C132" s="28"/>
      <c r="D132" s="2" t="s">
        <v>137</v>
      </c>
      <c r="E132" s="7" t="s">
        <v>280</v>
      </c>
      <c r="F132" s="7"/>
      <c r="G132" s="2" t="s">
        <v>26</v>
      </c>
      <c r="H132" s="2" t="s">
        <v>98</v>
      </c>
      <c r="I132" s="5">
        <v>166485.04</v>
      </c>
      <c r="J132" s="57"/>
      <c r="K132" s="3">
        <v>1584</v>
      </c>
      <c r="L132" s="2" t="s">
        <v>226</v>
      </c>
      <c r="M132" s="2" t="s">
        <v>12</v>
      </c>
      <c r="N132" s="2" t="s">
        <v>12</v>
      </c>
      <c r="O132" s="2" t="s">
        <v>12</v>
      </c>
      <c r="P132" s="21" t="s">
        <v>12</v>
      </c>
      <c r="Q132" s="3" t="s">
        <v>77</v>
      </c>
      <c r="R132" s="3" t="s">
        <v>75</v>
      </c>
    </row>
    <row r="133" spans="1:18" x14ac:dyDescent="0.25">
      <c r="A133" s="30">
        <v>45678</v>
      </c>
      <c r="B133" s="28">
        <v>123</v>
      </c>
      <c r="C133" s="28"/>
      <c r="D133" s="2" t="s">
        <v>206</v>
      </c>
      <c r="E133" s="7" t="s">
        <v>281</v>
      </c>
      <c r="F133" s="7"/>
      <c r="G133" s="2" t="s">
        <v>97</v>
      </c>
      <c r="H133" s="2" t="s">
        <v>282</v>
      </c>
      <c r="I133" s="5">
        <v>72135</v>
      </c>
      <c r="J133" s="57"/>
      <c r="K133" s="3">
        <v>696</v>
      </c>
      <c r="L133" s="2" t="s">
        <v>226</v>
      </c>
      <c r="M133" s="2" t="s">
        <v>12</v>
      </c>
      <c r="N133" s="2" t="s">
        <v>12</v>
      </c>
      <c r="O133" s="2" t="s">
        <v>12</v>
      </c>
      <c r="P133" s="21" t="s">
        <v>12</v>
      </c>
      <c r="Q133" s="3" t="s">
        <v>12</v>
      </c>
      <c r="R133" s="3" t="s">
        <v>80</v>
      </c>
    </row>
    <row r="134" spans="1:18" x14ac:dyDescent="0.25">
      <c r="A134" s="30">
        <v>45678</v>
      </c>
      <c r="B134" s="28">
        <v>124</v>
      </c>
      <c r="C134" s="28"/>
      <c r="D134" s="2" t="s">
        <v>206</v>
      </c>
      <c r="E134" s="7" t="s">
        <v>281</v>
      </c>
      <c r="F134" s="7"/>
      <c r="G134" s="2" t="s">
        <v>97</v>
      </c>
      <c r="H134" s="2" t="s">
        <v>282</v>
      </c>
      <c r="I134" s="5">
        <v>15902.78</v>
      </c>
      <c r="J134" s="57"/>
      <c r="K134" s="3">
        <v>192</v>
      </c>
      <c r="L134" s="2" t="s">
        <v>226</v>
      </c>
      <c r="M134" s="2" t="s">
        <v>12</v>
      </c>
      <c r="N134" s="2" t="s">
        <v>12</v>
      </c>
      <c r="O134" s="2" t="s">
        <v>12</v>
      </c>
      <c r="P134" s="21" t="s">
        <v>12</v>
      </c>
      <c r="Q134" s="3" t="s">
        <v>12</v>
      </c>
      <c r="R134" s="3" t="s">
        <v>80</v>
      </c>
    </row>
    <row r="135" spans="1:18" x14ac:dyDescent="0.25">
      <c r="A135" s="30">
        <v>45678</v>
      </c>
      <c r="B135" s="28">
        <v>125</v>
      </c>
      <c r="C135" s="28"/>
      <c r="D135" s="2" t="s">
        <v>283</v>
      </c>
      <c r="E135" s="7" t="s">
        <v>284</v>
      </c>
      <c r="F135" s="7"/>
      <c r="G135" s="2" t="s">
        <v>97</v>
      </c>
      <c r="H135" s="2" t="s">
        <v>285</v>
      </c>
      <c r="I135" s="5">
        <v>3503.69</v>
      </c>
      <c r="J135" s="57"/>
      <c r="K135" s="3">
        <v>48</v>
      </c>
      <c r="L135" s="2" t="s">
        <v>226</v>
      </c>
      <c r="M135" s="2" t="s">
        <v>12</v>
      </c>
      <c r="N135" s="2" t="s">
        <v>12</v>
      </c>
      <c r="O135" s="2" t="s">
        <v>12</v>
      </c>
      <c r="P135" s="21" t="s">
        <v>12</v>
      </c>
      <c r="Q135" s="3" t="s">
        <v>12</v>
      </c>
      <c r="R135" s="3" t="s">
        <v>12</v>
      </c>
    </row>
    <row r="136" spans="1:18" x14ac:dyDescent="0.25">
      <c r="A136" s="30">
        <v>45678</v>
      </c>
      <c r="B136" s="28">
        <v>126</v>
      </c>
      <c r="C136" s="28"/>
      <c r="D136" s="2" t="s">
        <v>286</v>
      </c>
      <c r="E136" s="7" t="s">
        <v>287</v>
      </c>
      <c r="F136" s="7"/>
      <c r="G136" s="2" t="s">
        <v>13</v>
      </c>
      <c r="H136" s="2" t="s">
        <v>288</v>
      </c>
      <c r="I136" s="5">
        <v>18540.07</v>
      </c>
      <c r="J136" s="57"/>
      <c r="K136" s="3">
        <v>192</v>
      </c>
      <c r="L136" s="2" t="s">
        <v>64</v>
      </c>
      <c r="M136" s="2" t="s">
        <v>12</v>
      </c>
      <c r="N136" s="2" t="s">
        <v>12</v>
      </c>
      <c r="O136" s="2" t="s">
        <v>12</v>
      </c>
      <c r="P136" s="21" t="s">
        <v>12</v>
      </c>
      <c r="Q136" s="3" t="s">
        <v>12</v>
      </c>
      <c r="R136" s="3" t="s">
        <v>12</v>
      </c>
    </row>
    <row r="137" spans="1:18" x14ac:dyDescent="0.25">
      <c r="A137" s="30">
        <v>45679</v>
      </c>
      <c r="B137" s="28">
        <v>127</v>
      </c>
      <c r="C137" s="28"/>
      <c r="D137" s="2" t="s">
        <v>62</v>
      </c>
      <c r="E137" s="7" t="s">
        <v>12</v>
      </c>
      <c r="F137" s="7"/>
      <c r="G137" s="2" t="s">
        <v>26</v>
      </c>
      <c r="H137" s="2" t="s">
        <v>63</v>
      </c>
      <c r="I137" s="5">
        <v>11064.99</v>
      </c>
      <c r="J137" s="57"/>
      <c r="K137" s="3">
        <v>120</v>
      </c>
      <c r="L137" s="2" t="s">
        <v>226</v>
      </c>
      <c r="M137" s="2" t="s">
        <v>229</v>
      </c>
      <c r="N137" s="2" t="s">
        <v>12</v>
      </c>
      <c r="O137" s="2" t="s">
        <v>12</v>
      </c>
      <c r="P137" s="21" t="s">
        <v>12</v>
      </c>
      <c r="Q137" s="3" t="s">
        <v>12</v>
      </c>
      <c r="R137" s="3" t="s">
        <v>12</v>
      </c>
    </row>
    <row r="138" spans="1:18" x14ac:dyDescent="0.25">
      <c r="A138" s="30">
        <v>45679</v>
      </c>
      <c r="B138" s="28">
        <v>128</v>
      </c>
      <c r="C138" s="28"/>
      <c r="D138" s="2" t="s">
        <v>52</v>
      </c>
      <c r="E138" s="7" t="s">
        <v>12</v>
      </c>
      <c r="F138" s="7"/>
      <c r="G138" s="2" t="s">
        <v>13</v>
      </c>
      <c r="H138" s="2" t="s">
        <v>53</v>
      </c>
      <c r="I138" s="5">
        <v>170765.18</v>
      </c>
      <c r="J138" s="57"/>
      <c r="K138" s="3">
        <v>2400</v>
      </c>
      <c r="L138" s="2" t="s">
        <v>226</v>
      </c>
      <c r="M138" s="2" t="s">
        <v>12</v>
      </c>
      <c r="N138" s="2" t="s">
        <v>12</v>
      </c>
      <c r="O138" s="2" t="s">
        <v>12</v>
      </c>
      <c r="P138" s="21" t="s">
        <v>12</v>
      </c>
      <c r="Q138" s="3" t="s">
        <v>12</v>
      </c>
      <c r="R138" s="3" t="s">
        <v>12</v>
      </c>
    </row>
    <row r="139" spans="1:18" x14ac:dyDescent="0.25">
      <c r="A139" s="30">
        <v>45679</v>
      </c>
      <c r="B139" s="28">
        <v>129</v>
      </c>
      <c r="C139" s="28"/>
      <c r="D139" s="2" t="s">
        <v>289</v>
      </c>
      <c r="E139" s="7" t="s">
        <v>290</v>
      </c>
      <c r="F139" s="7"/>
      <c r="G139" s="2" t="s">
        <v>13</v>
      </c>
      <c r="H139" s="2" t="s">
        <v>291</v>
      </c>
      <c r="I139" s="5">
        <v>104103.37</v>
      </c>
      <c r="J139" s="57"/>
      <c r="K139" s="3">
        <v>1023.6</v>
      </c>
      <c r="L139" s="2" t="s">
        <v>226</v>
      </c>
      <c r="M139" s="2" t="s">
        <v>12</v>
      </c>
      <c r="N139" s="2" t="s">
        <v>12</v>
      </c>
      <c r="O139" s="2" t="s">
        <v>12</v>
      </c>
      <c r="P139" s="21" t="s">
        <v>12</v>
      </c>
      <c r="Q139" s="3" t="s">
        <v>12</v>
      </c>
      <c r="R139" s="3" t="s">
        <v>12</v>
      </c>
    </row>
    <row r="140" spans="1:18" x14ac:dyDescent="0.25">
      <c r="A140" s="30">
        <v>45679</v>
      </c>
      <c r="B140" s="28">
        <v>130</v>
      </c>
      <c r="C140" s="28"/>
      <c r="D140" s="2" t="s">
        <v>109</v>
      </c>
      <c r="E140" s="7" t="s">
        <v>292</v>
      </c>
      <c r="F140" s="7"/>
      <c r="G140" s="2" t="s">
        <v>111</v>
      </c>
      <c r="H140" s="2" t="s">
        <v>112</v>
      </c>
      <c r="I140" s="5">
        <v>1867811.8</v>
      </c>
      <c r="J140" s="57"/>
      <c r="K140" s="3">
        <v>26376</v>
      </c>
      <c r="L140" s="2" t="s">
        <v>2082</v>
      </c>
      <c r="M140" s="2" t="s">
        <v>530</v>
      </c>
      <c r="N140" s="2" t="s">
        <v>12</v>
      </c>
      <c r="O140" s="2" t="s">
        <v>12</v>
      </c>
      <c r="P140" s="21" t="s">
        <v>12</v>
      </c>
      <c r="Q140" s="3" t="s">
        <v>12</v>
      </c>
      <c r="R140" s="3" t="s">
        <v>12</v>
      </c>
    </row>
    <row r="141" spans="1:18" x14ac:dyDescent="0.25">
      <c r="A141" s="30">
        <v>45679</v>
      </c>
      <c r="B141" s="28">
        <v>131</v>
      </c>
      <c r="C141" s="28"/>
      <c r="D141" s="2" t="s">
        <v>99</v>
      </c>
      <c r="E141" s="7" t="s">
        <v>12</v>
      </c>
      <c r="F141" s="7"/>
      <c r="G141" s="2" t="s">
        <v>20</v>
      </c>
      <c r="H141" s="2" t="s">
        <v>101</v>
      </c>
      <c r="I141" s="5">
        <v>1455.48</v>
      </c>
      <c r="J141" s="57"/>
      <c r="K141" s="3" t="s">
        <v>12</v>
      </c>
      <c r="L141" s="2" t="s">
        <v>64</v>
      </c>
      <c r="M141" s="2" t="s">
        <v>12</v>
      </c>
      <c r="N141" s="2" t="s">
        <v>12</v>
      </c>
      <c r="O141" s="2" t="s">
        <v>12</v>
      </c>
      <c r="P141" s="21" t="s">
        <v>12</v>
      </c>
      <c r="Q141" s="3" t="s">
        <v>12</v>
      </c>
      <c r="R141" s="3" t="s">
        <v>12</v>
      </c>
    </row>
    <row r="142" spans="1:18" x14ac:dyDescent="0.25">
      <c r="A142" s="30">
        <v>45679</v>
      </c>
      <c r="B142" s="28">
        <v>132</v>
      </c>
      <c r="C142" s="28"/>
      <c r="D142" s="2" t="s">
        <v>130</v>
      </c>
      <c r="E142" s="7" t="s">
        <v>293</v>
      </c>
      <c r="F142" s="7"/>
      <c r="G142" s="2" t="s">
        <v>26</v>
      </c>
      <c r="H142" s="2" t="s">
        <v>294</v>
      </c>
      <c r="I142" s="5">
        <v>20609.55</v>
      </c>
      <c r="J142" s="57"/>
      <c r="K142" s="3">
        <v>216</v>
      </c>
      <c r="L142" s="2" t="s">
        <v>226</v>
      </c>
      <c r="M142" s="2" t="s">
        <v>12</v>
      </c>
      <c r="N142" s="2" t="s">
        <v>12</v>
      </c>
      <c r="O142" s="2" t="s">
        <v>12</v>
      </c>
      <c r="P142" s="21" t="s">
        <v>12</v>
      </c>
      <c r="Q142" s="3" t="s">
        <v>133</v>
      </c>
      <c r="R142" s="3" t="s">
        <v>75</v>
      </c>
    </row>
    <row r="143" spans="1:18" x14ac:dyDescent="0.25">
      <c r="A143" s="30">
        <v>45680</v>
      </c>
      <c r="B143" s="28">
        <v>133</v>
      </c>
      <c r="C143" s="28"/>
      <c r="D143" s="2" t="s">
        <v>298</v>
      </c>
      <c r="E143" s="7" t="s">
        <v>12</v>
      </c>
      <c r="F143" s="7"/>
      <c r="G143" s="2" t="s">
        <v>13</v>
      </c>
      <c r="H143" s="2" t="s">
        <v>13</v>
      </c>
      <c r="I143" s="5">
        <v>12815.94</v>
      </c>
      <c r="J143" s="57"/>
      <c r="K143" s="3">
        <v>120</v>
      </c>
      <c r="L143" s="2" t="s">
        <v>64</v>
      </c>
      <c r="M143" s="2" t="s">
        <v>12</v>
      </c>
      <c r="N143" s="2" t="s">
        <v>12</v>
      </c>
      <c r="O143" s="2" t="s">
        <v>12</v>
      </c>
      <c r="P143" s="21" t="s">
        <v>12</v>
      </c>
      <c r="Q143" s="3" t="s">
        <v>12</v>
      </c>
      <c r="R143" s="3" t="s">
        <v>12</v>
      </c>
    </row>
    <row r="144" spans="1:18" x14ac:dyDescent="0.25">
      <c r="A144" s="30">
        <v>45679</v>
      </c>
      <c r="B144" s="28">
        <v>134</v>
      </c>
      <c r="C144" s="28"/>
      <c r="D144" s="2" t="s">
        <v>22</v>
      </c>
      <c r="E144" s="7" t="s">
        <v>299</v>
      </c>
      <c r="F144" s="7"/>
      <c r="G144" s="2" t="s">
        <v>13</v>
      </c>
      <c r="H144" s="2" t="s">
        <v>15</v>
      </c>
      <c r="I144" s="5">
        <v>53838.47</v>
      </c>
      <c r="J144" s="57"/>
      <c r="K144" s="3">
        <v>288</v>
      </c>
      <c r="L144" s="2" t="s">
        <v>64</v>
      </c>
      <c r="M144" s="2" t="s">
        <v>12</v>
      </c>
      <c r="N144" s="2" t="s">
        <v>12</v>
      </c>
      <c r="O144" s="2" t="s">
        <v>12</v>
      </c>
      <c r="P144" s="21" t="s">
        <v>12</v>
      </c>
      <c r="Q144" s="3" t="s">
        <v>221</v>
      </c>
      <c r="R144" s="3" t="s">
        <v>222</v>
      </c>
    </row>
    <row r="145" spans="1:18" x14ac:dyDescent="0.25">
      <c r="A145" s="30">
        <v>45680</v>
      </c>
      <c r="B145" s="28">
        <v>135</v>
      </c>
      <c r="C145" s="28"/>
      <c r="D145" s="2" t="s">
        <v>301</v>
      </c>
      <c r="E145" s="7" t="s">
        <v>12</v>
      </c>
      <c r="F145" s="7"/>
      <c r="G145" s="2" t="s">
        <v>26</v>
      </c>
      <c r="H145" s="2" t="s">
        <v>302</v>
      </c>
      <c r="I145" s="5">
        <v>14578.2</v>
      </c>
      <c r="J145" s="57"/>
      <c r="K145" s="3">
        <v>192</v>
      </c>
      <c r="L145" s="2" t="s">
        <v>226</v>
      </c>
      <c r="M145" s="2" t="s">
        <v>12</v>
      </c>
      <c r="N145" s="2" t="s">
        <v>12</v>
      </c>
      <c r="O145" s="2" t="s">
        <v>12</v>
      </c>
      <c r="P145" s="21" t="s">
        <v>12</v>
      </c>
      <c r="Q145" s="3" t="s">
        <v>12</v>
      </c>
      <c r="R145" s="3" t="s">
        <v>12</v>
      </c>
    </row>
    <row r="146" spans="1:18" x14ac:dyDescent="0.25">
      <c r="A146" s="30">
        <v>45680</v>
      </c>
      <c r="B146" s="28">
        <v>136</v>
      </c>
      <c r="C146" s="28"/>
      <c r="D146" s="2" t="s">
        <v>28</v>
      </c>
      <c r="E146" s="7" t="s">
        <v>29</v>
      </c>
      <c r="F146" s="7"/>
      <c r="G146" s="2" t="s">
        <v>26</v>
      </c>
      <c r="H146" s="2" t="s">
        <v>30</v>
      </c>
      <c r="I146" s="5">
        <v>209.8</v>
      </c>
      <c r="J146" s="57"/>
      <c r="K146" s="3" t="s">
        <v>12</v>
      </c>
      <c r="L146" s="2" t="s">
        <v>64</v>
      </c>
      <c r="M146" s="2" t="s">
        <v>12</v>
      </c>
      <c r="N146" s="2" t="s">
        <v>12</v>
      </c>
      <c r="O146" s="2" t="s">
        <v>12</v>
      </c>
      <c r="P146" s="21" t="s">
        <v>12</v>
      </c>
      <c r="Q146" s="3" t="s">
        <v>12</v>
      </c>
      <c r="R146" s="3" t="s">
        <v>12</v>
      </c>
    </row>
    <row r="147" spans="1:18" x14ac:dyDescent="0.25">
      <c r="A147" s="30">
        <v>45680</v>
      </c>
      <c r="B147" s="28">
        <v>137</v>
      </c>
      <c r="C147" s="28"/>
      <c r="D147" s="2" t="s">
        <v>303</v>
      </c>
      <c r="E147" s="7" t="s">
        <v>12</v>
      </c>
      <c r="F147" s="7"/>
      <c r="G147" s="2" t="s">
        <v>13</v>
      </c>
      <c r="H147" s="2" t="s">
        <v>148</v>
      </c>
      <c r="I147" s="5">
        <v>2205.52</v>
      </c>
      <c r="J147" s="57"/>
      <c r="K147" s="3">
        <v>24</v>
      </c>
      <c r="L147" s="2" t="s">
        <v>64</v>
      </c>
      <c r="M147" s="2" t="s">
        <v>12</v>
      </c>
      <c r="N147" s="2" t="s">
        <v>12</v>
      </c>
      <c r="O147" s="2" t="s">
        <v>12</v>
      </c>
      <c r="P147" s="21" t="s">
        <v>12</v>
      </c>
      <c r="Q147" s="3" t="s">
        <v>12</v>
      </c>
      <c r="R147" s="3" t="s">
        <v>12</v>
      </c>
    </row>
    <row r="148" spans="1:18" x14ac:dyDescent="0.25">
      <c r="A148" s="30">
        <v>45680</v>
      </c>
      <c r="B148" s="28">
        <v>138</v>
      </c>
      <c r="C148" s="28"/>
      <c r="D148" s="2" t="s">
        <v>28</v>
      </c>
      <c r="E148" s="7" t="s">
        <v>29</v>
      </c>
      <c r="F148" s="7"/>
      <c r="G148" s="2" t="s">
        <v>26</v>
      </c>
      <c r="H148" s="2" t="s">
        <v>30</v>
      </c>
      <c r="I148" s="5">
        <v>3810.34</v>
      </c>
      <c r="J148" s="57"/>
      <c r="K148" s="3">
        <v>48</v>
      </c>
      <c r="L148" s="2" t="s">
        <v>64</v>
      </c>
      <c r="M148" s="2" t="s">
        <v>12</v>
      </c>
      <c r="N148" s="2" t="s">
        <v>12</v>
      </c>
      <c r="O148" s="2" t="s">
        <v>12</v>
      </c>
      <c r="P148" s="21" t="s">
        <v>12</v>
      </c>
      <c r="Q148" s="3" t="s">
        <v>12</v>
      </c>
      <c r="R148" s="3" t="s">
        <v>12</v>
      </c>
    </row>
    <row r="149" spans="1:18" x14ac:dyDescent="0.25">
      <c r="A149" s="30">
        <v>45680</v>
      </c>
      <c r="B149" s="28">
        <v>139</v>
      </c>
      <c r="C149" s="28"/>
      <c r="D149" s="2" t="s">
        <v>22</v>
      </c>
      <c r="E149" s="7" t="s">
        <v>304</v>
      </c>
      <c r="F149" s="7"/>
      <c r="G149" s="2" t="s">
        <v>13</v>
      </c>
      <c r="H149" s="2" t="s">
        <v>15</v>
      </c>
      <c r="I149" s="5">
        <v>16228.11</v>
      </c>
      <c r="J149" s="57"/>
      <c r="K149" s="3">
        <v>144</v>
      </c>
      <c r="L149" s="2" t="s">
        <v>226</v>
      </c>
      <c r="M149" s="2" t="s">
        <v>365</v>
      </c>
      <c r="N149" s="2" t="s">
        <v>12</v>
      </c>
      <c r="O149" s="2" t="s">
        <v>12</v>
      </c>
      <c r="P149" s="21" t="s">
        <v>12</v>
      </c>
      <c r="Q149" s="3" t="s">
        <v>78</v>
      </c>
      <c r="R149" s="3" t="s">
        <v>75</v>
      </c>
    </row>
    <row r="150" spans="1:18" x14ac:dyDescent="0.25">
      <c r="A150" s="30">
        <v>45680</v>
      </c>
      <c r="B150" s="28">
        <v>140</v>
      </c>
      <c r="C150" s="28"/>
      <c r="D150" s="2" t="s">
        <v>87</v>
      </c>
      <c r="E150" s="7" t="s">
        <v>304</v>
      </c>
      <c r="F150" s="7"/>
      <c r="G150" s="2" t="s">
        <v>13</v>
      </c>
      <c r="H150" s="2" t="s">
        <v>185</v>
      </c>
      <c r="I150" s="5">
        <v>16228.11</v>
      </c>
      <c r="J150" s="57"/>
      <c r="K150" s="3">
        <v>144</v>
      </c>
      <c r="L150" s="2" t="s">
        <v>226</v>
      </c>
      <c r="M150" s="2" t="s">
        <v>12</v>
      </c>
      <c r="N150" s="2" t="s">
        <v>12</v>
      </c>
      <c r="O150" s="2" t="s">
        <v>12</v>
      </c>
      <c r="P150" s="21" t="s">
        <v>12</v>
      </c>
      <c r="Q150" s="3" t="s">
        <v>78</v>
      </c>
      <c r="R150" s="3" t="s">
        <v>75</v>
      </c>
    </row>
    <row r="151" spans="1:18" x14ac:dyDescent="0.25">
      <c r="A151" s="30">
        <v>45680</v>
      </c>
      <c r="B151" s="28">
        <v>141</v>
      </c>
      <c r="C151" s="28"/>
      <c r="D151" s="2" t="s">
        <v>444</v>
      </c>
      <c r="E151" s="7" t="s">
        <v>305</v>
      </c>
      <c r="F151" s="7"/>
      <c r="G151" s="2" t="s">
        <v>20</v>
      </c>
      <c r="H151" s="2" t="s">
        <v>121</v>
      </c>
      <c r="I151" s="5">
        <v>1292252.81</v>
      </c>
      <c r="J151" s="57"/>
      <c r="K151" s="3">
        <v>12400</v>
      </c>
      <c r="L151" s="2" t="s">
        <v>226</v>
      </c>
      <c r="M151" s="2" t="s">
        <v>445</v>
      </c>
      <c r="N151" s="2" t="s">
        <v>12</v>
      </c>
      <c r="O151" s="2" t="s">
        <v>12</v>
      </c>
      <c r="P151" s="21" t="s">
        <v>12</v>
      </c>
      <c r="Q151" s="3" t="s">
        <v>12</v>
      </c>
      <c r="R151" s="3" t="s">
        <v>12</v>
      </c>
    </row>
    <row r="152" spans="1:18" x14ac:dyDescent="0.25">
      <c r="A152" s="30">
        <v>45680</v>
      </c>
      <c r="B152" s="28">
        <v>142</v>
      </c>
      <c r="C152" s="28"/>
      <c r="D152" s="2" t="s">
        <v>306</v>
      </c>
      <c r="E152" s="7" t="s">
        <v>12</v>
      </c>
      <c r="F152" s="7"/>
      <c r="G152" s="2" t="s">
        <v>13</v>
      </c>
      <c r="H152" s="2" t="s">
        <v>307</v>
      </c>
      <c r="I152" s="5">
        <v>11028.59</v>
      </c>
      <c r="J152" s="57"/>
      <c r="K152" s="3">
        <v>144</v>
      </c>
      <c r="L152" s="2" t="s">
        <v>226</v>
      </c>
      <c r="M152" s="2" t="s">
        <v>12</v>
      </c>
      <c r="N152" s="2"/>
      <c r="O152" s="2" t="s">
        <v>12</v>
      </c>
      <c r="P152" s="21" t="s">
        <v>12</v>
      </c>
      <c r="Q152" s="3" t="s">
        <v>12</v>
      </c>
      <c r="R152" s="3" t="s">
        <v>12</v>
      </c>
    </row>
    <row r="153" spans="1:18" x14ac:dyDescent="0.25">
      <c r="A153" s="30">
        <v>45680</v>
      </c>
      <c r="B153" s="28">
        <v>143</v>
      </c>
      <c r="C153" s="28"/>
      <c r="D153" s="2" t="s">
        <v>308</v>
      </c>
      <c r="E153" s="7" t="s">
        <v>12</v>
      </c>
      <c r="F153" s="7"/>
      <c r="G153" s="2" t="s">
        <v>20</v>
      </c>
      <c r="H153" s="2" t="s">
        <v>129</v>
      </c>
      <c r="I153" s="5">
        <v>5696.72</v>
      </c>
      <c r="J153" s="57"/>
      <c r="K153" s="3">
        <v>72</v>
      </c>
      <c r="L153" s="2" t="s">
        <v>64</v>
      </c>
      <c r="M153" s="2" t="s">
        <v>12</v>
      </c>
      <c r="N153" s="2" t="s">
        <v>12</v>
      </c>
      <c r="O153" s="2" t="s">
        <v>12</v>
      </c>
      <c r="P153" s="21" t="s">
        <v>12</v>
      </c>
      <c r="Q153" s="3" t="s">
        <v>12</v>
      </c>
      <c r="R153" s="3" t="s">
        <v>12</v>
      </c>
    </row>
    <row r="154" spans="1:18" x14ac:dyDescent="0.25">
      <c r="A154" s="30">
        <v>45680</v>
      </c>
      <c r="B154" s="28">
        <v>144</v>
      </c>
      <c r="C154" s="28"/>
      <c r="D154" s="2" t="s">
        <v>309</v>
      </c>
      <c r="E154" s="7" t="s">
        <v>310</v>
      </c>
      <c r="F154" s="7"/>
      <c r="G154" s="2" t="s">
        <v>43</v>
      </c>
      <c r="H154" s="2" t="s">
        <v>294</v>
      </c>
      <c r="I154" s="5">
        <v>245690.22</v>
      </c>
      <c r="J154" s="57"/>
      <c r="K154" s="3">
        <v>2448</v>
      </c>
      <c r="L154" s="2" t="s">
        <v>134</v>
      </c>
      <c r="M154" s="2" t="s">
        <v>762</v>
      </c>
      <c r="N154" s="2" t="s">
        <v>12</v>
      </c>
      <c r="O154" s="2" t="s">
        <v>12</v>
      </c>
      <c r="P154" s="21" t="s">
        <v>12</v>
      </c>
      <c r="Q154" s="3" t="s">
        <v>12</v>
      </c>
      <c r="R154" s="3" t="s">
        <v>12</v>
      </c>
    </row>
    <row r="155" spans="1:18" x14ac:dyDescent="0.25">
      <c r="A155" s="30">
        <v>45684</v>
      </c>
      <c r="B155" s="28">
        <v>145</v>
      </c>
      <c r="C155" s="28"/>
      <c r="D155" s="2" t="s">
        <v>311</v>
      </c>
      <c r="E155" s="7" t="s">
        <v>312</v>
      </c>
      <c r="F155" s="7"/>
      <c r="G155" s="2" t="s">
        <v>97</v>
      </c>
      <c r="H155" s="2" t="s">
        <v>313</v>
      </c>
      <c r="I155" s="5">
        <v>104704.13</v>
      </c>
      <c r="J155" s="57"/>
      <c r="K155" s="3">
        <v>1032</v>
      </c>
      <c r="L155" s="2" t="s">
        <v>226</v>
      </c>
      <c r="M155" s="2" t="s">
        <v>12</v>
      </c>
      <c r="N155" s="2" t="s">
        <v>12</v>
      </c>
      <c r="O155" s="2" t="s">
        <v>12</v>
      </c>
      <c r="P155" s="21" t="s">
        <v>12</v>
      </c>
      <c r="Q155" s="3" t="s">
        <v>357</v>
      </c>
      <c r="R155" s="3" t="s">
        <v>75</v>
      </c>
    </row>
    <row r="156" spans="1:18" x14ac:dyDescent="0.25">
      <c r="A156" s="30">
        <v>45681</v>
      </c>
      <c r="B156" s="28">
        <v>146</v>
      </c>
      <c r="C156" s="28"/>
      <c r="D156" s="2" t="s">
        <v>314</v>
      </c>
      <c r="E156" s="7" t="s">
        <v>12</v>
      </c>
      <c r="F156" s="7"/>
      <c r="G156" s="2" t="s">
        <v>97</v>
      </c>
      <c r="H156" s="2" t="s">
        <v>268</v>
      </c>
      <c r="I156" s="5">
        <v>3311.64</v>
      </c>
      <c r="J156" s="57"/>
      <c r="K156" s="3">
        <v>48</v>
      </c>
      <c r="L156" s="2" t="s">
        <v>64</v>
      </c>
      <c r="M156" s="2" t="s">
        <v>12</v>
      </c>
      <c r="N156" s="2" t="s">
        <v>12</v>
      </c>
      <c r="O156" s="2" t="s">
        <v>12</v>
      </c>
      <c r="P156" s="21" t="s">
        <v>12</v>
      </c>
      <c r="Q156" s="3" t="s">
        <v>12</v>
      </c>
      <c r="R156" s="3" t="s">
        <v>12</v>
      </c>
    </row>
    <row r="157" spans="1:18" x14ac:dyDescent="0.25">
      <c r="A157" s="30">
        <v>45680</v>
      </c>
      <c r="B157" s="28">
        <v>147</v>
      </c>
      <c r="C157" s="28"/>
      <c r="D157" s="2" t="s">
        <v>56</v>
      </c>
      <c r="E157" s="7" t="s">
        <v>312</v>
      </c>
      <c r="F157" s="7"/>
      <c r="G157" s="2" t="s">
        <v>13</v>
      </c>
      <c r="H157" s="2" t="s">
        <v>58</v>
      </c>
      <c r="I157" s="5">
        <v>110709.51</v>
      </c>
      <c r="J157" s="57"/>
      <c r="K157" s="3">
        <v>1032</v>
      </c>
      <c r="L157" s="2" t="s">
        <v>226</v>
      </c>
      <c r="M157" s="2" t="s">
        <v>359</v>
      </c>
      <c r="N157" s="2" t="s">
        <v>12</v>
      </c>
      <c r="O157" s="2" t="s">
        <v>12</v>
      </c>
      <c r="P157" s="21" t="s">
        <v>12</v>
      </c>
      <c r="Q157" s="3" t="s">
        <v>357</v>
      </c>
      <c r="R157" s="3" t="s">
        <v>75</v>
      </c>
    </row>
    <row r="158" spans="1:18" x14ac:dyDescent="0.25">
      <c r="A158" s="30">
        <v>45680</v>
      </c>
      <c r="B158" s="28">
        <v>148</v>
      </c>
      <c r="C158" s="28"/>
      <c r="D158" s="2" t="s">
        <v>315</v>
      </c>
      <c r="E158" s="7" t="s">
        <v>12</v>
      </c>
      <c r="F158" s="7"/>
      <c r="G158" s="2" t="s">
        <v>13</v>
      </c>
      <c r="H158" s="2" t="s">
        <v>119</v>
      </c>
      <c r="I158" s="5">
        <v>7798.57</v>
      </c>
      <c r="J158" s="57"/>
      <c r="K158" s="3">
        <v>120</v>
      </c>
      <c r="L158" s="2" t="s">
        <v>64</v>
      </c>
      <c r="M158" s="2" t="s">
        <v>12</v>
      </c>
      <c r="N158" s="2" t="s">
        <v>12</v>
      </c>
      <c r="O158" s="2" t="s">
        <v>12</v>
      </c>
      <c r="P158" s="21" t="s">
        <v>12</v>
      </c>
      <c r="Q158" s="3" t="s">
        <v>12</v>
      </c>
      <c r="R158" s="3" t="s">
        <v>12</v>
      </c>
    </row>
    <row r="159" spans="1:18" x14ac:dyDescent="0.25">
      <c r="A159" s="30">
        <v>45681</v>
      </c>
      <c r="B159" s="28">
        <v>149</v>
      </c>
      <c r="C159" s="28"/>
      <c r="D159" s="2" t="s">
        <v>165</v>
      </c>
      <c r="E159" s="7" t="s">
        <v>316</v>
      </c>
      <c r="F159" s="7"/>
      <c r="G159" s="2" t="s">
        <v>97</v>
      </c>
      <c r="H159" s="2" t="s">
        <v>167</v>
      </c>
      <c r="I159" s="5">
        <v>142256.29999999999</v>
      </c>
      <c r="J159" s="57"/>
      <c r="K159" s="3">
        <v>2280</v>
      </c>
      <c r="L159" s="2" t="s">
        <v>64</v>
      </c>
      <c r="M159" s="2" t="s">
        <v>12</v>
      </c>
      <c r="N159" s="2" t="s">
        <v>12</v>
      </c>
      <c r="O159" s="2" t="s">
        <v>12</v>
      </c>
      <c r="P159" s="21" t="s">
        <v>12</v>
      </c>
      <c r="Q159" s="3" t="s">
        <v>12</v>
      </c>
      <c r="R159" s="3" t="s">
        <v>12</v>
      </c>
    </row>
    <row r="160" spans="1:18" x14ac:dyDescent="0.25">
      <c r="A160" s="30">
        <v>45680</v>
      </c>
      <c r="B160" s="28">
        <v>150</v>
      </c>
      <c r="C160" s="28"/>
      <c r="D160" s="2" t="s">
        <v>52</v>
      </c>
      <c r="E160" s="7" t="s">
        <v>12</v>
      </c>
      <c r="F160" s="7"/>
      <c r="G160" s="2" t="s">
        <v>13</v>
      </c>
      <c r="H160" s="2" t="s">
        <v>53</v>
      </c>
      <c r="I160" s="5">
        <v>2860.64</v>
      </c>
      <c r="J160" s="57"/>
      <c r="K160" s="3">
        <v>48</v>
      </c>
      <c r="L160" s="2" t="s">
        <v>226</v>
      </c>
      <c r="M160" s="2" t="s">
        <v>12</v>
      </c>
      <c r="N160" s="2" t="s">
        <v>12</v>
      </c>
      <c r="O160" s="2" t="s">
        <v>12</v>
      </c>
      <c r="P160" s="21" t="s">
        <v>12</v>
      </c>
      <c r="Q160" s="3" t="s">
        <v>12</v>
      </c>
      <c r="R160" s="3" t="s">
        <v>12</v>
      </c>
    </row>
    <row r="161" spans="1:18" x14ac:dyDescent="0.25">
      <c r="A161" s="30">
        <v>45681</v>
      </c>
      <c r="B161" s="28">
        <v>151</v>
      </c>
      <c r="C161" s="28"/>
      <c r="D161" s="2" t="s">
        <v>137</v>
      </c>
      <c r="E161" s="7" t="s">
        <v>269</v>
      </c>
      <c r="F161" s="7"/>
      <c r="G161" s="2" t="s">
        <v>26</v>
      </c>
      <c r="H161" s="2" t="s">
        <v>317</v>
      </c>
      <c r="I161" s="5">
        <v>153968.97</v>
      </c>
      <c r="J161" s="57"/>
      <c r="K161" s="3">
        <v>1386</v>
      </c>
      <c r="L161" s="2" t="s">
        <v>226</v>
      </c>
      <c r="M161" s="2" t="s">
        <v>12</v>
      </c>
      <c r="N161" s="2" t="s">
        <v>12</v>
      </c>
      <c r="O161" s="2" t="s">
        <v>12</v>
      </c>
      <c r="P161" s="21" t="s">
        <v>12</v>
      </c>
      <c r="Q161" s="3" t="s">
        <v>77</v>
      </c>
      <c r="R161" s="3" t="s">
        <v>75</v>
      </c>
    </row>
    <row r="162" spans="1:18" x14ac:dyDescent="0.25">
      <c r="A162" s="30">
        <v>45681</v>
      </c>
      <c r="B162" s="28">
        <v>152</v>
      </c>
      <c r="C162" s="28"/>
      <c r="D162" s="2" t="s">
        <v>109</v>
      </c>
      <c r="E162" s="7" t="s">
        <v>318</v>
      </c>
      <c r="F162" s="7"/>
      <c r="G162" s="2" t="s">
        <v>111</v>
      </c>
      <c r="H162" s="2" t="s">
        <v>319</v>
      </c>
      <c r="I162" s="5">
        <v>45994.11</v>
      </c>
      <c r="J162" s="57"/>
      <c r="K162" s="3">
        <v>504</v>
      </c>
      <c r="L162" s="2" t="s">
        <v>134</v>
      </c>
      <c r="M162" s="2" t="s">
        <v>791</v>
      </c>
      <c r="N162" s="2" t="s">
        <v>12</v>
      </c>
      <c r="O162" s="2" t="s">
        <v>12</v>
      </c>
      <c r="P162" s="21" t="s">
        <v>12</v>
      </c>
      <c r="Q162" s="3" t="s">
        <v>12</v>
      </c>
      <c r="R162" s="3" t="s">
        <v>12</v>
      </c>
    </row>
    <row r="163" spans="1:18" x14ac:dyDescent="0.25">
      <c r="A163" s="30">
        <v>45681</v>
      </c>
      <c r="B163" s="28">
        <v>153</v>
      </c>
      <c r="C163" s="28"/>
      <c r="D163" s="2" t="s">
        <v>87</v>
      </c>
      <c r="E163" s="7" t="s">
        <v>280</v>
      </c>
      <c r="F163" s="7"/>
      <c r="G163" s="2" t="s">
        <v>13</v>
      </c>
      <c r="H163" s="2" t="s">
        <v>185</v>
      </c>
      <c r="I163" s="5">
        <v>24804.080000000002</v>
      </c>
      <c r="J163" s="57"/>
      <c r="K163" s="3">
        <v>120</v>
      </c>
      <c r="L163" s="2" t="s">
        <v>226</v>
      </c>
      <c r="M163" s="2" t="s">
        <v>12</v>
      </c>
      <c r="N163" s="2" t="s">
        <v>12</v>
      </c>
      <c r="O163" s="2" t="s">
        <v>12</v>
      </c>
      <c r="P163" s="21" t="s">
        <v>12</v>
      </c>
      <c r="Q163" s="3" t="s">
        <v>77</v>
      </c>
      <c r="R163" s="3" t="s">
        <v>75</v>
      </c>
    </row>
    <row r="164" spans="1:18" x14ac:dyDescent="0.25">
      <c r="A164" s="30">
        <v>45681</v>
      </c>
      <c r="B164" s="28">
        <v>154</v>
      </c>
      <c r="C164" s="28"/>
      <c r="D164" s="2" t="s">
        <v>204</v>
      </c>
      <c r="E164" s="7" t="s">
        <v>12</v>
      </c>
      <c r="F164" s="7"/>
      <c r="G164" s="2" t="s">
        <v>26</v>
      </c>
      <c r="H164" s="2" t="s">
        <v>320</v>
      </c>
      <c r="I164" s="5">
        <v>31684.52</v>
      </c>
      <c r="J164" s="57"/>
      <c r="K164" s="3">
        <v>288</v>
      </c>
      <c r="L164" s="2" t="s">
        <v>226</v>
      </c>
      <c r="M164" s="2" t="s">
        <v>12</v>
      </c>
      <c r="N164" s="2" t="s">
        <v>12</v>
      </c>
      <c r="O164" s="2" t="s">
        <v>12</v>
      </c>
      <c r="P164" s="21" t="s">
        <v>12</v>
      </c>
      <c r="Q164" s="3" t="s">
        <v>12</v>
      </c>
      <c r="R164" s="3" t="s">
        <v>12</v>
      </c>
    </row>
    <row r="165" spans="1:18" x14ac:dyDescent="0.25">
      <c r="A165" s="30">
        <v>45681</v>
      </c>
      <c r="B165" s="28">
        <v>155</v>
      </c>
      <c r="C165" s="28"/>
      <c r="D165" s="2" t="s">
        <v>321</v>
      </c>
      <c r="E165" s="7" t="s">
        <v>436</v>
      </c>
      <c r="F165" s="7"/>
      <c r="G165" s="2" t="s">
        <v>111</v>
      </c>
      <c r="H165" s="2" t="s">
        <v>322</v>
      </c>
      <c r="I165" s="5">
        <v>7339.48</v>
      </c>
      <c r="J165" s="57"/>
      <c r="K165" s="3">
        <v>72</v>
      </c>
      <c r="L165" s="2" t="s">
        <v>134</v>
      </c>
      <c r="M165" s="2" t="s">
        <v>12</v>
      </c>
      <c r="N165" s="2" t="s">
        <v>135</v>
      </c>
      <c r="O165" s="2" t="s">
        <v>374</v>
      </c>
      <c r="P165" s="21">
        <v>170.86</v>
      </c>
      <c r="Q165" s="3" t="s">
        <v>12</v>
      </c>
      <c r="R165" s="3" t="s">
        <v>12</v>
      </c>
    </row>
    <row r="166" spans="1:18" x14ac:dyDescent="0.25">
      <c r="A166" s="30">
        <v>45681</v>
      </c>
      <c r="B166" s="28">
        <v>156</v>
      </c>
      <c r="C166" s="28"/>
      <c r="D166" s="2" t="s">
        <v>354</v>
      </c>
      <c r="E166" s="7" t="s">
        <v>437</v>
      </c>
      <c r="F166" s="7"/>
      <c r="G166" s="2" t="s">
        <v>111</v>
      </c>
      <c r="H166" s="2" t="s">
        <v>438</v>
      </c>
      <c r="I166" s="5">
        <v>1941.2</v>
      </c>
      <c r="J166" s="57"/>
      <c r="K166" s="3"/>
      <c r="L166" s="2" t="s">
        <v>64</v>
      </c>
      <c r="M166" s="2"/>
      <c r="N166" s="2"/>
      <c r="O166" s="2"/>
      <c r="P166" s="21"/>
      <c r="Q166" s="3"/>
      <c r="R166" s="3"/>
    </row>
    <row r="167" spans="1:18" x14ac:dyDescent="0.25">
      <c r="A167" s="30">
        <v>45681</v>
      </c>
      <c r="B167" s="28">
        <v>157</v>
      </c>
      <c r="C167" s="28"/>
      <c r="D167" s="2" t="s">
        <v>217</v>
      </c>
      <c r="E167" s="7" t="s">
        <v>12</v>
      </c>
      <c r="F167" s="7"/>
      <c r="G167" s="2" t="s">
        <v>13</v>
      </c>
      <c r="H167" s="2" t="s">
        <v>26</v>
      </c>
      <c r="I167" s="5">
        <v>20548.89</v>
      </c>
      <c r="J167" s="57"/>
      <c r="K167" s="3">
        <v>216</v>
      </c>
      <c r="L167" s="2" t="s">
        <v>226</v>
      </c>
      <c r="M167" s="2" t="s">
        <v>12</v>
      </c>
      <c r="N167" s="2" t="s">
        <v>12</v>
      </c>
      <c r="O167" s="2" t="s">
        <v>12</v>
      </c>
      <c r="P167" s="21" t="s">
        <v>12</v>
      </c>
      <c r="Q167" s="3" t="s">
        <v>12</v>
      </c>
      <c r="R167" s="3" t="s">
        <v>12</v>
      </c>
    </row>
    <row r="168" spans="1:18" x14ac:dyDescent="0.25">
      <c r="A168" s="30">
        <v>45681</v>
      </c>
      <c r="B168" s="28">
        <v>158</v>
      </c>
      <c r="C168" s="28"/>
      <c r="D168" s="2" t="s">
        <v>323</v>
      </c>
      <c r="E168" s="7" t="s">
        <v>12</v>
      </c>
      <c r="F168" s="7"/>
      <c r="G168" s="2" t="s">
        <v>13</v>
      </c>
      <c r="H168" s="2" t="s">
        <v>170</v>
      </c>
      <c r="I168" s="5">
        <v>32417.1</v>
      </c>
      <c r="J168" s="57"/>
      <c r="K168" s="3">
        <v>360</v>
      </c>
      <c r="L168" s="2" t="s">
        <v>226</v>
      </c>
      <c r="M168" s="2" t="s">
        <v>360</v>
      </c>
      <c r="N168" s="2" t="s">
        <v>12</v>
      </c>
      <c r="O168" s="2" t="s">
        <v>12</v>
      </c>
      <c r="P168" s="21" t="s">
        <v>12</v>
      </c>
      <c r="Q168" s="3" t="s">
        <v>12</v>
      </c>
      <c r="R168" s="3" t="s">
        <v>12</v>
      </c>
    </row>
    <row r="169" spans="1:18" x14ac:dyDescent="0.25">
      <c r="A169" s="30">
        <v>45681</v>
      </c>
      <c r="B169" s="28">
        <v>159</v>
      </c>
      <c r="C169" s="28"/>
      <c r="D169" s="2" t="s">
        <v>355</v>
      </c>
      <c r="E169" s="7" t="s">
        <v>356</v>
      </c>
      <c r="F169" s="7"/>
      <c r="G169" s="2" t="s">
        <v>111</v>
      </c>
      <c r="H169" s="2" t="s">
        <v>439</v>
      </c>
      <c r="I169" s="5">
        <v>36402.68</v>
      </c>
      <c r="J169" s="57"/>
      <c r="K169" s="3"/>
      <c r="L169" s="2" t="s">
        <v>226</v>
      </c>
      <c r="M169" s="2" t="s">
        <v>790</v>
      </c>
      <c r="N169" s="2"/>
      <c r="O169" s="2"/>
      <c r="P169" s="21"/>
      <c r="Q169" s="3"/>
      <c r="R169" s="3"/>
    </row>
    <row r="170" spans="1:18" x14ac:dyDescent="0.25">
      <c r="A170" s="30">
        <v>45684</v>
      </c>
      <c r="B170" s="28">
        <v>160</v>
      </c>
      <c r="C170" s="28"/>
      <c r="D170" s="2" t="s">
        <v>324</v>
      </c>
      <c r="E170" s="7" t="s">
        <v>12</v>
      </c>
      <c r="F170" s="7"/>
      <c r="G170" s="2" t="s">
        <v>13</v>
      </c>
      <c r="H170" s="2" t="s">
        <v>325</v>
      </c>
      <c r="I170" s="5">
        <v>3080.71</v>
      </c>
      <c r="J170" s="57"/>
      <c r="K170" s="3" t="s">
        <v>12</v>
      </c>
      <c r="L170" s="2" t="s">
        <v>226</v>
      </c>
      <c r="M170" s="2" t="s">
        <v>12</v>
      </c>
      <c r="N170" s="2" t="s">
        <v>12</v>
      </c>
      <c r="O170" s="2" t="s">
        <v>12</v>
      </c>
      <c r="P170" s="21" t="s">
        <v>12</v>
      </c>
      <c r="Q170" s="3" t="s">
        <v>12</v>
      </c>
      <c r="R170" s="3" t="s">
        <v>12</v>
      </c>
    </row>
    <row r="171" spans="1:18" x14ac:dyDescent="0.25">
      <c r="A171" s="30">
        <v>45684</v>
      </c>
      <c r="B171" s="28">
        <v>161</v>
      </c>
      <c r="C171" s="28"/>
      <c r="D171" s="2" t="s">
        <v>41</v>
      </c>
      <c r="E171" s="7" t="s">
        <v>312</v>
      </c>
      <c r="F171" s="7"/>
      <c r="G171" s="2" t="s">
        <v>43</v>
      </c>
      <c r="H171" s="2" t="s">
        <v>319</v>
      </c>
      <c r="I171" s="5">
        <v>104704.13</v>
      </c>
      <c r="J171" s="57"/>
      <c r="K171" s="3">
        <v>1032</v>
      </c>
      <c r="L171" s="2" t="s">
        <v>226</v>
      </c>
      <c r="M171" s="2" t="s">
        <v>792</v>
      </c>
      <c r="N171" s="2" t="s">
        <v>12</v>
      </c>
      <c r="O171" s="2" t="s">
        <v>12</v>
      </c>
      <c r="P171" s="21" t="s">
        <v>12</v>
      </c>
      <c r="Q171" s="3" t="s">
        <v>357</v>
      </c>
      <c r="R171" s="3" t="s">
        <v>75</v>
      </c>
    </row>
    <row r="172" spans="1:18" x14ac:dyDescent="0.25">
      <c r="A172" s="30">
        <v>45684</v>
      </c>
      <c r="B172" s="28">
        <v>162</v>
      </c>
      <c r="C172" s="28"/>
      <c r="D172" s="2" t="s">
        <v>41</v>
      </c>
      <c r="E172" s="7" t="s">
        <v>326</v>
      </c>
      <c r="F172" s="7"/>
      <c r="G172" s="2" t="s">
        <v>43</v>
      </c>
      <c r="H172" s="2" t="s">
        <v>44</v>
      </c>
      <c r="I172" s="5">
        <v>4400.03</v>
      </c>
      <c r="J172" s="57"/>
      <c r="K172" s="3">
        <v>48</v>
      </c>
      <c r="L172" s="2" t="s">
        <v>226</v>
      </c>
      <c r="M172" s="2" t="s">
        <v>792</v>
      </c>
      <c r="N172" s="2" t="s">
        <v>12</v>
      </c>
      <c r="O172" s="2" t="s">
        <v>12</v>
      </c>
      <c r="P172" s="21" t="s">
        <v>12</v>
      </c>
      <c r="Q172" s="3" t="s">
        <v>12</v>
      </c>
      <c r="R172" s="3" t="s">
        <v>12</v>
      </c>
    </row>
    <row r="173" spans="1:18" x14ac:dyDescent="0.25">
      <c r="A173" s="30">
        <v>45684</v>
      </c>
      <c r="B173" s="28">
        <v>163</v>
      </c>
      <c r="C173" s="28"/>
      <c r="D173" s="2" t="s">
        <v>327</v>
      </c>
      <c r="E173" s="7" t="s">
        <v>328</v>
      </c>
      <c r="F173" s="7"/>
      <c r="G173" s="2" t="s">
        <v>13</v>
      </c>
      <c r="H173" s="2" t="s">
        <v>329</v>
      </c>
      <c r="I173" s="5">
        <v>9154.32</v>
      </c>
      <c r="J173" s="57"/>
      <c r="K173" s="3">
        <v>72</v>
      </c>
      <c r="L173" s="2" t="s">
        <v>134</v>
      </c>
      <c r="M173" s="2" t="s">
        <v>443</v>
      </c>
      <c r="N173" s="2" t="s">
        <v>12</v>
      </c>
      <c r="O173" s="2" t="s">
        <v>12</v>
      </c>
      <c r="P173" s="21" t="s">
        <v>12</v>
      </c>
      <c r="Q173" s="3" t="s">
        <v>12</v>
      </c>
      <c r="R173" s="3" t="s">
        <v>12</v>
      </c>
    </row>
    <row r="174" spans="1:18" x14ac:dyDescent="0.25">
      <c r="A174" s="30">
        <v>45684</v>
      </c>
      <c r="B174" s="28">
        <v>164</v>
      </c>
      <c r="C174" s="28"/>
      <c r="D174" s="2" t="s">
        <v>330</v>
      </c>
      <c r="E174" s="7" t="s">
        <v>12</v>
      </c>
      <c r="F174" s="7"/>
      <c r="G174" s="2" t="s">
        <v>13</v>
      </c>
      <c r="H174" s="2" t="s">
        <v>331</v>
      </c>
      <c r="I174" s="5">
        <v>2862.92</v>
      </c>
      <c r="J174" s="57"/>
      <c r="K174" s="3">
        <v>24</v>
      </c>
      <c r="L174" s="2" t="s">
        <v>64</v>
      </c>
      <c r="M174" s="2" t="s">
        <v>12</v>
      </c>
      <c r="N174" s="2" t="s">
        <v>12</v>
      </c>
      <c r="O174" s="2" t="s">
        <v>12</v>
      </c>
      <c r="P174" s="21" t="s">
        <v>12</v>
      </c>
      <c r="Q174" s="3" t="s">
        <v>12</v>
      </c>
      <c r="R174" s="3" t="s">
        <v>12</v>
      </c>
    </row>
    <row r="175" spans="1:18" x14ac:dyDescent="0.25">
      <c r="A175" s="30">
        <v>45684</v>
      </c>
      <c r="B175" s="28">
        <v>165</v>
      </c>
      <c r="C175" s="28"/>
      <c r="D175" s="2" t="s">
        <v>217</v>
      </c>
      <c r="E175" s="7" t="s">
        <v>12</v>
      </c>
      <c r="F175" s="7"/>
      <c r="G175" s="2" t="s">
        <v>13</v>
      </c>
      <c r="H175" s="2" t="s">
        <v>218</v>
      </c>
      <c r="I175" s="5">
        <v>17729.38</v>
      </c>
      <c r="J175" s="57"/>
      <c r="K175" s="3">
        <v>216</v>
      </c>
      <c r="L175" s="2" t="s">
        <v>64</v>
      </c>
      <c r="M175" s="2" t="s">
        <v>12</v>
      </c>
      <c r="N175" s="2" t="s">
        <v>12</v>
      </c>
      <c r="O175" s="2" t="s">
        <v>12</v>
      </c>
      <c r="P175" s="21" t="s">
        <v>12</v>
      </c>
      <c r="Q175" s="3" t="s">
        <v>12</v>
      </c>
      <c r="R175" s="3" t="s">
        <v>12</v>
      </c>
    </row>
    <row r="176" spans="1:18" x14ac:dyDescent="0.25">
      <c r="A176" s="30">
        <v>45684</v>
      </c>
      <c r="B176" s="28">
        <v>166</v>
      </c>
      <c r="C176" s="28"/>
      <c r="D176" s="2" t="s">
        <v>41</v>
      </c>
      <c r="E176" s="7" t="s">
        <v>332</v>
      </c>
      <c r="F176" s="7"/>
      <c r="G176" s="2" t="s">
        <v>43</v>
      </c>
      <c r="H176" s="2" t="s">
        <v>44</v>
      </c>
      <c r="I176" s="5">
        <v>4368.75</v>
      </c>
      <c r="J176" s="57"/>
      <c r="K176" s="3">
        <v>48</v>
      </c>
      <c r="L176" s="2" t="s">
        <v>226</v>
      </c>
      <c r="M176" s="2" t="s">
        <v>12</v>
      </c>
      <c r="N176" s="2" t="s">
        <v>12</v>
      </c>
      <c r="O176" s="2" t="s">
        <v>12</v>
      </c>
      <c r="P176" s="21" t="s">
        <v>12</v>
      </c>
      <c r="Q176" s="3" t="s">
        <v>12</v>
      </c>
      <c r="R176" s="3" t="s">
        <v>12</v>
      </c>
    </row>
    <row r="177" spans="1:18" x14ac:dyDescent="0.25">
      <c r="A177" s="30">
        <v>45684</v>
      </c>
      <c r="B177" s="28">
        <v>167</v>
      </c>
      <c r="C177" s="28"/>
      <c r="D177" s="2" t="s">
        <v>333</v>
      </c>
      <c r="E177" s="7" t="s">
        <v>334</v>
      </c>
      <c r="F177" s="7"/>
      <c r="G177" s="2" t="s">
        <v>20</v>
      </c>
      <c r="H177" s="2" t="s">
        <v>335</v>
      </c>
      <c r="I177" s="5">
        <v>34661.99</v>
      </c>
      <c r="J177" s="57"/>
      <c r="K177" s="3">
        <v>352.8</v>
      </c>
      <c r="L177" s="2" t="s">
        <v>64</v>
      </c>
      <c r="M177" s="2" t="s">
        <v>12</v>
      </c>
      <c r="N177" s="2" t="s">
        <v>12</v>
      </c>
      <c r="O177" s="2" t="s">
        <v>12</v>
      </c>
      <c r="P177" s="21" t="s">
        <v>12</v>
      </c>
      <c r="Q177" s="3" t="s">
        <v>12</v>
      </c>
      <c r="R177" s="3" t="s">
        <v>12</v>
      </c>
    </row>
    <row r="178" spans="1:18" x14ac:dyDescent="0.25">
      <c r="A178" s="30">
        <v>45685</v>
      </c>
      <c r="B178" s="28">
        <v>168</v>
      </c>
      <c r="C178" s="28"/>
      <c r="D178" s="2" t="s">
        <v>336</v>
      </c>
      <c r="E178" s="7" t="s">
        <v>12</v>
      </c>
      <c r="F178" s="7"/>
      <c r="G178" s="2" t="s">
        <v>20</v>
      </c>
      <c r="H178" s="2" t="s">
        <v>337</v>
      </c>
      <c r="I178" s="5">
        <v>217.13</v>
      </c>
      <c r="J178" s="57"/>
      <c r="K178" s="3" t="s">
        <v>12</v>
      </c>
      <c r="L178" s="2" t="s">
        <v>64</v>
      </c>
      <c r="M178" s="2" t="s">
        <v>12</v>
      </c>
      <c r="N178" s="2" t="s">
        <v>12</v>
      </c>
      <c r="O178" s="2" t="s">
        <v>12</v>
      </c>
      <c r="P178" s="21" t="s">
        <v>12</v>
      </c>
      <c r="Q178" s="3" t="s">
        <v>12</v>
      </c>
      <c r="R178" s="3" t="s">
        <v>12</v>
      </c>
    </row>
    <row r="179" spans="1:18" x14ac:dyDescent="0.25">
      <c r="A179" s="30">
        <v>45685</v>
      </c>
      <c r="B179" s="28">
        <v>169</v>
      </c>
      <c r="C179" s="28"/>
      <c r="D179" s="2" t="s">
        <v>28</v>
      </c>
      <c r="E179" s="7" t="s">
        <v>29</v>
      </c>
      <c r="F179" s="7"/>
      <c r="G179" s="2" t="s">
        <v>26</v>
      </c>
      <c r="H179" s="2" t="s">
        <v>30</v>
      </c>
      <c r="I179" s="5">
        <v>8889.43</v>
      </c>
      <c r="J179" s="57"/>
      <c r="K179" s="3">
        <v>96</v>
      </c>
      <c r="L179" s="2" t="s">
        <v>64</v>
      </c>
      <c r="M179" s="2" t="s">
        <v>12</v>
      </c>
      <c r="N179" s="2" t="s">
        <v>12</v>
      </c>
      <c r="O179" s="2" t="s">
        <v>12</v>
      </c>
      <c r="P179" s="21" t="s">
        <v>12</v>
      </c>
      <c r="Q179" s="3" t="s">
        <v>12</v>
      </c>
      <c r="R179" s="3" t="s">
        <v>12</v>
      </c>
    </row>
    <row r="180" spans="1:18" x14ac:dyDescent="0.25">
      <c r="A180" s="30">
        <v>45685</v>
      </c>
      <c r="B180" s="28">
        <v>170</v>
      </c>
      <c r="C180" s="28"/>
      <c r="D180" s="2" t="s">
        <v>171</v>
      </c>
      <c r="E180" s="7" t="s">
        <v>12</v>
      </c>
      <c r="F180" s="7"/>
      <c r="G180" s="2" t="s">
        <v>26</v>
      </c>
      <c r="H180" s="2"/>
      <c r="I180" s="5">
        <v>4938.7700000000004</v>
      </c>
      <c r="J180" s="57"/>
      <c r="K180" s="3" t="s">
        <v>12</v>
      </c>
      <c r="L180" s="2" t="s">
        <v>64</v>
      </c>
      <c r="M180" s="2" t="s">
        <v>12</v>
      </c>
      <c r="N180" s="2" t="s">
        <v>12</v>
      </c>
      <c r="O180" s="2" t="s">
        <v>12</v>
      </c>
      <c r="P180" s="21" t="s">
        <v>12</v>
      </c>
      <c r="Q180" s="3" t="s">
        <v>12</v>
      </c>
      <c r="R180" s="3" t="s">
        <v>12</v>
      </c>
    </row>
    <row r="181" spans="1:18" x14ac:dyDescent="0.25">
      <c r="A181" s="30">
        <v>45686</v>
      </c>
      <c r="B181" s="28">
        <v>171</v>
      </c>
      <c r="C181" s="28"/>
      <c r="D181" s="2" t="s">
        <v>338</v>
      </c>
      <c r="E181" s="7" t="s">
        <v>12</v>
      </c>
      <c r="F181" s="7"/>
      <c r="G181" s="2" t="s">
        <v>97</v>
      </c>
      <c r="H181" s="2" t="s">
        <v>339</v>
      </c>
      <c r="I181" s="5">
        <v>6477.2</v>
      </c>
      <c r="J181" s="57"/>
      <c r="K181" s="3">
        <v>96</v>
      </c>
      <c r="L181" s="2" t="s">
        <v>134</v>
      </c>
      <c r="M181" s="2" t="s">
        <v>12</v>
      </c>
      <c r="N181" s="2" t="s">
        <v>373</v>
      </c>
      <c r="O181" s="2" t="s">
        <v>374</v>
      </c>
      <c r="P181" s="21">
        <v>5900</v>
      </c>
      <c r="Q181" s="3" t="s">
        <v>12</v>
      </c>
      <c r="R181" s="3" t="s">
        <v>12</v>
      </c>
    </row>
    <row r="182" spans="1:18" x14ac:dyDescent="0.25">
      <c r="A182" s="30">
        <v>45686</v>
      </c>
      <c r="B182" s="28">
        <v>172</v>
      </c>
      <c r="C182" s="28"/>
      <c r="D182" s="2" t="s">
        <v>340</v>
      </c>
      <c r="E182" s="7" t="s">
        <v>12</v>
      </c>
      <c r="F182" s="7"/>
      <c r="G182" s="2" t="s">
        <v>13</v>
      </c>
      <c r="H182" s="2" t="s">
        <v>341</v>
      </c>
      <c r="I182" s="5">
        <v>11073.5</v>
      </c>
      <c r="J182" s="57"/>
      <c r="K182" s="3">
        <v>96</v>
      </c>
      <c r="L182" s="2" t="s">
        <v>226</v>
      </c>
      <c r="M182" s="2" t="s">
        <v>12</v>
      </c>
      <c r="N182" s="2" t="s">
        <v>12</v>
      </c>
      <c r="O182" s="2" t="s">
        <v>12</v>
      </c>
      <c r="P182" s="21" t="s">
        <v>12</v>
      </c>
      <c r="Q182" s="3" t="s">
        <v>12</v>
      </c>
      <c r="R182" s="3" t="s">
        <v>12</v>
      </c>
    </row>
    <row r="183" spans="1:18" x14ac:dyDescent="0.25">
      <c r="A183" s="30">
        <v>45686</v>
      </c>
      <c r="B183" s="28">
        <v>173</v>
      </c>
      <c r="C183" s="28"/>
      <c r="D183" s="2" t="s">
        <v>342</v>
      </c>
      <c r="E183" s="7" t="s">
        <v>343</v>
      </c>
      <c r="F183" s="7"/>
      <c r="G183" s="2" t="s">
        <v>26</v>
      </c>
      <c r="H183" s="2" t="s">
        <v>344</v>
      </c>
      <c r="I183" s="5">
        <v>173816.43</v>
      </c>
      <c r="J183" s="57"/>
      <c r="K183" s="3">
        <v>2328</v>
      </c>
      <c r="L183" s="2" t="s">
        <v>226</v>
      </c>
      <c r="M183" s="2" t="s">
        <v>12</v>
      </c>
      <c r="N183" s="2" t="s">
        <v>12</v>
      </c>
      <c r="O183" s="2" t="s">
        <v>12</v>
      </c>
      <c r="P183" s="21" t="s">
        <v>12</v>
      </c>
      <c r="Q183" s="3" t="s">
        <v>12</v>
      </c>
      <c r="R183" s="3" t="s">
        <v>12</v>
      </c>
    </row>
    <row r="184" spans="1:18" x14ac:dyDescent="0.25">
      <c r="A184" s="30">
        <v>45686</v>
      </c>
      <c r="B184" s="28">
        <v>174</v>
      </c>
      <c r="C184" s="28"/>
      <c r="D184" s="2" t="s">
        <v>99</v>
      </c>
      <c r="E184" s="7" t="s">
        <v>345</v>
      </c>
      <c r="F184" s="7"/>
      <c r="G184" s="2" t="s">
        <v>20</v>
      </c>
      <c r="H184" s="2" t="s">
        <v>346</v>
      </c>
      <c r="I184" s="5">
        <v>701.88</v>
      </c>
      <c r="J184" s="57"/>
      <c r="K184" s="3" t="s">
        <v>12</v>
      </c>
      <c r="L184" s="2" t="s">
        <v>64</v>
      </c>
      <c r="M184" s="2" t="s">
        <v>12</v>
      </c>
      <c r="N184" s="2" t="s">
        <v>12</v>
      </c>
      <c r="O184" s="2" t="s">
        <v>12</v>
      </c>
      <c r="P184" s="21" t="s">
        <v>12</v>
      </c>
      <c r="Q184" s="3" t="s">
        <v>12</v>
      </c>
      <c r="R184" s="3" t="s">
        <v>12</v>
      </c>
    </row>
    <row r="185" spans="1:18" x14ac:dyDescent="0.25">
      <c r="A185" s="30">
        <v>45686</v>
      </c>
      <c r="B185" s="28">
        <v>175</v>
      </c>
      <c r="C185" s="28"/>
      <c r="D185" s="2" t="s">
        <v>309</v>
      </c>
      <c r="E185" s="7" t="s">
        <v>347</v>
      </c>
      <c r="F185" s="7"/>
      <c r="G185" s="2" t="s">
        <v>43</v>
      </c>
      <c r="H185" s="2" t="s">
        <v>294</v>
      </c>
      <c r="I185" s="5">
        <v>473322.31</v>
      </c>
      <c r="J185" s="57"/>
      <c r="K185" s="3">
        <v>4944</v>
      </c>
      <c r="L185" s="2" t="s">
        <v>226</v>
      </c>
      <c r="M185" s="2" t="s">
        <v>12</v>
      </c>
      <c r="N185" s="2" t="s">
        <v>12</v>
      </c>
      <c r="O185" s="2" t="s">
        <v>12</v>
      </c>
      <c r="P185" s="21" t="s">
        <v>12</v>
      </c>
      <c r="Q185" s="3" t="s">
        <v>12</v>
      </c>
      <c r="R185" s="3" t="s">
        <v>12</v>
      </c>
    </row>
    <row r="186" spans="1:18" x14ac:dyDescent="0.25">
      <c r="A186" s="30">
        <v>45686</v>
      </c>
      <c r="B186" s="28">
        <v>176</v>
      </c>
      <c r="C186" s="28"/>
      <c r="D186" s="2" t="s">
        <v>348</v>
      </c>
      <c r="E186" s="7" t="s">
        <v>349</v>
      </c>
      <c r="F186" s="7"/>
      <c r="G186" s="2" t="s">
        <v>26</v>
      </c>
      <c r="H186" s="2" t="s">
        <v>350</v>
      </c>
      <c r="I186" s="5">
        <v>1200.5899999999999</v>
      </c>
      <c r="J186" s="57"/>
      <c r="K186" s="3" t="s">
        <v>12</v>
      </c>
      <c r="L186" s="2" t="s">
        <v>64</v>
      </c>
      <c r="M186" s="2" t="s">
        <v>12</v>
      </c>
      <c r="N186" s="2" t="s">
        <v>12</v>
      </c>
      <c r="O186" s="2" t="s">
        <v>12</v>
      </c>
      <c r="P186" s="21" t="s">
        <v>12</v>
      </c>
      <c r="Q186" s="3" t="s">
        <v>12</v>
      </c>
      <c r="R186" s="3" t="s">
        <v>12</v>
      </c>
    </row>
    <row r="187" spans="1:18" x14ac:dyDescent="0.25">
      <c r="A187" s="30">
        <v>45686</v>
      </c>
      <c r="B187" s="28">
        <v>177</v>
      </c>
      <c r="C187" s="28"/>
      <c r="D187" s="2" t="s">
        <v>351</v>
      </c>
      <c r="E187" s="7" t="s">
        <v>352</v>
      </c>
      <c r="F187" s="7"/>
      <c r="G187" s="2" t="s">
        <v>43</v>
      </c>
      <c r="H187" s="2" t="s">
        <v>98</v>
      </c>
      <c r="I187" s="5">
        <v>96496.7</v>
      </c>
      <c r="J187" s="57"/>
      <c r="K187" s="3">
        <v>912</v>
      </c>
      <c r="L187" s="2" t="s">
        <v>226</v>
      </c>
      <c r="M187" s="2" t="s">
        <v>12</v>
      </c>
      <c r="N187" s="2" t="s">
        <v>12</v>
      </c>
      <c r="O187" s="2" t="s">
        <v>12</v>
      </c>
      <c r="P187" s="21" t="s">
        <v>12</v>
      </c>
      <c r="Q187" s="3" t="s">
        <v>223</v>
      </c>
      <c r="R187" s="3" t="s">
        <v>80</v>
      </c>
    </row>
    <row r="188" spans="1:18" x14ac:dyDescent="0.25">
      <c r="A188" s="30">
        <v>45686</v>
      </c>
      <c r="B188" s="28">
        <v>178</v>
      </c>
      <c r="C188" s="28"/>
      <c r="D188" s="2" t="s">
        <v>353</v>
      </c>
      <c r="E188" s="7" t="s">
        <v>12</v>
      </c>
      <c r="F188" s="7"/>
      <c r="G188" s="2" t="s">
        <v>13</v>
      </c>
      <c r="H188" s="2" t="s">
        <v>43</v>
      </c>
      <c r="I188" s="5">
        <v>4917.8</v>
      </c>
      <c r="J188" s="57"/>
      <c r="K188" s="3" t="s">
        <v>12</v>
      </c>
      <c r="L188" s="2" t="s">
        <v>226</v>
      </c>
      <c r="M188" s="2" t="s">
        <v>12</v>
      </c>
      <c r="N188" s="2" t="s">
        <v>12</v>
      </c>
      <c r="O188" s="2" t="s">
        <v>12</v>
      </c>
      <c r="P188" s="21" t="s">
        <v>12</v>
      </c>
      <c r="Q188" s="3" t="s">
        <v>12</v>
      </c>
      <c r="R188" s="3" t="s">
        <v>12</v>
      </c>
    </row>
    <row r="189" spans="1:18" x14ac:dyDescent="0.25">
      <c r="A189" s="30">
        <v>45686</v>
      </c>
      <c r="B189" s="28">
        <v>179</v>
      </c>
      <c r="C189" s="28"/>
      <c r="D189" s="2" t="s">
        <v>361</v>
      </c>
      <c r="E189" s="7" t="s">
        <v>362</v>
      </c>
      <c r="F189" s="7"/>
      <c r="G189" s="2" t="s">
        <v>26</v>
      </c>
      <c r="H189" s="2" t="s">
        <v>344</v>
      </c>
      <c r="I189" s="5">
        <v>263059.65999999997</v>
      </c>
      <c r="J189" s="57"/>
      <c r="K189" s="3">
        <v>2784</v>
      </c>
      <c r="L189" s="2" t="s">
        <v>226</v>
      </c>
      <c r="M189" s="2" t="s">
        <v>12</v>
      </c>
      <c r="N189" s="2" t="s">
        <v>12</v>
      </c>
      <c r="O189" s="2" t="s">
        <v>12</v>
      </c>
      <c r="P189" s="21" t="s">
        <v>12</v>
      </c>
      <c r="Q189" s="3" t="s">
        <v>12</v>
      </c>
      <c r="R189" s="3" t="s">
        <v>12</v>
      </c>
    </row>
    <row r="190" spans="1:18" x14ac:dyDescent="0.25">
      <c r="A190" s="30">
        <v>45686</v>
      </c>
      <c r="B190" s="28">
        <v>180</v>
      </c>
      <c r="C190" s="28"/>
      <c r="D190" s="2" t="s">
        <v>363</v>
      </c>
      <c r="E190" s="7" t="s">
        <v>12</v>
      </c>
      <c r="F190" s="7"/>
      <c r="G190" s="2" t="s">
        <v>13</v>
      </c>
      <c r="H190" s="2" t="s">
        <v>98</v>
      </c>
      <c r="I190" s="5">
        <v>5271.2</v>
      </c>
      <c r="J190" s="57"/>
      <c r="K190" s="3" t="s">
        <v>12</v>
      </c>
      <c r="L190" s="2" t="s">
        <v>64</v>
      </c>
      <c r="M190" s="2" t="s">
        <v>12</v>
      </c>
      <c r="N190" s="2" t="s">
        <v>12</v>
      </c>
      <c r="O190" s="2" t="s">
        <v>12</v>
      </c>
      <c r="P190" s="21" t="s">
        <v>12</v>
      </c>
      <c r="Q190" s="3" t="s">
        <v>12</v>
      </c>
      <c r="R190" s="3" t="s">
        <v>12</v>
      </c>
    </row>
    <row r="191" spans="1:18" x14ac:dyDescent="0.25">
      <c r="A191" s="30">
        <v>45686</v>
      </c>
      <c r="B191" s="28">
        <v>181</v>
      </c>
      <c r="C191" s="28"/>
      <c r="D191" s="2" t="s">
        <v>23</v>
      </c>
      <c r="E191" s="7" t="s">
        <v>364</v>
      </c>
      <c r="F191" s="7"/>
      <c r="G191" s="2" t="s">
        <v>20</v>
      </c>
      <c r="H191" s="2" t="s">
        <v>32</v>
      </c>
      <c r="I191" s="5">
        <v>554.66</v>
      </c>
      <c r="J191" s="57"/>
      <c r="K191" s="3" t="s">
        <v>12</v>
      </c>
      <c r="L191" s="2" t="s">
        <v>64</v>
      </c>
      <c r="M191" s="2" t="s">
        <v>12</v>
      </c>
      <c r="N191" s="2" t="s">
        <v>12</v>
      </c>
      <c r="O191" s="2" t="s">
        <v>12</v>
      </c>
      <c r="P191" s="21" t="s">
        <v>12</v>
      </c>
      <c r="Q191" s="3" t="s">
        <v>12</v>
      </c>
      <c r="R191" s="3" t="s">
        <v>12</v>
      </c>
    </row>
    <row r="192" spans="1:18" x14ac:dyDescent="0.25">
      <c r="A192" s="30">
        <v>45686</v>
      </c>
      <c r="B192" s="28">
        <v>182</v>
      </c>
      <c r="C192" s="28"/>
      <c r="D192" s="2" t="s">
        <v>217</v>
      </c>
      <c r="E192" s="7" t="s">
        <v>12</v>
      </c>
      <c r="F192" s="7"/>
      <c r="G192" s="2" t="s">
        <v>13</v>
      </c>
      <c r="H192" s="2" t="s">
        <v>218</v>
      </c>
      <c r="I192" s="5">
        <v>3155.55</v>
      </c>
      <c r="J192" s="57"/>
      <c r="K192" s="3">
        <v>24</v>
      </c>
      <c r="L192" s="2" t="s">
        <v>64</v>
      </c>
      <c r="M192" s="2" t="s">
        <v>12</v>
      </c>
      <c r="N192" s="2" t="s">
        <v>12</v>
      </c>
      <c r="O192" s="2" t="s">
        <v>12</v>
      </c>
      <c r="P192" s="21" t="s">
        <v>12</v>
      </c>
      <c r="Q192" s="3" t="s">
        <v>12</v>
      </c>
      <c r="R192" s="3" t="s">
        <v>12</v>
      </c>
    </row>
    <row r="193" spans="1:18" x14ac:dyDescent="0.25">
      <c r="A193" s="30">
        <v>45686</v>
      </c>
      <c r="B193" s="28">
        <v>183</v>
      </c>
      <c r="C193" s="28"/>
      <c r="D193" s="2" t="s">
        <v>440</v>
      </c>
      <c r="E193" s="7" t="s">
        <v>441</v>
      </c>
      <c r="F193" s="7"/>
      <c r="G193" s="2" t="s">
        <v>111</v>
      </c>
      <c r="H193" s="2" t="s">
        <v>432</v>
      </c>
      <c r="I193" s="5">
        <v>65763.72</v>
      </c>
      <c r="J193" s="57"/>
      <c r="K193" s="3"/>
      <c r="L193" s="2" t="s">
        <v>226</v>
      </c>
      <c r="M193" s="2"/>
      <c r="N193" s="2"/>
      <c r="O193" s="2"/>
      <c r="P193" s="21"/>
      <c r="Q193" s="3"/>
      <c r="R193" s="3"/>
    </row>
    <row r="194" spans="1:18" x14ac:dyDescent="0.25">
      <c r="A194" s="30">
        <v>45686</v>
      </c>
      <c r="B194" s="28">
        <v>184</v>
      </c>
      <c r="C194" s="28"/>
      <c r="D194" s="2" t="s">
        <v>440</v>
      </c>
      <c r="E194" s="7" t="s">
        <v>442</v>
      </c>
      <c r="F194" s="7"/>
      <c r="G194" s="2" t="s">
        <v>111</v>
      </c>
      <c r="H194" s="2" t="s">
        <v>432</v>
      </c>
      <c r="I194" s="5">
        <v>475865.65</v>
      </c>
      <c r="J194" s="57"/>
      <c r="K194" s="3"/>
      <c r="L194" s="2" t="s">
        <v>226</v>
      </c>
      <c r="M194" s="2" t="s">
        <v>711</v>
      </c>
      <c r="N194" s="2"/>
      <c r="O194" s="2"/>
      <c r="P194" s="21"/>
      <c r="Q194" s="3"/>
      <c r="R194" s="3"/>
    </row>
    <row r="195" spans="1:18" x14ac:dyDescent="0.25">
      <c r="A195" s="30">
        <v>45686</v>
      </c>
      <c r="B195" s="28">
        <v>185</v>
      </c>
      <c r="C195" s="28"/>
      <c r="D195" s="2" t="s">
        <v>165</v>
      </c>
      <c r="E195" s="7" t="s">
        <v>366</v>
      </c>
      <c r="F195" s="7"/>
      <c r="G195" s="2" t="s">
        <v>97</v>
      </c>
      <c r="H195" s="2" t="s">
        <v>167</v>
      </c>
      <c r="I195" s="5">
        <v>52205.41</v>
      </c>
      <c r="J195" s="57"/>
      <c r="K195" s="3">
        <v>720</v>
      </c>
      <c r="L195" s="2" t="s">
        <v>64</v>
      </c>
      <c r="M195" s="2" t="s">
        <v>12</v>
      </c>
      <c r="N195" s="2" t="s">
        <v>12</v>
      </c>
      <c r="O195" s="2" t="s">
        <v>12</v>
      </c>
      <c r="P195" s="21" t="s">
        <v>12</v>
      </c>
      <c r="Q195" s="3" t="s">
        <v>12</v>
      </c>
      <c r="R195" s="3" t="s">
        <v>12</v>
      </c>
    </row>
    <row r="196" spans="1:18" x14ac:dyDescent="0.25">
      <c r="A196" s="30">
        <v>45686</v>
      </c>
      <c r="B196" s="28">
        <v>186</v>
      </c>
      <c r="C196" s="28"/>
      <c r="D196" s="2" t="s">
        <v>367</v>
      </c>
      <c r="E196" s="7" t="s">
        <v>12</v>
      </c>
      <c r="F196" s="7"/>
      <c r="G196" s="2" t="s">
        <v>13</v>
      </c>
      <c r="H196" s="2" t="s">
        <v>368</v>
      </c>
      <c r="I196" s="5">
        <v>5601.42</v>
      </c>
      <c r="J196" s="57"/>
      <c r="K196" s="3">
        <v>72</v>
      </c>
      <c r="L196" s="2" t="s">
        <v>64</v>
      </c>
      <c r="M196" s="2" t="s">
        <v>12</v>
      </c>
      <c r="N196" s="2" t="s">
        <v>12</v>
      </c>
      <c r="O196" s="2" t="s">
        <v>12</v>
      </c>
      <c r="P196" s="21" t="s">
        <v>12</v>
      </c>
      <c r="Q196" s="3" t="s">
        <v>12</v>
      </c>
      <c r="R196" s="3" t="s">
        <v>12</v>
      </c>
    </row>
    <row r="197" spans="1:18" x14ac:dyDescent="0.25">
      <c r="A197" s="30">
        <v>45686</v>
      </c>
      <c r="B197" s="28">
        <v>187</v>
      </c>
      <c r="C197" s="28"/>
      <c r="D197" s="2" t="s">
        <v>130</v>
      </c>
      <c r="E197" s="7" t="s">
        <v>12</v>
      </c>
      <c r="F197" s="7"/>
      <c r="G197" s="2" t="s">
        <v>26</v>
      </c>
      <c r="H197" s="2" t="s">
        <v>369</v>
      </c>
      <c r="I197" s="5">
        <v>34082.47</v>
      </c>
      <c r="J197" s="57"/>
      <c r="K197" s="3" t="s">
        <v>12</v>
      </c>
      <c r="L197" s="2" t="s">
        <v>134</v>
      </c>
      <c r="M197" s="2" t="s">
        <v>374</v>
      </c>
      <c r="N197" s="2" t="s">
        <v>529</v>
      </c>
      <c r="O197" s="2" t="s">
        <v>374</v>
      </c>
      <c r="P197" s="21">
        <v>34500</v>
      </c>
      <c r="Q197" s="3" t="s">
        <v>12</v>
      </c>
      <c r="R197" s="3" t="s">
        <v>12</v>
      </c>
    </row>
    <row r="198" spans="1:18" x14ac:dyDescent="0.25">
      <c r="A198" s="30">
        <v>45686</v>
      </c>
      <c r="B198" s="28">
        <v>188</v>
      </c>
      <c r="C198" s="28"/>
      <c r="D198" s="2" t="s">
        <v>41</v>
      </c>
      <c r="E198" s="7" t="s">
        <v>326</v>
      </c>
      <c r="F198" s="7"/>
      <c r="G198" s="2" t="s">
        <v>43</v>
      </c>
      <c r="H198" s="2" t="s">
        <v>44</v>
      </c>
      <c r="I198" s="5">
        <v>4836.72</v>
      </c>
      <c r="J198" s="57"/>
      <c r="K198" s="3">
        <v>48</v>
      </c>
      <c r="L198" s="2" t="s">
        <v>226</v>
      </c>
      <c r="M198" s="2" t="s">
        <v>792</v>
      </c>
      <c r="N198" s="2" t="s">
        <v>12</v>
      </c>
      <c r="O198" s="2" t="s">
        <v>12</v>
      </c>
      <c r="P198" s="21" t="s">
        <v>12</v>
      </c>
      <c r="Q198" s="3" t="s">
        <v>41</v>
      </c>
      <c r="R198" s="3" t="s">
        <v>75</v>
      </c>
    </row>
    <row r="199" spans="1:18" x14ac:dyDescent="0.25">
      <c r="A199" s="30">
        <v>45687</v>
      </c>
      <c r="B199" s="28">
        <v>189</v>
      </c>
      <c r="C199" s="28"/>
      <c r="D199" s="2" t="s">
        <v>168</v>
      </c>
      <c r="E199" s="7" t="s">
        <v>12</v>
      </c>
      <c r="F199" s="7"/>
      <c r="G199" s="2" t="s">
        <v>43</v>
      </c>
      <c r="H199" s="2" t="s">
        <v>375</v>
      </c>
      <c r="I199" s="5">
        <v>1838.99</v>
      </c>
      <c r="J199" s="57"/>
      <c r="K199" s="3" t="s">
        <v>12</v>
      </c>
      <c r="L199" s="2" t="s">
        <v>64</v>
      </c>
      <c r="M199" s="2" t="s">
        <v>12</v>
      </c>
      <c r="N199" s="2" t="s">
        <v>12</v>
      </c>
      <c r="O199" s="2" t="s">
        <v>12</v>
      </c>
      <c r="P199" s="21" t="s">
        <v>12</v>
      </c>
      <c r="Q199" s="3" t="s">
        <v>12</v>
      </c>
      <c r="R199" s="3" t="s">
        <v>12</v>
      </c>
    </row>
    <row r="200" spans="1:18" x14ac:dyDescent="0.25">
      <c r="A200" s="30">
        <v>45687</v>
      </c>
      <c r="B200" s="28">
        <v>190</v>
      </c>
      <c r="C200" s="28"/>
      <c r="D200" s="2" t="s">
        <v>376</v>
      </c>
      <c r="E200" s="7" t="s">
        <v>12</v>
      </c>
      <c r="F200" s="7"/>
      <c r="G200" s="2" t="s">
        <v>26</v>
      </c>
      <c r="H200" s="2" t="s">
        <v>377</v>
      </c>
      <c r="I200" s="5">
        <v>7934.39</v>
      </c>
      <c r="J200" s="57"/>
      <c r="K200" s="3" t="s">
        <v>12</v>
      </c>
      <c r="L200" s="2" t="s">
        <v>134</v>
      </c>
      <c r="M200" s="2" t="s">
        <v>528</v>
      </c>
      <c r="N200" s="2" t="s">
        <v>12</v>
      </c>
      <c r="O200" s="2" t="s">
        <v>12</v>
      </c>
      <c r="P200" s="21" t="s">
        <v>12</v>
      </c>
      <c r="Q200" s="3" t="s">
        <v>12</v>
      </c>
      <c r="R200" s="3" t="s">
        <v>12</v>
      </c>
    </row>
    <row r="201" spans="1:18" x14ac:dyDescent="0.25">
      <c r="A201" s="30">
        <v>45687</v>
      </c>
      <c r="B201" s="28">
        <v>191</v>
      </c>
      <c r="C201" s="28"/>
      <c r="D201" s="2" t="s">
        <v>233</v>
      </c>
      <c r="E201" s="7" t="s">
        <v>12</v>
      </c>
      <c r="F201" s="7"/>
      <c r="G201" s="2" t="s">
        <v>13</v>
      </c>
      <c r="H201" s="2" t="s">
        <v>235</v>
      </c>
      <c r="I201" s="5">
        <v>64427.72</v>
      </c>
      <c r="J201" s="57"/>
      <c r="K201" s="3">
        <v>672</v>
      </c>
      <c r="L201" s="2" t="s">
        <v>226</v>
      </c>
      <c r="M201" s="2" t="s">
        <v>12</v>
      </c>
      <c r="N201" s="2" t="s">
        <v>12</v>
      </c>
      <c r="O201" s="2" t="s">
        <v>12</v>
      </c>
      <c r="P201" s="21" t="s">
        <v>12</v>
      </c>
      <c r="Q201" s="3" t="s">
        <v>12</v>
      </c>
      <c r="R201" s="3" t="s">
        <v>12</v>
      </c>
    </row>
    <row r="202" spans="1:18" x14ac:dyDescent="0.25">
      <c r="A202" s="30">
        <v>45687</v>
      </c>
      <c r="B202" s="28">
        <v>192</v>
      </c>
      <c r="C202" s="28"/>
      <c r="D202" s="2" t="s">
        <v>378</v>
      </c>
      <c r="E202" s="7" t="s">
        <v>12</v>
      </c>
      <c r="F202" s="7"/>
      <c r="G202" s="2" t="s">
        <v>13</v>
      </c>
      <c r="H202" s="2" t="s">
        <v>379</v>
      </c>
      <c r="I202" s="5">
        <v>5344.01</v>
      </c>
      <c r="J202" s="57"/>
      <c r="K202" s="3">
        <v>72</v>
      </c>
      <c r="L202" s="2" t="s">
        <v>226</v>
      </c>
      <c r="M202" s="2" t="s">
        <v>12</v>
      </c>
      <c r="N202" s="2" t="s">
        <v>12</v>
      </c>
      <c r="O202" s="2" t="s">
        <v>12</v>
      </c>
      <c r="P202" s="21" t="s">
        <v>12</v>
      </c>
      <c r="Q202" s="3" t="s">
        <v>12</v>
      </c>
      <c r="R202" s="3" t="s">
        <v>12</v>
      </c>
    </row>
    <row r="203" spans="1:18" x14ac:dyDescent="0.25">
      <c r="A203" s="30">
        <v>45687</v>
      </c>
      <c r="B203" s="28">
        <v>193</v>
      </c>
      <c r="C203" s="28"/>
      <c r="D203" s="2" t="s">
        <v>168</v>
      </c>
      <c r="E203" s="7" t="s">
        <v>380</v>
      </c>
      <c r="F203" s="7"/>
      <c r="G203" s="2" t="s">
        <v>43</v>
      </c>
      <c r="H203" s="2" t="s">
        <v>381</v>
      </c>
      <c r="I203" s="5">
        <v>279185</v>
      </c>
      <c r="J203" s="57"/>
      <c r="K203" s="3">
        <v>2187.06</v>
      </c>
      <c r="L203" s="2" t="s">
        <v>226</v>
      </c>
      <c r="M203" s="2" t="s">
        <v>793</v>
      </c>
      <c r="N203" s="2" t="s">
        <v>135</v>
      </c>
      <c r="O203" s="2" t="s">
        <v>374</v>
      </c>
      <c r="P203" s="21">
        <v>180000</v>
      </c>
      <c r="Q203" s="3" t="s">
        <v>12</v>
      </c>
      <c r="R203" s="3" t="s">
        <v>12</v>
      </c>
    </row>
    <row r="204" spans="1:18" x14ac:dyDescent="0.25">
      <c r="A204" s="30">
        <v>45687</v>
      </c>
      <c r="B204" s="28">
        <v>194</v>
      </c>
      <c r="C204" s="28"/>
      <c r="D204" s="2" t="s">
        <v>382</v>
      </c>
      <c r="E204" s="7" t="s">
        <v>12</v>
      </c>
      <c r="F204" s="7"/>
      <c r="G204" s="2" t="s">
        <v>13</v>
      </c>
      <c r="H204" s="2" t="s">
        <v>383</v>
      </c>
      <c r="I204" s="5">
        <v>99851.37</v>
      </c>
      <c r="J204" s="57"/>
      <c r="K204" s="3">
        <v>888</v>
      </c>
      <c r="L204" s="2" t="s">
        <v>226</v>
      </c>
      <c r="M204" s="2" t="s">
        <v>12</v>
      </c>
      <c r="N204" s="2" t="s">
        <v>12</v>
      </c>
      <c r="O204" s="2" t="s">
        <v>12</v>
      </c>
      <c r="P204" s="21" t="s">
        <v>12</v>
      </c>
      <c r="Q204" s="3" t="s">
        <v>12</v>
      </c>
      <c r="R204" s="3" t="s">
        <v>12</v>
      </c>
    </row>
    <row r="205" spans="1:18" x14ac:dyDescent="0.25">
      <c r="A205" s="30">
        <v>45687</v>
      </c>
      <c r="B205" s="28">
        <v>195</v>
      </c>
      <c r="C205" s="28"/>
      <c r="D205" s="2" t="s">
        <v>109</v>
      </c>
      <c r="E205" s="7" t="s">
        <v>384</v>
      </c>
      <c r="F205" s="7"/>
      <c r="G205" s="2" t="s">
        <v>111</v>
      </c>
      <c r="H205" s="2" t="s">
        <v>61</v>
      </c>
      <c r="I205" s="5">
        <v>22810.68</v>
      </c>
      <c r="J205" s="57"/>
      <c r="K205" s="3">
        <v>264</v>
      </c>
      <c r="L205" s="2" t="s">
        <v>226</v>
      </c>
      <c r="M205" s="2" t="s">
        <v>12</v>
      </c>
      <c r="N205" s="2" t="s">
        <v>12</v>
      </c>
      <c r="O205" s="2" t="s">
        <v>12</v>
      </c>
      <c r="P205" s="21" t="s">
        <v>12</v>
      </c>
      <c r="Q205" s="3" t="s">
        <v>12</v>
      </c>
      <c r="R205" s="3" t="s">
        <v>12</v>
      </c>
    </row>
    <row r="206" spans="1:18" x14ac:dyDescent="0.25">
      <c r="A206" s="30">
        <v>45687</v>
      </c>
      <c r="B206" s="28">
        <v>196</v>
      </c>
      <c r="C206" s="28"/>
      <c r="D206" s="2" t="s">
        <v>41</v>
      </c>
      <c r="E206" s="7" t="s">
        <v>385</v>
      </c>
      <c r="F206" s="7"/>
      <c r="G206" s="2" t="s">
        <v>43</v>
      </c>
      <c r="H206" s="2" t="s">
        <v>44</v>
      </c>
      <c r="I206" s="5">
        <v>123735.98</v>
      </c>
      <c r="J206" s="57"/>
      <c r="K206" s="3">
        <v>1008</v>
      </c>
      <c r="L206" s="2" t="s">
        <v>226</v>
      </c>
      <c r="M206" s="2" t="s">
        <v>12</v>
      </c>
      <c r="N206" s="2" t="s">
        <v>12</v>
      </c>
      <c r="O206" s="2" t="s">
        <v>12</v>
      </c>
      <c r="P206" s="21" t="s">
        <v>12</v>
      </c>
      <c r="Q206" s="3" t="s">
        <v>456</v>
      </c>
      <c r="R206" s="3" t="s">
        <v>80</v>
      </c>
    </row>
    <row r="207" spans="1:18" x14ac:dyDescent="0.25">
      <c r="A207" s="30">
        <v>45687</v>
      </c>
      <c r="B207" s="28">
        <v>197</v>
      </c>
      <c r="C207" s="28"/>
      <c r="D207" s="2" t="s">
        <v>386</v>
      </c>
      <c r="E207" s="7" t="s">
        <v>387</v>
      </c>
      <c r="F207" s="7"/>
      <c r="G207" s="2" t="s">
        <v>97</v>
      </c>
      <c r="H207" s="2" t="s">
        <v>251</v>
      </c>
      <c r="I207" s="5">
        <v>17645.849999999999</v>
      </c>
      <c r="J207" s="57"/>
      <c r="K207" s="3">
        <v>192</v>
      </c>
      <c r="L207" s="2" t="s">
        <v>64</v>
      </c>
      <c r="M207" s="2" t="s">
        <v>12</v>
      </c>
      <c r="N207" s="2" t="s">
        <v>12</v>
      </c>
      <c r="O207" s="2" t="s">
        <v>12</v>
      </c>
      <c r="P207" s="21" t="s">
        <v>12</v>
      </c>
      <c r="Q207" s="3" t="s">
        <v>12</v>
      </c>
      <c r="R207" s="3" t="s">
        <v>12</v>
      </c>
    </row>
    <row r="208" spans="1:18" x14ac:dyDescent="0.25">
      <c r="A208" s="30">
        <v>45688</v>
      </c>
      <c r="B208" s="28">
        <v>198</v>
      </c>
      <c r="C208" s="28"/>
      <c r="D208" s="2" t="s">
        <v>388</v>
      </c>
      <c r="E208" s="7" t="s">
        <v>389</v>
      </c>
      <c r="F208" s="7"/>
      <c r="G208" s="2" t="s">
        <v>26</v>
      </c>
      <c r="H208" s="2" t="s">
        <v>390</v>
      </c>
      <c r="I208" s="5">
        <v>66776.2</v>
      </c>
      <c r="J208" s="57"/>
      <c r="K208" s="3">
        <v>624</v>
      </c>
      <c r="L208" s="2" t="s">
        <v>226</v>
      </c>
      <c r="M208" s="2" t="s">
        <v>12</v>
      </c>
      <c r="N208" s="2" t="s">
        <v>12</v>
      </c>
      <c r="O208" s="2" t="s">
        <v>12</v>
      </c>
      <c r="P208" s="21" t="s">
        <v>12</v>
      </c>
      <c r="Q208" s="3" t="s">
        <v>12</v>
      </c>
      <c r="R208" s="3" t="s">
        <v>12</v>
      </c>
    </row>
    <row r="209" spans="1:19" x14ac:dyDescent="0.25">
      <c r="A209" s="30">
        <v>45687</v>
      </c>
      <c r="B209" s="28">
        <v>199</v>
      </c>
      <c r="C209" s="28"/>
      <c r="D209" s="2" t="s">
        <v>391</v>
      </c>
      <c r="E209" s="7" t="s">
        <v>12</v>
      </c>
      <c r="F209" s="7"/>
      <c r="G209" s="2" t="s">
        <v>13</v>
      </c>
      <c r="H209" s="2" t="s">
        <v>392</v>
      </c>
      <c r="I209" s="5">
        <v>2999.67</v>
      </c>
      <c r="J209" s="57"/>
      <c r="K209" s="3" t="s">
        <v>12</v>
      </c>
      <c r="L209" s="2" t="s">
        <v>226</v>
      </c>
      <c r="M209" s="2" t="s">
        <v>229</v>
      </c>
      <c r="N209" s="2" t="s">
        <v>12</v>
      </c>
      <c r="O209" s="2" t="s">
        <v>12</v>
      </c>
      <c r="P209" s="21" t="s">
        <v>12</v>
      </c>
      <c r="Q209" s="3" t="s">
        <v>12</v>
      </c>
      <c r="R209" s="3" t="s">
        <v>12</v>
      </c>
    </row>
    <row r="210" spans="1:19" x14ac:dyDescent="0.25">
      <c r="A210" s="30">
        <v>45687</v>
      </c>
      <c r="B210" s="28">
        <v>200</v>
      </c>
      <c r="C210" s="28"/>
      <c r="D210" s="2" t="s">
        <v>126</v>
      </c>
      <c r="E210" s="7" t="s">
        <v>12</v>
      </c>
      <c r="F210" s="7"/>
      <c r="G210" s="2" t="s">
        <v>13</v>
      </c>
      <c r="H210" s="2" t="s">
        <v>127</v>
      </c>
      <c r="I210" s="5">
        <v>9423.11</v>
      </c>
      <c r="J210" s="57"/>
      <c r="K210" s="3">
        <v>120</v>
      </c>
      <c r="L210" s="2" t="s">
        <v>64</v>
      </c>
      <c r="M210" s="2" t="s">
        <v>12</v>
      </c>
      <c r="N210" s="2" t="s">
        <v>12</v>
      </c>
      <c r="O210" s="2" t="s">
        <v>12</v>
      </c>
      <c r="P210" s="21" t="s">
        <v>12</v>
      </c>
      <c r="Q210" s="3" t="s">
        <v>12</v>
      </c>
      <c r="R210" s="3" t="s">
        <v>12</v>
      </c>
    </row>
    <row r="211" spans="1:19" x14ac:dyDescent="0.25">
      <c r="A211" s="30">
        <v>45687</v>
      </c>
      <c r="B211" s="28">
        <v>201</v>
      </c>
      <c r="C211" s="28"/>
      <c r="D211" s="2" t="s">
        <v>393</v>
      </c>
      <c r="E211" s="7" t="s">
        <v>394</v>
      </c>
      <c r="F211" s="7"/>
      <c r="G211" s="2" t="s">
        <v>43</v>
      </c>
      <c r="H211" s="2" t="s">
        <v>395</v>
      </c>
      <c r="I211" s="5">
        <v>21088.92</v>
      </c>
      <c r="J211" s="57"/>
      <c r="K211" s="3">
        <v>192</v>
      </c>
      <c r="L211" s="2" t="s">
        <v>226</v>
      </c>
      <c r="M211" s="2" t="s">
        <v>12</v>
      </c>
      <c r="N211" s="2" t="s">
        <v>12</v>
      </c>
      <c r="O211" s="2" t="s">
        <v>12</v>
      </c>
      <c r="P211" s="21" t="s">
        <v>12</v>
      </c>
      <c r="Q211" s="3" t="s">
        <v>12</v>
      </c>
      <c r="R211" s="3" t="s">
        <v>12</v>
      </c>
    </row>
    <row r="212" spans="1:19" x14ac:dyDescent="0.25">
      <c r="A212" s="30">
        <v>45687</v>
      </c>
      <c r="B212" s="28">
        <v>202</v>
      </c>
      <c r="C212" s="28"/>
      <c r="D212" s="2" t="s">
        <v>130</v>
      </c>
      <c r="E212" s="7" t="s">
        <v>396</v>
      </c>
      <c r="F212" s="7"/>
      <c r="G212" s="2" t="s">
        <v>26</v>
      </c>
      <c r="H212" s="2" t="s">
        <v>108</v>
      </c>
      <c r="I212" s="5">
        <v>109574.55</v>
      </c>
      <c r="J212" s="57"/>
      <c r="K212" s="3">
        <v>1032</v>
      </c>
      <c r="L212" s="2" t="s">
        <v>226</v>
      </c>
      <c r="M212" s="2" t="s">
        <v>12</v>
      </c>
      <c r="N212" s="2" t="s">
        <v>12</v>
      </c>
      <c r="O212" s="2" t="s">
        <v>12</v>
      </c>
      <c r="P212" s="21" t="s">
        <v>12</v>
      </c>
      <c r="Q212" s="3" t="s">
        <v>457</v>
      </c>
      <c r="R212" s="3" t="s">
        <v>80</v>
      </c>
    </row>
    <row r="213" spans="1:19" x14ac:dyDescent="0.25">
      <c r="A213" s="30">
        <v>45687</v>
      </c>
      <c r="B213" s="28">
        <v>203</v>
      </c>
      <c r="C213" s="28"/>
      <c r="D213" s="2" t="s">
        <v>171</v>
      </c>
      <c r="E213" s="7" t="s">
        <v>519</v>
      </c>
      <c r="F213" s="7"/>
      <c r="G213" s="2" t="s">
        <v>26</v>
      </c>
      <c r="H213" s="2" t="s">
        <v>397</v>
      </c>
      <c r="I213" s="5">
        <v>3492.65</v>
      </c>
      <c r="J213" s="57"/>
      <c r="K213" s="3" t="s">
        <v>12</v>
      </c>
      <c r="L213" s="2" t="s">
        <v>64</v>
      </c>
      <c r="M213" s="2" t="s">
        <v>12</v>
      </c>
      <c r="N213" s="2" t="s">
        <v>12</v>
      </c>
      <c r="O213" s="2" t="s">
        <v>12</v>
      </c>
      <c r="P213" s="21" t="s">
        <v>12</v>
      </c>
      <c r="Q213" s="3" t="s">
        <v>12</v>
      </c>
      <c r="R213" s="3" t="s">
        <v>12</v>
      </c>
    </row>
    <row r="214" spans="1:19" x14ac:dyDescent="0.25">
      <c r="A214" s="30">
        <v>45688</v>
      </c>
      <c r="B214" s="28">
        <v>204</v>
      </c>
      <c r="C214" s="28"/>
      <c r="D214" s="2" t="s">
        <v>376</v>
      </c>
      <c r="E214" s="7" t="s">
        <v>12</v>
      </c>
      <c r="F214" s="7"/>
      <c r="G214" s="2" t="s">
        <v>26</v>
      </c>
      <c r="H214" s="2" t="s">
        <v>377</v>
      </c>
      <c r="I214" s="5">
        <v>1891.13</v>
      </c>
      <c r="J214" s="57"/>
      <c r="K214" s="3" t="s">
        <v>12</v>
      </c>
      <c r="L214" s="2" t="s">
        <v>64</v>
      </c>
      <c r="M214" s="2" t="s">
        <v>12</v>
      </c>
      <c r="N214" s="2" t="s">
        <v>12</v>
      </c>
      <c r="O214" s="2" t="s">
        <v>12</v>
      </c>
      <c r="P214" s="21" t="s">
        <v>12</v>
      </c>
      <c r="Q214" s="3" t="s">
        <v>12</v>
      </c>
      <c r="R214" s="3" t="s">
        <v>12</v>
      </c>
    </row>
    <row r="215" spans="1:19" x14ac:dyDescent="0.25">
      <c r="A215" s="30">
        <v>45688</v>
      </c>
      <c r="B215" s="28">
        <v>205</v>
      </c>
      <c r="C215" s="28"/>
      <c r="D215" s="2" t="s">
        <v>65</v>
      </c>
      <c r="E215" s="7" t="s">
        <v>352</v>
      </c>
      <c r="F215" s="7"/>
      <c r="G215" s="2" t="s">
        <v>13</v>
      </c>
      <c r="H215" s="2" t="s">
        <v>101</v>
      </c>
      <c r="I215" s="5">
        <v>96496.7</v>
      </c>
      <c r="J215" s="57"/>
      <c r="K215" s="3">
        <v>912</v>
      </c>
      <c r="L215" s="2" t="s">
        <v>226</v>
      </c>
      <c r="M215" s="2" t="s">
        <v>585</v>
      </c>
      <c r="N215" s="2" t="s">
        <v>12</v>
      </c>
      <c r="O215" s="2" t="s">
        <v>12</v>
      </c>
      <c r="P215" s="21" t="s">
        <v>12</v>
      </c>
      <c r="Q215" s="3" t="s">
        <v>457</v>
      </c>
      <c r="R215" s="3" t="s">
        <v>80</v>
      </c>
    </row>
    <row r="216" spans="1:19" x14ac:dyDescent="0.25">
      <c r="A216" s="30">
        <v>45688</v>
      </c>
      <c r="B216" s="28">
        <v>206</v>
      </c>
      <c r="C216" s="28"/>
      <c r="D216" s="2" t="s">
        <v>256</v>
      </c>
      <c r="E216" s="7" t="s">
        <v>398</v>
      </c>
      <c r="F216" s="7"/>
      <c r="G216" s="2" t="s">
        <v>20</v>
      </c>
      <c r="H216" s="2" t="s">
        <v>257</v>
      </c>
      <c r="I216" s="5">
        <v>11929.67</v>
      </c>
      <c r="J216" s="57"/>
      <c r="K216" s="3">
        <v>120</v>
      </c>
      <c r="L216" s="2" t="s">
        <v>64</v>
      </c>
      <c r="M216" s="2" t="s">
        <v>12</v>
      </c>
      <c r="N216" s="2" t="s">
        <v>12</v>
      </c>
      <c r="O216" s="2" t="s">
        <v>12</v>
      </c>
      <c r="P216" s="21" t="s">
        <v>12</v>
      </c>
      <c r="Q216" s="3" t="s">
        <v>12</v>
      </c>
      <c r="R216" s="3" t="s">
        <v>12</v>
      </c>
    </row>
    <row r="217" spans="1:19" x14ac:dyDescent="0.25">
      <c r="A217" s="30">
        <v>45688</v>
      </c>
      <c r="B217" s="28">
        <v>207</v>
      </c>
      <c r="C217" s="28"/>
      <c r="D217" s="2" t="s">
        <v>65</v>
      </c>
      <c r="E217" s="7" t="s">
        <v>399</v>
      </c>
      <c r="F217" s="7"/>
      <c r="G217" s="2" t="s">
        <v>13</v>
      </c>
      <c r="H217" s="2" t="s">
        <v>101</v>
      </c>
      <c r="I217" s="5">
        <v>52197.63</v>
      </c>
      <c r="J217" s="57"/>
      <c r="K217" s="3">
        <v>504</v>
      </c>
      <c r="L217" s="2" t="s">
        <v>226</v>
      </c>
      <c r="M217" s="2" t="s">
        <v>585</v>
      </c>
      <c r="N217" s="2" t="s">
        <v>12</v>
      </c>
      <c r="O217" s="2" t="s">
        <v>12</v>
      </c>
      <c r="P217" s="21" t="s">
        <v>12</v>
      </c>
      <c r="Q217" s="3" t="s">
        <v>12</v>
      </c>
      <c r="R217" s="3" t="s">
        <v>12</v>
      </c>
    </row>
    <row r="218" spans="1:19" x14ac:dyDescent="0.25">
      <c r="A218" s="30">
        <v>45688</v>
      </c>
      <c r="B218" s="28">
        <v>208</v>
      </c>
      <c r="C218" s="28"/>
      <c r="D218" s="2" t="s">
        <v>400</v>
      </c>
      <c r="E218" s="7" t="s">
        <v>401</v>
      </c>
      <c r="F218" s="7"/>
      <c r="G218" s="2" t="s">
        <v>97</v>
      </c>
      <c r="H218" s="2" t="s">
        <v>402</v>
      </c>
      <c r="I218" s="5">
        <v>863.73</v>
      </c>
      <c r="J218" s="57"/>
      <c r="K218" s="3" t="s">
        <v>12</v>
      </c>
      <c r="L218" s="2" t="s">
        <v>64</v>
      </c>
      <c r="M218" s="2" t="s">
        <v>12</v>
      </c>
      <c r="N218" s="2" t="s">
        <v>12</v>
      </c>
      <c r="O218" s="2" t="s">
        <v>12</v>
      </c>
      <c r="P218" s="21" t="s">
        <v>12</v>
      </c>
      <c r="Q218" s="3" t="s">
        <v>12</v>
      </c>
      <c r="R218" s="3" t="s">
        <v>12</v>
      </c>
    </row>
    <row r="219" spans="1:19" x14ac:dyDescent="0.25">
      <c r="A219" s="30">
        <v>45688</v>
      </c>
      <c r="B219" s="28">
        <v>209</v>
      </c>
      <c r="C219" s="28"/>
      <c r="D219" s="2" t="s">
        <v>151</v>
      </c>
      <c r="E219" s="7" t="s">
        <v>12</v>
      </c>
      <c r="F219" s="7"/>
      <c r="G219" s="2" t="s">
        <v>13</v>
      </c>
      <c r="H219" s="2" t="s">
        <v>152</v>
      </c>
      <c r="I219" s="5">
        <v>642.82000000000005</v>
      </c>
      <c r="J219" s="57"/>
      <c r="K219" s="3" t="s">
        <v>12</v>
      </c>
      <c r="L219" s="2" t="s">
        <v>64</v>
      </c>
      <c r="M219" s="2" t="s">
        <v>12</v>
      </c>
      <c r="N219" s="2" t="s">
        <v>12</v>
      </c>
      <c r="O219" s="2" t="s">
        <v>12</v>
      </c>
      <c r="P219" s="21" t="s">
        <v>12</v>
      </c>
      <c r="Q219" s="3" t="s">
        <v>12</v>
      </c>
      <c r="R219" s="3" t="s">
        <v>12</v>
      </c>
    </row>
    <row r="220" spans="1:19" x14ac:dyDescent="0.25">
      <c r="A220" s="30">
        <v>45688</v>
      </c>
      <c r="B220" s="28">
        <v>210</v>
      </c>
      <c r="C220" s="28"/>
      <c r="D220" s="2" t="s">
        <v>403</v>
      </c>
      <c r="E220" s="7" t="s">
        <v>404</v>
      </c>
      <c r="F220" s="7"/>
      <c r="G220" s="2" t="s">
        <v>43</v>
      </c>
      <c r="H220" s="2" t="s">
        <v>405</v>
      </c>
      <c r="I220" s="5">
        <v>343855.71</v>
      </c>
      <c r="J220" s="57"/>
      <c r="K220" s="3">
        <v>2916</v>
      </c>
      <c r="L220" s="2" t="s">
        <v>226</v>
      </c>
      <c r="M220" s="2" t="s">
        <v>12</v>
      </c>
      <c r="N220" s="2" t="s">
        <v>12</v>
      </c>
      <c r="O220" s="2" t="s">
        <v>12</v>
      </c>
      <c r="P220" s="21" t="s">
        <v>12</v>
      </c>
      <c r="Q220" s="3" t="s">
        <v>12</v>
      </c>
      <c r="R220" s="3" t="s">
        <v>12</v>
      </c>
    </row>
    <row r="221" spans="1:19" x14ac:dyDescent="0.25">
      <c r="A221" s="30">
        <v>45688</v>
      </c>
      <c r="B221" s="28">
        <v>211</v>
      </c>
      <c r="C221" s="28"/>
      <c r="D221" s="2" t="s">
        <v>233</v>
      </c>
      <c r="E221" s="7" t="s">
        <v>389</v>
      </c>
      <c r="F221" s="7"/>
      <c r="G221" s="2" t="s">
        <v>13</v>
      </c>
      <c r="H221" s="2" t="s">
        <v>235</v>
      </c>
      <c r="I221" s="5">
        <v>68776.2</v>
      </c>
      <c r="J221" s="57"/>
      <c r="K221" s="3">
        <v>480</v>
      </c>
      <c r="L221" s="2" t="s">
        <v>226</v>
      </c>
      <c r="M221" s="2" t="s">
        <v>12</v>
      </c>
      <c r="N221" s="2" t="s">
        <v>12</v>
      </c>
      <c r="O221" s="2" t="s">
        <v>12</v>
      </c>
      <c r="P221" s="21" t="s">
        <v>12</v>
      </c>
      <c r="Q221" s="3" t="s">
        <v>458</v>
      </c>
      <c r="R221" s="3" t="s">
        <v>80</v>
      </c>
    </row>
    <row r="222" spans="1:19" x14ac:dyDescent="0.25">
      <c r="A222" s="30">
        <v>45688</v>
      </c>
      <c r="B222" s="28">
        <v>212</v>
      </c>
      <c r="C222" s="28"/>
      <c r="D222" s="2" t="s">
        <v>208</v>
      </c>
      <c r="E222" s="7" t="s">
        <v>406</v>
      </c>
      <c r="F222" s="7"/>
      <c r="G222" s="2" t="s">
        <v>43</v>
      </c>
      <c r="H222" s="2" t="s">
        <v>407</v>
      </c>
      <c r="I222" s="5">
        <v>22712.9</v>
      </c>
      <c r="J222" s="57"/>
      <c r="K222" s="3">
        <v>264</v>
      </c>
      <c r="L222" s="2" t="s">
        <v>226</v>
      </c>
      <c r="M222" s="2" t="s">
        <v>792</v>
      </c>
      <c r="N222" s="2" t="s">
        <v>12</v>
      </c>
      <c r="O222" s="2" t="s">
        <v>12</v>
      </c>
      <c r="P222" s="21" t="s">
        <v>12</v>
      </c>
      <c r="Q222" s="3" t="s">
        <v>457</v>
      </c>
      <c r="R222" s="3" t="s">
        <v>80</v>
      </c>
      <c r="S222" t="s">
        <v>12</v>
      </c>
    </row>
    <row r="223" spans="1:19" x14ac:dyDescent="0.25">
      <c r="A223" s="30">
        <v>45688</v>
      </c>
      <c r="B223" s="28">
        <v>213</v>
      </c>
      <c r="C223" s="28"/>
      <c r="D223" s="2" t="s">
        <v>171</v>
      </c>
      <c r="E223" s="7" t="s">
        <v>408</v>
      </c>
      <c r="F223" s="7"/>
      <c r="G223" s="2" t="s">
        <v>26</v>
      </c>
      <c r="H223" s="2" t="s">
        <v>275</v>
      </c>
      <c r="I223" s="5">
        <v>106684</v>
      </c>
      <c r="J223" s="57"/>
      <c r="K223" s="3">
        <v>984</v>
      </c>
      <c r="L223" s="2" t="s">
        <v>226</v>
      </c>
      <c r="M223" s="2" t="s">
        <v>12</v>
      </c>
      <c r="N223" s="2" t="s">
        <v>12</v>
      </c>
      <c r="O223" s="2" t="s">
        <v>12</v>
      </c>
      <c r="P223" s="21" t="s">
        <v>12</v>
      </c>
      <c r="Q223" s="3" t="s">
        <v>12</v>
      </c>
      <c r="R223" s="3" t="s">
        <v>12</v>
      </c>
    </row>
    <row r="224" spans="1:19" x14ac:dyDescent="0.25">
      <c r="A224" s="30">
        <v>45688</v>
      </c>
      <c r="B224" s="28">
        <v>214</v>
      </c>
      <c r="C224" s="28"/>
      <c r="D224" s="2" t="s">
        <v>825</v>
      </c>
      <c r="E224" s="7" t="s">
        <v>531</v>
      </c>
      <c r="F224" s="7"/>
      <c r="G224" s="2" t="s">
        <v>111</v>
      </c>
      <c r="H224" s="2" t="s">
        <v>119</v>
      </c>
      <c r="I224" s="5">
        <v>108793.74</v>
      </c>
      <c r="J224" s="57"/>
      <c r="K224" s="3" t="s">
        <v>12</v>
      </c>
      <c r="L224" s="2" t="s">
        <v>64</v>
      </c>
      <c r="M224" s="2" t="s">
        <v>2578</v>
      </c>
      <c r="N224" s="2" t="s">
        <v>12</v>
      </c>
      <c r="O224" s="2" t="s">
        <v>12</v>
      </c>
      <c r="P224" s="21" t="s">
        <v>12</v>
      </c>
      <c r="Q224" s="3" t="s">
        <v>12</v>
      </c>
      <c r="R224" s="3" t="s">
        <v>12</v>
      </c>
    </row>
    <row r="225" spans="1:18" x14ac:dyDescent="0.25">
      <c r="A225" s="30">
        <v>45688</v>
      </c>
      <c r="B225" s="28">
        <v>215</v>
      </c>
      <c r="C225" s="28"/>
      <c r="D225" s="2" t="s">
        <v>92</v>
      </c>
      <c r="E225" s="7" t="s">
        <v>409</v>
      </c>
      <c r="F225" s="7"/>
      <c r="G225" s="2" t="s">
        <v>26</v>
      </c>
      <c r="H225" s="2" t="s">
        <v>410</v>
      </c>
      <c r="I225" s="5">
        <v>21006.82</v>
      </c>
      <c r="J225" s="57"/>
      <c r="K225" s="3">
        <v>216</v>
      </c>
      <c r="L225" s="2" t="s">
        <v>226</v>
      </c>
      <c r="M225" s="2" t="s">
        <v>12</v>
      </c>
      <c r="N225" s="2" t="s">
        <v>12</v>
      </c>
      <c r="O225" s="2" t="s">
        <v>12</v>
      </c>
      <c r="P225" s="21" t="s">
        <v>12</v>
      </c>
      <c r="Q225" s="3" t="s">
        <v>12</v>
      </c>
      <c r="R225" s="3" t="s">
        <v>12</v>
      </c>
    </row>
    <row r="226" spans="1:18" x14ac:dyDescent="0.25">
      <c r="A226" s="30">
        <v>45688</v>
      </c>
      <c r="B226" s="28">
        <v>216</v>
      </c>
      <c r="C226" s="28"/>
      <c r="D226" s="2" t="s">
        <v>411</v>
      </c>
      <c r="E226" s="7" t="s">
        <v>412</v>
      </c>
      <c r="F226" s="7"/>
      <c r="G226" s="2" t="s">
        <v>26</v>
      </c>
      <c r="H226" s="2" t="s">
        <v>413</v>
      </c>
      <c r="I226" s="5">
        <v>53547.5</v>
      </c>
      <c r="J226" s="57"/>
      <c r="K226" s="3">
        <v>432</v>
      </c>
      <c r="L226" s="2" t="s">
        <v>226</v>
      </c>
      <c r="M226" s="2" t="s">
        <v>12</v>
      </c>
      <c r="N226" s="2" t="s">
        <v>12</v>
      </c>
      <c r="O226" s="2" t="s">
        <v>12</v>
      </c>
      <c r="P226" s="21" t="s">
        <v>12</v>
      </c>
      <c r="Q226" s="3" t="s">
        <v>133</v>
      </c>
      <c r="R226" s="3" t="s">
        <v>80</v>
      </c>
    </row>
    <row r="227" spans="1:18" x14ac:dyDescent="0.25">
      <c r="A227" s="30">
        <v>45688</v>
      </c>
      <c r="B227" s="28">
        <v>217</v>
      </c>
      <c r="C227" s="28"/>
      <c r="D227" s="2" t="s">
        <v>208</v>
      </c>
      <c r="E227" s="7" t="s">
        <v>389</v>
      </c>
      <c r="F227" s="7"/>
      <c r="G227" s="2" t="s">
        <v>43</v>
      </c>
      <c r="H227" s="2" t="s">
        <v>114</v>
      </c>
      <c r="I227" s="5">
        <v>68776.2</v>
      </c>
      <c r="J227" s="57"/>
      <c r="K227" s="3">
        <v>624</v>
      </c>
      <c r="L227" s="2" t="s">
        <v>226</v>
      </c>
      <c r="M227" s="2" t="s">
        <v>792</v>
      </c>
      <c r="N227" s="2" t="s">
        <v>12</v>
      </c>
      <c r="O227" s="2" t="s">
        <v>12</v>
      </c>
      <c r="P227" s="21" t="s">
        <v>12</v>
      </c>
      <c r="Q227" s="3" t="s">
        <v>459</v>
      </c>
      <c r="R227" s="3" t="s">
        <v>80</v>
      </c>
    </row>
    <row r="228" spans="1:18" x14ac:dyDescent="0.25">
      <c r="A228" s="30">
        <v>45691</v>
      </c>
      <c r="B228" s="28">
        <v>218</v>
      </c>
      <c r="C228" s="28"/>
      <c r="D228" s="2" t="s">
        <v>414</v>
      </c>
      <c r="E228" s="7" t="s">
        <v>12</v>
      </c>
      <c r="F228" s="7"/>
      <c r="G228" s="2" t="s">
        <v>26</v>
      </c>
      <c r="H228" s="2" t="s">
        <v>112</v>
      </c>
      <c r="I228" s="5">
        <v>3500</v>
      </c>
      <c r="J228" s="57"/>
      <c r="K228" s="3" t="s">
        <v>12</v>
      </c>
      <c r="L228" s="2" t="s">
        <v>226</v>
      </c>
      <c r="M228" s="2" t="s">
        <v>763</v>
      </c>
      <c r="N228" s="2" t="s">
        <v>12</v>
      </c>
      <c r="O228" s="2" t="s">
        <v>12</v>
      </c>
      <c r="P228" s="21" t="s">
        <v>12</v>
      </c>
      <c r="Q228" s="3" t="s">
        <v>12</v>
      </c>
      <c r="R228" s="3" t="s">
        <v>12</v>
      </c>
    </row>
    <row r="229" spans="1:18" x14ac:dyDescent="0.25">
      <c r="A229" s="30">
        <v>45691</v>
      </c>
      <c r="B229" s="28">
        <v>219</v>
      </c>
      <c r="C229" s="28"/>
      <c r="D229" s="2" t="s">
        <v>415</v>
      </c>
      <c r="E229" s="7" t="s">
        <v>352</v>
      </c>
      <c r="F229" s="7"/>
      <c r="G229" s="2" t="s">
        <v>13</v>
      </c>
      <c r="H229" s="2" t="s">
        <v>390</v>
      </c>
      <c r="I229" s="5">
        <v>96496.7</v>
      </c>
      <c r="J229" s="57"/>
      <c r="K229" s="3">
        <v>912</v>
      </c>
      <c r="L229" s="2" t="s">
        <v>226</v>
      </c>
      <c r="M229" s="2" t="s">
        <v>586</v>
      </c>
      <c r="N229" s="2" t="s">
        <v>12</v>
      </c>
      <c r="O229" s="2" t="s">
        <v>12</v>
      </c>
      <c r="P229" s="21" t="s">
        <v>12</v>
      </c>
      <c r="Q229" s="3" t="s">
        <v>457</v>
      </c>
      <c r="R229" s="3" t="s">
        <v>80</v>
      </c>
    </row>
    <row r="230" spans="1:18" x14ac:dyDescent="0.25">
      <c r="A230" s="30">
        <v>45691</v>
      </c>
      <c r="B230" s="28">
        <v>220</v>
      </c>
      <c r="C230" s="28"/>
      <c r="D230" s="2" t="s">
        <v>56</v>
      </c>
      <c r="E230" s="7" t="s">
        <v>416</v>
      </c>
      <c r="F230" s="7"/>
      <c r="G230" s="2" t="s">
        <v>13</v>
      </c>
      <c r="H230" s="2" t="s">
        <v>275</v>
      </c>
      <c r="I230" s="5">
        <v>52141.58</v>
      </c>
      <c r="J230" s="57"/>
      <c r="K230" s="3">
        <v>504</v>
      </c>
      <c r="L230" s="2" t="s">
        <v>226</v>
      </c>
      <c r="M230" s="2" t="s">
        <v>584</v>
      </c>
      <c r="N230" s="2" t="s">
        <v>12</v>
      </c>
      <c r="O230" s="2" t="s">
        <v>12</v>
      </c>
      <c r="P230" s="21" t="s">
        <v>12</v>
      </c>
      <c r="Q230" s="3" t="s">
        <v>460</v>
      </c>
      <c r="R230" s="3" t="s">
        <v>80</v>
      </c>
    </row>
    <row r="231" spans="1:18" x14ac:dyDescent="0.25">
      <c r="A231" s="30">
        <v>45691</v>
      </c>
      <c r="B231" s="28">
        <v>221</v>
      </c>
      <c r="C231" s="28"/>
      <c r="D231" s="2" t="s">
        <v>41</v>
      </c>
      <c r="E231" s="7" t="s">
        <v>416</v>
      </c>
      <c r="F231" s="7"/>
      <c r="G231" s="2" t="s">
        <v>43</v>
      </c>
      <c r="H231" s="2" t="s">
        <v>417</v>
      </c>
      <c r="I231" s="5">
        <v>52141.58</v>
      </c>
      <c r="J231" s="57"/>
      <c r="K231" s="3">
        <v>50</v>
      </c>
      <c r="L231" s="2" t="s">
        <v>226</v>
      </c>
      <c r="M231" s="2" t="s">
        <v>12</v>
      </c>
      <c r="N231" s="2" t="s">
        <v>12</v>
      </c>
      <c r="O231" s="2" t="s">
        <v>12</v>
      </c>
      <c r="P231" s="21" t="s">
        <v>12</v>
      </c>
      <c r="Q231" s="3" t="s">
        <v>460</v>
      </c>
      <c r="R231" s="3" t="s">
        <v>80</v>
      </c>
    </row>
    <row r="232" spans="1:18" x14ac:dyDescent="0.25">
      <c r="A232" s="30">
        <v>45691</v>
      </c>
      <c r="B232" s="28">
        <v>222</v>
      </c>
      <c r="C232" s="28"/>
      <c r="D232" s="2" t="s">
        <v>239</v>
      </c>
      <c r="E232" s="7" t="s">
        <v>12</v>
      </c>
      <c r="F232" s="7"/>
      <c r="G232" s="2" t="s">
        <v>13</v>
      </c>
      <c r="H232" s="2" t="s">
        <v>127</v>
      </c>
      <c r="I232" s="5">
        <v>6206.97</v>
      </c>
      <c r="J232" s="57"/>
      <c r="K232" s="3">
        <v>48</v>
      </c>
      <c r="L232" s="2" t="s">
        <v>226</v>
      </c>
      <c r="M232" s="2" t="s">
        <v>12</v>
      </c>
      <c r="N232" s="2" t="s">
        <v>12</v>
      </c>
      <c r="O232" s="2" t="s">
        <v>12</v>
      </c>
      <c r="P232" s="21" t="s">
        <v>12</v>
      </c>
      <c r="Q232" s="3" t="s">
        <v>12</v>
      </c>
      <c r="R232" s="3" t="s">
        <v>12</v>
      </c>
    </row>
    <row r="233" spans="1:18" x14ac:dyDescent="0.25">
      <c r="A233" s="30">
        <v>45691</v>
      </c>
      <c r="B233" s="28">
        <v>223</v>
      </c>
      <c r="C233" s="28"/>
      <c r="D233" s="2" t="s">
        <v>208</v>
      </c>
      <c r="E233" s="7" t="s">
        <v>352</v>
      </c>
      <c r="F233" s="7"/>
      <c r="G233" s="2" t="s">
        <v>43</v>
      </c>
      <c r="H233" s="2" t="s">
        <v>407</v>
      </c>
      <c r="I233" s="5">
        <v>96496.7</v>
      </c>
      <c r="J233" s="57"/>
      <c r="K233" s="3">
        <v>912</v>
      </c>
      <c r="L233" s="2" t="s">
        <v>226</v>
      </c>
      <c r="M233" s="2" t="s">
        <v>792</v>
      </c>
      <c r="N233" s="2" t="s">
        <v>12</v>
      </c>
      <c r="O233" s="2" t="s">
        <v>12</v>
      </c>
      <c r="P233" s="21" t="s">
        <v>12</v>
      </c>
      <c r="Q233" s="3" t="s">
        <v>457</v>
      </c>
      <c r="R233" s="3" t="s">
        <v>80</v>
      </c>
    </row>
    <row r="234" spans="1:18" x14ac:dyDescent="0.25">
      <c r="A234" s="30">
        <v>45691</v>
      </c>
      <c r="B234" s="28">
        <v>224</v>
      </c>
      <c r="C234" s="28"/>
      <c r="D234" s="2" t="s">
        <v>255</v>
      </c>
      <c r="E234" s="7" t="s">
        <v>12</v>
      </c>
      <c r="F234" s="7"/>
      <c r="G234" s="2" t="s">
        <v>13</v>
      </c>
      <c r="H234" s="2" t="s">
        <v>129</v>
      </c>
      <c r="I234" s="5">
        <v>7008.99</v>
      </c>
      <c r="J234" s="57"/>
      <c r="K234" s="3">
        <v>72</v>
      </c>
      <c r="L234" s="2" t="s">
        <v>64</v>
      </c>
      <c r="M234" s="2" t="s">
        <v>12</v>
      </c>
      <c r="N234" s="2" t="s">
        <v>12</v>
      </c>
      <c r="O234" s="2" t="s">
        <v>12</v>
      </c>
      <c r="P234" s="21" t="s">
        <v>12</v>
      </c>
      <c r="Q234" s="3" t="s">
        <v>12</v>
      </c>
      <c r="R234" s="3" t="s">
        <v>12</v>
      </c>
    </row>
    <row r="235" spans="1:18" x14ac:dyDescent="0.25">
      <c r="A235" s="30">
        <v>45692</v>
      </c>
      <c r="B235" s="28">
        <v>225</v>
      </c>
      <c r="C235" s="28"/>
      <c r="D235" s="2" t="s">
        <v>418</v>
      </c>
      <c r="E235" s="7" t="s">
        <v>12</v>
      </c>
      <c r="F235" s="7"/>
      <c r="G235" s="2" t="s">
        <v>97</v>
      </c>
      <c r="H235" s="2" t="s">
        <v>419</v>
      </c>
      <c r="I235" s="5">
        <v>9951.9599999999991</v>
      </c>
      <c r="J235" s="57"/>
      <c r="K235" s="3">
        <v>75.599999999999994</v>
      </c>
      <c r="L235" s="2" t="s">
        <v>226</v>
      </c>
      <c r="M235" s="2" t="s">
        <v>12</v>
      </c>
      <c r="N235" s="2" t="s">
        <v>12</v>
      </c>
      <c r="O235" s="2" t="s">
        <v>12</v>
      </c>
      <c r="P235" s="21" t="s">
        <v>12</v>
      </c>
      <c r="Q235" s="3" t="s">
        <v>12</v>
      </c>
      <c r="R235" s="3" t="s">
        <v>12</v>
      </c>
    </row>
    <row r="236" spans="1:18" x14ac:dyDescent="0.25">
      <c r="A236" s="30">
        <v>45692</v>
      </c>
      <c r="B236" s="28">
        <v>226</v>
      </c>
      <c r="C236" s="28"/>
      <c r="D236" s="2" t="s">
        <v>87</v>
      </c>
      <c r="E236" s="7" t="s">
        <v>420</v>
      </c>
      <c r="F236" s="7"/>
      <c r="G236" s="2" t="s">
        <v>13</v>
      </c>
      <c r="H236" s="2" t="s">
        <v>238</v>
      </c>
      <c r="I236" s="5">
        <v>102694.97</v>
      </c>
      <c r="J236" s="57"/>
      <c r="K236" s="3" t="s">
        <v>12</v>
      </c>
      <c r="L236" s="2" t="s">
        <v>64</v>
      </c>
      <c r="M236" s="2" t="s">
        <v>12</v>
      </c>
      <c r="N236" s="2" t="s">
        <v>12</v>
      </c>
      <c r="O236" s="2" t="s">
        <v>12</v>
      </c>
      <c r="P236" s="21" t="s">
        <v>12</v>
      </c>
      <c r="Q236" s="3" t="s">
        <v>12</v>
      </c>
      <c r="R236" s="3" t="s">
        <v>12</v>
      </c>
    </row>
    <row r="237" spans="1:18" x14ac:dyDescent="0.25">
      <c r="A237" s="30">
        <v>45692</v>
      </c>
      <c r="B237" s="28">
        <v>227</v>
      </c>
      <c r="C237" s="28"/>
      <c r="D237" s="2" t="s">
        <v>256</v>
      </c>
      <c r="E237" s="7" t="s">
        <v>12</v>
      </c>
      <c r="F237" s="7"/>
      <c r="G237" s="2" t="s">
        <v>20</v>
      </c>
      <c r="H237" s="2" t="s">
        <v>257</v>
      </c>
      <c r="I237" s="5">
        <v>1756.42</v>
      </c>
      <c r="J237" s="57"/>
      <c r="K237" s="3" t="s">
        <v>12</v>
      </c>
      <c r="L237" s="2" t="s">
        <v>64</v>
      </c>
      <c r="M237" s="2" t="s">
        <v>12</v>
      </c>
      <c r="N237" s="2" t="s">
        <v>12</v>
      </c>
      <c r="O237" s="2" t="s">
        <v>12</v>
      </c>
      <c r="P237" s="21" t="s">
        <v>12</v>
      </c>
      <c r="Q237" s="3" t="s">
        <v>12</v>
      </c>
      <c r="R237" s="3" t="s">
        <v>12</v>
      </c>
    </row>
    <row r="238" spans="1:18" x14ac:dyDescent="0.25">
      <c r="A238" s="30">
        <v>45692</v>
      </c>
      <c r="B238" s="28">
        <v>228</v>
      </c>
      <c r="C238" s="28"/>
      <c r="D238" s="2" t="s">
        <v>393</v>
      </c>
      <c r="E238" s="7" t="s">
        <v>389</v>
      </c>
      <c r="F238" s="7"/>
      <c r="G238" s="2" t="s">
        <v>43</v>
      </c>
      <c r="H238" s="2" t="s">
        <v>395</v>
      </c>
      <c r="I238" s="5">
        <v>66583.58</v>
      </c>
      <c r="J238" s="57"/>
      <c r="K238" s="3">
        <v>624</v>
      </c>
      <c r="L238" s="2" t="s">
        <v>64</v>
      </c>
      <c r="M238" s="2" t="s">
        <v>761</v>
      </c>
      <c r="N238" s="2" t="s">
        <v>12</v>
      </c>
      <c r="O238" s="2" t="s">
        <v>12</v>
      </c>
      <c r="P238" s="21" t="s">
        <v>12</v>
      </c>
      <c r="Q238" s="3" t="s">
        <v>459</v>
      </c>
      <c r="R238" s="3" t="s">
        <v>80</v>
      </c>
    </row>
    <row r="239" spans="1:18" x14ac:dyDescent="0.25">
      <c r="A239" s="30">
        <v>45692</v>
      </c>
      <c r="B239" s="28">
        <v>229</v>
      </c>
      <c r="C239" s="28"/>
      <c r="D239" s="2" t="s">
        <v>62</v>
      </c>
      <c r="E239" s="7" t="s">
        <v>12</v>
      </c>
      <c r="F239" s="7"/>
      <c r="G239" s="2" t="s">
        <v>26</v>
      </c>
      <c r="H239" s="2" t="s">
        <v>63</v>
      </c>
      <c r="I239" s="5">
        <v>6991.01</v>
      </c>
      <c r="J239" s="57"/>
      <c r="K239" s="3">
        <v>48</v>
      </c>
      <c r="L239" s="2" t="s">
        <v>64</v>
      </c>
      <c r="M239" s="2" t="s">
        <v>12</v>
      </c>
      <c r="N239" s="2" t="s">
        <v>12</v>
      </c>
      <c r="O239" s="2" t="s">
        <v>12</v>
      </c>
      <c r="P239" s="21" t="s">
        <v>12</v>
      </c>
      <c r="Q239" s="3" t="s">
        <v>12</v>
      </c>
      <c r="R239" s="3" t="s">
        <v>12</v>
      </c>
    </row>
    <row r="240" spans="1:18" x14ac:dyDescent="0.25">
      <c r="A240" s="30">
        <v>45692</v>
      </c>
      <c r="B240" s="28">
        <v>230</v>
      </c>
      <c r="C240" s="28"/>
      <c r="D240" s="2" t="s">
        <v>421</v>
      </c>
      <c r="E240" s="7" t="s">
        <v>12</v>
      </c>
      <c r="F240" s="7"/>
      <c r="G240" s="2" t="s">
        <v>13</v>
      </c>
      <c r="H240" s="2" t="s">
        <v>422</v>
      </c>
      <c r="I240" s="5">
        <v>2513.87</v>
      </c>
      <c r="J240" s="57"/>
      <c r="K240" s="3">
        <v>24</v>
      </c>
      <c r="L240" s="2" t="s">
        <v>64</v>
      </c>
      <c r="M240" s="2" t="s">
        <v>12</v>
      </c>
      <c r="N240" s="2" t="s">
        <v>12</v>
      </c>
      <c r="O240" s="2" t="s">
        <v>12</v>
      </c>
      <c r="P240" s="21" t="s">
        <v>12</v>
      </c>
      <c r="Q240" s="3" t="s">
        <v>12</v>
      </c>
      <c r="R240" s="3" t="s">
        <v>12</v>
      </c>
    </row>
    <row r="241" spans="1:18" x14ac:dyDescent="0.25">
      <c r="A241" s="30">
        <v>45693</v>
      </c>
      <c r="B241" s="28">
        <v>231</v>
      </c>
      <c r="C241" s="28"/>
      <c r="D241" s="2" t="s">
        <v>525</v>
      </c>
      <c r="E241" s="7" t="s">
        <v>423</v>
      </c>
      <c r="F241" s="7"/>
      <c r="G241" s="2" t="s">
        <v>97</v>
      </c>
      <c r="H241" s="2" t="s">
        <v>424</v>
      </c>
      <c r="I241" s="5">
        <v>7164.73</v>
      </c>
      <c r="J241" s="57"/>
      <c r="K241" s="3">
        <v>72</v>
      </c>
      <c r="L241" s="2" t="s">
        <v>226</v>
      </c>
      <c r="M241" s="2" t="s">
        <v>12</v>
      </c>
      <c r="N241" s="2" t="s">
        <v>12</v>
      </c>
      <c r="O241" s="2" t="s">
        <v>12</v>
      </c>
      <c r="P241" s="21" t="s">
        <v>12</v>
      </c>
      <c r="Q241" s="3" t="s">
        <v>461</v>
      </c>
      <c r="R241" s="3" t="s">
        <v>75</v>
      </c>
    </row>
    <row r="242" spans="1:18" x14ac:dyDescent="0.25">
      <c r="A242" s="30">
        <v>45692</v>
      </c>
      <c r="B242" s="28">
        <v>232</v>
      </c>
      <c r="C242" s="28"/>
      <c r="D242" s="2" t="s">
        <v>425</v>
      </c>
      <c r="E242" s="7" t="s">
        <v>426</v>
      </c>
      <c r="F242" s="7"/>
      <c r="G242" s="2" t="s">
        <v>26</v>
      </c>
      <c r="H242" s="2" t="s">
        <v>427</v>
      </c>
      <c r="I242" s="5">
        <v>170665.41</v>
      </c>
      <c r="J242" s="57"/>
      <c r="K242" s="3">
        <v>1872</v>
      </c>
      <c r="L242" s="2" t="s">
        <v>226</v>
      </c>
      <c r="M242" s="2" t="s">
        <v>12</v>
      </c>
      <c r="N242" s="2" t="s">
        <v>12</v>
      </c>
      <c r="O242" s="2" t="s">
        <v>12</v>
      </c>
      <c r="P242" s="21" t="s">
        <v>12</v>
      </c>
      <c r="Q242" s="3" t="s">
        <v>12</v>
      </c>
      <c r="R242" s="3" t="s">
        <v>12</v>
      </c>
    </row>
    <row r="243" spans="1:18" x14ac:dyDescent="0.25">
      <c r="A243" s="30">
        <v>45692</v>
      </c>
      <c r="B243" s="28">
        <v>233</v>
      </c>
      <c r="C243" s="28"/>
      <c r="D243" s="2" t="s">
        <v>428</v>
      </c>
      <c r="E243" s="7" t="s">
        <v>12</v>
      </c>
      <c r="F243" s="7"/>
      <c r="G243" s="2" t="s">
        <v>13</v>
      </c>
      <c r="H243" s="2" t="s">
        <v>429</v>
      </c>
      <c r="I243" s="5">
        <v>51317.86</v>
      </c>
      <c r="J243" s="57"/>
      <c r="K243" s="3">
        <v>720</v>
      </c>
      <c r="L243" s="2" t="s">
        <v>226</v>
      </c>
      <c r="M243" s="2" t="s">
        <v>12</v>
      </c>
      <c r="N243" s="2" t="s">
        <v>12</v>
      </c>
      <c r="O243" s="2" t="s">
        <v>12</v>
      </c>
      <c r="P243" s="21" t="s">
        <v>12</v>
      </c>
      <c r="Q243" s="3" t="s">
        <v>12</v>
      </c>
      <c r="R243" s="3" t="s">
        <v>12</v>
      </c>
    </row>
    <row r="244" spans="1:18" x14ac:dyDescent="0.25">
      <c r="A244" s="30">
        <v>45692</v>
      </c>
      <c r="B244" s="28">
        <v>234</v>
      </c>
      <c r="C244" s="28"/>
      <c r="D244" s="2" t="s">
        <v>430</v>
      </c>
      <c r="E244" s="7" t="s">
        <v>431</v>
      </c>
      <c r="F244" s="7"/>
      <c r="G244" s="2" t="s">
        <v>111</v>
      </c>
      <c r="H244" s="2" t="s">
        <v>432</v>
      </c>
      <c r="I244" s="5">
        <v>65308.78</v>
      </c>
      <c r="J244" s="57"/>
      <c r="K244" s="3">
        <v>552</v>
      </c>
      <c r="L244" s="2" t="s">
        <v>64</v>
      </c>
      <c r="M244" s="2" t="s">
        <v>530</v>
      </c>
      <c r="N244" s="2" t="s">
        <v>12</v>
      </c>
      <c r="O244" s="2" t="s">
        <v>12</v>
      </c>
      <c r="P244" s="21" t="s">
        <v>12</v>
      </c>
      <c r="Q244" s="3" t="s">
        <v>12</v>
      </c>
      <c r="R244" s="3" t="s">
        <v>12</v>
      </c>
    </row>
    <row r="245" spans="1:18" x14ac:dyDescent="0.25">
      <c r="A245" s="30">
        <v>45693</v>
      </c>
      <c r="B245" s="28">
        <v>235</v>
      </c>
      <c r="C245" s="28"/>
      <c r="D245" s="2" t="s">
        <v>433</v>
      </c>
      <c r="E245" s="7" t="s">
        <v>518</v>
      </c>
      <c r="F245" s="7"/>
      <c r="G245" s="2" t="s">
        <v>97</v>
      </c>
      <c r="H245" s="2" t="s">
        <v>395</v>
      </c>
      <c r="I245" s="5">
        <v>137607.26</v>
      </c>
      <c r="J245" s="57"/>
      <c r="K245" s="3">
        <v>1440</v>
      </c>
      <c r="L245" s="2" t="s">
        <v>64</v>
      </c>
      <c r="M245" s="2" t="s">
        <v>12</v>
      </c>
      <c r="N245" s="2" t="s">
        <v>12</v>
      </c>
      <c r="O245" s="2" t="s">
        <v>12</v>
      </c>
      <c r="P245" s="21" t="s">
        <v>12</v>
      </c>
      <c r="Q245" s="3" t="s">
        <v>12</v>
      </c>
      <c r="R245" s="3" t="s">
        <v>12</v>
      </c>
    </row>
    <row r="246" spans="1:18" x14ac:dyDescent="0.25">
      <c r="A246" s="30">
        <v>45693</v>
      </c>
      <c r="B246" s="28">
        <v>236</v>
      </c>
      <c r="C246" s="28"/>
      <c r="D246" s="2" t="s">
        <v>176</v>
      </c>
      <c r="E246" s="7" t="s">
        <v>12</v>
      </c>
      <c r="F246" s="7"/>
      <c r="G246" s="2" t="s">
        <v>13</v>
      </c>
      <c r="H246" s="2" t="s">
        <v>108</v>
      </c>
      <c r="I246" s="5">
        <v>3106.37</v>
      </c>
      <c r="J246" s="57"/>
      <c r="K246" s="3" t="s">
        <v>12</v>
      </c>
      <c r="L246" s="2" t="s">
        <v>64</v>
      </c>
      <c r="M246" s="2" t="s">
        <v>12</v>
      </c>
      <c r="N246" s="2" t="s">
        <v>12</v>
      </c>
      <c r="O246" s="2" t="s">
        <v>12</v>
      </c>
      <c r="P246" s="21" t="s">
        <v>12</v>
      </c>
      <c r="Q246" s="3" t="s">
        <v>12</v>
      </c>
      <c r="R246" s="3" t="s">
        <v>12</v>
      </c>
    </row>
    <row r="247" spans="1:18" x14ac:dyDescent="0.25">
      <c r="A247" s="30">
        <v>45693</v>
      </c>
      <c r="B247" s="28">
        <v>237</v>
      </c>
      <c r="C247" s="28"/>
      <c r="D247" s="2" t="s">
        <v>434</v>
      </c>
      <c r="E247" s="7" t="s">
        <v>435</v>
      </c>
      <c r="F247" s="7"/>
      <c r="G247" s="2" t="s">
        <v>97</v>
      </c>
      <c r="H247" s="2" t="s">
        <v>242</v>
      </c>
      <c r="I247" s="5">
        <v>38148.97</v>
      </c>
      <c r="J247" s="57"/>
      <c r="K247" s="3">
        <v>360</v>
      </c>
      <c r="L247" s="2" t="s">
        <v>226</v>
      </c>
      <c r="M247" s="2" t="s">
        <v>12</v>
      </c>
      <c r="N247" s="2" t="s">
        <v>12</v>
      </c>
      <c r="O247" s="2" t="s">
        <v>12</v>
      </c>
      <c r="P247" s="21" t="s">
        <v>12</v>
      </c>
      <c r="Q247" s="3" t="s">
        <v>12</v>
      </c>
      <c r="R247" s="3" t="s">
        <v>12</v>
      </c>
    </row>
    <row r="248" spans="1:18" x14ac:dyDescent="0.25">
      <c r="A248" s="30">
        <v>45693</v>
      </c>
      <c r="B248" s="28">
        <v>238</v>
      </c>
      <c r="C248" s="28"/>
      <c r="D248" s="2" t="s">
        <v>208</v>
      </c>
      <c r="E248" s="7" t="s">
        <v>447</v>
      </c>
      <c r="F248" s="7"/>
      <c r="G248" s="2" t="s">
        <v>43</v>
      </c>
      <c r="H248" s="2" t="s">
        <v>448</v>
      </c>
      <c r="I248" s="5">
        <v>33056.17</v>
      </c>
      <c r="J248" s="57"/>
      <c r="K248" s="3">
        <v>312</v>
      </c>
      <c r="L248" s="2" t="s">
        <v>226</v>
      </c>
      <c r="M248" s="2" t="s">
        <v>12</v>
      </c>
      <c r="N248" s="2" t="s">
        <v>12</v>
      </c>
      <c r="O248" s="2" t="s">
        <v>12</v>
      </c>
      <c r="P248" s="21" t="s">
        <v>12</v>
      </c>
      <c r="Q248" s="3" t="s">
        <v>460</v>
      </c>
      <c r="R248" s="3" t="s">
        <v>80</v>
      </c>
    </row>
    <row r="249" spans="1:18" x14ac:dyDescent="0.25">
      <c r="A249" s="30">
        <v>45693</v>
      </c>
      <c r="B249" s="28">
        <v>239</v>
      </c>
      <c r="C249" s="28"/>
      <c r="D249" s="2" t="s">
        <v>449</v>
      </c>
      <c r="E249" s="7" t="s">
        <v>450</v>
      </c>
      <c r="F249" s="7"/>
      <c r="G249" s="2" t="s">
        <v>20</v>
      </c>
      <c r="H249" s="2" t="s">
        <v>451</v>
      </c>
      <c r="I249" s="5">
        <v>9029.1299999999992</v>
      </c>
      <c r="J249" s="57"/>
      <c r="K249" s="3">
        <v>96</v>
      </c>
      <c r="L249" s="2" t="s">
        <v>226</v>
      </c>
      <c r="M249" s="2" t="s">
        <v>764</v>
      </c>
      <c r="N249" s="2" t="s">
        <v>12</v>
      </c>
      <c r="O249" s="2" t="s">
        <v>12</v>
      </c>
      <c r="P249" s="21" t="s">
        <v>12</v>
      </c>
      <c r="Q249" s="3" t="s">
        <v>12</v>
      </c>
      <c r="R249" s="3" t="s">
        <v>12</v>
      </c>
    </row>
    <row r="250" spans="1:18" x14ac:dyDescent="0.25">
      <c r="A250" s="30">
        <v>45693</v>
      </c>
      <c r="B250" s="28">
        <v>240</v>
      </c>
      <c r="C250" s="28"/>
      <c r="D250" s="2" t="s">
        <v>452</v>
      </c>
      <c r="E250" s="7" t="s">
        <v>12</v>
      </c>
      <c r="F250" s="7"/>
      <c r="G250" s="2" t="s">
        <v>97</v>
      </c>
      <c r="H250" s="2" t="s">
        <v>453</v>
      </c>
      <c r="I250" s="5">
        <v>4606.7299999999996</v>
      </c>
      <c r="J250" s="57"/>
      <c r="K250" s="3">
        <v>48</v>
      </c>
      <c r="L250" s="2" t="s">
        <v>64</v>
      </c>
      <c r="M250" s="2" t="s">
        <v>12</v>
      </c>
      <c r="N250" s="2" t="s">
        <v>12</v>
      </c>
      <c r="O250" s="2" t="s">
        <v>12</v>
      </c>
      <c r="P250" s="21" t="s">
        <v>12</v>
      </c>
      <c r="Q250" s="3" t="s">
        <v>12</v>
      </c>
      <c r="R250" s="3" t="s">
        <v>12</v>
      </c>
    </row>
    <row r="251" spans="1:18" x14ac:dyDescent="0.25">
      <c r="A251" s="30">
        <v>45693</v>
      </c>
      <c r="B251" s="28">
        <v>241</v>
      </c>
      <c r="C251" s="28"/>
      <c r="D251" s="2" t="s">
        <v>217</v>
      </c>
      <c r="E251" s="7" t="s">
        <v>12</v>
      </c>
      <c r="F251" s="7"/>
      <c r="G251" s="2" t="s">
        <v>13</v>
      </c>
      <c r="H251" s="2" t="s">
        <v>454</v>
      </c>
      <c r="I251" s="5">
        <v>839.2</v>
      </c>
      <c r="J251" s="57"/>
      <c r="K251" s="3" t="s">
        <v>12</v>
      </c>
      <c r="L251" s="2" t="s">
        <v>226</v>
      </c>
      <c r="M251" s="2" t="s">
        <v>12</v>
      </c>
      <c r="N251" s="2" t="s">
        <v>12</v>
      </c>
      <c r="O251" s="2" t="s">
        <v>12</v>
      </c>
      <c r="P251" s="21" t="s">
        <v>12</v>
      </c>
      <c r="Q251" s="3" t="s">
        <v>12</v>
      </c>
      <c r="R251" s="3" t="s">
        <v>12</v>
      </c>
    </row>
    <row r="252" spans="1:18" x14ac:dyDescent="0.25">
      <c r="A252" s="30">
        <v>45693</v>
      </c>
      <c r="B252" s="28">
        <v>242</v>
      </c>
      <c r="C252" s="28"/>
      <c r="D252" s="2" t="s">
        <v>41</v>
      </c>
      <c r="E252" s="7" t="s">
        <v>455</v>
      </c>
      <c r="F252" s="7"/>
      <c r="G252" s="2" t="s">
        <v>43</v>
      </c>
      <c r="H252" s="2" t="s">
        <v>319</v>
      </c>
      <c r="I252" s="5">
        <v>29512.32</v>
      </c>
      <c r="J252" s="57"/>
      <c r="K252" s="3">
        <v>331.2</v>
      </c>
      <c r="L252" s="2" t="s">
        <v>226</v>
      </c>
      <c r="M252" s="2" t="s">
        <v>12</v>
      </c>
      <c r="N252" s="2" t="s">
        <v>12</v>
      </c>
      <c r="O252" s="2" t="s">
        <v>12</v>
      </c>
      <c r="P252" s="21" t="s">
        <v>12</v>
      </c>
      <c r="Q252" s="3" t="s">
        <v>12</v>
      </c>
      <c r="R252" s="3" t="s">
        <v>12</v>
      </c>
    </row>
    <row r="253" spans="1:18" x14ac:dyDescent="0.25">
      <c r="A253" s="30">
        <v>45693</v>
      </c>
      <c r="B253" s="28">
        <v>243</v>
      </c>
      <c r="C253" s="28"/>
      <c r="D253" s="2" t="s">
        <v>126</v>
      </c>
      <c r="E253" s="7" t="s">
        <v>12</v>
      </c>
      <c r="F253" s="7"/>
      <c r="G253" s="2" t="s">
        <v>13</v>
      </c>
      <c r="H253" s="2" t="s">
        <v>127</v>
      </c>
      <c r="I253" s="5">
        <v>1025.83</v>
      </c>
      <c r="J253" s="57"/>
      <c r="K253" s="3" t="s">
        <v>12</v>
      </c>
      <c r="L253" s="2" t="s">
        <v>226</v>
      </c>
      <c r="M253" s="2" t="s">
        <v>12</v>
      </c>
      <c r="N253" s="2" t="s">
        <v>12</v>
      </c>
      <c r="O253" s="2" t="s">
        <v>12</v>
      </c>
      <c r="P253" s="21" t="s">
        <v>12</v>
      </c>
      <c r="Q253" s="3" t="s">
        <v>12</v>
      </c>
      <c r="R253" s="3" t="s">
        <v>12</v>
      </c>
    </row>
    <row r="254" spans="1:18" x14ac:dyDescent="0.25">
      <c r="A254" s="30">
        <v>45693</v>
      </c>
      <c r="B254" s="28">
        <v>244</v>
      </c>
      <c r="C254" s="28"/>
      <c r="D254" s="2" t="s">
        <v>109</v>
      </c>
      <c r="E254" s="7" t="s">
        <v>593</v>
      </c>
      <c r="F254" s="7"/>
      <c r="G254" s="2" t="s">
        <v>111</v>
      </c>
      <c r="H254" s="2" t="s">
        <v>395</v>
      </c>
      <c r="I254" s="5">
        <v>38292.39</v>
      </c>
      <c r="J254" s="57"/>
      <c r="K254" s="3">
        <v>480</v>
      </c>
      <c r="L254" s="2" t="s">
        <v>226</v>
      </c>
      <c r="M254" s="2" t="s">
        <v>12</v>
      </c>
      <c r="N254" s="2" t="s">
        <v>12</v>
      </c>
      <c r="O254" s="2" t="s">
        <v>12</v>
      </c>
      <c r="P254" s="21" t="s">
        <v>12</v>
      </c>
      <c r="Q254" s="3" t="s">
        <v>12</v>
      </c>
      <c r="R254" s="3" t="s">
        <v>12</v>
      </c>
    </row>
    <row r="255" spans="1:18" x14ac:dyDescent="0.25">
      <c r="A255" s="30">
        <v>45694</v>
      </c>
      <c r="B255" s="28">
        <v>245</v>
      </c>
      <c r="C255" s="28"/>
      <c r="D255" s="2" t="s">
        <v>517</v>
      </c>
      <c r="E255" s="7" t="s">
        <v>533</v>
      </c>
      <c r="F255" s="7"/>
      <c r="G255" s="2" t="s">
        <v>111</v>
      </c>
      <c r="H255" s="2" t="s">
        <v>532</v>
      </c>
      <c r="I255" s="5">
        <v>136943.76999999999</v>
      </c>
      <c r="J255" s="57"/>
      <c r="K255" s="3"/>
      <c r="L255" s="2" t="s">
        <v>226</v>
      </c>
      <c r="M255" s="2"/>
      <c r="N255" s="2"/>
      <c r="O255" s="2"/>
      <c r="P255" s="21"/>
      <c r="Q255" s="3" t="s">
        <v>12</v>
      </c>
      <c r="R255" s="3" t="s">
        <v>12</v>
      </c>
    </row>
    <row r="256" spans="1:18" x14ac:dyDescent="0.25">
      <c r="A256" s="30">
        <v>45694</v>
      </c>
      <c r="B256" s="28">
        <v>246</v>
      </c>
      <c r="C256" s="28"/>
      <c r="D256" s="2" t="s">
        <v>276</v>
      </c>
      <c r="E256" s="7" t="s">
        <v>462</v>
      </c>
      <c r="F256" s="7"/>
      <c r="G256" s="2" t="s">
        <v>43</v>
      </c>
      <c r="H256" s="2" t="s">
        <v>108</v>
      </c>
      <c r="I256" s="5">
        <v>8059.28</v>
      </c>
      <c r="J256" s="57"/>
      <c r="K256" s="3">
        <v>96</v>
      </c>
      <c r="L256" s="2" t="s">
        <v>226</v>
      </c>
      <c r="M256" s="2" t="s">
        <v>667</v>
      </c>
      <c r="N256" s="2" t="s">
        <v>12</v>
      </c>
      <c r="O256" s="2" t="s">
        <v>12</v>
      </c>
      <c r="P256" s="21" t="s">
        <v>12</v>
      </c>
      <c r="Q256" s="3" t="s">
        <v>521</v>
      </c>
      <c r="R256" s="3" t="s">
        <v>75</v>
      </c>
    </row>
    <row r="257" spans="1:18" x14ac:dyDescent="0.25">
      <c r="A257" s="30">
        <v>45694</v>
      </c>
      <c r="B257" s="28">
        <v>247</v>
      </c>
      <c r="C257" s="28"/>
      <c r="D257" s="2" t="s">
        <v>276</v>
      </c>
      <c r="E257" s="7" t="s">
        <v>463</v>
      </c>
      <c r="F257" s="7"/>
      <c r="G257" s="2" t="s">
        <v>43</v>
      </c>
      <c r="H257" s="2" t="s">
        <v>108</v>
      </c>
      <c r="I257" s="5">
        <v>3595.53</v>
      </c>
      <c r="J257" s="57"/>
      <c r="K257" s="3">
        <v>24</v>
      </c>
      <c r="L257" s="2" t="s">
        <v>226</v>
      </c>
      <c r="M257" s="2" t="s">
        <v>12</v>
      </c>
      <c r="N257" s="2" t="s">
        <v>12</v>
      </c>
      <c r="O257" s="2" t="s">
        <v>12</v>
      </c>
      <c r="P257" s="21" t="s">
        <v>12</v>
      </c>
      <c r="Q257" s="3" t="s">
        <v>521</v>
      </c>
      <c r="R257" s="3" t="s">
        <v>75</v>
      </c>
    </row>
    <row r="258" spans="1:18" x14ac:dyDescent="0.25">
      <c r="A258" s="30">
        <v>45694</v>
      </c>
      <c r="B258" s="28">
        <v>248</v>
      </c>
      <c r="C258" s="28"/>
      <c r="D258" s="2" t="s">
        <v>276</v>
      </c>
      <c r="E258" s="7" t="s">
        <v>464</v>
      </c>
      <c r="F258" s="7"/>
      <c r="G258" s="2" t="s">
        <v>43</v>
      </c>
      <c r="H258" s="2" t="s">
        <v>108</v>
      </c>
      <c r="I258" s="5">
        <v>4393.93</v>
      </c>
      <c r="J258" s="57"/>
      <c r="K258" s="3">
        <v>48</v>
      </c>
      <c r="L258" s="2" t="s">
        <v>226</v>
      </c>
      <c r="M258" s="2" t="s">
        <v>12</v>
      </c>
      <c r="N258" s="2" t="s">
        <v>12</v>
      </c>
      <c r="O258" s="2" t="s">
        <v>12</v>
      </c>
      <c r="P258" s="21" t="s">
        <v>12</v>
      </c>
      <c r="Q258" s="3" t="s">
        <v>521</v>
      </c>
      <c r="R258" s="3" t="s">
        <v>75</v>
      </c>
    </row>
    <row r="259" spans="1:18" x14ac:dyDescent="0.25">
      <c r="A259" s="30">
        <v>45698</v>
      </c>
      <c r="B259" s="28">
        <v>249</v>
      </c>
      <c r="C259" s="28"/>
      <c r="D259" s="2" t="s">
        <v>465</v>
      </c>
      <c r="E259" s="7" t="s">
        <v>466</v>
      </c>
      <c r="F259" s="7"/>
      <c r="G259" s="2" t="s">
        <v>26</v>
      </c>
      <c r="H259" s="2" t="s">
        <v>467</v>
      </c>
      <c r="I259" s="5">
        <v>55660.74</v>
      </c>
      <c r="J259" s="57"/>
      <c r="K259" s="3">
        <v>768</v>
      </c>
      <c r="L259" s="2" t="s">
        <v>226</v>
      </c>
      <c r="M259" s="2" t="s">
        <v>526</v>
      </c>
      <c r="N259" s="2" t="s">
        <v>12</v>
      </c>
      <c r="O259" s="2" t="s">
        <v>12</v>
      </c>
      <c r="P259" s="21" t="s">
        <v>12</v>
      </c>
      <c r="Q259" s="3" t="s">
        <v>12</v>
      </c>
      <c r="R259" s="3" t="s">
        <v>12</v>
      </c>
    </row>
    <row r="260" spans="1:18" x14ac:dyDescent="0.25">
      <c r="A260" s="30">
        <v>45694</v>
      </c>
      <c r="B260" s="28">
        <v>250</v>
      </c>
      <c r="C260" s="28"/>
      <c r="D260" s="2" t="s">
        <v>168</v>
      </c>
      <c r="E260" s="7" t="s">
        <v>468</v>
      </c>
      <c r="F260" s="7"/>
      <c r="G260" s="2" t="s">
        <v>43</v>
      </c>
      <c r="H260" s="2" t="s">
        <v>381</v>
      </c>
      <c r="I260" s="5">
        <v>81637.259999999995</v>
      </c>
      <c r="J260" s="57"/>
      <c r="K260" s="3">
        <v>792</v>
      </c>
      <c r="L260" s="2" t="s">
        <v>226</v>
      </c>
      <c r="M260" s="2" t="s">
        <v>834</v>
      </c>
      <c r="N260" s="2" t="s">
        <v>12</v>
      </c>
      <c r="O260" s="2" t="s">
        <v>12</v>
      </c>
      <c r="P260" s="21" t="s">
        <v>12</v>
      </c>
      <c r="Q260" s="3" t="s">
        <v>522</v>
      </c>
      <c r="R260" s="3" t="s">
        <v>75</v>
      </c>
    </row>
    <row r="261" spans="1:18" x14ac:dyDescent="0.25">
      <c r="A261" s="30">
        <v>45694</v>
      </c>
      <c r="B261" s="28">
        <v>251</v>
      </c>
      <c r="C261" s="28"/>
      <c r="D261" s="2" t="s">
        <v>168</v>
      </c>
      <c r="E261" s="7" t="s">
        <v>469</v>
      </c>
      <c r="F261" s="7"/>
      <c r="G261" s="2" t="s">
        <v>43</v>
      </c>
      <c r="H261" s="2" t="s">
        <v>381</v>
      </c>
      <c r="I261" s="5">
        <v>549341.34</v>
      </c>
      <c r="J261" s="57"/>
      <c r="K261" s="3">
        <v>5064</v>
      </c>
      <c r="L261" s="2" t="s">
        <v>226</v>
      </c>
      <c r="M261" s="2" t="s">
        <v>12</v>
      </c>
      <c r="N261" s="2" t="s">
        <v>12</v>
      </c>
      <c r="O261" s="2" t="s">
        <v>12</v>
      </c>
      <c r="P261" s="21" t="s">
        <v>12</v>
      </c>
      <c r="Q261" s="3" t="s">
        <v>12</v>
      </c>
      <c r="R261" s="3" t="s">
        <v>12</v>
      </c>
    </row>
    <row r="262" spans="1:18" x14ac:dyDescent="0.25">
      <c r="A262" s="30">
        <v>45695</v>
      </c>
      <c r="B262" s="28">
        <v>252</v>
      </c>
      <c r="C262" s="28"/>
      <c r="D262" s="2" t="s">
        <v>315</v>
      </c>
      <c r="E262" s="7" t="s">
        <v>12</v>
      </c>
      <c r="F262" s="7"/>
      <c r="G262" s="2" t="s">
        <v>13</v>
      </c>
      <c r="H262" s="2" t="s">
        <v>119</v>
      </c>
      <c r="I262" s="5">
        <v>19070.27</v>
      </c>
      <c r="J262" s="57"/>
      <c r="K262" s="3">
        <v>288</v>
      </c>
      <c r="L262" s="2" t="s">
        <v>64</v>
      </c>
      <c r="M262" s="2" t="s">
        <v>12</v>
      </c>
      <c r="N262" s="2" t="s">
        <v>12</v>
      </c>
      <c r="O262" s="2" t="s">
        <v>12</v>
      </c>
      <c r="P262" s="21" t="s">
        <v>12</v>
      </c>
      <c r="Q262" s="3" t="s">
        <v>12</v>
      </c>
      <c r="R262" s="3" t="s">
        <v>12</v>
      </c>
    </row>
    <row r="263" spans="1:18" x14ac:dyDescent="0.25">
      <c r="A263" s="30">
        <v>45694</v>
      </c>
      <c r="B263" s="28">
        <v>253</v>
      </c>
      <c r="C263" s="28"/>
      <c r="D263" s="2" t="s">
        <v>470</v>
      </c>
      <c r="E263" s="7" t="s">
        <v>12</v>
      </c>
      <c r="F263" s="7"/>
      <c r="G263" s="2" t="s">
        <v>97</v>
      </c>
      <c r="H263" s="2" t="s">
        <v>471</v>
      </c>
      <c r="I263" s="5">
        <v>6121.28</v>
      </c>
      <c r="J263" s="57"/>
      <c r="K263" s="3">
        <v>72</v>
      </c>
      <c r="L263" s="2" t="s">
        <v>226</v>
      </c>
      <c r="M263" s="2" t="s">
        <v>709</v>
      </c>
      <c r="N263" s="2" t="s">
        <v>12</v>
      </c>
      <c r="O263" s="2" t="s">
        <v>12</v>
      </c>
      <c r="P263" s="21" t="s">
        <v>12</v>
      </c>
      <c r="Q263" s="3" t="s">
        <v>12</v>
      </c>
      <c r="R263" s="3" t="s">
        <v>12</v>
      </c>
    </row>
    <row r="264" spans="1:18" x14ac:dyDescent="0.25">
      <c r="A264" s="30">
        <v>45694</v>
      </c>
      <c r="B264" s="28">
        <v>254</v>
      </c>
      <c r="C264" s="28"/>
      <c r="D264" s="2" t="s">
        <v>99</v>
      </c>
      <c r="E264" s="7" t="s">
        <v>594</v>
      </c>
      <c r="F264" s="7"/>
      <c r="G264" s="2" t="s">
        <v>20</v>
      </c>
      <c r="H264" s="2" t="s">
        <v>346</v>
      </c>
      <c r="I264" s="5">
        <v>81138.679999999993</v>
      </c>
      <c r="J264" s="57"/>
      <c r="K264" s="3">
        <v>672</v>
      </c>
      <c r="L264" s="2" t="s">
        <v>64</v>
      </c>
      <c r="M264" s="2" t="s">
        <v>527</v>
      </c>
      <c r="N264" s="2" t="s">
        <v>12</v>
      </c>
      <c r="O264" s="2" t="s">
        <v>12</v>
      </c>
      <c r="P264" s="21" t="s">
        <v>12</v>
      </c>
      <c r="Q264" s="3" t="s">
        <v>12</v>
      </c>
      <c r="R264" s="3" t="s">
        <v>12</v>
      </c>
    </row>
    <row r="265" spans="1:18" x14ac:dyDescent="0.25">
      <c r="A265" s="30">
        <v>45694</v>
      </c>
      <c r="B265" s="28">
        <v>255</v>
      </c>
      <c r="C265" s="28"/>
      <c r="D265" s="2" t="s">
        <v>517</v>
      </c>
      <c r="E265" s="7" t="s">
        <v>534</v>
      </c>
      <c r="F265" s="7"/>
      <c r="G265" s="2" t="s">
        <v>111</v>
      </c>
      <c r="H265" s="2" t="s">
        <v>535</v>
      </c>
      <c r="I265" s="5">
        <v>226769.22</v>
      </c>
      <c r="J265" s="57"/>
      <c r="K265" s="3"/>
      <c r="L265" s="2" t="s">
        <v>226</v>
      </c>
      <c r="M265" s="2"/>
      <c r="N265" s="2"/>
      <c r="O265" s="2"/>
      <c r="P265" s="21"/>
      <c r="Q265" s="3" t="s">
        <v>12</v>
      </c>
      <c r="R265" s="3" t="s">
        <v>12</v>
      </c>
    </row>
    <row r="266" spans="1:18" x14ac:dyDescent="0.25">
      <c r="A266" s="30">
        <v>45698</v>
      </c>
      <c r="B266" s="28">
        <v>256</v>
      </c>
      <c r="C266" s="28"/>
      <c r="D266" s="2" t="s">
        <v>298</v>
      </c>
      <c r="E266" s="7" t="s">
        <v>12</v>
      </c>
      <c r="F266" s="7"/>
      <c r="G266" s="2" t="s">
        <v>13</v>
      </c>
      <c r="H266" s="2" t="s">
        <v>13</v>
      </c>
      <c r="I266" s="5">
        <v>31492.76</v>
      </c>
      <c r="J266" s="57"/>
      <c r="K266" s="3">
        <v>288</v>
      </c>
      <c r="L266" s="2" t="s">
        <v>64</v>
      </c>
      <c r="M266" s="2" t="s">
        <v>12</v>
      </c>
      <c r="N266" s="2" t="s">
        <v>12</v>
      </c>
      <c r="O266" s="2" t="s">
        <v>12</v>
      </c>
      <c r="P266" s="21" t="s">
        <v>12</v>
      </c>
      <c r="Q266" s="3" t="s">
        <v>12</v>
      </c>
      <c r="R266" s="3" t="s">
        <v>12</v>
      </c>
    </row>
    <row r="267" spans="1:18" x14ac:dyDescent="0.25">
      <c r="A267" s="30">
        <v>45694</v>
      </c>
      <c r="B267" s="28">
        <v>257</v>
      </c>
      <c r="C267" s="28"/>
      <c r="D267" s="2" t="s">
        <v>206</v>
      </c>
      <c r="E267" s="7" t="s">
        <v>472</v>
      </c>
      <c r="F267" s="7"/>
      <c r="G267" s="2" t="s">
        <v>97</v>
      </c>
      <c r="H267" s="2" t="s">
        <v>473</v>
      </c>
      <c r="I267" s="5">
        <v>8334.58</v>
      </c>
      <c r="J267" s="57"/>
      <c r="K267" s="3">
        <v>96</v>
      </c>
      <c r="L267" s="2" t="s">
        <v>226</v>
      </c>
      <c r="M267" s="2" t="s">
        <v>12</v>
      </c>
      <c r="N267" s="2" t="s">
        <v>12</v>
      </c>
      <c r="O267" s="2" t="s">
        <v>12</v>
      </c>
      <c r="P267" s="21" t="s">
        <v>12</v>
      </c>
      <c r="Q267" s="3" t="s">
        <v>12</v>
      </c>
      <c r="R267" s="3" t="s">
        <v>12</v>
      </c>
    </row>
    <row r="268" spans="1:18" x14ac:dyDescent="0.25">
      <c r="A268" s="30">
        <v>45695</v>
      </c>
      <c r="B268" s="28">
        <v>258</v>
      </c>
      <c r="C268" s="28"/>
      <c r="D268" s="2" t="s">
        <v>474</v>
      </c>
      <c r="E268" s="7" t="s">
        <v>12</v>
      </c>
      <c r="F268" s="7"/>
      <c r="G268" s="2" t="s">
        <v>13</v>
      </c>
      <c r="H268" s="2" t="s">
        <v>427</v>
      </c>
      <c r="I268" s="5">
        <v>31935.23</v>
      </c>
      <c r="J268" s="57"/>
      <c r="K268" s="3">
        <v>480</v>
      </c>
      <c r="L268" s="2" t="s">
        <v>64</v>
      </c>
      <c r="M268" s="2" t="s">
        <v>12</v>
      </c>
      <c r="N268" s="2" t="s">
        <v>12</v>
      </c>
      <c r="O268" s="2" t="s">
        <v>12</v>
      </c>
      <c r="P268" s="21" t="s">
        <v>12</v>
      </c>
      <c r="Q268" s="3" t="s">
        <v>12</v>
      </c>
      <c r="R268" s="3" t="s">
        <v>12</v>
      </c>
    </row>
    <row r="269" spans="1:18" x14ac:dyDescent="0.25">
      <c r="A269" s="30">
        <v>45695</v>
      </c>
      <c r="B269" s="28">
        <v>259</v>
      </c>
      <c r="C269" s="28"/>
      <c r="D269" s="2" t="s">
        <v>233</v>
      </c>
      <c r="E269" s="7" t="s">
        <v>475</v>
      </c>
      <c r="F269" s="7"/>
      <c r="G269" s="2" t="s">
        <v>13</v>
      </c>
      <c r="H269" s="2" t="s">
        <v>235</v>
      </c>
      <c r="I269" s="5">
        <v>12324.05</v>
      </c>
      <c r="J269" s="57"/>
      <c r="K269" s="3">
        <v>120</v>
      </c>
      <c r="L269" s="2" t="s">
        <v>226</v>
      </c>
      <c r="M269" s="2" t="s">
        <v>12</v>
      </c>
      <c r="N269" s="2" t="s">
        <v>12</v>
      </c>
      <c r="O269" s="2" t="s">
        <v>12</v>
      </c>
      <c r="P269" s="21" t="s">
        <v>12</v>
      </c>
      <c r="Q269" s="3" t="s">
        <v>523</v>
      </c>
      <c r="R269" s="3" t="s">
        <v>75</v>
      </c>
    </row>
    <row r="270" spans="1:18" x14ac:dyDescent="0.25">
      <c r="A270" s="30">
        <v>45695</v>
      </c>
      <c r="B270" s="28">
        <v>260</v>
      </c>
      <c r="C270" s="28"/>
      <c r="D270" s="2" t="s">
        <v>321</v>
      </c>
      <c r="E270" s="7" t="s">
        <v>536</v>
      </c>
      <c r="F270" s="7"/>
      <c r="G270" s="2" t="s">
        <v>111</v>
      </c>
      <c r="H270" s="2" t="s">
        <v>537</v>
      </c>
      <c r="I270" s="5">
        <v>290698.03000000003</v>
      </c>
      <c r="J270" s="57"/>
      <c r="K270" s="3"/>
      <c r="L270" s="2" t="s">
        <v>226</v>
      </c>
      <c r="M270" s="2"/>
      <c r="N270" s="2"/>
      <c r="O270" s="2"/>
      <c r="P270" s="21"/>
      <c r="Q270" s="3" t="s">
        <v>12</v>
      </c>
      <c r="R270" s="3" t="s">
        <v>12</v>
      </c>
    </row>
    <row r="271" spans="1:18" x14ac:dyDescent="0.25">
      <c r="A271" s="30">
        <v>45695</v>
      </c>
      <c r="B271" s="28">
        <v>261</v>
      </c>
      <c r="C271" s="28"/>
      <c r="D271" s="2" t="s">
        <v>87</v>
      </c>
      <c r="E271" s="7" t="s">
        <v>476</v>
      </c>
      <c r="F271" s="7"/>
      <c r="G271" s="2" t="s">
        <v>13</v>
      </c>
      <c r="H271" s="2" t="s">
        <v>185</v>
      </c>
      <c r="I271" s="5">
        <v>43360.15</v>
      </c>
      <c r="J271" s="57"/>
      <c r="K271" s="3">
        <v>391.2</v>
      </c>
      <c r="L271" s="2" t="s">
        <v>226</v>
      </c>
      <c r="M271" s="2" t="s">
        <v>12</v>
      </c>
      <c r="N271" s="2" t="s">
        <v>12</v>
      </c>
      <c r="O271" s="2" t="s">
        <v>12</v>
      </c>
      <c r="P271" s="21" t="s">
        <v>12</v>
      </c>
      <c r="Q271" s="3" t="s">
        <v>524</v>
      </c>
      <c r="R271" s="3" t="s">
        <v>75</v>
      </c>
    </row>
    <row r="272" spans="1:18" x14ac:dyDescent="0.25">
      <c r="A272" s="30">
        <v>45695</v>
      </c>
      <c r="B272" s="28">
        <v>262</v>
      </c>
      <c r="C272" s="28"/>
      <c r="D272" s="2" t="s">
        <v>239</v>
      </c>
      <c r="E272" s="7" t="s">
        <v>12</v>
      </c>
      <c r="F272" s="7"/>
      <c r="G272" s="2" t="s">
        <v>13</v>
      </c>
      <c r="H272" s="2" t="s">
        <v>127</v>
      </c>
      <c r="I272" s="5">
        <v>1715.79</v>
      </c>
      <c r="J272" s="57"/>
      <c r="K272" s="3" t="s">
        <v>12</v>
      </c>
      <c r="L272" s="2" t="s">
        <v>64</v>
      </c>
      <c r="M272" s="2" t="s">
        <v>12</v>
      </c>
      <c r="N272" s="2" t="s">
        <v>12</v>
      </c>
      <c r="O272" s="2" t="s">
        <v>12</v>
      </c>
      <c r="P272" s="21" t="s">
        <v>12</v>
      </c>
      <c r="Q272" s="3" t="s">
        <v>12</v>
      </c>
      <c r="R272" s="3" t="s">
        <v>12</v>
      </c>
    </row>
    <row r="273" spans="1:18" x14ac:dyDescent="0.25">
      <c r="A273" s="30">
        <v>45695</v>
      </c>
      <c r="B273" s="28">
        <v>263</v>
      </c>
      <c r="C273" s="28"/>
      <c r="D273" s="2" t="s">
        <v>515</v>
      </c>
      <c r="E273" s="7" t="s">
        <v>591</v>
      </c>
      <c r="F273" s="7"/>
      <c r="G273" s="2" t="s">
        <v>111</v>
      </c>
      <c r="H273" s="2" t="s">
        <v>592</v>
      </c>
      <c r="I273" s="5">
        <v>108180.64</v>
      </c>
      <c r="J273" s="57"/>
      <c r="K273" s="3"/>
      <c r="L273" s="2" t="s">
        <v>226</v>
      </c>
      <c r="M273" s="2"/>
      <c r="N273" s="2"/>
      <c r="O273" s="2"/>
      <c r="P273" s="21"/>
      <c r="Q273" s="3" t="s">
        <v>12</v>
      </c>
      <c r="R273" s="3" t="s">
        <v>12</v>
      </c>
    </row>
    <row r="274" spans="1:18" x14ac:dyDescent="0.25">
      <c r="A274" s="30">
        <v>45695</v>
      </c>
      <c r="B274" s="28">
        <v>264</v>
      </c>
      <c r="C274" s="28"/>
      <c r="D274" s="2" t="s">
        <v>477</v>
      </c>
      <c r="E274" s="7" t="s">
        <v>478</v>
      </c>
      <c r="F274" s="7"/>
      <c r="G274" s="2" t="s">
        <v>13</v>
      </c>
      <c r="H274" s="2" t="s">
        <v>127</v>
      </c>
      <c r="I274" s="5">
        <v>20876.68</v>
      </c>
      <c r="J274" s="57"/>
      <c r="K274" s="3">
        <v>216</v>
      </c>
      <c r="L274" s="2" t="s">
        <v>226</v>
      </c>
      <c r="M274" s="2" t="s">
        <v>12</v>
      </c>
      <c r="N274" s="2" t="s">
        <v>12</v>
      </c>
      <c r="O274" s="2" t="s">
        <v>12</v>
      </c>
      <c r="P274" s="21" t="s">
        <v>12</v>
      </c>
      <c r="Q274" s="3" t="s">
        <v>524</v>
      </c>
      <c r="R274" s="3" t="s">
        <v>75</v>
      </c>
    </row>
    <row r="275" spans="1:18" x14ac:dyDescent="0.25">
      <c r="A275" s="30">
        <v>45698</v>
      </c>
      <c r="B275" s="28">
        <v>265</v>
      </c>
      <c r="C275" s="28"/>
      <c r="D275" s="2" t="s">
        <v>23</v>
      </c>
      <c r="E275" s="7" t="s">
        <v>479</v>
      </c>
      <c r="F275" s="7"/>
      <c r="G275" s="2" t="s">
        <v>20</v>
      </c>
      <c r="H275" s="2" t="s">
        <v>24</v>
      </c>
      <c r="I275" s="5">
        <v>9405.26</v>
      </c>
      <c r="J275" s="57"/>
      <c r="K275" s="3">
        <v>120</v>
      </c>
      <c r="L275" s="2" t="s">
        <v>134</v>
      </c>
      <c r="M275" s="2" t="s">
        <v>913</v>
      </c>
      <c r="N275" s="2" t="s">
        <v>135</v>
      </c>
      <c r="O275" s="2" t="s">
        <v>914</v>
      </c>
      <c r="P275" s="21" t="s">
        <v>12</v>
      </c>
      <c r="Q275" s="3" t="s">
        <v>12</v>
      </c>
      <c r="R275" s="3" t="s">
        <v>12</v>
      </c>
    </row>
    <row r="276" spans="1:18" x14ac:dyDescent="0.25">
      <c r="A276" s="30">
        <v>45695</v>
      </c>
      <c r="B276" s="28">
        <v>266</v>
      </c>
      <c r="C276" s="28"/>
      <c r="D276" s="2" t="s">
        <v>109</v>
      </c>
      <c r="E276" s="7" t="s">
        <v>480</v>
      </c>
      <c r="F276" s="7"/>
      <c r="G276" s="2" t="s">
        <v>111</v>
      </c>
      <c r="H276" s="2" t="s">
        <v>395</v>
      </c>
      <c r="I276" s="5">
        <v>7254.37</v>
      </c>
      <c r="J276" s="57"/>
      <c r="K276" s="3">
        <v>72</v>
      </c>
      <c r="L276" s="2" t="s">
        <v>226</v>
      </c>
      <c r="M276" s="2" t="s">
        <v>12</v>
      </c>
      <c r="N276" s="2" t="s">
        <v>12</v>
      </c>
      <c r="O276" s="2" t="s">
        <v>12</v>
      </c>
      <c r="P276" s="21" t="s">
        <v>12</v>
      </c>
      <c r="Q276" s="3" t="s">
        <v>12</v>
      </c>
      <c r="R276" s="3" t="s">
        <v>12</v>
      </c>
    </row>
    <row r="277" spans="1:18" x14ac:dyDescent="0.25">
      <c r="A277" s="30">
        <v>45695</v>
      </c>
      <c r="B277" s="28">
        <v>267</v>
      </c>
      <c r="C277" s="28"/>
      <c r="D277" s="2" t="s">
        <v>130</v>
      </c>
      <c r="E277" s="7" t="s">
        <v>12</v>
      </c>
      <c r="F277" s="7"/>
      <c r="G277" s="2" t="s">
        <v>26</v>
      </c>
      <c r="H277" s="2" t="s">
        <v>131</v>
      </c>
      <c r="I277" s="5">
        <v>2813.36</v>
      </c>
      <c r="J277" s="57"/>
      <c r="K277" s="3" t="s">
        <v>12</v>
      </c>
      <c r="L277" s="2" t="s">
        <v>226</v>
      </c>
      <c r="M277" s="2" t="s">
        <v>837</v>
      </c>
      <c r="N277" s="2" t="s">
        <v>12</v>
      </c>
      <c r="O277" s="2" t="s">
        <v>12</v>
      </c>
      <c r="P277" s="21" t="s">
        <v>12</v>
      </c>
      <c r="Q277" s="3" t="s">
        <v>12</v>
      </c>
      <c r="R277" s="3" t="s">
        <v>12</v>
      </c>
    </row>
    <row r="278" spans="1:18" x14ac:dyDescent="0.25">
      <c r="A278" s="30">
        <v>45695</v>
      </c>
      <c r="B278" s="28">
        <v>268</v>
      </c>
      <c r="C278" s="28"/>
      <c r="D278" s="2" t="s">
        <v>309</v>
      </c>
      <c r="E278" s="7" t="s">
        <v>481</v>
      </c>
      <c r="F278" s="7"/>
      <c r="G278" s="2" t="s">
        <v>43</v>
      </c>
      <c r="H278" s="2" t="s">
        <v>170</v>
      </c>
      <c r="I278" s="5">
        <v>156037.16</v>
      </c>
      <c r="J278" s="57"/>
      <c r="K278" s="3">
        <v>1512</v>
      </c>
      <c r="L278" s="2" t="s">
        <v>134</v>
      </c>
      <c r="M278" s="2" t="s">
        <v>762</v>
      </c>
      <c r="N278" s="2" t="s">
        <v>12</v>
      </c>
      <c r="O278" s="2" t="s">
        <v>12</v>
      </c>
      <c r="P278" s="21" t="s">
        <v>12</v>
      </c>
      <c r="Q278" s="3" t="s">
        <v>12</v>
      </c>
      <c r="R278" s="3" t="s">
        <v>12</v>
      </c>
    </row>
    <row r="279" spans="1:18" x14ac:dyDescent="0.25">
      <c r="A279" s="30">
        <v>45695</v>
      </c>
      <c r="B279" s="28">
        <v>269</v>
      </c>
      <c r="C279" s="28"/>
      <c r="D279" s="2" t="s">
        <v>165</v>
      </c>
      <c r="E279" s="7" t="s">
        <v>520</v>
      </c>
      <c r="F279" s="7"/>
      <c r="G279" s="2" t="s">
        <v>97</v>
      </c>
      <c r="H279" s="2" t="s">
        <v>167</v>
      </c>
      <c r="I279" s="5">
        <v>22726.37</v>
      </c>
      <c r="J279" s="57"/>
      <c r="K279" s="3" t="s">
        <v>12</v>
      </c>
      <c r="L279" s="2" t="s">
        <v>64</v>
      </c>
      <c r="M279" s="2" t="s">
        <v>12</v>
      </c>
      <c r="N279" s="2" t="s">
        <v>12</v>
      </c>
      <c r="O279" s="2" t="s">
        <v>12</v>
      </c>
      <c r="P279" s="21" t="s">
        <v>12</v>
      </c>
      <c r="Q279" s="3" t="s">
        <v>12</v>
      </c>
      <c r="R279" s="3" t="s">
        <v>12</v>
      </c>
    </row>
    <row r="280" spans="1:18" x14ac:dyDescent="0.25">
      <c r="A280" s="30">
        <v>45698</v>
      </c>
      <c r="B280" s="28">
        <v>270</v>
      </c>
      <c r="C280" s="28"/>
      <c r="D280" s="2" t="s">
        <v>482</v>
      </c>
      <c r="E280" s="7" t="s">
        <v>12</v>
      </c>
      <c r="F280" s="7"/>
      <c r="G280" s="2" t="s">
        <v>13</v>
      </c>
      <c r="H280" s="2" t="s">
        <v>483</v>
      </c>
      <c r="I280" s="5">
        <v>8834.07</v>
      </c>
      <c r="J280" s="57"/>
      <c r="K280" s="3">
        <v>120</v>
      </c>
      <c r="L280" s="2" t="s">
        <v>64</v>
      </c>
      <c r="M280" s="2" t="s">
        <v>12</v>
      </c>
      <c r="N280" s="2" t="s">
        <v>12</v>
      </c>
      <c r="O280" s="2" t="s">
        <v>12</v>
      </c>
      <c r="P280" s="21" t="s">
        <v>12</v>
      </c>
      <c r="Q280" s="3" t="s">
        <v>12</v>
      </c>
      <c r="R280" s="3" t="s">
        <v>12</v>
      </c>
    </row>
    <row r="281" spans="1:18" x14ac:dyDescent="0.25">
      <c r="A281" s="30">
        <v>45695</v>
      </c>
      <c r="B281" s="28">
        <v>271</v>
      </c>
      <c r="C281" s="28"/>
      <c r="D281" s="2" t="s">
        <v>28</v>
      </c>
      <c r="E281" s="7" t="s">
        <v>484</v>
      </c>
      <c r="F281" s="7"/>
      <c r="G281" s="2" t="s">
        <v>26</v>
      </c>
      <c r="H281" s="2" t="s">
        <v>485</v>
      </c>
      <c r="I281" s="5">
        <v>103162.96</v>
      </c>
      <c r="J281" s="57"/>
      <c r="K281" s="3">
        <v>912</v>
      </c>
      <c r="L281" s="2" t="s">
        <v>226</v>
      </c>
      <c r="M281" s="2" t="s">
        <v>12</v>
      </c>
      <c r="N281" s="2" t="s">
        <v>12</v>
      </c>
      <c r="O281" s="2" t="s">
        <v>12</v>
      </c>
      <c r="P281" s="21" t="s">
        <v>12</v>
      </c>
      <c r="Q281" s="3" t="s">
        <v>12</v>
      </c>
      <c r="R281" s="3" t="s">
        <v>12</v>
      </c>
    </row>
    <row r="282" spans="1:18" x14ac:dyDescent="0.25">
      <c r="A282" s="30">
        <v>45700</v>
      </c>
      <c r="B282" s="28">
        <v>272</v>
      </c>
      <c r="C282" s="28"/>
      <c r="D282" s="2" t="s">
        <v>298</v>
      </c>
      <c r="E282" s="7" t="s">
        <v>12</v>
      </c>
      <c r="F282" s="7"/>
      <c r="G282" s="2" t="s">
        <v>13</v>
      </c>
      <c r="H282" s="2" t="s">
        <v>13</v>
      </c>
      <c r="I282" s="5">
        <v>48108</v>
      </c>
      <c r="J282" s="57"/>
      <c r="K282" s="3">
        <v>432</v>
      </c>
      <c r="L282" s="2" t="s">
        <v>226</v>
      </c>
      <c r="M282" s="2" t="s">
        <v>12</v>
      </c>
      <c r="N282" s="2" t="s">
        <v>12</v>
      </c>
      <c r="O282" s="2" t="s">
        <v>12</v>
      </c>
      <c r="P282" s="21" t="s">
        <v>12</v>
      </c>
      <c r="Q282" s="3" t="s">
        <v>12</v>
      </c>
      <c r="R282" s="3" t="s">
        <v>12</v>
      </c>
    </row>
    <row r="283" spans="1:18" x14ac:dyDescent="0.25">
      <c r="A283" s="30">
        <v>45695</v>
      </c>
      <c r="B283" s="28">
        <v>273</v>
      </c>
      <c r="C283" s="28"/>
      <c r="D283" s="2" t="s">
        <v>516</v>
      </c>
      <c r="E283" s="7" t="s">
        <v>589</v>
      </c>
      <c r="F283" s="7"/>
      <c r="G283" s="2" t="s">
        <v>111</v>
      </c>
      <c r="H283" s="2" t="s">
        <v>590</v>
      </c>
      <c r="I283" s="5">
        <v>305379.14</v>
      </c>
      <c r="J283" s="57"/>
      <c r="K283" s="3"/>
      <c r="L283" s="2" t="s">
        <v>226</v>
      </c>
      <c r="M283" s="2"/>
      <c r="N283" s="2"/>
      <c r="O283" s="2"/>
      <c r="P283" s="21"/>
      <c r="Q283" s="3" t="s">
        <v>12</v>
      </c>
      <c r="R283" s="3" t="s">
        <v>12</v>
      </c>
    </row>
    <row r="284" spans="1:18" x14ac:dyDescent="0.25">
      <c r="A284" s="30">
        <v>45695</v>
      </c>
      <c r="B284" s="28">
        <v>274</v>
      </c>
      <c r="C284" s="28"/>
      <c r="D284" s="2" t="s">
        <v>348</v>
      </c>
      <c r="E284" s="7" t="s">
        <v>486</v>
      </c>
      <c r="F284" s="7"/>
      <c r="G284" s="2" t="s">
        <v>26</v>
      </c>
      <c r="H284" s="2" t="s">
        <v>350</v>
      </c>
      <c r="I284" s="5">
        <v>2216.62</v>
      </c>
      <c r="J284" s="57"/>
      <c r="K284" s="3" t="s">
        <v>12</v>
      </c>
      <c r="L284" s="2" t="s">
        <v>64</v>
      </c>
      <c r="M284" s="2" t="s">
        <v>12</v>
      </c>
      <c r="N284" s="2" t="s">
        <v>12</v>
      </c>
      <c r="O284" s="2" t="s">
        <v>12</v>
      </c>
      <c r="P284" s="21" t="s">
        <v>12</v>
      </c>
      <c r="Q284" s="3" t="s">
        <v>12</v>
      </c>
      <c r="R284" s="3" t="s">
        <v>12</v>
      </c>
    </row>
    <row r="285" spans="1:18" x14ac:dyDescent="0.25">
      <c r="A285" s="30">
        <v>45698</v>
      </c>
      <c r="B285" s="28">
        <v>275</v>
      </c>
      <c r="C285" s="28"/>
      <c r="D285" s="2" t="s">
        <v>487</v>
      </c>
      <c r="E285" s="7" t="s">
        <v>12</v>
      </c>
      <c r="F285" s="7"/>
      <c r="G285" s="2" t="s">
        <v>13</v>
      </c>
      <c r="H285" s="2" t="s">
        <v>488</v>
      </c>
      <c r="I285" s="5">
        <v>12769.21</v>
      </c>
      <c r="J285" s="57"/>
      <c r="K285" s="3">
        <v>96</v>
      </c>
      <c r="L285" s="2" t="s">
        <v>226</v>
      </c>
      <c r="M285" s="2" t="s">
        <v>12</v>
      </c>
      <c r="N285" s="2" t="s">
        <v>12</v>
      </c>
      <c r="O285" s="2" t="s">
        <v>12</v>
      </c>
      <c r="P285" s="21" t="s">
        <v>12</v>
      </c>
      <c r="Q285" s="3" t="s">
        <v>12</v>
      </c>
      <c r="R285" s="3" t="s">
        <v>12</v>
      </c>
    </row>
    <row r="286" spans="1:18" x14ac:dyDescent="0.25">
      <c r="A286" s="30">
        <v>45699</v>
      </c>
      <c r="B286" s="28">
        <v>276</v>
      </c>
      <c r="C286" s="28"/>
      <c r="D286" s="2" t="s">
        <v>204</v>
      </c>
      <c r="E286" s="7" t="s">
        <v>489</v>
      </c>
      <c r="F286" s="7"/>
      <c r="G286" s="2" t="s">
        <v>26</v>
      </c>
      <c r="H286" s="2" t="s">
        <v>490</v>
      </c>
      <c r="I286" s="5">
        <v>2385.6</v>
      </c>
      <c r="J286" s="57"/>
      <c r="K286" s="3" t="s">
        <v>12</v>
      </c>
      <c r="L286" s="2" t="s">
        <v>64</v>
      </c>
      <c r="M286" s="2" t="s">
        <v>12</v>
      </c>
      <c r="N286" s="2" t="s">
        <v>12</v>
      </c>
      <c r="O286" s="2" t="s">
        <v>12</v>
      </c>
      <c r="P286" s="21" t="s">
        <v>12</v>
      </c>
      <c r="Q286" s="3" t="s">
        <v>12</v>
      </c>
      <c r="R286" s="3" t="s">
        <v>12</v>
      </c>
    </row>
    <row r="287" spans="1:18" x14ac:dyDescent="0.25">
      <c r="A287" s="30">
        <v>45698</v>
      </c>
      <c r="B287" s="28">
        <v>277</v>
      </c>
      <c r="C287" s="28"/>
      <c r="D287" s="2" t="s">
        <v>171</v>
      </c>
      <c r="E287" s="7" t="s">
        <v>519</v>
      </c>
      <c r="F287" s="7"/>
      <c r="G287" s="2" t="s">
        <v>20</v>
      </c>
      <c r="H287" s="2" t="s">
        <v>172</v>
      </c>
      <c r="I287" s="5">
        <v>3492.65</v>
      </c>
      <c r="J287" s="57"/>
      <c r="K287" s="3" t="s">
        <v>12</v>
      </c>
      <c r="L287" s="2" t="s">
        <v>64</v>
      </c>
      <c r="M287" s="2" t="s">
        <v>12</v>
      </c>
      <c r="N287" s="2" t="s">
        <v>12</v>
      </c>
      <c r="O287" s="2" t="s">
        <v>12</v>
      </c>
      <c r="P287" s="21" t="s">
        <v>12</v>
      </c>
      <c r="Q287" s="3" t="s">
        <v>12</v>
      </c>
      <c r="R287" s="3" t="s">
        <v>12</v>
      </c>
    </row>
    <row r="288" spans="1:18" x14ac:dyDescent="0.25">
      <c r="A288" s="30">
        <v>45699</v>
      </c>
      <c r="B288" s="28">
        <v>278</v>
      </c>
      <c r="C288" s="28"/>
      <c r="D288" s="2" t="s">
        <v>103</v>
      </c>
      <c r="E288" s="7" t="s">
        <v>12</v>
      </c>
      <c r="F288" s="7"/>
      <c r="G288" s="2" t="s">
        <v>13</v>
      </c>
      <c r="H288" s="2" t="s">
        <v>491</v>
      </c>
      <c r="I288" s="5">
        <v>90092.29</v>
      </c>
      <c r="J288" s="57"/>
      <c r="K288" s="3">
        <v>1416</v>
      </c>
      <c r="L288" s="2" t="s">
        <v>226</v>
      </c>
      <c r="M288" s="2" t="s">
        <v>12</v>
      </c>
      <c r="N288" s="2" t="s">
        <v>12</v>
      </c>
      <c r="O288" s="2" t="s">
        <v>12</v>
      </c>
      <c r="P288" s="21" t="s">
        <v>12</v>
      </c>
      <c r="Q288" s="3" t="s">
        <v>12</v>
      </c>
      <c r="R288" s="3" t="s">
        <v>12</v>
      </c>
    </row>
    <row r="289" spans="1:18" x14ac:dyDescent="0.25">
      <c r="A289" s="30">
        <v>45699</v>
      </c>
      <c r="B289" s="28">
        <v>279</v>
      </c>
      <c r="C289" s="28"/>
      <c r="D289" s="2" t="s">
        <v>492</v>
      </c>
      <c r="E289" s="7" t="s">
        <v>12</v>
      </c>
      <c r="F289" s="7"/>
      <c r="G289" s="2" t="s">
        <v>97</v>
      </c>
      <c r="H289" s="2" t="s">
        <v>242</v>
      </c>
      <c r="I289" s="5">
        <v>1021.19</v>
      </c>
      <c r="J289" s="57"/>
      <c r="K289" s="3" t="s">
        <v>12</v>
      </c>
      <c r="L289" s="2" t="s">
        <v>226</v>
      </c>
      <c r="M289" s="2" t="s">
        <v>12</v>
      </c>
      <c r="N289" s="2" t="s">
        <v>12</v>
      </c>
      <c r="O289" s="2" t="s">
        <v>12</v>
      </c>
      <c r="P289" s="21" t="s">
        <v>12</v>
      </c>
      <c r="Q289" s="3" t="s">
        <v>12</v>
      </c>
      <c r="R289" s="3" t="s">
        <v>12</v>
      </c>
    </row>
    <row r="290" spans="1:18" x14ac:dyDescent="0.25">
      <c r="A290" s="30">
        <v>45699</v>
      </c>
      <c r="B290" s="28">
        <v>280</v>
      </c>
      <c r="C290" s="28"/>
      <c r="D290" s="2" t="s">
        <v>493</v>
      </c>
      <c r="E290" s="7" t="s">
        <v>494</v>
      </c>
      <c r="F290" s="7"/>
      <c r="G290" s="2" t="s">
        <v>20</v>
      </c>
      <c r="H290" s="2" t="s">
        <v>495</v>
      </c>
      <c r="I290" s="5">
        <v>11590.74</v>
      </c>
      <c r="J290" s="57"/>
      <c r="K290" s="3">
        <v>168</v>
      </c>
      <c r="L290" s="2" t="s">
        <v>134</v>
      </c>
      <c r="M290" s="2" t="s">
        <v>597</v>
      </c>
      <c r="N290" s="2" t="s">
        <v>135</v>
      </c>
      <c r="O290" s="2" t="s">
        <v>598</v>
      </c>
      <c r="P290" s="21" t="s">
        <v>12</v>
      </c>
      <c r="Q290" s="3" t="s">
        <v>12</v>
      </c>
      <c r="R290" s="3" t="s">
        <v>12</v>
      </c>
    </row>
    <row r="291" spans="1:18" x14ac:dyDescent="0.25">
      <c r="A291" s="30">
        <v>45699</v>
      </c>
      <c r="B291" s="28">
        <v>281</v>
      </c>
      <c r="C291" s="28"/>
      <c r="D291" s="2" t="s">
        <v>273</v>
      </c>
      <c r="E291" s="7" t="s">
        <v>12</v>
      </c>
      <c r="F291" s="7"/>
      <c r="G291" s="2" t="s">
        <v>26</v>
      </c>
      <c r="H291" s="2" t="s">
        <v>116</v>
      </c>
      <c r="I291" s="5">
        <v>8279.1</v>
      </c>
      <c r="J291" s="57"/>
      <c r="K291" s="3">
        <v>120</v>
      </c>
      <c r="L291" s="2" t="s">
        <v>64</v>
      </c>
      <c r="M291" s="2" t="s">
        <v>12</v>
      </c>
      <c r="N291" s="2" t="s">
        <v>12</v>
      </c>
      <c r="O291" s="2" t="s">
        <v>12</v>
      </c>
      <c r="P291" s="21" t="s">
        <v>12</v>
      </c>
      <c r="Q291" s="3" t="s">
        <v>12</v>
      </c>
      <c r="R291" s="3" t="s">
        <v>12</v>
      </c>
    </row>
    <row r="292" spans="1:18" x14ac:dyDescent="0.25">
      <c r="A292" s="30">
        <v>45699</v>
      </c>
      <c r="B292" s="28">
        <v>282</v>
      </c>
      <c r="C292" s="28"/>
      <c r="D292" s="2" t="s">
        <v>496</v>
      </c>
      <c r="E292" s="7" t="s">
        <v>12</v>
      </c>
      <c r="F292" s="7"/>
      <c r="G292" s="2" t="s">
        <v>13</v>
      </c>
      <c r="H292" s="2" t="s">
        <v>225</v>
      </c>
      <c r="I292" s="5">
        <v>14030.87</v>
      </c>
      <c r="J292" s="57"/>
      <c r="K292" s="3">
        <v>144</v>
      </c>
      <c r="L292" s="2" t="s">
        <v>64</v>
      </c>
      <c r="M292" s="2" t="s">
        <v>12</v>
      </c>
      <c r="N292" s="2" t="s">
        <v>12</v>
      </c>
      <c r="O292" s="2" t="s">
        <v>12</v>
      </c>
      <c r="P292" s="21" t="s">
        <v>12</v>
      </c>
      <c r="Q292" s="3" t="s">
        <v>12</v>
      </c>
      <c r="R292" s="3" t="s">
        <v>12</v>
      </c>
    </row>
    <row r="293" spans="1:18" x14ac:dyDescent="0.25">
      <c r="A293" s="30">
        <v>45699</v>
      </c>
      <c r="B293" s="28">
        <v>283</v>
      </c>
      <c r="C293" s="28"/>
      <c r="D293" s="2" t="s">
        <v>497</v>
      </c>
      <c r="E293" s="7" t="s">
        <v>498</v>
      </c>
      <c r="F293" s="7"/>
      <c r="G293" s="2" t="s">
        <v>13</v>
      </c>
      <c r="H293" s="2" t="s">
        <v>129</v>
      </c>
      <c r="I293" s="5">
        <v>45649.57</v>
      </c>
      <c r="J293" s="57"/>
      <c r="K293" s="3">
        <v>504</v>
      </c>
      <c r="L293" s="2" t="s">
        <v>226</v>
      </c>
      <c r="M293" s="2" t="s">
        <v>12</v>
      </c>
      <c r="N293" s="2" t="s">
        <v>12</v>
      </c>
      <c r="O293" s="2" t="s">
        <v>12</v>
      </c>
      <c r="P293" s="21" t="s">
        <v>12</v>
      </c>
      <c r="Q293" s="3" t="s">
        <v>12</v>
      </c>
      <c r="R293" s="3" t="s">
        <v>12</v>
      </c>
    </row>
    <row r="294" spans="1:18" x14ac:dyDescent="0.25">
      <c r="A294" s="30">
        <v>45699</v>
      </c>
      <c r="B294" s="28">
        <v>284</v>
      </c>
      <c r="C294" s="28"/>
      <c r="D294" s="2" t="s">
        <v>178</v>
      </c>
      <c r="E294" s="7" t="s">
        <v>499</v>
      </c>
      <c r="F294" s="7"/>
      <c r="G294" s="2" t="s">
        <v>13</v>
      </c>
      <c r="H294" s="2" t="s">
        <v>180</v>
      </c>
      <c r="I294" s="5">
        <v>30062.61</v>
      </c>
      <c r="J294" s="57"/>
      <c r="K294" s="3">
        <v>336</v>
      </c>
      <c r="L294" s="2" t="s">
        <v>226</v>
      </c>
      <c r="M294" s="2" t="s">
        <v>12</v>
      </c>
      <c r="N294" s="2" t="s">
        <v>12</v>
      </c>
      <c r="O294" s="2" t="s">
        <v>12</v>
      </c>
      <c r="P294" s="21" t="s">
        <v>12</v>
      </c>
      <c r="Q294" s="3" t="s">
        <v>12</v>
      </c>
      <c r="R294" s="3" t="s">
        <v>12</v>
      </c>
    </row>
    <row r="295" spans="1:18" x14ac:dyDescent="0.25">
      <c r="A295" s="30">
        <v>45699</v>
      </c>
      <c r="B295" s="28">
        <v>285</v>
      </c>
      <c r="C295" s="28"/>
      <c r="D295" s="2" t="s">
        <v>514</v>
      </c>
      <c r="E295" s="7" t="s">
        <v>12</v>
      </c>
      <c r="F295" s="7"/>
      <c r="G295" s="2" t="s">
        <v>13</v>
      </c>
      <c r="H295" s="2"/>
      <c r="I295" s="5"/>
      <c r="J295" s="57"/>
      <c r="K295" s="3"/>
      <c r="L295" s="2" t="s">
        <v>226</v>
      </c>
      <c r="M295" s="2"/>
      <c r="N295" s="2"/>
      <c r="O295" s="2"/>
      <c r="P295" s="21"/>
      <c r="Q295" s="3" t="s">
        <v>12</v>
      </c>
      <c r="R295" s="3" t="s">
        <v>12</v>
      </c>
    </row>
    <row r="296" spans="1:18" x14ac:dyDescent="0.25">
      <c r="A296" s="30">
        <v>45699</v>
      </c>
      <c r="B296" s="28">
        <v>286</v>
      </c>
      <c r="C296" s="28"/>
      <c r="D296" s="2" t="s">
        <v>208</v>
      </c>
      <c r="E296" s="7" t="s">
        <v>468</v>
      </c>
      <c r="F296" s="7"/>
      <c r="G296" s="2" t="s">
        <v>43</v>
      </c>
      <c r="H296" s="2" t="s">
        <v>407</v>
      </c>
      <c r="I296" s="5">
        <v>81637.259999999995</v>
      </c>
      <c r="J296" s="57"/>
      <c r="K296" s="3">
        <v>288</v>
      </c>
      <c r="L296" s="2" t="s">
        <v>226</v>
      </c>
      <c r="M296" s="2" t="s">
        <v>792</v>
      </c>
      <c r="N296" s="2" t="s">
        <v>12</v>
      </c>
      <c r="O296" s="2" t="s">
        <v>12</v>
      </c>
      <c r="P296" s="21" t="s">
        <v>12</v>
      </c>
      <c r="Q296" s="3" t="s">
        <v>522</v>
      </c>
      <c r="R296" s="3" t="s">
        <v>75</v>
      </c>
    </row>
    <row r="297" spans="1:18" x14ac:dyDescent="0.25">
      <c r="A297" s="30">
        <v>45699</v>
      </c>
      <c r="B297" s="28">
        <v>287</v>
      </c>
      <c r="C297" s="28"/>
      <c r="D297" s="2" t="s">
        <v>500</v>
      </c>
      <c r="E297" s="7" t="s">
        <v>501</v>
      </c>
      <c r="F297" s="7"/>
      <c r="G297" s="2" t="s">
        <v>13</v>
      </c>
      <c r="H297" s="2" t="s">
        <v>502</v>
      </c>
      <c r="I297" s="5">
        <v>28232.16</v>
      </c>
      <c r="J297" s="57"/>
      <c r="K297" s="3">
        <v>336</v>
      </c>
      <c r="L297" s="2" t="s">
        <v>226</v>
      </c>
      <c r="M297" s="2" t="s">
        <v>12</v>
      </c>
      <c r="N297" s="2" t="s">
        <v>12</v>
      </c>
      <c r="O297" s="2" t="s">
        <v>12</v>
      </c>
      <c r="P297" s="21" t="s">
        <v>12</v>
      </c>
      <c r="Q297" s="3" t="s">
        <v>12</v>
      </c>
      <c r="R297" s="3" t="s">
        <v>12</v>
      </c>
    </row>
    <row r="298" spans="1:18" x14ac:dyDescent="0.25">
      <c r="A298" s="30">
        <v>45699</v>
      </c>
      <c r="B298" s="28">
        <v>288</v>
      </c>
      <c r="C298" s="28"/>
      <c r="D298" s="2" t="s">
        <v>324</v>
      </c>
      <c r="E298" s="7" t="s">
        <v>12</v>
      </c>
      <c r="F298" s="7"/>
      <c r="G298" s="2" t="s">
        <v>13</v>
      </c>
      <c r="H298" s="2" t="s">
        <v>325</v>
      </c>
      <c r="I298" s="5">
        <v>4093.21</v>
      </c>
      <c r="J298" s="57"/>
      <c r="K298" s="3" t="s">
        <v>12</v>
      </c>
      <c r="L298" s="2" t="s">
        <v>226</v>
      </c>
      <c r="M298" s="2" t="s">
        <v>12</v>
      </c>
      <c r="N298" s="2" t="s">
        <v>12</v>
      </c>
      <c r="O298" s="2" t="s">
        <v>12</v>
      </c>
      <c r="P298" s="21" t="s">
        <v>12</v>
      </c>
      <c r="Q298" s="3" t="s">
        <v>12</v>
      </c>
      <c r="R298" s="3" t="s">
        <v>12</v>
      </c>
    </row>
    <row r="299" spans="1:18" x14ac:dyDescent="0.25">
      <c r="A299" s="30">
        <v>45699</v>
      </c>
      <c r="B299" s="28">
        <v>289</v>
      </c>
      <c r="C299" s="28"/>
      <c r="D299" s="2" t="s">
        <v>95</v>
      </c>
      <c r="E299" s="7" t="s">
        <v>503</v>
      </c>
      <c r="F299" s="7"/>
      <c r="G299" s="2" t="s">
        <v>97</v>
      </c>
      <c r="H299" s="2" t="s">
        <v>98</v>
      </c>
      <c r="I299" s="5">
        <v>23726.55</v>
      </c>
      <c r="J299" s="57"/>
      <c r="K299" s="3">
        <v>240</v>
      </c>
      <c r="L299" s="2" t="s">
        <v>64</v>
      </c>
      <c r="M299" s="2" t="s">
        <v>12</v>
      </c>
      <c r="N299" s="2" t="s">
        <v>12</v>
      </c>
      <c r="O299" s="2" t="s">
        <v>12</v>
      </c>
      <c r="P299" s="21" t="s">
        <v>12</v>
      </c>
      <c r="Q299" s="3" t="s">
        <v>12</v>
      </c>
      <c r="R299" s="3"/>
    </row>
    <row r="300" spans="1:18" x14ac:dyDescent="0.25">
      <c r="A300" s="30">
        <v>45699</v>
      </c>
      <c r="B300" s="28">
        <v>290</v>
      </c>
      <c r="C300" s="28"/>
      <c r="D300" s="2" t="s">
        <v>504</v>
      </c>
      <c r="E300" s="7" t="s">
        <v>12</v>
      </c>
      <c r="F300" s="7"/>
      <c r="G300" s="2" t="s">
        <v>13</v>
      </c>
      <c r="H300" s="2" t="s">
        <v>505</v>
      </c>
      <c r="I300" s="5">
        <v>20847.46</v>
      </c>
      <c r="J300" s="57"/>
      <c r="K300" s="3">
        <v>240</v>
      </c>
      <c r="L300" s="2" t="s">
        <v>134</v>
      </c>
      <c r="M300" s="2" t="s">
        <v>599</v>
      </c>
      <c r="N300" s="2" t="s">
        <v>12</v>
      </c>
      <c r="O300" s="2" t="s">
        <v>12</v>
      </c>
      <c r="P300" s="21" t="s">
        <v>12</v>
      </c>
      <c r="Q300" s="3" t="s">
        <v>12</v>
      </c>
      <c r="R300" s="3" t="s">
        <v>12</v>
      </c>
    </row>
    <row r="301" spans="1:18" x14ac:dyDescent="0.25">
      <c r="A301" s="30">
        <v>45699</v>
      </c>
      <c r="B301" s="28">
        <v>291</v>
      </c>
      <c r="C301" s="28"/>
      <c r="D301" s="2" t="s">
        <v>286</v>
      </c>
      <c r="E301" s="7" t="s">
        <v>12</v>
      </c>
      <c r="F301" s="7"/>
      <c r="G301" s="2" t="s">
        <v>13</v>
      </c>
      <c r="H301" s="2" t="s">
        <v>288</v>
      </c>
      <c r="I301" s="5">
        <v>921.58</v>
      </c>
      <c r="J301" s="57"/>
      <c r="K301" s="3" t="s">
        <v>12</v>
      </c>
      <c r="L301" s="2" t="s">
        <v>64</v>
      </c>
      <c r="M301" s="2" t="s">
        <v>12</v>
      </c>
      <c r="N301" s="2" t="s">
        <v>12</v>
      </c>
      <c r="O301" s="2" t="s">
        <v>12</v>
      </c>
      <c r="P301" s="21" t="s">
        <v>12</v>
      </c>
      <c r="Q301" s="3" t="s">
        <v>12</v>
      </c>
      <c r="R301" s="3" t="s">
        <v>12</v>
      </c>
    </row>
    <row r="302" spans="1:18" x14ac:dyDescent="0.25">
      <c r="A302" s="30">
        <v>45699</v>
      </c>
      <c r="B302" s="28">
        <v>292</v>
      </c>
      <c r="C302" s="28"/>
      <c r="D302" s="2" t="s">
        <v>470</v>
      </c>
      <c r="E302" s="7" t="s">
        <v>506</v>
      </c>
      <c r="F302" s="7"/>
      <c r="G302" s="2" t="s">
        <v>97</v>
      </c>
      <c r="H302" s="2" t="s">
        <v>507</v>
      </c>
      <c r="I302" s="5">
        <v>10602.33</v>
      </c>
      <c r="J302" s="57"/>
      <c r="K302" s="3">
        <v>120</v>
      </c>
      <c r="L302" s="2" t="s">
        <v>64</v>
      </c>
      <c r="M302" s="2" t="s">
        <v>12</v>
      </c>
      <c r="N302" s="2" t="s">
        <v>12</v>
      </c>
      <c r="O302" s="2" t="s">
        <v>12</v>
      </c>
      <c r="P302" s="21" t="s">
        <v>12</v>
      </c>
      <c r="Q302" s="3" t="s">
        <v>12</v>
      </c>
      <c r="R302" s="3" t="s">
        <v>12</v>
      </c>
    </row>
    <row r="303" spans="1:18" x14ac:dyDescent="0.25">
      <c r="A303" s="30">
        <v>45700</v>
      </c>
      <c r="B303" s="28">
        <v>293</v>
      </c>
      <c r="C303" s="28"/>
      <c r="D303" s="2" t="s">
        <v>62</v>
      </c>
      <c r="E303" s="7" t="s">
        <v>12</v>
      </c>
      <c r="F303" s="7"/>
      <c r="G303" s="2" t="s">
        <v>26</v>
      </c>
      <c r="H303" s="2" t="s">
        <v>63</v>
      </c>
      <c r="I303" s="5">
        <v>6454.46</v>
      </c>
      <c r="J303" s="57"/>
      <c r="K303" s="3">
        <v>48</v>
      </c>
      <c r="L303" s="2" t="s">
        <v>64</v>
      </c>
      <c r="M303" s="2" t="s">
        <v>12</v>
      </c>
      <c r="N303" s="2" t="s">
        <v>12</v>
      </c>
      <c r="O303" s="2" t="s">
        <v>12</v>
      </c>
      <c r="P303" s="21" t="s">
        <v>12</v>
      </c>
      <c r="Q303" s="3" t="s">
        <v>12</v>
      </c>
      <c r="R303" s="3" t="s">
        <v>12</v>
      </c>
    </row>
    <row r="304" spans="1:18" x14ac:dyDescent="0.25">
      <c r="A304" s="30">
        <v>45700</v>
      </c>
      <c r="B304" s="28">
        <v>294</v>
      </c>
      <c r="C304" s="28"/>
      <c r="D304" s="2" t="s">
        <v>508</v>
      </c>
      <c r="E304" s="7" t="s">
        <v>595</v>
      </c>
      <c r="F304" s="7"/>
      <c r="G304" s="2" t="s">
        <v>20</v>
      </c>
      <c r="H304" s="2" t="s">
        <v>596</v>
      </c>
      <c r="I304" s="5">
        <v>50000</v>
      </c>
      <c r="J304" s="57"/>
      <c r="K304" s="3">
        <v>1488</v>
      </c>
      <c r="L304" s="2" t="s">
        <v>226</v>
      </c>
      <c r="M304" s="2" t="s">
        <v>707</v>
      </c>
      <c r="N304" s="2" t="s">
        <v>12</v>
      </c>
      <c r="O304" s="2" t="s">
        <v>12</v>
      </c>
      <c r="P304" s="21" t="s">
        <v>12</v>
      </c>
      <c r="Q304" s="3" t="s">
        <v>12</v>
      </c>
      <c r="R304" s="3" t="s">
        <v>12</v>
      </c>
    </row>
    <row r="305" spans="1:18" x14ac:dyDescent="0.25">
      <c r="A305" s="30">
        <v>45700</v>
      </c>
      <c r="B305" s="28">
        <v>295</v>
      </c>
      <c r="C305" s="28"/>
      <c r="D305" s="2" t="s">
        <v>509</v>
      </c>
      <c r="E305" s="7" t="s">
        <v>510</v>
      </c>
      <c r="F305" s="7"/>
      <c r="G305" s="2" t="s">
        <v>26</v>
      </c>
      <c r="H305" s="2" t="s">
        <v>127</v>
      </c>
      <c r="I305" s="5">
        <v>26589.99</v>
      </c>
      <c r="J305" s="57"/>
      <c r="K305" s="3">
        <v>312</v>
      </c>
      <c r="L305" s="2" t="s">
        <v>226</v>
      </c>
      <c r="M305" s="2" t="s">
        <v>12</v>
      </c>
      <c r="N305" s="2" t="s">
        <v>12</v>
      </c>
      <c r="O305" s="2" t="s">
        <v>12</v>
      </c>
      <c r="P305" s="21" t="s">
        <v>12</v>
      </c>
      <c r="Q305" s="3" t="s">
        <v>12</v>
      </c>
      <c r="R305" s="3" t="s">
        <v>12</v>
      </c>
    </row>
    <row r="306" spans="1:18" x14ac:dyDescent="0.25">
      <c r="A306" s="30">
        <v>45700</v>
      </c>
      <c r="B306" s="28">
        <v>296</v>
      </c>
      <c r="C306" s="28"/>
      <c r="D306" s="2" t="s">
        <v>393</v>
      </c>
      <c r="E306" s="7" t="s">
        <v>511</v>
      </c>
      <c r="F306" s="7"/>
      <c r="G306" s="2" t="s">
        <v>43</v>
      </c>
      <c r="H306" s="2" t="s">
        <v>395</v>
      </c>
      <c r="I306" s="5">
        <v>14152.07</v>
      </c>
      <c r="J306" s="57"/>
      <c r="K306" s="3">
        <v>144</v>
      </c>
      <c r="L306" s="2" t="s">
        <v>226</v>
      </c>
      <c r="M306" s="2" t="s">
        <v>12</v>
      </c>
      <c r="N306" s="2" t="s">
        <v>12</v>
      </c>
      <c r="O306" s="2" t="s">
        <v>12</v>
      </c>
      <c r="P306" s="21" t="s">
        <v>12</v>
      </c>
      <c r="Q306" s="3" t="s">
        <v>12</v>
      </c>
      <c r="R306" s="3" t="s">
        <v>12</v>
      </c>
    </row>
    <row r="307" spans="1:18" x14ac:dyDescent="0.25">
      <c r="A307" s="30">
        <v>45700</v>
      </c>
      <c r="B307" s="28">
        <v>297</v>
      </c>
      <c r="C307" s="28"/>
      <c r="D307" s="2" t="s">
        <v>87</v>
      </c>
      <c r="E307" s="7" t="s">
        <v>512</v>
      </c>
      <c r="F307" s="7"/>
      <c r="G307" s="2" t="s">
        <v>13</v>
      </c>
      <c r="H307" s="2" t="s">
        <v>114</v>
      </c>
      <c r="I307" s="5">
        <v>109258.82</v>
      </c>
      <c r="J307" s="57"/>
      <c r="K307" s="3">
        <v>1056</v>
      </c>
      <c r="L307" s="2" t="s">
        <v>226</v>
      </c>
      <c r="M307" s="2" t="s">
        <v>12</v>
      </c>
      <c r="N307" s="2" t="s">
        <v>12</v>
      </c>
      <c r="O307" s="2" t="s">
        <v>12</v>
      </c>
      <c r="P307" s="21" t="s">
        <v>12</v>
      </c>
      <c r="Q307" s="3" t="s">
        <v>12</v>
      </c>
      <c r="R307" s="3" t="s">
        <v>12</v>
      </c>
    </row>
    <row r="308" spans="1:18" x14ac:dyDescent="0.25">
      <c r="A308" s="30">
        <v>45700</v>
      </c>
      <c r="B308" s="28">
        <v>298</v>
      </c>
      <c r="C308" s="28"/>
      <c r="D308" s="2" t="s">
        <v>87</v>
      </c>
      <c r="E308" s="7" t="s">
        <v>512</v>
      </c>
      <c r="F308" s="7"/>
      <c r="G308" s="2" t="s">
        <v>13</v>
      </c>
      <c r="H308" s="2" t="s">
        <v>114</v>
      </c>
      <c r="I308" s="5">
        <v>251075.98</v>
      </c>
      <c r="J308" s="57"/>
      <c r="K308" s="3">
        <v>2424</v>
      </c>
      <c r="L308" s="2" t="s">
        <v>226</v>
      </c>
      <c r="M308" s="2" t="s">
        <v>12</v>
      </c>
      <c r="N308" s="2" t="s">
        <v>12</v>
      </c>
      <c r="O308" s="2" t="s">
        <v>12</v>
      </c>
      <c r="P308" s="21" t="s">
        <v>12</v>
      </c>
      <c r="Q308" s="3" t="s">
        <v>12</v>
      </c>
      <c r="R308" s="3" t="s">
        <v>12</v>
      </c>
    </row>
    <row r="309" spans="1:18" x14ac:dyDescent="0.25">
      <c r="A309" s="30">
        <v>45700</v>
      </c>
      <c r="B309" s="28">
        <v>299</v>
      </c>
      <c r="C309" s="28"/>
      <c r="D309" s="2" t="s">
        <v>513</v>
      </c>
      <c r="E309" s="7" t="s">
        <v>12</v>
      </c>
      <c r="F309" s="7"/>
      <c r="G309" s="2" t="s">
        <v>13</v>
      </c>
      <c r="H309" s="2" t="s">
        <v>242</v>
      </c>
      <c r="I309" s="5">
        <v>850841</v>
      </c>
      <c r="J309" s="57"/>
      <c r="K309" s="3">
        <v>24</v>
      </c>
      <c r="L309" s="2" t="s">
        <v>226</v>
      </c>
      <c r="M309" s="2" t="s">
        <v>12</v>
      </c>
      <c r="N309" s="2" t="s">
        <v>12</v>
      </c>
      <c r="O309" s="2" t="s">
        <v>12</v>
      </c>
      <c r="P309" s="21" t="s">
        <v>12</v>
      </c>
      <c r="Q309" s="3" t="s">
        <v>12</v>
      </c>
      <c r="R309" s="3" t="s">
        <v>12</v>
      </c>
    </row>
    <row r="310" spans="1:18" x14ac:dyDescent="0.25">
      <c r="A310" s="30">
        <v>45700</v>
      </c>
      <c r="B310" s="28">
        <v>300</v>
      </c>
      <c r="C310" s="28"/>
      <c r="D310" s="2" t="s">
        <v>171</v>
      </c>
      <c r="E310" s="7" t="s">
        <v>588</v>
      </c>
      <c r="F310" s="7"/>
      <c r="G310" s="2" t="s">
        <v>26</v>
      </c>
      <c r="H310" s="2" t="s">
        <v>172</v>
      </c>
      <c r="I310" s="5">
        <v>8161.71</v>
      </c>
      <c r="J310" s="57"/>
      <c r="K310" s="3">
        <v>96</v>
      </c>
      <c r="L310" s="2" t="s">
        <v>226</v>
      </c>
      <c r="M310" s="2" t="s">
        <v>12</v>
      </c>
      <c r="N310" s="2" t="s">
        <v>12</v>
      </c>
      <c r="O310" s="2" t="s">
        <v>12</v>
      </c>
      <c r="P310" s="21" t="s">
        <v>12</v>
      </c>
      <c r="Q310" s="3" t="s">
        <v>12</v>
      </c>
      <c r="R310" s="3" t="s">
        <v>12</v>
      </c>
    </row>
    <row r="311" spans="1:18" x14ac:dyDescent="0.25">
      <c r="A311" s="30">
        <v>45700</v>
      </c>
      <c r="B311" s="28">
        <v>301</v>
      </c>
      <c r="C311" s="28"/>
      <c r="D311" s="2" t="s">
        <v>23</v>
      </c>
      <c r="E311" s="7" t="s">
        <v>576</v>
      </c>
      <c r="F311" s="7"/>
      <c r="G311" s="2" t="s">
        <v>20</v>
      </c>
      <c r="H311" s="2" t="s">
        <v>24</v>
      </c>
      <c r="I311" s="5">
        <v>10219.9</v>
      </c>
      <c r="J311" s="57"/>
      <c r="K311" s="3">
        <v>144</v>
      </c>
      <c r="L311" s="2" t="s">
        <v>134</v>
      </c>
      <c r="M311" s="2" t="s">
        <v>599</v>
      </c>
      <c r="N311" s="2" t="s">
        <v>12</v>
      </c>
      <c r="O311" s="2" t="s">
        <v>12</v>
      </c>
      <c r="P311" s="21" t="s">
        <v>12</v>
      </c>
      <c r="Q311" s="3" t="s">
        <v>12</v>
      </c>
      <c r="R311" s="3" t="s">
        <v>12</v>
      </c>
    </row>
    <row r="312" spans="1:18" x14ac:dyDescent="0.25">
      <c r="A312" s="30">
        <v>45700</v>
      </c>
      <c r="B312" s="28">
        <v>302</v>
      </c>
      <c r="C312" s="28"/>
      <c r="D312" s="2" t="s">
        <v>176</v>
      </c>
      <c r="E312" s="7" t="s">
        <v>12</v>
      </c>
      <c r="F312" s="7"/>
      <c r="G312" s="2" t="s">
        <v>13</v>
      </c>
      <c r="H312" s="2" t="s">
        <v>177</v>
      </c>
      <c r="I312" s="5">
        <v>63880.78</v>
      </c>
      <c r="J312" s="57"/>
      <c r="K312" s="3">
        <v>960</v>
      </c>
      <c r="L312" s="2" t="s">
        <v>64</v>
      </c>
      <c r="M312" s="2" t="s">
        <v>12</v>
      </c>
      <c r="N312" s="2" t="s">
        <v>12</v>
      </c>
      <c r="O312" s="2" t="s">
        <v>12</v>
      </c>
      <c r="P312" s="21" t="s">
        <v>12</v>
      </c>
      <c r="Q312" s="3" t="s">
        <v>12</v>
      </c>
      <c r="R312" s="3" t="s">
        <v>12</v>
      </c>
    </row>
    <row r="313" spans="1:18" x14ac:dyDescent="0.25">
      <c r="A313" s="30">
        <v>45729</v>
      </c>
      <c r="B313" s="28">
        <v>303</v>
      </c>
      <c r="C313" s="28"/>
      <c r="D313" s="2" t="s">
        <v>208</v>
      </c>
      <c r="E313" s="7" t="s">
        <v>538</v>
      </c>
      <c r="F313" s="7"/>
      <c r="G313" s="2" t="s">
        <v>43</v>
      </c>
      <c r="H313" s="2" t="s">
        <v>448</v>
      </c>
      <c r="I313" s="5">
        <v>32347.74</v>
      </c>
      <c r="J313" s="57"/>
      <c r="K313" s="3">
        <v>312</v>
      </c>
      <c r="L313" s="2" t="s">
        <v>226</v>
      </c>
      <c r="M313" s="2" t="s">
        <v>666</v>
      </c>
      <c r="N313" s="2" t="s">
        <v>12</v>
      </c>
      <c r="O313" s="2" t="s">
        <v>12</v>
      </c>
      <c r="P313" s="21" t="s">
        <v>12</v>
      </c>
      <c r="Q313" s="3"/>
      <c r="R313" s="3"/>
    </row>
    <row r="314" spans="1:18" x14ac:dyDescent="0.25">
      <c r="A314" s="30">
        <v>45705</v>
      </c>
      <c r="B314" s="28">
        <v>304</v>
      </c>
      <c r="C314" s="28"/>
      <c r="D314" s="2" t="s">
        <v>124</v>
      </c>
      <c r="E314" s="7" t="s">
        <v>539</v>
      </c>
      <c r="F314" s="7"/>
      <c r="G314" s="2" t="s">
        <v>20</v>
      </c>
      <c r="H314" s="2" t="s">
        <v>263</v>
      </c>
      <c r="I314" s="5">
        <v>130649.52</v>
      </c>
      <c r="J314" s="57"/>
      <c r="K314" s="3">
        <v>1920</v>
      </c>
      <c r="L314" s="2" t="s">
        <v>64</v>
      </c>
      <c r="M314" s="2" t="s">
        <v>12</v>
      </c>
      <c r="N314" s="2" t="s">
        <v>12</v>
      </c>
      <c r="O314" s="2" t="s">
        <v>12</v>
      </c>
      <c r="P314" s="21" t="s">
        <v>12</v>
      </c>
      <c r="Q314" s="3" t="s">
        <v>12</v>
      </c>
      <c r="R314" s="3" t="s">
        <v>12</v>
      </c>
    </row>
    <row r="315" spans="1:18" x14ac:dyDescent="0.25">
      <c r="A315" s="30">
        <v>45701</v>
      </c>
      <c r="B315" s="28">
        <v>305</v>
      </c>
      <c r="C315" s="28"/>
      <c r="D315" s="2" t="s">
        <v>41</v>
      </c>
      <c r="E315" s="7" t="s">
        <v>540</v>
      </c>
      <c r="F315" s="7"/>
      <c r="G315" s="2" t="s">
        <v>43</v>
      </c>
      <c r="H315" s="2" t="s">
        <v>417</v>
      </c>
      <c r="I315" s="5">
        <v>99680.04</v>
      </c>
      <c r="J315" s="57"/>
      <c r="K315" s="3">
        <v>936</v>
      </c>
      <c r="L315" s="2" t="s">
        <v>226</v>
      </c>
      <c r="M315" s="2" t="s">
        <v>12</v>
      </c>
      <c r="N315" s="2" t="s">
        <v>12</v>
      </c>
      <c r="O315" s="2" t="s">
        <v>12</v>
      </c>
      <c r="P315" s="21" t="s">
        <v>12</v>
      </c>
      <c r="Q315" s="3" t="s">
        <v>577</v>
      </c>
      <c r="R315" s="3" t="s">
        <v>80</v>
      </c>
    </row>
    <row r="316" spans="1:18" x14ac:dyDescent="0.25">
      <c r="A316" s="30">
        <v>45702</v>
      </c>
      <c r="B316" s="28">
        <v>306</v>
      </c>
      <c r="C316" s="28"/>
      <c r="D316" s="2" t="s">
        <v>39</v>
      </c>
      <c r="E316" s="7" t="s">
        <v>12</v>
      </c>
      <c r="F316" s="7"/>
      <c r="G316" s="2" t="s">
        <v>13</v>
      </c>
      <c r="H316" s="2" t="s">
        <v>40</v>
      </c>
      <c r="I316" s="5">
        <v>358.98</v>
      </c>
      <c r="J316" s="57"/>
      <c r="K316" s="3" t="s">
        <v>12</v>
      </c>
      <c r="L316" s="2" t="s">
        <v>226</v>
      </c>
      <c r="M316" s="2" t="s">
        <v>228</v>
      </c>
      <c r="N316" s="2"/>
      <c r="O316" s="2"/>
      <c r="P316" s="21"/>
      <c r="Q316" s="3" t="s">
        <v>12</v>
      </c>
      <c r="R316" s="3" t="s">
        <v>12</v>
      </c>
    </row>
    <row r="317" spans="1:18" x14ac:dyDescent="0.25">
      <c r="A317" s="30">
        <v>45729</v>
      </c>
      <c r="B317" s="28">
        <v>307</v>
      </c>
      <c r="C317" s="28"/>
      <c r="D317" s="2" t="s">
        <v>541</v>
      </c>
      <c r="E317" s="7" t="s">
        <v>542</v>
      </c>
      <c r="F317" s="7"/>
      <c r="G317" s="2" t="s">
        <v>97</v>
      </c>
      <c r="H317" s="2" t="s">
        <v>543</v>
      </c>
      <c r="I317" s="5">
        <v>179737.25</v>
      </c>
      <c r="J317" s="57"/>
      <c r="K317" s="3">
        <v>1584</v>
      </c>
      <c r="L317" s="2" t="s">
        <v>226</v>
      </c>
      <c r="M317" s="2" t="s">
        <v>12</v>
      </c>
      <c r="N317" s="2" t="s">
        <v>12</v>
      </c>
      <c r="O317" s="2" t="s">
        <v>12</v>
      </c>
      <c r="P317" s="21" t="s">
        <v>12</v>
      </c>
      <c r="Q317" s="3" t="s">
        <v>12</v>
      </c>
      <c r="R317" s="3" t="s">
        <v>12</v>
      </c>
    </row>
    <row r="318" spans="1:18" x14ac:dyDescent="0.25">
      <c r="A318" s="30">
        <v>45701</v>
      </c>
      <c r="B318" s="28">
        <v>308</v>
      </c>
      <c r="C318" s="28"/>
      <c r="D318" s="2" t="s">
        <v>541</v>
      </c>
      <c r="E318" s="7" t="s">
        <v>544</v>
      </c>
      <c r="F318" s="7"/>
      <c r="G318" s="2" t="s">
        <v>97</v>
      </c>
      <c r="H318" s="2" t="s">
        <v>543</v>
      </c>
      <c r="I318" s="5">
        <v>177492.9</v>
      </c>
      <c r="J318" s="57"/>
      <c r="K318" s="3">
        <v>1656</v>
      </c>
      <c r="L318" s="2" t="s">
        <v>226</v>
      </c>
      <c r="M318" s="2" t="s">
        <v>12</v>
      </c>
      <c r="N318" s="2" t="s">
        <v>12</v>
      </c>
      <c r="O318" s="2" t="s">
        <v>12</v>
      </c>
      <c r="P318" s="21" t="s">
        <v>12</v>
      </c>
      <c r="Q318" s="3" t="s">
        <v>12</v>
      </c>
      <c r="R318" s="3" t="s">
        <v>12</v>
      </c>
    </row>
    <row r="319" spans="1:18" x14ac:dyDescent="0.25">
      <c r="A319" s="30">
        <v>45701</v>
      </c>
      <c r="B319" s="28">
        <v>309</v>
      </c>
      <c r="C319" s="28"/>
      <c r="D319" s="2" t="s">
        <v>545</v>
      </c>
      <c r="E319" s="7" t="s">
        <v>389</v>
      </c>
      <c r="F319" s="7"/>
      <c r="G319" s="2" t="s">
        <v>97</v>
      </c>
      <c r="H319" s="2" t="s">
        <v>108</v>
      </c>
      <c r="I319" s="5">
        <v>61637.52</v>
      </c>
      <c r="J319" s="57"/>
      <c r="K319" s="3">
        <v>624</v>
      </c>
      <c r="L319" s="2" t="s">
        <v>226</v>
      </c>
      <c r="M319" s="2" t="s">
        <v>869</v>
      </c>
      <c r="N319" s="2" t="s">
        <v>12</v>
      </c>
      <c r="O319" s="2" t="s">
        <v>12</v>
      </c>
      <c r="P319" s="21" t="s">
        <v>12</v>
      </c>
      <c r="Q319" s="3" t="s">
        <v>458</v>
      </c>
      <c r="R319" s="3" t="s">
        <v>80</v>
      </c>
    </row>
    <row r="320" spans="1:18" x14ac:dyDescent="0.25">
      <c r="A320" s="30">
        <v>45702</v>
      </c>
      <c r="B320" s="28">
        <v>310</v>
      </c>
      <c r="C320" s="28"/>
      <c r="D320" s="2" t="s">
        <v>217</v>
      </c>
      <c r="E320" s="7" t="s">
        <v>12</v>
      </c>
      <c r="F320" s="7"/>
      <c r="G320" s="2" t="s">
        <v>13</v>
      </c>
      <c r="H320" s="2" t="s">
        <v>26</v>
      </c>
      <c r="I320" s="5">
        <v>24135.35</v>
      </c>
      <c r="J320" s="57"/>
      <c r="K320" s="3" t="s">
        <v>12</v>
      </c>
      <c r="L320" s="2" t="s">
        <v>64</v>
      </c>
      <c r="M320" s="2" t="s">
        <v>12</v>
      </c>
      <c r="N320" s="2" t="s">
        <v>12</v>
      </c>
      <c r="O320" s="2" t="s">
        <v>12</v>
      </c>
      <c r="P320" s="21" t="s">
        <v>12</v>
      </c>
      <c r="Q320" s="3" t="s">
        <v>12</v>
      </c>
      <c r="R320" s="3" t="s">
        <v>12</v>
      </c>
    </row>
    <row r="321" spans="1:18" x14ac:dyDescent="0.25">
      <c r="A321" s="30">
        <v>45701</v>
      </c>
      <c r="B321" s="28">
        <v>311</v>
      </c>
      <c r="C321" s="28"/>
      <c r="D321" s="2" t="s">
        <v>546</v>
      </c>
      <c r="E321" s="7" t="s">
        <v>547</v>
      </c>
      <c r="F321" s="7"/>
      <c r="G321" s="2" t="s">
        <v>111</v>
      </c>
      <c r="H321" s="2" t="s">
        <v>369</v>
      </c>
      <c r="I321" s="5">
        <v>278780.94</v>
      </c>
      <c r="J321" s="57"/>
      <c r="K321" s="3">
        <v>3000</v>
      </c>
      <c r="L321" s="2" t="s">
        <v>64</v>
      </c>
      <c r="M321" s="2" t="s">
        <v>12</v>
      </c>
      <c r="N321" s="2" t="s">
        <v>12</v>
      </c>
      <c r="O321" s="2" t="s">
        <v>12</v>
      </c>
      <c r="P321" s="21" t="s">
        <v>12</v>
      </c>
      <c r="Q321" s="3" t="s">
        <v>12</v>
      </c>
      <c r="R321" s="3" t="s">
        <v>12</v>
      </c>
    </row>
    <row r="322" spans="1:18" x14ac:dyDescent="0.25">
      <c r="A322" s="30">
        <v>45701</v>
      </c>
      <c r="B322" s="28">
        <v>312</v>
      </c>
      <c r="C322" s="28"/>
      <c r="D322" s="2" t="s">
        <v>548</v>
      </c>
      <c r="E322" s="7" t="s">
        <v>12</v>
      </c>
      <c r="F322" s="7"/>
      <c r="G322" s="2" t="s">
        <v>13</v>
      </c>
      <c r="H322" s="2" t="s">
        <v>549</v>
      </c>
      <c r="I322" s="5">
        <v>10537.8</v>
      </c>
      <c r="J322" s="57"/>
      <c r="K322" s="3">
        <v>468</v>
      </c>
      <c r="L322" s="2" t="s">
        <v>226</v>
      </c>
      <c r="M322" s="2" t="s">
        <v>12</v>
      </c>
      <c r="N322" s="2" t="s">
        <v>12</v>
      </c>
      <c r="O322" s="2" t="s">
        <v>12</v>
      </c>
      <c r="P322" s="21" t="s">
        <v>12</v>
      </c>
      <c r="Q322" s="3" t="s">
        <v>12</v>
      </c>
      <c r="R322" s="3" t="s">
        <v>12</v>
      </c>
    </row>
    <row r="323" spans="1:18" x14ac:dyDescent="0.25">
      <c r="A323" s="30">
        <v>45701</v>
      </c>
      <c r="B323" s="28">
        <v>313</v>
      </c>
      <c r="C323" s="28"/>
      <c r="D323" s="2" t="s">
        <v>400</v>
      </c>
      <c r="E323" s="7" t="s">
        <v>550</v>
      </c>
      <c r="F323" s="7"/>
      <c r="G323" s="2" t="s">
        <v>97</v>
      </c>
      <c r="H323" s="2" t="s">
        <v>402</v>
      </c>
      <c r="I323" s="5">
        <v>8483.31</v>
      </c>
      <c r="J323" s="57"/>
      <c r="K323" s="3">
        <v>96</v>
      </c>
      <c r="L323" s="2" t="s">
        <v>134</v>
      </c>
      <c r="M323" s="2" t="s">
        <v>599</v>
      </c>
      <c r="N323" s="2" t="s">
        <v>12</v>
      </c>
      <c r="O323" s="2" t="s">
        <v>12</v>
      </c>
      <c r="P323" s="21" t="s">
        <v>12</v>
      </c>
      <c r="Q323" s="3" t="s">
        <v>12</v>
      </c>
      <c r="R323" s="3" t="s">
        <v>12</v>
      </c>
    </row>
    <row r="324" spans="1:18" x14ac:dyDescent="0.25">
      <c r="A324" s="30">
        <v>45705</v>
      </c>
      <c r="B324" s="28">
        <v>314</v>
      </c>
      <c r="C324" s="28"/>
      <c r="D324" s="2" t="s">
        <v>99</v>
      </c>
      <c r="E324" s="7" t="s">
        <v>551</v>
      </c>
      <c r="F324" s="7"/>
      <c r="G324" s="2" t="s">
        <v>20</v>
      </c>
      <c r="H324" s="2" t="s">
        <v>346</v>
      </c>
      <c r="I324" s="5">
        <v>10565.73</v>
      </c>
      <c r="J324" s="57"/>
      <c r="K324" s="3">
        <v>120</v>
      </c>
      <c r="L324" s="2" t="s">
        <v>64</v>
      </c>
      <c r="M324" s="2" t="s">
        <v>12</v>
      </c>
      <c r="N324" s="2" t="s">
        <v>12</v>
      </c>
      <c r="O324" s="2" t="s">
        <v>12</v>
      </c>
      <c r="P324" s="21" t="s">
        <v>12</v>
      </c>
      <c r="Q324" s="3" t="s">
        <v>12</v>
      </c>
      <c r="R324" s="3" t="s">
        <v>12</v>
      </c>
    </row>
    <row r="325" spans="1:18" x14ac:dyDescent="0.25">
      <c r="A325" s="30">
        <v>45702</v>
      </c>
      <c r="B325" s="28">
        <v>315</v>
      </c>
      <c r="C325" s="28"/>
      <c r="D325" s="2" t="s">
        <v>124</v>
      </c>
      <c r="E325" s="7" t="s">
        <v>552</v>
      </c>
      <c r="F325" s="7"/>
      <c r="G325" s="2" t="s">
        <v>20</v>
      </c>
      <c r="H325" s="2" t="s">
        <v>119</v>
      </c>
      <c r="I325" s="5">
        <v>1624.65</v>
      </c>
      <c r="J325" s="57"/>
      <c r="K325" s="3" t="s">
        <v>12</v>
      </c>
      <c r="L325" s="2" t="s">
        <v>226</v>
      </c>
      <c r="M325" s="2" t="s">
        <v>595</v>
      </c>
      <c r="N325" s="2" t="s">
        <v>12</v>
      </c>
      <c r="O325" s="2" t="s">
        <v>12</v>
      </c>
      <c r="P325" s="21" t="s">
        <v>12</v>
      </c>
      <c r="Q325" s="3" t="s">
        <v>12</v>
      </c>
      <c r="R325" s="3" t="s">
        <v>12</v>
      </c>
    </row>
    <row r="326" spans="1:18" x14ac:dyDescent="0.25">
      <c r="A326" s="30">
        <v>45702</v>
      </c>
      <c r="B326" s="28">
        <v>316</v>
      </c>
      <c r="C326" s="28"/>
      <c r="D326" s="2" t="s">
        <v>41</v>
      </c>
      <c r="E326" s="7" t="s">
        <v>553</v>
      </c>
      <c r="F326" s="7"/>
      <c r="G326" s="2" t="s">
        <v>43</v>
      </c>
      <c r="H326" s="2" t="s">
        <v>319</v>
      </c>
      <c r="I326" s="5">
        <v>102226.08</v>
      </c>
      <c r="J326" s="57"/>
      <c r="K326" s="3">
        <v>936</v>
      </c>
      <c r="L326" s="2" t="s">
        <v>226</v>
      </c>
      <c r="M326" s="2" t="s">
        <v>12</v>
      </c>
      <c r="N326" s="2" t="s">
        <v>12</v>
      </c>
      <c r="O326" s="2" t="s">
        <v>12</v>
      </c>
      <c r="P326" s="21" t="s">
        <v>12</v>
      </c>
      <c r="Q326" s="3" t="s">
        <v>12</v>
      </c>
      <c r="R326" s="3" t="s">
        <v>12</v>
      </c>
    </row>
    <row r="327" spans="1:18" x14ac:dyDescent="0.25">
      <c r="A327" s="30">
        <v>45702</v>
      </c>
      <c r="B327" s="28">
        <v>317</v>
      </c>
      <c r="C327" s="28"/>
      <c r="D327" s="2" t="s">
        <v>45</v>
      </c>
      <c r="E327" s="7" t="s">
        <v>12</v>
      </c>
      <c r="F327" s="7"/>
      <c r="G327" s="2" t="s">
        <v>20</v>
      </c>
      <c r="H327" s="2" t="s">
        <v>554</v>
      </c>
      <c r="I327" s="5">
        <v>4080.85</v>
      </c>
      <c r="J327" s="57"/>
      <c r="K327" s="3">
        <v>48</v>
      </c>
      <c r="L327" s="2" t="s">
        <v>226</v>
      </c>
      <c r="M327" s="2" t="s">
        <v>595</v>
      </c>
      <c r="N327" s="2" t="s">
        <v>12</v>
      </c>
      <c r="O327" s="2" t="s">
        <v>12</v>
      </c>
      <c r="P327" s="21" t="s">
        <v>12</v>
      </c>
      <c r="Q327" s="3" t="s">
        <v>12</v>
      </c>
      <c r="R327" s="3" t="s">
        <v>12</v>
      </c>
    </row>
    <row r="328" spans="1:18" x14ac:dyDescent="0.25">
      <c r="A328" s="30">
        <v>45702</v>
      </c>
      <c r="B328" s="28">
        <v>318</v>
      </c>
      <c r="C328" s="28"/>
      <c r="D328" s="2" t="s">
        <v>41</v>
      </c>
      <c r="E328" s="7" t="s">
        <v>468</v>
      </c>
      <c r="F328" s="7"/>
      <c r="G328" s="2" t="s">
        <v>43</v>
      </c>
      <c r="H328" s="2" t="s">
        <v>417</v>
      </c>
      <c r="I328" s="5">
        <v>83742.73</v>
      </c>
      <c r="J328" s="57"/>
      <c r="K328" s="3">
        <v>792</v>
      </c>
      <c r="L328" s="2" t="s">
        <v>226</v>
      </c>
      <c r="M328" s="2" t="s">
        <v>792</v>
      </c>
      <c r="N328" s="2" t="s">
        <v>12</v>
      </c>
      <c r="O328" s="2" t="s">
        <v>12</v>
      </c>
      <c r="P328" s="21" t="s">
        <v>12</v>
      </c>
      <c r="Q328" s="3" t="s">
        <v>578</v>
      </c>
      <c r="R328" s="3" t="s">
        <v>80</v>
      </c>
    </row>
    <row r="329" spans="1:18" x14ac:dyDescent="0.25">
      <c r="A329" s="30">
        <v>45702</v>
      </c>
      <c r="B329" s="28">
        <v>319</v>
      </c>
      <c r="C329" s="28"/>
      <c r="D329" s="2" t="s">
        <v>87</v>
      </c>
      <c r="E329" s="7" t="s">
        <v>555</v>
      </c>
      <c r="F329" s="7"/>
      <c r="G329" s="2" t="s">
        <v>13</v>
      </c>
      <c r="H329" s="2" t="s">
        <v>185</v>
      </c>
      <c r="I329" s="5">
        <v>2781.13</v>
      </c>
      <c r="J329" s="57"/>
      <c r="K329" s="3">
        <v>24</v>
      </c>
      <c r="L329" s="2" t="s">
        <v>226</v>
      </c>
      <c r="M329" s="2" t="s">
        <v>12</v>
      </c>
      <c r="N329" s="2" t="s">
        <v>12</v>
      </c>
      <c r="O329" s="2" t="s">
        <v>12</v>
      </c>
      <c r="P329" s="21" t="s">
        <v>12</v>
      </c>
      <c r="Q329" s="3" t="s">
        <v>12</v>
      </c>
      <c r="R329" s="3" t="s">
        <v>12</v>
      </c>
    </row>
    <row r="330" spans="1:18" x14ac:dyDescent="0.25">
      <c r="A330" s="30">
        <v>45702</v>
      </c>
      <c r="B330" s="28">
        <v>320</v>
      </c>
      <c r="C330" s="28"/>
      <c r="D330" s="2" t="s">
        <v>546</v>
      </c>
      <c r="E330" s="7" t="s">
        <v>556</v>
      </c>
      <c r="F330" s="7"/>
      <c r="G330" s="2" t="s">
        <v>111</v>
      </c>
      <c r="H330" s="2" t="s">
        <v>369</v>
      </c>
      <c r="I330" s="5">
        <v>39800</v>
      </c>
      <c r="J330" s="57"/>
      <c r="K330" s="3">
        <v>528</v>
      </c>
      <c r="L330" s="2" t="s">
        <v>134</v>
      </c>
      <c r="M330" s="2" t="s">
        <v>599</v>
      </c>
      <c r="N330" s="2" t="s">
        <v>12</v>
      </c>
      <c r="O330" s="2" t="s">
        <v>12</v>
      </c>
      <c r="P330" s="21" t="s">
        <v>12</v>
      </c>
      <c r="Q330" s="3" t="s">
        <v>12</v>
      </c>
      <c r="R330" s="3" t="s">
        <v>12</v>
      </c>
    </row>
    <row r="331" spans="1:18" x14ac:dyDescent="0.25">
      <c r="A331" s="30">
        <v>45702</v>
      </c>
      <c r="B331" s="28">
        <v>321</v>
      </c>
      <c r="C331" s="28"/>
      <c r="D331" s="2" t="s">
        <v>41</v>
      </c>
      <c r="E331" s="7" t="s">
        <v>249</v>
      </c>
      <c r="F331" s="7"/>
      <c r="G331" s="2" t="s">
        <v>43</v>
      </c>
      <c r="H331" s="2" t="s">
        <v>319</v>
      </c>
      <c r="I331" s="5">
        <v>207853.58</v>
      </c>
      <c r="J331" s="57"/>
      <c r="K331" s="3">
        <v>1872</v>
      </c>
      <c r="L331" s="2" t="s">
        <v>226</v>
      </c>
      <c r="M331" s="2" t="s">
        <v>1397</v>
      </c>
      <c r="N331" s="2" t="s">
        <v>12</v>
      </c>
      <c r="O331" s="2" t="s">
        <v>12</v>
      </c>
      <c r="P331" s="21" t="s">
        <v>12</v>
      </c>
      <c r="Q331" s="3" t="s">
        <v>220</v>
      </c>
      <c r="R331" s="3" t="s">
        <v>80</v>
      </c>
    </row>
    <row r="332" spans="1:18" x14ac:dyDescent="0.25">
      <c r="A332" s="30">
        <v>45705</v>
      </c>
      <c r="B332" s="28">
        <v>322</v>
      </c>
      <c r="C332" s="28"/>
      <c r="D332" s="2" t="s">
        <v>557</v>
      </c>
      <c r="E332" s="7" t="s">
        <v>12</v>
      </c>
      <c r="F332" s="7"/>
      <c r="G332" s="2" t="s">
        <v>20</v>
      </c>
      <c r="H332" s="2" t="s">
        <v>471</v>
      </c>
      <c r="I332" s="5">
        <v>6848.9</v>
      </c>
      <c r="J332" s="57"/>
      <c r="K332" s="3">
        <v>72</v>
      </c>
      <c r="L332" s="2" t="s">
        <v>64</v>
      </c>
      <c r="M332" s="2" t="s">
        <v>12</v>
      </c>
      <c r="N332" s="2" t="s">
        <v>12</v>
      </c>
      <c r="O332" s="2" t="s">
        <v>12</v>
      </c>
      <c r="P332" s="21" t="s">
        <v>12</v>
      </c>
      <c r="Q332" s="3" t="s">
        <v>12</v>
      </c>
      <c r="R332" s="3" t="s">
        <v>12</v>
      </c>
    </row>
    <row r="333" spans="1:18" x14ac:dyDescent="0.25">
      <c r="A333" s="30">
        <v>45705</v>
      </c>
      <c r="B333" s="28">
        <v>323</v>
      </c>
      <c r="C333" s="28"/>
      <c r="D333" s="2" t="s">
        <v>558</v>
      </c>
      <c r="E333" s="7" t="s">
        <v>559</v>
      </c>
      <c r="F333" s="7"/>
      <c r="G333" s="2" t="s">
        <v>20</v>
      </c>
      <c r="H333" s="2" t="s">
        <v>532</v>
      </c>
      <c r="I333" s="5">
        <v>13250.56</v>
      </c>
      <c r="J333" s="57"/>
      <c r="K333" s="3">
        <v>144</v>
      </c>
      <c r="L333" s="2" t="s">
        <v>64</v>
      </c>
      <c r="M333" s="2" t="s">
        <v>12</v>
      </c>
      <c r="N333" s="2" t="s">
        <v>12</v>
      </c>
      <c r="O333" s="2" t="s">
        <v>12</v>
      </c>
      <c r="P333" s="21" t="s">
        <v>12</v>
      </c>
      <c r="Q333" s="3" t="s">
        <v>12</v>
      </c>
      <c r="R333" s="3" t="s">
        <v>12</v>
      </c>
    </row>
    <row r="334" spans="1:18" x14ac:dyDescent="0.25">
      <c r="A334" s="30">
        <v>45705</v>
      </c>
      <c r="B334" s="28">
        <v>324</v>
      </c>
      <c r="C334" s="28"/>
      <c r="D334" s="2" t="s">
        <v>103</v>
      </c>
      <c r="E334" s="7" t="s">
        <v>560</v>
      </c>
      <c r="F334" s="7"/>
      <c r="G334" s="2" t="s">
        <v>13</v>
      </c>
      <c r="H334" s="2" t="s">
        <v>491</v>
      </c>
      <c r="I334" s="5">
        <v>46000</v>
      </c>
      <c r="J334" s="57"/>
      <c r="K334" s="3">
        <v>744</v>
      </c>
      <c r="L334" s="2" t="s">
        <v>64</v>
      </c>
      <c r="M334" s="2" t="s">
        <v>12</v>
      </c>
      <c r="N334" s="2" t="s">
        <v>12</v>
      </c>
      <c r="O334" s="2" t="s">
        <v>12</v>
      </c>
      <c r="P334" s="21" t="s">
        <v>12</v>
      </c>
      <c r="Q334" s="3" t="s">
        <v>12</v>
      </c>
      <c r="R334" s="3" t="s">
        <v>12</v>
      </c>
    </row>
    <row r="335" spans="1:18" x14ac:dyDescent="0.25">
      <c r="A335" s="30">
        <v>45705</v>
      </c>
      <c r="B335" s="28">
        <v>325</v>
      </c>
      <c r="C335" s="28"/>
      <c r="D335" s="2" t="s">
        <v>286</v>
      </c>
      <c r="E335" s="7" t="s">
        <v>12</v>
      </c>
      <c r="F335" s="7"/>
      <c r="G335" s="2" t="s">
        <v>13</v>
      </c>
      <c r="H335" s="2" t="s">
        <v>288</v>
      </c>
      <c r="I335" s="5">
        <v>777.41</v>
      </c>
      <c r="J335" s="57"/>
      <c r="K335" s="3" t="s">
        <v>12</v>
      </c>
      <c r="L335" s="2" t="s">
        <v>64</v>
      </c>
      <c r="M335" s="2" t="s">
        <v>12</v>
      </c>
      <c r="N335" s="2" t="s">
        <v>12</v>
      </c>
      <c r="O335" s="2" t="s">
        <v>12</v>
      </c>
      <c r="P335" s="21" t="s">
        <v>12</v>
      </c>
      <c r="Q335" s="3" t="s">
        <v>12</v>
      </c>
      <c r="R335" s="3" t="s">
        <v>12</v>
      </c>
    </row>
    <row r="336" spans="1:18" x14ac:dyDescent="0.25">
      <c r="A336" s="30">
        <v>45705</v>
      </c>
      <c r="B336" s="28">
        <v>326</v>
      </c>
      <c r="C336" s="28"/>
      <c r="D336" s="2" t="s">
        <v>286</v>
      </c>
      <c r="E336" s="7" t="s">
        <v>12</v>
      </c>
      <c r="F336" s="7"/>
      <c r="G336" s="2" t="s">
        <v>13</v>
      </c>
      <c r="H336" s="2" t="s">
        <v>288</v>
      </c>
      <c r="I336" s="5">
        <v>61.45</v>
      </c>
      <c r="J336" s="57"/>
      <c r="K336" s="3" t="s">
        <v>12</v>
      </c>
      <c r="L336" s="2" t="s">
        <v>226</v>
      </c>
      <c r="M336" s="2" t="s">
        <v>12</v>
      </c>
      <c r="N336" s="2" t="s">
        <v>12</v>
      </c>
      <c r="O336" s="2" t="s">
        <v>12</v>
      </c>
      <c r="P336" s="21" t="s">
        <v>12</v>
      </c>
      <c r="Q336" s="3" t="s">
        <v>12</v>
      </c>
      <c r="R336" s="3" t="s">
        <v>12</v>
      </c>
    </row>
    <row r="337" spans="1:18" x14ac:dyDescent="0.25">
      <c r="A337" s="30">
        <v>45705</v>
      </c>
      <c r="B337" s="28">
        <v>327</v>
      </c>
      <c r="C337" s="28"/>
      <c r="D337" s="2" t="s">
        <v>545</v>
      </c>
      <c r="E337" s="7" t="s">
        <v>561</v>
      </c>
      <c r="F337" s="7"/>
      <c r="G337" s="2" t="s">
        <v>97</v>
      </c>
      <c r="H337" s="2" t="s">
        <v>108</v>
      </c>
      <c r="I337" s="5">
        <v>117836.54</v>
      </c>
      <c r="J337" s="57"/>
      <c r="K337" s="3">
        <v>1080</v>
      </c>
      <c r="L337" s="2" t="s">
        <v>226</v>
      </c>
      <c r="M337" s="2" t="s">
        <v>12</v>
      </c>
      <c r="N337" s="2" t="s">
        <v>12</v>
      </c>
      <c r="O337" s="2" t="s">
        <v>12</v>
      </c>
      <c r="P337" s="21" t="s">
        <v>12</v>
      </c>
      <c r="Q337" s="3" t="s">
        <v>579</v>
      </c>
      <c r="R337" s="3" t="s">
        <v>580</v>
      </c>
    </row>
    <row r="338" spans="1:18" x14ac:dyDescent="0.25">
      <c r="A338" s="30">
        <v>45705</v>
      </c>
      <c r="B338" s="28">
        <v>328</v>
      </c>
      <c r="C338" s="28"/>
      <c r="D338" s="2" t="s">
        <v>562</v>
      </c>
      <c r="E338" s="7" t="s">
        <v>12</v>
      </c>
      <c r="F338" s="7"/>
      <c r="G338" s="2" t="s">
        <v>13</v>
      </c>
      <c r="H338" s="2" t="s">
        <v>119</v>
      </c>
      <c r="I338" s="5">
        <v>739.31</v>
      </c>
      <c r="J338" s="57"/>
      <c r="K338" s="3">
        <v>7.2</v>
      </c>
      <c r="L338" s="2" t="s">
        <v>64</v>
      </c>
      <c r="M338" s="2" t="s">
        <v>12</v>
      </c>
      <c r="N338" s="2" t="s">
        <v>12</v>
      </c>
      <c r="O338" s="2" t="s">
        <v>12</v>
      </c>
      <c r="P338" s="21" t="s">
        <v>12</v>
      </c>
      <c r="Q338" s="3" t="s">
        <v>12</v>
      </c>
      <c r="R338" s="3" t="s">
        <v>12</v>
      </c>
    </row>
    <row r="339" spans="1:18" x14ac:dyDescent="0.25">
      <c r="A339" s="30">
        <v>45705</v>
      </c>
      <c r="B339" s="28">
        <v>329</v>
      </c>
      <c r="C339" s="28"/>
      <c r="D339" s="2" t="s">
        <v>353</v>
      </c>
      <c r="E339" s="7" t="s">
        <v>12</v>
      </c>
      <c r="F339" s="7"/>
      <c r="G339" s="2" t="s">
        <v>13</v>
      </c>
      <c r="H339" s="2" t="s">
        <v>43</v>
      </c>
      <c r="I339" s="5">
        <v>1854.3</v>
      </c>
      <c r="J339" s="57"/>
      <c r="K339" s="3" t="s">
        <v>12</v>
      </c>
      <c r="L339" s="2" t="s">
        <v>226</v>
      </c>
      <c r="M339" s="2" t="s">
        <v>12</v>
      </c>
      <c r="N339" s="2" t="s">
        <v>12</v>
      </c>
      <c r="O339" s="2" t="s">
        <v>12</v>
      </c>
      <c r="P339" s="21" t="s">
        <v>12</v>
      </c>
      <c r="Q339" s="3" t="s">
        <v>12</v>
      </c>
      <c r="R339" s="3" t="s">
        <v>12</v>
      </c>
    </row>
    <row r="340" spans="1:18" x14ac:dyDescent="0.25">
      <c r="A340" s="30">
        <v>45705</v>
      </c>
      <c r="B340" s="28">
        <v>330</v>
      </c>
      <c r="C340" s="28"/>
      <c r="D340" s="2" t="s">
        <v>33</v>
      </c>
      <c r="E340" s="7" t="s">
        <v>563</v>
      </c>
      <c r="F340" s="7"/>
      <c r="G340" s="2" t="s">
        <v>13</v>
      </c>
      <c r="H340" s="2" t="s">
        <v>35</v>
      </c>
      <c r="I340" s="5">
        <v>8383.11</v>
      </c>
      <c r="J340" s="57"/>
      <c r="K340" s="3">
        <v>72</v>
      </c>
      <c r="L340" s="2" t="s">
        <v>226</v>
      </c>
      <c r="M340" s="2" t="s">
        <v>12</v>
      </c>
      <c r="N340" s="2" t="s">
        <v>12</v>
      </c>
      <c r="O340" s="2" t="s">
        <v>12</v>
      </c>
      <c r="P340" s="21" t="s">
        <v>12</v>
      </c>
      <c r="Q340" s="3" t="s">
        <v>12</v>
      </c>
      <c r="R340" s="3" t="s">
        <v>12</v>
      </c>
    </row>
    <row r="341" spans="1:18" x14ac:dyDescent="0.25">
      <c r="A341" s="30">
        <v>45705</v>
      </c>
      <c r="B341" s="28">
        <v>331</v>
      </c>
      <c r="C341" s="28"/>
      <c r="D341" s="2" t="s">
        <v>564</v>
      </c>
      <c r="E341" s="7" t="s">
        <v>12</v>
      </c>
      <c r="F341" s="7"/>
      <c r="G341" s="2" t="s">
        <v>13</v>
      </c>
      <c r="H341" s="2" t="s">
        <v>319</v>
      </c>
      <c r="I341" s="5">
        <v>12423.8</v>
      </c>
      <c r="J341" s="57"/>
      <c r="K341" s="3">
        <v>120</v>
      </c>
      <c r="L341" s="2" t="s">
        <v>134</v>
      </c>
      <c r="M341" s="2" t="s">
        <v>374</v>
      </c>
      <c r="N341" s="2" t="s">
        <v>12</v>
      </c>
      <c r="O341" s="2" t="s">
        <v>12</v>
      </c>
      <c r="P341" s="21" t="s">
        <v>12</v>
      </c>
      <c r="Q341" s="3" t="s">
        <v>12</v>
      </c>
      <c r="R341" s="3" t="s">
        <v>12</v>
      </c>
    </row>
    <row r="342" spans="1:18" x14ac:dyDescent="0.25">
      <c r="A342" s="30">
        <v>45706</v>
      </c>
      <c r="B342" s="28">
        <v>332</v>
      </c>
      <c r="C342" s="28"/>
      <c r="D342" s="2" t="s">
        <v>548</v>
      </c>
      <c r="E342" s="7" t="s">
        <v>538</v>
      </c>
      <c r="F342" s="7"/>
      <c r="G342" s="2" t="s">
        <v>13</v>
      </c>
      <c r="H342" s="2" t="s">
        <v>565</v>
      </c>
      <c r="I342" s="5">
        <v>5283.13</v>
      </c>
      <c r="J342" s="57"/>
      <c r="K342" s="3" t="s">
        <v>12</v>
      </c>
      <c r="L342" s="2" t="s">
        <v>226</v>
      </c>
      <c r="M342" s="2" t="s">
        <v>12</v>
      </c>
      <c r="N342" s="2" t="s">
        <v>12</v>
      </c>
      <c r="O342" s="2" t="s">
        <v>12</v>
      </c>
      <c r="P342" s="21" t="s">
        <v>12</v>
      </c>
      <c r="Q342" s="3" t="s">
        <v>12</v>
      </c>
      <c r="R342" s="3" t="s">
        <v>12</v>
      </c>
    </row>
    <row r="343" spans="1:18" x14ac:dyDescent="0.25">
      <c r="A343" s="30">
        <v>45705</v>
      </c>
      <c r="B343" s="28">
        <v>333</v>
      </c>
      <c r="C343" s="28"/>
      <c r="D343" s="2" t="s">
        <v>2272</v>
      </c>
      <c r="E343" s="7" t="s">
        <v>412</v>
      </c>
      <c r="F343" s="7"/>
      <c r="G343" s="2" t="s">
        <v>13</v>
      </c>
      <c r="H343" s="2" t="s">
        <v>566</v>
      </c>
      <c r="I343" s="5">
        <v>55991.98</v>
      </c>
      <c r="J343" s="57"/>
      <c r="K343" s="3">
        <v>456</v>
      </c>
      <c r="L343" s="2" t="s">
        <v>226</v>
      </c>
      <c r="M343" s="2" t="s">
        <v>12</v>
      </c>
      <c r="N343" s="2" t="s">
        <v>12</v>
      </c>
      <c r="O343" s="2" t="s">
        <v>12</v>
      </c>
      <c r="P343" s="21" t="s">
        <v>12</v>
      </c>
      <c r="Q343" s="3" t="s">
        <v>581</v>
      </c>
      <c r="R343" s="3" t="s">
        <v>80</v>
      </c>
    </row>
    <row r="344" spans="1:18" x14ac:dyDescent="0.25">
      <c r="A344" s="30">
        <v>45705</v>
      </c>
      <c r="B344" s="28">
        <v>334</v>
      </c>
      <c r="C344" s="28"/>
      <c r="D344" s="2" t="s">
        <v>28</v>
      </c>
      <c r="E344" s="7" t="s">
        <v>567</v>
      </c>
      <c r="F344" s="7"/>
      <c r="G344" s="2" t="s">
        <v>26</v>
      </c>
      <c r="H344" s="2" t="s">
        <v>485</v>
      </c>
      <c r="I344" s="5">
        <v>9814.51</v>
      </c>
      <c r="J344" s="57"/>
      <c r="K344" s="3">
        <v>96</v>
      </c>
      <c r="L344" s="2" t="s">
        <v>226</v>
      </c>
      <c r="M344" s="2" t="s">
        <v>12</v>
      </c>
      <c r="N344" s="2" t="s">
        <v>12</v>
      </c>
      <c r="O344" s="2" t="s">
        <v>12</v>
      </c>
      <c r="P344" s="21" t="s">
        <v>12</v>
      </c>
      <c r="Q344" s="3" t="s">
        <v>12</v>
      </c>
      <c r="R344" s="3" t="s">
        <v>12</v>
      </c>
    </row>
    <row r="345" spans="1:18" x14ac:dyDescent="0.25">
      <c r="A345" s="30">
        <v>45705</v>
      </c>
      <c r="B345" s="28">
        <v>335</v>
      </c>
      <c r="C345" s="28"/>
      <c r="D345" s="2" t="s">
        <v>70</v>
      </c>
      <c r="E345" s="7" t="s">
        <v>568</v>
      </c>
      <c r="F345" s="7"/>
      <c r="G345" s="2" t="s">
        <v>13</v>
      </c>
      <c r="H345" s="2" t="s">
        <v>491</v>
      </c>
      <c r="I345" s="5">
        <v>444492.06</v>
      </c>
      <c r="J345" s="57"/>
      <c r="K345" s="3">
        <v>6000</v>
      </c>
      <c r="L345" s="2" t="s">
        <v>226</v>
      </c>
      <c r="M345" s="2" t="s">
        <v>12</v>
      </c>
      <c r="N345" s="2" t="s">
        <v>12</v>
      </c>
      <c r="O345" s="2" t="s">
        <v>12</v>
      </c>
      <c r="P345" s="21" t="s">
        <v>12</v>
      </c>
      <c r="Q345" s="3" t="s">
        <v>12</v>
      </c>
      <c r="R345" s="3" t="s">
        <v>12</v>
      </c>
    </row>
    <row r="346" spans="1:18" x14ac:dyDescent="0.25">
      <c r="A346" s="30">
        <v>45705</v>
      </c>
      <c r="B346" s="28">
        <v>336</v>
      </c>
      <c r="C346" s="28"/>
      <c r="D346" s="2" t="s">
        <v>70</v>
      </c>
      <c r="E346" s="7" t="s">
        <v>569</v>
      </c>
      <c r="F346" s="7"/>
      <c r="G346" s="2" t="s">
        <v>13</v>
      </c>
      <c r="H346" s="2" t="s">
        <v>491</v>
      </c>
      <c r="I346" s="5">
        <v>323469.07</v>
      </c>
      <c r="J346" s="57"/>
      <c r="K346" s="3">
        <v>3648</v>
      </c>
      <c r="L346" s="2" t="s">
        <v>226</v>
      </c>
      <c r="M346" s="2" t="s">
        <v>12</v>
      </c>
      <c r="N346" s="2" t="s">
        <v>12</v>
      </c>
      <c r="O346" s="2" t="s">
        <v>12</v>
      </c>
      <c r="P346" s="21" t="s">
        <v>12</v>
      </c>
      <c r="Q346" s="3" t="s">
        <v>12</v>
      </c>
      <c r="R346" s="3" t="s">
        <v>12</v>
      </c>
    </row>
    <row r="347" spans="1:18" x14ac:dyDescent="0.25">
      <c r="A347" s="30">
        <v>45706</v>
      </c>
      <c r="B347" s="28">
        <v>337</v>
      </c>
      <c r="C347" s="28"/>
      <c r="D347" s="2" t="s">
        <v>178</v>
      </c>
      <c r="E347" s="7" t="s">
        <v>12</v>
      </c>
      <c r="F347" s="7"/>
      <c r="G347" s="2" t="s">
        <v>13</v>
      </c>
      <c r="H347" s="2" t="s">
        <v>180</v>
      </c>
      <c r="I347" s="5">
        <v>3060.64</v>
      </c>
      <c r="J347" s="57"/>
      <c r="K347" s="3">
        <v>36</v>
      </c>
      <c r="L347" s="2" t="s">
        <v>64</v>
      </c>
      <c r="M347" s="2" t="s">
        <v>12</v>
      </c>
      <c r="N347" s="2" t="s">
        <v>12</v>
      </c>
      <c r="O347" s="2" t="s">
        <v>12</v>
      </c>
      <c r="P347" s="21" t="s">
        <v>12</v>
      </c>
      <c r="Q347" s="3" t="s">
        <v>12</v>
      </c>
      <c r="R347" s="3" t="s">
        <v>12</v>
      </c>
    </row>
    <row r="348" spans="1:18" x14ac:dyDescent="0.25">
      <c r="A348" s="30">
        <v>45706</v>
      </c>
      <c r="B348" s="28">
        <v>338</v>
      </c>
      <c r="C348" s="28"/>
      <c r="D348" s="2" t="s">
        <v>298</v>
      </c>
      <c r="E348" s="7" t="s">
        <v>12</v>
      </c>
      <c r="F348" s="7"/>
      <c r="G348" s="2" t="s">
        <v>13</v>
      </c>
      <c r="H348" s="2" t="s">
        <v>13</v>
      </c>
      <c r="I348" s="5">
        <v>2219.14</v>
      </c>
      <c r="J348" s="57"/>
      <c r="K348" s="3" t="s">
        <v>12</v>
      </c>
      <c r="L348" s="2" t="s">
        <v>134</v>
      </c>
      <c r="M348" s="2" t="s">
        <v>599</v>
      </c>
      <c r="N348" s="2" t="s">
        <v>12</v>
      </c>
      <c r="O348" s="2" t="s">
        <v>12</v>
      </c>
      <c r="P348" s="21" t="s">
        <v>12</v>
      </c>
      <c r="Q348" s="3" t="s">
        <v>12</v>
      </c>
      <c r="R348" s="3" t="s">
        <v>12</v>
      </c>
    </row>
    <row r="349" spans="1:18" x14ac:dyDescent="0.25">
      <c r="A349" s="30">
        <v>45706</v>
      </c>
      <c r="B349" s="28">
        <v>339</v>
      </c>
      <c r="C349" s="28"/>
      <c r="D349" s="2" t="s">
        <v>217</v>
      </c>
      <c r="E349" s="7" t="s">
        <v>569</v>
      </c>
      <c r="F349" s="7"/>
      <c r="G349" s="2" t="s">
        <v>13</v>
      </c>
      <c r="H349" s="2" t="s">
        <v>26</v>
      </c>
      <c r="I349" s="5">
        <v>362164.75</v>
      </c>
      <c r="J349" s="57"/>
      <c r="K349" s="3">
        <v>3648</v>
      </c>
      <c r="L349" s="2" t="s">
        <v>226</v>
      </c>
      <c r="M349" s="2" t="s">
        <v>12</v>
      </c>
      <c r="N349" s="2" t="s">
        <v>12</v>
      </c>
      <c r="O349" s="2" t="s">
        <v>12</v>
      </c>
      <c r="P349" s="21" t="s">
        <v>12</v>
      </c>
      <c r="Q349" s="3" t="s">
        <v>12</v>
      </c>
      <c r="R349" s="3" t="s">
        <v>12</v>
      </c>
    </row>
    <row r="350" spans="1:18" x14ac:dyDescent="0.25">
      <c r="A350" s="30">
        <v>45706</v>
      </c>
      <c r="B350" s="28">
        <v>340</v>
      </c>
      <c r="C350" s="28"/>
      <c r="D350" s="2" t="s">
        <v>92</v>
      </c>
      <c r="E350" s="7" t="s">
        <v>570</v>
      </c>
      <c r="F350" s="7"/>
      <c r="G350" s="2" t="s">
        <v>26</v>
      </c>
      <c r="H350" s="2" t="s">
        <v>116</v>
      </c>
      <c r="I350" s="5">
        <v>81893.94</v>
      </c>
      <c r="J350" s="57"/>
      <c r="K350" s="3">
        <v>840</v>
      </c>
      <c r="L350" s="2" t="s">
        <v>226</v>
      </c>
      <c r="M350" s="2" t="s">
        <v>12</v>
      </c>
      <c r="N350" s="2" t="s">
        <v>12</v>
      </c>
      <c r="O350" s="2" t="s">
        <v>12</v>
      </c>
      <c r="P350" s="21" t="s">
        <v>12</v>
      </c>
      <c r="Q350" s="3" t="s">
        <v>12</v>
      </c>
      <c r="R350" s="3" t="s">
        <v>12</v>
      </c>
    </row>
    <row r="351" spans="1:18" x14ac:dyDescent="0.25">
      <c r="A351" s="30">
        <v>45706</v>
      </c>
      <c r="B351" s="28">
        <v>341</v>
      </c>
      <c r="C351" s="28"/>
      <c r="D351" s="2" t="s">
        <v>92</v>
      </c>
      <c r="E351" s="7" t="s">
        <v>571</v>
      </c>
      <c r="F351" s="7"/>
      <c r="G351" s="2" t="s">
        <v>26</v>
      </c>
      <c r="H351" s="2" t="s">
        <v>116</v>
      </c>
      <c r="I351" s="5">
        <v>81774.63</v>
      </c>
      <c r="J351" s="57"/>
      <c r="K351" s="3">
        <v>840</v>
      </c>
      <c r="L351" s="2" t="s">
        <v>226</v>
      </c>
      <c r="M351" s="2" t="s">
        <v>12</v>
      </c>
      <c r="N351" s="2" t="s">
        <v>12</v>
      </c>
      <c r="O351" s="2" t="s">
        <v>12</v>
      </c>
      <c r="P351" s="21" t="s">
        <v>12</v>
      </c>
      <c r="Q351" s="3" t="s">
        <v>12</v>
      </c>
      <c r="R351" s="3" t="s">
        <v>12</v>
      </c>
    </row>
    <row r="352" spans="1:18" x14ac:dyDescent="0.25">
      <c r="A352" s="30">
        <v>45706</v>
      </c>
      <c r="B352" s="28">
        <v>342</v>
      </c>
      <c r="C352" s="28"/>
      <c r="D352" s="2" t="s">
        <v>87</v>
      </c>
      <c r="E352" s="7" t="s">
        <v>572</v>
      </c>
      <c r="F352" s="7"/>
      <c r="G352" s="2" t="s">
        <v>13</v>
      </c>
      <c r="H352" s="2" t="s">
        <v>238</v>
      </c>
      <c r="I352" s="5">
        <v>122585.65</v>
      </c>
      <c r="J352" s="57"/>
      <c r="K352" s="3">
        <v>1152</v>
      </c>
      <c r="L352" s="2" t="s">
        <v>226</v>
      </c>
      <c r="M352" s="2" t="s">
        <v>12</v>
      </c>
      <c r="N352" s="2" t="s">
        <v>12</v>
      </c>
      <c r="O352" s="2" t="s">
        <v>12</v>
      </c>
      <c r="P352" s="21" t="s">
        <v>12</v>
      </c>
      <c r="Q352" s="3" t="s">
        <v>77</v>
      </c>
      <c r="R352" s="3" t="s">
        <v>75</v>
      </c>
    </row>
    <row r="353" spans="1:18" x14ac:dyDescent="0.25">
      <c r="A353" s="30">
        <v>45706</v>
      </c>
      <c r="B353" s="28">
        <v>343</v>
      </c>
      <c r="C353" s="28"/>
      <c r="D353" s="2" t="s">
        <v>87</v>
      </c>
      <c r="E353" s="7" t="s">
        <v>600</v>
      </c>
      <c r="F353" s="7"/>
      <c r="G353" s="2" t="s">
        <v>13</v>
      </c>
      <c r="H353" s="2" t="s">
        <v>238</v>
      </c>
      <c r="I353" s="5">
        <v>134230.87</v>
      </c>
      <c r="J353" s="57"/>
      <c r="K353" s="3">
        <v>1273.2</v>
      </c>
      <c r="L353" s="2" t="s">
        <v>226</v>
      </c>
      <c r="M353" s="2" t="s">
        <v>12</v>
      </c>
      <c r="N353" s="2" t="s">
        <v>12</v>
      </c>
      <c r="O353" s="2" t="s">
        <v>12</v>
      </c>
      <c r="P353" s="21" t="s">
        <v>12</v>
      </c>
      <c r="Q353" s="3" t="s">
        <v>77</v>
      </c>
      <c r="R353" s="3" t="s">
        <v>75</v>
      </c>
    </row>
    <row r="354" spans="1:18" x14ac:dyDescent="0.25">
      <c r="A354" s="30">
        <v>45706</v>
      </c>
      <c r="B354" s="28">
        <v>344</v>
      </c>
      <c r="C354" s="28"/>
      <c r="D354" s="2" t="s">
        <v>87</v>
      </c>
      <c r="E354" s="7" t="s">
        <v>573</v>
      </c>
      <c r="F354" s="7"/>
      <c r="G354" s="2" t="s">
        <v>13</v>
      </c>
      <c r="H354" s="2" t="s">
        <v>114</v>
      </c>
      <c r="I354" s="5">
        <v>1173005.1200000001</v>
      </c>
      <c r="J354" s="57"/>
      <c r="K354" s="3">
        <v>11358</v>
      </c>
      <c r="L354" s="2" t="s">
        <v>226</v>
      </c>
      <c r="M354" s="2" t="s">
        <v>12</v>
      </c>
      <c r="N354" s="2" t="s">
        <v>12</v>
      </c>
      <c r="O354" s="2" t="s">
        <v>12</v>
      </c>
      <c r="P354" s="21" t="s">
        <v>12</v>
      </c>
      <c r="Q354" s="3" t="s">
        <v>582</v>
      </c>
      <c r="R354" s="3" t="s">
        <v>75</v>
      </c>
    </row>
    <row r="355" spans="1:18" x14ac:dyDescent="0.25">
      <c r="A355" s="30">
        <v>45706</v>
      </c>
      <c r="B355" s="28">
        <v>345</v>
      </c>
      <c r="C355" s="28"/>
      <c r="D355" s="2" t="s">
        <v>56</v>
      </c>
      <c r="E355" s="7" t="s">
        <v>574</v>
      </c>
      <c r="F355" s="7"/>
      <c r="G355" s="2" t="s">
        <v>13</v>
      </c>
      <c r="H355" s="2" t="s">
        <v>58</v>
      </c>
      <c r="I355" s="5">
        <v>6125.34</v>
      </c>
      <c r="J355" s="57"/>
      <c r="K355" s="3">
        <v>48</v>
      </c>
      <c r="L355" s="2" t="s">
        <v>134</v>
      </c>
      <c r="M355" s="2" t="s">
        <v>599</v>
      </c>
      <c r="N355" s="2" t="s">
        <v>12</v>
      </c>
      <c r="O355" s="2" t="s">
        <v>12</v>
      </c>
      <c r="P355" s="21" t="s">
        <v>12</v>
      </c>
      <c r="Q355" s="3" t="s">
        <v>583</v>
      </c>
      <c r="R355" s="3" t="s">
        <v>80</v>
      </c>
    </row>
    <row r="356" spans="1:18" x14ac:dyDescent="0.25">
      <c r="A356" s="30">
        <v>45706</v>
      </c>
      <c r="B356" s="28">
        <v>346</v>
      </c>
      <c r="C356" s="28"/>
      <c r="D356" s="2" t="s">
        <v>56</v>
      </c>
      <c r="E356" s="7" t="s">
        <v>574</v>
      </c>
      <c r="F356" s="7"/>
      <c r="G356" s="2" t="s">
        <v>13</v>
      </c>
      <c r="H356" s="2" t="s">
        <v>58</v>
      </c>
      <c r="I356" s="5">
        <v>5309.5</v>
      </c>
      <c r="J356" s="57"/>
      <c r="K356" s="3">
        <v>48</v>
      </c>
      <c r="L356" s="2" t="s">
        <v>226</v>
      </c>
      <c r="M356" s="2" t="s">
        <v>12</v>
      </c>
      <c r="N356" s="2" t="s">
        <v>12</v>
      </c>
      <c r="O356" s="2" t="s">
        <v>12</v>
      </c>
      <c r="P356" s="21" t="s">
        <v>12</v>
      </c>
      <c r="Q356" s="3" t="s">
        <v>583</v>
      </c>
      <c r="R356" s="3" t="s">
        <v>80</v>
      </c>
    </row>
    <row r="357" spans="1:18" x14ac:dyDescent="0.25">
      <c r="A357" s="30">
        <v>45707</v>
      </c>
      <c r="B357" s="28">
        <v>347</v>
      </c>
      <c r="C357" s="28"/>
      <c r="D357" s="2" t="s">
        <v>126</v>
      </c>
      <c r="E357" s="7" t="s">
        <v>12</v>
      </c>
      <c r="F357" s="7"/>
      <c r="G357" s="2" t="s">
        <v>13</v>
      </c>
      <c r="H357" s="2" t="s">
        <v>63</v>
      </c>
      <c r="I357" s="5">
        <v>3807.24</v>
      </c>
      <c r="J357" s="57"/>
      <c r="K357" s="3" t="s">
        <v>12</v>
      </c>
      <c r="L357" s="2" t="s">
        <v>64</v>
      </c>
      <c r="M357" s="2" t="s">
        <v>12</v>
      </c>
      <c r="N357" s="2" t="s">
        <v>12</v>
      </c>
      <c r="O357" s="2" t="s">
        <v>12</v>
      </c>
      <c r="P357" s="21" t="s">
        <v>12</v>
      </c>
      <c r="Q357" s="3" t="s">
        <v>12</v>
      </c>
      <c r="R357" s="3" t="s">
        <v>12</v>
      </c>
    </row>
    <row r="358" spans="1:18" x14ac:dyDescent="0.25">
      <c r="A358" s="30">
        <v>45707</v>
      </c>
      <c r="B358" s="28">
        <v>348</v>
      </c>
      <c r="C358" s="28"/>
      <c r="D358" s="2" t="s">
        <v>217</v>
      </c>
      <c r="E358" s="7" t="s">
        <v>575</v>
      </c>
      <c r="F358" s="7"/>
      <c r="G358" s="2" t="s">
        <v>13</v>
      </c>
      <c r="H358" s="2" t="s">
        <v>218</v>
      </c>
      <c r="I358" s="5">
        <v>839.2</v>
      </c>
      <c r="J358" s="57"/>
      <c r="K358" s="3" t="s">
        <v>12</v>
      </c>
      <c r="L358" s="2" t="s">
        <v>134</v>
      </c>
      <c r="M358" s="2" t="s">
        <v>599</v>
      </c>
      <c r="N358" s="2" t="s">
        <v>12</v>
      </c>
      <c r="O358" s="2" t="s">
        <v>12</v>
      </c>
      <c r="P358" s="21" t="s">
        <v>12</v>
      </c>
      <c r="Q358" s="3" t="s">
        <v>12</v>
      </c>
      <c r="R358" s="3" t="s">
        <v>12</v>
      </c>
    </row>
    <row r="359" spans="1:18" x14ac:dyDescent="0.25">
      <c r="A359" s="30">
        <v>45708</v>
      </c>
      <c r="B359" s="28">
        <v>349</v>
      </c>
      <c r="C359" s="28"/>
      <c r="D359" s="2" t="s">
        <v>601</v>
      </c>
      <c r="E359" s="7" t="s">
        <v>602</v>
      </c>
      <c r="F359" s="7"/>
      <c r="G359" s="2" t="s">
        <v>13</v>
      </c>
      <c r="H359" s="2" t="s">
        <v>596</v>
      </c>
      <c r="I359" s="5">
        <v>37983.660000000003</v>
      </c>
      <c r="J359" s="57"/>
      <c r="K359" s="3">
        <v>336</v>
      </c>
      <c r="L359" s="2" t="s">
        <v>226</v>
      </c>
      <c r="M359" s="2" t="s">
        <v>664</v>
      </c>
      <c r="N359" s="2" t="s">
        <v>12</v>
      </c>
      <c r="O359" s="2" t="s">
        <v>12</v>
      </c>
      <c r="P359" s="21" t="s">
        <v>12</v>
      </c>
      <c r="Q359" s="3" t="s">
        <v>12</v>
      </c>
      <c r="R359" s="3" t="s">
        <v>12</v>
      </c>
    </row>
    <row r="360" spans="1:18" x14ac:dyDescent="0.25">
      <c r="A360" s="30">
        <v>45708</v>
      </c>
      <c r="B360" s="28">
        <v>350</v>
      </c>
      <c r="C360" s="28"/>
      <c r="D360" s="2" t="s">
        <v>65</v>
      </c>
      <c r="E360" s="7" t="s">
        <v>604</v>
      </c>
      <c r="F360" s="7"/>
      <c r="G360" s="2" t="s">
        <v>13</v>
      </c>
      <c r="H360" s="2" t="s">
        <v>101</v>
      </c>
      <c r="I360" s="5">
        <v>4248.1499999999996</v>
      </c>
      <c r="J360" s="57"/>
      <c r="K360" s="3">
        <v>48</v>
      </c>
      <c r="L360" s="2" t="s">
        <v>226</v>
      </c>
      <c r="M360" s="2" t="s">
        <v>663</v>
      </c>
      <c r="N360" s="2" t="s">
        <v>12</v>
      </c>
      <c r="O360" s="2" t="s">
        <v>12</v>
      </c>
      <c r="P360" s="21" t="s">
        <v>12</v>
      </c>
      <c r="Q360" s="3" t="s">
        <v>12</v>
      </c>
      <c r="R360" s="3" t="s">
        <v>12</v>
      </c>
    </row>
    <row r="361" spans="1:18" x14ac:dyDescent="0.25">
      <c r="A361" s="30">
        <v>45712</v>
      </c>
      <c r="B361" s="28">
        <v>351</v>
      </c>
      <c r="C361" s="28"/>
      <c r="D361" s="2" t="s">
        <v>315</v>
      </c>
      <c r="E361" s="7" t="s">
        <v>605</v>
      </c>
      <c r="F361" s="7"/>
      <c r="G361" s="2" t="s">
        <v>13</v>
      </c>
      <c r="H361" s="2" t="s">
        <v>119</v>
      </c>
      <c r="I361" s="5">
        <v>18016.93</v>
      </c>
      <c r="J361" s="57"/>
      <c r="K361" s="3">
        <v>216</v>
      </c>
      <c r="L361" s="2" t="s">
        <v>226</v>
      </c>
      <c r="M361" s="2" t="s">
        <v>12</v>
      </c>
      <c r="N361" s="2" t="s">
        <v>12</v>
      </c>
      <c r="O361" s="2" t="s">
        <v>12</v>
      </c>
      <c r="P361" s="21" t="s">
        <v>12</v>
      </c>
      <c r="Q361" s="3" t="s">
        <v>12</v>
      </c>
      <c r="R361" s="3" t="s">
        <v>12</v>
      </c>
    </row>
    <row r="362" spans="1:18" x14ac:dyDescent="0.25">
      <c r="A362" s="30">
        <v>45712</v>
      </c>
      <c r="B362" s="28">
        <v>352</v>
      </c>
      <c r="C362" s="28"/>
      <c r="D362" s="2" t="s">
        <v>315</v>
      </c>
      <c r="E362" s="7" t="s">
        <v>606</v>
      </c>
      <c r="F362" s="7"/>
      <c r="G362" s="2" t="s">
        <v>13</v>
      </c>
      <c r="H362" s="2" t="s">
        <v>119</v>
      </c>
      <c r="I362" s="5">
        <v>16167.85</v>
      </c>
      <c r="J362" s="57"/>
      <c r="K362" s="3">
        <v>216</v>
      </c>
      <c r="L362" s="2" t="s">
        <v>226</v>
      </c>
      <c r="M362" s="2" t="s">
        <v>12</v>
      </c>
      <c r="N362" s="2" t="s">
        <v>12</v>
      </c>
      <c r="O362" s="2" t="s">
        <v>12</v>
      </c>
      <c r="P362" s="21" t="s">
        <v>12</v>
      </c>
      <c r="Q362" s="3" t="s">
        <v>12</v>
      </c>
      <c r="R362" s="3" t="s">
        <v>12</v>
      </c>
    </row>
    <row r="363" spans="1:18" x14ac:dyDescent="0.25">
      <c r="A363" s="30">
        <v>45708</v>
      </c>
      <c r="B363" s="28">
        <v>353</v>
      </c>
      <c r="C363" s="28"/>
      <c r="D363" s="2" t="s">
        <v>103</v>
      </c>
      <c r="E363" s="7" t="s">
        <v>607</v>
      </c>
      <c r="F363" s="7"/>
      <c r="G363" s="2" t="s">
        <v>13</v>
      </c>
      <c r="H363" s="2" t="s">
        <v>491</v>
      </c>
      <c r="I363" s="5">
        <v>8487.35</v>
      </c>
      <c r="J363" s="57"/>
      <c r="K363" s="3">
        <v>96</v>
      </c>
      <c r="L363" s="2" t="s">
        <v>226</v>
      </c>
      <c r="M363" s="2" t="s">
        <v>12</v>
      </c>
      <c r="N363" s="2" t="s">
        <v>12</v>
      </c>
      <c r="O363" s="2" t="s">
        <v>12</v>
      </c>
      <c r="P363" s="21" t="s">
        <v>12</v>
      </c>
      <c r="Q363" s="3" t="s">
        <v>12</v>
      </c>
      <c r="R363" s="3" t="s">
        <v>12</v>
      </c>
    </row>
    <row r="364" spans="1:18" x14ac:dyDescent="0.25">
      <c r="A364" s="30">
        <v>45708</v>
      </c>
      <c r="B364" s="28">
        <v>354</v>
      </c>
      <c r="C364" s="28"/>
      <c r="D364" s="2" t="s">
        <v>400</v>
      </c>
      <c r="E364" s="7" t="s">
        <v>608</v>
      </c>
      <c r="F364" s="7"/>
      <c r="G364" s="2" t="s">
        <v>97</v>
      </c>
      <c r="H364" s="2" t="s">
        <v>609</v>
      </c>
      <c r="I364" s="5">
        <v>205362.62</v>
      </c>
      <c r="J364" s="57"/>
      <c r="K364" s="3">
        <v>2112</v>
      </c>
      <c r="L364" s="2" t="s">
        <v>226</v>
      </c>
      <c r="M364" s="2" t="s">
        <v>12</v>
      </c>
      <c r="N364" s="2" t="s">
        <v>12</v>
      </c>
      <c r="O364" s="2" t="s">
        <v>12</v>
      </c>
      <c r="P364" s="21" t="s">
        <v>12</v>
      </c>
      <c r="Q364" s="3" t="s">
        <v>12</v>
      </c>
      <c r="R364" s="3" t="s">
        <v>12</v>
      </c>
    </row>
    <row r="365" spans="1:18" x14ac:dyDescent="0.25">
      <c r="A365" s="30">
        <v>45708</v>
      </c>
      <c r="B365" s="28">
        <v>355</v>
      </c>
      <c r="C365" s="28"/>
      <c r="D365" s="2" t="s">
        <v>311</v>
      </c>
      <c r="E365" s="7" t="s">
        <v>610</v>
      </c>
      <c r="F365" s="7"/>
      <c r="G365" s="2" t="s">
        <v>97</v>
      </c>
      <c r="H365" s="2" t="s">
        <v>611</v>
      </c>
      <c r="I365" s="5">
        <v>93133.28</v>
      </c>
      <c r="J365" s="57"/>
      <c r="K365" s="3">
        <v>840</v>
      </c>
      <c r="L365" s="2" t="s">
        <v>226</v>
      </c>
      <c r="M365" s="2" t="s">
        <v>12</v>
      </c>
      <c r="N365" s="2" t="s">
        <v>12</v>
      </c>
      <c r="O365" s="2"/>
      <c r="P365" s="21" t="s">
        <v>12</v>
      </c>
      <c r="Q365" s="3" t="s">
        <v>12</v>
      </c>
      <c r="R365" s="3" t="s">
        <v>12</v>
      </c>
    </row>
    <row r="366" spans="1:18" x14ac:dyDescent="0.25">
      <c r="A366" s="30">
        <v>45708</v>
      </c>
      <c r="B366" s="28">
        <v>356</v>
      </c>
      <c r="C366" s="28"/>
      <c r="D366" s="2" t="s">
        <v>65</v>
      </c>
      <c r="E366" s="7" t="s">
        <v>603</v>
      </c>
      <c r="F366" s="7"/>
      <c r="G366" s="2" t="s">
        <v>13</v>
      </c>
      <c r="H366" s="2" t="s">
        <v>101</v>
      </c>
      <c r="I366" s="5">
        <v>4248.1499999999996</v>
      </c>
      <c r="J366" s="57"/>
      <c r="K366" s="3">
        <v>48</v>
      </c>
      <c r="L366" s="2" t="s">
        <v>226</v>
      </c>
      <c r="M366" s="2" t="s">
        <v>663</v>
      </c>
      <c r="N366" s="2" t="s">
        <v>12</v>
      </c>
      <c r="O366" s="2" t="s">
        <v>12</v>
      </c>
      <c r="P366" s="21" t="s">
        <v>12</v>
      </c>
      <c r="Q366" s="3" t="s">
        <v>12</v>
      </c>
      <c r="R366" s="3" t="s">
        <v>12</v>
      </c>
    </row>
    <row r="367" spans="1:18" x14ac:dyDescent="0.25">
      <c r="A367" s="30">
        <v>45708</v>
      </c>
      <c r="B367" s="28">
        <v>357</v>
      </c>
      <c r="C367" s="28"/>
      <c r="D367" s="2" t="s">
        <v>400</v>
      </c>
      <c r="E367" s="7" t="s">
        <v>110</v>
      </c>
      <c r="F367" s="7"/>
      <c r="G367" s="2" t="s">
        <v>97</v>
      </c>
      <c r="H367" s="2" t="s">
        <v>609</v>
      </c>
      <c r="I367" s="5">
        <v>2330924.06</v>
      </c>
      <c r="J367" s="57"/>
      <c r="K367" s="3">
        <v>27000</v>
      </c>
      <c r="L367" s="2" t="s">
        <v>226</v>
      </c>
      <c r="M367" s="2" t="s">
        <v>12</v>
      </c>
      <c r="N367" s="2" t="s">
        <v>12</v>
      </c>
      <c r="O367" s="2" t="s">
        <v>12</v>
      </c>
      <c r="P367" s="21" t="s">
        <v>12</v>
      </c>
      <c r="Q367" s="3" t="s">
        <v>12</v>
      </c>
      <c r="R367" s="3" t="s">
        <v>12</v>
      </c>
    </row>
    <row r="368" spans="1:18" x14ac:dyDescent="0.25">
      <c r="A368" s="30">
        <v>45708</v>
      </c>
      <c r="B368" s="28">
        <v>358</v>
      </c>
      <c r="C368" s="28"/>
      <c r="D368" s="2" t="s">
        <v>22</v>
      </c>
      <c r="E368" s="7" t="s">
        <v>612</v>
      </c>
      <c r="F368" s="7"/>
      <c r="G368" s="2" t="s">
        <v>13</v>
      </c>
      <c r="H368" s="2" t="s">
        <v>15</v>
      </c>
      <c r="I368" s="5">
        <v>16770.02</v>
      </c>
      <c r="J368" s="57"/>
      <c r="K368" s="3">
        <v>144</v>
      </c>
      <c r="L368" s="2" t="s">
        <v>226</v>
      </c>
      <c r="M368" s="2" t="s">
        <v>665</v>
      </c>
      <c r="N368" s="2" t="s">
        <v>12</v>
      </c>
      <c r="O368" s="2" t="s">
        <v>12</v>
      </c>
      <c r="P368" s="21" t="s">
        <v>12</v>
      </c>
      <c r="Q368" s="3" t="s">
        <v>12</v>
      </c>
      <c r="R368" s="3" t="s">
        <v>12</v>
      </c>
    </row>
    <row r="369" spans="1:18" x14ac:dyDescent="0.25">
      <c r="A369" s="30">
        <v>45708</v>
      </c>
      <c r="B369" s="28">
        <v>359</v>
      </c>
      <c r="C369" s="28"/>
      <c r="D369" s="2" t="s">
        <v>613</v>
      </c>
      <c r="E369" s="7" t="s">
        <v>12</v>
      </c>
      <c r="F369" s="7"/>
      <c r="G369" s="2" t="s">
        <v>13</v>
      </c>
      <c r="H369" s="2" t="s">
        <v>614</v>
      </c>
      <c r="I369" s="5">
        <v>7035.85</v>
      </c>
      <c r="J369" s="57"/>
      <c r="K369" s="3">
        <v>24</v>
      </c>
      <c r="L369" s="2" t="s">
        <v>226</v>
      </c>
      <c r="M369" s="2" t="s">
        <v>12</v>
      </c>
      <c r="N369" s="2" t="s">
        <v>12</v>
      </c>
      <c r="O369" s="2" t="s">
        <v>12</v>
      </c>
      <c r="P369" s="21" t="s">
        <v>12</v>
      </c>
      <c r="Q369" s="3" t="s">
        <v>12</v>
      </c>
      <c r="R369" s="3" t="s">
        <v>12</v>
      </c>
    </row>
    <row r="370" spans="1:18" x14ac:dyDescent="0.25">
      <c r="A370" s="30">
        <v>45708</v>
      </c>
      <c r="B370" s="28">
        <v>360</v>
      </c>
      <c r="C370" s="28"/>
      <c r="D370" s="2" t="s">
        <v>330</v>
      </c>
      <c r="E370" s="7" t="s">
        <v>12</v>
      </c>
      <c r="F370" s="7"/>
      <c r="G370" s="2" t="s">
        <v>13</v>
      </c>
      <c r="H370" s="2" t="s">
        <v>331</v>
      </c>
      <c r="I370" s="5">
        <v>2579.91</v>
      </c>
      <c r="J370" s="57"/>
      <c r="K370" s="3">
        <v>24</v>
      </c>
      <c r="L370" s="2" t="s">
        <v>64</v>
      </c>
      <c r="M370" s="2" t="s">
        <v>12</v>
      </c>
      <c r="N370" s="2" t="s">
        <v>12</v>
      </c>
      <c r="O370" s="2" t="s">
        <v>12</v>
      </c>
      <c r="P370" s="21" t="s">
        <v>12</v>
      </c>
      <c r="Q370" s="3" t="s">
        <v>12</v>
      </c>
      <c r="R370" s="3" t="s">
        <v>12</v>
      </c>
    </row>
    <row r="371" spans="1:18" x14ac:dyDescent="0.25">
      <c r="A371" s="30">
        <v>45708</v>
      </c>
      <c r="B371" s="28">
        <v>361</v>
      </c>
      <c r="C371" s="28"/>
      <c r="D371" s="2" t="s">
        <v>286</v>
      </c>
      <c r="E371" s="7" t="s">
        <v>12</v>
      </c>
      <c r="F371" s="7"/>
      <c r="G371" s="2" t="s">
        <v>13</v>
      </c>
      <c r="H371" s="2" t="s">
        <v>288</v>
      </c>
      <c r="I371" s="5">
        <v>494.79</v>
      </c>
      <c r="J371" s="57"/>
      <c r="K371" s="3" t="s">
        <v>12</v>
      </c>
      <c r="L371" s="2" t="s">
        <v>64</v>
      </c>
      <c r="M371" s="2" t="s">
        <v>12</v>
      </c>
      <c r="N371" s="2" t="s">
        <v>12</v>
      </c>
      <c r="O371" s="2" t="s">
        <v>12</v>
      </c>
      <c r="P371" s="21" t="s">
        <v>12</v>
      </c>
      <c r="Q371" s="3" t="s">
        <v>12</v>
      </c>
      <c r="R371" s="3" t="s">
        <v>12</v>
      </c>
    </row>
    <row r="372" spans="1:18" x14ac:dyDescent="0.25">
      <c r="A372" s="30">
        <v>45708</v>
      </c>
      <c r="B372" s="28">
        <v>362</v>
      </c>
      <c r="C372" s="28"/>
      <c r="D372" s="2" t="s">
        <v>206</v>
      </c>
      <c r="E372" s="7" t="s">
        <v>615</v>
      </c>
      <c r="F372" s="7"/>
      <c r="G372" s="2" t="s">
        <v>97</v>
      </c>
      <c r="H372" s="2" t="s">
        <v>616</v>
      </c>
      <c r="I372" s="5">
        <v>23433.09</v>
      </c>
      <c r="J372" s="57"/>
      <c r="K372" s="3">
        <v>240</v>
      </c>
      <c r="L372" s="2" t="s">
        <v>226</v>
      </c>
      <c r="M372" s="2" t="s">
        <v>833</v>
      </c>
      <c r="N372" s="2" t="s">
        <v>12</v>
      </c>
      <c r="O372" s="2" t="s">
        <v>12</v>
      </c>
      <c r="P372" s="21" t="s">
        <v>12</v>
      </c>
      <c r="Q372" s="3" t="s">
        <v>12</v>
      </c>
      <c r="R372" s="3" t="s">
        <v>12</v>
      </c>
    </row>
    <row r="373" spans="1:18" x14ac:dyDescent="0.25">
      <c r="A373" s="30">
        <v>45714</v>
      </c>
      <c r="B373" s="28">
        <v>363</v>
      </c>
      <c r="C373" s="28"/>
      <c r="D373" s="2" t="s">
        <v>130</v>
      </c>
      <c r="E373" s="7" t="s">
        <v>412</v>
      </c>
      <c r="F373" s="7"/>
      <c r="G373" s="2" t="s">
        <v>26</v>
      </c>
      <c r="H373" s="2" t="s">
        <v>294</v>
      </c>
      <c r="I373" s="5">
        <v>53479.58</v>
      </c>
      <c r="J373" s="57"/>
      <c r="K373" s="3">
        <v>504</v>
      </c>
      <c r="L373" s="2" t="s">
        <v>226</v>
      </c>
      <c r="M373" s="2" t="s">
        <v>12</v>
      </c>
      <c r="N373" s="2" t="s">
        <v>12</v>
      </c>
      <c r="O373" s="2" t="s">
        <v>12</v>
      </c>
      <c r="P373" s="21" t="s">
        <v>12</v>
      </c>
      <c r="Q373" s="3" t="s">
        <v>459</v>
      </c>
      <c r="R373" s="3" t="s">
        <v>80</v>
      </c>
    </row>
    <row r="374" spans="1:18" x14ac:dyDescent="0.25">
      <c r="A374" s="30">
        <v>45708</v>
      </c>
      <c r="B374" s="28">
        <v>364</v>
      </c>
      <c r="C374" s="28"/>
      <c r="D374" s="2" t="s">
        <v>256</v>
      </c>
      <c r="E374" s="7" t="s">
        <v>12</v>
      </c>
      <c r="F374" s="7"/>
      <c r="G374" s="2" t="s">
        <v>20</v>
      </c>
      <c r="H374" s="2" t="s">
        <v>257</v>
      </c>
      <c r="I374" s="5">
        <v>11694.12</v>
      </c>
      <c r="J374" s="57"/>
      <c r="K374" s="3">
        <v>96</v>
      </c>
      <c r="L374" s="2" t="s">
        <v>134</v>
      </c>
      <c r="M374" s="2" t="s">
        <v>706</v>
      </c>
      <c r="N374" s="2" t="s">
        <v>12</v>
      </c>
      <c r="O374" s="2" t="s">
        <v>12</v>
      </c>
      <c r="P374" s="21" t="s">
        <v>12</v>
      </c>
      <c r="Q374" s="3" t="s">
        <v>12</v>
      </c>
      <c r="R374" s="3" t="s">
        <v>12</v>
      </c>
    </row>
    <row r="375" spans="1:18" x14ac:dyDescent="0.25">
      <c r="A375" s="30">
        <v>45709</v>
      </c>
      <c r="B375" s="28">
        <v>365</v>
      </c>
      <c r="C375" s="28"/>
      <c r="D375" s="2" t="s">
        <v>87</v>
      </c>
      <c r="E375" s="7" t="s">
        <v>617</v>
      </c>
      <c r="F375" s="7"/>
      <c r="G375" s="2" t="s">
        <v>13</v>
      </c>
      <c r="H375" s="2" t="s">
        <v>238</v>
      </c>
      <c r="I375" s="5">
        <v>122209.39</v>
      </c>
      <c r="J375" s="57"/>
      <c r="K375" s="3">
        <v>1152</v>
      </c>
      <c r="L375" s="2" t="s">
        <v>226</v>
      </c>
      <c r="M375" s="2" t="s">
        <v>12</v>
      </c>
      <c r="N375" s="2" t="s">
        <v>12</v>
      </c>
      <c r="O375" s="2" t="s">
        <v>12</v>
      </c>
      <c r="P375" s="21" t="s">
        <v>12</v>
      </c>
      <c r="Q375" s="3" t="s">
        <v>659</v>
      </c>
      <c r="R375" s="3" t="s">
        <v>75</v>
      </c>
    </row>
    <row r="376" spans="1:18" x14ac:dyDescent="0.25">
      <c r="A376" s="30">
        <v>45709</v>
      </c>
      <c r="B376" s="28">
        <v>366</v>
      </c>
      <c r="C376" s="28"/>
      <c r="D376" s="2" t="s">
        <v>618</v>
      </c>
      <c r="E376" s="7" t="s">
        <v>619</v>
      </c>
      <c r="F376" s="7"/>
      <c r="G376" s="2" t="s">
        <v>13</v>
      </c>
      <c r="H376" s="2" t="s">
        <v>620</v>
      </c>
      <c r="I376" s="5">
        <v>20080.25</v>
      </c>
      <c r="J376" s="57"/>
      <c r="K376" s="3">
        <v>240</v>
      </c>
      <c r="L376" s="2" t="s">
        <v>226</v>
      </c>
      <c r="M376" s="2" t="s">
        <v>12</v>
      </c>
      <c r="N376" s="2" t="s">
        <v>12</v>
      </c>
      <c r="O376" s="2" t="s">
        <v>12</v>
      </c>
      <c r="P376" s="21" t="s">
        <v>12</v>
      </c>
      <c r="Q376" s="3" t="s">
        <v>357</v>
      </c>
      <c r="R376" s="3" t="s">
        <v>75</v>
      </c>
    </row>
    <row r="377" spans="1:18" x14ac:dyDescent="0.25">
      <c r="A377" s="30">
        <v>45709</v>
      </c>
      <c r="B377" s="28">
        <v>367</v>
      </c>
      <c r="C377" s="28"/>
      <c r="D377" s="2" t="s">
        <v>621</v>
      </c>
      <c r="E377" s="7" t="s">
        <v>622</v>
      </c>
      <c r="F377" s="7"/>
      <c r="G377" s="2" t="s">
        <v>97</v>
      </c>
      <c r="H377" s="2" t="s">
        <v>438</v>
      </c>
      <c r="I377" s="5">
        <v>17120.830000000002</v>
      </c>
      <c r="J377" s="57"/>
      <c r="K377" s="3">
        <v>144</v>
      </c>
      <c r="L377" s="2" t="s">
        <v>226</v>
      </c>
      <c r="M377" s="2" t="s">
        <v>12</v>
      </c>
      <c r="N377" s="2" t="s">
        <v>12</v>
      </c>
      <c r="O377" s="2" t="s">
        <v>12</v>
      </c>
      <c r="P377" s="21" t="s">
        <v>12</v>
      </c>
      <c r="Q377" s="3" t="s">
        <v>12</v>
      </c>
      <c r="R377" s="3" t="s">
        <v>12</v>
      </c>
    </row>
    <row r="378" spans="1:18" x14ac:dyDescent="0.25">
      <c r="A378" s="30">
        <v>45709</v>
      </c>
      <c r="B378" s="28">
        <v>368</v>
      </c>
      <c r="C378" s="28"/>
      <c r="D378" s="2" t="s">
        <v>202</v>
      </c>
      <c r="E378" s="7" t="s">
        <v>623</v>
      </c>
      <c r="F378" s="7"/>
      <c r="G378" s="2" t="s">
        <v>97</v>
      </c>
      <c r="H378" s="2" t="s">
        <v>119</v>
      </c>
      <c r="I378" s="5">
        <v>40662.97</v>
      </c>
      <c r="J378" s="57"/>
      <c r="K378" s="3">
        <v>288</v>
      </c>
      <c r="L378" s="2" t="s">
        <v>64</v>
      </c>
      <c r="M378" s="2" t="s">
        <v>12</v>
      </c>
      <c r="N378" s="2" t="s">
        <v>12</v>
      </c>
      <c r="O378" s="2" t="s">
        <v>12</v>
      </c>
      <c r="P378" s="21" t="s">
        <v>12</v>
      </c>
      <c r="Q378" s="3" t="s">
        <v>12</v>
      </c>
      <c r="R378" s="3" t="s">
        <v>12</v>
      </c>
    </row>
    <row r="379" spans="1:18" x14ac:dyDescent="0.25">
      <c r="A379" s="30">
        <v>45709</v>
      </c>
      <c r="B379" s="28">
        <v>369</v>
      </c>
      <c r="C379" s="28"/>
      <c r="D379" s="2" t="s">
        <v>95</v>
      </c>
      <c r="E379" s="7" t="s">
        <v>503</v>
      </c>
      <c r="F379" s="7"/>
      <c r="G379" s="2" t="s">
        <v>97</v>
      </c>
      <c r="H379" s="2" t="s">
        <v>98</v>
      </c>
      <c r="I379" s="5">
        <v>26279.72</v>
      </c>
      <c r="J379" s="57"/>
      <c r="K379" s="3">
        <v>240</v>
      </c>
      <c r="L379" s="2" t="s">
        <v>134</v>
      </c>
      <c r="M379" s="2" t="s">
        <v>1009</v>
      </c>
      <c r="N379" s="2" t="s">
        <v>373</v>
      </c>
      <c r="O379" s="2" t="s">
        <v>528</v>
      </c>
      <c r="P379" s="21" t="s">
        <v>12</v>
      </c>
      <c r="Q379" s="3" t="s">
        <v>12</v>
      </c>
      <c r="R379" s="3" t="s">
        <v>12</v>
      </c>
    </row>
    <row r="380" spans="1:18" x14ac:dyDescent="0.25">
      <c r="A380" s="30">
        <v>45712</v>
      </c>
      <c r="B380" s="28">
        <v>370</v>
      </c>
      <c r="C380" s="28"/>
      <c r="D380" s="2" t="s">
        <v>546</v>
      </c>
      <c r="E380" s="7" t="s">
        <v>556</v>
      </c>
      <c r="F380" s="7"/>
      <c r="G380" s="2" t="s">
        <v>111</v>
      </c>
      <c r="H380" s="2" t="s">
        <v>369</v>
      </c>
      <c r="I380" s="5">
        <v>49722.71</v>
      </c>
      <c r="J380" s="57"/>
      <c r="K380" s="3">
        <v>528</v>
      </c>
      <c r="L380" s="2" t="s">
        <v>226</v>
      </c>
      <c r="M380" s="2" t="s">
        <v>710</v>
      </c>
      <c r="N380" s="2" t="s">
        <v>12</v>
      </c>
      <c r="O380" s="2" t="s">
        <v>12</v>
      </c>
      <c r="P380" s="21" t="s">
        <v>12</v>
      </c>
      <c r="Q380" s="3" t="s">
        <v>12</v>
      </c>
      <c r="R380" s="3" t="s">
        <v>12</v>
      </c>
    </row>
    <row r="381" spans="1:18" x14ac:dyDescent="0.25">
      <c r="A381" s="30">
        <v>45709</v>
      </c>
      <c r="B381" s="28">
        <v>371</v>
      </c>
      <c r="C381" s="28"/>
      <c r="D381" s="2" t="s">
        <v>376</v>
      </c>
      <c r="E381" s="7" t="s">
        <v>12</v>
      </c>
      <c r="F381" s="7"/>
      <c r="G381" s="2" t="s">
        <v>26</v>
      </c>
      <c r="H381" s="2" t="s">
        <v>377</v>
      </c>
      <c r="I381" s="5">
        <v>6607.17</v>
      </c>
      <c r="J381" s="57"/>
      <c r="K381" s="3">
        <v>96</v>
      </c>
      <c r="L381" s="2" t="s">
        <v>134</v>
      </c>
      <c r="M381" s="2" t="s">
        <v>80</v>
      </c>
      <c r="N381" s="2" t="s">
        <v>12</v>
      </c>
      <c r="O381" s="2" t="s">
        <v>12</v>
      </c>
      <c r="P381" s="21" t="s">
        <v>12</v>
      </c>
      <c r="Q381" s="3" t="s">
        <v>12</v>
      </c>
      <c r="R381" s="3" t="s">
        <v>12</v>
      </c>
    </row>
    <row r="382" spans="1:18" x14ac:dyDescent="0.25">
      <c r="A382" s="30">
        <v>45709</v>
      </c>
      <c r="B382" s="28">
        <v>372</v>
      </c>
      <c r="C382" s="28"/>
      <c r="D382" s="2" t="s">
        <v>176</v>
      </c>
      <c r="E382" s="7" t="s">
        <v>12</v>
      </c>
      <c r="F382" s="7"/>
      <c r="G382" s="2" t="s">
        <v>13</v>
      </c>
      <c r="H382" s="2" t="s">
        <v>177</v>
      </c>
      <c r="I382" s="5">
        <v>43370.16</v>
      </c>
      <c r="J382" s="57"/>
      <c r="K382" s="3">
        <v>720</v>
      </c>
      <c r="L382" s="2" t="s">
        <v>226</v>
      </c>
      <c r="M382" s="2" t="s">
        <v>12</v>
      </c>
      <c r="N382" s="2" t="s">
        <v>12</v>
      </c>
      <c r="O382" s="2" t="s">
        <v>12</v>
      </c>
      <c r="P382" s="21" t="s">
        <v>12</v>
      </c>
      <c r="Q382" s="3" t="s">
        <v>12</v>
      </c>
      <c r="R382" s="3" t="s">
        <v>12</v>
      </c>
    </row>
    <row r="383" spans="1:18" x14ac:dyDescent="0.25">
      <c r="A383" s="30">
        <v>45709</v>
      </c>
      <c r="B383" s="28">
        <v>373</v>
      </c>
      <c r="C383" s="28"/>
      <c r="D383" s="2" t="s">
        <v>286</v>
      </c>
      <c r="E383" s="7" t="s">
        <v>624</v>
      </c>
      <c r="F383" s="7"/>
      <c r="G383" s="2" t="s">
        <v>13</v>
      </c>
      <c r="H383" s="2" t="s">
        <v>288</v>
      </c>
      <c r="I383" s="5">
        <v>16106.68</v>
      </c>
      <c r="J383" s="57"/>
      <c r="K383" s="3">
        <v>168</v>
      </c>
      <c r="L383" s="2" t="s">
        <v>226</v>
      </c>
      <c r="M383" s="2" t="s">
        <v>12</v>
      </c>
      <c r="N383" s="2" t="s">
        <v>12</v>
      </c>
      <c r="O383" s="2" t="s">
        <v>12</v>
      </c>
      <c r="P383" s="21" t="s">
        <v>12</v>
      </c>
      <c r="Q383" s="3" t="s">
        <v>12</v>
      </c>
      <c r="R383" s="3" t="s">
        <v>12</v>
      </c>
    </row>
    <row r="384" spans="1:18" x14ac:dyDescent="0.25">
      <c r="A384" s="30">
        <v>45712</v>
      </c>
      <c r="B384" s="28">
        <v>374</v>
      </c>
      <c r="C384" s="28"/>
      <c r="D384" s="2" t="s">
        <v>625</v>
      </c>
      <c r="E384" s="7" t="s">
        <v>626</v>
      </c>
      <c r="F384" s="7"/>
      <c r="G384" s="2" t="s">
        <v>13</v>
      </c>
      <c r="H384" s="2" t="s">
        <v>627</v>
      </c>
      <c r="I384" s="5">
        <v>59314.03</v>
      </c>
      <c r="J384" s="57"/>
      <c r="K384" s="3">
        <v>453.6</v>
      </c>
      <c r="L384" s="2" t="s">
        <v>226</v>
      </c>
      <c r="M384" s="2" t="s">
        <v>12</v>
      </c>
      <c r="N384" s="2" t="s">
        <v>12</v>
      </c>
      <c r="O384" s="2" t="s">
        <v>12</v>
      </c>
      <c r="P384" s="21" t="s">
        <v>12</v>
      </c>
      <c r="Q384" s="3" t="s">
        <v>12</v>
      </c>
      <c r="R384" s="3" t="s">
        <v>12</v>
      </c>
    </row>
    <row r="385" spans="1:18" x14ac:dyDescent="0.25">
      <c r="A385" s="30">
        <v>45713</v>
      </c>
      <c r="B385" s="28">
        <v>375</v>
      </c>
      <c r="C385" s="28"/>
      <c r="D385" s="2" t="s">
        <v>628</v>
      </c>
      <c r="E385" s="7" t="s">
        <v>629</v>
      </c>
      <c r="F385" s="7"/>
      <c r="G385" s="2" t="s">
        <v>13</v>
      </c>
      <c r="H385" s="2" t="s">
        <v>630</v>
      </c>
      <c r="I385" s="5">
        <v>9477.5</v>
      </c>
      <c r="J385" s="57"/>
      <c r="K385" s="3">
        <v>144</v>
      </c>
      <c r="L385" s="2" t="s">
        <v>64</v>
      </c>
      <c r="M385" s="2" t="s">
        <v>12</v>
      </c>
      <c r="N385" s="2" t="s">
        <v>12</v>
      </c>
      <c r="O385" s="2" t="s">
        <v>12</v>
      </c>
      <c r="P385" s="21" t="s">
        <v>12</v>
      </c>
      <c r="Q385" s="3" t="s">
        <v>12</v>
      </c>
      <c r="R385" s="3" t="s">
        <v>12</v>
      </c>
    </row>
    <row r="386" spans="1:18" x14ac:dyDescent="0.25">
      <c r="A386" s="30">
        <v>45712</v>
      </c>
      <c r="B386" s="28">
        <v>376</v>
      </c>
      <c r="C386" s="28"/>
      <c r="D386" s="2" t="s">
        <v>631</v>
      </c>
      <c r="E386" s="7" t="s">
        <v>632</v>
      </c>
      <c r="F386" s="7"/>
      <c r="G386" s="2" t="s">
        <v>13</v>
      </c>
      <c r="H386" s="2" t="s">
        <v>633</v>
      </c>
      <c r="I386" s="5">
        <v>16712.41</v>
      </c>
      <c r="J386" s="57"/>
      <c r="K386" s="3">
        <v>144</v>
      </c>
      <c r="L386" s="2" t="s">
        <v>226</v>
      </c>
      <c r="M386" s="2" t="s">
        <v>12</v>
      </c>
      <c r="N386" s="2" t="s">
        <v>12</v>
      </c>
      <c r="O386" s="2" t="s">
        <v>12</v>
      </c>
      <c r="P386" s="21" t="s">
        <v>12</v>
      </c>
      <c r="Q386" s="3" t="s">
        <v>660</v>
      </c>
      <c r="R386" s="3" t="s">
        <v>76</v>
      </c>
    </row>
    <row r="387" spans="1:18" x14ac:dyDescent="0.25">
      <c r="A387" s="30">
        <v>45712</v>
      </c>
      <c r="B387" s="28">
        <v>377</v>
      </c>
      <c r="C387" s="28"/>
      <c r="D387" s="2" t="s">
        <v>87</v>
      </c>
      <c r="E387" s="7" t="s">
        <v>634</v>
      </c>
      <c r="F387" s="7"/>
      <c r="G387" s="2" t="s">
        <v>13</v>
      </c>
      <c r="H387" s="2" t="s">
        <v>114</v>
      </c>
      <c r="I387" s="5">
        <v>200379.88</v>
      </c>
      <c r="J387" s="57"/>
      <c r="K387" s="3">
        <v>1920</v>
      </c>
      <c r="L387" s="2" t="s">
        <v>226</v>
      </c>
      <c r="M387" s="2" t="s">
        <v>12</v>
      </c>
      <c r="N387" s="2" t="s">
        <v>12</v>
      </c>
      <c r="O387" s="2" t="s">
        <v>12</v>
      </c>
      <c r="P387" s="21" t="s">
        <v>12</v>
      </c>
      <c r="Q387" s="3" t="s">
        <v>659</v>
      </c>
      <c r="R387" s="3" t="s">
        <v>75</v>
      </c>
    </row>
    <row r="388" spans="1:18" x14ac:dyDescent="0.25">
      <c r="A388" s="30">
        <v>45712</v>
      </c>
      <c r="B388" s="28">
        <v>378</v>
      </c>
      <c r="C388" s="28"/>
      <c r="D388" s="2" t="s">
        <v>508</v>
      </c>
      <c r="E388" s="7" t="s">
        <v>12</v>
      </c>
      <c r="F388" s="7"/>
      <c r="G388" s="2" t="s">
        <v>20</v>
      </c>
      <c r="H388" s="2" t="s">
        <v>596</v>
      </c>
      <c r="I388" s="5">
        <v>30625.32</v>
      </c>
      <c r="J388" s="57"/>
      <c r="K388" s="3">
        <v>432</v>
      </c>
      <c r="L388" s="2" t="s">
        <v>64</v>
      </c>
      <c r="M388" s="2" t="s">
        <v>708</v>
      </c>
      <c r="N388" s="2" t="s">
        <v>12</v>
      </c>
      <c r="O388" s="2" t="s">
        <v>12</v>
      </c>
      <c r="P388" s="21" t="s">
        <v>12</v>
      </c>
      <c r="Q388" s="3" t="s">
        <v>12</v>
      </c>
      <c r="R388" s="3" t="s">
        <v>12</v>
      </c>
    </row>
    <row r="389" spans="1:18" x14ac:dyDescent="0.25">
      <c r="A389" s="30">
        <v>45713</v>
      </c>
      <c r="B389" s="28">
        <v>379</v>
      </c>
      <c r="C389" s="28"/>
      <c r="D389" s="2" t="s">
        <v>635</v>
      </c>
      <c r="E389" s="7" t="s">
        <v>636</v>
      </c>
      <c r="F389" s="7"/>
      <c r="G389" s="2" t="s">
        <v>13</v>
      </c>
      <c r="H389" s="2" t="s">
        <v>235</v>
      </c>
      <c r="I389" s="5">
        <v>139200.22</v>
      </c>
      <c r="J389" s="57"/>
      <c r="K389" s="3">
        <v>1440</v>
      </c>
      <c r="L389" s="2" t="s">
        <v>64</v>
      </c>
      <c r="M389" s="2" t="s">
        <v>12</v>
      </c>
      <c r="N389" s="2" t="s">
        <v>12</v>
      </c>
      <c r="O389" s="2" t="s">
        <v>12</v>
      </c>
      <c r="P389" s="21" t="s">
        <v>12</v>
      </c>
      <c r="Q389" s="3" t="s">
        <v>12</v>
      </c>
      <c r="R389" s="3" t="s">
        <v>12</v>
      </c>
    </row>
    <row r="390" spans="1:18" x14ac:dyDescent="0.25">
      <c r="A390" s="30">
        <v>45712</v>
      </c>
      <c r="B390" s="28">
        <v>380</v>
      </c>
      <c r="C390" s="28"/>
      <c r="D390" s="2" t="s">
        <v>637</v>
      </c>
      <c r="E390" s="7" t="s">
        <v>638</v>
      </c>
      <c r="F390" s="7"/>
      <c r="G390" s="2" t="s">
        <v>13</v>
      </c>
      <c r="H390" s="2" t="s">
        <v>15</v>
      </c>
      <c r="I390" s="5">
        <v>78277.460000000006</v>
      </c>
      <c r="J390" s="57"/>
      <c r="K390" s="3">
        <v>816</v>
      </c>
      <c r="L390" s="2" t="s">
        <v>226</v>
      </c>
      <c r="M390" s="2" t="s">
        <v>12</v>
      </c>
      <c r="N390" s="2" t="s">
        <v>12</v>
      </c>
      <c r="O390" s="2" t="s">
        <v>12</v>
      </c>
      <c r="P390" s="21" t="s">
        <v>12</v>
      </c>
      <c r="Q390" s="3" t="s">
        <v>12</v>
      </c>
      <c r="R390" s="3" t="s">
        <v>12</v>
      </c>
    </row>
    <row r="391" spans="1:18" x14ac:dyDescent="0.25">
      <c r="A391" s="30">
        <v>45712</v>
      </c>
      <c r="B391" s="28">
        <v>381</v>
      </c>
      <c r="C391" s="28"/>
      <c r="D391" s="2" t="s">
        <v>276</v>
      </c>
      <c r="E391" s="7" t="s">
        <v>12</v>
      </c>
      <c r="F391" s="7"/>
      <c r="G391" s="2" t="s">
        <v>43</v>
      </c>
      <c r="H391" s="2" t="s">
        <v>108</v>
      </c>
      <c r="I391" s="5">
        <v>2228.25</v>
      </c>
      <c r="J391" s="57"/>
      <c r="K391" s="3">
        <v>24</v>
      </c>
      <c r="L391" s="2" t="s">
        <v>226</v>
      </c>
      <c r="M391" s="2" t="s">
        <v>12</v>
      </c>
      <c r="N391" s="2" t="s">
        <v>12</v>
      </c>
      <c r="O391" s="2" t="s">
        <v>12</v>
      </c>
      <c r="P391" s="21" t="s">
        <v>12</v>
      </c>
      <c r="Q391" s="3" t="s">
        <v>12</v>
      </c>
      <c r="R391" s="3" t="s">
        <v>12</v>
      </c>
    </row>
    <row r="392" spans="1:18" x14ac:dyDescent="0.25">
      <c r="A392" s="30">
        <v>45713</v>
      </c>
      <c r="B392" s="28">
        <v>382</v>
      </c>
      <c r="C392" s="28"/>
      <c r="D392" s="2" t="s">
        <v>168</v>
      </c>
      <c r="E392" s="7" t="s">
        <v>639</v>
      </c>
      <c r="F392" s="7"/>
      <c r="G392" s="2" t="s">
        <v>43</v>
      </c>
      <c r="H392" s="2" t="s">
        <v>381</v>
      </c>
      <c r="I392" s="5">
        <v>38041.629999999997</v>
      </c>
      <c r="J392" s="57"/>
      <c r="K392" s="3">
        <v>336</v>
      </c>
      <c r="L392" s="2" t="s">
        <v>226</v>
      </c>
      <c r="M392" s="2" t="s">
        <v>12</v>
      </c>
      <c r="N392" s="2" t="s">
        <v>12</v>
      </c>
      <c r="O392" s="2" t="s">
        <v>12</v>
      </c>
      <c r="P392" s="21" t="s">
        <v>12</v>
      </c>
      <c r="Q392" s="3" t="s">
        <v>661</v>
      </c>
      <c r="R392" s="3" t="s">
        <v>75</v>
      </c>
    </row>
    <row r="393" spans="1:18" x14ac:dyDescent="0.25">
      <c r="A393" s="30">
        <v>45713</v>
      </c>
      <c r="B393" s="28">
        <v>383</v>
      </c>
      <c r="C393" s="28"/>
      <c r="D393" s="2" t="s">
        <v>62</v>
      </c>
      <c r="E393" s="7" t="s">
        <v>12</v>
      </c>
      <c r="F393" s="7"/>
      <c r="G393" s="2" t="s">
        <v>26</v>
      </c>
      <c r="H393" s="2" t="s">
        <v>63</v>
      </c>
      <c r="I393" s="5">
        <v>8279.1</v>
      </c>
      <c r="J393" s="57"/>
      <c r="K393" s="3">
        <v>120</v>
      </c>
      <c r="L393" s="2" t="s">
        <v>64</v>
      </c>
      <c r="M393" s="2" t="s">
        <v>12</v>
      </c>
      <c r="N393" s="2" t="s">
        <v>12</v>
      </c>
      <c r="O393" s="2" t="s">
        <v>12</v>
      </c>
      <c r="P393" s="21" t="s">
        <v>12</v>
      </c>
      <c r="Q393" s="3" t="s">
        <v>12</v>
      </c>
      <c r="R393" s="3" t="s">
        <v>12</v>
      </c>
    </row>
    <row r="394" spans="1:18" x14ac:dyDescent="0.25">
      <c r="A394" s="30">
        <v>45713</v>
      </c>
      <c r="B394" s="28">
        <v>384</v>
      </c>
      <c r="C394" s="28"/>
      <c r="D394" s="2" t="s">
        <v>640</v>
      </c>
      <c r="E394" s="7" t="s">
        <v>641</v>
      </c>
      <c r="F394" s="7"/>
      <c r="G394" s="2" t="s">
        <v>26</v>
      </c>
      <c r="H394" s="2" t="s">
        <v>642</v>
      </c>
      <c r="I394" s="5">
        <v>82228.800000000003</v>
      </c>
      <c r="J394" s="57"/>
      <c r="K394" s="3">
        <v>744</v>
      </c>
      <c r="L394" s="2" t="s">
        <v>226</v>
      </c>
      <c r="M394" s="2" t="s">
        <v>712</v>
      </c>
      <c r="N394" s="2" t="s">
        <v>12</v>
      </c>
      <c r="O394" s="2" t="s">
        <v>12</v>
      </c>
      <c r="P394" s="21" t="s">
        <v>12</v>
      </c>
      <c r="Q394" s="3" t="s">
        <v>12</v>
      </c>
      <c r="R394" s="3" t="s">
        <v>12</v>
      </c>
    </row>
    <row r="395" spans="1:18" x14ac:dyDescent="0.25">
      <c r="A395" s="30">
        <v>45714</v>
      </c>
      <c r="B395" s="28">
        <v>385</v>
      </c>
      <c r="C395" s="28"/>
      <c r="D395" s="2" t="s">
        <v>52</v>
      </c>
      <c r="E395" s="7" t="s">
        <v>12</v>
      </c>
      <c r="F395" s="7"/>
      <c r="G395" s="2" t="s">
        <v>13</v>
      </c>
      <c r="H395" s="2" t="s">
        <v>53</v>
      </c>
      <c r="I395" s="5">
        <v>125908.21</v>
      </c>
      <c r="J395" s="57"/>
      <c r="K395" s="3">
        <v>1920</v>
      </c>
      <c r="L395" s="2" t="s">
        <v>226</v>
      </c>
      <c r="M395" s="2" t="s">
        <v>12</v>
      </c>
      <c r="N395" s="2" t="s">
        <v>12</v>
      </c>
      <c r="O395" s="2" t="s">
        <v>12</v>
      </c>
      <c r="P395" s="21" t="s">
        <v>12</v>
      </c>
      <c r="Q395" s="3" t="s">
        <v>12</v>
      </c>
      <c r="R395" s="3" t="s">
        <v>12</v>
      </c>
    </row>
    <row r="396" spans="1:18" x14ac:dyDescent="0.25">
      <c r="A396" s="30">
        <v>45713</v>
      </c>
      <c r="B396" s="28">
        <v>386</v>
      </c>
      <c r="C396" s="28"/>
      <c r="D396" s="2" t="s">
        <v>87</v>
      </c>
      <c r="E396" s="7" t="s">
        <v>12</v>
      </c>
      <c r="F396" s="7"/>
      <c r="G396" s="2" t="s">
        <v>13</v>
      </c>
      <c r="H396" s="2" t="s">
        <v>114</v>
      </c>
      <c r="I396" s="5">
        <v>195.7</v>
      </c>
      <c r="J396" s="57"/>
      <c r="K396" s="3" t="s">
        <v>12</v>
      </c>
      <c r="L396" s="2" t="s">
        <v>226</v>
      </c>
      <c r="M396" s="2" t="s">
        <v>12</v>
      </c>
      <c r="N396" s="2" t="s">
        <v>12</v>
      </c>
      <c r="O396" s="2" t="s">
        <v>12</v>
      </c>
      <c r="P396" s="21" t="s">
        <v>12</v>
      </c>
      <c r="Q396" s="3" t="s">
        <v>12</v>
      </c>
      <c r="R396" s="3" t="s">
        <v>12</v>
      </c>
    </row>
    <row r="397" spans="1:18" x14ac:dyDescent="0.25">
      <c r="A397" s="30">
        <v>45713</v>
      </c>
      <c r="B397" s="28">
        <v>387</v>
      </c>
      <c r="C397" s="28"/>
      <c r="D397" s="2" t="s">
        <v>92</v>
      </c>
      <c r="E397" s="7" t="s">
        <v>643</v>
      </c>
      <c r="F397" s="7"/>
      <c r="G397" s="2" t="s">
        <v>26</v>
      </c>
      <c r="H397" s="2" t="s">
        <v>94</v>
      </c>
      <c r="I397" s="5">
        <v>9019.7999999999993</v>
      </c>
      <c r="J397" s="57"/>
      <c r="K397" s="3">
        <v>96</v>
      </c>
      <c r="L397" s="2" t="s">
        <v>134</v>
      </c>
      <c r="M397" s="2" t="s">
        <v>80</v>
      </c>
      <c r="N397" s="2" t="s">
        <v>12</v>
      </c>
      <c r="O397" s="2" t="s">
        <v>12</v>
      </c>
      <c r="P397" s="21" t="s">
        <v>12</v>
      </c>
      <c r="Q397" s="3" t="s">
        <v>12</v>
      </c>
      <c r="R397" s="3" t="s">
        <v>12</v>
      </c>
    </row>
    <row r="398" spans="1:18" x14ac:dyDescent="0.25">
      <c r="A398" s="30">
        <v>45713</v>
      </c>
      <c r="B398" s="28">
        <v>388</v>
      </c>
      <c r="C398" s="28"/>
      <c r="D398" s="2" t="s">
        <v>644</v>
      </c>
      <c r="E398" s="7" t="s">
        <v>645</v>
      </c>
      <c r="F398" s="7"/>
      <c r="G398" s="2" t="s">
        <v>13</v>
      </c>
      <c r="H398" s="2" t="s">
        <v>270</v>
      </c>
      <c r="I398" s="5">
        <v>34548.769999999997</v>
      </c>
      <c r="J398" s="57"/>
      <c r="K398" s="3">
        <v>336</v>
      </c>
      <c r="L398" s="2" t="s">
        <v>226</v>
      </c>
      <c r="M398" s="2" t="s">
        <v>12</v>
      </c>
      <c r="N398" s="2" t="s">
        <v>12</v>
      </c>
      <c r="O398" s="2" t="s">
        <v>12</v>
      </c>
      <c r="P398" s="21" t="s">
        <v>12</v>
      </c>
      <c r="Q398" s="3" t="s">
        <v>12</v>
      </c>
      <c r="R398" s="3" t="s">
        <v>12</v>
      </c>
    </row>
    <row r="399" spans="1:18" x14ac:dyDescent="0.25">
      <c r="A399" s="30">
        <v>45713</v>
      </c>
      <c r="B399" s="28">
        <v>389</v>
      </c>
      <c r="C399" s="28"/>
      <c r="D399" s="2" t="s">
        <v>646</v>
      </c>
      <c r="E399" s="7" t="s">
        <v>647</v>
      </c>
      <c r="F399" s="7"/>
      <c r="G399" s="2" t="s">
        <v>13</v>
      </c>
      <c r="H399" s="2" t="s">
        <v>648</v>
      </c>
      <c r="I399" s="5">
        <v>8965.1299999999992</v>
      </c>
      <c r="J399" s="57"/>
      <c r="K399" s="3">
        <v>72</v>
      </c>
      <c r="L399" s="2" t="s">
        <v>226</v>
      </c>
      <c r="M399" s="2" t="s">
        <v>12</v>
      </c>
      <c r="N399" s="2" t="s">
        <v>12</v>
      </c>
      <c r="O399" s="2" t="s">
        <v>12</v>
      </c>
      <c r="P399" s="21" t="s">
        <v>12</v>
      </c>
      <c r="Q399" s="3" t="s">
        <v>12</v>
      </c>
      <c r="R399" s="3" t="s">
        <v>12</v>
      </c>
    </row>
    <row r="400" spans="1:18" x14ac:dyDescent="0.25">
      <c r="A400" s="30">
        <v>45713</v>
      </c>
      <c r="B400" s="28">
        <v>390</v>
      </c>
      <c r="C400" s="28"/>
      <c r="D400" s="2" t="s">
        <v>353</v>
      </c>
      <c r="E400" s="7" t="s">
        <v>12</v>
      </c>
      <c r="F400" s="7"/>
      <c r="G400" s="2" t="s">
        <v>13</v>
      </c>
      <c r="H400" s="2" t="s">
        <v>43</v>
      </c>
      <c r="I400" s="5">
        <v>4024.04</v>
      </c>
      <c r="J400" s="57"/>
      <c r="K400" s="3" t="s">
        <v>12</v>
      </c>
      <c r="L400" s="2" t="s">
        <v>226</v>
      </c>
      <c r="M400" s="2" t="s">
        <v>12</v>
      </c>
      <c r="N400" s="2" t="s">
        <v>12</v>
      </c>
      <c r="O400" s="2" t="s">
        <v>12</v>
      </c>
      <c r="P400" s="21" t="s">
        <v>12</v>
      </c>
      <c r="Q400" s="3" t="s">
        <v>12</v>
      </c>
      <c r="R400" s="3" t="s">
        <v>12</v>
      </c>
    </row>
    <row r="401" spans="1:18" x14ac:dyDescent="0.25">
      <c r="A401" s="30">
        <v>45714</v>
      </c>
      <c r="B401" s="28">
        <v>391</v>
      </c>
      <c r="C401" s="28"/>
      <c r="D401" s="2" t="s">
        <v>333</v>
      </c>
      <c r="E401" s="7" t="s">
        <v>12</v>
      </c>
      <c r="F401" s="7"/>
      <c r="G401" s="2" t="s">
        <v>20</v>
      </c>
      <c r="H401" s="2" t="s">
        <v>335</v>
      </c>
      <c r="I401" s="5">
        <v>4158.5</v>
      </c>
      <c r="J401" s="57"/>
      <c r="K401" s="3" t="s">
        <v>12</v>
      </c>
      <c r="L401" s="2" t="s">
        <v>64</v>
      </c>
      <c r="M401" s="2" t="s">
        <v>12</v>
      </c>
      <c r="N401" s="2" t="s">
        <v>12</v>
      </c>
      <c r="O401" s="2" t="s">
        <v>12</v>
      </c>
      <c r="P401" s="21" t="s">
        <v>12</v>
      </c>
      <c r="Q401" s="3" t="s">
        <v>12</v>
      </c>
      <c r="R401" s="3" t="s">
        <v>12</v>
      </c>
    </row>
    <row r="402" spans="1:18" x14ac:dyDescent="0.25">
      <c r="A402" s="30">
        <v>45714</v>
      </c>
      <c r="B402" s="28">
        <v>392</v>
      </c>
      <c r="C402" s="28"/>
      <c r="D402" s="2" t="s">
        <v>233</v>
      </c>
      <c r="E402" s="7" t="s">
        <v>12</v>
      </c>
      <c r="F402" s="7"/>
      <c r="G402" s="2" t="s">
        <v>13</v>
      </c>
      <c r="H402" s="2" t="s">
        <v>235</v>
      </c>
      <c r="I402" s="5">
        <v>2528.4699999999998</v>
      </c>
      <c r="J402" s="57"/>
      <c r="K402" s="3">
        <v>16.8</v>
      </c>
      <c r="L402" s="2" t="s">
        <v>226</v>
      </c>
      <c r="M402" s="2" t="s">
        <v>12</v>
      </c>
      <c r="N402" s="2" t="s">
        <v>12</v>
      </c>
      <c r="O402" s="2" t="s">
        <v>12</v>
      </c>
      <c r="P402" s="21" t="s">
        <v>12</v>
      </c>
      <c r="Q402" s="3" t="s">
        <v>12</v>
      </c>
      <c r="R402" s="3" t="s">
        <v>12</v>
      </c>
    </row>
    <row r="403" spans="1:18" x14ac:dyDescent="0.25">
      <c r="A403" s="30">
        <v>45714</v>
      </c>
      <c r="B403" s="28">
        <v>393</v>
      </c>
      <c r="C403" s="28"/>
      <c r="D403" s="2" t="s">
        <v>444</v>
      </c>
      <c r="E403" s="7" t="s">
        <v>649</v>
      </c>
      <c r="F403" s="7"/>
      <c r="G403" s="2" t="s">
        <v>20</v>
      </c>
      <c r="H403" s="2" t="s">
        <v>121</v>
      </c>
      <c r="I403" s="5">
        <v>738361.09</v>
      </c>
      <c r="J403" s="57"/>
      <c r="K403" s="3">
        <v>6840</v>
      </c>
      <c r="L403" s="2" t="s">
        <v>226</v>
      </c>
      <c r="M403" s="2" t="s">
        <v>12</v>
      </c>
      <c r="N403" s="2" t="s">
        <v>12</v>
      </c>
      <c r="O403" s="2" t="s">
        <v>12</v>
      </c>
      <c r="P403" s="21" t="s">
        <v>12</v>
      </c>
      <c r="Q403" s="3" t="s">
        <v>12</v>
      </c>
      <c r="R403" s="3" t="s">
        <v>12</v>
      </c>
    </row>
    <row r="404" spans="1:18" x14ac:dyDescent="0.25">
      <c r="A404" s="30">
        <v>45714</v>
      </c>
      <c r="B404" s="28">
        <v>394</v>
      </c>
      <c r="C404" s="28"/>
      <c r="D404" s="2" t="s">
        <v>204</v>
      </c>
      <c r="E404" s="7" t="s">
        <v>650</v>
      </c>
      <c r="F404" s="7"/>
      <c r="G404" s="2" t="s">
        <v>26</v>
      </c>
      <c r="H404" s="2" t="s">
        <v>490</v>
      </c>
      <c r="I404" s="5">
        <v>36916.5</v>
      </c>
      <c r="J404" s="57"/>
      <c r="K404" s="3">
        <v>360</v>
      </c>
      <c r="L404" s="2" t="s">
        <v>226</v>
      </c>
      <c r="M404" s="2" t="s">
        <v>713</v>
      </c>
      <c r="N404" s="2" t="s">
        <v>12</v>
      </c>
      <c r="O404" s="2" t="s">
        <v>12</v>
      </c>
      <c r="P404" s="21" t="s">
        <v>12</v>
      </c>
      <c r="Q404" s="3" t="s">
        <v>662</v>
      </c>
      <c r="R404" s="3" t="s">
        <v>80</v>
      </c>
    </row>
    <row r="405" spans="1:18" x14ac:dyDescent="0.25">
      <c r="A405" s="30">
        <v>45714</v>
      </c>
      <c r="B405" s="28">
        <v>395</v>
      </c>
      <c r="C405" s="28"/>
      <c r="D405" s="2" t="s">
        <v>92</v>
      </c>
      <c r="E405" s="7" t="s">
        <v>12</v>
      </c>
      <c r="F405" s="7"/>
      <c r="G405" s="2" t="s">
        <v>26</v>
      </c>
      <c r="H405" s="2" t="s">
        <v>235</v>
      </c>
      <c r="I405" s="5">
        <v>146274.76</v>
      </c>
      <c r="J405" s="57"/>
      <c r="K405" s="3">
        <v>1512</v>
      </c>
      <c r="L405" s="2" t="s">
        <v>226</v>
      </c>
      <c r="M405" s="2" t="s">
        <v>714</v>
      </c>
      <c r="N405" s="2" t="s">
        <v>12</v>
      </c>
      <c r="O405" s="2" t="s">
        <v>12</v>
      </c>
      <c r="P405" s="21" t="s">
        <v>12</v>
      </c>
      <c r="Q405" s="3" t="s">
        <v>12</v>
      </c>
      <c r="R405" s="3" t="s">
        <v>12</v>
      </c>
    </row>
    <row r="406" spans="1:18" x14ac:dyDescent="0.25">
      <c r="A406" s="30">
        <v>45714</v>
      </c>
      <c r="B406" s="28">
        <v>396</v>
      </c>
      <c r="C406" s="28"/>
      <c r="D406" s="2" t="s">
        <v>165</v>
      </c>
      <c r="E406" s="7" t="s">
        <v>166</v>
      </c>
      <c r="F406" s="7"/>
      <c r="G406" s="2" t="s">
        <v>97</v>
      </c>
      <c r="H406" s="2" t="s">
        <v>167</v>
      </c>
      <c r="I406" s="5">
        <v>95207.96</v>
      </c>
      <c r="J406" s="57"/>
      <c r="K406" s="3">
        <v>1200</v>
      </c>
      <c r="L406" s="2" t="s">
        <v>226</v>
      </c>
      <c r="M406" s="2" t="s">
        <v>760</v>
      </c>
      <c r="N406" s="2" t="s">
        <v>12</v>
      </c>
      <c r="O406" s="2" t="s">
        <v>12</v>
      </c>
      <c r="P406" s="21" t="s">
        <v>12</v>
      </c>
      <c r="Q406" s="3" t="s">
        <v>12</v>
      </c>
      <c r="R406" s="3" t="s">
        <v>12</v>
      </c>
    </row>
    <row r="407" spans="1:18" x14ac:dyDescent="0.25">
      <c r="A407" s="30">
        <v>45714</v>
      </c>
      <c r="B407" s="28">
        <v>397</v>
      </c>
      <c r="C407" s="28"/>
      <c r="D407" s="2" t="s">
        <v>28</v>
      </c>
      <c r="E407" s="7" t="s">
        <v>651</v>
      </c>
      <c r="F407" s="7"/>
      <c r="G407" s="2" t="s">
        <v>26</v>
      </c>
      <c r="H407" s="2" t="s">
        <v>652</v>
      </c>
      <c r="I407" s="5">
        <v>13990.85</v>
      </c>
      <c r="J407" s="57"/>
      <c r="K407" s="3">
        <v>144</v>
      </c>
      <c r="L407" s="2" t="s">
        <v>226</v>
      </c>
      <c r="M407" s="2" t="s">
        <v>715</v>
      </c>
      <c r="N407" s="2" t="s">
        <v>12</v>
      </c>
      <c r="O407" s="2" t="s">
        <v>12</v>
      </c>
      <c r="P407" s="21" t="s">
        <v>12</v>
      </c>
      <c r="Q407" s="3" t="s">
        <v>12</v>
      </c>
      <c r="R407" s="3" t="s">
        <v>12</v>
      </c>
    </row>
    <row r="408" spans="1:18" x14ac:dyDescent="0.25">
      <c r="A408" s="30">
        <v>45714</v>
      </c>
      <c r="B408" s="28">
        <v>398</v>
      </c>
      <c r="C408" s="28"/>
      <c r="D408" s="2" t="s">
        <v>90</v>
      </c>
      <c r="E408" s="7" t="s">
        <v>12</v>
      </c>
      <c r="F408" s="7"/>
      <c r="G408" s="2" t="s">
        <v>20</v>
      </c>
      <c r="H408" s="2" t="s">
        <v>653</v>
      </c>
      <c r="I408" s="5">
        <v>14522.34</v>
      </c>
      <c r="J408" s="57"/>
      <c r="K408" s="3" t="s">
        <v>12</v>
      </c>
      <c r="L408" s="2" t="s">
        <v>134</v>
      </c>
      <c r="M408" s="2" t="s">
        <v>706</v>
      </c>
      <c r="N408" s="2" t="s">
        <v>135</v>
      </c>
      <c r="O408" s="2" t="s">
        <v>2274</v>
      </c>
      <c r="P408" s="21" t="s">
        <v>12</v>
      </c>
      <c r="Q408" s="3" t="s">
        <v>12</v>
      </c>
      <c r="R408" s="3" t="s">
        <v>12</v>
      </c>
    </row>
    <row r="409" spans="1:18" x14ac:dyDescent="0.25">
      <c r="A409" s="30">
        <v>45714</v>
      </c>
      <c r="B409" s="28">
        <v>399</v>
      </c>
      <c r="C409" s="28"/>
      <c r="D409" s="2" t="s">
        <v>654</v>
      </c>
      <c r="E409" s="7" t="s">
        <v>12</v>
      </c>
      <c r="F409" s="7"/>
      <c r="G409" s="2" t="s">
        <v>13</v>
      </c>
      <c r="H409" s="2" t="s">
        <v>655</v>
      </c>
      <c r="I409" s="5">
        <v>2040.43</v>
      </c>
      <c r="J409" s="57"/>
      <c r="K409" s="3">
        <v>24</v>
      </c>
      <c r="L409" s="2" t="s">
        <v>64</v>
      </c>
      <c r="M409" s="2" t="s">
        <v>12</v>
      </c>
      <c r="N409" s="2" t="s">
        <v>12</v>
      </c>
      <c r="O409" s="2" t="s">
        <v>12</v>
      </c>
      <c r="P409" s="21" t="s">
        <v>12</v>
      </c>
      <c r="Q409" s="3" t="s">
        <v>12</v>
      </c>
      <c r="R409" s="3" t="s">
        <v>12</v>
      </c>
    </row>
    <row r="410" spans="1:18" x14ac:dyDescent="0.25">
      <c r="A410" s="30">
        <v>45714</v>
      </c>
      <c r="B410" s="28">
        <v>400</v>
      </c>
      <c r="C410" s="28"/>
      <c r="D410" s="2" t="s">
        <v>286</v>
      </c>
      <c r="E410" s="7" t="s">
        <v>12</v>
      </c>
      <c r="F410" s="7"/>
      <c r="G410" s="2" t="s">
        <v>13</v>
      </c>
      <c r="H410" s="2" t="s">
        <v>288</v>
      </c>
      <c r="I410" s="5">
        <v>1509.49</v>
      </c>
      <c r="J410" s="57"/>
      <c r="K410" s="3" t="s">
        <v>12</v>
      </c>
      <c r="L410" s="2" t="s">
        <v>226</v>
      </c>
      <c r="M410" s="2" t="s">
        <v>12</v>
      </c>
      <c r="N410" s="2" t="s">
        <v>12</v>
      </c>
      <c r="O410" s="2" t="s">
        <v>12</v>
      </c>
      <c r="P410" s="21" t="s">
        <v>12</v>
      </c>
      <c r="Q410" s="3" t="s">
        <v>12</v>
      </c>
      <c r="R410" s="3"/>
    </row>
    <row r="411" spans="1:18" x14ac:dyDescent="0.25">
      <c r="A411" s="30">
        <v>45714</v>
      </c>
      <c r="B411" s="28">
        <v>401</v>
      </c>
      <c r="C411" s="28"/>
      <c r="D411" s="2" t="s">
        <v>656</v>
      </c>
      <c r="E411" s="7" t="s">
        <v>657</v>
      </c>
      <c r="F411" s="7"/>
      <c r="G411" s="2" t="s">
        <v>13</v>
      </c>
      <c r="H411" s="2" t="s">
        <v>535</v>
      </c>
      <c r="I411" s="5">
        <v>29159.74</v>
      </c>
      <c r="J411" s="57"/>
      <c r="K411" s="3">
        <v>288</v>
      </c>
      <c r="L411" s="2" t="s">
        <v>226</v>
      </c>
      <c r="M411" s="2" t="s">
        <v>12</v>
      </c>
      <c r="N411" s="2" t="s">
        <v>12</v>
      </c>
      <c r="O411" s="2" t="s">
        <v>12</v>
      </c>
      <c r="P411" s="21" t="s">
        <v>12</v>
      </c>
      <c r="Q411" s="3" t="s">
        <v>12</v>
      </c>
      <c r="R411" s="3" t="s">
        <v>12</v>
      </c>
    </row>
    <row r="412" spans="1:18" x14ac:dyDescent="0.25">
      <c r="A412" s="30">
        <v>45714</v>
      </c>
      <c r="B412" s="28">
        <v>402</v>
      </c>
      <c r="C412" s="28"/>
      <c r="D412" s="2" t="s">
        <v>109</v>
      </c>
      <c r="E412" s="7" t="s">
        <v>658</v>
      </c>
      <c r="F412" s="7"/>
      <c r="G412" s="2" t="s">
        <v>111</v>
      </c>
      <c r="H412" s="2" t="s">
        <v>61</v>
      </c>
      <c r="I412" s="5">
        <v>76105.45</v>
      </c>
      <c r="J412" s="57"/>
      <c r="K412" s="3">
        <v>792</v>
      </c>
      <c r="L412" s="2" t="s">
        <v>226</v>
      </c>
      <c r="M412" s="2" t="s">
        <v>12</v>
      </c>
      <c r="N412" s="2" t="s">
        <v>12</v>
      </c>
      <c r="O412" s="2" t="s">
        <v>12</v>
      </c>
      <c r="P412" s="21" t="s">
        <v>12</v>
      </c>
      <c r="Q412" s="3" t="s">
        <v>12</v>
      </c>
      <c r="R412" s="3" t="s">
        <v>12</v>
      </c>
    </row>
    <row r="413" spans="1:18" x14ac:dyDescent="0.25">
      <c r="A413" s="30">
        <v>45715</v>
      </c>
      <c r="B413" s="28">
        <v>403</v>
      </c>
      <c r="C413" s="28"/>
      <c r="D413" s="2" t="s">
        <v>41</v>
      </c>
      <c r="E413" s="7" t="s">
        <v>669</v>
      </c>
      <c r="F413" s="7"/>
      <c r="G413" s="2" t="s">
        <v>43</v>
      </c>
      <c r="H413" s="2" t="s">
        <v>43</v>
      </c>
      <c r="I413" s="5">
        <v>290290.36</v>
      </c>
      <c r="J413" s="57"/>
      <c r="K413" s="3">
        <v>2616</v>
      </c>
      <c r="L413" s="2" t="s">
        <v>226</v>
      </c>
      <c r="M413" s="2" t="s">
        <v>12</v>
      </c>
      <c r="N413" s="2" t="s">
        <v>12</v>
      </c>
      <c r="O413" s="2" t="s">
        <v>12</v>
      </c>
      <c r="P413" s="21" t="s">
        <v>12</v>
      </c>
      <c r="Q413" s="3" t="s">
        <v>12</v>
      </c>
      <c r="R413" s="3" t="s">
        <v>12</v>
      </c>
    </row>
    <row r="414" spans="1:18" x14ac:dyDescent="0.25">
      <c r="A414" s="30">
        <v>45715</v>
      </c>
      <c r="B414" s="28">
        <v>404</v>
      </c>
      <c r="C414" s="28"/>
      <c r="D414" s="2" t="s">
        <v>465</v>
      </c>
      <c r="E414" s="7" t="s">
        <v>668</v>
      </c>
      <c r="F414" s="7"/>
      <c r="G414" s="2" t="s">
        <v>13</v>
      </c>
      <c r="H414" s="2" t="s">
        <v>55</v>
      </c>
      <c r="I414" s="5">
        <v>4489.09</v>
      </c>
      <c r="J414" s="57"/>
      <c r="K414" s="3">
        <v>48</v>
      </c>
      <c r="L414" s="2" t="s">
        <v>64</v>
      </c>
      <c r="M414" s="2" t="s">
        <v>12</v>
      </c>
      <c r="N414" s="2" t="s">
        <v>12</v>
      </c>
      <c r="O414" s="2" t="s">
        <v>12</v>
      </c>
      <c r="P414" s="21" t="s">
        <v>12</v>
      </c>
      <c r="Q414" s="3" t="s">
        <v>12</v>
      </c>
      <c r="R414" s="3" t="s">
        <v>12</v>
      </c>
    </row>
    <row r="415" spans="1:18" x14ac:dyDescent="0.25">
      <c r="A415" s="30">
        <v>45715</v>
      </c>
      <c r="B415" s="28">
        <v>405</v>
      </c>
      <c r="C415" s="28"/>
      <c r="D415" s="2" t="s">
        <v>670</v>
      </c>
      <c r="E415" s="7" t="s">
        <v>12</v>
      </c>
      <c r="F415" s="7"/>
      <c r="G415" s="2" t="s">
        <v>13</v>
      </c>
      <c r="H415" s="2" t="s">
        <v>671</v>
      </c>
      <c r="I415" s="5">
        <v>2120.4699999999998</v>
      </c>
      <c r="J415" s="57"/>
      <c r="K415" s="3">
        <v>24</v>
      </c>
      <c r="L415" s="2" t="s">
        <v>226</v>
      </c>
      <c r="M415" s="2" t="s">
        <v>12</v>
      </c>
      <c r="N415" s="2" t="s">
        <v>12</v>
      </c>
      <c r="O415" s="2" t="s">
        <v>12</v>
      </c>
      <c r="P415" s="21" t="s">
        <v>12</v>
      </c>
      <c r="Q415" s="3" t="s">
        <v>12</v>
      </c>
      <c r="R415" s="3" t="s">
        <v>12</v>
      </c>
    </row>
    <row r="416" spans="1:18" x14ac:dyDescent="0.25">
      <c r="A416" s="30">
        <v>45715</v>
      </c>
      <c r="B416" s="28">
        <v>406</v>
      </c>
      <c r="C416" s="28"/>
      <c r="D416" s="2" t="s">
        <v>557</v>
      </c>
      <c r="E416" s="7" t="s">
        <v>672</v>
      </c>
      <c r="F416" s="7"/>
      <c r="G416" s="2" t="s">
        <v>20</v>
      </c>
      <c r="H416" s="2" t="s">
        <v>471</v>
      </c>
      <c r="I416" s="5">
        <v>38701.379999999997</v>
      </c>
      <c r="J416" s="57"/>
      <c r="K416" s="3">
        <v>408</v>
      </c>
      <c r="L416" s="2" t="s">
        <v>226</v>
      </c>
      <c r="M416" s="2" t="s">
        <v>12</v>
      </c>
      <c r="N416" s="2" t="s">
        <v>12</v>
      </c>
      <c r="O416" s="2" t="s">
        <v>12</v>
      </c>
      <c r="P416" s="21" t="s">
        <v>12</v>
      </c>
      <c r="Q416" s="3" t="s">
        <v>12</v>
      </c>
      <c r="R416" s="3" t="s">
        <v>12</v>
      </c>
    </row>
    <row r="417" spans="1:18" x14ac:dyDescent="0.25">
      <c r="A417" s="30">
        <v>45715</v>
      </c>
      <c r="B417" s="28">
        <v>407</v>
      </c>
      <c r="C417" s="28"/>
      <c r="D417" s="2" t="s">
        <v>338</v>
      </c>
      <c r="E417" s="7" t="s">
        <v>12</v>
      </c>
      <c r="F417" s="7"/>
      <c r="G417" s="2" t="s">
        <v>97</v>
      </c>
      <c r="H417" s="2" t="s">
        <v>339</v>
      </c>
      <c r="I417" s="5">
        <v>5992.84</v>
      </c>
      <c r="J417" s="57"/>
      <c r="K417" s="3">
        <v>96</v>
      </c>
      <c r="L417" s="2" t="s">
        <v>226</v>
      </c>
      <c r="M417" s="2" t="s">
        <v>12</v>
      </c>
      <c r="N417" s="2" t="s">
        <v>12</v>
      </c>
      <c r="O417" s="2" t="s">
        <v>12</v>
      </c>
      <c r="P417" s="21" t="s">
        <v>12</v>
      </c>
      <c r="Q417" s="3" t="s">
        <v>12</v>
      </c>
      <c r="R417" s="3" t="s">
        <v>12</v>
      </c>
    </row>
    <row r="418" spans="1:18" x14ac:dyDescent="0.25">
      <c r="A418" s="30">
        <v>45715</v>
      </c>
      <c r="B418" s="28">
        <v>408</v>
      </c>
      <c r="C418" s="28"/>
      <c r="D418" s="2" t="s">
        <v>433</v>
      </c>
      <c r="E418" s="7" t="s">
        <v>12</v>
      </c>
      <c r="F418" s="7"/>
      <c r="G418" s="2" t="s">
        <v>97</v>
      </c>
      <c r="H418" s="2" t="s">
        <v>395</v>
      </c>
      <c r="I418" s="5">
        <v>43857.48</v>
      </c>
      <c r="J418" s="57"/>
      <c r="K418" s="3">
        <v>504</v>
      </c>
      <c r="L418" s="2" t="s">
        <v>226</v>
      </c>
      <c r="M418" s="2" t="s">
        <v>12</v>
      </c>
      <c r="N418" s="2" t="s">
        <v>12</v>
      </c>
      <c r="O418" s="2" t="s">
        <v>12</v>
      </c>
      <c r="P418" s="21" t="s">
        <v>12</v>
      </c>
      <c r="Q418" s="3" t="s">
        <v>12</v>
      </c>
      <c r="R418" s="3" t="s">
        <v>12</v>
      </c>
    </row>
    <row r="419" spans="1:18" x14ac:dyDescent="0.25">
      <c r="A419" s="30">
        <v>45715</v>
      </c>
      <c r="B419" s="28">
        <v>409</v>
      </c>
      <c r="C419" s="28"/>
      <c r="D419" s="2" t="s">
        <v>618</v>
      </c>
      <c r="E419" s="7" t="s">
        <v>673</v>
      </c>
      <c r="F419" s="7"/>
      <c r="G419" s="2" t="s">
        <v>13</v>
      </c>
      <c r="H419" s="2" t="s">
        <v>674</v>
      </c>
      <c r="I419" s="5">
        <v>8492.06</v>
      </c>
      <c r="J419" s="57"/>
      <c r="K419" s="3">
        <v>72</v>
      </c>
      <c r="L419" s="2" t="s">
        <v>226</v>
      </c>
      <c r="M419" s="2" t="s">
        <v>12</v>
      </c>
      <c r="N419" s="2" t="s">
        <v>12</v>
      </c>
      <c r="O419" s="2" t="s">
        <v>12</v>
      </c>
      <c r="P419" s="21" t="s">
        <v>12</v>
      </c>
      <c r="Q419" s="3" t="s">
        <v>12</v>
      </c>
      <c r="R419" s="3" t="s">
        <v>12</v>
      </c>
    </row>
    <row r="420" spans="1:18" x14ac:dyDescent="0.25">
      <c r="A420" s="30">
        <v>45715</v>
      </c>
      <c r="B420" s="28">
        <v>410</v>
      </c>
      <c r="C420" s="28"/>
      <c r="D420" s="2" t="s">
        <v>208</v>
      </c>
      <c r="E420" s="7" t="s">
        <v>675</v>
      </c>
      <c r="F420" s="7"/>
      <c r="G420" s="2" t="s">
        <v>43</v>
      </c>
      <c r="H420" s="2" t="s">
        <v>210</v>
      </c>
      <c r="I420" s="5">
        <v>13020.39</v>
      </c>
      <c r="J420" s="57"/>
      <c r="K420" s="3">
        <v>120</v>
      </c>
      <c r="L420" s="2" t="s">
        <v>226</v>
      </c>
      <c r="M420" s="2" t="s">
        <v>12</v>
      </c>
      <c r="N420" s="2" t="s">
        <v>12</v>
      </c>
      <c r="O420" s="2" t="s">
        <v>12</v>
      </c>
      <c r="P420" s="21" t="s">
        <v>12</v>
      </c>
      <c r="Q420" s="3"/>
      <c r="R420" s="3"/>
    </row>
    <row r="421" spans="1:18" x14ac:dyDescent="0.25">
      <c r="A421" s="30">
        <v>45715</v>
      </c>
      <c r="B421" s="28">
        <v>411</v>
      </c>
      <c r="C421" s="28"/>
      <c r="D421" s="2" t="s">
        <v>676</v>
      </c>
      <c r="E421" s="7" t="s">
        <v>12</v>
      </c>
      <c r="F421" s="7"/>
      <c r="G421" s="2" t="s">
        <v>13</v>
      </c>
      <c r="H421" s="2" t="s">
        <v>677</v>
      </c>
      <c r="I421" s="5">
        <v>206899.58</v>
      </c>
      <c r="J421" s="57"/>
      <c r="K421" s="3">
        <v>2880</v>
      </c>
      <c r="L421" s="2" t="s">
        <v>226</v>
      </c>
      <c r="M421" s="2" t="s">
        <v>12</v>
      </c>
      <c r="N421" s="2" t="s">
        <v>12</v>
      </c>
      <c r="O421" s="2" t="s">
        <v>12</v>
      </c>
      <c r="P421" s="21" t="s">
        <v>12</v>
      </c>
      <c r="Q421" s="3" t="s">
        <v>12</v>
      </c>
      <c r="R421" s="3" t="s">
        <v>12</v>
      </c>
    </row>
    <row r="422" spans="1:18" x14ac:dyDescent="0.25">
      <c r="A422" s="30">
        <v>45715</v>
      </c>
      <c r="B422" s="28">
        <v>412</v>
      </c>
      <c r="C422" s="28"/>
      <c r="D422" s="2" t="s">
        <v>497</v>
      </c>
      <c r="E422" s="7" t="s">
        <v>678</v>
      </c>
      <c r="F422" s="7"/>
      <c r="G422" s="2" t="s">
        <v>13</v>
      </c>
      <c r="H422" s="2" t="s">
        <v>43</v>
      </c>
      <c r="I422" s="5">
        <v>45489.85</v>
      </c>
      <c r="J422" s="57"/>
      <c r="K422" s="3">
        <v>384</v>
      </c>
      <c r="L422" s="2" t="s">
        <v>226</v>
      </c>
      <c r="M422" s="2" t="s">
        <v>12</v>
      </c>
      <c r="N422" s="2" t="s">
        <v>12</v>
      </c>
      <c r="O422" s="2" t="s">
        <v>12</v>
      </c>
      <c r="P422" s="21" t="s">
        <v>12</v>
      </c>
      <c r="Q422" s="3"/>
      <c r="R422" s="3"/>
    </row>
    <row r="423" spans="1:18" x14ac:dyDescent="0.25">
      <c r="A423" s="30">
        <v>45715</v>
      </c>
      <c r="B423" s="28">
        <v>413</v>
      </c>
      <c r="C423" s="28"/>
      <c r="D423" s="2" t="s">
        <v>393</v>
      </c>
      <c r="E423" s="7" t="s">
        <v>679</v>
      </c>
      <c r="F423" s="7"/>
      <c r="G423" s="2" t="s">
        <v>43</v>
      </c>
      <c r="H423" s="2" t="s">
        <v>395</v>
      </c>
      <c r="I423" s="5">
        <v>29178.2</v>
      </c>
      <c r="J423" s="57"/>
      <c r="K423" s="3">
        <v>288</v>
      </c>
      <c r="L423" s="2" t="s">
        <v>226</v>
      </c>
      <c r="M423" s="2" t="s">
        <v>12</v>
      </c>
      <c r="N423" s="2" t="s">
        <v>12</v>
      </c>
      <c r="O423" s="2" t="s">
        <v>12</v>
      </c>
      <c r="P423" s="21" t="s">
        <v>12</v>
      </c>
      <c r="Q423" s="3"/>
      <c r="R423" s="3"/>
    </row>
    <row r="424" spans="1:18" x14ac:dyDescent="0.25">
      <c r="A424" s="30">
        <v>45715</v>
      </c>
      <c r="B424" s="28">
        <v>414</v>
      </c>
      <c r="C424" s="28"/>
      <c r="D424" s="2" t="s">
        <v>680</v>
      </c>
      <c r="E424" s="7" t="s">
        <v>12</v>
      </c>
      <c r="F424" s="7"/>
      <c r="G424" s="2" t="s">
        <v>13</v>
      </c>
      <c r="H424" s="2" t="s">
        <v>438</v>
      </c>
      <c r="I424" s="5">
        <v>3821.27</v>
      </c>
      <c r="J424" s="57"/>
      <c r="K424" s="3">
        <v>48</v>
      </c>
      <c r="L424" s="2" t="s">
        <v>64</v>
      </c>
      <c r="M424" s="2" t="s">
        <v>12</v>
      </c>
      <c r="N424" s="2" t="s">
        <v>12</v>
      </c>
      <c r="O424" s="2" t="s">
        <v>12</v>
      </c>
      <c r="P424" s="21" t="s">
        <v>12</v>
      </c>
      <c r="Q424" s="3" t="s">
        <v>12</v>
      </c>
      <c r="R424" s="3" t="s">
        <v>12</v>
      </c>
    </row>
    <row r="425" spans="1:18" x14ac:dyDescent="0.25">
      <c r="A425" s="30">
        <v>45715</v>
      </c>
      <c r="B425" s="28">
        <v>415</v>
      </c>
      <c r="C425" s="28"/>
      <c r="D425" s="2" t="s">
        <v>87</v>
      </c>
      <c r="E425" s="7" t="s">
        <v>681</v>
      </c>
      <c r="F425" s="7"/>
      <c r="G425" s="2" t="s">
        <v>13</v>
      </c>
      <c r="H425" s="2" t="s">
        <v>185</v>
      </c>
      <c r="I425" s="5">
        <v>313439.17</v>
      </c>
      <c r="J425" s="57"/>
      <c r="K425" s="3">
        <v>1320</v>
      </c>
      <c r="L425" s="2" t="s">
        <v>226</v>
      </c>
      <c r="M425" s="2" t="s">
        <v>12</v>
      </c>
      <c r="N425" s="2" t="s">
        <v>12</v>
      </c>
      <c r="O425" s="2" t="s">
        <v>12</v>
      </c>
      <c r="P425" s="21" t="s">
        <v>12</v>
      </c>
      <c r="Q425" s="3"/>
      <c r="R425" s="3"/>
    </row>
    <row r="426" spans="1:18" x14ac:dyDescent="0.25">
      <c r="A426" s="30">
        <v>45715</v>
      </c>
      <c r="B426" s="28">
        <v>416</v>
      </c>
      <c r="C426" s="28"/>
      <c r="D426" s="2" t="s">
        <v>160</v>
      </c>
      <c r="E426" s="7" t="s">
        <v>682</v>
      </c>
      <c r="F426" s="7"/>
      <c r="G426" s="2" t="s">
        <v>13</v>
      </c>
      <c r="H426" s="2" t="s">
        <v>162</v>
      </c>
      <c r="I426" s="5">
        <v>17359.27</v>
      </c>
      <c r="J426" s="57"/>
      <c r="K426" s="3">
        <v>96</v>
      </c>
      <c r="L426" s="2" t="s">
        <v>226</v>
      </c>
      <c r="M426" s="2" t="s">
        <v>12</v>
      </c>
      <c r="N426" s="2" t="s">
        <v>12</v>
      </c>
      <c r="O426" s="2" t="s">
        <v>12</v>
      </c>
      <c r="P426" s="21" t="s">
        <v>12</v>
      </c>
      <c r="Q426" s="3" t="s">
        <v>12</v>
      </c>
      <c r="R426" s="3" t="s">
        <v>12</v>
      </c>
    </row>
    <row r="427" spans="1:18" x14ac:dyDescent="0.25">
      <c r="A427" s="30">
        <v>45716</v>
      </c>
      <c r="B427" s="28">
        <v>417</v>
      </c>
      <c r="C427" s="28"/>
      <c r="D427" s="2" t="s">
        <v>301</v>
      </c>
      <c r="E427" s="7" t="s">
        <v>12</v>
      </c>
      <c r="F427" s="7"/>
      <c r="G427" s="2" t="s">
        <v>26</v>
      </c>
      <c r="H427" s="2" t="s">
        <v>302</v>
      </c>
      <c r="I427" s="5">
        <v>13405.98</v>
      </c>
      <c r="J427" s="57"/>
      <c r="K427" s="3">
        <v>240</v>
      </c>
      <c r="L427" s="2" t="s">
        <v>226</v>
      </c>
      <c r="M427" s="2" t="s">
        <v>12</v>
      </c>
      <c r="N427" s="2" t="s">
        <v>12</v>
      </c>
      <c r="O427" s="2" t="s">
        <v>12</v>
      </c>
      <c r="P427" s="21" t="s">
        <v>12</v>
      </c>
      <c r="Q427" s="3" t="s">
        <v>12</v>
      </c>
      <c r="R427" s="3" t="s">
        <v>12</v>
      </c>
    </row>
    <row r="428" spans="1:18" x14ac:dyDescent="0.25">
      <c r="A428" s="30">
        <v>45715</v>
      </c>
      <c r="B428" s="28">
        <v>418</v>
      </c>
      <c r="C428" s="28"/>
      <c r="D428" s="2" t="s">
        <v>109</v>
      </c>
      <c r="E428" s="7" t="s">
        <v>683</v>
      </c>
      <c r="F428" s="7"/>
      <c r="G428" s="2" t="s">
        <v>111</v>
      </c>
      <c r="H428" s="2" t="s">
        <v>395</v>
      </c>
      <c r="I428" s="5">
        <v>179061.82</v>
      </c>
      <c r="J428" s="57"/>
      <c r="K428" s="3">
        <v>1608</v>
      </c>
      <c r="L428" s="2" t="s">
        <v>226</v>
      </c>
      <c r="M428" s="2" t="s">
        <v>12</v>
      </c>
      <c r="N428" s="2" t="s">
        <v>12</v>
      </c>
      <c r="O428" s="2" t="s">
        <v>12</v>
      </c>
      <c r="P428" s="21" t="s">
        <v>12</v>
      </c>
      <c r="Q428" s="3" t="s">
        <v>12</v>
      </c>
      <c r="R428" s="3" t="s">
        <v>12</v>
      </c>
    </row>
    <row r="429" spans="1:18" x14ac:dyDescent="0.25">
      <c r="A429" s="30">
        <v>45715</v>
      </c>
      <c r="B429" s="28">
        <v>419</v>
      </c>
      <c r="C429" s="28"/>
      <c r="D429" s="2" t="s">
        <v>684</v>
      </c>
      <c r="E429" s="7" t="s">
        <v>685</v>
      </c>
      <c r="F429" s="7"/>
      <c r="G429" s="2" t="s">
        <v>43</v>
      </c>
      <c r="H429" s="2" t="s">
        <v>686</v>
      </c>
      <c r="I429" s="5">
        <v>44873.95</v>
      </c>
      <c r="J429" s="57"/>
      <c r="K429" s="3">
        <v>408</v>
      </c>
      <c r="L429" s="2" t="s">
        <v>226</v>
      </c>
      <c r="M429" s="2" t="s">
        <v>1271</v>
      </c>
      <c r="N429" s="2" t="s">
        <v>12</v>
      </c>
      <c r="O429" s="2" t="s">
        <v>12</v>
      </c>
      <c r="P429" s="21" t="s">
        <v>12</v>
      </c>
      <c r="Q429" s="3" t="s">
        <v>12</v>
      </c>
      <c r="R429" s="3" t="s">
        <v>12</v>
      </c>
    </row>
    <row r="430" spans="1:18" x14ac:dyDescent="0.25">
      <c r="A430" s="30">
        <v>45715</v>
      </c>
      <c r="B430" s="28">
        <v>420</v>
      </c>
      <c r="C430" s="28"/>
      <c r="D430" s="2" t="s">
        <v>684</v>
      </c>
      <c r="E430" s="7" t="s">
        <v>687</v>
      </c>
      <c r="F430" s="7"/>
      <c r="G430" s="2" t="s">
        <v>43</v>
      </c>
      <c r="H430" s="2" t="s">
        <v>686</v>
      </c>
      <c r="I430" s="5">
        <v>44873.95</v>
      </c>
      <c r="J430" s="57"/>
      <c r="K430" s="3">
        <v>408</v>
      </c>
      <c r="L430" s="2" t="s">
        <v>226</v>
      </c>
      <c r="M430" s="2" t="s">
        <v>1271</v>
      </c>
      <c r="N430" s="2" t="s">
        <v>12</v>
      </c>
      <c r="O430" s="2" t="s">
        <v>12</v>
      </c>
      <c r="P430" s="21" t="s">
        <v>12</v>
      </c>
      <c r="Q430" s="3" t="s">
        <v>12</v>
      </c>
      <c r="R430" s="3" t="s">
        <v>12</v>
      </c>
    </row>
    <row r="431" spans="1:18" x14ac:dyDescent="0.25">
      <c r="A431" s="30">
        <v>45715</v>
      </c>
      <c r="B431" s="28">
        <v>421</v>
      </c>
      <c r="C431" s="28"/>
      <c r="D431" s="2" t="s">
        <v>684</v>
      </c>
      <c r="E431" s="7" t="s">
        <v>688</v>
      </c>
      <c r="F431" s="7"/>
      <c r="G431" s="2" t="s">
        <v>43</v>
      </c>
      <c r="H431" s="2" t="s">
        <v>686</v>
      </c>
      <c r="I431" s="5">
        <v>44873.95</v>
      </c>
      <c r="J431" s="57"/>
      <c r="K431" s="3">
        <v>408</v>
      </c>
      <c r="L431" s="2" t="s">
        <v>226</v>
      </c>
      <c r="M431" s="2" t="s">
        <v>1271</v>
      </c>
      <c r="N431" s="2" t="s">
        <v>12</v>
      </c>
      <c r="O431" s="2" t="s">
        <v>12</v>
      </c>
      <c r="P431" s="21" t="s">
        <v>12</v>
      </c>
      <c r="Q431" s="3" t="s">
        <v>12</v>
      </c>
      <c r="R431" s="3" t="s">
        <v>12</v>
      </c>
    </row>
    <row r="432" spans="1:18" x14ac:dyDescent="0.25">
      <c r="A432" s="30">
        <v>45715</v>
      </c>
      <c r="B432" s="28">
        <v>422</v>
      </c>
      <c r="C432" s="28"/>
      <c r="D432" s="2" t="s">
        <v>684</v>
      </c>
      <c r="E432" s="7" t="s">
        <v>689</v>
      </c>
      <c r="F432" s="7"/>
      <c r="G432" s="2" t="s">
        <v>43</v>
      </c>
      <c r="H432" s="2" t="s">
        <v>686</v>
      </c>
      <c r="I432" s="5">
        <v>48305.3</v>
      </c>
      <c r="J432" s="57"/>
      <c r="K432" s="3">
        <v>456</v>
      </c>
      <c r="L432" s="2" t="s">
        <v>226</v>
      </c>
      <c r="M432" s="2" t="s">
        <v>1271</v>
      </c>
      <c r="N432" s="2" t="s">
        <v>12</v>
      </c>
      <c r="O432" s="2" t="s">
        <v>12</v>
      </c>
      <c r="P432" s="21" t="s">
        <v>12</v>
      </c>
      <c r="Q432" s="3" t="s">
        <v>12</v>
      </c>
      <c r="R432" s="3" t="s">
        <v>12</v>
      </c>
    </row>
    <row r="433" spans="1:18" x14ac:dyDescent="0.25">
      <c r="A433" s="30">
        <v>45716</v>
      </c>
      <c r="B433" s="28">
        <v>423</v>
      </c>
      <c r="C433" s="28"/>
      <c r="D433" s="2" t="s">
        <v>160</v>
      </c>
      <c r="E433" s="7" t="s">
        <v>690</v>
      </c>
      <c r="F433" s="7"/>
      <c r="G433" s="2" t="s">
        <v>13</v>
      </c>
      <c r="H433" s="2" t="s">
        <v>162</v>
      </c>
      <c r="I433" s="5">
        <v>16699.8</v>
      </c>
      <c r="J433" s="57"/>
      <c r="K433" s="3">
        <v>192</v>
      </c>
      <c r="L433" s="2" t="s">
        <v>226</v>
      </c>
      <c r="M433" s="2" t="s">
        <v>12</v>
      </c>
      <c r="N433" s="2" t="s">
        <v>12</v>
      </c>
      <c r="O433" s="2" t="s">
        <v>12</v>
      </c>
      <c r="P433" s="21" t="s">
        <v>12</v>
      </c>
      <c r="Q433" s="3"/>
      <c r="R433" s="3"/>
    </row>
    <row r="434" spans="1:18" x14ac:dyDescent="0.25">
      <c r="A434" s="30">
        <v>45716</v>
      </c>
      <c r="B434" s="28">
        <v>424</v>
      </c>
      <c r="C434" s="28"/>
      <c r="D434" s="2" t="s">
        <v>691</v>
      </c>
      <c r="E434" s="7" t="s">
        <v>12</v>
      </c>
      <c r="F434" s="7"/>
      <c r="G434" s="2" t="s">
        <v>13</v>
      </c>
      <c r="H434" s="2" t="s">
        <v>535</v>
      </c>
      <c r="I434" s="5">
        <v>26417.03</v>
      </c>
      <c r="J434" s="57"/>
      <c r="K434" s="3">
        <v>456</v>
      </c>
      <c r="L434" s="2" t="s">
        <v>226</v>
      </c>
      <c r="M434" s="2" t="s">
        <v>12</v>
      </c>
      <c r="N434" s="2" t="s">
        <v>12</v>
      </c>
      <c r="O434" s="2" t="s">
        <v>12</v>
      </c>
      <c r="P434" s="21" t="s">
        <v>12</v>
      </c>
      <c r="Q434" s="3" t="s">
        <v>12</v>
      </c>
      <c r="R434" s="3" t="s">
        <v>12</v>
      </c>
    </row>
    <row r="435" spans="1:18" x14ac:dyDescent="0.25">
      <c r="A435" s="30">
        <v>45716</v>
      </c>
      <c r="B435" s="28">
        <v>425</v>
      </c>
      <c r="C435" s="28"/>
      <c r="D435" s="2" t="s">
        <v>256</v>
      </c>
      <c r="E435" s="7" t="s">
        <v>12</v>
      </c>
      <c r="F435" s="7"/>
      <c r="G435" s="2" t="s">
        <v>20</v>
      </c>
      <c r="H435" s="2" t="s">
        <v>257</v>
      </c>
      <c r="I435" s="5">
        <v>20713.490000000002</v>
      </c>
      <c r="J435" s="57"/>
      <c r="K435" s="3">
        <v>240</v>
      </c>
      <c r="L435" s="2" t="s">
        <v>64</v>
      </c>
      <c r="M435" s="2" t="s">
        <v>12</v>
      </c>
      <c r="N435" s="2" t="s">
        <v>12</v>
      </c>
      <c r="O435" s="2" t="s">
        <v>12</v>
      </c>
      <c r="P435" s="21" t="s">
        <v>12</v>
      </c>
      <c r="Q435" s="3" t="s">
        <v>12</v>
      </c>
      <c r="R435" s="3" t="s">
        <v>12</v>
      </c>
    </row>
    <row r="436" spans="1:18" x14ac:dyDescent="0.25">
      <c r="A436" s="30">
        <v>45721</v>
      </c>
      <c r="B436" s="28">
        <v>426</v>
      </c>
      <c r="C436" s="28"/>
      <c r="D436" s="2" t="s">
        <v>692</v>
      </c>
      <c r="E436" s="7" t="s">
        <v>693</v>
      </c>
      <c r="F436" s="7"/>
      <c r="G436" s="2" t="s">
        <v>97</v>
      </c>
      <c r="H436" s="2" t="s">
        <v>20</v>
      </c>
      <c r="I436" s="5">
        <v>14415.77</v>
      </c>
      <c r="J436" s="57"/>
      <c r="K436" s="3">
        <v>106.6</v>
      </c>
      <c r="L436" s="2" t="s">
        <v>226</v>
      </c>
      <c r="M436" s="2" t="s">
        <v>12</v>
      </c>
      <c r="N436" s="2" t="s">
        <v>12</v>
      </c>
      <c r="O436" s="2" t="s">
        <v>12</v>
      </c>
      <c r="P436" s="21" t="s">
        <v>12</v>
      </c>
      <c r="Q436" s="3"/>
      <c r="R436" s="3"/>
    </row>
    <row r="437" spans="1:18" x14ac:dyDescent="0.25">
      <c r="A437" s="30">
        <v>45721</v>
      </c>
      <c r="B437" s="28">
        <v>427</v>
      </c>
      <c r="C437" s="28"/>
      <c r="D437" s="2" t="s">
        <v>692</v>
      </c>
      <c r="E437" s="7" t="s">
        <v>694</v>
      </c>
      <c r="F437" s="7"/>
      <c r="G437" s="2" t="s">
        <v>97</v>
      </c>
      <c r="H437" s="2" t="s">
        <v>20</v>
      </c>
      <c r="I437" s="5">
        <v>25586.79</v>
      </c>
      <c r="J437" s="57"/>
      <c r="K437" s="3">
        <v>200.4</v>
      </c>
      <c r="L437" s="2" t="s">
        <v>226</v>
      </c>
      <c r="M437" s="2" t="s">
        <v>12</v>
      </c>
      <c r="N437" s="2" t="s">
        <v>12</v>
      </c>
      <c r="O437" s="2" t="s">
        <v>12</v>
      </c>
      <c r="P437" s="21" t="s">
        <v>12</v>
      </c>
      <c r="Q437" s="3"/>
      <c r="R437" s="3"/>
    </row>
    <row r="438" spans="1:18" x14ac:dyDescent="0.25">
      <c r="A438" s="30">
        <v>45721</v>
      </c>
      <c r="B438" s="28">
        <v>428</v>
      </c>
      <c r="C438" s="28"/>
      <c r="D438" s="2" t="s">
        <v>692</v>
      </c>
      <c r="E438" s="7" t="s">
        <v>695</v>
      </c>
      <c r="F438" s="7"/>
      <c r="G438" s="2" t="s">
        <v>97</v>
      </c>
      <c r="H438" s="2" t="s">
        <v>20</v>
      </c>
      <c r="I438" s="5">
        <v>13706.68</v>
      </c>
      <c r="J438" s="57"/>
      <c r="K438" s="3">
        <v>100.8</v>
      </c>
      <c r="L438" s="2" t="s">
        <v>226</v>
      </c>
      <c r="M438" s="2" t="s">
        <v>12</v>
      </c>
      <c r="N438" s="2" t="s">
        <v>12</v>
      </c>
      <c r="O438" s="2" t="s">
        <v>12</v>
      </c>
      <c r="P438" s="21" t="s">
        <v>12</v>
      </c>
      <c r="Q438" s="3"/>
      <c r="R438" s="3"/>
    </row>
    <row r="439" spans="1:18" x14ac:dyDescent="0.25">
      <c r="A439" s="30">
        <v>45721</v>
      </c>
      <c r="B439" s="28">
        <v>429</v>
      </c>
      <c r="C439" s="28"/>
      <c r="D439" s="2" t="s">
        <v>696</v>
      </c>
      <c r="E439" s="7" t="s">
        <v>12</v>
      </c>
      <c r="F439" s="7"/>
      <c r="G439" s="2" t="s">
        <v>97</v>
      </c>
      <c r="H439" s="2" t="s">
        <v>119</v>
      </c>
      <c r="I439" s="5">
        <v>416.4</v>
      </c>
      <c r="J439" s="57"/>
      <c r="K439" s="3" t="s">
        <v>12</v>
      </c>
      <c r="L439" s="2" t="s">
        <v>64</v>
      </c>
      <c r="M439" s="2" t="s">
        <v>12</v>
      </c>
      <c r="N439" s="2" t="s">
        <v>12</v>
      </c>
      <c r="O439" s="2" t="s">
        <v>12</v>
      </c>
      <c r="P439" s="21" t="s">
        <v>12</v>
      </c>
      <c r="Q439" s="3" t="s">
        <v>12</v>
      </c>
      <c r="R439" s="3" t="s">
        <v>12</v>
      </c>
    </row>
    <row r="440" spans="1:18" x14ac:dyDescent="0.25">
      <c r="A440" s="30">
        <v>45721</v>
      </c>
      <c r="B440" s="28">
        <v>430</v>
      </c>
      <c r="C440" s="28"/>
      <c r="D440" s="2" t="s">
        <v>697</v>
      </c>
      <c r="E440" s="7" t="s">
        <v>698</v>
      </c>
      <c r="F440" s="7"/>
      <c r="G440" s="2" t="s">
        <v>43</v>
      </c>
      <c r="H440" s="2" t="s">
        <v>121</v>
      </c>
      <c r="I440" s="5">
        <v>198867.93</v>
      </c>
      <c r="J440" s="57"/>
      <c r="K440" s="3">
        <v>1680</v>
      </c>
      <c r="L440" s="2" t="s">
        <v>226</v>
      </c>
      <c r="M440" s="2" t="s">
        <v>12</v>
      </c>
      <c r="N440" s="2" t="s">
        <v>12</v>
      </c>
      <c r="O440" s="2" t="s">
        <v>12</v>
      </c>
      <c r="P440" s="21" t="s">
        <v>12</v>
      </c>
      <c r="Q440" s="3"/>
      <c r="R440" s="3"/>
    </row>
    <row r="441" spans="1:18" x14ac:dyDescent="0.25">
      <c r="A441" s="30">
        <v>45721</v>
      </c>
      <c r="B441" s="28">
        <v>431</v>
      </c>
      <c r="C441" s="28"/>
      <c r="D441" s="2" t="s">
        <v>95</v>
      </c>
      <c r="E441" s="7" t="s">
        <v>12</v>
      </c>
      <c r="F441" s="7"/>
      <c r="G441" s="2" t="s">
        <v>97</v>
      </c>
      <c r="H441" s="2" t="s">
        <v>63</v>
      </c>
      <c r="I441" s="5">
        <v>5006.8900000000003</v>
      </c>
      <c r="J441" s="57"/>
      <c r="K441" s="3" t="s">
        <v>12</v>
      </c>
      <c r="L441" s="2" t="s">
        <v>64</v>
      </c>
      <c r="M441" s="2" t="s">
        <v>12</v>
      </c>
      <c r="N441" s="2" t="s">
        <v>12</v>
      </c>
      <c r="O441" s="2" t="s">
        <v>12</v>
      </c>
      <c r="P441" s="21" t="s">
        <v>12</v>
      </c>
      <c r="Q441" s="3" t="s">
        <v>12</v>
      </c>
      <c r="R441" s="3" t="s">
        <v>12</v>
      </c>
    </row>
    <row r="442" spans="1:18" x14ac:dyDescent="0.25">
      <c r="A442" s="30">
        <v>45721</v>
      </c>
      <c r="B442" s="28">
        <v>432</v>
      </c>
      <c r="C442" s="28"/>
      <c r="D442" s="2" t="s">
        <v>557</v>
      </c>
      <c r="E442" s="7" t="s">
        <v>700</v>
      </c>
      <c r="F442" s="7"/>
      <c r="G442" s="2" t="s">
        <v>20</v>
      </c>
      <c r="H442" s="2" t="s">
        <v>471</v>
      </c>
      <c r="I442" s="5">
        <v>159025.39000000001</v>
      </c>
      <c r="J442" s="57"/>
      <c r="K442" s="3">
        <v>1296</v>
      </c>
      <c r="L442" s="2" t="s">
        <v>226</v>
      </c>
      <c r="M442" s="2" t="s">
        <v>1690</v>
      </c>
      <c r="N442" s="2" t="s">
        <v>12</v>
      </c>
      <c r="O442" s="2" t="s">
        <v>12</v>
      </c>
      <c r="P442" s="21" t="s">
        <v>12</v>
      </c>
      <c r="Q442" s="3"/>
      <c r="R442" s="3"/>
    </row>
    <row r="443" spans="1:18" x14ac:dyDescent="0.25">
      <c r="A443" s="30">
        <v>45721</v>
      </c>
      <c r="B443" s="28">
        <v>433</v>
      </c>
      <c r="C443" s="28"/>
      <c r="D443" s="2" t="s">
        <v>109</v>
      </c>
      <c r="E443" s="7" t="s">
        <v>701</v>
      </c>
      <c r="F443" s="7"/>
      <c r="G443" s="2" t="s">
        <v>111</v>
      </c>
      <c r="H443" s="2" t="s">
        <v>395</v>
      </c>
      <c r="I443" s="5">
        <v>9431.6299999999992</v>
      </c>
      <c r="J443" s="57"/>
      <c r="K443" s="3">
        <v>96</v>
      </c>
      <c r="L443" s="2" t="s">
        <v>226</v>
      </c>
      <c r="M443" s="2" t="s">
        <v>12</v>
      </c>
      <c r="N443" s="2" t="s">
        <v>12</v>
      </c>
      <c r="O443" s="2" t="s">
        <v>12</v>
      </c>
      <c r="P443" s="21" t="s">
        <v>12</v>
      </c>
      <c r="Q443" s="3" t="s">
        <v>12</v>
      </c>
      <c r="R443" s="3" t="s">
        <v>12</v>
      </c>
    </row>
    <row r="444" spans="1:18" x14ac:dyDescent="0.25">
      <c r="A444" s="30">
        <v>45693</v>
      </c>
      <c r="B444" s="28">
        <v>434</v>
      </c>
      <c r="C444" s="28"/>
      <c r="D444" s="2" t="s">
        <v>109</v>
      </c>
      <c r="E444" s="7" t="s">
        <v>702</v>
      </c>
      <c r="F444" s="7"/>
      <c r="G444" s="2" t="s">
        <v>111</v>
      </c>
      <c r="H444" s="2" t="s">
        <v>395</v>
      </c>
      <c r="I444" s="5">
        <v>10160.15</v>
      </c>
      <c r="J444" s="57"/>
      <c r="K444" s="3">
        <v>96</v>
      </c>
      <c r="L444" s="2" t="s">
        <v>226</v>
      </c>
      <c r="M444" s="2" t="s">
        <v>12</v>
      </c>
      <c r="N444" s="2" t="s">
        <v>12</v>
      </c>
      <c r="O444" s="2" t="s">
        <v>12</v>
      </c>
      <c r="P444" s="21" t="s">
        <v>12</v>
      </c>
      <c r="Q444" s="3" t="s">
        <v>12</v>
      </c>
      <c r="R444" s="3" t="s">
        <v>12</v>
      </c>
    </row>
    <row r="445" spans="1:18" x14ac:dyDescent="0.25">
      <c r="A445" s="30">
        <v>45693</v>
      </c>
      <c r="B445" s="28">
        <v>435</v>
      </c>
      <c r="C445" s="28"/>
      <c r="D445" s="2" t="s">
        <v>109</v>
      </c>
      <c r="E445" s="7" t="s">
        <v>703</v>
      </c>
      <c r="F445" s="7"/>
      <c r="G445" s="2" t="s">
        <v>111</v>
      </c>
      <c r="H445" s="2" t="s">
        <v>395</v>
      </c>
      <c r="I445" s="5">
        <v>10223.86</v>
      </c>
      <c r="J445" s="57"/>
      <c r="K445" s="3">
        <v>96</v>
      </c>
      <c r="L445" s="2" t="s">
        <v>226</v>
      </c>
      <c r="M445" s="2" t="s">
        <v>12</v>
      </c>
      <c r="N445" s="2" t="s">
        <v>12</v>
      </c>
      <c r="O445" s="2" t="s">
        <v>12</v>
      </c>
      <c r="P445" s="21"/>
      <c r="Q445" s="3" t="s">
        <v>12</v>
      </c>
      <c r="R445" s="3" t="s">
        <v>12</v>
      </c>
    </row>
    <row r="446" spans="1:18" x14ac:dyDescent="0.25">
      <c r="A446" s="30">
        <v>45693</v>
      </c>
      <c r="B446" s="28">
        <v>436</v>
      </c>
      <c r="C446" s="28"/>
      <c r="D446" s="2" t="s">
        <v>557</v>
      </c>
      <c r="E446" s="7" t="s">
        <v>704</v>
      </c>
      <c r="F446" s="7"/>
      <c r="G446" s="2" t="s">
        <v>20</v>
      </c>
      <c r="H446" s="2" t="s">
        <v>471</v>
      </c>
      <c r="I446" s="5">
        <v>29572.17</v>
      </c>
      <c r="J446" s="57"/>
      <c r="K446" s="3">
        <v>312</v>
      </c>
      <c r="L446" s="2" t="s">
        <v>64</v>
      </c>
      <c r="M446" s="2" t="s">
        <v>530</v>
      </c>
      <c r="N446" s="2" t="s">
        <v>12</v>
      </c>
      <c r="O446" s="2" t="s">
        <v>12</v>
      </c>
      <c r="P446" s="21" t="s">
        <v>12</v>
      </c>
      <c r="Q446" s="3"/>
      <c r="R446" s="3"/>
    </row>
    <row r="447" spans="1:18" x14ac:dyDescent="0.25">
      <c r="A447" s="30">
        <v>45721</v>
      </c>
      <c r="B447" s="28">
        <v>437</v>
      </c>
      <c r="C447" s="28"/>
      <c r="D447" s="2" t="s">
        <v>256</v>
      </c>
      <c r="E447" s="7" t="s">
        <v>705</v>
      </c>
      <c r="F447" s="7"/>
      <c r="G447" s="2" t="s">
        <v>20</v>
      </c>
      <c r="H447" s="2" t="s">
        <v>257</v>
      </c>
      <c r="I447" s="5">
        <v>21337.08</v>
      </c>
      <c r="J447" s="57"/>
      <c r="K447" s="3">
        <v>264</v>
      </c>
      <c r="L447" s="2" t="s">
        <v>134</v>
      </c>
      <c r="M447" s="2" t="s">
        <v>759</v>
      </c>
      <c r="N447" s="2" t="s">
        <v>12</v>
      </c>
      <c r="O447" s="2" t="s">
        <v>12</v>
      </c>
      <c r="P447" s="21" t="s">
        <v>12</v>
      </c>
      <c r="Q447" s="3" t="s">
        <v>12</v>
      </c>
      <c r="R447" s="3" t="s">
        <v>12</v>
      </c>
    </row>
    <row r="448" spans="1:18" x14ac:dyDescent="0.25">
      <c r="A448" s="30">
        <v>45721</v>
      </c>
      <c r="B448" s="28">
        <v>438</v>
      </c>
      <c r="C448" s="28"/>
      <c r="D448" s="2" t="s">
        <v>176</v>
      </c>
      <c r="E448" s="7" t="s">
        <v>12</v>
      </c>
      <c r="F448" s="7"/>
      <c r="G448" s="2" t="s">
        <v>13</v>
      </c>
      <c r="H448" s="2" t="s">
        <v>177</v>
      </c>
      <c r="I448" s="5">
        <v>1393.92</v>
      </c>
      <c r="J448" s="57"/>
      <c r="K448" s="3" t="s">
        <v>12</v>
      </c>
      <c r="L448" s="2" t="s">
        <v>226</v>
      </c>
      <c r="M448" s="2" t="s">
        <v>12</v>
      </c>
      <c r="N448" s="2" t="s">
        <v>12</v>
      </c>
      <c r="O448" s="2" t="s">
        <v>12</v>
      </c>
      <c r="P448" s="21" t="s">
        <v>12</v>
      </c>
      <c r="Q448" s="3" t="s">
        <v>12</v>
      </c>
      <c r="R448" s="3" t="s">
        <v>12</v>
      </c>
    </row>
    <row r="449" spans="1:18" x14ac:dyDescent="0.25">
      <c r="A449" s="30">
        <v>45722</v>
      </c>
      <c r="B449" s="28">
        <v>439</v>
      </c>
      <c r="C449" s="28"/>
      <c r="D449" s="2" t="s">
        <v>23</v>
      </c>
      <c r="E449" s="7" t="s">
        <v>716</v>
      </c>
      <c r="F449" s="7"/>
      <c r="G449" s="2" t="s">
        <v>20</v>
      </c>
      <c r="H449" s="2" t="s">
        <v>32</v>
      </c>
      <c r="I449" s="5">
        <v>9401.2900000000009</v>
      </c>
      <c r="J449" s="57"/>
      <c r="K449" s="3">
        <v>120</v>
      </c>
      <c r="L449" s="2" t="s">
        <v>134</v>
      </c>
      <c r="M449" s="2" t="s">
        <v>528</v>
      </c>
      <c r="N449" s="2" t="s">
        <v>135</v>
      </c>
      <c r="O449" s="2" t="s">
        <v>914</v>
      </c>
      <c r="P449" s="21" t="s">
        <v>12</v>
      </c>
      <c r="Q449" s="3" t="s">
        <v>12</v>
      </c>
      <c r="R449" s="3" t="s">
        <v>12</v>
      </c>
    </row>
    <row r="450" spans="1:18" x14ac:dyDescent="0.25">
      <c r="A450" s="30">
        <v>45722</v>
      </c>
      <c r="B450" s="28">
        <v>440</v>
      </c>
      <c r="C450" s="28"/>
      <c r="D450" s="2" t="s">
        <v>338</v>
      </c>
      <c r="E450" s="7" t="s">
        <v>12</v>
      </c>
      <c r="F450" s="7"/>
      <c r="G450" s="2" t="s">
        <v>97</v>
      </c>
      <c r="H450" s="2" t="s">
        <v>339</v>
      </c>
      <c r="I450" s="5">
        <v>3303.59</v>
      </c>
      <c r="J450" s="57"/>
      <c r="K450" s="3">
        <v>48</v>
      </c>
      <c r="L450" s="2" t="s">
        <v>226</v>
      </c>
      <c r="M450" s="2" t="s">
        <v>12</v>
      </c>
      <c r="N450" s="2" t="s">
        <v>12</v>
      </c>
      <c r="O450" s="2" t="s">
        <v>12</v>
      </c>
      <c r="P450" s="21" t="s">
        <v>12</v>
      </c>
      <c r="Q450" s="3" t="s">
        <v>12</v>
      </c>
      <c r="R450" s="3" t="s">
        <v>12</v>
      </c>
    </row>
    <row r="451" spans="1:18" x14ac:dyDescent="0.25">
      <c r="A451" s="30">
        <v>45726</v>
      </c>
      <c r="B451" s="28">
        <v>441</v>
      </c>
      <c r="C451" s="28"/>
      <c r="D451" s="2" t="s">
        <v>168</v>
      </c>
      <c r="E451" s="7" t="s">
        <v>717</v>
      </c>
      <c r="F451" s="7"/>
      <c r="G451" s="2" t="s">
        <v>43</v>
      </c>
      <c r="H451" s="2" t="s">
        <v>375</v>
      </c>
      <c r="I451" s="5">
        <v>195220.08</v>
      </c>
      <c r="J451" s="57"/>
      <c r="K451" s="3">
        <v>2187.6</v>
      </c>
      <c r="L451" s="2" t="s">
        <v>134</v>
      </c>
      <c r="M451" s="2" t="s">
        <v>836</v>
      </c>
      <c r="N451" s="2" t="s">
        <v>135</v>
      </c>
      <c r="O451" s="2" t="s">
        <v>835</v>
      </c>
      <c r="P451" s="21">
        <v>180000</v>
      </c>
      <c r="Q451" s="3"/>
      <c r="R451" s="3"/>
    </row>
    <row r="452" spans="1:18" x14ac:dyDescent="0.25">
      <c r="A452" s="30">
        <v>45722</v>
      </c>
      <c r="B452" s="28">
        <v>442</v>
      </c>
      <c r="C452" s="28"/>
      <c r="D452" s="2" t="s">
        <v>130</v>
      </c>
      <c r="E452" s="7" t="s">
        <v>718</v>
      </c>
      <c r="F452" s="7"/>
      <c r="G452" s="2" t="s">
        <v>26</v>
      </c>
      <c r="H452" s="2" t="s">
        <v>294</v>
      </c>
      <c r="I452" s="5">
        <v>187105.64</v>
      </c>
      <c r="J452" s="57"/>
      <c r="K452" s="3">
        <v>1632</v>
      </c>
      <c r="L452" s="2" t="s">
        <v>226</v>
      </c>
      <c r="M452" s="2" t="s">
        <v>1280</v>
      </c>
      <c r="N452" s="2" t="s">
        <v>12</v>
      </c>
      <c r="O452" s="2" t="s">
        <v>12</v>
      </c>
      <c r="P452" s="21" t="s">
        <v>12</v>
      </c>
      <c r="Q452" s="3"/>
      <c r="R452" s="3"/>
    </row>
    <row r="453" spans="1:18" x14ac:dyDescent="0.25">
      <c r="A453" s="30">
        <v>45723</v>
      </c>
      <c r="B453" s="28">
        <v>443</v>
      </c>
      <c r="C453" s="28"/>
      <c r="D453" s="2" t="s">
        <v>340</v>
      </c>
      <c r="E453" s="7" t="s">
        <v>719</v>
      </c>
      <c r="F453" s="7"/>
      <c r="G453" s="2" t="s">
        <v>13</v>
      </c>
      <c r="H453" s="2" t="s">
        <v>108</v>
      </c>
      <c r="I453" s="5">
        <v>1454.4</v>
      </c>
      <c r="J453" s="57"/>
      <c r="K453" s="3" t="s">
        <v>12</v>
      </c>
      <c r="L453" s="2" t="s">
        <v>64</v>
      </c>
      <c r="M453" s="2" t="s">
        <v>12</v>
      </c>
      <c r="N453" s="2" t="s">
        <v>12</v>
      </c>
      <c r="O453" s="2" t="s">
        <v>12</v>
      </c>
      <c r="P453" s="21" t="s">
        <v>12</v>
      </c>
      <c r="Q453" s="3" t="s">
        <v>12</v>
      </c>
      <c r="R453" s="3" t="s">
        <v>12</v>
      </c>
    </row>
    <row r="454" spans="1:18" x14ac:dyDescent="0.25">
      <c r="A454" s="30">
        <v>45723</v>
      </c>
      <c r="B454" s="28">
        <v>444</v>
      </c>
      <c r="C454" s="28"/>
      <c r="D454" s="2" t="s">
        <v>720</v>
      </c>
      <c r="E454" s="7" t="s">
        <v>721</v>
      </c>
      <c r="F454" s="7"/>
      <c r="G454" s="2" t="s">
        <v>20</v>
      </c>
      <c r="H454" s="2" t="s">
        <v>722</v>
      </c>
      <c r="I454" s="5">
        <v>49959.19</v>
      </c>
      <c r="J454" s="57"/>
      <c r="K454" s="3">
        <v>480</v>
      </c>
      <c r="L454" s="2" t="s">
        <v>226</v>
      </c>
      <c r="M454" s="2" t="s">
        <v>1031</v>
      </c>
      <c r="N454" s="2" t="s">
        <v>12</v>
      </c>
      <c r="O454" s="2" t="s">
        <v>12</v>
      </c>
      <c r="P454" s="21" t="s">
        <v>12</v>
      </c>
      <c r="Q454" s="3"/>
      <c r="R454" s="3"/>
    </row>
    <row r="455" spans="1:18" x14ac:dyDescent="0.25">
      <c r="A455" s="30">
        <v>45722</v>
      </c>
      <c r="B455" s="28">
        <v>445</v>
      </c>
      <c r="C455" s="28"/>
      <c r="D455" s="2" t="s">
        <v>723</v>
      </c>
      <c r="E455" s="7" t="s">
        <v>724</v>
      </c>
      <c r="F455" s="7"/>
      <c r="G455" s="2" t="s">
        <v>97</v>
      </c>
      <c r="H455" s="2" t="s">
        <v>725</v>
      </c>
      <c r="I455" s="5">
        <v>506.41</v>
      </c>
      <c r="J455" s="57"/>
      <c r="K455" s="3" t="s">
        <v>12</v>
      </c>
      <c r="L455" s="2" t="s">
        <v>64</v>
      </c>
      <c r="M455" s="2" t="s">
        <v>12</v>
      </c>
      <c r="N455" s="2" t="s">
        <v>12</v>
      </c>
      <c r="O455" s="2" t="s">
        <v>12</v>
      </c>
      <c r="P455" s="21" t="s">
        <v>12</v>
      </c>
      <c r="Q455" s="3" t="s">
        <v>12</v>
      </c>
      <c r="R455" s="3" t="s">
        <v>12</v>
      </c>
    </row>
    <row r="456" spans="1:18" x14ac:dyDescent="0.25">
      <c r="A456" s="30">
        <v>45723</v>
      </c>
      <c r="B456" s="28">
        <v>446</v>
      </c>
      <c r="C456" s="28"/>
      <c r="D456" s="2" t="s">
        <v>726</v>
      </c>
      <c r="E456" s="7" t="s">
        <v>12</v>
      </c>
      <c r="F456" s="7"/>
      <c r="G456" s="2" t="s">
        <v>111</v>
      </c>
      <c r="H456" s="2" t="s">
        <v>727</v>
      </c>
      <c r="I456" s="5">
        <v>45312.13</v>
      </c>
      <c r="J456" s="57"/>
      <c r="K456" s="3">
        <v>432</v>
      </c>
      <c r="L456" s="2" t="s">
        <v>64</v>
      </c>
      <c r="M456" s="2" t="s">
        <v>12</v>
      </c>
      <c r="N456" s="2" t="s">
        <v>12</v>
      </c>
      <c r="O456" s="2" t="s">
        <v>12</v>
      </c>
      <c r="P456" s="21" t="s">
        <v>12</v>
      </c>
      <c r="Q456" s="3" t="s">
        <v>12</v>
      </c>
      <c r="R456" s="3" t="s">
        <v>12</v>
      </c>
    </row>
    <row r="457" spans="1:18" x14ac:dyDescent="0.25">
      <c r="A457" s="30">
        <v>45722</v>
      </c>
      <c r="B457" s="28">
        <v>447</v>
      </c>
      <c r="C457" s="28"/>
      <c r="D457" s="2" t="s">
        <v>92</v>
      </c>
      <c r="E457" s="7" t="s">
        <v>728</v>
      </c>
      <c r="F457" s="7"/>
      <c r="G457" s="2" t="s">
        <v>26</v>
      </c>
      <c r="H457" s="2" t="s">
        <v>410</v>
      </c>
      <c r="I457" s="5">
        <v>89688.59</v>
      </c>
      <c r="J457" s="57"/>
      <c r="K457" s="3">
        <v>936</v>
      </c>
      <c r="L457" s="2" t="s">
        <v>226</v>
      </c>
      <c r="M457" s="2" t="s">
        <v>12</v>
      </c>
      <c r="N457" s="2" t="s">
        <v>12</v>
      </c>
      <c r="O457" s="2" t="s">
        <v>12</v>
      </c>
      <c r="P457" s="21" t="s">
        <v>12</v>
      </c>
      <c r="Q457" s="3" t="s">
        <v>12</v>
      </c>
      <c r="R457" s="3" t="s">
        <v>12</v>
      </c>
    </row>
    <row r="458" spans="1:18" x14ac:dyDescent="0.25">
      <c r="A458" s="30">
        <v>45723</v>
      </c>
      <c r="B458" s="28">
        <v>448</v>
      </c>
      <c r="C458" s="28"/>
      <c r="D458" s="2" t="s">
        <v>348</v>
      </c>
      <c r="E458" s="7" t="s">
        <v>1165</v>
      </c>
      <c r="F458" s="7"/>
      <c r="G458" s="2" t="s">
        <v>26</v>
      </c>
      <c r="H458" s="2" t="s">
        <v>350</v>
      </c>
      <c r="I458" s="5">
        <v>125256.91</v>
      </c>
      <c r="J458" s="57"/>
      <c r="K458" s="3">
        <v>1459.2</v>
      </c>
      <c r="L458" s="2" t="s">
        <v>134</v>
      </c>
      <c r="M458" s="2" t="s">
        <v>1160</v>
      </c>
      <c r="N458" s="2" t="s">
        <v>135</v>
      </c>
      <c r="O458" s="2" t="s">
        <v>374</v>
      </c>
      <c r="P458" s="21">
        <v>140000</v>
      </c>
      <c r="Q458" s="3" t="s">
        <v>12</v>
      </c>
      <c r="R458" s="3" t="s">
        <v>12</v>
      </c>
    </row>
    <row r="459" spans="1:18" x14ac:dyDescent="0.25">
      <c r="A459" s="30">
        <v>45723</v>
      </c>
      <c r="B459" s="28">
        <v>449</v>
      </c>
      <c r="C459" s="28"/>
      <c r="D459" s="2" t="s">
        <v>276</v>
      </c>
      <c r="E459" s="7" t="s">
        <v>729</v>
      </c>
      <c r="F459" s="7"/>
      <c r="G459" s="2" t="s">
        <v>43</v>
      </c>
      <c r="H459" s="2" t="s">
        <v>108</v>
      </c>
      <c r="I459" s="5">
        <v>9270.07</v>
      </c>
      <c r="J459" s="57"/>
      <c r="K459" s="3">
        <v>96</v>
      </c>
      <c r="L459" s="2" t="s">
        <v>226</v>
      </c>
      <c r="M459" s="2" t="s">
        <v>12</v>
      </c>
      <c r="N459" s="2" t="s">
        <v>12</v>
      </c>
      <c r="O459" s="2" t="s">
        <v>12</v>
      </c>
      <c r="P459" s="21" t="s">
        <v>12</v>
      </c>
      <c r="Q459" s="3" t="s">
        <v>12</v>
      </c>
      <c r="R459" s="3" t="s">
        <v>12</v>
      </c>
    </row>
    <row r="460" spans="1:18" x14ac:dyDescent="0.25">
      <c r="A460" s="30">
        <v>45723</v>
      </c>
      <c r="B460" s="28">
        <v>450</v>
      </c>
      <c r="C460" s="28"/>
      <c r="D460" s="2" t="s">
        <v>109</v>
      </c>
      <c r="E460" s="7" t="s">
        <v>728</v>
      </c>
      <c r="F460" s="7"/>
      <c r="G460" s="2" t="s">
        <v>111</v>
      </c>
      <c r="H460" s="2" t="s">
        <v>395</v>
      </c>
      <c r="I460" s="5">
        <v>129958.14</v>
      </c>
      <c r="J460" s="57"/>
      <c r="K460" s="3">
        <v>1488</v>
      </c>
      <c r="L460" s="2" t="s">
        <v>226</v>
      </c>
      <c r="M460" s="2" t="s">
        <v>12</v>
      </c>
      <c r="N460" s="2" t="s">
        <v>12</v>
      </c>
      <c r="O460" s="2" t="s">
        <v>12</v>
      </c>
      <c r="P460" s="21" t="s">
        <v>12</v>
      </c>
      <c r="Q460" s="3" t="s">
        <v>12</v>
      </c>
      <c r="R460" s="3" t="s">
        <v>12</v>
      </c>
    </row>
    <row r="461" spans="1:18" x14ac:dyDescent="0.25">
      <c r="A461" s="30">
        <v>45723</v>
      </c>
      <c r="B461" s="28">
        <v>451</v>
      </c>
      <c r="C461" s="28"/>
      <c r="D461" s="2" t="s">
        <v>23</v>
      </c>
      <c r="E461" s="7" t="s">
        <v>730</v>
      </c>
      <c r="F461" s="7"/>
      <c r="G461" s="2" t="s">
        <v>20</v>
      </c>
      <c r="H461" s="2" t="s">
        <v>32</v>
      </c>
      <c r="I461" s="5">
        <v>12386.78</v>
      </c>
      <c r="J461" s="57"/>
      <c r="K461" s="3">
        <v>192</v>
      </c>
      <c r="L461" s="2" t="s">
        <v>134</v>
      </c>
      <c r="M461" s="2" t="s">
        <v>1032</v>
      </c>
      <c r="N461" s="2" t="s">
        <v>135</v>
      </c>
      <c r="O461" s="2" t="s">
        <v>914</v>
      </c>
      <c r="P461" s="21" t="s">
        <v>12</v>
      </c>
      <c r="Q461" s="3" t="s">
        <v>12</v>
      </c>
      <c r="R461" s="3" t="s">
        <v>12</v>
      </c>
    </row>
    <row r="462" spans="1:18" x14ac:dyDescent="0.25">
      <c r="A462" s="30">
        <v>45727</v>
      </c>
      <c r="B462" s="28">
        <v>452</v>
      </c>
      <c r="C462" s="28"/>
      <c r="D462" s="2" t="s">
        <v>723</v>
      </c>
      <c r="E462" s="7" t="s">
        <v>12</v>
      </c>
      <c r="F462" s="7"/>
      <c r="G462" s="2" t="s">
        <v>97</v>
      </c>
      <c r="H462" s="2" t="s">
        <v>725</v>
      </c>
      <c r="I462" s="5">
        <v>390.69</v>
      </c>
      <c r="J462" s="57"/>
      <c r="K462" s="3" t="s">
        <v>12</v>
      </c>
      <c r="L462" s="2" t="s">
        <v>64</v>
      </c>
      <c r="M462" s="2" t="s">
        <v>12</v>
      </c>
      <c r="N462" s="2" t="s">
        <v>12</v>
      </c>
      <c r="O462" s="2" t="s">
        <v>12</v>
      </c>
      <c r="P462" s="21" t="s">
        <v>12</v>
      </c>
      <c r="Q462" s="3" t="s">
        <v>12</v>
      </c>
      <c r="R462" s="3" t="s">
        <v>12</v>
      </c>
    </row>
    <row r="463" spans="1:18" x14ac:dyDescent="0.25">
      <c r="A463" s="30">
        <v>45726</v>
      </c>
      <c r="B463" s="28">
        <v>453</v>
      </c>
      <c r="C463" s="28"/>
      <c r="D463" s="2" t="s">
        <v>731</v>
      </c>
      <c r="E463" s="7" t="s">
        <v>732</v>
      </c>
      <c r="F463" s="7"/>
      <c r="G463" s="2" t="s">
        <v>13</v>
      </c>
      <c r="H463" s="2" t="s">
        <v>733</v>
      </c>
      <c r="I463" s="5">
        <v>20898.73</v>
      </c>
      <c r="J463" s="57"/>
      <c r="K463" s="3">
        <v>216</v>
      </c>
      <c r="L463" s="2" t="s">
        <v>226</v>
      </c>
      <c r="M463" s="2" t="s">
        <v>12</v>
      </c>
      <c r="N463" s="2" t="s">
        <v>12</v>
      </c>
      <c r="O463" s="2" t="s">
        <v>12</v>
      </c>
      <c r="P463" s="21" t="s">
        <v>12</v>
      </c>
      <c r="Q463" s="3" t="s">
        <v>12</v>
      </c>
      <c r="R463" s="3" t="s">
        <v>12</v>
      </c>
    </row>
    <row r="464" spans="1:18" x14ac:dyDescent="0.25">
      <c r="A464" s="30">
        <v>45726</v>
      </c>
      <c r="B464" s="28">
        <v>454</v>
      </c>
      <c r="C464" s="28"/>
      <c r="D464" s="2" t="s">
        <v>734</v>
      </c>
      <c r="E464" s="7" t="s">
        <v>12</v>
      </c>
      <c r="F464" s="7"/>
      <c r="G464" s="2" t="s">
        <v>13</v>
      </c>
      <c r="H464" s="2" t="s">
        <v>735</v>
      </c>
      <c r="I464" s="5">
        <v>358.07</v>
      </c>
      <c r="J464" s="57"/>
      <c r="K464" s="3">
        <v>4.8</v>
      </c>
      <c r="L464" s="2" t="s">
        <v>226</v>
      </c>
      <c r="M464" s="2" t="s">
        <v>12</v>
      </c>
      <c r="N464" s="2" t="s">
        <v>12</v>
      </c>
      <c r="O464" s="2" t="s">
        <v>12</v>
      </c>
      <c r="P464" s="21" t="s">
        <v>12</v>
      </c>
      <c r="Q464" s="3" t="s">
        <v>12</v>
      </c>
      <c r="R464" s="3" t="s">
        <v>12</v>
      </c>
    </row>
    <row r="465" spans="1:18" x14ac:dyDescent="0.25">
      <c r="A465" s="30">
        <v>45726</v>
      </c>
      <c r="B465" s="28">
        <v>455</v>
      </c>
      <c r="C465" s="28"/>
      <c r="D465" s="2" t="s">
        <v>87</v>
      </c>
      <c r="E465" s="7" t="s">
        <v>736</v>
      </c>
      <c r="F465" s="7"/>
      <c r="G465" s="2" t="s">
        <v>13</v>
      </c>
      <c r="H465" s="2" t="s">
        <v>114</v>
      </c>
      <c r="I465" s="5">
        <v>358162.95</v>
      </c>
      <c r="J465" s="57"/>
      <c r="K465" s="3">
        <v>3408</v>
      </c>
      <c r="L465" s="2" t="s">
        <v>226</v>
      </c>
      <c r="M465" s="2" t="s">
        <v>12</v>
      </c>
      <c r="N465" s="2" t="s">
        <v>12</v>
      </c>
      <c r="O465" s="2" t="s">
        <v>12</v>
      </c>
      <c r="P465" s="21" t="s">
        <v>12</v>
      </c>
      <c r="Q465" s="3"/>
      <c r="R465" s="3"/>
    </row>
    <row r="466" spans="1:18" x14ac:dyDescent="0.25">
      <c r="A466" s="30">
        <v>45726</v>
      </c>
      <c r="B466" s="28">
        <v>456</v>
      </c>
      <c r="C466" s="28"/>
      <c r="D466" s="2" t="s">
        <v>737</v>
      </c>
      <c r="E466" s="7" t="s">
        <v>636</v>
      </c>
      <c r="F466" s="7"/>
      <c r="G466" s="2" t="s">
        <v>13</v>
      </c>
      <c r="H466" s="2" t="s">
        <v>235</v>
      </c>
      <c r="I466" s="5">
        <v>47929.57</v>
      </c>
      <c r="J466" s="57"/>
      <c r="K466" s="3">
        <v>720</v>
      </c>
      <c r="L466" s="2" t="s">
        <v>226</v>
      </c>
      <c r="M466" s="2" t="s">
        <v>12</v>
      </c>
      <c r="N466" s="2" t="s">
        <v>12</v>
      </c>
      <c r="O466" s="2" t="s">
        <v>12</v>
      </c>
      <c r="P466" s="21" t="s">
        <v>12</v>
      </c>
      <c r="Q466" s="3" t="s">
        <v>12</v>
      </c>
      <c r="R466" s="3" t="s">
        <v>12</v>
      </c>
    </row>
    <row r="467" spans="1:18" x14ac:dyDescent="0.25">
      <c r="A467" s="30">
        <v>45727</v>
      </c>
      <c r="B467" s="28">
        <v>457</v>
      </c>
      <c r="C467" s="28"/>
      <c r="D467" s="2" t="s">
        <v>106</v>
      </c>
      <c r="E467" s="7" t="s">
        <v>12</v>
      </c>
      <c r="F467" s="7"/>
      <c r="G467" s="2" t="s">
        <v>13</v>
      </c>
      <c r="H467" s="2" t="s">
        <v>40</v>
      </c>
      <c r="I467" s="5">
        <v>2677.82</v>
      </c>
      <c r="J467" s="57"/>
      <c r="K467" s="3" t="s">
        <v>12</v>
      </c>
      <c r="L467" s="2" t="s">
        <v>64</v>
      </c>
      <c r="M467" s="2" t="s">
        <v>12</v>
      </c>
      <c r="N467" s="2" t="s">
        <v>12</v>
      </c>
      <c r="O467" s="2" t="s">
        <v>12</v>
      </c>
      <c r="P467" s="21" t="s">
        <v>12</v>
      </c>
      <c r="Q467" s="3" t="s">
        <v>12</v>
      </c>
      <c r="R467" s="3" t="s">
        <v>12</v>
      </c>
    </row>
    <row r="468" spans="1:18" x14ac:dyDescent="0.25">
      <c r="A468" s="30">
        <v>45728</v>
      </c>
      <c r="B468" s="28">
        <v>458</v>
      </c>
      <c r="C468" s="28"/>
      <c r="D468" s="2" t="s">
        <v>217</v>
      </c>
      <c r="E468" s="7" t="s">
        <v>12</v>
      </c>
      <c r="F468" s="7"/>
      <c r="G468" s="2" t="s">
        <v>13</v>
      </c>
      <c r="H468" s="2" t="s">
        <v>218</v>
      </c>
      <c r="I468" s="5">
        <v>3806.35</v>
      </c>
      <c r="J468" s="57"/>
      <c r="K468" s="3" t="s">
        <v>12</v>
      </c>
      <c r="L468" s="2" t="s">
        <v>226</v>
      </c>
      <c r="M468" s="2" t="s">
        <v>12</v>
      </c>
      <c r="N468" s="2" t="s">
        <v>12</v>
      </c>
      <c r="O468" s="2" t="s">
        <v>12</v>
      </c>
      <c r="P468" s="21" t="s">
        <v>12</v>
      </c>
      <c r="Q468" s="3" t="s">
        <v>12</v>
      </c>
      <c r="R468" s="3" t="s">
        <v>12</v>
      </c>
    </row>
    <row r="469" spans="1:18" x14ac:dyDescent="0.25">
      <c r="A469" s="30">
        <v>45727</v>
      </c>
      <c r="B469" s="28">
        <v>459</v>
      </c>
      <c r="C469" s="28"/>
      <c r="D469" s="2" t="s">
        <v>56</v>
      </c>
      <c r="E469" s="7" t="s">
        <v>738</v>
      </c>
      <c r="F469" s="7"/>
      <c r="G469" s="2" t="s">
        <v>13</v>
      </c>
      <c r="H469" s="2" t="s">
        <v>275</v>
      </c>
      <c r="I469" s="5">
        <v>30792.01</v>
      </c>
      <c r="J469" s="57"/>
      <c r="K469" s="3">
        <v>288</v>
      </c>
      <c r="L469" s="2" t="s">
        <v>226</v>
      </c>
      <c r="M469" s="2" t="s">
        <v>12</v>
      </c>
      <c r="N469" s="2" t="s">
        <v>12</v>
      </c>
      <c r="O469" s="2" t="s">
        <v>12</v>
      </c>
      <c r="P469" s="21" t="s">
        <v>12</v>
      </c>
      <c r="Q469" s="3"/>
      <c r="R469" s="3"/>
    </row>
    <row r="470" spans="1:18" x14ac:dyDescent="0.25">
      <c r="A470" s="30">
        <v>45727</v>
      </c>
      <c r="B470" s="28">
        <v>460</v>
      </c>
      <c r="C470" s="28"/>
      <c r="D470" s="2" t="s">
        <v>56</v>
      </c>
      <c r="E470" s="7" t="s">
        <v>739</v>
      </c>
      <c r="F470" s="7"/>
      <c r="G470" s="2" t="s">
        <v>13</v>
      </c>
      <c r="H470" s="2" t="s">
        <v>275</v>
      </c>
      <c r="I470" s="5">
        <v>20181.29</v>
      </c>
      <c r="J470" s="57"/>
      <c r="K470" s="3">
        <v>192</v>
      </c>
      <c r="L470" s="2" t="s">
        <v>226</v>
      </c>
      <c r="M470" s="2" t="s">
        <v>12</v>
      </c>
      <c r="N470" s="2" t="s">
        <v>12</v>
      </c>
      <c r="O470" s="2" t="s">
        <v>12</v>
      </c>
      <c r="P470" s="21" t="s">
        <v>12</v>
      </c>
      <c r="Q470" s="3" t="s">
        <v>12</v>
      </c>
      <c r="R470" s="3" t="s">
        <v>12</v>
      </c>
    </row>
    <row r="471" spans="1:18" x14ac:dyDescent="0.25">
      <c r="A471" s="30">
        <v>45727</v>
      </c>
      <c r="B471" s="28">
        <v>461</v>
      </c>
      <c r="C471" s="28"/>
      <c r="D471" s="2" t="s">
        <v>95</v>
      </c>
      <c r="E471" s="7" t="s">
        <v>12</v>
      </c>
      <c r="F471" s="7"/>
      <c r="G471" s="2" t="s">
        <v>97</v>
      </c>
      <c r="H471" s="2" t="s">
        <v>63</v>
      </c>
      <c r="I471" s="5">
        <v>15904.12</v>
      </c>
      <c r="J471" s="57"/>
      <c r="K471" s="3">
        <v>120</v>
      </c>
      <c r="L471" s="2" t="s">
        <v>134</v>
      </c>
      <c r="M471" s="2" t="s">
        <v>1009</v>
      </c>
      <c r="N471" s="2" t="s">
        <v>373</v>
      </c>
      <c r="O471" s="2" t="s">
        <v>528</v>
      </c>
      <c r="P471" s="21" t="s">
        <v>12</v>
      </c>
      <c r="Q471" s="3" t="s">
        <v>12</v>
      </c>
      <c r="R471" s="3" t="s">
        <v>12</v>
      </c>
    </row>
    <row r="472" spans="1:18" x14ac:dyDescent="0.25">
      <c r="A472" s="30">
        <v>45728</v>
      </c>
      <c r="B472" s="28">
        <v>462</v>
      </c>
      <c r="C472" s="28"/>
      <c r="D472" s="2" t="s">
        <v>95</v>
      </c>
      <c r="E472" s="7" t="s">
        <v>12</v>
      </c>
      <c r="F472" s="7"/>
      <c r="G472" s="2" t="s">
        <v>97</v>
      </c>
      <c r="H472" s="2" t="s">
        <v>63</v>
      </c>
      <c r="I472" s="5">
        <v>12836.44</v>
      </c>
      <c r="J472" s="57"/>
      <c r="K472" s="3">
        <v>120</v>
      </c>
      <c r="L472" s="2" t="s">
        <v>64</v>
      </c>
      <c r="M472" s="2" t="s">
        <v>12</v>
      </c>
      <c r="N472" s="2" t="s">
        <v>12</v>
      </c>
      <c r="O472" s="2" t="s">
        <v>12</v>
      </c>
      <c r="P472" s="21" t="s">
        <v>12</v>
      </c>
      <c r="Q472" s="3" t="s">
        <v>12</v>
      </c>
      <c r="R472" s="3" t="s">
        <v>12</v>
      </c>
    </row>
    <row r="473" spans="1:18" x14ac:dyDescent="0.25">
      <c r="A473" s="30">
        <v>45727</v>
      </c>
      <c r="B473" s="28">
        <v>463</v>
      </c>
      <c r="C473" s="28"/>
      <c r="D473" s="2" t="s">
        <v>363</v>
      </c>
      <c r="E473" s="7" t="s">
        <v>12</v>
      </c>
      <c r="F473" s="7"/>
      <c r="G473" s="2" t="s">
        <v>13</v>
      </c>
      <c r="H473" s="2" t="s">
        <v>98</v>
      </c>
      <c r="I473" s="5">
        <v>133433.82</v>
      </c>
      <c r="J473" s="57"/>
      <c r="K473" s="3">
        <v>1440</v>
      </c>
      <c r="L473" s="2" t="s">
        <v>226</v>
      </c>
      <c r="M473" s="2" t="s">
        <v>12</v>
      </c>
      <c r="N473" s="2" t="s">
        <v>12</v>
      </c>
      <c r="O473" s="2" t="s">
        <v>12</v>
      </c>
      <c r="P473" s="21" t="s">
        <v>12</v>
      </c>
      <c r="Q473" s="3" t="s">
        <v>12</v>
      </c>
      <c r="R473" s="3" t="s">
        <v>12</v>
      </c>
    </row>
    <row r="474" spans="1:18" x14ac:dyDescent="0.25">
      <c r="A474" s="30">
        <v>45727</v>
      </c>
      <c r="B474" s="28">
        <v>464</v>
      </c>
      <c r="C474" s="28"/>
      <c r="D474" s="2" t="s">
        <v>363</v>
      </c>
      <c r="E474" s="7" t="s">
        <v>12</v>
      </c>
      <c r="F474" s="7"/>
      <c r="G474" s="2" t="s">
        <v>13</v>
      </c>
      <c r="H474" s="2" t="s">
        <v>98</v>
      </c>
      <c r="I474" s="5">
        <v>90013.2</v>
      </c>
      <c r="J474" s="57"/>
      <c r="K474" s="3">
        <v>1440</v>
      </c>
      <c r="L474" s="2" t="s">
        <v>64</v>
      </c>
      <c r="M474" s="2" t="s">
        <v>12</v>
      </c>
      <c r="N474" s="2" t="s">
        <v>12</v>
      </c>
      <c r="O474" s="2" t="s">
        <v>12</v>
      </c>
      <c r="P474" s="21" t="s">
        <v>12</v>
      </c>
      <c r="Q474" s="3" t="s">
        <v>12</v>
      </c>
      <c r="R474" s="3" t="s">
        <v>12</v>
      </c>
    </row>
    <row r="475" spans="1:18" x14ac:dyDescent="0.25">
      <c r="A475" s="30">
        <v>45727</v>
      </c>
      <c r="B475" s="28">
        <v>465</v>
      </c>
      <c r="C475" s="28"/>
      <c r="D475" s="2" t="s">
        <v>56</v>
      </c>
      <c r="E475" s="7" t="s">
        <v>740</v>
      </c>
      <c r="F475" s="7"/>
      <c r="G475" s="2" t="s">
        <v>13</v>
      </c>
      <c r="H475" s="2" t="s">
        <v>275</v>
      </c>
      <c r="I475" s="5">
        <v>20940.62</v>
      </c>
      <c r="J475" s="57"/>
      <c r="K475" s="3">
        <v>192</v>
      </c>
      <c r="L475" s="2" t="s">
        <v>226</v>
      </c>
      <c r="M475" s="2" t="s">
        <v>12</v>
      </c>
      <c r="N475" s="2" t="s">
        <v>12</v>
      </c>
      <c r="O475" s="2" t="s">
        <v>12</v>
      </c>
      <c r="P475" s="21" t="s">
        <v>12</v>
      </c>
      <c r="Q475" s="3"/>
      <c r="R475" s="3"/>
    </row>
    <row r="476" spans="1:18" x14ac:dyDescent="0.25">
      <c r="A476" s="30">
        <v>45727</v>
      </c>
      <c r="B476" s="28">
        <v>466</v>
      </c>
      <c r="C476" s="28"/>
      <c r="D476" s="2" t="s">
        <v>87</v>
      </c>
      <c r="E476" s="7" t="s">
        <v>741</v>
      </c>
      <c r="F476" s="7"/>
      <c r="G476" s="2" t="s">
        <v>13</v>
      </c>
      <c r="H476" s="2" t="s">
        <v>114</v>
      </c>
      <c r="I476" s="5">
        <v>186440.45</v>
      </c>
      <c r="J476" s="57"/>
      <c r="K476" s="3">
        <v>1724.4</v>
      </c>
      <c r="L476" s="2" t="s">
        <v>226</v>
      </c>
      <c r="M476" s="2" t="s">
        <v>12</v>
      </c>
      <c r="N476" s="2" t="s">
        <v>12</v>
      </c>
      <c r="O476" s="2" t="s">
        <v>12</v>
      </c>
      <c r="P476" s="21" t="s">
        <v>12</v>
      </c>
      <c r="Q476" s="3"/>
      <c r="R476" s="3"/>
    </row>
    <row r="477" spans="1:18" x14ac:dyDescent="0.25">
      <c r="A477" s="30">
        <v>45727</v>
      </c>
      <c r="B477" s="28">
        <v>467</v>
      </c>
      <c r="C477" s="28"/>
      <c r="D477" s="2" t="s">
        <v>87</v>
      </c>
      <c r="E477" s="7" t="s">
        <v>742</v>
      </c>
      <c r="F477" s="7"/>
      <c r="G477" s="2" t="s">
        <v>13</v>
      </c>
      <c r="H477" s="2" t="s">
        <v>114</v>
      </c>
      <c r="I477" s="5">
        <v>169857.64</v>
      </c>
      <c r="J477" s="57"/>
      <c r="K477" s="3">
        <v>1614</v>
      </c>
      <c r="L477" s="2" t="s">
        <v>226</v>
      </c>
      <c r="M477" s="2" t="s">
        <v>12</v>
      </c>
      <c r="N477" s="2" t="s">
        <v>12</v>
      </c>
      <c r="O477" s="2" t="s">
        <v>12</v>
      </c>
      <c r="P477" s="21" t="s">
        <v>12</v>
      </c>
      <c r="Q477" s="3"/>
      <c r="R477" s="3"/>
    </row>
    <row r="478" spans="1:18" x14ac:dyDescent="0.25">
      <c r="A478" s="30">
        <v>45727</v>
      </c>
      <c r="B478" s="28">
        <v>468</v>
      </c>
      <c r="C478" s="28"/>
      <c r="D478" s="2" t="s">
        <v>743</v>
      </c>
      <c r="E478" s="7" t="s">
        <v>744</v>
      </c>
      <c r="F478" s="7"/>
      <c r="G478" s="2" t="s">
        <v>13</v>
      </c>
      <c r="H478" s="2" t="s">
        <v>24</v>
      </c>
      <c r="I478" s="5">
        <v>343158.13</v>
      </c>
      <c r="J478" s="57"/>
      <c r="K478" s="3">
        <v>3192</v>
      </c>
      <c r="L478" s="2" t="s">
        <v>226</v>
      </c>
      <c r="M478" s="2" t="s">
        <v>12</v>
      </c>
      <c r="N478" s="2" t="s">
        <v>12</v>
      </c>
      <c r="O478" s="2" t="s">
        <v>12</v>
      </c>
      <c r="P478" s="21" t="s">
        <v>12</v>
      </c>
      <c r="Q478" s="3"/>
      <c r="R478" s="3"/>
    </row>
    <row r="479" spans="1:18" x14ac:dyDescent="0.25">
      <c r="A479" s="30">
        <v>45727</v>
      </c>
      <c r="B479" s="28">
        <v>469</v>
      </c>
      <c r="C479" s="28"/>
      <c r="D479" s="2" t="s">
        <v>28</v>
      </c>
      <c r="E479" s="7" t="s">
        <v>745</v>
      </c>
      <c r="F479" s="7"/>
      <c r="G479" s="2" t="s">
        <v>26</v>
      </c>
      <c r="H479" s="2" t="s">
        <v>485</v>
      </c>
      <c r="I479" s="5">
        <v>3703.82</v>
      </c>
      <c r="J479" s="57"/>
      <c r="K479" s="3">
        <v>48</v>
      </c>
      <c r="L479" s="2" t="s">
        <v>226</v>
      </c>
      <c r="M479" s="2" t="s">
        <v>12</v>
      </c>
      <c r="N479" s="2" t="s">
        <v>12</v>
      </c>
      <c r="O479" s="2" t="s">
        <v>12</v>
      </c>
      <c r="P479" s="21" t="s">
        <v>12</v>
      </c>
      <c r="Q479" s="3" t="s">
        <v>12</v>
      </c>
      <c r="R479" s="3" t="s">
        <v>12</v>
      </c>
    </row>
    <row r="480" spans="1:18" x14ac:dyDescent="0.25">
      <c r="A480" s="30">
        <v>45728</v>
      </c>
      <c r="B480" s="28">
        <v>470</v>
      </c>
      <c r="C480" s="28"/>
      <c r="D480" s="2" t="s">
        <v>746</v>
      </c>
      <c r="E480" s="7" t="s">
        <v>747</v>
      </c>
      <c r="F480" s="7"/>
      <c r="G480" s="2" t="s">
        <v>20</v>
      </c>
      <c r="H480" s="2" t="s">
        <v>43</v>
      </c>
      <c r="I480" s="5">
        <v>21749.9</v>
      </c>
      <c r="J480" s="57"/>
      <c r="K480" s="3">
        <v>192</v>
      </c>
      <c r="L480" s="2" t="s">
        <v>226</v>
      </c>
      <c r="M480" s="2" t="s">
        <v>12</v>
      </c>
      <c r="N480" s="2" t="s">
        <v>12</v>
      </c>
      <c r="O480" s="2" t="s">
        <v>12</v>
      </c>
      <c r="P480" s="21" t="s">
        <v>12</v>
      </c>
      <c r="Q480" s="3" t="s">
        <v>12</v>
      </c>
      <c r="R480" s="3" t="s">
        <v>12</v>
      </c>
    </row>
    <row r="481" spans="1:18" x14ac:dyDescent="0.25">
      <c r="A481" s="30">
        <v>45727</v>
      </c>
      <c r="B481" s="28">
        <v>471</v>
      </c>
      <c r="C481" s="28"/>
      <c r="D481" s="2" t="s">
        <v>124</v>
      </c>
      <c r="E481" s="7" t="s">
        <v>748</v>
      </c>
      <c r="F481" s="7"/>
      <c r="G481" s="2" t="s">
        <v>20</v>
      </c>
      <c r="H481" s="2" t="s">
        <v>154</v>
      </c>
      <c r="I481" s="5">
        <v>8543.81</v>
      </c>
      <c r="J481" s="57"/>
      <c r="K481" s="3">
        <v>96</v>
      </c>
      <c r="L481" s="2" t="s">
        <v>226</v>
      </c>
      <c r="M481" s="2" t="s">
        <v>12</v>
      </c>
      <c r="N481" s="2" t="s">
        <v>12</v>
      </c>
      <c r="O481" s="2" t="s">
        <v>12</v>
      </c>
      <c r="P481" s="21" t="s">
        <v>12</v>
      </c>
      <c r="Q481" s="3" t="s">
        <v>12</v>
      </c>
      <c r="R481" s="3" t="s">
        <v>12</v>
      </c>
    </row>
    <row r="482" spans="1:18" x14ac:dyDescent="0.25">
      <c r="A482" s="30">
        <v>45728</v>
      </c>
      <c r="B482" s="28">
        <v>472</v>
      </c>
      <c r="C482" s="28"/>
      <c r="D482" s="2" t="s">
        <v>212</v>
      </c>
      <c r="E482" s="7" t="s">
        <v>749</v>
      </c>
      <c r="F482" s="7"/>
      <c r="G482" s="2" t="s">
        <v>20</v>
      </c>
      <c r="H482" s="2" t="s">
        <v>101</v>
      </c>
      <c r="I482" s="5">
        <v>74790.2</v>
      </c>
      <c r="J482" s="57"/>
      <c r="K482" s="3">
        <v>936</v>
      </c>
      <c r="L482" s="2" t="s">
        <v>226</v>
      </c>
      <c r="M482" s="2" t="s">
        <v>1031</v>
      </c>
      <c r="N482" s="2" t="s">
        <v>12</v>
      </c>
      <c r="O482" s="2" t="s">
        <v>12</v>
      </c>
      <c r="P482" s="21" t="s">
        <v>12</v>
      </c>
      <c r="Q482" s="3" t="s">
        <v>12</v>
      </c>
      <c r="R482" s="3" t="s">
        <v>12</v>
      </c>
    </row>
    <row r="483" spans="1:18" x14ac:dyDescent="0.25">
      <c r="A483" s="30">
        <v>45728</v>
      </c>
      <c r="B483" s="28">
        <v>473</v>
      </c>
      <c r="C483" s="28"/>
      <c r="D483" s="2" t="s">
        <v>92</v>
      </c>
      <c r="E483" s="7" t="s">
        <v>750</v>
      </c>
      <c r="F483" s="7"/>
      <c r="G483" s="2" t="s">
        <v>26</v>
      </c>
      <c r="H483" s="2" t="s">
        <v>751</v>
      </c>
      <c r="I483" s="5">
        <v>7964.85</v>
      </c>
      <c r="J483" s="57"/>
      <c r="K483" s="3">
        <v>96</v>
      </c>
      <c r="L483" s="2" t="s">
        <v>64</v>
      </c>
      <c r="M483" s="2" t="s">
        <v>12</v>
      </c>
      <c r="N483" s="2" t="s">
        <v>12</v>
      </c>
      <c r="O483" s="2" t="s">
        <v>12</v>
      </c>
      <c r="P483" s="21" t="s">
        <v>12</v>
      </c>
      <c r="Q483" s="3" t="s">
        <v>12</v>
      </c>
      <c r="R483" s="3" t="s">
        <v>12</v>
      </c>
    </row>
    <row r="484" spans="1:18" x14ac:dyDescent="0.25">
      <c r="A484" s="30">
        <v>45728</v>
      </c>
      <c r="B484" s="28">
        <v>474</v>
      </c>
      <c r="C484" s="28"/>
      <c r="D484" s="2" t="s">
        <v>400</v>
      </c>
      <c r="E484" s="7" t="s">
        <v>752</v>
      </c>
      <c r="F484" s="7"/>
      <c r="G484" s="2" t="s">
        <v>97</v>
      </c>
      <c r="H484" s="2" t="s">
        <v>319</v>
      </c>
      <c r="I484" s="5">
        <v>112124.05</v>
      </c>
      <c r="J484" s="57"/>
      <c r="K484" s="3">
        <v>1176</v>
      </c>
      <c r="L484" s="2" t="s">
        <v>226</v>
      </c>
      <c r="M484" s="2" t="s">
        <v>12</v>
      </c>
      <c r="N484" s="2" t="s">
        <v>12</v>
      </c>
      <c r="O484" s="2" t="s">
        <v>12</v>
      </c>
      <c r="P484" s="21" t="s">
        <v>12</v>
      </c>
      <c r="Q484" s="3" t="s">
        <v>12</v>
      </c>
      <c r="R484" s="3" t="s">
        <v>12</v>
      </c>
    </row>
    <row r="485" spans="1:18" x14ac:dyDescent="0.25">
      <c r="A485" s="30">
        <v>45728</v>
      </c>
      <c r="B485" s="28">
        <v>475</v>
      </c>
      <c r="C485" s="28"/>
      <c r="D485" s="2" t="s">
        <v>753</v>
      </c>
      <c r="E485" s="7" t="s">
        <v>754</v>
      </c>
      <c r="F485" s="7"/>
      <c r="G485" s="2" t="s">
        <v>26</v>
      </c>
      <c r="H485" s="2" t="s">
        <v>397</v>
      </c>
      <c r="I485" s="5">
        <v>123875.91</v>
      </c>
      <c r="J485" s="57"/>
      <c r="K485" s="3">
        <v>1248</v>
      </c>
      <c r="L485" s="2" t="s">
        <v>226</v>
      </c>
      <c r="M485" s="2" t="s">
        <v>12</v>
      </c>
      <c r="N485" s="2" t="s">
        <v>12</v>
      </c>
      <c r="O485" s="2" t="s">
        <v>12</v>
      </c>
      <c r="P485" s="21" t="s">
        <v>12</v>
      </c>
      <c r="Q485" s="3" t="s">
        <v>12</v>
      </c>
      <c r="R485" s="3" t="s">
        <v>12</v>
      </c>
    </row>
    <row r="486" spans="1:18" x14ac:dyDescent="0.25">
      <c r="A486" s="30">
        <v>45728</v>
      </c>
      <c r="B486" s="28">
        <v>476</v>
      </c>
      <c r="C486" s="28"/>
      <c r="D486" s="2" t="s">
        <v>28</v>
      </c>
      <c r="E486" s="7" t="s">
        <v>755</v>
      </c>
      <c r="F486" s="7"/>
      <c r="G486" s="2" t="s">
        <v>26</v>
      </c>
      <c r="H486" s="2" t="s">
        <v>114</v>
      </c>
      <c r="I486" s="5">
        <v>16174.25</v>
      </c>
      <c r="J486" s="57"/>
      <c r="K486" s="3">
        <v>168</v>
      </c>
      <c r="L486" s="2" t="s">
        <v>226</v>
      </c>
      <c r="M486" s="2" t="s">
        <v>12</v>
      </c>
      <c r="N486" s="2" t="s">
        <v>12</v>
      </c>
      <c r="O486" s="2" t="s">
        <v>12</v>
      </c>
      <c r="P486" s="21" t="s">
        <v>12</v>
      </c>
      <c r="Q486" s="3" t="s">
        <v>12</v>
      </c>
      <c r="R486" s="3" t="s">
        <v>12</v>
      </c>
    </row>
    <row r="487" spans="1:18" x14ac:dyDescent="0.25">
      <c r="A487" s="30">
        <v>45728</v>
      </c>
      <c r="B487" s="28">
        <v>477</v>
      </c>
      <c r="C487" s="28"/>
      <c r="D487" s="2" t="s">
        <v>41</v>
      </c>
      <c r="E487" s="7" t="s">
        <v>756</v>
      </c>
      <c r="F487" s="7"/>
      <c r="G487" s="2" t="s">
        <v>43</v>
      </c>
      <c r="H487" s="2" t="s">
        <v>339</v>
      </c>
      <c r="I487" s="5">
        <v>160962.13</v>
      </c>
      <c r="J487" s="57"/>
      <c r="K487" s="3">
        <v>1680</v>
      </c>
      <c r="L487" s="2" t="s">
        <v>226</v>
      </c>
      <c r="M487" s="2" t="s">
        <v>12</v>
      </c>
      <c r="N487" s="2" t="s">
        <v>12</v>
      </c>
      <c r="O487" s="2" t="s">
        <v>12</v>
      </c>
      <c r="P487" s="21" t="s">
        <v>12</v>
      </c>
      <c r="Q487" s="3" t="s">
        <v>12</v>
      </c>
      <c r="R487" s="3" t="s">
        <v>12</v>
      </c>
    </row>
    <row r="488" spans="1:18" x14ac:dyDescent="0.25">
      <c r="A488" s="30">
        <v>45728</v>
      </c>
      <c r="B488" s="28">
        <v>478</v>
      </c>
      <c r="C488" s="28"/>
      <c r="D488" s="2" t="s">
        <v>56</v>
      </c>
      <c r="E488" s="7" t="s">
        <v>757</v>
      </c>
      <c r="F488" s="7"/>
      <c r="G488" s="2" t="s">
        <v>13</v>
      </c>
      <c r="H488" s="2" t="s">
        <v>275</v>
      </c>
      <c r="I488" s="5">
        <v>25530.22</v>
      </c>
      <c r="J488" s="57"/>
      <c r="K488" s="3">
        <v>240</v>
      </c>
      <c r="L488" s="2" t="s">
        <v>226</v>
      </c>
      <c r="M488" s="2" t="s">
        <v>12</v>
      </c>
      <c r="N488" s="2" t="s">
        <v>12</v>
      </c>
      <c r="O488" s="2" t="s">
        <v>12</v>
      </c>
      <c r="P488" s="21" t="s">
        <v>12</v>
      </c>
      <c r="Q488" s="3" t="s">
        <v>12</v>
      </c>
      <c r="R488" s="3" t="s">
        <v>12</v>
      </c>
    </row>
    <row r="489" spans="1:18" x14ac:dyDescent="0.25">
      <c r="A489" s="30">
        <v>45728</v>
      </c>
      <c r="B489" s="28">
        <v>479</v>
      </c>
      <c r="C489" s="28"/>
      <c r="D489" s="2" t="s">
        <v>202</v>
      </c>
      <c r="E489" s="7" t="s">
        <v>12</v>
      </c>
      <c r="F489" s="7"/>
      <c r="G489" s="2" t="s">
        <v>97</v>
      </c>
      <c r="H489" s="2" t="s">
        <v>758</v>
      </c>
      <c r="I489" s="5">
        <v>24901.55</v>
      </c>
      <c r="J489" s="57"/>
      <c r="K489" s="3">
        <v>226.8</v>
      </c>
      <c r="L489" s="2" t="s">
        <v>226</v>
      </c>
      <c r="M489" s="2" t="s">
        <v>12</v>
      </c>
      <c r="N489" s="2" t="s">
        <v>12</v>
      </c>
      <c r="O489" s="2" t="s">
        <v>12</v>
      </c>
      <c r="P489" s="21" t="s">
        <v>12</v>
      </c>
      <c r="Q489" s="3" t="s">
        <v>12</v>
      </c>
      <c r="R489" s="3" t="s">
        <v>12</v>
      </c>
    </row>
    <row r="490" spans="1:18" x14ac:dyDescent="0.25">
      <c r="A490" s="30">
        <v>45728</v>
      </c>
      <c r="B490" s="28">
        <v>480</v>
      </c>
      <c r="C490" s="28"/>
      <c r="D490" s="2" t="s">
        <v>765</v>
      </c>
      <c r="E490" s="7" t="s">
        <v>12</v>
      </c>
      <c r="F490" s="7"/>
      <c r="G490" s="2" t="s">
        <v>97</v>
      </c>
      <c r="H490" s="2" t="s">
        <v>167</v>
      </c>
      <c r="I490" s="5">
        <v>400.2</v>
      </c>
      <c r="J490" s="57"/>
      <c r="K490" s="3" t="s">
        <v>12</v>
      </c>
      <c r="L490" s="2" t="s">
        <v>64</v>
      </c>
      <c r="M490" s="2" t="s">
        <v>12</v>
      </c>
      <c r="N490" s="2" t="s">
        <v>12</v>
      </c>
      <c r="O490" s="2" t="s">
        <v>12</v>
      </c>
      <c r="P490" s="21" t="s">
        <v>12</v>
      </c>
      <c r="Q490" s="3" t="s">
        <v>12</v>
      </c>
      <c r="R490" s="3" t="s">
        <v>12</v>
      </c>
    </row>
    <row r="491" spans="1:18" x14ac:dyDescent="0.25">
      <c r="A491" s="30">
        <v>45729</v>
      </c>
      <c r="B491" s="28">
        <v>481</v>
      </c>
      <c r="C491" s="28"/>
      <c r="D491" s="2" t="s">
        <v>28</v>
      </c>
      <c r="E491" s="7" t="s">
        <v>766</v>
      </c>
      <c r="F491" s="7"/>
      <c r="G491" s="2" t="s">
        <v>26</v>
      </c>
      <c r="H491" s="2" t="s">
        <v>114</v>
      </c>
      <c r="I491" s="5">
        <v>28840.04</v>
      </c>
      <c r="J491" s="57"/>
      <c r="K491" s="3">
        <v>312</v>
      </c>
      <c r="L491" s="2" t="s">
        <v>226</v>
      </c>
      <c r="M491" s="2" t="s">
        <v>12</v>
      </c>
      <c r="N491" s="2" t="s">
        <v>12</v>
      </c>
      <c r="O491" s="2" t="s">
        <v>12</v>
      </c>
      <c r="P491" s="21" t="s">
        <v>12</v>
      </c>
      <c r="Q491" s="3" t="s">
        <v>12</v>
      </c>
      <c r="R491" s="3" t="s">
        <v>12</v>
      </c>
    </row>
    <row r="492" spans="1:18" x14ac:dyDescent="0.25">
      <c r="A492" s="30">
        <v>45729</v>
      </c>
      <c r="B492" s="28">
        <v>482</v>
      </c>
      <c r="C492" s="28"/>
      <c r="D492" s="2" t="s">
        <v>87</v>
      </c>
      <c r="E492" s="7" t="s">
        <v>767</v>
      </c>
      <c r="F492" s="7"/>
      <c r="G492" s="2" t="s">
        <v>13</v>
      </c>
      <c r="H492" s="2" t="s">
        <v>185</v>
      </c>
      <c r="I492" s="5">
        <v>149874.13</v>
      </c>
      <c r="J492" s="57"/>
      <c r="K492" s="3">
        <v>1396.8</v>
      </c>
      <c r="L492" s="2" t="s">
        <v>226</v>
      </c>
      <c r="M492" s="2" t="s">
        <v>12</v>
      </c>
      <c r="N492" s="2" t="s">
        <v>12</v>
      </c>
      <c r="O492" s="2" t="s">
        <v>12</v>
      </c>
      <c r="P492" s="21" t="s">
        <v>12</v>
      </c>
      <c r="Q492" s="3"/>
      <c r="R492" s="3"/>
    </row>
    <row r="493" spans="1:18" x14ac:dyDescent="0.25">
      <c r="A493" s="30">
        <v>45729</v>
      </c>
      <c r="B493" s="28">
        <v>483</v>
      </c>
      <c r="C493" s="28"/>
      <c r="D493" s="2" t="s">
        <v>41</v>
      </c>
      <c r="E493" s="7" t="s">
        <v>767</v>
      </c>
      <c r="F493" s="7"/>
      <c r="G493" s="2" t="s">
        <v>43</v>
      </c>
      <c r="H493" s="2" t="s">
        <v>417</v>
      </c>
      <c r="I493" s="5">
        <v>149874.13</v>
      </c>
      <c r="J493" s="57"/>
      <c r="K493" s="3">
        <v>1396.8</v>
      </c>
      <c r="L493" s="2" t="s">
        <v>226</v>
      </c>
      <c r="M493" s="2" t="s">
        <v>12</v>
      </c>
      <c r="N493" s="2" t="s">
        <v>12</v>
      </c>
      <c r="O493" s="2" t="s">
        <v>12</v>
      </c>
      <c r="P493" s="21" t="s">
        <v>12</v>
      </c>
      <c r="Q493" s="3"/>
      <c r="R493" s="3"/>
    </row>
    <row r="494" spans="1:18" x14ac:dyDescent="0.25">
      <c r="A494" s="30">
        <v>45729</v>
      </c>
      <c r="B494" s="28">
        <v>484</v>
      </c>
      <c r="C494" s="28"/>
      <c r="D494" s="2" t="s">
        <v>309</v>
      </c>
      <c r="E494" s="7" t="s">
        <v>768</v>
      </c>
      <c r="F494" s="7"/>
      <c r="G494" s="2" t="s">
        <v>43</v>
      </c>
      <c r="H494" s="2" t="s">
        <v>769</v>
      </c>
      <c r="I494" s="5">
        <v>124270.1</v>
      </c>
      <c r="J494" s="57"/>
      <c r="K494" s="3">
        <v>1296</v>
      </c>
      <c r="L494" s="2" t="s">
        <v>226</v>
      </c>
      <c r="M494" s="2" t="s">
        <v>12</v>
      </c>
      <c r="N494" s="2" t="s">
        <v>12</v>
      </c>
      <c r="O494" s="2" t="s">
        <v>12</v>
      </c>
      <c r="P494" s="21" t="s">
        <v>12</v>
      </c>
      <c r="Q494" s="3" t="s">
        <v>12</v>
      </c>
      <c r="R494" s="3" t="s">
        <v>12</v>
      </c>
    </row>
    <row r="495" spans="1:18" x14ac:dyDescent="0.25">
      <c r="A495" s="30">
        <v>45729</v>
      </c>
      <c r="B495" s="28">
        <v>485</v>
      </c>
      <c r="C495" s="28"/>
      <c r="D495" s="2" t="s">
        <v>103</v>
      </c>
      <c r="E495" s="7" t="s">
        <v>770</v>
      </c>
      <c r="F495" s="7"/>
      <c r="G495" s="2" t="s">
        <v>13</v>
      </c>
      <c r="H495" s="2" t="s">
        <v>491</v>
      </c>
      <c r="I495" s="5">
        <v>180282.86</v>
      </c>
      <c r="J495" s="57"/>
      <c r="K495" s="3">
        <v>2040</v>
      </c>
      <c r="L495" s="2" t="s">
        <v>226</v>
      </c>
      <c r="M495" s="2" t="s">
        <v>12</v>
      </c>
      <c r="N495" s="2" t="s">
        <v>12</v>
      </c>
      <c r="O495" s="2" t="s">
        <v>12</v>
      </c>
      <c r="P495" s="21" t="s">
        <v>12</v>
      </c>
      <c r="Q495" s="3" t="s">
        <v>12</v>
      </c>
      <c r="R495" s="3" t="s">
        <v>12</v>
      </c>
    </row>
    <row r="496" spans="1:18" x14ac:dyDescent="0.25">
      <c r="A496" s="30">
        <v>45730</v>
      </c>
      <c r="B496" s="28">
        <v>486</v>
      </c>
      <c r="C496" s="28"/>
      <c r="D496" s="2" t="s">
        <v>41</v>
      </c>
      <c r="E496" s="7" t="s">
        <v>771</v>
      </c>
      <c r="F496" s="7"/>
      <c r="G496" s="2" t="s">
        <v>43</v>
      </c>
      <c r="H496" s="2" t="s">
        <v>417</v>
      </c>
      <c r="I496" s="5">
        <v>198559.71</v>
      </c>
      <c r="J496" s="57"/>
      <c r="K496" s="3">
        <v>2040</v>
      </c>
      <c r="L496" s="2" t="s">
        <v>226</v>
      </c>
      <c r="M496" s="2" t="s">
        <v>12</v>
      </c>
      <c r="N496" s="2" t="s">
        <v>12</v>
      </c>
      <c r="O496" s="2" t="s">
        <v>12</v>
      </c>
      <c r="P496" s="21" t="s">
        <v>12</v>
      </c>
      <c r="Q496" s="3" t="s">
        <v>1356</v>
      </c>
      <c r="R496" s="3"/>
    </row>
    <row r="497" spans="1:18" x14ac:dyDescent="0.25">
      <c r="A497" s="30">
        <v>45733</v>
      </c>
      <c r="B497" s="28">
        <v>487</v>
      </c>
      <c r="C497" s="28"/>
      <c r="D497" s="2" t="s">
        <v>637</v>
      </c>
      <c r="E497" s="7" t="s">
        <v>772</v>
      </c>
      <c r="F497" s="7"/>
      <c r="G497" s="2" t="s">
        <v>13</v>
      </c>
      <c r="H497" s="2" t="s">
        <v>15</v>
      </c>
      <c r="I497" s="5">
        <v>290757.09000000003</v>
      </c>
      <c r="J497" s="57"/>
      <c r="K497" s="3">
        <v>2697.6</v>
      </c>
      <c r="L497" s="2" t="s">
        <v>226</v>
      </c>
      <c r="M497" s="2" t="s">
        <v>12</v>
      </c>
      <c r="N497" s="2" t="s">
        <v>12</v>
      </c>
      <c r="O497" s="2" t="s">
        <v>12</v>
      </c>
      <c r="P497" s="21" t="s">
        <v>12</v>
      </c>
      <c r="Q497" s="3"/>
      <c r="R497" s="3"/>
    </row>
    <row r="498" spans="1:18" x14ac:dyDescent="0.25">
      <c r="A498" s="30">
        <v>45733</v>
      </c>
      <c r="B498" s="28">
        <v>488</v>
      </c>
      <c r="C498" s="28"/>
      <c r="D498" s="2" t="s">
        <v>206</v>
      </c>
      <c r="E498" s="7" t="s">
        <v>773</v>
      </c>
      <c r="F498" s="7"/>
      <c r="G498" s="2" t="s">
        <v>97</v>
      </c>
      <c r="H498" s="2" t="s">
        <v>616</v>
      </c>
      <c r="I498" s="5">
        <v>17352.88</v>
      </c>
      <c r="J498" s="57"/>
      <c r="K498" s="3">
        <v>192</v>
      </c>
      <c r="L498" s="2" t="s">
        <v>134</v>
      </c>
      <c r="M498" s="2" t="s">
        <v>371</v>
      </c>
      <c r="N498" s="2" t="s">
        <v>12</v>
      </c>
      <c r="O498" s="2" t="s">
        <v>12</v>
      </c>
      <c r="P498" s="21" t="s">
        <v>12</v>
      </c>
      <c r="Q498" s="3"/>
      <c r="R498" s="3"/>
    </row>
    <row r="499" spans="1:18" x14ac:dyDescent="0.25">
      <c r="A499" s="30">
        <v>45733</v>
      </c>
      <c r="B499" s="28">
        <v>489</v>
      </c>
      <c r="C499" s="28"/>
      <c r="D499" s="2" t="s">
        <v>109</v>
      </c>
      <c r="E499" s="7" t="s">
        <v>774</v>
      </c>
      <c r="F499" s="7"/>
      <c r="G499" s="2" t="s">
        <v>111</v>
      </c>
      <c r="H499" s="2" t="s">
        <v>395</v>
      </c>
      <c r="I499" s="5">
        <v>21101.38</v>
      </c>
      <c r="J499" s="57"/>
      <c r="K499" s="3">
        <v>216</v>
      </c>
      <c r="L499" s="2" t="s">
        <v>226</v>
      </c>
      <c r="M499" s="2" t="s">
        <v>12</v>
      </c>
      <c r="N499" s="2" t="s">
        <v>12</v>
      </c>
      <c r="O499" s="2" t="s">
        <v>12</v>
      </c>
      <c r="P499" s="21" t="s">
        <v>12</v>
      </c>
      <c r="Q499" s="3" t="s">
        <v>12</v>
      </c>
      <c r="R499" s="3" t="s">
        <v>12</v>
      </c>
    </row>
    <row r="500" spans="1:18" x14ac:dyDescent="0.25">
      <c r="A500" s="30">
        <v>45733</v>
      </c>
      <c r="B500" s="28">
        <v>490</v>
      </c>
      <c r="C500" s="28"/>
      <c r="D500" s="2" t="s">
        <v>41</v>
      </c>
      <c r="E500" s="7" t="s">
        <v>775</v>
      </c>
      <c r="F500" s="7"/>
      <c r="G500" s="2" t="s">
        <v>43</v>
      </c>
      <c r="H500" s="2" t="s">
        <v>43</v>
      </c>
      <c r="I500" s="5">
        <v>203984.38</v>
      </c>
      <c r="J500" s="57"/>
      <c r="K500" s="3">
        <v>1704</v>
      </c>
      <c r="L500" s="2" t="s">
        <v>226</v>
      </c>
      <c r="M500" s="2" t="s">
        <v>12</v>
      </c>
      <c r="N500" s="2" t="s">
        <v>12</v>
      </c>
      <c r="O500" s="2" t="s">
        <v>12</v>
      </c>
      <c r="P500" s="21" t="s">
        <v>12</v>
      </c>
      <c r="Q500" s="3"/>
      <c r="R500" s="3"/>
    </row>
    <row r="501" spans="1:18" x14ac:dyDescent="0.25">
      <c r="A501" s="30">
        <v>45733</v>
      </c>
      <c r="B501" s="28">
        <v>491</v>
      </c>
      <c r="C501" s="28"/>
      <c r="D501" s="2" t="s">
        <v>168</v>
      </c>
      <c r="E501" s="7" t="s">
        <v>468</v>
      </c>
      <c r="F501" s="7"/>
      <c r="G501" s="2" t="s">
        <v>43</v>
      </c>
      <c r="H501" s="2" t="s">
        <v>170</v>
      </c>
      <c r="I501" s="5">
        <v>75798.740000000005</v>
      </c>
      <c r="J501" s="57"/>
      <c r="K501" s="3">
        <v>768</v>
      </c>
      <c r="L501" s="2" t="s">
        <v>226</v>
      </c>
      <c r="M501" s="2" t="s">
        <v>12</v>
      </c>
      <c r="N501" s="2" t="s">
        <v>12</v>
      </c>
      <c r="O501" s="2" t="s">
        <v>12</v>
      </c>
      <c r="P501" s="21" t="s">
        <v>12</v>
      </c>
      <c r="Q501" s="3"/>
      <c r="R501" s="3"/>
    </row>
    <row r="502" spans="1:18" x14ac:dyDescent="0.25">
      <c r="A502" s="30">
        <v>45733</v>
      </c>
      <c r="B502" s="28">
        <v>492</v>
      </c>
      <c r="C502" s="28"/>
      <c r="D502" s="2" t="s">
        <v>286</v>
      </c>
      <c r="E502" s="7" t="s">
        <v>12</v>
      </c>
      <c r="F502" s="7"/>
      <c r="G502" s="2" t="s">
        <v>13</v>
      </c>
      <c r="H502" s="2" t="s">
        <v>288</v>
      </c>
      <c r="I502" s="5">
        <v>2200.5100000000002</v>
      </c>
      <c r="J502" s="57"/>
      <c r="K502" s="3">
        <v>24</v>
      </c>
      <c r="L502" s="2" t="s">
        <v>226</v>
      </c>
      <c r="M502" s="2" t="s">
        <v>12</v>
      </c>
      <c r="N502" s="2" t="s">
        <v>12</v>
      </c>
      <c r="O502" s="2" t="s">
        <v>12</v>
      </c>
      <c r="P502" s="21" t="s">
        <v>12</v>
      </c>
      <c r="Q502" s="3" t="s">
        <v>12</v>
      </c>
      <c r="R502" s="3" t="s">
        <v>12</v>
      </c>
    </row>
    <row r="503" spans="1:18" x14ac:dyDescent="0.25">
      <c r="A503" s="30">
        <v>45733</v>
      </c>
      <c r="B503" s="28">
        <v>493</v>
      </c>
      <c r="C503" s="28"/>
      <c r="D503" s="2" t="s">
        <v>92</v>
      </c>
      <c r="E503" s="7" t="s">
        <v>93</v>
      </c>
      <c r="F503" s="7"/>
      <c r="G503" s="2" t="s">
        <v>26</v>
      </c>
      <c r="H503" s="2" t="s">
        <v>94</v>
      </c>
      <c r="I503" s="5">
        <v>656.46</v>
      </c>
      <c r="J503" s="57"/>
      <c r="K503" s="3" t="s">
        <v>12</v>
      </c>
      <c r="L503" s="2" t="s">
        <v>226</v>
      </c>
      <c r="M503" s="2" t="s">
        <v>12</v>
      </c>
      <c r="N503" s="2" t="s">
        <v>12</v>
      </c>
      <c r="O503" s="2" t="s">
        <v>12</v>
      </c>
      <c r="P503" s="21" t="s">
        <v>12</v>
      </c>
      <c r="Q503" s="3" t="s">
        <v>12</v>
      </c>
      <c r="R503" s="3" t="s">
        <v>12</v>
      </c>
    </row>
    <row r="504" spans="1:18" x14ac:dyDescent="0.25">
      <c r="A504" s="30">
        <v>45735</v>
      </c>
      <c r="B504" s="28">
        <v>494</v>
      </c>
      <c r="C504" s="28"/>
      <c r="D504" s="2" t="s">
        <v>508</v>
      </c>
      <c r="E504" s="7" t="s">
        <v>12</v>
      </c>
      <c r="F504" s="7"/>
      <c r="G504" s="2" t="s">
        <v>20</v>
      </c>
      <c r="H504" s="2" t="s">
        <v>596</v>
      </c>
      <c r="I504" s="5">
        <v>76957.59</v>
      </c>
      <c r="J504" s="57"/>
      <c r="K504" s="3">
        <v>1152</v>
      </c>
      <c r="L504" s="2" t="s">
        <v>64</v>
      </c>
      <c r="M504" s="2" t="s">
        <v>12</v>
      </c>
      <c r="N504" s="2" t="s">
        <v>12</v>
      </c>
      <c r="O504" s="2" t="s">
        <v>12</v>
      </c>
      <c r="P504" s="21" t="s">
        <v>12</v>
      </c>
      <c r="Q504" s="3" t="s">
        <v>12</v>
      </c>
      <c r="R504" s="3" t="s">
        <v>12</v>
      </c>
    </row>
    <row r="505" spans="1:18" x14ac:dyDescent="0.25">
      <c r="A505" s="30">
        <v>45734</v>
      </c>
      <c r="B505" s="28">
        <v>495</v>
      </c>
      <c r="C505" s="28"/>
      <c r="D505" s="2" t="s">
        <v>23</v>
      </c>
      <c r="E505" s="7" t="s">
        <v>776</v>
      </c>
      <c r="F505" s="7"/>
      <c r="G505" s="2" t="s">
        <v>20</v>
      </c>
      <c r="H505" s="2" t="s">
        <v>24</v>
      </c>
      <c r="I505" s="5">
        <v>75314.48</v>
      </c>
      <c r="J505" s="57"/>
      <c r="K505" s="3">
        <v>864</v>
      </c>
      <c r="L505" s="2" t="s">
        <v>134</v>
      </c>
      <c r="M505" s="2" t="s">
        <v>528</v>
      </c>
      <c r="N505" s="2" t="s">
        <v>135</v>
      </c>
      <c r="O505" s="2" t="s">
        <v>914</v>
      </c>
      <c r="P505" s="21" t="s">
        <v>12</v>
      </c>
      <c r="Q505" s="3" t="s">
        <v>12</v>
      </c>
      <c r="R505" s="3" t="s">
        <v>12</v>
      </c>
    </row>
    <row r="506" spans="1:18" x14ac:dyDescent="0.25">
      <c r="A506" s="3" t="s">
        <v>777</v>
      </c>
      <c r="B506" s="28">
        <v>496</v>
      </c>
      <c r="C506" s="28"/>
      <c r="D506" s="2" t="s">
        <v>778</v>
      </c>
      <c r="E506" s="7" t="s">
        <v>12</v>
      </c>
      <c r="F506" s="7"/>
      <c r="G506" s="2" t="s">
        <v>26</v>
      </c>
      <c r="H506" s="2" t="s">
        <v>779</v>
      </c>
      <c r="I506" s="5">
        <v>4080.85</v>
      </c>
      <c r="J506" s="57"/>
      <c r="K506" s="3">
        <v>48</v>
      </c>
      <c r="L506" s="2" t="s">
        <v>226</v>
      </c>
      <c r="M506" s="2" t="s">
        <v>12</v>
      </c>
      <c r="N506" s="2" t="s">
        <v>12</v>
      </c>
      <c r="O506" s="2" t="s">
        <v>12</v>
      </c>
      <c r="P506" s="21" t="s">
        <v>12</v>
      </c>
      <c r="Q506" s="3" t="s">
        <v>12</v>
      </c>
      <c r="R506" s="3" t="s">
        <v>12</v>
      </c>
    </row>
    <row r="507" spans="1:18" x14ac:dyDescent="0.25">
      <c r="A507" s="30">
        <v>45734</v>
      </c>
      <c r="B507" s="28">
        <v>497</v>
      </c>
      <c r="C507" s="28"/>
      <c r="D507" s="2" t="s">
        <v>780</v>
      </c>
      <c r="E507" s="7" t="s">
        <v>781</v>
      </c>
      <c r="F507" s="7"/>
      <c r="G507" s="2" t="s">
        <v>13</v>
      </c>
      <c r="H507" s="2" t="s">
        <v>596</v>
      </c>
      <c r="I507" s="5">
        <v>20832.03</v>
      </c>
      <c r="J507" s="57"/>
      <c r="K507" s="3">
        <v>192</v>
      </c>
      <c r="L507" s="2" t="s">
        <v>64</v>
      </c>
      <c r="M507" s="2" t="s">
        <v>12</v>
      </c>
      <c r="N507" s="2" t="s">
        <v>12</v>
      </c>
      <c r="O507" s="2" t="s">
        <v>12</v>
      </c>
      <c r="P507" s="21" t="s">
        <v>12</v>
      </c>
      <c r="Q507" s="3"/>
      <c r="R507" s="3"/>
    </row>
    <row r="508" spans="1:18" x14ac:dyDescent="0.25">
      <c r="A508" s="30">
        <v>45734</v>
      </c>
      <c r="B508" s="28">
        <v>498</v>
      </c>
      <c r="C508" s="28"/>
      <c r="D508" s="2" t="s">
        <v>56</v>
      </c>
      <c r="E508" s="7" t="s">
        <v>782</v>
      </c>
      <c r="F508" s="7"/>
      <c r="G508" s="2" t="s">
        <v>13</v>
      </c>
      <c r="H508" s="2" t="s">
        <v>275</v>
      </c>
      <c r="I508" s="5">
        <v>11596.98</v>
      </c>
      <c r="J508" s="57"/>
      <c r="K508" s="3">
        <v>72</v>
      </c>
      <c r="L508" s="2" t="s">
        <v>226</v>
      </c>
      <c r="M508" s="2" t="s">
        <v>12</v>
      </c>
      <c r="N508" s="2" t="s">
        <v>12</v>
      </c>
      <c r="O508" s="2" t="s">
        <v>12</v>
      </c>
      <c r="P508" s="21" t="s">
        <v>12</v>
      </c>
      <c r="Q508" s="3" t="s">
        <v>12</v>
      </c>
      <c r="R508" s="3" t="s">
        <v>12</v>
      </c>
    </row>
    <row r="509" spans="1:18" x14ac:dyDescent="0.25">
      <c r="A509" s="30">
        <v>45734</v>
      </c>
      <c r="B509" s="28">
        <v>499</v>
      </c>
      <c r="C509" s="28"/>
      <c r="D509" s="2" t="s">
        <v>124</v>
      </c>
      <c r="E509" s="7" t="s">
        <v>783</v>
      </c>
      <c r="F509" s="7"/>
      <c r="G509" s="2" t="s">
        <v>20</v>
      </c>
      <c r="H509" s="2" t="s">
        <v>154</v>
      </c>
      <c r="I509" s="5">
        <v>8120.89</v>
      </c>
      <c r="J509" s="57"/>
      <c r="K509" s="3">
        <v>96</v>
      </c>
      <c r="L509" s="2" t="s">
        <v>226</v>
      </c>
      <c r="M509" s="2" t="s">
        <v>12</v>
      </c>
      <c r="N509" s="2" t="s">
        <v>12</v>
      </c>
      <c r="O509" s="2" t="s">
        <v>12</v>
      </c>
      <c r="P509" s="21" t="s">
        <v>12</v>
      </c>
      <c r="Q509" s="3" t="s">
        <v>12</v>
      </c>
      <c r="R509" s="3" t="s">
        <v>12</v>
      </c>
    </row>
    <row r="510" spans="1:18" x14ac:dyDescent="0.25">
      <c r="A510" s="30">
        <v>45735</v>
      </c>
      <c r="B510" s="28">
        <v>500</v>
      </c>
      <c r="C510" s="28"/>
      <c r="D510" s="2" t="s">
        <v>68</v>
      </c>
      <c r="E510" s="7" t="s">
        <v>12</v>
      </c>
      <c r="F510" s="7"/>
      <c r="G510" s="2" t="s">
        <v>13</v>
      </c>
      <c r="H510" s="2"/>
      <c r="I510" s="5">
        <v>209256.25</v>
      </c>
      <c r="J510" s="57"/>
      <c r="K510" s="3">
        <v>2184</v>
      </c>
      <c r="L510" s="2" t="s">
        <v>226</v>
      </c>
      <c r="M510" s="2" t="s">
        <v>12</v>
      </c>
      <c r="N510" s="2" t="s">
        <v>12</v>
      </c>
      <c r="O510" s="2" t="s">
        <v>12</v>
      </c>
      <c r="P510" s="21" t="s">
        <v>12</v>
      </c>
      <c r="Q510" s="3" t="s">
        <v>12</v>
      </c>
      <c r="R510" s="3" t="s">
        <v>12</v>
      </c>
    </row>
    <row r="511" spans="1:18" x14ac:dyDescent="0.25">
      <c r="A511" s="30">
        <v>45735</v>
      </c>
      <c r="B511" s="28">
        <v>501</v>
      </c>
      <c r="C511" s="28"/>
      <c r="D511" s="2" t="s">
        <v>68</v>
      </c>
      <c r="E511" s="7" t="s">
        <v>12</v>
      </c>
      <c r="F511" s="7"/>
      <c r="G511" s="2" t="s">
        <v>13</v>
      </c>
      <c r="H511" s="2"/>
      <c r="I511" s="5">
        <v>105338.62</v>
      </c>
      <c r="J511" s="57"/>
      <c r="K511" s="3">
        <v>1335.6</v>
      </c>
      <c r="L511" s="2" t="s">
        <v>226</v>
      </c>
      <c r="M511" s="2" t="s">
        <v>12</v>
      </c>
      <c r="N511" s="2" t="s">
        <v>12</v>
      </c>
      <c r="O511" s="2" t="s">
        <v>12</v>
      </c>
      <c r="P511" s="21" t="s">
        <v>12</v>
      </c>
      <c r="Q511" s="3" t="s">
        <v>12</v>
      </c>
      <c r="R511" s="3" t="s">
        <v>12</v>
      </c>
    </row>
    <row r="512" spans="1:18" x14ac:dyDescent="0.25">
      <c r="A512" s="30">
        <v>45735</v>
      </c>
      <c r="B512" s="28">
        <v>502</v>
      </c>
      <c r="C512" s="28"/>
      <c r="D512" s="2" t="s">
        <v>217</v>
      </c>
      <c r="E512" s="7" t="s">
        <v>12</v>
      </c>
      <c r="F512" s="7"/>
      <c r="G512" s="2" t="s">
        <v>13</v>
      </c>
      <c r="H512" s="2" t="s">
        <v>218</v>
      </c>
      <c r="I512" s="5">
        <v>287.27999999999997</v>
      </c>
      <c r="J512" s="57"/>
      <c r="K512" s="3" t="s">
        <v>12</v>
      </c>
      <c r="L512" s="2" t="s">
        <v>226</v>
      </c>
      <c r="M512" s="2" t="s">
        <v>12</v>
      </c>
      <c r="N512" s="2" t="s">
        <v>12</v>
      </c>
      <c r="O512" s="2" t="s">
        <v>12</v>
      </c>
      <c r="P512" s="21" t="s">
        <v>12</v>
      </c>
      <c r="Q512" s="3" t="s">
        <v>12</v>
      </c>
      <c r="R512" s="3" t="s">
        <v>12</v>
      </c>
    </row>
    <row r="513" spans="1:18" x14ac:dyDescent="0.25">
      <c r="A513" s="30">
        <v>45735</v>
      </c>
      <c r="B513" s="28">
        <v>503</v>
      </c>
      <c r="C513" s="28"/>
      <c r="D513" s="2" t="s">
        <v>376</v>
      </c>
      <c r="E513" s="7" t="s">
        <v>784</v>
      </c>
      <c r="F513" s="7"/>
      <c r="G513" s="2" t="s">
        <v>26</v>
      </c>
      <c r="H513" s="2" t="s">
        <v>785</v>
      </c>
      <c r="I513" s="5">
        <v>37657.31</v>
      </c>
      <c r="J513" s="57"/>
      <c r="K513" s="3">
        <v>384</v>
      </c>
      <c r="L513" s="2" t="s">
        <v>64</v>
      </c>
      <c r="M513" s="2" t="s">
        <v>12</v>
      </c>
      <c r="N513" s="2" t="s">
        <v>12</v>
      </c>
      <c r="O513" s="2" t="s">
        <v>12</v>
      </c>
      <c r="P513" s="21" t="s">
        <v>12</v>
      </c>
      <c r="Q513" s="3" t="s">
        <v>12</v>
      </c>
      <c r="R513" s="3" t="s">
        <v>12</v>
      </c>
    </row>
    <row r="514" spans="1:18" x14ac:dyDescent="0.25">
      <c r="A514" s="30">
        <v>45735</v>
      </c>
      <c r="B514" s="28">
        <v>504</v>
      </c>
      <c r="C514" s="28"/>
      <c r="D514" s="2" t="s">
        <v>786</v>
      </c>
      <c r="E514" s="7" t="s">
        <v>787</v>
      </c>
      <c r="F514" s="7"/>
      <c r="G514" s="2" t="s">
        <v>26</v>
      </c>
      <c r="H514" s="2" t="s">
        <v>15</v>
      </c>
      <c r="I514" s="5">
        <v>21489.05</v>
      </c>
      <c r="J514" s="57"/>
      <c r="K514" s="3">
        <v>192</v>
      </c>
      <c r="L514" s="2" t="s">
        <v>226</v>
      </c>
      <c r="M514" s="2" t="s">
        <v>12</v>
      </c>
      <c r="N514" s="2" t="s">
        <v>12</v>
      </c>
      <c r="O514" s="2" t="s">
        <v>12</v>
      </c>
      <c r="P514" s="21" t="s">
        <v>12</v>
      </c>
      <c r="Q514" s="3" t="s">
        <v>12</v>
      </c>
      <c r="R514" s="3" t="s">
        <v>12</v>
      </c>
    </row>
    <row r="515" spans="1:18" x14ac:dyDescent="0.25">
      <c r="A515" s="30">
        <v>45735</v>
      </c>
      <c r="B515" s="28">
        <v>505</v>
      </c>
      <c r="C515" s="28"/>
      <c r="D515" s="2" t="s">
        <v>786</v>
      </c>
      <c r="E515" s="7" t="s">
        <v>788</v>
      </c>
      <c r="F515" s="7"/>
      <c r="G515" s="2" t="s">
        <v>26</v>
      </c>
      <c r="H515" s="2" t="s">
        <v>15</v>
      </c>
      <c r="I515" s="5">
        <v>20728.12</v>
      </c>
      <c r="J515" s="57"/>
      <c r="K515" s="3">
        <v>216</v>
      </c>
      <c r="L515" s="2" t="s">
        <v>64</v>
      </c>
      <c r="M515" s="2" t="s">
        <v>12</v>
      </c>
      <c r="N515" s="2" t="s">
        <v>12</v>
      </c>
      <c r="O515" s="2" t="s">
        <v>12</v>
      </c>
      <c r="P515" s="21" t="s">
        <v>12</v>
      </c>
      <c r="Q515" s="3" t="s">
        <v>12</v>
      </c>
      <c r="R515" s="3" t="s">
        <v>12</v>
      </c>
    </row>
    <row r="516" spans="1:18" x14ac:dyDescent="0.25">
      <c r="A516" s="30">
        <v>45735</v>
      </c>
      <c r="B516" s="28">
        <v>506</v>
      </c>
      <c r="C516" s="28"/>
      <c r="D516" s="2" t="s">
        <v>256</v>
      </c>
      <c r="E516" s="7" t="s">
        <v>12</v>
      </c>
      <c r="F516" s="7"/>
      <c r="G516" s="2" t="s">
        <v>20</v>
      </c>
      <c r="H516" s="2" t="s">
        <v>257</v>
      </c>
      <c r="I516" s="5">
        <v>2917.95</v>
      </c>
      <c r="J516" s="57"/>
      <c r="K516" s="3" t="s">
        <v>12</v>
      </c>
      <c r="L516" s="2" t="s">
        <v>64</v>
      </c>
      <c r="M516" s="2" t="s">
        <v>12</v>
      </c>
      <c r="N516" s="2" t="s">
        <v>12</v>
      </c>
      <c r="O516" s="2" t="s">
        <v>12</v>
      </c>
      <c r="P516" s="21" t="s">
        <v>12</v>
      </c>
      <c r="Q516" s="3" t="s">
        <v>12</v>
      </c>
      <c r="R516" s="3" t="s">
        <v>12</v>
      </c>
    </row>
    <row r="517" spans="1:18" x14ac:dyDescent="0.25">
      <c r="A517" s="30">
        <v>45742</v>
      </c>
      <c r="B517" s="28">
        <v>507</v>
      </c>
      <c r="C517" s="28"/>
      <c r="D517" s="2" t="s">
        <v>780</v>
      </c>
      <c r="E517" s="7" t="s">
        <v>789</v>
      </c>
      <c r="F517" s="7"/>
      <c r="G517" s="2" t="s">
        <v>13</v>
      </c>
      <c r="H517" s="2" t="s">
        <v>596</v>
      </c>
      <c r="I517" s="5">
        <v>42404.89</v>
      </c>
      <c r="J517" s="57"/>
      <c r="K517" s="3">
        <v>408</v>
      </c>
      <c r="L517" s="2" t="s">
        <v>64</v>
      </c>
      <c r="M517" s="2" t="s">
        <v>12</v>
      </c>
      <c r="N517" s="2" t="s">
        <v>12</v>
      </c>
      <c r="O517" s="2" t="s">
        <v>12</v>
      </c>
      <c r="P517" s="21" t="s">
        <v>12</v>
      </c>
      <c r="Q517" s="3" t="s">
        <v>12</v>
      </c>
      <c r="R517" s="3" t="s">
        <v>12</v>
      </c>
    </row>
    <row r="518" spans="1:18" x14ac:dyDescent="0.25">
      <c r="A518" s="30">
        <v>45736</v>
      </c>
      <c r="B518" s="28">
        <v>508</v>
      </c>
      <c r="C518" s="28"/>
      <c r="D518" s="2" t="s">
        <v>92</v>
      </c>
      <c r="E518" s="7" t="s">
        <v>794</v>
      </c>
      <c r="F518" s="7"/>
      <c r="G518" s="2" t="s">
        <v>26</v>
      </c>
      <c r="H518" s="2" t="s">
        <v>751</v>
      </c>
      <c r="I518" s="5">
        <v>3058</v>
      </c>
      <c r="J518" s="57"/>
      <c r="K518" s="3">
        <v>48</v>
      </c>
      <c r="L518" s="2" t="s">
        <v>64</v>
      </c>
      <c r="M518" s="2" t="s">
        <v>12</v>
      </c>
      <c r="N518" s="2" t="s">
        <v>12</v>
      </c>
      <c r="O518" s="2" t="s">
        <v>12</v>
      </c>
      <c r="P518" s="21" t="s">
        <v>12</v>
      </c>
      <c r="Q518" s="3" t="s">
        <v>12</v>
      </c>
      <c r="R518" s="3" t="s">
        <v>12</v>
      </c>
    </row>
    <row r="519" spans="1:18" x14ac:dyDescent="0.25">
      <c r="A519" s="30">
        <v>45736</v>
      </c>
      <c r="B519" s="28">
        <v>509</v>
      </c>
      <c r="C519" s="28"/>
      <c r="D519" s="2" t="s">
        <v>28</v>
      </c>
      <c r="E519" s="7" t="s">
        <v>795</v>
      </c>
      <c r="F519" s="7"/>
      <c r="G519" s="2" t="s">
        <v>26</v>
      </c>
      <c r="H519" s="2" t="s">
        <v>485</v>
      </c>
      <c r="I519" s="5">
        <v>19575.96</v>
      </c>
      <c r="J519" s="57"/>
      <c r="K519" s="3">
        <v>192</v>
      </c>
      <c r="L519" s="2" t="s">
        <v>226</v>
      </c>
      <c r="M519" s="2" t="s">
        <v>12</v>
      </c>
      <c r="N519" s="2" t="s">
        <v>12</v>
      </c>
      <c r="O519" s="2" t="s">
        <v>12</v>
      </c>
      <c r="P519" s="21" t="s">
        <v>12</v>
      </c>
      <c r="Q519" s="3" t="s">
        <v>12</v>
      </c>
      <c r="R519" s="3" t="s">
        <v>12</v>
      </c>
    </row>
    <row r="520" spans="1:18" x14ac:dyDescent="0.25">
      <c r="A520" s="30">
        <v>45736</v>
      </c>
      <c r="B520" s="28">
        <v>510</v>
      </c>
      <c r="C520" s="28"/>
      <c r="D520" s="2" t="s">
        <v>87</v>
      </c>
      <c r="E520" s="7" t="s">
        <v>796</v>
      </c>
      <c r="F520" s="7"/>
      <c r="G520" s="2" t="s">
        <v>13</v>
      </c>
      <c r="H520" s="2" t="s">
        <v>185</v>
      </c>
      <c r="I520" s="5">
        <v>200402.18</v>
      </c>
      <c r="J520" s="57"/>
      <c r="K520" s="3">
        <v>1728</v>
      </c>
      <c r="L520" s="2" t="s">
        <v>226</v>
      </c>
      <c r="M520" s="2" t="s">
        <v>12</v>
      </c>
      <c r="N520" s="2" t="s">
        <v>12</v>
      </c>
      <c r="O520" s="2" t="s">
        <v>12</v>
      </c>
      <c r="P520" s="21" t="s">
        <v>12</v>
      </c>
      <c r="Q520" s="3"/>
      <c r="R520" s="3"/>
    </row>
    <row r="521" spans="1:18" x14ac:dyDescent="0.25">
      <c r="A521" s="30">
        <v>45736</v>
      </c>
      <c r="B521" s="28">
        <v>511</v>
      </c>
      <c r="C521" s="28"/>
      <c r="D521" s="2" t="s">
        <v>557</v>
      </c>
      <c r="E521" s="7" t="s">
        <v>12</v>
      </c>
      <c r="F521" s="7"/>
      <c r="G521" s="2" t="s">
        <v>20</v>
      </c>
      <c r="H521" s="2" t="s">
        <v>471</v>
      </c>
      <c r="I521" s="5">
        <v>3372.58</v>
      </c>
      <c r="J521" s="57"/>
      <c r="K521" s="3">
        <v>48</v>
      </c>
      <c r="L521" s="2" t="s">
        <v>226</v>
      </c>
      <c r="M521" s="2" t="s">
        <v>12</v>
      </c>
      <c r="N521" s="2" t="s">
        <v>12</v>
      </c>
      <c r="O521" s="2" t="s">
        <v>12</v>
      </c>
      <c r="P521" s="21" t="s">
        <v>12</v>
      </c>
      <c r="Q521" s="3" t="s">
        <v>12</v>
      </c>
      <c r="R521" s="3" t="s">
        <v>12</v>
      </c>
    </row>
    <row r="522" spans="1:18" x14ac:dyDescent="0.25">
      <c r="A522" s="30">
        <v>45736</v>
      </c>
      <c r="B522" s="28">
        <v>512</v>
      </c>
      <c r="C522" s="28"/>
      <c r="D522" s="2" t="s">
        <v>190</v>
      </c>
      <c r="E522" s="7" t="s">
        <v>915</v>
      </c>
      <c r="F522" s="7"/>
      <c r="G522" s="2" t="s">
        <v>111</v>
      </c>
      <c r="H522" s="2" t="s">
        <v>769</v>
      </c>
      <c r="I522" s="5">
        <v>3207218.8</v>
      </c>
      <c r="J522" s="57"/>
      <c r="K522" s="3"/>
      <c r="L522" s="2" t="s">
        <v>226</v>
      </c>
      <c r="M522" s="2"/>
      <c r="N522" s="2"/>
      <c r="O522" s="2"/>
      <c r="P522" s="21"/>
      <c r="Q522" s="3"/>
      <c r="R522" s="3"/>
    </row>
    <row r="523" spans="1:18" x14ac:dyDescent="0.25">
      <c r="A523" s="30">
        <v>45737</v>
      </c>
      <c r="B523" s="28">
        <v>513</v>
      </c>
      <c r="C523" s="28"/>
      <c r="D523" s="2" t="s">
        <v>233</v>
      </c>
      <c r="E523" s="7" t="s">
        <v>797</v>
      </c>
      <c r="F523" s="7"/>
      <c r="G523" s="2" t="s">
        <v>13</v>
      </c>
      <c r="H523" s="2" t="s">
        <v>235</v>
      </c>
      <c r="I523" s="5">
        <v>28371.73</v>
      </c>
      <c r="J523" s="57"/>
      <c r="K523" s="3">
        <v>264</v>
      </c>
      <c r="L523" s="2" t="s">
        <v>226</v>
      </c>
      <c r="M523" s="2" t="s">
        <v>12</v>
      </c>
      <c r="N523" s="2" t="s">
        <v>12</v>
      </c>
      <c r="O523" s="2" t="s">
        <v>12</v>
      </c>
      <c r="P523" s="21" t="s">
        <v>12</v>
      </c>
      <c r="Q523" s="3" t="s">
        <v>12</v>
      </c>
      <c r="R523" s="3" t="s">
        <v>12</v>
      </c>
    </row>
    <row r="524" spans="1:18" x14ac:dyDescent="0.25">
      <c r="A524" s="30">
        <v>45737</v>
      </c>
      <c r="B524" s="28">
        <v>514</v>
      </c>
      <c r="C524" s="28"/>
      <c r="D524" s="2" t="s">
        <v>798</v>
      </c>
      <c r="E524" s="7" t="s">
        <v>12</v>
      </c>
      <c r="F524" s="7"/>
      <c r="G524" s="2" t="s">
        <v>13</v>
      </c>
      <c r="H524" s="2" t="s">
        <v>799</v>
      </c>
      <c r="I524" s="5">
        <v>151866.44</v>
      </c>
      <c r="J524" s="57"/>
      <c r="K524" s="3">
        <v>1358.4</v>
      </c>
      <c r="L524" s="2" t="s">
        <v>226</v>
      </c>
      <c r="M524" s="2" t="s">
        <v>12</v>
      </c>
      <c r="N524" s="2" t="s">
        <v>12</v>
      </c>
      <c r="O524" s="2" t="s">
        <v>12</v>
      </c>
      <c r="P524" s="21" t="s">
        <v>12</v>
      </c>
      <c r="Q524" s="3" t="s">
        <v>12</v>
      </c>
      <c r="R524" s="3" t="s">
        <v>12</v>
      </c>
    </row>
    <row r="525" spans="1:18" x14ac:dyDescent="0.25">
      <c r="A525" s="30">
        <v>45737</v>
      </c>
      <c r="B525" s="28">
        <v>515</v>
      </c>
      <c r="C525" s="28"/>
      <c r="D525" s="2" t="s">
        <v>333</v>
      </c>
      <c r="E525" s="7" t="s">
        <v>800</v>
      </c>
      <c r="F525" s="7"/>
      <c r="G525" s="2" t="s">
        <v>20</v>
      </c>
      <c r="H525" s="2" t="s">
        <v>335</v>
      </c>
      <c r="I525" s="5">
        <v>24076.82</v>
      </c>
      <c r="J525" s="57"/>
      <c r="K525" s="3">
        <v>226.8</v>
      </c>
      <c r="L525" s="2" t="s">
        <v>64</v>
      </c>
      <c r="M525" s="2" t="s">
        <v>12</v>
      </c>
      <c r="N525" s="2" t="s">
        <v>12</v>
      </c>
      <c r="O525" s="2" t="s">
        <v>12</v>
      </c>
      <c r="P525" s="21" t="s">
        <v>12</v>
      </c>
      <c r="Q525" s="3" t="s">
        <v>12</v>
      </c>
      <c r="R525" s="3" t="s">
        <v>12</v>
      </c>
    </row>
    <row r="526" spans="1:18" x14ac:dyDescent="0.25">
      <c r="A526" s="30">
        <v>45740</v>
      </c>
      <c r="B526" s="28">
        <v>516</v>
      </c>
      <c r="C526" s="28"/>
      <c r="D526" s="2" t="s">
        <v>801</v>
      </c>
      <c r="E526" s="7" t="s">
        <v>802</v>
      </c>
      <c r="F526" s="7"/>
      <c r="G526" s="2" t="s">
        <v>43</v>
      </c>
      <c r="H526" s="2" t="s">
        <v>72</v>
      </c>
      <c r="I526" s="5">
        <v>130000</v>
      </c>
      <c r="J526" s="57"/>
      <c r="K526" s="3">
        <v>2112</v>
      </c>
      <c r="L526" s="2" t="s">
        <v>64</v>
      </c>
      <c r="M526" s="2" t="s">
        <v>12</v>
      </c>
      <c r="N526" s="2" t="s">
        <v>12</v>
      </c>
      <c r="O526" s="2" t="s">
        <v>12</v>
      </c>
      <c r="P526" s="21" t="s">
        <v>12</v>
      </c>
      <c r="Q526" s="3" t="s">
        <v>12</v>
      </c>
      <c r="R526" s="3" t="s">
        <v>12</v>
      </c>
    </row>
    <row r="527" spans="1:18" x14ac:dyDescent="0.25">
      <c r="A527" s="30">
        <v>45740</v>
      </c>
      <c r="B527" s="28">
        <v>517</v>
      </c>
      <c r="C527" s="28"/>
      <c r="D527" s="2" t="s">
        <v>243</v>
      </c>
      <c r="E527" s="7" t="s">
        <v>12</v>
      </c>
      <c r="F527" s="7"/>
      <c r="G527" s="2" t="s">
        <v>20</v>
      </c>
      <c r="H527" s="2" t="s">
        <v>244</v>
      </c>
      <c r="I527" s="5">
        <v>44794.81</v>
      </c>
      <c r="J527" s="57"/>
      <c r="K527" s="3">
        <v>496.8</v>
      </c>
      <c r="L527" s="2" t="s">
        <v>64</v>
      </c>
      <c r="M527" s="2" t="s">
        <v>12</v>
      </c>
      <c r="N527" s="2" t="s">
        <v>12</v>
      </c>
      <c r="O527" s="2" t="s">
        <v>12</v>
      </c>
      <c r="P527" s="21" t="s">
        <v>12</v>
      </c>
      <c r="Q527" s="3" t="s">
        <v>12</v>
      </c>
      <c r="R527" s="3" t="s">
        <v>12</v>
      </c>
    </row>
    <row r="528" spans="1:18" x14ac:dyDescent="0.25">
      <c r="A528" s="30">
        <v>45740</v>
      </c>
      <c r="B528" s="28">
        <v>518</v>
      </c>
      <c r="C528" s="28"/>
      <c r="D528" s="2" t="s">
        <v>909</v>
      </c>
      <c r="E528" s="7" t="s">
        <v>910</v>
      </c>
      <c r="F528" s="7"/>
      <c r="G528" s="2" t="s">
        <v>111</v>
      </c>
      <c r="H528" s="2" t="s">
        <v>369</v>
      </c>
      <c r="I528" s="5">
        <v>241383.92</v>
      </c>
      <c r="J528" s="57"/>
      <c r="K528" s="3"/>
      <c r="L528" s="2" t="s">
        <v>226</v>
      </c>
      <c r="M528" s="2"/>
      <c r="N528" s="2"/>
      <c r="O528" s="2"/>
      <c r="P528" s="21"/>
      <c r="Q528" s="3"/>
      <c r="R528" s="3"/>
    </row>
    <row r="529" spans="1:18" x14ac:dyDescent="0.25">
      <c r="A529" s="30">
        <v>45740</v>
      </c>
      <c r="B529" s="28">
        <v>519</v>
      </c>
      <c r="C529" s="28"/>
      <c r="D529" s="2" t="s">
        <v>233</v>
      </c>
      <c r="E529" s="7" t="s">
        <v>12</v>
      </c>
      <c r="F529" s="7"/>
      <c r="G529" s="2" t="s">
        <v>13</v>
      </c>
      <c r="H529" s="2" t="s">
        <v>235</v>
      </c>
      <c r="I529" s="5">
        <v>124941.79</v>
      </c>
      <c r="J529" s="57"/>
      <c r="K529" s="3">
        <v>1272</v>
      </c>
      <c r="L529" s="2" t="s">
        <v>226</v>
      </c>
      <c r="M529" s="2" t="s">
        <v>12</v>
      </c>
      <c r="N529" s="2" t="s">
        <v>12</v>
      </c>
      <c r="O529" s="2" t="s">
        <v>12</v>
      </c>
      <c r="P529" s="21" t="s">
        <v>12</v>
      </c>
      <c r="Q529" s="3" t="s">
        <v>12</v>
      </c>
      <c r="R529" s="3" t="s">
        <v>12</v>
      </c>
    </row>
    <row r="530" spans="1:18" x14ac:dyDescent="0.25">
      <c r="A530" s="30">
        <v>45740</v>
      </c>
      <c r="B530" s="28">
        <v>520</v>
      </c>
      <c r="C530" s="28"/>
      <c r="D530" s="2" t="s">
        <v>803</v>
      </c>
      <c r="E530" s="7" t="s">
        <v>12</v>
      </c>
      <c r="F530" s="7"/>
      <c r="G530" s="2" t="s">
        <v>13</v>
      </c>
      <c r="H530" s="2" t="s">
        <v>20</v>
      </c>
      <c r="I530" s="5">
        <v>29314.95</v>
      </c>
      <c r="J530" s="57"/>
      <c r="K530" s="3">
        <v>336</v>
      </c>
      <c r="L530" s="2" t="s">
        <v>226</v>
      </c>
      <c r="M530" s="2" t="s">
        <v>12</v>
      </c>
      <c r="N530" s="2" t="s">
        <v>12</v>
      </c>
      <c r="O530" s="2" t="s">
        <v>12</v>
      </c>
      <c r="P530" s="21" t="s">
        <v>12</v>
      </c>
      <c r="Q530" s="3" t="s">
        <v>12</v>
      </c>
      <c r="R530" s="3" t="s">
        <v>12</v>
      </c>
    </row>
    <row r="531" spans="1:18" x14ac:dyDescent="0.25">
      <c r="A531" s="30">
        <v>45740</v>
      </c>
      <c r="B531" s="28">
        <v>521</v>
      </c>
      <c r="C531" s="28"/>
      <c r="D531" s="2" t="s">
        <v>804</v>
      </c>
      <c r="E531" s="7" t="s">
        <v>805</v>
      </c>
      <c r="F531" s="7"/>
      <c r="G531" s="2" t="s">
        <v>13</v>
      </c>
      <c r="H531" s="2" t="s">
        <v>806</v>
      </c>
      <c r="I531" s="5">
        <v>182631.36</v>
      </c>
      <c r="J531" s="57"/>
      <c r="K531" s="3">
        <v>2112</v>
      </c>
      <c r="L531" s="2" t="s">
        <v>226</v>
      </c>
      <c r="M531" s="2" t="s">
        <v>12</v>
      </c>
      <c r="N531" s="2" t="s">
        <v>12</v>
      </c>
      <c r="O531" s="2" t="s">
        <v>12</v>
      </c>
      <c r="P531" s="21" t="s">
        <v>12</v>
      </c>
      <c r="Q531" s="3" t="s">
        <v>12</v>
      </c>
      <c r="R531" s="3" t="s">
        <v>12</v>
      </c>
    </row>
    <row r="532" spans="1:18" x14ac:dyDescent="0.25">
      <c r="A532" s="30">
        <v>45740</v>
      </c>
      <c r="B532" s="28">
        <v>522</v>
      </c>
      <c r="C532" s="28"/>
      <c r="D532" s="2" t="s">
        <v>165</v>
      </c>
      <c r="E532" s="7" t="s">
        <v>316</v>
      </c>
      <c r="F532" s="7"/>
      <c r="G532" s="2" t="s">
        <v>97</v>
      </c>
      <c r="H532" s="2" t="s">
        <v>167</v>
      </c>
      <c r="I532" s="5">
        <v>57953.71</v>
      </c>
      <c r="J532" s="57"/>
      <c r="K532" s="3">
        <v>840</v>
      </c>
      <c r="L532" s="2" t="s">
        <v>134</v>
      </c>
      <c r="M532" s="2" t="s">
        <v>1160</v>
      </c>
      <c r="N532" s="2" t="s">
        <v>135</v>
      </c>
      <c r="O532" s="2" t="s">
        <v>374</v>
      </c>
      <c r="P532" s="21" t="s">
        <v>1161</v>
      </c>
      <c r="Q532" s="3" t="s">
        <v>12</v>
      </c>
      <c r="R532" s="3" t="s">
        <v>12</v>
      </c>
    </row>
    <row r="533" spans="1:18" x14ac:dyDescent="0.25">
      <c r="A533" s="30">
        <v>45740</v>
      </c>
      <c r="B533" s="28">
        <v>523</v>
      </c>
      <c r="C533" s="28"/>
      <c r="D533" s="2" t="s">
        <v>807</v>
      </c>
      <c r="E533" s="7" t="s">
        <v>808</v>
      </c>
      <c r="F533" s="7"/>
      <c r="G533" s="2" t="s">
        <v>26</v>
      </c>
      <c r="H533" s="2" t="s">
        <v>809</v>
      </c>
      <c r="I533" s="5">
        <v>20848.349999999999</v>
      </c>
      <c r="J533" s="57"/>
      <c r="K533" s="3">
        <v>192</v>
      </c>
      <c r="L533" s="2" t="s">
        <v>226</v>
      </c>
      <c r="M533" s="2" t="s">
        <v>12</v>
      </c>
      <c r="N533" s="2" t="s">
        <v>12</v>
      </c>
      <c r="O533" s="2" t="s">
        <v>12</v>
      </c>
      <c r="P533" s="21" t="s">
        <v>12</v>
      </c>
      <c r="Q533" s="3"/>
      <c r="R533" s="3" t="s">
        <v>12</v>
      </c>
    </row>
    <row r="534" spans="1:18" x14ac:dyDescent="0.25">
      <c r="A534" s="30">
        <v>45740</v>
      </c>
      <c r="B534" s="28">
        <v>524</v>
      </c>
      <c r="C534" s="28"/>
      <c r="D534" s="2" t="s">
        <v>106</v>
      </c>
      <c r="E534" s="7" t="s">
        <v>12</v>
      </c>
      <c r="F534" s="7"/>
      <c r="G534" s="2" t="s">
        <v>13</v>
      </c>
      <c r="H534" s="2" t="s">
        <v>40</v>
      </c>
      <c r="I534" s="5">
        <v>116854.5</v>
      </c>
      <c r="J534" s="57"/>
      <c r="K534" s="3">
        <v>1368</v>
      </c>
      <c r="L534" s="2" t="s">
        <v>226</v>
      </c>
      <c r="M534" s="2" t="s">
        <v>12</v>
      </c>
      <c r="N534" s="2" t="s">
        <v>12</v>
      </c>
      <c r="O534" s="2" t="s">
        <v>12</v>
      </c>
      <c r="P534" s="21" t="s">
        <v>12</v>
      </c>
      <c r="Q534" s="3" t="s">
        <v>12</v>
      </c>
      <c r="R534" s="3" t="s">
        <v>12</v>
      </c>
    </row>
    <row r="535" spans="1:18" x14ac:dyDescent="0.25">
      <c r="A535" s="30">
        <v>45740</v>
      </c>
      <c r="B535" s="28">
        <v>525</v>
      </c>
      <c r="C535" s="28"/>
      <c r="D535" s="2" t="s">
        <v>236</v>
      </c>
      <c r="E535" s="7" t="s">
        <v>810</v>
      </c>
      <c r="F535" s="7"/>
      <c r="G535" s="2" t="s">
        <v>97</v>
      </c>
      <c r="H535" s="2" t="s">
        <v>811</v>
      </c>
      <c r="I535" s="5">
        <v>11002.99</v>
      </c>
      <c r="J535" s="57"/>
      <c r="K535" s="3">
        <v>120</v>
      </c>
      <c r="L535" s="2" t="s">
        <v>226</v>
      </c>
      <c r="M535" s="2" t="s">
        <v>12</v>
      </c>
      <c r="N535" s="2" t="s">
        <v>12</v>
      </c>
      <c r="O535" s="2" t="s">
        <v>12</v>
      </c>
      <c r="P535" s="21" t="s">
        <v>12</v>
      </c>
      <c r="Q535" s="3" t="s">
        <v>12</v>
      </c>
      <c r="R535" s="3" t="s">
        <v>12</v>
      </c>
    </row>
    <row r="536" spans="1:18" x14ac:dyDescent="0.25">
      <c r="A536" s="30">
        <v>45740</v>
      </c>
      <c r="B536" s="28">
        <v>526</v>
      </c>
      <c r="C536" s="28"/>
      <c r="D536" s="2" t="s">
        <v>444</v>
      </c>
      <c r="E536" s="7" t="s">
        <v>812</v>
      </c>
      <c r="F536" s="7"/>
      <c r="G536" s="2" t="s">
        <v>20</v>
      </c>
      <c r="H536" s="2" t="s">
        <v>121</v>
      </c>
      <c r="I536" s="5">
        <v>17977.169999999998</v>
      </c>
      <c r="J536" s="57"/>
      <c r="K536" s="3">
        <v>192</v>
      </c>
      <c r="L536" s="2" t="s">
        <v>73</v>
      </c>
      <c r="M536" s="2" t="s">
        <v>12</v>
      </c>
      <c r="N536" s="2" t="s">
        <v>12</v>
      </c>
      <c r="O536" s="2" t="s">
        <v>12</v>
      </c>
      <c r="P536" s="21" t="s">
        <v>12</v>
      </c>
      <c r="Q536" s="3"/>
      <c r="R536" s="3"/>
    </row>
    <row r="537" spans="1:18" x14ac:dyDescent="0.25">
      <c r="A537" s="30">
        <v>45750</v>
      </c>
      <c r="B537" s="28">
        <v>527</v>
      </c>
      <c r="C537" s="28"/>
      <c r="D537" s="2" t="s">
        <v>813</v>
      </c>
      <c r="E537" s="7" t="s">
        <v>814</v>
      </c>
      <c r="F537" s="7"/>
      <c r="G537" s="2" t="s">
        <v>97</v>
      </c>
      <c r="H537" s="2" t="s">
        <v>815</v>
      </c>
      <c r="I537" s="5">
        <v>2973.58</v>
      </c>
      <c r="J537" s="57"/>
      <c r="K537" s="3" t="s">
        <v>12</v>
      </c>
      <c r="L537" s="2" t="s">
        <v>226</v>
      </c>
      <c r="M537" s="2" t="s">
        <v>12</v>
      </c>
      <c r="N537" s="2" t="s">
        <v>12</v>
      </c>
      <c r="O537" s="2" t="s">
        <v>12</v>
      </c>
      <c r="P537" s="21" t="s">
        <v>12</v>
      </c>
      <c r="Q537" s="3" t="s">
        <v>12</v>
      </c>
      <c r="R537" s="3" t="s">
        <v>12</v>
      </c>
    </row>
    <row r="538" spans="1:18" x14ac:dyDescent="0.25">
      <c r="A538" s="30">
        <v>45744</v>
      </c>
      <c r="B538" s="28">
        <v>528</v>
      </c>
      <c r="C538" s="28"/>
      <c r="D538" s="2" t="s">
        <v>465</v>
      </c>
      <c r="E538" s="7" t="s">
        <v>816</v>
      </c>
      <c r="F538" s="7"/>
      <c r="G538" s="2" t="s">
        <v>26</v>
      </c>
      <c r="H538" s="2" t="s">
        <v>55</v>
      </c>
      <c r="I538" s="5">
        <v>20143.14</v>
      </c>
      <c r="J538" s="57"/>
      <c r="K538" s="3">
        <v>264</v>
      </c>
      <c r="L538" s="2" t="s">
        <v>64</v>
      </c>
      <c r="M538" s="2" t="s">
        <v>12</v>
      </c>
      <c r="N538" s="2" t="s">
        <v>12</v>
      </c>
      <c r="O538" s="2" t="s">
        <v>12</v>
      </c>
      <c r="P538" s="21" t="s">
        <v>12</v>
      </c>
      <c r="Q538" s="3" t="s">
        <v>12</v>
      </c>
      <c r="R538" s="3" t="s">
        <v>12</v>
      </c>
    </row>
    <row r="539" spans="1:18" x14ac:dyDescent="0.25">
      <c r="A539" s="30">
        <v>45740</v>
      </c>
      <c r="B539" s="28">
        <v>529</v>
      </c>
      <c r="C539" s="28"/>
      <c r="D539" s="2" t="s">
        <v>168</v>
      </c>
      <c r="E539" s="7" t="s">
        <v>817</v>
      </c>
      <c r="F539" s="7"/>
      <c r="G539" s="2" t="s">
        <v>43</v>
      </c>
      <c r="H539" s="2" t="s">
        <v>381</v>
      </c>
      <c r="I539" s="5">
        <v>56546.49</v>
      </c>
      <c r="J539" s="57"/>
      <c r="K539" s="3">
        <v>528</v>
      </c>
      <c r="L539" s="2" t="s">
        <v>226</v>
      </c>
      <c r="M539" s="2" t="s">
        <v>12</v>
      </c>
      <c r="N539" s="2" t="s">
        <v>12</v>
      </c>
      <c r="O539" s="2" t="s">
        <v>12</v>
      </c>
      <c r="P539" s="21" t="s">
        <v>12</v>
      </c>
      <c r="Q539" s="3" t="s">
        <v>12</v>
      </c>
      <c r="R539" s="3" t="s">
        <v>12</v>
      </c>
    </row>
    <row r="540" spans="1:18" x14ac:dyDescent="0.25">
      <c r="A540" s="30">
        <v>45741</v>
      </c>
      <c r="B540" s="28">
        <v>530</v>
      </c>
      <c r="C540" s="28"/>
      <c r="D540" s="2" t="s">
        <v>818</v>
      </c>
      <c r="E540" s="7" t="s">
        <v>12</v>
      </c>
      <c r="F540" s="7"/>
      <c r="G540" s="2" t="s">
        <v>97</v>
      </c>
      <c r="H540" s="2" t="s">
        <v>819</v>
      </c>
      <c r="I540" s="5">
        <v>267.27</v>
      </c>
      <c r="J540" s="57"/>
      <c r="K540" s="3" t="s">
        <v>12</v>
      </c>
      <c r="L540" s="2" t="s">
        <v>226</v>
      </c>
      <c r="M540" s="2" t="s">
        <v>12</v>
      </c>
      <c r="N540" s="2" t="s">
        <v>12</v>
      </c>
      <c r="O540" s="2" t="s">
        <v>12</v>
      </c>
      <c r="P540" s="21" t="s">
        <v>12</v>
      </c>
      <c r="Q540" s="3" t="s">
        <v>12</v>
      </c>
      <c r="R540" s="3" t="s">
        <v>12</v>
      </c>
    </row>
    <row r="541" spans="1:18" x14ac:dyDescent="0.25">
      <c r="A541" s="30">
        <v>45741</v>
      </c>
      <c r="B541" s="28">
        <v>531</v>
      </c>
      <c r="C541" s="28"/>
      <c r="D541" s="2" t="s">
        <v>336</v>
      </c>
      <c r="E541" s="7" t="s">
        <v>820</v>
      </c>
      <c r="F541" s="7"/>
      <c r="G541" s="2" t="s">
        <v>20</v>
      </c>
      <c r="H541" s="2" t="s">
        <v>337</v>
      </c>
      <c r="I541" s="5">
        <v>50075.88</v>
      </c>
      <c r="J541" s="57"/>
      <c r="K541" s="3">
        <v>576</v>
      </c>
      <c r="L541" s="2" t="s">
        <v>64</v>
      </c>
      <c r="M541" s="2" t="s">
        <v>12</v>
      </c>
      <c r="N541" s="2" t="s">
        <v>12</v>
      </c>
      <c r="O541" s="2" t="s">
        <v>12</v>
      </c>
      <c r="P541" s="21" t="s">
        <v>12</v>
      </c>
      <c r="Q541" s="3" t="s">
        <v>12</v>
      </c>
      <c r="R541" s="3" t="s">
        <v>12</v>
      </c>
    </row>
    <row r="542" spans="1:18" x14ac:dyDescent="0.25">
      <c r="A542" s="30">
        <v>45741</v>
      </c>
      <c r="B542" s="28">
        <v>532</v>
      </c>
      <c r="C542" s="28"/>
      <c r="D542" s="2" t="s">
        <v>87</v>
      </c>
      <c r="E542" s="7" t="s">
        <v>600</v>
      </c>
      <c r="F542" s="7"/>
      <c r="G542" s="2" t="s">
        <v>13</v>
      </c>
      <c r="H542" s="2" t="s">
        <v>185</v>
      </c>
      <c r="I542" s="5">
        <v>133855.29</v>
      </c>
      <c r="J542" s="57"/>
      <c r="K542" s="3">
        <v>1273.2</v>
      </c>
      <c r="L542" s="2" t="s">
        <v>226</v>
      </c>
      <c r="M542" s="2" t="s">
        <v>12</v>
      </c>
      <c r="N542" s="2" t="s">
        <v>12</v>
      </c>
      <c r="O542" s="2" t="s">
        <v>12</v>
      </c>
      <c r="P542" s="21" t="s">
        <v>12</v>
      </c>
      <c r="Q542" s="3"/>
      <c r="R542" s="3"/>
    </row>
    <row r="543" spans="1:18" x14ac:dyDescent="0.25">
      <c r="A543" s="30">
        <v>45741</v>
      </c>
      <c r="B543" s="28">
        <v>533</v>
      </c>
      <c r="C543" s="28"/>
      <c r="D543" s="2" t="s">
        <v>128</v>
      </c>
      <c r="E543" s="7" t="s">
        <v>821</v>
      </c>
      <c r="F543" s="7"/>
      <c r="G543" s="2" t="s">
        <v>97</v>
      </c>
      <c r="H543" s="2" t="s">
        <v>129</v>
      </c>
      <c r="I543" s="5">
        <v>133252.45000000001</v>
      </c>
      <c r="J543" s="57"/>
      <c r="K543" s="3">
        <v>1488</v>
      </c>
      <c r="L543" s="2" t="s">
        <v>226</v>
      </c>
      <c r="M543" s="2" t="s">
        <v>12</v>
      </c>
      <c r="N543" s="2" t="s">
        <v>12</v>
      </c>
      <c r="O543" s="2" t="s">
        <v>12</v>
      </c>
      <c r="P543" s="21" t="s">
        <v>12</v>
      </c>
      <c r="Q543" s="3"/>
      <c r="R543" s="3"/>
    </row>
    <row r="544" spans="1:18" x14ac:dyDescent="0.25">
      <c r="A544" s="30">
        <v>45741</v>
      </c>
      <c r="B544" s="28">
        <v>534</v>
      </c>
      <c r="C544" s="28"/>
      <c r="D544" s="2" t="s">
        <v>208</v>
      </c>
      <c r="E544" s="7" t="s">
        <v>822</v>
      </c>
      <c r="F544" s="7"/>
      <c r="G544" s="2" t="s">
        <v>43</v>
      </c>
      <c r="H544" s="2" t="s">
        <v>448</v>
      </c>
      <c r="I544" s="5">
        <v>8007.21</v>
      </c>
      <c r="J544" s="57"/>
      <c r="K544" s="3">
        <v>96</v>
      </c>
      <c r="L544" s="2" t="s">
        <v>64</v>
      </c>
      <c r="M544" s="2" t="s">
        <v>12</v>
      </c>
      <c r="N544" s="2" t="s">
        <v>12</v>
      </c>
      <c r="O544" s="2" t="s">
        <v>12</v>
      </c>
      <c r="P544" s="21" t="s">
        <v>12</v>
      </c>
      <c r="Q544" s="3"/>
      <c r="R544" s="3"/>
    </row>
    <row r="545" spans="1:18" x14ac:dyDescent="0.25">
      <c r="A545" s="30">
        <v>45741</v>
      </c>
      <c r="B545" s="28">
        <v>535</v>
      </c>
      <c r="C545" s="28"/>
      <c r="D545" s="2" t="s">
        <v>336</v>
      </c>
      <c r="E545" s="7" t="s">
        <v>823</v>
      </c>
      <c r="F545" s="7"/>
      <c r="G545" s="2" t="s">
        <v>20</v>
      </c>
      <c r="H545" s="2" t="s">
        <v>337</v>
      </c>
      <c r="I545" s="5">
        <v>54435.56</v>
      </c>
      <c r="J545" s="57"/>
      <c r="K545" s="3">
        <v>528</v>
      </c>
      <c r="L545" s="2" t="s">
        <v>64</v>
      </c>
      <c r="M545" s="2" t="s">
        <v>1031</v>
      </c>
      <c r="N545" s="2" t="s">
        <v>12</v>
      </c>
      <c r="O545" s="2" t="s">
        <v>12</v>
      </c>
      <c r="P545" s="21" t="s">
        <v>12</v>
      </c>
      <c r="Q545" s="3"/>
      <c r="R545" s="3"/>
    </row>
    <row r="546" spans="1:18" x14ac:dyDescent="0.25">
      <c r="A546" s="30">
        <v>45741</v>
      </c>
      <c r="B546" s="28">
        <v>536</v>
      </c>
      <c r="C546" s="28"/>
      <c r="D546" s="2" t="s">
        <v>637</v>
      </c>
      <c r="E546" s="7" t="s">
        <v>824</v>
      </c>
      <c r="F546" s="7"/>
      <c r="G546" s="2" t="s">
        <v>13</v>
      </c>
      <c r="H546" s="2" t="s">
        <v>15</v>
      </c>
      <c r="I546" s="5">
        <v>115217.17</v>
      </c>
      <c r="J546" s="57"/>
      <c r="K546" s="3">
        <v>1080</v>
      </c>
      <c r="L546" s="2" t="s">
        <v>226</v>
      </c>
      <c r="M546" s="2" t="s">
        <v>12</v>
      </c>
      <c r="N546" s="2" t="s">
        <v>12</v>
      </c>
      <c r="O546" s="2" t="s">
        <v>12</v>
      </c>
      <c r="P546" s="21" t="s">
        <v>12</v>
      </c>
      <c r="Q546" s="3"/>
      <c r="R546" s="3"/>
    </row>
    <row r="547" spans="1:18" x14ac:dyDescent="0.25">
      <c r="A547" s="30">
        <v>45741</v>
      </c>
      <c r="B547" s="28">
        <v>537</v>
      </c>
      <c r="C547" s="28"/>
      <c r="D547" s="2" t="s">
        <v>825</v>
      </c>
      <c r="E547" s="7" t="s">
        <v>826</v>
      </c>
      <c r="F547" s="7"/>
      <c r="G547" s="2" t="s">
        <v>111</v>
      </c>
      <c r="H547" s="2" t="s">
        <v>827</v>
      </c>
      <c r="I547" s="5">
        <v>126725.27</v>
      </c>
      <c r="J547" s="57"/>
      <c r="K547" s="3">
        <v>1128</v>
      </c>
      <c r="L547" s="2" t="s">
        <v>64</v>
      </c>
      <c r="M547" s="2" t="s">
        <v>12</v>
      </c>
      <c r="N547" s="2" t="s">
        <v>12</v>
      </c>
      <c r="O547" s="2" t="s">
        <v>12</v>
      </c>
      <c r="P547" s="21" t="s">
        <v>12</v>
      </c>
      <c r="Q547" s="3" t="s">
        <v>12</v>
      </c>
      <c r="R547" s="3" t="s">
        <v>12</v>
      </c>
    </row>
    <row r="548" spans="1:18" x14ac:dyDescent="0.25">
      <c r="A548" s="30">
        <v>45742</v>
      </c>
      <c r="B548" s="28">
        <v>538</v>
      </c>
      <c r="C548" s="28"/>
      <c r="D548" s="2" t="s">
        <v>353</v>
      </c>
      <c r="E548" s="7" t="s">
        <v>12</v>
      </c>
      <c r="F548" s="7"/>
      <c r="G548" s="2" t="s">
        <v>13</v>
      </c>
      <c r="H548" s="2" t="s">
        <v>43</v>
      </c>
      <c r="I548" s="5">
        <v>3714.9</v>
      </c>
      <c r="J548" s="57"/>
      <c r="K548" s="3" t="s">
        <v>12</v>
      </c>
      <c r="L548" s="2" t="s">
        <v>226</v>
      </c>
      <c r="M548" s="2" t="s">
        <v>12</v>
      </c>
      <c r="N548" s="2" t="s">
        <v>12</v>
      </c>
      <c r="O548" s="2" t="s">
        <v>12</v>
      </c>
      <c r="P548" s="21" t="s">
        <v>12</v>
      </c>
      <c r="Q548" s="3" t="s">
        <v>12</v>
      </c>
      <c r="R548" s="3" t="s">
        <v>12</v>
      </c>
    </row>
    <row r="549" spans="1:18" x14ac:dyDescent="0.25">
      <c r="A549" s="30">
        <v>45747</v>
      </c>
      <c r="B549" s="28">
        <v>539</v>
      </c>
      <c r="C549" s="28"/>
      <c r="D549" s="2" t="s">
        <v>41</v>
      </c>
      <c r="E549" s="7" t="s">
        <v>828</v>
      </c>
      <c r="F549" s="7"/>
      <c r="G549" s="2" t="s">
        <v>43</v>
      </c>
      <c r="H549" s="2" t="s">
        <v>43</v>
      </c>
      <c r="I549" s="5">
        <v>167948.53</v>
      </c>
      <c r="J549" s="57"/>
      <c r="K549" s="3">
        <v>1560</v>
      </c>
      <c r="L549" s="2" t="s">
        <v>226</v>
      </c>
      <c r="M549" s="2" t="s">
        <v>12</v>
      </c>
      <c r="N549" s="2" t="s">
        <v>12</v>
      </c>
      <c r="O549" s="2" t="s">
        <v>12</v>
      </c>
      <c r="P549" s="21" t="s">
        <v>12</v>
      </c>
      <c r="Q549" s="3" t="s">
        <v>12</v>
      </c>
      <c r="R549" s="3" t="s">
        <v>12</v>
      </c>
    </row>
    <row r="550" spans="1:18" x14ac:dyDescent="0.25">
      <c r="A550" s="30">
        <v>45747</v>
      </c>
      <c r="B550" s="28">
        <v>540</v>
      </c>
      <c r="C550" s="28"/>
      <c r="D550" s="2" t="s">
        <v>41</v>
      </c>
      <c r="E550" s="7" t="s">
        <v>838</v>
      </c>
      <c r="F550" s="7"/>
      <c r="G550" s="2" t="s">
        <v>43</v>
      </c>
      <c r="H550" s="2" t="s">
        <v>43</v>
      </c>
      <c r="I550" s="5">
        <v>142574.76</v>
      </c>
      <c r="J550" s="57"/>
      <c r="K550" s="3">
        <v>1368</v>
      </c>
      <c r="L550" s="2" t="s">
        <v>226</v>
      </c>
      <c r="M550" s="2" t="s">
        <v>12</v>
      </c>
      <c r="N550" s="2" t="s">
        <v>12</v>
      </c>
      <c r="O550" s="2" t="s">
        <v>12</v>
      </c>
      <c r="P550" s="21" t="s">
        <v>12</v>
      </c>
      <c r="Q550" s="3" t="s">
        <v>12</v>
      </c>
      <c r="R550" s="3" t="s">
        <v>12</v>
      </c>
    </row>
    <row r="551" spans="1:18" x14ac:dyDescent="0.25">
      <c r="A551" s="30">
        <v>45742</v>
      </c>
      <c r="B551" s="28">
        <v>541</v>
      </c>
      <c r="C551" s="28"/>
      <c r="D551" s="2" t="s">
        <v>496</v>
      </c>
      <c r="E551" s="7" t="s">
        <v>829</v>
      </c>
      <c r="F551" s="7"/>
      <c r="G551" s="2" t="s">
        <v>13</v>
      </c>
      <c r="H551" s="2" t="s">
        <v>225</v>
      </c>
      <c r="I551" s="5">
        <v>18326.77</v>
      </c>
      <c r="J551" s="57"/>
      <c r="K551" s="3">
        <v>168</v>
      </c>
      <c r="L551" s="2" t="s">
        <v>64</v>
      </c>
      <c r="M551" s="2" t="s">
        <v>12</v>
      </c>
      <c r="N551" s="2" t="s">
        <v>12</v>
      </c>
      <c r="O551" s="2" t="s">
        <v>12</v>
      </c>
      <c r="P551" s="21" t="s">
        <v>12</v>
      </c>
      <c r="Q551" s="3"/>
      <c r="R551" s="3"/>
    </row>
    <row r="552" spans="1:18" x14ac:dyDescent="0.25">
      <c r="A552" s="30">
        <v>45742</v>
      </c>
      <c r="B552" s="28">
        <v>542</v>
      </c>
      <c r="C552" s="28"/>
      <c r="D552" s="2" t="s">
        <v>163</v>
      </c>
      <c r="E552" s="7" t="s">
        <v>812</v>
      </c>
      <c r="F552" s="7"/>
      <c r="G552" s="2" t="s">
        <v>97</v>
      </c>
      <c r="H552" s="2" t="s">
        <v>189</v>
      </c>
      <c r="I552" s="5">
        <v>36557.83</v>
      </c>
      <c r="J552" s="57"/>
      <c r="K552" s="3">
        <v>336</v>
      </c>
      <c r="L552" s="2" t="s">
        <v>226</v>
      </c>
      <c r="M552" s="2" t="s">
        <v>12</v>
      </c>
      <c r="N552" s="2" t="s">
        <v>12</v>
      </c>
      <c r="O552" s="2" t="s">
        <v>12</v>
      </c>
      <c r="P552" s="21" t="s">
        <v>12</v>
      </c>
      <c r="Q552" s="3"/>
      <c r="R552" s="3"/>
    </row>
    <row r="553" spans="1:18" x14ac:dyDescent="0.25">
      <c r="A553" s="30">
        <v>45748</v>
      </c>
      <c r="B553" s="28">
        <v>543</v>
      </c>
      <c r="C553" s="28"/>
      <c r="D553" s="2" t="s">
        <v>176</v>
      </c>
      <c r="E553" s="7" t="s">
        <v>12</v>
      </c>
      <c r="F553" s="7"/>
      <c r="G553" s="2" t="s">
        <v>13</v>
      </c>
      <c r="H553" s="2" t="s">
        <v>177</v>
      </c>
      <c r="I553" s="5">
        <v>58578.41</v>
      </c>
      <c r="J553" s="57"/>
      <c r="K553" s="3">
        <v>960</v>
      </c>
      <c r="L553" s="2" t="s">
        <v>226</v>
      </c>
      <c r="M553" s="2" t="s">
        <v>12</v>
      </c>
      <c r="N553" s="2" t="s">
        <v>12</v>
      </c>
      <c r="O553" s="2" t="s">
        <v>12</v>
      </c>
      <c r="P553" s="21" t="s">
        <v>12</v>
      </c>
      <c r="Q553" s="3" t="s">
        <v>12</v>
      </c>
      <c r="R553" s="3" t="s">
        <v>12</v>
      </c>
    </row>
    <row r="554" spans="1:18" x14ac:dyDescent="0.25">
      <c r="A554" s="30">
        <v>45742</v>
      </c>
      <c r="B554" s="28">
        <v>544</v>
      </c>
      <c r="C554" s="28"/>
      <c r="D554" s="2" t="s">
        <v>103</v>
      </c>
      <c r="E554" s="7" t="s">
        <v>12</v>
      </c>
      <c r="F554" s="7"/>
      <c r="G554" s="2" t="s">
        <v>13</v>
      </c>
      <c r="H554" s="2" t="s">
        <v>491</v>
      </c>
      <c r="I554" s="5">
        <v>3311.64</v>
      </c>
      <c r="J554" s="57"/>
      <c r="K554" s="3">
        <v>48</v>
      </c>
      <c r="L554" s="2" t="s">
        <v>64</v>
      </c>
      <c r="M554" s="2" t="s">
        <v>12</v>
      </c>
      <c r="N554" s="2" t="s">
        <v>12</v>
      </c>
      <c r="O554" s="2" t="s">
        <v>12</v>
      </c>
      <c r="P554" s="21" t="s">
        <v>12</v>
      </c>
      <c r="Q554" s="3" t="s">
        <v>12</v>
      </c>
      <c r="R554" s="3" t="s">
        <v>12</v>
      </c>
    </row>
    <row r="555" spans="1:18" x14ac:dyDescent="0.25">
      <c r="A555" s="30">
        <v>45826</v>
      </c>
      <c r="B555" s="28">
        <v>545</v>
      </c>
      <c r="C555" s="28"/>
      <c r="D555" s="2" t="s">
        <v>41</v>
      </c>
      <c r="E555" s="7" t="s">
        <v>830</v>
      </c>
      <c r="F555" s="7"/>
      <c r="G555" s="2" t="s">
        <v>43</v>
      </c>
      <c r="H555" s="2" t="s">
        <v>158</v>
      </c>
      <c r="I555" s="5">
        <v>104712.38</v>
      </c>
      <c r="J555" s="57"/>
      <c r="K555" s="3">
        <v>806.4</v>
      </c>
      <c r="L555" s="2" t="s">
        <v>226</v>
      </c>
      <c r="M555" s="2" t="s">
        <v>12</v>
      </c>
      <c r="N555" s="2" t="s">
        <v>12</v>
      </c>
      <c r="O555" s="2" t="s">
        <v>12</v>
      </c>
      <c r="P555" s="21" t="s">
        <v>12</v>
      </c>
      <c r="Q555" s="3"/>
      <c r="R555" s="3"/>
    </row>
    <row r="556" spans="1:18" x14ac:dyDescent="0.25">
      <c r="A556" s="30">
        <v>45743</v>
      </c>
      <c r="B556" s="28">
        <v>546</v>
      </c>
      <c r="C556" s="28"/>
      <c r="D556" s="2" t="s">
        <v>562</v>
      </c>
      <c r="E556" s="7" t="s">
        <v>12</v>
      </c>
      <c r="F556" s="7"/>
      <c r="G556" s="2" t="s">
        <v>13</v>
      </c>
      <c r="H556" s="2" t="s">
        <v>119</v>
      </c>
      <c r="I556" s="5">
        <v>75.83</v>
      </c>
      <c r="J556" s="57"/>
      <c r="K556" s="3" t="s">
        <v>12</v>
      </c>
      <c r="L556" s="2" t="s">
        <v>226</v>
      </c>
      <c r="M556" s="2" t="s">
        <v>12</v>
      </c>
      <c r="N556" s="2" t="s">
        <v>12</v>
      </c>
      <c r="O556" s="2" t="s">
        <v>12</v>
      </c>
      <c r="P556" s="21" t="s">
        <v>12</v>
      </c>
      <c r="Q556" s="3" t="s">
        <v>12</v>
      </c>
      <c r="R556" s="3" t="s">
        <v>12</v>
      </c>
    </row>
    <row r="557" spans="1:18" x14ac:dyDescent="0.25">
      <c r="A557" s="30">
        <v>45743</v>
      </c>
      <c r="B557" s="28">
        <v>547</v>
      </c>
      <c r="C557" s="28"/>
      <c r="D557" s="2" t="s">
        <v>839</v>
      </c>
      <c r="E557" s="7" t="s">
        <v>840</v>
      </c>
      <c r="F557" s="7"/>
      <c r="G557" s="2" t="s">
        <v>20</v>
      </c>
      <c r="H557" s="2" t="s">
        <v>427</v>
      </c>
      <c r="I557" s="5">
        <v>34783.440000000002</v>
      </c>
      <c r="J557" s="57"/>
      <c r="K557" s="3">
        <v>302.39999999999998</v>
      </c>
      <c r="L557" s="2" t="s">
        <v>64</v>
      </c>
      <c r="M557" s="2" t="s">
        <v>12</v>
      </c>
      <c r="N557" s="2" t="s">
        <v>12</v>
      </c>
      <c r="O557" s="2" t="s">
        <v>12</v>
      </c>
      <c r="P557" s="21" t="s">
        <v>12</v>
      </c>
      <c r="Q557" s="3"/>
      <c r="R557" s="3" t="s">
        <v>12</v>
      </c>
    </row>
    <row r="558" spans="1:18" x14ac:dyDescent="0.25">
      <c r="A558" s="30">
        <v>45743</v>
      </c>
      <c r="B558" s="28">
        <v>548</v>
      </c>
      <c r="C558" s="28"/>
      <c r="D558" s="2" t="s">
        <v>734</v>
      </c>
      <c r="E558" s="7" t="s">
        <v>12</v>
      </c>
      <c r="F558" s="7"/>
      <c r="G558" s="2" t="s">
        <v>13</v>
      </c>
      <c r="H558" s="2" t="s">
        <v>735</v>
      </c>
      <c r="I558" s="5">
        <v>1766.81</v>
      </c>
      <c r="J558" s="57"/>
      <c r="K558" s="3">
        <v>24</v>
      </c>
      <c r="L558" s="2" t="s">
        <v>64</v>
      </c>
      <c r="M558" s="2" t="s">
        <v>12</v>
      </c>
      <c r="N558" s="2" t="s">
        <v>12</v>
      </c>
      <c r="O558" s="2" t="s">
        <v>12</v>
      </c>
      <c r="P558" s="21" t="s">
        <v>12</v>
      </c>
      <c r="Q558" s="3"/>
      <c r="R558" s="3" t="s">
        <v>12</v>
      </c>
    </row>
    <row r="559" spans="1:18" x14ac:dyDescent="0.25">
      <c r="A559" s="30">
        <v>45743</v>
      </c>
      <c r="B559" s="28">
        <v>549</v>
      </c>
      <c r="C559" s="28"/>
      <c r="D559" s="2" t="s">
        <v>726</v>
      </c>
      <c r="E559" s="7" t="s">
        <v>12</v>
      </c>
      <c r="F559" s="7"/>
      <c r="G559" s="2" t="s">
        <v>111</v>
      </c>
      <c r="H559" s="2" t="s">
        <v>727</v>
      </c>
      <c r="I559" s="5">
        <v>8008.49</v>
      </c>
      <c r="J559" s="57"/>
      <c r="K559" s="3">
        <v>72</v>
      </c>
      <c r="L559" s="2" t="s">
        <v>64</v>
      </c>
      <c r="M559" s="2" t="s">
        <v>12</v>
      </c>
      <c r="N559" s="2" t="s">
        <v>12</v>
      </c>
      <c r="O559" s="2" t="s">
        <v>12</v>
      </c>
      <c r="P559" s="21" t="s">
        <v>12</v>
      </c>
      <c r="Q559" s="3" t="s">
        <v>12</v>
      </c>
      <c r="R559" s="3" t="s">
        <v>12</v>
      </c>
    </row>
    <row r="560" spans="1:18" x14ac:dyDescent="0.25">
      <c r="A560" s="30">
        <v>45744</v>
      </c>
      <c r="B560" s="28">
        <v>550</v>
      </c>
      <c r="C560" s="28"/>
      <c r="D560" s="2" t="s">
        <v>841</v>
      </c>
      <c r="E560" s="7" t="s">
        <v>12</v>
      </c>
      <c r="F560" s="7"/>
      <c r="G560" s="2" t="s">
        <v>13</v>
      </c>
      <c r="H560" s="2" t="s">
        <v>842</v>
      </c>
      <c r="I560" s="5">
        <v>87696.57</v>
      </c>
      <c r="J560" s="57"/>
      <c r="K560" s="3">
        <v>768</v>
      </c>
      <c r="L560" s="2" t="s">
        <v>226</v>
      </c>
      <c r="M560" s="2" t="s">
        <v>12</v>
      </c>
      <c r="N560" s="2" t="s">
        <v>12</v>
      </c>
      <c r="O560" s="2" t="s">
        <v>12</v>
      </c>
      <c r="P560" s="21" t="s">
        <v>12</v>
      </c>
      <c r="Q560" s="3" t="s">
        <v>12</v>
      </c>
      <c r="R560" s="3" t="s">
        <v>12</v>
      </c>
    </row>
    <row r="561" spans="1:18" x14ac:dyDescent="0.25">
      <c r="A561" s="30">
        <v>45743</v>
      </c>
      <c r="B561" s="28">
        <v>551</v>
      </c>
      <c r="C561" s="28"/>
      <c r="D561" s="2" t="s">
        <v>168</v>
      </c>
      <c r="E561" s="7" t="s">
        <v>843</v>
      </c>
      <c r="F561" s="7"/>
      <c r="G561" s="2" t="s">
        <v>43</v>
      </c>
      <c r="H561" s="2" t="s">
        <v>381</v>
      </c>
      <c r="I561" s="5">
        <v>114620.66</v>
      </c>
      <c r="J561" s="57"/>
      <c r="K561" s="3">
        <v>1224</v>
      </c>
      <c r="L561" s="2" t="s">
        <v>226</v>
      </c>
      <c r="M561" s="2" t="s">
        <v>12</v>
      </c>
      <c r="N561" s="2" t="s">
        <v>12</v>
      </c>
      <c r="O561" s="2" t="s">
        <v>12</v>
      </c>
      <c r="P561" s="21" t="s">
        <v>12</v>
      </c>
      <c r="Q561" s="3"/>
      <c r="R561" s="3"/>
    </row>
    <row r="562" spans="1:18" x14ac:dyDescent="0.25">
      <c r="A562" s="30">
        <v>45744</v>
      </c>
      <c r="B562" s="28">
        <v>552</v>
      </c>
      <c r="C562" s="28"/>
      <c r="D562" s="2" t="s">
        <v>243</v>
      </c>
      <c r="E562" s="7" t="s">
        <v>12</v>
      </c>
      <c r="F562" s="7"/>
      <c r="G562" s="2" t="s">
        <v>20</v>
      </c>
      <c r="H562" s="2" t="s">
        <v>244</v>
      </c>
      <c r="I562" s="5">
        <v>6994.98</v>
      </c>
      <c r="J562" s="57"/>
      <c r="K562" s="3">
        <v>96</v>
      </c>
      <c r="L562" s="2" t="s">
        <v>64</v>
      </c>
      <c r="M562" s="2" t="s">
        <v>12</v>
      </c>
      <c r="N562" s="2" t="s">
        <v>12</v>
      </c>
      <c r="O562" s="2" t="s">
        <v>12</v>
      </c>
      <c r="P562" s="21" t="s">
        <v>12</v>
      </c>
      <c r="Q562" s="3" t="s">
        <v>12</v>
      </c>
      <c r="R562" s="3" t="s">
        <v>12</v>
      </c>
    </row>
    <row r="563" spans="1:18" x14ac:dyDescent="0.25">
      <c r="A563" s="30">
        <v>45744</v>
      </c>
      <c r="B563" s="28">
        <v>553</v>
      </c>
      <c r="C563" s="28"/>
      <c r="D563" s="2" t="s">
        <v>558</v>
      </c>
      <c r="E563" s="7" t="s">
        <v>844</v>
      </c>
      <c r="F563" s="7"/>
      <c r="G563" s="2" t="s">
        <v>20</v>
      </c>
      <c r="H563" s="2" t="s">
        <v>532</v>
      </c>
      <c r="I563" s="5">
        <v>16644.689999999999</v>
      </c>
      <c r="J563" s="57"/>
      <c r="K563" s="3">
        <v>168</v>
      </c>
      <c r="L563" s="2" t="s">
        <v>226</v>
      </c>
      <c r="M563" s="2" t="s">
        <v>1028</v>
      </c>
      <c r="N563" s="2" t="s">
        <v>12</v>
      </c>
      <c r="O563" s="2" t="s">
        <v>12</v>
      </c>
      <c r="P563" s="21" t="s">
        <v>12</v>
      </c>
      <c r="Q563" s="3" t="s">
        <v>12</v>
      </c>
      <c r="R563" s="3" t="s">
        <v>12</v>
      </c>
    </row>
    <row r="564" spans="1:18" x14ac:dyDescent="0.25">
      <c r="A564" s="30">
        <v>45744</v>
      </c>
      <c r="B564" s="28">
        <v>554</v>
      </c>
      <c r="C564" s="28"/>
      <c r="D564" s="2" t="s">
        <v>87</v>
      </c>
      <c r="E564" s="7" t="s">
        <v>845</v>
      </c>
      <c r="F564" s="7"/>
      <c r="G564" s="2" t="s">
        <v>13</v>
      </c>
      <c r="H564" s="2" t="s">
        <v>114</v>
      </c>
      <c r="I564" s="5">
        <v>139350.48000000001</v>
      </c>
      <c r="J564" s="57"/>
      <c r="K564" s="3">
        <v>1296</v>
      </c>
      <c r="L564" s="2" t="s">
        <v>226</v>
      </c>
      <c r="M564" s="2" t="s">
        <v>12</v>
      </c>
      <c r="N564" s="2" t="s">
        <v>12</v>
      </c>
      <c r="O564" s="2" t="s">
        <v>12</v>
      </c>
      <c r="P564" s="21" t="s">
        <v>12</v>
      </c>
      <c r="Q564" s="3" t="s">
        <v>12</v>
      </c>
      <c r="R564" s="3" t="s">
        <v>12</v>
      </c>
    </row>
    <row r="565" spans="1:18" x14ac:dyDescent="0.25">
      <c r="A565" s="30">
        <v>45749</v>
      </c>
      <c r="B565" s="28">
        <v>555</v>
      </c>
      <c r="C565" s="28"/>
      <c r="D565" s="2" t="s">
        <v>640</v>
      </c>
      <c r="E565" s="7" t="s">
        <v>846</v>
      </c>
      <c r="F565" s="7"/>
      <c r="G565" s="2" t="s">
        <v>26</v>
      </c>
      <c r="H565" s="2" t="s">
        <v>642</v>
      </c>
      <c r="I565" s="5">
        <v>92095.81</v>
      </c>
      <c r="J565" s="57"/>
      <c r="K565" s="3">
        <v>936</v>
      </c>
      <c r="L565" s="2" t="s">
        <v>64</v>
      </c>
      <c r="M565" s="2" t="s">
        <v>12</v>
      </c>
      <c r="N565" s="2" t="s">
        <v>12</v>
      </c>
      <c r="O565" s="2" t="s">
        <v>12</v>
      </c>
      <c r="P565" s="21" t="s">
        <v>12</v>
      </c>
      <c r="Q565" s="3" t="s">
        <v>12</v>
      </c>
      <c r="R565" s="3" t="s">
        <v>12</v>
      </c>
    </row>
    <row r="566" spans="1:18" x14ac:dyDescent="0.25">
      <c r="A566" s="30">
        <v>45747</v>
      </c>
      <c r="B566" s="28">
        <v>556</v>
      </c>
      <c r="C566" s="28"/>
      <c r="D566" s="2" t="s">
        <v>497</v>
      </c>
      <c r="E566" s="7" t="s">
        <v>847</v>
      </c>
      <c r="F566" s="7"/>
      <c r="G566" s="2" t="s">
        <v>97</v>
      </c>
      <c r="H566" s="2" t="s">
        <v>43</v>
      </c>
      <c r="I566" s="5">
        <v>304838.94</v>
      </c>
      <c r="J566" s="57"/>
      <c r="K566" s="3">
        <v>2520</v>
      </c>
      <c r="L566" s="2" t="s">
        <v>226</v>
      </c>
      <c r="M566" s="2" t="s">
        <v>12</v>
      </c>
      <c r="N566" s="2" t="s">
        <v>12</v>
      </c>
      <c r="O566" s="2" t="s">
        <v>12</v>
      </c>
      <c r="P566" s="21" t="s">
        <v>12</v>
      </c>
      <c r="Q566" s="3" t="s">
        <v>12</v>
      </c>
      <c r="R566" s="3" t="s">
        <v>12</v>
      </c>
    </row>
    <row r="567" spans="1:18" x14ac:dyDescent="0.25">
      <c r="A567" s="30">
        <v>45747</v>
      </c>
      <c r="B567" s="28">
        <v>557</v>
      </c>
      <c r="C567" s="28"/>
      <c r="D567" s="2" t="s">
        <v>558</v>
      </c>
      <c r="E567" s="7" t="s">
        <v>848</v>
      </c>
      <c r="F567" s="7"/>
      <c r="G567" s="2" t="s">
        <v>20</v>
      </c>
      <c r="H567" s="2" t="s">
        <v>532</v>
      </c>
      <c r="I567" s="5">
        <v>128671.71</v>
      </c>
      <c r="J567" s="57"/>
      <c r="K567" s="3">
        <v>1248</v>
      </c>
      <c r="L567" s="2" t="s">
        <v>226</v>
      </c>
      <c r="M567" s="2" t="s">
        <v>12</v>
      </c>
      <c r="N567" s="2" t="s">
        <v>12</v>
      </c>
      <c r="O567" s="2" t="s">
        <v>12</v>
      </c>
      <c r="P567" s="21" t="s">
        <v>12</v>
      </c>
      <c r="Q567" s="3" t="s">
        <v>908</v>
      </c>
      <c r="R567" s="3" t="s">
        <v>76</v>
      </c>
    </row>
    <row r="568" spans="1:18" x14ac:dyDescent="0.25">
      <c r="A568" s="30">
        <v>45747</v>
      </c>
      <c r="B568" s="28">
        <v>558</v>
      </c>
      <c r="C568" s="28"/>
      <c r="D568" s="2" t="s">
        <v>393</v>
      </c>
      <c r="E568" s="7" t="s">
        <v>849</v>
      </c>
      <c r="F568" s="7"/>
      <c r="G568" s="2" t="s">
        <v>43</v>
      </c>
      <c r="H568" s="2" t="s">
        <v>198</v>
      </c>
      <c r="I568" s="5">
        <v>8517.51</v>
      </c>
      <c r="J568" s="57"/>
      <c r="K568" s="3">
        <v>96</v>
      </c>
      <c r="L568" s="2" t="s">
        <v>226</v>
      </c>
      <c r="M568" s="2" t="s">
        <v>12</v>
      </c>
      <c r="N568" s="2" t="s">
        <v>12</v>
      </c>
      <c r="O568" s="2" t="s">
        <v>12</v>
      </c>
      <c r="P568" s="21" t="s">
        <v>12</v>
      </c>
      <c r="Q568" s="3" t="s">
        <v>907</v>
      </c>
      <c r="R568" s="3" t="s">
        <v>80</v>
      </c>
    </row>
    <row r="569" spans="1:18" x14ac:dyDescent="0.25">
      <c r="A569" s="30">
        <v>45747</v>
      </c>
      <c r="B569" s="28">
        <v>559</v>
      </c>
      <c r="C569" s="28"/>
      <c r="D569" s="2" t="s">
        <v>309</v>
      </c>
      <c r="E569" s="7" t="s">
        <v>850</v>
      </c>
      <c r="F569" s="7"/>
      <c r="G569" s="2" t="s">
        <v>43</v>
      </c>
      <c r="H569" s="2" t="s">
        <v>769</v>
      </c>
      <c r="I569" s="5">
        <v>128625.48</v>
      </c>
      <c r="J569" s="57"/>
      <c r="K569" s="3">
        <v>1378.8</v>
      </c>
      <c r="L569" s="2" t="s">
        <v>226</v>
      </c>
      <c r="M569" s="2" t="s">
        <v>12</v>
      </c>
      <c r="N569" s="2" t="s">
        <v>12</v>
      </c>
      <c r="O569" s="2" t="s">
        <v>12</v>
      </c>
      <c r="P569" s="21" t="s">
        <v>12</v>
      </c>
      <c r="Q569" s="3" t="s">
        <v>12</v>
      </c>
      <c r="R569" s="3" t="s">
        <v>12</v>
      </c>
    </row>
    <row r="570" spans="1:18" x14ac:dyDescent="0.25">
      <c r="A570" s="30">
        <v>45747</v>
      </c>
      <c r="B570" s="28">
        <v>560</v>
      </c>
      <c r="C570" s="28"/>
      <c r="D570" s="2" t="s">
        <v>546</v>
      </c>
      <c r="E570" s="7" t="s">
        <v>851</v>
      </c>
      <c r="F570" s="7"/>
      <c r="G570" s="2" t="s">
        <v>111</v>
      </c>
      <c r="H570" s="2" t="s">
        <v>369</v>
      </c>
      <c r="I570" s="5">
        <v>241383.92</v>
      </c>
      <c r="J570" s="57"/>
      <c r="K570" s="3">
        <v>2520</v>
      </c>
      <c r="L570" s="2" t="s">
        <v>134</v>
      </c>
      <c r="M570" s="2" t="s">
        <v>80</v>
      </c>
      <c r="N570" s="2" t="s">
        <v>135</v>
      </c>
      <c r="O570" s="2" t="s">
        <v>528</v>
      </c>
      <c r="P570" s="21">
        <v>194000</v>
      </c>
      <c r="Q570" s="3" t="s">
        <v>12</v>
      </c>
      <c r="R570" s="3" t="s">
        <v>12</v>
      </c>
    </row>
    <row r="571" spans="1:18" x14ac:dyDescent="0.25">
      <c r="A571" s="30">
        <v>45747</v>
      </c>
      <c r="B571" s="28">
        <v>561</v>
      </c>
      <c r="C571" s="28"/>
      <c r="D571" s="2" t="s">
        <v>418</v>
      </c>
      <c r="E571" s="7" t="s">
        <v>12</v>
      </c>
      <c r="F571" s="7"/>
      <c r="G571" s="2" t="s">
        <v>97</v>
      </c>
      <c r="H571" s="2" t="s">
        <v>419</v>
      </c>
      <c r="I571" s="5">
        <v>12203.12</v>
      </c>
      <c r="J571" s="57"/>
      <c r="K571" s="3">
        <v>120</v>
      </c>
      <c r="L571" s="2" t="s">
        <v>226</v>
      </c>
      <c r="M571" s="2" t="s">
        <v>12</v>
      </c>
      <c r="N571" s="2" t="s">
        <v>12</v>
      </c>
      <c r="O571" s="2" t="s">
        <v>12</v>
      </c>
      <c r="P571" s="21" t="s">
        <v>12</v>
      </c>
      <c r="Q571" s="3" t="s">
        <v>12</v>
      </c>
      <c r="R571" s="3" t="s">
        <v>12</v>
      </c>
    </row>
    <row r="572" spans="1:18" x14ac:dyDescent="0.25">
      <c r="A572" s="30">
        <v>45747</v>
      </c>
      <c r="B572" s="28">
        <v>562</v>
      </c>
      <c r="C572" s="28"/>
      <c r="D572" s="2" t="s">
        <v>95</v>
      </c>
      <c r="E572" s="7" t="s">
        <v>12</v>
      </c>
      <c r="F572" s="7"/>
      <c r="G572" s="2" t="s">
        <v>97</v>
      </c>
      <c r="H572" s="2" t="s">
        <v>852</v>
      </c>
      <c r="I572" s="5">
        <v>167536.87</v>
      </c>
      <c r="J572" s="57"/>
      <c r="K572" s="3">
        <v>1416</v>
      </c>
      <c r="L572" s="2" t="s">
        <v>226</v>
      </c>
      <c r="M572" s="2" t="s">
        <v>12</v>
      </c>
      <c r="N572" s="2" t="s">
        <v>12</v>
      </c>
      <c r="O572" s="2" t="s">
        <v>12</v>
      </c>
      <c r="P572" s="21" t="s">
        <v>12</v>
      </c>
      <c r="Q572" s="3" t="s">
        <v>12</v>
      </c>
      <c r="R572" s="3" t="s">
        <v>12</v>
      </c>
    </row>
    <row r="573" spans="1:18" x14ac:dyDescent="0.25">
      <c r="A573" s="30">
        <v>45747</v>
      </c>
      <c r="B573" s="28">
        <v>563</v>
      </c>
      <c r="C573" s="28"/>
      <c r="D573" s="2" t="s">
        <v>684</v>
      </c>
      <c r="E573" s="7" t="s">
        <v>853</v>
      </c>
      <c r="F573" s="7"/>
      <c r="G573" s="2" t="s">
        <v>43</v>
      </c>
      <c r="H573" s="2" t="s">
        <v>854</v>
      </c>
      <c r="I573" s="5">
        <v>71273.539999999994</v>
      </c>
      <c r="J573" s="57"/>
      <c r="K573" s="3">
        <v>744</v>
      </c>
      <c r="L573" s="2" t="s">
        <v>226</v>
      </c>
      <c r="M573" s="2" t="s">
        <v>12</v>
      </c>
      <c r="N573" s="2" t="s">
        <v>12</v>
      </c>
      <c r="O573" s="2" t="s">
        <v>12</v>
      </c>
      <c r="P573" s="21" t="s">
        <v>12</v>
      </c>
      <c r="Q573" s="3" t="s">
        <v>12</v>
      </c>
      <c r="R573" s="3"/>
    </row>
    <row r="574" spans="1:18" x14ac:dyDescent="0.25">
      <c r="A574" s="30">
        <v>45747</v>
      </c>
      <c r="B574" s="28">
        <v>564</v>
      </c>
      <c r="C574" s="28"/>
      <c r="D574" s="2" t="s">
        <v>855</v>
      </c>
      <c r="E574" s="7" t="s">
        <v>12</v>
      </c>
      <c r="F574" s="7"/>
      <c r="G574" s="2" t="s">
        <v>13</v>
      </c>
      <c r="H574" s="2" t="s">
        <v>225</v>
      </c>
      <c r="I574" s="5">
        <v>1469.15</v>
      </c>
      <c r="J574" s="57"/>
      <c r="K574" s="3">
        <v>7.2</v>
      </c>
      <c r="L574" s="2" t="s">
        <v>226</v>
      </c>
      <c r="M574" s="2" t="s">
        <v>12</v>
      </c>
      <c r="N574" s="2"/>
      <c r="O574" s="2" t="s">
        <v>12</v>
      </c>
      <c r="P574" s="21" t="s">
        <v>12</v>
      </c>
      <c r="Q574" s="3" t="s">
        <v>12</v>
      </c>
      <c r="R574" s="3" t="s">
        <v>12</v>
      </c>
    </row>
    <row r="575" spans="1:18" x14ac:dyDescent="0.25">
      <c r="A575" s="30">
        <v>45747</v>
      </c>
      <c r="B575" s="28">
        <v>565</v>
      </c>
      <c r="C575" s="28"/>
      <c r="D575" s="2" t="s">
        <v>525</v>
      </c>
      <c r="E575" s="7" t="s">
        <v>767</v>
      </c>
      <c r="F575" s="7"/>
      <c r="G575" s="2" t="s">
        <v>97</v>
      </c>
      <c r="H575" s="2"/>
      <c r="I575" s="5">
        <v>149874.13</v>
      </c>
      <c r="J575" s="57"/>
      <c r="K575" s="3">
        <v>1396.8</v>
      </c>
      <c r="L575" s="2" t="s">
        <v>226</v>
      </c>
      <c r="M575" s="2" t="s">
        <v>12</v>
      </c>
      <c r="N575" s="2" t="s">
        <v>12</v>
      </c>
      <c r="O575" s="2" t="s">
        <v>12</v>
      </c>
      <c r="P575" s="21" t="s">
        <v>12</v>
      </c>
      <c r="Q575" s="3" t="s">
        <v>77</v>
      </c>
      <c r="R575" s="3" t="s">
        <v>75</v>
      </c>
    </row>
    <row r="576" spans="1:18" x14ac:dyDescent="0.25">
      <c r="A576" s="30">
        <v>45747</v>
      </c>
      <c r="B576" s="28">
        <v>566</v>
      </c>
      <c r="C576" s="28"/>
      <c r="D576" s="2" t="s">
        <v>33</v>
      </c>
      <c r="E576" s="7" t="s">
        <v>856</v>
      </c>
      <c r="F576" s="7"/>
      <c r="G576" s="2" t="s">
        <v>13</v>
      </c>
      <c r="H576" s="2" t="s">
        <v>35</v>
      </c>
      <c r="I576" s="5">
        <v>8550.9599999999991</v>
      </c>
      <c r="J576" s="57"/>
      <c r="K576" s="3">
        <v>96</v>
      </c>
      <c r="L576" s="2" t="s">
        <v>226</v>
      </c>
      <c r="M576" s="2" t="s">
        <v>12</v>
      </c>
      <c r="N576" s="2" t="s">
        <v>12</v>
      </c>
      <c r="O576" s="2" t="s">
        <v>12</v>
      </c>
      <c r="P576" s="21" t="s">
        <v>12</v>
      </c>
      <c r="Q576" s="3" t="s">
        <v>12</v>
      </c>
      <c r="R576" s="3" t="s">
        <v>12</v>
      </c>
    </row>
    <row r="577" spans="1:18" x14ac:dyDescent="0.25">
      <c r="A577" s="30">
        <v>45747</v>
      </c>
      <c r="B577" s="28">
        <v>567</v>
      </c>
      <c r="C577" s="28"/>
      <c r="D577" s="2" t="s">
        <v>33</v>
      </c>
      <c r="E577" s="7" t="s">
        <v>857</v>
      </c>
      <c r="F577" s="7"/>
      <c r="G577" s="2" t="s">
        <v>13</v>
      </c>
      <c r="H577" s="2" t="s">
        <v>35</v>
      </c>
      <c r="I577" s="5">
        <v>4226.6499999999996</v>
      </c>
      <c r="J577" s="57"/>
      <c r="K577" s="3">
        <v>48</v>
      </c>
      <c r="L577" s="2" t="s">
        <v>226</v>
      </c>
      <c r="M577" s="2" t="s">
        <v>12</v>
      </c>
      <c r="N577" s="2" t="s">
        <v>12</v>
      </c>
      <c r="O577" s="2" t="s">
        <v>12</v>
      </c>
      <c r="P577" s="21" t="s">
        <v>12</v>
      </c>
      <c r="Q577" s="3" t="s">
        <v>12</v>
      </c>
      <c r="R577" s="3" t="s">
        <v>12</v>
      </c>
    </row>
    <row r="578" spans="1:18" x14ac:dyDescent="0.25">
      <c r="A578" s="30">
        <v>45747</v>
      </c>
      <c r="B578" s="28">
        <v>568</v>
      </c>
      <c r="C578" s="28"/>
      <c r="D578" s="2" t="s">
        <v>168</v>
      </c>
      <c r="E578" s="7" t="s">
        <v>717</v>
      </c>
      <c r="F578" s="7"/>
      <c r="G578" s="2" t="s">
        <v>43</v>
      </c>
      <c r="H578" s="2" t="s">
        <v>375</v>
      </c>
      <c r="I578" s="5">
        <v>7786.44</v>
      </c>
      <c r="J578" s="57"/>
      <c r="K578" s="3" t="s">
        <v>12</v>
      </c>
      <c r="L578" s="2" t="s">
        <v>134</v>
      </c>
      <c r="M578" s="2" t="s">
        <v>1160</v>
      </c>
      <c r="N578" s="2" t="s">
        <v>135</v>
      </c>
      <c r="O578" s="2" t="s">
        <v>374</v>
      </c>
      <c r="P578" s="21">
        <v>5000</v>
      </c>
      <c r="Q578" s="3" t="s">
        <v>12</v>
      </c>
      <c r="R578" s="3" t="s">
        <v>12</v>
      </c>
    </row>
    <row r="579" spans="1:18" x14ac:dyDescent="0.25">
      <c r="A579" s="30">
        <v>45748</v>
      </c>
      <c r="B579" s="28">
        <v>569</v>
      </c>
      <c r="C579" s="28"/>
      <c r="D579" s="2" t="s">
        <v>858</v>
      </c>
      <c r="E579" s="7" t="s">
        <v>12</v>
      </c>
      <c r="F579" s="7"/>
      <c r="G579" s="2" t="s">
        <v>97</v>
      </c>
      <c r="H579" s="2" t="s">
        <v>859</v>
      </c>
      <c r="I579" s="5">
        <v>4145.17</v>
      </c>
      <c r="J579" s="57"/>
      <c r="K579" s="3">
        <v>48</v>
      </c>
      <c r="L579" s="2" t="s">
        <v>226</v>
      </c>
      <c r="M579" s="2" t="s">
        <v>12</v>
      </c>
      <c r="N579" s="2" t="s">
        <v>12</v>
      </c>
      <c r="O579" s="2" t="s">
        <v>12</v>
      </c>
      <c r="P579" s="21" t="s">
        <v>12</v>
      </c>
      <c r="Q579" s="3" t="s">
        <v>12</v>
      </c>
      <c r="R579" s="3" t="s">
        <v>12</v>
      </c>
    </row>
    <row r="580" spans="1:18" x14ac:dyDescent="0.25">
      <c r="A580" s="30">
        <v>45748</v>
      </c>
      <c r="B580" s="28">
        <v>570</v>
      </c>
      <c r="C580" s="28"/>
      <c r="D580" s="2" t="s">
        <v>137</v>
      </c>
      <c r="E580" s="7" t="s">
        <v>860</v>
      </c>
      <c r="F580" s="7"/>
      <c r="G580" s="2" t="s">
        <v>26</v>
      </c>
      <c r="H580" s="2" t="s">
        <v>98</v>
      </c>
      <c r="I580" s="5">
        <v>134024.42000000001</v>
      </c>
      <c r="J580" s="57"/>
      <c r="K580" s="3">
        <v>1224</v>
      </c>
      <c r="L580" s="2" t="s">
        <v>226</v>
      </c>
      <c r="M580" s="2" t="s">
        <v>12</v>
      </c>
      <c r="N580" s="2" t="s">
        <v>12</v>
      </c>
      <c r="O580" s="2" t="s">
        <v>12</v>
      </c>
      <c r="P580" s="21" t="s">
        <v>12</v>
      </c>
      <c r="Q580" s="3" t="s">
        <v>12</v>
      </c>
      <c r="R580" s="3" t="s">
        <v>12</v>
      </c>
    </row>
    <row r="581" spans="1:18" x14ac:dyDescent="0.25">
      <c r="A581" s="30">
        <v>45748</v>
      </c>
      <c r="B581" s="28">
        <v>571</v>
      </c>
      <c r="C581" s="28"/>
      <c r="D581" s="2" t="s">
        <v>363</v>
      </c>
      <c r="E581" s="7" t="s">
        <v>12</v>
      </c>
      <c r="F581" s="7"/>
      <c r="G581" s="2" t="s">
        <v>13</v>
      </c>
      <c r="H581" s="2" t="s">
        <v>98</v>
      </c>
      <c r="I581" s="5">
        <v>29736</v>
      </c>
      <c r="J581" s="57"/>
      <c r="K581" s="3">
        <v>480</v>
      </c>
      <c r="L581" s="2" t="s">
        <v>226</v>
      </c>
      <c r="M581" s="2" t="s">
        <v>12</v>
      </c>
      <c r="N581" s="2" t="s">
        <v>12</v>
      </c>
      <c r="O581" s="2" t="s">
        <v>12</v>
      </c>
      <c r="P581" s="21" t="s">
        <v>12</v>
      </c>
      <c r="Q581" s="3" t="s">
        <v>12</v>
      </c>
      <c r="R581" s="3" t="s">
        <v>12</v>
      </c>
    </row>
    <row r="582" spans="1:18" x14ac:dyDescent="0.25">
      <c r="A582" s="30">
        <v>45748</v>
      </c>
      <c r="B582" s="28">
        <v>572</v>
      </c>
      <c r="C582" s="28"/>
      <c r="D582" s="2" t="s">
        <v>403</v>
      </c>
      <c r="E582" s="7" t="s">
        <v>861</v>
      </c>
      <c r="F582" s="7"/>
      <c r="G582" s="2" t="s">
        <v>43</v>
      </c>
      <c r="H582" s="2" t="s">
        <v>390</v>
      </c>
      <c r="I582" s="5">
        <v>32426.68</v>
      </c>
      <c r="J582" s="57"/>
      <c r="K582" s="3">
        <v>264</v>
      </c>
      <c r="L582" s="2" t="s">
        <v>226</v>
      </c>
      <c r="M582" s="2" t="s">
        <v>2856</v>
      </c>
      <c r="N582" s="2" t="s">
        <v>12</v>
      </c>
      <c r="O582" s="2" t="s">
        <v>12</v>
      </c>
      <c r="P582" s="21" t="s">
        <v>12</v>
      </c>
      <c r="Q582" s="3" t="s">
        <v>12</v>
      </c>
      <c r="R582" s="3" t="s">
        <v>12</v>
      </c>
    </row>
    <row r="583" spans="1:18" x14ac:dyDescent="0.25">
      <c r="A583" s="30">
        <v>45748</v>
      </c>
      <c r="B583" s="28">
        <v>573</v>
      </c>
      <c r="C583" s="28"/>
      <c r="D583" s="2" t="s">
        <v>862</v>
      </c>
      <c r="E583" s="7" t="s">
        <v>12</v>
      </c>
      <c r="F583" s="7"/>
      <c r="G583" s="2" t="s">
        <v>13</v>
      </c>
      <c r="H583" s="2" t="s">
        <v>863</v>
      </c>
      <c r="I583" s="5">
        <v>2040.43</v>
      </c>
      <c r="J583" s="57"/>
      <c r="K583" s="3">
        <v>24</v>
      </c>
      <c r="L583" s="2" t="s">
        <v>226</v>
      </c>
      <c r="M583" s="2" t="s">
        <v>12</v>
      </c>
      <c r="N583" s="2" t="s">
        <v>12</v>
      </c>
      <c r="O583" s="2" t="s">
        <v>12</v>
      </c>
      <c r="P583" s="21" t="s">
        <v>12</v>
      </c>
      <c r="Q583" s="3" t="s">
        <v>12</v>
      </c>
      <c r="R583" s="3" t="s">
        <v>12</v>
      </c>
    </row>
    <row r="584" spans="1:18" x14ac:dyDescent="0.25">
      <c r="A584" s="30">
        <v>45749</v>
      </c>
      <c r="B584" s="28">
        <v>574</v>
      </c>
      <c r="C584" s="28"/>
      <c r="D584" s="2" t="s">
        <v>864</v>
      </c>
      <c r="E584" s="7" t="s">
        <v>865</v>
      </c>
      <c r="F584" s="7"/>
      <c r="G584" s="2" t="s">
        <v>13</v>
      </c>
      <c r="H584" s="2" t="s">
        <v>119</v>
      </c>
      <c r="I584" s="5">
        <v>27557.82</v>
      </c>
      <c r="J584" s="57"/>
      <c r="K584" s="3">
        <v>264</v>
      </c>
      <c r="L584" s="2" t="s">
        <v>226</v>
      </c>
      <c r="M584" s="2" t="s">
        <v>12</v>
      </c>
      <c r="N584" s="2" t="s">
        <v>12</v>
      </c>
      <c r="O584" s="2" t="s">
        <v>12</v>
      </c>
      <c r="P584" s="21" t="s">
        <v>12</v>
      </c>
      <c r="Q584" s="3" t="s">
        <v>12</v>
      </c>
      <c r="R584" s="3" t="s">
        <v>12</v>
      </c>
    </row>
    <row r="585" spans="1:18" x14ac:dyDescent="0.25">
      <c r="A585" s="30">
        <v>45749</v>
      </c>
      <c r="B585" s="28">
        <v>575</v>
      </c>
      <c r="C585" s="28"/>
      <c r="D585" s="2" t="s">
        <v>233</v>
      </c>
      <c r="E585" s="7" t="s">
        <v>12</v>
      </c>
      <c r="F585" s="7"/>
      <c r="G585" s="2" t="s">
        <v>13</v>
      </c>
      <c r="H585" s="2" t="s">
        <v>235</v>
      </c>
      <c r="I585" s="5">
        <v>11775.79</v>
      </c>
      <c r="J585" s="57"/>
      <c r="K585" s="3">
        <v>120</v>
      </c>
      <c r="L585" s="2" t="s">
        <v>226</v>
      </c>
      <c r="M585" s="2" t="s">
        <v>12</v>
      </c>
      <c r="N585" s="2" t="s">
        <v>12</v>
      </c>
      <c r="O585" s="2" t="s">
        <v>12</v>
      </c>
      <c r="P585" s="21" t="s">
        <v>12</v>
      </c>
      <c r="Q585" s="3" t="s">
        <v>12</v>
      </c>
      <c r="R585" s="3" t="s">
        <v>12</v>
      </c>
    </row>
    <row r="586" spans="1:18" x14ac:dyDescent="0.25">
      <c r="A586" s="30">
        <v>45749</v>
      </c>
      <c r="B586" s="28">
        <v>576</v>
      </c>
      <c r="C586" s="28"/>
      <c r="D586" s="2" t="s">
        <v>866</v>
      </c>
      <c r="E586" s="7" t="s">
        <v>12</v>
      </c>
      <c r="F586" s="7"/>
      <c r="G586" s="2" t="s">
        <v>13</v>
      </c>
      <c r="H586" s="2" t="s">
        <v>867</v>
      </c>
      <c r="I586" s="5">
        <v>51808.62</v>
      </c>
      <c r="J586" s="57"/>
      <c r="K586" s="3">
        <v>456</v>
      </c>
      <c r="L586" s="2" t="s">
        <v>226</v>
      </c>
      <c r="M586" s="2" t="s">
        <v>12</v>
      </c>
      <c r="N586" s="2" t="s">
        <v>12</v>
      </c>
      <c r="O586" s="2" t="s">
        <v>12</v>
      </c>
      <c r="P586" s="21" t="s">
        <v>12</v>
      </c>
      <c r="Q586" s="3" t="s">
        <v>12</v>
      </c>
      <c r="R586" s="3" t="s">
        <v>12</v>
      </c>
    </row>
    <row r="587" spans="1:18" x14ac:dyDescent="0.25">
      <c r="A587" s="30">
        <v>45749</v>
      </c>
      <c r="B587" s="28">
        <v>577</v>
      </c>
      <c r="C587" s="28"/>
      <c r="D587" s="2" t="s">
        <v>637</v>
      </c>
      <c r="E587" s="7" t="s">
        <v>868</v>
      </c>
      <c r="F587" s="7"/>
      <c r="G587" s="2" t="s">
        <v>13</v>
      </c>
      <c r="H587" s="2" t="s">
        <v>15</v>
      </c>
      <c r="I587" s="5">
        <v>11525.04</v>
      </c>
      <c r="J587" s="57"/>
      <c r="K587" s="3">
        <v>96</v>
      </c>
      <c r="L587" s="2" t="s">
        <v>226</v>
      </c>
      <c r="M587" s="2" t="s">
        <v>12</v>
      </c>
      <c r="N587" s="2" t="s">
        <v>12</v>
      </c>
      <c r="O587" s="2" t="s">
        <v>12</v>
      </c>
      <c r="P587" s="21" t="s">
        <v>12</v>
      </c>
      <c r="Q587" s="3" t="s">
        <v>12</v>
      </c>
      <c r="R587" s="3" t="s">
        <v>12</v>
      </c>
    </row>
    <row r="588" spans="1:18" x14ac:dyDescent="0.25">
      <c r="A588" s="30">
        <v>45750</v>
      </c>
      <c r="B588" s="28">
        <v>578</v>
      </c>
      <c r="C588" s="28"/>
      <c r="D588" s="2" t="s">
        <v>62</v>
      </c>
      <c r="E588" s="7" t="s">
        <v>12</v>
      </c>
      <c r="F588" s="7"/>
      <c r="G588" s="2" t="s">
        <v>26</v>
      </c>
      <c r="H588" s="2" t="s">
        <v>63</v>
      </c>
      <c r="I588" s="5">
        <v>3701.97</v>
      </c>
      <c r="J588" s="57"/>
      <c r="K588" s="3" t="s">
        <v>12</v>
      </c>
      <c r="L588" s="2" t="s">
        <v>64</v>
      </c>
      <c r="M588" s="2" t="s">
        <v>12</v>
      </c>
      <c r="N588" s="2" t="s">
        <v>12</v>
      </c>
      <c r="O588" s="2" t="s">
        <v>12</v>
      </c>
      <c r="P588" s="21" t="s">
        <v>12</v>
      </c>
      <c r="Q588" s="3" t="s">
        <v>12</v>
      </c>
      <c r="R588" s="3" t="s">
        <v>12</v>
      </c>
    </row>
    <row r="589" spans="1:18" x14ac:dyDescent="0.25">
      <c r="A589" s="30">
        <v>45750</v>
      </c>
      <c r="B589" s="28">
        <v>579</v>
      </c>
      <c r="C589" s="28"/>
      <c r="D589" s="2" t="s">
        <v>109</v>
      </c>
      <c r="E589" s="7" t="s">
        <v>870</v>
      </c>
      <c r="F589" s="7"/>
      <c r="G589" s="2" t="s">
        <v>111</v>
      </c>
      <c r="H589" s="2" t="s">
        <v>112</v>
      </c>
      <c r="I589" s="5">
        <v>224341.02</v>
      </c>
      <c r="J589" s="57"/>
      <c r="K589" s="3">
        <v>2424</v>
      </c>
      <c r="L589" s="2" t="s">
        <v>226</v>
      </c>
      <c r="M589" s="2" t="s">
        <v>12</v>
      </c>
      <c r="N589" s="2" t="s">
        <v>12</v>
      </c>
      <c r="O589" s="2" t="s">
        <v>12</v>
      </c>
      <c r="P589" s="21" t="s">
        <v>12</v>
      </c>
      <c r="Q589" s="3" t="s">
        <v>12</v>
      </c>
      <c r="R589" s="3" t="s">
        <v>12</v>
      </c>
    </row>
    <row r="590" spans="1:18" x14ac:dyDescent="0.25">
      <c r="A590" s="30">
        <v>45751</v>
      </c>
      <c r="B590" s="28">
        <v>580</v>
      </c>
      <c r="C590" s="28"/>
      <c r="D590" s="2" t="s">
        <v>363</v>
      </c>
      <c r="E590" s="7" t="s">
        <v>12</v>
      </c>
      <c r="F590" s="7"/>
      <c r="G590" s="2" t="s">
        <v>13</v>
      </c>
      <c r="H590" s="2" t="s">
        <v>98</v>
      </c>
      <c r="I590" s="5">
        <v>49277.72</v>
      </c>
      <c r="J590" s="57"/>
      <c r="K590" s="3">
        <v>720</v>
      </c>
      <c r="L590" s="2" t="s">
        <v>64</v>
      </c>
      <c r="M590" s="2" t="s">
        <v>12</v>
      </c>
      <c r="N590" s="2" t="s">
        <v>12</v>
      </c>
      <c r="O590" s="2" t="s">
        <v>12</v>
      </c>
      <c r="P590" s="21" t="s">
        <v>12</v>
      </c>
      <c r="Q590" s="3" t="s">
        <v>12</v>
      </c>
      <c r="R590" s="3" t="s">
        <v>12</v>
      </c>
    </row>
    <row r="591" spans="1:18" x14ac:dyDescent="0.25">
      <c r="A591" s="30">
        <v>45751</v>
      </c>
      <c r="B591" s="28">
        <v>581</v>
      </c>
      <c r="C591" s="28"/>
      <c r="D591" s="2" t="s">
        <v>363</v>
      </c>
      <c r="E591" s="7" t="s">
        <v>12</v>
      </c>
      <c r="F591" s="7"/>
      <c r="G591" s="2" t="s">
        <v>13</v>
      </c>
      <c r="H591" s="2" t="s">
        <v>98</v>
      </c>
      <c r="I591" s="5">
        <v>42654.64</v>
      </c>
      <c r="J591" s="57"/>
      <c r="K591" s="3">
        <v>384</v>
      </c>
      <c r="L591" s="2" t="s">
        <v>226</v>
      </c>
      <c r="M591" s="2" t="s">
        <v>12</v>
      </c>
      <c r="N591" s="2" t="s">
        <v>12</v>
      </c>
      <c r="O591" s="2" t="s">
        <v>12</v>
      </c>
      <c r="P591" s="21" t="s">
        <v>12</v>
      </c>
      <c r="Q591" s="3" t="s">
        <v>12</v>
      </c>
      <c r="R591" s="3" t="s">
        <v>12</v>
      </c>
    </row>
    <row r="592" spans="1:18" x14ac:dyDescent="0.25">
      <c r="A592" s="30">
        <v>45750</v>
      </c>
      <c r="B592" s="28">
        <v>582</v>
      </c>
      <c r="C592" s="28"/>
      <c r="D592" s="2" t="s">
        <v>403</v>
      </c>
      <c r="E592" s="7" t="s">
        <v>871</v>
      </c>
      <c r="F592" s="7"/>
      <c r="G592" s="2" t="s">
        <v>43</v>
      </c>
      <c r="H592" s="2" t="s">
        <v>390</v>
      </c>
      <c r="I592" s="5">
        <v>379500.4</v>
      </c>
      <c r="J592" s="57"/>
      <c r="K592" s="3">
        <v>3528</v>
      </c>
      <c r="L592" s="2" t="s">
        <v>226</v>
      </c>
      <c r="M592" s="2" t="s">
        <v>12</v>
      </c>
      <c r="N592" s="2" t="s">
        <v>12</v>
      </c>
      <c r="O592" s="2" t="s">
        <v>12</v>
      </c>
      <c r="P592" s="21" t="s">
        <v>12</v>
      </c>
      <c r="Q592" s="3" t="s">
        <v>906</v>
      </c>
      <c r="R592" s="3" t="s">
        <v>75</v>
      </c>
    </row>
    <row r="593" spans="1:18" x14ac:dyDescent="0.25">
      <c r="A593" s="30">
        <v>45750</v>
      </c>
      <c r="B593" s="28">
        <v>583</v>
      </c>
      <c r="C593" s="28"/>
      <c r="D593" s="2" t="s">
        <v>308</v>
      </c>
      <c r="E593" s="7" t="s">
        <v>980</v>
      </c>
      <c r="F593" s="7"/>
      <c r="G593" s="2" t="s">
        <v>20</v>
      </c>
      <c r="H593" s="2" t="s">
        <v>129</v>
      </c>
      <c r="I593" s="5">
        <v>97174.77</v>
      </c>
      <c r="J593" s="57"/>
      <c r="K593" s="3">
        <v>1320</v>
      </c>
      <c r="L593" s="2" t="s">
        <v>226</v>
      </c>
      <c r="M593" s="2" t="s">
        <v>1179</v>
      </c>
      <c r="N593" s="2" t="s">
        <v>12</v>
      </c>
      <c r="O593" s="2" t="s">
        <v>12</v>
      </c>
      <c r="P593" s="21" t="s">
        <v>12</v>
      </c>
      <c r="Q593" s="3" t="s">
        <v>12</v>
      </c>
      <c r="R593" s="3" t="s">
        <v>12</v>
      </c>
    </row>
    <row r="594" spans="1:18" x14ac:dyDescent="0.25">
      <c r="A594" s="30">
        <v>45751</v>
      </c>
      <c r="B594" s="28">
        <v>584</v>
      </c>
      <c r="C594" s="28"/>
      <c r="D594" s="2" t="s">
        <v>102</v>
      </c>
      <c r="E594" s="7" t="s">
        <v>12</v>
      </c>
      <c r="F594" s="7"/>
      <c r="G594" s="2" t="s">
        <v>13</v>
      </c>
      <c r="H594" s="2" t="s">
        <v>872</v>
      </c>
      <c r="I594" s="5">
        <v>3533.63</v>
      </c>
      <c r="J594" s="57"/>
      <c r="K594" s="3">
        <v>48</v>
      </c>
      <c r="L594" s="2" t="s">
        <v>64</v>
      </c>
      <c r="M594" s="2" t="s">
        <v>12</v>
      </c>
      <c r="N594" s="2" t="s">
        <v>12</v>
      </c>
      <c r="O594" s="2" t="s">
        <v>12</v>
      </c>
      <c r="P594" s="21" t="s">
        <v>12</v>
      </c>
      <c r="Q594" s="3" t="s">
        <v>12</v>
      </c>
      <c r="R594" s="3" t="s">
        <v>12</v>
      </c>
    </row>
    <row r="595" spans="1:18" x14ac:dyDescent="0.25">
      <c r="A595" s="30">
        <v>45751</v>
      </c>
      <c r="B595" s="28">
        <v>585</v>
      </c>
      <c r="C595" s="28"/>
      <c r="D595" s="2" t="s">
        <v>646</v>
      </c>
      <c r="E595" s="7" t="s">
        <v>873</v>
      </c>
      <c r="F595" s="7"/>
      <c r="G595" s="2" t="s">
        <v>111</v>
      </c>
      <c r="H595" s="2" t="s">
        <v>874</v>
      </c>
      <c r="I595" s="5">
        <v>219146.22</v>
      </c>
      <c r="J595" s="57"/>
      <c r="K595" s="3">
        <v>1920</v>
      </c>
      <c r="L595" s="2" t="s">
        <v>134</v>
      </c>
      <c r="M595" s="2" t="s">
        <v>1011</v>
      </c>
      <c r="N595" s="2" t="s">
        <v>135</v>
      </c>
      <c r="O595" s="2" t="s">
        <v>374</v>
      </c>
      <c r="P595" s="21">
        <v>168000</v>
      </c>
      <c r="Q595" s="3" t="s">
        <v>12</v>
      </c>
      <c r="R595" s="3" t="s">
        <v>12</v>
      </c>
    </row>
    <row r="596" spans="1:18" x14ac:dyDescent="0.25">
      <c r="A596" s="30">
        <v>45754</v>
      </c>
      <c r="B596" s="28">
        <v>586</v>
      </c>
      <c r="C596" s="28"/>
      <c r="D596" s="2" t="s">
        <v>875</v>
      </c>
      <c r="E596" s="7" t="s">
        <v>876</v>
      </c>
      <c r="F596" s="7"/>
      <c r="G596" s="2" t="s">
        <v>20</v>
      </c>
      <c r="H596" s="2" t="s">
        <v>346</v>
      </c>
      <c r="I596" s="5">
        <v>12033.17</v>
      </c>
      <c r="J596" s="57"/>
      <c r="K596" s="3">
        <v>120</v>
      </c>
      <c r="L596" s="2" t="s">
        <v>226</v>
      </c>
      <c r="M596" s="2" t="s">
        <v>912</v>
      </c>
      <c r="N596" s="2" t="s">
        <v>12</v>
      </c>
      <c r="O596" s="2" t="s">
        <v>12</v>
      </c>
      <c r="P596" s="21" t="s">
        <v>12</v>
      </c>
      <c r="Q596" s="3" t="s">
        <v>12</v>
      </c>
      <c r="R596" s="3" t="s">
        <v>12</v>
      </c>
    </row>
    <row r="597" spans="1:18" x14ac:dyDescent="0.25">
      <c r="A597" s="30">
        <v>45754</v>
      </c>
      <c r="B597" s="28">
        <v>587</v>
      </c>
      <c r="C597" s="28"/>
      <c r="D597" s="2" t="s">
        <v>875</v>
      </c>
      <c r="E597" s="7" t="s">
        <v>876</v>
      </c>
      <c r="F597" s="7"/>
      <c r="G597" s="2" t="s">
        <v>20</v>
      </c>
      <c r="H597" s="2" t="s">
        <v>346</v>
      </c>
      <c r="I597" s="5">
        <v>12955.12</v>
      </c>
      <c r="J597" s="57"/>
      <c r="K597" s="3">
        <v>126</v>
      </c>
      <c r="L597" s="2" t="s">
        <v>226</v>
      </c>
      <c r="M597" s="2" t="s">
        <v>912</v>
      </c>
      <c r="N597" s="2" t="s">
        <v>12</v>
      </c>
      <c r="O597" s="2" t="s">
        <v>12</v>
      </c>
      <c r="P597" s="21" t="s">
        <v>12</v>
      </c>
      <c r="Q597" s="3" t="s">
        <v>12</v>
      </c>
      <c r="R597" s="3" t="s">
        <v>12</v>
      </c>
    </row>
    <row r="598" spans="1:18" x14ac:dyDescent="0.25">
      <c r="A598" s="30">
        <v>45754</v>
      </c>
      <c r="B598" s="28">
        <v>588</v>
      </c>
      <c r="C598" s="28"/>
      <c r="D598" s="2" t="s">
        <v>875</v>
      </c>
      <c r="E598" s="7" t="s">
        <v>877</v>
      </c>
      <c r="F598" s="7"/>
      <c r="G598" s="2" t="s">
        <v>20</v>
      </c>
      <c r="H598" s="2" t="s">
        <v>346</v>
      </c>
      <c r="I598" s="5">
        <v>26696.7</v>
      </c>
      <c r="J598" s="57"/>
      <c r="K598" s="3">
        <v>264</v>
      </c>
      <c r="L598" s="2" t="s">
        <v>226</v>
      </c>
      <c r="M598" s="2" t="s">
        <v>912</v>
      </c>
      <c r="N598" s="2" t="s">
        <v>12</v>
      </c>
      <c r="O598" s="2" t="s">
        <v>12</v>
      </c>
      <c r="P598" s="21" t="s">
        <v>12</v>
      </c>
      <c r="Q598" s="3" t="s">
        <v>12</v>
      </c>
      <c r="R598" s="3" t="s">
        <v>12</v>
      </c>
    </row>
    <row r="599" spans="1:18" x14ac:dyDescent="0.25">
      <c r="A599" s="30">
        <v>45754</v>
      </c>
      <c r="B599" s="28">
        <v>589</v>
      </c>
      <c r="C599" s="28"/>
      <c r="D599" s="2" t="s">
        <v>875</v>
      </c>
      <c r="E599" s="7" t="s">
        <v>877</v>
      </c>
      <c r="F599" s="7"/>
      <c r="G599" s="2" t="s">
        <v>20</v>
      </c>
      <c r="H599" s="2" t="s">
        <v>346</v>
      </c>
      <c r="I599" s="5">
        <v>32983.230000000003</v>
      </c>
      <c r="J599" s="57"/>
      <c r="K599" s="3">
        <v>277.2</v>
      </c>
      <c r="L599" s="2" t="s">
        <v>226</v>
      </c>
      <c r="M599" s="2" t="s">
        <v>912</v>
      </c>
      <c r="N599" s="2" t="s">
        <v>12</v>
      </c>
      <c r="O599" s="2" t="s">
        <v>12</v>
      </c>
      <c r="P599" s="21" t="s">
        <v>12</v>
      </c>
      <c r="Q599" s="3" t="s">
        <v>12</v>
      </c>
      <c r="R599" s="3" t="s">
        <v>12</v>
      </c>
    </row>
    <row r="600" spans="1:18" x14ac:dyDescent="0.25">
      <c r="A600" s="30">
        <v>45754</v>
      </c>
      <c r="B600" s="28">
        <v>590</v>
      </c>
      <c r="C600" s="28"/>
      <c r="D600" s="2" t="s">
        <v>875</v>
      </c>
      <c r="E600" s="7" t="s">
        <v>878</v>
      </c>
      <c r="F600" s="7"/>
      <c r="G600" s="2" t="s">
        <v>20</v>
      </c>
      <c r="H600" s="2" t="s">
        <v>346</v>
      </c>
      <c r="I600" s="5">
        <v>16627.48</v>
      </c>
      <c r="J600" s="57"/>
      <c r="K600" s="3">
        <v>168</v>
      </c>
      <c r="L600" s="2" t="s">
        <v>226</v>
      </c>
      <c r="M600" s="2" t="s">
        <v>912</v>
      </c>
      <c r="N600" s="2" t="s">
        <v>12</v>
      </c>
      <c r="O600" s="2" t="s">
        <v>12</v>
      </c>
      <c r="P600" s="21" t="s">
        <v>12</v>
      </c>
      <c r="Q600" s="3" t="s">
        <v>12</v>
      </c>
      <c r="R600" s="3" t="s">
        <v>12</v>
      </c>
    </row>
    <row r="601" spans="1:18" x14ac:dyDescent="0.25">
      <c r="A601" s="30">
        <v>45754</v>
      </c>
      <c r="B601" s="28">
        <v>591</v>
      </c>
      <c r="C601" s="28"/>
      <c r="D601" s="2" t="s">
        <v>875</v>
      </c>
      <c r="E601" s="7" t="s">
        <v>878</v>
      </c>
      <c r="F601" s="7"/>
      <c r="G601" s="2" t="s">
        <v>20</v>
      </c>
      <c r="H601" s="2" t="s">
        <v>346</v>
      </c>
      <c r="I601" s="5">
        <v>20689.82</v>
      </c>
      <c r="J601" s="57"/>
      <c r="K601" s="3">
        <v>176.4</v>
      </c>
      <c r="L601" s="2" t="s">
        <v>226</v>
      </c>
      <c r="M601" s="2" t="s">
        <v>912</v>
      </c>
      <c r="N601" s="2" t="s">
        <v>12</v>
      </c>
      <c r="O601" s="2" t="s">
        <v>12</v>
      </c>
      <c r="P601" s="21" t="s">
        <v>12</v>
      </c>
      <c r="Q601" s="3" t="s">
        <v>12</v>
      </c>
      <c r="R601" s="3"/>
    </row>
    <row r="602" spans="1:18" x14ac:dyDescent="0.25">
      <c r="A602" s="30">
        <v>45756</v>
      </c>
      <c r="B602" s="28">
        <v>592</v>
      </c>
      <c r="C602" s="28"/>
      <c r="D602" s="2" t="s">
        <v>276</v>
      </c>
      <c r="E602" s="7" t="s">
        <v>879</v>
      </c>
      <c r="F602" s="7"/>
      <c r="G602" s="2" t="s">
        <v>43</v>
      </c>
      <c r="H602" s="2" t="s">
        <v>108</v>
      </c>
      <c r="I602" s="5">
        <v>7347.05</v>
      </c>
      <c r="J602" s="57"/>
      <c r="K602" s="3">
        <v>72</v>
      </c>
      <c r="L602" s="2" t="s">
        <v>226</v>
      </c>
      <c r="M602" s="2" t="s">
        <v>12</v>
      </c>
      <c r="N602" s="2" t="s">
        <v>12</v>
      </c>
      <c r="O602" s="2" t="s">
        <v>12</v>
      </c>
      <c r="P602" s="21" t="s">
        <v>12</v>
      </c>
      <c r="Q602" s="3" t="s">
        <v>12</v>
      </c>
      <c r="R602" s="3" t="s">
        <v>12</v>
      </c>
    </row>
    <row r="603" spans="1:18" x14ac:dyDescent="0.25">
      <c r="A603" s="30">
        <v>45751</v>
      </c>
      <c r="B603" s="28">
        <v>593</v>
      </c>
      <c r="C603" s="28"/>
      <c r="D603" s="2" t="s">
        <v>342</v>
      </c>
      <c r="E603" s="7" t="s">
        <v>12</v>
      </c>
      <c r="F603" s="7"/>
      <c r="G603" s="2" t="s">
        <v>13</v>
      </c>
      <c r="H603" s="2" t="s">
        <v>344</v>
      </c>
      <c r="I603" s="5">
        <v>12929.18</v>
      </c>
      <c r="J603" s="57"/>
      <c r="K603" s="3">
        <v>144</v>
      </c>
      <c r="L603" s="2" t="s">
        <v>226</v>
      </c>
      <c r="M603" s="2" t="s">
        <v>12</v>
      </c>
      <c r="N603" s="2" t="s">
        <v>12</v>
      </c>
      <c r="O603" s="2" t="s">
        <v>12</v>
      </c>
      <c r="P603" s="21" t="s">
        <v>12</v>
      </c>
      <c r="Q603" s="3" t="s">
        <v>12</v>
      </c>
      <c r="R603" s="3" t="s">
        <v>12</v>
      </c>
    </row>
    <row r="604" spans="1:18" x14ac:dyDescent="0.25">
      <c r="A604" s="30">
        <v>45754</v>
      </c>
      <c r="B604" s="28">
        <v>594</v>
      </c>
      <c r="C604" s="28"/>
      <c r="D604" s="2" t="s">
        <v>321</v>
      </c>
      <c r="E604" s="7" t="s">
        <v>916</v>
      </c>
      <c r="F604" s="7"/>
      <c r="G604" s="2" t="s">
        <v>111</v>
      </c>
      <c r="H604" s="2" t="s">
        <v>322</v>
      </c>
      <c r="I604" s="5">
        <v>17435.5</v>
      </c>
      <c r="J604" s="57"/>
      <c r="K604" s="3">
        <v>192</v>
      </c>
      <c r="L604" s="2" t="s">
        <v>64</v>
      </c>
      <c r="M604" s="2" t="s">
        <v>12</v>
      </c>
      <c r="N604" s="2" t="s">
        <v>12</v>
      </c>
      <c r="O604" s="2" t="s">
        <v>12</v>
      </c>
      <c r="P604" s="21" t="s">
        <v>12</v>
      </c>
      <c r="Q604" s="3" t="s">
        <v>12</v>
      </c>
      <c r="R604" s="3" t="s">
        <v>12</v>
      </c>
    </row>
    <row r="605" spans="1:18" x14ac:dyDescent="0.25">
      <c r="A605" s="30">
        <v>45754</v>
      </c>
      <c r="B605" s="28">
        <v>595</v>
      </c>
      <c r="C605" s="28"/>
      <c r="D605" s="2" t="s">
        <v>190</v>
      </c>
      <c r="E605" s="7" t="s">
        <v>1012</v>
      </c>
      <c r="F605" s="7"/>
      <c r="G605" s="2" t="s">
        <v>111</v>
      </c>
      <c r="H605" s="2" t="s">
        <v>1013</v>
      </c>
      <c r="I605" s="5">
        <v>30852.1</v>
      </c>
      <c r="J605" s="57"/>
      <c r="K605" s="3"/>
      <c r="L605" s="2" t="s">
        <v>226</v>
      </c>
      <c r="M605" s="2"/>
      <c r="N605" s="2"/>
      <c r="O605" s="2"/>
      <c r="P605" s="21"/>
      <c r="Q605" s="3" t="s">
        <v>12</v>
      </c>
      <c r="R605" s="3" t="s">
        <v>12</v>
      </c>
    </row>
    <row r="606" spans="1:18" x14ac:dyDescent="0.25">
      <c r="A606" s="30">
        <v>45754</v>
      </c>
      <c r="B606" s="28">
        <v>596</v>
      </c>
      <c r="C606" s="28"/>
      <c r="D606" s="2" t="s">
        <v>904</v>
      </c>
      <c r="E606" s="7" t="s">
        <v>1014</v>
      </c>
      <c r="F606" s="7"/>
      <c r="G606" s="2" t="s">
        <v>111</v>
      </c>
      <c r="H606" s="2" t="s">
        <v>537</v>
      </c>
      <c r="I606" s="5">
        <v>31204.66</v>
      </c>
      <c r="J606" s="57"/>
      <c r="K606" s="3"/>
      <c r="L606" s="2" t="s">
        <v>226</v>
      </c>
      <c r="M606" s="2"/>
      <c r="N606" s="2"/>
      <c r="O606" s="2"/>
      <c r="P606" s="21"/>
      <c r="Q606" s="3" t="s">
        <v>12</v>
      </c>
      <c r="R606" s="3" t="s">
        <v>12</v>
      </c>
    </row>
    <row r="607" spans="1:18" x14ac:dyDescent="0.25">
      <c r="A607" s="30">
        <v>45754</v>
      </c>
      <c r="B607" s="28">
        <v>597</v>
      </c>
      <c r="C607" s="28"/>
      <c r="D607" s="2" t="s">
        <v>905</v>
      </c>
      <c r="E607" s="7" t="s">
        <v>595</v>
      </c>
      <c r="F607" s="7"/>
      <c r="G607" s="2" t="s">
        <v>111</v>
      </c>
      <c r="H607" s="2" t="s">
        <v>1015</v>
      </c>
      <c r="I607" s="5">
        <v>17554.47</v>
      </c>
      <c r="J607" s="57"/>
      <c r="K607" s="3"/>
      <c r="L607" s="2" t="s">
        <v>226</v>
      </c>
      <c r="M607" s="2"/>
      <c r="N607" s="2"/>
      <c r="O607" s="2"/>
      <c r="P607" s="21"/>
      <c r="Q607" s="3" t="s">
        <v>12</v>
      </c>
      <c r="R607" s="3" t="s">
        <v>12</v>
      </c>
    </row>
    <row r="608" spans="1:18" x14ac:dyDescent="0.25">
      <c r="A608" s="30">
        <v>45754</v>
      </c>
      <c r="B608" s="28">
        <v>598</v>
      </c>
      <c r="C608" s="28"/>
      <c r="D608" s="2" t="s">
        <v>23</v>
      </c>
      <c r="E608" s="7" t="s">
        <v>880</v>
      </c>
      <c r="F608" s="7"/>
      <c r="G608" s="2" t="s">
        <v>20</v>
      </c>
      <c r="H608" s="2" t="s">
        <v>24</v>
      </c>
      <c r="I608" s="5">
        <v>5682.08</v>
      </c>
      <c r="J608" s="57"/>
      <c r="K608" s="3" t="s">
        <v>12</v>
      </c>
      <c r="L608" s="2" t="s">
        <v>134</v>
      </c>
      <c r="M608" s="2" t="s">
        <v>1032</v>
      </c>
      <c r="N608" s="2" t="s">
        <v>135</v>
      </c>
      <c r="O608" s="2" t="s">
        <v>914</v>
      </c>
      <c r="P608" s="21" t="s">
        <v>12</v>
      </c>
      <c r="Q608" s="3" t="s">
        <v>12</v>
      </c>
      <c r="R608" s="3" t="s">
        <v>12</v>
      </c>
    </row>
    <row r="609" spans="1:19" x14ac:dyDescent="0.25">
      <c r="A609" s="30">
        <v>45754</v>
      </c>
      <c r="B609" s="28">
        <v>599</v>
      </c>
      <c r="C609" s="28"/>
      <c r="D609" s="2" t="s">
        <v>881</v>
      </c>
      <c r="E609" s="7" t="s">
        <v>12</v>
      </c>
      <c r="F609" s="7"/>
      <c r="G609" s="2" t="s">
        <v>20</v>
      </c>
      <c r="H609" s="2" t="s">
        <v>882</v>
      </c>
      <c r="I609" s="5">
        <v>8415.32</v>
      </c>
      <c r="J609" s="57"/>
      <c r="K609" s="3">
        <v>96</v>
      </c>
      <c r="L609" s="2" t="s">
        <v>134</v>
      </c>
      <c r="M609" s="2" t="s">
        <v>12</v>
      </c>
      <c r="N609" s="2" t="s">
        <v>373</v>
      </c>
      <c r="O609" s="2" t="s">
        <v>528</v>
      </c>
      <c r="P609" s="21" t="s">
        <v>12</v>
      </c>
      <c r="Q609" s="3" t="s">
        <v>12</v>
      </c>
      <c r="R609" s="3" t="s">
        <v>12</v>
      </c>
    </row>
    <row r="610" spans="1:19" x14ac:dyDescent="0.25">
      <c r="A610" s="30">
        <v>45757</v>
      </c>
      <c r="B610" s="28">
        <v>600</v>
      </c>
      <c r="C610" s="28"/>
      <c r="D610" s="2" t="s">
        <v>99</v>
      </c>
      <c r="E610" s="7" t="s">
        <v>594</v>
      </c>
      <c r="F610" s="7"/>
      <c r="G610" s="2" t="s">
        <v>20</v>
      </c>
      <c r="H610" s="2" t="s">
        <v>883</v>
      </c>
      <c r="I610" s="5">
        <v>7136.46</v>
      </c>
      <c r="J610" s="57"/>
      <c r="K610" s="3">
        <v>96</v>
      </c>
      <c r="L610" s="2" t="s">
        <v>226</v>
      </c>
      <c r="M610" s="2" t="s">
        <v>1022</v>
      </c>
      <c r="N610" s="2" t="s">
        <v>12</v>
      </c>
      <c r="O610" s="2" t="s">
        <v>12</v>
      </c>
      <c r="P610" s="21" t="s">
        <v>12</v>
      </c>
      <c r="Q610" s="3" t="s">
        <v>12</v>
      </c>
      <c r="R610" s="3" t="s">
        <v>12</v>
      </c>
    </row>
    <row r="611" spans="1:19" x14ac:dyDescent="0.25">
      <c r="A611" s="30">
        <v>45754</v>
      </c>
      <c r="B611" s="28">
        <v>601</v>
      </c>
      <c r="C611" s="28"/>
      <c r="D611" s="2" t="s">
        <v>130</v>
      </c>
      <c r="E611" s="7" t="s">
        <v>884</v>
      </c>
      <c r="F611" s="7"/>
      <c r="G611" s="2" t="s">
        <v>26</v>
      </c>
      <c r="H611" s="2" t="s">
        <v>369</v>
      </c>
      <c r="I611" s="5">
        <v>5069.12</v>
      </c>
      <c r="J611" s="57"/>
      <c r="K611" s="3">
        <v>48</v>
      </c>
      <c r="L611" s="2" t="s">
        <v>226</v>
      </c>
      <c r="M611" s="2" t="s">
        <v>12</v>
      </c>
      <c r="N611" s="2" t="s">
        <v>12</v>
      </c>
      <c r="O611" s="2" t="s">
        <v>12</v>
      </c>
      <c r="P611" s="21" t="s">
        <v>12</v>
      </c>
      <c r="Q611" s="3" t="s">
        <v>12</v>
      </c>
      <c r="R611" s="3" t="s">
        <v>12</v>
      </c>
    </row>
    <row r="612" spans="1:19" x14ac:dyDescent="0.25">
      <c r="A612" s="30">
        <v>45754</v>
      </c>
      <c r="B612" s="28">
        <v>602</v>
      </c>
      <c r="C612" s="28"/>
      <c r="D612" s="2" t="s">
        <v>124</v>
      </c>
      <c r="E612" s="7" t="s">
        <v>885</v>
      </c>
      <c r="F612" s="7"/>
      <c r="G612" s="2" t="s">
        <v>20</v>
      </c>
      <c r="H612" s="2" t="s">
        <v>112</v>
      </c>
      <c r="I612" s="5">
        <v>37000.839999999997</v>
      </c>
      <c r="J612" s="57"/>
      <c r="K612" s="3">
        <v>432</v>
      </c>
      <c r="L612" s="2" t="s">
        <v>226</v>
      </c>
      <c r="M612" s="2" t="s">
        <v>12</v>
      </c>
      <c r="N612" s="2" t="s">
        <v>12</v>
      </c>
      <c r="O612" s="2" t="s">
        <v>12</v>
      </c>
      <c r="P612" s="21" t="s">
        <v>12</v>
      </c>
      <c r="Q612" s="3" t="s">
        <v>954</v>
      </c>
      <c r="R612" s="3" t="s">
        <v>955</v>
      </c>
    </row>
    <row r="613" spans="1:19" x14ac:dyDescent="0.25">
      <c r="A613" s="30">
        <v>45754</v>
      </c>
      <c r="B613" s="28">
        <v>603</v>
      </c>
      <c r="C613" s="28"/>
      <c r="D613" s="2" t="s">
        <v>886</v>
      </c>
      <c r="E613" s="7" t="s">
        <v>887</v>
      </c>
      <c r="F613" s="7"/>
      <c r="G613" s="2" t="s">
        <v>97</v>
      </c>
      <c r="H613" s="2" t="s">
        <v>888</v>
      </c>
      <c r="I613" s="5">
        <v>83610.78</v>
      </c>
      <c r="J613" s="57"/>
      <c r="K613" s="3">
        <v>604.79999999999995</v>
      </c>
      <c r="L613" s="2" t="s">
        <v>226</v>
      </c>
      <c r="M613" s="2" t="s">
        <v>12</v>
      </c>
      <c r="N613" s="2" t="s">
        <v>12</v>
      </c>
      <c r="O613" s="2" t="s">
        <v>12</v>
      </c>
      <c r="P613" s="21" t="s">
        <v>12</v>
      </c>
      <c r="Q613" s="3" t="s">
        <v>906</v>
      </c>
      <c r="R613" s="3" t="s">
        <v>75</v>
      </c>
    </row>
    <row r="614" spans="1:19" x14ac:dyDescent="0.25">
      <c r="A614" s="30">
        <v>45754</v>
      </c>
      <c r="B614" s="28">
        <v>604</v>
      </c>
      <c r="C614" s="28"/>
      <c r="D614" s="2" t="s">
        <v>886</v>
      </c>
      <c r="E614" s="7" t="s">
        <v>889</v>
      </c>
      <c r="F614" s="7"/>
      <c r="G614" s="2" t="s">
        <v>97</v>
      </c>
      <c r="H614" s="2" t="s">
        <v>888</v>
      </c>
      <c r="I614" s="5">
        <v>76845.259999999995</v>
      </c>
      <c r="J614" s="57"/>
      <c r="K614" s="3">
        <v>554.4</v>
      </c>
      <c r="L614" s="2" t="s">
        <v>226</v>
      </c>
      <c r="M614" s="2" t="s">
        <v>12</v>
      </c>
      <c r="N614" s="2" t="s">
        <v>12</v>
      </c>
      <c r="O614" s="2" t="s">
        <v>12</v>
      </c>
      <c r="P614" s="21" t="s">
        <v>12</v>
      </c>
      <c r="Q614" s="3" t="s">
        <v>906</v>
      </c>
      <c r="R614" s="3" t="s">
        <v>75</v>
      </c>
    </row>
    <row r="615" spans="1:19" x14ac:dyDescent="0.25">
      <c r="A615" s="30">
        <v>45754</v>
      </c>
      <c r="B615" s="28">
        <v>605</v>
      </c>
      <c r="C615" s="28"/>
      <c r="D615" s="2" t="s">
        <v>886</v>
      </c>
      <c r="E615" s="7" t="s">
        <v>890</v>
      </c>
      <c r="F615" s="7"/>
      <c r="G615" s="2" t="s">
        <v>97</v>
      </c>
      <c r="H615" s="2" t="s">
        <v>888</v>
      </c>
      <c r="I615" s="5">
        <v>136175.60999999999</v>
      </c>
      <c r="J615" s="57"/>
      <c r="K615" s="3">
        <v>1033.2</v>
      </c>
      <c r="L615" s="2" t="s">
        <v>226</v>
      </c>
      <c r="M615" s="2" t="s">
        <v>12</v>
      </c>
      <c r="N615" s="2" t="s">
        <v>12</v>
      </c>
      <c r="O615" s="2"/>
      <c r="P615" s="21" t="s">
        <v>12</v>
      </c>
      <c r="Q615" s="3" t="s">
        <v>906</v>
      </c>
      <c r="R615" s="3" t="s">
        <v>75</v>
      </c>
      <c r="S615" t="s">
        <v>12</v>
      </c>
    </row>
    <row r="616" spans="1:19" x14ac:dyDescent="0.25">
      <c r="A616" s="30">
        <v>45754</v>
      </c>
      <c r="B616" s="28">
        <v>606</v>
      </c>
      <c r="C616" s="28"/>
      <c r="D616" s="2" t="s">
        <v>886</v>
      </c>
      <c r="E616" s="7" t="s">
        <v>891</v>
      </c>
      <c r="F616" s="7"/>
      <c r="G616" s="2" t="s">
        <v>97</v>
      </c>
      <c r="H616" s="2" t="s">
        <v>888</v>
      </c>
      <c r="I616" s="5">
        <v>59958.12</v>
      </c>
      <c r="J616" s="57"/>
      <c r="K616" s="3">
        <v>428.4</v>
      </c>
      <c r="L616" s="2" t="s">
        <v>226</v>
      </c>
      <c r="M616" s="2" t="s">
        <v>12</v>
      </c>
      <c r="N616" s="2" t="s">
        <v>12</v>
      </c>
      <c r="O616" s="2" t="s">
        <v>12</v>
      </c>
      <c r="P616" s="21" t="s">
        <v>12</v>
      </c>
      <c r="Q616" s="3" t="s">
        <v>906</v>
      </c>
      <c r="R616" s="3"/>
    </row>
    <row r="617" spans="1:19" x14ac:dyDescent="0.25">
      <c r="A617" s="30">
        <v>45754</v>
      </c>
      <c r="B617" s="28">
        <v>607</v>
      </c>
      <c r="C617" s="28"/>
      <c r="D617" s="2" t="s">
        <v>557</v>
      </c>
      <c r="E617" s="7" t="s">
        <v>12</v>
      </c>
      <c r="F617" s="7"/>
      <c r="G617" s="2" t="s">
        <v>20</v>
      </c>
      <c r="H617" s="2" t="s">
        <v>471</v>
      </c>
      <c r="I617" s="5">
        <v>8360.99</v>
      </c>
      <c r="J617" s="57"/>
      <c r="K617" s="3">
        <v>96</v>
      </c>
      <c r="L617" s="2" t="s">
        <v>226</v>
      </c>
      <c r="M617" s="2" t="s">
        <v>12</v>
      </c>
      <c r="N617" s="2" t="s">
        <v>12</v>
      </c>
      <c r="O617" s="2" t="s">
        <v>12</v>
      </c>
      <c r="P617" s="21" t="s">
        <v>12</v>
      </c>
      <c r="Q617" s="3" t="s">
        <v>12</v>
      </c>
      <c r="R617" s="3" t="s">
        <v>12</v>
      </c>
    </row>
    <row r="618" spans="1:19" x14ac:dyDescent="0.25">
      <c r="A618" s="30">
        <v>45754</v>
      </c>
      <c r="B618" s="28">
        <v>608</v>
      </c>
      <c r="C618" s="28"/>
      <c r="D618" s="2" t="s">
        <v>414</v>
      </c>
      <c r="E618" s="7" t="s">
        <v>12</v>
      </c>
      <c r="F618" s="7"/>
      <c r="G618" s="2" t="s">
        <v>26</v>
      </c>
      <c r="H618" s="2" t="s">
        <v>424</v>
      </c>
      <c r="I618" s="5">
        <v>1239</v>
      </c>
      <c r="J618" s="57"/>
      <c r="K618" s="3">
        <v>24</v>
      </c>
      <c r="L618" s="2" t="s">
        <v>64</v>
      </c>
      <c r="M618" s="2" t="s">
        <v>12</v>
      </c>
      <c r="N618" s="2" t="s">
        <v>12</v>
      </c>
      <c r="O618" s="2" t="s">
        <v>12</v>
      </c>
      <c r="P618" s="21" t="s">
        <v>12</v>
      </c>
      <c r="Q618" s="3" t="s">
        <v>12</v>
      </c>
      <c r="R618" s="3" t="s">
        <v>12</v>
      </c>
    </row>
    <row r="619" spans="1:19" x14ac:dyDescent="0.25">
      <c r="A619" s="30">
        <v>45754</v>
      </c>
      <c r="B619" s="28">
        <v>609</v>
      </c>
      <c r="C619" s="28"/>
      <c r="D619" s="2" t="s">
        <v>23</v>
      </c>
      <c r="E619" s="7" t="s">
        <v>892</v>
      </c>
      <c r="F619" s="7"/>
      <c r="G619" s="2" t="s">
        <v>20</v>
      </c>
      <c r="H619" s="2" t="s">
        <v>24</v>
      </c>
      <c r="I619" s="5">
        <v>125484.9</v>
      </c>
      <c r="J619" s="57"/>
      <c r="K619" s="3">
        <v>1512</v>
      </c>
      <c r="L619" s="2" t="s">
        <v>134</v>
      </c>
      <c r="M619" s="2" t="s">
        <v>1032</v>
      </c>
      <c r="N619" s="2" t="s">
        <v>135</v>
      </c>
      <c r="O619" s="2" t="s">
        <v>914</v>
      </c>
      <c r="P619" s="21" t="s">
        <v>12</v>
      </c>
      <c r="Q619" s="3" t="s">
        <v>12</v>
      </c>
      <c r="R619" s="3" t="s">
        <v>12</v>
      </c>
    </row>
    <row r="620" spans="1:19" x14ac:dyDescent="0.25">
      <c r="A620" s="30">
        <v>45755</v>
      </c>
      <c r="B620" s="28">
        <v>610</v>
      </c>
      <c r="C620" s="28"/>
      <c r="D620" s="2" t="s">
        <v>720</v>
      </c>
      <c r="E620" s="7" t="s">
        <v>739</v>
      </c>
      <c r="F620" s="7"/>
      <c r="G620" s="2" t="s">
        <v>20</v>
      </c>
      <c r="H620" s="2" t="s">
        <v>722</v>
      </c>
      <c r="I620" s="5">
        <v>19983.580000000002</v>
      </c>
      <c r="J620" s="57"/>
      <c r="K620" s="3">
        <v>192</v>
      </c>
      <c r="L620" s="2" t="s">
        <v>226</v>
      </c>
      <c r="M620" s="2" t="s">
        <v>12</v>
      </c>
      <c r="N620" s="2" t="s">
        <v>12</v>
      </c>
      <c r="O620" s="2" t="s">
        <v>12</v>
      </c>
      <c r="P620" s="21" t="s">
        <v>12</v>
      </c>
      <c r="Q620" s="3" t="s">
        <v>956</v>
      </c>
      <c r="R620" s="3" t="s">
        <v>80</v>
      </c>
    </row>
    <row r="621" spans="1:19" x14ac:dyDescent="0.25">
      <c r="A621" s="30">
        <v>45755</v>
      </c>
      <c r="B621" s="28">
        <v>611</v>
      </c>
      <c r="C621" s="28"/>
      <c r="D621" s="2" t="s">
        <v>208</v>
      </c>
      <c r="E621" s="7" t="s">
        <v>893</v>
      </c>
      <c r="F621" s="7"/>
      <c r="G621" s="2" t="s">
        <v>43</v>
      </c>
      <c r="H621" s="2" t="s">
        <v>210</v>
      </c>
      <c r="I621" s="5">
        <v>78264.710000000006</v>
      </c>
      <c r="J621" s="57"/>
      <c r="K621" s="3">
        <v>696</v>
      </c>
      <c r="L621" s="2" t="s">
        <v>226</v>
      </c>
      <c r="M621" s="2" t="s">
        <v>1272</v>
      </c>
      <c r="N621" s="2" t="s">
        <v>12</v>
      </c>
      <c r="O621" s="2" t="s">
        <v>12</v>
      </c>
      <c r="P621" s="21" t="s">
        <v>12</v>
      </c>
      <c r="Q621" s="3" t="s">
        <v>220</v>
      </c>
      <c r="R621" s="3" t="s">
        <v>80</v>
      </c>
    </row>
    <row r="622" spans="1:19" x14ac:dyDescent="0.25">
      <c r="A622" s="30">
        <v>45755</v>
      </c>
      <c r="B622" s="28">
        <v>612</v>
      </c>
      <c r="C622" s="28"/>
      <c r="D622" s="2" t="s">
        <v>894</v>
      </c>
      <c r="E622" s="7" t="s">
        <v>895</v>
      </c>
      <c r="F622" s="7"/>
      <c r="G622" s="2" t="s">
        <v>13</v>
      </c>
      <c r="H622" s="2" t="s">
        <v>119</v>
      </c>
      <c r="I622" s="5">
        <v>24558.639999999999</v>
      </c>
      <c r="J622" s="57"/>
      <c r="K622" s="3">
        <v>288</v>
      </c>
      <c r="L622" s="2" t="s">
        <v>226</v>
      </c>
      <c r="M622" s="2" t="s">
        <v>12</v>
      </c>
      <c r="N622" s="2" t="s">
        <v>12</v>
      </c>
      <c r="O622" s="2" t="s">
        <v>12</v>
      </c>
      <c r="P622" s="21" t="s">
        <v>12</v>
      </c>
      <c r="Q622" s="3" t="s">
        <v>296</v>
      </c>
      <c r="R622" s="3" t="s">
        <v>75</v>
      </c>
    </row>
    <row r="623" spans="1:19" x14ac:dyDescent="0.25">
      <c r="A623" s="30">
        <v>45755</v>
      </c>
      <c r="B623" s="28">
        <v>613</v>
      </c>
      <c r="C623" s="28"/>
      <c r="D623" s="2" t="s">
        <v>165</v>
      </c>
      <c r="E623" s="7" t="s">
        <v>896</v>
      </c>
      <c r="F623" s="7"/>
      <c r="G623" s="2" t="s">
        <v>97</v>
      </c>
      <c r="H623" s="2" t="s">
        <v>167</v>
      </c>
      <c r="I623" s="5">
        <v>205769.62</v>
      </c>
      <c r="J623" s="57"/>
      <c r="K623" s="3">
        <v>2400</v>
      </c>
      <c r="L623" s="2" t="s">
        <v>134</v>
      </c>
      <c r="M623" s="2" t="s">
        <v>1162</v>
      </c>
      <c r="N623" s="2" t="s">
        <v>135</v>
      </c>
      <c r="O623" s="2" t="s">
        <v>374</v>
      </c>
      <c r="P623" s="21" t="s">
        <v>1161</v>
      </c>
      <c r="Q623" s="3" t="s">
        <v>12</v>
      </c>
      <c r="R623" s="3" t="s">
        <v>12</v>
      </c>
    </row>
    <row r="624" spans="1:19" x14ac:dyDescent="0.25">
      <c r="A624" s="30">
        <v>45756</v>
      </c>
      <c r="B624" s="28">
        <v>614</v>
      </c>
      <c r="C624" s="28"/>
      <c r="D624" s="2" t="s">
        <v>338</v>
      </c>
      <c r="E624" s="7" t="s">
        <v>897</v>
      </c>
      <c r="F624" s="7"/>
      <c r="G624" s="2" t="s">
        <v>97</v>
      </c>
      <c r="H624" s="2" t="s">
        <v>395</v>
      </c>
      <c r="I624" s="5">
        <v>3881.69</v>
      </c>
      <c r="J624" s="57"/>
      <c r="K624" s="3">
        <v>48</v>
      </c>
      <c r="L624" s="2" t="s">
        <v>64</v>
      </c>
      <c r="M624" s="2" t="s">
        <v>12</v>
      </c>
      <c r="N624" s="2" t="s">
        <v>12</v>
      </c>
      <c r="O624" s="2" t="s">
        <v>12</v>
      </c>
      <c r="P624" s="21" t="s">
        <v>12</v>
      </c>
      <c r="Q624" s="3" t="s">
        <v>12</v>
      </c>
      <c r="R624" s="3" t="s">
        <v>12</v>
      </c>
    </row>
    <row r="625" spans="1:18" x14ac:dyDescent="0.25">
      <c r="A625" s="30">
        <v>45756</v>
      </c>
      <c r="B625" s="28">
        <v>615</v>
      </c>
      <c r="C625" s="28"/>
      <c r="D625" s="2" t="s">
        <v>56</v>
      </c>
      <c r="E625" s="7" t="s">
        <v>898</v>
      </c>
      <c r="F625" s="7"/>
      <c r="G625" s="2" t="s">
        <v>13</v>
      </c>
      <c r="H625" s="2" t="s">
        <v>58</v>
      </c>
      <c r="I625" s="5">
        <v>123249.04</v>
      </c>
      <c r="J625" s="57"/>
      <c r="K625" s="3">
        <v>1272</v>
      </c>
      <c r="L625" s="2" t="s">
        <v>226</v>
      </c>
      <c r="M625" s="2" t="s">
        <v>12</v>
      </c>
      <c r="N625" s="2" t="s">
        <v>12</v>
      </c>
      <c r="O625" s="2" t="s">
        <v>12</v>
      </c>
      <c r="P625" s="21" t="s">
        <v>12</v>
      </c>
      <c r="Q625" s="3" t="s">
        <v>12</v>
      </c>
      <c r="R625" s="3"/>
    </row>
    <row r="626" spans="1:18" x14ac:dyDescent="0.25">
      <c r="A626" s="30">
        <v>45756</v>
      </c>
      <c r="B626" s="28">
        <v>616</v>
      </c>
      <c r="C626" s="28"/>
      <c r="D626" s="2" t="s">
        <v>303</v>
      </c>
      <c r="E626" s="7" t="s">
        <v>12</v>
      </c>
      <c r="F626" s="7"/>
      <c r="G626" s="2" t="s">
        <v>13</v>
      </c>
      <c r="H626" s="2" t="s">
        <v>148</v>
      </c>
      <c r="I626" s="5">
        <v>2151.9899999999998</v>
      </c>
      <c r="J626" s="57"/>
      <c r="K626" s="3">
        <v>24</v>
      </c>
      <c r="L626" s="2" t="s">
        <v>64</v>
      </c>
      <c r="M626" s="2" t="s">
        <v>12</v>
      </c>
      <c r="N626" s="2" t="s">
        <v>12</v>
      </c>
      <c r="O626" s="2" t="s">
        <v>12</v>
      </c>
      <c r="P626" s="21" t="s">
        <v>12</v>
      </c>
      <c r="Q626" s="3" t="s">
        <v>12</v>
      </c>
      <c r="R626" s="3" t="s">
        <v>12</v>
      </c>
    </row>
    <row r="627" spans="1:18" x14ac:dyDescent="0.25">
      <c r="A627" s="30">
        <v>45756</v>
      </c>
      <c r="B627" s="28">
        <v>617</v>
      </c>
      <c r="C627" s="28"/>
      <c r="D627" s="2" t="s">
        <v>311</v>
      </c>
      <c r="E627" s="7" t="s">
        <v>898</v>
      </c>
      <c r="F627" s="7"/>
      <c r="G627" s="2" t="s">
        <v>97</v>
      </c>
      <c r="H627" s="2" t="s">
        <v>611</v>
      </c>
      <c r="I627" s="5">
        <v>123249.04</v>
      </c>
      <c r="J627" s="57"/>
      <c r="K627" s="3">
        <v>1272</v>
      </c>
      <c r="L627" s="2" t="s">
        <v>226</v>
      </c>
      <c r="M627" s="2" t="s">
        <v>12</v>
      </c>
      <c r="N627" s="2" t="s">
        <v>12</v>
      </c>
      <c r="O627" s="2" t="s">
        <v>12</v>
      </c>
      <c r="P627" s="21" t="s">
        <v>12</v>
      </c>
      <c r="Q627" s="3" t="s">
        <v>12</v>
      </c>
      <c r="R627" s="3" t="s">
        <v>12</v>
      </c>
    </row>
    <row r="628" spans="1:18" x14ac:dyDescent="0.25">
      <c r="A628" s="30">
        <v>45883</v>
      </c>
      <c r="B628" s="28">
        <v>618</v>
      </c>
      <c r="C628" s="28"/>
      <c r="D628" s="2" t="s">
        <v>124</v>
      </c>
      <c r="E628" s="7" t="s">
        <v>899</v>
      </c>
      <c r="F628" s="7"/>
      <c r="G628" s="2" t="s">
        <v>20</v>
      </c>
      <c r="H628" s="2" t="s">
        <v>263</v>
      </c>
      <c r="I628" s="5">
        <v>30000</v>
      </c>
      <c r="J628" s="57"/>
      <c r="K628" s="3">
        <v>2400</v>
      </c>
      <c r="L628" s="2" t="s">
        <v>226</v>
      </c>
      <c r="M628" s="2" t="s">
        <v>1160</v>
      </c>
      <c r="N628" s="2" t="s">
        <v>135</v>
      </c>
      <c r="O628" s="2" t="s">
        <v>374</v>
      </c>
      <c r="P628" s="21" t="s">
        <v>12</v>
      </c>
      <c r="Q628" s="3" t="s">
        <v>12</v>
      </c>
      <c r="R628" s="3" t="s">
        <v>12</v>
      </c>
    </row>
    <row r="629" spans="1:18" x14ac:dyDescent="0.25">
      <c r="A629" s="30">
        <v>45756</v>
      </c>
      <c r="B629" s="28">
        <v>619</v>
      </c>
      <c r="C629" s="28"/>
      <c r="D629" s="2" t="s">
        <v>308</v>
      </c>
      <c r="E629" s="7" t="s">
        <v>898</v>
      </c>
      <c r="F629" s="7"/>
      <c r="G629" s="2" t="s">
        <v>20</v>
      </c>
      <c r="H629" s="2" t="s">
        <v>129</v>
      </c>
      <c r="I629" s="5">
        <v>123249.04</v>
      </c>
      <c r="J629" s="57"/>
      <c r="K629" s="3">
        <v>1272</v>
      </c>
      <c r="L629" s="2" t="s">
        <v>226</v>
      </c>
      <c r="M629" s="2" t="s">
        <v>12</v>
      </c>
      <c r="N629" s="2" t="s">
        <v>12</v>
      </c>
      <c r="O629" s="2" t="s">
        <v>12</v>
      </c>
      <c r="P629" s="21" t="s">
        <v>12</v>
      </c>
      <c r="Q629" s="3" t="s">
        <v>12</v>
      </c>
      <c r="R629" s="3" t="s">
        <v>12</v>
      </c>
    </row>
    <row r="630" spans="1:18" x14ac:dyDescent="0.25">
      <c r="A630" s="30">
        <v>45756</v>
      </c>
      <c r="B630" s="28">
        <v>620</v>
      </c>
      <c r="C630" s="28"/>
      <c r="D630" s="2" t="s">
        <v>160</v>
      </c>
      <c r="E630" s="7" t="s">
        <v>900</v>
      </c>
      <c r="F630" s="7"/>
      <c r="G630" s="2" t="s">
        <v>13</v>
      </c>
      <c r="H630" s="2" t="s">
        <v>162</v>
      </c>
      <c r="I630" s="5">
        <v>23050.31</v>
      </c>
      <c r="J630" s="57"/>
      <c r="K630" s="3">
        <v>240</v>
      </c>
      <c r="L630" s="2" t="s">
        <v>226</v>
      </c>
      <c r="M630" s="2" t="s">
        <v>12</v>
      </c>
      <c r="N630" s="2" t="s">
        <v>12</v>
      </c>
      <c r="O630" s="2" t="s">
        <v>12</v>
      </c>
      <c r="P630" s="21" t="s">
        <v>12</v>
      </c>
      <c r="Q630" s="3" t="s">
        <v>12</v>
      </c>
      <c r="R630" s="3" t="s">
        <v>12</v>
      </c>
    </row>
    <row r="631" spans="1:18" x14ac:dyDescent="0.25">
      <c r="A631" s="30">
        <v>45756</v>
      </c>
      <c r="B631" s="28">
        <v>621</v>
      </c>
      <c r="C631" s="28"/>
      <c r="D631" s="2" t="s">
        <v>692</v>
      </c>
      <c r="E631" s="7" t="s">
        <v>901</v>
      </c>
      <c r="F631" s="7"/>
      <c r="G631" s="2" t="s">
        <v>97</v>
      </c>
      <c r="H631" s="2" t="s">
        <v>902</v>
      </c>
      <c r="I631" s="5">
        <v>11524.75</v>
      </c>
      <c r="J631" s="57"/>
      <c r="K631" s="3">
        <v>96</v>
      </c>
      <c r="L631" s="2" t="s">
        <v>134</v>
      </c>
      <c r="M631" s="2" t="s">
        <v>1175</v>
      </c>
      <c r="N631" s="2" t="s">
        <v>373</v>
      </c>
      <c r="O631" s="2" t="s">
        <v>443</v>
      </c>
      <c r="P631" s="21" t="s">
        <v>12</v>
      </c>
      <c r="Q631" s="3" t="s">
        <v>12</v>
      </c>
      <c r="R631" s="3"/>
    </row>
    <row r="632" spans="1:18" x14ac:dyDescent="0.25">
      <c r="A632" s="30">
        <v>45756</v>
      </c>
      <c r="B632" s="28">
        <v>622</v>
      </c>
      <c r="C632" s="28"/>
      <c r="D632" s="2" t="s">
        <v>233</v>
      </c>
      <c r="E632" s="7" t="s">
        <v>903</v>
      </c>
      <c r="F632" s="7"/>
      <c r="G632" s="2" t="s">
        <v>13</v>
      </c>
      <c r="H632" s="2" t="s">
        <v>235</v>
      </c>
      <c r="I632" s="5">
        <v>18760.07</v>
      </c>
      <c r="J632" s="57"/>
      <c r="K632" s="3">
        <v>168</v>
      </c>
      <c r="L632" s="2" t="s">
        <v>226</v>
      </c>
      <c r="M632" s="2" t="s">
        <v>12</v>
      </c>
      <c r="N632" s="2" t="s">
        <v>12</v>
      </c>
      <c r="O632" s="2" t="s">
        <v>12</v>
      </c>
      <c r="P632" s="21" t="s">
        <v>12</v>
      </c>
      <c r="Q632" s="3" t="s">
        <v>12</v>
      </c>
      <c r="R632" s="3" t="s">
        <v>12</v>
      </c>
    </row>
    <row r="633" spans="1:18" x14ac:dyDescent="0.25">
      <c r="A633" s="30">
        <v>45756</v>
      </c>
      <c r="B633" s="28">
        <v>623</v>
      </c>
      <c r="C633" s="28"/>
      <c r="D633" s="2" t="s">
        <v>165</v>
      </c>
      <c r="E633" s="7" t="s">
        <v>166</v>
      </c>
      <c r="F633" s="7"/>
      <c r="G633" s="2" t="s">
        <v>97</v>
      </c>
      <c r="H633" s="2" t="s">
        <v>167</v>
      </c>
      <c r="I633" s="5">
        <v>94973.440000000002</v>
      </c>
      <c r="J633" s="57"/>
      <c r="K633" s="3">
        <v>1200</v>
      </c>
      <c r="L633" s="2" t="s">
        <v>134</v>
      </c>
      <c r="M633" s="2" t="s">
        <v>1163</v>
      </c>
      <c r="N633" s="2" t="s">
        <v>135</v>
      </c>
      <c r="O633" s="2" t="s">
        <v>374</v>
      </c>
      <c r="P633" s="21" t="s">
        <v>1161</v>
      </c>
      <c r="Q633" s="3" t="s">
        <v>12</v>
      </c>
      <c r="R633" s="3" t="s">
        <v>12</v>
      </c>
    </row>
    <row r="634" spans="1:18" x14ac:dyDescent="0.25">
      <c r="A634" s="30">
        <v>45757</v>
      </c>
      <c r="B634" s="28">
        <v>624</v>
      </c>
      <c r="C634" s="28"/>
      <c r="D634" s="2" t="s">
        <v>1395</v>
      </c>
      <c r="E634" s="7" t="s">
        <v>1016</v>
      </c>
      <c r="F634" s="7"/>
      <c r="G634" s="2" t="s">
        <v>111</v>
      </c>
      <c r="H634" s="2" t="s">
        <v>1017</v>
      </c>
      <c r="I634" s="5">
        <v>2879.61</v>
      </c>
      <c r="J634" s="57"/>
      <c r="K634" s="3"/>
      <c r="L634" s="2" t="s">
        <v>226</v>
      </c>
      <c r="M634" s="2"/>
      <c r="N634" s="2"/>
      <c r="O634" s="2"/>
      <c r="P634" s="21"/>
      <c r="Q634" s="3" t="s">
        <v>12</v>
      </c>
      <c r="R634" s="3" t="s">
        <v>12</v>
      </c>
    </row>
    <row r="635" spans="1:18" x14ac:dyDescent="0.25">
      <c r="A635" s="30">
        <v>45757</v>
      </c>
      <c r="B635" s="28">
        <v>625</v>
      </c>
      <c r="C635" s="28"/>
      <c r="D635" s="2" t="s">
        <v>370</v>
      </c>
      <c r="E635" s="7" t="s">
        <v>917</v>
      </c>
      <c r="F635" s="7"/>
      <c r="G635" s="2" t="s">
        <v>26</v>
      </c>
      <c r="H635" s="2" t="s">
        <v>148</v>
      </c>
      <c r="I635" s="5">
        <v>34000</v>
      </c>
      <c r="J635" s="57"/>
      <c r="K635" s="3">
        <v>360</v>
      </c>
      <c r="L635" s="2" t="s">
        <v>64</v>
      </c>
      <c r="M635" s="2" t="s">
        <v>12</v>
      </c>
      <c r="N635" s="2" t="s">
        <v>12</v>
      </c>
      <c r="O635" s="2" t="s">
        <v>12</v>
      </c>
      <c r="P635" s="21" t="s">
        <v>12</v>
      </c>
      <c r="Q635" s="3" t="s">
        <v>12</v>
      </c>
      <c r="R635" s="3" t="s">
        <v>12</v>
      </c>
    </row>
    <row r="636" spans="1:18" x14ac:dyDescent="0.25">
      <c r="A636" s="30">
        <v>45757</v>
      </c>
      <c r="B636" s="28">
        <v>626</v>
      </c>
      <c r="C636" s="28"/>
      <c r="D636" s="2" t="s">
        <v>33</v>
      </c>
      <c r="E636" s="7" t="s">
        <v>918</v>
      </c>
      <c r="F636" s="7"/>
      <c r="G636" s="2" t="s">
        <v>13</v>
      </c>
      <c r="H636" s="2" t="s">
        <v>35</v>
      </c>
      <c r="I636" s="5">
        <v>8096.98</v>
      </c>
      <c r="J636" s="57"/>
      <c r="K636" s="3">
        <v>72</v>
      </c>
      <c r="L636" s="2" t="s">
        <v>226</v>
      </c>
      <c r="M636" s="2" t="s">
        <v>12</v>
      </c>
      <c r="N636" s="2" t="s">
        <v>12</v>
      </c>
      <c r="O636" s="2" t="s">
        <v>12</v>
      </c>
      <c r="P636" s="21" t="s">
        <v>12</v>
      </c>
      <c r="Q636" s="3" t="s">
        <v>12</v>
      </c>
      <c r="R636" s="3" t="s">
        <v>12</v>
      </c>
    </row>
    <row r="637" spans="1:18" x14ac:dyDescent="0.25">
      <c r="A637" s="30">
        <v>45757</v>
      </c>
      <c r="B637" s="28">
        <v>627</v>
      </c>
      <c r="C637" s="28"/>
      <c r="D637" s="2" t="s">
        <v>440</v>
      </c>
      <c r="E637" s="7" t="s">
        <v>911</v>
      </c>
      <c r="F637" s="7"/>
      <c r="G637" s="2" t="s">
        <v>111</v>
      </c>
      <c r="H637" s="2" t="s">
        <v>842</v>
      </c>
      <c r="I637" s="5">
        <v>327267.96000000002</v>
      </c>
      <c r="J637" s="57"/>
      <c r="K637" s="3">
        <v>3528</v>
      </c>
      <c r="L637" s="2" t="s">
        <v>226</v>
      </c>
      <c r="M637" s="2" t="s">
        <v>12</v>
      </c>
      <c r="N637" s="2" t="s">
        <v>12</v>
      </c>
      <c r="O637" s="2" t="s">
        <v>12</v>
      </c>
      <c r="P637" s="21" t="s">
        <v>12</v>
      </c>
      <c r="Q637" s="3" t="s">
        <v>12</v>
      </c>
      <c r="R637" s="3" t="s">
        <v>12</v>
      </c>
    </row>
    <row r="638" spans="1:18" x14ac:dyDescent="0.25">
      <c r="A638" s="30">
        <v>45764</v>
      </c>
      <c r="B638" s="28">
        <v>628</v>
      </c>
      <c r="C638" s="28"/>
      <c r="D638" s="2" t="s">
        <v>87</v>
      </c>
      <c r="E638" s="7" t="s">
        <v>919</v>
      </c>
      <c r="F638" s="7"/>
      <c r="G638" s="2" t="s">
        <v>13</v>
      </c>
      <c r="H638" s="2" t="s">
        <v>89</v>
      </c>
      <c r="I638" s="5">
        <v>620000</v>
      </c>
      <c r="J638" s="57"/>
      <c r="K638" s="3">
        <v>4800</v>
      </c>
      <c r="L638" s="2" t="s">
        <v>64</v>
      </c>
      <c r="M638" s="2" t="s">
        <v>12</v>
      </c>
      <c r="N638" s="2" t="s">
        <v>12</v>
      </c>
      <c r="O638" s="2" t="s">
        <v>12</v>
      </c>
      <c r="P638" s="21" t="s">
        <v>12</v>
      </c>
      <c r="Q638" s="3" t="s">
        <v>12</v>
      </c>
      <c r="R638" s="3" t="s">
        <v>12</v>
      </c>
    </row>
    <row r="639" spans="1:18" x14ac:dyDescent="0.25">
      <c r="A639" s="30">
        <v>45757</v>
      </c>
      <c r="B639" s="28">
        <v>629</v>
      </c>
      <c r="C639" s="28"/>
      <c r="D639" s="2" t="s">
        <v>765</v>
      </c>
      <c r="E639" s="7" t="s">
        <v>12</v>
      </c>
      <c r="F639" s="7"/>
      <c r="G639" s="2" t="s">
        <v>97</v>
      </c>
      <c r="H639" s="2" t="s">
        <v>491</v>
      </c>
      <c r="I639" s="5">
        <v>355.86</v>
      </c>
      <c r="J639" s="57"/>
      <c r="K639" s="3" t="s">
        <v>12</v>
      </c>
      <c r="L639" s="2" t="s">
        <v>64</v>
      </c>
      <c r="M639" s="2" t="s">
        <v>12</v>
      </c>
      <c r="N639" s="2" t="s">
        <v>12</v>
      </c>
      <c r="O639" s="2" t="s">
        <v>12</v>
      </c>
      <c r="P639" s="21" t="s">
        <v>12</v>
      </c>
      <c r="Q639" s="3" t="s">
        <v>12</v>
      </c>
      <c r="R639" s="3" t="s">
        <v>12</v>
      </c>
    </row>
    <row r="640" spans="1:18" x14ac:dyDescent="0.25">
      <c r="A640" s="30">
        <v>45757</v>
      </c>
      <c r="B640" s="28">
        <v>630</v>
      </c>
      <c r="C640" s="28"/>
      <c r="D640" s="2" t="s">
        <v>504</v>
      </c>
      <c r="E640" s="7" t="s">
        <v>12</v>
      </c>
      <c r="F640" s="7"/>
      <c r="G640" s="2" t="s">
        <v>13</v>
      </c>
      <c r="H640" s="2" t="s">
        <v>505</v>
      </c>
      <c r="I640" s="5">
        <v>6121.28</v>
      </c>
      <c r="J640" s="57"/>
      <c r="K640" s="3">
        <v>72</v>
      </c>
      <c r="L640" s="2" t="s">
        <v>226</v>
      </c>
      <c r="M640" s="2" t="s">
        <v>12</v>
      </c>
      <c r="N640" s="2" t="s">
        <v>12</v>
      </c>
      <c r="O640" s="2" t="s">
        <v>12</v>
      </c>
      <c r="P640" s="21" t="s">
        <v>12</v>
      </c>
      <c r="Q640" s="3" t="s">
        <v>12</v>
      </c>
      <c r="R640" s="3" t="s">
        <v>12</v>
      </c>
    </row>
    <row r="641" spans="1:18" x14ac:dyDescent="0.25">
      <c r="A641" s="30">
        <v>45757</v>
      </c>
      <c r="B641" s="28">
        <v>631</v>
      </c>
      <c r="C641" s="28"/>
      <c r="D641" s="2" t="s">
        <v>168</v>
      </c>
      <c r="E641" s="7" t="s">
        <v>920</v>
      </c>
      <c r="F641" s="7"/>
      <c r="G641" s="2" t="s">
        <v>43</v>
      </c>
      <c r="H641" s="2" t="s">
        <v>381</v>
      </c>
      <c r="I641" s="5">
        <v>597415.71</v>
      </c>
      <c r="J641" s="57"/>
      <c r="K641" s="3">
        <v>4536</v>
      </c>
      <c r="L641" s="2" t="s">
        <v>226</v>
      </c>
      <c r="M641" s="2" t="s">
        <v>12</v>
      </c>
      <c r="N641" s="2" t="s">
        <v>12</v>
      </c>
      <c r="O641" s="2" t="s">
        <v>12</v>
      </c>
      <c r="P641" s="21" t="s">
        <v>12</v>
      </c>
      <c r="Q641" s="3" t="s">
        <v>957</v>
      </c>
      <c r="R641" s="3" t="s">
        <v>75</v>
      </c>
    </row>
    <row r="642" spans="1:18" x14ac:dyDescent="0.25">
      <c r="A642" s="30">
        <v>45758</v>
      </c>
      <c r="B642" s="28">
        <v>632</v>
      </c>
      <c r="C642" s="28"/>
      <c r="D642" s="2" t="s">
        <v>921</v>
      </c>
      <c r="E642" s="7" t="s">
        <v>922</v>
      </c>
      <c r="F642" s="7"/>
      <c r="G642" s="2" t="s">
        <v>13</v>
      </c>
      <c r="H642" s="2" t="s">
        <v>565</v>
      </c>
      <c r="I642" s="5">
        <v>22240.68</v>
      </c>
      <c r="J642" s="57"/>
      <c r="K642" s="3">
        <v>240</v>
      </c>
      <c r="L642" s="2" t="s">
        <v>226</v>
      </c>
      <c r="M642" s="2" t="s">
        <v>12</v>
      </c>
      <c r="N642" s="2" t="s">
        <v>12</v>
      </c>
      <c r="O642" s="2" t="s">
        <v>12</v>
      </c>
      <c r="P642" s="21" t="s">
        <v>12</v>
      </c>
      <c r="Q642" s="3" t="s">
        <v>958</v>
      </c>
      <c r="R642" s="3" t="s">
        <v>75</v>
      </c>
    </row>
    <row r="643" spans="1:18" x14ac:dyDescent="0.25">
      <c r="A643" s="30">
        <v>45758</v>
      </c>
      <c r="B643" s="28">
        <v>633</v>
      </c>
      <c r="C643" s="28"/>
      <c r="D643" s="2" t="s">
        <v>921</v>
      </c>
      <c r="E643" s="7" t="s">
        <v>923</v>
      </c>
      <c r="F643" s="7"/>
      <c r="G643" s="2" t="s">
        <v>13</v>
      </c>
      <c r="H643" s="2" t="s">
        <v>565</v>
      </c>
      <c r="I643" s="5">
        <v>4227.18</v>
      </c>
      <c r="J643" s="57"/>
      <c r="K643" s="3">
        <v>48</v>
      </c>
      <c r="L643" s="2" t="s">
        <v>226</v>
      </c>
      <c r="M643" s="2" t="s">
        <v>12</v>
      </c>
      <c r="N643" s="2" t="s">
        <v>12</v>
      </c>
      <c r="O643" s="2" t="s">
        <v>12</v>
      </c>
      <c r="P643" s="21" t="s">
        <v>12</v>
      </c>
      <c r="Q643" s="3" t="s">
        <v>958</v>
      </c>
      <c r="R643" s="3" t="s">
        <v>75</v>
      </c>
    </row>
    <row r="644" spans="1:18" x14ac:dyDescent="0.25">
      <c r="A644" s="30">
        <v>45758</v>
      </c>
      <c r="B644" s="28">
        <v>634</v>
      </c>
      <c r="C644" s="28"/>
      <c r="D644" s="2" t="s">
        <v>176</v>
      </c>
      <c r="E644" s="7" t="s">
        <v>12</v>
      </c>
      <c r="F644" s="7"/>
      <c r="G644" s="2" t="s">
        <v>13</v>
      </c>
      <c r="H644" s="2" t="s">
        <v>177</v>
      </c>
      <c r="I644" s="5">
        <v>25511.01</v>
      </c>
      <c r="J644" s="57"/>
      <c r="K644" s="3">
        <v>480</v>
      </c>
      <c r="L644" s="2" t="s">
        <v>226</v>
      </c>
      <c r="M644" s="2" t="s">
        <v>12</v>
      </c>
      <c r="N644" s="2" t="s">
        <v>12</v>
      </c>
      <c r="O644" s="2" t="s">
        <v>12</v>
      </c>
      <c r="P644" s="21" t="s">
        <v>12</v>
      </c>
      <c r="Q644" s="3" t="s">
        <v>12</v>
      </c>
      <c r="R644" s="3" t="s">
        <v>12</v>
      </c>
    </row>
    <row r="645" spans="1:18" x14ac:dyDescent="0.25">
      <c r="A645" s="30">
        <v>45761</v>
      </c>
      <c r="B645" s="28">
        <v>635</v>
      </c>
      <c r="C645" s="28"/>
      <c r="D645" s="2" t="s">
        <v>289</v>
      </c>
      <c r="E645" s="7" t="s">
        <v>290</v>
      </c>
      <c r="F645" s="7"/>
      <c r="G645" s="2" t="s">
        <v>13</v>
      </c>
      <c r="H645" s="2" t="s">
        <v>291</v>
      </c>
      <c r="I645" s="5">
        <v>145075.57</v>
      </c>
      <c r="J645" s="57"/>
      <c r="K645" s="3">
        <v>2086.08</v>
      </c>
      <c r="L645" s="2" t="s">
        <v>226</v>
      </c>
      <c r="M645" s="2" t="s">
        <v>12</v>
      </c>
      <c r="N645" s="2" t="s">
        <v>12</v>
      </c>
      <c r="O645" s="2" t="s">
        <v>12</v>
      </c>
      <c r="P645" s="21" t="s">
        <v>12</v>
      </c>
      <c r="Q645" s="3" t="s">
        <v>12</v>
      </c>
      <c r="R645" s="3" t="s">
        <v>12</v>
      </c>
    </row>
    <row r="646" spans="1:18" x14ac:dyDescent="0.25">
      <c r="A646" s="30">
        <v>45761</v>
      </c>
      <c r="B646" s="28">
        <v>636</v>
      </c>
      <c r="C646" s="28"/>
      <c r="D646" s="2" t="s">
        <v>160</v>
      </c>
      <c r="E646" s="7" t="s">
        <v>924</v>
      </c>
      <c r="F646" s="7"/>
      <c r="G646" s="2" t="s">
        <v>13</v>
      </c>
      <c r="H646" s="2" t="s">
        <v>162</v>
      </c>
      <c r="I646" s="5">
        <v>27366.37</v>
      </c>
      <c r="J646" s="57"/>
      <c r="K646" s="3">
        <v>288</v>
      </c>
      <c r="L646" s="2" t="s">
        <v>226</v>
      </c>
      <c r="M646" s="2" t="s">
        <v>12</v>
      </c>
      <c r="N646" s="2" t="s">
        <v>12</v>
      </c>
      <c r="O646" s="2" t="s">
        <v>12</v>
      </c>
      <c r="P646" s="21" t="s">
        <v>12</v>
      </c>
      <c r="Q646" s="3" t="s">
        <v>12</v>
      </c>
      <c r="R646" s="3" t="s">
        <v>12</v>
      </c>
    </row>
    <row r="647" spans="1:18" x14ac:dyDescent="0.25">
      <c r="A647" s="30">
        <v>45761</v>
      </c>
      <c r="B647" s="28">
        <v>637</v>
      </c>
      <c r="C647" s="28"/>
      <c r="D647" s="2" t="s">
        <v>925</v>
      </c>
      <c r="E647" s="7" t="s">
        <v>893</v>
      </c>
      <c r="F647" s="7"/>
      <c r="G647" s="2" t="s">
        <v>26</v>
      </c>
      <c r="H647" s="2" t="s">
        <v>926</v>
      </c>
      <c r="I647" s="5">
        <v>78264.710000000006</v>
      </c>
      <c r="J647" s="57"/>
      <c r="K647" s="3">
        <v>696</v>
      </c>
      <c r="L647" s="2" t="s">
        <v>226</v>
      </c>
      <c r="M647" s="2" t="s">
        <v>1272</v>
      </c>
      <c r="N647" s="2" t="s">
        <v>12</v>
      </c>
      <c r="O647" s="2" t="s">
        <v>12</v>
      </c>
      <c r="P647" s="21" t="s">
        <v>12</v>
      </c>
      <c r="Q647" s="3" t="s">
        <v>220</v>
      </c>
      <c r="R647" s="3" t="s">
        <v>80</v>
      </c>
    </row>
    <row r="648" spans="1:18" x14ac:dyDescent="0.25">
      <c r="A648" s="30">
        <v>45761</v>
      </c>
      <c r="B648" s="28">
        <v>638</v>
      </c>
      <c r="C648" s="28"/>
      <c r="D648" s="2" t="s">
        <v>22</v>
      </c>
      <c r="E648" s="7" t="s">
        <v>927</v>
      </c>
      <c r="F648" s="7"/>
      <c r="G648" s="2" t="s">
        <v>13</v>
      </c>
      <c r="H648" s="2" t="s">
        <v>15</v>
      </c>
      <c r="I648" s="5">
        <v>278026.78999999998</v>
      </c>
      <c r="J648" s="57"/>
      <c r="K648" s="3">
        <v>2712</v>
      </c>
      <c r="L648" s="2" t="s">
        <v>226</v>
      </c>
      <c r="M648" s="2" t="s">
        <v>12</v>
      </c>
      <c r="N648" s="2" t="s">
        <v>12</v>
      </c>
      <c r="O648" s="2" t="s">
        <v>12</v>
      </c>
      <c r="P648" s="21" t="s">
        <v>12</v>
      </c>
      <c r="Q648" s="3" t="s">
        <v>77</v>
      </c>
      <c r="R648" s="3" t="s">
        <v>80</v>
      </c>
    </row>
    <row r="649" spans="1:18" x14ac:dyDescent="0.25">
      <c r="A649" s="30">
        <v>45761</v>
      </c>
      <c r="B649" s="28">
        <v>639</v>
      </c>
      <c r="C649" s="28"/>
      <c r="D649" s="2" t="s">
        <v>87</v>
      </c>
      <c r="E649" s="7" t="s">
        <v>927</v>
      </c>
      <c r="F649" s="7"/>
      <c r="G649" s="2" t="s">
        <v>13</v>
      </c>
      <c r="H649" s="2" t="s">
        <v>114</v>
      </c>
      <c r="I649" s="5">
        <v>280067.21999999997</v>
      </c>
      <c r="J649" s="57"/>
      <c r="K649" s="3">
        <v>2736</v>
      </c>
      <c r="L649" s="2" t="s">
        <v>226</v>
      </c>
      <c r="M649" s="2" t="s">
        <v>12</v>
      </c>
      <c r="N649" s="2" t="s">
        <v>12</v>
      </c>
      <c r="O649" s="2" t="s">
        <v>12</v>
      </c>
      <c r="P649" s="21" t="s">
        <v>12</v>
      </c>
      <c r="Q649" s="3" t="s">
        <v>77</v>
      </c>
      <c r="R649" s="3" t="s">
        <v>80</v>
      </c>
    </row>
    <row r="650" spans="1:18" x14ac:dyDescent="0.25">
      <c r="A650" s="30">
        <v>45761</v>
      </c>
      <c r="B650" s="28">
        <v>640</v>
      </c>
      <c r="C650" s="28"/>
      <c r="D650" s="2" t="s">
        <v>388</v>
      </c>
      <c r="E650" s="7" t="s">
        <v>893</v>
      </c>
      <c r="F650" s="7"/>
      <c r="G650" s="2" t="s">
        <v>26</v>
      </c>
      <c r="H650" s="2" t="s">
        <v>928</v>
      </c>
      <c r="I650" s="5">
        <v>78264.710000000006</v>
      </c>
      <c r="J650" s="57"/>
      <c r="K650" s="3">
        <v>696</v>
      </c>
      <c r="L650" s="2" t="s">
        <v>226</v>
      </c>
      <c r="M650" s="2" t="s">
        <v>1272</v>
      </c>
      <c r="N650" s="2" t="s">
        <v>12</v>
      </c>
      <c r="O650" s="2" t="s">
        <v>12</v>
      </c>
      <c r="P650" s="21" t="s">
        <v>12</v>
      </c>
      <c r="Q650" s="3" t="s">
        <v>220</v>
      </c>
      <c r="R650" s="3" t="s">
        <v>80</v>
      </c>
    </row>
    <row r="651" spans="1:18" x14ac:dyDescent="0.25">
      <c r="A651" s="30">
        <v>45761</v>
      </c>
      <c r="B651" s="28">
        <v>641</v>
      </c>
      <c r="C651" s="28"/>
      <c r="D651" s="2" t="s">
        <v>929</v>
      </c>
      <c r="E651" s="7" t="s">
        <v>12</v>
      </c>
      <c r="F651" s="7"/>
      <c r="G651" s="2" t="s">
        <v>13</v>
      </c>
      <c r="H651" s="2" t="s">
        <v>620</v>
      </c>
      <c r="I651" s="5">
        <v>3400.34</v>
      </c>
      <c r="J651" s="57"/>
      <c r="K651" s="3">
        <v>48</v>
      </c>
      <c r="L651" s="2" t="s">
        <v>64</v>
      </c>
      <c r="M651" s="2" t="s">
        <v>12</v>
      </c>
      <c r="N651" s="2" t="s">
        <v>12</v>
      </c>
      <c r="O651" s="2" t="s">
        <v>12</v>
      </c>
      <c r="P651" s="21" t="s">
        <v>12</v>
      </c>
      <c r="Q651" s="3" t="s">
        <v>12</v>
      </c>
      <c r="R651" s="3" t="s">
        <v>12</v>
      </c>
    </row>
    <row r="652" spans="1:18" x14ac:dyDescent="0.25">
      <c r="A652" s="30">
        <v>45761</v>
      </c>
      <c r="B652" s="28">
        <v>642</v>
      </c>
      <c r="C652" s="28"/>
      <c r="D652" s="2" t="s">
        <v>930</v>
      </c>
      <c r="E652" s="7" t="s">
        <v>931</v>
      </c>
      <c r="F652" s="7"/>
      <c r="G652" s="2" t="s">
        <v>13</v>
      </c>
      <c r="H652" s="2" t="s">
        <v>15</v>
      </c>
      <c r="I652" s="5">
        <v>502751.74</v>
      </c>
      <c r="J652" s="57"/>
      <c r="K652" s="3">
        <v>42245</v>
      </c>
      <c r="L652" s="2" t="s">
        <v>226</v>
      </c>
      <c r="M652" s="2" t="s">
        <v>12</v>
      </c>
      <c r="N652" s="2" t="s">
        <v>12</v>
      </c>
      <c r="O652" s="2" t="s">
        <v>12</v>
      </c>
      <c r="P652" s="21" t="s">
        <v>12</v>
      </c>
      <c r="Q652" s="3" t="s">
        <v>12</v>
      </c>
      <c r="R652" s="3" t="s">
        <v>12</v>
      </c>
    </row>
    <row r="653" spans="1:18" x14ac:dyDescent="0.25">
      <c r="A653" s="30">
        <v>45761</v>
      </c>
      <c r="B653" s="28">
        <v>643</v>
      </c>
      <c r="C653" s="28"/>
      <c r="D653" s="2" t="s">
        <v>930</v>
      </c>
      <c r="E653" s="7" t="s">
        <v>932</v>
      </c>
      <c r="F653" s="7"/>
      <c r="G653" s="2" t="s">
        <v>13</v>
      </c>
      <c r="H653" s="2" t="s">
        <v>15</v>
      </c>
      <c r="I653" s="5">
        <v>650021.66</v>
      </c>
      <c r="J653" s="57"/>
      <c r="K653" s="3">
        <v>5568</v>
      </c>
      <c r="L653" s="2" t="s">
        <v>226</v>
      </c>
      <c r="M653" s="2" t="s">
        <v>12</v>
      </c>
      <c r="N653" s="2" t="s">
        <v>12</v>
      </c>
      <c r="O653" s="2" t="s">
        <v>12</v>
      </c>
      <c r="P653" s="21" t="s">
        <v>12</v>
      </c>
      <c r="Q653" s="3" t="s">
        <v>12</v>
      </c>
      <c r="R653" s="3" t="s">
        <v>12</v>
      </c>
    </row>
    <row r="654" spans="1:18" x14ac:dyDescent="0.25">
      <c r="A654" s="30">
        <v>45761</v>
      </c>
      <c r="B654" s="28">
        <v>644</v>
      </c>
      <c r="C654" s="28"/>
      <c r="D654" s="2" t="s">
        <v>933</v>
      </c>
      <c r="E654" s="7" t="s">
        <v>934</v>
      </c>
      <c r="F654" s="7"/>
      <c r="G654" s="2" t="s">
        <v>20</v>
      </c>
      <c r="H654" s="2" t="s">
        <v>935</v>
      </c>
      <c r="I654" s="5">
        <v>139498.57</v>
      </c>
      <c r="J654" s="57"/>
      <c r="K654" s="3">
        <v>1224</v>
      </c>
      <c r="L654" s="2" t="s">
        <v>226</v>
      </c>
      <c r="M654" s="2" t="s">
        <v>12</v>
      </c>
      <c r="N654" s="2" t="s">
        <v>12</v>
      </c>
      <c r="O654" s="2" t="s">
        <v>12</v>
      </c>
      <c r="P654" s="21" t="s">
        <v>12</v>
      </c>
      <c r="Q654" s="3" t="s">
        <v>959</v>
      </c>
      <c r="R654" s="3" t="s">
        <v>80</v>
      </c>
    </row>
    <row r="655" spans="1:18" x14ac:dyDescent="0.25">
      <c r="A655" s="30">
        <v>45761</v>
      </c>
      <c r="B655" s="28">
        <v>645</v>
      </c>
      <c r="C655" s="28"/>
      <c r="D655" s="2" t="s">
        <v>933</v>
      </c>
      <c r="E655" s="7" t="s">
        <v>936</v>
      </c>
      <c r="F655" s="7"/>
      <c r="G655" s="2" t="s">
        <v>20</v>
      </c>
      <c r="H655" s="2" t="s">
        <v>935</v>
      </c>
      <c r="I655" s="5">
        <v>173950.81</v>
      </c>
      <c r="J655" s="57"/>
      <c r="K655" s="3">
        <v>1680</v>
      </c>
      <c r="L655" s="2" t="s">
        <v>226</v>
      </c>
      <c r="M655" s="2" t="s">
        <v>12</v>
      </c>
      <c r="N655" s="2" t="s">
        <v>12</v>
      </c>
      <c r="O655" s="2" t="s">
        <v>12</v>
      </c>
      <c r="P655" s="21" t="s">
        <v>12</v>
      </c>
      <c r="Q655" s="3" t="s">
        <v>12</v>
      </c>
      <c r="R655" s="3" t="s">
        <v>12</v>
      </c>
    </row>
    <row r="656" spans="1:18" x14ac:dyDescent="0.25">
      <c r="A656" s="30">
        <v>45761</v>
      </c>
      <c r="B656" s="28">
        <v>646</v>
      </c>
      <c r="C656" s="28"/>
      <c r="D656" s="2" t="s">
        <v>937</v>
      </c>
      <c r="E656" s="7" t="s">
        <v>12</v>
      </c>
      <c r="F656" s="7"/>
      <c r="G656" s="2" t="s">
        <v>13</v>
      </c>
      <c r="H656" s="2" t="s">
        <v>938</v>
      </c>
      <c r="I656" s="5">
        <v>11638.66</v>
      </c>
      <c r="J656" s="57"/>
      <c r="K656" s="3">
        <v>120</v>
      </c>
      <c r="L656" s="2" t="s">
        <v>226</v>
      </c>
      <c r="M656" s="2" t="s">
        <v>12</v>
      </c>
      <c r="N656" s="2" t="s">
        <v>12</v>
      </c>
      <c r="O656" s="2" t="s">
        <v>12</v>
      </c>
      <c r="P656" s="21" t="s">
        <v>12</v>
      </c>
      <c r="Q656" s="3" t="s">
        <v>12</v>
      </c>
      <c r="R656" s="3" t="s">
        <v>12</v>
      </c>
    </row>
    <row r="657" spans="1:18" x14ac:dyDescent="0.25">
      <c r="A657" s="30">
        <v>45824</v>
      </c>
      <c r="B657" s="28">
        <v>647</v>
      </c>
      <c r="C657" s="28"/>
      <c r="D657" s="2" t="s">
        <v>440</v>
      </c>
      <c r="E657" s="7" t="s">
        <v>1010</v>
      </c>
      <c r="F657" s="7"/>
      <c r="G657" s="2" t="s">
        <v>111</v>
      </c>
      <c r="H657" s="2" t="s">
        <v>235</v>
      </c>
      <c r="I657" s="5">
        <v>292441.99</v>
      </c>
      <c r="J657" s="57"/>
      <c r="K657" s="3"/>
      <c r="L657" s="2" t="s">
        <v>134</v>
      </c>
      <c r="M657" s="2" t="s">
        <v>135</v>
      </c>
      <c r="N657" s="2" t="s">
        <v>135</v>
      </c>
      <c r="O657" s="2" t="s">
        <v>374</v>
      </c>
      <c r="P657" s="21"/>
      <c r="Q657" s="3" t="s">
        <v>12</v>
      </c>
      <c r="R657" s="3" t="s">
        <v>12</v>
      </c>
    </row>
    <row r="658" spans="1:18" x14ac:dyDescent="0.25">
      <c r="A658" s="30">
        <v>45762</v>
      </c>
      <c r="B658" s="28">
        <v>648</v>
      </c>
      <c r="C658" s="28"/>
      <c r="D658" s="2" t="s">
        <v>646</v>
      </c>
      <c r="E658" s="7" t="s">
        <v>939</v>
      </c>
      <c r="F658" s="7"/>
      <c r="G658" s="2" t="s">
        <v>111</v>
      </c>
      <c r="H658" s="2" t="s">
        <v>874</v>
      </c>
      <c r="I658" s="5">
        <v>231463.34</v>
      </c>
      <c r="J658" s="57"/>
      <c r="K658" s="3">
        <v>2232</v>
      </c>
      <c r="L658" s="2" t="s">
        <v>64</v>
      </c>
      <c r="M658" s="2" t="s">
        <v>12</v>
      </c>
      <c r="N658" s="2" t="s">
        <v>12</v>
      </c>
      <c r="O658" s="2" t="s">
        <v>12</v>
      </c>
      <c r="P658" s="21" t="s">
        <v>12</v>
      </c>
      <c r="Q658" s="3" t="s">
        <v>12</v>
      </c>
      <c r="R658" s="3" t="s">
        <v>12</v>
      </c>
    </row>
    <row r="659" spans="1:18" x14ac:dyDescent="0.25">
      <c r="A659" s="30">
        <v>45762</v>
      </c>
      <c r="B659" s="28">
        <v>649</v>
      </c>
      <c r="C659" s="28"/>
      <c r="D659" s="2" t="s">
        <v>178</v>
      </c>
      <c r="E659" s="7" t="s">
        <v>940</v>
      </c>
      <c r="F659" s="7"/>
      <c r="G659" s="2" t="s">
        <v>13</v>
      </c>
      <c r="H659" s="2" t="s">
        <v>180</v>
      </c>
      <c r="I659" s="5">
        <v>21722.75</v>
      </c>
      <c r="J659" s="57"/>
      <c r="K659" s="3">
        <v>240</v>
      </c>
      <c r="L659" s="2" t="s">
        <v>226</v>
      </c>
      <c r="M659" s="2" t="s">
        <v>1021</v>
      </c>
      <c r="N659" s="2" t="s">
        <v>12</v>
      </c>
      <c r="O659" s="2" t="s">
        <v>12</v>
      </c>
      <c r="P659" s="21" t="s">
        <v>12</v>
      </c>
      <c r="Q659" s="3" t="s">
        <v>12</v>
      </c>
      <c r="R659" s="3" t="s">
        <v>12</v>
      </c>
    </row>
    <row r="660" spans="1:18" x14ac:dyDescent="0.25">
      <c r="A660" s="30">
        <v>45762</v>
      </c>
      <c r="B660" s="28">
        <v>650</v>
      </c>
      <c r="C660" s="28"/>
      <c r="D660" s="2" t="s">
        <v>941</v>
      </c>
      <c r="E660" s="7" t="s">
        <v>942</v>
      </c>
      <c r="F660" s="7"/>
      <c r="G660" s="2" t="s">
        <v>43</v>
      </c>
      <c r="H660" s="2" t="s">
        <v>943</v>
      </c>
      <c r="I660" s="5">
        <v>30550.3</v>
      </c>
      <c r="J660" s="57"/>
      <c r="K660" s="3">
        <v>312</v>
      </c>
      <c r="L660" s="2" t="s">
        <v>226</v>
      </c>
      <c r="M660" s="2" t="s">
        <v>12</v>
      </c>
      <c r="N660" s="2" t="s">
        <v>12</v>
      </c>
      <c r="O660" s="2" t="s">
        <v>12</v>
      </c>
      <c r="P660" s="21" t="s">
        <v>12</v>
      </c>
      <c r="Q660" s="3" t="s">
        <v>960</v>
      </c>
      <c r="R660" s="3" t="s">
        <v>75</v>
      </c>
    </row>
    <row r="661" spans="1:18" x14ac:dyDescent="0.25">
      <c r="A661" s="30">
        <v>45762</v>
      </c>
      <c r="B661" s="28">
        <v>651</v>
      </c>
      <c r="C661" s="28"/>
      <c r="D661" s="2" t="s">
        <v>601</v>
      </c>
      <c r="E661" s="7" t="s">
        <v>944</v>
      </c>
      <c r="F661" s="7"/>
      <c r="G661" s="2" t="s">
        <v>13</v>
      </c>
      <c r="H661" s="2" t="s">
        <v>945</v>
      </c>
      <c r="I661" s="5">
        <v>1474336.95</v>
      </c>
      <c r="J661" s="57"/>
      <c r="K661" s="3">
        <v>11952</v>
      </c>
      <c r="L661" s="2" t="s">
        <v>226</v>
      </c>
      <c r="M661" s="2" t="s">
        <v>12</v>
      </c>
      <c r="N661" s="2" t="s">
        <v>12</v>
      </c>
      <c r="O661" s="2" t="s">
        <v>12</v>
      </c>
      <c r="P661" s="21" t="s">
        <v>12</v>
      </c>
      <c r="Q661" s="3" t="s">
        <v>12</v>
      </c>
      <c r="R661" s="3" t="s">
        <v>12</v>
      </c>
    </row>
    <row r="662" spans="1:18" x14ac:dyDescent="0.25">
      <c r="A662" s="30">
        <v>45762</v>
      </c>
      <c r="B662" s="28">
        <v>652</v>
      </c>
      <c r="C662" s="28"/>
      <c r="D662" s="2" t="s">
        <v>894</v>
      </c>
      <c r="E662" s="7" t="s">
        <v>946</v>
      </c>
      <c r="F662" s="7"/>
      <c r="G662" s="2" t="s">
        <v>13</v>
      </c>
      <c r="H662" s="2" t="s">
        <v>119</v>
      </c>
      <c r="I662" s="5">
        <v>15410.76</v>
      </c>
      <c r="J662" s="57"/>
      <c r="K662" s="3">
        <v>168</v>
      </c>
      <c r="L662" s="2" t="s">
        <v>64</v>
      </c>
      <c r="M662" s="2" t="s">
        <v>12</v>
      </c>
      <c r="N662" s="2" t="s">
        <v>12</v>
      </c>
      <c r="O662" s="2" t="s">
        <v>12</v>
      </c>
      <c r="P662" s="21" t="s">
        <v>12</v>
      </c>
      <c r="Q662" s="3" t="s">
        <v>894</v>
      </c>
      <c r="R662" s="3" t="s">
        <v>75</v>
      </c>
    </row>
    <row r="663" spans="1:18" x14ac:dyDescent="0.25">
      <c r="A663" s="30">
        <v>45763</v>
      </c>
      <c r="B663" s="28">
        <v>653</v>
      </c>
      <c r="C663" s="28"/>
      <c r="D663" s="2" t="s">
        <v>212</v>
      </c>
      <c r="E663" s="7" t="s">
        <v>947</v>
      </c>
      <c r="F663" s="7"/>
      <c r="G663" s="2" t="s">
        <v>20</v>
      </c>
      <c r="H663" s="2" t="s">
        <v>948</v>
      </c>
      <c r="I663" s="5">
        <v>3469.55</v>
      </c>
      <c r="J663" s="57"/>
      <c r="K663" s="3">
        <v>48</v>
      </c>
      <c r="L663" s="2" t="s">
        <v>226</v>
      </c>
      <c r="M663" s="2" t="s">
        <v>12</v>
      </c>
      <c r="N663" s="2" t="s">
        <v>12</v>
      </c>
      <c r="O663" s="2" t="s">
        <v>12</v>
      </c>
      <c r="P663" s="21" t="s">
        <v>12</v>
      </c>
      <c r="Q663" s="3" t="s">
        <v>12</v>
      </c>
      <c r="R663" s="3" t="s">
        <v>12</v>
      </c>
    </row>
    <row r="664" spans="1:18" x14ac:dyDescent="0.25">
      <c r="A664" s="30">
        <v>45763</v>
      </c>
      <c r="B664" s="28">
        <v>654</v>
      </c>
      <c r="C664" s="28"/>
      <c r="D664" s="2" t="s">
        <v>130</v>
      </c>
      <c r="E664" s="7" t="s">
        <v>949</v>
      </c>
      <c r="F664" s="7"/>
      <c r="G664" s="2" t="s">
        <v>26</v>
      </c>
      <c r="H664" s="2" t="s">
        <v>369</v>
      </c>
      <c r="I664" s="5">
        <v>80111.100000000006</v>
      </c>
      <c r="J664" s="57"/>
      <c r="K664" s="3">
        <v>768</v>
      </c>
      <c r="L664" s="2" t="s">
        <v>226</v>
      </c>
      <c r="M664" s="2" t="s">
        <v>1280</v>
      </c>
      <c r="N664" s="2" t="s">
        <v>12</v>
      </c>
      <c r="O664" s="2" t="s">
        <v>12</v>
      </c>
      <c r="P664" s="21" t="s">
        <v>12</v>
      </c>
      <c r="Q664" s="3" t="s">
        <v>12</v>
      </c>
      <c r="R664" s="3" t="s">
        <v>12</v>
      </c>
    </row>
    <row r="665" spans="1:18" x14ac:dyDescent="0.25">
      <c r="A665" s="30">
        <v>45763</v>
      </c>
      <c r="B665" s="28">
        <v>655</v>
      </c>
      <c r="C665" s="28"/>
      <c r="D665" s="2" t="s">
        <v>348</v>
      </c>
      <c r="E665" s="7" t="s">
        <v>12</v>
      </c>
      <c r="F665" s="7"/>
      <c r="G665" s="2" t="s">
        <v>26</v>
      </c>
      <c r="H665" s="2" t="s">
        <v>350</v>
      </c>
      <c r="I665" s="5">
        <v>1423.44</v>
      </c>
      <c r="J665" s="57"/>
      <c r="K665" s="3" t="s">
        <v>12</v>
      </c>
      <c r="L665" s="2" t="s">
        <v>64</v>
      </c>
      <c r="M665" s="2" t="s">
        <v>12</v>
      </c>
      <c r="N665" s="2" t="s">
        <v>12</v>
      </c>
      <c r="O665" s="2" t="s">
        <v>12</v>
      </c>
      <c r="P665" s="21" t="s">
        <v>12</v>
      </c>
      <c r="Q665" s="3" t="s">
        <v>12</v>
      </c>
      <c r="R665" s="3" t="s">
        <v>12</v>
      </c>
    </row>
    <row r="666" spans="1:18" x14ac:dyDescent="0.25">
      <c r="A666" s="30">
        <v>45763</v>
      </c>
      <c r="B666" s="28">
        <v>656</v>
      </c>
      <c r="C666" s="28"/>
      <c r="D666" s="2" t="s">
        <v>386</v>
      </c>
      <c r="E666" s="7" t="s">
        <v>12</v>
      </c>
      <c r="F666" s="7"/>
      <c r="G666" s="2" t="s">
        <v>97</v>
      </c>
      <c r="H666" s="2" t="s">
        <v>950</v>
      </c>
      <c r="I666" s="5">
        <v>1343.46</v>
      </c>
      <c r="J666" s="57"/>
      <c r="K666" s="3" t="s">
        <v>12</v>
      </c>
      <c r="L666" s="2" t="s">
        <v>64</v>
      </c>
      <c r="M666" s="2" t="s">
        <v>12</v>
      </c>
      <c r="N666" s="2" t="s">
        <v>12</v>
      </c>
      <c r="O666" s="2" t="s">
        <v>12</v>
      </c>
      <c r="P666" s="21" t="s">
        <v>12</v>
      </c>
      <c r="Q666" s="3" t="s">
        <v>12</v>
      </c>
      <c r="R666" s="3" t="s">
        <v>12</v>
      </c>
    </row>
    <row r="667" spans="1:18" x14ac:dyDescent="0.25">
      <c r="A667" s="30">
        <v>45763</v>
      </c>
      <c r="B667" s="28">
        <v>657</v>
      </c>
      <c r="C667" s="28"/>
      <c r="D667" s="2" t="s">
        <v>212</v>
      </c>
      <c r="E667" s="7" t="s">
        <v>192</v>
      </c>
      <c r="F667" s="7"/>
      <c r="G667" s="2" t="s">
        <v>20</v>
      </c>
      <c r="H667" s="2" t="s">
        <v>948</v>
      </c>
      <c r="I667" s="5">
        <v>389983.84</v>
      </c>
      <c r="J667" s="57"/>
      <c r="K667" s="3">
        <v>4320</v>
      </c>
      <c r="L667" s="2" t="s">
        <v>64</v>
      </c>
      <c r="M667" s="2" t="s">
        <v>530</v>
      </c>
      <c r="N667" s="2" t="s">
        <v>12</v>
      </c>
      <c r="O667" s="2" t="s">
        <v>12</v>
      </c>
      <c r="P667" s="21" t="s">
        <v>12</v>
      </c>
      <c r="Q667" s="3" t="s">
        <v>12</v>
      </c>
      <c r="R667" s="3" t="s">
        <v>12</v>
      </c>
    </row>
    <row r="668" spans="1:18" x14ac:dyDescent="0.25">
      <c r="A668" s="30">
        <v>45763</v>
      </c>
      <c r="B668" s="28">
        <v>658</v>
      </c>
      <c r="C668" s="28"/>
      <c r="D668" s="2" t="s">
        <v>433</v>
      </c>
      <c r="E668" s="7" t="s">
        <v>12</v>
      </c>
      <c r="F668" s="7"/>
      <c r="G668" s="2" t="s">
        <v>97</v>
      </c>
      <c r="H668" s="2" t="s">
        <v>395</v>
      </c>
      <c r="I668" s="5">
        <v>141597.66</v>
      </c>
      <c r="J668" s="57"/>
      <c r="K668" s="3">
        <v>1248</v>
      </c>
      <c r="L668" s="2" t="s">
        <v>226</v>
      </c>
      <c r="M668" s="2" t="s">
        <v>12</v>
      </c>
      <c r="N668" s="2" t="s">
        <v>12</v>
      </c>
      <c r="O668" s="2" t="s">
        <v>12</v>
      </c>
      <c r="P668" s="21" t="s">
        <v>12</v>
      </c>
      <c r="Q668" s="3" t="s">
        <v>12</v>
      </c>
      <c r="R668" s="3" t="s">
        <v>12</v>
      </c>
    </row>
    <row r="669" spans="1:18" x14ac:dyDescent="0.25">
      <c r="A669" s="30">
        <v>45763</v>
      </c>
      <c r="B669" s="28">
        <v>659</v>
      </c>
      <c r="C669" s="28"/>
      <c r="D669" s="2" t="s">
        <v>393</v>
      </c>
      <c r="E669" s="7" t="s">
        <v>12</v>
      </c>
      <c r="F669" s="7"/>
      <c r="G669" s="2" t="s">
        <v>43</v>
      </c>
      <c r="H669" s="2" t="s">
        <v>72</v>
      </c>
      <c r="I669" s="5">
        <v>90000</v>
      </c>
      <c r="J669" s="57"/>
      <c r="K669" s="3">
        <v>1272</v>
      </c>
      <c r="L669" s="2" t="s">
        <v>64</v>
      </c>
      <c r="M669" s="2" t="s">
        <v>12</v>
      </c>
      <c r="N669" s="2" t="s">
        <v>12</v>
      </c>
      <c r="O669" s="2" t="s">
        <v>12</v>
      </c>
      <c r="P669" s="21" t="s">
        <v>12</v>
      </c>
      <c r="Q669" s="3" t="s">
        <v>12</v>
      </c>
      <c r="R669" s="3" t="s">
        <v>12</v>
      </c>
    </row>
    <row r="670" spans="1:18" x14ac:dyDescent="0.25">
      <c r="A670" s="30">
        <v>45763</v>
      </c>
      <c r="B670" s="28">
        <v>660</v>
      </c>
      <c r="C670" s="28"/>
      <c r="D670" s="2" t="s">
        <v>440</v>
      </c>
      <c r="E670" s="7" t="s">
        <v>1018</v>
      </c>
      <c r="F670" s="7"/>
      <c r="G670" s="2" t="s">
        <v>111</v>
      </c>
      <c r="H670" s="2" t="s">
        <v>1019</v>
      </c>
      <c r="I670" s="5">
        <v>2865175.28</v>
      </c>
      <c r="J670" s="57"/>
      <c r="K670" s="3"/>
      <c r="L670" s="2" t="s">
        <v>226</v>
      </c>
      <c r="M670" s="2"/>
      <c r="N670" s="2"/>
      <c r="O670" s="2"/>
      <c r="P670" s="21"/>
      <c r="Q670" s="3" t="s">
        <v>12</v>
      </c>
      <c r="R670" s="3" t="s">
        <v>12</v>
      </c>
    </row>
    <row r="671" spans="1:18" x14ac:dyDescent="0.25">
      <c r="A671" s="30">
        <v>45763</v>
      </c>
      <c r="B671" s="28">
        <v>661</v>
      </c>
      <c r="C671" s="28"/>
      <c r="D671" s="2" t="s">
        <v>168</v>
      </c>
      <c r="E671" s="7" t="s">
        <v>951</v>
      </c>
      <c r="F671" s="7"/>
      <c r="G671" s="2" t="s">
        <v>43</v>
      </c>
      <c r="H671" s="2" t="s">
        <v>381</v>
      </c>
      <c r="I671" s="5">
        <v>245826.89</v>
      </c>
      <c r="J671" s="57"/>
      <c r="K671" s="3">
        <v>1935.6</v>
      </c>
      <c r="L671" s="2" t="s">
        <v>226</v>
      </c>
      <c r="M671" s="2" t="s">
        <v>12</v>
      </c>
      <c r="N671" s="2" t="s">
        <v>12</v>
      </c>
      <c r="O671" s="2" t="s">
        <v>12</v>
      </c>
      <c r="P671" s="21" t="s">
        <v>12</v>
      </c>
      <c r="Q671" s="3" t="s">
        <v>961</v>
      </c>
      <c r="R671" s="3" t="s">
        <v>80</v>
      </c>
    </row>
    <row r="672" spans="1:18" x14ac:dyDescent="0.25">
      <c r="A672" s="30">
        <v>45764</v>
      </c>
      <c r="B672" s="28">
        <v>662</v>
      </c>
      <c r="C672" s="28"/>
      <c r="D672" s="2" t="s">
        <v>952</v>
      </c>
      <c r="E672" s="7" t="s">
        <v>12</v>
      </c>
      <c r="F672" s="7"/>
      <c r="G672" s="2" t="s">
        <v>13</v>
      </c>
      <c r="H672" s="2" t="s">
        <v>953</v>
      </c>
      <c r="I672" s="5">
        <v>19642.2</v>
      </c>
      <c r="J672" s="57"/>
      <c r="K672" s="3">
        <v>192</v>
      </c>
      <c r="L672" s="2" t="s">
        <v>64</v>
      </c>
      <c r="M672" s="2" t="s">
        <v>12</v>
      </c>
      <c r="N672" s="2" t="s">
        <v>12</v>
      </c>
      <c r="O672" s="2" t="s">
        <v>12</v>
      </c>
      <c r="P672" s="21" t="s">
        <v>12</v>
      </c>
      <c r="Q672" s="3" t="s">
        <v>12</v>
      </c>
      <c r="R672" s="3" t="s">
        <v>12</v>
      </c>
    </row>
    <row r="673" spans="1:18" x14ac:dyDescent="0.25">
      <c r="A673" s="30">
        <v>45764</v>
      </c>
      <c r="B673" s="28">
        <v>663</v>
      </c>
      <c r="C673" s="28"/>
      <c r="D673" s="2" t="s">
        <v>692</v>
      </c>
      <c r="E673" s="7" t="s">
        <v>962</v>
      </c>
      <c r="F673" s="7"/>
      <c r="G673" s="2" t="s">
        <v>97</v>
      </c>
      <c r="H673" s="2" t="s">
        <v>963</v>
      </c>
      <c r="I673" s="5">
        <v>4175.7700000000004</v>
      </c>
      <c r="J673" s="57"/>
      <c r="K673" s="3">
        <v>48</v>
      </c>
      <c r="L673" s="2" t="s">
        <v>226</v>
      </c>
      <c r="M673" s="2" t="s">
        <v>1360</v>
      </c>
      <c r="N673" s="2" t="s">
        <v>12</v>
      </c>
      <c r="O673" s="2" t="s">
        <v>12</v>
      </c>
      <c r="P673" s="21" t="s">
        <v>12</v>
      </c>
      <c r="Q673" s="3" t="s">
        <v>12</v>
      </c>
      <c r="R673" s="3" t="s">
        <v>12</v>
      </c>
    </row>
    <row r="674" spans="1:18" x14ac:dyDescent="0.25">
      <c r="A674" s="30">
        <v>45764</v>
      </c>
      <c r="B674" s="28">
        <v>664</v>
      </c>
      <c r="C674" s="28"/>
      <c r="D674" s="2" t="s">
        <v>336</v>
      </c>
      <c r="E674" s="7" t="s">
        <v>964</v>
      </c>
      <c r="F674" s="7"/>
      <c r="G674" s="2" t="s">
        <v>20</v>
      </c>
      <c r="H674" s="2" t="s">
        <v>337</v>
      </c>
      <c r="I674" s="5">
        <v>55062.32</v>
      </c>
      <c r="J674" s="57"/>
      <c r="K674" s="3">
        <v>624</v>
      </c>
      <c r="L674" s="2" t="s">
        <v>64</v>
      </c>
      <c r="M674" s="2" t="s">
        <v>12</v>
      </c>
      <c r="N674" s="2" t="s">
        <v>12</v>
      </c>
      <c r="O674" s="2" t="s">
        <v>12</v>
      </c>
      <c r="P674" s="21" t="s">
        <v>12</v>
      </c>
      <c r="Q674" s="3" t="s">
        <v>12</v>
      </c>
      <c r="R674" s="3" t="s">
        <v>12</v>
      </c>
    </row>
    <row r="675" spans="1:18" x14ac:dyDescent="0.25">
      <c r="A675" s="30">
        <v>45764</v>
      </c>
      <c r="B675" s="28">
        <v>665</v>
      </c>
      <c r="C675" s="28"/>
      <c r="D675" s="2" t="s">
        <v>109</v>
      </c>
      <c r="E675" s="7" t="s">
        <v>965</v>
      </c>
      <c r="F675" s="7"/>
      <c r="G675" s="2" t="s">
        <v>111</v>
      </c>
      <c r="H675" s="2" t="s">
        <v>61</v>
      </c>
      <c r="I675" s="5">
        <v>1642598.11</v>
      </c>
      <c r="J675" s="57"/>
      <c r="K675" s="3">
        <v>19224</v>
      </c>
      <c r="L675" s="2" t="s">
        <v>226</v>
      </c>
      <c r="M675" s="2" t="s">
        <v>12</v>
      </c>
      <c r="N675" s="2" t="s">
        <v>12</v>
      </c>
      <c r="O675" s="2" t="s">
        <v>12</v>
      </c>
      <c r="P675" s="21" t="s">
        <v>12</v>
      </c>
      <c r="Q675" s="3" t="s">
        <v>12</v>
      </c>
      <c r="R675" s="3" t="s">
        <v>12</v>
      </c>
    </row>
    <row r="676" spans="1:18" x14ac:dyDescent="0.25">
      <c r="A676" s="30">
        <v>45764</v>
      </c>
      <c r="B676" s="28">
        <v>666</v>
      </c>
      <c r="C676" s="28"/>
      <c r="D676" s="2" t="s">
        <v>160</v>
      </c>
      <c r="E676" s="7" t="s">
        <v>966</v>
      </c>
      <c r="F676" s="7"/>
      <c r="G676" s="2" t="s">
        <v>13</v>
      </c>
      <c r="H676" s="2" t="s">
        <v>162</v>
      </c>
      <c r="I676" s="5">
        <v>4961.7700000000004</v>
      </c>
      <c r="J676" s="57"/>
      <c r="K676" s="3">
        <v>48</v>
      </c>
      <c r="L676" s="2" t="s">
        <v>226</v>
      </c>
      <c r="M676" s="2" t="s">
        <v>12</v>
      </c>
      <c r="N676" s="2" t="s">
        <v>12</v>
      </c>
      <c r="O676" s="2" t="s">
        <v>12</v>
      </c>
      <c r="P676" s="21" t="s">
        <v>12</v>
      </c>
      <c r="Q676" s="3" t="s">
        <v>1005</v>
      </c>
      <c r="R676" s="3" t="s">
        <v>75</v>
      </c>
    </row>
    <row r="677" spans="1:18" x14ac:dyDescent="0.25">
      <c r="A677" s="30">
        <v>45764</v>
      </c>
      <c r="B677" s="28">
        <v>667</v>
      </c>
      <c r="C677" s="28"/>
      <c r="D677" s="2" t="s">
        <v>311</v>
      </c>
      <c r="E677" s="7" t="s">
        <v>757</v>
      </c>
      <c r="F677" s="7"/>
      <c r="G677" s="2" t="s">
        <v>97</v>
      </c>
      <c r="H677" s="2" t="s">
        <v>611</v>
      </c>
      <c r="I677" s="5">
        <v>25134.81</v>
      </c>
      <c r="J677" s="57"/>
      <c r="K677" s="3">
        <v>240</v>
      </c>
      <c r="L677" s="2" t="s">
        <v>226</v>
      </c>
      <c r="M677" s="2" t="s">
        <v>12</v>
      </c>
      <c r="N677" s="2" t="s">
        <v>12</v>
      </c>
      <c r="O677" s="2" t="s">
        <v>12</v>
      </c>
      <c r="P677" s="21" t="s">
        <v>12</v>
      </c>
      <c r="Q677" s="3" t="s">
        <v>1006</v>
      </c>
      <c r="R677" s="3" t="s">
        <v>80</v>
      </c>
    </row>
    <row r="678" spans="1:18" x14ac:dyDescent="0.25">
      <c r="A678" s="30">
        <v>45764</v>
      </c>
      <c r="B678" s="28">
        <v>668</v>
      </c>
      <c r="C678" s="28"/>
      <c r="D678" s="2" t="s">
        <v>87</v>
      </c>
      <c r="E678" s="7" t="s">
        <v>12</v>
      </c>
      <c r="F678" s="7"/>
      <c r="G678" s="2" t="s">
        <v>13</v>
      </c>
      <c r="H678" s="2" t="s">
        <v>967</v>
      </c>
      <c r="I678" s="5">
        <v>500000</v>
      </c>
      <c r="J678" s="57"/>
      <c r="K678" s="3">
        <v>5760</v>
      </c>
      <c r="L678" s="2" t="s">
        <v>64</v>
      </c>
      <c r="M678" s="2" t="s">
        <v>12</v>
      </c>
      <c r="N678" s="2" t="s">
        <v>12</v>
      </c>
      <c r="O678" s="2" t="s">
        <v>12</v>
      </c>
      <c r="P678" s="21" t="s">
        <v>12</v>
      </c>
      <c r="Q678" s="3" t="s">
        <v>12</v>
      </c>
      <c r="R678" s="3" t="s">
        <v>12</v>
      </c>
    </row>
    <row r="679" spans="1:18" x14ac:dyDescent="0.25">
      <c r="A679" s="30">
        <v>45764</v>
      </c>
      <c r="B679" s="28">
        <v>669</v>
      </c>
      <c r="C679" s="28"/>
      <c r="D679" s="2" t="s">
        <v>87</v>
      </c>
      <c r="E679" s="7" t="s">
        <v>968</v>
      </c>
      <c r="F679" s="7"/>
      <c r="G679" s="2" t="s">
        <v>13</v>
      </c>
      <c r="H679" s="2" t="s">
        <v>185</v>
      </c>
      <c r="I679" s="5">
        <v>51821.66</v>
      </c>
      <c r="J679" s="57"/>
      <c r="K679" s="3">
        <v>480</v>
      </c>
      <c r="L679" s="2" t="s">
        <v>226</v>
      </c>
      <c r="M679" s="2" t="s">
        <v>12</v>
      </c>
      <c r="N679" s="2" t="s">
        <v>12</v>
      </c>
      <c r="O679" s="2" t="s">
        <v>12</v>
      </c>
      <c r="P679" s="21" t="s">
        <v>12</v>
      </c>
      <c r="Q679" s="3" t="s">
        <v>1007</v>
      </c>
      <c r="R679" s="3" t="s">
        <v>75</v>
      </c>
    </row>
    <row r="680" spans="1:18" x14ac:dyDescent="0.25">
      <c r="A680" s="30">
        <v>45769</v>
      </c>
      <c r="B680" s="28">
        <v>670</v>
      </c>
      <c r="C680" s="28"/>
      <c r="D680" s="2" t="s">
        <v>87</v>
      </c>
      <c r="E680" s="7" t="s">
        <v>150</v>
      </c>
      <c r="F680" s="7"/>
      <c r="G680" s="2" t="s">
        <v>13</v>
      </c>
      <c r="H680" s="2" t="s">
        <v>185</v>
      </c>
      <c r="I680" s="5">
        <v>193017.54</v>
      </c>
      <c r="J680" s="57"/>
      <c r="K680" s="3">
        <v>968.4</v>
      </c>
      <c r="L680" s="2" t="s">
        <v>226</v>
      </c>
      <c r="M680" s="2" t="s">
        <v>12</v>
      </c>
      <c r="N680" s="2" t="s">
        <v>12</v>
      </c>
      <c r="O680" s="2" t="s">
        <v>12</v>
      </c>
      <c r="P680" s="21" t="s">
        <v>12</v>
      </c>
      <c r="Q680" s="3" t="s">
        <v>77</v>
      </c>
      <c r="R680" s="3" t="s">
        <v>80</v>
      </c>
    </row>
    <row r="681" spans="1:18" x14ac:dyDescent="0.25">
      <c r="A681" s="30">
        <v>45769</v>
      </c>
      <c r="B681" s="28">
        <v>671</v>
      </c>
      <c r="C681" s="28"/>
      <c r="D681" s="2" t="s">
        <v>545</v>
      </c>
      <c r="E681" s="7" t="s">
        <v>969</v>
      </c>
      <c r="F681" s="7"/>
      <c r="G681" s="2" t="s">
        <v>97</v>
      </c>
      <c r="H681" s="2" t="s">
        <v>108</v>
      </c>
      <c r="I681" s="5">
        <v>25132.09</v>
      </c>
      <c r="J681" s="57"/>
      <c r="K681" s="3">
        <v>176.4</v>
      </c>
      <c r="L681" s="2" t="s">
        <v>226</v>
      </c>
      <c r="M681" s="2" t="s">
        <v>12</v>
      </c>
      <c r="N681" s="2" t="s">
        <v>12</v>
      </c>
      <c r="O681" s="2" t="s">
        <v>12</v>
      </c>
      <c r="P681" s="21" t="s">
        <v>12</v>
      </c>
      <c r="Q681" s="3" t="s">
        <v>1008</v>
      </c>
      <c r="R681" s="3" t="s">
        <v>80</v>
      </c>
    </row>
    <row r="682" spans="1:18" x14ac:dyDescent="0.25">
      <c r="A682" s="30">
        <v>45769</v>
      </c>
      <c r="B682" s="28">
        <v>672</v>
      </c>
      <c r="C682" s="28"/>
      <c r="D682" s="2" t="s">
        <v>41</v>
      </c>
      <c r="E682" s="7" t="s">
        <v>970</v>
      </c>
      <c r="F682" s="7"/>
      <c r="G682" s="2" t="s">
        <v>43</v>
      </c>
      <c r="H682" s="2" t="s">
        <v>339</v>
      </c>
      <c r="I682" s="5">
        <v>42068.93</v>
      </c>
      <c r="J682" s="57"/>
      <c r="K682" s="3">
        <v>480</v>
      </c>
      <c r="L682" s="2" t="s">
        <v>226</v>
      </c>
      <c r="M682" s="2" t="s">
        <v>12</v>
      </c>
      <c r="N682" s="2" t="s">
        <v>12</v>
      </c>
      <c r="O682" s="2" t="s">
        <v>12</v>
      </c>
      <c r="P682" s="21" t="s">
        <v>12</v>
      </c>
      <c r="Q682" s="3" t="s">
        <v>12</v>
      </c>
      <c r="R682" s="3" t="s">
        <v>12</v>
      </c>
    </row>
    <row r="683" spans="1:18" x14ac:dyDescent="0.25">
      <c r="A683" s="30">
        <v>45769</v>
      </c>
      <c r="B683" s="28">
        <v>673</v>
      </c>
      <c r="C683" s="28"/>
      <c r="D683" s="2" t="s">
        <v>33</v>
      </c>
      <c r="E683" s="7" t="s">
        <v>37</v>
      </c>
      <c r="F683" s="7"/>
      <c r="G683" s="2" t="s">
        <v>13</v>
      </c>
      <c r="H683" s="2" t="s">
        <v>35</v>
      </c>
      <c r="I683" s="5">
        <v>11318.79</v>
      </c>
      <c r="J683" s="57"/>
      <c r="K683" s="3">
        <v>96</v>
      </c>
      <c r="L683" s="2" t="s">
        <v>226</v>
      </c>
      <c r="M683" s="2" t="s">
        <v>12</v>
      </c>
      <c r="N683" s="2" t="s">
        <v>12</v>
      </c>
      <c r="O683" s="2" t="s">
        <v>12</v>
      </c>
      <c r="P683" s="21" t="s">
        <v>12</v>
      </c>
      <c r="Q683" s="3" t="s">
        <v>74</v>
      </c>
      <c r="R683" s="3" t="s">
        <v>75</v>
      </c>
    </row>
    <row r="684" spans="1:18" x14ac:dyDescent="0.25">
      <c r="A684" s="30">
        <v>45769</v>
      </c>
      <c r="B684" s="28">
        <v>674</v>
      </c>
      <c r="C684" s="28"/>
      <c r="D684" s="2" t="s">
        <v>87</v>
      </c>
      <c r="E684" s="7" t="s">
        <v>971</v>
      </c>
      <c r="F684" s="7"/>
      <c r="G684" s="2" t="s">
        <v>13</v>
      </c>
      <c r="H684" s="2" t="s">
        <v>238</v>
      </c>
      <c r="I684" s="5">
        <v>16585.57</v>
      </c>
      <c r="J684" s="57"/>
      <c r="K684" s="3">
        <v>192</v>
      </c>
      <c r="L684" s="2" t="s">
        <v>226</v>
      </c>
      <c r="M684" s="2" t="s">
        <v>12</v>
      </c>
      <c r="N684" s="2" t="s">
        <v>12</v>
      </c>
      <c r="O684" s="2" t="s">
        <v>12</v>
      </c>
      <c r="P684" s="21" t="s">
        <v>12</v>
      </c>
      <c r="Q684" s="3" t="s">
        <v>12</v>
      </c>
      <c r="R684" s="3" t="s">
        <v>12</v>
      </c>
    </row>
    <row r="685" spans="1:18" x14ac:dyDescent="0.25">
      <c r="A685" s="30">
        <v>45769</v>
      </c>
      <c r="B685" s="28">
        <v>675</v>
      </c>
      <c r="C685" s="28"/>
      <c r="D685" s="2" t="s">
        <v>336</v>
      </c>
      <c r="E685" s="7" t="s">
        <v>972</v>
      </c>
      <c r="F685" s="7"/>
      <c r="G685" s="2" t="s">
        <v>20</v>
      </c>
      <c r="H685" s="2" t="s">
        <v>337</v>
      </c>
      <c r="I685" s="5">
        <v>20957.05</v>
      </c>
      <c r="J685" s="57"/>
      <c r="K685" s="3">
        <v>288</v>
      </c>
      <c r="L685" s="2" t="s">
        <v>64</v>
      </c>
      <c r="M685" s="2" t="s">
        <v>12</v>
      </c>
      <c r="N685" s="2" t="s">
        <v>12</v>
      </c>
      <c r="O685" s="2" t="s">
        <v>12</v>
      </c>
      <c r="P685" s="21" t="s">
        <v>12</v>
      </c>
      <c r="Q685" s="3" t="s">
        <v>12</v>
      </c>
      <c r="R685" s="3" t="s">
        <v>12</v>
      </c>
    </row>
    <row r="686" spans="1:18" x14ac:dyDescent="0.25">
      <c r="A686" s="30">
        <v>45770</v>
      </c>
      <c r="B686" s="28">
        <v>676</v>
      </c>
      <c r="C686" s="28"/>
      <c r="D686" s="2" t="s">
        <v>388</v>
      </c>
      <c r="E686" s="7" t="s">
        <v>973</v>
      </c>
      <c r="F686" s="7"/>
      <c r="G686" s="2" t="s">
        <v>26</v>
      </c>
      <c r="H686" s="2" t="s">
        <v>535</v>
      </c>
      <c r="I686" s="5">
        <v>7777.34</v>
      </c>
      <c r="J686" s="57"/>
      <c r="K686" s="3">
        <v>72</v>
      </c>
      <c r="L686" s="2" t="s">
        <v>64</v>
      </c>
      <c r="M686" s="2" t="s">
        <v>12</v>
      </c>
      <c r="N686" s="2" t="s">
        <v>12</v>
      </c>
      <c r="O686" s="2" t="s">
        <v>12</v>
      </c>
      <c r="P686" s="21" t="s">
        <v>12</v>
      </c>
      <c r="Q686" s="3" t="s">
        <v>12</v>
      </c>
      <c r="R686" s="3" t="s">
        <v>12</v>
      </c>
    </row>
    <row r="687" spans="1:18" x14ac:dyDescent="0.25">
      <c r="A687" s="30">
        <v>45769</v>
      </c>
      <c r="B687" s="28">
        <v>677</v>
      </c>
      <c r="C687" s="28"/>
      <c r="D687" s="2" t="s">
        <v>208</v>
      </c>
      <c r="E687" s="7" t="s">
        <v>974</v>
      </c>
      <c r="F687" s="7"/>
      <c r="G687" s="2" t="s">
        <v>43</v>
      </c>
      <c r="H687" s="2" t="s">
        <v>448</v>
      </c>
      <c r="I687" s="5">
        <v>44973.33</v>
      </c>
      <c r="J687" s="57"/>
      <c r="K687" s="3">
        <v>408</v>
      </c>
      <c r="L687" s="2" t="s">
        <v>226</v>
      </c>
      <c r="M687" s="2" t="s">
        <v>12</v>
      </c>
      <c r="N687" s="2" t="s">
        <v>12</v>
      </c>
      <c r="O687" s="2" t="s">
        <v>12</v>
      </c>
      <c r="P687" s="21" t="s">
        <v>12</v>
      </c>
      <c r="Q687" s="3" t="s">
        <v>12</v>
      </c>
      <c r="R687" s="3" t="s">
        <v>12</v>
      </c>
    </row>
    <row r="688" spans="1:18" x14ac:dyDescent="0.25">
      <c r="A688" s="30">
        <v>45769</v>
      </c>
      <c r="B688" s="28">
        <v>678</v>
      </c>
      <c r="C688" s="28"/>
      <c r="D688" s="2" t="s">
        <v>465</v>
      </c>
      <c r="E688" s="7" t="s">
        <v>816</v>
      </c>
      <c r="F688" s="7"/>
      <c r="G688" s="2" t="s">
        <v>26</v>
      </c>
      <c r="H688" s="2" t="s">
        <v>55</v>
      </c>
      <c r="I688" s="5">
        <v>19158.14</v>
      </c>
      <c r="J688" s="57"/>
      <c r="K688" s="3">
        <v>264</v>
      </c>
      <c r="L688" s="2" t="s">
        <v>64</v>
      </c>
      <c r="M688" s="2" t="s">
        <v>530</v>
      </c>
      <c r="N688" s="2" t="s">
        <v>12</v>
      </c>
      <c r="O688" s="2" t="s">
        <v>12</v>
      </c>
      <c r="P688" s="21" t="s">
        <v>12</v>
      </c>
      <c r="Q688" s="3" t="s">
        <v>12</v>
      </c>
      <c r="R688" s="3" t="s">
        <v>12</v>
      </c>
    </row>
    <row r="689" spans="1:18" x14ac:dyDescent="0.25">
      <c r="A689" s="30">
        <v>45770</v>
      </c>
      <c r="B689" s="28">
        <v>679</v>
      </c>
      <c r="C689" s="28"/>
      <c r="D689" s="2" t="s">
        <v>106</v>
      </c>
      <c r="E689" s="7" t="s">
        <v>12</v>
      </c>
      <c r="F689" s="7"/>
      <c r="G689" s="2" t="s">
        <v>13</v>
      </c>
      <c r="H689" s="2" t="s">
        <v>40</v>
      </c>
      <c r="I689" s="5">
        <v>14261.6</v>
      </c>
      <c r="J689" s="57"/>
      <c r="K689" s="3">
        <v>168</v>
      </c>
      <c r="L689" s="2" t="s">
        <v>226</v>
      </c>
      <c r="M689" s="2" t="s">
        <v>1020</v>
      </c>
      <c r="N689" s="2" t="s">
        <v>12</v>
      </c>
      <c r="O689" s="2" t="s">
        <v>12</v>
      </c>
      <c r="P689" s="21" t="s">
        <v>12</v>
      </c>
      <c r="Q689" s="3" t="s">
        <v>12</v>
      </c>
      <c r="R689" s="3" t="s">
        <v>12</v>
      </c>
    </row>
    <row r="690" spans="1:18" x14ac:dyDescent="0.25">
      <c r="A690" s="30">
        <v>45770</v>
      </c>
      <c r="B690" s="28">
        <v>680</v>
      </c>
      <c r="C690" s="28"/>
      <c r="D690" s="2" t="s">
        <v>23</v>
      </c>
      <c r="E690" s="7" t="s">
        <v>892</v>
      </c>
      <c r="F690" s="7"/>
      <c r="G690" s="2" t="s">
        <v>20</v>
      </c>
      <c r="H690" s="2" t="s">
        <v>24</v>
      </c>
      <c r="I690" s="5">
        <v>123299.56</v>
      </c>
      <c r="J690" s="57"/>
      <c r="K690" s="3">
        <v>1512</v>
      </c>
      <c r="L690" s="2" t="s">
        <v>134</v>
      </c>
      <c r="M690" s="2" t="s">
        <v>1029</v>
      </c>
      <c r="N690" s="2" t="s">
        <v>135</v>
      </c>
      <c r="O690" s="2" t="s">
        <v>1030</v>
      </c>
      <c r="P690" s="21" t="s">
        <v>12</v>
      </c>
      <c r="Q690" s="3" t="s">
        <v>12</v>
      </c>
      <c r="R690" s="3" t="s">
        <v>12</v>
      </c>
    </row>
    <row r="691" spans="1:18" x14ac:dyDescent="0.25">
      <c r="A691" s="30">
        <v>45770</v>
      </c>
      <c r="B691" s="28">
        <v>681</v>
      </c>
      <c r="C691" s="28"/>
      <c r="D691" s="2" t="s">
        <v>975</v>
      </c>
      <c r="E691" s="7" t="s">
        <v>12</v>
      </c>
      <c r="F691" s="7"/>
      <c r="G691" s="2" t="s">
        <v>13</v>
      </c>
      <c r="H691" s="2" t="s">
        <v>976</v>
      </c>
      <c r="I691" s="5">
        <v>2040.43</v>
      </c>
      <c r="J691" s="57"/>
      <c r="K691" s="3">
        <v>24</v>
      </c>
      <c r="L691" s="2" t="s">
        <v>64</v>
      </c>
      <c r="M691" s="2" t="s">
        <v>12</v>
      </c>
      <c r="N691" s="2" t="s">
        <v>12</v>
      </c>
      <c r="O691" s="2" t="s">
        <v>12</v>
      </c>
      <c r="P691" s="21" t="s">
        <v>12</v>
      </c>
      <c r="Q691" s="3" t="s">
        <v>12</v>
      </c>
      <c r="R691" s="3" t="s">
        <v>12</v>
      </c>
    </row>
    <row r="692" spans="1:18" x14ac:dyDescent="0.25">
      <c r="A692" s="30">
        <v>45770</v>
      </c>
      <c r="B692" s="28">
        <v>682</v>
      </c>
      <c r="C692" s="28"/>
      <c r="D692" s="2" t="s">
        <v>977</v>
      </c>
      <c r="E692" s="7" t="s">
        <v>12</v>
      </c>
      <c r="F692" s="7"/>
      <c r="G692" s="2" t="s">
        <v>13</v>
      </c>
      <c r="H692" s="2" t="s">
        <v>978</v>
      </c>
      <c r="I692" s="5">
        <v>2663.85</v>
      </c>
      <c r="J692" s="57"/>
      <c r="K692" s="3">
        <v>36</v>
      </c>
      <c r="L692" s="2" t="s">
        <v>64</v>
      </c>
      <c r="M692" s="2" t="s">
        <v>12</v>
      </c>
      <c r="N692" s="2" t="s">
        <v>12</v>
      </c>
      <c r="O692" s="2" t="s">
        <v>12</v>
      </c>
      <c r="P692" s="21" t="s">
        <v>12</v>
      </c>
      <c r="Q692" s="3" t="s">
        <v>12</v>
      </c>
      <c r="R692" s="3" t="s">
        <v>12</v>
      </c>
    </row>
    <row r="693" spans="1:18" x14ac:dyDescent="0.25">
      <c r="A693" s="30">
        <v>45770</v>
      </c>
      <c r="B693" s="28">
        <v>683</v>
      </c>
      <c r="C693" s="28"/>
      <c r="D693" s="2" t="s">
        <v>56</v>
      </c>
      <c r="E693" s="7" t="s">
        <v>979</v>
      </c>
      <c r="F693" s="7"/>
      <c r="G693" s="2" t="s">
        <v>13</v>
      </c>
      <c r="H693" s="2" t="s">
        <v>58</v>
      </c>
      <c r="I693" s="5">
        <v>25162.86</v>
      </c>
      <c r="J693" s="57"/>
      <c r="K693" s="3">
        <v>240</v>
      </c>
      <c r="L693" s="2" t="s">
        <v>226</v>
      </c>
      <c r="M693" s="2" t="s">
        <v>12</v>
      </c>
      <c r="N693" s="2" t="s">
        <v>12</v>
      </c>
      <c r="O693" s="2" t="s">
        <v>12</v>
      </c>
      <c r="P693" s="21" t="s">
        <v>12</v>
      </c>
      <c r="Q693" s="3" t="s">
        <v>956</v>
      </c>
      <c r="R693" s="3" t="s">
        <v>80</v>
      </c>
    </row>
    <row r="694" spans="1:18" x14ac:dyDescent="0.25">
      <c r="A694" s="30">
        <v>45770</v>
      </c>
      <c r="B694" s="28">
        <v>684</v>
      </c>
      <c r="C694" s="28"/>
      <c r="D694" s="2" t="s">
        <v>311</v>
      </c>
      <c r="E694" s="7" t="s">
        <v>979</v>
      </c>
      <c r="F694" s="7"/>
      <c r="G694" s="2" t="s">
        <v>97</v>
      </c>
      <c r="H694" s="2" t="s">
        <v>611</v>
      </c>
      <c r="I694" s="5">
        <v>25162.86</v>
      </c>
      <c r="J694" s="57"/>
      <c r="K694" s="3">
        <v>240</v>
      </c>
      <c r="L694" s="2" t="s">
        <v>226</v>
      </c>
      <c r="M694" s="2" t="s">
        <v>12</v>
      </c>
      <c r="N694" s="2" t="s">
        <v>12</v>
      </c>
      <c r="O694" s="2" t="s">
        <v>12</v>
      </c>
      <c r="P694" s="21" t="s">
        <v>12</v>
      </c>
      <c r="Q694" s="3" t="s">
        <v>956</v>
      </c>
      <c r="R694" s="3" t="s">
        <v>80</v>
      </c>
    </row>
    <row r="695" spans="1:18" x14ac:dyDescent="0.25">
      <c r="A695" s="30">
        <v>45770</v>
      </c>
      <c r="B695" s="28">
        <v>685</v>
      </c>
      <c r="C695" s="28"/>
      <c r="D695" s="2" t="s">
        <v>541</v>
      </c>
      <c r="E695" s="7" t="s">
        <v>979</v>
      </c>
      <c r="F695" s="7"/>
      <c r="G695" s="2" t="s">
        <v>97</v>
      </c>
      <c r="H695" s="2" t="s">
        <v>543</v>
      </c>
      <c r="I695" s="5">
        <v>19402.79</v>
      </c>
      <c r="J695" s="57"/>
      <c r="K695" s="3">
        <v>240</v>
      </c>
      <c r="L695" s="2" t="s">
        <v>64</v>
      </c>
      <c r="M695" s="2" t="s">
        <v>12</v>
      </c>
      <c r="N695" s="2" t="s">
        <v>12</v>
      </c>
      <c r="O695" s="2" t="s">
        <v>12</v>
      </c>
      <c r="P695" s="21" t="s">
        <v>12</v>
      </c>
      <c r="Q695" s="3" t="s">
        <v>956</v>
      </c>
      <c r="R695" s="3" t="s">
        <v>80</v>
      </c>
    </row>
    <row r="696" spans="1:18" x14ac:dyDescent="0.25">
      <c r="A696" s="30">
        <v>45771</v>
      </c>
      <c r="B696" s="28">
        <v>686</v>
      </c>
      <c r="C696" s="28"/>
      <c r="D696" s="2" t="s">
        <v>440</v>
      </c>
      <c r="E696" s="7" t="s">
        <v>12</v>
      </c>
      <c r="F696" s="7"/>
      <c r="G696" s="2" t="s">
        <v>111</v>
      </c>
      <c r="H696" s="2" t="s">
        <v>119</v>
      </c>
      <c r="I696" s="5">
        <v>1860.16</v>
      </c>
      <c r="J696" s="57"/>
      <c r="K696" s="3"/>
      <c r="L696" s="2" t="s">
        <v>64</v>
      </c>
      <c r="M696" s="2"/>
      <c r="N696" s="2"/>
      <c r="O696" s="2"/>
      <c r="P696" s="21"/>
      <c r="Q696" s="3" t="s">
        <v>12</v>
      </c>
      <c r="R696" s="3" t="s">
        <v>12</v>
      </c>
    </row>
    <row r="697" spans="1:18" x14ac:dyDescent="0.25">
      <c r="A697" s="30">
        <v>45771</v>
      </c>
      <c r="B697" s="28">
        <v>687</v>
      </c>
      <c r="C697" s="28"/>
      <c r="D697" s="2" t="s">
        <v>355</v>
      </c>
      <c r="E697" s="7" t="s">
        <v>1024</v>
      </c>
      <c r="F697" s="7"/>
      <c r="G697" s="2" t="s">
        <v>111</v>
      </c>
      <c r="H697" s="2" t="s">
        <v>1025</v>
      </c>
      <c r="I697" s="5">
        <v>369726.31</v>
      </c>
      <c r="J697" s="57"/>
      <c r="K697" s="3"/>
      <c r="L697" s="2" t="s">
        <v>226</v>
      </c>
      <c r="M697" s="2" t="s">
        <v>1215</v>
      </c>
      <c r="N697" s="2"/>
      <c r="O697" s="2"/>
      <c r="P697" s="21"/>
      <c r="Q697" s="3" t="s">
        <v>12</v>
      </c>
      <c r="R697" s="3" t="s">
        <v>12</v>
      </c>
    </row>
    <row r="698" spans="1:18" x14ac:dyDescent="0.25">
      <c r="A698" s="30">
        <v>45772</v>
      </c>
      <c r="B698" s="28">
        <v>688</v>
      </c>
      <c r="C698" s="28"/>
      <c r="D698" s="2" t="s">
        <v>212</v>
      </c>
      <c r="E698" s="7" t="s">
        <v>981</v>
      </c>
      <c r="F698" s="7"/>
      <c r="G698" s="2" t="s">
        <v>20</v>
      </c>
      <c r="H698" s="2" t="s">
        <v>948</v>
      </c>
      <c r="I698" s="5">
        <v>22543.03</v>
      </c>
      <c r="J698" s="57"/>
      <c r="K698" s="3">
        <v>230.4</v>
      </c>
      <c r="L698" s="2" t="s">
        <v>226</v>
      </c>
      <c r="M698" s="2" t="s">
        <v>12</v>
      </c>
      <c r="N698" s="2" t="s">
        <v>12</v>
      </c>
      <c r="O698" s="2" t="s">
        <v>12</v>
      </c>
      <c r="P698" s="21" t="s">
        <v>12</v>
      </c>
      <c r="Q698" s="3" t="s">
        <v>12</v>
      </c>
      <c r="R698" s="3" t="s">
        <v>12</v>
      </c>
    </row>
    <row r="699" spans="1:18" x14ac:dyDescent="0.25">
      <c r="A699" s="30">
        <v>45771</v>
      </c>
      <c r="B699" s="28">
        <v>689</v>
      </c>
      <c r="C699" s="28"/>
      <c r="D699" s="2" t="s">
        <v>982</v>
      </c>
      <c r="E699" s="7" t="s">
        <v>12</v>
      </c>
      <c r="F699" s="7"/>
      <c r="G699" s="2" t="s">
        <v>13</v>
      </c>
      <c r="H699" s="2" t="s">
        <v>471</v>
      </c>
      <c r="I699" s="5">
        <v>307.2</v>
      </c>
      <c r="J699" s="57"/>
      <c r="K699" s="3" t="s">
        <v>12</v>
      </c>
      <c r="L699" s="2" t="s">
        <v>64</v>
      </c>
      <c r="M699" s="2" t="s">
        <v>12</v>
      </c>
      <c r="N699" s="2" t="s">
        <v>12</v>
      </c>
      <c r="O699" s="2" t="s">
        <v>12</v>
      </c>
      <c r="P699" s="21" t="s">
        <v>12</v>
      </c>
      <c r="Q699" s="3" t="s">
        <v>12</v>
      </c>
      <c r="R699" s="3" t="s">
        <v>12</v>
      </c>
    </row>
    <row r="700" spans="1:18" x14ac:dyDescent="0.25">
      <c r="A700" s="30">
        <v>45771</v>
      </c>
      <c r="B700" s="28">
        <v>690</v>
      </c>
      <c r="C700" s="28"/>
      <c r="D700" s="2" t="s">
        <v>41</v>
      </c>
      <c r="E700" s="7" t="s">
        <v>983</v>
      </c>
      <c r="F700" s="7"/>
      <c r="G700" s="2" t="s">
        <v>43</v>
      </c>
      <c r="H700" s="2" t="s">
        <v>417</v>
      </c>
      <c r="I700" s="5">
        <v>190431.46</v>
      </c>
      <c r="J700" s="57"/>
      <c r="K700" s="3">
        <v>1704</v>
      </c>
      <c r="L700" s="2" t="s">
        <v>226</v>
      </c>
      <c r="M700" s="2" t="s">
        <v>12</v>
      </c>
      <c r="N700" s="2" t="s">
        <v>12</v>
      </c>
      <c r="O700" s="2" t="s">
        <v>12</v>
      </c>
      <c r="P700" s="21" t="s">
        <v>12</v>
      </c>
      <c r="Q700" s="3" t="s">
        <v>12</v>
      </c>
      <c r="R700" s="3" t="s">
        <v>12</v>
      </c>
    </row>
    <row r="701" spans="1:18" x14ac:dyDescent="0.25">
      <c r="A701" s="30">
        <v>45771</v>
      </c>
      <c r="B701" s="28">
        <v>691</v>
      </c>
      <c r="C701" s="28"/>
      <c r="D701" s="2" t="s">
        <v>984</v>
      </c>
      <c r="E701" s="7" t="s">
        <v>985</v>
      </c>
      <c r="F701" s="7"/>
      <c r="G701" s="2" t="s">
        <v>20</v>
      </c>
      <c r="H701" s="2" t="s">
        <v>507</v>
      </c>
      <c r="I701" s="5">
        <v>17245.330000000002</v>
      </c>
      <c r="J701" s="57"/>
      <c r="K701" s="3">
        <v>192</v>
      </c>
      <c r="L701" s="2" t="s">
        <v>226</v>
      </c>
      <c r="M701" s="2" t="s">
        <v>1028</v>
      </c>
      <c r="N701" s="2" t="s">
        <v>12</v>
      </c>
      <c r="O701" s="2" t="s">
        <v>12</v>
      </c>
      <c r="P701" s="21" t="s">
        <v>12</v>
      </c>
      <c r="Q701" s="3" t="s">
        <v>984</v>
      </c>
      <c r="R701" s="3" t="s">
        <v>75</v>
      </c>
    </row>
    <row r="702" spans="1:18" x14ac:dyDescent="0.25">
      <c r="A702" s="30">
        <v>45771</v>
      </c>
      <c r="B702" s="28">
        <v>692</v>
      </c>
      <c r="C702" s="28"/>
      <c r="D702" s="2" t="s">
        <v>256</v>
      </c>
      <c r="E702" s="7" t="s">
        <v>12</v>
      </c>
      <c r="F702" s="7"/>
      <c r="G702" s="2" t="s">
        <v>20</v>
      </c>
      <c r="H702" s="2" t="s">
        <v>101</v>
      </c>
      <c r="I702" s="5">
        <v>2843.71</v>
      </c>
      <c r="J702" s="57"/>
      <c r="K702" s="3">
        <v>24</v>
      </c>
      <c r="L702" s="2" t="s">
        <v>64</v>
      </c>
      <c r="M702" s="2" t="s">
        <v>12</v>
      </c>
      <c r="N702" s="2" t="s">
        <v>12</v>
      </c>
      <c r="O702" s="2" t="s">
        <v>12</v>
      </c>
      <c r="P702" s="21" t="s">
        <v>12</v>
      </c>
      <c r="Q702" s="3" t="s">
        <v>12</v>
      </c>
      <c r="R702" s="3" t="s">
        <v>12</v>
      </c>
    </row>
    <row r="703" spans="1:18" x14ac:dyDescent="0.25">
      <c r="A703" s="30">
        <v>45774</v>
      </c>
      <c r="B703" s="28">
        <v>693</v>
      </c>
      <c r="C703" s="28"/>
      <c r="D703" s="2" t="s">
        <v>640</v>
      </c>
      <c r="E703" s="7" t="s">
        <v>12</v>
      </c>
      <c r="F703" s="7"/>
      <c r="G703" s="2" t="s">
        <v>26</v>
      </c>
      <c r="H703" s="2" t="s">
        <v>642</v>
      </c>
      <c r="I703" s="5">
        <v>960.47</v>
      </c>
      <c r="J703" s="57"/>
      <c r="K703" s="3" t="s">
        <v>12</v>
      </c>
      <c r="L703" s="2" t="s">
        <v>226</v>
      </c>
      <c r="M703" s="2" t="s">
        <v>12</v>
      </c>
      <c r="N703" s="2" t="s">
        <v>12</v>
      </c>
      <c r="O703" s="2" t="s">
        <v>12</v>
      </c>
      <c r="P703" s="21" t="s">
        <v>12</v>
      </c>
      <c r="Q703" s="3" t="s">
        <v>12</v>
      </c>
      <c r="R703" s="3" t="s">
        <v>12</v>
      </c>
    </row>
    <row r="704" spans="1:18" x14ac:dyDescent="0.25">
      <c r="A704" s="30">
        <v>45771</v>
      </c>
      <c r="B704" s="28">
        <v>694</v>
      </c>
      <c r="C704" s="28"/>
      <c r="D704" s="2" t="s">
        <v>753</v>
      </c>
      <c r="E704" s="7" t="s">
        <v>986</v>
      </c>
      <c r="F704" s="7"/>
      <c r="G704" s="2" t="s">
        <v>26</v>
      </c>
      <c r="H704" s="2" t="s">
        <v>987</v>
      </c>
      <c r="I704" s="5">
        <v>24730.84</v>
      </c>
      <c r="J704" s="57"/>
      <c r="K704" s="3">
        <v>216</v>
      </c>
      <c r="L704" s="2" t="s">
        <v>226</v>
      </c>
      <c r="M704" s="2" t="s">
        <v>12</v>
      </c>
      <c r="N704" s="2" t="s">
        <v>12</v>
      </c>
      <c r="O704" s="2" t="s">
        <v>12</v>
      </c>
      <c r="P704" s="21" t="s">
        <v>12</v>
      </c>
      <c r="Q704" s="3" t="s">
        <v>12</v>
      </c>
      <c r="R704" s="3" t="s">
        <v>12</v>
      </c>
    </row>
    <row r="705" spans="1:18" x14ac:dyDescent="0.25">
      <c r="A705" s="30">
        <v>45772</v>
      </c>
      <c r="B705" s="28">
        <v>695</v>
      </c>
      <c r="C705" s="28"/>
      <c r="D705" s="2" t="s">
        <v>176</v>
      </c>
      <c r="E705" s="7" t="s">
        <v>988</v>
      </c>
      <c r="F705" s="7"/>
      <c r="G705" s="2" t="s">
        <v>13</v>
      </c>
      <c r="H705" s="2" t="s">
        <v>177</v>
      </c>
      <c r="I705" s="5">
        <v>38266.519999999997</v>
      </c>
      <c r="J705" s="57"/>
      <c r="K705" s="3">
        <v>720</v>
      </c>
      <c r="L705" s="2" t="s">
        <v>64</v>
      </c>
      <c r="M705" s="2" t="s">
        <v>12</v>
      </c>
      <c r="N705" s="2" t="s">
        <v>12</v>
      </c>
      <c r="O705" s="2" t="s">
        <v>12</v>
      </c>
      <c r="P705" s="21" t="s">
        <v>12</v>
      </c>
      <c r="Q705" s="3" t="s">
        <v>12</v>
      </c>
      <c r="R705" s="3" t="s">
        <v>12</v>
      </c>
    </row>
    <row r="706" spans="1:18" x14ac:dyDescent="0.25">
      <c r="A706" s="30">
        <v>45775</v>
      </c>
      <c r="B706" s="28">
        <v>696</v>
      </c>
      <c r="C706" s="28"/>
      <c r="D706" s="2" t="s">
        <v>989</v>
      </c>
      <c r="E706" s="7" t="s">
        <v>990</v>
      </c>
      <c r="F706" s="7"/>
      <c r="G706" s="2" t="s">
        <v>20</v>
      </c>
      <c r="H706" s="2" t="s">
        <v>809</v>
      </c>
      <c r="I706" s="5">
        <v>5091.9399999999996</v>
      </c>
      <c r="J706" s="57"/>
      <c r="K706" s="3">
        <v>48</v>
      </c>
      <c r="L706" s="2" t="s">
        <v>226</v>
      </c>
      <c r="M706" s="2" t="s">
        <v>1028</v>
      </c>
      <c r="N706" s="2" t="s">
        <v>12</v>
      </c>
      <c r="O706" s="2" t="s">
        <v>12</v>
      </c>
      <c r="P706" s="21" t="s">
        <v>12</v>
      </c>
      <c r="Q706" s="3" t="s">
        <v>12</v>
      </c>
      <c r="R706" s="3" t="s">
        <v>12</v>
      </c>
    </row>
    <row r="707" spans="1:18" x14ac:dyDescent="0.25">
      <c r="A707" s="30">
        <v>45772</v>
      </c>
      <c r="B707" s="28">
        <v>697</v>
      </c>
      <c r="C707" s="28"/>
      <c r="D707" s="2" t="s">
        <v>465</v>
      </c>
      <c r="E707" s="7" t="s">
        <v>816</v>
      </c>
      <c r="F707" s="7"/>
      <c r="G707" s="2" t="s">
        <v>26</v>
      </c>
      <c r="H707" s="2" t="s">
        <v>55</v>
      </c>
      <c r="I707" s="5">
        <v>2537.5700000000002</v>
      </c>
      <c r="J707" s="57"/>
      <c r="K707" s="3" t="s">
        <v>12</v>
      </c>
      <c r="L707" s="2" t="s">
        <v>64</v>
      </c>
      <c r="M707" s="2" t="s">
        <v>12</v>
      </c>
      <c r="N707" s="2" t="s">
        <v>12</v>
      </c>
      <c r="O707" s="2" t="s">
        <v>12</v>
      </c>
      <c r="P707" s="21" t="s">
        <v>12</v>
      </c>
      <c r="Q707" s="3" t="s">
        <v>12</v>
      </c>
      <c r="R707" s="3" t="s">
        <v>12</v>
      </c>
    </row>
    <row r="708" spans="1:18" x14ac:dyDescent="0.25">
      <c r="A708" s="30">
        <v>45772</v>
      </c>
      <c r="B708" s="28">
        <v>698</v>
      </c>
      <c r="C708" s="28"/>
      <c r="D708" s="2" t="s">
        <v>991</v>
      </c>
      <c r="E708" s="7" t="s">
        <v>12</v>
      </c>
      <c r="F708" s="7"/>
      <c r="G708" s="2" t="s">
        <v>43</v>
      </c>
      <c r="H708" s="2" t="s">
        <v>992</v>
      </c>
      <c r="I708" s="5">
        <v>8303.4699999999993</v>
      </c>
      <c r="J708" s="57"/>
      <c r="K708" s="3">
        <v>96</v>
      </c>
      <c r="L708" s="2" t="s">
        <v>226</v>
      </c>
      <c r="M708" s="2" t="s">
        <v>12</v>
      </c>
      <c r="N708" s="2" t="s">
        <v>12</v>
      </c>
      <c r="O708" s="2" t="s">
        <v>12</v>
      </c>
      <c r="P708" s="21" t="s">
        <v>12</v>
      </c>
      <c r="Q708" s="3" t="s">
        <v>12</v>
      </c>
      <c r="R708" s="3" t="s">
        <v>12</v>
      </c>
    </row>
    <row r="709" spans="1:18" x14ac:dyDescent="0.25">
      <c r="A709" s="30">
        <v>45772</v>
      </c>
      <c r="B709" s="28">
        <v>699</v>
      </c>
      <c r="C709" s="28"/>
      <c r="D709" s="2" t="s">
        <v>993</v>
      </c>
      <c r="E709" s="7" t="s">
        <v>12</v>
      </c>
      <c r="F709" s="7"/>
      <c r="G709" s="2" t="s">
        <v>13</v>
      </c>
      <c r="H709" s="2" t="s">
        <v>225</v>
      </c>
      <c r="I709" s="5">
        <v>58156.49</v>
      </c>
      <c r="J709" s="57"/>
      <c r="K709" s="3">
        <v>480</v>
      </c>
      <c r="L709" s="2" t="s">
        <v>226</v>
      </c>
      <c r="M709" s="2" t="s">
        <v>12</v>
      </c>
      <c r="N709" s="2" t="s">
        <v>12</v>
      </c>
      <c r="O709" s="2" t="s">
        <v>12</v>
      </c>
      <c r="P709" s="21" t="s">
        <v>12</v>
      </c>
      <c r="Q709" s="3" t="s">
        <v>12</v>
      </c>
      <c r="R709" s="3" t="s">
        <v>12</v>
      </c>
    </row>
    <row r="710" spans="1:18" x14ac:dyDescent="0.25">
      <c r="A710" s="30">
        <v>45775</v>
      </c>
      <c r="B710" s="28">
        <v>700</v>
      </c>
      <c r="C710" s="28"/>
      <c r="D710" s="2" t="s">
        <v>825</v>
      </c>
      <c r="E710" s="7" t="s">
        <v>2487</v>
      </c>
      <c r="F710" s="7"/>
      <c r="G710" s="2" t="s">
        <v>111</v>
      </c>
      <c r="H710" s="2" t="s">
        <v>1027</v>
      </c>
      <c r="I710" s="5">
        <v>162266.38</v>
      </c>
      <c r="J710" s="57"/>
      <c r="K710" s="3" t="s">
        <v>12</v>
      </c>
      <c r="L710" s="2" t="s">
        <v>226</v>
      </c>
      <c r="M710" s="2" t="s">
        <v>2615</v>
      </c>
      <c r="N710" s="2" t="s">
        <v>12</v>
      </c>
      <c r="O710" s="2" t="s">
        <v>12</v>
      </c>
      <c r="P710" s="21" t="s">
        <v>12</v>
      </c>
      <c r="Q710" s="3" t="s">
        <v>12</v>
      </c>
      <c r="R710" s="3" t="s">
        <v>80</v>
      </c>
    </row>
    <row r="711" spans="1:18" x14ac:dyDescent="0.25">
      <c r="A711" s="30">
        <v>45775</v>
      </c>
      <c r="B711" s="28">
        <v>701</v>
      </c>
      <c r="C711" s="28"/>
      <c r="D711" s="2" t="s">
        <v>1004</v>
      </c>
      <c r="E711" s="7" t="s">
        <v>1026</v>
      </c>
      <c r="F711" s="7"/>
      <c r="G711" s="2" t="s">
        <v>111</v>
      </c>
      <c r="H711" s="2" t="s">
        <v>116</v>
      </c>
      <c r="I711" s="5">
        <v>10830.57</v>
      </c>
      <c r="J711" s="57"/>
      <c r="K711" s="3">
        <v>96</v>
      </c>
      <c r="L711" s="2" t="s">
        <v>64</v>
      </c>
      <c r="M711" s="2" t="s">
        <v>12</v>
      </c>
      <c r="N711" s="2" t="s">
        <v>12</v>
      </c>
      <c r="O711" s="2" t="s">
        <v>12</v>
      </c>
      <c r="P711" s="21" t="s">
        <v>12</v>
      </c>
      <c r="Q711" s="3" t="s">
        <v>12</v>
      </c>
      <c r="R711" s="3" t="s">
        <v>12</v>
      </c>
    </row>
    <row r="712" spans="1:18" x14ac:dyDescent="0.25">
      <c r="A712" s="30">
        <v>45775</v>
      </c>
      <c r="B712" s="28">
        <v>702</v>
      </c>
      <c r="C712" s="28"/>
      <c r="D712" s="2" t="s">
        <v>286</v>
      </c>
      <c r="E712" s="7" t="s">
        <v>12</v>
      </c>
      <c r="F712" s="7"/>
      <c r="G712" s="2" t="s">
        <v>13</v>
      </c>
      <c r="H712" s="2" t="s">
        <v>994</v>
      </c>
      <c r="I712" s="5">
        <v>80492.44</v>
      </c>
      <c r="J712" s="57"/>
      <c r="K712" s="3">
        <v>768</v>
      </c>
      <c r="L712" s="2" t="s">
        <v>226</v>
      </c>
      <c r="M712" s="2" t="s">
        <v>1067</v>
      </c>
      <c r="N712" s="2" t="s">
        <v>12</v>
      </c>
      <c r="O712" s="2" t="s">
        <v>12</v>
      </c>
      <c r="P712" s="21" t="s">
        <v>12</v>
      </c>
      <c r="Q712" s="3" t="s">
        <v>12</v>
      </c>
      <c r="R712" s="3" t="s">
        <v>12</v>
      </c>
    </row>
    <row r="713" spans="1:18" x14ac:dyDescent="0.25">
      <c r="A713" s="30">
        <v>45775</v>
      </c>
      <c r="B713" s="28">
        <v>703</v>
      </c>
      <c r="C713" s="28"/>
      <c r="D713" s="2" t="s">
        <v>87</v>
      </c>
      <c r="E713" s="7" t="s">
        <v>995</v>
      </c>
      <c r="F713" s="7"/>
      <c r="G713" s="2" t="s">
        <v>13</v>
      </c>
      <c r="H713" s="2" t="s">
        <v>114</v>
      </c>
      <c r="I713" s="5">
        <v>275715.96999999997</v>
      </c>
      <c r="J713" s="57"/>
      <c r="K713" s="3">
        <v>2880</v>
      </c>
      <c r="L713" s="2" t="s">
        <v>226</v>
      </c>
      <c r="M713" s="2" t="s">
        <v>12</v>
      </c>
      <c r="N713" s="2" t="s">
        <v>12</v>
      </c>
      <c r="O713" s="2" t="s">
        <v>12</v>
      </c>
      <c r="P713" s="21" t="s">
        <v>12</v>
      </c>
      <c r="Q713" s="3" t="s">
        <v>12</v>
      </c>
      <c r="R713" s="3" t="s">
        <v>12</v>
      </c>
    </row>
    <row r="714" spans="1:18" x14ac:dyDescent="0.25">
      <c r="A714" s="30">
        <v>45775</v>
      </c>
      <c r="B714" s="28">
        <v>704</v>
      </c>
      <c r="C714" s="28"/>
      <c r="D714" s="2" t="s">
        <v>557</v>
      </c>
      <c r="E714" s="7" t="s">
        <v>12</v>
      </c>
      <c r="F714" s="7"/>
      <c r="G714" s="2" t="s">
        <v>20</v>
      </c>
      <c r="H714" s="2" t="s">
        <v>471</v>
      </c>
      <c r="I714" s="5">
        <v>577.44000000000005</v>
      </c>
      <c r="J714" s="57"/>
      <c r="K714" s="3" t="s">
        <v>12</v>
      </c>
      <c r="L714" s="2" t="s">
        <v>226</v>
      </c>
      <c r="M714" s="2" t="s">
        <v>12</v>
      </c>
      <c r="N714" s="2" t="s">
        <v>12</v>
      </c>
      <c r="O714" s="2" t="s">
        <v>12</v>
      </c>
      <c r="P714" s="21" t="s">
        <v>12</v>
      </c>
      <c r="Q714" s="3" t="s">
        <v>12</v>
      </c>
      <c r="R714" s="3" t="s">
        <v>12</v>
      </c>
    </row>
    <row r="715" spans="1:18" x14ac:dyDescent="0.25">
      <c r="A715" s="30">
        <v>45776</v>
      </c>
      <c r="B715" s="28">
        <v>705</v>
      </c>
      <c r="C715" s="28"/>
      <c r="D715" s="2" t="s">
        <v>41</v>
      </c>
      <c r="E715" s="7" t="s">
        <v>996</v>
      </c>
      <c r="F715" s="7"/>
      <c r="G715" s="2" t="s">
        <v>43</v>
      </c>
      <c r="H715" s="2" t="s">
        <v>417</v>
      </c>
      <c r="I715" s="5">
        <v>217943.08</v>
      </c>
      <c r="J715" s="57"/>
      <c r="K715" s="3">
        <v>1786.8</v>
      </c>
      <c r="L715" s="2" t="s">
        <v>226</v>
      </c>
      <c r="M715" s="2" t="s">
        <v>1399</v>
      </c>
      <c r="N715" s="2" t="s">
        <v>12</v>
      </c>
      <c r="O715" s="2" t="s">
        <v>12</v>
      </c>
      <c r="P715" s="21" t="s">
        <v>12</v>
      </c>
      <c r="Q715" s="3" t="s">
        <v>959</v>
      </c>
      <c r="R715" s="3" t="s">
        <v>80</v>
      </c>
    </row>
    <row r="716" spans="1:18" x14ac:dyDescent="0.25">
      <c r="A716" s="30">
        <v>45776</v>
      </c>
      <c r="B716" s="28">
        <v>706</v>
      </c>
      <c r="C716" s="28"/>
      <c r="D716" s="2" t="s">
        <v>336</v>
      </c>
      <c r="E716" s="7" t="s">
        <v>997</v>
      </c>
      <c r="F716" s="7"/>
      <c r="G716" s="2" t="s">
        <v>20</v>
      </c>
      <c r="H716" s="2" t="s">
        <v>337</v>
      </c>
      <c r="I716" s="5">
        <v>57911.27</v>
      </c>
      <c r="J716" s="57"/>
      <c r="K716" s="3">
        <v>552</v>
      </c>
      <c r="L716" s="2" t="s">
        <v>64</v>
      </c>
      <c r="M716" s="2" t="s">
        <v>12</v>
      </c>
      <c r="N716" s="2" t="s">
        <v>12</v>
      </c>
      <c r="O716" s="2" t="s">
        <v>12</v>
      </c>
      <c r="P716" s="21" t="s">
        <v>12</v>
      </c>
      <c r="Q716" s="3" t="s">
        <v>223</v>
      </c>
      <c r="R716" s="3" t="s">
        <v>80</v>
      </c>
    </row>
    <row r="717" spans="1:18" x14ac:dyDescent="0.25">
      <c r="A717" s="30">
        <v>45776</v>
      </c>
      <c r="B717" s="28">
        <v>707</v>
      </c>
      <c r="C717" s="28"/>
      <c r="D717" s="2" t="s">
        <v>336</v>
      </c>
      <c r="E717" s="7" t="s">
        <v>998</v>
      </c>
      <c r="F717" s="7"/>
      <c r="G717" s="2" t="s">
        <v>20</v>
      </c>
      <c r="H717" s="2" t="s">
        <v>337</v>
      </c>
      <c r="I717" s="5">
        <v>64172.99</v>
      </c>
      <c r="J717" s="57"/>
      <c r="K717" s="3">
        <v>600</v>
      </c>
      <c r="L717" s="2" t="s">
        <v>64</v>
      </c>
      <c r="M717" s="2" t="s">
        <v>12</v>
      </c>
      <c r="N717" s="2" t="s">
        <v>12</v>
      </c>
      <c r="O717" s="2" t="s">
        <v>12</v>
      </c>
      <c r="P717" s="21" t="s">
        <v>12</v>
      </c>
      <c r="Q717" s="3" t="s">
        <v>223</v>
      </c>
      <c r="R717" s="3" t="s">
        <v>80</v>
      </c>
    </row>
    <row r="718" spans="1:18" x14ac:dyDescent="0.25">
      <c r="A718" s="30">
        <v>45776</v>
      </c>
      <c r="B718" s="28">
        <v>708</v>
      </c>
      <c r="C718" s="28"/>
      <c r="D718" s="2" t="s">
        <v>124</v>
      </c>
      <c r="E718" s="7" t="s">
        <v>999</v>
      </c>
      <c r="F718" s="7"/>
      <c r="G718" s="2" t="s">
        <v>20</v>
      </c>
      <c r="H718" s="2" t="s">
        <v>112</v>
      </c>
      <c r="I718" s="5">
        <v>649825.28000000003</v>
      </c>
      <c r="J718" s="57"/>
      <c r="K718" s="3">
        <v>6216</v>
      </c>
      <c r="L718" s="2" t="s">
        <v>226</v>
      </c>
      <c r="M718" s="2" t="s">
        <v>12</v>
      </c>
      <c r="N718" s="2" t="s">
        <v>12</v>
      </c>
      <c r="O718" s="2" t="s">
        <v>12</v>
      </c>
      <c r="P718" s="21" t="s">
        <v>12</v>
      </c>
      <c r="Q718" s="3" t="s">
        <v>124</v>
      </c>
      <c r="R718" s="3" t="s">
        <v>955</v>
      </c>
    </row>
    <row r="719" spans="1:18" x14ac:dyDescent="0.25">
      <c r="A719" s="30">
        <v>45776</v>
      </c>
      <c r="B719" s="28">
        <v>709</v>
      </c>
      <c r="C719" s="28"/>
      <c r="D719" s="2" t="s">
        <v>256</v>
      </c>
      <c r="E719" s="7" t="s">
        <v>12</v>
      </c>
      <c r="F719" s="7"/>
      <c r="G719" s="2" t="s">
        <v>20</v>
      </c>
      <c r="H719" s="2" t="s">
        <v>1000</v>
      </c>
      <c r="I719" s="5">
        <v>16939.87</v>
      </c>
      <c r="J719" s="57"/>
      <c r="K719" s="3">
        <v>168</v>
      </c>
      <c r="L719" s="2" t="s">
        <v>64</v>
      </c>
      <c r="M719" s="2" t="s">
        <v>1022</v>
      </c>
      <c r="N719" s="2" t="s">
        <v>12</v>
      </c>
      <c r="O719" s="2" t="s">
        <v>12</v>
      </c>
      <c r="P719" s="21" t="s">
        <v>12</v>
      </c>
      <c r="Q719" s="3" t="s">
        <v>12</v>
      </c>
      <c r="R719" s="3" t="s">
        <v>12</v>
      </c>
    </row>
    <row r="720" spans="1:18" x14ac:dyDescent="0.25">
      <c r="A720" s="30">
        <v>45776</v>
      </c>
      <c r="B720" s="28">
        <v>710</v>
      </c>
      <c r="C720" s="28"/>
      <c r="D720" s="2" t="s">
        <v>637</v>
      </c>
      <c r="E720" s="7" t="s">
        <v>868</v>
      </c>
      <c r="F720" s="7"/>
      <c r="G720" s="2" t="s">
        <v>13</v>
      </c>
      <c r="H720" s="2" t="s">
        <v>15</v>
      </c>
      <c r="I720" s="5">
        <v>9565.7800000000007</v>
      </c>
      <c r="J720" s="57"/>
      <c r="K720" s="3">
        <v>96</v>
      </c>
      <c r="L720" s="2" t="s">
        <v>64</v>
      </c>
      <c r="M720" s="2" t="s">
        <v>12</v>
      </c>
      <c r="N720" s="2" t="s">
        <v>12</v>
      </c>
      <c r="O720" s="2" t="s">
        <v>12</v>
      </c>
      <c r="P720" s="21" t="s">
        <v>12</v>
      </c>
      <c r="Q720" s="3" t="s">
        <v>12</v>
      </c>
      <c r="R720" s="3" t="s">
        <v>12</v>
      </c>
    </row>
    <row r="721" spans="1:18" x14ac:dyDescent="0.25">
      <c r="A721" s="30">
        <v>45776</v>
      </c>
      <c r="B721" s="28">
        <v>711</v>
      </c>
      <c r="C721" s="28"/>
      <c r="D721" s="2" t="s">
        <v>215</v>
      </c>
      <c r="E721" s="7" t="s">
        <v>1001</v>
      </c>
      <c r="F721" s="7"/>
      <c r="G721" s="2" t="s">
        <v>26</v>
      </c>
      <c r="H721" s="2" t="s">
        <v>216</v>
      </c>
      <c r="I721" s="5">
        <v>38056.550000000003</v>
      </c>
      <c r="J721" s="57"/>
      <c r="K721" s="3">
        <v>360</v>
      </c>
      <c r="L721" s="2" t="s">
        <v>134</v>
      </c>
      <c r="M721" s="2" t="s">
        <v>1166</v>
      </c>
      <c r="N721" s="2" t="s">
        <v>373</v>
      </c>
      <c r="O721" s="2" t="s">
        <v>443</v>
      </c>
      <c r="P721" s="21" t="s">
        <v>12</v>
      </c>
      <c r="Q721" s="3" t="s">
        <v>12</v>
      </c>
      <c r="R721" s="3" t="s">
        <v>12</v>
      </c>
    </row>
    <row r="722" spans="1:18" x14ac:dyDescent="0.25">
      <c r="A722" s="30">
        <v>45776</v>
      </c>
      <c r="B722" s="28">
        <v>712</v>
      </c>
      <c r="C722" s="28"/>
      <c r="D722" s="2" t="s">
        <v>309</v>
      </c>
      <c r="E722" s="7" t="s">
        <v>1002</v>
      </c>
      <c r="F722" s="7"/>
      <c r="G722" s="2" t="s">
        <v>43</v>
      </c>
      <c r="H722" s="2" t="s">
        <v>1003</v>
      </c>
      <c r="I722" s="5">
        <v>91810.99</v>
      </c>
      <c r="J722" s="57"/>
      <c r="K722" s="3">
        <v>960</v>
      </c>
      <c r="L722" s="2" t="s">
        <v>226</v>
      </c>
      <c r="M722" s="2" t="s">
        <v>12</v>
      </c>
      <c r="N722" s="2" t="s">
        <v>12</v>
      </c>
      <c r="O722" s="2" t="s">
        <v>12</v>
      </c>
      <c r="P722" s="21" t="s">
        <v>12</v>
      </c>
      <c r="Q722" s="3" t="s">
        <v>12</v>
      </c>
      <c r="R722" s="3" t="s">
        <v>12</v>
      </c>
    </row>
    <row r="723" spans="1:18" x14ac:dyDescent="0.25">
      <c r="A723" s="30">
        <v>45784</v>
      </c>
      <c r="B723" s="28">
        <v>713</v>
      </c>
      <c r="C723" s="28"/>
      <c r="D723" s="2" t="s">
        <v>428</v>
      </c>
      <c r="E723" s="7" t="s">
        <v>12</v>
      </c>
      <c r="F723" s="7"/>
      <c r="G723" s="2" t="s">
        <v>13</v>
      </c>
      <c r="H723" s="2" t="s">
        <v>177</v>
      </c>
      <c r="I723" s="5">
        <v>10511.05</v>
      </c>
      <c r="J723" s="57"/>
      <c r="K723" s="3">
        <v>144</v>
      </c>
      <c r="L723" s="2" t="s">
        <v>64</v>
      </c>
      <c r="M723" s="2" t="s">
        <v>12</v>
      </c>
      <c r="N723" s="2" t="s">
        <v>12</v>
      </c>
      <c r="O723" s="2" t="s">
        <v>12</v>
      </c>
      <c r="P723" s="21" t="s">
        <v>12</v>
      </c>
      <c r="Q723" s="3" t="s">
        <v>12</v>
      </c>
      <c r="R723" s="3" t="s">
        <v>12</v>
      </c>
    </row>
    <row r="724" spans="1:18" x14ac:dyDescent="0.25">
      <c r="A724" s="30">
        <v>45777</v>
      </c>
      <c r="B724" s="28">
        <v>714</v>
      </c>
      <c r="C724" s="28"/>
      <c r="D724" s="2" t="s">
        <v>276</v>
      </c>
      <c r="E724" s="7" t="s">
        <v>1033</v>
      </c>
      <c r="F724" s="7"/>
      <c r="G724" s="2" t="s">
        <v>43</v>
      </c>
      <c r="H724" s="2" t="s">
        <v>108</v>
      </c>
      <c r="I724" s="5">
        <v>8943.06</v>
      </c>
      <c r="J724" s="57"/>
      <c r="K724" s="3">
        <v>72</v>
      </c>
      <c r="L724" s="2" t="s">
        <v>226</v>
      </c>
      <c r="M724" s="2" t="s">
        <v>667</v>
      </c>
      <c r="N724" s="2" t="s">
        <v>12</v>
      </c>
      <c r="O724" s="2" t="s">
        <v>12</v>
      </c>
      <c r="P724" s="21" t="s">
        <v>12</v>
      </c>
      <c r="Q724" s="3" t="s">
        <v>12</v>
      </c>
      <c r="R724" s="3" t="s">
        <v>12</v>
      </c>
    </row>
    <row r="725" spans="1:18" x14ac:dyDescent="0.25">
      <c r="A725" s="30">
        <v>45783</v>
      </c>
      <c r="B725" s="28">
        <v>715</v>
      </c>
      <c r="C725" s="28"/>
      <c r="D725" s="2" t="s">
        <v>309</v>
      </c>
      <c r="E725" s="7" t="s">
        <v>1034</v>
      </c>
      <c r="F725" s="7"/>
      <c r="G725" s="2" t="s">
        <v>43</v>
      </c>
      <c r="H725" s="2" t="s">
        <v>769</v>
      </c>
      <c r="I725" s="5">
        <v>802154.57</v>
      </c>
      <c r="J725" s="57"/>
      <c r="K725" s="3">
        <v>6778.8</v>
      </c>
      <c r="L725" s="2" t="s">
        <v>226</v>
      </c>
      <c r="M725" s="2" t="s">
        <v>12</v>
      </c>
      <c r="N725" s="2" t="s">
        <v>12</v>
      </c>
      <c r="O725" s="2" t="s">
        <v>12</v>
      </c>
      <c r="P725" s="21" t="s">
        <v>12</v>
      </c>
      <c r="Q725" s="3" t="s">
        <v>12</v>
      </c>
      <c r="R725" s="3" t="s">
        <v>12</v>
      </c>
    </row>
    <row r="726" spans="1:18" x14ac:dyDescent="0.25">
      <c r="A726" s="30">
        <v>45783</v>
      </c>
      <c r="B726" s="28">
        <v>716</v>
      </c>
      <c r="C726" s="28"/>
      <c r="D726" s="2" t="s">
        <v>23</v>
      </c>
      <c r="E726" s="7" t="s">
        <v>1035</v>
      </c>
      <c r="F726" s="7"/>
      <c r="G726" s="2" t="s">
        <v>20</v>
      </c>
      <c r="H726" s="2" t="s">
        <v>32</v>
      </c>
      <c r="I726" s="5">
        <v>40466.97</v>
      </c>
      <c r="J726" s="57"/>
      <c r="K726" s="3">
        <v>528</v>
      </c>
      <c r="L726" s="2" t="s">
        <v>64</v>
      </c>
      <c r="M726" s="2" t="s">
        <v>12</v>
      </c>
      <c r="N726" s="2" t="s">
        <v>12</v>
      </c>
      <c r="O726" s="2" t="s">
        <v>12</v>
      </c>
      <c r="P726" s="21" t="s">
        <v>12</v>
      </c>
      <c r="Q726" s="3" t="s">
        <v>12</v>
      </c>
      <c r="R726" s="3" t="s">
        <v>12</v>
      </c>
    </row>
    <row r="727" spans="1:18" x14ac:dyDescent="0.25">
      <c r="A727" s="30">
        <v>45777</v>
      </c>
      <c r="B727" s="28">
        <v>717</v>
      </c>
      <c r="C727" s="28"/>
      <c r="D727" s="2" t="s">
        <v>737</v>
      </c>
      <c r="E727" s="7" t="s">
        <v>1036</v>
      </c>
      <c r="F727" s="7"/>
      <c r="G727" s="2" t="s">
        <v>13</v>
      </c>
      <c r="H727" s="2" t="s">
        <v>235</v>
      </c>
      <c r="I727" s="5">
        <v>5514.19</v>
      </c>
      <c r="J727" s="57"/>
      <c r="K727" s="3">
        <v>50</v>
      </c>
      <c r="L727" s="2" t="s">
        <v>226</v>
      </c>
      <c r="M727" s="2" t="s">
        <v>12</v>
      </c>
      <c r="N727" s="2" t="s">
        <v>12</v>
      </c>
      <c r="O727" s="2" t="s">
        <v>12</v>
      </c>
      <c r="P727" s="21"/>
      <c r="Q727" s="3" t="s">
        <v>12</v>
      </c>
      <c r="R727" s="3" t="s">
        <v>12</v>
      </c>
    </row>
    <row r="728" spans="1:18" x14ac:dyDescent="0.25">
      <c r="A728" s="30">
        <v>45782</v>
      </c>
      <c r="B728" s="28">
        <v>718</v>
      </c>
      <c r="C728" s="28"/>
      <c r="D728" s="2" t="s">
        <v>202</v>
      </c>
      <c r="E728" s="7" t="s">
        <v>12</v>
      </c>
      <c r="F728" s="7"/>
      <c r="G728" s="2" t="s">
        <v>97</v>
      </c>
      <c r="H728" s="2" t="s">
        <v>254</v>
      </c>
      <c r="I728" s="5">
        <v>25719.040000000001</v>
      </c>
      <c r="J728" s="57"/>
      <c r="K728" s="3">
        <v>336</v>
      </c>
      <c r="L728" s="2" t="s">
        <v>64</v>
      </c>
      <c r="M728" s="2" t="s">
        <v>12</v>
      </c>
      <c r="N728" s="2" t="s">
        <v>12</v>
      </c>
      <c r="O728" s="2" t="s">
        <v>12</v>
      </c>
      <c r="P728" s="21" t="s">
        <v>12</v>
      </c>
      <c r="Q728" s="3" t="s">
        <v>12</v>
      </c>
      <c r="R728" s="3" t="s">
        <v>12</v>
      </c>
    </row>
    <row r="729" spans="1:18" x14ac:dyDescent="0.25">
      <c r="A729" s="30">
        <v>45777</v>
      </c>
      <c r="B729" s="28">
        <v>719</v>
      </c>
      <c r="C729" s="28"/>
      <c r="D729" s="2" t="s">
        <v>496</v>
      </c>
      <c r="E729" s="7" t="s">
        <v>12</v>
      </c>
      <c r="F729" s="7"/>
      <c r="G729" s="2" t="s">
        <v>13</v>
      </c>
      <c r="H729" s="2" t="s">
        <v>350</v>
      </c>
      <c r="I729" s="5">
        <v>3530.38</v>
      </c>
      <c r="J729" s="57"/>
      <c r="K729" s="3" t="s">
        <v>12</v>
      </c>
      <c r="L729" s="2" t="s">
        <v>64</v>
      </c>
      <c r="M729" s="2" t="s">
        <v>12</v>
      </c>
      <c r="N729" s="2" t="s">
        <v>12</v>
      </c>
      <c r="O729" s="2" t="s">
        <v>12</v>
      </c>
      <c r="P729" s="21" t="s">
        <v>12</v>
      </c>
      <c r="Q729" s="3" t="s">
        <v>12</v>
      </c>
      <c r="R729" s="3" t="s">
        <v>12</v>
      </c>
    </row>
    <row r="730" spans="1:18" x14ac:dyDescent="0.25">
      <c r="A730" s="30">
        <v>45777</v>
      </c>
      <c r="B730" s="28">
        <v>720</v>
      </c>
      <c r="C730" s="28"/>
      <c r="D730" s="2" t="s">
        <v>309</v>
      </c>
      <c r="E730" s="7" t="s">
        <v>12</v>
      </c>
      <c r="F730" s="7"/>
      <c r="G730" s="2" t="s">
        <v>43</v>
      </c>
      <c r="H730" s="2" t="s">
        <v>1037</v>
      </c>
      <c r="I730" s="5">
        <v>335068.90000000002</v>
      </c>
      <c r="J730" s="57"/>
      <c r="K730" s="3">
        <v>2772</v>
      </c>
      <c r="L730" s="2" t="s">
        <v>226</v>
      </c>
      <c r="M730" s="2" t="s">
        <v>12</v>
      </c>
      <c r="N730" s="2" t="s">
        <v>12</v>
      </c>
      <c r="O730" s="2" t="s">
        <v>12</v>
      </c>
      <c r="P730" s="21"/>
      <c r="Q730" s="3" t="s">
        <v>12</v>
      </c>
      <c r="R730" s="3" t="s">
        <v>12</v>
      </c>
    </row>
    <row r="731" spans="1:18" x14ac:dyDescent="0.25">
      <c r="A731" s="30">
        <v>45779</v>
      </c>
      <c r="B731" s="28">
        <v>721</v>
      </c>
      <c r="C731" s="28"/>
      <c r="D731" s="2" t="s">
        <v>388</v>
      </c>
      <c r="E731" s="7" t="s">
        <v>974</v>
      </c>
      <c r="F731" s="7"/>
      <c r="G731" s="2" t="s">
        <v>26</v>
      </c>
      <c r="H731" s="2" t="s">
        <v>535</v>
      </c>
      <c r="I731" s="5">
        <v>44973.29</v>
      </c>
      <c r="J731" s="57"/>
      <c r="K731" s="3">
        <v>408</v>
      </c>
      <c r="L731" s="2" t="s">
        <v>226</v>
      </c>
      <c r="M731" s="2" t="s">
        <v>12</v>
      </c>
      <c r="N731" s="2" t="s">
        <v>12</v>
      </c>
      <c r="O731" s="2" t="s">
        <v>12</v>
      </c>
      <c r="P731" s="21" t="s">
        <v>12</v>
      </c>
      <c r="Q731" s="3" t="s">
        <v>12</v>
      </c>
      <c r="R731" s="3" t="s">
        <v>12</v>
      </c>
    </row>
    <row r="732" spans="1:18" x14ac:dyDescent="0.25">
      <c r="A732" s="30">
        <v>45779</v>
      </c>
      <c r="B732" s="28">
        <v>722</v>
      </c>
      <c r="C732" s="28"/>
      <c r="D732" s="2" t="s">
        <v>87</v>
      </c>
      <c r="E732" s="7" t="s">
        <v>845</v>
      </c>
      <c r="F732" s="7"/>
      <c r="G732" s="2" t="s">
        <v>13</v>
      </c>
      <c r="H732" s="2" t="s">
        <v>238</v>
      </c>
      <c r="I732" s="5">
        <v>214054.53</v>
      </c>
      <c r="J732" s="57"/>
      <c r="K732" s="3">
        <v>1968</v>
      </c>
      <c r="L732" s="2" t="s">
        <v>226</v>
      </c>
      <c r="M732" s="2" t="s">
        <v>12</v>
      </c>
      <c r="N732" s="2" t="s">
        <v>12</v>
      </c>
      <c r="O732" s="2" t="s">
        <v>12</v>
      </c>
      <c r="P732" s="21" t="s">
        <v>12</v>
      </c>
      <c r="Q732" s="3" t="s">
        <v>12</v>
      </c>
      <c r="R732" s="3" t="s">
        <v>12</v>
      </c>
    </row>
    <row r="733" spans="1:18" x14ac:dyDescent="0.25">
      <c r="A733" s="30">
        <v>45782</v>
      </c>
      <c r="B733" s="28">
        <v>723</v>
      </c>
      <c r="C733" s="28"/>
      <c r="D733" s="2" t="s">
        <v>243</v>
      </c>
      <c r="E733" s="7" t="s">
        <v>12</v>
      </c>
      <c r="F733" s="7"/>
      <c r="G733" s="2" t="s">
        <v>20</v>
      </c>
      <c r="H733" s="2" t="s">
        <v>244</v>
      </c>
      <c r="I733" s="5">
        <v>5915.29</v>
      </c>
      <c r="J733" s="57"/>
      <c r="K733" s="3">
        <v>72</v>
      </c>
      <c r="L733" s="2" t="s">
        <v>64</v>
      </c>
      <c r="M733" s="2" t="s">
        <v>12</v>
      </c>
      <c r="N733" s="2" t="s">
        <v>12</v>
      </c>
      <c r="O733" s="2" t="s">
        <v>12</v>
      </c>
      <c r="P733" s="21" t="s">
        <v>12</v>
      </c>
      <c r="Q733" s="3" t="s">
        <v>12</v>
      </c>
      <c r="R733" s="3" t="s">
        <v>12</v>
      </c>
    </row>
    <row r="734" spans="1:18" x14ac:dyDescent="0.25">
      <c r="A734" s="30">
        <v>45782</v>
      </c>
      <c r="B734" s="28">
        <v>724</v>
      </c>
      <c r="C734" s="28"/>
      <c r="D734" s="2" t="s">
        <v>303</v>
      </c>
      <c r="E734" s="7" t="s">
        <v>12</v>
      </c>
      <c r="F734" s="7"/>
      <c r="G734" s="2" t="s">
        <v>13</v>
      </c>
      <c r="H734" s="2" t="s">
        <v>148</v>
      </c>
      <c r="I734" s="5">
        <v>2079.15</v>
      </c>
      <c r="J734" s="57"/>
      <c r="K734" s="3">
        <v>24</v>
      </c>
      <c r="L734" s="2" t="s">
        <v>64</v>
      </c>
      <c r="M734" s="2" t="s">
        <v>12</v>
      </c>
      <c r="N734" s="2" t="s">
        <v>12</v>
      </c>
      <c r="O734" s="2" t="s">
        <v>12</v>
      </c>
      <c r="P734" s="21" t="s">
        <v>12</v>
      </c>
      <c r="Q734" s="3" t="s">
        <v>12</v>
      </c>
      <c r="R734" s="3" t="s">
        <v>12</v>
      </c>
    </row>
    <row r="735" spans="1:18" x14ac:dyDescent="0.25">
      <c r="A735" s="30">
        <v>45782</v>
      </c>
      <c r="B735" s="28">
        <v>725</v>
      </c>
      <c r="C735" s="28"/>
      <c r="D735" s="2" t="s">
        <v>1038</v>
      </c>
      <c r="E735" s="7" t="s">
        <v>1039</v>
      </c>
      <c r="F735" s="7"/>
      <c r="G735" s="2" t="s">
        <v>26</v>
      </c>
      <c r="H735" s="2" t="s">
        <v>485</v>
      </c>
      <c r="I735" s="5">
        <v>14781.54</v>
      </c>
      <c r="J735" s="57"/>
      <c r="K735" s="3">
        <v>144</v>
      </c>
      <c r="L735" s="2" t="s">
        <v>226</v>
      </c>
      <c r="M735" s="2" t="s">
        <v>12</v>
      </c>
      <c r="N735" s="2" t="s">
        <v>12</v>
      </c>
      <c r="O735" s="2" t="s">
        <v>12</v>
      </c>
      <c r="P735" s="21" t="s">
        <v>12</v>
      </c>
      <c r="Q735" s="3" t="s">
        <v>12</v>
      </c>
      <c r="R735" s="3" t="s">
        <v>12</v>
      </c>
    </row>
    <row r="736" spans="1:18" x14ac:dyDescent="0.25">
      <c r="A736" s="30">
        <v>45782</v>
      </c>
      <c r="B736" s="28">
        <v>726</v>
      </c>
      <c r="C736" s="28"/>
      <c r="D736" s="2" t="s">
        <v>256</v>
      </c>
      <c r="E736" s="7" t="s">
        <v>1040</v>
      </c>
      <c r="F736" s="7"/>
      <c r="G736" s="2" t="s">
        <v>20</v>
      </c>
      <c r="H736" s="2" t="s">
        <v>1000</v>
      </c>
      <c r="I736" s="5">
        <v>3284.89</v>
      </c>
      <c r="J736" s="57"/>
      <c r="K736" s="3" t="s">
        <v>12</v>
      </c>
      <c r="L736" s="2" t="s">
        <v>64</v>
      </c>
      <c r="M736" s="2" t="s">
        <v>12</v>
      </c>
      <c r="N736" s="2" t="s">
        <v>12</v>
      </c>
      <c r="O736" s="2" t="s">
        <v>12</v>
      </c>
      <c r="P736" s="21" t="s">
        <v>12</v>
      </c>
      <c r="Q736" s="3" t="s">
        <v>12</v>
      </c>
      <c r="R736" s="3" t="s">
        <v>12</v>
      </c>
    </row>
    <row r="737" spans="1:18" x14ac:dyDescent="0.25">
      <c r="A737" s="30">
        <v>45782</v>
      </c>
      <c r="B737" s="28">
        <v>727</v>
      </c>
      <c r="C737" s="28"/>
      <c r="D737" s="2" t="s">
        <v>208</v>
      </c>
      <c r="E737" s="7" t="s">
        <v>1041</v>
      </c>
      <c r="F737" s="7"/>
      <c r="G737" s="2" t="s">
        <v>43</v>
      </c>
      <c r="H737" s="2" t="s">
        <v>448</v>
      </c>
      <c r="I737" s="5">
        <v>77400.23</v>
      </c>
      <c r="J737" s="57"/>
      <c r="K737" s="3">
        <v>720</v>
      </c>
      <c r="L737" s="2" t="s">
        <v>226</v>
      </c>
      <c r="M737" s="2" t="s">
        <v>1273</v>
      </c>
      <c r="N737" s="2" t="s">
        <v>12</v>
      </c>
      <c r="O737" s="2" t="s">
        <v>12</v>
      </c>
      <c r="P737" s="21" t="s">
        <v>12</v>
      </c>
      <c r="Q737" s="3" t="s">
        <v>1066</v>
      </c>
      <c r="R737" s="3" t="s">
        <v>75</v>
      </c>
    </row>
    <row r="738" spans="1:18" x14ac:dyDescent="0.25">
      <c r="A738" s="30">
        <v>45784</v>
      </c>
      <c r="B738" s="28">
        <v>728</v>
      </c>
      <c r="C738" s="28"/>
      <c r="D738" s="2" t="s">
        <v>212</v>
      </c>
      <c r="E738" s="7" t="s">
        <v>1042</v>
      </c>
      <c r="F738" s="7"/>
      <c r="G738" s="2" t="s">
        <v>20</v>
      </c>
      <c r="H738" s="2" t="s">
        <v>1043</v>
      </c>
      <c r="I738" s="5">
        <v>337754.53</v>
      </c>
      <c r="J738" s="57"/>
      <c r="K738" s="3">
        <v>3936</v>
      </c>
      <c r="L738" s="2" t="s">
        <v>64</v>
      </c>
      <c r="M738" s="2" t="s">
        <v>12</v>
      </c>
      <c r="N738" s="2" t="s">
        <v>12</v>
      </c>
      <c r="O738" s="2" t="s">
        <v>12</v>
      </c>
      <c r="P738" s="21" t="s">
        <v>12</v>
      </c>
      <c r="Q738" s="3" t="s">
        <v>959</v>
      </c>
      <c r="R738" s="3" t="s">
        <v>1065</v>
      </c>
    </row>
    <row r="739" spans="1:18" x14ac:dyDescent="0.25">
      <c r="A739" s="30">
        <v>45784</v>
      </c>
      <c r="B739" s="28">
        <v>729</v>
      </c>
      <c r="C739" s="28"/>
      <c r="D739" s="2" t="s">
        <v>515</v>
      </c>
      <c r="E739" s="7" t="s">
        <v>1167</v>
      </c>
      <c r="F739" s="7"/>
      <c r="G739" s="2" t="s">
        <v>111</v>
      </c>
      <c r="H739" s="2" t="s">
        <v>1168</v>
      </c>
      <c r="I739" s="5">
        <v>857822.11</v>
      </c>
      <c r="J739" s="57"/>
      <c r="K739" s="3"/>
      <c r="L739" s="2" t="s">
        <v>226</v>
      </c>
      <c r="M739" s="2" t="s">
        <v>1686</v>
      </c>
      <c r="N739" s="2"/>
      <c r="O739" s="2"/>
      <c r="P739" s="21"/>
      <c r="Q739" s="3" t="s">
        <v>12</v>
      </c>
      <c r="R739" s="3" t="s">
        <v>12</v>
      </c>
    </row>
    <row r="740" spans="1:18" x14ac:dyDescent="0.25">
      <c r="A740" s="30">
        <v>45784</v>
      </c>
      <c r="B740" s="28">
        <v>730</v>
      </c>
      <c r="C740" s="28"/>
      <c r="D740" s="2" t="s">
        <v>516</v>
      </c>
      <c r="E740" s="7" t="s">
        <v>1167</v>
      </c>
      <c r="F740" s="7"/>
      <c r="G740" s="2" t="s">
        <v>111</v>
      </c>
      <c r="H740" s="2" t="s">
        <v>1169</v>
      </c>
      <c r="I740" s="5">
        <v>857822.11</v>
      </c>
      <c r="J740" s="57"/>
      <c r="K740" s="3"/>
      <c r="L740" s="2" t="s">
        <v>226</v>
      </c>
      <c r="M740" s="2"/>
      <c r="N740" s="2"/>
      <c r="O740" s="2"/>
      <c r="P740" s="21"/>
      <c r="Q740" s="3" t="s">
        <v>12</v>
      </c>
      <c r="R740" s="3" t="s">
        <v>12</v>
      </c>
    </row>
    <row r="741" spans="1:18" x14ac:dyDescent="0.25">
      <c r="A741" s="30">
        <v>45782</v>
      </c>
      <c r="B741" s="28">
        <v>731</v>
      </c>
      <c r="C741" s="28"/>
      <c r="D741" s="2" t="s">
        <v>1044</v>
      </c>
      <c r="E741" s="7" t="s">
        <v>1045</v>
      </c>
      <c r="F741" s="7"/>
      <c r="G741" s="2" t="s">
        <v>13</v>
      </c>
      <c r="H741" s="2" t="s">
        <v>1019</v>
      </c>
      <c r="I741" s="5">
        <v>47459.199999999997</v>
      </c>
      <c r="J741" s="57"/>
      <c r="K741" s="3">
        <v>504</v>
      </c>
      <c r="L741" s="2" t="s">
        <v>226</v>
      </c>
      <c r="M741" s="2" t="s">
        <v>12</v>
      </c>
      <c r="N741" s="2" t="s">
        <v>12</v>
      </c>
      <c r="O741" s="2" t="s">
        <v>12</v>
      </c>
      <c r="P741" s="21" t="s">
        <v>12</v>
      </c>
      <c r="Q741" s="3" t="s">
        <v>12</v>
      </c>
      <c r="R741" s="3" t="s">
        <v>12</v>
      </c>
    </row>
    <row r="742" spans="1:18" x14ac:dyDescent="0.25">
      <c r="A742" s="30">
        <v>45782</v>
      </c>
      <c r="B742" s="28">
        <v>732</v>
      </c>
      <c r="C742" s="28"/>
      <c r="D742" s="2" t="s">
        <v>243</v>
      </c>
      <c r="E742" s="7" t="s">
        <v>12</v>
      </c>
      <c r="F742" s="7"/>
      <c r="G742" s="2" t="s">
        <v>20</v>
      </c>
      <c r="H742" s="2" t="s">
        <v>244</v>
      </c>
      <c r="I742" s="5">
        <v>17219.3</v>
      </c>
      <c r="J742" s="57"/>
      <c r="K742" s="3">
        <v>151.19999999999999</v>
      </c>
      <c r="L742" s="2" t="s">
        <v>64</v>
      </c>
      <c r="M742" s="2" t="s">
        <v>12</v>
      </c>
      <c r="N742" s="2" t="s">
        <v>12</v>
      </c>
      <c r="O742" s="2" t="s">
        <v>12</v>
      </c>
      <c r="P742" s="21" t="s">
        <v>12</v>
      </c>
      <c r="Q742" s="3" t="s">
        <v>12</v>
      </c>
      <c r="R742" s="3" t="s">
        <v>12</v>
      </c>
    </row>
    <row r="743" spans="1:18" x14ac:dyDescent="0.25">
      <c r="A743" s="30">
        <v>45782</v>
      </c>
      <c r="B743" s="28">
        <v>733</v>
      </c>
      <c r="C743" s="28"/>
      <c r="D743" s="2" t="s">
        <v>56</v>
      </c>
      <c r="E743" s="7" t="s">
        <v>1046</v>
      </c>
      <c r="F743" s="7"/>
      <c r="G743" s="2" t="s">
        <v>13</v>
      </c>
      <c r="H743" s="2" t="s">
        <v>275</v>
      </c>
      <c r="I743" s="5">
        <v>4468.1000000000004</v>
      </c>
      <c r="J743" s="57"/>
      <c r="K743" s="3">
        <v>24</v>
      </c>
      <c r="L743" s="2" t="s">
        <v>226</v>
      </c>
      <c r="M743" s="2" t="s">
        <v>12</v>
      </c>
      <c r="N743" s="2" t="s">
        <v>12</v>
      </c>
      <c r="O743" s="2" t="s">
        <v>12</v>
      </c>
      <c r="P743" s="21" t="s">
        <v>12</v>
      </c>
      <c r="Q743" s="3" t="s">
        <v>12</v>
      </c>
      <c r="R743" s="3" t="s">
        <v>12</v>
      </c>
    </row>
    <row r="744" spans="1:18" x14ac:dyDescent="0.25">
      <c r="A744" s="30">
        <v>45782</v>
      </c>
      <c r="B744" s="28">
        <v>734</v>
      </c>
      <c r="C744" s="28"/>
      <c r="D744" s="2" t="s">
        <v>516</v>
      </c>
      <c r="E744" s="7" t="s">
        <v>1170</v>
      </c>
      <c r="F744" s="7"/>
      <c r="G744" s="2" t="s">
        <v>111</v>
      </c>
      <c r="H744" s="2" t="s">
        <v>1171</v>
      </c>
      <c r="I744" s="5">
        <v>3677.15</v>
      </c>
      <c r="J744" s="57"/>
      <c r="K744" s="3"/>
      <c r="L744" s="2" t="s">
        <v>64</v>
      </c>
      <c r="M744" s="2"/>
      <c r="N744" s="2"/>
      <c r="O744" s="2"/>
      <c r="P744" s="21"/>
      <c r="Q744" s="3" t="s">
        <v>12</v>
      </c>
      <c r="R744" s="3" t="s">
        <v>12</v>
      </c>
    </row>
    <row r="745" spans="1:18" x14ac:dyDescent="0.25">
      <c r="A745" s="30">
        <v>45783</v>
      </c>
      <c r="B745" s="28">
        <v>735</v>
      </c>
      <c r="C745" s="28"/>
      <c r="D745" s="2" t="s">
        <v>637</v>
      </c>
      <c r="E745" s="7" t="s">
        <v>1047</v>
      </c>
      <c r="F745" s="7"/>
      <c r="G745" s="2" t="s">
        <v>13</v>
      </c>
      <c r="H745" s="2" t="s">
        <v>15</v>
      </c>
      <c r="I745" s="5">
        <v>54803.22</v>
      </c>
      <c r="J745" s="57"/>
      <c r="K745" s="3">
        <v>528</v>
      </c>
      <c r="L745" s="2" t="s">
        <v>226</v>
      </c>
      <c r="M745" s="2" t="s">
        <v>12</v>
      </c>
      <c r="N745" s="2" t="s">
        <v>12</v>
      </c>
      <c r="O745" s="2" t="s">
        <v>12</v>
      </c>
      <c r="P745" s="21" t="s">
        <v>12</v>
      </c>
      <c r="Q745" s="3" t="s">
        <v>77</v>
      </c>
      <c r="R745" s="3" t="s">
        <v>80</v>
      </c>
    </row>
    <row r="746" spans="1:18" x14ac:dyDescent="0.25">
      <c r="A746" s="30">
        <v>45783</v>
      </c>
      <c r="B746" s="28">
        <v>736</v>
      </c>
      <c r="C746" s="28"/>
      <c r="D746" s="2" t="s">
        <v>124</v>
      </c>
      <c r="E746" s="7" t="s">
        <v>1048</v>
      </c>
      <c r="F746" s="7"/>
      <c r="G746" s="2" t="s">
        <v>20</v>
      </c>
      <c r="H746" s="2" t="s">
        <v>154</v>
      </c>
      <c r="I746" s="5">
        <v>5939.09</v>
      </c>
      <c r="J746" s="57"/>
      <c r="K746" s="3">
        <v>48</v>
      </c>
      <c r="L746" s="2" t="s">
        <v>226</v>
      </c>
      <c r="M746" s="2" t="s">
        <v>12</v>
      </c>
      <c r="N746" s="2" t="s">
        <v>12</v>
      </c>
      <c r="O746" s="2" t="s">
        <v>12</v>
      </c>
      <c r="P746" s="21" t="s">
        <v>12</v>
      </c>
      <c r="Q746" s="3" t="s">
        <v>12</v>
      </c>
      <c r="R746" s="3" t="s">
        <v>12</v>
      </c>
    </row>
    <row r="747" spans="1:18" x14ac:dyDescent="0.25">
      <c r="A747" s="30">
        <v>45783</v>
      </c>
      <c r="B747" s="28">
        <v>737</v>
      </c>
      <c r="C747" s="28"/>
      <c r="D747" s="2" t="s">
        <v>109</v>
      </c>
      <c r="E747" s="7" t="s">
        <v>1049</v>
      </c>
      <c r="F747" s="7"/>
      <c r="G747" s="2" t="s">
        <v>111</v>
      </c>
      <c r="H747" s="2" t="s">
        <v>112</v>
      </c>
      <c r="I747" s="5">
        <v>22615.35</v>
      </c>
      <c r="J747" s="57"/>
      <c r="K747" s="3">
        <v>264</v>
      </c>
      <c r="L747" s="2" t="s">
        <v>226</v>
      </c>
      <c r="M747" s="2" t="s">
        <v>12</v>
      </c>
      <c r="N747" s="2" t="s">
        <v>12</v>
      </c>
      <c r="O747" s="2" t="s">
        <v>12</v>
      </c>
      <c r="P747" s="21" t="s">
        <v>12</v>
      </c>
      <c r="Q747" s="3" t="s">
        <v>12</v>
      </c>
      <c r="R747" s="3" t="s">
        <v>12</v>
      </c>
    </row>
    <row r="748" spans="1:18" x14ac:dyDescent="0.25">
      <c r="A748" s="30">
        <v>45783</v>
      </c>
      <c r="B748" s="28">
        <v>738</v>
      </c>
      <c r="C748" s="28"/>
      <c r="D748" s="2" t="s">
        <v>991</v>
      </c>
      <c r="E748" s="7" t="s">
        <v>12</v>
      </c>
      <c r="F748" s="7"/>
      <c r="G748" s="2" t="s">
        <v>43</v>
      </c>
      <c r="H748" s="2" t="s">
        <v>1050</v>
      </c>
      <c r="I748" s="5">
        <v>22828.240000000002</v>
      </c>
      <c r="J748" s="57"/>
      <c r="K748" s="3">
        <v>288</v>
      </c>
      <c r="L748" s="2" t="s">
        <v>226</v>
      </c>
      <c r="M748" s="2" t="s">
        <v>12</v>
      </c>
      <c r="N748" s="2" t="s">
        <v>12</v>
      </c>
      <c r="O748" s="2" t="s">
        <v>12</v>
      </c>
      <c r="P748" s="21" t="s">
        <v>12</v>
      </c>
      <c r="Q748" s="3" t="s">
        <v>12</v>
      </c>
      <c r="R748" s="3" t="s">
        <v>12</v>
      </c>
    </row>
    <row r="749" spans="1:18" x14ac:dyDescent="0.25">
      <c r="A749" s="30">
        <v>45783</v>
      </c>
      <c r="B749" s="28">
        <v>739</v>
      </c>
      <c r="C749" s="28"/>
      <c r="D749" s="2" t="s">
        <v>601</v>
      </c>
      <c r="E749" s="7" t="s">
        <v>920</v>
      </c>
      <c r="F749" s="7"/>
      <c r="G749" s="2" t="s">
        <v>13</v>
      </c>
      <c r="H749" s="2" t="s">
        <v>1051</v>
      </c>
      <c r="I749" s="5">
        <v>597302.63</v>
      </c>
      <c r="J749" s="57"/>
      <c r="K749" s="3">
        <v>4536</v>
      </c>
      <c r="L749" s="2" t="s">
        <v>226</v>
      </c>
      <c r="M749" s="2" t="s">
        <v>12</v>
      </c>
      <c r="N749" s="2" t="s">
        <v>12</v>
      </c>
      <c r="O749" s="2" t="s">
        <v>12</v>
      </c>
      <c r="P749" s="21" t="s">
        <v>12</v>
      </c>
      <c r="Q749" s="3" t="s">
        <v>12</v>
      </c>
      <c r="R749" s="3" t="s">
        <v>80</v>
      </c>
    </row>
    <row r="750" spans="1:18" x14ac:dyDescent="0.25">
      <c r="A750" s="30">
        <v>45783</v>
      </c>
      <c r="B750" s="28">
        <v>740</v>
      </c>
      <c r="C750" s="28"/>
      <c r="D750" s="2" t="s">
        <v>168</v>
      </c>
      <c r="E750" s="7" t="s">
        <v>1052</v>
      </c>
      <c r="F750" s="7"/>
      <c r="G750" s="2" t="s">
        <v>43</v>
      </c>
      <c r="H750" s="2" t="s">
        <v>170</v>
      </c>
      <c r="I750" s="5">
        <v>98779.86</v>
      </c>
      <c r="J750" s="57"/>
      <c r="K750" s="3">
        <v>912</v>
      </c>
      <c r="L750" s="2" t="s">
        <v>64</v>
      </c>
      <c r="M750" s="2" t="s">
        <v>12</v>
      </c>
      <c r="N750" s="2" t="s">
        <v>12</v>
      </c>
      <c r="O750" s="2" t="s">
        <v>12</v>
      </c>
      <c r="P750" s="21" t="s">
        <v>12</v>
      </c>
      <c r="Q750" s="3" t="s">
        <v>12</v>
      </c>
      <c r="R750" s="3" t="s">
        <v>12</v>
      </c>
    </row>
    <row r="751" spans="1:18" x14ac:dyDescent="0.25">
      <c r="A751" s="30">
        <v>45784</v>
      </c>
      <c r="B751" s="28">
        <v>741</v>
      </c>
      <c r="C751" s="28"/>
      <c r="D751" s="2" t="s">
        <v>1053</v>
      </c>
      <c r="E751" s="7" t="s">
        <v>1054</v>
      </c>
      <c r="F751" s="7"/>
      <c r="G751" s="2" t="s">
        <v>97</v>
      </c>
      <c r="H751" s="2" t="s">
        <v>1055</v>
      </c>
      <c r="I751" s="5">
        <v>14913.02</v>
      </c>
      <c r="J751" s="57"/>
      <c r="K751" s="3">
        <v>168</v>
      </c>
      <c r="L751" s="2" t="s">
        <v>64</v>
      </c>
      <c r="M751" s="2" t="s">
        <v>530</v>
      </c>
      <c r="N751" s="2" t="s">
        <v>12</v>
      </c>
      <c r="O751" s="2" t="s">
        <v>12</v>
      </c>
      <c r="P751" s="21" t="s">
        <v>12</v>
      </c>
      <c r="Q751" s="3" t="s">
        <v>1064</v>
      </c>
      <c r="R751" s="3" t="s">
        <v>75</v>
      </c>
    </row>
    <row r="752" spans="1:18" x14ac:dyDescent="0.25">
      <c r="A752" s="30">
        <v>45784</v>
      </c>
      <c r="B752" s="28">
        <v>742</v>
      </c>
      <c r="C752" s="28"/>
      <c r="D752" s="2" t="s">
        <v>23</v>
      </c>
      <c r="E752" s="7" t="s">
        <v>1035</v>
      </c>
      <c r="F752" s="7"/>
      <c r="G752" s="2" t="s">
        <v>20</v>
      </c>
      <c r="H752" s="2" t="s">
        <v>32</v>
      </c>
      <c r="I752" s="5">
        <v>1449.22</v>
      </c>
      <c r="J752" s="57"/>
      <c r="K752" s="3" t="s">
        <v>12</v>
      </c>
      <c r="L752" s="2" t="s">
        <v>226</v>
      </c>
      <c r="M752" s="2" t="s">
        <v>12</v>
      </c>
      <c r="N752" s="2" t="s">
        <v>12</v>
      </c>
      <c r="O752" s="2" t="s">
        <v>12</v>
      </c>
      <c r="P752" s="21" t="s">
        <v>12</v>
      </c>
      <c r="Q752" s="3" t="s">
        <v>12</v>
      </c>
      <c r="R752" s="3" t="s">
        <v>12</v>
      </c>
    </row>
    <row r="753" spans="1:18" x14ac:dyDescent="0.25">
      <c r="A753" s="30">
        <v>45784</v>
      </c>
      <c r="B753" s="28">
        <v>743</v>
      </c>
      <c r="C753" s="28"/>
      <c r="D753" s="2" t="s">
        <v>233</v>
      </c>
      <c r="E753" s="7" t="s">
        <v>1056</v>
      </c>
      <c r="F753" s="7"/>
      <c r="G753" s="2" t="s">
        <v>13</v>
      </c>
      <c r="H753" s="2" t="s">
        <v>235</v>
      </c>
      <c r="I753" s="5">
        <v>7303.35</v>
      </c>
      <c r="J753" s="57"/>
      <c r="K753" s="3">
        <v>72</v>
      </c>
      <c r="L753" s="2" t="s">
        <v>226</v>
      </c>
      <c r="M753" s="2" t="s">
        <v>12</v>
      </c>
      <c r="N753" s="2" t="s">
        <v>12</v>
      </c>
      <c r="O753" s="2" t="s">
        <v>12</v>
      </c>
      <c r="P753" s="21" t="s">
        <v>12</v>
      </c>
      <c r="Q753" s="3" t="s">
        <v>12</v>
      </c>
      <c r="R753" s="3" t="s">
        <v>12</v>
      </c>
    </row>
    <row r="754" spans="1:18" x14ac:dyDescent="0.25">
      <c r="A754" s="30">
        <v>45784</v>
      </c>
      <c r="B754" s="28">
        <v>744</v>
      </c>
      <c r="C754" s="28"/>
      <c r="D754" s="2" t="s">
        <v>233</v>
      </c>
      <c r="E754" s="7" t="s">
        <v>1057</v>
      </c>
      <c r="F754" s="7"/>
      <c r="G754" s="2" t="s">
        <v>13</v>
      </c>
      <c r="H754" s="2" t="s">
        <v>235</v>
      </c>
      <c r="I754" s="5">
        <v>10093.48</v>
      </c>
      <c r="J754" s="57"/>
      <c r="K754" s="3">
        <v>96</v>
      </c>
      <c r="L754" s="2" t="s">
        <v>226</v>
      </c>
      <c r="M754" s="2" t="s">
        <v>12</v>
      </c>
      <c r="N754" s="2" t="s">
        <v>12</v>
      </c>
      <c r="O754" s="2" t="s">
        <v>12</v>
      </c>
      <c r="P754" s="21" t="s">
        <v>12</v>
      </c>
      <c r="Q754" s="3" t="s">
        <v>1063</v>
      </c>
      <c r="R754" s="3" t="s">
        <v>75</v>
      </c>
    </row>
    <row r="755" spans="1:18" x14ac:dyDescent="0.25">
      <c r="A755" s="30">
        <v>45784</v>
      </c>
      <c r="B755" s="28">
        <v>745</v>
      </c>
      <c r="C755" s="28"/>
      <c r="D755" s="2" t="s">
        <v>206</v>
      </c>
      <c r="E755" s="7" t="s">
        <v>1058</v>
      </c>
      <c r="F755" s="7"/>
      <c r="G755" s="2" t="s">
        <v>97</v>
      </c>
      <c r="H755" s="2" t="s">
        <v>616</v>
      </c>
      <c r="I755" s="5">
        <v>24060.02</v>
      </c>
      <c r="J755" s="57"/>
      <c r="K755" s="3">
        <v>264</v>
      </c>
      <c r="L755" s="2" t="s">
        <v>226</v>
      </c>
      <c r="M755" s="2" t="s">
        <v>12</v>
      </c>
      <c r="N755" s="2" t="s">
        <v>12</v>
      </c>
      <c r="O755" s="2" t="s">
        <v>12</v>
      </c>
      <c r="P755" s="21" t="s">
        <v>12</v>
      </c>
      <c r="Q755" s="3" t="s">
        <v>133</v>
      </c>
      <c r="R755" s="3" t="s">
        <v>75</v>
      </c>
    </row>
    <row r="756" spans="1:18" x14ac:dyDescent="0.25">
      <c r="A756" s="30">
        <v>45784</v>
      </c>
      <c r="B756" s="28">
        <v>746</v>
      </c>
      <c r="C756" s="28"/>
      <c r="D756" s="2" t="s">
        <v>178</v>
      </c>
      <c r="E756" s="7" t="s">
        <v>12</v>
      </c>
      <c r="F756" s="7"/>
      <c r="G756" s="2" t="s">
        <v>13</v>
      </c>
      <c r="H756" s="2" t="s">
        <v>180</v>
      </c>
      <c r="I756" s="5">
        <v>102986.36</v>
      </c>
      <c r="J756" s="57"/>
      <c r="K756" s="3">
        <v>1272</v>
      </c>
      <c r="L756" s="2" t="s">
        <v>226</v>
      </c>
      <c r="M756" s="2" t="s">
        <v>530</v>
      </c>
      <c r="N756" s="2" t="s">
        <v>12</v>
      </c>
      <c r="O756" s="2" t="s">
        <v>12</v>
      </c>
      <c r="P756" s="21" t="s">
        <v>12</v>
      </c>
      <c r="Q756" s="3" t="s">
        <v>12</v>
      </c>
      <c r="R756" s="3" t="s">
        <v>12</v>
      </c>
    </row>
    <row r="757" spans="1:18" x14ac:dyDescent="0.25">
      <c r="A757" s="30">
        <v>45784</v>
      </c>
      <c r="B757" s="28">
        <v>747</v>
      </c>
      <c r="C757" s="28"/>
      <c r="D757" s="2" t="s">
        <v>433</v>
      </c>
      <c r="E757" s="7" t="s">
        <v>944</v>
      </c>
      <c r="F757" s="7"/>
      <c r="G757" s="2" t="s">
        <v>97</v>
      </c>
      <c r="H757" s="2" t="s">
        <v>395</v>
      </c>
      <c r="I757" s="5">
        <v>1359159.48</v>
      </c>
      <c r="J757" s="57"/>
      <c r="K757" s="3">
        <v>11952</v>
      </c>
      <c r="L757" s="2" t="s">
        <v>226</v>
      </c>
      <c r="M757" s="2" t="s">
        <v>12</v>
      </c>
      <c r="N757" s="2" t="s">
        <v>12</v>
      </c>
      <c r="O757" s="2" t="s">
        <v>12</v>
      </c>
      <c r="P757" s="21" t="s">
        <v>12</v>
      </c>
      <c r="Q757" s="3" t="s">
        <v>12</v>
      </c>
      <c r="R757" s="3" t="s">
        <v>12</v>
      </c>
    </row>
    <row r="758" spans="1:18" x14ac:dyDescent="0.25">
      <c r="A758" s="30">
        <v>45784</v>
      </c>
      <c r="B758" s="28">
        <v>748</v>
      </c>
      <c r="C758" s="28"/>
      <c r="D758" s="2" t="s">
        <v>933</v>
      </c>
      <c r="E758" s="7" t="s">
        <v>1060</v>
      </c>
      <c r="F758" s="7"/>
      <c r="G758" s="2" t="s">
        <v>20</v>
      </c>
      <c r="H758" s="2" t="s">
        <v>935</v>
      </c>
      <c r="I758" s="5">
        <v>45422.73</v>
      </c>
      <c r="J758" s="57"/>
      <c r="K758" s="3">
        <v>480</v>
      </c>
      <c r="L758" s="2" t="s">
        <v>226</v>
      </c>
      <c r="M758" s="2" t="s">
        <v>12</v>
      </c>
      <c r="N758" s="2" t="s">
        <v>12</v>
      </c>
      <c r="O758" s="2" t="s">
        <v>12</v>
      </c>
      <c r="P758" s="21" t="s">
        <v>12</v>
      </c>
      <c r="Q758" s="3" t="s">
        <v>12</v>
      </c>
      <c r="R758" s="3" t="s">
        <v>12</v>
      </c>
    </row>
    <row r="759" spans="1:18" x14ac:dyDescent="0.25">
      <c r="A759" s="30">
        <v>45784</v>
      </c>
      <c r="B759" s="28">
        <v>749</v>
      </c>
      <c r="C759" s="28"/>
      <c r="D759" s="2" t="s">
        <v>440</v>
      </c>
      <c r="E759" s="7" t="s">
        <v>12</v>
      </c>
      <c r="F759" s="7"/>
      <c r="G759" s="2" t="s">
        <v>111</v>
      </c>
      <c r="H759" s="2" t="s">
        <v>119</v>
      </c>
      <c r="I759" s="5">
        <v>547.96</v>
      </c>
      <c r="J759" s="57"/>
      <c r="K759" s="3"/>
      <c r="L759" s="2" t="s">
        <v>64</v>
      </c>
      <c r="M759" s="2"/>
      <c r="N759" s="2"/>
      <c r="O759" s="2"/>
      <c r="P759" s="21"/>
      <c r="Q759" s="3" t="s">
        <v>12</v>
      </c>
      <c r="R759" s="3" t="s">
        <v>12</v>
      </c>
    </row>
    <row r="760" spans="1:18" x14ac:dyDescent="0.25">
      <c r="A760" s="30">
        <v>45784</v>
      </c>
      <c r="B760" s="28">
        <v>750</v>
      </c>
      <c r="C760" s="28"/>
      <c r="D760" s="2" t="s">
        <v>260</v>
      </c>
      <c r="E760" s="7" t="s">
        <v>12</v>
      </c>
      <c r="F760" s="7"/>
      <c r="G760" s="2" t="s">
        <v>13</v>
      </c>
      <c r="H760" s="2" t="s">
        <v>1061</v>
      </c>
      <c r="I760" s="5">
        <v>698.9</v>
      </c>
      <c r="J760" s="57"/>
      <c r="K760" s="3" t="s">
        <v>12</v>
      </c>
      <c r="L760" s="2" t="s">
        <v>64</v>
      </c>
      <c r="M760" s="2" t="s">
        <v>12</v>
      </c>
      <c r="N760" s="2" t="s">
        <v>12</v>
      </c>
      <c r="O760" s="2" t="s">
        <v>12</v>
      </c>
      <c r="P760" s="21" t="s">
        <v>12</v>
      </c>
      <c r="Q760" s="3" t="s">
        <v>12</v>
      </c>
      <c r="R760" s="3" t="s">
        <v>12</v>
      </c>
    </row>
    <row r="761" spans="1:18" x14ac:dyDescent="0.25">
      <c r="A761" s="30">
        <v>45784</v>
      </c>
      <c r="B761" s="28">
        <v>751</v>
      </c>
      <c r="C761" s="28"/>
      <c r="D761" s="2" t="s">
        <v>492</v>
      </c>
      <c r="E761" s="7" t="s">
        <v>12</v>
      </c>
      <c r="F761" s="7"/>
      <c r="G761" s="2" t="s">
        <v>97</v>
      </c>
      <c r="H761" s="2" t="s">
        <v>242</v>
      </c>
      <c r="I761" s="5">
        <v>2184.7800000000002</v>
      </c>
      <c r="J761" s="57"/>
      <c r="K761" s="3">
        <v>24</v>
      </c>
      <c r="L761" s="2" t="s">
        <v>226</v>
      </c>
      <c r="M761" s="2" t="s">
        <v>12</v>
      </c>
      <c r="N761" s="2" t="s">
        <v>12</v>
      </c>
      <c r="O761" s="2" t="s">
        <v>12</v>
      </c>
      <c r="P761" s="21" t="s">
        <v>12</v>
      </c>
      <c r="Q761" s="3" t="s">
        <v>12</v>
      </c>
      <c r="R761" s="3" t="s">
        <v>12</v>
      </c>
    </row>
    <row r="762" spans="1:18" x14ac:dyDescent="0.25">
      <c r="A762" s="30">
        <v>45784</v>
      </c>
      <c r="B762" s="28">
        <v>752</v>
      </c>
      <c r="C762" s="28"/>
      <c r="D762" s="2" t="s">
        <v>342</v>
      </c>
      <c r="E762" s="7" t="s">
        <v>12</v>
      </c>
      <c r="F762" s="7"/>
      <c r="G762" s="2" t="s">
        <v>13</v>
      </c>
      <c r="H762" s="2" t="s">
        <v>344</v>
      </c>
      <c r="I762" s="5">
        <v>27401.54</v>
      </c>
      <c r="J762" s="57"/>
      <c r="K762" s="3">
        <v>336</v>
      </c>
      <c r="L762" s="2" t="s">
        <v>226</v>
      </c>
      <c r="M762" s="2" t="s">
        <v>12</v>
      </c>
      <c r="N762" s="2" t="s">
        <v>12</v>
      </c>
      <c r="O762" s="2" t="s">
        <v>12</v>
      </c>
      <c r="P762" s="21" t="s">
        <v>12</v>
      </c>
      <c r="Q762" s="3" t="s">
        <v>12</v>
      </c>
      <c r="R762" s="3" t="s">
        <v>12</v>
      </c>
    </row>
    <row r="763" spans="1:18" x14ac:dyDescent="0.25">
      <c r="A763" s="30">
        <v>45784</v>
      </c>
      <c r="B763" s="28">
        <v>753</v>
      </c>
      <c r="C763" s="28"/>
      <c r="D763" s="2" t="s">
        <v>637</v>
      </c>
      <c r="E763" s="7" t="s">
        <v>1062</v>
      </c>
      <c r="F763" s="7"/>
      <c r="G763" s="2" t="s">
        <v>13</v>
      </c>
      <c r="H763" s="2" t="s">
        <v>15</v>
      </c>
      <c r="I763" s="5">
        <v>42592.45</v>
      </c>
      <c r="J763" s="57"/>
      <c r="K763" s="3">
        <v>432</v>
      </c>
      <c r="L763" s="2" t="s">
        <v>226</v>
      </c>
      <c r="M763" s="2" t="s">
        <v>12</v>
      </c>
      <c r="N763" s="2" t="s">
        <v>12</v>
      </c>
      <c r="O763" s="2" t="s">
        <v>12</v>
      </c>
      <c r="P763" s="21" t="s">
        <v>12</v>
      </c>
      <c r="Q763" s="3" t="s">
        <v>77</v>
      </c>
      <c r="R763" s="3" t="s">
        <v>80</v>
      </c>
    </row>
    <row r="764" spans="1:18" x14ac:dyDescent="0.25">
      <c r="A764" s="30">
        <v>45785</v>
      </c>
      <c r="B764" s="28">
        <v>754</v>
      </c>
      <c r="C764" s="28"/>
      <c r="D764" s="2" t="s">
        <v>1068</v>
      </c>
      <c r="E764" s="7" t="s">
        <v>12</v>
      </c>
      <c r="F764" s="7"/>
      <c r="G764" s="2" t="s">
        <v>13</v>
      </c>
      <c r="H764" s="2" t="s">
        <v>1069</v>
      </c>
      <c r="I764" s="5">
        <v>7342.77</v>
      </c>
      <c r="J764" s="57"/>
      <c r="K764" s="3">
        <v>75.599999999999994</v>
      </c>
      <c r="L764" s="2" t="s">
        <v>226</v>
      </c>
      <c r="M764" s="2" t="s">
        <v>12</v>
      </c>
      <c r="N764" s="2" t="s">
        <v>12</v>
      </c>
      <c r="O764" s="2" t="s">
        <v>12</v>
      </c>
      <c r="P764" s="21" t="s">
        <v>12</v>
      </c>
      <c r="Q764" s="3" t="s">
        <v>12</v>
      </c>
      <c r="R764" s="3" t="s">
        <v>12</v>
      </c>
    </row>
    <row r="765" spans="1:18" x14ac:dyDescent="0.25">
      <c r="A765" s="30">
        <v>45785</v>
      </c>
      <c r="B765" s="28">
        <v>755</v>
      </c>
      <c r="C765" s="28"/>
      <c r="D765" s="2" t="s">
        <v>87</v>
      </c>
      <c r="E765" s="7" t="s">
        <v>1062</v>
      </c>
      <c r="F765" s="7"/>
      <c r="G765" s="2" t="s">
        <v>13</v>
      </c>
      <c r="H765" s="2" t="s">
        <v>185</v>
      </c>
      <c r="I765" s="5">
        <v>42592.45</v>
      </c>
      <c r="J765" s="57"/>
      <c r="K765" s="3">
        <v>432</v>
      </c>
      <c r="L765" s="2" t="s">
        <v>226</v>
      </c>
      <c r="M765" s="2" t="s">
        <v>12</v>
      </c>
      <c r="N765" s="2" t="s">
        <v>12</v>
      </c>
      <c r="O765" s="2" t="s">
        <v>12</v>
      </c>
      <c r="P765" s="21" t="s">
        <v>12</v>
      </c>
      <c r="Q765" s="3" t="s">
        <v>77</v>
      </c>
      <c r="R765" s="3" t="s">
        <v>80</v>
      </c>
    </row>
    <row r="766" spans="1:18" x14ac:dyDescent="0.25">
      <c r="A766" s="30">
        <v>45785</v>
      </c>
      <c r="B766" s="28">
        <v>756</v>
      </c>
      <c r="C766" s="28"/>
      <c r="D766" s="2" t="s">
        <v>163</v>
      </c>
      <c r="E766" s="7" t="s">
        <v>1070</v>
      </c>
      <c r="F766" s="7"/>
      <c r="G766" s="2" t="s">
        <v>97</v>
      </c>
      <c r="H766" s="2" t="s">
        <v>189</v>
      </c>
      <c r="I766" s="5">
        <v>26546.16</v>
      </c>
      <c r="J766" s="57"/>
      <c r="K766" s="3">
        <v>336</v>
      </c>
      <c r="L766" s="2" t="s">
        <v>64</v>
      </c>
      <c r="M766" s="2" t="s">
        <v>12</v>
      </c>
      <c r="N766" s="2" t="s">
        <v>12</v>
      </c>
      <c r="O766" s="2" t="s">
        <v>12</v>
      </c>
      <c r="P766" s="21" t="s">
        <v>12</v>
      </c>
      <c r="Q766" s="3" t="s">
        <v>12</v>
      </c>
      <c r="R766" s="3" t="s">
        <v>12</v>
      </c>
    </row>
    <row r="767" spans="1:18" x14ac:dyDescent="0.25">
      <c r="A767" s="30">
        <v>45785</v>
      </c>
      <c r="B767" s="28">
        <v>757</v>
      </c>
      <c r="C767" s="28"/>
      <c r="D767" s="2" t="s">
        <v>862</v>
      </c>
      <c r="E767" s="7" t="s">
        <v>12</v>
      </c>
      <c r="F767" s="7"/>
      <c r="G767" s="2" t="s">
        <v>13</v>
      </c>
      <c r="H767" s="2" t="s">
        <v>863</v>
      </c>
      <c r="I767" s="5">
        <v>1688.03</v>
      </c>
      <c r="J767" s="57"/>
      <c r="K767" s="3">
        <v>24</v>
      </c>
      <c r="L767" s="2" t="s">
        <v>226</v>
      </c>
      <c r="M767" s="2" t="s">
        <v>12</v>
      </c>
      <c r="N767" s="2" t="s">
        <v>12</v>
      </c>
      <c r="O767" s="2" t="s">
        <v>12</v>
      </c>
      <c r="P767" s="21" t="s">
        <v>12</v>
      </c>
      <c r="Q767" s="3" t="s">
        <v>12</v>
      </c>
      <c r="R767" s="3" t="s">
        <v>12</v>
      </c>
    </row>
    <row r="768" spans="1:18" x14ac:dyDescent="0.25">
      <c r="A768" s="30">
        <v>45785</v>
      </c>
      <c r="B768" s="28">
        <v>758</v>
      </c>
      <c r="C768" s="28"/>
      <c r="D768" s="2" t="s">
        <v>393</v>
      </c>
      <c r="E768" s="7" t="s">
        <v>1041</v>
      </c>
      <c r="F768" s="7"/>
      <c r="G768" s="2" t="s">
        <v>43</v>
      </c>
      <c r="H768" s="2" t="s">
        <v>43</v>
      </c>
      <c r="I768" s="5">
        <v>70461.83</v>
      </c>
      <c r="J768" s="57"/>
      <c r="K768" s="3">
        <v>720</v>
      </c>
      <c r="L768" s="2" t="s">
        <v>226</v>
      </c>
      <c r="M768" s="2" t="s">
        <v>12</v>
      </c>
      <c r="N768" s="2" t="s">
        <v>12</v>
      </c>
      <c r="O768" s="2" t="s">
        <v>12</v>
      </c>
      <c r="P768" s="21" t="s">
        <v>12</v>
      </c>
      <c r="Q768" s="3" t="s">
        <v>1099</v>
      </c>
      <c r="R768" s="3" t="s">
        <v>80</v>
      </c>
    </row>
    <row r="769" spans="1:18" x14ac:dyDescent="0.25">
      <c r="A769" s="30">
        <v>45785</v>
      </c>
      <c r="B769" s="28">
        <v>759</v>
      </c>
      <c r="C769" s="28"/>
      <c r="D769" s="2" t="s">
        <v>130</v>
      </c>
      <c r="E769" s="7" t="s">
        <v>1071</v>
      </c>
      <c r="F769" s="7"/>
      <c r="G769" s="2" t="s">
        <v>26</v>
      </c>
      <c r="H769" s="2" t="s">
        <v>294</v>
      </c>
      <c r="I769" s="5">
        <v>193915.31</v>
      </c>
      <c r="J769" s="57"/>
      <c r="K769" s="3">
        <v>1848</v>
      </c>
      <c r="L769" s="2" t="s">
        <v>226</v>
      </c>
      <c r="M769" s="2" t="s">
        <v>12</v>
      </c>
      <c r="N769" s="2" t="s">
        <v>12</v>
      </c>
      <c r="O769" s="2" t="s">
        <v>12</v>
      </c>
      <c r="P769" s="21" t="s">
        <v>12</v>
      </c>
      <c r="Q769" s="3" t="s">
        <v>1103</v>
      </c>
      <c r="R769" s="3" t="s">
        <v>80</v>
      </c>
    </row>
    <row r="770" spans="1:18" x14ac:dyDescent="0.25">
      <c r="A770" s="30">
        <v>45785</v>
      </c>
      <c r="B770" s="28">
        <v>760</v>
      </c>
      <c r="C770" s="28"/>
      <c r="D770" s="2" t="s">
        <v>56</v>
      </c>
      <c r="E770" s="7" t="s">
        <v>1041</v>
      </c>
      <c r="F770" s="7"/>
      <c r="G770" s="2" t="s">
        <v>13</v>
      </c>
      <c r="H770" s="2" t="s">
        <v>58</v>
      </c>
      <c r="I770" s="5">
        <v>70461.83</v>
      </c>
      <c r="J770" s="57"/>
      <c r="K770" s="3">
        <v>720</v>
      </c>
      <c r="L770" s="2" t="s">
        <v>226</v>
      </c>
      <c r="M770" s="2" t="s">
        <v>12</v>
      </c>
      <c r="N770" s="2" t="s">
        <v>12</v>
      </c>
      <c r="O770" s="2" t="s">
        <v>12</v>
      </c>
      <c r="P770" s="21" t="s">
        <v>12</v>
      </c>
      <c r="Q770" s="3" t="s">
        <v>1099</v>
      </c>
      <c r="R770" s="3" t="s">
        <v>80</v>
      </c>
    </row>
    <row r="771" spans="1:18" x14ac:dyDescent="0.25">
      <c r="A771" s="30">
        <v>45786</v>
      </c>
      <c r="B771" s="28">
        <v>761</v>
      </c>
      <c r="C771" s="28"/>
      <c r="D771" s="2" t="s">
        <v>41</v>
      </c>
      <c r="E771" s="7" t="s">
        <v>970</v>
      </c>
      <c r="F771" s="7"/>
      <c r="G771" s="2" t="s">
        <v>43</v>
      </c>
      <c r="H771" s="2" t="s">
        <v>158</v>
      </c>
      <c r="I771" s="5">
        <v>80000</v>
      </c>
      <c r="J771" s="57"/>
      <c r="K771" s="3">
        <v>912</v>
      </c>
      <c r="L771" s="2" t="s">
        <v>64</v>
      </c>
      <c r="M771" s="2" t="s">
        <v>12</v>
      </c>
      <c r="N771" s="2" t="s">
        <v>12</v>
      </c>
      <c r="O771" s="2" t="s">
        <v>12</v>
      </c>
      <c r="P771" s="21" t="s">
        <v>12</v>
      </c>
      <c r="Q771" s="3" t="s">
        <v>12</v>
      </c>
      <c r="R771" s="3" t="s">
        <v>12</v>
      </c>
    </row>
    <row r="772" spans="1:18" x14ac:dyDescent="0.25">
      <c r="A772" s="30">
        <v>45785</v>
      </c>
      <c r="B772" s="28">
        <v>762</v>
      </c>
      <c r="C772" s="28"/>
      <c r="D772" s="2" t="s">
        <v>646</v>
      </c>
      <c r="E772" s="7" t="s">
        <v>12</v>
      </c>
      <c r="F772" s="7"/>
      <c r="G772" s="2" t="s">
        <v>13</v>
      </c>
      <c r="H772" s="2" t="s">
        <v>874</v>
      </c>
      <c r="I772" s="5">
        <v>34614.559999999998</v>
      </c>
      <c r="J772" s="57"/>
      <c r="K772" s="3">
        <v>507</v>
      </c>
      <c r="L772" s="2" t="s">
        <v>64</v>
      </c>
      <c r="M772" s="2" t="s">
        <v>12</v>
      </c>
      <c r="N772" s="2" t="s">
        <v>12</v>
      </c>
      <c r="O772" s="2" t="s">
        <v>12</v>
      </c>
      <c r="P772" s="21" t="s">
        <v>12</v>
      </c>
      <c r="Q772" s="3" t="s">
        <v>12</v>
      </c>
      <c r="R772" s="3" t="s">
        <v>12</v>
      </c>
    </row>
    <row r="773" spans="1:18" x14ac:dyDescent="0.25">
      <c r="A773" s="30">
        <v>45785</v>
      </c>
      <c r="B773" s="28">
        <v>763</v>
      </c>
      <c r="C773" s="28"/>
      <c r="D773" s="2" t="s">
        <v>190</v>
      </c>
      <c r="E773" s="7" t="s">
        <v>1172</v>
      </c>
      <c r="F773" s="7"/>
      <c r="G773" s="2" t="s">
        <v>111</v>
      </c>
      <c r="H773" s="2" t="s">
        <v>769</v>
      </c>
      <c r="I773" s="5">
        <v>152539.62</v>
      </c>
      <c r="J773" s="57"/>
      <c r="K773" s="3"/>
      <c r="L773" s="2" t="s">
        <v>226</v>
      </c>
      <c r="M773" s="2"/>
      <c r="N773" s="2"/>
      <c r="O773" s="2"/>
      <c r="P773" s="21"/>
      <c r="Q773" s="3" t="s">
        <v>12</v>
      </c>
      <c r="R773" s="3" t="s">
        <v>12</v>
      </c>
    </row>
    <row r="774" spans="1:18" x14ac:dyDescent="0.25">
      <c r="A774" s="30">
        <v>45786</v>
      </c>
      <c r="B774" s="28">
        <v>764</v>
      </c>
      <c r="C774" s="28"/>
      <c r="D774" s="2" t="s">
        <v>41</v>
      </c>
      <c r="E774" s="7" t="s">
        <v>1072</v>
      </c>
      <c r="F774" s="7"/>
      <c r="G774" s="2" t="s">
        <v>43</v>
      </c>
      <c r="H774" s="2" t="s">
        <v>43</v>
      </c>
      <c r="I774" s="5">
        <v>143240.6</v>
      </c>
      <c r="J774" s="57"/>
      <c r="K774" s="3">
        <v>1344</v>
      </c>
      <c r="L774" s="2" t="s">
        <v>226</v>
      </c>
      <c r="M774" s="2" t="s">
        <v>1164</v>
      </c>
      <c r="N774" s="2" t="s">
        <v>12</v>
      </c>
      <c r="O774" s="2" t="s">
        <v>12</v>
      </c>
      <c r="P774" s="21" t="s">
        <v>12</v>
      </c>
      <c r="Q774" s="3" t="s">
        <v>1101</v>
      </c>
      <c r="R774" s="3" t="s">
        <v>1102</v>
      </c>
    </row>
    <row r="775" spans="1:18" x14ac:dyDescent="0.25">
      <c r="A775" s="30">
        <v>45786</v>
      </c>
      <c r="B775" s="28">
        <v>765</v>
      </c>
      <c r="C775" s="28"/>
      <c r="D775" s="2" t="s">
        <v>87</v>
      </c>
      <c r="E775" s="7" t="s">
        <v>1073</v>
      </c>
      <c r="F775" s="7"/>
      <c r="G775" s="2" t="s">
        <v>13</v>
      </c>
      <c r="H775" s="2" t="s">
        <v>185</v>
      </c>
      <c r="I775" s="5">
        <v>270214.89</v>
      </c>
      <c r="J775" s="57"/>
      <c r="K775" s="3">
        <v>2864.4</v>
      </c>
      <c r="L775" s="2" t="s">
        <v>226</v>
      </c>
      <c r="M775" s="2" t="s">
        <v>12</v>
      </c>
      <c r="N775" s="2" t="s">
        <v>12</v>
      </c>
      <c r="O775" s="2" t="s">
        <v>12</v>
      </c>
      <c r="P775" s="21" t="s">
        <v>12</v>
      </c>
      <c r="Q775" s="3" t="s">
        <v>77</v>
      </c>
      <c r="R775" s="3" t="s">
        <v>80</v>
      </c>
    </row>
    <row r="776" spans="1:18" x14ac:dyDescent="0.25">
      <c r="A776" s="30">
        <v>45786</v>
      </c>
      <c r="B776" s="28">
        <v>766</v>
      </c>
      <c r="C776" s="28"/>
      <c r="D776" s="2" t="s">
        <v>737</v>
      </c>
      <c r="E776" s="7" t="s">
        <v>1036</v>
      </c>
      <c r="F776" s="7"/>
      <c r="G776" s="2" t="s">
        <v>13</v>
      </c>
      <c r="H776" s="2" t="s">
        <v>235</v>
      </c>
      <c r="I776" s="5">
        <v>15316.52</v>
      </c>
      <c r="J776" s="57"/>
      <c r="K776" s="3">
        <v>192</v>
      </c>
      <c r="L776" s="2" t="s">
        <v>226</v>
      </c>
      <c r="M776" s="2" t="s">
        <v>12</v>
      </c>
      <c r="N776" s="2" t="s">
        <v>12</v>
      </c>
      <c r="O776" s="2" t="s">
        <v>12</v>
      </c>
      <c r="P776" s="21" t="s">
        <v>12</v>
      </c>
      <c r="Q776" s="3" t="s">
        <v>12</v>
      </c>
      <c r="R776" s="3" t="s">
        <v>12</v>
      </c>
    </row>
    <row r="777" spans="1:18" x14ac:dyDescent="0.25">
      <c r="A777" s="30">
        <v>45786</v>
      </c>
      <c r="B777" s="28">
        <v>767</v>
      </c>
      <c r="C777" s="28"/>
      <c r="D777" s="2" t="s">
        <v>1237</v>
      </c>
      <c r="E777" s="7" t="s">
        <v>1074</v>
      </c>
      <c r="F777" s="7"/>
      <c r="G777" s="2" t="s">
        <v>20</v>
      </c>
      <c r="H777" s="2" t="s">
        <v>251</v>
      </c>
      <c r="I777" s="5">
        <v>12383.51</v>
      </c>
      <c r="J777" s="57"/>
      <c r="K777" s="3">
        <v>144</v>
      </c>
      <c r="L777" s="2" t="s">
        <v>226</v>
      </c>
      <c r="M777" s="2" t="s">
        <v>12</v>
      </c>
      <c r="N777" s="2" t="s">
        <v>12</v>
      </c>
      <c r="O777" s="2" t="s">
        <v>12</v>
      </c>
      <c r="P777" s="21" t="s">
        <v>12</v>
      </c>
      <c r="Q777" s="3" t="s">
        <v>12</v>
      </c>
      <c r="R777" s="3" t="s">
        <v>12</v>
      </c>
    </row>
    <row r="778" spans="1:18" x14ac:dyDescent="0.25">
      <c r="A778" s="30">
        <v>45786</v>
      </c>
      <c r="B778" s="28">
        <v>768</v>
      </c>
      <c r="C778" s="28"/>
      <c r="D778" s="2" t="s">
        <v>41</v>
      </c>
      <c r="E778" s="7" t="s">
        <v>970</v>
      </c>
      <c r="F778" s="7"/>
      <c r="G778" s="2" t="s">
        <v>43</v>
      </c>
      <c r="H778" s="2" t="s">
        <v>158</v>
      </c>
      <c r="I778" s="5">
        <v>80000</v>
      </c>
      <c r="J778" s="57"/>
      <c r="K778" s="3">
        <v>1008</v>
      </c>
      <c r="L778" s="2" t="s">
        <v>64</v>
      </c>
      <c r="M778" s="2" t="s">
        <v>12</v>
      </c>
      <c r="N778" s="2" t="s">
        <v>12</v>
      </c>
      <c r="O778" s="2" t="s">
        <v>12</v>
      </c>
      <c r="P778" s="21" t="s">
        <v>12</v>
      </c>
      <c r="Q778" s="3" t="s">
        <v>12</v>
      </c>
      <c r="R778" s="3" t="s">
        <v>12</v>
      </c>
    </row>
    <row r="779" spans="1:18" x14ac:dyDescent="0.25">
      <c r="A779" s="30">
        <v>45786</v>
      </c>
      <c r="B779" s="28">
        <v>769</v>
      </c>
      <c r="C779" s="28"/>
      <c r="D779" s="2" t="s">
        <v>309</v>
      </c>
      <c r="E779" s="7" t="s">
        <v>1075</v>
      </c>
      <c r="F779" s="7"/>
      <c r="G779" s="2" t="s">
        <v>43</v>
      </c>
      <c r="H779" s="2" t="s">
        <v>1037</v>
      </c>
      <c r="I779" s="5">
        <v>31120.1</v>
      </c>
      <c r="J779" s="57"/>
      <c r="K779" s="3">
        <v>360</v>
      </c>
      <c r="L779" s="2" t="s">
        <v>226</v>
      </c>
      <c r="M779" s="2" t="s">
        <v>12</v>
      </c>
      <c r="N779" s="2" t="s">
        <v>12</v>
      </c>
      <c r="O779" s="2" t="s">
        <v>12</v>
      </c>
      <c r="P779" s="21" t="s">
        <v>12</v>
      </c>
      <c r="Q779" s="3" t="s">
        <v>12</v>
      </c>
      <c r="R779" s="3" t="s">
        <v>12</v>
      </c>
    </row>
    <row r="780" spans="1:18" x14ac:dyDescent="0.25">
      <c r="A780" s="30">
        <v>45786</v>
      </c>
      <c r="B780" s="28">
        <v>770</v>
      </c>
      <c r="C780" s="28"/>
      <c r="D780" s="2" t="s">
        <v>1076</v>
      </c>
      <c r="E780" s="7" t="s">
        <v>12</v>
      </c>
      <c r="F780" s="7"/>
      <c r="G780" s="2" t="s">
        <v>13</v>
      </c>
      <c r="H780" s="2" t="s">
        <v>1077</v>
      </c>
      <c r="I780" s="5">
        <v>5630.01</v>
      </c>
      <c r="J780" s="57"/>
      <c r="K780" s="3">
        <v>96</v>
      </c>
      <c r="L780" s="2" t="s">
        <v>64</v>
      </c>
      <c r="M780" s="2" t="s">
        <v>12</v>
      </c>
      <c r="N780" s="2" t="s">
        <v>12</v>
      </c>
      <c r="O780" s="2" t="s">
        <v>12</v>
      </c>
      <c r="P780" s="21" t="s">
        <v>12</v>
      </c>
      <c r="Q780" s="3" t="s">
        <v>12</v>
      </c>
      <c r="R780" s="3" t="s">
        <v>12</v>
      </c>
    </row>
    <row r="781" spans="1:18" x14ac:dyDescent="0.25">
      <c r="A781" s="30">
        <v>45786</v>
      </c>
      <c r="B781" s="28">
        <v>771</v>
      </c>
      <c r="C781" s="28"/>
      <c r="D781" s="2" t="s">
        <v>1078</v>
      </c>
      <c r="E781" s="7" t="s">
        <v>1079</v>
      </c>
      <c r="F781" s="7"/>
      <c r="G781" s="2" t="s">
        <v>13</v>
      </c>
      <c r="H781" s="2" t="s">
        <v>1080</v>
      </c>
      <c r="I781" s="5">
        <v>202088.24</v>
      </c>
      <c r="J781" s="57"/>
      <c r="K781" s="3">
        <v>2088</v>
      </c>
      <c r="L781" s="2" t="s">
        <v>226</v>
      </c>
      <c r="M781" s="2" t="s">
        <v>12</v>
      </c>
      <c r="N781" s="2" t="s">
        <v>12</v>
      </c>
      <c r="O781" s="2" t="s">
        <v>12</v>
      </c>
      <c r="P781" s="21" t="s">
        <v>12</v>
      </c>
      <c r="Q781" s="3" t="s">
        <v>12</v>
      </c>
      <c r="R781" s="3" t="s">
        <v>12</v>
      </c>
    </row>
    <row r="782" spans="1:18" x14ac:dyDescent="0.25">
      <c r="A782" s="30">
        <v>45818</v>
      </c>
      <c r="B782" s="28">
        <v>772</v>
      </c>
      <c r="C782" s="28"/>
      <c r="D782" s="2" t="s">
        <v>41</v>
      </c>
      <c r="E782" s="7" t="s">
        <v>1081</v>
      </c>
      <c r="F782" s="7"/>
      <c r="G782" s="2" t="s">
        <v>43</v>
      </c>
      <c r="H782" s="2" t="s">
        <v>158</v>
      </c>
      <c r="I782" s="5">
        <v>216231.62</v>
      </c>
      <c r="J782" s="57"/>
      <c r="K782" s="3">
        <v>2112</v>
      </c>
      <c r="L782" s="2" t="s">
        <v>134</v>
      </c>
      <c r="M782" s="2" t="s">
        <v>1274</v>
      </c>
      <c r="N782" s="2" t="s">
        <v>12</v>
      </c>
      <c r="O782" s="2" t="s">
        <v>12</v>
      </c>
      <c r="P782" s="21" t="s">
        <v>12</v>
      </c>
      <c r="Q782" s="3" t="s">
        <v>12</v>
      </c>
      <c r="R782" s="3" t="s">
        <v>12</v>
      </c>
    </row>
    <row r="783" spans="1:18" x14ac:dyDescent="0.25">
      <c r="A783" s="30">
        <v>45789</v>
      </c>
      <c r="B783" s="28">
        <v>773</v>
      </c>
      <c r="C783" s="28"/>
      <c r="D783" s="2" t="s">
        <v>95</v>
      </c>
      <c r="E783" s="7" t="s">
        <v>1082</v>
      </c>
      <c r="F783" s="7"/>
      <c r="G783" s="2" t="s">
        <v>97</v>
      </c>
      <c r="H783" s="2" t="s">
        <v>98</v>
      </c>
      <c r="I783" s="5">
        <v>41000.25</v>
      </c>
      <c r="J783" s="57"/>
      <c r="K783" s="3">
        <v>504</v>
      </c>
      <c r="L783" s="2" t="s">
        <v>64</v>
      </c>
      <c r="M783" s="2" t="s">
        <v>12</v>
      </c>
      <c r="N783" s="2" t="s">
        <v>12</v>
      </c>
      <c r="O783" s="2" t="s">
        <v>12</v>
      </c>
      <c r="P783" s="21" t="s">
        <v>12</v>
      </c>
      <c r="Q783" s="3" t="s">
        <v>12</v>
      </c>
      <c r="R783" s="3" t="s">
        <v>12</v>
      </c>
    </row>
    <row r="784" spans="1:18" x14ac:dyDescent="0.25">
      <c r="A784" s="30">
        <v>45789</v>
      </c>
      <c r="B784" s="28">
        <v>774</v>
      </c>
      <c r="C784" s="28"/>
      <c r="D784" s="2" t="s">
        <v>208</v>
      </c>
      <c r="E784" s="7" t="s">
        <v>1083</v>
      </c>
      <c r="F784" s="7"/>
      <c r="G784" s="2" t="s">
        <v>43</v>
      </c>
      <c r="H784" s="2" t="s">
        <v>448</v>
      </c>
      <c r="I784" s="5">
        <v>133554.85</v>
      </c>
      <c r="J784" s="57"/>
      <c r="K784" s="3">
        <v>1392</v>
      </c>
      <c r="L784" s="2" t="s">
        <v>226</v>
      </c>
      <c r="M784" s="2" t="s">
        <v>12</v>
      </c>
      <c r="N784" s="2" t="s">
        <v>12</v>
      </c>
      <c r="O784" s="2" t="s">
        <v>12</v>
      </c>
      <c r="P784" s="21" t="s">
        <v>12</v>
      </c>
      <c r="Q784" s="3" t="s">
        <v>223</v>
      </c>
      <c r="R784" s="3" t="s">
        <v>80</v>
      </c>
    </row>
    <row r="785" spans="1:18" x14ac:dyDescent="0.25">
      <c r="A785" s="30">
        <v>45789</v>
      </c>
      <c r="B785" s="28">
        <v>775</v>
      </c>
      <c r="C785" s="28"/>
      <c r="D785" s="2" t="s">
        <v>208</v>
      </c>
      <c r="E785" s="7" t="s">
        <v>1084</v>
      </c>
      <c r="F785" s="7"/>
      <c r="G785" s="2" t="s">
        <v>43</v>
      </c>
      <c r="H785" s="2" t="s">
        <v>210</v>
      </c>
      <c r="I785" s="5">
        <v>91396.85</v>
      </c>
      <c r="J785" s="57"/>
      <c r="K785" s="3">
        <v>1032</v>
      </c>
      <c r="L785" s="2" t="s">
        <v>226</v>
      </c>
      <c r="M785" s="2" t="s">
        <v>12</v>
      </c>
      <c r="N785" s="2" t="s">
        <v>12</v>
      </c>
      <c r="O785" s="2" t="s">
        <v>12</v>
      </c>
      <c r="P785" s="21" t="s">
        <v>12</v>
      </c>
      <c r="Q785" s="3" t="s">
        <v>223</v>
      </c>
      <c r="R785" s="3" t="s">
        <v>80</v>
      </c>
    </row>
    <row r="786" spans="1:18" x14ac:dyDescent="0.25">
      <c r="A786" s="30">
        <v>45790</v>
      </c>
      <c r="B786" s="28">
        <v>776</v>
      </c>
      <c r="C786" s="28"/>
      <c r="D786" s="2" t="s">
        <v>276</v>
      </c>
      <c r="E786" s="7" t="s">
        <v>12</v>
      </c>
      <c r="F786" s="7"/>
      <c r="G786" s="2" t="s">
        <v>43</v>
      </c>
      <c r="H786" s="2" t="s">
        <v>108</v>
      </c>
      <c r="I786" s="5">
        <v>1541.45</v>
      </c>
      <c r="J786" s="57"/>
      <c r="K786" s="3">
        <v>24</v>
      </c>
      <c r="L786" s="2" t="s">
        <v>64</v>
      </c>
      <c r="M786" s="2" t="s">
        <v>12</v>
      </c>
      <c r="N786" s="2" t="s">
        <v>12</v>
      </c>
      <c r="O786" s="2" t="s">
        <v>12</v>
      </c>
      <c r="P786" s="21" t="s">
        <v>12</v>
      </c>
      <c r="Q786" s="3" t="s">
        <v>12</v>
      </c>
      <c r="R786" s="3" t="s">
        <v>12</v>
      </c>
    </row>
    <row r="787" spans="1:18" x14ac:dyDescent="0.25">
      <c r="A787" s="30">
        <v>45789</v>
      </c>
      <c r="B787" s="28">
        <v>777</v>
      </c>
      <c r="C787" s="28"/>
      <c r="D787" s="2" t="s">
        <v>1085</v>
      </c>
      <c r="E787" s="7" t="s">
        <v>12</v>
      </c>
      <c r="F787" s="7"/>
      <c r="G787" s="2" t="s">
        <v>13</v>
      </c>
      <c r="H787" s="2" t="s">
        <v>722</v>
      </c>
      <c r="I787" s="5">
        <v>10007.280000000001</v>
      </c>
      <c r="J787" s="57"/>
      <c r="K787" s="3">
        <v>120</v>
      </c>
      <c r="L787" s="2" t="s">
        <v>226</v>
      </c>
      <c r="M787" s="2" t="s">
        <v>12</v>
      </c>
      <c r="N787" s="2" t="s">
        <v>12</v>
      </c>
      <c r="O787" s="2" t="s">
        <v>12</v>
      </c>
      <c r="P787" s="21" t="s">
        <v>12</v>
      </c>
      <c r="Q787" s="3" t="s">
        <v>12</v>
      </c>
      <c r="R787" s="3" t="s">
        <v>12</v>
      </c>
    </row>
    <row r="788" spans="1:18" x14ac:dyDescent="0.25">
      <c r="A788" s="30">
        <v>45790</v>
      </c>
      <c r="B788" s="28">
        <v>778</v>
      </c>
      <c r="C788" s="28"/>
      <c r="D788" s="2" t="s">
        <v>33</v>
      </c>
      <c r="E788" s="7" t="s">
        <v>1086</v>
      </c>
      <c r="F788" s="7"/>
      <c r="G788" s="2" t="s">
        <v>13</v>
      </c>
      <c r="H788" s="2" t="s">
        <v>35</v>
      </c>
      <c r="I788" s="5">
        <v>2391.6</v>
      </c>
      <c r="J788" s="57"/>
      <c r="K788" s="3">
        <v>24</v>
      </c>
      <c r="L788" s="2" t="s">
        <v>226</v>
      </c>
      <c r="M788" s="2" t="s">
        <v>12</v>
      </c>
      <c r="N788" s="2" t="s">
        <v>12</v>
      </c>
      <c r="O788" s="2" t="s">
        <v>12</v>
      </c>
      <c r="P788" s="21" t="s">
        <v>12</v>
      </c>
      <c r="Q788" s="3" t="s">
        <v>12</v>
      </c>
      <c r="R788" s="3" t="s">
        <v>12</v>
      </c>
    </row>
    <row r="789" spans="1:18" x14ac:dyDescent="0.25">
      <c r="A789" s="30">
        <v>45789</v>
      </c>
      <c r="B789" s="28">
        <v>779</v>
      </c>
      <c r="C789" s="28"/>
      <c r="D789" s="2" t="s">
        <v>1087</v>
      </c>
      <c r="E789" s="7" t="s">
        <v>1088</v>
      </c>
      <c r="F789" s="7"/>
      <c r="G789" s="2" t="s">
        <v>13</v>
      </c>
      <c r="H789" s="2" t="s">
        <v>270</v>
      </c>
      <c r="I789" s="5">
        <v>24035.19</v>
      </c>
      <c r="J789" s="57"/>
      <c r="K789" s="3">
        <v>264</v>
      </c>
      <c r="L789" s="2" t="s">
        <v>226</v>
      </c>
      <c r="M789" s="2" t="s">
        <v>12</v>
      </c>
      <c r="N789" s="2" t="s">
        <v>12</v>
      </c>
      <c r="O789" s="2" t="s">
        <v>12</v>
      </c>
      <c r="P789" s="21" t="s">
        <v>12</v>
      </c>
      <c r="Q789" s="3" t="s">
        <v>12</v>
      </c>
      <c r="R789" s="3" t="s">
        <v>12</v>
      </c>
    </row>
    <row r="790" spans="1:18" x14ac:dyDescent="0.25">
      <c r="A790" s="30">
        <v>45789</v>
      </c>
      <c r="B790" s="28">
        <v>780</v>
      </c>
      <c r="C790" s="28"/>
      <c r="D790" s="2" t="s">
        <v>1089</v>
      </c>
      <c r="E790" s="7" t="s">
        <v>12</v>
      </c>
      <c r="F790" s="7"/>
      <c r="G790" s="2" t="s">
        <v>13</v>
      </c>
      <c r="H790" s="2" t="s">
        <v>448</v>
      </c>
      <c r="I790" s="5">
        <v>6743.46</v>
      </c>
      <c r="J790" s="57"/>
      <c r="K790" s="3">
        <v>96</v>
      </c>
      <c r="L790" s="2" t="s">
        <v>226</v>
      </c>
      <c r="M790" s="2" t="s">
        <v>12</v>
      </c>
      <c r="N790" s="2" t="s">
        <v>12</v>
      </c>
      <c r="O790" s="2" t="s">
        <v>12</v>
      </c>
      <c r="P790" s="21" t="s">
        <v>12</v>
      </c>
      <c r="Q790" s="3" t="s">
        <v>12</v>
      </c>
      <c r="R790" s="3" t="s">
        <v>12</v>
      </c>
    </row>
    <row r="791" spans="1:18" x14ac:dyDescent="0.25">
      <c r="A791" s="30">
        <v>45789</v>
      </c>
      <c r="B791" s="28">
        <v>781</v>
      </c>
      <c r="C791" s="28"/>
      <c r="D791" s="2" t="s">
        <v>208</v>
      </c>
      <c r="E791" s="7" t="s">
        <v>997</v>
      </c>
      <c r="F791" s="7"/>
      <c r="G791" s="2" t="s">
        <v>43</v>
      </c>
      <c r="H791" s="2" t="s">
        <v>210</v>
      </c>
      <c r="I791" s="5">
        <v>52591.79</v>
      </c>
      <c r="J791" s="57"/>
      <c r="K791" s="3">
        <v>552</v>
      </c>
      <c r="L791" s="2" t="s">
        <v>226</v>
      </c>
      <c r="M791" s="2" t="s">
        <v>1275</v>
      </c>
      <c r="N791" s="2" t="s">
        <v>12</v>
      </c>
      <c r="O791" s="2" t="s">
        <v>12</v>
      </c>
      <c r="P791" s="21" t="s">
        <v>12</v>
      </c>
      <c r="Q791" s="3" t="s">
        <v>223</v>
      </c>
      <c r="R791" s="3" t="s">
        <v>80</v>
      </c>
    </row>
    <row r="792" spans="1:18" x14ac:dyDescent="0.25">
      <c r="A792" s="30">
        <v>45789</v>
      </c>
      <c r="B792" s="28">
        <v>782</v>
      </c>
      <c r="C792" s="28"/>
      <c r="D792" s="2" t="s">
        <v>1090</v>
      </c>
      <c r="E792" s="7" t="s">
        <v>12</v>
      </c>
      <c r="F792" s="7"/>
      <c r="G792" s="2" t="s">
        <v>13</v>
      </c>
      <c r="H792" s="2" t="s">
        <v>43</v>
      </c>
      <c r="I792" s="5">
        <v>11420.46</v>
      </c>
      <c r="J792" s="57"/>
      <c r="K792" s="3">
        <v>144</v>
      </c>
      <c r="L792" s="2" t="s">
        <v>226</v>
      </c>
      <c r="M792" s="2" t="s">
        <v>12</v>
      </c>
      <c r="N792" s="2" t="s">
        <v>12</v>
      </c>
      <c r="O792" s="2" t="s">
        <v>12</v>
      </c>
      <c r="P792" s="21" t="s">
        <v>12</v>
      </c>
      <c r="Q792" s="3" t="s">
        <v>12</v>
      </c>
      <c r="R792" s="3" t="s">
        <v>12</v>
      </c>
    </row>
    <row r="793" spans="1:18" x14ac:dyDescent="0.25">
      <c r="A793" s="30">
        <v>45789</v>
      </c>
      <c r="B793" s="28">
        <v>783</v>
      </c>
      <c r="C793" s="28"/>
      <c r="D793" s="2" t="s">
        <v>440</v>
      </c>
      <c r="E793" s="7" t="s">
        <v>12</v>
      </c>
      <c r="F793" s="7"/>
      <c r="G793" s="2" t="s">
        <v>111</v>
      </c>
      <c r="H793" s="2"/>
      <c r="I793" s="5"/>
      <c r="J793" s="57"/>
      <c r="K793" s="3"/>
      <c r="L793" s="2" t="s">
        <v>226</v>
      </c>
      <c r="M793" s="2"/>
      <c r="N793" s="2"/>
      <c r="O793" s="2"/>
      <c r="P793" s="21"/>
      <c r="Q793" s="3" t="s">
        <v>12</v>
      </c>
      <c r="R793" s="3" t="s">
        <v>12</v>
      </c>
    </row>
    <row r="794" spans="1:18" x14ac:dyDescent="0.25">
      <c r="A794" s="30">
        <v>45790</v>
      </c>
      <c r="B794" s="28">
        <v>784</v>
      </c>
      <c r="C794" s="28"/>
      <c r="D794" s="2" t="s">
        <v>243</v>
      </c>
      <c r="E794" s="7" t="s">
        <v>12</v>
      </c>
      <c r="F794" s="7"/>
      <c r="G794" s="2" t="s">
        <v>20</v>
      </c>
      <c r="H794" s="2" t="s">
        <v>244</v>
      </c>
      <c r="I794" s="5">
        <v>4898.3599999999997</v>
      </c>
      <c r="J794" s="57"/>
      <c r="K794" s="3">
        <v>50.4</v>
      </c>
      <c r="L794" s="2" t="s">
        <v>64</v>
      </c>
      <c r="M794" s="2" t="s">
        <v>12</v>
      </c>
      <c r="N794" s="2" t="s">
        <v>12</v>
      </c>
      <c r="O794" s="2" t="s">
        <v>12</v>
      </c>
      <c r="P794" s="21" t="s">
        <v>12</v>
      </c>
      <c r="Q794" s="3" t="s">
        <v>12</v>
      </c>
      <c r="R794" s="3" t="s">
        <v>12</v>
      </c>
    </row>
    <row r="795" spans="1:18" x14ac:dyDescent="0.25">
      <c r="A795" s="30">
        <v>45790</v>
      </c>
      <c r="B795" s="28">
        <v>785</v>
      </c>
      <c r="C795" s="28"/>
      <c r="D795" s="2" t="s">
        <v>306</v>
      </c>
      <c r="E795" s="7" t="s">
        <v>12</v>
      </c>
      <c r="F795" s="7"/>
      <c r="G795" s="2" t="s">
        <v>13</v>
      </c>
      <c r="H795" s="2" t="s">
        <v>307</v>
      </c>
      <c r="I795" s="5">
        <v>10695.11</v>
      </c>
      <c r="J795" s="57"/>
      <c r="K795" s="3">
        <v>144</v>
      </c>
      <c r="L795" s="2" t="s">
        <v>226</v>
      </c>
      <c r="M795" s="2" t="s">
        <v>12</v>
      </c>
      <c r="N795" s="2" t="s">
        <v>12</v>
      </c>
      <c r="O795" s="2" t="s">
        <v>12</v>
      </c>
      <c r="P795" s="21" t="s">
        <v>12</v>
      </c>
      <c r="Q795" s="3" t="s">
        <v>12</v>
      </c>
      <c r="R795" s="3" t="s">
        <v>12</v>
      </c>
    </row>
    <row r="796" spans="1:18" x14ac:dyDescent="0.25">
      <c r="A796" s="30">
        <v>45790</v>
      </c>
      <c r="B796" s="28">
        <v>786</v>
      </c>
      <c r="C796" s="28"/>
      <c r="D796" s="2" t="s">
        <v>204</v>
      </c>
      <c r="E796" s="7" t="s">
        <v>1157</v>
      </c>
      <c r="F796" s="7"/>
      <c r="G796" s="2" t="s">
        <v>26</v>
      </c>
      <c r="H796" s="2" t="s">
        <v>490</v>
      </c>
      <c r="I796" s="5">
        <v>6214.52</v>
      </c>
      <c r="J796" s="57"/>
      <c r="K796" s="3">
        <v>72</v>
      </c>
      <c r="L796" s="2" t="s">
        <v>64</v>
      </c>
      <c r="M796" s="2" t="s">
        <v>12</v>
      </c>
      <c r="N796" s="2" t="s">
        <v>12</v>
      </c>
      <c r="O796" s="2" t="s">
        <v>12</v>
      </c>
      <c r="P796" s="21" t="s">
        <v>12</v>
      </c>
      <c r="Q796" s="3" t="s">
        <v>12</v>
      </c>
      <c r="R796" s="3" t="s">
        <v>12</v>
      </c>
    </row>
    <row r="797" spans="1:18" x14ac:dyDescent="0.25">
      <c r="A797" s="30">
        <v>45790</v>
      </c>
      <c r="B797" s="28">
        <v>787</v>
      </c>
      <c r="C797" s="28"/>
      <c r="D797" s="2" t="s">
        <v>1091</v>
      </c>
      <c r="E797" s="7" t="s">
        <v>1092</v>
      </c>
      <c r="F797" s="7"/>
      <c r="G797" s="2" t="s">
        <v>26</v>
      </c>
      <c r="H797" s="2" t="s">
        <v>225</v>
      </c>
      <c r="I797" s="5">
        <v>37599.129999999997</v>
      </c>
      <c r="J797" s="57"/>
      <c r="K797" s="3">
        <v>384</v>
      </c>
      <c r="L797" s="2" t="s">
        <v>134</v>
      </c>
      <c r="M797" s="2" t="s">
        <v>1166</v>
      </c>
      <c r="N797" s="2" t="s">
        <v>373</v>
      </c>
      <c r="O797" s="2" t="s">
        <v>443</v>
      </c>
      <c r="P797" s="21" t="s">
        <v>12</v>
      </c>
      <c r="Q797" s="3" t="s">
        <v>12</v>
      </c>
      <c r="R797" s="3" t="s">
        <v>12</v>
      </c>
    </row>
    <row r="798" spans="1:18" x14ac:dyDescent="0.25">
      <c r="A798" s="30">
        <v>45790</v>
      </c>
      <c r="B798" s="28">
        <v>788</v>
      </c>
      <c r="C798" s="28"/>
      <c r="D798" s="2" t="s">
        <v>314</v>
      </c>
      <c r="E798" s="7" t="s">
        <v>12</v>
      </c>
      <c r="F798" s="7"/>
      <c r="G798" s="2" t="s">
        <v>97</v>
      </c>
      <c r="H798" s="2" t="s">
        <v>268</v>
      </c>
      <c r="I798" s="5">
        <v>3618.29</v>
      </c>
      <c r="J798" s="57"/>
      <c r="K798" s="3">
        <v>48</v>
      </c>
      <c r="L798" s="2" t="s">
        <v>226</v>
      </c>
      <c r="M798" s="2" t="s">
        <v>12</v>
      </c>
      <c r="N798" s="2" t="s">
        <v>12</v>
      </c>
      <c r="O798" s="2" t="s">
        <v>12</v>
      </c>
      <c r="P798" s="21" t="s">
        <v>12</v>
      </c>
      <c r="Q798" s="3" t="s">
        <v>12</v>
      </c>
      <c r="R798" s="3" t="s">
        <v>12</v>
      </c>
    </row>
    <row r="799" spans="1:18" x14ac:dyDescent="0.25">
      <c r="A799" s="30">
        <v>45790</v>
      </c>
      <c r="B799" s="28">
        <v>789</v>
      </c>
      <c r="C799" s="28"/>
      <c r="D799" s="2" t="s">
        <v>87</v>
      </c>
      <c r="E799" s="7" t="s">
        <v>1093</v>
      </c>
      <c r="F799" s="7"/>
      <c r="G799" s="2" t="s">
        <v>13</v>
      </c>
      <c r="H799" s="2" t="s">
        <v>185</v>
      </c>
      <c r="I799" s="5">
        <v>9626.9500000000007</v>
      </c>
      <c r="J799" s="57"/>
      <c r="K799" s="3">
        <v>96</v>
      </c>
      <c r="L799" s="2" t="s">
        <v>226</v>
      </c>
      <c r="M799" s="2" t="s">
        <v>12</v>
      </c>
      <c r="N799" s="2" t="s">
        <v>12</v>
      </c>
      <c r="O799" s="2" t="s">
        <v>12</v>
      </c>
      <c r="P799" s="21" t="s">
        <v>12</v>
      </c>
      <c r="Q799" s="3" t="s">
        <v>77</v>
      </c>
      <c r="R799" s="3" t="s">
        <v>80</v>
      </c>
    </row>
    <row r="800" spans="1:18" x14ac:dyDescent="0.25">
      <c r="A800" s="30">
        <v>45790</v>
      </c>
      <c r="B800" s="28">
        <v>790</v>
      </c>
      <c r="C800" s="28"/>
      <c r="D800" s="2" t="s">
        <v>87</v>
      </c>
      <c r="E800" s="7" t="s">
        <v>1094</v>
      </c>
      <c r="F800" s="7"/>
      <c r="G800" s="2" t="s">
        <v>13</v>
      </c>
      <c r="H800" s="2" t="s">
        <v>185</v>
      </c>
      <c r="I800" s="5">
        <v>40282.99</v>
      </c>
      <c r="J800" s="57"/>
      <c r="K800" s="3">
        <v>432</v>
      </c>
      <c r="L800" s="2" t="s">
        <v>226</v>
      </c>
      <c r="M800" s="2" t="s">
        <v>12</v>
      </c>
      <c r="N800" s="2" t="s">
        <v>12</v>
      </c>
      <c r="O800" s="2" t="s">
        <v>12</v>
      </c>
      <c r="P800" s="21" t="s">
        <v>12</v>
      </c>
      <c r="Q800" s="3" t="s">
        <v>77</v>
      </c>
      <c r="R800" s="3" t="s">
        <v>80</v>
      </c>
    </row>
    <row r="801" spans="1:18" x14ac:dyDescent="0.25">
      <c r="A801" s="30">
        <v>45790</v>
      </c>
      <c r="B801" s="28">
        <v>791</v>
      </c>
      <c r="C801" s="28"/>
      <c r="D801" s="2" t="s">
        <v>87</v>
      </c>
      <c r="E801" s="7" t="s">
        <v>1095</v>
      </c>
      <c r="F801" s="7"/>
      <c r="G801" s="2" t="s">
        <v>13</v>
      </c>
      <c r="H801" s="2" t="s">
        <v>185</v>
      </c>
      <c r="I801" s="5">
        <v>219115.32</v>
      </c>
      <c r="J801" s="57"/>
      <c r="K801" s="3">
        <v>2336.4</v>
      </c>
      <c r="L801" s="2" t="s">
        <v>226</v>
      </c>
      <c r="M801" s="2" t="s">
        <v>12</v>
      </c>
      <c r="N801" s="2" t="s">
        <v>12</v>
      </c>
      <c r="O801" s="2" t="s">
        <v>12</v>
      </c>
      <c r="P801" s="21" t="s">
        <v>12</v>
      </c>
      <c r="Q801" s="3" t="s">
        <v>77</v>
      </c>
      <c r="R801" s="3" t="s">
        <v>80</v>
      </c>
    </row>
    <row r="802" spans="1:18" x14ac:dyDescent="0.25">
      <c r="A802" s="30">
        <v>45790</v>
      </c>
      <c r="B802" s="28">
        <v>792</v>
      </c>
      <c r="C802" s="28"/>
      <c r="D802" s="2" t="s">
        <v>273</v>
      </c>
      <c r="E802" s="7" t="s">
        <v>12</v>
      </c>
      <c r="F802" s="7"/>
      <c r="G802" s="2" t="s">
        <v>26</v>
      </c>
      <c r="H802" s="2" t="s">
        <v>116</v>
      </c>
      <c r="I802" s="5">
        <v>3618.29</v>
      </c>
      <c r="J802" s="57"/>
      <c r="K802" s="3">
        <v>48</v>
      </c>
      <c r="L802" s="2" t="s">
        <v>64</v>
      </c>
      <c r="M802" s="2" t="s">
        <v>12</v>
      </c>
      <c r="N802" s="2" t="s">
        <v>12</v>
      </c>
      <c r="O802" s="2" t="s">
        <v>12</v>
      </c>
      <c r="P802" s="21" t="s">
        <v>12</v>
      </c>
      <c r="Q802" s="3" t="s">
        <v>12</v>
      </c>
      <c r="R802" s="3" t="s">
        <v>12</v>
      </c>
    </row>
    <row r="803" spans="1:18" x14ac:dyDescent="0.25">
      <c r="A803" s="30">
        <v>45790</v>
      </c>
      <c r="B803" s="28">
        <v>793</v>
      </c>
      <c r="C803" s="28"/>
      <c r="D803" s="2" t="s">
        <v>425</v>
      </c>
      <c r="E803" s="7" t="s">
        <v>1096</v>
      </c>
      <c r="F803" s="7"/>
      <c r="G803" s="2" t="s">
        <v>26</v>
      </c>
      <c r="H803" s="2" t="s">
        <v>427</v>
      </c>
      <c r="I803" s="5">
        <v>29332.78</v>
      </c>
      <c r="J803" s="57"/>
      <c r="K803" s="3">
        <v>360</v>
      </c>
      <c r="L803" s="2" t="s">
        <v>64</v>
      </c>
      <c r="M803" s="2" t="s">
        <v>1399</v>
      </c>
      <c r="N803" s="2" t="s">
        <v>12</v>
      </c>
      <c r="O803" s="2" t="s">
        <v>12</v>
      </c>
      <c r="P803" s="21" t="s">
        <v>12</v>
      </c>
      <c r="Q803" s="3" t="s">
        <v>1100</v>
      </c>
      <c r="R803" s="3" t="s">
        <v>75</v>
      </c>
    </row>
    <row r="804" spans="1:18" x14ac:dyDescent="0.25">
      <c r="A804" s="30">
        <v>45791</v>
      </c>
      <c r="B804" s="28">
        <v>794</v>
      </c>
      <c r="C804" s="28"/>
      <c r="D804" s="2" t="s">
        <v>1097</v>
      </c>
      <c r="E804" s="7" t="s">
        <v>12</v>
      </c>
      <c r="F804" s="7"/>
      <c r="G804" s="2" t="s">
        <v>13</v>
      </c>
      <c r="H804" s="2" t="s">
        <v>1098</v>
      </c>
      <c r="I804" s="5">
        <v>62255.42</v>
      </c>
      <c r="J804" s="57"/>
      <c r="K804" s="3">
        <v>480</v>
      </c>
      <c r="L804" s="2" t="s">
        <v>226</v>
      </c>
      <c r="M804" s="2" t="s">
        <v>12</v>
      </c>
      <c r="N804" s="2" t="s">
        <v>12</v>
      </c>
      <c r="O804" s="2" t="s">
        <v>12</v>
      </c>
      <c r="P804" s="21" t="s">
        <v>12</v>
      </c>
      <c r="Q804" s="3" t="s">
        <v>12</v>
      </c>
      <c r="R804" s="3" t="s">
        <v>12</v>
      </c>
    </row>
    <row r="805" spans="1:18" x14ac:dyDescent="0.25">
      <c r="A805" s="30">
        <v>45791</v>
      </c>
      <c r="B805" s="28">
        <v>795</v>
      </c>
      <c r="C805" s="28"/>
      <c r="D805" s="2" t="s">
        <v>168</v>
      </c>
      <c r="E805" s="7" t="s">
        <v>12</v>
      </c>
      <c r="F805" s="7"/>
      <c r="G805" s="2" t="s">
        <v>43</v>
      </c>
      <c r="H805" s="2" t="s">
        <v>375</v>
      </c>
      <c r="I805" s="5">
        <v>75195.16</v>
      </c>
      <c r="J805" s="57"/>
      <c r="K805" s="3">
        <v>912</v>
      </c>
      <c r="L805" s="2" t="s">
        <v>64</v>
      </c>
      <c r="M805" s="2" t="s">
        <v>12</v>
      </c>
      <c r="N805" s="2" t="s">
        <v>12</v>
      </c>
      <c r="O805" s="2" t="s">
        <v>12</v>
      </c>
      <c r="P805" s="21" t="s">
        <v>12</v>
      </c>
      <c r="Q805" s="3" t="s">
        <v>12</v>
      </c>
      <c r="R805" s="3" t="s">
        <v>12</v>
      </c>
    </row>
    <row r="806" spans="1:18" x14ac:dyDescent="0.25">
      <c r="A806" s="30">
        <v>45791</v>
      </c>
      <c r="B806" s="28">
        <v>796</v>
      </c>
      <c r="C806" s="28"/>
      <c r="D806" s="2" t="s">
        <v>56</v>
      </c>
      <c r="E806" s="7" t="s">
        <v>893</v>
      </c>
      <c r="F806" s="7"/>
      <c r="G806" s="2" t="s">
        <v>13</v>
      </c>
      <c r="H806" s="2" t="s">
        <v>58</v>
      </c>
      <c r="I806" s="5">
        <v>60980.91</v>
      </c>
      <c r="J806" s="57"/>
      <c r="K806" s="3">
        <v>696</v>
      </c>
      <c r="L806" s="2" t="s">
        <v>64</v>
      </c>
      <c r="M806" s="2" t="s">
        <v>12</v>
      </c>
      <c r="N806" s="2" t="s">
        <v>12</v>
      </c>
      <c r="O806" s="2" t="s">
        <v>12</v>
      </c>
      <c r="P806" s="21" t="s">
        <v>12</v>
      </c>
      <c r="Q806" s="3" t="s">
        <v>220</v>
      </c>
      <c r="R806" s="3" t="s">
        <v>80</v>
      </c>
    </row>
    <row r="807" spans="1:18" x14ac:dyDescent="0.25">
      <c r="A807" s="30">
        <v>45791</v>
      </c>
      <c r="B807" s="28">
        <v>797</v>
      </c>
      <c r="C807" s="28"/>
      <c r="D807" s="2" t="s">
        <v>41</v>
      </c>
      <c r="E807" s="7" t="s">
        <v>1041</v>
      </c>
      <c r="F807" s="7"/>
      <c r="G807" s="2" t="s">
        <v>43</v>
      </c>
      <c r="H807" s="2" t="s">
        <v>43</v>
      </c>
      <c r="I807" s="5">
        <v>70461.83</v>
      </c>
      <c r="J807" s="57"/>
      <c r="K807" s="3">
        <v>720</v>
      </c>
      <c r="L807" s="2" t="s">
        <v>226</v>
      </c>
      <c r="M807" s="2" t="s">
        <v>12</v>
      </c>
      <c r="N807" s="2" t="s">
        <v>12</v>
      </c>
      <c r="O807" s="2" t="s">
        <v>12</v>
      </c>
      <c r="P807" s="21" t="s">
        <v>12</v>
      </c>
      <c r="Q807" s="3" t="s">
        <v>1099</v>
      </c>
      <c r="R807" s="3" t="s">
        <v>80</v>
      </c>
    </row>
    <row r="808" spans="1:18" x14ac:dyDescent="0.25">
      <c r="A808" s="30">
        <v>45791</v>
      </c>
      <c r="B808" s="28">
        <v>798</v>
      </c>
      <c r="C808" s="28"/>
      <c r="D808" s="2" t="s">
        <v>256</v>
      </c>
      <c r="E808" s="7" t="s">
        <v>12</v>
      </c>
      <c r="F808" s="7"/>
      <c r="G808" s="2" t="s">
        <v>20</v>
      </c>
      <c r="H808" s="2" t="s">
        <v>1000</v>
      </c>
      <c r="I808" s="5">
        <v>135.72</v>
      </c>
      <c r="J808" s="57"/>
      <c r="K808" s="3" t="s">
        <v>12</v>
      </c>
      <c r="L808" s="2" t="s">
        <v>64</v>
      </c>
      <c r="M808" s="2" t="s">
        <v>12</v>
      </c>
      <c r="N808" s="2" t="s">
        <v>12</v>
      </c>
      <c r="O808" s="2" t="s">
        <v>12</v>
      </c>
      <c r="P808" s="21" t="s">
        <v>12</v>
      </c>
      <c r="Q808" s="3" t="s">
        <v>12</v>
      </c>
      <c r="R808" s="3" t="s">
        <v>12</v>
      </c>
    </row>
    <row r="809" spans="1:18" x14ac:dyDescent="0.25">
      <c r="A809" s="30">
        <v>45791</v>
      </c>
      <c r="B809" s="28">
        <v>799</v>
      </c>
      <c r="C809" s="28"/>
      <c r="D809" s="2" t="s">
        <v>1159</v>
      </c>
      <c r="E809" s="7" t="s">
        <v>1173</v>
      </c>
      <c r="F809" s="7"/>
      <c r="G809" s="2" t="s">
        <v>111</v>
      </c>
      <c r="H809" s="2" t="s">
        <v>1174</v>
      </c>
      <c r="I809" s="5">
        <v>23680.93</v>
      </c>
      <c r="J809" s="57"/>
      <c r="K809" s="3" t="s">
        <v>12</v>
      </c>
      <c r="L809" s="2" t="s">
        <v>226</v>
      </c>
      <c r="M809" s="2" t="s">
        <v>12</v>
      </c>
      <c r="N809" s="2" t="s">
        <v>12</v>
      </c>
      <c r="O809" s="2" t="s">
        <v>12</v>
      </c>
      <c r="P809" s="21" t="s">
        <v>12</v>
      </c>
      <c r="Q809" s="3" t="s">
        <v>12</v>
      </c>
      <c r="R809" s="3" t="s">
        <v>12</v>
      </c>
    </row>
    <row r="810" spans="1:18" x14ac:dyDescent="0.25">
      <c r="A810" s="30">
        <v>45798</v>
      </c>
      <c r="B810" s="28">
        <v>800</v>
      </c>
      <c r="C810" s="28"/>
      <c r="D810" s="2" t="s">
        <v>109</v>
      </c>
      <c r="E810" s="7" t="s">
        <v>1212</v>
      </c>
      <c r="F810" s="7"/>
      <c r="G810" s="2" t="s">
        <v>111</v>
      </c>
      <c r="H810" s="2" t="s">
        <v>1104</v>
      </c>
      <c r="I810" s="5">
        <v>14251.02</v>
      </c>
      <c r="J810" s="57"/>
      <c r="K810" s="3">
        <v>168</v>
      </c>
      <c r="L810" s="2" t="s">
        <v>64</v>
      </c>
      <c r="M810" s="2" t="s">
        <v>1023</v>
      </c>
      <c r="N810" s="2" t="s">
        <v>12</v>
      </c>
      <c r="O810" s="2" t="s">
        <v>12</v>
      </c>
      <c r="P810" s="21" t="s">
        <v>12</v>
      </c>
      <c r="Q810" s="3" t="s">
        <v>12</v>
      </c>
      <c r="R810" s="3" t="s">
        <v>12</v>
      </c>
    </row>
    <row r="811" spans="1:18" x14ac:dyDescent="0.25">
      <c r="A811" s="30">
        <v>45826</v>
      </c>
      <c r="B811" s="28">
        <v>801</v>
      </c>
      <c r="C811" s="28"/>
      <c r="D811" s="2" t="s">
        <v>41</v>
      </c>
      <c r="E811" s="7" t="s">
        <v>1105</v>
      </c>
      <c r="F811" s="7"/>
      <c r="G811" s="2" t="s">
        <v>43</v>
      </c>
      <c r="H811" s="2" t="s">
        <v>158</v>
      </c>
      <c r="I811" s="5">
        <v>11799.15</v>
      </c>
      <c r="J811" s="57"/>
      <c r="K811" s="3">
        <v>144</v>
      </c>
      <c r="L811" s="2" t="s">
        <v>134</v>
      </c>
      <c r="M811" s="2" t="s">
        <v>1355</v>
      </c>
      <c r="N811" s="2" t="s">
        <v>373</v>
      </c>
      <c r="O811" s="2" t="s">
        <v>374</v>
      </c>
      <c r="P811" s="21" t="s">
        <v>12</v>
      </c>
      <c r="Q811" s="3" t="s">
        <v>12</v>
      </c>
      <c r="R811" s="3" t="s">
        <v>12</v>
      </c>
    </row>
    <row r="812" spans="1:18" x14ac:dyDescent="0.25">
      <c r="A812" s="30">
        <v>45792</v>
      </c>
      <c r="B812" s="28">
        <v>802</v>
      </c>
      <c r="C812" s="28"/>
      <c r="D812" s="2" t="s">
        <v>256</v>
      </c>
      <c r="E812" s="7" t="s">
        <v>12</v>
      </c>
      <c r="F812" s="7"/>
      <c r="G812" s="2" t="s">
        <v>20</v>
      </c>
      <c r="H812" s="2" t="s">
        <v>1000</v>
      </c>
      <c r="I812" s="5">
        <v>3729.19</v>
      </c>
      <c r="J812" s="57"/>
      <c r="K812" s="3">
        <v>24</v>
      </c>
      <c r="L812" s="2" t="s">
        <v>64</v>
      </c>
      <c r="M812" s="2" t="s">
        <v>12</v>
      </c>
      <c r="N812" s="2" t="s">
        <v>12</v>
      </c>
      <c r="O812" s="2" t="s">
        <v>12</v>
      </c>
      <c r="P812" s="21" t="s">
        <v>12</v>
      </c>
      <c r="Q812" s="3" t="s">
        <v>12</v>
      </c>
      <c r="R812" s="3" t="s">
        <v>12</v>
      </c>
    </row>
    <row r="813" spans="1:18" x14ac:dyDescent="0.25">
      <c r="A813" s="30">
        <v>45792</v>
      </c>
      <c r="B813" s="28">
        <v>803</v>
      </c>
      <c r="C813" s="28"/>
      <c r="D813" s="2" t="s">
        <v>137</v>
      </c>
      <c r="E813" s="7" t="s">
        <v>996</v>
      </c>
      <c r="F813" s="7"/>
      <c r="G813" s="2" t="s">
        <v>26</v>
      </c>
      <c r="H813" s="2" t="s">
        <v>317</v>
      </c>
      <c r="I813" s="5">
        <v>201933.6</v>
      </c>
      <c r="J813" s="57"/>
      <c r="K813" s="3">
        <v>1786.8</v>
      </c>
      <c r="L813" s="2" t="s">
        <v>226</v>
      </c>
      <c r="M813" s="2" t="s">
        <v>12</v>
      </c>
      <c r="N813" s="2" t="s">
        <v>12</v>
      </c>
      <c r="O813" s="2" t="s">
        <v>12</v>
      </c>
      <c r="P813" s="21" t="s">
        <v>12</v>
      </c>
      <c r="Q813" s="3"/>
      <c r="R813" s="3"/>
    </row>
    <row r="814" spans="1:18" x14ac:dyDescent="0.25">
      <c r="A814" s="30">
        <v>45792</v>
      </c>
      <c r="B814" s="28">
        <v>804</v>
      </c>
      <c r="C814" s="28"/>
      <c r="D814" s="2" t="s">
        <v>925</v>
      </c>
      <c r="E814" s="7" t="s">
        <v>1106</v>
      </c>
      <c r="F814" s="7"/>
      <c r="G814" s="2" t="s">
        <v>26</v>
      </c>
      <c r="H814" s="2" t="s">
        <v>1107</v>
      </c>
      <c r="I814" s="5">
        <v>9012</v>
      </c>
      <c r="J814" s="57"/>
      <c r="K814" s="3" t="s">
        <v>12</v>
      </c>
      <c r="L814" s="2" t="s">
        <v>226</v>
      </c>
      <c r="M814" s="2" t="s">
        <v>12</v>
      </c>
      <c r="N814" s="2" t="s">
        <v>12</v>
      </c>
      <c r="O814" s="2" t="s">
        <v>12</v>
      </c>
      <c r="P814" s="21" t="s">
        <v>12</v>
      </c>
      <c r="Q814" s="3" t="s">
        <v>12</v>
      </c>
      <c r="R814" s="3" t="s">
        <v>12</v>
      </c>
    </row>
    <row r="815" spans="1:18" x14ac:dyDescent="0.25">
      <c r="A815" s="30">
        <v>45792</v>
      </c>
      <c r="B815" s="28">
        <v>805</v>
      </c>
      <c r="C815" s="28"/>
      <c r="D815" s="2" t="s">
        <v>1108</v>
      </c>
      <c r="E815" s="7" t="s">
        <v>1109</v>
      </c>
      <c r="F815" s="7"/>
      <c r="G815" s="2" t="s">
        <v>20</v>
      </c>
      <c r="H815" s="2" t="s">
        <v>1110</v>
      </c>
      <c r="I815" s="5">
        <v>30548.41</v>
      </c>
      <c r="J815" s="57"/>
      <c r="K815" s="3">
        <v>336</v>
      </c>
      <c r="L815" s="2" t="s">
        <v>226</v>
      </c>
      <c r="M815" s="2" t="s">
        <v>1179</v>
      </c>
      <c r="N815" s="2" t="s">
        <v>12</v>
      </c>
      <c r="O815" s="2" t="s">
        <v>12</v>
      </c>
      <c r="P815" s="21" t="s">
        <v>12</v>
      </c>
      <c r="Q815" s="3" t="s">
        <v>12</v>
      </c>
      <c r="R815" s="3" t="s">
        <v>12</v>
      </c>
    </row>
    <row r="816" spans="1:18" x14ac:dyDescent="0.25">
      <c r="A816" s="30">
        <v>45792</v>
      </c>
      <c r="B816" s="28">
        <v>806</v>
      </c>
      <c r="C816" s="28"/>
      <c r="D816" s="2" t="s">
        <v>165</v>
      </c>
      <c r="E816" s="7" t="s">
        <v>166</v>
      </c>
      <c r="F816" s="7"/>
      <c r="G816" s="2" t="s">
        <v>97</v>
      </c>
      <c r="H816" s="2" t="s">
        <v>167</v>
      </c>
      <c r="I816" s="5">
        <v>43333.98</v>
      </c>
      <c r="J816" s="57"/>
      <c r="K816" s="3">
        <v>600</v>
      </c>
      <c r="L816" s="2" t="s">
        <v>64</v>
      </c>
      <c r="M816" s="2" t="s">
        <v>12</v>
      </c>
      <c r="N816" s="2" t="s">
        <v>12</v>
      </c>
      <c r="O816" s="2" t="s">
        <v>12</v>
      </c>
      <c r="P816" s="21" t="s">
        <v>12</v>
      </c>
      <c r="Q816" s="3" t="s">
        <v>12</v>
      </c>
      <c r="R816" s="3" t="s">
        <v>12</v>
      </c>
    </row>
    <row r="817" spans="1:18" x14ac:dyDescent="0.25">
      <c r="A817" s="30">
        <v>45792</v>
      </c>
      <c r="B817" s="28">
        <v>807</v>
      </c>
      <c r="C817" s="28"/>
      <c r="D817" s="2" t="s">
        <v>1111</v>
      </c>
      <c r="E817" s="7" t="s">
        <v>12</v>
      </c>
      <c r="F817" s="7"/>
      <c r="G817" s="2" t="s">
        <v>97</v>
      </c>
      <c r="H817" s="2" t="s">
        <v>129</v>
      </c>
      <c r="I817" s="5">
        <v>22862.6</v>
      </c>
      <c r="J817" s="57"/>
      <c r="K817" s="3">
        <v>240</v>
      </c>
      <c r="L817" s="2" t="s">
        <v>226</v>
      </c>
      <c r="M817" s="2" t="s">
        <v>12</v>
      </c>
      <c r="N817" s="2" t="s">
        <v>12</v>
      </c>
      <c r="O817" s="2" t="s">
        <v>12</v>
      </c>
      <c r="P817" s="21" t="s">
        <v>12</v>
      </c>
      <c r="Q817" s="3" t="s">
        <v>12</v>
      </c>
      <c r="R817" s="3" t="s">
        <v>12</v>
      </c>
    </row>
    <row r="818" spans="1:18" x14ac:dyDescent="0.25">
      <c r="A818" s="30">
        <v>45792</v>
      </c>
      <c r="B818" s="28">
        <v>808</v>
      </c>
      <c r="C818" s="28"/>
      <c r="D818" s="2" t="s">
        <v>208</v>
      </c>
      <c r="E818" s="7" t="s">
        <v>1112</v>
      </c>
      <c r="F818" s="7"/>
      <c r="G818" s="2" t="s">
        <v>43</v>
      </c>
      <c r="H818" s="2" t="s">
        <v>1113</v>
      </c>
      <c r="I818" s="5">
        <v>19505.22</v>
      </c>
      <c r="J818" s="57"/>
      <c r="K818" s="3">
        <v>240</v>
      </c>
      <c r="L818" s="2" t="s">
        <v>226</v>
      </c>
      <c r="M818" s="2" t="s">
        <v>12</v>
      </c>
      <c r="N818" s="2" t="s">
        <v>12</v>
      </c>
      <c r="O818" s="2" t="s">
        <v>12</v>
      </c>
      <c r="P818" s="21" t="s">
        <v>12</v>
      </c>
      <c r="Q818" s="3" t="s">
        <v>12</v>
      </c>
      <c r="R818" s="3" t="s">
        <v>80</v>
      </c>
    </row>
    <row r="819" spans="1:18" x14ac:dyDescent="0.25">
      <c r="A819" s="30">
        <v>45793</v>
      </c>
      <c r="B819" s="28">
        <v>809</v>
      </c>
      <c r="C819" s="28"/>
      <c r="D819" s="2" t="s">
        <v>92</v>
      </c>
      <c r="E819" s="7" t="s">
        <v>1114</v>
      </c>
      <c r="F819" s="7"/>
      <c r="G819" s="2" t="s">
        <v>26</v>
      </c>
      <c r="H819" s="2" t="s">
        <v>410</v>
      </c>
      <c r="I819" s="5">
        <v>180984.45</v>
      </c>
      <c r="J819" s="57"/>
      <c r="K819" s="3">
        <v>2376</v>
      </c>
      <c r="L819" s="2" t="s">
        <v>226</v>
      </c>
      <c r="M819" s="2" t="s">
        <v>12</v>
      </c>
      <c r="N819" s="2" t="s">
        <v>12</v>
      </c>
      <c r="O819" s="2" t="s">
        <v>12</v>
      </c>
      <c r="P819" s="21" t="s">
        <v>12</v>
      </c>
      <c r="Q819" s="3" t="s">
        <v>12</v>
      </c>
      <c r="R819" s="3" t="s">
        <v>12</v>
      </c>
    </row>
    <row r="820" spans="1:18" x14ac:dyDescent="0.25">
      <c r="A820" s="30">
        <v>45793</v>
      </c>
      <c r="B820" s="28">
        <v>810</v>
      </c>
      <c r="C820" s="28" t="s">
        <v>2161</v>
      </c>
      <c r="D820" s="2" t="s">
        <v>1218</v>
      </c>
      <c r="E820" s="7" t="s">
        <v>1216</v>
      </c>
      <c r="F820" s="7"/>
      <c r="G820" s="2" t="s">
        <v>111</v>
      </c>
      <c r="H820" s="2" t="s">
        <v>1217</v>
      </c>
      <c r="I820" s="5">
        <v>109093.93</v>
      </c>
      <c r="J820" s="57"/>
      <c r="K820" s="3"/>
      <c r="L820" s="2" t="s">
        <v>226</v>
      </c>
      <c r="M820" s="2" t="s">
        <v>2072</v>
      </c>
      <c r="N820" s="2"/>
      <c r="O820" s="2"/>
      <c r="P820" s="21"/>
      <c r="Q820" s="3"/>
      <c r="R820" s="3"/>
    </row>
    <row r="821" spans="1:18" x14ac:dyDescent="0.25">
      <c r="A821" s="30">
        <v>45793</v>
      </c>
      <c r="B821" s="28">
        <v>811</v>
      </c>
      <c r="C821" s="28"/>
      <c r="D821" s="2" t="s">
        <v>336</v>
      </c>
      <c r="E821" s="7" t="s">
        <v>964</v>
      </c>
      <c r="F821" s="7"/>
      <c r="G821" s="2" t="s">
        <v>20</v>
      </c>
      <c r="H821" s="2" t="s">
        <v>337</v>
      </c>
      <c r="I821" s="5">
        <v>77096.490000000005</v>
      </c>
      <c r="J821" s="57"/>
      <c r="K821" s="3">
        <v>816</v>
      </c>
      <c r="L821" s="2" t="s">
        <v>64</v>
      </c>
      <c r="M821" s="2" t="s">
        <v>12</v>
      </c>
      <c r="N821" s="2" t="s">
        <v>12</v>
      </c>
      <c r="O821" s="2" t="s">
        <v>12</v>
      </c>
      <c r="P821" s="21" t="s">
        <v>12</v>
      </c>
      <c r="Q821" s="3"/>
      <c r="R821" s="3"/>
    </row>
    <row r="822" spans="1:18" x14ac:dyDescent="0.25">
      <c r="A822" s="30">
        <v>45793</v>
      </c>
      <c r="B822" s="28">
        <v>812</v>
      </c>
      <c r="C822" s="28"/>
      <c r="D822" s="2" t="s">
        <v>41</v>
      </c>
      <c r="E822" s="7" t="s">
        <v>1115</v>
      </c>
      <c r="F822" s="7"/>
      <c r="G822" s="2" t="s">
        <v>43</v>
      </c>
      <c r="H822" s="2" t="s">
        <v>1116</v>
      </c>
      <c r="I822" s="5">
        <v>2905.26</v>
      </c>
      <c r="J822" s="57"/>
      <c r="K822" s="3" t="s">
        <v>12</v>
      </c>
      <c r="L822" s="2" t="s">
        <v>64</v>
      </c>
      <c r="M822" s="2" t="s">
        <v>12</v>
      </c>
      <c r="N822" s="2" t="s">
        <v>12</v>
      </c>
      <c r="O822" s="2" t="s">
        <v>12</v>
      </c>
      <c r="P822" s="21" t="s">
        <v>12</v>
      </c>
      <c r="Q822" s="3" t="s">
        <v>12</v>
      </c>
      <c r="R822" s="3" t="s">
        <v>12</v>
      </c>
    </row>
    <row r="823" spans="1:18" x14ac:dyDescent="0.25">
      <c r="A823" s="30">
        <v>45793</v>
      </c>
      <c r="B823" s="28">
        <v>813</v>
      </c>
      <c r="C823" s="28"/>
      <c r="D823" s="2" t="s">
        <v>400</v>
      </c>
      <c r="E823" s="7" t="s">
        <v>1117</v>
      </c>
      <c r="F823" s="7"/>
      <c r="G823" s="2" t="s">
        <v>97</v>
      </c>
      <c r="H823" s="2" t="s">
        <v>198</v>
      </c>
      <c r="I823" s="5">
        <v>377258.02</v>
      </c>
      <c r="J823" s="57"/>
      <c r="K823" s="3">
        <v>4512</v>
      </c>
      <c r="L823" s="2" t="s">
        <v>226</v>
      </c>
      <c r="M823" s="2" t="s">
        <v>12</v>
      </c>
      <c r="N823" s="2" t="s">
        <v>12</v>
      </c>
      <c r="O823" s="2" t="s">
        <v>12</v>
      </c>
      <c r="P823" s="21" t="s">
        <v>12</v>
      </c>
      <c r="Q823" s="3"/>
      <c r="R823" s="3"/>
    </row>
    <row r="824" spans="1:18" x14ac:dyDescent="0.25">
      <c r="A824" s="30">
        <v>45793</v>
      </c>
      <c r="B824" s="28">
        <v>814</v>
      </c>
      <c r="C824" s="28"/>
      <c r="D824" s="2" t="s">
        <v>557</v>
      </c>
      <c r="E824" s="7" t="s">
        <v>704</v>
      </c>
      <c r="F824" s="7"/>
      <c r="G824" s="2" t="s">
        <v>20</v>
      </c>
      <c r="H824" s="2" t="s">
        <v>471</v>
      </c>
      <c r="I824" s="5">
        <v>5905.88</v>
      </c>
      <c r="J824" s="57"/>
      <c r="K824" s="3">
        <v>48</v>
      </c>
      <c r="L824" s="2" t="s">
        <v>64</v>
      </c>
      <c r="M824" s="2" t="s">
        <v>12</v>
      </c>
      <c r="N824" s="2" t="s">
        <v>12</v>
      </c>
      <c r="O824" s="2" t="s">
        <v>12</v>
      </c>
      <c r="P824" s="21" t="s">
        <v>12</v>
      </c>
      <c r="Q824" s="3" t="s">
        <v>12</v>
      </c>
      <c r="R824" s="3" t="s">
        <v>12</v>
      </c>
    </row>
    <row r="825" spans="1:18" x14ac:dyDescent="0.25">
      <c r="A825" s="30">
        <v>45793</v>
      </c>
      <c r="B825" s="28">
        <v>815</v>
      </c>
      <c r="C825" s="28"/>
      <c r="D825" s="2" t="s">
        <v>176</v>
      </c>
      <c r="E825" s="7" t="s">
        <v>12</v>
      </c>
      <c r="F825" s="7"/>
      <c r="G825" s="2" t="s">
        <v>13</v>
      </c>
      <c r="H825" s="2" t="s">
        <v>177</v>
      </c>
      <c r="I825" s="5">
        <v>919.49</v>
      </c>
      <c r="J825" s="57"/>
      <c r="K825" s="3" t="s">
        <v>12</v>
      </c>
      <c r="L825" s="2" t="s">
        <v>64</v>
      </c>
      <c r="M825" s="2" t="s">
        <v>12</v>
      </c>
      <c r="N825" s="2" t="s">
        <v>12</v>
      </c>
      <c r="O825" s="2" t="s">
        <v>12</v>
      </c>
      <c r="P825" s="21" t="s">
        <v>12</v>
      </c>
      <c r="Q825" s="3" t="s">
        <v>12</v>
      </c>
      <c r="R825" s="3" t="s">
        <v>12</v>
      </c>
    </row>
    <row r="826" spans="1:18" x14ac:dyDescent="0.25">
      <c r="A826" s="30">
        <v>45793</v>
      </c>
      <c r="B826" s="28">
        <v>816</v>
      </c>
      <c r="C826" s="28"/>
      <c r="D826" s="2" t="s">
        <v>601</v>
      </c>
      <c r="E826" s="7" t="s">
        <v>12</v>
      </c>
      <c r="F826" s="7"/>
      <c r="G826" s="2" t="s">
        <v>13</v>
      </c>
      <c r="H826" s="2" t="s">
        <v>55</v>
      </c>
      <c r="I826" s="5">
        <v>13118.26</v>
      </c>
      <c r="J826" s="57"/>
      <c r="K826" s="3">
        <v>96</v>
      </c>
      <c r="L826" s="2" t="s">
        <v>226</v>
      </c>
      <c r="M826" s="2" t="s">
        <v>12</v>
      </c>
      <c r="N826" s="2" t="s">
        <v>12</v>
      </c>
      <c r="O826" s="2" t="s">
        <v>12</v>
      </c>
      <c r="P826" s="21" t="s">
        <v>12</v>
      </c>
      <c r="Q826" s="3" t="s">
        <v>12</v>
      </c>
      <c r="R826" s="3" t="s">
        <v>12</v>
      </c>
    </row>
    <row r="827" spans="1:18" x14ac:dyDescent="0.25">
      <c r="A827" s="30">
        <v>45793</v>
      </c>
      <c r="B827" s="28">
        <v>817</v>
      </c>
      <c r="C827" s="28"/>
      <c r="D827" s="2" t="s">
        <v>601</v>
      </c>
      <c r="E827" s="7" t="s">
        <v>12</v>
      </c>
      <c r="F827" s="7"/>
      <c r="G827" s="2" t="s">
        <v>13</v>
      </c>
      <c r="H827" s="2" t="s">
        <v>55</v>
      </c>
      <c r="I827" s="5">
        <v>11792.56</v>
      </c>
      <c r="J827" s="57"/>
      <c r="K827" s="3">
        <v>96</v>
      </c>
      <c r="L827" s="2" t="s">
        <v>64</v>
      </c>
      <c r="M827" s="2" t="s">
        <v>12</v>
      </c>
      <c r="N827" s="2" t="s">
        <v>12</v>
      </c>
      <c r="O827" s="2" t="s">
        <v>12</v>
      </c>
      <c r="P827" s="21" t="s">
        <v>12</v>
      </c>
      <c r="Q827" s="3" t="s">
        <v>12</v>
      </c>
      <c r="R827" s="3" t="s">
        <v>12</v>
      </c>
    </row>
    <row r="828" spans="1:18" x14ac:dyDescent="0.25">
      <c r="A828" s="30">
        <v>45793</v>
      </c>
      <c r="B828" s="28">
        <v>818</v>
      </c>
      <c r="C828" s="28"/>
      <c r="D828" s="2" t="s">
        <v>1219</v>
      </c>
      <c r="E828" s="7"/>
      <c r="F828" s="7"/>
      <c r="G828" s="2" t="s">
        <v>13</v>
      </c>
      <c r="H828" s="2" t="s">
        <v>1220</v>
      </c>
      <c r="I828" s="5">
        <v>16367.33</v>
      </c>
      <c r="J828" s="57"/>
      <c r="K828" s="3">
        <v>240</v>
      </c>
      <c r="L828" s="2" t="s">
        <v>226</v>
      </c>
      <c r="M828" s="2"/>
      <c r="N828" s="2"/>
      <c r="O828" s="2"/>
      <c r="P828" s="21"/>
      <c r="Q828" s="3"/>
      <c r="R828" s="3"/>
    </row>
    <row r="829" spans="1:18" x14ac:dyDescent="0.25">
      <c r="A829" s="30">
        <v>45793</v>
      </c>
      <c r="B829" s="28">
        <v>819</v>
      </c>
      <c r="C829" s="28"/>
      <c r="D829" s="2" t="s">
        <v>1118</v>
      </c>
      <c r="E829" s="7" t="s">
        <v>12</v>
      </c>
      <c r="F829" s="7"/>
      <c r="G829" s="2" t="s">
        <v>13</v>
      </c>
      <c r="H829" s="2" t="s">
        <v>368</v>
      </c>
      <c r="I829" s="5">
        <v>2167.6</v>
      </c>
      <c r="J829" s="57"/>
      <c r="K829" s="3">
        <v>16.8</v>
      </c>
      <c r="L829" s="2" t="s">
        <v>226</v>
      </c>
      <c r="M829" s="2" t="s">
        <v>12</v>
      </c>
      <c r="N829" s="2" t="s">
        <v>12</v>
      </c>
      <c r="O829" s="2" t="s">
        <v>12</v>
      </c>
      <c r="P829" s="21" t="s">
        <v>12</v>
      </c>
      <c r="Q829" s="3" t="s">
        <v>12</v>
      </c>
      <c r="R829" s="3" t="s">
        <v>12</v>
      </c>
    </row>
    <row r="830" spans="1:18" x14ac:dyDescent="0.25">
      <c r="A830" s="30">
        <v>45793</v>
      </c>
      <c r="B830" s="28">
        <v>820</v>
      </c>
      <c r="C830" s="28"/>
      <c r="D830" s="2" t="s">
        <v>1118</v>
      </c>
      <c r="E830" s="7" t="s">
        <v>12</v>
      </c>
      <c r="F830" s="7"/>
      <c r="G830" s="2" t="s">
        <v>13</v>
      </c>
      <c r="H830" s="2" t="s">
        <v>368</v>
      </c>
      <c r="I830" s="5">
        <v>2343.91</v>
      </c>
      <c r="J830" s="57"/>
      <c r="K830" s="3">
        <v>24</v>
      </c>
      <c r="L830" s="2" t="s">
        <v>226</v>
      </c>
      <c r="M830" s="2" t="s">
        <v>12</v>
      </c>
      <c r="N830" s="2" t="s">
        <v>12</v>
      </c>
      <c r="O830" s="2" t="s">
        <v>12</v>
      </c>
      <c r="P830" s="21" t="s">
        <v>12</v>
      </c>
      <c r="Q830" s="3" t="s">
        <v>12</v>
      </c>
      <c r="R830" s="3" t="s">
        <v>12</v>
      </c>
    </row>
    <row r="831" spans="1:18" x14ac:dyDescent="0.25">
      <c r="A831" s="30">
        <v>45796</v>
      </c>
      <c r="B831" s="28">
        <v>821</v>
      </c>
      <c r="C831" s="28"/>
      <c r="D831" s="2" t="s">
        <v>41</v>
      </c>
      <c r="E831" s="7" t="s">
        <v>1119</v>
      </c>
      <c r="F831" s="7"/>
      <c r="G831" s="2" t="s">
        <v>43</v>
      </c>
      <c r="H831" s="2" t="s">
        <v>158</v>
      </c>
      <c r="I831" s="5">
        <v>43466.01</v>
      </c>
      <c r="J831" s="57"/>
      <c r="K831" s="3">
        <v>504</v>
      </c>
      <c r="L831" s="2" t="s">
        <v>226</v>
      </c>
      <c r="M831" s="2" t="s">
        <v>12</v>
      </c>
      <c r="N831" s="2" t="s">
        <v>12</v>
      </c>
      <c r="O831" s="2" t="s">
        <v>12</v>
      </c>
      <c r="P831" s="21" t="s">
        <v>12</v>
      </c>
      <c r="Q831" s="3" t="s">
        <v>12</v>
      </c>
      <c r="R831" s="3" t="s">
        <v>12</v>
      </c>
    </row>
    <row r="832" spans="1:18" x14ac:dyDescent="0.25">
      <c r="A832" s="30">
        <v>45798</v>
      </c>
      <c r="B832" s="28">
        <v>822</v>
      </c>
      <c r="C832" s="28"/>
      <c r="D832" s="2" t="s">
        <v>1120</v>
      </c>
      <c r="E832" s="7" t="s">
        <v>1079</v>
      </c>
      <c r="F832" s="7"/>
      <c r="G832" s="2" t="s">
        <v>97</v>
      </c>
      <c r="H832" s="2" t="s">
        <v>368</v>
      </c>
      <c r="I832" s="5">
        <v>158503.63</v>
      </c>
      <c r="J832" s="57"/>
      <c r="K832" s="3">
        <v>1920</v>
      </c>
      <c r="L832" s="2" t="s">
        <v>64</v>
      </c>
      <c r="M832" s="2" t="s">
        <v>12</v>
      </c>
      <c r="N832" s="2" t="s">
        <v>12</v>
      </c>
      <c r="O832" s="2" t="s">
        <v>12</v>
      </c>
      <c r="P832" s="21" t="s">
        <v>12</v>
      </c>
      <c r="Q832" s="3" t="s">
        <v>12</v>
      </c>
      <c r="R832" s="3" t="s">
        <v>12</v>
      </c>
    </row>
    <row r="833" spans="1:18" x14ac:dyDescent="0.25">
      <c r="A833" s="30">
        <v>45796</v>
      </c>
      <c r="B833" s="28">
        <v>823</v>
      </c>
      <c r="C833" s="28"/>
      <c r="D833" s="2" t="s">
        <v>746</v>
      </c>
      <c r="E833" s="7" t="s">
        <v>1121</v>
      </c>
      <c r="F833" s="7"/>
      <c r="G833" s="2" t="s">
        <v>20</v>
      </c>
      <c r="H833" s="2" t="s">
        <v>114</v>
      </c>
      <c r="I833" s="5">
        <v>42317.73</v>
      </c>
      <c r="J833" s="57"/>
      <c r="K833" s="3">
        <v>440.4</v>
      </c>
      <c r="L833" s="2" t="s">
        <v>226</v>
      </c>
      <c r="M833" s="2" t="s">
        <v>1179</v>
      </c>
      <c r="N833" s="2" t="s">
        <v>12</v>
      </c>
      <c r="O833" s="2" t="s">
        <v>12</v>
      </c>
      <c r="P833" s="21" t="s">
        <v>12</v>
      </c>
      <c r="Q833" s="3" t="s">
        <v>12</v>
      </c>
      <c r="R833" s="3"/>
    </row>
    <row r="834" spans="1:18" x14ac:dyDescent="0.25">
      <c r="A834" s="30">
        <v>45797</v>
      </c>
      <c r="B834" s="28">
        <v>824</v>
      </c>
      <c r="C834" s="28"/>
      <c r="D834" s="2" t="s">
        <v>720</v>
      </c>
      <c r="E834" s="7" t="s">
        <v>1122</v>
      </c>
      <c r="F834" s="7"/>
      <c r="G834" s="2" t="s">
        <v>20</v>
      </c>
      <c r="H834" s="2" t="s">
        <v>722</v>
      </c>
      <c r="I834" s="5">
        <v>178472.56</v>
      </c>
      <c r="J834" s="57"/>
      <c r="K834" s="3">
        <v>2112</v>
      </c>
      <c r="L834" s="2" t="s">
        <v>226</v>
      </c>
      <c r="M834" s="2" t="s">
        <v>12</v>
      </c>
      <c r="N834" s="2" t="s">
        <v>12</v>
      </c>
      <c r="O834" s="2" t="s">
        <v>12</v>
      </c>
      <c r="P834" s="21" t="s">
        <v>12</v>
      </c>
      <c r="Q834" s="3"/>
      <c r="R834" s="3"/>
    </row>
    <row r="835" spans="1:18" x14ac:dyDescent="0.25">
      <c r="A835" s="30">
        <v>45796</v>
      </c>
      <c r="B835" s="28">
        <v>825</v>
      </c>
      <c r="C835" s="28"/>
      <c r="D835" s="2" t="s">
        <v>1158</v>
      </c>
      <c r="E835" s="7" t="s">
        <v>1178</v>
      </c>
      <c r="F835" s="7"/>
      <c r="G835" s="2" t="s">
        <v>111</v>
      </c>
      <c r="H835" s="2" t="s">
        <v>590</v>
      </c>
      <c r="I835" s="5">
        <v>72516.95</v>
      </c>
      <c r="J835" s="57"/>
      <c r="K835" s="3" t="s">
        <v>12</v>
      </c>
      <c r="L835" s="2" t="s">
        <v>226</v>
      </c>
      <c r="M835" s="2"/>
      <c r="N835" s="2" t="s">
        <v>12</v>
      </c>
      <c r="O835" s="2" t="s">
        <v>12</v>
      </c>
      <c r="P835" s="21" t="s">
        <v>12</v>
      </c>
      <c r="Q835" s="3" t="s">
        <v>12</v>
      </c>
      <c r="R835" s="3" t="s">
        <v>12</v>
      </c>
    </row>
    <row r="836" spans="1:18" x14ac:dyDescent="0.25">
      <c r="A836" s="30">
        <v>45797</v>
      </c>
      <c r="B836" s="28">
        <v>826</v>
      </c>
      <c r="C836" s="28"/>
      <c r="D836" s="2" t="s">
        <v>825</v>
      </c>
      <c r="E836" s="7" t="s">
        <v>12</v>
      </c>
      <c r="F836" s="7"/>
      <c r="G836" s="2" t="s">
        <v>111</v>
      </c>
      <c r="H836" s="2" t="s">
        <v>368</v>
      </c>
      <c r="I836" s="5">
        <v>8736.7199999999993</v>
      </c>
      <c r="J836" s="57"/>
      <c r="K836" s="3">
        <v>72</v>
      </c>
      <c r="L836" s="2" t="s">
        <v>64</v>
      </c>
      <c r="M836" s="2" t="s">
        <v>12</v>
      </c>
      <c r="N836" s="2" t="s">
        <v>12</v>
      </c>
      <c r="O836" s="2" t="s">
        <v>12</v>
      </c>
      <c r="P836" s="21" t="s">
        <v>12</v>
      </c>
      <c r="Q836" s="3" t="s">
        <v>12</v>
      </c>
      <c r="R836" s="3" t="s">
        <v>12</v>
      </c>
    </row>
    <row r="837" spans="1:18" x14ac:dyDescent="0.25">
      <c r="A837" s="30">
        <v>45796</v>
      </c>
      <c r="B837" s="28">
        <v>827</v>
      </c>
      <c r="C837" s="28"/>
      <c r="D837" s="2" t="s">
        <v>41</v>
      </c>
      <c r="E837" s="7" t="s">
        <v>1123</v>
      </c>
      <c r="F837" s="7"/>
      <c r="G837" s="2" t="s">
        <v>43</v>
      </c>
      <c r="H837" s="2" t="s">
        <v>417</v>
      </c>
      <c r="I837" s="5">
        <v>14705</v>
      </c>
      <c r="J837" s="57"/>
      <c r="K837" s="3">
        <v>192</v>
      </c>
      <c r="L837" s="2" t="s">
        <v>64</v>
      </c>
      <c r="M837" s="2" t="s">
        <v>12</v>
      </c>
      <c r="N837" s="2" t="s">
        <v>12</v>
      </c>
      <c r="O837" s="2" t="s">
        <v>12</v>
      </c>
      <c r="P837" s="21" t="s">
        <v>12</v>
      </c>
      <c r="Q837" s="3" t="s">
        <v>12</v>
      </c>
      <c r="R837" s="3" t="s">
        <v>12</v>
      </c>
    </row>
    <row r="838" spans="1:18" x14ac:dyDescent="0.25">
      <c r="A838" s="30">
        <v>45796</v>
      </c>
      <c r="B838" s="28">
        <v>828</v>
      </c>
      <c r="C838" s="28"/>
      <c r="D838" s="2" t="s">
        <v>637</v>
      </c>
      <c r="E838" s="7" t="s">
        <v>1124</v>
      </c>
      <c r="F838" s="7"/>
      <c r="G838" s="2" t="s">
        <v>13</v>
      </c>
      <c r="H838" s="2" t="s">
        <v>15</v>
      </c>
      <c r="I838" s="5">
        <v>61505.85</v>
      </c>
      <c r="J838" s="57"/>
      <c r="K838" s="3">
        <v>600</v>
      </c>
      <c r="L838" s="2" t="s">
        <v>226</v>
      </c>
      <c r="M838" s="2" t="s">
        <v>12</v>
      </c>
      <c r="N838" s="2" t="s">
        <v>12</v>
      </c>
      <c r="O838" s="2" t="s">
        <v>12</v>
      </c>
      <c r="P838" s="21" t="s">
        <v>12</v>
      </c>
      <c r="Q838" s="3"/>
      <c r="R838" s="3"/>
    </row>
    <row r="839" spans="1:18" x14ac:dyDescent="0.25">
      <c r="A839" s="30">
        <v>45796</v>
      </c>
      <c r="B839" s="28">
        <v>829</v>
      </c>
      <c r="C839" s="28"/>
      <c r="D839" s="2" t="s">
        <v>637</v>
      </c>
      <c r="E839" s="7" t="s">
        <v>1125</v>
      </c>
      <c r="F839" s="7"/>
      <c r="G839" s="2" t="s">
        <v>13</v>
      </c>
      <c r="H839" s="2" t="s">
        <v>15</v>
      </c>
      <c r="I839" s="5">
        <v>37518.15</v>
      </c>
      <c r="J839" s="57"/>
      <c r="K839" s="3">
        <v>360</v>
      </c>
      <c r="L839" s="2" t="s">
        <v>226</v>
      </c>
      <c r="M839" s="2" t="s">
        <v>12</v>
      </c>
      <c r="N839" s="2" t="s">
        <v>12</v>
      </c>
      <c r="O839" s="2" t="s">
        <v>12</v>
      </c>
      <c r="P839" s="21" t="s">
        <v>12</v>
      </c>
      <c r="Q839" s="3" t="s">
        <v>12</v>
      </c>
      <c r="R839" s="3"/>
    </row>
    <row r="840" spans="1:18" x14ac:dyDescent="0.25">
      <c r="A840" s="30">
        <v>45796</v>
      </c>
      <c r="B840" s="28">
        <v>830</v>
      </c>
      <c r="C840" s="28"/>
      <c r="D840" s="2" t="s">
        <v>637</v>
      </c>
      <c r="E840" s="7" t="s">
        <v>1126</v>
      </c>
      <c r="F840" s="7"/>
      <c r="G840" s="2" t="s">
        <v>13</v>
      </c>
      <c r="H840" s="2" t="s">
        <v>15</v>
      </c>
      <c r="I840" s="5">
        <v>28783.02</v>
      </c>
      <c r="J840" s="57"/>
      <c r="K840" s="3">
        <v>288</v>
      </c>
      <c r="L840" s="2" t="s">
        <v>226</v>
      </c>
      <c r="M840" s="2" t="s">
        <v>12</v>
      </c>
      <c r="N840" s="2" t="s">
        <v>12</v>
      </c>
      <c r="O840" s="2" t="s">
        <v>12</v>
      </c>
      <c r="P840" s="21" t="s">
        <v>12</v>
      </c>
      <c r="Q840" s="3" t="s">
        <v>12</v>
      </c>
      <c r="R840" s="3"/>
    </row>
    <row r="841" spans="1:18" x14ac:dyDescent="0.25">
      <c r="A841" s="30">
        <v>45796</v>
      </c>
      <c r="B841" s="28">
        <v>831</v>
      </c>
      <c r="C841" s="28"/>
      <c r="D841" s="2" t="s">
        <v>637</v>
      </c>
      <c r="E841" s="7" t="s">
        <v>1127</v>
      </c>
      <c r="F841" s="7"/>
      <c r="G841" s="2" t="s">
        <v>13</v>
      </c>
      <c r="H841" s="2" t="s">
        <v>15</v>
      </c>
      <c r="I841" s="5">
        <v>28611.88</v>
      </c>
      <c r="J841" s="57"/>
      <c r="K841" s="3">
        <v>264</v>
      </c>
      <c r="L841" s="2" t="s">
        <v>226</v>
      </c>
      <c r="M841" s="2" t="s">
        <v>12</v>
      </c>
      <c r="N841" s="2" t="s">
        <v>12</v>
      </c>
      <c r="O841" s="2" t="s">
        <v>12</v>
      </c>
      <c r="P841" s="21" t="s">
        <v>12</v>
      </c>
      <c r="Q841" s="3"/>
      <c r="R841" s="3"/>
    </row>
    <row r="842" spans="1:18" x14ac:dyDescent="0.25">
      <c r="A842" s="30">
        <v>45796</v>
      </c>
      <c r="B842" s="28">
        <v>832</v>
      </c>
      <c r="C842" s="28" t="s">
        <v>2169</v>
      </c>
      <c r="D842" s="2" t="s">
        <v>637</v>
      </c>
      <c r="E842" s="7" t="s">
        <v>1127</v>
      </c>
      <c r="F842" s="7"/>
      <c r="G842" s="2" t="s">
        <v>13</v>
      </c>
      <c r="H842" s="2" t="s">
        <v>15</v>
      </c>
      <c r="I842" s="5">
        <v>57507.79</v>
      </c>
      <c r="J842" s="57">
        <v>0.05</v>
      </c>
      <c r="K842" s="3">
        <v>696</v>
      </c>
      <c r="L842" s="2" t="s">
        <v>21</v>
      </c>
      <c r="M842" s="2" t="s">
        <v>12</v>
      </c>
      <c r="N842" s="2" t="s">
        <v>12</v>
      </c>
      <c r="O842" s="2" t="s">
        <v>12</v>
      </c>
      <c r="P842" s="21" t="s">
        <v>12</v>
      </c>
      <c r="Q842" s="3"/>
      <c r="R842" s="3"/>
    </row>
    <row r="843" spans="1:18" x14ac:dyDescent="0.25">
      <c r="A843" s="30">
        <v>45797</v>
      </c>
      <c r="B843" s="28">
        <v>833</v>
      </c>
      <c r="C843" s="28"/>
      <c r="D843" s="2" t="s">
        <v>1128</v>
      </c>
      <c r="E843" s="7" t="s">
        <v>1129</v>
      </c>
      <c r="F843" s="7"/>
      <c r="G843" s="2" t="s">
        <v>26</v>
      </c>
      <c r="H843" s="2" t="s">
        <v>867</v>
      </c>
      <c r="I843" s="5">
        <v>55552.05</v>
      </c>
      <c r="J843" s="57"/>
      <c r="K843" s="3">
        <v>478.8</v>
      </c>
      <c r="L843" s="2" t="s">
        <v>226</v>
      </c>
      <c r="M843" s="2" t="s">
        <v>1281</v>
      </c>
      <c r="N843" s="2" t="s">
        <v>12</v>
      </c>
      <c r="O843" s="2" t="s">
        <v>12</v>
      </c>
      <c r="P843" s="21" t="s">
        <v>12</v>
      </c>
      <c r="Q843" s="3"/>
      <c r="R843" s="3"/>
    </row>
    <row r="844" spans="1:18" x14ac:dyDescent="0.25">
      <c r="A844" s="30">
        <v>45796</v>
      </c>
      <c r="B844" s="28">
        <v>834</v>
      </c>
      <c r="C844" s="28"/>
      <c r="D844" s="2" t="s">
        <v>1130</v>
      </c>
      <c r="E844" s="7" t="s">
        <v>1131</v>
      </c>
      <c r="F844" s="7"/>
      <c r="G844" s="2" t="s">
        <v>97</v>
      </c>
      <c r="H844" s="2" t="s">
        <v>1132</v>
      </c>
      <c r="I844" s="5">
        <v>1026677.32</v>
      </c>
      <c r="J844" s="57"/>
      <c r="K844" s="3">
        <v>11640</v>
      </c>
      <c r="L844" s="2" t="s">
        <v>226</v>
      </c>
      <c r="M844" s="2" t="s">
        <v>12</v>
      </c>
      <c r="N844" s="2" t="s">
        <v>12</v>
      </c>
      <c r="O844" s="2" t="s">
        <v>12</v>
      </c>
      <c r="P844" s="21" t="s">
        <v>12</v>
      </c>
      <c r="Q844" s="3"/>
      <c r="R844" s="3"/>
    </row>
    <row r="845" spans="1:18" x14ac:dyDescent="0.25">
      <c r="A845" s="30">
        <v>45796</v>
      </c>
      <c r="B845" s="28">
        <v>835</v>
      </c>
      <c r="C845" s="28"/>
      <c r="D845" s="2" t="s">
        <v>1130</v>
      </c>
      <c r="E845" s="7" t="s">
        <v>1133</v>
      </c>
      <c r="F845" s="7"/>
      <c r="G845" s="2" t="s">
        <v>97</v>
      </c>
      <c r="H845" s="2" t="s">
        <v>1132</v>
      </c>
      <c r="I845" s="5">
        <v>81485.509999999995</v>
      </c>
      <c r="J845" s="57"/>
      <c r="K845" s="3">
        <v>936</v>
      </c>
      <c r="L845" s="2" t="s">
        <v>226</v>
      </c>
      <c r="M845" s="2" t="s">
        <v>12</v>
      </c>
      <c r="N845" s="2" t="s">
        <v>12</v>
      </c>
      <c r="O845" s="2" t="s">
        <v>12</v>
      </c>
      <c r="P845" s="21" t="s">
        <v>12</v>
      </c>
      <c r="Q845" s="3"/>
      <c r="R845" s="3"/>
    </row>
    <row r="846" spans="1:18" x14ac:dyDescent="0.25">
      <c r="A846" s="30">
        <v>45796</v>
      </c>
      <c r="B846" s="28">
        <v>836</v>
      </c>
      <c r="C846" s="28"/>
      <c r="D846" s="2" t="s">
        <v>1130</v>
      </c>
      <c r="E846" s="7" t="s">
        <v>1134</v>
      </c>
      <c r="F846" s="7"/>
      <c r="G846" s="2" t="s">
        <v>97</v>
      </c>
      <c r="H846" s="2" t="s">
        <v>1132</v>
      </c>
      <c r="I846" s="5">
        <v>136912.66</v>
      </c>
      <c r="J846" s="57"/>
      <c r="K846" s="3">
        <v>1512</v>
      </c>
      <c r="L846" s="2" t="s">
        <v>226</v>
      </c>
      <c r="M846" s="2" t="s">
        <v>12</v>
      </c>
      <c r="N846" s="2" t="s">
        <v>12</v>
      </c>
      <c r="O846" s="2" t="s">
        <v>12</v>
      </c>
      <c r="P846" s="21" t="s">
        <v>12</v>
      </c>
      <c r="Q846" s="3"/>
      <c r="R846" s="3"/>
    </row>
    <row r="847" spans="1:18" x14ac:dyDescent="0.25">
      <c r="A847" s="30">
        <v>45797</v>
      </c>
      <c r="B847" s="28">
        <v>837</v>
      </c>
      <c r="C847" s="28"/>
      <c r="D847" s="2" t="s">
        <v>640</v>
      </c>
      <c r="E847" s="7" t="s">
        <v>12</v>
      </c>
      <c r="F847" s="7"/>
      <c r="G847" s="2" t="s">
        <v>26</v>
      </c>
      <c r="H847" s="2" t="s">
        <v>642</v>
      </c>
      <c r="I847" s="5">
        <v>789.1</v>
      </c>
      <c r="J847" s="57"/>
      <c r="K847" s="3" t="s">
        <v>12</v>
      </c>
      <c r="L847" s="2" t="s">
        <v>226</v>
      </c>
      <c r="M847" s="2" t="s">
        <v>12</v>
      </c>
      <c r="N847" s="2" t="s">
        <v>12</v>
      </c>
      <c r="O847" s="2" t="s">
        <v>12</v>
      </c>
      <c r="P847" s="21" t="s">
        <v>12</v>
      </c>
      <c r="Q847" s="3" t="s">
        <v>12</v>
      </c>
      <c r="R847" s="3" t="s">
        <v>12</v>
      </c>
    </row>
    <row r="848" spans="1:18" x14ac:dyDescent="0.25">
      <c r="A848" s="30">
        <v>45797</v>
      </c>
      <c r="B848" s="28">
        <v>838</v>
      </c>
      <c r="C848" s="28"/>
      <c r="D848" s="2" t="s">
        <v>637</v>
      </c>
      <c r="E848" s="7" t="s">
        <v>1135</v>
      </c>
      <c r="F848" s="7"/>
      <c r="G848" s="2" t="s">
        <v>13</v>
      </c>
      <c r="H848" s="2" t="s">
        <v>15</v>
      </c>
      <c r="I848" s="5">
        <v>23513.25</v>
      </c>
      <c r="J848" s="57"/>
      <c r="K848" s="3">
        <v>216</v>
      </c>
      <c r="L848" s="2" t="s">
        <v>226</v>
      </c>
      <c r="M848" s="2" t="s">
        <v>12</v>
      </c>
      <c r="N848" s="2" t="s">
        <v>12</v>
      </c>
      <c r="O848" s="2" t="s">
        <v>12</v>
      </c>
      <c r="P848" s="21" t="s">
        <v>12</v>
      </c>
      <c r="Q848" s="3"/>
      <c r="R848" s="3"/>
    </row>
    <row r="849" spans="1:18" x14ac:dyDescent="0.25">
      <c r="A849" s="30">
        <v>45797</v>
      </c>
      <c r="B849" s="28">
        <v>839</v>
      </c>
      <c r="C849" s="28"/>
      <c r="D849" s="2" t="s">
        <v>637</v>
      </c>
      <c r="E849" s="7" t="s">
        <v>1136</v>
      </c>
      <c r="F849" s="7"/>
      <c r="G849" s="2" t="s">
        <v>13</v>
      </c>
      <c r="H849" s="2" t="s">
        <v>15</v>
      </c>
      <c r="I849" s="5">
        <v>28668.04</v>
      </c>
      <c r="J849" s="57"/>
      <c r="K849" s="3">
        <v>288</v>
      </c>
      <c r="L849" s="2" t="s">
        <v>226</v>
      </c>
      <c r="M849" s="2" t="s">
        <v>12</v>
      </c>
      <c r="N849" s="2" t="s">
        <v>12</v>
      </c>
      <c r="O849" s="2" t="s">
        <v>12</v>
      </c>
      <c r="P849" s="21" t="s">
        <v>12</v>
      </c>
      <c r="Q849" s="3"/>
      <c r="R849" s="3"/>
    </row>
    <row r="850" spans="1:18" x14ac:dyDescent="0.25">
      <c r="A850" s="30">
        <v>45797</v>
      </c>
      <c r="B850" s="28">
        <v>840</v>
      </c>
      <c r="C850" s="28"/>
      <c r="D850" s="2" t="s">
        <v>637</v>
      </c>
      <c r="E850" s="7" t="s">
        <v>1137</v>
      </c>
      <c r="F850" s="7"/>
      <c r="G850" s="2" t="s">
        <v>13</v>
      </c>
      <c r="H850" s="2" t="s">
        <v>15</v>
      </c>
      <c r="I850" s="5">
        <v>23624.79</v>
      </c>
      <c r="J850" s="57"/>
      <c r="K850" s="3">
        <v>240</v>
      </c>
      <c r="L850" s="2" t="s">
        <v>226</v>
      </c>
      <c r="M850" s="2" t="s">
        <v>12</v>
      </c>
      <c r="N850" s="2" t="s">
        <v>12</v>
      </c>
      <c r="O850" s="2" t="s">
        <v>12</v>
      </c>
      <c r="P850" s="21" t="s">
        <v>12</v>
      </c>
      <c r="Q850" s="3"/>
      <c r="R850" s="3"/>
    </row>
    <row r="851" spans="1:18" x14ac:dyDescent="0.25">
      <c r="A851" s="30">
        <v>45797</v>
      </c>
      <c r="B851" s="28">
        <v>841</v>
      </c>
      <c r="C851" s="28"/>
      <c r="D851" s="2" t="s">
        <v>637</v>
      </c>
      <c r="E851" s="7" t="s">
        <v>1138</v>
      </c>
      <c r="F851" s="7"/>
      <c r="G851" s="2" t="s">
        <v>13</v>
      </c>
      <c r="H851" s="2" t="s">
        <v>15</v>
      </c>
      <c r="I851" s="5">
        <v>23829.78</v>
      </c>
      <c r="J851" s="57"/>
      <c r="K851" s="3">
        <v>240</v>
      </c>
      <c r="L851" s="2" t="s">
        <v>226</v>
      </c>
      <c r="M851" s="2" t="s">
        <v>12</v>
      </c>
      <c r="N851" s="2" t="s">
        <v>12</v>
      </c>
      <c r="O851" s="2" t="s">
        <v>12</v>
      </c>
      <c r="P851" s="21" t="s">
        <v>12</v>
      </c>
      <c r="Q851" s="3"/>
      <c r="R851" s="3"/>
    </row>
    <row r="852" spans="1:18" x14ac:dyDescent="0.25">
      <c r="A852" s="30">
        <v>45797</v>
      </c>
      <c r="B852" s="28">
        <v>842</v>
      </c>
      <c r="C852" s="28"/>
      <c r="D852" s="2" t="s">
        <v>637</v>
      </c>
      <c r="E852" s="7" t="s">
        <v>1139</v>
      </c>
      <c r="F852" s="7"/>
      <c r="G852" s="2" t="s">
        <v>13</v>
      </c>
      <c r="H852" s="2" t="s">
        <v>15</v>
      </c>
      <c r="I852" s="5">
        <v>31119.05</v>
      </c>
      <c r="J852" s="57"/>
      <c r="K852" s="3">
        <v>312</v>
      </c>
      <c r="L852" s="2" t="s">
        <v>226</v>
      </c>
      <c r="M852" s="2" t="s">
        <v>12</v>
      </c>
      <c r="N852" s="2" t="s">
        <v>12</v>
      </c>
      <c r="O852" s="2" t="s">
        <v>12</v>
      </c>
      <c r="P852" s="21" t="s">
        <v>12</v>
      </c>
      <c r="Q852" s="3"/>
      <c r="R852" s="3"/>
    </row>
    <row r="853" spans="1:18" x14ac:dyDescent="0.25">
      <c r="A853" s="30">
        <v>45797</v>
      </c>
      <c r="B853" s="28">
        <v>843</v>
      </c>
      <c r="C853" s="28"/>
      <c r="D853" s="2" t="s">
        <v>637</v>
      </c>
      <c r="E853" s="7" t="s">
        <v>1140</v>
      </c>
      <c r="F853" s="7"/>
      <c r="G853" s="2" t="s">
        <v>13</v>
      </c>
      <c r="H853" s="2" t="s">
        <v>15</v>
      </c>
      <c r="I853" s="5">
        <v>31208.51</v>
      </c>
      <c r="J853" s="57"/>
      <c r="K853" s="3">
        <v>312</v>
      </c>
      <c r="L853" s="2" t="s">
        <v>226</v>
      </c>
      <c r="M853" s="2" t="s">
        <v>12</v>
      </c>
      <c r="N853" s="2" t="s">
        <v>12</v>
      </c>
      <c r="O853" s="2" t="s">
        <v>12</v>
      </c>
      <c r="P853" s="21" t="s">
        <v>12</v>
      </c>
      <c r="Q853" s="3"/>
      <c r="R853" s="3"/>
    </row>
    <row r="854" spans="1:18" x14ac:dyDescent="0.25">
      <c r="A854" s="30">
        <v>45797</v>
      </c>
      <c r="B854" s="28">
        <v>844</v>
      </c>
      <c r="C854" s="28"/>
      <c r="D854" s="2" t="s">
        <v>637</v>
      </c>
      <c r="E854" s="7" t="s">
        <v>1141</v>
      </c>
      <c r="F854" s="7"/>
      <c r="G854" s="2" t="s">
        <v>13</v>
      </c>
      <c r="H854" s="2" t="s">
        <v>15</v>
      </c>
      <c r="I854" s="5">
        <v>35951.56</v>
      </c>
      <c r="J854" s="57"/>
      <c r="K854" s="3">
        <v>360</v>
      </c>
      <c r="L854" s="2" t="s">
        <v>226</v>
      </c>
      <c r="M854" s="2" t="s">
        <v>12</v>
      </c>
      <c r="N854" s="2" t="s">
        <v>12</v>
      </c>
      <c r="O854" s="2" t="s">
        <v>12</v>
      </c>
      <c r="P854" s="21" t="s">
        <v>12</v>
      </c>
      <c r="Q854" s="3"/>
      <c r="R854" s="3"/>
    </row>
    <row r="855" spans="1:18" x14ac:dyDescent="0.25">
      <c r="A855" s="30">
        <v>45797</v>
      </c>
      <c r="B855" s="28">
        <v>845</v>
      </c>
      <c r="C855" s="28"/>
      <c r="D855" s="2" t="s">
        <v>233</v>
      </c>
      <c r="E855" s="7" t="s">
        <v>12</v>
      </c>
      <c r="F855" s="7"/>
      <c r="G855" s="2" t="s">
        <v>13</v>
      </c>
      <c r="H855" s="2" t="s">
        <v>235</v>
      </c>
      <c r="I855" s="5">
        <v>32701.64</v>
      </c>
      <c r="J855" s="57"/>
      <c r="K855" s="3">
        <v>360</v>
      </c>
      <c r="L855" s="2" t="s">
        <v>226</v>
      </c>
      <c r="M855" s="2" t="s">
        <v>12</v>
      </c>
      <c r="N855" s="2" t="s">
        <v>12</v>
      </c>
      <c r="O855" s="2" t="s">
        <v>12</v>
      </c>
      <c r="P855" s="21" t="s">
        <v>12</v>
      </c>
      <c r="Q855" s="3" t="s">
        <v>12</v>
      </c>
      <c r="R855" s="3" t="s">
        <v>12</v>
      </c>
    </row>
    <row r="856" spans="1:18" x14ac:dyDescent="0.25">
      <c r="A856" s="30">
        <v>45798</v>
      </c>
      <c r="B856" s="28">
        <v>846</v>
      </c>
      <c r="C856" s="28"/>
      <c r="D856" s="2" t="s">
        <v>202</v>
      </c>
      <c r="E856" s="7" t="s">
        <v>1142</v>
      </c>
      <c r="F856" s="7"/>
      <c r="G856" s="2" t="s">
        <v>97</v>
      </c>
      <c r="H856" s="2" t="s">
        <v>1143</v>
      </c>
      <c r="I856" s="5">
        <v>9377.4</v>
      </c>
      <c r="J856" s="57"/>
      <c r="K856" s="3">
        <v>120</v>
      </c>
      <c r="L856" s="2" t="s">
        <v>64</v>
      </c>
      <c r="M856" s="2" t="s">
        <v>12</v>
      </c>
      <c r="N856" s="2" t="s">
        <v>12</v>
      </c>
      <c r="O856" s="2" t="s">
        <v>12</v>
      </c>
      <c r="P856" s="21" t="s">
        <v>12</v>
      </c>
      <c r="Q856" s="3" t="s">
        <v>12</v>
      </c>
      <c r="R856" s="3"/>
    </row>
    <row r="857" spans="1:18" x14ac:dyDescent="0.25">
      <c r="A857" s="30">
        <v>45798</v>
      </c>
      <c r="B857" s="28">
        <v>847</v>
      </c>
      <c r="C857" s="28"/>
      <c r="D857" s="2" t="s">
        <v>202</v>
      </c>
      <c r="E857" s="7" t="s">
        <v>1144</v>
      </c>
      <c r="F857" s="7"/>
      <c r="G857" s="2" t="s">
        <v>97</v>
      </c>
      <c r="H857" s="2" t="s">
        <v>1143</v>
      </c>
      <c r="I857" s="5">
        <v>14896.58</v>
      </c>
      <c r="J857" s="57"/>
      <c r="K857" s="3">
        <v>192</v>
      </c>
      <c r="L857" s="2" t="s">
        <v>64</v>
      </c>
      <c r="M857" s="2" t="s">
        <v>12</v>
      </c>
      <c r="N857" s="2" t="s">
        <v>12</v>
      </c>
      <c r="O857" s="2" t="s">
        <v>12</v>
      </c>
      <c r="P857" s="21" t="s">
        <v>12</v>
      </c>
      <c r="Q857" s="3" t="s">
        <v>12</v>
      </c>
      <c r="R857" s="3" t="s">
        <v>12</v>
      </c>
    </row>
    <row r="858" spans="1:18" x14ac:dyDescent="0.25">
      <c r="A858" s="30">
        <v>45798</v>
      </c>
      <c r="B858" s="28">
        <v>848</v>
      </c>
      <c r="C858" s="28"/>
      <c r="D858" s="2" t="s">
        <v>202</v>
      </c>
      <c r="E858" s="7" t="s">
        <v>1145</v>
      </c>
      <c r="F858" s="7"/>
      <c r="G858" s="2" t="s">
        <v>97</v>
      </c>
      <c r="H858" s="2" t="s">
        <v>1143</v>
      </c>
      <c r="I858" s="5">
        <v>40726.019999999997</v>
      </c>
      <c r="J858" s="57"/>
      <c r="K858" s="3">
        <v>528</v>
      </c>
      <c r="L858" s="2" t="s">
        <v>64</v>
      </c>
      <c r="M858" s="2" t="s">
        <v>12</v>
      </c>
      <c r="N858" s="2" t="s">
        <v>12</v>
      </c>
      <c r="O858" s="2" t="s">
        <v>12</v>
      </c>
      <c r="P858" s="21" t="s">
        <v>12</v>
      </c>
      <c r="Q858" s="3" t="s">
        <v>12</v>
      </c>
      <c r="R858" s="3" t="s">
        <v>12</v>
      </c>
    </row>
    <row r="859" spans="1:18" x14ac:dyDescent="0.25">
      <c r="A859" s="30">
        <v>45797</v>
      </c>
      <c r="B859" s="28">
        <v>849</v>
      </c>
      <c r="C859" s="28"/>
      <c r="D859" s="2" t="s">
        <v>1038</v>
      </c>
      <c r="E859" s="7" t="s">
        <v>1146</v>
      </c>
      <c r="F859" s="7"/>
      <c r="G859" s="2" t="s">
        <v>26</v>
      </c>
      <c r="H859" s="2" t="s">
        <v>485</v>
      </c>
      <c r="I859" s="5">
        <v>9636.73</v>
      </c>
      <c r="J859" s="57"/>
      <c r="K859" s="3">
        <v>96</v>
      </c>
      <c r="L859" s="2" t="s">
        <v>226</v>
      </c>
      <c r="M859" s="2" t="s">
        <v>12</v>
      </c>
      <c r="N859" s="2" t="s">
        <v>12</v>
      </c>
      <c r="O859" s="2" t="s">
        <v>12</v>
      </c>
      <c r="P859" s="21" t="s">
        <v>12</v>
      </c>
      <c r="Q859" s="3" t="s">
        <v>12</v>
      </c>
      <c r="R859" s="3" t="s">
        <v>12</v>
      </c>
    </row>
    <row r="860" spans="1:18" x14ac:dyDescent="0.25">
      <c r="A860" s="30">
        <v>45818</v>
      </c>
      <c r="B860" s="28">
        <v>850</v>
      </c>
      <c r="C860" s="28"/>
      <c r="D860" s="2" t="s">
        <v>45</v>
      </c>
      <c r="E860" s="7" t="s">
        <v>1147</v>
      </c>
      <c r="F860" s="7"/>
      <c r="G860" s="2" t="s">
        <v>20</v>
      </c>
      <c r="H860" s="2" t="s">
        <v>1148</v>
      </c>
      <c r="I860" s="5">
        <v>141006.14000000001</v>
      </c>
      <c r="J860" s="57"/>
      <c r="K860" s="3">
        <v>1584</v>
      </c>
      <c r="L860" s="2" t="s">
        <v>134</v>
      </c>
      <c r="M860" s="2" t="s">
        <v>135</v>
      </c>
      <c r="N860" s="2" t="s">
        <v>12</v>
      </c>
      <c r="O860" s="2" t="s">
        <v>12</v>
      </c>
      <c r="P860" s="21"/>
      <c r="Q860" s="3"/>
      <c r="R860" s="3"/>
    </row>
    <row r="861" spans="1:18" x14ac:dyDescent="0.25">
      <c r="A861" s="30">
        <v>45797</v>
      </c>
      <c r="B861" s="28">
        <v>851</v>
      </c>
      <c r="C861" s="28"/>
      <c r="D861" s="2" t="s">
        <v>308</v>
      </c>
      <c r="E861" s="7" t="s">
        <v>1072</v>
      </c>
      <c r="F861" s="7"/>
      <c r="G861" s="2" t="s">
        <v>20</v>
      </c>
      <c r="H861" s="2" t="s">
        <v>129</v>
      </c>
      <c r="I861" s="5">
        <v>130443.8</v>
      </c>
      <c r="J861" s="57"/>
      <c r="K861" s="3">
        <v>1224</v>
      </c>
      <c r="L861" s="2" t="s">
        <v>226</v>
      </c>
      <c r="M861" s="2" t="s">
        <v>12</v>
      </c>
      <c r="N861" s="2" t="s">
        <v>12</v>
      </c>
      <c r="O861" s="2" t="s">
        <v>12</v>
      </c>
      <c r="P861" s="21" t="s">
        <v>12</v>
      </c>
      <c r="Q861" s="3" t="s">
        <v>1101</v>
      </c>
      <c r="R861" s="3" t="s">
        <v>80</v>
      </c>
    </row>
    <row r="862" spans="1:18" x14ac:dyDescent="0.25">
      <c r="A862" s="30">
        <v>45797</v>
      </c>
      <c r="B862" s="28">
        <v>852</v>
      </c>
      <c r="C862" s="28"/>
      <c r="D862" s="2" t="s">
        <v>1004</v>
      </c>
      <c r="E862" s="7" t="s">
        <v>1176</v>
      </c>
      <c r="F862" s="7"/>
      <c r="G862" s="2" t="s">
        <v>111</v>
      </c>
      <c r="H862" s="2" t="s">
        <v>116</v>
      </c>
      <c r="I862" s="5">
        <v>4123.13</v>
      </c>
      <c r="J862" s="57"/>
      <c r="K862" s="3" t="s">
        <v>12</v>
      </c>
      <c r="L862" s="2" t="s">
        <v>64</v>
      </c>
      <c r="M862" s="2" t="s">
        <v>12</v>
      </c>
      <c r="N862" s="2" t="s">
        <v>12</v>
      </c>
      <c r="O862" s="2" t="s">
        <v>12</v>
      </c>
      <c r="P862" s="21" t="s">
        <v>12</v>
      </c>
      <c r="Q862" s="3" t="s">
        <v>12</v>
      </c>
      <c r="R862" s="3" t="s">
        <v>12</v>
      </c>
    </row>
    <row r="863" spans="1:18" x14ac:dyDescent="0.25">
      <c r="A863" s="30">
        <v>45797</v>
      </c>
      <c r="B863" s="28">
        <v>853</v>
      </c>
      <c r="C863" s="28"/>
      <c r="D863" s="2" t="s">
        <v>308</v>
      </c>
      <c r="E863" s="7" t="s">
        <v>1149</v>
      </c>
      <c r="F863" s="7"/>
      <c r="G863" s="2" t="s">
        <v>20</v>
      </c>
      <c r="H863" s="2" t="s">
        <v>129</v>
      </c>
      <c r="I863" s="5">
        <v>561210.24</v>
      </c>
      <c r="J863" s="57"/>
      <c r="K863" s="3">
        <v>4536</v>
      </c>
      <c r="L863" s="2" t="s">
        <v>226</v>
      </c>
      <c r="M863" s="2" t="s">
        <v>12</v>
      </c>
      <c r="N863" s="2" t="s">
        <v>12</v>
      </c>
      <c r="O863" s="2" t="s">
        <v>12</v>
      </c>
      <c r="P863" s="21" t="s">
        <v>12</v>
      </c>
      <c r="Q863" s="3" t="s">
        <v>1101</v>
      </c>
      <c r="R863" s="3" t="s">
        <v>80</v>
      </c>
    </row>
    <row r="864" spans="1:18" x14ac:dyDescent="0.25">
      <c r="A864" s="30">
        <v>45798</v>
      </c>
      <c r="B864" s="28">
        <v>854</v>
      </c>
      <c r="C864" s="28"/>
      <c r="D864" s="2" t="s">
        <v>206</v>
      </c>
      <c r="E864" s="7" t="s">
        <v>1150</v>
      </c>
      <c r="F864" s="7"/>
      <c r="G864" s="2" t="s">
        <v>97</v>
      </c>
      <c r="H864" s="2" t="s">
        <v>473</v>
      </c>
      <c r="I864" s="5">
        <v>9354.01</v>
      </c>
      <c r="J864" s="57"/>
      <c r="K864" s="3">
        <v>144</v>
      </c>
      <c r="L864" s="2" t="s">
        <v>64</v>
      </c>
      <c r="M864" s="2" t="s">
        <v>12</v>
      </c>
      <c r="N864" s="2" t="s">
        <v>12</v>
      </c>
      <c r="O864" s="2" t="s">
        <v>12</v>
      </c>
      <c r="P864" s="21" t="s">
        <v>12</v>
      </c>
      <c r="Q864" s="3" t="s">
        <v>12</v>
      </c>
      <c r="R864" s="3" t="s">
        <v>12</v>
      </c>
    </row>
    <row r="865" spans="1:18" x14ac:dyDescent="0.25">
      <c r="A865" s="30">
        <v>45798</v>
      </c>
      <c r="B865" s="28">
        <v>855</v>
      </c>
      <c r="C865" s="28"/>
      <c r="D865" s="2" t="s">
        <v>233</v>
      </c>
      <c r="E865" s="7" t="s">
        <v>12</v>
      </c>
      <c r="F865" s="7"/>
      <c r="G865" s="2" t="s">
        <v>13</v>
      </c>
      <c r="H865" s="2" t="s">
        <v>235</v>
      </c>
      <c r="I865" s="5">
        <v>12060.42</v>
      </c>
      <c r="J865" s="57"/>
      <c r="K865" s="3">
        <v>192</v>
      </c>
      <c r="L865" s="2" t="s">
        <v>64</v>
      </c>
      <c r="M865" s="2" t="s">
        <v>12</v>
      </c>
      <c r="N865" s="2" t="s">
        <v>12</v>
      </c>
      <c r="O865" s="2" t="s">
        <v>12</v>
      </c>
      <c r="P865" s="21" t="s">
        <v>12</v>
      </c>
      <c r="Q865" s="3" t="s">
        <v>12</v>
      </c>
      <c r="R865" s="3" t="s">
        <v>12</v>
      </c>
    </row>
    <row r="866" spans="1:18" x14ac:dyDescent="0.25">
      <c r="A866" s="30">
        <v>45798</v>
      </c>
      <c r="B866" s="28">
        <v>856</v>
      </c>
      <c r="C866" s="28"/>
      <c r="D866" s="2" t="s">
        <v>925</v>
      </c>
      <c r="E866" s="7" t="s">
        <v>1151</v>
      </c>
      <c r="F866" s="7"/>
      <c r="G866" s="2" t="s">
        <v>26</v>
      </c>
      <c r="H866" s="2" t="s">
        <v>1187</v>
      </c>
      <c r="I866" s="5">
        <v>3006.41</v>
      </c>
      <c r="J866" s="57"/>
      <c r="K866" s="3">
        <v>24</v>
      </c>
      <c r="L866" s="2" t="s">
        <v>134</v>
      </c>
      <c r="M866" s="2" t="s">
        <v>135</v>
      </c>
      <c r="N866" s="2" t="s">
        <v>135</v>
      </c>
      <c r="O866" s="2" t="s">
        <v>1214</v>
      </c>
      <c r="P866" s="21" t="s">
        <v>12</v>
      </c>
      <c r="Q866" s="3" t="s">
        <v>12</v>
      </c>
      <c r="R866" s="3" t="s">
        <v>12</v>
      </c>
    </row>
    <row r="867" spans="1:18" x14ac:dyDescent="0.25">
      <c r="A867" s="30">
        <v>45798</v>
      </c>
      <c r="B867" s="28">
        <v>857</v>
      </c>
      <c r="C867" s="28"/>
      <c r="D867" s="2" t="s">
        <v>1152</v>
      </c>
      <c r="E867" s="7" t="s">
        <v>12</v>
      </c>
      <c r="F867" s="7"/>
      <c r="G867" s="2" t="s">
        <v>13</v>
      </c>
      <c r="H867" s="2" t="s">
        <v>1153</v>
      </c>
      <c r="I867" s="5">
        <v>36000.120000000003</v>
      </c>
      <c r="J867" s="57"/>
      <c r="K867" s="3">
        <v>480</v>
      </c>
      <c r="L867" s="2" t="s">
        <v>64</v>
      </c>
      <c r="M867" s="2" t="s">
        <v>12</v>
      </c>
      <c r="N867" s="2" t="s">
        <v>12</v>
      </c>
      <c r="O867" s="2" t="s">
        <v>12</v>
      </c>
      <c r="P867" s="21" t="s">
        <v>12</v>
      </c>
      <c r="Q867" s="3" t="s">
        <v>12</v>
      </c>
      <c r="R867" s="3" t="s">
        <v>12</v>
      </c>
    </row>
    <row r="868" spans="1:18" x14ac:dyDescent="0.25">
      <c r="A868" s="30">
        <v>45798</v>
      </c>
      <c r="B868" s="28">
        <v>858</v>
      </c>
      <c r="C868" s="28"/>
      <c r="D868" s="2" t="s">
        <v>338</v>
      </c>
      <c r="E868" s="7" t="s">
        <v>1154</v>
      </c>
      <c r="F868" s="7"/>
      <c r="G868" s="2" t="s">
        <v>97</v>
      </c>
      <c r="H868" s="2" t="s">
        <v>339</v>
      </c>
      <c r="I868" s="5">
        <v>14084.71</v>
      </c>
      <c r="J868" s="57"/>
      <c r="K868" s="3">
        <v>192</v>
      </c>
      <c r="L868" s="2" t="s">
        <v>134</v>
      </c>
      <c r="M868" s="2" t="s">
        <v>1166</v>
      </c>
      <c r="N868" s="2" t="s">
        <v>373</v>
      </c>
      <c r="O868" s="2" t="s">
        <v>443</v>
      </c>
      <c r="P868" s="21" t="s">
        <v>12</v>
      </c>
      <c r="Q868" s="3" t="s">
        <v>12</v>
      </c>
      <c r="R868" s="3" t="s">
        <v>12</v>
      </c>
    </row>
    <row r="869" spans="1:18" x14ac:dyDescent="0.25">
      <c r="A869" s="30">
        <v>45798</v>
      </c>
      <c r="B869" s="28">
        <v>859</v>
      </c>
      <c r="C869" s="28"/>
      <c r="D869" s="2" t="s">
        <v>646</v>
      </c>
      <c r="E869" s="7" t="s">
        <v>12</v>
      </c>
      <c r="F869" s="7"/>
      <c r="G869" s="2" t="s">
        <v>111</v>
      </c>
      <c r="H869" s="2" t="s">
        <v>648</v>
      </c>
      <c r="I869" s="5">
        <v>3879.18</v>
      </c>
      <c r="J869" s="57"/>
      <c r="K869" s="3" t="s">
        <v>12</v>
      </c>
      <c r="L869" s="2" t="s">
        <v>226</v>
      </c>
      <c r="M869" s="2" t="s">
        <v>12</v>
      </c>
      <c r="N869" s="2" t="s">
        <v>12</v>
      </c>
      <c r="O869" s="2" t="s">
        <v>12</v>
      </c>
      <c r="P869" s="21" t="s">
        <v>12</v>
      </c>
      <c r="Q869" s="3" t="s">
        <v>12</v>
      </c>
      <c r="R869" s="3" t="s">
        <v>12</v>
      </c>
    </row>
    <row r="870" spans="1:18" x14ac:dyDescent="0.25">
      <c r="A870" s="30">
        <v>45798</v>
      </c>
      <c r="B870" s="28">
        <v>860</v>
      </c>
      <c r="C870" s="28"/>
      <c r="D870" s="2" t="s">
        <v>904</v>
      </c>
      <c r="E870" s="7" t="s">
        <v>12</v>
      </c>
      <c r="F870" s="7"/>
      <c r="G870" s="2" t="s">
        <v>13</v>
      </c>
      <c r="H870" s="2" t="s">
        <v>225</v>
      </c>
      <c r="I870" s="5">
        <v>36100.76</v>
      </c>
      <c r="J870" s="57"/>
      <c r="K870" s="3">
        <v>336</v>
      </c>
      <c r="L870" s="2" t="s">
        <v>226</v>
      </c>
      <c r="M870" s="2" t="s">
        <v>12</v>
      </c>
      <c r="N870" s="2" t="s">
        <v>12</v>
      </c>
      <c r="O870" s="2" t="s">
        <v>12</v>
      </c>
      <c r="P870" s="21" t="s">
        <v>12</v>
      </c>
      <c r="Q870" s="3" t="s">
        <v>12</v>
      </c>
      <c r="R870" s="3" t="s">
        <v>12</v>
      </c>
    </row>
    <row r="871" spans="1:18" x14ac:dyDescent="0.25">
      <c r="A871" s="30">
        <v>45798</v>
      </c>
      <c r="B871" s="28">
        <v>861</v>
      </c>
      <c r="C871" s="28"/>
      <c r="D871" s="2" t="s">
        <v>557</v>
      </c>
      <c r="E871" s="7" t="s">
        <v>12</v>
      </c>
      <c r="F871" s="7"/>
      <c r="G871" s="2" t="s">
        <v>20</v>
      </c>
      <c r="H871" s="2" t="s">
        <v>471</v>
      </c>
      <c r="I871" s="5">
        <v>4014.26</v>
      </c>
      <c r="J871" s="57"/>
      <c r="K871" s="3">
        <v>48</v>
      </c>
      <c r="L871" s="2" t="s">
        <v>64</v>
      </c>
      <c r="M871" s="2" t="s">
        <v>12</v>
      </c>
      <c r="N871" s="2" t="s">
        <v>12</v>
      </c>
      <c r="O871" s="2" t="s">
        <v>12</v>
      </c>
      <c r="P871" s="21" t="s">
        <v>12</v>
      </c>
      <c r="Q871" s="3" t="s">
        <v>12</v>
      </c>
      <c r="R871" s="3" t="s">
        <v>12</v>
      </c>
    </row>
    <row r="872" spans="1:18" x14ac:dyDescent="0.25">
      <c r="A872" s="30">
        <v>45798</v>
      </c>
      <c r="B872" s="28">
        <v>862</v>
      </c>
      <c r="C872" s="28"/>
      <c r="D872" s="2" t="s">
        <v>925</v>
      </c>
      <c r="E872" s="7" t="s">
        <v>1155</v>
      </c>
      <c r="F872" s="7"/>
      <c r="G872" s="2" t="s">
        <v>26</v>
      </c>
      <c r="H872" s="2" t="s">
        <v>926</v>
      </c>
      <c r="I872" s="5">
        <v>195683.88</v>
      </c>
      <c r="J872" s="57"/>
      <c r="K872" s="3">
        <v>2160</v>
      </c>
      <c r="L872" s="2" t="s">
        <v>226</v>
      </c>
      <c r="M872" s="2" t="s">
        <v>12</v>
      </c>
      <c r="N872" s="2" t="s">
        <v>12</v>
      </c>
      <c r="O872" s="2" t="s">
        <v>12</v>
      </c>
      <c r="P872" s="21" t="s">
        <v>12</v>
      </c>
      <c r="Q872" s="3" t="s">
        <v>1211</v>
      </c>
      <c r="R872" s="3" t="s">
        <v>75</v>
      </c>
    </row>
    <row r="873" spans="1:18" x14ac:dyDescent="0.25">
      <c r="A873" s="30">
        <v>45798</v>
      </c>
      <c r="B873" s="28">
        <v>863</v>
      </c>
      <c r="C873" s="28"/>
      <c r="D873" s="2" t="s">
        <v>41</v>
      </c>
      <c r="E873" s="7" t="s">
        <v>12</v>
      </c>
      <c r="F873" s="7"/>
      <c r="G873" s="2" t="s">
        <v>43</v>
      </c>
      <c r="H873" s="2" t="s">
        <v>158</v>
      </c>
      <c r="I873" s="5">
        <v>1137.4000000000001</v>
      </c>
      <c r="J873" s="57"/>
      <c r="K873" s="3" t="s">
        <v>12</v>
      </c>
      <c r="L873" s="2" t="s">
        <v>64</v>
      </c>
      <c r="M873" s="2" t="s">
        <v>12</v>
      </c>
      <c r="N873" s="2" t="s">
        <v>12</v>
      </c>
      <c r="O873" s="2" t="s">
        <v>12</v>
      </c>
      <c r="P873" s="21" t="s">
        <v>12</v>
      </c>
      <c r="Q873" s="3" t="s">
        <v>12</v>
      </c>
      <c r="R873" s="3" t="s">
        <v>12</v>
      </c>
    </row>
    <row r="874" spans="1:18" x14ac:dyDescent="0.25">
      <c r="A874" s="30">
        <v>45798</v>
      </c>
      <c r="B874" s="28">
        <v>864</v>
      </c>
      <c r="C874" s="28"/>
      <c r="D874" s="2" t="s">
        <v>41</v>
      </c>
      <c r="E874" s="7" t="s">
        <v>1177</v>
      </c>
      <c r="F874" s="7"/>
      <c r="G874" s="2" t="s">
        <v>43</v>
      </c>
      <c r="H874" s="2" t="s">
        <v>158</v>
      </c>
      <c r="I874" s="5">
        <v>15845.63</v>
      </c>
      <c r="J874" s="57"/>
      <c r="K874" s="3" t="s">
        <v>12</v>
      </c>
      <c r="L874" s="2" t="s">
        <v>64</v>
      </c>
      <c r="M874" s="2" t="s">
        <v>12</v>
      </c>
      <c r="N874" s="2" t="s">
        <v>12</v>
      </c>
      <c r="O874" s="2" t="s">
        <v>12</v>
      </c>
      <c r="P874" s="21" t="s">
        <v>12</v>
      </c>
      <c r="Q874" s="3" t="s">
        <v>12</v>
      </c>
      <c r="R874" s="3" t="s">
        <v>12</v>
      </c>
    </row>
    <row r="875" spans="1:18" x14ac:dyDescent="0.25">
      <c r="A875" s="30">
        <v>45798</v>
      </c>
      <c r="B875" s="28">
        <v>865</v>
      </c>
      <c r="C875" s="28"/>
      <c r="D875" s="2" t="s">
        <v>989</v>
      </c>
      <c r="E875" s="7" t="s">
        <v>1156</v>
      </c>
      <c r="F875" s="7"/>
      <c r="G875" s="2" t="s">
        <v>20</v>
      </c>
      <c r="H875" s="2" t="s">
        <v>432</v>
      </c>
      <c r="I875" s="5">
        <v>101347.15</v>
      </c>
      <c r="J875" s="57"/>
      <c r="K875" s="3">
        <v>1176</v>
      </c>
      <c r="L875" s="2" t="s">
        <v>226</v>
      </c>
      <c r="M875" s="2" t="s">
        <v>12</v>
      </c>
      <c r="N875" s="2" t="s">
        <v>12</v>
      </c>
      <c r="O875" s="2" t="s">
        <v>12</v>
      </c>
      <c r="P875" s="21" t="s">
        <v>12</v>
      </c>
      <c r="Q875" s="3" t="s">
        <v>12</v>
      </c>
      <c r="R875" s="3" t="s">
        <v>12</v>
      </c>
    </row>
    <row r="876" spans="1:18" x14ac:dyDescent="0.25">
      <c r="A876" s="30">
        <v>45799</v>
      </c>
      <c r="B876" s="28">
        <v>866</v>
      </c>
      <c r="C876" s="28"/>
      <c r="D876" s="2" t="s">
        <v>640</v>
      </c>
      <c r="E876" s="7" t="s">
        <v>1180</v>
      </c>
      <c r="F876" s="7"/>
      <c r="G876" s="2" t="s">
        <v>26</v>
      </c>
      <c r="H876" s="2" t="s">
        <v>427</v>
      </c>
      <c r="I876" s="5">
        <v>74769.63</v>
      </c>
      <c r="J876" s="57"/>
      <c r="K876" s="3">
        <v>768</v>
      </c>
      <c r="L876" s="2" t="s">
        <v>226</v>
      </c>
      <c r="M876" s="2" t="s">
        <v>12</v>
      </c>
      <c r="N876" s="2" t="s">
        <v>12</v>
      </c>
      <c r="O876" s="2" t="s">
        <v>12</v>
      </c>
      <c r="P876" s="21" t="s">
        <v>12</v>
      </c>
      <c r="Q876" s="3" t="s">
        <v>12</v>
      </c>
      <c r="R876" s="3" t="s">
        <v>12</v>
      </c>
    </row>
    <row r="877" spans="1:18" x14ac:dyDescent="0.25">
      <c r="A877" s="30">
        <v>45803</v>
      </c>
      <c r="B877" s="28">
        <v>867</v>
      </c>
      <c r="C877" s="28"/>
      <c r="D877" s="2" t="s">
        <v>41</v>
      </c>
      <c r="E877" s="7" t="s">
        <v>1181</v>
      </c>
      <c r="F877" s="7"/>
      <c r="G877" s="2" t="s">
        <v>43</v>
      </c>
      <c r="H877" s="2" t="s">
        <v>158</v>
      </c>
      <c r="I877" s="5">
        <v>60177.56</v>
      </c>
      <c r="J877" s="57"/>
      <c r="K877" s="3">
        <v>600</v>
      </c>
      <c r="L877" s="2" t="s">
        <v>226</v>
      </c>
      <c r="M877" s="2" t="s">
        <v>12</v>
      </c>
      <c r="N877" s="2" t="s">
        <v>12</v>
      </c>
      <c r="O877" s="2" t="s">
        <v>12</v>
      </c>
      <c r="P877" s="21" t="s">
        <v>12</v>
      </c>
      <c r="Q877" s="3" t="s">
        <v>12</v>
      </c>
      <c r="R877" s="3" t="s">
        <v>12</v>
      </c>
    </row>
    <row r="878" spans="1:18" x14ac:dyDescent="0.25">
      <c r="A878" s="30">
        <v>45799</v>
      </c>
      <c r="B878" s="28">
        <v>868</v>
      </c>
      <c r="C878" s="28"/>
      <c r="D878" s="2" t="s">
        <v>336</v>
      </c>
      <c r="E878" s="7" t="s">
        <v>1149</v>
      </c>
      <c r="F878" s="7"/>
      <c r="G878" s="2" t="s">
        <v>20</v>
      </c>
      <c r="H878" s="2" t="s">
        <v>337</v>
      </c>
      <c r="I878" s="5">
        <v>654910.39</v>
      </c>
      <c r="J878" s="57"/>
      <c r="K878" s="3">
        <v>5292</v>
      </c>
      <c r="L878" s="2" t="s">
        <v>226</v>
      </c>
      <c r="M878" s="2" t="s">
        <v>12</v>
      </c>
      <c r="N878" s="2" t="s">
        <v>12</v>
      </c>
      <c r="O878" s="2" t="s">
        <v>12</v>
      </c>
      <c r="P878" s="21" t="s">
        <v>12</v>
      </c>
      <c r="Q878" s="3" t="s">
        <v>1101</v>
      </c>
      <c r="R878" s="3" t="s">
        <v>80</v>
      </c>
    </row>
    <row r="879" spans="1:18" x14ac:dyDescent="0.25">
      <c r="A879" s="30">
        <v>45799</v>
      </c>
      <c r="B879" s="28">
        <v>869</v>
      </c>
      <c r="C879" s="28"/>
      <c r="D879" s="2" t="s">
        <v>109</v>
      </c>
      <c r="E879" s="7" t="s">
        <v>1182</v>
      </c>
      <c r="F879" s="7"/>
      <c r="G879" s="2" t="s">
        <v>111</v>
      </c>
      <c r="H879" s="2" t="s">
        <v>61</v>
      </c>
      <c r="I879" s="5">
        <v>230941.29</v>
      </c>
      <c r="J879" s="57"/>
      <c r="K879" s="3">
        <v>2904</v>
      </c>
      <c r="L879" s="2" t="s">
        <v>226</v>
      </c>
      <c r="M879" s="2" t="s">
        <v>12</v>
      </c>
      <c r="N879" s="2" t="s">
        <v>12</v>
      </c>
      <c r="O879" s="2" t="s">
        <v>12</v>
      </c>
      <c r="P879" s="21" t="s">
        <v>12</v>
      </c>
      <c r="Q879" s="3" t="s">
        <v>12</v>
      </c>
      <c r="R879" s="3" t="s">
        <v>12</v>
      </c>
    </row>
    <row r="880" spans="1:18" x14ac:dyDescent="0.25">
      <c r="A880" s="30">
        <v>45799</v>
      </c>
      <c r="B880" s="28">
        <v>870</v>
      </c>
      <c r="C880" s="28"/>
      <c r="D880" s="2" t="s">
        <v>233</v>
      </c>
      <c r="E880" s="7" t="s">
        <v>12</v>
      </c>
      <c r="F880" s="7"/>
      <c r="G880" s="2" t="s">
        <v>13</v>
      </c>
      <c r="H880" s="2" t="s">
        <v>235</v>
      </c>
      <c r="I880" s="5">
        <v>31155.08</v>
      </c>
      <c r="J880" s="57"/>
      <c r="K880" s="3">
        <v>360</v>
      </c>
      <c r="L880" s="2" t="s">
        <v>226</v>
      </c>
      <c r="M880" s="2" t="s">
        <v>12</v>
      </c>
      <c r="N880" s="2" t="s">
        <v>12</v>
      </c>
      <c r="O880" s="2" t="s">
        <v>12</v>
      </c>
      <c r="P880" s="21" t="s">
        <v>12</v>
      </c>
      <c r="Q880" s="3" t="s">
        <v>12</v>
      </c>
      <c r="R880" s="3" t="s">
        <v>12</v>
      </c>
    </row>
    <row r="881" spans="1:18" x14ac:dyDescent="0.25">
      <c r="A881" s="30">
        <v>45799</v>
      </c>
      <c r="B881" s="28">
        <v>871</v>
      </c>
      <c r="C881" s="28"/>
      <c r="D881" s="2" t="s">
        <v>1183</v>
      </c>
      <c r="E881" s="7" t="s">
        <v>1184</v>
      </c>
      <c r="F881" s="7"/>
      <c r="G881" s="2" t="s">
        <v>13</v>
      </c>
      <c r="H881" s="2" t="s">
        <v>242</v>
      </c>
      <c r="I881" s="5">
        <v>34426.089999999997</v>
      </c>
      <c r="J881" s="57"/>
      <c r="K881" s="3">
        <v>384</v>
      </c>
      <c r="L881" s="2" t="s">
        <v>226</v>
      </c>
      <c r="M881" s="2" t="s">
        <v>12</v>
      </c>
      <c r="N881" s="2" t="s">
        <v>12</v>
      </c>
      <c r="O881" s="2" t="s">
        <v>12</v>
      </c>
      <c r="P881" s="21" t="s">
        <v>12</v>
      </c>
      <c r="Q881" s="3" t="s">
        <v>12</v>
      </c>
      <c r="R881" s="3" t="s">
        <v>12</v>
      </c>
    </row>
    <row r="882" spans="1:18" x14ac:dyDescent="0.25">
      <c r="A882" s="30">
        <v>45799</v>
      </c>
      <c r="B882" s="28">
        <v>872</v>
      </c>
      <c r="C882" s="28"/>
      <c r="D882" s="2" t="s">
        <v>87</v>
      </c>
      <c r="E882" s="7" t="s">
        <v>1185</v>
      </c>
      <c r="F882" s="7"/>
      <c r="G882" s="2" t="s">
        <v>13</v>
      </c>
      <c r="H882" s="2" t="s">
        <v>185</v>
      </c>
      <c r="I882" s="5">
        <v>151787.92000000001</v>
      </c>
      <c r="J882" s="57"/>
      <c r="K882" s="3">
        <v>1536</v>
      </c>
      <c r="L882" s="2" t="s">
        <v>226</v>
      </c>
      <c r="M882" s="2" t="s">
        <v>12</v>
      </c>
      <c r="N882" s="2" t="s">
        <v>12</v>
      </c>
      <c r="O882" s="2" t="s">
        <v>12</v>
      </c>
      <c r="P882" s="21" t="s">
        <v>12</v>
      </c>
      <c r="Q882" s="3" t="s">
        <v>1210</v>
      </c>
      <c r="R882" s="3" t="s">
        <v>80</v>
      </c>
    </row>
    <row r="883" spans="1:18" x14ac:dyDescent="0.25">
      <c r="A883" s="30">
        <v>45800</v>
      </c>
      <c r="B883" s="28">
        <v>873</v>
      </c>
      <c r="C883" s="28"/>
      <c r="D883" s="2" t="s">
        <v>1186</v>
      </c>
      <c r="E883" s="7" t="s">
        <v>12</v>
      </c>
      <c r="F883" s="7"/>
      <c r="G883" s="2" t="s">
        <v>13</v>
      </c>
      <c r="H883" s="2"/>
      <c r="I883" s="5">
        <v>5242.93</v>
      </c>
      <c r="J883" s="57"/>
      <c r="K883" s="3">
        <v>48</v>
      </c>
      <c r="L883" s="2" t="s">
        <v>226</v>
      </c>
      <c r="M883" s="2" t="s">
        <v>12</v>
      </c>
      <c r="N883" s="2" t="s">
        <v>12</v>
      </c>
      <c r="O883" s="2" t="s">
        <v>12</v>
      </c>
      <c r="P883" s="21" t="s">
        <v>12</v>
      </c>
      <c r="Q883" s="3" t="s">
        <v>12</v>
      </c>
      <c r="R883" s="3" t="s">
        <v>12</v>
      </c>
    </row>
    <row r="884" spans="1:18" x14ac:dyDescent="0.25">
      <c r="A884" s="30">
        <v>45800</v>
      </c>
      <c r="B884" s="28">
        <v>874</v>
      </c>
      <c r="C884" s="28"/>
      <c r="D884" s="2" t="s">
        <v>449</v>
      </c>
      <c r="E884" s="7" t="s">
        <v>1283</v>
      </c>
      <c r="F884" s="7"/>
      <c r="G884" s="2" t="s">
        <v>20</v>
      </c>
      <c r="H884" s="2" t="s">
        <v>1187</v>
      </c>
      <c r="I884" s="5">
        <v>89451.03</v>
      </c>
      <c r="J884" s="57"/>
      <c r="K884" s="3">
        <v>912</v>
      </c>
      <c r="L884" s="2" t="s">
        <v>226</v>
      </c>
      <c r="M884" s="2" t="s">
        <v>1398</v>
      </c>
      <c r="N884" s="2" t="s">
        <v>12</v>
      </c>
      <c r="O884" s="2" t="s">
        <v>12</v>
      </c>
      <c r="P884" s="21" t="s">
        <v>12</v>
      </c>
      <c r="Q884" s="3" t="s">
        <v>12</v>
      </c>
      <c r="R884" s="3" t="s">
        <v>12</v>
      </c>
    </row>
    <row r="885" spans="1:18" x14ac:dyDescent="0.25">
      <c r="A885" s="30">
        <v>45800</v>
      </c>
      <c r="B885" s="28">
        <v>875</v>
      </c>
      <c r="C885" s="28"/>
      <c r="D885" s="2" t="s">
        <v>391</v>
      </c>
      <c r="E885" s="7" t="s">
        <v>12</v>
      </c>
      <c r="F885" s="7"/>
      <c r="G885" s="2" t="s">
        <v>13</v>
      </c>
      <c r="H885" s="2" t="s">
        <v>392</v>
      </c>
      <c r="I885" s="5">
        <v>2751.12</v>
      </c>
      <c r="J885" s="57"/>
      <c r="K885" s="3" t="s">
        <v>12</v>
      </c>
      <c r="L885" s="2" t="s">
        <v>226</v>
      </c>
      <c r="M885" s="2" t="s">
        <v>1213</v>
      </c>
      <c r="N885" s="2" t="s">
        <v>12</v>
      </c>
      <c r="O885" s="2" t="s">
        <v>12</v>
      </c>
      <c r="P885" s="21" t="s">
        <v>12</v>
      </c>
      <c r="Q885" s="3" t="s">
        <v>12</v>
      </c>
      <c r="R885" s="3" t="s">
        <v>12</v>
      </c>
    </row>
    <row r="886" spans="1:18" x14ac:dyDescent="0.25">
      <c r="A886" s="30">
        <v>45800</v>
      </c>
      <c r="B886" s="28">
        <v>876</v>
      </c>
      <c r="C886" s="28"/>
      <c r="D886" s="2" t="s">
        <v>1188</v>
      </c>
      <c r="E886" s="7" t="s">
        <v>12</v>
      </c>
      <c r="F886" s="7"/>
      <c r="G886" s="2" t="s">
        <v>13</v>
      </c>
      <c r="H886" s="2" t="s">
        <v>424</v>
      </c>
      <c r="I886" s="5">
        <v>2536.0300000000002</v>
      </c>
      <c r="J886" s="57"/>
      <c r="K886" s="3">
        <v>24</v>
      </c>
      <c r="L886" s="2" t="s">
        <v>226</v>
      </c>
      <c r="M886" s="2" t="s">
        <v>12</v>
      </c>
      <c r="N886" s="2" t="s">
        <v>12</v>
      </c>
      <c r="O886" s="2" t="s">
        <v>12</v>
      </c>
      <c r="P886" s="21" t="s">
        <v>12</v>
      </c>
      <c r="Q886" s="3" t="s">
        <v>12</v>
      </c>
      <c r="R886" s="3" t="s">
        <v>12</v>
      </c>
    </row>
    <row r="887" spans="1:18" x14ac:dyDescent="0.25">
      <c r="A887" s="30">
        <v>45800</v>
      </c>
      <c r="B887" s="28">
        <v>877</v>
      </c>
      <c r="C887" s="28"/>
      <c r="D887" s="2" t="s">
        <v>208</v>
      </c>
      <c r="E887" s="7" t="s">
        <v>1189</v>
      </c>
      <c r="F887" s="7"/>
      <c r="G887" s="2" t="s">
        <v>43</v>
      </c>
      <c r="H887" s="2" t="s">
        <v>1113</v>
      </c>
      <c r="I887" s="5">
        <v>8101.61</v>
      </c>
      <c r="J887" s="57"/>
      <c r="K887" s="3">
        <v>72</v>
      </c>
      <c r="L887" s="2" t="s">
        <v>226</v>
      </c>
      <c r="M887" s="2" t="s">
        <v>12</v>
      </c>
      <c r="N887" s="2" t="s">
        <v>12</v>
      </c>
      <c r="O887" s="2" t="s">
        <v>12</v>
      </c>
      <c r="P887" s="21" t="s">
        <v>12</v>
      </c>
      <c r="Q887" s="3" t="s">
        <v>12</v>
      </c>
      <c r="R887" s="3" t="s">
        <v>12</v>
      </c>
    </row>
    <row r="888" spans="1:18" x14ac:dyDescent="0.25">
      <c r="A888" s="30">
        <v>45800</v>
      </c>
      <c r="B888" s="28">
        <v>878</v>
      </c>
      <c r="C888" s="28"/>
      <c r="D888" s="2" t="s">
        <v>1190</v>
      </c>
      <c r="E888" s="7" t="s">
        <v>12</v>
      </c>
      <c r="F888" s="7"/>
      <c r="G888" s="2" t="s">
        <v>13</v>
      </c>
      <c r="H888" s="2" t="s">
        <v>390</v>
      </c>
      <c r="I888" s="5">
        <v>18128.22</v>
      </c>
      <c r="J888" s="57"/>
      <c r="K888" s="3">
        <v>288</v>
      </c>
      <c r="L888" s="2" t="s">
        <v>64</v>
      </c>
      <c r="M888" s="2" t="s">
        <v>12</v>
      </c>
      <c r="N888" s="2" t="s">
        <v>12</v>
      </c>
      <c r="O888" s="2" t="s">
        <v>12</v>
      </c>
      <c r="P888" s="21" t="s">
        <v>12</v>
      </c>
      <c r="Q888" s="3" t="s">
        <v>12</v>
      </c>
      <c r="R888" s="3" t="s">
        <v>12</v>
      </c>
    </row>
    <row r="889" spans="1:18" x14ac:dyDescent="0.25">
      <c r="A889" s="30">
        <v>45800</v>
      </c>
      <c r="B889" s="28">
        <v>879</v>
      </c>
      <c r="C889" s="28"/>
      <c r="D889" s="2" t="s">
        <v>70</v>
      </c>
      <c r="E889" s="7" t="s">
        <v>1191</v>
      </c>
      <c r="F889" s="7"/>
      <c r="G889" s="2" t="s">
        <v>13</v>
      </c>
      <c r="H889" s="2" t="s">
        <v>72</v>
      </c>
      <c r="I889" s="5">
        <v>30490.63</v>
      </c>
      <c r="J889" s="57"/>
      <c r="K889" s="3">
        <v>384</v>
      </c>
      <c r="L889" s="2" t="s">
        <v>226</v>
      </c>
      <c r="M889" s="2" t="s">
        <v>12</v>
      </c>
      <c r="N889" s="2" t="s">
        <v>12</v>
      </c>
      <c r="O889" s="2" t="s">
        <v>12</v>
      </c>
      <c r="P889" s="21" t="s">
        <v>12</v>
      </c>
      <c r="Q889" s="3" t="s">
        <v>12</v>
      </c>
      <c r="R889" s="3" t="s">
        <v>12</v>
      </c>
    </row>
    <row r="890" spans="1:18" x14ac:dyDescent="0.25">
      <c r="A890" s="30">
        <v>45800</v>
      </c>
      <c r="B890" s="28">
        <v>880</v>
      </c>
      <c r="C890" s="28"/>
      <c r="D890" s="2" t="s">
        <v>41</v>
      </c>
      <c r="E890" s="7" t="s">
        <v>1192</v>
      </c>
      <c r="F890" s="7"/>
      <c r="G890" s="2" t="s">
        <v>43</v>
      </c>
      <c r="H890" s="2" t="s">
        <v>43</v>
      </c>
      <c r="I890" s="5">
        <v>306232.57</v>
      </c>
      <c r="J890" s="57"/>
      <c r="K890" s="3">
        <v>2880</v>
      </c>
      <c r="L890" s="2" t="s">
        <v>226</v>
      </c>
      <c r="M890" s="2" t="s">
        <v>12</v>
      </c>
      <c r="N890" s="2" t="s">
        <v>12</v>
      </c>
      <c r="O890" s="2" t="s">
        <v>12</v>
      </c>
      <c r="P890" s="21" t="s">
        <v>12</v>
      </c>
      <c r="Q890" s="3" t="s">
        <v>12</v>
      </c>
      <c r="R890" s="3" t="s">
        <v>12</v>
      </c>
    </row>
    <row r="891" spans="1:18" x14ac:dyDescent="0.25">
      <c r="A891" s="30">
        <v>45800</v>
      </c>
      <c r="B891" s="28">
        <v>881</v>
      </c>
      <c r="C891" s="28"/>
      <c r="D891" s="2" t="s">
        <v>41</v>
      </c>
      <c r="E891" s="7" t="s">
        <v>1115</v>
      </c>
      <c r="F891" s="7"/>
      <c r="G891" s="2" t="s">
        <v>43</v>
      </c>
      <c r="H891" s="2" t="s">
        <v>158</v>
      </c>
      <c r="I891" s="5">
        <v>1471.68</v>
      </c>
      <c r="J891" s="57"/>
      <c r="K891" s="3" t="s">
        <v>12</v>
      </c>
      <c r="L891" s="2" t="s">
        <v>226</v>
      </c>
      <c r="M891" s="2"/>
      <c r="N891" s="2" t="s">
        <v>12</v>
      </c>
      <c r="O891" s="2" t="s">
        <v>12</v>
      </c>
      <c r="P891" s="21" t="s">
        <v>12</v>
      </c>
      <c r="Q891" s="3" t="s">
        <v>12</v>
      </c>
      <c r="R891" s="3" t="s">
        <v>12</v>
      </c>
    </row>
    <row r="892" spans="1:18" x14ac:dyDescent="0.25">
      <c r="A892" s="30">
        <v>45800</v>
      </c>
      <c r="B892" s="28">
        <v>882</v>
      </c>
      <c r="C892" s="28"/>
      <c r="D892" s="2" t="s">
        <v>1193</v>
      </c>
      <c r="E892" s="7" t="s">
        <v>12</v>
      </c>
      <c r="F892" s="7"/>
      <c r="G892" s="2" t="s">
        <v>97</v>
      </c>
      <c r="H892" s="2" t="s">
        <v>189</v>
      </c>
      <c r="I892" s="5">
        <v>35703.67</v>
      </c>
      <c r="J892" s="57"/>
      <c r="K892" s="3">
        <v>432</v>
      </c>
      <c r="L892" s="2" t="s">
        <v>226</v>
      </c>
      <c r="M892" s="2" t="s">
        <v>12</v>
      </c>
      <c r="N892" s="2" t="s">
        <v>12</v>
      </c>
      <c r="O892" s="2" t="s">
        <v>12</v>
      </c>
      <c r="P892" s="21" t="s">
        <v>12</v>
      </c>
      <c r="Q892" s="3" t="s">
        <v>12</v>
      </c>
      <c r="R892" s="3" t="s">
        <v>12</v>
      </c>
    </row>
    <row r="893" spans="1:18" x14ac:dyDescent="0.25">
      <c r="A893" s="30">
        <v>45803</v>
      </c>
      <c r="B893" s="28">
        <v>883</v>
      </c>
      <c r="C893" s="28"/>
      <c r="D893" s="2" t="s">
        <v>1194</v>
      </c>
      <c r="E893" s="7" t="s">
        <v>1195</v>
      </c>
      <c r="F893" s="7"/>
      <c r="G893" s="2" t="s">
        <v>26</v>
      </c>
      <c r="H893" s="2" t="s">
        <v>263</v>
      </c>
      <c r="I893" s="5">
        <v>277195.07</v>
      </c>
      <c r="J893" s="57"/>
      <c r="K893" s="3">
        <v>3312</v>
      </c>
      <c r="L893" s="2" t="s">
        <v>226</v>
      </c>
      <c r="M893" s="2" t="s">
        <v>1362</v>
      </c>
      <c r="N893" s="2" t="s">
        <v>12</v>
      </c>
      <c r="O893" s="2" t="s">
        <v>12</v>
      </c>
      <c r="P893" s="21" t="s">
        <v>12</v>
      </c>
      <c r="Q893" s="3" t="s">
        <v>12</v>
      </c>
      <c r="R893" s="3" t="s">
        <v>12</v>
      </c>
    </row>
    <row r="894" spans="1:18" x14ac:dyDescent="0.25">
      <c r="A894" s="30">
        <v>45804</v>
      </c>
      <c r="B894" s="28">
        <v>884</v>
      </c>
      <c r="C894" s="28"/>
      <c r="D894" s="2" t="s">
        <v>1196</v>
      </c>
      <c r="E894" s="7" t="s">
        <v>1197</v>
      </c>
      <c r="F894" s="7"/>
      <c r="G894" s="2" t="s">
        <v>26</v>
      </c>
      <c r="H894" s="2" t="s">
        <v>263</v>
      </c>
      <c r="I894" s="5">
        <v>90925.59</v>
      </c>
      <c r="J894" s="57"/>
      <c r="K894" s="3">
        <v>1200</v>
      </c>
      <c r="L894" s="2" t="s">
        <v>64</v>
      </c>
      <c r="M894" s="2" t="s">
        <v>12</v>
      </c>
      <c r="N894" s="2" t="s">
        <v>12</v>
      </c>
      <c r="O894" s="2" t="s">
        <v>12</v>
      </c>
      <c r="P894" s="21" t="s">
        <v>12</v>
      </c>
      <c r="Q894" s="3" t="s">
        <v>12</v>
      </c>
      <c r="R894" s="3" t="s">
        <v>12</v>
      </c>
    </row>
    <row r="895" spans="1:18" x14ac:dyDescent="0.25">
      <c r="A895" s="30">
        <v>45803</v>
      </c>
      <c r="B895" s="28">
        <v>885</v>
      </c>
      <c r="C895" s="28"/>
      <c r="D895" s="2" t="s">
        <v>804</v>
      </c>
      <c r="E895" s="7" t="s">
        <v>1198</v>
      </c>
      <c r="F895" s="7"/>
      <c r="G895" s="2" t="s">
        <v>13</v>
      </c>
      <c r="H895" s="2" t="s">
        <v>806</v>
      </c>
      <c r="I895" s="5">
        <v>274809.83</v>
      </c>
      <c r="J895" s="57"/>
      <c r="K895" s="3">
        <v>3312</v>
      </c>
      <c r="L895" s="2" t="s">
        <v>226</v>
      </c>
      <c r="M895" s="2" t="s">
        <v>12</v>
      </c>
      <c r="N895" s="2" t="s">
        <v>12</v>
      </c>
      <c r="O895" s="2" t="s">
        <v>12</v>
      </c>
      <c r="P895" s="21" t="s">
        <v>12</v>
      </c>
      <c r="Q895" s="3" t="s">
        <v>12</v>
      </c>
      <c r="R895" s="3" t="s">
        <v>12</v>
      </c>
    </row>
    <row r="896" spans="1:18" x14ac:dyDescent="0.25">
      <c r="A896" s="30">
        <v>45803</v>
      </c>
      <c r="B896" s="28">
        <v>886</v>
      </c>
      <c r="C896" s="28"/>
      <c r="D896" s="2" t="s">
        <v>56</v>
      </c>
      <c r="E896" s="7" t="s">
        <v>1199</v>
      </c>
      <c r="F896" s="7"/>
      <c r="G896" s="2" t="s">
        <v>43</v>
      </c>
      <c r="H896" s="2" t="s">
        <v>58</v>
      </c>
      <c r="I896" s="5">
        <v>18386.22</v>
      </c>
      <c r="J896" s="57"/>
      <c r="K896" s="3">
        <v>192</v>
      </c>
      <c r="L896" s="2" t="s">
        <v>226</v>
      </c>
      <c r="M896" s="2" t="s">
        <v>12</v>
      </c>
      <c r="N896" s="2" t="s">
        <v>12</v>
      </c>
      <c r="O896" s="2" t="s">
        <v>12</v>
      </c>
      <c r="P896" s="21" t="s">
        <v>12</v>
      </c>
      <c r="Q896" s="3" t="s">
        <v>12</v>
      </c>
      <c r="R896" s="3" t="s">
        <v>12</v>
      </c>
    </row>
    <row r="897" spans="1:18" x14ac:dyDescent="0.25">
      <c r="A897" s="30">
        <v>45803</v>
      </c>
      <c r="B897" s="28">
        <v>887</v>
      </c>
      <c r="C897" s="28"/>
      <c r="D897" s="2" t="s">
        <v>206</v>
      </c>
      <c r="E897" s="7" t="s">
        <v>1150</v>
      </c>
      <c r="F897" s="7"/>
      <c r="G897" s="2" t="s">
        <v>97</v>
      </c>
      <c r="H897" s="2" t="s">
        <v>473</v>
      </c>
      <c r="I897" s="5">
        <v>477.12</v>
      </c>
      <c r="J897" s="57"/>
      <c r="K897" s="3" t="s">
        <v>12</v>
      </c>
      <c r="L897" s="2" t="s">
        <v>226</v>
      </c>
      <c r="M897" s="2" t="s">
        <v>12</v>
      </c>
      <c r="N897" s="2" t="s">
        <v>12</v>
      </c>
      <c r="O897" s="2" t="s">
        <v>12</v>
      </c>
      <c r="P897" s="21" t="s">
        <v>12</v>
      </c>
      <c r="Q897" s="3" t="s">
        <v>12</v>
      </c>
      <c r="R897" s="3" t="s">
        <v>12</v>
      </c>
    </row>
    <row r="898" spans="1:18" x14ac:dyDescent="0.25">
      <c r="A898" s="30">
        <v>45804</v>
      </c>
      <c r="B898" s="28">
        <v>888</v>
      </c>
      <c r="C898" s="28"/>
      <c r="D898" s="2" t="s">
        <v>1200</v>
      </c>
      <c r="E898" s="7" t="s">
        <v>12</v>
      </c>
      <c r="F898" s="7"/>
      <c r="G898" s="2" t="s">
        <v>13</v>
      </c>
      <c r="H898" s="2" t="s">
        <v>1201</v>
      </c>
      <c r="I898" s="5">
        <v>2087.5500000000002</v>
      </c>
      <c r="J898" s="57"/>
      <c r="K898" s="3">
        <v>24</v>
      </c>
      <c r="L898" s="2" t="s">
        <v>226</v>
      </c>
      <c r="M898" s="2" t="s">
        <v>12</v>
      </c>
      <c r="N898" s="2" t="s">
        <v>12</v>
      </c>
      <c r="O898" s="2" t="s">
        <v>12</v>
      </c>
      <c r="P898" s="21" t="s">
        <v>12</v>
      </c>
      <c r="Q898" s="3" t="s">
        <v>12</v>
      </c>
      <c r="R898" s="3" t="s">
        <v>12</v>
      </c>
    </row>
    <row r="899" spans="1:18" x14ac:dyDescent="0.25">
      <c r="A899" s="30">
        <v>45804</v>
      </c>
      <c r="B899" s="28">
        <v>889</v>
      </c>
      <c r="C899" s="28"/>
      <c r="D899" s="2" t="s">
        <v>640</v>
      </c>
      <c r="E899" s="7" t="s">
        <v>969</v>
      </c>
      <c r="F899" s="7"/>
      <c r="G899" s="2" t="s">
        <v>13</v>
      </c>
      <c r="H899" s="2" t="s">
        <v>427</v>
      </c>
      <c r="I899" s="5">
        <v>28295.46</v>
      </c>
      <c r="J899" s="57"/>
      <c r="K899" s="3">
        <v>48</v>
      </c>
      <c r="L899" s="2" t="s">
        <v>226</v>
      </c>
      <c r="M899" s="2" t="s">
        <v>12</v>
      </c>
      <c r="N899" s="2" t="s">
        <v>12</v>
      </c>
      <c r="O899" s="2" t="s">
        <v>12</v>
      </c>
      <c r="P899" s="21" t="s">
        <v>12</v>
      </c>
      <c r="Q899" s="3" t="s">
        <v>1008</v>
      </c>
      <c r="R899" s="3" t="s">
        <v>80</v>
      </c>
    </row>
    <row r="900" spans="1:18" x14ac:dyDescent="0.25">
      <c r="A900" s="30">
        <v>45804</v>
      </c>
      <c r="B900" s="28">
        <v>890</v>
      </c>
      <c r="C900" s="28"/>
      <c r="D900" s="2" t="s">
        <v>1202</v>
      </c>
      <c r="E900" s="7" t="s">
        <v>1203</v>
      </c>
      <c r="F900" s="7"/>
      <c r="G900" s="2" t="s">
        <v>97</v>
      </c>
      <c r="H900" s="2" t="s">
        <v>1204</v>
      </c>
      <c r="I900" s="5">
        <v>61982.97</v>
      </c>
      <c r="J900" s="57"/>
      <c r="K900" s="3">
        <v>529.20000000000005</v>
      </c>
      <c r="L900" s="2" t="s">
        <v>64</v>
      </c>
      <c r="M900" s="2" t="s">
        <v>12</v>
      </c>
      <c r="N900" s="2" t="s">
        <v>12</v>
      </c>
      <c r="O900" s="2" t="s">
        <v>12</v>
      </c>
      <c r="P900" s="21" t="s">
        <v>12</v>
      </c>
      <c r="Q900" s="3" t="s">
        <v>1209</v>
      </c>
      <c r="R900" s="3" t="s">
        <v>80</v>
      </c>
    </row>
    <row r="901" spans="1:18" x14ac:dyDescent="0.25">
      <c r="A901" s="30">
        <v>45805</v>
      </c>
      <c r="B901" s="28">
        <v>891</v>
      </c>
      <c r="C901" s="28"/>
      <c r="D901" s="2" t="s">
        <v>370</v>
      </c>
      <c r="E901" s="7" t="s">
        <v>12</v>
      </c>
      <c r="F901" s="7"/>
      <c r="G901" s="2" t="s">
        <v>26</v>
      </c>
      <c r="H901" s="2" t="s">
        <v>148</v>
      </c>
      <c r="I901" s="5">
        <v>1618.6</v>
      </c>
      <c r="J901" s="57"/>
      <c r="K901" s="3" t="s">
        <v>12</v>
      </c>
      <c r="L901" s="2" t="s">
        <v>64</v>
      </c>
      <c r="M901" s="2" t="s">
        <v>12</v>
      </c>
      <c r="N901" s="2" t="s">
        <v>12</v>
      </c>
      <c r="O901" s="2" t="s">
        <v>12</v>
      </c>
      <c r="P901" s="21" t="s">
        <v>12</v>
      </c>
      <c r="Q901" s="3" t="s">
        <v>12</v>
      </c>
      <c r="R901" s="3" t="s">
        <v>12</v>
      </c>
    </row>
    <row r="902" spans="1:18" x14ac:dyDescent="0.25">
      <c r="A902" s="30">
        <v>45804</v>
      </c>
      <c r="B902" s="28">
        <v>892</v>
      </c>
      <c r="C902" s="28"/>
      <c r="D902" s="2" t="s">
        <v>418</v>
      </c>
      <c r="E902" s="7" t="s">
        <v>12</v>
      </c>
      <c r="F902" s="7"/>
      <c r="G902" s="2" t="s">
        <v>97</v>
      </c>
      <c r="H902" s="2" t="s">
        <v>1205</v>
      </c>
      <c r="I902" s="5">
        <v>2540.1</v>
      </c>
      <c r="J902" s="57"/>
      <c r="K902" s="3">
        <v>24</v>
      </c>
      <c r="L902" s="2" t="s">
        <v>226</v>
      </c>
      <c r="M902" s="2" t="s">
        <v>12</v>
      </c>
      <c r="N902" s="2" t="s">
        <v>12</v>
      </c>
      <c r="O902" s="2" t="s">
        <v>12</v>
      </c>
      <c r="P902" s="21" t="s">
        <v>12</v>
      </c>
      <c r="Q902" s="3" t="s">
        <v>12</v>
      </c>
      <c r="R902" s="3" t="s">
        <v>12</v>
      </c>
    </row>
    <row r="903" spans="1:18" x14ac:dyDescent="0.25">
      <c r="A903" s="30">
        <v>45805</v>
      </c>
      <c r="B903" s="28">
        <v>893</v>
      </c>
      <c r="C903" s="28"/>
      <c r="D903" s="2" t="s">
        <v>386</v>
      </c>
      <c r="E903" s="7" t="s">
        <v>12</v>
      </c>
      <c r="F903" s="7"/>
      <c r="G903" s="2" t="s">
        <v>13</v>
      </c>
      <c r="H903" s="2" t="s">
        <v>950</v>
      </c>
      <c r="I903" s="5">
        <v>3774.85</v>
      </c>
      <c r="J903" s="57"/>
      <c r="K903" s="3">
        <v>48</v>
      </c>
      <c r="L903" s="2" t="s">
        <v>64</v>
      </c>
      <c r="M903" s="2" t="s">
        <v>12</v>
      </c>
      <c r="N903" s="2" t="s">
        <v>12</v>
      </c>
      <c r="O903" s="2" t="s">
        <v>12</v>
      </c>
      <c r="P903" s="21" t="s">
        <v>12</v>
      </c>
      <c r="Q903" s="3" t="s">
        <v>12</v>
      </c>
      <c r="R903" s="3" t="s">
        <v>12</v>
      </c>
    </row>
    <row r="904" spans="1:18" x14ac:dyDescent="0.25">
      <c r="A904" s="30">
        <v>45805</v>
      </c>
      <c r="B904" s="28">
        <v>894</v>
      </c>
      <c r="C904" s="28"/>
      <c r="D904" s="2" t="s">
        <v>508</v>
      </c>
      <c r="E904" s="7" t="s">
        <v>595</v>
      </c>
      <c r="F904" s="7"/>
      <c r="G904" s="2" t="s">
        <v>20</v>
      </c>
      <c r="H904" s="2" t="s">
        <v>596</v>
      </c>
      <c r="I904" s="5">
        <v>63086.75</v>
      </c>
      <c r="J904" s="57"/>
      <c r="K904" s="3">
        <v>730.8</v>
      </c>
      <c r="L904" s="2" t="s">
        <v>226</v>
      </c>
      <c r="M904" s="2" t="s">
        <v>1398</v>
      </c>
      <c r="N904" s="2" t="s">
        <v>12</v>
      </c>
      <c r="O904" s="2" t="s">
        <v>12</v>
      </c>
      <c r="P904" s="21" t="s">
        <v>12</v>
      </c>
      <c r="Q904" s="3" t="s">
        <v>12</v>
      </c>
      <c r="R904" s="3" t="s">
        <v>12</v>
      </c>
    </row>
    <row r="905" spans="1:18" x14ac:dyDescent="0.25">
      <c r="A905" s="30">
        <v>45805</v>
      </c>
      <c r="B905" s="28">
        <v>895</v>
      </c>
      <c r="C905" s="28"/>
      <c r="D905" s="2" t="s">
        <v>1206</v>
      </c>
      <c r="E905" s="7" t="s">
        <v>1207</v>
      </c>
      <c r="F905" s="7"/>
      <c r="G905" s="2" t="s">
        <v>26</v>
      </c>
      <c r="H905" s="2" t="s">
        <v>180</v>
      </c>
      <c r="I905" s="5">
        <v>112956.35</v>
      </c>
      <c r="J905" s="57"/>
      <c r="K905" s="3">
        <v>1320</v>
      </c>
      <c r="L905" s="2" t="s">
        <v>226</v>
      </c>
      <c r="M905" s="2" t="s">
        <v>12</v>
      </c>
      <c r="N905" s="2" t="s">
        <v>12</v>
      </c>
      <c r="O905" s="2" t="s">
        <v>12</v>
      </c>
      <c r="P905" s="21" t="s">
        <v>12</v>
      </c>
      <c r="Q905" s="3" t="s">
        <v>12</v>
      </c>
      <c r="R905" s="3" t="s">
        <v>12</v>
      </c>
    </row>
    <row r="906" spans="1:18" x14ac:dyDescent="0.25">
      <c r="A906" s="30">
        <v>45805</v>
      </c>
      <c r="B906" s="28">
        <v>896</v>
      </c>
      <c r="C906" s="28"/>
      <c r="D906" s="2" t="s">
        <v>925</v>
      </c>
      <c r="E906" s="7" t="s">
        <v>1208</v>
      </c>
      <c r="F906" s="7"/>
      <c r="G906" s="2" t="s">
        <v>26</v>
      </c>
      <c r="H906" s="2" t="s">
        <v>158</v>
      </c>
      <c r="I906" s="5">
        <v>24634.22</v>
      </c>
      <c r="J906" s="57"/>
      <c r="K906" s="3">
        <v>264</v>
      </c>
      <c r="L906" s="2" t="s">
        <v>226</v>
      </c>
      <c r="M906" s="2" t="s">
        <v>12</v>
      </c>
      <c r="N906" s="2" t="s">
        <v>12</v>
      </c>
      <c r="O906" s="2" t="s">
        <v>12</v>
      </c>
      <c r="P906" s="21" t="s">
        <v>12</v>
      </c>
      <c r="Q906" s="3" t="s">
        <v>12</v>
      </c>
      <c r="R906" s="3" t="s">
        <v>12</v>
      </c>
    </row>
    <row r="907" spans="1:18" x14ac:dyDescent="0.25">
      <c r="A907" s="30">
        <v>45805</v>
      </c>
      <c r="B907" s="28">
        <v>897</v>
      </c>
      <c r="C907" s="28"/>
      <c r="D907" s="2" t="s">
        <v>62</v>
      </c>
      <c r="E907" s="7" t="s">
        <v>12</v>
      </c>
      <c r="F907" s="7"/>
      <c r="G907" s="2" t="s">
        <v>26</v>
      </c>
      <c r="H907" s="2" t="s">
        <v>63</v>
      </c>
      <c r="I907" s="5">
        <v>6464.39</v>
      </c>
      <c r="J907" s="57"/>
      <c r="K907" s="3">
        <v>72</v>
      </c>
      <c r="L907" s="2" t="s">
        <v>64</v>
      </c>
      <c r="M907" s="2" t="s">
        <v>12</v>
      </c>
      <c r="N907" s="2" t="s">
        <v>12</v>
      </c>
      <c r="O907" s="2" t="s">
        <v>12</v>
      </c>
      <c r="P907" s="21" t="s">
        <v>12</v>
      </c>
      <c r="Q907" s="3" t="s">
        <v>12</v>
      </c>
      <c r="R907" s="3" t="s">
        <v>12</v>
      </c>
    </row>
    <row r="908" spans="1:18" x14ac:dyDescent="0.25">
      <c r="A908" s="30">
        <v>45805</v>
      </c>
      <c r="B908" s="28">
        <v>898</v>
      </c>
      <c r="C908" s="28"/>
      <c r="D908" s="2" t="s">
        <v>87</v>
      </c>
      <c r="E908" s="7" t="s">
        <v>1124</v>
      </c>
      <c r="F908" s="7"/>
      <c r="G908" s="2" t="s">
        <v>13</v>
      </c>
      <c r="H908" s="2" t="s">
        <v>185</v>
      </c>
      <c r="I908" s="5">
        <v>61505.85</v>
      </c>
      <c r="J908" s="57"/>
      <c r="K908" s="3">
        <v>600</v>
      </c>
      <c r="L908" s="2" t="s">
        <v>226</v>
      </c>
      <c r="M908" s="2" t="s">
        <v>12</v>
      </c>
      <c r="N908" s="2" t="s">
        <v>12</v>
      </c>
      <c r="O908" s="2" t="s">
        <v>12</v>
      </c>
      <c r="P908" s="21" t="s">
        <v>12</v>
      </c>
      <c r="Q908" s="3" t="s">
        <v>77</v>
      </c>
      <c r="R908" s="3" t="s">
        <v>80</v>
      </c>
    </row>
    <row r="909" spans="1:18" x14ac:dyDescent="0.25">
      <c r="A909" s="30">
        <v>45805</v>
      </c>
      <c r="B909" s="28">
        <v>899</v>
      </c>
      <c r="C909" s="28"/>
      <c r="D909" s="2" t="s">
        <v>87</v>
      </c>
      <c r="E909" s="7" t="s">
        <v>1125</v>
      </c>
      <c r="F909" s="7"/>
      <c r="G909" s="2" t="s">
        <v>13</v>
      </c>
      <c r="H909" s="2" t="s">
        <v>185</v>
      </c>
      <c r="I909" s="5">
        <v>37518.15</v>
      </c>
      <c r="J909" s="57"/>
      <c r="K909" s="3">
        <v>360</v>
      </c>
      <c r="L909" s="2" t="s">
        <v>226</v>
      </c>
      <c r="M909" s="2" t="s">
        <v>12</v>
      </c>
      <c r="N909" s="2" t="s">
        <v>12</v>
      </c>
      <c r="O909" s="2" t="s">
        <v>12</v>
      </c>
      <c r="P909" s="21" t="s">
        <v>12</v>
      </c>
      <c r="Q909" s="3" t="s">
        <v>77</v>
      </c>
      <c r="R909" s="3" t="s">
        <v>80</v>
      </c>
    </row>
    <row r="910" spans="1:18" x14ac:dyDescent="0.25">
      <c r="A910" s="30">
        <v>45805</v>
      </c>
      <c r="B910" s="28">
        <v>900</v>
      </c>
      <c r="C910" s="28"/>
      <c r="D910" s="2" t="s">
        <v>87</v>
      </c>
      <c r="E910" s="7" t="s">
        <v>1126</v>
      </c>
      <c r="F910" s="7"/>
      <c r="G910" s="2" t="s">
        <v>13</v>
      </c>
      <c r="H910" s="2" t="s">
        <v>185</v>
      </c>
      <c r="I910" s="5">
        <v>28783.02</v>
      </c>
      <c r="J910" s="57"/>
      <c r="K910" s="3">
        <v>288</v>
      </c>
      <c r="L910" s="2" t="s">
        <v>226</v>
      </c>
      <c r="M910" s="2" t="s">
        <v>12</v>
      </c>
      <c r="N910" s="2" t="s">
        <v>12</v>
      </c>
      <c r="O910" s="2" t="s">
        <v>12</v>
      </c>
      <c r="P910" s="21" t="s">
        <v>12</v>
      </c>
      <c r="Q910" s="3" t="s">
        <v>77</v>
      </c>
      <c r="R910" s="3" t="s">
        <v>80</v>
      </c>
    </row>
    <row r="911" spans="1:18" x14ac:dyDescent="0.25">
      <c r="A911" s="30">
        <v>45805</v>
      </c>
      <c r="B911" s="28">
        <v>901</v>
      </c>
      <c r="C911" s="28"/>
      <c r="D911" s="2" t="s">
        <v>87</v>
      </c>
      <c r="E911" s="7" t="s">
        <v>1127</v>
      </c>
      <c r="F911" s="7"/>
      <c r="G911" s="2" t="s">
        <v>13</v>
      </c>
      <c r="H911" s="2" t="s">
        <v>185</v>
      </c>
      <c r="I911" s="5">
        <v>28611.88</v>
      </c>
      <c r="J911" s="57"/>
      <c r="K911" s="3">
        <v>264</v>
      </c>
      <c r="L911" s="2" t="s">
        <v>226</v>
      </c>
      <c r="M911" s="2" t="s">
        <v>12</v>
      </c>
      <c r="N911" s="2" t="s">
        <v>12</v>
      </c>
      <c r="O911" s="2" t="s">
        <v>12</v>
      </c>
      <c r="P911" s="21" t="s">
        <v>12</v>
      </c>
      <c r="Q911" s="3" t="s">
        <v>77</v>
      </c>
      <c r="R911" s="3" t="s">
        <v>80</v>
      </c>
    </row>
    <row r="912" spans="1:18" x14ac:dyDescent="0.25">
      <c r="A912" s="30">
        <v>45805</v>
      </c>
      <c r="B912" s="28">
        <v>902</v>
      </c>
      <c r="C912" s="28"/>
      <c r="D912" s="2" t="s">
        <v>87</v>
      </c>
      <c r="E912" s="7" t="s">
        <v>1127</v>
      </c>
      <c r="F912" s="7"/>
      <c r="G912" s="2" t="s">
        <v>13</v>
      </c>
      <c r="H912" s="2" t="s">
        <v>185</v>
      </c>
      <c r="I912" s="5">
        <v>68555.69</v>
      </c>
      <c r="J912" s="57"/>
      <c r="K912" s="3">
        <v>696</v>
      </c>
      <c r="L912" s="2" t="s">
        <v>226</v>
      </c>
      <c r="M912" s="2" t="s">
        <v>12</v>
      </c>
      <c r="N912" s="2" t="s">
        <v>12</v>
      </c>
      <c r="O912" s="2" t="s">
        <v>12</v>
      </c>
      <c r="P912" s="21" t="s">
        <v>12</v>
      </c>
      <c r="Q912" s="3" t="s">
        <v>77</v>
      </c>
      <c r="R912" s="3" t="s">
        <v>80</v>
      </c>
    </row>
    <row r="913" spans="1:18" x14ac:dyDescent="0.25">
      <c r="A913" s="30">
        <v>45805</v>
      </c>
      <c r="B913" s="28">
        <v>903</v>
      </c>
      <c r="C913" s="28"/>
      <c r="D913" s="2" t="s">
        <v>87</v>
      </c>
      <c r="E913" s="7" t="s">
        <v>1135</v>
      </c>
      <c r="F913" s="7"/>
      <c r="G913" s="2" t="s">
        <v>13</v>
      </c>
      <c r="H913" s="2" t="s">
        <v>185</v>
      </c>
      <c r="I913" s="5">
        <v>23513.25</v>
      </c>
      <c r="J913" s="57"/>
      <c r="K913" s="3">
        <v>216</v>
      </c>
      <c r="L913" s="2" t="s">
        <v>226</v>
      </c>
      <c r="M913" s="2" t="s">
        <v>12</v>
      </c>
      <c r="N913" s="2" t="s">
        <v>12</v>
      </c>
      <c r="O913" s="2" t="s">
        <v>12</v>
      </c>
      <c r="P913" s="21" t="s">
        <v>12</v>
      </c>
      <c r="Q913" s="3" t="s">
        <v>77</v>
      </c>
      <c r="R913" s="3" t="s">
        <v>80</v>
      </c>
    </row>
    <row r="914" spans="1:18" x14ac:dyDescent="0.25">
      <c r="A914" s="30">
        <v>45805</v>
      </c>
      <c r="B914" s="28">
        <v>904</v>
      </c>
      <c r="C914" s="28"/>
      <c r="D914" s="2" t="s">
        <v>87</v>
      </c>
      <c r="E914" s="7" t="s">
        <v>1136</v>
      </c>
      <c r="F914" s="7"/>
      <c r="G914" s="2" t="s">
        <v>13</v>
      </c>
      <c r="H914" s="2" t="s">
        <v>185</v>
      </c>
      <c r="I914" s="5">
        <v>28668.04</v>
      </c>
      <c r="J914" s="57"/>
      <c r="K914" s="3">
        <v>288</v>
      </c>
      <c r="L914" s="2" t="s">
        <v>226</v>
      </c>
      <c r="M914" s="2" t="s">
        <v>12</v>
      </c>
      <c r="N914" s="2" t="s">
        <v>12</v>
      </c>
      <c r="O914" s="2" t="s">
        <v>12</v>
      </c>
      <c r="P914" s="21" t="s">
        <v>12</v>
      </c>
      <c r="Q914" s="3" t="s">
        <v>77</v>
      </c>
      <c r="R914" s="3" t="s">
        <v>80</v>
      </c>
    </row>
    <row r="915" spans="1:18" x14ac:dyDescent="0.25">
      <c r="A915" s="30">
        <v>45805</v>
      </c>
      <c r="B915" s="28">
        <v>905</v>
      </c>
      <c r="C915" s="28"/>
      <c r="D915" s="2" t="s">
        <v>87</v>
      </c>
      <c r="E915" s="7" t="s">
        <v>1137</v>
      </c>
      <c r="F915" s="7"/>
      <c r="G915" s="2" t="s">
        <v>13</v>
      </c>
      <c r="H915" s="2" t="s">
        <v>185</v>
      </c>
      <c r="I915" s="5">
        <v>23624.79</v>
      </c>
      <c r="J915" s="57"/>
      <c r="K915" s="3">
        <v>240</v>
      </c>
      <c r="L915" s="2" t="s">
        <v>226</v>
      </c>
      <c r="M915" s="2" t="s">
        <v>12</v>
      </c>
      <c r="N915" s="2" t="s">
        <v>12</v>
      </c>
      <c r="O915" s="2" t="s">
        <v>12</v>
      </c>
      <c r="P915" s="21" t="s">
        <v>12</v>
      </c>
      <c r="Q915" s="3" t="s">
        <v>77</v>
      </c>
      <c r="R915" s="3" t="s">
        <v>80</v>
      </c>
    </row>
    <row r="916" spans="1:18" x14ac:dyDescent="0.25">
      <c r="A916" s="30">
        <v>45805</v>
      </c>
      <c r="B916" s="28">
        <v>906</v>
      </c>
      <c r="C916" s="28"/>
      <c r="D916" s="2" t="s">
        <v>87</v>
      </c>
      <c r="E916" s="7" t="s">
        <v>1138</v>
      </c>
      <c r="F916" s="7"/>
      <c r="G916" s="2" t="s">
        <v>13</v>
      </c>
      <c r="H916" s="2" t="s">
        <v>185</v>
      </c>
      <c r="I916" s="5">
        <v>23829.78</v>
      </c>
      <c r="J916" s="57"/>
      <c r="K916" s="3">
        <v>240</v>
      </c>
      <c r="L916" s="2" t="s">
        <v>226</v>
      </c>
      <c r="M916" s="2" t="s">
        <v>12</v>
      </c>
      <c r="N916" s="2" t="s">
        <v>12</v>
      </c>
      <c r="O916" s="2" t="s">
        <v>12</v>
      </c>
      <c r="P916" s="21" t="s">
        <v>12</v>
      </c>
      <c r="Q916" s="3" t="s">
        <v>77</v>
      </c>
      <c r="R916" s="3" t="s">
        <v>80</v>
      </c>
    </row>
    <row r="917" spans="1:18" x14ac:dyDescent="0.25">
      <c r="A917" s="30">
        <v>45805</v>
      </c>
      <c r="B917" s="28">
        <v>907</v>
      </c>
      <c r="C917" s="28"/>
      <c r="D917" s="2" t="s">
        <v>87</v>
      </c>
      <c r="E917" s="7" t="s">
        <v>1139</v>
      </c>
      <c r="F917" s="7"/>
      <c r="G917" s="2" t="s">
        <v>13</v>
      </c>
      <c r="H917" s="2" t="s">
        <v>185</v>
      </c>
      <c r="I917" s="5">
        <v>31119.05</v>
      </c>
      <c r="J917" s="57"/>
      <c r="K917" s="3">
        <v>312</v>
      </c>
      <c r="L917" s="2" t="s">
        <v>226</v>
      </c>
      <c r="M917" s="2" t="s">
        <v>12</v>
      </c>
      <c r="N917" s="2" t="s">
        <v>12</v>
      </c>
      <c r="O917" s="2" t="s">
        <v>12</v>
      </c>
      <c r="P917" s="21" t="s">
        <v>12</v>
      </c>
      <c r="Q917" s="3" t="s">
        <v>77</v>
      </c>
      <c r="R917" s="3" t="s">
        <v>80</v>
      </c>
    </row>
    <row r="918" spans="1:18" x14ac:dyDescent="0.25">
      <c r="A918" s="30">
        <v>45805</v>
      </c>
      <c r="B918" s="28">
        <v>908</v>
      </c>
      <c r="C918" s="28"/>
      <c r="D918" s="2" t="s">
        <v>87</v>
      </c>
      <c r="E918" s="7" t="s">
        <v>1140</v>
      </c>
      <c r="F918" s="7"/>
      <c r="G918" s="2" t="s">
        <v>13</v>
      </c>
      <c r="H918" s="2" t="s">
        <v>185</v>
      </c>
      <c r="I918" s="5">
        <v>31208.51</v>
      </c>
      <c r="J918" s="57"/>
      <c r="K918" s="3">
        <v>312</v>
      </c>
      <c r="L918" s="2" t="s">
        <v>226</v>
      </c>
      <c r="M918" s="2" t="s">
        <v>12</v>
      </c>
      <c r="N918" s="2" t="s">
        <v>12</v>
      </c>
      <c r="O918" s="2" t="s">
        <v>12</v>
      </c>
      <c r="P918" s="21" t="s">
        <v>12</v>
      </c>
      <c r="Q918" s="3" t="s">
        <v>77</v>
      </c>
      <c r="R918" s="3" t="s">
        <v>80</v>
      </c>
    </row>
    <row r="919" spans="1:18" x14ac:dyDescent="0.25">
      <c r="A919" s="30">
        <v>45805</v>
      </c>
      <c r="B919" s="28">
        <v>909</v>
      </c>
      <c r="C919" s="28"/>
      <c r="D919" s="2" t="s">
        <v>87</v>
      </c>
      <c r="E919" s="7" t="s">
        <v>1141</v>
      </c>
      <c r="F919" s="7"/>
      <c r="G919" s="2" t="s">
        <v>13</v>
      </c>
      <c r="H919" s="2" t="s">
        <v>185</v>
      </c>
      <c r="I919" s="5">
        <v>35951.56</v>
      </c>
      <c r="J919" s="57"/>
      <c r="K919" s="3">
        <v>360</v>
      </c>
      <c r="L919" s="2" t="s">
        <v>226</v>
      </c>
      <c r="M919" s="2" t="s">
        <v>12</v>
      </c>
      <c r="N919" s="2" t="s">
        <v>12</v>
      </c>
      <c r="O919" s="2" t="s">
        <v>12</v>
      </c>
      <c r="P919" s="21" t="s">
        <v>12</v>
      </c>
      <c r="Q919" s="3" t="s">
        <v>77</v>
      </c>
      <c r="R919" s="3" t="s">
        <v>80</v>
      </c>
    </row>
    <row r="920" spans="1:18" x14ac:dyDescent="0.25">
      <c r="A920" s="30">
        <v>45805</v>
      </c>
      <c r="B920" s="28">
        <v>910</v>
      </c>
      <c r="C920" s="28"/>
      <c r="D920" s="2" t="s">
        <v>444</v>
      </c>
      <c r="E920" s="7" t="s">
        <v>12</v>
      </c>
      <c r="F920" s="7"/>
      <c r="G920" s="2" t="s">
        <v>20</v>
      </c>
      <c r="H920" s="2" t="s">
        <v>799</v>
      </c>
      <c r="I920" s="5">
        <v>6150.4</v>
      </c>
      <c r="J920" s="57"/>
      <c r="K920" s="3">
        <v>96</v>
      </c>
      <c r="L920" s="2" t="s">
        <v>64</v>
      </c>
      <c r="M920" s="2" t="s">
        <v>12</v>
      </c>
      <c r="N920" s="2" t="s">
        <v>12</v>
      </c>
      <c r="O920" s="2" t="s">
        <v>12</v>
      </c>
      <c r="P920" s="21" t="s">
        <v>12</v>
      </c>
      <c r="Q920" s="3" t="s">
        <v>12</v>
      </c>
      <c r="R920" s="3" t="s">
        <v>12</v>
      </c>
    </row>
    <row r="921" spans="1:18" x14ac:dyDescent="0.25">
      <c r="A921" s="30">
        <v>45806</v>
      </c>
      <c r="B921" s="28">
        <v>911</v>
      </c>
      <c r="C921" s="28"/>
      <c r="D921" s="2" t="s">
        <v>1221</v>
      </c>
      <c r="E921" s="7" t="s">
        <v>12</v>
      </c>
      <c r="F921" s="7"/>
      <c r="G921" s="2" t="s">
        <v>13</v>
      </c>
      <c r="H921" s="2" t="s">
        <v>1222</v>
      </c>
      <c r="I921" s="5">
        <v>35704.33</v>
      </c>
      <c r="J921" s="57"/>
      <c r="K921" s="3">
        <v>336</v>
      </c>
      <c r="L921" s="2" t="s">
        <v>226</v>
      </c>
      <c r="M921" s="2" t="s">
        <v>12</v>
      </c>
      <c r="N921" s="2" t="s">
        <v>12</v>
      </c>
      <c r="O921" s="2" t="s">
        <v>12</v>
      </c>
      <c r="P921" s="21" t="s">
        <v>12</v>
      </c>
      <c r="Q921" s="3" t="s">
        <v>12</v>
      </c>
      <c r="R921" s="3" t="s">
        <v>12</v>
      </c>
    </row>
    <row r="922" spans="1:18" x14ac:dyDescent="0.25">
      <c r="A922" s="30">
        <v>45810</v>
      </c>
      <c r="B922" s="28">
        <v>912</v>
      </c>
      <c r="C922" s="28"/>
      <c r="D922" s="2" t="s">
        <v>338</v>
      </c>
      <c r="E922" s="7" t="s">
        <v>1223</v>
      </c>
      <c r="F922" s="7"/>
      <c r="G922" s="2" t="s">
        <v>97</v>
      </c>
      <c r="H922" s="2" t="s">
        <v>339</v>
      </c>
      <c r="I922" s="5">
        <v>12727.73</v>
      </c>
      <c r="J922" s="57"/>
      <c r="K922" s="3">
        <v>126</v>
      </c>
      <c r="L922" s="2" t="s">
        <v>64</v>
      </c>
      <c r="M922" s="2" t="s">
        <v>12</v>
      </c>
      <c r="N922" s="2" t="s">
        <v>12</v>
      </c>
      <c r="O922" s="2" t="s">
        <v>12</v>
      </c>
      <c r="P922" s="21" t="s">
        <v>12</v>
      </c>
      <c r="Q922" s="3" t="s">
        <v>12</v>
      </c>
      <c r="R922" s="3" t="s">
        <v>12</v>
      </c>
    </row>
    <row r="923" spans="1:18" x14ac:dyDescent="0.25">
      <c r="A923" s="30">
        <v>45806</v>
      </c>
      <c r="B923" s="28">
        <v>913</v>
      </c>
      <c r="C923" s="28"/>
      <c r="D923" s="2" t="s">
        <v>41</v>
      </c>
      <c r="E923" s="7" t="s">
        <v>893</v>
      </c>
      <c r="F923" s="7"/>
      <c r="G923" s="2" t="s">
        <v>43</v>
      </c>
      <c r="H923" s="2" t="s">
        <v>43</v>
      </c>
      <c r="I923" s="5">
        <v>71020.69</v>
      </c>
      <c r="J923" s="57"/>
      <c r="K923" s="3">
        <v>696</v>
      </c>
      <c r="L923" s="2" t="s">
        <v>226</v>
      </c>
      <c r="M923" s="2" t="s">
        <v>1272</v>
      </c>
      <c r="N923" s="2" t="s">
        <v>12</v>
      </c>
      <c r="O923" s="2" t="s">
        <v>12</v>
      </c>
      <c r="P923" s="21" t="s">
        <v>12</v>
      </c>
      <c r="Q923" s="3"/>
      <c r="R923" s="3"/>
    </row>
    <row r="924" spans="1:18" x14ac:dyDescent="0.25">
      <c r="A924" s="30">
        <v>45806</v>
      </c>
      <c r="B924" s="28">
        <v>914</v>
      </c>
      <c r="C924" s="28"/>
      <c r="D924" s="2" t="s">
        <v>215</v>
      </c>
      <c r="E924" s="7" t="s">
        <v>1001</v>
      </c>
      <c r="F924" s="7"/>
      <c r="G924" s="2" t="s">
        <v>26</v>
      </c>
      <c r="H924" s="2" t="s">
        <v>216</v>
      </c>
      <c r="I924" s="5">
        <v>800.39</v>
      </c>
      <c r="J924" s="57"/>
      <c r="K924" s="3" t="s">
        <v>12</v>
      </c>
      <c r="L924" s="2" t="s">
        <v>64</v>
      </c>
      <c r="M924" s="2" t="s">
        <v>12</v>
      </c>
      <c r="N924" s="2" t="s">
        <v>12</v>
      </c>
      <c r="O924" s="2" t="s">
        <v>12</v>
      </c>
      <c r="P924" s="21" t="s">
        <v>12</v>
      </c>
      <c r="Q924" s="3" t="s">
        <v>12</v>
      </c>
      <c r="R924" s="3" t="s">
        <v>12</v>
      </c>
    </row>
    <row r="925" spans="1:18" x14ac:dyDescent="0.25">
      <c r="A925" s="30">
        <v>45806</v>
      </c>
      <c r="B925" s="28">
        <v>915</v>
      </c>
      <c r="C925" s="28"/>
      <c r="D925" s="2" t="s">
        <v>1221</v>
      </c>
      <c r="E925" s="7" t="s">
        <v>1278</v>
      </c>
      <c r="F925" s="7"/>
      <c r="G925" s="2" t="s">
        <v>111</v>
      </c>
      <c r="H925" s="2" t="s">
        <v>769</v>
      </c>
      <c r="I925" s="5">
        <v>850397.96</v>
      </c>
      <c r="J925" s="57"/>
      <c r="K925" s="3"/>
      <c r="L925" s="2" t="s">
        <v>226</v>
      </c>
      <c r="M925" s="2"/>
      <c r="N925" s="2"/>
      <c r="O925" s="2"/>
      <c r="P925" s="21"/>
      <c r="Q925" s="3"/>
      <c r="R925" s="3"/>
    </row>
    <row r="926" spans="1:18" x14ac:dyDescent="0.25">
      <c r="A926" s="30">
        <v>45806</v>
      </c>
      <c r="B926" s="28">
        <v>916</v>
      </c>
      <c r="C926" s="28"/>
      <c r="D926" s="2" t="s">
        <v>1004</v>
      </c>
      <c r="E926" s="7" t="s">
        <v>1176</v>
      </c>
      <c r="F926" s="7"/>
      <c r="G926" s="2" t="s">
        <v>111</v>
      </c>
      <c r="H926" s="2" t="s">
        <v>116</v>
      </c>
      <c r="I926" s="5">
        <v>5974.02</v>
      </c>
      <c r="J926" s="57"/>
      <c r="K926" s="3"/>
      <c r="L926" s="2" t="s">
        <v>64</v>
      </c>
      <c r="M926" s="2"/>
      <c r="N926" s="2"/>
      <c r="O926" s="2"/>
      <c r="P926" s="21"/>
      <c r="Q926" s="3"/>
      <c r="R926" s="3"/>
    </row>
    <row r="927" spans="1:18" x14ac:dyDescent="0.25">
      <c r="A927" s="30">
        <v>45810</v>
      </c>
      <c r="B927" s="28">
        <v>917</v>
      </c>
      <c r="C927" s="28"/>
      <c r="D927" s="2" t="s">
        <v>1224</v>
      </c>
      <c r="E927" s="7" t="s">
        <v>12</v>
      </c>
      <c r="F927" s="7"/>
      <c r="G927" s="2" t="s">
        <v>26</v>
      </c>
      <c r="H927" s="2" t="s">
        <v>596</v>
      </c>
      <c r="I927" s="5">
        <v>79606.240000000005</v>
      </c>
      <c r="J927" s="57"/>
      <c r="K927" s="3">
        <v>720</v>
      </c>
      <c r="L927" s="2" t="s">
        <v>226</v>
      </c>
      <c r="M927" s="2" t="s">
        <v>12</v>
      </c>
      <c r="N927" s="2" t="s">
        <v>12</v>
      </c>
      <c r="O927" s="2" t="s">
        <v>12</v>
      </c>
      <c r="P927" s="21" t="s">
        <v>12</v>
      </c>
      <c r="Q927" s="3" t="s">
        <v>12</v>
      </c>
      <c r="R927" s="3" t="s">
        <v>12</v>
      </c>
    </row>
    <row r="928" spans="1:18" x14ac:dyDescent="0.25">
      <c r="A928" s="30">
        <v>45807</v>
      </c>
      <c r="B928" s="28">
        <v>918</v>
      </c>
      <c r="C928" s="28"/>
      <c r="D928" s="2" t="s">
        <v>786</v>
      </c>
      <c r="E928" s="7" t="s">
        <v>1225</v>
      </c>
      <c r="F928" s="7"/>
      <c r="G928" s="2" t="s">
        <v>13</v>
      </c>
      <c r="H928" s="2" t="s">
        <v>15</v>
      </c>
      <c r="I928" s="5">
        <v>20473.55</v>
      </c>
      <c r="J928" s="57"/>
      <c r="K928" s="3">
        <v>216</v>
      </c>
      <c r="L928" s="2" t="s">
        <v>226</v>
      </c>
      <c r="M928" s="2" t="s">
        <v>12</v>
      </c>
      <c r="N928" s="2" t="s">
        <v>12</v>
      </c>
      <c r="O928" s="2" t="s">
        <v>12</v>
      </c>
      <c r="P928" s="21" t="s">
        <v>12</v>
      </c>
      <c r="Q928" s="3" t="s">
        <v>12</v>
      </c>
      <c r="R928" s="3" t="s">
        <v>12</v>
      </c>
    </row>
    <row r="929" spans="1:18" x14ac:dyDescent="0.25">
      <c r="A929" s="30">
        <v>45807</v>
      </c>
      <c r="B929" s="28">
        <v>919</v>
      </c>
      <c r="C929" s="28"/>
      <c r="D929" s="2" t="s">
        <v>130</v>
      </c>
      <c r="E929" s="7" t="s">
        <v>1226</v>
      </c>
      <c r="F929" s="7"/>
      <c r="G929" s="2" t="s">
        <v>26</v>
      </c>
      <c r="H929" s="2" t="s">
        <v>438</v>
      </c>
      <c r="I929" s="5">
        <v>55660.06</v>
      </c>
      <c r="J929" s="57"/>
      <c r="K929" s="3">
        <v>600</v>
      </c>
      <c r="L929" s="2" t="s">
        <v>226</v>
      </c>
      <c r="M929" s="2" t="s">
        <v>12</v>
      </c>
      <c r="N929" s="2" t="s">
        <v>12</v>
      </c>
      <c r="O929" s="2" t="s">
        <v>12</v>
      </c>
      <c r="P929" s="21" t="s">
        <v>12</v>
      </c>
      <c r="Q929" s="3" t="s">
        <v>12</v>
      </c>
      <c r="R929" s="3" t="s">
        <v>12</v>
      </c>
    </row>
    <row r="930" spans="1:18" x14ac:dyDescent="0.25">
      <c r="A930" s="30">
        <v>45807</v>
      </c>
      <c r="B930" s="28">
        <v>920</v>
      </c>
      <c r="C930" s="28"/>
      <c r="D930" s="2" t="s">
        <v>273</v>
      </c>
      <c r="E930" s="7" t="s">
        <v>12</v>
      </c>
      <c r="F930" s="7"/>
      <c r="G930" s="2" t="s">
        <v>26</v>
      </c>
      <c r="H930" s="2" t="s">
        <v>116</v>
      </c>
      <c r="I930" s="5">
        <v>568.70000000000005</v>
      </c>
      <c r="J930" s="57"/>
      <c r="K930" s="3" t="s">
        <v>12</v>
      </c>
      <c r="L930" s="2" t="s">
        <v>64</v>
      </c>
      <c r="M930" s="2" t="s">
        <v>12</v>
      </c>
      <c r="N930" s="2" t="s">
        <v>12</v>
      </c>
      <c r="O930" s="2" t="s">
        <v>12</v>
      </c>
      <c r="P930" s="21" t="s">
        <v>12</v>
      </c>
      <c r="Q930" s="3" t="s">
        <v>12</v>
      </c>
      <c r="R930" s="3" t="s">
        <v>12</v>
      </c>
    </row>
    <row r="931" spans="1:18" x14ac:dyDescent="0.25">
      <c r="A931" s="30">
        <v>45807</v>
      </c>
      <c r="B931" s="28">
        <v>921</v>
      </c>
      <c r="C931" s="28"/>
      <c r="D931" s="2" t="s">
        <v>87</v>
      </c>
      <c r="E931" s="7" t="s">
        <v>1227</v>
      </c>
      <c r="F931" s="7"/>
      <c r="G931" s="2" t="s">
        <v>13</v>
      </c>
      <c r="H931" s="2" t="s">
        <v>185</v>
      </c>
      <c r="I931" s="5">
        <v>49456.160000000003</v>
      </c>
      <c r="J931" s="57"/>
      <c r="K931" s="3">
        <v>504</v>
      </c>
      <c r="L931" s="2" t="s">
        <v>226</v>
      </c>
      <c r="M931" s="2" t="s">
        <v>12</v>
      </c>
      <c r="N931" s="2" t="s">
        <v>12</v>
      </c>
      <c r="O931" s="2" t="s">
        <v>12</v>
      </c>
      <c r="P931" s="21" t="s">
        <v>12</v>
      </c>
      <c r="Q931" s="3" t="s">
        <v>77</v>
      </c>
      <c r="R931" s="3" t="s">
        <v>80</v>
      </c>
    </row>
    <row r="932" spans="1:18" x14ac:dyDescent="0.25">
      <c r="A932" s="30">
        <v>45810</v>
      </c>
      <c r="B932" s="28">
        <v>922</v>
      </c>
      <c r="C932" s="28"/>
      <c r="D932" s="2" t="s">
        <v>1228</v>
      </c>
      <c r="E932" s="7" t="s">
        <v>12</v>
      </c>
      <c r="F932" s="7"/>
      <c r="G932" s="2" t="s">
        <v>13</v>
      </c>
      <c r="H932" s="2" t="s">
        <v>432</v>
      </c>
      <c r="I932" s="5">
        <v>26706.22</v>
      </c>
      <c r="J932" s="57"/>
      <c r="K932" s="3">
        <v>264</v>
      </c>
      <c r="L932" s="2" t="s">
        <v>226</v>
      </c>
      <c r="M932" s="2" t="s">
        <v>12</v>
      </c>
      <c r="N932" s="2" t="s">
        <v>12</v>
      </c>
      <c r="O932" s="2" t="s">
        <v>12</v>
      </c>
      <c r="P932" s="21" t="s">
        <v>12</v>
      </c>
      <c r="Q932" s="3" t="s">
        <v>12</v>
      </c>
      <c r="R932" s="3" t="s">
        <v>12</v>
      </c>
    </row>
    <row r="933" spans="1:18" x14ac:dyDescent="0.25">
      <c r="A933" s="30">
        <v>45810</v>
      </c>
      <c r="B933" s="28">
        <v>923</v>
      </c>
      <c r="C933" s="28"/>
      <c r="D933" s="2" t="s">
        <v>176</v>
      </c>
      <c r="E933" s="7" t="s">
        <v>12</v>
      </c>
      <c r="F933" s="7"/>
      <c r="G933" s="2" t="s">
        <v>13</v>
      </c>
      <c r="H933" s="2" t="s">
        <v>177</v>
      </c>
      <c r="I933" s="5">
        <v>27078.99</v>
      </c>
      <c r="J933" s="57"/>
      <c r="K933" s="3">
        <v>480</v>
      </c>
      <c r="L933" s="2" t="s">
        <v>64</v>
      </c>
      <c r="M933" s="2" t="s">
        <v>12</v>
      </c>
      <c r="N933" s="2" t="s">
        <v>12</v>
      </c>
      <c r="O933" s="2" t="s">
        <v>12</v>
      </c>
      <c r="P933" s="21" t="s">
        <v>12</v>
      </c>
      <c r="Q933" s="3" t="s">
        <v>12</v>
      </c>
      <c r="R933" s="3" t="s">
        <v>12</v>
      </c>
    </row>
    <row r="934" spans="1:18" x14ac:dyDescent="0.25">
      <c r="A934" s="30">
        <v>45807</v>
      </c>
      <c r="B934" s="28">
        <v>924</v>
      </c>
      <c r="C934" s="28"/>
      <c r="D934" s="2" t="s">
        <v>1193</v>
      </c>
      <c r="E934" s="7" t="s">
        <v>1229</v>
      </c>
      <c r="F934" s="7"/>
      <c r="G934" s="2" t="s">
        <v>97</v>
      </c>
      <c r="H934" s="2" t="s">
        <v>189</v>
      </c>
      <c r="I934" s="5">
        <v>94428.79</v>
      </c>
      <c r="J934" s="57"/>
      <c r="K934" s="3">
        <v>1128</v>
      </c>
      <c r="L934" s="2" t="s">
        <v>226</v>
      </c>
      <c r="M934" s="2" t="s">
        <v>12</v>
      </c>
      <c r="N934" s="2" t="s">
        <v>12</v>
      </c>
      <c r="O934" s="2" t="s">
        <v>12</v>
      </c>
      <c r="P934" s="21" t="s">
        <v>12</v>
      </c>
      <c r="Q934" s="3" t="s">
        <v>12</v>
      </c>
      <c r="R934" s="3" t="s">
        <v>12</v>
      </c>
    </row>
    <row r="935" spans="1:18" x14ac:dyDescent="0.25">
      <c r="A935" s="30">
        <v>45807</v>
      </c>
      <c r="B935" s="28">
        <v>925</v>
      </c>
      <c r="C935" s="28"/>
      <c r="D935" s="2" t="s">
        <v>256</v>
      </c>
      <c r="E935" s="7" t="s">
        <v>1230</v>
      </c>
      <c r="F935" s="7"/>
      <c r="G935" s="2" t="s">
        <v>20</v>
      </c>
      <c r="H935" s="2" t="s">
        <v>1000</v>
      </c>
      <c r="I935" s="5">
        <v>2669.6</v>
      </c>
      <c r="J935" s="57"/>
      <c r="K935" s="3" t="s">
        <v>12</v>
      </c>
      <c r="L935" s="2" t="s">
        <v>64</v>
      </c>
      <c r="M935" s="2" t="s">
        <v>1164</v>
      </c>
      <c r="N935" s="2" t="s">
        <v>12</v>
      </c>
      <c r="O935" s="2" t="s">
        <v>12</v>
      </c>
      <c r="P935" s="21" t="s">
        <v>12</v>
      </c>
      <c r="Q935" s="3" t="s">
        <v>12</v>
      </c>
      <c r="R935" s="3" t="s">
        <v>12</v>
      </c>
    </row>
    <row r="936" spans="1:18" x14ac:dyDescent="0.25">
      <c r="A936" s="30">
        <v>45810</v>
      </c>
      <c r="B936" s="28">
        <v>926</v>
      </c>
      <c r="C936" s="28"/>
      <c r="D936" s="2" t="s">
        <v>515</v>
      </c>
      <c r="E936" s="7" t="s">
        <v>1231</v>
      </c>
      <c r="F936" s="7"/>
      <c r="G936" s="2" t="s">
        <v>111</v>
      </c>
      <c r="H936" s="2" t="s">
        <v>1168</v>
      </c>
      <c r="I936" s="5">
        <v>211085.54</v>
      </c>
      <c r="J936" s="57"/>
      <c r="K936" s="3">
        <v>2448</v>
      </c>
      <c r="L936" s="2" t="s">
        <v>64</v>
      </c>
      <c r="M936" s="2" t="s">
        <v>12</v>
      </c>
      <c r="N936" s="2" t="s">
        <v>12</v>
      </c>
      <c r="O936" s="2" t="s">
        <v>12</v>
      </c>
      <c r="P936" s="21" t="s">
        <v>12</v>
      </c>
      <c r="Q936" s="3" t="s">
        <v>12</v>
      </c>
      <c r="R936" s="3" t="s">
        <v>12</v>
      </c>
    </row>
    <row r="937" spans="1:18" x14ac:dyDescent="0.25">
      <c r="A937" s="30">
        <v>45812</v>
      </c>
      <c r="B937" s="28">
        <v>927</v>
      </c>
      <c r="C937" s="28"/>
      <c r="D937" s="2" t="s">
        <v>137</v>
      </c>
      <c r="E937" s="7" t="s">
        <v>1232</v>
      </c>
      <c r="F937" s="7"/>
      <c r="G937" s="2" t="s">
        <v>26</v>
      </c>
      <c r="H937" s="2" t="s">
        <v>98</v>
      </c>
      <c r="I937" s="5">
        <v>60658.53</v>
      </c>
      <c r="J937" s="57"/>
      <c r="K937" s="3">
        <v>696</v>
      </c>
      <c r="L937" s="2" t="s">
        <v>64</v>
      </c>
      <c r="M937" s="2" t="s">
        <v>530</v>
      </c>
      <c r="N937" s="2" t="s">
        <v>12</v>
      </c>
      <c r="O937" s="2" t="s">
        <v>12</v>
      </c>
      <c r="P937" s="21" t="s">
        <v>12</v>
      </c>
      <c r="Q937" s="3"/>
      <c r="R937" s="3"/>
    </row>
    <row r="938" spans="1:18" x14ac:dyDescent="0.25">
      <c r="A938" s="30">
        <v>45810</v>
      </c>
      <c r="B938" s="28">
        <v>928</v>
      </c>
      <c r="C938" s="28"/>
      <c r="D938" s="2" t="s">
        <v>206</v>
      </c>
      <c r="E938" s="7" t="s">
        <v>1150</v>
      </c>
      <c r="F938" s="7"/>
      <c r="G938" s="2" t="s">
        <v>97</v>
      </c>
      <c r="H938" s="2" t="s">
        <v>473</v>
      </c>
      <c r="I938" s="5">
        <v>4766.0200000000004</v>
      </c>
      <c r="J938" s="57"/>
      <c r="K938" s="3">
        <v>96</v>
      </c>
      <c r="L938" s="2" t="s">
        <v>64</v>
      </c>
      <c r="M938" s="2" t="s">
        <v>12</v>
      </c>
      <c r="N938" s="2" t="s">
        <v>12</v>
      </c>
      <c r="O938" s="2" t="s">
        <v>12</v>
      </c>
      <c r="P938" s="21" t="s">
        <v>12</v>
      </c>
      <c r="Q938" s="3" t="s">
        <v>12</v>
      </c>
      <c r="R938" s="3" t="s">
        <v>12</v>
      </c>
    </row>
    <row r="939" spans="1:18" x14ac:dyDescent="0.25">
      <c r="A939" s="30">
        <v>45810</v>
      </c>
      <c r="B939" s="28">
        <v>929</v>
      </c>
      <c r="C939" s="28"/>
      <c r="D939" s="2" t="s">
        <v>298</v>
      </c>
      <c r="E939" s="7" t="s">
        <v>12</v>
      </c>
      <c r="F939" s="7"/>
      <c r="G939" s="2" t="s">
        <v>13</v>
      </c>
      <c r="H939" s="2" t="s">
        <v>13</v>
      </c>
      <c r="I939" s="5">
        <v>4120.13</v>
      </c>
      <c r="J939" s="57"/>
      <c r="K939" s="3" t="s">
        <v>12</v>
      </c>
      <c r="L939" s="2" t="s">
        <v>64</v>
      </c>
      <c r="M939" s="2" t="s">
        <v>12</v>
      </c>
      <c r="N939" s="2" t="s">
        <v>12</v>
      </c>
      <c r="O939" s="2" t="s">
        <v>12</v>
      </c>
      <c r="P939" s="21" t="s">
        <v>12</v>
      </c>
      <c r="Q939" s="3" t="s">
        <v>12</v>
      </c>
      <c r="R939" s="3" t="s">
        <v>12</v>
      </c>
    </row>
    <row r="940" spans="1:18" x14ac:dyDescent="0.25">
      <c r="A940" s="30">
        <v>45811</v>
      </c>
      <c r="B940" s="28">
        <v>930</v>
      </c>
      <c r="C940" s="28"/>
      <c r="D940" s="2" t="s">
        <v>370</v>
      </c>
      <c r="E940" s="7" t="s">
        <v>1233</v>
      </c>
      <c r="F940" s="7"/>
      <c r="G940" s="2" t="s">
        <v>26</v>
      </c>
      <c r="H940" s="2" t="s">
        <v>148</v>
      </c>
      <c r="I940" s="5">
        <v>4124.99</v>
      </c>
      <c r="J940" s="57"/>
      <c r="K940" s="3" t="s">
        <v>12</v>
      </c>
      <c r="L940" s="2" t="s">
        <v>226</v>
      </c>
      <c r="M940" s="2" t="s">
        <v>12</v>
      </c>
      <c r="N940" s="2" t="s">
        <v>12</v>
      </c>
      <c r="O940" s="2" t="s">
        <v>12</v>
      </c>
      <c r="P940" s="21" t="s">
        <v>12</v>
      </c>
      <c r="Q940" s="3" t="s">
        <v>12</v>
      </c>
      <c r="R940" s="3" t="s">
        <v>12</v>
      </c>
    </row>
    <row r="941" spans="1:18" x14ac:dyDescent="0.25">
      <c r="A941" s="30">
        <v>45810</v>
      </c>
      <c r="B941" s="28">
        <v>931</v>
      </c>
      <c r="C941" s="28"/>
      <c r="D941" s="2" t="s">
        <v>124</v>
      </c>
      <c r="E941" s="7" t="s">
        <v>1234</v>
      </c>
      <c r="F941" s="7"/>
      <c r="G941" s="2" t="s">
        <v>20</v>
      </c>
      <c r="H941" s="2" t="s">
        <v>112</v>
      </c>
      <c r="I941" s="5">
        <v>94826.22</v>
      </c>
      <c r="J941" s="57"/>
      <c r="K941" s="3">
        <v>1248</v>
      </c>
      <c r="L941" s="2" t="s">
        <v>226</v>
      </c>
      <c r="M941" s="2" t="s">
        <v>1358</v>
      </c>
      <c r="N941" s="2" t="s">
        <v>12</v>
      </c>
      <c r="O941" s="2" t="s">
        <v>12</v>
      </c>
      <c r="P941" s="21" t="s">
        <v>12</v>
      </c>
      <c r="Q941" s="3" t="s">
        <v>1270</v>
      </c>
      <c r="R941" s="3" t="s">
        <v>80</v>
      </c>
    </row>
    <row r="942" spans="1:18" x14ac:dyDescent="0.25">
      <c r="A942" s="30">
        <v>45810</v>
      </c>
      <c r="B942" s="28">
        <v>932</v>
      </c>
      <c r="C942" s="28"/>
      <c r="D942" s="2" t="s">
        <v>388</v>
      </c>
      <c r="E942" s="7" t="s">
        <v>893</v>
      </c>
      <c r="F942" s="7"/>
      <c r="G942" s="2" t="s">
        <v>26</v>
      </c>
      <c r="H942" s="2" t="s">
        <v>928</v>
      </c>
      <c r="I942" s="5">
        <v>70525.63</v>
      </c>
      <c r="J942" s="57"/>
      <c r="K942" s="3">
        <v>696</v>
      </c>
      <c r="L942" s="2" t="s">
        <v>226</v>
      </c>
      <c r="M942" s="2" t="s">
        <v>1272</v>
      </c>
      <c r="N942" s="2" t="s">
        <v>12</v>
      </c>
      <c r="O942" s="2" t="s">
        <v>12</v>
      </c>
      <c r="P942" s="21" t="s">
        <v>12</v>
      </c>
      <c r="Q942" s="3" t="s">
        <v>220</v>
      </c>
      <c r="R942" s="3" t="s">
        <v>80</v>
      </c>
    </row>
    <row r="943" spans="1:18" x14ac:dyDescent="0.25">
      <c r="A943" s="30">
        <v>45810</v>
      </c>
      <c r="B943" s="28">
        <v>933</v>
      </c>
      <c r="C943" s="28"/>
      <c r="D943" s="2" t="s">
        <v>825</v>
      </c>
      <c r="E943" s="7" t="s">
        <v>1277</v>
      </c>
      <c r="F943" s="7"/>
      <c r="G943" s="2" t="s">
        <v>111</v>
      </c>
      <c r="H943" s="2" t="s">
        <v>827</v>
      </c>
      <c r="I943" s="5">
        <v>5427.4</v>
      </c>
      <c r="J943" s="57"/>
      <c r="K943" s="3"/>
      <c r="L943" s="2" t="s">
        <v>64</v>
      </c>
      <c r="M943" s="2"/>
      <c r="N943" s="2"/>
      <c r="O943" s="2"/>
      <c r="P943" s="21"/>
      <c r="Q943" s="3" t="s">
        <v>12</v>
      </c>
      <c r="R943" s="3" t="s">
        <v>12</v>
      </c>
    </row>
    <row r="944" spans="1:18" x14ac:dyDescent="0.25">
      <c r="A944" s="30">
        <v>45811</v>
      </c>
      <c r="B944" s="28">
        <v>934</v>
      </c>
      <c r="C944" s="28"/>
      <c r="D944" s="2" t="s">
        <v>23</v>
      </c>
      <c r="E944" s="7" t="s">
        <v>1235</v>
      </c>
      <c r="F944" s="7"/>
      <c r="G944" s="2" t="s">
        <v>20</v>
      </c>
      <c r="H944" s="2" t="s">
        <v>24</v>
      </c>
      <c r="I944" s="5">
        <v>27191.09</v>
      </c>
      <c r="J944" s="57"/>
      <c r="K944" s="3">
        <v>384</v>
      </c>
      <c r="L944" s="2" t="s">
        <v>64</v>
      </c>
      <c r="M944" s="2" t="s">
        <v>530</v>
      </c>
      <c r="N944" s="2" t="s">
        <v>12</v>
      </c>
      <c r="O944" s="2" t="s">
        <v>12</v>
      </c>
      <c r="P944" s="21" t="s">
        <v>12</v>
      </c>
      <c r="Q944" s="3" t="s">
        <v>12</v>
      </c>
      <c r="R944" s="3" t="s">
        <v>12</v>
      </c>
    </row>
    <row r="945" spans="1:18" x14ac:dyDescent="0.25">
      <c r="A945" s="30">
        <v>45811</v>
      </c>
      <c r="B945" s="28">
        <v>935</v>
      </c>
      <c r="C945" s="28"/>
      <c r="D945" s="2" t="s">
        <v>23</v>
      </c>
      <c r="E945" s="7" t="s">
        <v>1236</v>
      </c>
      <c r="F945" s="7"/>
      <c r="G945" s="2" t="s">
        <v>20</v>
      </c>
      <c r="H945" s="2" t="s">
        <v>24</v>
      </c>
      <c r="I945" s="5">
        <v>38755.370000000003</v>
      </c>
      <c r="J945" s="57"/>
      <c r="K945" s="3">
        <v>576</v>
      </c>
      <c r="L945" s="2" t="s">
        <v>64</v>
      </c>
      <c r="M945" s="2" t="s">
        <v>530</v>
      </c>
      <c r="N945" s="2" t="s">
        <v>12</v>
      </c>
      <c r="O945" s="2" t="s">
        <v>12</v>
      </c>
      <c r="P945" s="21" t="s">
        <v>12</v>
      </c>
      <c r="Q945" s="3" t="s">
        <v>12</v>
      </c>
      <c r="R945" s="3" t="s">
        <v>12</v>
      </c>
    </row>
    <row r="946" spans="1:18" x14ac:dyDescent="0.25">
      <c r="A946" s="30">
        <v>45810</v>
      </c>
      <c r="B946" s="28">
        <v>936</v>
      </c>
      <c r="C946" s="28"/>
      <c r="D946" s="2" t="s">
        <v>1237</v>
      </c>
      <c r="E946" s="7" t="s">
        <v>1238</v>
      </c>
      <c r="F946" s="7"/>
      <c r="G946" s="2" t="s">
        <v>20</v>
      </c>
      <c r="H946" s="2" t="s">
        <v>1239</v>
      </c>
      <c r="I946" s="5">
        <v>12213.73</v>
      </c>
      <c r="J946" s="57"/>
      <c r="K946" s="3">
        <v>144</v>
      </c>
      <c r="L946" s="2" t="s">
        <v>226</v>
      </c>
      <c r="M946" s="2" t="s">
        <v>12</v>
      </c>
      <c r="N946" s="2" t="s">
        <v>12</v>
      </c>
      <c r="O946" s="2" t="s">
        <v>12</v>
      </c>
      <c r="P946" s="21" t="s">
        <v>12</v>
      </c>
      <c r="Q946" s="3" t="s">
        <v>12</v>
      </c>
      <c r="R946" s="3" t="s">
        <v>12</v>
      </c>
    </row>
    <row r="947" spans="1:18" x14ac:dyDescent="0.25">
      <c r="A947" s="30">
        <v>45810</v>
      </c>
      <c r="B947" s="28">
        <v>937</v>
      </c>
      <c r="C947" s="28"/>
      <c r="D947" s="2" t="s">
        <v>204</v>
      </c>
      <c r="E947" s="7" t="s">
        <v>1240</v>
      </c>
      <c r="F947" s="7"/>
      <c r="G947" s="2" t="s">
        <v>26</v>
      </c>
      <c r="H947" s="2" t="s">
        <v>490</v>
      </c>
      <c r="I947" s="5">
        <v>47921.53</v>
      </c>
      <c r="J947" s="57"/>
      <c r="K947" s="3">
        <v>600</v>
      </c>
      <c r="L947" s="2" t="s">
        <v>226</v>
      </c>
      <c r="M947" s="2" t="s">
        <v>1282</v>
      </c>
      <c r="N947" s="2" t="s">
        <v>12</v>
      </c>
      <c r="O947" s="2" t="s">
        <v>12</v>
      </c>
      <c r="P947" s="21" t="s">
        <v>12</v>
      </c>
      <c r="Q947" s="3" t="s">
        <v>12</v>
      </c>
      <c r="R947" s="3" t="s">
        <v>12</v>
      </c>
    </row>
    <row r="948" spans="1:18" x14ac:dyDescent="0.25">
      <c r="A948" s="30">
        <v>45810</v>
      </c>
      <c r="B948" s="28">
        <v>938</v>
      </c>
      <c r="C948" s="28"/>
      <c r="D948" s="2" t="s">
        <v>41</v>
      </c>
      <c r="E948" s="7" t="s">
        <v>12</v>
      </c>
      <c r="F948" s="7"/>
      <c r="G948" s="2" t="s">
        <v>43</v>
      </c>
      <c r="H948" s="2" t="s">
        <v>158</v>
      </c>
      <c r="I948" s="5">
        <v>4578.76</v>
      </c>
      <c r="J948" s="57"/>
      <c r="K948" s="3">
        <v>48</v>
      </c>
      <c r="L948" s="2" t="s">
        <v>226</v>
      </c>
      <c r="M948" s="2" t="s">
        <v>12</v>
      </c>
      <c r="N948" s="2" t="s">
        <v>12</v>
      </c>
      <c r="O948" s="2" t="s">
        <v>12</v>
      </c>
      <c r="P948" s="21" t="s">
        <v>12</v>
      </c>
      <c r="Q948" s="3" t="s">
        <v>12</v>
      </c>
      <c r="R948" s="3" t="s">
        <v>12</v>
      </c>
    </row>
    <row r="949" spans="1:18" x14ac:dyDescent="0.25">
      <c r="A949" s="30">
        <v>45810</v>
      </c>
      <c r="B949" s="28">
        <v>939</v>
      </c>
      <c r="C949" s="28"/>
      <c r="D949" s="2" t="s">
        <v>921</v>
      </c>
      <c r="E949" s="7" t="s">
        <v>1241</v>
      </c>
      <c r="F949" s="7"/>
      <c r="G949" s="2" t="s">
        <v>13</v>
      </c>
      <c r="H949" s="2" t="s">
        <v>549</v>
      </c>
      <c r="I949" s="5">
        <v>73609.19</v>
      </c>
      <c r="J949" s="57"/>
      <c r="K949" s="3">
        <v>936</v>
      </c>
      <c r="L949" s="2" t="s">
        <v>226</v>
      </c>
      <c r="M949" s="2" t="s">
        <v>12</v>
      </c>
      <c r="N949" s="2" t="s">
        <v>12</v>
      </c>
      <c r="O949" s="2" t="s">
        <v>12</v>
      </c>
      <c r="P949" s="21" t="s">
        <v>12</v>
      </c>
      <c r="Q949" s="3" t="s">
        <v>12</v>
      </c>
      <c r="R949" s="3" t="s">
        <v>12</v>
      </c>
    </row>
    <row r="950" spans="1:18" x14ac:dyDescent="0.25">
      <c r="A950" s="30">
        <v>45810</v>
      </c>
      <c r="B950" s="28">
        <v>940</v>
      </c>
      <c r="C950" s="28"/>
      <c r="D950" s="2" t="s">
        <v>720</v>
      </c>
      <c r="E950" s="7" t="s">
        <v>1242</v>
      </c>
      <c r="F950" s="7"/>
      <c r="G950" s="2" t="s">
        <v>20</v>
      </c>
      <c r="H950" s="2" t="s">
        <v>722</v>
      </c>
      <c r="I950" s="5">
        <v>50522</v>
      </c>
      <c r="J950" s="57"/>
      <c r="K950" s="3">
        <v>552</v>
      </c>
      <c r="L950" s="2" t="s">
        <v>226</v>
      </c>
      <c r="M950" s="2" t="s">
        <v>12</v>
      </c>
      <c r="N950" s="2" t="s">
        <v>12</v>
      </c>
      <c r="O950" s="2" t="s">
        <v>12</v>
      </c>
      <c r="P950" s="21" t="s">
        <v>12</v>
      </c>
      <c r="Q950" s="3" t="s">
        <v>1268</v>
      </c>
      <c r="R950" s="3" t="s">
        <v>1269</v>
      </c>
    </row>
    <row r="951" spans="1:18" x14ac:dyDescent="0.25">
      <c r="A951" s="30">
        <v>45810</v>
      </c>
      <c r="B951" s="28">
        <v>941</v>
      </c>
      <c r="C951" s="28"/>
      <c r="D951" s="2" t="s">
        <v>941</v>
      </c>
      <c r="E951" s="7" t="s">
        <v>1243</v>
      </c>
      <c r="F951" s="7"/>
      <c r="G951" s="2" t="s">
        <v>13</v>
      </c>
      <c r="H951" s="2" t="s">
        <v>943</v>
      </c>
      <c r="I951" s="5">
        <v>23567.45</v>
      </c>
      <c r="J951" s="57"/>
      <c r="K951" s="3">
        <v>240</v>
      </c>
      <c r="L951" s="2" t="s">
        <v>226</v>
      </c>
      <c r="M951" s="2" t="s">
        <v>12</v>
      </c>
      <c r="N951" s="2" t="s">
        <v>12</v>
      </c>
      <c r="O951" s="2" t="s">
        <v>12</v>
      </c>
      <c r="P951" s="21" t="s">
        <v>12</v>
      </c>
      <c r="Q951" s="3" t="s">
        <v>12</v>
      </c>
      <c r="R951" s="3" t="s">
        <v>12</v>
      </c>
    </row>
    <row r="952" spans="1:18" x14ac:dyDescent="0.25">
      <c r="A952" s="30">
        <v>45810</v>
      </c>
      <c r="B952" s="28">
        <v>942</v>
      </c>
      <c r="C952" s="28"/>
      <c r="D952" s="2" t="s">
        <v>208</v>
      </c>
      <c r="E952" s="7" t="s">
        <v>1244</v>
      </c>
      <c r="F952" s="7"/>
      <c r="G952" s="2" t="s">
        <v>43</v>
      </c>
      <c r="H952" s="2" t="s">
        <v>448</v>
      </c>
      <c r="I952" s="5">
        <v>5432</v>
      </c>
      <c r="J952" s="57"/>
      <c r="K952" s="3">
        <v>48</v>
      </c>
      <c r="L952" s="2" t="s">
        <v>226</v>
      </c>
      <c r="M952" s="2" t="s">
        <v>12</v>
      </c>
      <c r="N952" s="2" t="s">
        <v>12</v>
      </c>
      <c r="O952" s="2" t="s">
        <v>12</v>
      </c>
      <c r="P952" s="21" t="s">
        <v>12</v>
      </c>
      <c r="Q952" s="3" t="s">
        <v>1267</v>
      </c>
      <c r="R952" s="3" t="s">
        <v>80</v>
      </c>
    </row>
    <row r="953" spans="1:18" x14ac:dyDescent="0.25">
      <c r="A953" s="30">
        <v>45810</v>
      </c>
      <c r="B953" s="28">
        <v>943</v>
      </c>
      <c r="C953" s="28"/>
      <c r="D953" s="2" t="s">
        <v>1264</v>
      </c>
      <c r="E953" s="7" t="s">
        <v>1265</v>
      </c>
      <c r="F953" s="7"/>
      <c r="G953" s="2" t="s">
        <v>111</v>
      </c>
      <c r="H953" s="2" t="s">
        <v>369</v>
      </c>
      <c r="I953" s="5">
        <v>28547.88</v>
      </c>
      <c r="J953" s="57"/>
      <c r="K953" s="3"/>
      <c r="L953" s="2" t="s">
        <v>226</v>
      </c>
      <c r="M953" s="2"/>
      <c r="N953" s="2"/>
      <c r="O953" s="2"/>
      <c r="P953" s="21"/>
      <c r="Q953" s="3" t="s">
        <v>12</v>
      </c>
      <c r="R953" s="3" t="s">
        <v>12</v>
      </c>
    </row>
    <row r="954" spans="1:18" x14ac:dyDescent="0.25">
      <c r="A954" s="30">
        <v>45812</v>
      </c>
      <c r="B954" s="28">
        <v>944</v>
      </c>
      <c r="C954" s="28"/>
      <c r="D954" s="2" t="s">
        <v>1111</v>
      </c>
      <c r="E954" s="7" t="s">
        <v>1245</v>
      </c>
      <c r="F954" s="7"/>
      <c r="G954" s="2" t="s">
        <v>97</v>
      </c>
      <c r="H954" s="2" t="s">
        <v>129</v>
      </c>
      <c r="I954" s="5">
        <v>1946.07</v>
      </c>
      <c r="J954" s="57"/>
      <c r="K954" s="3" t="s">
        <v>12</v>
      </c>
      <c r="L954" s="2" t="s">
        <v>64</v>
      </c>
      <c r="M954" s="2" t="s">
        <v>12</v>
      </c>
      <c r="N954" s="2" t="s">
        <v>12</v>
      </c>
      <c r="O954" s="2" t="s">
        <v>12</v>
      </c>
      <c r="P954" s="21" t="s">
        <v>12</v>
      </c>
      <c r="Q954" s="3" t="s">
        <v>12</v>
      </c>
      <c r="R954" s="3" t="s">
        <v>12</v>
      </c>
    </row>
    <row r="955" spans="1:18" x14ac:dyDescent="0.25">
      <c r="A955" s="30">
        <v>45811</v>
      </c>
      <c r="B955" s="28">
        <v>945</v>
      </c>
      <c r="C955" s="28"/>
      <c r="D955" s="2" t="s">
        <v>92</v>
      </c>
      <c r="E955" s="7" t="s">
        <v>1246</v>
      </c>
      <c r="F955" s="7"/>
      <c r="G955" s="2" t="s">
        <v>26</v>
      </c>
      <c r="H955" s="2" t="s">
        <v>652</v>
      </c>
      <c r="I955" s="5">
        <v>21448.19</v>
      </c>
      <c r="J955" s="57"/>
      <c r="K955" s="3">
        <v>240</v>
      </c>
      <c r="L955" s="2" t="s">
        <v>226</v>
      </c>
      <c r="M955" s="2" t="s">
        <v>12</v>
      </c>
      <c r="N955" s="2" t="s">
        <v>12</v>
      </c>
      <c r="O955" s="2" t="s">
        <v>12</v>
      </c>
      <c r="P955" s="21" t="s">
        <v>12</v>
      </c>
      <c r="Q955" s="3" t="s">
        <v>12</v>
      </c>
      <c r="R955" s="3" t="s">
        <v>12</v>
      </c>
    </row>
    <row r="956" spans="1:18" x14ac:dyDescent="0.25">
      <c r="A956" s="30">
        <v>45811</v>
      </c>
      <c r="B956" s="28">
        <v>946</v>
      </c>
      <c r="C956" s="28"/>
      <c r="D956" s="2" t="s">
        <v>311</v>
      </c>
      <c r="E956" s="7" t="s">
        <v>1247</v>
      </c>
      <c r="F956" s="7"/>
      <c r="G956" s="2" t="s">
        <v>97</v>
      </c>
      <c r="H956" s="2" t="s">
        <v>611</v>
      </c>
      <c r="I956" s="5">
        <v>23081.45</v>
      </c>
      <c r="J956" s="57"/>
      <c r="K956" s="3">
        <v>216</v>
      </c>
      <c r="L956" s="2" t="s">
        <v>226</v>
      </c>
      <c r="M956" s="2" t="s">
        <v>12</v>
      </c>
      <c r="N956" s="2" t="s">
        <v>12</v>
      </c>
      <c r="O956" s="2" t="s">
        <v>12</v>
      </c>
      <c r="P956" s="21" t="s">
        <v>12</v>
      </c>
      <c r="Q956" s="3" t="s">
        <v>78</v>
      </c>
      <c r="R956" s="3" t="s">
        <v>75</v>
      </c>
    </row>
    <row r="957" spans="1:18" x14ac:dyDescent="0.25">
      <c r="A957" s="30">
        <v>45811</v>
      </c>
      <c r="B957" s="28">
        <v>947</v>
      </c>
      <c r="C957" s="28"/>
      <c r="D957" s="2" t="s">
        <v>601</v>
      </c>
      <c r="E957" s="7" t="s">
        <v>12</v>
      </c>
      <c r="F957" s="7"/>
      <c r="G957" s="2" t="s">
        <v>13</v>
      </c>
      <c r="H957" s="2" t="s">
        <v>55</v>
      </c>
      <c r="I957" s="5">
        <v>7561.39</v>
      </c>
      <c r="J957" s="57"/>
      <c r="K957" s="3">
        <v>96</v>
      </c>
      <c r="L957" s="2" t="s">
        <v>226</v>
      </c>
      <c r="M957" s="2" t="s">
        <v>12</v>
      </c>
      <c r="N957" s="2" t="s">
        <v>12</v>
      </c>
      <c r="O957" s="2" t="s">
        <v>12</v>
      </c>
      <c r="P957" s="21" t="s">
        <v>12</v>
      </c>
      <c r="Q957" s="3" t="s">
        <v>12</v>
      </c>
      <c r="R957" s="3" t="s">
        <v>12</v>
      </c>
    </row>
    <row r="958" spans="1:18" x14ac:dyDescent="0.25">
      <c r="A958" s="30">
        <v>45811</v>
      </c>
      <c r="B958" s="28">
        <v>948</v>
      </c>
      <c r="C958" s="28"/>
      <c r="D958" s="2" t="s">
        <v>601</v>
      </c>
      <c r="E958" s="7" t="s">
        <v>12</v>
      </c>
      <c r="F958" s="7"/>
      <c r="G958" s="2" t="s">
        <v>13</v>
      </c>
      <c r="H958" s="2" t="s">
        <v>55</v>
      </c>
      <c r="I958" s="5">
        <v>19185.75</v>
      </c>
      <c r="J958" s="57"/>
      <c r="K958" s="3">
        <v>240</v>
      </c>
      <c r="L958" s="2" t="s">
        <v>226</v>
      </c>
      <c r="M958" s="2" t="s">
        <v>12</v>
      </c>
      <c r="N958" s="2" t="s">
        <v>12</v>
      </c>
      <c r="O958" s="2" t="s">
        <v>12</v>
      </c>
      <c r="P958" s="21" t="s">
        <v>12</v>
      </c>
      <c r="Q958" s="3" t="s">
        <v>12</v>
      </c>
      <c r="R958" s="3" t="s">
        <v>12</v>
      </c>
    </row>
    <row r="959" spans="1:18" x14ac:dyDescent="0.25">
      <c r="A959" s="30">
        <v>45811</v>
      </c>
      <c r="B959" s="28">
        <v>949</v>
      </c>
      <c r="C959" s="28"/>
      <c r="D959" s="2" t="s">
        <v>1224</v>
      </c>
      <c r="E959" s="7" t="s">
        <v>1248</v>
      </c>
      <c r="F959" s="7"/>
      <c r="G959" s="2" t="s">
        <v>26</v>
      </c>
      <c r="H959" s="2" t="s">
        <v>596</v>
      </c>
      <c r="I959" s="5">
        <v>3639.35</v>
      </c>
      <c r="J959" s="57"/>
      <c r="K959" s="3">
        <v>48</v>
      </c>
      <c r="L959" s="2" t="s">
        <v>226</v>
      </c>
      <c r="M959" s="2" t="s">
        <v>12</v>
      </c>
      <c r="N959" s="2" t="s">
        <v>12</v>
      </c>
      <c r="O959" s="2" t="s">
        <v>12</v>
      </c>
      <c r="P959" s="21" t="s">
        <v>12</v>
      </c>
      <c r="Q959" s="3" t="s">
        <v>12</v>
      </c>
      <c r="R959" s="3" t="s">
        <v>12</v>
      </c>
    </row>
    <row r="960" spans="1:18" x14ac:dyDescent="0.25">
      <c r="A960" s="30">
        <v>45811</v>
      </c>
      <c r="B960" s="28">
        <v>950</v>
      </c>
      <c r="C960" s="28"/>
      <c r="D960" s="2" t="s">
        <v>370</v>
      </c>
      <c r="E960" s="7" t="s">
        <v>1233</v>
      </c>
      <c r="F960" s="7"/>
      <c r="G960" s="2" t="s">
        <v>26</v>
      </c>
      <c r="H960" s="2" t="s">
        <v>148</v>
      </c>
      <c r="I960" s="5">
        <v>20119.400000000001</v>
      </c>
      <c r="J960" s="57"/>
      <c r="K960" s="3">
        <v>240</v>
      </c>
      <c r="L960" s="2" t="s">
        <v>226</v>
      </c>
      <c r="M960" s="2" t="s">
        <v>12</v>
      </c>
      <c r="N960" s="2" t="s">
        <v>12</v>
      </c>
      <c r="O960" s="2" t="s">
        <v>12</v>
      </c>
      <c r="P960" s="21" t="s">
        <v>12</v>
      </c>
      <c r="Q960" s="3" t="s">
        <v>12</v>
      </c>
      <c r="R960" s="3" t="s">
        <v>12</v>
      </c>
    </row>
    <row r="961" spans="1:18" x14ac:dyDescent="0.25">
      <c r="A961" s="30">
        <v>45812</v>
      </c>
      <c r="B961" s="28">
        <v>951</v>
      </c>
      <c r="C961" s="28"/>
      <c r="D961" s="2" t="s">
        <v>1249</v>
      </c>
      <c r="E961" s="7" t="s">
        <v>12</v>
      </c>
      <c r="F961" s="7"/>
      <c r="G961" s="2" t="s">
        <v>13</v>
      </c>
      <c r="H961" s="2" t="s">
        <v>98</v>
      </c>
      <c r="I961" s="5">
        <v>4939.2299999999996</v>
      </c>
      <c r="J961" s="57"/>
      <c r="K961" s="3">
        <v>24</v>
      </c>
      <c r="L961" s="2" t="s">
        <v>226</v>
      </c>
      <c r="M961" s="2" t="s">
        <v>12</v>
      </c>
      <c r="N961" s="2" t="s">
        <v>12</v>
      </c>
      <c r="O961" s="2" t="s">
        <v>12</v>
      </c>
      <c r="P961" s="21" t="s">
        <v>12</v>
      </c>
      <c r="Q961" s="3" t="s">
        <v>12</v>
      </c>
      <c r="R961" s="3" t="s">
        <v>12</v>
      </c>
    </row>
    <row r="962" spans="1:18" x14ac:dyDescent="0.25">
      <c r="A962" s="30">
        <v>45812</v>
      </c>
      <c r="B962" s="28">
        <v>952</v>
      </c>
      <c r="C962" s="28"/>
      <c r="D962" s="2" t="s">
        <v>425</v>
      </c>
      <c r="E962" s="7" t="s">
        <v>1250</v>
      </c>
      <c r="F962" s="7"/>
      <c r="G962" s="2" t="s">
        <v>26</v>
      </c>
      <c r="H962" s="2" t="s">
        <v>1251</v>
      </c>
      <c r="I962" s="5">
        <v>695.91</v>
      </c>
      <c r="J962" s="57"/>
      <c r="K962" s="3" t="s">
        <v>12</v>
      </c>
      <c r="L962" s="2" t="s">
        <v>64</v>
      </c>
      <c r="M962" s="2" t="s">
        <v>12</v>
      </c>
      <c r="N962" s="2" t="s">
        <v>12</v>
      </c>
      <c r="O962" s="2" t="s">
        <v>12</v>
      </c>
      <c r="P962" s="21" t="s">
        <v>12</v>
      </c>
      <c r="Q962" s="3" t="s">
        <v>12</v>
      </c>
      <c r="R962" s="3" t="s">
        <v>12</v>
      </c>
    </row>
    <row r="963" spans="1:18" x14ac:dyDescent="0.25">
      <c r="A963" s="30">
        <v>45812</v>
      </c>
      <c r="B963" s="28">
        <v>953</v>
      </c>
      <c r="C963" s="28"/>
      <c r="D963" s="2" t="s">
        <v>496</v>
      </c>
      <c r="E963" s="7" t="s">
        <v>1252</v>
      </c>
      <c r="F963" s="7"/>
      <c r="G963" s="2" t="s">
        <v>13</v>
      </c>
      <c r="H963" s="2" t="s">
        <v>225</v>
      </c>
      <c r="I963" s="5">
        <v>34716.980000000003</v>
      </c>
      <c r="J963" s="57"/>
      <c r="K963" s="3">
        <v>336</v>
      </c>
      <c r="L963" s="2" t="s">
        <v>64</v>
      </c>
      <c r="M963" s="2" t="s">
        <v>12</v>
      </c>
      <c r="N963" s="2" t="s">
        <v>12</v>
      </c>
      <c r="O963" s="2" t="s">
        <v>12</v>
      </c>
      <c r="P963" s="21" t="s">
        <v>12</v>
      </c>
      <c r="Q963" s="3" t="s">
        <v>1266</v>
      </c>
      <c r="R963" s="3" t="s">
        <v>75</v>
      </c>
    </row>
    <row r="964" spans="1:18" x14ac:dyDescent="0.25">
      <c r="A964" s="30">
        <v>45811</v>
      </c>
      <c r="B964" s="28">
        <v>954</v>
      </c>
      <c r="C964" s="28"/>
      <c r="D964" s="2" t="s">
        <v>646</v>
      </c>
      <c r="E964" s="7" t="s">
        <v>1253</v>
      </c>
      <c r="F964" s="7"/>
      <c r="G964" s="2" t="s">
        <v>13</v>
      </c>
      <c r="H964" s="2" t="s">
        <v>648</v>
      </c>
      <c r="I964" s="5">
        <v>25427.73</v>
      </c>
      <c r="J964" s="57"/>
      <c r="K964" s="3">
        <v>288</v>
      </c>
      <c r="L964" s="2" t="s">
        <v>64</v>
      </c>
      <c r="M964" s="2" t="s">
        <v>12</v>
      </c>
      <c r="N964" s="2" t="s">
        <v>12</v>
      </c>
      <c r="O964" s="2" t="s">
        <v>12</v>
      </c>
      <c r="P964" s="21" t="s">
        <v>12</v>
      </c>
      <c r="Q964" s="3" t="s">
        <v>12</v>
      </c>
      <c r="R964" s="3" t="s">
        <v>12</v>
      </c>
    </row>
    <row r="965" spans="1:18" x14ac:dyDescent="0.25">
      <c r="A965" s="30">
        <v>45811</v>
      </c>
      <c r="B965" s="28">
        <v>955</v>
      </c>
      <c r="C965" s="28"/>
      <c r="D965" s="2" t="s">
        <v>1254</v>
      </c>
      <c r="E965" s="7" t="s">
        <v>12</v>
      </c>
      <c r="F965" s="7"/>
      <c r="G965" s="2" t="s">
        <v>13</v>
      </c>
      <c r="H965" s="2" t="s">
        <v>98</v>
      </c>
      <c r="I965" s="5">
        <v>5674.46</v>
      </c>
      <c r="J965" s="57"/>
      <c r="K965" s="3">
        <v>48</v>
      </c>
      <c r="L965" s="2" t="s">
        <v>226</v>
      </c>
      <c r="M965" s="2" t="s">
        <v>12</v>
      </c>
      <c r="N965" s="2" t="s">
        <v>12</v>
      </c>
      <c r="O965" s="2" t="s">
        <v>12</v>
      </c>
      <c r="P965" s="21" t="s">
        <v>12</v>
      </c>
      <c r="Q965" s="3" t="s">
        <v>12</v>
      </c>
      <c r="R965" s="3" t="s">
        <v>12</v>
      </c>
    </row>
    <row r="966" spans="1:18" x14ac:dyDescent="0.25">
      <c r="A966" s="30">
        <v>45811</v>
      </c>
      <c r="B966" s="28">
        <v>956</v>
      </c>
      <c r="C966" s="28"/>
      <c r="D966" s="2" t="s">
        <v>465</v>
      </c>
      <c r="E966" s="7" t="s">
        <v>12</v>
      </c>
      <c r="F966" s="7"/>
      <c r="G966" s="2" t="s">
        <v>26</v>
      </c>
      <c r="H966" s="2" t="s">
        <v>55</v>
      </c>
      <c r="I966" s="5">
        <v>4172.67</v>
      </c>
      <c r="J966" s="57"/>
      <c r="K966" s="3" t="s">
        <v>12</v>
      </c>
      <c r="L966" s="2" t="s">
        <v>64</v>
      </c>
      <c r="M966" s="2" t="s">
        <v>12</v>
      </c>
      <c r="N966" s="2" t="s">
        <v>12</v>
      </c>
      <c r="O966" s="2" t="s">
        <v>12</v>
      </c>
      <c r="P966" s="21" t="s">
        <v>12</v>
      </c>
      <c r="Q966" s="3" t="s">
        <v>12</v>
      </c>
      <c r="R966" s="3" t="s">
        <v>12</v>
      </c>
    </row>
    <row r="967" spans="1:18" x14ac:dyDescent="0.25">
      <c r="A967" s="30">
        <v>45812</v>
      </c>
      <c r="B967" s="28">
        <v>957</v>
      </c>
      <c r="C967" s="28"/>
      <c r="D967" s="2" t="s">
        <v>388</v>
      </c>
      <c r="E967" s="7" t="s">
        <v>1041</v>
      </c>
      <c r="F967" s="7"/>
      <c r="G967" s="2" t="s">
        <v>26</v>
      </c>
      <c r="H967" s="2" t="s">
        <v>928</v>
      </c>
      <c r="I967" s="5">
        <v>68021.78</v>
      </c>
      <c r="J967" s="57"/>
      <c r="K967" s="3">
        <v>744</v>
      </c>
      <c r="L967" s="2" t="s">
        <v>226</v>
      </c>
      <c r="M967" s="2" t="s">
        <v>12</v>
      </c>
      <c r="N967" s="2" t="s">
        <v>12</v>
      </c>
      <c r="O967" s="2" t="s">
        <v>12</v>
      </c>
      <c r="P967" s="21" t="s">
        <v>12</v>
      </c>
      <c r="Q967" s="3" t="s">
        <v>12</v>
      </c>
      <c r="R967" s="3" t="s">
        <v>12</v>
      </c>
    </row>
    <row r="968" spans="1:18" x14ac:dyDescent="0.25">
      <c r="A968" s="30">
        <v>45812</v>
      </c>
      <c r="B968" s="28">
        <v>958</v>
      </c>
      <c r="C968" s="28"/>
      <c r="D968" s="2" t="s">
        <v>99</v>
      </c>
      <c r="E968" s="7" t="s">
        <v>1255</v>
      </c>
      <c r="F968" s="7"/>
      <c r="G968" s="2" t="s">
        <v>20</v>
      </c>
      <c r="H968" s="2" t="s">
        <v>883</v>
      </c>
      <c r="I968" s="5">
        <v>909.06</v>
      </c>
      <c r="J968" s="57"/>
      <c r="K968" s="3" t="s">
        <v>12</v>
      </c>
      <c r="L968" s="2" t="s">
        <v>226</v>
      </c>
      <c r="M968" s="2" t="s">
        <v>1164</v>
      </c>
      <c r="N968" s="2" t="s">
        <v>12</v>
      </c>
      <c r="O968" s="2" t="s">
        <v>12</v>
      </c>
      <c r="P968" s="21" t="s">
        <v>12</v>
      </c>
      <c r="Q968" s="3" t="s">
        <v>12</v>
      </c>
      <c r="R968" s="3" t="s">
        <v>12</v>
      </c>
    </row>
    <row r="969" spans="1:18" x14ac:dyDescent="0.25">
      <c r="A969" s="30">
        <v>45812</v>
      </c>
      <c r="B969" s="28">
        <v>959</v>
      </c>
      <c r="C969" s="28"/>
      <c r="D969" s="2" t="s">
        <v>354</v>
      </c>
      <c r="E969" s="7" t="s">
        <v>1256</v>
      </c>
      <c r="F969" s="7"/>
      <c r="G969" s="2" t="s">
        <v>111</v>
      </c>
      <c r="H969" s="2" t="s">
        <v>121</v>
      </c>
      <c r="I969" s="5">
        <v>340056.03</v>
      </c>
      <c r="J969" s="57"/>
      <c r="K969" s="3">
        <v>4056</v>
      </c>
      <c r="L969" s="2" t="s">
        <v>226</v>
      </c>
      <c r="M969" s="2" t="s">
        <v>12</v>
      </c>
      <c r="N969" s="2" t="s">
        <v>12</v>
      </c>
      <c r="O969" s="2" t="s">
        <v>12</v>
      </c>
      <c r="P969" s="21" t="s">
        <v>12</v>
      </c>
      <c r="Q969" s="3" t="s">
        <v>12</v>
      </c>
      <c r="R969" s="3" t="s">
        <v>75</v>
      </c>
    </row>
    <row r="970" spans="1:18" x14ac:dyDescent="0.25">
      <c r="A970" s="30">
        <v>45847</v>
      </c>
      <c r="B970" s="28">
        <v>960</v>
      </c>
      <c r="C970" s="28"/>
      <c r="D970" s="2" t="s">
        <v>348</v>
      </c>
      <c r="E970" s="7" t="s">
        <v>1257</v>
      </c>
      <c r="F970" s="7"/>
      <c r="G970" s="2" t="s">
        <v>26</v>
      </c>
      <c r="H970" s="2" t="s">
        <v>350</v>
      </c>
      <c r="I970" s="5">
        <v>13970</v>
      </c>
      <c r="J970" s="57"/>
      <c r="K970" s="3" t="s">
        <v>12</v>
      </c>
      <c r="L970" s="2" t="s">
        <v>134</v>
      </c>
      <c r="M970" s="2" t="s">
        <v>135</v>
      </c>
      <c r="N970" s="2" t="s">
        <v>135</v>
      </c>
      <c r="O970" s="2" t="s">
        <v>1482</v>
      </c>
      <c r="P970" s="21" t="s">
        <v>12</v>
      </c>
      <c r="Q970" s="3" t="s">
        <v>12</v>
      </c>
      <c r="R970" s="3" t="s">
        <v>12</v>
      </c>
    </row>
    <row r="971" spans="1:18" x14ac:dyDescent="0.25">
      <c r="A971" s="30">
        <v>45812</v>
      </c>
      <c r="B971" s="28">
        <v>961</v>
      </c>
      <c r="C971" s="28"/>
      <c r="D971" s="2" t="s">
        <v>1258</v>
      </c>
      <c r="E971" s="7" t="s">
        <v>1259</v>
      </c>
      <c r="F971" s="7"/>
      <c r="G971" s="2" t="s">
        <v>13</v>
      </c>
      <c r="H971" s="2" t="s">
        <v>1260</v>
      </c>
      <c r="I971" s="5">
        <v>76469.72</v>
      </c>
      <c r="J971" s="57"/>
      <c r="K971" s="3">
        <v>864</v>
      </c>
      <c r="L971" s="2" t="s">
        <v>226</v>
      </c>
      <c r="M971" s="2" t="s">
        <v>12</v>
      </c>
      <c r="N971" s="2" t="s">
        <v>12</v>
      </c>
      <c r="O971" s="2" t="s">
        <v>12</v>
      </c>
      <c r="P971" s="21" t="s">
        <v>12</v>
      </c>
      <c r="Q971" s="3" t="s">
        <v>12</v>
      </c>
      <c r="R971" s="3" t="s">
        <v>12</v>
      </c>
    </row>
    <row r="972" spans="1:18" x14ac:dyDescent="0.25">
      <c r="A972" s="30">
        <v>45812</v>
      </c>
      <c r="B972" s="28">
        <v>962</v>
      </c>
      <c r="C972" s="28"/>
      <c r="D972" s="2" t="s">
        <v>415</v>
      </c>
      <c r="E972" s="7" t="s">
        <v>1261</v>
      </c>
      <c r="F972" s="7"/>
      <c r="G972" s="2" t="s">
        <v>13</v>
      </c>
      <c r="H972" s="2" t="s">
        <v>390</v>
      </c>
      <c r="I972" s="5">
        <v>19297.72</v>
      </c>
      <c r="J972" s="57"/>
      <c r="K972" s="3">
        <v>192</v>
      </c>
      <c r="L972" s="2" t="s">
        <v>226</v>
      </c>
      <c r="M972" s="2" t="s">
        <v>12</v>
      </c>
      <c r="N972" s="2" t="s">
        <v>12</v>
      </c>
      <c r="O972" s="2" t="s">
        <v>12</v>
      </c>
      <c r="P972" s="21" t="s">
        <v>12</v>
      </c>
      <c r="Q972" s="3" t="s">
        <v>12</v>
      </c>
      <c r="R972" s="3"/>
    </row>
    <row r="973" spans="1:18" x14ac:dyDescent="0.25">
      <c r="A973" s="30">
        <v>45812</v>
      </c>
      <c r="B973" s="28">
        <v>963</v>
      </c>
      <c r="C973" s="28"/>
      <c r="D973" s="2" t="s">
        <v>215</v>
      </c>
      <c r="E973" s="7" t="s">
        <v>12</v>
      </c>
      <c r="F973" s="7"/>
      <c r="G973" s="2" t="s">
        <v>26</v>
      </c>
      <c r="H973" s="2" t="s">
        <v>216</v>
      </c>
      <c r="I973" s="5">
        <v>720.68</v>
      </c>
      <c r="J973" s="57"/>
      <c r="K973" s="3" t="s">
        <v>12</v>
      </c>
      <c r="L973" s="2" t="s">
        <v>64</v>
      </c>
      <c r="M973" s="2" t="s">
        <v>12</v>
      </c>
      <c r="N973" s="2" t="s">
        <v>12</v>
      </c>
      <c r="O973" s="2" t="s">
        <v>12</v>
      </c>
      <c r="P973" s="21" t="s">
        <v>12</v>
      </c>
      <c r="Q973" s="3" t="s">
        <v>12</v>
      </c>
      <c r="R973" s="3" t="s">
        <v>12</v>
      </c>
    </row>
    <row r="974" spans="1:18" x14ac:dyDescent="0.25">
      <c r="A974" s="30">
        <v>45812</v>
      </c>
      <c r="B974" s="28">
        <v>964</v>
      </c>
      <c r="C974" s="28"/>
      <c r="D974" s="2" t="s">
        <v>904</v>
      </c>
      <c r="E974" s="7" t="s">
        <v>12</v>
      </c>
      <c r="F974" s="7"/>
      <c r="G974" s="2" t="s">
        <v>13</v>
      </c>
      <c r="H974" s="2" t="s">
        <v>225</v>
      </c>
      <c r="I974" s="5">
        <v>79654.86</v>
      </c>
      <c r="J974" s="57"/>
      <c r="K974" s="3">
        <v>722.4</v>
      </c>
      <c r="L974" s="2" t="s">
        <v>226</v>
      </c>
      <c r="M974" s="2" t="s">
        <v>12</v>
      </c>
      <c r="N974" s="2" t="s">
        <v>12</v>
      </c>
      <c r="O974" s="2" t="s">
        <v>12</v>
      </c>
      <c r="P974" s="21" t="s">
        <v>12</v>
      </c>
      <c r="Q974" s="3" t="s">
        <v>12</v>
      </c>
      <c r="R974" s="3" t="s">
        <v>12</v>
      </c>
    </row>
    <row r="975" spans="1:18" x14ac:dyDescent="0.25">
      <c r="A975" s="30">
        <v>45812</v>
      </c>
      <c r="B975" s="28">
        <v>965</v>
      </c>
      <c r="C975" s="28"/>
      <c r="D975" s="2" t="s">
        <v>1262</v>
      </c>
      <c r="E975" s="7" t="s">
        <v>12</v>
      </c>
      <c r="F975" s="7"/>
      <c r="G975" s="2" t="s">
        <v>13</v>
      </c>
      <c r="H975" s="2" t="s">
        <v>1263</v>
      </c>
      <c r="I975" s="5">
        <v>146.86000000000001</v>
      </c>
      <c r="J975" s="57"/>
      <c r="K975" s="3" t="s">
        <v>12</v>
      </c>
      <c r="L975" s="2" t="s">
        <v>226</v>
      </c>
      <c r="M975" s="2" t="s">
        <v>12</v>
      </c>
      <c r="N975" s="2" t="s">
        <v>12</v>
      </c>
      <c r="O975" s="2" t="s">
        <v>12</v>
      </c>
      <c r="P975" s="21" t="s">
        <v>12</v>
      </c>
      <c r="Q975" s="3" t="s">
        <v>12</v>
      </c>
      <c r="R975" s="3" t="s">
        <v>12</v>
      </c>
    </row>
    <row r="976" spans="1:18" x14ac:dyDescent="0.25">
      <c r="A976" s="30">
        <v>45813</v>
      </c>
      <c r="B976" s="28">
        <v>966</v>
      </c>
      <c r="C976" s="28"/>
      <c r="D976" s="2" t="s">
        <v>1159</v>
      </c>
      <c r="E976" s="7" t="s">
        <v>1279</v>
      </c>
      <c r="F976" s="7"/>
      <c r="G976" s="2" t="s">
        <v>111</v>
      </c>
      <c r="H976" s="2" t="s">
        <v>1174</v>
      </c>
      <c r="I976" s="5">
        <v>63621.48</v>
      </c>
      <c r="J976" s="57"/>
      <c r="K976" s="3"/>
      <c r="L976" s="2" t="s">
        <v>226</v>
      </c>
      <c r="M976" s="2"/>
      <c r="N976" s="2"/>
      <c r="O976" s="2"/>
      <c r="P976" s="21"/>
      <c r="Q976" s="3" t="s">
        <v>12</v>
      </c>
      <c r="R976" s="3" t="s">
        <v>12</v>
      </c>
    </row>
    <row r="977" spans="1:18" x14ac:dyDescent="0.25">
      <c r="A977" s="30">
        <v>45813</v>
      </c>
      <c r="B977" s="28">
        <v>967</v>
      </c>
      <c r="C977" s="28"/>
      <c r="D977" s="2" t="s">
        <v>23</v>
      </c>
      <c r="E977" s="7" t="s">
        <v>1284</v>
      </c>
      <c r="F977" s="7"/>
      <c r="G977" s="2" t="s">
        <v>20</v>
      </c>
      <c r="H977" s="2" t="s">
        <v>24</v>
      </c>
      <c r="I977" s="5">
        <v>98973.73</v>
      </c>
      <c r="J977" s="57"/>
      <c r="K977" s="3">
        <v>1416</v>
      </c>
      <c r="L977" s="2" t="s">
        <v>226</v>
      </c>
      <c r="M977" s="2" t="s">
        <v>530</v>
      </c>
      <c r="N977" s="2" t="s">
        <v>12</v>
      </c>
      <c r="O977" s="2" t="s">
        <v>12</v>
      </c>
      <c r="P977" s="21" t="s">
        <v>12</v>
      </c>
      <c r="Q977" s="3" t="s">
        <v>12</v>
      </c>
      <c r="R977" s="3" t="s">
        <v>12</v>
      </c>
    </row>
    <row r="978" spans="1:18" x14ac:dyDescent="0.25">
      <c r="A978" s="30">
        <v>45813</v>
      </c>
      <c r="B978" s="28">
        <v>968</v>
      </c>
      <c r="C978" s="28"/>
      <c r="D978" s="2" t="s">
        <v>45</v>
      </c>
      <c r="E978" s="7" t="s">
        <v>1285</v>
      </c>
      <c r="F978" s="7"/>
      <c r="G978" s="2" t="s">
        <v>20</v>
      </c>
      <c r="H978" s="2" t="s">
        <v>1148</v>
      </c>
      <c r="I978" s="5">
        <v>103611.88</v>
      </c>
      <c r="J978" s="57"/>
      <c r="K978" s="3">
        <v>1056</v>
      </c>
      <c r="L978" s="2" t="s">
        <v>134</v>
      </c>
      <c r="M978" s="2" t="s">
        <v>1534</v>
      </c>
      <c r="N978" s="2" t="s">
        <v>135</v>
      </c>
      <c r="O978" s="2" t="s">
        <v>598</v>
      </c>
      <c r="P978" s="21" t="s">
        <v>12</v>
      </c>
      <c r="Q978" s="3" t="s">
        <v>45</v>
      </c>
      <c r="R978" s="3" t="s">
        <v>75</v>
      </c>
    </row>
    <row r="979" spans="1:18" x14ac:dyDescent="0.25">
      <c r="A979" s="30">
        <v>45813</v>
      </c>
      <c r="B979" s="28">
        <v>969</v>
      </c>
      <c r="C979" s="28"/>
      <c r="D979" s="2" t="s">
        <v>41</v>
      </c>
      <c r="E979" s="7" t="s">
        <v>1286</v>
      </c>
      <c r="F979" s="7"/>
      <c r="G979" s="2" t="s">
        <v>43</v>
      </c>
      <c r="H979" s="2" t="s">
        <v>43</v>
      </c>
      <c r="I979" s="5">
        <v>240405.89</v>
      </c>
      <c r="J979" s="57"/>
      <c r="K979" s="3">
        <v>2112</v>
      </c>
      <c r="L979" s="2" t="s">
        <v>226</v>
      </c>
      <c r="M979" s="2" t="s">
        <v>12</v>
      </c>
      <c r="N979" s="2" t="s">
        <v>12</v>
      </c>
      <c r="O979" s="2" t="s">
        <v>12</v>
      </c>
      <c r="P979" s="21" t="s">
        <v>12</v>
      </c>
      <c r="Q979" s="3" t="s">
        <v>456</v>
      </c>
      <c r="R979" s="3" t="s">
        <v>75</v>
      </c>
    </row>
    <row r="980" spans="1:18" x14ac:dyDescent="0.25">
      <c r="A980" s="30">
        <v>45814</v>
      </c>
      <c r="B980" s="28">
        <v>970</v>
      </c>
      <c r="C980" s="28"/>
      <c r="D980" s="2" t="s">
        <v>273</v>
      </c>
      <c r="E980" s="7" t="s">
        <v>12</v>
      </c>
      <c r="F980" s="7"/>
      <c r="G980" s="2" t="s">
        <v>26</v>
      </c>
      <c r="H980" s="2" t="s">
        <v>116</v>
      </c>
      <c r="I980" s="5">
        <v>8658.23</v>
      </c>
      <c r="J980" s="57"/>
      <c r="K980" s="3">
        <v>120</v>
      </c>
      <c r="L980" s="2" t="s">
        <v>64</v>
      </c>
      <c r="M980" s="2" t="s">
        <v>12</v>
      </c>
      <c r="N980" s="2" t="s">
        <v>12</v>
      </c>
      <c r="O980" s="2" t="s">
        <v>12</v>
      </c>
      <c r="P980" s="21" t="s">
        <v>12</v>
      </c>
      <c r="Q980" s="3" t="s">
        <v>12</v>
      </c>
      <c r="R980" s="3" t="s">
        <v>12</v>
      </c>
    </row>
    <row r="981" spans="1:18" x14ac:dyDescent="0.25">
      <c r="A981" s="30">
        <v>45814</v>
      </c>
      <c r="B981" s="28">
        <v>971</v>
      </c>
      <c r="C981" s="28"/>
      <c r="D981" s="2" t="s">
        <v>1287</v>
      </c>
      <c r="E981" s="7" t="s">
        <v>1288</v>
      </c>
      <c r="F981" s="7"/>
      <c r="G981" s="2" t="s">
        <v>26</v>
      </c>
      <c r="H981" s="2" t="s">
        <v>1289</v>
      </c>
      <c r="I981" s="5">
        <v>25363.22</v>
      </c>
      <c r="J981" s="57"/>
      <c r="K981" s="3">
        <v>264</v>
      </c>
      <c r="L981" s="2" t="s">
        <v>226</v>
      </c>
      <c r="M981" s="2" t="s">
        <v>12</v>
      </c>
      <c r="N981" s="2" t="s">
        <v>12</v>
      </c>
      <c r="O981" s="2" t="s">
        <v>12</v>
      </c>
      <c r="P981" s="21" t="s">
        <v>12</v>
      </c>
      <c r="Q981" s="3" t="s">
        <v>12</v>
      </c>
      <c r="R981" s="3" t="s">
        <v>12</v>
      </c>
    </row>
    <row r="982" spans="1:18" x14ac:dyDescent="0.25">
      <c r="A982" s="30">
        <v>45814</v>
      </c>
      <c r="B982" s="28">
        <v>972</v>
      </c>
      <c r="C982" s="28"/>
      <c r="D982" s="2" t="s">
        <v>215</v>
      </c>
      <c r="E982" s="7" t="s">
        <v>1290</v>
      </c>
      <c r="F982" s="7"/>
      <c r="G982" s="2" t="s">
        <v>26</v>
      </c>
      <c r="H982" s="2" t="s">
        <v>1201</v>
      </c>
      <c r="I982" s="5">
        <v>119619.17</v>
      </c>
      <c r="J982" s="57"/>
      <c r="K982" s="3">
        <v>1680</v>
      </c>
      <c r="L982" s="2" t="s">
        <v>64</v>
      </c>
      <c r="M982" s="2" t="s">
        <v>12</v>
      </c>
      <c r="N982" s="2" t="s">
        <v>12</v>
      </c>
      <c r="O982" s="2" t="s">
        <v>12</v>
      </c>
      <c r="P982" s="21" t="s">
        <v>12</v>
      </c>
      <c r="Q982" s="3" t="s">
        <v>12</v>
      </c>
      <c r="R982" s="3" t="s">
        <v>12</v>
      </c>
    </row>
    <row r="983" spans="1:18" x14ac:dyDescent="0.25">
      <c r="A983" s="30">
        <v>45814</v>
      </c>
      <c r="B983" s="28">
        <v>973</v>
      </c>
      <c r="C983" s="28"/>
      <c r="D983" s="2" t="s">
        <v>403</v>
      </c>
      <c r="E983" s="7" t="s">
        <v>1291</v>
      </c>
      <c r="F983" s="7"/>
      <c r="G983" s="2" t="s">
        <v>43</v>
      </c>
      <c r="H983" s="2" t="s">
        <v>1292</v>
      </c>
      <c r="I983" s="5">
        <v>94142.55</v>
      </c>
      <c r="J983" s="57"/>
      <c r="K983" s="3">
        <v>982.8</v>
      </c>
      <c r="L983" s="2" t="s">
        <v>226</v>
      </c>
      <c r="M983" s="2" t="s">
        <v>1804</v>
      </c>
      <c r="N983" s="2" t="s">
        <v>12</v>
      </c>
      <c r="O983" s="2" t="s">
        <v>12</v>
      </c>
      <c r="P983" s="21" t="s">
        <v>12</v>
      </c>
      <c r="Q983" s="3" t="s">
        <v>12</v>
      </c>
      <c r="R983" s="3" t="s">
        <v>12</v>
      </c>
    </row>
    <row r="984" spans="1:18" x14ac:dyDescent="0.25">
      <c r="A984" s="30">
        <v>45814</v>
      </c>
      <c r="B984" s="28">
        <v>974</v>
      </c>
      <c r="C984" s="28"/>
      <c r="D984" s="2" t="s">
        <v>202</v>
      </c>
      <c r="E984" s="7" t="s">
        <v>1293</v>
      </c>
      <c r="F984" s="7"/>
      <c r="G984" s="2" t="s">
        <v>97</v>
      </c>
      <c r="H984" s="2" t="s">
        <v>119</v>
      </c>
      <c r="I984" s="5">
        <v>16495.2</v>
      </c>
      <c r="J984" s="57"/>
      <c r="K984" s="3">
        <v>192</v>
      </c>
      <c r="L984" s="2" t="s">
        <v>64</v>
      </c>
      <c r="M984" s="2" t="s">
        <v>12</v>
      </c>
      <c r="N984" s="2" t="s">
        <v>12</v>
      </c>
      <c r="O984" s="2" t="s">
        <v>12</v>
      </c>
      <c r="P984" s="21" t="s">
        <v>12</v>
      </c>
      <c r="Q984" s="3" t="s">
        <v>12</v>
      </c>
      <c r="R984" s="3" t="s">
        <v>12</v>
      </c>
    </row>
    <row r="985" spans="1:18" x14ac:dyDescent="0.25">
      <c r="A985" s="30">
        <v>45814</v>
      </c>
      <c r="B985" s="28">
        <v>975</v>
      </c>
      <c r="C985" s="28"/>
      <c r="D985" s="2" t="s">
        <v>301</v>
      </c>
      <c r="E985" s="7" t="s">
        <v>12</v>
      </c>
      <c r="F985" s="7"/>
      <c r="G985" s="2" t="s">
        <v>26</v>
      </c>
      <c r="H985" s="2" t="s">
        <v>302</v>
      </c>
      <c r="I985" s="5">
        <v>9078.15</v>
      </c>
      <c r="J985" s="57"/>
      <c r="K985" s="3">
        <v>144</v>
      </c>
      <c r="L985" s="2" t="s">
        <v>226</v>
      </c>
      <c r="M985" s="2" t="s">
        <v>12</v>
      </c>
      <c r="N985" s="2" t="s">
        <v>12</v>
      </c>
      <c r="O985" s="2" t="s">
        <v>12</v>
      </c>
      <c r="P985" s="21" t="s">
        <v>12</v>
      </c>
      <c r="Q985" s="3" t="s">
        <v>12</v>
      </c>
      <c r="R985" s="3" t="s">
        <v>12</v>
      </c>
    </row>
    <row r="986" spans="1:18" x14ac:dyDescent="0.25">
      <c r="A986" s="30">
        <v>45814</v>
      </c>
      <c r="B986" s="28">
        <v>976</v>
      </c>
      <c r="C986" s="28"/>
      <c r="D986" s="2" t="s">
        <v>208</v>
      </c>
      <c r="E986" s="7" t="s">
        <v>1294</v>
      </c>
      <c r="F986" s="7"/>
      <c r="G986" s="2" t="s">
        <v>43</v>
      </c>
      <c r="H986" s="2" t="s">
        <v>1113</v>
      </c>
      <c r="I986" s="5">
        <v>116277.61</v>
      </c>
      <c r="J986" s="57"/>
      <c r="K986" s="3">
        <v>1272</v>
      </c>
      <c r="L986" s="2" t="s">
        <v>226</v>
      </c>
      <c r="M986" s="2" t="s">
        <v>1842</v>
      </c>
      <c r="N986" s="2" t="s">
        <v>12</v>
      </c>
      <c r="O986" s="2" t="s">
        <v>12</v>
      </c>
      <c r="P986" s="21"/>
      <c r="Q986" s="3" t="s">
        <v>12</v>
      </c>
      <c r="R986" s="3" t="s">
        <v>12</v>
      </c>
    </row>
    <row r="987" spans="1:18" x14ac:dyDescent="0.25">
      <c r="A987" s="30">
        <v>45814</v>
      </c>
      <c r="B987" s="28">
        <v>977</v>
      </c>
      <c r="C987" s="28"/>
      <c r="D987" s="2" t="s">
        <v>692</v>
      </c>
      <c r="E987" s="7" t="s">
        <v>1295</v>
      </c>
      <c r="F987" s="7"/>
      <c r="G987" s="2" t="s">
        <v>97</v>
      </c>
      <c r="H987" s="2" t="s">
        <v>963</v>
      </c>
      <c r="I987" s="5">
        <v>81101.7</v>
      </c>
      <c r="J987" s="57"/>
      <c r="K987" s="3">
        <v>816</v>
      </c>
      <c r="L987" s="2" t="s">
        <v>226</v>
      </c>
      <c r="M987" s="2" t="s">
        <v>12</v>
      </c>
      <c r="N987" s="2" t="s">
        <v>12</v>
      </c>
      <c r="O987" s="2" t="s">
        <v>12</v>
      </c>
      <c r="P987" s="21"/>
      <c r="Q987" s="3" t="s">
        <v>12</v>
      </c>
      <c r="R987" s="3" t="s">
        <v>12</v>
      </c>
    </row>
    <row r="988" spans="1:18" x14ac:dyDescent="0.25">
      <c r="A988" s="30">
        <v>45814</v>
      </c>
      <c r="B988" s="28">
        <v>978</v>
      </c>
      <c r="C988" s="28"/>
      <c r="D988" s="2" t="s">
        <v>1296</v>
      </c>
      <c r="E988" s="7" t="s">
        <v>1297</v>
      </c>
      <c r="F988" s="7"/>
      <c r="G988" s="2" t="s">
        <v>26</v>
      </c>
      <c r="H988" s="2" t="s">
        <v>1298</v>
      </c>
      <c r="I988" s="5">
        <v>5329.59</v>
      </c>
      <c r="J988" s="57"/>
      <c r="K988" s="3">
        <v>48</v>
      </c>
      <c r="L988" s="2" t="s">
        <v>226</v>
      </c>
      <c r="M988" s="2" t="s">
        <v>12</v>
      </c>
      <c r="N988" s="2" t="s">
        <v>12</v>
      </c>
      <c r="O988" s="2" t="s">
        <v>12</v>
      </c>
      <c r="P988" s="21"/>
      <c r="Q988" s="3" t="s">
        <v>1314</v>
      </c>
      <c r="R988" s="3" t="s">
        <v>75</v>
      </c>
    </row>
    <row r="989" spans="1:18" x14ac:dyDescent="0.25">
      <c r="A989" s="30">
        <v>45814</v>
      </c>
      <c r="B989" s="28">
        <v>979</v>
      </c>
      <c r="C989" s="28"/>
      <c r="D989" s="2" t="s">
        <v>1299</v>
      </c>
      <c r="E989" s="7" t="s">
        <v>12</v>
      </c>
      <c r="F989" s="7"/>
      <c r="G989" s="2" t="s">
        <v>13</v>
      </c>
      <c r="H989" s="2" t="s">
        <v>427</v>
      </c>
      <c r="I989" s="5">
        <v>1809.15</v>
      </c>
      <c r="J989" s="57"/>
      <c r="K989" s="3">
        <v>24</v>
      </c>
      <c r="L989" s="2" t="s">
        <v>64</v>
      </c>
      <c r="M989" s="2" t="s">
        <v>12</v>
      </c>
      <c r="N989" s="2" t="s">
        <v>12</v>
      </c>
      <c r="O989" s="2" t="s">
        <v>12</v>
      </c>
      <c r="P989" s="21" t="s">
        <v>12</v>
      </c>
      <c r="Q989" s="3" t="s">
        <v>12</v>
      </c>
      <c r="R989" s="3" t="s">
        <v>12</v>
      </c>
    </row>
    <row r="990" spans="1:18" x14ac:dyDescent="0.25">
      <c r="A990" s="30">
        <v>45814</v>
      </c>
      <c r="B990" s="28">
        <v>980</v>
      </c>
      <c r="C990" s="28"/>
      <c r="D990" s="2" t="s">
        <v>215</v>
      </c>
      <c r="E990" s="7" t="s">
        <v>12</v>
      </c>
      <c r="F990" s="7"/>
      <c r="G990" s="2" t="s">
        <v>26</v>
      </c>
      <c r="H990" s="2" t="s">
        <v>216</v>
      </c>
      <c r="I990" s="5">
        <v>10277.92</v>
      </c>
      <c r="J990" s="57"/>
      <c r="K990" s="3">
        <v>96</v>
      </c>
      <c r="L990" s="2" t="s">
        <v>134</v>
      </c>
      <c r="M990" s="2" t="s">
        <v>1363</v>
      </c>
      <c r="N990" s="2" t="s">
        <v>373</v>
      </c>
      <c r="O990" s="2" t="s">
        <v>443</v>
      </c>
      <c r="P990" s="21" t="s">
        <v>12</v>
      </c>
      <c r="Q990" s="3" t="s">
        <v>12</v>
      </c>
      <c r="R990" s="3" t="s">
        <v>12</v>
      </c>
    </row>
    <row r="991" spans="1:18" x14ac:dyDescent="0.25">
      <c r="A991" s="30">
        <v>45817</v>
      </c>
      <c r="B991" s="28">
        <v>981</v>
      </c>
      <c r="C991" s="28"/>
      <c r="D991" s="2" t="s">
        <v>301</v>
      </c>
      <c r="E991" s="7" t="s">
        <v>12</v>
      </c>
      <c r="F991" s="7"/>
      <c r="G991" s="2" t="s">
        <v>26</v>
      </c>
      <c r="H991" s="2" t="s">
        <v>302</v>
      </c>
      <c r="I991" s="5">
        <v>9078.15</v>
      </c>
      <c r="J991" s="57"/>
      <c r="K991" s="3">
        <v>144</v>
      </c>
      <c r="L991" s="2" t="s">
        <v>226</v>
      </c>
      <c r="M991" s="2" t="s">
        <v>12</v>
      </c>
      <c r="N991" s="2" t="s">
        <v>12</v>
      </c>
      <c r="O991" s="2" t="s">
        <v>12</v>
      </c>
      <c r="P991" s="21" t="s">
        <v>12</v>
      </c>
      <c r="Q991" s="3" t="s">
        <v>12</v>
      </c>
      <c r="R991" s="3" t="s">
        <v>12</v>
      </c>
    </row>
    <row r="992" spans="1:18" x14ac:dyDescent="0.25">
      <c r="A992" s="30">
        <v>45817</v>
      </c>
      <c r="B992" s="28">
        <v>982</v>
      </c>
      <c r="C992" s="28"/>
      <c r="D992" s="2" t="s">
        <v>342</v>
      </c>
      <c r="E992" s="7" t="s">
        <v>12</v>
      </c>
      <c r="F992" s="7"/>
      <c r="G992" s="2" t="s">
        <v>13</v>
      </c>
      <c r="H992" s="2" t="s">
        <v>344</v>
      </c>
      <c r="I992" s="5">
        <v>127027.2</v>
      </c>
      <c r="J992" s="57"/>
      <c r="K992" s="3">
        <v>1134</v>
      </c>
      <c r="L992" s="2" t="s">
        <v>226</v>
      </c>
      <c r="M992" s="2" t="s">
        <v>12</v>
      </c>
      <c r="N992" s="2" t="s">
        <v>12</v>
      </c>
      <c r="O992" s="2" t="s">
        <v>12</v>
      </c>
      <c r="P992" s="21" t="s">
        <v>12</v>
      </c>
      <c r="Q992" s="3" t="s">
        <v>12</v>
      </c>
      <c r="R992" s="3" t="s">
        <v>12</v>
      </c>
    </row>
    <row r="993" spans="1:18" x14ac:dyDescent="0.25">
      <c r="A993" s="30">
        <v>45817</v>
      </c>
      <c r="B993" s="28">
        <v>983</v>
      </c>
      <c r="C993" s="28"/>
      <c r="D993" s="2" t="s">
        <v>803</v>
      </c>
      <c r="E993" s="7" t="s">
        <v>12</v>
      </c>
      <c r="F993" s="7"/>
      <c r="G993" s="2" t="s">
        <v>13</v>
      </c>
      <c r="H993" s="2" t="s">
        <v>20</v>
      </c>
      <c r="I993" s="5">
        <v>40.020000000000003</v>
      </c>
      <c r="J993" s="57"/>
      <c r="K993" s="3" t="s">
        <v>12</v>
      </c>
      <c r="L993" s="2" t="s">
        <v>226</v>
      </c>
      <c r="M993" s="2" t="s">
        <v>12</v>
      </c>
      <c r="N993" s="2" t="s">
        <v>12</v>
      </c>
      <c r="O993" s="2" t="s">
        <v>12</v>
      </c>
      <c r="P993" s="21" t="s">
        <v>12</v>
      </c>
      <c r="Q993" s="3" t="s">
        <v>12</v>
      </c>
      <c r="R993" s="3" t="s">
        <v>12</v>
      </c>
    </row>
    <row r="994" spans="1:18" x14ac:dyDescent="0.25">
      <c r="A994" s="30">
        <v>45817</v>
      </c>
      <c r="B994" s="28">
        <v>984</v>
      </c>
      <c r="C994" s="28"/>
      <c r="D994" s="2" t="s">
        <v>92</v>
      </c>
      <c r="E994" s="7" t="s">
        <v>1114</v>
      </c>
      <c r="F994" s="7"/>
      <c r="G994" s="2" t="s">
        <v>26</v>
      </c>
      <c r="H994" s="2" t="s">
        <v>410</v>
      </c>
      <c r="I994" s="5">
        <v>138725.06</v>
      </c>
      <c r="J994" s="57"/>
      <c r="K994" s="3">
        <v>1824</v>
      </c>
      <c r="L994" s="2" t="s">
        <v>226</v>
      </c>
      <c r="M994" s="2" t="s">
        <v>12</v>
      </c>
      <c r="N994" s="2" t="s">
        <v>12</v>
      </c>
      <c r="O994" s="2" t="s">
        <v>12</v>
      </c>
      <c r="P994" s="21" t="s">
        <v>12</v>
      </c>
      <c r="Q994" s="3" t="s">
        <v>12</v>
      </c>
      <c r="R994" s="3" t="s">
        <v>12</v>
      </c>
    </row>
    <row r="995" spans="1:18" x14ac:dyDescent="0.25">
      <c r="A995" s="30">
        <v>45818</v>
      </c>
      <c r="B995" s="28">
        <v>985</v>
      </c>
      <c r="C995" s="28"/>
      <c r="D995" s="2" t="s">
        <v>204</v>
      </c>
      <c r="E995" s="7" t="s">
        <v>1300</v>
      </c>
      <c r="F995" s="7"/>
      <c r="G995" s="2" t="s">
        <v>26</v>
      </c>
      <c r="H995" s="2" t="s">
        <v>490</v>
      </c>
      <c r="I995" s="5">
        <v>42838.21</v>
      </c>
      <c r="J995" s="57"/>
      <c r="K995" s="3">
        <v>552</v>
      </c>
      <c r="L995" s="2" t="s">
        <v>64</v>
      </c>
      <c r="M995" s="2" t="s">
        <v>530</v>
      </c>
      <c r="N995" s="2" t="s">
        <v>12</v>
      </c>
      <c r="O995" s="2" t="s">
        <v>12</v>
      </c>
      <c r="P995" s="21" t="s">
        <v>12</v>
      </c>
      <c r="Q995" s="3" t="s">
        <v>12</v>
      </c>
      <c r="R995" s="3" t="s">
        <v>12</v>
      </c>
    </row>
    <row r="996" spans="1:18" x14ac:dyDescent="0.25">
      <c r="A996" s="30">
        <v>45817</v>
      </c>
      <c r="B996" s="28">
        <v>986</v>
      </c>
      <c r="C996" s="28"/>
      <c r="D996" s="2" t="s">
        <v>1301</v>
      </c>
      <c r="E996" s="7" t="s">
        <v>1302</v>
      </c>
      <c r="F996" s="7"/>
      <c r="G996" s="2" t="s">
        <v>13</v>
      </c>
      <c r="H996" s="2" t="s">
        <v>1303</v>
      </c>
      <c r="I996" s="5">
        <v>12327.93</v>
      </c>
      <c r="J996" s="57"/>
      <c r="K996" s="3">
        <v>144</v>
      </c>
      <c r="L996" s="2" t="s">
        <v>226</v>
      </c>
      <c r="M996" s="2" t="s">
        <v>12</v>
      </c>
      <c r="N996" s="2" t="s">
        <v>12</v>
      </c>
      <c r="O996" s="2" t="s">
        <v>12</v>
      </c>
      <c r="P996" s="21" t="s">
        <v>12</v>
      </c>
      <c r="Q996" s="3" t="s">
        <v>12</v>
      </c>
      <c r="R996" s="3" t="s">
        <v>12</v>
      </c>
    </row>
    <row r="997" spans="1:18" x14ac:dyDescent="0.25">
      <c r="A997" s="30">
        <v>45817</v>
      </c>
      <c r="B997" s="28">
        <v>987</v>
      </c>
      <c r="C997" s="28"/>
      <c r="D997" s="2" t="s">
        <v>109</v>
      </c>
      <c r="E997" s="7" t="s">
        <v>1624</v>
      </c>
      <c r="F997" s="7"/>
      <c r="G997" s="2" t="s">
        <v>111</v>
      </c>
      <c r="H997" s="2" t="s">
        <v>395</v>
      </c>
      <c r="I997" s="5">
        <v>57425.64</v>
      </c>
      <c r="J997" s="57"/>
      <c r="K997" s="3">
        <v>720</v>
      </c>
      <c r="L997" s="2" t="s">
        <v>226</v>
      </c>
      <c r="M997" s="2" t="s">
        <v>12</v>
      </c>
      <c r="N997" s="2" t="s">
        <v>12</v>
      </c>
      <c r="O997" s="2" t="s">
        <v>12</v>
      </c>
      <c r="P997" s="21" t="s">
        <v>12</v>
      </c>
      <c r="Q997" s="3" t="s">
        <v>12</v>
      </c>
      <c r="R997" s="3" t="s">
        <v>12</v>
      </c>
    </row>
    <row r="998" spans="1:18" x14ac:dyDescent="0.25">
      <c r="A998" s="30">
        <v>45817</v>
      </c>
      <c r="B998" s="28">
        <v>988</v>
      </c>
      <c r="C998" s="28"/>
      <c r="D998" s="2" t="s">
        <v>109</v>
      </c>
      <c r="E998" s="7" t="s">
        <v>1624</v>
      </c>
      <c r="F998" s="7"/>
      <c r="G998" s="2" t="s">
        <v>111</v>
      </c>
      <c r="H998" s="2" t="s">
        <v>395</v>
      </c>
      <c r="I998" s="5">
        <v>24678.23</v>
      </c>
      <c r="J998" s="57"/>
      <c r="K998" s="3">
        <v>336</v>
      </c>
      <c r="L998" s="2" t="s">
        <v>226</v>
      </c>
      <c r="M998" s="2" t="s">
        <v>12</v>
      </c>
      <c r="N998" s="2" t="s">
        <v>12</v>
      </c>
      <c r="O998" s="2" t="s">
        <v>12</v>
      </c>
      <c r="P998" s="21" t="s">
        <v>12</v>
      </c>
      <c r="Q998" s="3" t="s">
        <v>12</v>
      </c>
      <c r="R998" s="3" t="s">
        <v>12</v>
      </c>
    </row>
    <row r="999" spans="1:18" x14ac:dyDescent="0.25">
      <c r="A999" s="30">
        <v>45817</v>
      </c>
      <c r="B999" s="28">
        <v>989</v>
      </c>
      <c r="C999" s="28"/>
      <c r="D999" s="2" t="s">
        <v>109</v>
      </c>
      <c r="E999" s="7" t="s">
        <v>1624</v>
      </c>
      <c r="F999" s="7"/>
      <c r="G999" s="2" t="s">
        <v>111</v>
      </c>
      <c r="H999" s="2" t="s">
        <v>395</v>
      </c>
      <c r="I999" s="5">
        <v>21308.59</v>
      </c>
      <c r="J999" s="57"/>
      <c r="K999" s="3">
        <v>288</v>
      </c>
      <c r="L999" s="2" t="s">
        <v>226</v>
      </c>
      <c r="M999" s="2" t="s">
        <v>12</v>
      </c>
      <c r="N999" s="2" t="s">
        <v>12</v>
      </c>
      <c r="O999" s="2" t="s">
        <v>12</v>
      </c>
      <c r="P999" s="21" t="s">
        <v>12</v>
      </c>
      <c r="Q999" s="3" t="s">
        <v>12</v>
      </c>
      <c r="R999" s="3" t="s">
        <v>12</v>
      </c>
    </row>
    <row r="1000" spans="1:18" x14ac:dyDescent="0.25">
      <c r="A1000" s="30">
        <v>45817</v>
      </c>
      <c r="B1000" s="28">
        <v>990</v>
      </c>
      <c r="C1000" s="28"/>
      <c r="D1000" s="2" t="s">
        <v>41</v>
      </c>
      <c r="E1000" s="7" t="s">
        <v>1304</v>
      </c>
      <c r="F1000" s="7"/>
      <c r="G1000" s="2" t="s">
        <v>43</v>
      </c>
      <c r="H1000" s="2" t="s">
        <v>319</v>
      </c>
      <c r="I1000" s="5">
        <v>69210.3</v>
      </c>
      <c r="J1000" s="57"/>
      <c r="K1000" s="3">
        <v>648</v>
      </c>
      <c r="L1000" s="2" t="s">
        <v>226</v>
      </c>
      <c r="M1000" s="2" t="s">
        <v>12</v>
      </c>
      <c r="N1000" s="2" t="s">
        <v>12</v>
      </c>
      <c r="O1000" s="2" t="s">
        <v>12</v>
      </c>
      <c r="P1000" s="21" t="s">
        <v>12</v>
      </c>
      <c r="Q1000" s="3" t="s">
        <v>1315</v>
      </c>
      <c r="R1000" s="3" t="s">
        <v>75</v>
      </c>
    </row>
    <row r="1001" spans="1:18" x14ac:dyDescent="0.25">
      <c r="A1001" s="30">
        <v>45818</v>
      </c>
      <c r="B1001" s="28">
        <v>991</v>
      </c>
      <c r="C1001" s="28"/>
      <c r="D1001" s="2" t="s">
        <v>465</v>
      </c>
      <c r="E1001" s="7" t="s">
        <v>1305</v>
      </c>
      <c r="F1001" s="7"/>
      <c r="G1001" s="2" t="s">
        <v>26</v>
      </c>
      <c r="H1001" s="2" t="s">
        <v>55</v>
      </c>
      <c r="I1001" s="5">
        <v>32344.65</v>
      </c>
      <c r="J1001" s="57"/>
      <c r="K1001" s="3">
        <v>408</v>
      </c>
      <c r="L1001" s="2" t="s">
        <v>64</v>
      </c>
      <c r="M1001" s="2" t="s">
        <v>12</v>
      </c>
      <c r="N1001" s="2" t="s">
        <v>12</v>
      </c>
      <c r="O1001" s="2" t="s">
        <v>12</v>
      </c>
      <c r="P1001" s="21" t="s">
        <v>12</v>
      </c>
      <c r="Q1001" s="3" t="s">
        <v>12</v>
      </c>
      <c r="R1001" s="3" t="s">
        <v>12</v>
      </c>
    </row>
    <row r="1002" spans="1:18" x14ac:dyDescent="0.25">
      <c r="A1002" s="30">
        <v>45819</v>
      </c>
      <c r="B1002" s="28">
        <v>992</v>
      </c>
      <c r="C1002" s="28"/>
      <c r="D1002" s="2" t="s">
        <v>298</v>
      </c>
      <c r="E1002" s="7" t="s">
        <v>12</v>
      </c>
      <c r="F1002" s="7"/>
      <c r="G1002" s="2" t="s">
        <v>13</v>
      </c>
      <c r="H1002" s="2" t="s">
        <v>13</v>
      </c>
      <c r="I1002" s="5">
        <v>10209.879999999999</v>
      </c>
      <c r="J1002" s="57"/>
      <c r="K1002" s="3">
        <v>120</v>
      </c>
      <c r="L1002" s="2" t="s">
        <v>226</v>
      </c>
      <c r="M1002" s="2" t="s">
        <v>12</v>
      </c>
      <c r="N1002" s="2" t="s">
        <v>12</v>
      </c>
      <c r="O1002" s="2" t="s">
        <v>12</v>
      </c>
      <c r="P1002" s="21" t="s">
        <v>12</v>
      </c>
      <c r="Q1002" s="3" t="s">
        <v>12</v>
      </c>
      <c r="R1002" s="3" t="s">
        <v>12</v>
      </c>
    </row>
    <row r="1003" spans="1:18" x14ac:dyDescent="0.25">
      <c r="A1003" s="30">
        <v>45818</v>
      </c>
      <c r="B1003" s="28">
        <v>993</v>
      </c>
      <c r="C1003" s="28"/>
      <c r="D1003" s="2" t="s">
        <v>168</v>
      </c>
      <c r="E1003" s="7" t="s">
        <v>1306</v>
      </c>
      <c r="F1003" s="7"/>
      <c r="G1003" s="2" t="s">
        <v>43</v>
      </c>
      <c r="H1003" s="2" t="s">
        <v>182</v>
      </c>
      <c r="I1003" s="5">
        <v>44212.86</v>
      </c>
      <c r="J1003" s="57"/>
      <c r="K1003" s="3">
        <v>480</v>
      </c>
      <c r="L1003" s="2" t="s">
        <v>226</v>
      </c>
      <c r="M1003" s="2" t="s">
        <v>12</v>
      </c>
      <c r="N1003" s="2" t="s">
        <v>12</v>
      </c>
      <c r="O1003" s="2" t="s">
        <v>12</v>
      </c>
      <c r="P1003" s="21" t="s">
        <v>12</v>
      </c>
      <c r="Q1003" s="3" t="s">
        <v>1316</v>
      </c>
      <c r="R1003" s="3" t="s">
        <v>80</v>
      </c>
    </row>
    <row r="1004" spans="1:18" x14ac:dyDescent="0.25">
      <c r="A1004" s="30">
        <v>45818</v>
      </c>
      <c r="B1004" s="28">
        <v>994</v>
      </c>
      <c r="C1004" s="28"/>
      <c r="D1004" s="2" t="s">
        <v>168</v>
      </c>
      <c r="E1004" s="7" t="s">
        <v>1307</v>
      </c>
      <c r="F1004" s="7"/>
      <c r="G1004" s="2" t="s">
        <v>43</v>
      </c>
      <c r="H1004" s="2" t="s">
        <v>182</v>
      </c>
      <c r="I1004" s="5">
        <v>55697.31</v>
      </c>
      <c r="J1004" s="57"/>
      <c r="K1004" s="3">
        <v>624</v>
      </c>
      <c r="L1004" s="2" t="s">
        <v>226</v>
      </c>
      <c r="M1004" s="2" t="s">
        <v>12</v>
      </c>
      <c r="N1004" s="2" t="s">
        <v>12</v>
      </c>
      <c r="O1004" s="2" t="s">
        <v>12</v>
      </c>
      <c r="P1004" s="21" t="s">
        <v>12</v>
      </c>
      <c r="Q1004" s="3" t="s">
        <v>1316</v>
      </c>
      <c r="R1004" s="3" t="s">
        <v>80</v>
      </c>
    </row>
    <row r="1005" spans="1:18" x14ac:dyDescent="0.25">
      <c r="A1005" s="30">
        <v>45818</v>
      </c>
      <c r="B1005" s="28">
        <v>995</v>
      </c>
      <c r="C1005" s="28"/>
      <c r="D1005" s="2" t="s">
        <v>65</v>
      </c>
      <c r="E1005" s="7" t="s">
        <v>12</v>
      </c>
      <c r="F1005" s="7"/>
      <c r="G1005" s="2" t="s">
        <v>13</v>
      </c>
      <c r="H1005" s="2" t="s">
        <v>101</v>
      </c>
      <c r="I1005" s="5">
        <v>14844.09</v>
      </c>
      <c r="J1005" s="57"/>
      <c r="K1005" s="3">
        <v>168</v>
      </c>
      <c r="L1005" s="2" t="s">
        <v>226</v>
      </c>
      <c r="M1005" s="2" t="s">
        <v>12</v>
      </c>
      <c r="N1005" s="2" t="s">
        <v>12</v>
      </c>
      <c r="O1005" s="2" t="s">
        <v>12</v>
      </c>
      <c r="P1005" s="21" t="s">
        <v>12</v>
      </c>
      <c r="Q1005" s="3" t="s">
        <v>12</v>
      </c>
      <c r="R1005" s="3" t="s">
        <v>12</v>
      </c>
    </row>
    <row r="1006" spans="1:18" x14ac:dyDescent="0.25">
      <c r="A1006" s="30">
        <v>45818</v>
      </c>
      <c r="B1006" s="28">
        <v>996</v>
      </c>
      <c r="C1006" s="28"/>
      <c r="D1006" s="2" t="s">
        <v>206</v>
      </c>
      <c r="E1006" s="7" t="s">
        <v>12</v>
      </c>
      <c r="F1006" s="7"/>
      <c r="G1006" s="2" t="s">
        <v>97</v>
      </c>
      <c r="H1006" s="2" t="s">
        <v>473</v>
      </c>
      <c r="I1006" s="5">
        <v>4766.0200000000004</v>
      </c>
      <c r="J1006" s="57"/>
      <c r="K1006" s="3">
        <v>96</v>
      </c>
      <c r="L1006" s="2" t="s">
        <v>64</v>
      </c>
      <c r="M1006" s="2" t="s">
        <v>12</v>
      </c>
      <c r="N1006" s="2" t="s">
        <v>12</v>
      </c>
      <c r="O1006" s="2" t="s">
        <v>12</v>
      </c>
      <c r="P1006" s="21" t="s">
        <v>12</v>
      </c>
      <c r="Q1006" s="3" t="s">
        <v>12</v>
      </c>
      <c r="R1006" s="3" t="s">
        <v>12</v>
      </c>
    </row>
    <row r="1007" spans="1:18" x14ac:dyDescent="0.25">
      <c r="A1007" s="30">
        <v>45818</v>
      </c>
      <c r="B1007" s="28">
        <v>997</v>
      </c>
      <c r="C1007" s="28"/>
      <c r="D1007" s="2" t="s">
        <v>492</v>
      </c>
      <c r="E1007" s="7" t="s">
        <v>12</v>
      </c>
      <c r="F1007" s="7"/>
      <c r="G1007" s="2" t="s">
        <v>97</v>
      </c>
      <c r="H1007" s="2" t="s">
        <v>242</v>
      </c>
      <c r="I1007" s="5">
        <v>1044.0999999999999</v>
      </c>
      <c r="J1007" s="57"/>
      <c r="K1007" s="3" t="s">
        <v>12</v>
      </c>
      <c r="L1007" s="2" t="s">
        <v>226</v>
      </c>
      <c r="M1007" s="2" t="s">
        <v>12</v>
      </c>
      <c r="N1007" s="2" t="s">
        <v>12</v>
      </c>
      <c r="O1007" s="2" t="s">
        <v>12</v>
      </c>
      <c r="P1007" s="21" t="s">
        <v>12</v>
      </c>
      <c r="Q1007" s="3" t="s">
        <v>12</v>
      </c>
      <c r="R1007" s="3" t="s">
        <v>12</v>
      </c>
    </row>
    <row r="1008" spans="1:18" x14ac:dyDescent="0.25">
      <c r="A1008" s="30">
        <v>45818</v>
      </c>
      <c r="B1008" s="28">
        <v>998</v>
      </c>
      <c r="C1008" s="28"/>
      <c r="D1008" s="2" t="s">
        <v>440</v>
      </c>
      <c r="E1008" s="7" t="s">
        <v>1018</v>
      </c>
      <c r="F1008" s="7"/>
      <c r="G1008" s="2" t="s">
        <v>111</v>
      </c>
      <c r="H1008" s="2" t="s">
        <v>119</v>
      </c>
      <c r="I1008" s="5">
        <v>392459.96</v>
      </c>
      <c r="J1008" s="57"/>
      <c r="K1008" s="3" t="s">
        <v>12</v>
      </c>
      <c r="L1008" s="2" t="s">
        <v>226</v>
      </c>
      <c r="M1008" s="2" t="s">
        <v>1164</v>
      </c>
      <c r="N1008" s="2" t="s">
        <v>12</v>
      </c>
      <c r="O1008" s="2"/>
      <c r="P1008" s="21" t="s">
        <v>12</v>
      </c>
      <c r="Q1008" s="3" t="s">
        <v>12</v>
      </c>
      <c r="R1008" s="3" t="s">
        <v>12</v>
      </c>
    </row>
    <row r="1009" spans="1:18" x14ac:dyDescent="0.25">
      <c r="A1009" s="30">
        <v>45818</v>
      </c>
      <c r="B1009" s="28">
        <v>999</v>
      </c>
      <c r="C1009" s="28"/>
      <c r="D1009" s="2" t="s">
        <v>109</v>
      </c>
      <c r="E1009" s="7" t="s">
        <v>1624</v>
      </c>
      <c r="F1009" s="7"/>
      <c r="G1009" s="2" t="s">
        <v>111</v>
      </c>
      <c r="H1009" s="2" t="s">
        <v>395</v>
      </c>
      <c r="I1009" s="5">
        <v>46362.42</v>
      </c>
      <c r="J1009" s="57"/>
      <c r="K1009" s="3">
        <v>576</v>
      </c>
      <c r="L1009" s="2" t="s">
        <v>226</v>
      </c>
      <c r="M1009" s="2" t="s">
        <v>1358</v>
      </c>
      <c r="N1009" s="2" t="s">
        <v>12</v>
      </c>
      <c r="O1009" s="2" t="s">
        <v>12</v>
      </c>
      <c r="P1009" s="21" t="s">
        <v>12</v>
      </c>
      <c r="Q1009" s="3" t="s">
        <v>12</v>
      </c>
      <c r="R1009" s="3" t="s">
        <v>12</v>
      </c>
    </row>
    <row r="1010" spans="1:18" x14ac:dyDescent="0.25">
      <c r="A1010" s="30">
        <v>45818</v>
      </c>
      <c r="B1010" s="28">
        <v>1000</v>
      </c>
      <c r="C1010" s="28"/>
      <c r="D1010" s="2" t="s">
        <v>41</v>
      </c>
      <c r="E1010" s="7" t="s">
        <v>1308</v>
      </c>
      <c r="F1010" s="7"/>
      <c r="G1010" s="2" t="s">
        <v>43</v>
      </c>
      <c r="H1010" s="2" t="s">
        <v>158</v>
      </c>
      <c r="I1010" s="5">
        <v>12627.97</v>
      </c>
      <c r="J1010" s="57"/>
      <c r="K1010" s="3">
        <v>144</v>
      </c>
      <c r="L1010" s="2" t="s">
        <v>226</v>
      </c>
      <c r="M1010" s="2" t="s">
        <v>12</v>
      </c>
      <c r="N1010" s="2" t="s">
        <v>12</v>
      </c>
      <c r="O1010" s="2" t="s">
        <v>12</v>
      </c>
      <c r="P1010" s="21" t="s">
        <v>12</v>
      </c>
      <c r="Q1010" s="3" t="s">
        <v>12</v>
      </c>
      <c r="R1010" s="3" t="s">
        <v>12</v>
      </c>
    </row>
    <row r="1011" spans="1:18" x14ac:dyDescent="0.25">
      <c r="A1011" s="30">
        <v>45819</v>
      </c>
      <c r="B1011" s="28">
        <v>1001</v>
      </c>
      <c r="C1011" s="28"/>
      <c r="D1011" s="2" t="s">
        <v>87</v>
      </c>
      <c r="E1011" s="7" t="s">
        <v>1309</v>
      </c>
      <c r="F1011" s="7"/>
      <c r="G1011" s="2" t="s">
        <v>13</v>
      </c>
      <c r="H1011" s="2" t="s">
        <v>369</v>
      </c>
      <c r="I1011" s="5">
        <v>21830.15</v>
      </c>
      <c r="J1011" s="57"/>
      <c r="K1011" s="3">
        <v>240</v>
      </c>
      <c r="L1011" s="2" t="s">
        <v>226</v>
      </c>
      <c r="M1011" s="2" t="s">
        <v>12</v>
      </c>
      <c r="N1011" s="2" t="s">
        <v>12</v>
      </c>
      <c r="O1011" s="2" t="s">
        <v>12</v>
      </c>
      <c r="P1011" s="21" t="s">
        <v>12</v>
      </c>
      <c r="Q1011" s="3" t="s">
        <v>1317</v>
      </c>
      <c r="R1011" s="3" t="s">
        <v>75</v>
      </c>
    </row>
    <row r="1012" spans="1:18" x14ac:dyDescent="0.25">
      <c r="A1012" s="30">
        <v>45819</v>
      </c>
      <c r="B1012" s="28">
        <v>1002</v>
      </c>
      <c r="C1012" s="28"/>
      <c r="D1012" s="2" t="s">
        <v>87</v>
      </c>
      <c r="E1012" s="7" t="s">
        <v>1310</v>
      </c>
      <c r="F1012" s="7"/>
      <c r="G1012" s="2" t="s">
        <v>13</v>
      </c>
      <c r="H1012" s="2" t="s">
        <v>238</v>
      </c>
      <c r="I1012" s="5">
        <v>253468.16</v>
      </c>
      <c r="J1012" s="57"/>
      <c r="K1012" s="3">
        <v>2640</v>
      </c>
      <c r="L1012" s="2" t="s">
        <v>226</v>
      </c>
      <c r="M1012" s="2" t="s">
        <v>12</v>
      </c>
      <c r="N1012" s="2" t="s">
        <v>12</v>
      </c>
      <c r="O1012" s="2" t="s">
        <v>12</v>
      </c>
      <c r="P1012" s="21" t="s">
        <v>12</v>
      </c>
      <c r="Q1012" s="3" t="s">
        <v>77</v>
      </c>
      <c r="R1012" s="3" t="s">
        <v>75</v>
      </c>
    </row>
    <row r="1013" spans="1:18" x14ac:dyDescent="0.25">
      <c r="A1013" s="30">
        <v>45819</v>
      </c>
      <c r="B1013" s="28">
        <v>1003</v>
      </c>
      <c r="C1013" s="28"/>
      <c r="D1013" s="2" t="s">
        <v>692</v>
      </c>
      <c r="E1013" s="7" t="s">
        <v>1311</v>
      </c>
      <c r="F1013" s="7"/>
      <c r="G1013" s="2" t="s">
        <v>97</v>
      </c>
      <c r="H1013" s="2" t="s">
        <v>963</v>
      </c>
      <c r="I1013" s="5">
        <v>48122.720000000001</v>
      </c>
      <c r="J1013" s="57"/>
      <c r="K1013" s="3">
        <v>408</v>
      </c>
      <c r="L1013" s="2" t="s">
        <v>226</v>
      </c>
      <c r="M1013" s="2" t="s">
        <v>12</v>
      </c>
      <c r="N1013" s="2" t="s">
        <v>12</v>
      </c>
      <c r="O1013" s="2" t="s">
        <v>12</v>
      </c>
      <c r="P1013" s="21" t="s">
        <v>12</v>
      </c>
      <c r="Q1013" s="3" t="s">
        <v>12</v>
      </c>
      <c r="R1013" s="3" t="s">
        <v>12</v>
      </c>
    </row>
    <row r="1014" spans="1:18" x14ac:dyDescent="0.25">
      <c r="A1014" s="30">
        <v>45819</v>
      </c>
      <c r="B1014" s="28">
        <v>1004</v>
      </c>
      <c r="C1014" s="28"/>
      <c r="D1014" s="2" t="s">
        <v>87</v>
      </c>
      <c r="E1014" s="7" t="s">
        <v>1312</v>
      </c>
      <c r="F1014" s="7"/>
      <c r="G1014" s="2" t="s">
        <v>13</v>
      </c>
      <c r="H1014" s="2" t="s">
        <v>185</v>
      </c>
      <c r="I1014" s="5">
        <v>62824.3</v>
      </c>
      <c r="J1014" s="57"/>
      <c r="K1014" s="3">
        <v>672</v>
      </c>
      <c r="L1014" s="2" t="s">
        <v>226</v>
      </c>
      <c r="M1014" s="2" t="s">
        <v>12</v>
      </c>
      <c r="N1014" s="2" t="s">
        <v>12</v>
      </c>
      <c r="O1014" s="2" t="s">
        <v>12</v>
      </c>
      <c r="P1014" s="21" t="s">
        <v>12</v>
      </c>
      <c r="Q1014" s="3" t="s">
        <v>77</v>
      </c>
      <c r="R1014" s="3" t="s">
        <v>80</v>
      </c>
    </row>
    <row r="1015" spans="1:18" x14ac:dyDescent="0.25">
      <c r="A1015" s="30">
        <v>45819</v>
      </c>
      <c r="B1015" s="28">
        <v>1005</v>
      </c>
      <c r="C1015" s="28"/>
      <c r="D1015" s="2" t="s">
        <v>87</v>
      </c>
      <c r="E1015" s="7" t="s">
        <v>1313</v>
      </c>
      <c r="F1015" s="7"/>
      <c r="G1015" s="2" t="s">
        <v>13</v>
      </c>
      <c r="H1015" s="2" t="s">
        <v>185</v>
      </c>
      <c r="I1015" s="5">
        <v>264927.55</v>
      </c>
      <c r="J1015" s="57"/>
      <c r="K1015" s="3">
        <v>2736</v>
      </c>
      <c r="L1015" s="2" t="s">
        <v>226</v>
      </c>
      <c r="M1015" s="2" t="s">
        <v>12</v>
      </c>
      <c r="N1015" s="2" t="s">
        <v>12</v>
      </c>
      <c r="O1015" s="2" t="s">
        <v>12</v>
      </c>
      <c r="P1015" s="21" t="s">
        <v>12</v>
      </c>
      <c r="Q1015" s="3" t="s">
        <v>77</v>
      </c>
      <c r="R1015" s="3" t="s">
        <v>80</v>
      </c>
    </row>
    <row r="1016" spans="1:18" x14ac:dyDescent="0.25">
      <c r="A1016" s="30">
        <v>45847</v>
      </c>
      <c r="B1016" s="28">
        <v>1006</v>
      </c>
      <c r="C1016" s="28"/>
      <c r="D1016" s="2" t="s">
        <v>440</v>
      </c>
      <c r="E1016" s="7" t="s">
        <v>1018</v>
      </c>
      <c r="F1016" s="7"/>
      <c r="G1016" s="2" t="s">
        <v>111</v>
      </c>
      <c r="H1016" s="2" t="s">
        <v>119</v>
      </c>
      <c r="I1016" s="5">
        <v>1229721.92</v>
      </c>
      <c r="J1016" s="57"/>
      <c r="K1016" s="3"/>
      <c r="L1016" s="2" t="s">
        <v>134</v>
      </c>
      <c r="M1016" s="2" t="s">
        <v>1160</v>
      </c>
      <c r="N1016" s="2" t="s">
        <v>135</v>
      </c>
      <c r="O1016" s="2" t="s">
        <v>374</v>
      </c>
      <c r="P1016" s="21" t="s">
        <v>1480</v>
      </c>
      <c r="Q1016" s="3" t="s">
        <v>12</v>
      </c>
      <c r="R1016" s="3" t="s">
        <v>12</v>
      </c>
    </row>
    <row r="1017" spans="1:18" x14ac:dyDescent="0.25">
      <c r="A1017" s="30">
        <v>45819</v>
      </c>
      <c r="B1017" s="28">
        <v>1007</v>
      </c>
      <c r="C1017" s="28"/>
      <c r="D1017" s="2" t="s">
        <v>109</v>
      </c>
      <c r="E1017" s="7" t="s">
        <v>1357</v>
      </c>
      <c r="F1017" s="7"/>
      <c r="G1017" s="2" t="s">
        <v>111</v>
      </c>
      <c r="H1017" s="2" t="s">
        <v>950</v>
      </c>
      <c r="I1017" s="5">
        <v>2977.11</v>
      </c>
      <c r="J1017" s="57"/>
      <c r="K1017" s="3" t="s">
        <v>12</v>
      </c>
      <c r="L1017" s="2" t="s">
        <v>64</v>
      </c>
      <c r="M1017" s="2" t="s">
        <v>12</v>
      </c>
      <c r="N1017" s="2" t="s">
        <v>12</v>
      </c>
      <c r="O1017" s="2" t="s">
        <v>12</v>
      </c>
      <c r="P1017" s="21" t="s">
        <v>12</v>
      </c>
      <c r="Q1017" s="3" t="s">
        <v>12</v>
      </c>
      <c r="R1017" s="3" t="s">
        <v>12</v>
      </c>
    </row>
    <row r="1018" spans="1:18" x14ac:dyDescent="0.25">
      <c r="A1018" s="30">
        <v>45819</v>
      </c>
      <c r="B1018" s="28">
        <v>1008</v>
      </c>
      <c r="C1018" s="28"/>
      <c r="D1018" s="2" t="s">
        <v>23</v>
      </c>
      <c r="E1018" s="7" t="s">
        <v>1318</v>
      </c>
      <c r="F1018" s="7"/>
      <c r="G1018" s="2" t="s">
        <v>20</v>
      </c>
      <c r="H1018" s="2" t="s">
        <v>24</v>
      </c>
      <c r="I1018" s="5">
        <v>229969.81</v>
      </c>
      <c r="J1018" s="57"/>
      <c r="K1018" s="3">
        <v>3120</v>
      </c>
      <c r="L1018" s="2" t="s">
        <v>226</v>
      </c>
      <c r="M1018" s="2" t="s">
        <v>530</v>
      </c>
      <c r="N1018" s="2" t="s">
        <v>12</v>
      </c>
      <c r="O1018" s="2" t="s">
        <v>12</v>
      </c>
      <c r="P1018" s="21" t="s">
        <v>12</v>
      </c>
      <c r="Q1018" s="3" t="s">
        <v>12</v>
      </c>
      <c r="R1018" s="3" t="s">
        <v>12</v>
      </c>
    </row>
    <row r="1019" spans="1:18" x14ac:dyDescent="0.25">
      <c r="A1019" s="30">
        <v>45820</v>
      </c>
      <c r="B1019" s="28">
        <v>1009</v>
      </c>
      <c r="C1019" s="28"/>
      <c r="D1019" s="2" t="s">
        <v>425</v>
      </c>
      <c r="E1019" s="7" t="s">
        <v>12</v>
      </c>
      <c r="F1019" s="7"/>
      <c r="G1019" s="2" t="s">
        <v>26</v>
      </c>
      <c r="H1019" s="2" t="s">
        <v>1251</v>
      </c>
      <c r="I1019" s="5">
        <v>5958.43</v>
      </c>
      <c r="J1019" s="57"/>
      <c r="K1019" s="3">
        <v>48</v>
      </c>
      <c r="L1019" s="2" t="s">
        <v>64</v>
      </c>
      <c r="M1019" s="2" t="s">
        <v>12</v>
      </c>
      <c r="N1019" s="2" t="s">
        <v>12</v>
      </c>
      <c r="O1019" s="2" t="s">
        <v>12</v>
      </c>
      <c r="P1019" s="21" t="s">
        <v>12</v>
      </c>
      <c r="Q1019" s="3" t="s">
        <v>12</v>
      </c>
      <c r="R1019" s="3" t="s">
        <v>12</v>
      </c>
    </row>
    <row r="1020" spans="1:18" x14ac:dyDescent="0.25">
      <c r="A1020" s="30">
        <v>45820</v>
      </c>
      <c r="B1020" s="28">
        <v>1010</v>
      </c>
      <c r="C1020" s="28"/>
      <c r="D1020" s="2" t="s">
        <v>1319</v>
      </c>
      <c r="E1020" s="7" t="s">
        <v>1320</v>
      </c>
      <c r="F1020" s="7"/>
      <c r="G1020" s="2" t="s">
        <v>13</v>
      </c>
      <c r="H1020" s="2" t="s">
        <v>1321</v>
      </c>
      <c r="I1020" s="5">
        <v>20697.72</v>
      </c>
      <c r="J1020" s="57"/>
      <c r="K1020" s="3">
        <v>240</v>
      </c>
      <c r="L1020" s="2" t="s">
        <v>226</v>
      </c>
      <c r="M1020" s="2" t="s">
        <v>12</v>
      </c>
      <c r="N1020" s="2" t="s">
        <v>12</v>
      </c>
      <c r="O1020" s="2" t="s">
        <v>12</v>
      </c>
      <c r="P1020" s="21" t="s">
        <v>12</v>
      </c>
      <c r="Q1020" s="3" t="s">
        <v>12</v>
      </c>
      <c r="R1020" s="3" t="s">
        <v>12</v>
      </c>
    </row>
    <row r="1021" spans="1:18" x14ac:dyDescent="0.25">
      <c r="A1021" s="30">
        <v>45820</v>
      </c>
      <c r="B1021" s="28">
        <v>1011</v>
      </c>
      <c r="C1021" s="28"/>
      <c r="D1021" s="2" t="s">
        <v>734</v>
      </c>
      <c r="E1021" s="7" t="s">
        <v>12</v>
      </c>
      <c r="F1021" s="7"/>
      <c r="G1021" s="2" t="s">
        <v>13</v>
      </c>
      <c r="H1021" s="2" t="s">
        <v>735</v>
      </c>
      <c r="I1021" s="5">
        <v>3026.05</v>
      </c>
      <c r="J1021" s="57"/>
      <c r="K1021" s="3">
        <v>48</v>
      </c>
      <c r="L1021" s="2" t="s">
        <v>226</v>
      </c>
      <c r="M1021" s="2" t="s">
        <v>12</v>
      </c>
      <c r="N1021" s="2" t="s">
        <v>12</v>
      </c>
      <c r="O1021" s="2" t="s">
        <v>12</v>
      </c>
      <c r="P1021" s="21" t="s">
        <v>12</v>
      </c>
      <c r="Q1021" s="3" t="s">
        <v>12</v>
      </c>
      <c r="R1021" s="3" t="s">
        <v>12</v>
      </c>
    </row>
    <row r="1022" spans="1:18" x14ac:dyDescent="0.25">
      <c r="A1022" s="30">
        <v>45820</v>
      </c>
      <c r="B1022" s="28">
        <v>1012</v>
      </c>
      <c r="C1022" s="28"/>
      <c r="D1022" s="2" t="s">
        <v>425</v>
      </c>
      <c r="E1022" s="7" t="s">
        <v>1322</v>
      </c>
      <c r="F1022" s="7"/>
      <c r="G1022" s="2" t="s">
        <v>26</v>
      </c>
      <c r="H1022" s="2" t="s">
        <v>535</v>
      </c>
      <c r="I1022" s="5">
        <v>42555.839999999997</v>
      </c>
      <c r="J1022" s="57"/>
      <c r="K1022" s="3">
        <v>392.4</v>
      </c>
      <c r="L1022" s="2" t="s">
        <v>64</v>
      </c>
      <c r="M1022" s="2" t="s">
        <v>1402</v>
      </c>
      <c r="N1022" s="2" t="s">
        <v>12</v>
      </c>
      <c r="O1022" s="2" t="s">
        <v>12</v>
      </c>
      <c r="P1022" s="21" t="s">
        <v>12</v>
      </c>
      <c r="Q1022" s="3" t="s">
        <v>12</v>
      </c>
      <c r="R1022" s="3" t="s">
        <v>12</v>
      </c>
    </row>
    <row r="1023" spans="1:18" x14ac:dyDescent="0.25">
      <c r="A1023" s="30">
        <v>45821</v>
      </c>
      <c r="B1023" s="28">
        <v>1013</v>
      </c>
      <c r="C1023" s="28"/>
      <c r="D1023" s="2" t="s">
        <v>1190</v>
      </c>
      <c r="E1023" s="7" t="s">
        <v>12</v>
      </c>
      <c r="F1023" s="7"/>
      <c r="G1023" s="2" t="s">
        <v>13</v>
      </c>
      <c r="H1023" s="2" t="s">
        <v>390</v>
      </c>
      <c r="I1023" s="5">
        <v>18111.830000000002</v>
      </c>
      <c r="J1023" s="57"/>
      <c r="K1023" s="3">
        <v>288</v>
      </c>
      <c r="L1023" s="2" t="s">
        <v>21</v>
      </c>
      <c r="M1023" s="2" t="s">
        <v>1323</v>
      </c>
      <c r="N1023" s="2" t="s">
        <v>12</v>
      </c>
      <c r="O1023" s="2" t="s">
        <v>12</v>
      </c>
      <c r="P1023" s="21" t="s">
        <v>12</v>
      </c>
      <c r="Q1023" s="3" t="s">
        <v>12</v>
      </c>
      <c r="R1023" s="3" t="s">
        <v>12</v>
      </c>
    </row>
    <row r="1024" spans="1:18" x14ac:dyDescent="0.25">
      <c r="A1024" s="30">
        <v>45820</v>
      </c>
      <c r="B1024" s="28">
        <v>1014</v>
      </c>
      <c r="C1024" s="28"/>
      <c r="D1024" s="2" t="s">
        <v>276</v>
      </c>
      <c r="E1024" s="7" t="s">
        <v>1324</v>
      </c>
      <c r="F1024" s="7"/>
      <c r="G1024" s="2" t="s">
        <v>43</v>
      </c>
      <c r="H1024" s="2" t="s">
        <v>108</v>
      </c>
      <c r="I1024" s="5">
        <v>3440.45</v>
      </c>
      <c r="J1024" s="57"/>
      <c r="K1024" s="3">
        <v>48</v>
      </c>
      <c r="L1024" s="2" t="s">
        <v>226</v>
      </c>
      <c r="M1024" s="2" t="s">
        <v>12</v>
      </c>
      <c r="N1024" s="2" t="s">
        <v>12</v>
      </c>
      <c r="O1024" s="2" t="s">
        <v>12</v>
      </c>
      <c r="P1024" s="21" t="s">
        <v>12</v>
      </c>
      <c r="Q1024" s="3" t="s">
        <v>12</v>
      </c>
      <c r="R1024" s="3" t="s">
        <v>12</v>
      </c>
    </row>
    <row r="1025" spans="1:18" x14ac:dyDescent="0.25">
      <c r="A1025" s="30">
        <v>45820</v>
      </c>
      <c r="B1025" s="28">
        <v>1015</v>
      </c>
      <c r="C1025" s="28"/>
      <c r="D1025" s="2" t="s">
        <v>276</v>
      </c>
      <c r="E1025" s="7" t="s">
        <v>1325</v>
      </c>
      <c r="F1025" s="7"/>
      <c r="G1025" s="2" t="s">
        <v>43</v>
      </c>
      <c r="H1025" s="2" t="s">
        <v>108</v>
      </c>
      <c r="I1025" s="5">
        <v>6198.52</v>
      </c>
      <c r="J1025" s="57"/>
      <c r="K1025" s="3">
        <v>72</v>
      </c>
      <c r="L1025" s="2" t="s">
        <v>226</v>
      </c>
      <c r="M1025" s="2" t="s">
        <v>12</v>
      </c>
      <c r="N1025" s="2" t="s">
        <v>12</v>
      </c>
      <c r="O1025" s="2" t="s">
        <v>12</v>
      </c>
      <c r="P1025" s="21" t="s">
        <v>12</v>
      </c>
      <c r="Q1025" s="3" t="s">
        <v>12</v>
      </c>
      <c r="R1025" s="3" t="s">
        <v>12</v>
      </c>
    </row>
    <row r="1026" spans="1:18" x14ac:dyDescent="0.25">
      <c r="A1026" s="30">
        <v>45820</v>
      </c>
      <c r="B1026" s="28">
        <v>1016</v>
      </c>
      <c r="C1026" s="28"/>
      <c r="D1026" s="2" t="s">
        <v>276</v>
      </c>
      <c r="E1026" s="7" t="s">
        <v>1326</v>
      </c>
      <c r="F1026" s="7"/>
      <c r="G1026" s="2" t="s">
        <v>43</v>
      </c>
      <c r="H1026" s="2" t="s">
        <v>108</v>
      </c>
      <c r="I1026" s="5">
        <v>3618.37</v>
      </c>
      <c r="J1026" s="57"/>
      <c r="K1026" s="3">
        <v>48</v>
      </c>
      <c r="L1026" s="2" t="s">
        <v>226</v>
      </c>
      <c r="M1026" s="2" t="s">
        <v>2578</v>
      </c>
      <c r="N1026" s="2" t="s">
        <v>12</v>
      </c>
      <c r="O1026" s="2" t="s">
        <v>12</v>
      </c>
      <c r="P1026" s="21" t="s">
        <v>12</v>
      </c>
      <c r="Q1026" s="3" t="s">
        <v>12</v>
      </c>
      <c r="R1026" s="3" t="s">
        <v>12</v>
      </c>
    </row>
    <row r="1027" spans="1:18" x14ac:dyDescent="0.25">
      <c r="A1027" s="30">
        <v>45820</v>
      </c>
      <c r="B1027" s="28">
        <v>1017</v>
      </c>
      <c r="C1027" s="28"/>
      <c r="D1027" s="2" t="s">
        <v>99</v>
      </c>
      <c r="E1027" s="7" t="s">
        <v>12</v>
      </c>
      <c r="F1027" s="7"/>
      <c r="G1027" s="2" t="s">
        <v>20</v>
      </c>
      <c r="H1027" s="2" t="s">
        <v>1327</v>
      </c>
      <c r="I1027" s="5">
        <v>2926.39</v>
      </c>
      <c r="J1027" s="57"/>
      <c r="K1027" s="3" t="s">
        <v>12</v>
      </c>
      <c r="L1027" s="2" t="s">
        <v>226</v>
      </c>
      <c r="M1027" s="2" t="s">
        <v>1398</v>
      </c>
      <c r="N1027" s="2" t="s">
        <v>12</v>
      </c>
      <c r="O1027" s="2" t="s">
        <v>12</v>
      </c>
      <c r="P1027" s="21" t="s">
        <v>12</v>
      </c>
      <c r="Q1027" s="3" t="s">
        <v>12</v>
      </c>
      <c r="R1027" s="3" t="s">
        <v>12</v>
      </c>
    </row>
    <row r="1028" spans="1:18" x14ac:dyDescent="0.25">
      <c r="A1028" s="30">
        <v>45820</v>
      </c>
      <c r="B1028" s="28">
        <v>1018</v>
      </c>
      <c r="C1028" s="28"/>
      <c r="D1028" s="2" t="s">
        <v>1328</v>
      </c>
      <c r="E1028" s="7" t="s">
        <v>1329</v>
      </c>
      <c r="F1028" s="7"/>
      <c r="G1028" s="2" t="s">
        <v>13</v>
      </c>
      <c r="H1028" s="2" t="s">
        <v>43</v>
      </c>
      <c r="I1028" s="5">
        <v>14752.32</v>
      </c>
      <c r="J1028" s="57"/>
      <c r="K1028" s="3">
        <v>120</v>
      </c>
      <c r="L1028" s="2" t="s">
        <v>226</v>
      </c>
      <c r="M1028" s="2" t="s">
        <v>12</v>
      </c>
      <c r="N1028" s="2" t="s">
        <v>12</v>
      </c>
      <c r="O1028" s="2" t="s">
        <v>12</v>
      </c>
      <c r="P1028" s="21" t="s">
        <v>12</v>
      </c>
      <c r="Q1028" s="3" t="s">
        <v>12</v>
      </c>
      <c r="R1028" s="3" t="s">
        <v>12</v>
      </c>
    </row>
    <row r="1029" spans="1:18" x14ac:dyDescent="0.25">
      <c r="A1029" s="30">
        <v>45820</v>
      </c>
      <c r="B1029" s="28">
        <v>1019</v>
      </c>
      <c r="C1029" s="28"/>
      <c r="D1029" s="2" t="s">
        <v>87</v>
      </c>
      <c r="E1029" s="7" t="s">
        <v>1330</v>
      </c>
      <c r="F1029" s="7"/>
      <c r="G1029" s="2" t="s">
        <v>13</v>
      </c>
      <c r="H1029" s="2" t="s">
        <v>238</v>
      </c>
      <c r="I1029" s="5">
        <v>177680.81</v>
      </c>
      <c r="J1029" s="57"/>
      <c r="K1029" s="3">
        <v>1774.8</v>
      </c>
      <c r="L1029" s="2" t="s">
        <v>226</v>
      </c>
      <c r="M1029" s="2" t="s">
        <v>12</v>
      </c>
      <c r="N1029" s="2" t="s">
        <v>12</v>
      </c>
      <c r="O1029" s="2" t="s">
        <v>12</v>
      </c>
      <c r="P1029" s="21" t="s">
        <v>12</v>
      </c>
      <c r="Q1029" s="3" t="s">
        <v>77</v>
      </c>
      <c r="R1029" s="3" t="s">
        <v>80</v>
      </c>
    </row>
    <row r="1030" spans="1:18" x14ac:dyDescent="0.25">
      <c r="A1030" s="30">
        <v>45821</v>
      </c>
      <c r="B1030" s="28">
        <v>1020</v>
      </c>
      <c r="C1030" s="28"/>
      <c r="D1030" s="2" t="s">
        <v>165</v>
      </c>
      <c r="E1030" s="7" t="s">
        <v>166</v>
      </c>
      <c r="F1030" s="7"/>
      <c r="G1030" s="2" t="s">
        <v>97</v>
      </c>
      <c r="H1030" s="2" t="s">
        <v>167</v>
      </c>
      <c r="I1030" s="5">
        <v>44147.77</v>
      </c>
      <c r="J1030" s="57"/>
      <c r="K1030" s="3">
        <v>600</v>
      </c>
      <c r="L1030" s="2" t="s">
        <v>134</v>
      </c>
      <c r="M1030" s="2" t="s">
        <v>1400</v>
      </c>
      <c r="N1030" s="2" t="s">
        <v>135</v>
      </c>
      <c r="O1030" s="2" t="s">
        <v>374</v>
      </c>
      <c r="P1030" s="21" t="s">
        <v>1401</v>
      </c>
      <c r="Q1030" s="3" t="s">
        <v>12</v>
      </c>
      <c r="R1030" s="3" t="s">
        <v>12</v>
      </c>
    </row>
    <row r="1031" spans="1:18" x14ac:dyDescent="0.25">
      <c r="A1031" s="30">
        <v>45821</v>
      </c>
      <c r="B1031" s="28">
        <v>1021</v>
      </c>
      <c r="C1031" s="28"/>
      <c r="D1031" s="2" t="s">
        <v>1152</v>
      </c>
      <c r="E1031" s="7" t="s">
        <v>12</v>
      </c>
      <c r="F1031" s="7"/>
      <c r="G1031" s="2" t="s">
        <v>13</v>
      </c>
      <c r="H1031" s="2" t="s">
        <v>1153</v>
      </c>
      <c r="I1031" s="5">
        <v>8192.25</v>
      </c>
      <c r="J1031" s="57"/>
      <c r="K1031" s="3" t="s">
        <v>12</v>
      </c>
      <c r="L1031" s="2" t="s">
        <v>226</v>
      </c>
      <c r="M1031" s="2" t="s">
        <v>12</v>
      </c>
      <c r="N1031" s="2" t="s">
        <v>12</v>
      </c>
      <c r="O1031" s="2" t="s">
        <v>12</v>
      </c>
      <c r="P1031" s="21" t="s">
        <v>12</v>
      </c>
      <c r="Q1031" s="3" t="s">
        <v>12</v>
      </c>
      <c r="R1031" s="3"/>
    </row>
    <row r="1032" spans="1:18" x14ac:dyDescent="0.25">
      <c r="A1032" s="30">
        <v>45820</v>
      </c>
      <c r="B1032" s="28">
        <v>1022</v>
      </c>
      <c r="C1032" s="28"/>
      <c r="D1032" s="2" t="s">
        <v>1328</v>
      </c>
      <c r="E1032" s="7" t="s">
        <v>1331</v>
      </c>
      <c r="F1032" s="7"/>
      <c r="G1032" s="2" t="s">
        <v>13</v>
      </c>
      <c r="H1032" s="2" t="s">
        <v>43</v>
      </c>
      <c r="I1032" s="5">
        <v>7303.54</v>
      </c>
      <c r="J1032" s="57"/>
      <c r="K1032" s="3">
        <v>72</v>
      </c>
      <c r="L1032" s="2" t="s">
        <v>226</v>
      </c>
      <c r="M1032" s="2" t="s">
        <v>12</v>
      </c>
      <c r="N1032" s="2" t="s">
        <v>12</v>
      </c>
      <c r="O1032" s="2" t="s">
        <v>12</v>
      </c>
      <c r="P1032" s="21" t="s">
        <v>12</v>
      </c>
      <c r="Q1032" s="3" t="s">
        <v>1352</v>
      </c>
      <c r="R1032" s="3" t="s">
        <v>75</v>
      </c>
    </row>
    <row r="1033" spans="1:18" x14ac:dyDescent="0.25">
      <c r="A1033" s="30">
        <v>45821</v>
      </c>
      <c r="B1033" s="28">
        <v>1023</v>
      </c>
      <c r="C1033" s="28"/>
      <c r="D1033" s="2" t="s">
        <v>99</v>
      </c>
      <c r="E1033" s="7" t="s">
        <v>1195</v>
      </c>
      <c r="F1033" s="7"/>
      <c r="G1033" s="2" t="s">
        <v>20</v>
      </c>
      <c r="H1033" s="2" t="s">
        <v>1327</v>
      </c>
      <c r="I1033" s="5">
        <v>261880.92</v>
      </c>
      <c r="J1033" s="57"/>
      <c r="K1033" s="3">
        <v>3538.8</v>
      </c>
      <c r="L1033" s="2" t="s">
        <v>64</v>
      </c>
      <c r="M1033" s="2" t="s">
        <v>530</v>
      </c>
      <c r="N1033" s="2" t="s">
        <v>12</v>
      </c>
      <c r="O1033" s="2" t="s">
        <v>12</v>
      </c>
      <c r="P1033" s="21" t="s">
        <v>12</v>
      </c>
      <c r="Q1033" s="3" t="s">
        <v>12</v>
      </c>
      <c r="R1033" s="3" t="s">
        <v>12</v>
      </c>
    </row>
    <row r="1034" spans="1:18" x14ac:dyDescent="0.25">
      <c r="A1034" s="30">
        <v>45821</v>
      </c>
      <c r="B1034" s="28">
        <v>1024</v>
      </c>
      <c r="C1034" s="28"/>
      <c r="D1034" s="2" t="s">
        <v>1332</v>
      </c>
      <c r="E1034" s="7" t="s">
        <v>12</v>
      </c>
      <c r="F1034" s="7"/>
      <c r="G1034" s="2" t="s">
        <v>13</v>
      </c>
      <c r="H1034" s="2"/>
      <c r="I1034" s="5">
        <v>19188.53</v>
      </c>
      <c r="J1034" s="57"/>
      <c r="K1034" s="3">
        <v>216</v>
      </c>
      <c r="L1034" s="2" t="s">
        <v>226</v>
      </c>
      <c r="M1034" s="2" t="s">
        <v>12</v>
      </c>
      <c r="N1034" s="2" t="s">
        <v>12</v>
      </c>
      <c r="O1034" s="2" t="s">
        <v>12</v>
      </c>
      <c r="P1034" s="21" t="s">
        <v>12</v>
      </c>
      <c r="Q1034" s="3" t="s">
        <v>12</v>
      </c>
      <c r="R1034" s="3" t="s">
        <v>12</v>
      </c>
    </row>
    <row r="1035" spans="1:18" x14ac:dyDescent="0.25">
      <c r="A1035" s="30">
        <v>45821</v>
      </c>
      <c r="B1035" s="28">
        <v>1025</v>
      </c>
      <c r="C1035" s="28"/>
      <c r="D1035" s="2" t="s">
        <v>1221</v>
      </c>
      <c r="E1035" s="7" t="s">
        <v>1359</v>
      </c>
      <c r="F1035" s="7"/>
      <c r="G1035" s="2" t="s">
        <v>111</v>
      </c>
      <c r="H1035" s="2" t="s">
        <v>535</v>
      </c>
      <c r="I1035" s="5">
        <v>7438.63</v>
      </c>
      <c r="J1035" s="57"/>
      <c r="K1035" s="3"/>
      <c r="L1035" s="2" t="s">
        <v>226</v>
      </c>
      <c r="M1035" s="2"/>
      <c r="N1035" s="2"/>
      <c r="O1035" s="2"/>
      <c r="P1035" s="21"/>
      <c r="Q1035" s="3" t="s">
        <v>12</v>
      </c>
      <c r="R1035" s="3" t="s">
        <v>12</v>
      </c>
    </row>
    <row r="1036" spans="1:18" x14ac:dyDescent="0.25">
      <c r="A1036" s="30">
        <v>45821</v>
      </c>
      <c r="B1036" s="28">
        <v>1026</v>
      </c>
      <c r="C1036" s="28"/>
      <c r="D1036" s="2" t="s">
        <v>1130</v>
      </c>
      <c r="E1036" s="7" t="s">
        <v>1361</v>
      </c>
      <c r="F1036" s="7"/>
      <c r="G1036" s="2" t="s">
        <v>97</v>
      </c>
      <c r="H1036" s="2" t="s">
        <v>424</v>
      </c>
      <c r="I1036" s="5">
        <v>48300</v>
      </c>
      <c r="J1036" s="57"/>
      <c r="K1036" s="3"/>
      <c r="L1036" s="2" t="s">
        <v>134</v>
      </c>
      <c r="M1036" s="2" t="s">
        <v>1011</v>
      </c>
      <c r="N1036" s="2" t="s">
        <v>135</v>
      </c>
      <c r="O1036" s="2" t="s">
        <v>374</v>
      </c>
      <c r="P1036" s="21">
        <v>48300</v>
      </c>
      <c r="Q1036" s="3"/>
      <c r="R1036" s="3"/>
    </row>
    <row r="1037" spans="1:18" x14ac:dyDescent="0.25">
      <c r="A1037" s="30">
        <v>45821</v>
      </c>
      <c r="B1037" s="28">
        <v>1027</v>
      </c>
      <c r="C1037" s="28"/>
      <c r="D1037" s="2" t="s">
        <v>646</v>
      </c>
      <c r="E1037" s="7" t="s">
        <v>12</v>
      </c>
      <c r="F1037" s="7"/>
      <c r="G1037" s="2" t="s">
        <v>111</v>
      </c>
      <c r="H1037" s="2" t="s">
        <v>648</v>
      </c>
      <c r="I1037" s="5">
        <v>742.52</v>
      </c>
      <c r="J1037" s="57"/>
      <c r="K1037" s="3" t="s">
        <v>12</v>
      </c>
      <c r="L1037" s="2" t="s">
        <v>64</v>
      </c>
      <c r="M1037" s="2" t="s">
        <v>12</v>
      </c>
      <c r="N1037" s="2" t="s">
        <v>12</v>
      </c>
      <c r="O1037" s="2" t="s">
        <v>12</v>
      </c>
      <c r="P1037" s="21" t="s">
        <v>12</v>
      </c>
      <c r="Q1037" s="3" t="s">
        <v>12</v>
      </c>
      <c r="R1037" s="3" t="s">
        <v>12</v>
      </c>
    </row>
    <row r="1038" spans="1:18" x14ac:dyDescent="0.25">
      <c r="A1038" s="30">
        <v>45821</v>
      </c>
      <c r="B1038" s="28">
        <v>1028</v>
      </c>
      <c r="C1038" s="28"/>
      <c r="D1038" s="2" t="s">
        <v>109</v>
      </c>
      <c r="E1038" s="7" t="s">
        <v>1333</v>
      </c>
      <c r="F1038" s="7"/>
      <c r="G1038" s="2" t="s">
        <v>111</v>
      </c>
      <c r="H1038" s="2" t="s">
        <v>319</v>
      </c>
      <c r="I1038" s="5">
        <v>9910.9</v>
      </c>
      <c r="J1038" s="57"/>
      <c r="K1038" s="3">
        <v>96</v>
      </c>
      <c r="L1038" s="2" t="s">
        <v>226</v>
      </c>
      <c r="M1038" s="2" t="s">
        <v>12</v>
      </c>
      <c r="N1038" s="2" t="s">
        <v>12</v>
      </c>
      <c r="O1038" s="2" t="s">
        <v>12</v>
      </c>
      <c r="P1038" s="21" t="s">
        <v>12</v>
      </c>
      <c r="Q1038" s="3" t="s">
        <v>12</v>
      </c>
      <c r="R1038" s="3" t="s">
        <v>12</v>
      </c>
    </row>
    <row r="1039" spans="1:18" x14ac:dyDescent="0.25">
      <c r="A1039" s="30">
        <v>45824</v>
      </c>
      <c r="B1039" s="28">
        <v>1029</v>
      </c>
      <c r="C1039" s="28"/>
      <c r="D1039" s="2" t="s">
        <v>256</v>
      </c>
      <c r="E1039" s="7" t="s">
        <v>1334</v>
      </c>
      <c r="F1039" s="7"/>
      <c r="G1039" s="2" t="s">
        <v>20</v>
      </c>
      <c r="H1039" s="2" t="s">
        <v>257</v>
      </c>
      <c r="I1039" s="5">
        <v>3699.78</v>
      </c>
      <c r="J1039" s="57"/>
      <c r="K1039" s="3">
        <v>48</v>
      </c>
      <c r="L1039" s="2" t="s">
        <v>64</v>
      </c>
      <c r="M1039" s="2" t="s">
        <v>12</v>
      </c>
      <c r="N1039" s="2" t="s">
        <v>12</v>
      </c>
      <c r="O1039" s="2" t="s">
        <v>12</v>
      </c>
      <c r="P1039" s="21" t="s">
        <v>12</v>
      </c>
      <c r="Q1039" s="3" t="s">
        <v>12</v>
      </c>
      <c r="R1039" s="3" t="s">
        <v>12</v>
      </c>
    </row>
    <row r="1040" spans="1:18" x14ac:dyDescent="0.25">
      <c r="A1040" s="30">
        <v>45821</v>
      </c>
      <c r="B1040" s="28">
        <v>1030</v>
      </c>
      <c r="C1040" s="28"/>
      <c r="D1040" s="2" t="s">
        <v>165</v>
      </c>
      <c r="E1040" s="7" t="s">
        <v>316</v>
      </c>
      <c r="F1040" s="7"/>
      <c r="G1040" s="2" t="s">
        <v>97</v>
      </c>
      <c r="H1040" s="2" t="s">
        <v>167</v>
      </c>
      <c r="I1040" s="5">
        <v>67470.77</v>
      </c>
      <c r="J1040" s="57"/>
      <c r="K1040" s="3">
        <v>960</v>
      </c>
      <c r="L1040" s="2" t="s">
        <v>134</v>
      </c>
      <c r="M1040" s="2" t="s">
        <v>1011</v>
      </c>
      <c r="N1040" s="2" t="s">
        <v>135</v>
      </c>
      <c r="O1040" s="2" t="s">
        <v>374</v>
      </c>
      <c r="P1040" s="21" t="s">
        <v>1401</v>
      </c>
      <c r="Q1040" s="3" t="s">
        <v>12</v>
      </c>
      <c r="R1040" s="3" t="s">
        <v>12</v>
      </c>
    </row>
    <row r="1041" spans="1:18" x14ac:dyDescent="0.25">
      <c r="A1041" s="30">
        <v>45821</v>
      </c>
      <c r="B1041" s="28">
        <v>1031</v>
      </c>
      <c r="C1041" s="28"/>
      <c r="D1041" s="2" t="s">
        <v>23</v>
      </c>
      <c r="E1041" s="7" t="s">
        <v>1335</v>
      </c>
      <c r="F1041" s="7"/>
      <c r="G1041" s="2" t="s">
        <v>20</v>
      </c>
      <c r="H1041" s="2" t="s">
        <v>24</v>
      </c>
      <c r="I1041" s="5">
        <v>73941.009999999995</v>
      </c>
      <c r="J1041" s="57"/>
      <c r="K1041" s="3">
        <v>960</v>
      </c>
      <c r="L1041" s="2" t="s">
        <v>21</v>
      </c>
      <c r="M1041" s="2" t="s">
        <v>2773</v>
      </c>
      <c r="N1041" s="2" t="s">
        <v>12</v>
      </c>
      <c r="O1041" s="2" t="s">
        <v>12</v>
      </c>
      <c r="P1041" s="21" t="s">
        <v>12</v>
      </c>
      <c r="Q1041" s="3" t="s">
        <v>12</v>
      </c>
      <c r="R1041" s="3" t="s">
        <v>12</v>
      </c>
    </row>
    <row r="1042" spans="1:18" x14ac:dyDescent="0.25">
      <c r="A1042" s="30">
        <v>45821</v>
      </c>
      <c r="B1042" s="28">
        <v>1032</v>
      </c>
      <c r="C1042" s="28"/>
      <c r="D1042" s="2" t="s">
        <v>23</v>
      </c>
      <c r="E1042" s="7" t="s">
        <v>1336</v>
      </c>
      <c r="F1042" s="7"/>
      <c r="G1042" s="2" t="s">
        <v>20</v>
      </c>
      <c r="H1042" s="2" t="s">
        <v>24</v>
      </c>
      <c r="I1042" s="5">
        <v>54449.26</v>
      </c>
      <c r="J1042" s="57"/>
      <c r="K1042" s="3">
        <v>696</v>
      </c>
      <c r="L1042" s="2" t="s">
        <v>21</v>
      </c>
      <c r="M1042" s="2" t="s">
        <v>2773</v>
      </c>
      <c r="N1042" s="2" t="s">
        <v>12</v>
      </c>
      <c r="O1042" s="2" t="s">
        <v>12</v>
      </c>
      <c r="P1042" s="21" t="s">
        <v>12</v>
      </c>
      <c r="Q1042" s="3" t="s">
        <v>12</v>
      </c>
      <c r="R1042" s="3" t="s">
        <v>12</v>
      </c>
    </row>
    <row r="1043" spans="1:18" x14ac:dyDescent="0.25">
      <c r="A1043" s="30">
        <v>45821</v>
      </c>
      <c r="B1043" s="28">
        <v>1033</v>
      </c>
      <c r="C1043" s="28"/>
      <c r="D1043" s="2" t="s">
        <v>23</v>
      </c>
      <c r="E1043" s="7" t="s">
        <v>1337</v>
      </c>
      <c r="F1043" s="7"/>
      <c r="G1043" s="2" t="s">
        <v>20</v>
      </c>
      <c r="H1043" s="2" t="s">
        <v>24</v>
      </c>
      <c r="I1043" s="5">
        <v>50967.37</v>
      </c>
      <c r="J1043" s="57"/>
      <c r="K1043" s="3">
        <v>672</v>
      </c>
      <c r="L1043" s="2" t="s">
        <v>21</v>
      </c>
      <c r="M1043" s="2" t="s">
        <v>2773</v>
      </c>
      <c r="N1043" s="2" t="s">
        <v>12</v>
      </c>
      <c r="O1043" s="2" t="s">
        <v>12</v>
      </c>
      <c r="P1043" s="21" t="s">
        <v>12</v>
      </c>
      <c r="Q1043" s="3" t="s">
        <v>12</v>
      </c>
      <c r="R1043" s="3"/>
    </row>
    <row r="1044" spans="1:18" x14ac:dyDescent="0.25">
      <c r="A1044" s="30">
        <v>45821</v>
      </c>
      <c r="B1044" s="28">
        <v>1034</v>
      </c>
      <c r="C1044" s="28"/>
      <c r="D1044" s="2" t="s">
        <v>23</v>
      </c>
      <c r="E1044" s="7" t="s">
        <v>1338</v>
      </c>
      <c r="F1044" s="7"/>
      <c r="G1044" s="2" t="s">
        <v>20</v>
      </c>
      <c r="H1044" s="2" t="s">
        <v>24</v>
      </c>
      <c r="I1044" s="5">
        <v>62750.87</v>
      </c>
      <c r="J1044" s="57"/>
      <c r="K1044" s="3">
        <v>792</v>
      </c>
      <c r="L1044" s="2" t="s">
        <v>21</v>
      </c>
      <c r="M1044" s="2" t="s">
        <v>2773</v>
      </c>
      <c r="N1044" s="2" t="s">
        <v>12</v>
      </c>
      <c r="O1044" s="2" t="s">
        <v>12</v>
      </c>
      <c r="P1044" s="21" t="s">
        <v>12</v>
      </c>
      <c r="Q1044" s="3" t="s">
        <v>12</v>
      </c>
      <c r="R1044" s="3" t="s">
        <v>12</v>
      </c>
    </row>
    <row r="1045" spans="1:18" x14ac:dyDescent="0.25">
      <c r="A1045" s="30">
        <v>45824</v>
      </c>
      <c r="B1045" s="28">
        <v>1035</v>
      </c>
      <c r="C1045" s="28"/>
      <c r="D1045" s="2" t="s">
        <v>23</v>
      </c>
      <c r="E1045" s="7" t="s">
        <v>1339</v>
      </c>
      <c r="F1045" s="7"/>
      <c r="G1045" s="2" t="s">
        <v>20</v>
      </c>
      <c r="H1045" s="2" t="s">
        <v>24</v>
      </c>
      <c r="I1045" s="5">
        <v>104348.21</v>
      </c>
      <c r="J1045" s="57"/>
      <c r="K1045" s="3">
        <v>1416</v>
      </c>
      <c r="L1045" s="2" t="s">
        <v>64</v>
      </c>
      <c r="M1045" s="2" t="s">
        <v>530</v>
      </c>
      <c r="N1045" s="2" t="s">
        <v>12</v>
      </c>
      <c r="O1045" s="2" t="s">
        <v>12</v>
      </c>
      <c r="P1045" s="21" t="s">
        <v>12</v>
      </c>
      <c r="Q1045" s="3" t="s">
        <v>12</v>
      </c>
      <c r="R1045" s="3" t="s">
        <v>12</v>
      </c>
    </row>
    <row r="1046" spans="1:18" x14ac:dyDescent="0.25">
      <c r="A1046" s="30">
        <v>45824</v>
      </c>
      <c r="B1046" s="28">
        <v>1036</v>
      </c>
      <c r="C1046" s="28"/>
      <c r="D1046" s="2" t="s">
        <v>23</v>
      </c>
      <c r="E1046" s="7" t="s">
        <v>12</v>
      </c>
      <c r="F1046" s="7"/>
      <c r="G1046" s="2" t="s">
        <v>20</v>
      </c>
      <c r="H1046" s="2" t="s">
        <v>24</v>
      </c>
      <c r="I1046" s="5">
        <v>15818.93</v>
      </c>
      <c r="J1046" s="57"/>
      <c r="K1046" s="3">
        <v>240</v>
      </c>
      <c r="L1046" s="2" t="s">
        <v>226</v>
      </c>
      <c r="M1046" s="2" t="s">
        <v>530</v>
      </c>
      <c r="N1046" s="2" t="s">
        <v>12</v>
      </c>
      <c r="O1046" s="2" t="s">
        <v>12</v>
      </c>
      <c r="P1046" s="21" t="s">
        <v>12</v>
      </c>
      <c r="Q1046" s="3" t="s">
        <v>12</v>
      </c>
      <c r="R1046" s="3" t="s">
        <v>12</v>
      </c>
    </row>
    <row r="1047" spans="1:18" x14ac:dyDescent="0.25">
      <c r="A1047" s="30">
        <v>45824</v>
      </c>
      <c r="B1047" s="28">
        <v>1037</v>
      </c>
      <c r="C1047" s="28"/>
      <c r="D1047" s="2" t="s">
        <v>102</v>
      </c>
      <c r="E1047" s="7" t="s">
        <v>12</v>
      </c>
      <c r="F1047" s="7"/>
      <c r="G1047" s="2" t="s">
        <v>13</v>
      </c>
      <c r="H1047" s="2" t="s">
        <v>872</v>
      </c>
      <c r="I1047" s="5">
        <v>1809.15</v>
      </c>
      <c r="J1047" s="57"/>
      <c r="K1047" s="3">
        <v>24</v>
      </c>
      <c r="L1047" s="2" t="s">
        <v>64</v>
      </c>
      <c r="M1047" s="2" t="s">
        <v>12</v>
      </c>
      <c r="N1047" s="2" t="s">
        <v>12</v>
      </c>
      <c r="O1047" s="2" t="s">
        <v>12</v>
      </c>
      <c r="P1047" s="21" t="s">
        <v>12</v>
      </c>
      <c r="Q1047" s="3" t="s">
        <v>12</v>
      </c>
      <c r="R1047" s="3" t="s">
        <v>12</v>
      </c>
    </row>
    <row r="1048" spans="1:18" x14ac:dyDescent="0.25">
      <c r="A1048" s="30">
        <v>45824</v>
      </c>
      <c r="B1048" s="28">
        <v>1038</v>
      </c>
      <c r="C1048" s="28"/>
      <c r="D1048" s="2" t="s">
        <v>601</v>
      </c>
      <c r="E1048" s="7" t="s">
        <v>1340</v>
      </c>
      <c r="F1048" s="7"/>
      <c r="G1048" s="2" t="s">
        <v>13</v>
      </c>
      <c r="H1048" s="2" t="s">
        <v>1341</v>
      </c>
      <c r="I1048" s="5">
        <v>148305.82</v>
      </c>
      <c r="J1048" s="57"/>
      <c r="K1048" s="3">
        <v>1464</v>
      </c>
      <c r="L1048" s="2" t="s">
        <v>226</v>
      </c>
      <c r="M1048" s="2" t="s">
        <v>12</v>
      </c>
      <c r="N1048" s="2" t="s">
        <v>12</v>
      </c>
      <c r="O1048" s="2" t="s">
        <v>12</v>
      </c>
      <c r="P1048" s="21" t="s">
        <v>12</v>
      </c>
      <c r="Q1048" s="3" t="s">
        <v>12</v>
      </c>
      <c r="R1048" s="3" t="s">
        <v>12</v>
      </c>
    </row>
    <row r="1049" spans="1:18" x14ac:dyDescent="0.25">
      <c r="A1049" s="30">
        <v>45824</v>
      </c>
      <c r="B1049" s="28">
        <v>1039</v>
      </c>
      <c r="C1049" s="28"/>
      <c r="D1049" s="2" t="s">
        <v>601</v>
      </c>
      <c r="E1049" s="7" t="s">
        <v>1342</v>
      </c>
      <c r="F1049" s="7"/>
      <c r="G1049" s="2" t="s">
        <v>13</v>
      </c>
      <c r="H1049" s="2" t="s">
        <v>1341</v>
      </c>
      <c r="I1049" s="5">
        <v>153517.4</v>
      </c>
      <c r="J1049" s="57"/>
      <c r="K1049" s="3">
        <v>1512</v>
      </c>
      <c r="L1049" s="2" t="s">
        <v>226</v>
      </c>
      <c r="M1049" s="2" t="s">
        <v>12</v>
      </c>
      <c r="N1049" s="2" t="s">
        <v>12</v>
      </c>
      <c r="O1049" s="2" t="s">
        <v>12</v>
      </c>
      <c r="P1049" s="21" t="s">
        <v>12</v>
      </c>
      <c r="Q1049" s="3" t="s">
        <v>12</v>
      </c>
      <c r="R1049" s="3" t="s">
        <v>12</v>
      </c>
    </row>
    <row r="1050" spans="1:18" x14ac:dyDescent="0.25">
      <c r="A1050" s="30">
        <v>45824</v>
      </c>
      <c r="B1050" s="28">
        <v>1040</v>
      </c>
      <c r="C1050" s="28"/>
      <c r="D1050" s="2" t="s">
        <v>601</v>
      </c>
      <c r="E1050" s="7" t="s">
        <v>1343</v>
      </c>
      <c r="F1050" s="7"/>
      <c r="G1050" s="2" t="s">
        <v>13</v>
      </c>
      <c r="H1050" s="2" t="s">
        <v>751</v>
      </c>
      <c r="I1050" s="5">
        <v>8518.17</v>
      </c>
      <c r="J1050" s="57"/>
      <c r="K1050" s="3">
        <v>120</v>
      </c>
      <c r="L1050" s="2" t="s">
        <v>134</v>
      </c>
      <c r="M1050" s="2" t="s">
        <v>1354</v>
      </c>
      <c r="N1050" s="2" t="s">
        <v>135</v>
      </c>
      <c r="O1050" s="2" t="s">
        <v>374</v>
      </c>
      <c r="P1050" s="21">
        <v>7000</v>
      </c>
      <c r="Q1050" s="3" t="s">
        <v>12</v>
      </c>
      <c r="R1050" s="3" t="s">
        <v>12</v>
      </c>
    </row>
    <row r="1051" spans="1:18" x14ac:dyDescent="0.25">
      <c r="A1051" s="30">
        <v>45824</v>
      </c>
      <c r="B1051" s="28">
        <v>1041</v>
      </c>
      <c r="C1051" s="28"/>
      <c r="D1051" s="2" t="s">
        <v>1344</v>
      </c>
      <c r="E1051" s="7" t="s">
        <v>1345</v>
      </c>
      <c r="F1051" s="7"/>
      <c r="G1051" s="2" t="s">
        <v>26</v>
      </c>
      <c r="H1051" s="2" t="s">
        <v>119</v>
      </c>
      <c r="I1051" s="5">
        <v>115642.9</v>
      </c>
      <c r="J1051" s="57"/>
      <c r="K1051" s="3">
        <v>1320</v>
      </c>
      <c r="L1051" s="2" t="s">
        <v>226</v>
      </c>
      <c r="M1051" s="2" t="s">
        <v>1629</v>
      </c>
      <c r="N1051" s="2" t="s">
        <v>12</v>
      </c>
      <c r="O1051" s="2" t="s">
        <v>12</v>
      </c>
      <c r="P1051" s="21" t="s">
        <v>12</v>
      </c>
      <c r="Q1051" s="3" t="s">
        <v>133</v>
      </c>
      <c r="R1051" s="3" t="s">
        <v>1065</v>
      </c>
    </row>
    <row r="1052" spans="1:18" x14ac:dyDescent="0.25">
      <c r="A1052" s="30">
        <v>45824</v>
      </c>
      <c r="B1052" s="28">
        <v>1042</v>
      </c>
      <c r="C1052" s="28"/>
      <c r="D1052" s="2" t="s">
        <v>1344</v>
      </c>
      <c r="E1052" s="7" t="s">
        <v>1346</v>
      </c>
      <c r="F1052" s="7"/>
      <c r="G1052" s="2" t="s">
        <v>26</v>
      </c>
      <c r="H1052" s="2" t="s">
        <v>119</v>
      </c>
      <c r="I1052" s="5">
        <v>171613.79</v>
      </c>
      <c r="J1052" s="57"/>
      <c r="K1052" s="3">
        <v>2040</v>
      </c>
      <c r="L1052" s="2" t="s">
        <v>226</v>
      </c>
      <c r="M1052" s="2" t="s">
        <v>1629</v>
      </c>
      <c r="N1052" s="2" t="s">
        <v>12</v>
      </c>
      <c r="O1052" s="2" t="s">
        <v>12</v>
      </c>
      <c r="P1052" s="21" t="s">
        <v>12</v>
      </c>
      <c r="Q1052" s="3" t="s">
        <v>133</v>
      </c>
      <c r="R1052" s="3" t="s">
        <v>1065</v>
      </c>
    </row>
    <row r="1053" spans="1:18" x14ac:dyDescent="0.25">
      <c r="A1053" s="30">
        <v>45824</v>
      </c>
      <c r="B1053" s="28">
        <v>1043</v>
      </c>
      <c r="C1053" s="28"/>
      <c r="D1053" s="2" t="s">
        <v>130</v>
      </c>
      <c r="E1053" s="7" t="s">
        <v>1347</v>
      </c>
      <c r="F1053" s="7"/>
      <c r="G1053" s="2" t="s">
        <v>26</v>
      </c>
      <c r="H1053" s="2" t="s">
        <v>438</v>
      </c>
      <c r="I1053" s="5">
        <v>55253.02</v>
      </c>
      <c r="J1053" s="57"/>
      <c r="K1053" s="3">
        <v>648</v>
      </c>
      <c r="L1053" s="2" t="s">
        <v>226</v>
      </c>
      <c r="M1053" s="2" t="s">
        <v>12</v>
      </c>
      <c r="N1053" s="2" t="s">
        <v>12</v>
      </c>
      <c r="O1053" s="2" t="s">
        <v>12</v>
      </c>
      <c r="P1053" s="21" t="s">
        <v>12</v>
      </c>
      <c r="Q1053" s="3" t="s">
        <v>1353</v>
      </c>
      <c r="R1053" s="3" t="s">
        <v>80</v>
      </c>
    </row>
    <row r="1054" spans="1:18" x14ac:dyDescent="0.25">
      <c r="A1054" s="30">
        <v>45824</v>
      </c>
      <c r="B1054" s="28">
        <v>1044</v>
      </c>
      <c r="C1054" s="28"/>
      <c r="D1054" s="2" t="s">
        <v>130</v>
      </c>
      <c r="E1054" s="7" t="s">
        <v>1348</v>
      </c>
      <c r="F1054" s="7"/>
      <c r="G1054" s="2" t="s">
        <v>26</v>
      </c>
      <c r="H1054" s="2" t="s">
        <v>438</v>
      </c>
      <c r="I1054" s="5">
        <v>87594.74</v>
      </c>
      <c r="J1054" s="57"/>
      <c r="K1054" s="3">
        <v>912</v>
      </c>
      <c r="L1054" s="2" t="s">
        <v>226</v>
      </c>
      <c r="M1054" s="2" t="s">
        <v>12</v>
      </c>
      <c r="N1054" s="2" t="s">
        <v>12</v>
      </c>
      <c r="O1054" s="2" t="s">
        <v>12</v>
      </c>
      <c r="P1054" s="21" t="s">
        <v>12</v>
      </c>
      <c r="Q1054" s="3" t="s">
        <v>1353</v>
      </c>
      <c r="R1054" s="3" t="s">
        <v>80</v>
      </c>
    </row>
    <row r="1055" spans="1:18" x14ac:dyDescent="0.25">
      <c r="A1055" s="30">
        <v>45824</v>
      </c>
      <c r="B1055" s="28">
        <v>1045</v>
      </c>
      <c r="C1055" s="28"/>
      <c r="D1055" s="2" t="s">
        <v>106</v>
      </c>
      <c r="E1055" s="7" t="s">
        <v>12</v>
      </c>
      <c r="F1055" s="7"/>
      <c r="G1055" s="2" t="s">
        <v>13</v>
      </c>
      <c r="H1055" s="2" t="s">
        <v>40</v>
      </c>
      <c r="I1055" s="5">
        <v>1488.87</v>
      </c>
      <c r="J1055" s="57"/>
      <c r="K1055" s="3">
        <v>24</v>
      </c>
      <c r="L1055" s="2" t="s">
        <v>226</v>
      </c>
      <c r="M1055" s="2" t="s">
        <v>12</v>
      </c>
      <c r="N1055" s="2" t="s">
        <v>12</v>
      </c>
      <c r="O1055" s="2" t="s">
        <v>12</v>
      </c>
      <c r="P1055" s="21" t="s">
        <v>12</v>
      </c>
      <c r="Q1055" s="3" t="s">
        <v>12</v>
      </c>
      <c r="R1055" s="3" t="s">
        <v>12</v>
      </c>
    </row>
    <row r="1056" spans="1:18" x14ac:dyDescent="0.25">
      <c r="A1056" s="30">
        <v>45824</v>
      </c>
      <c r="B1056" s="28">
        <v>1046</v>
      </c>
      <c r="C1056" s="28"/>
      <c r="D1056" s="2" t="s">
        <v>1349</v>
      </c>
      <c r="E1056" s="7" t="s">
        <v>1350</v>
      </c>
      <c r="F1056" s="7"/>
      <c r="G1056" s="2" t="s">
        <v>13</v>
      </c>
      <c r="H1056" s="2" t="s">
        <v>1351</v>
      </c>
      <c r="I1056" s="5">
        <v>63186.34</v>
      </c>
      <c r="J1056" s="57"/>
      <c r="K1056" s="3">
        <v>696</v>
      </c>
      <c r="L1056" s="2" t="s">
        <v>226</v>
      </c>
      <c r="M1056" s="2" t="s">
        <v>12</v>
      </c>
      <c r="N1056" s="2" t="s">
        <v>12</v>
      </c>
      <c r="O1056" s="2" t="s">
        <v>12</v>
      </c>
      <c r="P1056" s="21" t="s">
        <v>12</v>
      </c>
      <c r="Q1056" s="3" t="s">
        <v>1353</v>
      </c>
      <c r="R1056" s="3" t="s">
        <v>80</v>
      </c>
    </row>
    <row r="1057" spans="1:18" x14ac:dyDescent="0.25">
      <c r="A1057" s="30">
        <v>45825</v>
      </c>
      <c r="B1057" s="28">
        <v>1047</v>
      </c>
      <c r="C1057" s="28"/>
      <c r="D1057" s="2" t="s">
        <v>298</v>
      </c>
      <c r="E1057" s="7" t="s">
        <v>12</v>
      </c>
      <c r="F1057" s="7"/>
      <c r="G1057" s="2" t="s">
        <v>13</v>
      </c>
      <c r="H1057" s="2" t="s">
        <v>13</v>
      </c>
      <c r="I1057" s="5">
        <v>9908</v>
      </c>
      <c r="J1057" s="57"/>
      <c r="K1057" s="3">
        <v>96</v>
      </c>
      <c r="L1057" s="2" t="s">
        <v>226</v>
      </c>
      <c r="M1057" s="2" t="s">
        <v>12</v>
      </c>
      <c r="N1057" s="2" t="s">
        <v>12</v>
      </c>
      <c r="O1057" s="2" t="s">
        <v>12</v>
      </c>
      <c r="P1057" s="21" t="s">
        <v>12</v>
      </c>
      <c r="Q1057" s="3" t="s">
        <v>12</v>
      </c>
      <c r="R1057" s="3" t="s">
        <v>12</v>
      </c>
    </row>
    <row r="1058" spans="1:18" x14ac:dyDescent="0.25">
      <c r="A1058" s="30">
        <v>45825</v>
      </c>
      <c r="B1058" s="28">
        <v>1048</v>
      </c>
      <c r="C1058" s="28"/>
      <c r="D1058" s="2" t="s">
        <v>601</v>
      </c>
      <c r="E1058" s="7" t="s">
        <v>12</v>
      </c>
      <c r="F1058" s="7"/>
      <c r="G1058" s="2" t="s">
        <v>13</v>
      </c>
      <c r="H1058" s="2" t="s">
        <v>751</v>
      </c>
      <c r="I1058" s="5">
        <v>139395.92000000001</v>
      </c>
      <c r="J1058" s="57"/>
      <c r="K1058" s="3">
        <v>2016</v>
      </c>
      <c r="L1058" s="2" t="s">
        <v>21</v>
      </c>
      <c r="M1058" s="2" t="s">
        <v>12</v>
      </c>
      <c r="N1058" s="2" t="s">
        <v>12</v>
      </c>
      <c r="O1058" s="2" t="s">
        <v>12</v>
      </c>
      <c r="P1058" s="21" t="s">
        <v>12</v>
      </c>
      <c r="Q1058" s="3" t="s">
        <v>12</v>
      </c>
      <c r="R1058" s="3" t="s">
        <v>12</v>
      </c>
    </row>
    <row r="1059" spans="1:18" x14ac:dyDescent="0.25">
      <c r="A1059" s="30">
        <v>45825</v>
      </c>
      <c r="B1059" s="28">
        <v>1049</v>
      </c>
      <c r="C1059" s="28"/>
      <c r="D1059" s="2" t="s">
        <v>99</v>
      </c>
      <c r="E1059" s="7" t="s">
        <v>12</v>
      </c>
      <c r="F1059" s="7"/>
      <c r="G1059" s="2" t="s">
        <v>20</v>
      </c>
      <c r="H1059" s="2" t="s">
        <v>1327</v>
      </c>
      <c r="I1059" s="5">
        <v>54442.99</v>
      </c>
      <c r="J1059" s="57"/>
      <c r="K1059" s="3" t="s">
        <v>12</v>
      </c>
      <c r="L1059" s="2" t="s">
        <v>64</v>
      </c>
      <c r="M1059" s="2" t="s">
        <v>530</v>
      </c>
      <c r="N1059" s="2" t="s">
        <v>12</v>
      </c>
      <c r="O1059" s="2" t="s">
        <v>12</v>
      </c>
      <c r="P1059" s="21" t="s">
        <v>12</v>
      </c>
      <c r="Q1059" s="3" t="s">
        <v>12</v>
      </c>
      <c r="R1059" s="3" t="s">
        <v>12</v>
      </c>
    </row>
    <row r="1060" spans="1:18" x14ac:dyDescent="0.25">
      <c r="A1060" s="30">
        <v>45826</v>
      </c>
      <c r="B1060" s="28">
        <v>1050</v>
      </c>
      <c r="C1060" s="28"/>
      <c r="D1060" s="2" t="s">
        <v>1152</v>
      </c>
      <c r="E1060" s="7" t="s">
        <v>1364</v>
      </c>
      <c r="F1060" s="7"/>
      <c r="G1060" s="2" t="s">
        <v>13</v>
      </c>
      <c r="H1060" s="2" t="s">
        <v>1153</v>
      </c>
      <c r="I1060" s="5">
        <v>4616.78</v>
      </c>
      <c r="J1060" s="57"/>
      <c r="K1060" s="3" t="s">
        <v>12</v>
      </c>
      <c r="L1060" s="2" t="s">
        <v>21</v>
      </c>
      <c r="M1060" s="2" t="s">
        <v>12</v>
      </c>
      <c r="N1060" s="2" t="s">
        <v>12</v>
      </c>
      <c r="O1060" s="2" t="s">
        <v>12</v>
      </c>
      <c r="P1060" s="21" t="s">
        <v>12</v>
      </c>
      <c r="Q1060" s="3" t="s">
        <v>12</v>
      </c>
      <c r="R1060" s="3" t="s">
        <v>12</v>
      </c>
    </row>
    <row r="1061" spans="1:18" x14ac:dyDescent="0.25">
      <c r="A1061" s="30">
        <v>45825</v>
      </c>
      <c r="B1061" s="28">
        <v>1051</v>
      </c>
      <c r="C1061" s="28"/>
      <c r="D1061" s="2" t="s">
        <v>1287</v>
      </c>
      <c r="E1061" s="7" t="s">
        <v>1365</v>
      </c>
      <c r="F1061" s="7"/>
      <c r="G1061" s="2" t="s">
        <v>26</v>
      </c>
      <c r="H1061" s="2" t="s">
        <v>1289</v>
      </c>
      <c r="I1061" s="5">
        <v>7798.86</v>
      </c>
      <c r="J1061" s="57"/>
      <c r="K1061" s="3">
        <v>72</v>
      </c>
      <c r="L1061" s="2" t="s">
        <v>226</v>
      </c>
      <c r="M1061" s="2" t="s">
        <v>12</v>
      </c>
      <c r="N1061" s="2" t="s">
        <v>12</v>
      </c>
      <c r="O1061" s="2" t="s">
        <v>12</v>
      </c>
      <c r="P1061" s="21" t="s">
        <v>12</v>
      </c>
      <c r="Q1061" s="3" t="s">
        <v>12</v>
      </c>
      <c r="R1061" s="3" t="s">
        <v>12</v>
      </c>
    </row>
    <row r="1062" spans="1:18" x14ac:dyDescent="0.25">
      <c r="A1062" s="30">
        <v>45825</v>
      </c>
      <c r="B1062" s="28">
        <v>1052</v>
      </c>
      <c r="C1062" s="28"/>
      <c r="D1062" s="2" t="s">
        <v>1130</v>
      </c>
      <c r="E1062" s="7" t="s">
        <v>1366</v>
      </c>
      <c r="F1062" s="7"/>
      <c r="G1062" s="2" t="s">
        <v>97</v>
      </c>
      <c r="H1062" s="2" t="s">
        <v>424</v>
      </c>
      <c r="I1062" s="5">
        <v>25872.05</v>
      </c>
      <c r="J1062" s="57"/>
      <c r="K1062" s="3">
        <v>216</v>
      </c>
      <c r="L1062" s="2" t="s">
        <v>226</v>
      </c>
      <c r="M1062" s="2" t="s">
        <v>12</v>
      </c>
      <c r="N1062" s="2" t="s">
        <v>12</v>
      </c>
      <c r="O1062" s="2" t="s">
        <v>12</v>
      </c>
      <c r="P1062" s="21"/>
      <c r="Q1062" s="3"/>
      <c r="R1062" s="3"/>
    </row>
    <row r="1063" spans="1:18" x14ac:dyDescent="0.25">
      <c r="A1063" s="30">
        <v>45825</v>
      </c>
      <c r="B1063" s="28">
        <v>1053</v>
      </c>
      <c r="C1063" s="28"/>
      <c r="D1063" s="2" t="s">
        <v>1202</v>
      </c>
      <c r="E1063" s="7" t="s">
        <v>1367</v>
      </c>
      <c r="F1063" s="7"/>
      <c r="G1063" s="2" t="s">
        <v>97</v>
      </c>
      <c r="H1063" s="2" t="s">
        <v>101</v>
      </c>
      <c r="I1063" s="5">
        <v>7973.92</v>
      </c>
      <c r="J1063" s="57"/>
      <c r="K1063" s="3">
        <v>96</v>
      </c>
      <c r="L1063" s="2" t="s">
        <v>226</v>
      </c>
      <c r="M1063" s="2" t="s">
        <v>12</v>
      </c>
      <c r="N1063" s="2" t="s">
        <v>12</v>
      </c>
      <c r="O1063" s="2" t="s">
        <v>12</v>
      </c>
      <c r="P1063" s="21" t="s">
        <v>12</v>
      </c>
      <c r="Q1063" s="3"/>
      <c r="R1063" s="3"/>
    </row>
    <row r="1064" spans="1:18" x14ac:dyDescent="0.25">
      <c r="A1064" s="30">
        <v>45825</v>
      </c>
      <c r="B1064" s="28">
        <v>1054</v>
      </c>
      <c r="C1064" s="28"/>
      <c r="D1064" s="2" t="s">
        <v>130</v>
      </c>
      <c r="E1064" s="7" t="s">
        <v>1368</v>
      </c>
      <c r="F1064" s="7"/>
      <c r="G1064" s="2" t="s">
        <v>26</v>
      </c>
      <c r="H1064" s="2" t="s">
        <v>369</v>
      </c>
      <c r="I1064" s="5">
        <v>92515.37</v>
      </c>
      <c r="J1064" s="57"/>
      <c r="K1064" s="3">
        <v>1056</v>
      </c>
      <c r="L1064" s="2" t="s">
        <v>226</v>
      </c>
      <c r="M1064" s="2" t="s">
        <v>12</v>
      </c>
      <c r="N1064" s="2" t="s">
        <v>12</v>
      </c>
      <c r="O1064" s="2" t="s">
        <v>12</v>
      </c>
      <c r="P1064" s="21" t="s">
        <v>12</v>
      </c>
      <c r="Q1064" s="3"/>
      <c r="R1064" s="3"/>
    </row>
    <row r="1065" spans="1:18" x14ac:dyDescent="0.25">
      <c r="A1065" s="30">
        <v>45826</v>
      </c>
      <c r="B1065" s="28">
        <v>1055</v>
      </c>
      <c r="C1065" s="28"/>
      <c r="D1065" s="2" t="s">
        <v>465</v>
      </c>
      <c r="E1065" s="7" t="s">
        <v>12</v>
      </c>
      <c r="F1065" s="7"/>
      <c r="G1065" s="2" t="s">
        <v>26</v>
      </c>
      <c r="H1065" s="2" t="s">
        <v>55</v>
      </c>
      <c r="I1065" s="5">
        <v>9927.9</v>
      </c>
      <c r="J1065" s="57"/>
      <c r="K1065" s="3">
        <v>144</v>
      </c>
      <c r="L1065" s="2" t="s">
        <v>64</v>
      </c>
      <c r="M1065" s="2" t="s">
        <v>12</v>
      </c>
      <c r="N1065" s="2" t="s">
        <v>12</v>
      </c>
      <c r="O1065" s="2" t="s">
        <v>12</v>
      </c>
      <c r="P1065" s="21" t="s">
        <v>12</v>
      </c>
      <c r="Q1065" s="3" t="s">
        <v>12</v>
      </c>
      <c r="R1065" s="3" t="s">
        <v>12</v>
      </c>
    </row>
    <row r="1066" spans="1:18" x14ac:dyDescent="0.25">
      <c r="A1066" s="30">
        <v>45833</v>
      </c>
      <c r="B1066" s="28">
        <v>1056</v>
      </c>
      <c r="C1066" s="28"/>
      <c r="D1066" s="2" t="s">
        <v>336</v>
      </c>
      <c r="E1066" s="7" t="s">
        <v>1369</v>
      </c>
      <c r="F1066" s="7"/>
      <c r="G1066" s="2" t="s">
        <v>20</v>
      </c>
      <c r="H1066" s="2" t="s">
        <v>1153</v>
      </c>
      <c r="I1066" s="5">
        <v>67348.72</v>
      </c>
      <c r="J1066" s="57"/>
      <c r="K1066" s="3">
        <v>768</v>
      </c>
      <c r="L1066" s="2" t="s">
        <v>64</v>
      </c>
      <c r="M1066" s="2" t="s">
        <v>12</v>
      </c>
      <c r="N1066" s="2" t="s">
        <v>12</v>
      </c>
      <c r="O1066" s="2" t="s">
        <v>12</v>
      </c>
      <c r="P1066" s="21" t="s">
        <v>12</v>
      </c>
      <c r="Q1066" s="3"/>
      <c r="R1066" s="3"/>
    </row>
    <row r="1067" spans="1:18" x14ac:dyDescent="0.25">
      <c r="A1067" s="30">
        <v>45826</v>
      </c>
      <c r="B1067" s="28">
        <v>1057</v>
      </c>
      <c r="C1067" s="28"/>
      <c r="D1067" s="2" t="s">
        <v>109</v>
      </c>
      <c r="E1067" s="7" t="s">
        <v>1624</v>
      </c>
      <c r="F1067" s="7"/>
      <c r="G1067" s="2" t="s">
        <v>111</v>
      </c>
      <c r="H1067" s="2" t="s">
        <v>395</v>
      </c>
      <c r="I1067" s="5">
        <v>108167.06</v>
      </c>
      <c r="J1067" s="57"/>
      <c r="K1067" s="3">
        <v>1296</v>
      </c>
      <c r="L1067" s="2" t="s">
        <v>226</v>
      </c>
      <c r="M1067" s="2" t="s">
        <v>12</v>
      </c>
      <c r="N1067" s="2" t="s">
        <v>12</v>
      </c>
      <c r="O1067" s="2" t="s">
        <v>12</v>
      </c>
      <c r="P1067" s="21" t="s">
        <v>12</v>
      </c>
      <c r="Q1067" s="3" t="s">
        <v>12</v>
      </c>
      <c r="R1067" s="3" t="s">
        <v>12</v>
      </c>
    </row>
    <row r="1068" spans="1:18" x14ac:dyDescent="0.25">
      <c r="A1068" s="30">
        <v>45826</v>
      </c>
      <c r="B1068" s="28">
        <v>1058</v>
      </c>
      <c r="C1068" s="28"/>
      <c r="D1068" s="2" t="s">
        <v>1004</v>
      </c>
      <c r="E1068" s="7" t="s">
        <v>1176</v>
      </c>
      <c r="F1068" s="7"/>
      <c r="G1068" s="2" t="s">
        <v>111</v>
      </c>
      <c r="H1068" s="2" t="s">
        <v>116</v>
      </c>
      <c r="I1068" s="5">
        <v>2458.14</v>
      </c>
      <c r="J1068" s="57"/>
      <c r="K1068" s="3" t="s">
        <v>12</v>
      </c>
      <c r="L1068" s="2" t="s">
        <v>64</v>
      </c>
      <c r="M1068" s="2" t="s">
        <v>12</v>
      </c>
      <c r="N1068" s="2" t="s">
        <v>12</v>
      </c>
      <c r="O1068" s="2" t="s">
        <v>12</v>
      </c>
      <c r="P1068" s="21" t="s">
        <v>12</v>
      </c>
      <c r="Q1068" s="3" t="s">
        <v>12</v>
      </c>
      <c r="R1068" s="3" t="s">
        <v>12</v>
      </c>
    </row>
    <row r="1069" spans="1:18" x14ac:dyDescent="0.25">
      <c r="A1069" s="30">
        <v>45852</v>
      </c>
      <c r="B1069" s="28">
        <v>1059</v>
      </c>
      <c r="C1069" s="28"/>
      <c r="D1069" s="2" t="s">
        <v>525</v>
      </c>
      <c r="E1069" s="7" t="s">
        <v>1370</v>
      </c>
      <c r="F1069" s="7"/>
      <c r="G1069" s="2" t="s">
        <v>97</v>
      </c>
      <c r="H1069" s="2" t="s">
        <v>424</v>
      </c>
      <c r="I1069" s="5">
        <v>127670.87</v>
      </c>
      <c r="J1069" s="57"/>
      <c r="K1069" s="3">
        <v>1704</v>
      </c>
      <c r="L1069" s="2" t="s">
        <v>134</v>
      </c>
      <c r="M1069" s="2" t="s">
        <v>1011</v>
      </c>
      <c r="N1069" s="2" t="s">
        <v>135</v>
      </c>
      <c r="O1069" s="2" t="s">
        <v>374</v>
      </c>
      <c r="P1069" s="21" t="s">
        <v>12</v>
      </c>
      <c r="Q1069" s="3"/>
      <c r="R1069" s="3"/>
    </row>
    <row r="1070" spans="1:18" x14ac:dyDescent="0.25">
      <c r="A1070" s="30">
        <v>45826</v>
      </c>
      <c r="B1070" s="28">
        <v>1060</v>
      </c>
      <c r="C1070" s="28"/>
      <c r="D1070" s="2" t="s">
        <v>342</v>
      </c>
      <c r="E1070" s="7" t="s">
        <v>1371</v>
      </c>
      <c r="F1070" s="7"/>
      <c r="G1070" s="2" t="s">
        <v>13</v>
      </c>
      <c r="H1070" s="2" t="s">
        <v>344</v>
      </c>
      <c r="I1070" s="5">
        <v>58283.73</v>
      </c>
      <c r="J1070" s="57"/>
      <c r="K1070" s="3">
        <v>672</v>
      </c>
      <c r="L1070" s="2" t="s">
        <v>226</v>
      </c>
      <c r="M1070" s="2" t="s">
        <v>12</v>
      </c>
      <c r="N1070" s="2" t="s">
        <v>12</v>
      </c>
      <c r="O1070" s="2" t="s">
        <v>12</v>
      </c>
      <c r="P1070" s="21" t="s">
        <v>12</v>
      </c>
      <c r="Q1070" s="3" t="s">
        <v>12</v>
      </c>
      <c r="R1070" s="3" t="s">
        <v>12</v>
      </c>
    </row>
    <row r="1071" spans="1:18" x14ac:dyDescent="0.25">
      <c r="A1071" s="30">
        <v>45826</v>
      </c>
      <c r="B1071" s="28">
        <v>1061</v>
      </c>
      <c r="C1071" s="28"/>
      <c r="D1071" s="2" t="s">
        <v>59</v>
      </c>
      <c r="E1071" s="7" t="s">
        <v>1372</v>
      </c>
      <c r="F1071" s="7"/>
      <c r="G1071" s="2" t="s">
        <v>20</v>
      </c>
      <c r="H1071" s="2" t="s">
        <v>1373</v>
      </c>
      <c r="I1071" s="5">
        <v>37909.03</v>
      </c>
      <c r="J1071" s="57"/>
      <c r="K1071" s="3">
        <v>360</v>
      </c>
      <c r="L1071" s="2" t="s">
        <v>226</v>
      </c>
      <c r="M1071" s="2" t="s">
        <v>12</v>
      </c>
      <c r="N1071" s="2" t="s">
        <v>12</v>
      </c>
      <c r="O1071" s="2" t="s">
        <v>12</v>
      </c>
      <c r="P1071" s="21" t="s">
        <v>12</v>
      </c>
      <c r="Q1071" s="3"/>
      <c r="R1071" s="3"/>
    </row>
    <row r="1072" spans="1:18" x14ac:dyDescent="0.25">
      <c r="A1072" s="30">
        <v>45826</v>
      </c>
      <c r="B1072" s="28">
        <v>1062</v>
      </c>
      <c r="C1072" s="28"/>
      <c r="D1072" s="2" t="s">
        <v>41</v>
      </c>
      <c r="E1072" s="7" t="s">
        <v>1374</v>
      </c>
      <c r="F1072" s="7"/>
      <c r="G1072" s="2" t="s">
        <v>43</v>
      </c>
      <c r="H1072" s="2" t="s">
        <v>43</v>
      </c>
      <c r="I1072" s="5">
        <v>148976.26</v>
      </c>
      <c r="J1072" s="57"/>
      <c r="K1072" s="3">
        <v>1536</v>
      </c>
      <c r="L1072" s="2" t="s">
        <v>226</v>
      </c>
      <c r="M1072" s="2" t="s">
        <v>1397</v>
      </c>
      <c r="N1072" s="2" t="s">
        <v>12</v>
      </c>
      <c r="O1072" s="2" t="s">
        <v>12</v>
      </c>
      <c r="P1072" s="21" t="s">
        <v>12</v>
      </c>
      <c r="Q1072" s="3"/>
      <c r="R1072" s="3" t="s">
        <v>80</v>
      </c>
    </row>
    <row r="1073" spans="1:18" x14ac:dyDescent="0.25">
      <c r="A1073" s="30">
        <v>45831</v>
      </c>
      <c r="B1073" s="28">
        <v>1063</v>
      </c>
      <c r="C1073" s="28"/>
      <c r="D1073" s="2" t="s">
        <v>168</v>
      </c>
      <c r="E1073" s="7" t="s">
        <v>1375</v>
      </c>
      <c r="F1073" s="7"/>
      <c r="G1073" s="2" t="s">
        <v>43</v>
      </c>
      <c r="H1073" s="2" t="s">
        <v>182</v>
      </c>
      <c r="I1073" s="5">
        <v>384717.77</v>
      </c>
      <c r="J1073" s="57"/>
      <c r="K1073" s="3">
        <v>4464</v>
      </c>
      <c r="L1073" s="2" t="s">
        <v>226</v>
      </c>
      <c r="M1073" s="2" t="s">
        <v>12</v>
      </c>
      <c r="N1073" s="2" t="s">
        <v>12</v>
      </c>
      <c r="O1073" s="2" t="s">
        <v>12</v>
      </c>
      <c r="P1073" s="21" t="s">
        <v>12</v>
      </c>
      <c r="Q1073" s="3" t="s">
        <v>12</v>
      </c>
      <c r="R1073" s="3" t="s">
        <v>12</v>
      </c>
    </row>
    <row r="1074" spans="1:18" x14ac:dyDescent="0.25">
      <c r="A1074" s="30">
        <v>45826</v>
      </c>
      <c r="B1074" s="28">
        <v>1064</v>
      </c>
      <c r="C1074" s="28"/>
      <c r="D1074" s="2" t="s">
        <v>124</v>
      </c>
      <c r="E1074" s="7" t="s">
        <v>12</v>
      </c>
      <c r="F1074" s="7"/>
      <c r="G1074" s="2" t="s">
        <v>20</v>
      </c>
      <c r="H1074" s="2" t="s">
        <v>119</v>
      </c>
      <c r="I1074" s="5">
        <v>3265.67</v>
      </c>
      <c r="J1074" s="57"/>
      <c r="K1074" s="3">
        <v>33.6</v>
      </c>
      <c r="L1074" s="2" t="s">
        <v>134</v>
      </c>
      <c r="M1074" s="2" t="s">
        <v>1363</v>
      </c>
      <c r="N1074" s="2" t="s">
        <v>373</v>
      </c>
      <c r="O1074" s="2" t="s">
        <v>12</v>
      </c>
      <c r="P1074" s="21" t="s">
        <v>12</v>
      </c>
      <c r="Q1074" s="3" t="s">
        <v>12</v>
      </c>
      <c r="R1074" s="3" t="s">
        <v>12</v>
      </c>
    </row>
    <row r="1075" spans="1:18" x14ac:dyDescent="0.25">
      <c r="A1075" s="30">
        <v>45826</v>
      </c>
      <c r="B1075" s="28">
        <v>1065</v>
      </c>
      <c r="C1075" s="28"/>
      <c r="D1075" s="2" t="s">
        <v>646</v>
      </c>
      <c r="E1075" s="7" t="s">
        <v>12</v>
      </c>
      <c r="F1075" s="7"/>
      <c r="G1075" s="2" t="s">
        <v>111</v>
      </c>
      <c r="H1075" s="2" t="s">
        <v>648</v>
      </c>
      <c r="I1075" s="5">
        <v>4269.9399999999996</v>
      </c>
      <c r="J1075" s="57"/>
      <c r="K1075" s="3" t="s">
        <v>12</v>
      </c>
      <c r="L1075" s="2" t="s">
        <v>64</v>
      </c>
      <c r="M1075" s="2" t="s">
        <v>12</v>
      </c>
      <c r="N1075" s="2" t="s">
        <v>12</v>
      </c>
      <c r="O1075" s="2" t="s">
        <v>12</v>
      </c>
      <c r="P1075" s="21" t="s">
        <v>12</v>
      </c>
      <c r="Q1075" s="3" t="s">
        <v>12</v>
      </c>
      <c r="R1075" s="3"/>
    </row>
    <row r="1076" spans="1:18" x14ac:dyDescent="0.25">
      <c r="A1076" s="30">
        <v>45831</v>
      </c>
      <c r="B1076" s="28">
        <v>1066</v>
      </c>
      <c r="C1076" s="28"/>
      <c r="D1076" s="2" t="s">
        <v>102</v>
      </c>
      <c r="E1076" s="7" t="s">
        <v>12</v>
      </c>
      <c r="F1076" s="7"/>
      <c r="G1076" s="2" t="s">
        <v>13</v>
      </c>
      <c r="H1076" s="2" t="s">
        <v>872</v>
      </c>
      <c r="I1076" s="5">
        <v>1809.15</v>
      </c>
      <c r="J1076" s="57"/>
      <c r="K1076" s="3">
        <v>24</v>
      </c>
      <c r="L1076" s="2" t="s">
        <v>64</v>
      </c>
      <c r="M1076" s="2" t="s">
        <v>12</v>
      </c>
      <c r="N1076" s="2" t="s">
        <v>12</v>
      </c>
      <c r="O1076" s="2" t="s">
        <v>12</v>
      </c>
      <c r="P1076" s="21" t="s">
        <v>12</v>
      </c>
      <c r="Q1076" s="3" t="s">
        <v>12</v>
      </c>
      <c r="R1076" s="3" t="s">
        <v>12</v>
      </c>
    </row>
    <row r="1077" spans="1:18" x14ac:dyDescent="0.25">
      <c r="A1077" s="30">
        <v>45831</v>
      </c>
      <c r="B1077" s="28">
        <v>1067</v>
      </c>
      <c r="C1077" s="28"/>
      <c r="D1077" s="2" t="s">
        <v>62</v>
      </c>
      <c r="E1077" s="7" t="s">
        <v>12</v>
      </c>
      <c r="F1077" s="7"/>
      <c r="G1077" s="2" t="s">
        <v>26</v>
      </c>
      <c r="H1077" s="2" t="s">
        <v>63</v>
      </c>
      <c r="I1077" s="5">
        <v>6642.96</v>
      </c>
      <c r="J1077" s="57"/>
      <c r="K1077" s="3">
        <v>72</v>
      </c>
      <c r="L1077" s="2" t="s">
        <v>64</v>
      </c>
      <c r="M1077" s="2" t="s">
        <v>12</v>
      </c>
      <c r="N1077" s="2" t="s">
        <v>12</v>
      </c>
      <c r="O1077" s="2" t="s">
        <v>12</v>
      </c>
      <c r="P1077" s="21" t="s">
        <v>12</v>
      </c>
      <c r="Q1077" s="3" t="s">
        <v>12</v>
      </c>
      <c r="R1077" s="3" t="s">
        <v>12</v>
      </c>
    </row>
    <row r="1078" spans="1:18" x14ac:dyDescent="0.25">
      <c r="A1078" s="30">
        <v>45862</v>
      </c>
      <c r="B1078" s="28">
        <v>1068</v>
      </c>
      <c r="C1078" s="28"/>
      <c r="D1078" s="2" t="s">
        <v>1224</v>
      </c>
      <c r="E1078" s="7" t="s">
        <v>1376</v>
      </c>
      <c r="F1078" s="7"/>
      <c r="G1078" s="2" t="s">
        <v>26</v>
      </c>
      <c r="H1078" s="2" t="s">
        <v>596</v>
      </c>
      <c r="I1078" s="5">
        <v>69157.5</v>
      </c>
      <c r="J1078" s="57"/>
      <c r="K1078" s="3">
        <v>816</v>
      </c>
      <c r="L1078" s="2" t="s">
        <v>134</v>
      </c>
      <c r="M1078" s="2" t="s">
        <v>1532</v>
      </c>
      <c r="N1078" s="2" t="s">
        <v>135</v>
      </c>
      <c r="O1078" s="2" t="s">
        <v>12</v>
      </c>
      <c r="P1078" s="21" t="s">
        <v>12</v>
      </c>
      <c r="Q1078" s="3" t="s">
        <v>12</v>
      </c>
      <c r="R1078" s="3" t="s">
        <v>12</v>
      </c>
    </row>
    <row r="1079" spans="1:18" x14ac:dyDescent="0.25">
      <c r="A1079" s="30">
        <v>45831</v>
      </c>
      <c r="B1079" s="28">
        <v>1069</v>
      </c>
      <c r="C1079" s="28"/>
      <c r="D1079" s="2" t="s">
        <v>465</v>
      </c>
      <c r="E1079" s="7" t="s">
        <v>12</v>
      </c>
      <c r="F1079" s="7"/>
      <c r="G1079" s="2" t="s">
        <v>26</v>
      </c>
      <c r="H1079" s="2" t="s">
        <v>55</v>
      </c>
      <c r="I1079" s="5">
        <v>14303.22</v>
      </c>
      <c r="J1079" s="57"/>
      <c r="K1079" s="3">
        <v>240</v>
      </c>
      <c r="L1079" s="2" t="s">
        <v>64</v>
      </c>
      <c r="M1079" s="2" t="s">
        <v>12</v>
      </c>
      <c r="N1079" s="2" t="s">
        <v>12</v>
      </c>
      <c r="O1079" s="2" t="s">
        <v>12</v>
      </c>
      <c r="P1079" s="21" t="s">
        <v>12</v>
      </c>
      <c r="Q1079" s="3" t="s">
        <v>12</v>
      </c>
      <c r="R1079" s="3"/>
    </row>
    <row r="1080" spans="1:18" x14ac:dyDescent="0.25">
      <c r="A1080" s="30">
        <v>45831</v>
      </c>
      <c r="B1080" s="28">
        <v>1070</v>
      </c>
      <c r="C1080" s="28"/>
      <c r="D1080" s="2" t="s">
        <v>391</v>
      </c>
      <c r="E1080" s="7" t="s">
        <v>12</v>
      </c>
      <c r="F1080" s="7"/>
      <c r="G1080" s="2" t="s">
        <v>13</v>
      </c>
      <c r="H1080" s="2" t="s">
        <v>392</v>
      </c>
      <c r="I1080" s="5">
        <v>756.51</v>
      </c>
      <c r="J1080" s="57"/>
      <c r="K1080" s="3">
        <v>12</v>
      </c>
      <c r="L1080" s="2" t="s">
        <v>64</v>
      </c>
      <c r="M1080" s="2" t="s">
        <v>12</v>
      </c>
      <c r="N1080" s="2" t="s">
        <v>12</v>
      </c>
      <c r="O1080" s="2" t="s">
        <v>12</v>
      </c>
      <c r="P1080" s="21" t="s">
        <v>12</v>
      </c>
      <c r="Q1080" s="3" t="s">
        <v>12</v>
      </c>
      <c r="R1080" s="3" t="s">
        <v>12</v>
      </c>
    </row>
    <row r="1081" spans="1:18" x14ac:dyDescent="0.25">
      <c r="A1081" s="30">
        <v>45831</v>
      </c>
      <c r="B1081" s="28">
        <v>1071</v>
      </c>
      <c r="C1081" s="28"/>
      <c r="D1081" s="2" t="s">
        <v>515</v>
      </c>
      <c r="E1081" s="7" t="s">
        <v>1377</v>
      </c>
      <c r="F1081" s="7"/>
      <c r="G1081" s="2" t="s">
        <v>111</v>
      </c>
      <c r="H1081" s="2" t="s">
        <v>1168</v>
      </c>
      <c r="I1081" s="5">
        <v>13012.24</v>
      </c>
      <c r="J1081" s="57"/>
      <c r="K1081" s="3" t="s">
        <v>12</v>
      </c>
      <c r="L1081" s="2" t="s">
        <v>64</v>
      </c>
      <c r="M1081" s="2" t="s">
        <v>12</v>
      </c>
      <c r="N1081" s="2" t="s">
        <v>12</v>
      </c>
      <c r="O1081" s="2" t="s">
        <v>12</v>
      </c>
      <c r="P1081" s="21" t="s">
        <v>12</v>
      </c>
      <c r="Q1081" s="3" t="s">
        <v>12</v>
      </c>
      <c r="R1081" s="3" t="s">
        <v>12</v>
      </c>
    </row>
    <row r="1082" spans="1:18" x14ac:dyDescent="0.25">
      <c r="A1082" s="30">
        <v>45831</v>
      </c>
      <c r="B1082" s="28">
        <v>1072</v>
      </c>
      <c r="C1082" s="28"/>
      <c r="D1082" s="2" t="s">
        <v>1378</v>
      </c>
      <c r="E1082" s="7" t="s">
        <v>12</v>
      </c>
      <c r="F1082" s="7"/>
      <c r="G1082" s="2" t="s">
        <v>13</v>
      </c>
      <c r="H1082" s="2" t="s">
        <v>1379</v>
      </c>
      <c r="I1082" s="5">
        <v>8314.61</v>
      </c>
      <c r="J1082" s="57"/>
      <c r="K1082" s="3">
        <v>96</v>
      </c>
      <c r="L1082" s="2" t="s">
        <v>226</v>
      </c>
      <c r="M1082" s="2" t="s">
        <v>12</v>
      </c>
      <c r="N1082" s="2" t="s">
        <v>12</v>
      </c>
      <c r="O1082" s="2" t="s">
        <v>12</v>
      </c>
      <c r="P1082" s="21" t="s">
        <v>12</v>
      </c>
      <c r="Q1082" s="3" t="s">
        <v>12</v>
      </c>
      <c r="R1082" s="3" t="s">
        <v>12</v>
      </c>
    </row>
    <row r="1083" spans="1:18" x14ac:dyDescent="0.25">
      <c r="A1083" s="30">
        <v>45831</v>
      </c>
      <c r="B1083" s="28">
        <v>1073</v>
      </c>
      <c r="C1083" s="28"/>
      <c r="D1083" s="2" t="s">
        <v>41</v>
      </c>
      <c r="E1083" s="7" t="s">
        <v>1380</v>
      </c>
      <c r="F1083" s="7"/>
      <c r="G1083" s="2" t="s">
        <v>43</v>
      </c>
      <c r="H1083" s="2" t="s">
        <v>43</v>
      </c>
      <c r="I1083" s="5">
        <v>69159.289999999994</v>
      </c>
      <c r="J1083" s="57"/>
      <c r="K1083" s="3">
        <v>672</v>
      </c>
      <c r="L1083" s="2" t="s">
        <v>226</v>
      </c>
      <c r="M1083" s="2" t="s">
        <v>12</v>
      </c>
      <c r="N1083" s="2" t="s">
        <v>12</v>
      </c>
      <c r="O1083" s="2" t="s">
        <v>12</v>
      </c>
      <c r="P1083" s="21" t="s">
        <v>12</v>
      </c>
      <c r="Q1083" s="3"/>
      <c r="R1083" s="3"/>
    </row>
    <row r="1084" spans="1:18" x14ac:dyDescent="0.25">
      <c r="A1084" s="30">
        <v>45831</v>
      </c>
      <c r="B1084" s="28">
        <v>1074</v>
      </c>
      <c r="C1084" s="28"/>
      <c r="D1084" s="2" t="s">
        <v>1396</v>
      </c>
      <c r="E1084" s="7" t="s">
        <v>1455</v>
      </c>
      <c r="F1084" s="7"/>
      <c r="G1084" s="2" t="s">
        <v>111</v>
      </c>
      <c r="H1084" s="2" t="s">
        <v>537</v>
      </c>
      <c r="I1084" s="5">
        <v>366038.01</v>
      </c>
      <c r="J1084" s="57"/>
      <c r="K1084" s="3" t="s">
        <v>12</v>
      </c>
      <c r="L1084" s="2" t="s">
        <v>226</v>
      </c>
      <c r="M1084" s="2" t="s">
        <v>12</v>
      </c>
      <c r="N1084" s="2" t="s">
        <v>12</v>
      </c>
      <c r="O1084" s="2" t="s">
        <v>12</v>
      </c>
      <c r="P1084" s="21" t="s">
        <v>12</v>
      </c>
      <c r="Q1084" s="3" t="s">
        <v>12</v>
      </c>
      <c r="R1084" s="3" t="s">
        <v>12</v>
      </c>
    </row>
    <row r="1085" spans="1:18" x14ac:dyDescent="0.25">
      <c r="A1085" s="30">
        <v>45831</v>
      </c>
      <c r="B1085" s="28">
        <v>1075</v>
      </c>
      <c r="C1085" s="28"/>
      <c r="D1085" s="2" t="s">
        <v>1395</v>
      </c>
      <c r="E1085" s="7" t="s">
        <v>1455</v>
      </c>
      <c r="F1085" s="7"/>
      <c r="G1085" s="2" t="s">
        <v>111</v>
      </c>
      <c r="H1085" s="2" t="s">
        <v>1017</v>
      </c>
      <c r="I1085" s="5">
        <v>366038.01</v>
      </c>
      <c r="J1085" s="57"/>
      <c r="K1085" s="3" t="s">
        <v>12</v>
      </c>
      <c r="L1085" s="2" t="s">
        <v>226</v>
      </c>
      <c r="M1085" s="2" t="s">
        <v>12</v>
      </c>
      <c r="N1085" s="2" t="s">
        <v>12</v>
      </c>
      <c r="O1085" s="2" t="s">
        <v>12</v>
      </c>
      <c r="P1085" s="21" t="s">
        <v>12</v>
      </c>
      <c r="Q1085" s="3" t="s">
        <v>12</v>
      </c>
      <c r="R1085" s="3" t="s">
        <v>12</v>
      </c>
    </row>
    <row r="1086" spans="1:18" x14ac:dyDescent="0.25">
      <c r="A1086" s="30">
        <v>45831</v>
      </c>
      <c r="B1086" s="28">
        <v>1076</v>
      </c>
      <c r="C1086" s="28"/>
      <c r="D1086" s="2" t="s">
        <v>109</v>
      </c>
      <c r="E1086" s="7" t="s">
        <v>1625</v>
      </c>
      <c r="F1086" s="7"/>
      <c r="G1086" s="2" t="s">
        <v>111</v>
      </c>
      <c r="H1086" s="2" t="s">
        <v>395</v>
      </c>
      <c r="I1086" s="5">
        <v>28379.01</v>
      </c>
      <c r="J1086" s="57"/>
      <c r="K1086" s="3">
        <v>312</v>
      </c>
      <c r="L1086" s="2" t="s">
        <v>226</v>
      </c>
      <c r="M1086" s="2" t="s">
        <v>12</v>
      </c>
      <c r="N1086" s="2" t="s">
        <v>12</v>
      </c>
      <c r="O1086" s="2" t="s">
        <v>12</v>
      </c>
      <c r="P1086" s="21" t="s">
        <v>12</v>
      </c>
      <c r="Q1086" s="3" t="s">
        <v>12</v>
      </c>
      <c r="R1086" s="3" t="s">
        <v>12</v>
      </c>
    </row>
    <row r="1087" spans="1:18" x14ac:dyDescent="0.25">
      <c r="A1087" s="30">
        <v>45832</v>
      </c>
      <c r="B1087" s="28">
        <v>1077</v>
      </c>
      <c r="C1087" s="28"/>
      <c r="D1087" s="2" t="s">
        <v>1190</v>
      </c>
      <c r="E1087" s="7" t="s">
        <v>12</v>
      </c>
      <c r="F1087" s="7"/>
      <c r="G1087" s="2" t="s">
        <v>13</v>
      </c>
      <c r="H1087" s="2" t="s">
        <v>390</v>
      </c>
      <c r="I1087" s="5">
        <v>13314.61</v>
      </c>
      <c r="J1087" s="57"/>
      <c r="K1087" s="3">
        <v>192</v>
      </c>
      <c r="L1087" s="2" t="s">
        <v>64</v>
      </c>
      <c r="M1087" s="2" t="s">
        <v>12</v>
      </c>
      <c r="N1087" s="2" t="s">
        <v>12</v>
      </c>
      <c r="O1087" s="2" t="s">
        <v>12</v>
      </c>
      <c r="P1087" s="21" t="s">
        <v>12</v>
      </c>
      <c r="Q1087" s="3" t="s">
        <v>12</v>
      </c>
      <c r="R1087" s="3" t="s">
        <v>12</v>
      </c>
    </row>
    <row r="1088" spans="1:18" x14ac:dyDescent="0.25">
      <c r="A1088" s="30">
        <v>45831</v>
      </c>
      <c r="B1088" s="28">
        <v>1078</v>
      </c>
      <c r="C1088" s="28"/>
      <c r="D1088" s="2" t="s">
        <v>215</v>
      </c>
      <c r="E1088" s="7" t="s">
        <v>1381</v>
      </c>
      <c r="F1088" s="7"/>
      <c r="G1088" s="2" t="s">
        <v>26</v>
      </c>
      <c r="H1088" s="2" t="s">
        <v>216</v>
      </c>
      <c r="I1088" s="5">
        <v>71270.320000000007</v>
      </c>
      <c r="J1088" s="57"/>
      <c r="K1088" s="3">
        <v>792</v>
      </c>
      <c r="L1088" s="2" t="s">
        <v>64</v>
      </c>
      <c r="M1088" s="2" t="s">
        <v>12</v>
      </c>
      <c r="N1088" s="2" t="s">
        <v>12</v>
      </c>
      <c r="O1088" s="2" t="s">
        <v>12</v>
      </c>
      <c r="P1088" s="21" t="s">
        <v>12</v>
      </c>
      <c r="Q1088" s="3" t="s">
        <v>12</v>
      </c>
      <c r="R1088" s="3" t="s">
        <v>12</v>
      </c>
    </row>
    <row r="1089" spans="1:18" x14ac:dyDescent="0.25">
      <c r="A1089" s="30">
        <v>45832</v>
      </c>
      <c r="B1089" s="28">
        <v>1079</v>
      </c>
      <c r="C1089" s="28"/>
      <c r="D1089" s="2" t="s">
        <v>1190</v>
      </c>
      <c r="E1089" s="7" t="s">
        <v>12</v>
      </c>
      <c r="F1089" s="7"/>
      <c r="G1089" s="2" t="s">
        <v>13</v>
      </c>
      <c r="H1089" s="2" t="s">
        <v>390</v>
      </c>
      <c r="I1089" s="5">
        <v>16111.68</v>
      </c>
      <c r="J1089" s="57"/>
      <c r="K1089" s="3">
        <v>240</v>
      </c>
      <c r="L1089" s="2" t="s">
        <v>64</v>
      </c>
      <c r="M1089" s="2" t="s">
        <v>12</v>
      </c>
      <c r="N1089" s="2" t="s">
        <v>12</v>
      </c>
      <c r="O1089" s="2" t="s">
        <v>12</v>
      </c>
      <c r="P1089" s="21" t="s">
        <v>12</v>
      </c>
      <c r="Q1089" s="3" t="s">
        <v>12</v>
      </c>
      <c r="R1089" s="3" t="s">
        <v>12</v>
      </c>
    </row>
    <row r="1090" spans="1:18" x14ac:dyDescent="0.25">
      <c r="A1090" s="30">
        <v>45832</v>
      </c>
      <c r="B1090" s="28">
        <v>1080</v>
      </c>
      <c r="C1090" s="28"/>
      <c r="D1090" s="2" t="s">
        <v>70</v>
      </c>
      <c r="E1090" s="2" t="s">
        <v>1382</v>
      </c>
      <c r="F1090" s="2"/>
      <c r="G1090" s="2" t="s">
        <v>13</v>
      </c>
      <c r="H1090" s="2" t="s">
        <v>72</v>
      </c>
      <c r="I1090" s="5">
        <v>134999.99</v>
      </c>
      <c r="J1090" s="57"/>
      <c r="K1090" s="3">
        <v>2174.4</v>
      </c>
      <c r="L1090" s="2" t="s">
        <v>64</v>
      </c>
      <c r="M1090" s="2" t="s">
        <v>12</v>
      </c>
      <c r="N1090" s="2" t="s">
        <v>12</v>
      </c>
      <c r="O1090" s="2" t="s">
        <v>12</v>
      </c>
      <c r="P1090" s="21" t="s">
        <v>12</v>
      </c>
      <c r="Q1090" s="3" t="s">
        <v>12</v>
      </c>
      <c r="R1090" s="3" t="s">
        <v>12</v>
      </c>
    </row>
    <row r="1091" spans="1:18" x14ac:dyDescent="0.25">
      <c r="A1091" s="30">
        <v>45832</v>
      </c>
      <c r="B1091" s="28">
        <v>1081</v>
      </c>
      <c r="C1091" s="28"/>
      <c r="D1091" s="2" t="s">
        <v>87</v>
      </c>
      <c r="E1091" s="7" t="s">
        <v>1383</v>
      </c>
      <c r="F1091" s="7"/>
      <c r="G1091" s="2" t="s">
        <v>13</v>
      </c>
      <c r="H1091" s="2" t="s">
        <v>114</v>
      </c>
      <c r="I1091" s="5">
        <v>33310.17</v>
      </c>
      <c r="J1091" s="57"/>
      <c r="K1091" s="3">
        <v>338.4</v>
      </c>
      <c r="L1091" s="2" t="s">
        <v>226</v>
      </c>
      <c r="M1091" s="2" t="s">
        <v>12</v>
      </c>
      <c r="N1091" s="2" t="s">
        <v>12</v>
      </c>
      <c r="O1091" s="2" t="s">
        <v>12</v>
      </c>
      <c r="P1091" s="21" t="s">
        <v>12</v>
      </c>
      <c r="Q1091" s="3"/>
      <c r="R1091" s="3"/>
    </row>
    <row r="1092" spans="1:18" x14ac:dyDescent="0.25">
      <c r="A1092" s="30">
        <v>45832</v>
      </c>
      <c r="B1092" s="28">
        <v>1082</v>
      </c>
      <c r="C1092" s="28"/>
      <c r="D1092" s="2" t="s">
        <v>87</v>
      </c>
      <c r="E1092" s="7" t="s">
        <v>1384</v>
      </c>
      <c r="F1092" s="7"/>
      <c r="G1092" s="2" t="s">
        <v>13</v>
      </c>
      <c r="H1092" s="2" t="s">
        <v>185</v>
      </c>
      <c r="I1092" s="5">
        <v>154154.47</v>
      </c>
      <c r="J1092" s="57"/>
      <c r="K1092" s="3">
        <v>1536</v>
      </c>
      <c r="L1092" s="2" t="s">
        <v>64</v>
      </c>
      <c r="M1092" s="2" t="s">
        <v>12</v>
      </c>
      <c r="N1092" s="2" t="s">
        <v>12</v>
      </c>
      <c r="O1092" s="2" t="s">
        <v>12</v>
      </c>
      <c r="P1092" s="21" t="s">
        <v>12</v>
      </c>
      <c r="Q1092" s="3"/>
      <c r="R1092" s="3"/>
    </row>
    <row r="1093" spans="1:18" x14ac:dyDescent="0.25">
      <c r="A1093" s="30">
        <v>45832</v>
      </c>
      <c r="B1093" s="28">
        <v>1083</v>
      </c>
      <c r="C1093" s="28"/>
      <c r="D1093" s="2" t="s">
        <v>103</v>
      </c>
      <c r="E1093" s="7" t="s">
        <v>1385</v>
      </c>
      <c r="F1093" s="7"/>
      <c r="G1093" s="2" t="s">
        <v>13</v>
      </c>
      <c r="H1093" s="2" t="s">
        <v>491</v>
      </c>
      <c r="I1093" s="5">
        <v>9698.67</v>
      </c>
      <c r="J1093" s="57"/>
      <c r="K1093" s="3">
        <v>120</v>
      </c>
      <c r="L1093" s="2" t="s">
        <v>21</v>
      </c>
      <c r="M1093" s="2" t="s">
        <v>12</v>
      </c>
      <c r="N1093" s="2" t="s">
        <v>12</v>
      </c>
      <c r="O1093" s="2" t="s">
        <v>12</v>
      </c>
      <c r="P1093" s="21" t="s">
        <v>12</v>
      </c>
      <c r="Q1093" s="3" t="s">
        <v>12</v>
      </c>
      <c r="R1093" s="3" t="s">
        <v>12</v>
      </c>
    </row>
    <row r="1094" spans="1:18" x14ac:dyDescent="0.25">
      <c r="A1094" s="30">
        <v>45833</v>
      </c>
      <c r="B1094" s="28">
        <v>1084</v>
      </c>
      <c r="C1094" s="28"/>
      <c r="D1094" s="2" t="s">
        <v>541</v>
      </c>
      <c r="E1094" s="7" t="s">
        <v>12</v>
      </c>
      <c r="F1094" s="7"/>
      <c r="G1094" s="2" t="s">
        <v>97</v>
      </c>
      <c r="H1094" s="2" t="s">
        <v>543</v>
      </c>
      <c r="I1094" s="5">
        <v>3772.98</v>
      </c>
      <c r="J1094" s="57"/>
      <c r="K1094" s="3">
        <v>48</v>
      </c>
      <c r="L1094" s="2" t="s">
        <v>64</v>
      </c>
      <c r="M1094" s="2" t="s">
        <v>12</v>
      </c>
      <c r="N1094" s="2" t="s">
        <v>12</v>
      </c>
      <c r="O1094" s="2" t="s">
        <v>12</v>
      </c>
      <c r="P1094" s="21" t="s">
        <v>12</v>
      </c>
      <c r="Q1094" s="3" t="s">
        <v>12</v>
      </c>
      <c r="R1094" s="3" t="s">
        <v>12</v>
      </c>
    </row>
    <row r="1095" spans="1:18" x14ac:dyDescent="0.25">
      <c r="A1095" s="30">
        <v>45832</v>
      </c>
      <c r="B1095" s="28">
        <v>1085</v>
      </c>
      <c r="C1095" s="28"/>
      <c r="D1095" s="2" t="s">
        <v>206</v>
      </c>
      <c r="E1095" s="7" t="s">
        <v>1386</v>
      </c>
      <c r="F1095" s="7"/>
      <c r="G1095" s="2" t="s">
        <v>97</v>
      </c>
      <c r="H1095" s="2" t="s">
        <v>473</v>
      </c>
      <c r="I1095" s="5">
        <v>2587.94</v>
      </c>
      <c r="J1095" s="57"/>
      <c r="K1095" s="3">
        <v>48</v>
      </c>
      <c r="L1095" s="2" t="s">
        <v>64</v>
      </c>
      <c r="M1095" s="2" t="s">
        <v>12</v>
      </c>
      <c r="N1095" s="2" t="s">
        <v>12</v>
      </c>
      <c r="O1095" s="2" t="s">
        <v>12</v>
      </c>
      <c r="P1095" s="21" t="s">
        <v>12</v>
      </c>
      <c r="Q1095" s="3" t="s">
        <v>12</v>
      </c>
      <c r="R1095" s="3" t="s">
        <v>12</v>
      </c>
    </row>
    <row r="1096" spans="1:18" x14ac:dyDescent="0.25">
      <c r="A1096" s="30">
        <v>45832</v>
      </c>
      <c r="B1096" s="28">
        <v>1086</v>
      </c>
      <c r="C1096" s="28"/>
      <c r="D1096" s="2" t="s">
        <v>243</v>
      </c>
      <c r="E1096" s="7" t="s">
        <v>12</v>
      </c>
      <c r="F1096" s="7"/>
      <c r="G1096" s="2" t="s">
        <v>20</v>
      </c>
      <c r="H1096" s="2" t="s">
        <v>244</v>
      </c>
      <c r="I1096" s="5">
        <v>2003.19</v>
      </c>
      <c r="J1096" s="57"/>
      <c r="K1096" s="3">
        <v>24</v>
      </c>
      <c r="L1096" s="2" t="s">
        <v>64</v>
      </c>
      <c r="M1096" s="2" t="s">
        <v>12</v>
      </c>
      <c r="N1096" s="2" t="s">
        <v>12</v>
      </c>
      <c r="O1096" s="2" t="s">
        <v>12</v>
      </c>
      <c r="P1096" s="21" t="s">
        <v>12</v>
      </c>
      <c r="Q1096" s="3" t="s">
        <v>12</v>
      </c>
      <c r="R1096" s="3" t="s">
        <v>12</v>
      </c>
    </row>
    <row r="1097" spans="1:18" x14ac:dyDescent="0.25">
      <c r="A1097" s="30">
        <v>45833</v>
      </c>
      <c r="B1097" s="28">
        <v>1087</v>
      </c>
      <c r="C1097" s="28"/>
      <c r="D1097" s="2" t="s">
        <v>515</v>
      </c>
      <c r="E1097" s="7" t="s">
        <v>12</v>
      </c>
      <c r="F1097" s="7"/>
      <c r="G1097" s="2" t="s">
        <v>111</v>
      </c>
      <c r="H1097" s="2" t="s">
        <v>1168</v>
      </c>
      <c r="I1097" s="5">
        <v>3677.97</v>
      </c>
      <c r="J1097" s="57"/>
      <c r="K1097" s="3" t="s">
        <v>12</v>
      </c>
      <c r="L1097" s="2" t="s">
        <v>64</v>
      </c>
      <c r="M1097" s="2" t="s">
        <v>12</v>
      </c>
      <c r="N1097" s="2" t="s">
        <v>12</v>
      </c>
      <c r="O1097" s="2" t="s">
        <v>12</v>
      </c>
      <c r="P1097" s="21" t="s">
        <v>12</v>
      </c>
      <c r="Q1097" s="3" t="s">
        <v>12</v>
      </c>
      <c r="R1097" s="3" t="s">
        <v>12</v>
      </c>
    </row>
    <row r="1098" spans="1:18" x14ac:dyDescent="0.25">
      <c r="A1098" s="30">
        <v>45833</v>
      </c>
      <c r="B1098" s="28">
        <v>1088</v>
      </c>
      <c r="C1098" s="28"/>
      <c r="D1098" s="2" t="s">
        <v>1152</v>
      </c>
      <c r="E1098" s="7" t="s">
        <v>1364</v>
      </c>
      <c r="F1098" s="7"/>
      <c r="G1098" s="2" t="s">
        <v>13</v>
      </c>
      <c r="H1098" s="2" t="s">
        <v>1153</v>
      </c>
      <c r="I1098" s="5">
        <v>11154.41</v>
      </c>
      <c r="J1098" s="57"/>
      <c r="K1098" s="3">
        <v>144</v>
      </c>
      <c r="L1098" s="2" t="s">
        <v>64</v>
      </c>
      <c r="M1098" s="2" t="s">
        <v>12</v>
      </c>
      <c r="N1098" s="2" t="s">
        <v>12</v>
      </c>
      <c r="O1098" s="2" t="s">
        <v>12</v>
      </c>
      <c r="P1098" s="21" t="s">
        <v>12</v>
      </c>
      <c r="Q1098" s="3" t="s">
        <v>12</v>
      </c>
      <c r="R1098" s="3" t="s">
        <v>12</v>
      </c>
    </row>
    <row r="1099" spans="1:18" x14ac:dyDescent="0.25">
      <c r="A1099" s="30">
        <v>45833</v>
      </c>
      <c r="B1099" s="28">
        <v>1089</v>
      </c>
      <c r="C1099" s="28"/>
      <c r="D1099" s="2" t="s">
        <v>1190</v>
      </c>
      <c r="E1099" s="7" t="s">
        <v>12</v>
      </c>
      <c r="F1099" s="7"/>
      <c r="G1099" s="2" t="s">
        <v>13</v>
      </c>
      <c r="H1099" s="2" t="s">
        <v>390</v>
      </c>
      <c r="I1099" s="5">
        <v>2725.8</v>
      </c>
      <c r="J1099" s="57"/>
      <c r="K1099" s="3">
        <v>48</v>
      </c>
      <c r="L1099" s="2" t="s">
        <v>64</v>
      </c>
      <c r="M1099" s="2" t="s">
        <v>12</v>
      </c>
      <c r="N1099" s="2" t="s">
        <v>12</v>
      </c>
      <c r="O1099" s="2" t="s">
        <v>12</v>
      </c>
      <c r="P1099" s="21" t="s">
        <v>12</v>
      </c>
      <c r="Q1099" s="3" t="s">
        <v>12</v>
      </c>
      <c r="R1099" s="3" t="s">
        <v>12</v>
      </c>
    </row>
    <row r="1100" spans="1:18" x14ac:dyDescent="0.25">
      <c r="A1100" s="30">
        <v>45833</v>
      </c>
      <c r="B1100" s="28">
        <v>1090</v>
      </c>
      <c r="C1100" s="28"/>
      <c r="D1100" s="2" t="s">
        <v>1387</v>
      </c>
      <c r="E1100" s="7" t="s">
        <v>1388</v>
      </c>
      <c r="F1100" s="7"/>
      <c r="G1100" s="2" t="s">
        <v>13</v>
      </c>
      <c r="H1100" s="2" t="s">
        <v>1389</v>
      </c>
      <c r="I1100" s="5">
        <v>116685.77</v>
      </c>
      <c r="J1100" s="57"/>
      <c r="K1100" s="3">
        <v>1176</v>
      </c>
      <c r="L1100" s="2" t="s">
        <v>226</v>
      </c>
      <c r="M1100" s="2" t="s">
        <v>12</v>
      </c>
      <c r="N1100" s="2" t="s">
        <v>12</v>
      </c>
      <c r="O1100" s="2" t="s">
        <v>12</v>
      </c>
      <c r="P1100" s="21" t="s">
        <v>12</v>
      </c>
      <c r="Q1100" s="3" t="s">
        <v>12</v>
      </c>
      <c r="R1100" s="3" t="s">
        <v>12</v>
      </c>
    </row>
    <row r="1101" spans="1:18" x14ac:dyDescent="0.25">
      <c r="A1101" s="30">
        <v>45833</v>
      </c>
      <c r="B1101" s="28">
        <v>1091</v>
      </c>
      <c r="C1101" s="28"/>
      <c r="D1101" s="2" t="s">
        <v>23</v>
      </c>
      <c r="E1101" s="7" t="s">
        <v>1390</v>
      </c>
      <c r="F1101" s="7"/>
      <c r="G1101" s="2" t="s">
        <v>20</v>
      </c>
      <c r="H1101" s="2" t="s">
        <v>32</v>
      </c>
      <c r="I1101" s="5">
        <v>4537.3</v>
      </c>
      <c r="J1101" s="57"/>
      <c r="K1101" s="3">
        <v>72</v>
      </c>
      <c r="L1101" s="2" t="s">
        <v>226</v>
      </c>
      <c r="M1101" s="2" t="s">
        <v>1842</v>
      </c>
      <c r="N1101" s="2" t="s">
        <v>12</v>
      </c>
      <c r="O1101" s="2" t="s">
        <v>12</v>
      </c>
      <c r="P1101" s="21" t="s">
        <v>12</v>
      </c>
      <c r="Q1101" s="3" t="s">
        <v>12</v>
      </c>
      <c r="R1101" s="3" t="s">
        <v>12</v>
      </c>
    </row>
    <row r="1102" spans="1:18" x14ac:dyDescent="0.25">
      <c r="A1102" s="30">
        <v>45833</v>
      </c>
      <c r="B1102" s="28">
        <v>1092</v>
      </c>
      <c r="C1102" s="28"/>
      <c r="D1102" s="2" t="s">
        <v>106</v>
      </c>
      <c r="E1102" s="7" t="s">
        <v>1391</v>
      </c>
      <c r="F1102" s="7"/>
      <c r="G1102" s="2" t="s">
        <v>13</v>
      </c>
      <c r="H1102" s="2" t="s">
        <v>40</v>
      </c>
      <c r="I1102" s="5">
        <v>69669.67</v>
      </c>
      <c r="J1102" s="57"/>
      <c r="K1102" s="3">
        <v>552</v>
      </c>
      <c r="L1102" s="2" t="s">
        <v>64</v>
      </c>
      <c r="M1102" s="2" t="s">
        <v>12</v>
      </c>
      <c r="N1102" s="2" t="s">
        <v>12</v>
      </c>
      <c r="O1102" s="2" t="s">
        <v>12</v>
      </c>
      <c r="P1102" s="21" t="s">
        <v>12</v>
      </c>
      <c r="Q1102" s="3" t="s">
        <v>12</v>
      </c>
      <c r="R1102" s="3" t="s">
        <v>12</v>
      </c>
    </row>
    <row r="1103" spans="1:18" x14ac:dyDescent="0.25">
      <c r="A1103" s="30">
        <v>45833</v>
      </c>
      <c r="B1103" s="28">
        <v>1093</v>
      </c>
      <c r="C1103" s="28"/>
      <c r="D1103" s="2" t="s">
        <v>59</v>
      </c>
      <c r="E1103" s="7" t="s">
        <v>1392</v>
      </c>
      <c r="F1103" s="7"/>
      <c r="G1103" s="2" t="s">
        <v>20</v>
      </c>
      <c r="H1103" s="2" t="s">
        <v>1169</v>
      </c>
      <c r="I1103" s="5">
        <v>70431.899999999994</v>
      </c>
      <c r="J1103" s="57"/>
      <c r="K1103" s="3">
        <v>715.2</v>
      </c>
      <c r="L1103" s="2" t="s">
        <v>226</v>
      </c>
      <c r="M1103" s="2" t="s">
        <v>12</v>
      </c>
      <c r="N1103" s="2" t="s">
        <v>12</v>
      </c>
      <c r="O1103" s="2" t="s">
        <v>12</v>
      </c>
      <c r="P1103" s="21" t="s">
        <v>12</v>
      </c>
      <c r="Q1103" s="3" t="s">
        <v>12</v>
      </c>
      <c r="R1103" s="3" t="s">
        <v>12</v>
      </c>
    </row>
    <row r="1104" spans="1:18" x14ac:dyDescent="0.25">
      <c r="A1104" s="30">
        <v>45833</v>
      </c>
      <c r="B1104" s="28">
        <v>1094</v>
      </c>
      <c r="C1104" s="28"/>
      <c r="D1104" s="2" t="s">
        <v>1091</v>
      </c>
      <c r="E1104" s="7" t="s">
        <v>1393</v>
      </c>
      <c r="F1104" s="7"/>
      <c r="G1104" s="2" t="s">
        <v>26</v>
      </c>
      <c r="H1104" s="2" t="s">
        <v>225</v>
      </c>
      <c r="I1104" s="5">
        <v>23739.37</v>
      </c>
      <c r="J1104" s="57"/>
      <c r="K1104" s="3">
        <v>216</v>
      </c>
      <c r="L1104" s="2" t="s">
        <v>64</v>
      </c>
      <c r="M1104" s="2" t="s">
        <v>12</v>
      </c>
      <c r="N1104" s="2" t="s">
        <v>12</v>
      </c>
      <c r="O1104" s="2" t="s">
        <v>12</v>
      </c>
      <c r="P1104" s="21" t="s">
        <v>12</v>
      </c>
      <c r="Q1104" s="3" t="s">
        <v>12</v>
      </c>
      <c r="R1104" s="3" t="s">
        <v>12</v>
      </c>
    </row>
    <row r="1105" spans="1:18" x14ac:dyDescent="0.25">
      <c r="A1105" s="30">
        <v>45833</v>
      </c>
      <c r="B1105" s="28">
        <v>1095</v>
      </c>
      <c r="C1105" s="28"/>
      <c r="D1105" s="2" t="s">
        <v>1091</v>
      </c>
      <c r="E1105" s="7" t="s">
        <v>1394</v>
      </c>
      <c r="F1105" s="7"/>
      <c r="G1105" s="2" t="s">
        <v>26</v>
      </c>
      <c r="H1105" s="2" t="s">
        <v>225</v>
      </c>
      <c r="I1105" s="5">
        <v>37250.99</v>
      </c>
      <c r="J1105" s="57"/>
      <c r="K1105" s="3">
        <v>360</v>
      </c>
      <c r="L1105" s="2" t="s">
        <v>64</v>
      </c>
      <c r="M1105" s="2" t="s">
        <v>12</v>
      </c>
      <c r="N1105" s="2" t="s">
        <v>12</v>
      </c>
      <c r="O1105" s="2" t="s">
        <v>12</v>
      </c>
      <c r="P1105" s="21" t="s">
        <v>12</v>
      </c>
      <c r="Q1105" s="3" t="s">
        <v>12</v>
      </c>
      <c r="R1105" s="3" t="s">
        <v>12</v>
      </c>
    </row>
    <row r="1106" spans="1:18" x14ac:dyDescent="0.25">
      <c r="A1106" s="30">
        <v>45834</v>
      </c>
      <c r="B1106" s="28">
        <v>1096</v>
      </c>
      <c r="C1106" s="28"/>
      <c r="D1106" s="2" t="s">
        <v>1403</v>
      </c>
      <c r="E1106" s="7"/>
      <c r="F1106" s="7"/>
      <c r="G1106" s="2" t="s">
        <v>13</v>
      </c>
      <c r="H1106" s="2" t="s">
        <v>1404</v>
      </c>
      <c r="I1106" s="5">
        <v>9148.34</v>
      </c>
      <c r="J1106" s="57"/>
      <c r="K1106" s="3">
        <v>96</v>
      </c>
      <c r="L1106" s="2" t="s">
        <v>226</v>
      </c>
      <c r="M1106" s="2"/>
      <c r="N1106" s="2"/>
      <c r="O1106" s="2"/>
      <c r="P1106" s="21"/>
      <c r="Q1106" s="3"/>
      <c r="R1106" s="3"/>
    </row>
    <row r="1107" spans="1:18" x14ac:dyDescent="0.25">
      <c r="A1107" s="30">
        <v>45834</v>
      </c>
      <c r="B1107" s="28">
        <v>1097</v>
      </c>
      <c r="C1107" s="28"/>
      <c r="D1107" s="2" t="s">
        <v>470</v>
      </c>
      <c r="E1107" s="7" t="s">
        <v>1481</v>
      </c>
      <c r="F1107" s="7"/>
      <c r="G1107" s="2" t="s">
        <v>97</v>
      </c>
      <c r="H1107" s="2" t="s">
        <v>471</v>
      </c>
      <c r="I1107" s="5">
        <v>21981.4</v>
      </c>
      <c r="J1107" s="57"/>
      <c r="K1107" s="3">
        <v>240</v>
      </c>
      <c r="L1107" s="2" t="s">
        <v>64</v>
      </c>
      <c r="M1107" s="2"/>
      <c r="N1107" s="2"/>
      <c r="O1107" s="2"/>
      <c r="P1107" s="21"/>
      <c r="Q1107" s="3"/>
      <c r="R1107" s="3"/>
    </row>
    <row r="1108" spans="1:18" x14ac:dyDescent="0.25">
      <c r="A1108" s="30">
        <v>45834</v>
      </c>
      <c r="B1108" s="28">
        <v>1098</v>
      </c>
      <c r="C1108" s="28"/>
      <c r="D1108" s="2" t="s">
        <v>1405</v>
      </c>
      <c r="E1108" s="7"/>
      <c r="F1108" s="7"/>
      <c r="G1108" s="2" t="s">
        <v>13</v>
      </c>
      <c r="H1108" s="2" t="s">
        <v>26</v>
      </c>
      <c r="I1108" s="5">
        <v>19268.73</v>
      </c>
      <c r="J1108" s="57"/>
      <c r="K1108" s="3">
        <v>168</v>
      </c>
      <c r="L1108" s="2" t="s">
        <v>226</v>
      </c>
      <c r="M1108" s="2"/>
      <c r="N1108" s="2"/>
      <c r="O1108" s="2"/>
      <c r="P1108" s="21"/>
      <c r="Q1108" s="3"/>
      <c r="R1108" s="3"/>
    </row>
    <row r="1109" spans="1:18" x14ac:dyDescent="0.25">
      <c r="A1109" s="30">
        <v>45834</v>
      </c>
      <c r="B1109" s="28">
        <v>1099</v>
      </c>
      <c r="C1109" s="28"/>
      <c r="D1109" s="2" t="s">
        <v>1408</v>
      </c>
      <c r="E1109" s="7" t="s">
        <v>1406</v>
      </c>
      <c r="F1109" s="7"/>
      <c r="G1109" s="2" t="s">
        <v>26</v>
      </c>
      <c r="H1109" s="2" t="s">
        <v>1407</v>
      </c>
      <c r="I1109" s="5">
        <v>14736.56</v>
      </c>
      <c r="J1109" s="57"/>
      <c r="K1109" s="3">
        <v>144</v>
      </c>
      <c r="L1109" s="2" t="s">
        <v>226</v>
      </c>
      <c r="M1109" s="2"/>
      <c r="N1109" s="2"/>
      <c r="O1109" s="2"/>
      <c r="P1109" s="21"/>
      <c r="Q1109" s="3"/>
      <c r="R1109" s="3"/>
    </row>
    <row r="1110" spans="1:18" x14ac:dyDescent="0.25">
      <c r="A1110" s="30">
        <v>45834</v>
      </c>
      <c r="B1110" s="28">
        <v>1100</v>
      </c>
      <c r="C1110" s="28"/>
      <c r="D1110" s="2" t="s">
        <v>255</v>
      </c>
      <c r="E1110" s="7"/>
      <c r="F1110" s="7"/>
      <c r="G1110" s="2" t="s">
        <v>13</v>
      </c>
      <c r="H1110" s="2" t="s">
        <v>129</v>
      </c>
      <c r="I1110" s="5">
        <v>4310.5200000000004</v>
      </c>
      <c r="J1110" s="57"/>
      <c r="K1110" s="3">
        <v>48</v>
      </c>
      <c r="L1110" s="2" t="s">
        <v>226</v>
      </c>
      <c r="M1110" s="2"/>
      <c r="N1110" s="2"/>
      <c r="O1110" s="2"/>
      <c r="P1110" s="21"/>
      <c r="Q1110" s="3"/>
      <c r="R1110" s="3"/>
    </row>
    <row r="1111" spans="1:18" x14ac:dyDescent="0.25">
      <c r="A1111" s="30">
        <v>45834</v>
      </c>
      <c r="B1111" s="28">
        <v>1101</v>
      </c>
      <c r="C1111" s="28"/>
      <c r="D1111" s="2" t="s">
        <v>601</v>
      </c>
      <c r="E1111" s="7" t="s">
        <v>920</v>
      </c>
      <c r="F1111" s="7"/>
      <c r="G1111" s="2" t="s">
        <v>13</v>
      </c>
      <c r="H1111" s="2" t="s">
        <v>751</v>
      </c>
      <c r="I1111" s="5">
        <v>556127.94999999995</v>
      </c>
      <c r="J1111" s="57"/>
      <c r="K1111" s="3">
        <v>4536</v>
      </c>
      <c r="L1111" s="2" t="s">
        <v>226</v>
      </c>
      <c r="M1111" s="2"/>
      <c r="N1111" s="2"/>
      <c r="O1111" s="2"/>
      <c r="P1111" s="21"/>
      <c r="Q1111" s="3"/>
      <c r="R1111" s="3"/>
    </row>
    <row r="1112" spans="1:18" x14ac:dyDescent="0.25">
      <c r="A1112" s="30">
        <v>45834</v>
      </c>
      <c r="B1112" s="28">
        <v>1102</v>
      </c>
      <c r="C1112" s="28"/>
      <c r="D1112" s="2" t="s">
        <v>33</v>
      </c>
      <c r="E1112" s="7" t="s">
        <v>1409</v>
      </c>
      <c r="F1112" s="7"/>
      <c r="G1112" s="2" t="s">
        <v>13</v>
      </c>
      <c r="H1112" s="2" t="s">
        <v>35</v>
      </c>
      <c r="I1112" s="5">
        <v>39938.339999999997</v>
      </c>
      <c r="J1112" s="57"/>
      <c r="K1112" s="3">
        <v>408</v>
      </c>
      <c r="L1112" s="2" t="s">
        <v>226</v>
      </c>
      <c r="M1112" s="2"/>
      <c r="N1112" s="2"/>
      <c r="O1112" s="2"/>
      <c r="P1112" s="21"/>
      <c r="Q1112" s="3"/>
      <c r="R1112" s="3"/>
    </row>
    <row r="1113" spans="1:18" x14ac:dyDescent="0.25">
      <c r="A1113" s="30">
        <v>45834</v>
      </c>
      <c r="B1113" s="28">
        <v>1103</v>
      </c>
      <c r="C1113" s="28"/>
      <c r="D1113" s="2" t="s">
        <v>124</v>
      </c>
      <c r="E1113" s="7" t="s">
        <v>1410</v>
      </c>
      <c r="F1113" s="7"/>
      <c r="G1113" s="2" t="s">
        <v>20</v>
      </c>
      <c r="H1113" s="2" t="s">
        <v>154</v>
      </c>
      <c r="I1113" s="5">
        <v>10877.59</v>
      </c>
      <c r="J1113" s="57"/>
      <c r="K1113" s="3">
        <v>144</v>
      </c>
      <c r="L1113" s="2" t="s">
        <v>226</v>
      </c>
      <c r="M1113" s="2" t="s">
        <v>1533</v>
      </c>
      <c r="N1113" s="2"/>
      <c r="O1113" s="2"/>
      <c r="P1113" s="21"/>
      <c r="Q1113" s="3"/>
      <c r="R1113" s="3"/>
    </row>
    <row r="1114" spans="1:18" x14ac:dyDescent="0.25">
      <c r="A1114" s="30">
        <v>45834</v>
      </c>
      <c r="B1114" s="28">
        <v>1104</v>
      </c>
      <c r="C1114" s="28"/>
      <c r="D1114" s="2" t="s">
        <v>348</v>
      </c>
      <c r="E1114" s="7"/>
      <c r="F1114" s="7"/>
      <c r="G1114" s="2" t="s">
        <v>26</v>
      </c>
      <c r="H1114" s="2" t="s">
        <v>319</v>
      </c>
      <c r="I1114" s="5">
        <v>15097.83</v>
      </c>
      <c r="J1114" s="57"/>
      <c r="K1114" s="3">
        <v>216</v>
      </c>
      <c r="L1114" s="2" t="s">
        <v>226</v>
      </c>
      <c r="M1114" s="2"/>
      <c r="N1114" s="2"/>
      <c r="O1114" s="2"/>
      <c r="P1114" s="21"/>
      <c r="Q1114" s="3"/>
      <c r="R1114" s="3"/>
    </row>
    <row r="1115" spans="1:18" x14ac:dyDescent="0.25">
      <c r="A1115" s="30">
        <v>45834</v>
      </c>
      <c r="B1115" s="28">
        <v>1105</v>
      </c>
      <c r="C1115" s="28"/>
      <c r="D1115" s="2" t="s">
        <v>1190</v>
      </c>
      <c r="E1115" s="7"/>
      <c r="F1115" s="7"/>
      <c r="G1115" s="2" t="s">
        <v>13</v>
      </c>
      <c r="H1115" s="2" t="s">
        <v>390</v>
      </c>
      <c r="I1115" s="5">
        <v>1362.9</v>
      </c>
      <c r="J1115" s="57"/>
      <c r="K1115" s="3">
        <v>24</v>
      </c>
      <c r="L1115" s="2" t="s">
        <v>226</v>
      </c>
      <c r="M1115" s="2"/>
      <c r="N1115" s="2"/>
      <c r="O1115" s="2"/>
      <c r="P1115" s="21"/>
      <c r="Q1115" s="3"/>
      <c r="R1115" s="3"/>
    </row>
    <row r="1116" spans="1:18" x14ac:dyDescent="0.25">
      <c r="A1116" s="30">
        <v>45834</v>
      </c>
      <c r="B1116" s="28">
        <v>1106</v>
      </c>
      <c r="C1116" s="28"/>
      <c r="D1116" s="2" t="s">
        <v>1412</v>
      </c>
      <c r="E1116" s="7" t="s">
        <v>1411</v>
      </c>
      <c r="F1116" s="7"/>
      <c r="G1116" s="2" t="s">
        <v>13</v>
      </c>
      <c r="H1116" s="2" t="s">
        <v>1413</v>
      </c>
      <c r="I1116" s="5">
        <v>28303.66</v>
      </c>
      <c r="J1116" s="57"/>
      <c r="K1116" s="3">
        <v>312</v>
      </c>
      <c r="L1116" s="2" t="s">
        <v>226</v>
      </c>
      <c r="M1116" s="2"/>
      <c r="N1116" s="2"/>
      <c r="O1116" s="2"/>
      <c r="P1116" s="21"/>
      <c r="Q1116" s="3"/>
      <c r="R1116" s="3"/>
    </row>
    <row r="1117" spans="1:18" x14ac:dyDescent="0.25">
      <c r="A1117" s="30">
        <v>45835</v>
      </c>
      <c r="B1117" s="28">
        <v>1107</v>
      </c>
      <c r="C1117" s="28"/>
      <c r="D1117" s="2" t="s">
        <v>168</v>
      </c>
      <c r="E1117" s="7" t="s">
        <v>1374</v>
      </c>
      <c r="F1117" s="7"/>
      <c r="G1117" s="2" t="s">
        <v>43</v>
      </c>
      <c r="H1117" s="2" t="s">
        <v>381</v>
      </c>
      <c r="I1117" s="5">
        <v>149181.21</v>
      </c>
      <c r="J1117" s="57"/>
      <c r="K1117" s="3">
        <v>1536</v>
      </c>
      <c r="L1117" s="2" t="s">
        <v>226</v>
      </c>
      <c r="M1117" s="2"/>
      <c r="N1117" s="2"/>
      <c r="O1117" s="2"/>
      <c r="P1117" s="21"/>
      <c r="Q1117" s="3"/>
      <c r="R1117" s="3"/>
    </row>
    <row r="1118" spans="1:18" x14ac:dyDescent="0.25">
      <c r="A1118" s="30">
        <v>45835</v>
      </c>
      <c r="B1118" s="28">
        <v>1108</v>
      </c>
      <c r="C1118" s="28"/>
      <c r="D1118" s="2" t="s">
        <v>470</v>
      </c>
      <c r="E1118" s="7"/>
      <c r="F1118" s="7"/>
      <c r="G1118" s="2" t="s">
        <v>97</v>
      </c>
      <c r="H1118" s="2" t="s">
        <v>471</v>
      </c>
      <c r="I1118" s="5">
        <v>225.96</v>
      </c>
      <c r="J1118" s="57"/>
      <c r="K1118" s="3">
        <v>0</v>
      </c>
      <c r="L1118" s="2" t="s">
        <v>64</v>
      </c>
      <c r="M1118" s="2"/>
      <c r="N1118" s="2"/>
      <c r="O1118" s="2"/>
      <c r="P1118" s="21"/>
      <c r="Q1118" s="3"/>
      <c r="R1118" s="3"/>
    </row>
    <row r="1119" spans="1:18" x14ac:dyDescent="0.25">
      <c r="A1119" s="30">
        <v>45835</v>
      </c>
      <c r="B1119" s="28">
        <v>1109</v>
      </c>
      <c r="C1119" s="28"/>
      <c r="D1119" s="2" t="s">
        <v>124</v>
      </c>
      <c r="E1119" s="7" t="s">
        <v>1414</v>
      </c>
      <c r="F1119" s="7"/>
      <c r="G1119" s="2" t="s">
        <v>20</v>
      </c>
      <c r="H1119" s="2" t="s">
        <v>154</v>
      </c>
      <c r="I1119" s="5">
        <v>730970</v>
      </c>
      <c r="J1119" s="57"/>
      <c r="K1119" s="3">
        <v>8520</v>
      </c>
      <c r="L1119" s="2" t="s">
        <v>226</v>
      </c>
      <c r="M1119" s="2" t="s">
        <v>1908</v>
      </c>
      <c r="N1119" s="2"/>
      <c r="O1119" s="2"/>
      <c r="P1119" s="21"/>
      <c r="Q1119" s="3"/>
      <c r="R1119" s="3"/>
    </row>
    <row r="1120" spans="1:18" x14ac:dyDescent="0.25">
      <c r="A1120" s="30">
        <v>45835</v>
      </c>
      <c r="B1120" s="28">
        <v>1110</v>
      </c>
      <c r="C1120" s="28"/>
      <c r="D1120" s="2" t="s">
        <v>1415</v>
      </c>
      <c r="E1120" s="7" t="s">
        <v>1416</v>
      </c>
      <c r="F1120" s="7"/>
      <c r="G1120" s="2" t="s">
        <v>13</v>
      </c>
      <c r="H1120" s="2" t="s">
        <v>407</v>
      </c>
      <c r="I1120" s="5">
        <v>10676.75</v>
      </c>
      <c r="J1120" s="57"/>
      <c r="K1120" s="3">
        <v>144</v>
      </c>
      <c r="L1120" s="2" t="s">
        <v>226</v>
      </c>
      <c r="M1120" s="2"/>
      <c r="N1120" s="2"/>
      <c r="O1120" s="2"/>
      <c r="P1120" s="21"/>
      <c r="Q1120" s="3"/>
      <c r="R1120" s="3"/>
    </row>
    <row r="1121" spans="1:18" x14ac:dyDescent="0.25">
      <c r="A1121" s="30">
        <v>45840</v>
      </c>
      <c r="B1121" s="28">
        <v>1111</v>
      </c>
      <c r="C1121" s="28"/>
      <c r="D1121" s="2" t="s">
        <v>1202</v>
      </c>
      <c r="E1121" s="7" t="s">
        <v>1417</v>
      </c>
      <c r="F1121" s="7"/>
      <c r="G1121" s="2" t="s">
        <v>97</v>
      </c>
      <c r="H1121" s="2" t="s">
        <v>101</v>
      </c>
      <c r="I1121" s="5">
        <v>5399.02</v>
      </c>
      <c r="J1121" s="57"/>
      <c r="K1121" s="3">
        <v>0</v>
      </c>
      <c r="L1121" s="2" t="s">
        <v>64</v>
      </c>
      <c r="M1121" s="2"/>
      <c r="N1121" s="2"/>
      <c r="O1121" s="2"/>
      <c r="P1121" s="21"/>
      <c r="Q1121" s="3"/>
      <c r="R1121" s="3"/>
    </row>
    <row r="1122" spans="1:18" x14ac:dyDescent="0.25">
      <c r="A1122" s="30">
        <v>45835</v>
      </c>
      <c r="B1122" s="28">
        <v>1112</v>
      </c>
      <c r="C1122" s="28"/>
      <c r="D1122" s="2" t="s">
        <v>208</v>
      </c>
      <c r="E1122" s="7" t="s">
        <v>1418</v>
      </c>
      <c r="F1122" s="7"/>
      <c r="G1122" s="2" t="s">
        <v>43</v>
      </c>
      <c r="H1122" s="2" t="s">
        <v>448</v>
      </c>
      <c r="I1122" s="5">
        <v>12982.93</v>
      </c>
      <c r="J1122" s="57"/>
      <c r="K1122" s="3">
        <v>120</v>
      </c>
      <c r="L1122" s="2" t="s">
        <v>226</v>
      </c>
      <c r="M1122" s="2"/>
      <c r="N1122" s="2"/>
      <c r="O1122" s="2"/>
      <c r="P1122" s="21"/>
      <c r="Q1122" s="3"/>
      <c r="R1122" s="3"/>
    </row>
    <row r="1123" spans="1:18" x14ac:dyDescent="0.25">
      <c r="A1123" s="30">
        <v>45838</v>
      </c>
      <c r="B1123" s="28">
        <v>1113</v>
      </c>
      <c r="C1123" s="28"/>
      <c r="D1123" s="2" t="s">
        <v>1419</v>
      </c>
      <c r="E1123" s="7"/>
      <c r="F1123" s="7"/>
      <c r="G1123" s="2" t="s">
        <v>13</v>
      </c>
      <c r="H1123" s="2" t="s">
        <v>1059</v>
      </c>
      <c r="I1123" s="5">
        <v>7034.14</v>
      </c>
      <c r="J1123" s="57"/>
      <c r="K1123" s="3">
        <v>72</v>
      </c>
      <c r="L1123" s="2" t="s">
        <v>226</v>
      </c>
      <c r="M1123" s="2"/>
      <c r="N1123" s="2"/>
      <c r="O1123" s="2"/>
      <c r="P1123" s="21"/>
      <c r="Q1123" s="3"/>
      <c r="R1123" s="3"/>
    </row>
    <row r="1124" spans="1:18" x14ac:dyDescent="0.25">
      <c r="A1124" s="30">
        <v>45838</v>
      </c>
      <c r="B1124" s="28">
        <v>1114</v>
      </c>
      <c r="C1124" s="28"/>
      <c r="D1124" s="2" t="s">
        <v>1420</v>
      </c>
      <c r="E1124" s="7"/>
      <c r="F1124" s="7"/>
      <c r="G1124" s="2" t="s">
        <v>13</v>
      </c>
      <c r="H1124" s="2" t="s">
        <v>596</v>
      </c>
      <c r="I1124" s="5">
        <v>6978.39</v>
      </c>
      <c r="J1124" s="57"/>
      <c r="K1124" s="3">
        <v>0</v>
      </c>
      <c r="L1124" s="2" t="s">
        <v>226</v>
      </c>
      <c r="M1124" s="2"/>
      <c r="N1124" s="2"/>
      <c r="O1124" s="2"/>
      <c r="P1124" s="21"/>
      <c r="Q1124" s="3"/>
      <c r="R1124" s="3"/>
    </row>
    <row r="1125" spans="1:18" x14ac:dyDescent="0.25">
      <c r="A1125" s="30">
        <v>45838</v>
      </c>
      <c r="B1125" s="28">
        <v>1115</v>
      </c>
      <c r="C1125" s="28"/>
      <c r="D1125" s="2" t="s">
        <v>1186</v>
      </c>
      <c r="E1125" s="7"/>
      <c r="F1125" s="7"/>
      <c r="G1125" s="2" t="s">
        <v>13</v>
      </c>
      <c r="H1125" s="2" t="s">
        <v>1421</v>
      </c>
      <c r="I1125" s="5">
        <v>11951.64</v>
      </c>
      <c r="J1125" s="57"/>
      <c r="K1125" s="3">
        <v>144</v>
      </c>
      <c r="L1125" s="2" t="s">
        <v>226</v>
      </c>
      <c r="M1125" s="2"/>
      <c r="N1125" s="2"/>
      <c r="O1125" s="2"/>
      <c r="P1125" s="21"/>
      <c r="Q1125" s="3"/>
      <c r="R1125" s="3"/>
    </row>
    <row r="1126" spans="1:18" x14ac:dyDescent="0.25">
      <c r="A1126" s="30">
        <v>45838</v>
      </c>
      <c r="B1126" s="28">
        <v>1116</v>
      </c>
      <c r="C1126" s="28"/>
      <c r="D1126" s="2" t="s">
        <v>1422</v>
      </c>
      <c r="E1126" s="7" t="s">
        <v>1423</v>
      </c>
      <c r="F1126" s="7"/>
      <c r="G1126" s="2" t="s">
        <v>13</v>
      </c>
      <c r="H1126" s="2" t="s">
        <v>1424</v>
      </c>
      <c r="I1126" s="5">
        <v>9441.41</v>
      </c>
      <c r="J1126" s="57"/>
      <c r="K1126" s="3">
        <v>48</v>
      </c>
      <c r="L1126" s="2" t="s">
        <v>226</v>
      </c>
      <c r="M1126" s="2"/>
      <c r="N1126" s="2"/>
      <c r="O1126" s="2"/>
      <c r="P1126" s="21"/>
      <c r="Q1126" s="3"/>
      <c r="R1126" s="3"/>
    </row>
    <row r="1127" spans="1:18" x14ac:dyDescent="0.25">
      <c r="A1127" s="30">
        <v>45838</v>
      </c>
      <c r="B1127" s="28">
        <v>1117</v>
      </c>
      <c r="C1127" s="28"/>
      <c r="D1127" s="2" t="s">
        <v>87</v>
      </c>
      <c r="E1127" s="7" t="s">
        <v>1425</v>
      </c>
      <c r="F1127" s="7"/>
      <c r="G1127" s="2" t="s">
        <v>13</v>
      </c>
      <c r="H1127" s="2" t="s">
        <v>185</v>
      </c>
      <c r="I1127" s="5">
        <v>226743.26</v>
      </c>
      <c r="J1127" s="57"/>
      <c r="K1127" s="3">
        <v>2352</v>
      </c>
      <c r="L1127" s="2" t="s">
        <v>226</v>
      </c>
      <c r="M1127" s="2"/>
      <c r="N1127" s="2"/>
      <c r="O1127" s="2"/>
      <c r="P1127" s="21"/>
      <c r="Q1127" s="3"/>
      <c r="R1127" s="3"/>
    </row>
    <row r="1128" spans="1:18" x14ac:dyDescent="0.25">
      <c r="A1128" s="30">
        <v>45838</v>
      </c>
      <c r="B1128" s="28">
        <v>1118</v>
      </c>
      <c r="C1128" s="28"/>
      <c r="D1128" s="2" t="s">
        <v>109</v>
      </c>
      <c r="E1128" s="7" t="s">
        <v>1626</v>
      </c>
      <c r="F1128" s="7"/>
      <c r="G1128" s="2" t="s">
        <v>111</v>
      </c>
      <c r="H1128" s="2" t="s">
        <v>395</v>
      </c>
      <c r="I1128" s="5">
        <v>44278.29</v>
      </c>
      <c r="J1128" s="57"/>
      <c r="K1128" s="3">
        <v>552</v>
      </c>
      <c r="L1128" s="2" t="s">
        <v>226</v>
      </c>
      <c r="M1128" s="2"/>
      <c r="N1128" s="2"/>
      <c r="O1128" s="2"/>
      <c r="P1128" s="21"/>
      <c r="Q1128" s="3"/>
      <c r="R1128" s="3"/>
    </row>
    <row r="1129" spans="1:18" x14ac:dyDescent="0.25">
      <c r="A1129" s="30">
        <v>45839</v>
      </c>
      <c r="B1129" s="28">
        <v>1119</v>
      </c>
      <c r="C1129" s="28"/>
      <c r="D1129" s="2" t="s">
        <v>1426</v>
      </c>
      <c r="E1129" s="7" t="s">
        <v>1427</v>
      </c>
      <c r="F1129" s="7"/>
      <c r="G1129" s="2" t="s">
        <v>20</v>
      </c>
      <c r="H1129" s="2" t="s">
        <v>1428</v>
      </c>
      <c r="I1129" s="5">
        <v>12522.46</v>
      </c>
      <c r="J1129" s="57"/>
      <c r="K1129" s="3">
        <v>144</v>
      </c>
      <c r="L1129" s="2" t="s">
        <v>226</v>
      </c>
      <c r="M1129" s="2" t="s">
        <v>1179</v>
      </c>
      <c r="N1129" s="2"/>
      <c r="O1129" s="2"/>
      <c r="P1129" s="21"/>
      <c r="Q1129" s="3"/>
      <c r="R1129" s="3"/>
    </row>
    <row r="1130" spans="1:18" x14ac:dyDescent="0.25">
      <c r="A1130" s="30">
        <v>45839</v>
      </c>
      <c r="B1130" s="28">
        <v>1120</v>
      </c>
      <c r="C1130" s="28"/>
      <c r="D1130" s="2" t="s">
        <v>1429</v>
      </c>
      <c r="E1130" s="7"/>
      <c r="F1130" s="7"/>
      <c r="G1130" s="2" t="s">
        <v>13</v>
      </c>
      <c r="H1130" s="2" t="s">
        <v>235</v>
      </c>
      <c r="I1130" s="5">
        <v>4715.63</v>
      </c>
      <c r="J1130" s="57"/>
      <c r="K1130" s="3">
        <v>72</v>
      </c>
      <c r="L1130" s="2" t="s">
        <v>64</v>
      </c>
      <c r="M1130" s="2"/>
      <c r="N1130" s="2"/>
      <c r="O1130" s="2"/>
      <c r="P1130" s="21"/>
      <c r="Q1130" s="3"/>
      <c r="R1130" s="3"/>
    </row>
    <row r="1131" spans="1:18" x14ac:dyDescent="0.25">
      <c r="A1131" s="30">
        <v>45839</v>
      </c>
      <c r="B1131" s="28">
        <v>1121</v>
      </c>
      <c r="C1131" s="28"/>
      <c r="D1131" s="2" t="s">
        <v>839</v>
      </c>
      <c r="E1131" s="7" t="s">
        <v>1430</v>
      </c>
      <c r="F1131" s="7"/>
      <c r="G1131" s="2" t="s">
        <v>20</v>
      </c>
      <c r="H1131" s="2" t="s">
        <v>1630</v>
      </c>
      <c r="I1131" s="5">
        <v>156379.91</v>
      </c>
      <c r="J1131" s="57"/>
      <c r="K1131" s="3">
        <v>1824</v>
      </c>
      <c r="L1131" s="2" t="s">
        <v>73</v>
      </c>
      <c r="M1131" s="2" t="s">
        <v>3030</v>
      </c>
      <c r="N1131" s="2"/>
      <c r="O1131" s="2"/>
      <c r="P1131" s="21"/>
      <c r="Q1131" s="3"/>
      <c r="R1131" s="3"/>
    </row>
    <row r="1132" spans="1:18" x14ac:dyDescent="0.25">
      <c r="A1132" s="30">
        <v>45839</v>
      </c>
      <c r="B1132" s="28">
        <v>1122</v>
      </c>
      <c r="C1132" s="28"/>
      <c r="D1132" s="2" t="s">
        <v>601</v>
      </c>
      <c r="E1132" s="7" t="s">
        <v>1431</v>
      </c>
      <c r="F1132" s="7"/>
      <c r="G1132" s="2" t="s">
        <v>13</v>
      </c>
      <c r="H1132" s="2" t="s">
        <v>751</v>
      </c>
      <c r="I1132" s="5">
        <v>5923.66</v>
      </c>
      <c r="J1132" s="57"/>
      <c r="K1132" s="3">
        <v>72</v>
      </c>
      <c r="L1132" s="2" t="s">
        <v>64</v>
      </c>
      <c r="M1132" s="2"/>
      <c r="N1132" s="2"/>
      <c r="O1132" s="2"/>
      <c r="P1132" s="21"/>
      <c r="Q1132" s="3"/>
      <c r="R1132" s="3"/>
    </row>
    <row r="1133" spans="1:18" x14ac:dyDescent="0.25">
      <c r="A1133" s="30">
        <v>45840</v>
      </c>
      <c r="B1133" s="28">
        <v>1123</v>
      </c>
      <c r="C1133" s="28"/>
      <c r="D1133" s="2" t="s">
        <v>1432</v>
      </c>
      <c r="E1133" s="7" t="s">
        <v>1433</v>
      </c>
      <c r="F1133" s="7"/>
      <c r="G1133" s="2" t="s">
        <v>97</v>
      </c>
      <c r="H1133" s="2" t="s">
        <v>1113</v>
      </c>
      <c r="I1133" s="5">
        <v>7637.14</v>
      </c>
      <c r="J1133" s="57"/>
      <c r="K1133" s="3">
        <v>96</v>
      </c>
      <c r="L1133" s="2" t="s">
        <v>226</v>
      </c>
      <c r="M1133" s="2"/>
      <c r="N1133" s="2"/>
      <c r="O1133" s="2"/>
      <c r="P1133" s="21"/>
      <c r="Q1133" s="3"/>
      <c r="R1133" s="3"/>
    </row>
    <row r="1134" spans="1:18" x14ac:dyDescent="0.25">
      <c r="A1134" s="30">
        <v>45840</v>
      </c>
      <c r="B1134" s="28">
        <v>1124</v>
      </c>
      <c r="C1134" s="28"/>
      <c r="D1134" s="2" t="s">
        <v>109</v>
      </c>
      <c r="E1134" s="7" t="s">
        <v>1627</v>
      </c>
      <c r="F1134" s="7"/>
      <c r="G1134" s="2" t="s">
        <v>111</v>
      </c>
      <c r="H1134" s="2" t="s">
        <v>395</v>
      </c>
      <c r="I1134" s="5">
        <v>29759.040000000001</v>
      </c>
      <c r="J1134" s="57"/>
      <c r="K1134" s="3">
        <v>360</v>
      </c>
      <c r="L1134" s="2" t="s">
        <v>226</v>
      </c>
      <c r="M1134" s="2"/>
      <c r="N1134" s="2"/>
      <c r="O1134" s="2"/>
      <c r="P1134" s="21"/>
      <c r="Q1134" s="3"/>
      <c r="R1134" s="3"/>
    </row>
    <row r="1135" spans="1:18" x14ac:dyDescent="0.25">
      <c r="A1135" s="30">
        <v>45961</v>
      </c>
      <c r="B1135" s="28">
        <v>1125</v>
      </c>
      <c r="C1135" s="28"/>
      <c r="D1135" s="2" t="s">
        <v>128</v>
      </c>
      <c r="E1135" s="7" t="s">
        <v>1434</v>
      </c>
      <c r="F1135" s="7"/>
      <c r="G1135" s="2" t="s">
        <v>97</v>
      </c>
      <c r="H1135" s="2" t="s">
        <v>590</v>
      </c>
      <c r="I1135" s="5">
        <v>44260.75</v>
      </c>
      <c r="J1135" s="57"/>
      <c r="K1135" s="3">
        <v>480</v>
      </c>
      <c r="L1135" s="2" t="s">
        <v>134</v>
      </c>
      <c r="M1135" s="2" t="s">
        <v>2030</v>
      </c>
      <c r="N1135" s="2" t="s">
        <v>135</v>
      </c>
      <c r="O1135" s="2" t="s">
        <v>1979</v>
      </c>
      <c r="P1135" s="21"/>
      <c r="Q1135" s="3"/>
      <c r="R1135" s="3"/>
    </row>
    <row r="1136" spans="1:18" x14ac:dyDescent="0.25">
      <c r="A1136" s="30">
        <v>45840</v>
      </c>
      <c r="B1136" s="28">
        <v>1126</v>
      </c>
      <c r="C1136" s="28"/>
      <c r="D1136" s="2" t="s">
        <v>1435</v>
      </c>
      <c r="E1136" s="7"/>
      <c r="F1136" s="7"/>
      <c r="G1136" s="2" t="s">
        <v>13</v>
      </c>
      <c r="H1136" s="2" t="s">
        <v>1436</v>
      </c>
      <c r="I1136" s="5">
        <v>94154.37</v>
      </c>
      <c r="J1136" s="57"/>
      <c r="K1136" s="3">
        <v>1080</v>
      </c>
      <c r="L1136" s="2" t="s">
        <v>226</v>
      </c>
      <c r="M1136" s="2"/>
      <c r="N1136" s="2"/>
      <c r="O1136" s="2"/>
      <c r="P1136" s="21"/>
      <c r="Q1136" s="3"/>
      <c r="R1136" s="3"/>
    </row>
    <row r="1137" spans="1:18" x14ac:dyDescent="0.25">
      <c r="A1137" s="30">
        <v>45840</v>
      </c>
      <c r="B1137" s="28">
        <v>1127</v>
      </c>
      <c r="C1137" s="28"/>
      <c r="D1137" s="2" t="s">
        <v>321</v>
      </c>
      <c r="E1137" s="7" t="s">
        <v>1695</v>
      </c>
      <c r="F1137" s="7"/>
      <c r="G1137" s="2" t="s">
        <v>111</v>
      </c>
      <c r="H1137" s="2" t="s">
        <v>129</v>
      </c>
      <c r="I1137" s="5">
        <v>8664.82</v>
      </c>
      <c r="J1137" s="57"/>
      <c r="K1137" s="3"/>
      <c r="L1137" s="2" t="s">
        <v>226</v>
      </c>
      <c r="M1137" s="2"/>
      <c r="N1137" s="2"/>
      <c r="O1137" s="2"/>
      <c r="P1137" s="21"/>
      <c r="Q1137" s="3"/>
      <c r="R1137" s="3"/>
    </row>
    <row r="1138" spans="1:18" x14ac:dyDescent="0.25">
      <c r="A1138" s="30">
        <v>45840</v>
      </c>
      <c r="B1138" s="28">
        <v>1128</v>
      </c>
      <c r="C1138" s="28"/>
      <c r="D1138" s="2" t="s">
        <v>41</v>
      </c>
      <c r="E1138" s="7" t="s">
        <v>1437</v>
      </c>
      <c r="F1138" s="7"/>
      <c r="G1138" s="2" t="s">
        <v>43</v>
      </c>
      <c r="H1138" s="2" t="s">
        <v>417</v>
      </c>
      <c r="I1138" s="5">
        <v>289993.5</v>
      </c>
      <c r="J1138" s="57"/>
      <c r="K1138" s="3">
        <v>2997</v>
      </c>
      <c r="L1138" s="2" t="s">
        <v>226</v>
      </c>
      <c r="M1138" s="2"/>
      <c r="N1138" s="2"/>
      <c r="O1138" s="2"/>
      <c r="P1138" s="21"/>
      <c r="Q1138" s="3"/>
      <c r="R1138" s="3" t="s">
        <v>80</v>
      </c>
    </row>
    <row r="1139" spans="1:18" x14ac:dyDescent="0.25">
      <c r="A1139" s="30">
        <v>45840</v>
      </c>
      <c r="B1139" s="28">
        <v>1129</v>
      </c>
      <c r="C1139" s="28"/>
      <c r="D1139" s="2" t="s">
        <v>1438</v>
      </c>
      <c r="E1139" s="7"/>
      <c r="F1139" s="7"/>
      <c r="G1139" s="2" t="s">
        <v>13</v>
      </c>
      <c r="H1139" s="2" t="s">
        <v>1439</v>
      </c>
      <c r="I1139" s="5">
        <v>15488.7</v>
      </c>
      <c r="J1139" s="57"/>
      <c r="K1139" s="3"/>
      <c r="L1139" s="2" t="s">
        <v>226</v>
      </c>
      <c r="M1139" s="2"/>
      <c r="N1139" s="2"/>
      <c r="O1139" s="2"/>
      <c r="P1139" s="21"/>
      <c r="Q1139" s="3"/>
      <c r="R1139" s="3"/>
    </row>
    <row r="1140" spans="1:18" x14ac:dyDescent="0.25">
      <c r="A1140" s="30">
        <v>45840</v>
      </c>
      <c r="B1140" s="28">
        <v>1130</v>
      </c>
      <c r="C1140" s="28"/>
      <c r="D1140" s="2" t="s">
        <v>1190</v>
      </c>
      <c r="E1140" s="7"/>
      <c r="F1140" s="7"/>
      <c r="G1140" s="2" t="s">
        <v>13</v>
      </c>
      <c r="H1140" s="2" t="s">
        <v>390</v>
      </c>
      <c r="I1140" s="5">
        <v>5520.29</v>
      </c>
      <c r="J1140" s="57"/>
      <c r="K1140" s="3">
        <v>96</v>
      </c>
      <c r="L1140" s="2" t="s">
        <v>226</v>
      </c>
      <c r="M1140" s="2"/>
      <c r="N1140" s="2"/>
      <c r="O1140" s="2"/>
      <c r="P1140" s="21"/>
      <c r="Q1140" s="3"/>
      <c r="R1140" s="3"/>
    </row>
    <row r="1141" spans="1:18" x14ac:dyDescent="0.25">
      <c r="A1141" s="30">
        <v>45840</v>
      </c>
      <c r="B1141" s="28">
        <v>1131</v>
      </c>
      <c r="C1141" s="28"/>
      <c r="D1141" s="2" t="s">
        <v>41</v>
      </c>
      <c r="E1141" s="7" t="s">
        <v>1440</v>
      </c>
      <c r="F1141" s="7"/>
      <c r="G1141" s="2" t="s">
        <v>43</v>
      </c>
      <c r="H1141" s="2" t="s">
        <v>43</v>
      </c>
      <c r="I1141" s="5">
        <v>161869.63</v>
      </c>
      <c r="J1141" s="57"/>
      <c r="K1141" s="3">
        <v>1728</v>
      </c>
      <c r="L1141" s="2" t="s">
        <v>226</v>
      </c>
      <c r="M1141" s="2"/>
      <c r="N1141" s="2"/>
      <c r="O1141" s="2"/>
      <c r="P1141" s="21"/>
      <c r="Q1141" s="3"/>
      <c r="R1141" s="3"/>
    </row>
    <row r="1142" spans="1:18" x14ac:dyDescent="0.25">
      <c r="A1142" s="30">
        <v>45840</v>
      </c>
      <c r="B1142" s="28">
        <v>1132</v>
      </c>
      <c r="C1142" s="28"/>
      <c r="D1142" s="2" t="s">
        <v>41</v>
      </c>
      <c r="E1142" s="7" t="s">
        <v>1441</v>
      </c>
      <c r="F1142" s="7"/>
      <c r="G1142" s="2" t="s">
        <v>43</v>
      </c>
      <c r="H1142" s="2" t="s">
        <v>43</v>
      </c>
      <c r="I1142" s="5">
        <v>25405.98</v>
      </c>
      <c r="J1142" s="57"/>
      <c r="K1142" s="3">
        <v>264</v>
      </c>
      <c r="L1142" s="2" t="s">
        <v>226</v>
      </c>
      <c r="M1142" s="2"/>
      <c r="N1142" s="2"/>
      <c r="O1142" s="2"/>
      <c r="P1142" s="21"/>
      <c r="Q1142" s="3"/>
      <c r="R1142" s="3" t="s">
        <v>80</v>
      </c>
    </row>
    <row r="1143" spans="1:18" x14ac:dyDescent="0.25">
      <c r="A1143" s="30">
        <v>45840</v>
      </c>
      <c r="B1143" s="28">
        <v>1133</v>
      </c>
      <c r="C1143" s="28"/>
      <c r="D1143" s="2" t="s">
        <v>56</v>
      </c>
      <c r="E1143" s="7" t="s">
        <v>1441</v>
      </c>
      <c r="F1143" s="7"/>
      <c r="G1143" s="2" t="s">
        <v>43</v>
      </c>
      <c r="H1143" s="2" t="s">
        <v>1442</v>
      </c>
      <c r="I1143" s="5">
        <v>25405.98</v>
      </c>
      <c r="J1143" s="57"/>
      <c r="K1143" s="3">
        <v>264</v>
      </c>
      <c r="L1143" s="2" t="s">
        <v>226</v>
      </c>
      <c r="M1143" s="2"/>
      <c r="N1143" s="2"/>
      <c r="O1143" s="2"/>
      <c r="P1143" s="21"/>
      <c r="Q1143" s="3"/>
      <c r="R1143" s="3" t="s">
        <v>80</v>
      </c>
    </row>
    <row r="1144" spans="1:18" x14ac:dyDescent="0.25">
      <c r="A1144" s="30">
        <v>45840</v>
      </c>
      <c r="B1144" s="28">
        <v>1134</v>
      </c>
      <c r="C1144" s="28"/>
      <c r="D1144" s="2" t="s">
        <v>87</v>
      </c>
      <c r="E1144" s="7" t="s">
        <v>1443</v>
      </c>
      <c r="F1144" s="7"/>
      <c r="G1144" s="2" t="s">
        <v>13</v>
      </c>
      <c r="H1144" s="2" t="s">
        <v>185</v>
      </c>
      <c r="I1144" s="5">
        <v>98207.679999999993</v>
      </c>
      <c r="J1144" s="57"/>
      <c r="K1144" s="3">
        <v>1008</v>
      </c>
      <c r="L1144" s="2" t="s">
        <v>226</v>
      </c>
      <c r="M1144" s="2"/>
      <c r="N1144" s="2"/>
      <c r="O1144" s="2"/>
      <c r="P1144" s="21"/>
      <c r="Q1144" s="3"/>
      <c r="R1144" s="3" t="s">
        <v>80</v>
      </c>
    </row>
    <row r="1145" spans="1:18" x14ac:dyDescent="0.25">
      <c r="A1145" s="30">
        <v>45840</v>
      </c>
      <c r="B1145" s="28">
        <v>1135</v>
      </c>
      <c r="C1145" s="28"/>
      <c r="D1145" s="2" t="s">
        <v>1444</v>
      </c>
      <c r="E1145" s="7" t="s">
        <v>1443</v>
      </c>
      <c r="F1145" s="7"/>
      <c r="G1145" s="2" t="s">
        <v>43</v>
      </c>
      <c r="H1145" s="2" t="s">
        <v>852</v>
      </c>
      <c r="I1145" s="5">
        <v>113579.22</v>
      </c>
      <c r="J1145" s="57"/>
      <c r="K1145" s="3">
        <v>1008</v>
      </c>
      <c r="L1145" s="2" t="s">
        <v>226</v>
      </c>
      <c r="M1145" s="2"/>
      <c r="N1145" s="2"/>
      <c r="O1145" s="2"/>
      <c r="P1145" s="21"/>
      <c r="Q1145" s="3"/>
      <c r="R1145" s="3" t="s">
        <v>80</v>
      </c>
    </row>
    <row r="1146" spans="1:18" x14ac:dyDescent="0.25">
      <c r="A1146" s="30">
        <v>45840</v>
      </c>
      <c r="B1146" s="28">
        <v>1136</v>
      </c>
      <c r="C1146" s="28"/>
      <c r="D1146" s="2" t="s">
        <v>1224</v>
      </c>
      <c r="E1146" s="7" t="s">
        <v>1445</v>
      </c>
      <c r="F1146" s="7"/>
      <c r="G1146" s="2" t="s">
        <v>26</v>
      </c>
      <c r="H1146" s="2" t="s">
        <v>596</v>
      </c>
      <c r="I1146" s="5">
        <v>75209.8</v>
      </c>
      <c r="J1146" s="57"/>
      <c r="K1146" s="3">
        <v>744</v>
      </c>
      <c r="L1146" s="2" t="s">
        <v>226</v>
      </c>
      <c r="M1146" s="2"/>
      <c r="N1146" s="2"/>
      <c r="O1146" s="2"/>
      <c r="P1146" s="21"/>
      <c r="Q1146" s="3"/>
      <c r="R1146" s="3" t="s">
        <v>80</v>
      </c>
    </row>
    <row r="1147" spans="1:18" x14ac:dyDescent="0.25">
      <c r="A1147" s="30">
        <v>45840</v>
      </c>
      <c r="B1147" s="28">
        <v>1137</v>
      </c>
      <c r="C1147" s="28"/>
      <c r="D1147" s="2" t="s">
        <v>1446</v>
      </c>
      <c r="E1147" s="7" t="s">
        <v>1447</v>
      </c>
      <c r="F1147" s="7"/>
      <c r="G1147" s="2" t="s">
        <v>43</v>
      </c>
      <c r="H1147" s="2" t="s">
        <v>1448</v>
      </c>
      <c r="I1147" s="5">
        <v>5276.46</v>
      </c>
      <c r="J1147" s="57"/>
      <c r="K1147" s="3">
        <v>48</v>
      </c>
      <c r="L1147" s="2" t="s">
        <v>64</v>
      </c>
      <c r="M1147" s="2" t="s">
        <v>530</v>
      </c>
      <c r="N1147" s="2"/>
      <c r="O1147" s="2"/>
      <c r="P1147" s="21"/>
      <c r="Q1147" s="3"/>
      <c r="R1147" s="3"/>
    </row>
    <row r="1148" spans="1:18" x14ac:dyDescent="0.25">
      <c r="A1148" s="30">
        <v>45840</v>
      </c>
      <c r="B1148" s="28">
        <v>1138</v>
      </c>
      <c r="C1148" s="28"/>
      <c r="D1148" s="2" t="s">
        <v>168</v>
      </c>
      <c r="E1148" s="7" t="s">
        <v>1449</v>
      </c>
      <c r="F1148" s="7"/>
      <c r="G1148" s="2" t="s">
        <v>43</v>
      </c>
      <c r="H1148" s="2" t="s">
        <v>381</v>
      </c>
      <c r="I1148" s="5">
        <v>200389.95</v>
      </c>
      <c r="J1148" s="57"/>
      <c r="K1148" s="3">
        <v>2016</v>
      </c>
      <c r="L1148" s="2" t="s">
        <v>226</v>
      </c>
      <c r="M1148" s="2" t="s">
        <v>1685</v>
      </c>
      <c r="N1148" s="2"/>
      <c r="O1148" s="2"/>
      <c r="P1148" s="21"/>
      <c r="Q1148" s="3"/>
      <c r="R1148" s="3" t="s">
        <v>80</v>
      </c>
    </row>
    <row r="1149" spans="1:18" x14ac:dyDescent="0.25">
      <c r="A1149" s="30">
        <v>45840</v>
      </c>
      <c r="B1149" s="28">
        <v>1139</v>
      </c>
      <c r="C1149" s="28"/>
      <c r="D1149" s="2" t="s">
        <v>1038</v>
      </c>
      <c r="E1149" s="7" t="s">
        <v>1450</v>
      </c>
      <c r="F1149" s="7"/>
      <c r="G1149" s="2" t="s">
        <v>26</v>
      </c>
      <c r="H1149" s="2" t="s">
        <v>485</v>
      </c>
      <c r="I1149" s="5">
        <v>53346.6</v>
      </c>
      <c r="J1149" s="57"/>
      <c r="K1149" s="3">
        <v>528</v>
      </c>
      <c r="L1149" s="2" t="s">
        <v>226</v>
      </c>
      <c r="M1149" s="2"/>
      <c r="N1149" s="2"/>
      <c r="O1149" s="2"/>
      <c r="P1149" s="21"/>
      <c r="Q1149" s="3"/>
      <c r="R1149" s="3"/>
    </row>
    <row r="1150" spans="1:18" x14ac:dyDescent="0.25">
      <c r="A1150" s="30">
        <v>45840</v>
      </c>
      <c r="B1150" s="28">
        <v>1140</v>
      </c>
      <c r="C1150" s="28"/>
      <c r="D1150" s="2" t="s">
        <v>1038</v>
      </c>
      <c r="E1150" s="7" t="s">
        <v>1451</v>
      </c>
      <c r="F1150" s="7"/>
      <c r="G1150" s="2" t="s">
        <v>26</v>
      </c>
      <c r="H1150" s="2" t="s">
        <v>485</v>
      </c>
      <c r="I1150" s="5">
        <v>5695.37</v>
      </c>
      <c r="J1150" s="57"/>
      <c r="K1150" s="3">
        <v>48</v>
      </c>
      <c r="L1150" s="2" t="s">
        <v>226</v>
      </c>
      <c r="M1150" s="2"/>
      <c r="N1150" s="2"/>
      <c r="O1150" s="2"/>
      <c r="P1150" s="21"/>
      <c r="Q1150" s="3"/>
      <c r="R1150" s="3"/>
    </row>
    <row r="1151" spans="1:18" x14ac:dyDescent="0.25">
      <c r="A1151" s="30">
        <v>45840</v>
      </c>
      <c r="B1151" s="28">
        <v>1141</v>
      </c>
      <c r="C1151" s="28"/>
      <c r="D1151" s="2" t="s">
        <v>92</v>
      </c>
      <c r="E1151" s="7" t="s">
        <v>1452</v>
      </c>
      <c r="F1151" s="7"/>
      <c r="G1151" s="2" t="s">
        <v>26</v>
      </c>
      <c r="H1151" s="2" t="s">
        <v>410</v>
      </c>
      <c r="I1151" s="5">
        <v>37792.53</v>
      </c>
      <c r="J1151" s="57"/>
      <c r="K1151" s="3">
        <v>432</v>
      </c>
      <c r="L1151" s="2" t="s">
        <v>226</v>
      </c>
      <c r="M1151" s="2"/>
      <c r="N1151" s="2"/>
      <c r="O1151" s="2"/>
      <c r="P1151" s="21"/>
      <c r="Q1151" s="3"/>
      <c r="R1151" s="3" t="s">
        <v>80</v>
      </c>
    </row>
    <row r="1152" spans="1:18" x14ac:dyDescent="0.25">
      <c r="A1152" s="30">
        <v>45840</v>
      </c>
      <c r="B1152" s="28">
        <v>1142</v>
      </c>
      <c r="C1152" s="28"/>
      <c r="D1152" s="2" t="s">
        <v>1453</v>
      </c>
      <c r="E1152" s="7" t="s">
        <v>1449</v>
      </c>
      <c r="F1152" s="7"/>
      <c r="G1152" s="2" t="s">
        <v>13</v>
      </c>
      <c r="H1152" s="2" t="s">
        <v>1454</v>
      </c>
      <c r="I1152" s="5">
        <v>225516.87</v>
      </c>
      <c r="J1152" s="57"/>
      <c r="K1152" s="3">
        <v>2160</v>
      </c>
      <c r="L1152" s="2" t="s">
        <v>226</v>
      </c>
      <c r="M1152" s="2"/>
      <c r="N1152" s="2"/>
      <c r="O1152" s="2"/>
      <c r="P1152" s="21"/>
      <c r="Q1152" s="3"/>
      <c r="R1152" s="3" t="s">
        <v>80</v>
      </c>
    </row>
    <row r="1153" spans="1:19" x14ac:dyDescent="0.25">
      <c r="A1153" s="30">
        <v>45841</v>
      </c>
      <c r="B1153" s="28">
        <v>1143</v>
      </c>
      <c r="C1153" s="28"/>
      <c r="D1153" s="2" t="s">
        <v>786</v>
      </c>
      <c r="E1153" s="7" t="s">
        <v>1456</v>
      </c>
      <c r="F1153" s="7"/>
      <c r="G1153" s="2" t="s">
        <v>26</v>
      </c>
      <c r="H1153" s="2" t="s">
        <v>15</v>
      </c>
      <c r="I1153" s="5">
        <v>8917.58</v>
      </c>
      <c r="J1153" s="57"/>
      <c r="K1153" s="3">
        <v>96</v>
      </c>
      <c r="L1153" s="2" t="s">
        <v>64</v>
      </c>
      <c r="M1153" s="2"/>
      <c r="N1153" s="2"/>
      <c r="O1153" s="2"/>
      <c r="P1153" s="21"/>
      <c r="Q1153" s="3"/>
      <c r="R1153" s="3"/>
    </row>
    <row r="1154" spans="1:19" x14ac:dyDescent="0.25">
      <c r="A1154" s="30">
        <v>45841</v>
      </c>
      <c r="B1154" s="28">
        <v>1144</v>
      </c>
      <c r="C1154" s="28"/>
      <c r="D1154" s="2" t="s">
        <v>786</v>
      </c>
      <c r="E1154" s="7" t="s">
        <v>1457</v>
      </c>
      <c r="F1154" s="7"/>
      <c r="G1154" s="2" t="s">
        <v>26</v>
      </c>
      <c r="H1154" s="2" t="s">
        <v>15</v>
      </c>
      <c r="I1154" s="5">
        <v>7273.43</v>
      </c>
      <c r="J1154" s="57"/>
      <c r="K1154" s="3">
        <v>72</v>
      </c>
      <c r="L1154" s="2" t="s">
        <v>64</v>
      </c>
      <c r="M1154" s="2"/>
      <c r="N1154" s="2"/>
      <c r="O1154" s="2"/>
      <c r="P1154" s="21"/>
      <c r="Q1154" s="3"/>
      <c r="R1154" s="3"/>
    </row>
    <row r="1155" spans="1:19" x14ac:dyDescent="0.25">
      <c r="A1155" s="30">
        <v>45841</v>
      </c>
      <c r="B1155" s="28">
        <v>1145</v>
      </c>
      <c r="C1155" s="28"/>
      <c r="D1155" s="2" t="s">
        <v>1328</v>
      </c>
      <c r="E1155" s="7"/>
      <c r="F1155" s="7"/>
      <c r="G1155" s="2" t="s">
        <v>13</v>
      </c>
      <c r="H1155" s="2" t="s">
        <v>1458</v>
      </c>
      <c r="I1155" s="5">
        <v>721.22</v>
      </c>
      <c r="J1155" s="57"/>
      <c r="K1155" s="3"/>
      <c r="L1155" s="2" t="s">
        <v>226</v>
      </c>
      <c r="M1155" s="2"/>
      <c r="N1155" s="2"/>
      <c r="O1155" s="2"/>
      <c r="P1155" s="21"/>
      <c r="Q1155" s="3"/>
      <c r="R1155" s="3"/>
      <c r="S1155" t="s">
        <v>12</v>
      </c>
    </row>
    <row r="1156" spans="1:19" x14ac:dyDescent="0.25">
      <c r="A1156" s="30">
        <v>45862</v>
      </c>
      <c r="B1156" s="28">
        <v>1146</v>
      </c>
      <c r="C1156" s="28"/>
      <c r="D1156" s="2" t="s">
        <v>1459</v>
      </c>
      <c r="E1156" s="7" t="s">
        <v>1460</v>
      </c>
      <c r="F1156" s="7"/>
      <c r="G1156" s="2" t="s">
        <v>97</v>
      </c>
      <c r="H1156" s="2" t="s">
        <v>1461</v>
      </c>
      <c r="I1156" s="5">
        <v>44673.73</v>
      </c>
      <c r="J1156" s="57"/>
      <c r="K1156" s="3">
        <v>360</v>
      </c>
      <c r="L1156" s="2" t="s">
        <v>134</v>
      </c>
      <c r="M1156" s="2"/>
      <c r="N1156" s="2"/>
      <c r="O1156" s="2"/>
      <c r="P1156" s="21"/>
      <c r="Q1156" s="3"/>
      <c r="R1156" s="3" t="s">
        <v>80</v>
      </c>
    </row>
    <row r="1157" spans="1:19" x14ac:dyDescent="0.25">
      <c r="A1157" s="30">
        <v>45841</v>
      </c>
      <c r="B1157" s="28">
        <v>1147</v>
      </c>
      <c r="C1157" s="28"/>
      <c r="D1157" s="2" t="s">
        <v>1159</v>
      </c>
      <c r="E1157" s="7" t="s">
        <v>1694</v>
      </c>
      <c r="F1157" s="7"/>
      <c r="G1157" s="2" t="s">
        <v>111</v>
      </c>
      <c r="H1157" s="2" t="s">
        <v>1174</v>
      </c>
      <c r="I1157" s="5">
        <v>117070.75</v>
      </c>
      <c r="J1157" s="57"/>
      <c r="K1157" s="3"/>
      <c r="L1157" s="2" t="s">
        <v>226</v>
      </c>
      <c r="M1157" s="2"/>
      <c r="N1157" s="2"/>
      <c r="O1157" s="2"/>
      <c r="P1157" s="21"/>
      <c r="Q1157" s="3"/>
      <c r="R1157" s="3"/>
    </row>
    <row r="1158" spans="1:19" x14ac:dyDescent="0.25">
      <c r="A1158" s="30">
        <v>45841</v>
      </c>
      <c r="B1158" s="28">
        <v>1148</v>
      </c>
      <c r="C1158" s="28"/>
      <c r="D1158" s="2" t="s">
        <v>168</v>
      </c>
      <c r="E1158" s="7" t="s">
        <v>1462</v>
      </c>
      <c r="F1158" s="7"/>
      <c r="G1158" s="2" t="s">
        <v>43</v>
      </c>
      <c r="H1158" s="2" t="s">
        <v>170</v>
      </c>
      <c r="I1158" s="5">
        <v>175186.23</v>
      </c>
      <c r="J1158" s="57"/>
      <c r="K1158" s="3">
        <v>1728</v>
      </c>
      <c r="L1158" s="2" t="s">
        <v>226</v>
      </c>
      <c r="M1158" s="2" t="s">
        <v>1530</v>
      </c>
      <c r="N1158" s="2"/>
      <c r="O1158" s="2"/>
      <c r="P1158" s="21"/>
      <c r="Q1158" s="3"/>
      <c r="R1158" s="3" t="s">
        <v>80</v>
      </c>
    </row>
    <row r="1159" spans="1:19" x14ac:dyDescent="0.25">
      <c r="A1159" s="30">
        <v>45841</v>
      </c>
      <c r="B1159" s="28">
        <v>1149</v>
      </c>
      <c r="C1159" s="28"/>
      <c r="D1159" s="2" t="s">
        <v>168</v>
      </c>
      <c r="E1159" s="7" t="s">
        <v>1463</v>
      </c>
      <c r="F1159" s="7"/>
      <c r="G1159" s="2" t="s">
        <v>43</v>
      </c>
      <c r="H1159" s="2" t="s">
        <v>170</v>
      </c>
      <c r="I1159" s="5">
        <v>148496.97</v>
      </c>
      <c r="J1159" s="57"/>
      <c r="K1159" s="3">
        <v>1440</v>
      </c>
      <c r="L1159" s="2" t="s">
        <v>226</v>
      </c>
      <c r="M1159" s="2" t="s">
        <v>1530</v>
      </c>
      <c r="N1159" s="2"/>
      <c r="O1159" s="2"/>
      <c r="P1159" s="21"/>
      <c r="Q1159" s="3"/>
      <c r="R1159" s="3" t="s">
        <v>80</v>
      </c>
    </row>
    <row r="1160" spans="1:19" x14ac:dyDescent="0.25">
      <c r="A1160" s="30">
        <v>45842</v>
      </c>
      <c r="B1160" s="28">
        <v>1150</v>
      </c>
      <c r="C1160" s="28"/>
      <c r="D1160" s="2" t="s">
        <v>212</v>
      </c>
      <c r="E1160" s="7" t="s">
        <v>1464</v>
      </c>
      <c r="F1160" s="7"/>
      <c r="G1160" s="2" t="s">
        <v>20</v>
      </c>
      <c r="H1160" s="2" t="s">
        <v>235</v>
      </c>
      <c r="I1160" s="5">
        <v>50233.33</v>
      </c>
      <c r="J1160" s="57"/>
      <c r="K1160" s="3">
        <v>480</v>
      </c>
      <c r="L1160" s="2" t="s">
        <v>226</v>
      </c>
      <c r="M1160" s="2" t="s">
        <v>667</v>
      </c>
      <c r="N1160" s="2"/>
      <c r="O1160" s="2"/>
      <c r="P1160" s="21"/>
      <c r="Q1160" s="3"/>
      <c r="R1160" s="3"/>
    </row>
    <row r="1161" spans="1:19" x14ac:dyDescent="0.25">
      <c r="A1161" s="30">
        <v>45841</v>
      </c>
      <c r="B1161" s="28">
        <v>1151</v>
      </c>
      <c r="C1161" s="28"/>
      <c r="D1161" s="2" t="s">
        <v>311</v>
      </c>
      <c r="E1161" s="7" t="s">
        <v>1465</v>
      </c>
      <c r="F1161" s="7"/>
      <c r="G1161" s="2" t="s">
        <v>97</v>
      </c>
      <c r="H1161" s="2" t="s">
        <v>611</v>
      </c>
      <c r="I1161" s="5">
        <v>34244.720000000001</v>
      </c>
      <c r="J1161" s="57"/>
      <c r="K1161" s="3">
        <v>408</v>
      </c>
      <c r="L1161" s="2" t="s">
        <v>226</v>
      </c>
      <c r="M1161" s="2"/>
      <c r="N1161" s="2"/>
      <c r="O1161" s="2"/>
      <c r="P1161" s="21"/>
      <c r="Q1161" s="3"/>
      <c r="R1161" s="3" t="s">
        <v>80</v>
      </c>
    </row>
    <row r="1162" spans="1:19" x14ac:dyDescent="0.25">
      <c r="A1162" s="30">
        <v>45691</v>
      </c>
      <c r="B1162" s="28">
        <v>1152</v>
      </c>
      <c r="C1162" s="28"/>
      <c r="D1162" s="2" t="s">
        <v>1466</v>
      </c>
      <c r="E1162" s="7" t="s">
        <v>1467</v>
      </c>
      <c r="F1162" s="7"/>
      <c r="G1162" s="2" t="s">
        <v>26</v>
      </c>
      <c r="H1162" s="2" t="s">
        <v>395</v>
      </c>
      <c r="I1162" s="5">
        <v>133778.18</v>
      </c>
      <c r="J1162" s="57"/>
      <c r="K1162" s="3">
        <v>1560</v>
      </c>
      <c r="L1162" s="2" t="s">
        <v>226</v>
      </c>
      <c r="M1162" s="2"/>
      <c r="N1162" s="2"/>
      <c r="O1162" s="2"/>
      <c r="P1162" s="21"/>
      <c r="Q1162" s="3"/>
      <c r="R1162" s="3"/>
    </row>
    <row r="1163" spans="1:19" x14ac:dyDescent="0.25">
      <c r="A1163" s="30">
        <v>45842</v>
      </c>
      <c r="B1163" s="28">
        <v>1153</v>
      </c>
      <c r="C1163" s="28"/>
      <c r="D1163" s="2" t="s">
        <v>516</v>
      </c>
      <c r="E1163" s="7" t="s">
        <v>1468</v>
      </c>
      <c r="F1163" s="7"/>
      <c r="G1163" s="2" t="s">
        <v>111</v>
      </c>
      <c r="H1163" s="2" t="s">
        <v>1171</v>
      </c>
      <c r="I1163" s="5">
        <v>35953.269999999997</v>
      </c>
      <c r="J1163" s="57"/>
      <c r="K1163" s="3">
        <v>360</v>
      </c>
      <c r="L1163" s="2" t="s">
        <v>226</v>
      </c>
      <c r="M1163" s="2" t="s">
        <v>1531</v>
      </c>
      <c r="N1163" s="2"/>
      <c r="O1163" s="2"/>
      <c r="P1163" s="21"/>
      <c r="Q1163" s="3"/>
      <c r="R1163" s="3"/>
    </row>
    <row r="1164" spans="1:19" x14ac:dyDescent="0.25">
      <c r="A1164" s="30">
        <v>45842</v>
      </c>
      <c r="B1164" s="28">
        <v>1154</v>
      </c>
      <c r="C1164" s="28"/>
      <c r="D1164" s="2" t="s">
        <v>1224</v>
      </c>
      <c r="E1164" s="7" t="s">
        <v>1469</v>
      </c>
      <c r="F1164" s="7"/>
      <c r="G1164" s="2" t="s">
        <v>26</v>
      </c>
      <c r="H1164" s="2" t="s">
        <v>596</v>
      </c>
      <c r="I1164" s="5">
        <v>69468.89</v>
      </c>
      <c r="J1164" s="57"/>
      <c r="K1164" s="3">
        <v>864</v>
      </c>
      <c r="L1164" s="2" t="s">
        <v>226</v>
      </c>
      <c r="M1164" s="2"/>
      <c r="N1164" s="2"/>
      <c r="O1164" s="2"/>
      <c r="P1164" s="21"/>
      <c r="Q1164" s="3"/>
      <c r="R1164" s="3"/>
    </row>
    <row r="1165" spans="1:19" x14ac:dyDescent="0.25">
      <c r="A1165" s="30">
        <v>45842</v>
      </c>
      <c r="B1165" s="28">
        <v>1155</v>
      </c>
      <c r="C1165" s="28"/>
      <c r="D1165" s="2" t="s">
        <v>70</v>
      </c>
      <c r="E1165" s="7" t="s">
        <v>699</v>
      </c>
      <c r="F1165" s="7"/>
      <c r="G1165" s="2" t="s">
        <v>13</v>
      </c>
      <c r="H1165" s="2" t="s">
        <v>72</v>
      </c>
      <c r="I1165" s="5">
        <v>70000</v>
      </c>
      <c r="J1165" s="57"/>
      <c r="K1165" s="3">
        <v>1128</v>
      </c>
      <c r="L1165" s="2" t="s">
        <v>21</v>
      </c>
      <c r="M1165" s="2"/>
      <c r="N1165" s="2"/>
      <c r="O1165" s="2"/>
      <c r="P1165" s="21"/>
      <c r="Q1165" s="3"/>
      <c r="R1165" s="3"/>
    </row>
    <row r="1166" spans="1:19" x14ac:dyDescent="0.25">
      <c r="A1166" s="30">
        <v>45842</v>
      </c>
      <c r="B1166" s="28">
        <v>1156</v>
      </c>
      <c r="C1166" s="28"/>
      <c r="D1166" s="2" t="s">
        <v>286</v>
      </c>
      <c r="E1166" s="7" t="s">
        <v>1470</v>
      </c>
      <c r="F1166" s="7"/>
      <c r="G1166" s="2" t="s">
        <v>13</v>
      </c>
      <c r="H1166" s="2" t="s">
        <v>288</v>
      </c>
      <c r="I1166" s="5">
        <v>23712.400000000001</v>
      </c>
      <c r="J1166" s="57"/>
      <c r="K1166" s="3">
        <v>240</v>
      </c>
      <c r="L1166" s="2" t="s">
        <v>226</v>
      </c>
      <c r="M1166" s="2"/>
      <c r="N1166" s="2"/>
      <c r="O1166" s="2"/>
      <c r="P1166" s="21"/>
      <c r="Q1166" s="3"/>
      <c r="R1166" s="3" t="s">
        <v>80</v>
      </c>
    </row>
    <row r="1167" spans="1:19" x14ac:dyDescent="0.25">
      <c r="A1167" s="30">
        <v>45842</v>
      </c>
      <c r="B1167" s="28">
        <v>1157</v>
      </c>
      <c r="C1167" s="28"/>
      <c r="D1167" s="2" t="s">
        <v>354</v>
      </c>
      <c r="E1167" s="7" t="s">
        <v>1471</v>
      </c>
      <c r="F1167" s="7"/>
      <c r="G1167" s="2" t="s">
        <v>111</v>
      </c>
      <c r="H1167" s="2" t="s">
        <v>1472</v>
      </c>
      <c r="I1167" s="5">
        <v>33149</v>
      </c>
      <c r="J1167" s="57"/>
      <c r="K1167" s="3">
        <v>360</v>
      </c>
      <c r="L1167" s="2" t="s">
        <v>226</v>
      </c>
      <c r="M1167" s="2"/>
      <c r="N1167" s="2"/>
      <c r="O1167" s="2"/>
      <c r="P1167" s="21"/>
      <c r="Q1167" s="3"/>
      <c r="R1167" s="3" t="s">
        <v>80</v>
      </c>
    </row>
    <row r="1168" spans="1:19" x14ac:dyDescent="0.25">
      <c r="A1168" s="30">
        <v>45842</v>
      </c>
      <c r="B1168" s="28">
        <v>1158</v>
      </c>
      <c r="C1168" s="28"/>
      <c r="D1168" s="2" t="s">
        <v>103</v>
      </c>
      <c r="E1168" s="7" t="s">
        <v>1473</v>
      </c>
      <c r="F1168" s="7"/>
      <c r="G1168" s="2" t="s">
        <v>13</v>
      </c>
      <c r="H1168" s="2" t="s">
        <v>491</v>
      </c>
      <c r="I1168" s="5">
        <v>24820.38</v>
      </c>
      <c r="J1168" s="57"/>
      <c r="K1168" s="3">
        <v>360</v>
      </c>
      <c r="L1168" s="2" t="s">
        <v>226</v>
      </c>
      <c r="M1168" s="2"/>
      <c r="N1168" s="2"/>
      <c r="O1168" s="2"/>
      <c r="P1168" s="21"/>
      <c r="Q1168" s="3"/>
      <c r="R1168" s="3"/>
    </row>
    <row r="1169" spans="1:18" x14ac:dyDescent="0.25">
      <c r="A1169" s="30">
        <v>45842</v>
      </c>
      <c r="B1169" s="28">
        <v>1159</v>
      </c>
      <c r="C1169" s="28"/>
      <c r="D1169" s="2" t="s">
        <v>1190</v>
      </c>
      <c r="E1169" s="7"/>
      <c r="F1169" s="7"/>
      <c r="G1169" s="2" t="s">
        <v>13</v>
      </c>
      <c r="H1169" s="2" t="s">
        <v>390</v>
      </c>
      <c r="I1169" s="5">
        <v>5061.8900000000003</v>
      </c>
      <c r="J1169" s="57"/>
      <c r="K1169" s="3">
        <v>96</v>
      </c>
      <c r="L1169" s="2" t="s">
        <v>64</v>
      </c>
      <c r="M1169" s="2"/>
      <c r="N1169" s="2"/>
      <c r="O1169" s="2"/>
      <c r="P1169" s="21"/>
      <c r="Q1169" s="3"/>
      <c r="R1169" s="3"/>
    </row>
    <row r="1170" spans="1:18" x14ac:dyDescent="0.25">
      <c r="A1170" s="30">
        <v>45897</v>
      </c>
      <c r="B1170" s="28">
        <v>1160</v>
      </c>
      <c r="C1170" s="28"/>
      <c r="D1170" s="2" t="s">
        <v>684</v>
      </c>
      <c r="E1170" s="7"/>
      <c r="F1170" s="7"/>
      <c r="G1170" s="2" t="s">
        <v>43</v>
      </c>
      <c r="H1170" s="2" t="s">
        <v>1474</v>
      </c>
      <c r="I1170" s="5">
        <v>3613.75</v>
      </c>
      <c r="J1170" s="57"/>
      <c r="K1170" s="3">
        <v>48</v>
      </c>
      <c r="L1170" s="2" t="s">
        <v>134</v>
      </c>
      <c r="M1170" s="2" t="s">
        <v>1363</v>
      </c>
      <c r="N1170" s="2" t="s">
        <v>373</v>
      </c>
      <c r="O1170" s="2" t="s">
        <v>528</v>
      </c>
      <c r="P1170" s="21"/>
      <c r="Q1170" s="3"/>
      <c r="R1170" s="3"/>
    </row>
    <row r="1171" spans="1:18" x14ac:dyDescent="0.25">
      <c r="A1171" s="30">
        <v>45845</v>
      </c>
      <c r="B1171" s="28">
        <v>1161</v>
      </c>
      <c r="C1171" s="28"/>
      <c r="D1171" s="2" t="s">
        <v>208</v>
      </c>
      <c r="E1171" s="7" t="s">
        <v>1475</v>
      </c>
      <c r="F1171" s="7"/>
      <c r="G1171" s="2" t="s">
        <v>43</v>
      </c>
      <c r="H1171" s="2" t="s">
        <v>1113</v>
      </c>
      <c r="I1171" s="5">
        <v>19600.78</v>
      </c>
      <c r="J1171" s="57"/>
      <c r="K1171" s="3">
        <v>192</v>
      </c>
      <c r="L1171" s="2" t="s">
        <v>226</v>
      </c>
      <c r="M1171" s="2"/>
      <c r="N1171" s="2"/>
      <c r="O1171" s="2"/>
      <c r="P1171" s="21"/>
      <c r="Q1171" s="3"/>
      <c r="R1171" s="3"/>
    </row>
    <row r="1172" spans="1:18" x14ac:dyDescent="0.25">
      <c r="A1172" s="30">
        <v>45845</v>
      </c>
      <c r="B1172" s="28">
        <v>1162</v>
      </c>
      <c r="C1172" s="28"/>
      <c r="D1172" s="2" t="s">
        <v>151</v>
      </c>
      <c r="E1172" s="7" t="s">
        <v>1476</v>
      </c>
      <c r="F1172" s="7"/>
      <c r="G1172" s="2" t="s">
        <v>13</v>
      </c>
      <c r="H1172" s="2" t="s">
        <v>976</v>
      </c>
      <c r="I1172" s="5">
        <v>323749.56</v>
      </c>
      <c r="J1172" s="57"/>
      <c r="K1172" s="3">
        <v>1512</v>
      </c>
      <c r="L1172" s="2" t="s">
        <v>226</v>
      </c>
      <c r="M1172" s="2"/>
      <c r="N1172" s="2"/>
      <c r="O1172" s="2"/>
      <c r="P1172" s="21"/>
      <c r="Q1172" s="3"/>
      <c r="R1172" s="3"/>
    </row>
    <row r="1173" spans="1:18" x14ac:dyDescent="0.25">
      <c r="A1173" s="30">
        <v>45845</v>
      </c>
      <c r="B1173" s="28">
        <v>1163</v>
      </c>
      <c r="C1173" s="28"/>
      <c r="D1173" s="2" t="s">
        <v>202</v>
      </c>
      <c r="E1173" s="7" t="s">
        <v>1145</v>
      </c>
      <c r="F1173" s="7"/>
      <c r="G1173" s="2" t="s">
        <v>97</v>
      </c>
      <c r="H1173" s="2" t="s">
        <v>254</v>
      </c>
      <c r="I1173" s="5">
        <v>37329.93</v>
      </c>
      <c r="J1173" s="57"/>
      <c r="K1173" s="3">
        <v>528</v>
      </c>
      <c r="L1173" s="2" t="s">
        <v>64</v>
      </c>
      <c r="M1173" s="2"/>
      <c r="N1173" s="2"/>
      <c r="O1173" s="2"/>
      <c r="P1173" s="21"/>
      <c r="Q1173" s="3"/>
      <c r="R1173" s="3"/>
    </row>
    <row r="1174" spans="1:18" x14ac:dyDescent="0.25">
      <c r="A1174" s="30">
        <v>45845</v>
      </c>
      <c r="B1174" s="28">
        <v>1164</v>
      </c>
      <c r="C1174" s="28"/>
      <c r="D1174" s="2" t="s">
        <v>62</v>
      </c>
      <c r="E1174" s="7"/>
      <c r="F1174" s="7"/>
      <c r="G1174" s="2" t="s">
        <v>26</v>
      </c>
      <c r="H1174" s="2" t="s">
        <v>63</v>
      </c>
      <c r="I1174" s="5">
        <v>5284.87</v>
      </c>
      <c r="J1174" s="57"/>
      <c r="K1174" s="3">
        <v>48</v>
      </c>
      <c r="L1174" s="2" t="s">
        <v>64</v>
      </c>
      <c r="M1174" s="2"/>
      <c r="N1174" s="2"/>
      <c r="O1174" s="2"/>
      <c r="P1174" s="21"/>
      <c r="Q1174" s="3"/>
      <c r="R1174" s="3"/>
    </row>
    <row r="1175" spans="1:18" x14ac:dyDescent="0.25">
      <c r="A1175" s="30">
        <v>45845</v>
      </c>
      <c r="B1175" s="28">
        <v>1165</v>
      </c>
      <c r="C1175" s="28"/>
      <c r="D1175" s="2" t="s">
        <v>109</v>
      </c>
      <c r="E1175" s="7" t="s">
        <v>1628</v>
      </c>
      <c r="F1175" s="7"/>
      <c r="G1175" s="2" t="s">
        <v>111</v>
      </c>
      <c r="H1175" s="2" t="s">
        <v>395</v>
      </c>
      <c r="I1175" s="5">
        <v>616595.99</v>
      </c>
      <c r="J1175" s="57"/>
      <c r="K1175" s="3">
        <v>7440</v>
      </c>
      <c r="L1175" s="2" t="s">
        <v>226</v>
      </c>
      <c r="M1175" s="2"/>
      <c r="N1175" s="2"/>
      <c r="O1175" s="2"/>
      <c r="P1175" s="21"/>
      <c r="Q1175" s="3"/>
      <c r="R1175" s="3"/>
    </row>
    <row r="1176" spans="1:18" x14ac:dyDescent="0.25">
      <c r="A1176" s="30">
        <v>45845</v>
      </c>
      <c r="B1176" s="28">
        <v>1166</v>
      </c>
      <c r="C1176" s="28"/>
      <c r="D1176" s="2" t="s">
        <v>41</v>
      </c>
      <c r="E1176" s="7" t="s">
        <v>1477</v>
      </c>
      <c r="F1176" s="7"/>
      <c r="G1176" s="2" t="s">
        <v>43</v>
      </c>
      <c r="H1176" s="2" t="s">
        <v>43</v>
      </c>
      <c r="I1176" s="5">
        <v>115474.79</v>
      </c>
      <c r="J1176" s="57"/>
      <c r="K1176" s="3">
        <v>552</v>
      </c>
      <c r="L1176" s="2" t="s">
        <v>226</v>
      </c>
      <c r="M1176" s="2"/>
      <c r="N1176" s="2"/>
      <c r="O1176" s="2"/>
      <c r="P1176" s="21"/>
      <c r="Q1176" s="3"/>
      <c r="R1176" s="3"/>
    </row>
    <row r="1177" spans="1:18" x14ac:dyDescent="0.25">
      <c r="A1177" s="30">
        <v>45846</v>
      </c>
      <c r="B1177" s="28">
        <v>1167</v>
      </c>
      <c r="C1177" s="28"/>
      <c r="D1177" s="2" t="s">
        <v>786</v>
      </c>
      <c r="E1177" s="7" t="s">
        <v>1478</v>
      </c>
      <c r="F1177" s="7"/>
      <c r="G1177" s="2" t="s">
        <v>26</v>
      </c>
      <c r="H1177" s="2" t="s">
        <v>15</v>
      </c>
      <c r="I1177" s="5">
        <v>7014.13</v>
      </c>
      <c r="J1177" s="57"/>
      <c r="K1177" s="3">
        <v>72</v>
      </c>
      <c r="L1177" s="2" t="s">
        <v>226</v>
      </c>
      <c r="M1177" s="2"/>
      <c r="N1177" s="2"/>
      <c r="O1177" s="2"/>
      <c r="P1177" s="21"/>
      <c r="Q1177" s="3"/>
      <c r="R1177" s="3"/>
    </row>
    <row r="1178" spans="1:18" x14ac:dyDescent="0.25">
      <c r="A1178" s="30">
        <v>45846</v>
      </c>
      <c r="B1178" s="28">
        <v>1168</v>
      </c>
      <c r="C1178" s="28"/>
      <c r="D1178" s="2" t="s">
        <v>723</v>
      </c>
      <c r="E1178" s="7"/>
      <c r="F1178" s="7"/>
      <c r="G1178" s="2" t="s">
        <v>97</v>
      </c>
      <c r="H1178" s="2" t="s">
        <v>1479</v>
      </c>
      <c r="I1178" s="5">
        <v>467.81</v>
      </c>
      <c r="J1178" s="57"/>
      <c r="K1178" s="3"/>
      <c r="L1178" s="2" t="s">
        <v>64</v>
      </c>
      <c r="M1178" s="2"/>
      <c r="N1178" s="2"/>
      <c r="O1178" s="2"/>
      <c r="P1178" s="21"/>
      <c r="Q1178" s="3"/>
      <c r="R1178" s="3"/>
    </row>
    <row r="1179" spans="1:18" x14ac:dyDescent="0.25">
      <c r="A1179" s="30">
        <v>45846</v>
      </c>
      <c r="B1179" s="28">
        <v>1169</v>
      </c>
      <c r="C1179" s="28"/>
      <c r="D1179" s="2" t="s">
        <v>839</v>
      </c>
      <c r="E1179" s="7" t="s">
        <v>1631</v>
      </c>
      <c r="F1179" s="7"/>
      <c r="G1179" s="2" t="s">
        <v>20</v>
      </c>
      <c r="H1179" s="2" t="s">
        <v>948</v>
      </c>
      <c r="I1179" s="5">
        <v>57613.5</v>
      </c>
      <c r="J1179" s="57"/>
      <c r="K1179" s="3">
        <v>864</v>
      </c>
      <c r="L1179" s="2" t="s">
        <v>64</v>
      </c>
      <c r="M1179" s="2" t="s">
        <v>1397</v>
      </c>
      <c r="N1179" s="2"/>
      <c r="O1179" s="2"/>
      <c r="P1179" s="21"/>
      <c r="Q1179" s="3"/>
      <c r="R1179" s="3"/>
    </row>
    <row r="1180" spans="1:18" x14ac:dyDescent="0.25">
      <c r="A1180" s="30">
        <v>45846</v>
      </c>
      <c r="B1180" s="28">
        <v>1170</v>
      </c>
      <c r="C1180" s="28"/>
      <c r="D1180" s="2" t="s">
        <v>165</v>
      </c>
      <c r="E1180" s="7" t="s">
        <v>166</v>
      </c>
      <c r="F1180" s="7"/>
      <c r="G1180" s="2" t="s">
        <v>97</v>
      </c>
      <c r="H1180" s="2" t="s">
        <v>167</v>
      </c>
      <c r="I1180" s="5">
        <v>26957.84</v>
      </c>
      <c r="J1180" s="57"/>
      <c r="K1180" s="3"/>
      <c r="L1180" s="2" t="s">
        <v>64</v>
      </c>
      <c r="M1180" s="2"/>
      <c r="N1180" s="2"/>
      <c r="O1180" s="2"/>
      <c r="P1180" s="21"/>
      <c r="Q1180" s="3"/>
      <c r="R1180" s="3"/>
    </row>
    <row r="1181" spans="1:18" x14ac:dyDescent="0.25">
      <c r="A1181" s="30">
        <v>45846</v>
      </c>
      <c r="B1181" s="28">
        <v>1171</v>
      </c>
      <c r="C1181" s="28"/>
      <c r="D1181" s="2" t="s">
        <v>171</v>
      </c>
      <c r="E1181" s="7"/>
      <c r="F1181" s="7"/>
      <c r="G1181" s="2" t="s">
        <v>26</v>
      </c>
      <c r="H1181" s="2" t="s">
        <v>397</v>
      </c>
      <c r="I1181" s="5">
        <v>4683.62</v>
      </c>
      <c r="J1181" s="57"/>
      <c r="K1181" s="3">
        <v>48</v>
      </c>
      <c r="L1181" s="2" t="s">
        <v>226</v>
      </c>
      <c r="M1181" s="2"/>
      <c r="N1181" s="2"/>
      <c r="O1181" s="2"/>
      <c r="P1181" s="21"/>
      <c r="Q1181" s="3"/>
      <c r="R1181" s="3"/>
    </row>
    <row r="1182" spans="1:18" x14ac:dyDescent="0.25">
      <c r="A1182" s="30">
        <v>45846</v>
      </c>
      <c r="B1182" s="28">
        <v>1172</v>
      </c>
      <c r="C1182" s="28"/>
      <c r="D1182" s="2" t="s">
        <v>726</v>
      </c>
      <c r="E1182" s="7"/>
      <c r="F1182" s="7"/>
      <c r="G1182" s="2" t="s">
        <v>111</v>
      </c>
      <c r="H1182" s="2" t="s">
        <v>727</v>
      </c>
      <c r="I1182" s="5">
        <v>6293.64</v>
      </c>
      <c r="J1182" s="57"/>
      <c r="K1182" s="3">
        <v>48</v>
      </c>
      <c r="L1182" s="2" t="s">
        <v>226</v>
      </c>
      <c r="M1182" s="2"/>
      <c r="N1182" s="2"/>
      <c r="O1182" s="2"/>
      <c r="P1182" s="21"/>
      <c r="Q1182" s="3"/>
      <c r="R1182" s="3"/>
    </row>
    <row r="1183" spans="1:18" x14ac:dyDescent="0.25">
      <c r="A1183" s="30">
        <v>45849</v>
      </c>
      <c r="B1183" s="28">
        <v>1173</v>
      </c>
      <c r="C1183" s="28"/>
      <c r="D1183" s="2" t="s">
        <v>168</v>
      </c>
      <c r="E1183" s="7" t="s">
        <v>920</v>
      </c>
      <c r="F1183" s="7"/>
      <c r="G1183" s="2" t="s">
        <v>43</v>
      </c>
      <c r="H1183" s="2" t="s">
        <v>170</v>
      </c>
      <c r="I1183" s="5">
        <v>552086.59</v>
      </c>
      <c r="J1183" s="57"/>
      <c r="K1183" s="3">
        <v>5600.4</v>
      </c>
      <c r="L1183" s="2" t="s">
        <v>226</v>
      </c>
      <c r="M1183" s="2" t="s">
        <v>1530</v>
      </c>
      <c r="N1183" s="2"/>
      <c r="O1183" s="2"/>
      <c r="P1183" s="21"/>
      <c r="Q1183" s="3"/>
      <c r="R1183" s="3"/>
    </row>
    <row r="1184" spans="1:18" x14ac:dyDescent="0.25">
      <c r="A1184" s="30">
        <v>45848</v>
      </c>
      <c r="B1184" s="28">
        <v>1174</v>
      </c>
      <c r="C1184" s="28"/>
      <c r="D1184" s="2" t="s">
        <v>1484</v>
      </c>
      <c r="E1184" s="7" t="s">
        <v>1483</v>
      </c>
      <c r="F1184" s="7"/>
      <c r="G1184" s="2" t="s">
        <v>20</v>
      </c>
      <c r="H1184" s="2" t="s">
        <v>537</v>
      </c>
      <c r="I1184" s="5">
        <v>52163.56</v>
      </c>
      <c r="J1184" s="57"/>
      <c r="K1184" s="3">
        <v>720</v>
      </c>
      <c r="L1184" s="2" t="s">
        <v>64</v>
      </c>
      <c r="M1184" s="2" t="s">
        <v>530</v>
      </c>
      <c r="N1184" s="2"/>
      <c r="O1184" s="2"/>
      <c r="P1184" s="21"/>
      <c r="Q1184" s="3"/>
      <c r="R1184" s="3"/>
    </row>
    <row r="1185" spans="1:18" x14ac:dyDescent="0.25">
      <c r="A1185" s="30">
        <v>45847</v>
      </c>
      <c r="B1185" s="28">
        <v>1175</v>
      </c>
      <c r="C1185" s="28"/>
      <c r="D1185" s="2" t="s">
        <v>56</v>
      </c>
      <c r="E1185" s="7" t="s">
        <v>1485</v>
      </c>
      <c r="F1185" s="7"/>
      <c r="G1185" s="2" t="s">
        <v>43</v>
      </c>
      <c r="H1185" s="2" t="s">
        <v>1442</v>
      </c>
      <c r="I1185" s="5">
        <v>40443.919999999998</v>
      </c>
      <c r="J1185" s="57"/>
      <c r="K1185" s="3">
        <v>432</v>
      </c>
      <c r="L1185" s="2" t="s">
        <v>226</v>
      </c>
      <c r="M1185" s="2"/>
      <c r="N1185" s="2"/>
      <c r="O1185" s="2"/>
      <c r="P1185" s="21"/>
      <c r="Q1185" s="3"/>
      <c r="R1185" s="3"/>
    </row>
    <row r="1186" spans="1:18" x14ac:dyDescent="0.25">
      <c r="A1186" s="30">
        <v>45847</v>
      </c>
      <c r="B1186" s="28">
        <v>1176</v>
      </c>
      <c r="C1186" s="28"/>
      <c r="D1186" s="2" t="s">
        <v>601</v>
      </c>
      <c r="E1186" s="7" t="s">
        <v>1486</v>
      </c>
      <c r="F1186" s="7"/>
      <c r="G1186" s="2" t="s">
        <v>13</v>
      </c>
      <c r="H1186" s="2" t="s">
        <v>1341</v>
      </c>
      <c r="I1186" s="5">
        <v>144255.79999999999</v>
      </c>
      <c r="J1186" s="57"/>
      <c r="K1186" s="3">
        <v>1392</v>
      </c>
      <c r="L1186" s="2" t="s">
        <v>226</v>
      </c>
      <c r="M1186" s="2"/>
      <c r="N1186" s="2"/>
      <c r="O1186" s="2"/>
      <c r="P1186" s="21"/>
      <c r="Q1186" s="3"/>
      <c r="R1186" s="3"/>
    </row>
    <row r="1187" spans="1:18" x14ac:dyDescent="0.25">
      <c r="A1187" s="30">
        <v>45853</v>
      </c>
      <c r="B1187" s="28">
        <v>1177</v>
      </c>
      <c r="C1187" s="28"/>
      <c r="D1187" s="2" t="s">
        <v>59</v>
      </c>
      <c r="E1187" s="7" t="s">
        <v>1487</v>
      </c>
      <c r="F1187" s="7"/>
      <c r="G1187" s="2" t="s">
        <v>20</v>
      </c>
      <c r="H1187" s="2" t="s">
        <v>1373</v>
      </c>
      <c r="I1187" s="5">
        <v>49109.84</v>
      </c>
      <c r="J1187" s="57"/>
      <c r="K1187" s="3">
        <v>576</v>
      </c>
      <c r="L1187" s="2" t="s">
        <v>226</v>
      </c>
      <c r="M1187" s="2" t="s">
        <v>1533</v>
      </c>
      <c r="N1187" s="2"/>
      <c r="O1187" s="2"/>
      <c r="P1187" s="21"/>
      <c r="Q1187" s="3"/>
      <c r="R1187" s="3"/>
    </row>
    <row r="1188" spans="1:18" x14ac:dyDescent="0.25">
      <c r="A1188" s="30">
        <v>45848</v>
      </c>
      <c r="B1188" s="28">
        <v>1179</v>
      </c>
      <c r="C1188" s="28"/>
      <c r="D1188" s="2" t="s">
        <v>165</v>
      </c>
      <c r="E1188" s="7" t="s">
        <v>316</v>
      </c>
      <c r="F1188" s="7"/>
      <c r="G1188" s="2" t="s">
        <v>97</v>
      </c>
      <c r="H1188" s="2" t="s">
        <v>167</v>
      </c>
      <c r="I1188" s="5">
        <v>73513.34</v>
      </c>
      <c r="J1188" s="57"/>
      <c r="K1188" s="3">
        <v>960</v>
      </c>
      <c r="L1188" s="2" t="s">
        <v>134</v>
      </c>
      <c r="M1188" s="2" t="s">
        <v>1160</v>
      </c>
      <c r="N1188" s="2" t="s">
        <v>135</v>
      </c>
      <c r="O1188" s="2" t="s">
        <v>374</v>
      </c>
      <c r="P1188" s="21">
        <v>68000</v>
      </c>
      <c r="Q1188" s="3"/>
      <c r="R1188" s="3"/>
    </row>
    <row r="1189" spans="1:18" x14ac:dyDescent="0.25">
      <c r="A1189" s="30">
        <v>45848</v>
      </c>
      <c r="B1189" s="28">
        <v>1180</v>
      </c>
      <c r="C1189" s="28"/>
      <c r="D1189" s="2" t="s">
        <v>403</v>
      </c>
      <c r="E1189" s="7" t="s">
        <v>1449</v>
      </c>
      <c r="F1189" s="7"/>
      <c r="G1189" s="2" t="s">
        <v>43</v>
      </c>
      <c r="H1189" s="2" t="s">
        <v>405</v>
      </c>
      <c r="I1189" s="5">
        <v>204943.27</v>
      </c>
      <c r="J1189" s="57"/>
      <c r="K1189" s="3">
        <v>2016</v>
      </c>
      <c r="L1189" s="2" t="s">
        <v>226</v>
      </c>
      <c r="M1189" s="2" t="s">
        <v>1685</v>
      </c>
      <c r="N1189" s="2"/>
      <c r="O1189" s="2"/>
      <c r="P1189" s="21"/>
      <c r="Q1189" s="3"/>
      <c r="R1189" s="3"/>
    </row>
    <row r="1190" spans="1:18" x14ac:dyDescent="0.25">
      <c r="A1190" s="30">
        <v>45848</v>
      </c>
      <c r="B1190" s="28">
        <v>1181</v>
      </c>
      <c r="C1190" s="28"/>
      <c r="D1190" s="2" t="s">
        <v>1488</v>
      </c>
      <c r="E1190" s="7"/>
      <c r="F1190" s="7"/>
      <c r="G1190" s="2" t="s">
        <v>13</v>
      </c>
      <c r="H1190" s="2" t="s">
        <v>1489</v>
      </c>
      <c r="I1190" s="5">
        <v>2977.11</v>
      </c>
      <c r="J1190" s="57"/>
      <c r="K1190" s="3">
        <v>48</v>
      </c>
      <c r="L1190" s="2" t="s">
        <v>226</v>
      </c>
      <c r="M1190" s="2"/>
      <c r="N1190" s="2"/>
      <c r="O1190" s="2"/>
      <c r="P1190" s="21"/>
      <c r="Q1190" s="3"/>
      <c r="R1190" s="3"/>
    </row>
    <row r="1191" spans="1:18" x14ac:dyDescent="0.25">
      <c r="A1191" s="30">
        <v>45848</v>
      </c>
      <c r="B1191" s="28">
        <v>1182</v>
      </c>
      <c r="C1191" s="28"/>
      <c r="D1191" s="2" t="s">
        <v>1490</v>
      </c>
      <c r="E1191" s="7"/>
      <c r="F1191" s="7"/>
      <c r="G1191" s="2" t="s">
        <v>13</v>
      </c>
      <c r="H1191" s="2" t="s">
        <v>677</v>
      </c>
      <c r="I1191" s="5">
        <v>68145</v>
      </c>
      <c r="J1191" s="57"/>
      <c r="K1191" s="3">
        <v>1200</v>
      </c>
      <c r="L1191" s="2" t="s">
        <v>226</v>
      </c>
      <c r="M1191" s="2"/>
      <c r="N1191" s="2"/>
      <c r="O1191" s="2"/>
      <c r="P1191" s="21"/>
      <c r="Q1191" s="3"/>
      <c r="R1191" s="3"/>
    </row>
    <row r="1192" spans="1:18" x14ac:dyDescent="0.25">
      <c r="A1192" s="30">
        <v>45848</v>
      </c>
      <c r="B1192" s="28">
        <v>1183</v>
      </c>
      <c r="C1192" s="28"/>
      <c r="D1192" s="2" t="s">
        <v>496</v>
      </c>
      <c r="E1192" s="7" t="s">
        <v>1491</v>
      </c>
      <c r="F1192" s="7"/>
      <c r="G1192" s="2" t="s">
        <v>13</v>
      </c>
      <c r="H1192" s="2" t="s">
        <v>225</v>
      </c>
      <c r="I1192" s="5">
        <v>24489.06</v>
      </c>
      <c r="J1192" s="57"/>
      <c r="K1192" s="3">
        <v>288</v>
      </c>
      <c r="L1192" s="2" t="s">
        <v>64</v>
      </c>
      <c r="M1192" s="2"/>
      <c r="N1192" s="2"/>
      <c r="O1192" s="2"/>
      <c r="P1192" s="21"/>
      <c r="Q1192" s="3"/>
      <c r="R1192" s="3"/>
    </row>
    <row r="1193" spans="1:18" x14ac:dyDescent="0.25">
      <c r="A1193" s="30">
        <v>45848</v>
      </c>
      <c r="B1193" s="28">
        <v>1184</v>
      </c>
      <c r="C1193" s="28"/>
      <c r="D1193" s="2" t="s">
        <v>217</v>
      </c>
      <c r="E1193" s="7"/>
      <c r="F1193" s="7"/>
      <c r="G1193" s="2" t="s">
        <v>13</v>
      </c>
      <c r="H1193" s="2" t="s">
        <v>98</v>
      </c>
      <c r="I1193" s="5">
        <v>188.4</v>
      </c>
      <c r="J1193" s="57"/>
      <c r="K1193" s="3"/>
      <c r="L1193" s="2" t="s">
        <v>64</v>
      </c>
      <c r="M1193" s="2"/>
      <c r="N1193" s="2"/>
      <c r="O1193" s="2"/>
      <c r="P1193" s="21"/>
      <c r="Q1193" s="3"/>
      <c r="R1193" s="3"/>
    </row>
    <row r="1194" spans="1:18" x14ac:dyDescent="0.25">
      <c r="A1194" s="30">
        <v>45848</v>
      </c>
      <c r="B1194" s="28">
        <v>1185</v>
      </c>
      <c r="C1194" s="28"/>
      <c r="D1194" s="2" t="s">
        <v>206</v>
      </c>
      <c r="E1194" s="7"/>
      <c r="F1194" s="7"/>
      <c r="G1194" s="2" t="s">
        <v>97</v>
      </c>
      <c r="H1194" s="2" t="s">
        <v>473</v>
      </c>
      <c r="I1194" s="5">
        <v>11042.26</v>
      </c>
      <c r="J1194" s="57"/>
      <c r="K1194" s="3">
        <v>192</v>
      </c>
      <c r="L1194" s="2" t="s">
        <v>64</v>
      </c>
      <c r="M1194" s="2"/>
      <c r="N1194" s="2"/>
      <c r="O1194" s="2"/>
      <c r="P1194" s="21"/>
      <c r="Q1194" s="3"/>
      <c r="R1194" s="3"/>
    </row>
    <row r="1195" spans="1:18" x14ac:dyDescent="0.25">
      <c r="A1195" s="30">
        <v>45848</v>
      </c>
      <c r="B1195" s="28">
        <v>1186</v>
      </c>
      <c r="C1195" s="28"/>
      <c r="D1195" s="2" t="s">
        <v>465</v>
      </c>
      <c r="E1195" s="7" t="s">
        <v>816</v>
      </c>
      <c r="F1195" s="7"/>
      <c r="G1195" s="2" t="s">
        <v>26</v>
      </c>
      <c r="H1195" s="2" t="s">
        <v>55</v>
      </c>
      <c r="I1195" s="5">
        <v>8889.23</v>
      </c>
      <c r="J1195" s="57"/>
      <c r="K1195" s="3">
        <v>96</v>
      </c>
      <c r="L1195" s="2" t="s">
        <v>64</v>
      </c>
      <c r="M1195" s="2"/>
      <c r="N1195" s="2"/>
      <c r="O1195" s="2"/>
      <c r="P1195" s="21"/>
      <c r="Q1195" s="3"/>
      <c r="R1195" s="3"/>
    </row>
    <row r="1196" spans="1:18" x14ac:dyDescent="0.25">
      <c r="A1196" s="30">
        <v>45849</v>
      </c>
      <c r="B1196" s="28">
        <v>1187</v>
      </c>
      <c r="C1196" s="28"/>
      <c r="D1196" s="2" t="s">
        <v>168</v>
      </c>
      <c r="E1196" s="7" t="s">
        <v>1492</v>
      </c>
      <c r="F1196" s="7"/>
      <c r="G1196" s="2" t="s">
        <v>43</v>
      </c>
      <c r="H1196" s="2" t="s">
        <v>182</v>
      </c>
      <c r="I1196" s="5">
        <v>60218.62</v>
      </c>
      <c r="J1196" s="57"/>
      <c r="K1196" s="3">
        <v>336</v>
      </c>
      <c r="L1196" s="2" t="s">
        <v>226</v>
      </c>
      <c r="M1196" s="2"/>
      <c r="N1196" s="2"/>
      <c r="O1196" s="2"/>
      <c r="P1196" s="21"/>
      <c r="Q1196" s="3"/>
      <c r="R1196" s="3"/>
    </row>
    <row r="1197" spans="1:18" x14ac:dyDescent="0.25">
      <c r="A1197" s="30">
        <v>45852</v>
      </c>
      <c r="B1197" s="28">
        <v>1188</v>
      </c>
      <c r="C1197" s="28" t="s">
        <v>2161</v>
      </c>
      <c r="D1197" s="2" t="s">
        <v>109</v>
      </c>
      <c r="E1197" s="7" t="s">
        <v>1493</v>
      </c>
      <c r="F1197" s="7"/>
      <c r="G1197" s="2" t="s">
        <v>111</v>
      </c>
      <c r="H1197" s="2" t="s">
        <v>61</v>
      </c>
      <c r="I1197" s="5">
        <v>378907.83</v>
      </c>
      <c r="J1197" s="57">
        <v>7.0000000000000007E-2</v>
      </c>
      <c r="K1197" s="3">
        <v>5280</v>
      </c>
      <c r="L1197" s="2" t="s">
        <v>226</v>
      </c>
      <c r="M1197" s="2"/>
      <c r="N1197" s="2"/>
      <c r="O1197" s="2"/>
      <c r="P1197" s="21"/>
      <c r="Q1197" s="3"/>
      <c r="R1197" s="3"/>
    </row>
    <row r="1198" spans="1:18" x14ac:dyDescent="0.25">
      <c r="A1198" s="30">
        <v>45852</v>
      </c>
      <c r="B1198" s="28">
        <v>1189</v>
      </c>
      <c r="C1198" s="28"/>
      <c r="D1198" s="2" t="s">
        <v>628</v>
      </c>
      <c r="E1198" s="7" t="s">
        <v>1494</v>
      </c>
      <c r="F1198" s="7"/>
      <c r="G1198" s="2" t="s">
        <v>97</v>
      </c>
      <c r="H1198" s="2" t="s">
        <v>630</v>
      </c>
      <c r="I1198" s="5">
        <v>14654.99</v>
      </c>
      <c r="J1198" s="57"/>
      <c r="K1198" s="3">
        <v>192</v>
      </c>
      <c r="L1198" s="2" t="s">
        <v>226</v>
      </c>
      <c r="M1198" s="2"/>
      <c r="N1198" s="2"/>
      <c r="O1198" s="2"/>
      <c r="P1198" s="21"/>
      <c r="Q1198" s="3"/>
      <c r="R1198" s="3"/>
    </row>
    <row r="1199" spans="1:18" x14ac:dyDescent="0.25">
      <c r="A1199" s="30">
        <v>45897</v>
      </c>
      <c r="B1199" s="28">
        <v>1190</v>
      </c>
      <c r="C1199" s="28"/>
      <c r="D1199" s="2" t="s">
        <v>1120</v>
      </c>
      <c r="E1199" s="7" t="s">
        <v>1495</v>
      </c>
      <c r="F1199" s="7"/>
      <c r="G1199" s="2" t="s">
        <v>97</v>
      </c>
      <c r="H1199" s="2" t="s">
        <v>368</v>
      </c>
      <c r="I1199" s="5">
        <v>8596.77</v>
      </c>
      <c r="J1199" s="57"/>
      <c r="K1199" s="3">
        <v>72</v>
      </c>
      <c r="L1199" s="2" t="s">
        <v>134</v>
      </c>
      <c r="M1199" s="2" t="s">
        <v>371</v>
      </c>
      <c r="N1199" s="2"/>
      <c r="O1199" s="2"/>
      <c r="P1199" s="21"/>
      <c r="Q1199" s="3"/>
      <c r="R1199" s="3"/>
    </row>
    <row r="1200" spans="1:18" x14ac:dyDescent="0.25">
      <c r="A1200" s="30">
        <v>45852</v>
      </c>
      <c r="B1200" s="28">
        <v>1191</v>
      </c>
      <c r="C1200" s="28"/>
      <c r="D1200" s="2" t="s">
        <v>208</v>
      </c>
      <c r="E1200" s="7" t="s">
        <v>1496</v>
      </c>
      <c r="F1200" s="7"/>
      <c r="G1200" s="2" t="s">
        <v>43</v>
      </c>
      <c r="H1200" s="2" t="s">
        <v>1113</v>
      </c>
      <c r="I1200" s="5">
        <v>103570.29</v>
      </c>
      <c r="J1200" s="57"/>
      <c r="K1200" s="3">
        <v>1008</v>
      </c>
      <c r="L1200" s="2" t="s">
        <v>226</v>
      </c>
      <c r="M1200" s="2"/>
      <c r="N1200" s="2"/>
      <c r="O1200" s="2"/>
      <c r="P1200" s="21"/>
      <c r="Q1200" s="3"/>
      <c r="R1200" s="3"/>
    </row>
    <row r="1201" spans="1:18" x14ac:dyDescent="0.25">
      <c r="A1201" s="30">
        <v>45852</v>
      </c>
      <c r="B1201" s="28">
        <v>1192</v>
      </c>
      <c r="C1201" s="28"/>
      <c r="D1201" s="2" t="s">
        <v>1183</v>
      </c>
      <c r="E1201" s="7" t="s">
        <v>1497</v>
      </c>
      <c r="F1201" s="7"/>
      <c r="G1201" s="2" t="s">
        <v>13</v>
      </c>
      <c r="H1201" s="2" t="s">
        <v>1498</v>
      </c>
      <c r="I1201" s="5">
        <v>54416.42</v>
      </c>
      <c r="J1201" s="57"/>
      <c r="K1201" s="3">
        <v>576</v>
      </c>
      <c r="L1201" s="2" t="s">
        <v>226</v>
      </c>
      <c r="M1201" s="2"/>
      <c r="N1201" s="2"/>
      <c r="O1201" s="2"/>
      <c r="P1201" s="21"/>
      <c r="Q1201" s="3"/>
      <c r="R1201" s="3"/>
    </row>
    <row r="1202" spans="1:18" x14ac:dyDescent="0.25">
      <c r="A1202" s="30">
        <v>45852</v>
      </c>
      <c r="B1202" s="28">
        <v>1193</v>
      </c>
      <c r="C1202" s="28"/>
      <c r="D1202" s="2" t="s">
        <v>56</v>
      </c>
      <c r="E1202" s="7" t="s">
        <v>1497</v>
      </c>
      <c r="F1202" s="7"/>
      <c r="G1202" s="2" t="s">
        <v>43</v>
      </c>
      <c r="H1202" s="2" t="s">
        <v>1442</v>
      </c>
      <c r="I1202" s="5">
        <v>54416.42</v>
      </c>
      <c r="J1202" s="57"/>
      <c r="K1202" s="3">
        <v>576</v>
      </c>
      <c r="L1202" s="2" t="s">
        <v>226</v>
      </c>
      <c r="M1202" s="2" t="s">
        <v>1698</v>
      </c>
      <c r="N1202" s="2"/>
      <c r="O1202" s="2"/>
      <c r="P1202" s="21"/>
      <c r="Q1202" s="3"/>
      <c r="R1202" s="3"/>
    </row>
    <row r="1203" spans="1:18" x14ac:dyDescent="0.25">
      <c r="A1203" s="30">
        <v>45852</v>
      </c>
      <c r="B1203" s="28">
        <v>1194</v>
      </c>
      <c r="C1203" s="28"/>
      <c r="D1203" s="2" t="s">
        <v>208</v>
      </c>
      <c r="E1203" s="7" t="s">
        <v>1499</v>
      </c>
      <c r="F1203" s="7"/>
      <c r="G1203" s="2" t="s">
        <v>43</v>
      </c>
      <c r="H1203" s="2" t="s">
        <v>1113</v>
      </c>
      <c r="I1203" s="5">
        <v>29685.86</v>
      </c>
      <c r="J1203" s="57"/>
      <c r="K1203" s="3">
        <v>288</v>
      </c>
      <c r="L1203" s="2" t="s">
        <v>226</v>
      </c>
      <c r="M1203" s="2"/>
      <c r="N1203" s="2"/>
      <c r="O1203" s="2"/>
      <c r="P1203" s="21"/>
      <c r="Q1203" s="3"/>
      <c r="R1203" s="3"/>
    </row>
    <row r="1204" spans="1:18" x14ac:dyDescent="0.25">
      <c r="A1204" s="30">
        <v>45852</v>
      </c>
      <c r="B1204" s="28">
        <v>1195</v>
      </c>
      <c r="C1204" s="28"/>
      <c r="D1204" s="2" t="s">
        <v>56</v>
      </c>
      <c r="E1204" s="7" t="s">
        <v>1500</v>
      </c>
      <c r="F1204" s="7"/>
      <c r="G1204" s="2" t="s">
        <v>43</v>
      </c>
      <c r="H1204" s="2" t="s">
        <v>1442</v>
      </c>
      <c r="I1204" s="5">
        <v>18295.07</v>
      </c>
      <c r="J1204" s="57"/>
      <c r="K1204" s="3">
        <v>192</v>
      </c>
      <c r="L1204" s="2" t="s">
        <v>226</v>
      </c>
      <c r="M1204" s="2"/>
      <c r="N1204" s="2"/>
      <c r="O1204" s="2"/>
      <c r="P1204" s="21"/>
      <c r="Q1204" s="3"/>
      <c r="R1204" s="3"/>
    </row>
    <row r="1205" spans="1:18" x14ac:dyDescent="0.25">
      <c r="A1205" s="30">
        <v>45852</v>
      </c>
      <c r="B1205" s="28">
        <v>1196</v>
      </c>
      <c r="C1205" s="28"/>
      <c r="D1205" s="2" t="s">
        <v>87</v>
      </c>
      <c r="E1205" s="7" t="s">
        <v>1501</v>
      </c>
      <c r="F1205" s="7"/>
      <c r="G1205" s="2" t="s">
        <v>13</v>
      </c>
      <c r="H1205" s="2" t="s">
        <v>185</v>
      </c>
      <c r="I1205" s="5">
        <v>151505.99</v>
      </c>
      <c r="J1205" s="57"/>
      <c r="K1205" s="3">
        <v>1632</v>
      </c>
      <c r="L1205" s="2" t="s">
        <v>64</v>
      </c>
      <c r="M1205" s="2"/>
      <c r="N1205" s="2"/>
      <c r="O1205" s="2"/>
      <c r="P1205" s="21"/>
      <c r="Q1205" s="3"/>
      <c r="R1205" s="3"/>
    </row>
    <row r="1206" spans="1:18" x14ac:dyDescent="0.25">
      <c r="A1206" s="30">
        <v>45852</v>
      </c>
      <c r="B1206" s="28">
        <v>1197</v>
      </c>
      <c r="C1206" s="28"/>
      <c r="D1206" s="2" t="s">
        <v>1053</v>
      </c>
      <c r="E1206" s="7"/>
      <c r="F1206" s="7"/>
      <c r="G1206" s="2" t="s">
        <v>97</v>
      </c>
      <c r="H1206" s="2" t="s">
        <v>1502</v>
      </c>
      <c r="I1206" s="5">
        <v>159.04</v>
      </c>
      <c r="J1206" s="57"/>
      <c r="K1206" s="3"/>
      <c r="L1206" s="2" t="s">
        <v>64</v>
      </c>
      <c r="M1206" s="2"/>
      <c r="N1206" s="2"/>
      <c r="O1206" s="2"/>
      <c r="P1206" s="21"/>
      <c r="Q1206" s="3"/>
      <c r="R1206" s="3"/>
    </row>
    <row r="1207" spans="1:18" x14ac:dyDescent="0.25">
      <c r="A1207" s="30">
        <v>45852</v>
      </c>
      <c r="B1207" s="28">
        <v>1198</v>
      </c>
      <c r="C1207" s="28"/>
      <c r="D1207" s="2" t="s">
        <v>1503</v>
      </c>
      <c r="E1207" s="7"/>
      <c r="F1207" s="7"/>
      <c r="G1207" s="2" t="s">
        <v>26</v>
      </c>
      <c r="H1207" s="2" t="s">
        <v>116</v>
      </c>
      <c r="I1207" s="5">
        <v>2082.7600000000002</v>
      </c>
      <c r="J1207" s="57"/>
      <c r="K1207" s="3">
        <v>24</v>
      </c>
      <c r="L1207" s="2" t="s">
        <v>226</v>
      </c>
      <c r="M1207" s="2"/>
      <c r="N1207" s="2"/>
      <c r="O1207" s="2"/>
      <c r="P1207" s="21"/>
      <c r="Q1207" s="3"/>
      <c r="R1207" s="3"/>
    </row>
    <row r="1208" spans="1:18" x14ac:dyDescent="0.25">
      <c r="A1208" s="30">
        <v>45852</v>
      </c>
      <c r="B1208" s="28">
        <v>1199</v>
      </c>
      <c r="C1208" s="28"/>
      <c r="D1208" s="2" t="s">
        <v>1504</v>
      </c>
      <c r="E1208" s="7"/>
      <c r="F1208" s="7"/>
      <c r="G1208" s="2" t="s">
        <v>13</v>
      </c>
      <c r="H1208" s="2" t="s">
        <v>1505</v>
      </c>
      <c r="I1208" s="5">
        <v>1809.15</v>
      </c>
      <c r="J1208" s="57"/>
      <c r="K1208" s="3">
        <v>24</v>
      </c>
      <c r="L1208" s="2" t="s">
        <v>226</v>
      </c>
      <c r="M1208" s="2"/>
      <c r="N1208" s="2"/>
      <c r="O1208" s="2"/>
      <c r="P1208" s="21"/>
      <c r="Q1208" s="3"/>
      <c r="R1208" s="3"/>
    </row>
    <row r="1209" spans="1:18" x14ac:dyDescent="0.25">
      <c r="A1209" s="30">
        <v>45852</v>
      </c>
      <c r="B1209" s="28">
        <v>1200</v>
      </c>
      <c r="C1209" s="28"/>
      <c r="D1209" s="2" t="s">
        <v>212</v>
      </c>
      <c r="E1209" s="7" t="s">
        <v>1506</v>
      </c>
      <c r="F1209" s="7"/>
      <c r="G1209" s="2" t="s">
        <v>20</v>
      </c>
      <c r="H1209" s="2" t="s">
        <v>1507</v>
      </c>
      <c r="I1209" s="5">
        <v>40404.300000000003</v>
      </c>
      <c r="J1209" s="57"/>
      <c r="K1209" s="3">
        <v>322.8</v>
      </c>
      <c r="L1209" s="2" t="s">
        <v>64</v>
      </c>
      <c r="M1209" s="2"/>
      <c r="N1209" s="2"/>
      <c r="O1209" s="2"/>
      <c r="P1209" s="21"/>
      <c r="Q1209" s="3"/>
      <c r="R1209" s="3"/>
    </row>
    <row r="1210" spans="1:18" x14ac:dyDescent="0.25">
      <c r="A1210" s="30">
        <v>45852</v>
      </c>
      <c r="B1210" s="28">
        <v>1201</v>
      </c>
      <c r="C1210" s="28"/>
      <c r="D1210" s="2" t="s">
        <v>56</v>
      </c>
      <c r="E1210" s="7" t="s">
        <v>1508</v>
      </c>
      <c r="F1210" s="7"/>
      <c r="G1210" s="2" t="s">
        <v>43</v>
      </c>
      <c r="H1210" s="2" t="s">
        <v>1442</v>
      </c>
      <c r="I1210" s="5">
        <v>63724.72</v>
      </c>
      <c r="J1210" s="57"/>
      <c r="K1210" s="3">
        <v>648</v>
      </c>
      <c r="L1210" s="2" t="s">
        <v>226</v>
      </c>
      <c r="M1210" s="2" t="s">
        <v>1698</v>
      </c>
      <c r="N1210" s="2"/>
      <c r="O1210" s="2"/>
      <c r="P1210" s="21"/>
      <c r="Q1210" s="3"/>
      <c r="R1210" s="3"/>
    </row>
    <row r="1211" spans="1:18" x14ac:dyDescent="0.25">
      <c r="A1211" s="30">
        <v>45852</v>
      </c>
      <c r="B1211" s="28">
        <v>1202</v>
      </c>
      <c r="C1211" s="28"/>
      <c r="D1211" s="2" t="s">
        <v>286</v>
      </c>
      <c r="E1211" s="7" t="s">
        <v>1509</v>
      </c>
      <c r="F1211" s="7"/>
      <c r="G1211" s="2" t="s">
        <v>13</v>
      </c>
      <c r="H1211" s="2" t="s">
        <v>288</v>
      </c>
      <c r="I1211" s="5">
        <v>10811.4</v>
      </c>
      <c r="J1211" s="57"/>
      <c r="K1211" s="3">
        <v>120</v>
      </c>
      <c r="L1211" s="2" t="s">
        <v>226</v>
      </c>
      <c r="M1211" s="2"/>
      <c r="N1211" s="2"/>
      <c r="O1211" s="2"/>
      <c r="P1211" s="21"/>
      <c r="Q1211" s="3"/>
      <c r="R1211" s="3"/>
    </row>
    <row r="1212" spans="1:18" x14ac:dyDescent="0.25">
      <c r="A1212" s="30">
        <v>45852</v>
      </c>
      <c r="B1212" s="28">
        <v>1203</v>
      </c>
      <c r="C1212" s="28"/>
      <c r="D1212" s="2" t="s">
        <v>1202</v>
      </c>
      <c r="E1212" s="7" t="s">
        <v>1497</v>
      </c>
      <c r="F1212" s="7"/>
      <c r="G1212" s="2" t="s">
        <v>97</v>
      </c>
      <c r="H1212" s="2" t="s">
        <v>590</v>
      </c>
      <c r="I1212" s="5">
        <v>54416.42</v>
      </c>
      <c r="J1212" s="57"/>
      <c r="K1212" s="3">
        <v>576</v>
      </c>
      <c r="L1212" s="2" t="s">
        <v>226</v>
      </c>
      <c r="M1212" s="2" t="s">
        <v>1698</v>
      </c>
      <c r="N1212" s="2"/>
      <c r="O1212" s="2"/>
      <c r="P1212" s="21"/>
      <c r="Q1212" s="3"/>
      <c r="R1212" s="3"/>
    </row>
    <row r="1213" spans="1:18" x14ac:dyDescent="0.25">
      <c r="A1213" s="30">
        <v>45854</v>
      </c>
      <c r="B1213" s="28">
        <v>1204</v>
      </c>
      <c r="C1213" s="28"/>
      <c r="D1213" s="2" t="s">
        <v>202</v>
      </c>
      <c r="E1213" s="7" t="s">
        <v>1510</v>
      </c>
      <c r="F1213" s="7"/>
      <c r="G1213" s="2" t="s">
        <v>97</v>
      </c>
      <c r="H1213" s="2" t="s">
        <v>119</v>
      </c>
      <c r="I1213" s="5">
        <v>140010.34</v>
      </c>
      <c r="J1213" s="57"/>
      <c r="K1213" s="3">
        <v>1368</v>
      </c>
      <c r="L1213" s="2" t="s">
        <v>226</v>
      </c>
      <c r="M1213" s="2"/>
      <c r="N1213" s="2"/>
      <c r="O1213" s="2"/>
      <c r="P1213" s="21"/>
      <c r="Q1213" s="3"/>
      <c r="R1213" s="3"/>
    </row>
    <row r="1214" spans="1:18" x14ac:dyDescent="0.25">
      <c r="A1214" s="30">
        <v>45852</v>
      </c>
      <c r="B1214" s="28">
        <v>1205</v>
      </c>
      <c r="C1214" s="28"/>
      <c r="D1214" s="2" t="s">
        <v>41</v>
      </c>
      <c r="E1214" s="7" t="s">
        <v>1511</v>
      </c>
      <c r="F1214" s="7"/>
      <c r="G1214" s="2" t="s">
        <v>43</v>
      </c>
      <c r="H1214" s="2" t="s">
        <v>417</v>
      </c>
      <c r="I1214" s="5">
        <v>171313.4</v>
      </c>
      <c r="J1214" s="57"/>
      <c r="K1214" s="3">
        <v>1782</v>
      </c>
      <c r="L1214" s="2" t="s">
        <v>64</v>
      </c>
      <c r="M1214" s="2"/>
      <c r="N1214" s="2"/>
      <c r="O1214" s="2"/>
      <c r="P1214" s="21"/>
      <c r="Q1214" s="3"/>
      <c r="R1214" s="3"/>
    </row>
    <row r="1215" spans="1:18" x14ac:dyDescent="0.25">
      <c r="A1215" s="30">
        <v>45852</v>
      </c>
      <c r="B1215" s="28">
        <v>1206</v>
      </c>
      <c r="C1215" s="28"/>
      <c r="D1215" s="2" t="s">
        <v>388</v>
      </c>
      <c r="E1215" s="7" t="s">
        <v>1496</v>
      </c>
      <c r="F1215" s="7"/>
      <c r="G1215" s="2" t="s">
        <v>26</v>
      </c>
      <c r="H1215" s="2" t="s">
        <v>928</v>
      </c>
      <c r="I1215" s="5">
        <v>103570.29</v>
      </c>
      <c r="J1215" s="57"/>
      <c r="K1215" s="3">
        <v>1008</v>
      </c>
      <c r="L1215" s="2" t="s">
        <v>226</v>
      </c>
      <c r="M1215" s="2"/>
      <c r="N1215" s="2"/>
      <c r="O1215" s="2"/>
      <c r="P1215" s="21"/>
      <c r="Q1215" s="3"/>
      <c r="R1215" s="3"/>
    </row>
    <row r="1216" spans="1:18" x14ac:dyDescent="0.25">
      <c r="A1216" s="30">
        <v>45852</v>
      </c>
      <c r="B1216" s="28">
        <v>1207</v>
      </c>
      <c r="C1216" s="28"/>
      <c r="D1216" s="2" t="s">
        <v>388</v>
      </c>
      <c r="E1216" s="7" t="s">
        <v>1508</v>
      </c>
      <c r="F1216" s="7"/>
      <c r="G1216" s="2" t="s">
        <v>26</v>
      </c>
      <c r="H1216" s="2" t="s">
        <v>928</v>
      </c>
      <c r="I1216" s="5">
        <v>63724.72</v>
      </c>
      <c r="J1216" s="57"/>
      <c r="K1216" s="3">
        <v>648</v>
      </c>
      <c r="L1216" s="2" t="s">
        <v>226</v>
      </c>
      <c r="M1216" s="2" t="s">
        <v>1698</v>
      </c>
      <c r="N1216" s="2"/>
      <c r="O1216" s="2"/>
      <c r="P1216" s="21"/>
      <c r="Q1216" s="3"/>
      <c r="R1216" s="3"/>
    </row>
    <row r="1217" spans="1:18" x14ac:dyDescent="0.25">
      <c r="A1217" s="30">
        <v>45852</v>
      </c>
      <c r="B1217" s="28">
        <v>1208</v>
      </c>
      <c r="C1217" s="28"/>
      <c r="D1217" s="2" t="s">
        <v>56</v>
      </c>
      <c r="E1217" s="7" t="s">
        <v>1496</v>
      </c>
      <c r="F1217" s="7"/>
      <c r="G1217" s="2" t="s">
        <v>43</v>
      </c>
      <c r="H1217" s="2" t="s">
        <v>1442</v>
      </c>
      <c r="I1217" s="5">
        <v>103570.29</v>
      </c>
      <c r="J1217" s="57"/>
      <c r="K1217" s="3">
        <v>1008</v>
      </c>
      <c r="L1217" s="2" t="s">
        <v>226</v>
      </c>
      <c r="M1217" s="2"/>
      <c r="N1217" s="2"/>
      <c r="O1217" s="2"/>
      <c r="P1217" s="21"/>
      <c r="Q1217" s="3"/>
      <c r="R1217" s="3"/>
    </row>
    <row r="1218" spans="1:18" x14ac:dyDescent="0.25">
      <c r="A1218" s="30">
        <v>45852</v>
      </c>
      <c r="B1218" s="28">
        <v>1209</v>
      </c>
      <c r="C1218" s="28"/>
      <c r="D1218" s="2" t="s">
        <v>1512</v>
      </c>
      <c r="E1218" s="7"/>
      <c r="F1218" s="7"/>
      <c r="G1218" s="2" t="s">
        <v>13</v>
      </c>
      <c r="H1218" s="2" t="s">
        <v>119</v>
      </c>
      <c r="I1218" s="5">
        <v>25985.17</v>
      </c>
      <c r="J1218" s="57"/>
      <c r="K1218" s="3">
        <v>408</v>
      </c>
      <c r="L1218" s="2" t="s">
        <v>226</v>
      </c>
      <c r="M1218" s="2"/>
      <c r="N1218" s="2"/>
      <c r="O1218" s="2"/>
      <c r="P1218" s="21"/>
      <c r="Q1218" s="3"/>
      <c r="R1218" s="3"/>
    </row>
    <row r="1219" spans="1:18" x14ac:dyDescent="0.25">
      <c r="A1219" s="30">
        <v>45852</v>
      </c>
      <c r="B1219" s="28">
        <v>1210</v>
      </c>
      <c r="C1219" s="28"/>
      <c r="D1219" s="2" t="s">
        <v>440</v>
      </c>
      <c r="E1219" s="7" t="s">
        <v>1513</v>
      </c>
      <c r="F1219" s="7"/>
      <c r="G1219" s="2" t="s">
        <v>111</v>
      </c>
      <c r="H1219" s="2" t="s">
        <v>1413</v>
      </c>
      <c r="I1219" s="5">
        <v>23017.200000000001</v>
      </c>
      <c r="J1219" s="57"/>
      <c r="K1219" s="3">
        <v>288</v>
      </c>
      <c r="L1219" s="2" t="s">
        <v>226</v>
      </c>
      <c r="M1219" s="2"/>
      <c r="N1219" s="2"/>
      <c r="O1219" s="2"/>
      <c r="P1219" s="21"/>
      <c r="Q1219" s="3"/>
      <c r="R1219" s="3"/>
    </row>
    <row r="1220" spans="1:18" x14ac:dyDescent="0.25">
      <c r="A1220" s="30">
        <v>45852</v>
      </c>
      <c r="B1220" s="28">
        <v>1211</v>
      </c>
      <c r="C1220" s="28"/>
      <c r="D1220" s="2" t="s">
        <v>1514</v>
      </c>
      <c r="E1220" s="7"/>
      <c r="F1220" s="7"/>
      <c r="G1220" s="2" t="s">
        <v>13</v>
      </c>
      <c r="H1220" s="2" t="s">
        <v>799</v>
      </c>
      <c r="I1220" s="5">
        <v>4850</v>
      </c>
      <c r="J1220" s="57"/>
      <c r="K1220" s="3"/>
      <c r="L1220" s="2" t="s">
        <v>226</v>
      </c>
      <c r="M1220" s="2"/>
      <c r="N1220" s="2"/>
      <c r="O1220" s="2"/>
      <c r="P1220" s="21"/>
      <c r="Q1220" s="3"/>
      <c r="R1220" s="3"/>
    </row>
    <row r="1221" spans="1:18" x14ac:dyDescent="0.25">
      <c r="A1221" s="30">
        <v>45852</v>
      </c>
      <c r="B1221" s="28">
        <v>1212</v>
      </c>
      <c r="C1221" s="28"/>
      <c r="D1221" s="2" t="s">
        <v>23</v>
      </c>
      <c r="E1221" s="7" t="s">
        <v>1515</v>
      </c>
      <c r="F1221" s="7"/>
      <c r="G1221" s="2" t="s">
        <v>20</v>
      </c>
      <c r="H1221" s="2" t="s">
        <v>32</v>
      </c>
      <c r="I1221" s="5">
        <v>1089.45</v>
      </c>
      <c r="J1221" s="57"/>
      <c r="K1221" s="3"/>
      <c r="L1221" s="2" t="s">
        <v>226</v>
      </c>
      <c r="M1221" s="2" t="s">
        <v>595</v>
      </c>
      <c r="N1221" s="2"/>
      <c r="O1221" s="2"/>
      <c r="P1221" s="21"/>
      <c r="Q1221" s="3"/>
      <c r="R1221" s="3"/>
    </row>
    <row r="1222" spans="1:18" x14ac:dyDescent="0.25">
      <c r="A1222" s="30">
        <v>45852</v>
      </c>
      <c r="B1222" s="28">
        <v>1213</v>
      </c>
      <c r="C1222" s="28"/>
      <c r="D1222" s="2" t="s">
        <v>41</v>
      </c>
      <c r="E1222" s="7" t="s">
        <v>1516</v>
      </c>
      <c r="F1222" s="7"/>
      <c r="G1222" s="2" t="s">
        <v>43</v>
      </c>
      <c r="H1222" s="2" t="s">
        <v>417</v>
      </c>
      <c r="I1222" s="5">
        <v>105208.72</v>
      </c>
      <c r="J1222" s="57"/>
      <c r="K1222" s="3">
        <v>1248</v>
      </c>
      <c r="L1222" s="2" t="s">
        <v>226</v>
      </c>
      <c r="M1222" s="2"/>
      <c r="N1222" s="2"/>
      <c r="O1222" s="2"/>
      <c r="P1222" s="21"/>
      <c r="Q1222" s="3"/>
      <c r="R1222" s="3"/>
    </row>
    <row r="1223" spans="1:18" x14ac:dyDescent="0.25">
      <c r="A1223" s="30">
        <v>45852</v>
      </c>
      <c r="B1223" s="28">
        <v>1214</v>
      </c>
      <c r="C1223" s="28"/>
      <c r="D1223" s="2" t="s">
        <v>1120</v>
      </c>
      <c r="E1223" s="7" t="s">
        <v>1079</v>
      </c>
      <c r="F1223" s="7"/>
      <c r="G1223" s="2" t="s">
        <v>97</v>
      </c>
      <c r="H1223" s="2" t="s">
        <v>368</v>
      </c>
      <c r="I1223" s="5">
        <v>586.04</v>
      </c>
      <c r="J1223" s="57"/>
      <c r="K1223" s="3"/>
      <c r="L1223" s="2" t="s">
        <v>64</v>
      </c>
      <c r="M1223" s="2"/>
      <c r="N1223" s="2"/>
      <c r="O1223" s="2"/>
      <c r="P1223" s="21"/>
      <c r="Q1223" s="3"/>
      <c r="R1223" s="3"/>
    </row>
    <row r="1224" spans="1:18" x14ac:dyDescent="0.25">
      <c r="A1224" s="30">
        <v>45853</v>
      </c>
      <c r="B1224" s="28">
        <v>1215</v>
      </c>
      <c r="C1224" s="28"/>
      <c r="D1224" s="2" t="s">
        <v>168</v>
      </c>
      <c r="E1224" s="7" t="s">
        <v>1517</v>
      </c>
      <c r="F1224" s="7"/>
      <c r="G1224" s="2" t="s">
        <v>43</v>
      </c>
      <c r="H1224" s="2" t="s">
        <v>170</v>
      </c>
      <c r="I1224" s="5">
        <v>20811.990000000002</v>
      </c>
      <c r="J1224" s="57"/>
      <c r="K1224" s="3"/>
      <c r="L1224" s="2" t="s">
        <v>64</v>
      </c>
      <c r="M1224" s="2"/>
      <c r="N1224" s="2"/>
      <c r="O1224" s="2"/>
      <c r="P1224" s="21"/>
      <c r="Q1224" s="3"/>
      <c r="R1224" s="3"/>
    </row>
    <row r="1225" spans="1:18" x14ac:dyDescent="0.25">
      <c r="A1225" s="30">
        <v>45853</v>
      </c>
      <c r="B1225" s="28">
        <v>1216</v>
      </c>
      <c r="C1225" s="28"/>
      <c r="D1225" s="2" t="s">
        <v>256</v>
      </c>
      <c r="E1225" s="7" t="s">
        <v>1518</v>
      </c>
      <c r="F1225" s="7"/>
      <c r="G1225" s="2" t="s">
        <v>20</v>
      </c>
      <c r="H1225" s="2" t="s">
        <v>257</v>
      </c>
      <c r="I1225" s="5">
        <v>2015.13</v>
      </c>
      <c r="J1225" s="57"/>
      <c r="K1225" s="3"/>
      <c r="L1225" s="2" t="s">
        <v>64</v>
      </c>
      <c r="M1225" s="2"/>
      <c r="N1225" s="2"/>
      <c r="O1225" s="2"/>
      <c r="P1225" s="21"/>
      <c r="Q1225" s="3"/>
      <c r="R1225" s="3"/>
    </row>
    <row r="1226" spans="1:18" x14ac:dyDescent="0.25">
      <c r="A1226" s="30">
        <v>45853</v>
      </c>
      <c r="B1226" s="28">
        <v>1217</v>
      </c>
      <c r="C1226" s="28"/>
      <c r="D1226" s="2" t="s">
        <v>233</v>
      </c>
      <c r="E1226" s="7" t="s">
        <v>1519</v>
      </c>
      <c r="F1226" s="7"/>
      <c r="G1226" s="2" t="s">
        <v>13</v>
      </c>
      <c r="H1226" s="2" t="s">
        <v>235</v>
      </c>
      <c r="I1226" s="5">
        <v>25454.13</v>
      </c>
      <c r="J1226" s="57"/>
      <c r="K1226" s="3">
        <v>336</v>
      </c>
      <c r="L1226" s="2" t="s">
        <v>226</v>
      </c>
      <c r="M1226" s="2"/>
      <c r="N1226" s="2"/>
      <c r="O1226" s="2"/>
      <c r="P1226" s="21"/>
      <c r="Q1226" s="3"/>
      <c r="R1226" s="3"/>
    </row>
    <row r="1227" spans="1:18" x14ac:dyDescent="0.25">
      <c r="A1227" s="30">
        <v>45853</v>
      </c>
      <c r="B1227" s="28">
        <v>1218</v>
      </c>
      <c r="C1227" s="28"/>
      <c r="D1227" s="2" t="s">
        <v>41</v>
      </c>
      <c r="E1227" s="7" t="s">
        <v>1177</v>
      </c>
      <c r="F1227" s="7"/>
      <c r="G1227" s="2" t="s">
        <v>43</v>
      </c>
      <c r="H1227" s="2" t="s">
        <v>158</v>
      </c>
      <c r="I1227" s="5">
        <v>16914.23</v>
      </c>
      <c r="J1227" s="57"/>
      <c r="K1227" s="3">
        <v>240</v>
      </c>
      <c r="L1227" s="2" t="s">
        <v>64</v>
      </c>
      <c r="M1227" s="2"/>
      <c r="N1227" s="2"/>
      <c r="O1227" s="2"/>
      <c r="P1227" s="21"/>
      <c r="Q1227" s="3"/>
      <c r="R1227" s="3"/>
    </row>
    <row r="1228" spans="1:18" x14ac:dyDescent="0.25">
      <c r="A1228" s="30">
        <v>45854</v>
      </c>
      <c r="B1228" s="28">
        <v>1219</v>
      </c>
      <c r="C1228" s="28"/>
      <c r="D1228" s="2" t="s">
        <v>106</v>
      </c>
      <c r="E1228" s="7" t="s">
        <v>1391</v>
      </c>
      <c r="F1228" s="7"/>
      <c r="G1228" s="2" t="s">
        <v>13</v>
      </c>
      <c r="H1228" s="2" t="s">
        <v>40</v>
      </c>
      <c r="I1228" s="5">
        <v>51885.35</v>
      </c>
      <c r="J1228" s="57"/>
      <c r="K1228" s="3">
        <v>816</v>
      </c>
      <c r="L1228" s="2" t="s">
        <v>64</v>
      </c>
      <c r="M1228" s="2"/>
      <c r="N1228" s="2"/>
      <c r="O1228" s="2"/>
      <c r="P1228" s="21"/>
      <c r="Q1228" s="3"/>
      <c r="R1228" s="3"/>
    </row>
    <row r="1229" spans="1:18" x14ac:dyDescent="0.25">
      <c r="A1229" s="30">
        <v>45853</v>
      </c>
      <c r="B1229" s="28">
        <v>1220</v>
      </c>
      <c r="C1229" s="28"/>
      <c r="D1229" s="2" t="s">
        <v>1520</v>
      </c>
      <c r="E1229" s="7" t="s">
        <v>1521</v>
      </c>
      <c r="F1229" s="7"/>
      <c r="G1229" s="2" t="s">
        <v>43</v>
      </c>
      <c r="H1229" s="2" t="s">
        <v>1522</v>
      </c>
      <c r="I1229" s="5">
        <v>619.9</v>
      </c>
      <c r="J1229" s="57"/>
      <c r="K1229" s="3"/>
      <c r="L1229" s="2" t="s">
        <v>226</v>
      </c>
      <c r="M1229" s="2"/>
      <c r="N1229" s="2"/>
      <c r="O1229" s="2"/>
      <c r="P1229" s="21"/>
      <c r="Q1229" s="3"/>
      <c r="R1229" s="3"/>
    </row>
    <row r="1230" spans="1:18" x14ac:dyDescent="0.25">
      <c r="A1230" s="30">
        <v>45854</v>
      </c>
      <c r="B1230" s="28">
        <v>1221</v>
      </c>
      <c r="C1230" s="28"/>
      <c r="D1230" s="2" t="s">
        <v>1202</v>
      </c>
      <c r="E1230" s="7"/>
      <c r="F1230" s="7"/>
      <c r="G1230" s="2" t="s">
        <v>97</v>
      </c>
      <c r="H1230" s="2" t="s">
        <v>590</v>
      </c>
      <c r="I1230" s="5">
        <v>873.14</v>
      </c>
      <c r="J1230" s="57"/>
      <c r="K1230" s="3"/>
      <c r="L1230" s="2" t="s">
        <v>64</v>
      </c>
      <c r="M1230" s="2"/>
      <c r="N1230" s="2"/>
      <c r="O1230" s="2"/>
      <c r="P1230" s="21"/>
      <c r="Q1230" s="3"/>
      <c r="R1230" s="3"/>
    </row>
    <row r="1231" spans="1:18" x14ac:dyDescent="0.25">
      <c r="A1231" s="30">
        <v>45854</v>
      </c>
      <c r="B1231" s="28">
        <v>1222</v>
      </c>
      <c r="C1231" s="28"/>
      <c r="D1231" s="2" t="s">
        <v>541</v>
      </c>
      <c r="E1231" s="7" t="s">
        <v>979</v>
      </c>
      <c r="F1231" s="7"/>
      <c r="G1231" s="2" t="s">
        <v>97</v>
      </c>
      <c r="H1231" s="2" t="s">
        <v>543</v>
      </c>
      <c r="I1231" s="5">
        <v>3260.94</v>
      </c>
      <c r="J1231" s="57"/>
      <c r="K1231" s="3">
        <v>48</v>
      </c>
      <c r="L1231" s="2" t="s">
        <v>64</v>
      </c>
      <c r="M1231" s="2"/>
      <c r="N1231" s="2"/>
      <c r="O1231" s="2"/>
      <c r="P1231" s="21"/>
      <c r="Q1231" s="3"/>
      <c r="R1231" s="3"/>
    </row>
    <row r="1232" spans="1:18" x14ac:dyDescent="0.25">
      <c r="A1232" s="30">
        <v>45853</v>
      </c>
      <c r="B1232" s="28">
        <v>1223</v>
      </c>
      <c r="C1232" s="28"/>
      <c r="D1232" s="2" t="s">
        <v>256</v>
      </c>
      <c r="E1232" s="7"/>
      <c r="F1232" s="7"/>
      <c r="G1232" s="2" t="s">
        <v>20</v>
      </c>
      <c r="H1232" s="2" t="s">
        <v>257</v>
      </c>
      <c r="I1232" s="5">
        <v>2057.9699999999998</v>
      </c>
      <c r="J1232" s="57"/>
      <c r="K1232" s="3"/>
      <c r="L1232" s="2" t="s">
        <v>64</v>
      </c>
      <c r="M1232" s="2"/>
      <c r="N1232" s="2"/>
      <c r="O1232" s="2"/>
      <c r="P1232" s="21"/>
      <c r="Q1232" s="3"/>
      <c r="R1232" s="3"/>
    </row>
    <row r="1233" spans="1:18" x14ac:dyDescent="0.25">
      <c r="A1233" s="30">
        <v>45854</v>
      </c>
      <c r="B1233" s="28">
        <v>1224</v>
      </c>
      <c r="C1233" s="28"/>
      <c r="D1233" s="2" t="s">
        <v>1523</v>
      </c>
      <c r="E1233" s="7" t="s">
        <v>1524</v>
      </c>
      <c r="F1233" s="7"/>
      <c r="G1233" s="2" t="s">
        <v>111</v>
      </c>
      <c r="H1233" s="2" t="s">
        <v>1168</v>
      </c>
      <c r="I1233" s="5">
        <v>266393.31</v>
      </c>
      <c r="J1233" s="57"/>
      <c r="K1233" s="3">
        <v>3552</v>
      </c>
      <c r="L1233" s="2" t="s">
        <v>226</v>
      </c>
      <c r="M1233" s="2" t="s">
        <v>1687</v>
      </c>
      <c r="N1233" s="2"/>
      <c r="O1233" s="2"/>
      <c r="P1233" s="21"/>
      <c r="Q1233" s="3"/>
      <c r="R1233" s="3"/>
    </row>
    <row r="1234" spans="1:18" x14ac:dyDescent="0.25">
      <c r="A1234" s="30">
        <v>45854</v>
      </c>
      <c r="B1234" s="28">
        <v>1225</v>
      </c>
      <c r="C1234" s="28"/>
      <c r="D1234" s="2" t="s">
        <v>41</v>
      </c>
      <c r="E1234" s="7" t="s">
        <v>1525</v>
      </c>
      <c r="F1234" s="7"/>
      <c r="G1234" s="2" t="s">
        <v>43</v>
      </c>
      <c r="H1234" s="2" t="s">
        <v>417</v>
      </c>
      <c r="I1234" s="5">
        <v>100497.67</v>
      </c>
      <c r="J1234" s="57"/>
      <c r="K1234" s="3">
        <v>1296</v>
      </c>
      <c r="L1234" s="2" t="s">
        <v>64</v>
      </c>
      <c r="M1234" s="2" t="s">
        <v>530</v>
      </c>
      <c r="N1234" s="2"/>
      <c r="O1234" s="2"/>
      <c r="P1234" s="21"/>
      <c r="Q1234" s="3"/>
      <c r="R1234" s="3"/>
    </row>
    <row r="1235" spans="1:18" x14ac:dyDescent="0.25">
      <c r="A1235" s="30">
        <v>45854</v>
      </c>
      <c r="B1235" s="28">
        <v>1226</v>
      </c>
      <c r="C1235" s="28"/>
      <c r="D1235" s="2" t="s">
        <v>465</v>
      </c>
      <c r="E1235" s="7" t="s">
        <v>816</v>
      </c>
      <c r="F1235" s="7"/>
      <c r="G1235" s="2" t="s">
        <v>26</v>
      </c>
      <c r="H1235" s="2" t="s">
        <v>55</v>
      </c>
      <c r="I1235" s="5">
        <v>3026.05</v>
      </c>
      <c r="J1235" s="57"/>
      <c r="K1235" s="3">
        <v>48</v>
      </c>
      <c r="L1235" s="2" t="s">
        <v>64</v>
      </c>
      <c r="M1235" s="2"/>
      <c r="N1235" s="2"/>
      <c r="O1235" s="2"/>
      <c r="P1235" s="21"/>
      <c r="Q1235" s="3"/>
      <c r="R1235" s="3"/>
    </row>
    <row r="1236" spans="1:18" x14ac:dyDescent="0.25">
      <c r="A1236" s="30">
        <v>45862</v>
      </c>
      <c r="B1236" s="28">
        <v>1227</v>
      </c>
      <c r="C1236" s="28"/>
      <c r="D1236" s="2" t="s">
        <v>1484</v>
      </c>
      <c r="E1236" s="7" t="s">
        <v>1527</v>
      </c>
      <c r="F1236" s="7"/>
      <c r="G1236" s="2" t="s">
        <v>20</v>
      </c>
      <c r="H1236" s="2" t="s">
        <v>827</v>
      </c>
      <c r="I1236" s="5">
        <v>30960.38</v>
      </c>
      <c r="J1236" s="57"/>
      <c r="K1236" s="3">
        <v>360</v>
      </c>
      <c r="L1236" s="2" t="s">
        <v>134</v>
      </c>
      <c r="M1236" s="2" t="s">
        <v>1160</v>
      </c>
      <c r="N1236" s="2" t="s">
        <v>135</v>
      </c>
      <c r="O1236" s="2" t="s">
        <v>374</v>
      </c>
      <c r="P1236" s="21" t="s">
        <v>1401</v>
      </c>
      <c r="Q1236" s="3"/>
      <c r="R1236" s="3"/>
    </row>
    <row r="1237" spans="1:18" x14ac:dyDescent="0.25">
      <c r="A1237" s="30">
        <v>45854</v>
      </c>
      <c r="B1237" s="28">
        <v>1228</v>
      </c>
      <c r="C1237" s="28"/>
      <c r="D1237" s="2" t="s">
        <v>1484</v>
      </c>
      <c r="E1237" s="7" t="s">
        <v>1528</v>
      </c>
      <c r="F1237" s="7"/>
      <c r="G1237" s="2" t="s">
        <v>20</v>
      </c>
      <c r="H1237" s="2" t="s">
        <v>537</v>
      </c>
      <c r="I1237" s="5">
        <v>61436.77</v>
      </c>
      <c r="J1237" s="57"/>
      <c r="K1237" s="3">
        <v>720</v>
      </c>
      <c r="L1237" s="2" t="s">
        <v>64</v>
      </c>
      <c r="M1237" s="2"/>
      <c r="N1237" s="2"/>
      <c r="O1237" s="2"/>
      <c r="P1237" s="21"/>
      <c r="Q1237" s="3"/>
      <c r="R1237" s="3"/>
    </row>
    <row r="1238" spans="1:18" x14ac:dyDescent="0.25">
      <c r="A1238" s="30">
        <v>45854</v>
      </c>
      <c r="B1238" s="28">
        <v>1229</v>
      </c>
      <c r="C1238" s="28"/>
      <c r="D1238" s="2" t="s">
        <v>168</v>
      </c>
      <c r="E1238" s="7" t="s">
        <v>1462</v>
      </c>
      <c r="F1238" s="7"/>
      <c r="G1238" s="2" t="s">
        <v>43</v>
      </c>
      <c r="H1238" s="2" t="s">
        <v>170</v>
      </c>
      <c r="I1238" s="5">
        <v>173304.61</v>
      </c>
      <c r="J1238" s="57"/>
      <c r="K1238" s="3">
        <v>2142</v>
      </c>
      <c r="L1238" s="2" t="s">
        <v>64</v>
      </c>
      <c r="M1238" s="2" t="s">
        <v>530</v>
      </c>
      <c r="N1238" s="2"/>
      <c r="O1238" s="2"/>
      <c r="P1238" s="21"/>
      <c r="Q1238" s="3"/>
      <c r="R1238" s="3"/>
    </row>
    <row r="1239" spans="1:18" x14ac:dyDescent="0.25">
      <c r="A1239" s="30">
        <v>45854</v>
      </c>
      <c r="B1239" s="28">
        <v>1230</v>
      </c>
      <c r="C1239" s="28"/>
      <c r="D1239" s="2" t="s">
        <v>168</v>
      </c>
      <c r="E1239" s="7" t="s">
        <v>1463</v>
      </c>
      <c r="F1239" s="7"/>
      <c r="G1239" s="2" t="s">
        <v>43</v>
      </c>
      <c r="H1239" s="2" t="s">
        <v>170</v>
      </c>
      <c r="I1239" s="5">
        <v>225665.78</v>
      </c>
      <c r="J1239" s="57"/>
      <c r="K1239" s="3">
        <v>2878.8</v>
      </c>
      <c r="L1239" s="2" t="s">
        <v>64</v>
      </c>
      <c r="M1239" s="2" t="s">
        <v>530</v>
      </c>
      <c r="N1239" s="2"/>
      <c r="O1239" s="2"/>
      <c r="P1239" s="21"/>
      <c r="Q1239" s="3"/>
      <c r="R1239" s="3"/>
    </row>
    <row r="1240" spans="1:18" x14ac:dyDescent="0.25">
      <c r="A1240" s="30">
        <v>45854</v>
      </c>
      <c r="B1240" s="28">
        <v>1231</v>
      </c>
      <c r="C1240" s="28"/>
      <c r="D1240" s="2" t="s">
        <v>273</v>
      </c>
      <c r="E1240" s="7"/>
      <c r="F1240" s="7"/>
      <c r="G1240" s="2" t="s">
        <v>26</v>
      </c>
      <c r="H1240" s="2" t="s">
        <v>116</v>
      </c>
      <c r="I1240" s="5">
        <v>8658.23</v>
      </c>
      <c r="J1240" s="57"/>
      <c r="K1240" s="3">
        <v>120</v>
      </c>
      <c r="L1240" s="2" t="s">
        <v>64</v>
      </c>
      <c r="M1240" s="2"/>
      <c r="N1240" s="2"/>
      <c r="O1240" s="2"/>
      <c r="P1240" s="21"/>
      <c r="Q1240" s="3"/>
      <c r="R1240" s="3"/>
    </row>
    <row r="1241" spans="1:18" x14ac:dyDescent="0.25">
      <c r="A1241" s="30">
        <v>45854</v>
      </c>
      <c r="B1241" s="28">
        <v>1232</v>
      </c>
      <c r="C1241" s="28"/>
      <c r="D1241" s="2" t="s">
        <v>62</v>
      </c>
      <c r="E1241" s="7"/>
      <c r="F1241" s="7"/>
      <c r="G1241" s="2" t="s">
        <v>26</v>
      </c>
      <c r="H1241" s="2" t="s">
        <v>63</v>
      </c>
      <c r="I1241" s="5">
        <v>6154.39</v>
      </c>
      <c r="J1241" s="57"/>
      <c r="K1241" s="3">
        <v>24</v>
      </c>
      <c r="L1241" s="2" t="s">
        <v>64</v>
      </c>
      <c r="M1241" s="2"/>
      <c r="N1241" s="2"/>
      <c r="O1241" s="2"/>
      <c r="P1241" s="21"/>
      <c r="Q1241" s="3"/>
      <c r="R1241" s="3"/>
    </row>
    <row r="1242" spans="1:18" x14ac:dyDescent="0.25">
      <c r="A1242" s="30">
        <v>45854</v>
      </c>
      <c r="B1242" s="28">
        <v>1233</v>
      </c>
      <c r="C1242" s="28"/>
      <c r="D1242" s="2" t="s">
        <v>160</v>
      </c>
      <c r="E1242" s="7"/>
      <c r="F1242" s="7"/>
      <c r="G1242" s="2" t="s">
        <v>13</v>
      </c>
      <c r="H1242" s="2" t="s">
        <v>162</v>
      </c>
      <c r="I1242" s="5">
        <v>2089.46</v>
      </c>
      <c r="J1242" s="57"/>
      <c r="K1242" s="3">
        <v>24</v>
      </c>
      <c r="L1242" s="2" t="s">
        <v>64</v>
      </c>
      <c r="M1242" s="2"/>
      <c r="N1242" s="2"/>
      <c r="O1242" s="2"/>
      <c r="P1242" s="21"/>
      <c r="Q1242" s="3"/>
      <c r="R1242" s="3"/>
    </row>
    <row r="1243" spans="1:18" x14ac:dyDescent="0.25">
      <c r="A1243" s="30">
        <v>45854</v>
      </c>
      <c r="B1243" s="28">
        <v>1234</v>
      </c>
      <c r="C1243" s="28"/>
      <c r="D1243" s="2" t="s">
        <v>1446</v>
      </c>
      <c r="E1243" s="7" t="s">
        <v>1529</v>
      </c>
      <c r="F1243" s="7"/>
      <c r="G1243" s="2" t="s">
        <v>43</v>
      </c>
      <c r="H1243" s="2" t="s">
        <v>1448</v>
      </c>
      <c r="I1243" s="5">
        <v>5725.58</v>
      </c>
      <c r="J1243" s="57"/>
      <c r="K1243" s="3">
        <v>48</v>
      </c>
      <c r="L1243" s="2" t="s">
        <v>64</v>
      </c>
      <c r="M1243" s="2" t="s">
        <v>667</v>
      </c>
      <c r="N1243" s="2"/>
      <c r="O1243" s="2"/>
      <c r="P1243" s="21"/>
      <c r="Q1243" s="3"/>
      <c r="R1243" s="3"/>
    </row>
    <row r="1244" spans="1:18" x14ac:dyDescent="0.25">
      <c r="A1244" s="30">
        <v>45855</v>
      </c>
      <c r="B1244" s="28">
        <v>1235</v>
      </c>
      <c r="C1244" s="28"/>
      <c r="D1244" s="2" t="s">
        <v>355</v>
      </c>
      <c r="E1244" s="7" t="s">
        <v>1696</v>
      </c>
      <c r="F1244" s="7"/>
      <c r="G1244" s="2" t="s">
        <v>111</v>
      </c>
      <c r="H1244" s="2" t="s">
        <v>1697</v>
      </c>
      <c r="I1244" s="5">
        <v>51558.62</v>
      </c>
      <c r="J1244" s="57"/>
      <c r="K1244" s="3"/>
      <c r="L1244" s="2" t="s">
        <v>226</v>
      </c>
      <c r="M1244" s="2"/>
      <c r="N1244" s="2"/>
      <c r="O1244" s="2"/>
      <c r="P1244" s="21"/>
      <c r="Q1244" s="3"/>
      <c r="R1244" s="3"/>
    </row>
    <row r="1245" spans="1:18" x14ac:dyDescent="0.25">
      <c r="A1245" s="30">
        <v>45855</v>
      </c>
      <c r="B1245" s="28">
        <v>1236</v>
      </c>
      <c r="C1245" s="28"/>
      <c r="D1245" s="2" t="s">
        <v>124</v>
      </c>
      <c r="E1245" s="7"/>
      <c r="F1245" s="7"/>
      <c r="G1245" s="2" t="s">
        <v>20</v>
      </c>
      <c r="H1245" s="2" t="s">
        <v>119</v>
      </c>
      <c r="I1245" s="5">
        <v>4850</v>
      </c>
      <c r="J1245" s="57"/>
      <c r="K1245" s="3"/>
      <c r="L1245" s="2" t="s">
        <v>134</v>
      </c>
      <c r="M1245" s="2" t="s">
        <v>1363</v>
      </c>
      <c r="N1245" s="2" t="s">
        <v>373</v>
      </c>
      <c r="O1245" s="2"/>
      <c r="P1245" s="21"/>
      <c r="Q1245" s="3"/>
      <c r="R1245" s="3"/>
    </row>
    <row r="1246" spans="1:18" x14ac:dyDescent="0.25">
      <c r="A1246" s="30">
        <v>45855</v>
      </c>
      <c r="B1246" s="28">
        <v>1237</v>
      </c>
      <c r="C1246" s="28"/>
      <c r="D1246" s="2" t="s">
        <v>1120</v>
      </c>
      <c r="E1246" s="7" t="s">
        <v>1079</v>
      </c>
      <c r="F1246" s="7"/>
      <c r="G1246" s="2" t="s">
        <v>97</v>
      </c>
      <c r="H1246" s="2" t="s">
        <v>368</v>
      </c>
      <c r="I1246" s="5">
        <v>1738.08</v>
      </c>
      <c r="J1246" s="57"/>
      <c r="K1246" s="3"/>
      <c r="L1246" s="2" t="s">
        <v>64</v>
      </c>
      <c r="M1246" s="2"/>
      <c r="N1246" s="2"/>
      <c r="O1246" s="2"/>
      <c r="P1246" s="21"/>
      <c r="Q1246" s="3"/>
      <c r="R1246" s="3"/>
    </row>
    <row r="1247" spans="1:18" x14ac:dyDescent="0.25">
      <c r="A1247" s="30">
        <v>45856</v>
      </c>
      <c r="B1247" s="28">
        <v>1238</v>
      </c>
      <c r="C1247" s="28"/>
      <c r="D1247" s="2" t="s">
        <v>298</v>
      </c>
      <c r="E1247" s="7"/>
      <c r="F1247" s="7"/>
      <c r="G1247" s="2" t="s">
        <v>13</v>
      </c>
      <c r="H1247" s="2" t="s">
        <v>1436</v>
      </c>
      <c r="I1247" s="5">
        <v>2027.54</v>
      </c>
      <c r="J1247" s="57"/>
      <c r="K1247" s="3"/>
      <c r="L1247" s="2" t="s">
        <v>64</v>
      </c>
      <c r="M1247" s="2"/>
      <c r="N1247" s="2"/>
      <c r="O1247" s="2"/>
      <c r="P1247" s="21"/>
      <c r="Q1247" s="3"/>
      <c r="R1247" s="3"/>
    </row>
    <row r="1248" spans="1:18" x14ac:dyDescent="0.25">
      <c r="A1248" s="30">
        <v>45855</v>
      </c>
      <c r="B1248" s="28">
        <v>1239</v>
      </c>
      <c r="C1248" s="28"/>
      <c r="D1248" s="2" t="s">
        <v>41</v>
      </c>
      <c r="E1248" s="7" t="s">
        <v>1115</v>
      </c>
      <c r="F1248" s="7"/>
      <c r="G1248" s="2" t="s">
        <v>43</v>
      </c>
      <c r="H1248" s="2" t="s">
        <v>158</v>
      </c>
      <c r="I1248" s="5">
        <v>7126.57</v>
      </c>
      <c r="J1248" s="57"/>
      <c r="K1248" s="3"/>
      <c r="L1248" s="2" t="s">
        <v>64</v>
      </c>
      <c r="M1248" s="2"/>
      <c r="N1248" s="2"/>
      <c r="O1248" s="2"/>
      <c r="P1248" s="21"/>
      <c r="Q1248" s="3"/>
      <c r="R1248" s="3"/>
    </row>
    <row r="1249" spans="1:18" x14ac:dyDescent="0.25">
      <c r="A1249" s="30">
        <v>45855</v>
      </c>
      <c r="B1249" s="28">
        <v>1240</v>
      </c>
      <c r="C1249" s="28"/>
      <c r="D1249" s="2" t="s">
        <v>178</v>
      </c>
      <c r="E1249" s="7" t="s">
        <v>1535</v>
      </c>
      <c r="F1249" s="7"/>
      <c r="G1249" s="2" t="s">
        <v>13</v>
      </c>
      <c r="H1249" s="2" t="s">
        <v>180</v>
      </c>
      <c r="I1249" s="5">
        <v>34854.410000000003</v>
      </c>
      <c r="J1249" s="57"/>
      <c r="K1249" s="3"/>
      <c r="L1249" s="2" t="s">
        <v>226</v>
      </c>
      <c r="M1249" s="2"/>
      <c r="N1249" s="2"/>
      <c r="O1249" s="2"/>
      <c r="P1249" s="21"/>
      <c r="Q1249" s="3"/>
      <c r="R1249" s="3"/>
    </row>
    <row r="1250" spans="1:18" x14ac:dyDescent="0.25">
      <c r="A1250" s="30">
        <v>45855</v>
      </c>
      <c r="B1250" s="28">
        <v>1241</v>
      </c>
      <c r="C1250" s="28"/>
      <c r="D1250" s="2" t="s">
        <v>124</v>
      </c>
      <c r="E1250" s="7" t="s">
        <v>1536</v>
      </c>
      <c r="F1250" s="7"/>
      <c r="G1250" s="2" t="s">
        <v>20</v>
      </c>
      <c r="H1250" s="2" t="s">
        <v>112</v>
      </c>
      <c r="I1250" s="5">
        <v>31199.45</v>
      </c>
      <c r="J1250" s="57"/>
      <c r="K1250" s="3"/>
      <c r="L1250" s="2" t="s">
        <v>226</v>
      </c>
      <c r="M1250" s="2"/>
      <c r="N1250" s="2"/>
      <c r="O1250" s="2"/>
      <c r="P1250" s="21"/>
      <c r="Q1250" s="3"/>
      <c r="R1250" s="3"/>
    </row>
    <row r="1251" spans="1:18" x14ac:dyDescent="0.25">
      <c r="A1251" s="30">
        <v>45855</v>
      </c>
      <c r="B1251" s="28">
        <v>1242</v>
      </c>
      <c r="C1251" s="28"/>
      <c r="D1251" s="2" t="s">
        <v>825</v>
      </c>
      <c r="E1251" s="7"/>
      <c r="F1251" s="7"/>
      <c r="G1251" s="2" t="s">
        <v>111</v>
      </c>
      <c r="H1251" s="2"/>
      <c r="I1251" s="5"/>
      <c r="J1251" s="57"/>
      <c r="K1251" s="3"/>
      <c r="L1251" s="2" t="s">
        <v>226</v>
      </c>
      <c r="M1251" s="2"/>
      <c r="N1251" s="2"/>
      <c r="O1251" s="2"/>
      <c r="P1251" s="21"/>
      <c r="Q1251" s="3"/>
      <c r="R1251" s="3"/>
    </row>
    <row r="1252" spans="1:18" x14ac:dyDescent="0.25">
      <c r="A1252" s="30">
        <v>45855</v>
      </c>
      <c r="B1252" s="28">
        <v>1242</v>
      </c>
      <c r="C1252" s="28"/>
      <c r="D1252" s="2" t="s">
        <v>92</v>
      </c>
      <c r="E1252" s="7" t="s">
        <v>1440</v>
      </c>
      <c r="F1252" s="7"/>
      <c r="G1252" s="2" t="s">
        <v>26</v>
      </c>
      <c r="H1252" s="2" t="s">
        <v>1537</v>
      </c>
      <c r="I1252" s="5">
        <v>161869.63</v>
      </c>
      <c r="J1252" s="57"/>
      <c r="K1252" s="3"/>
      <c r="L1252" s="2" t="s">
        <v>226</v>
      </c>
      <c r="M1252" s="2"/>
      <c r="N1252" s="2"/>
      <c r="O1252" s="2"/>
      <c r="P1252" s="21"/>
      <c r="Q1252" s="3"/>
      <c r="R1252" s="3"/>
    </row>
    <row r="1253" spans="1:18" x14ac:dyDescent="0.25">
      <c r="A1253" s="30">
        <v>45855</v>
      </c>
      <c r="B1253" s="28">
        <v>1243</v>
      </c>
      <c r="C1253" s="28"/>
      <c r="D1253" s="2" t="s">
        <v>130</v>
      </c>
      <c r="E1253" s="7" t="s">
        <v>1538</v>
      </c>
      <c r="F1253" s="7"/>
      <c r="G1253" s="2" t="s">
        <v>26</v>
      </c>
      <c r="H1253" s="2" t="s">
        <v>294</v>
      </c>
      <c r="I1253" s="5">
        <v>91035.520000000004</v>
      </c>
      <c r="J1253" s="57"/>
      <c r="K1253" s="3"/>
      <c r="L1253" s="2" t="s">
        <v>226</v>
      </c>
      <c r="M1253" s="2"/>
      <c r="N1253" s="2"/>
      <c r="O1253" s="2"/>
      <c r="P1253" s="21"/>
      <c r="Q1253" s="3"/>
      <c r="R1253" s="3"/>
    </row>
    <row r="1254" spans="1:18" x14ac:dyDescent="0.25">
      <c r="A1254" s="30">
        <v>45855</v>
      </c>
      <c r="B1254" s="28">
        <v>1244</v>
      </c>
      <c r="C1254" s="28"/>
      <c r="D1254" s="2" t="s">
        <v>1287</v>
      </c>
      <c r="E1254" s="7" t="s">
        <v>1539</v>
      </c>
      <c r="F1254" s="7"/>
      <c r="G1254" s="2" t="s">
        <v>26</v>
      </c>
      <c r="H1254" s="2" t="s">
        <v>1540</v>
      </c>
      <c r="I1254" s="5">
        <v>19110.86</v>
      </c>
      <c r="J1254" s="57"/>
      <c r="K1254" s="3"/>
      <c r="L1254" s="2" t="s">
        <v>226</v>
      </c>
      <c r="M1254" s="2"/>
      <c r="N1254" s="2"/>
      <c r="O1254" s="2"/>
      <c r="P1254" s="21"/>
      <c r="Q1254" s="3"/>
      <c r="R1254" s="3"/>
    </row>
    <row r="1255" spans="1:18" x14ac:dyDescent="0.25">
      <c r="A1255" s="30">
        <v>45855</v>
      </c>
      <c r="B1255" s="28">
        <v>1245</v>
      </c>
      <c r="C1255" s="28"/>
      <c r="D1255" s="2" t="s">
        <v>206</v>
      </c>
      <c r="E1255" s="7" t="s">
        <v>1541</v>
      </c>
      <c r="F1255" s="7"/>
      <c r="G1255" s="2" t="s">
        <v>97</v>
      </c>
      <c r="H1255" s="2" t="s">
        <v>114</v>
      </c>
      <c r="I1255" s="5">
        <v>10262.790000000001</v>
      </c>
      <c r="J1255" s="57"/>
      <c r="K1255" s="3"/>
      <c r="L1255" s="2" t="s">
        <v>226</v>
      </c>
      <c r="M1255" s="2"/>
      <c r="N1255" s="2"/>
      <c r="O1255" s="2"/>
      <c r="P1255" s="21"/>
      <c r="Q1255" s="3"/>
      <c r="R1255" s="3"/>
    </row>
    <row r="1256" spans="1:18" x14ac:dyDescent="0.25">
      <c r="A1256" s="30">
        <v>45855</v>
      </c>
      <c r="B1256" s="28">
        <v>1246</v>
      </c>
      <c r="C1256" s="28"/>
      <c r="D1256" s="2" t="s">
        <v>1193</v>
      </c>
      <c r="E1256" s="7" t="s">
        <v>1542</v>
      </c>
      <c r="F1256" s="7"/>
      <c r="G1256" s="2" t="s">
        <v>97</v>
      </c>
      <c r="H1256" s="2" t="s">
        <v>1543</v>
      </c>
      <c r="I1256" s="5">
        <v>10330.59</v>
      </c>
      <c r="J1256" s="57"/>
      <c r="K1256" s="3"/>
      <c r="L1256" s="2" t="s">
        <v>226</v>
      </c>
      <c r="M1256" s="2"/>
      <c r="N1256" s="2"/>
      <c r="O1256" s="2"/>
      <c r="P1256" s="21"/>
      <c r="Q1256" s="3"/>
      <c r="R1256" s="3"/>
    </row>
    <row r="1257" spans="1:18" x14ac:dyDescent="0.25">
      <c r="A1257" s="30">
        <v>45855</v>
      </c>
      <c r="B1257" s="28">
        <v>1247</v>
      </c>
      <c r="C1257" s="28"/>
      <c r="D1257" s="2" t="s">
        <v>1544</v>
      </c>
      <c r="E1257" s="7" t="s">
        <v>1545</v>
      </c>
      <c r="F1257" s="7"/>
      <c r="G1257" s="2" t="s">
        <v>26</v>
      </c>
      <c r="H1257" s="2" t="s">
        <v>1546</v>
      </c>
      <c r="I1257" s="5">
        <v>68128.94</v>
      </c>
      <c r="J1257" s="57"/>
      <c r="K1257" s="3"/>
      <c r="L1257" s="2" t="s">
        <v>226</v>
      </c>
      <c r="M1257" s="2"/>
      <c r="N1257" s="2"/>
      <c r="O1257" s="2"/>
      <c r="P1257" s="21"/>
      <c r="Q1257" s="3"/>
      <c r="R1257" s="3"/>
    </row>
    <row r="1258" spans="1:18" x14ac:dyDescent="0.25">
      <c r="A1258" s="30">
        <v>45855</v>
      </c>
      <c r="B1258" s="28">
        <v>1248</v>
      </c>
      <c r="C1258" s="28"/>
      <c r="D1258" s="2" t="s">
        <v>1547</v>
      </c>
      <c r="E1258" s="7" t="s">
        <v>1508</v>
      </c>
      <c r="F1258" s="7"/>
      <c r="G1258" s="2" t="s">
        <v>13</v>
      </c>
      <c r="H1258" s="2" t="s">
        <v>407</v>
      </c>
      <c r="I1258" s="5">
        <v>74817.679999999993</v>
      </c>
      <c r="J1258" s="57"/>
      <c r="K1258" s="3"/>
      <c r="L1258" s="2" t="s">
        <v>226</v>
      </c>
      <c r="M1258" s="2"/>
      <c r="N1258" s="2"/>
      <c r="O1258" s="2"/>
      <c r="P1258" s="21"/>
      <c r="Q1258" s="3"/>
      <c r="R1258" s="3"/>
    </row>
    <row r="1259" spans="1:18" x14ac:dyDescent="0.25">
      <c r="A1259" s="30">
        <v>45861</v>
      </c>
      <c r="B1259" s="28">
        <v>1249</v>
      </c>
      <c r="C1259" s="28"/>
      <c r="D1259" s="2" t="s">
        <v>1548</v>
      </c>
      <c r="E1259" s="7" t="s">
        <v>1549</v>
      </c>
      <c r="F1259" s="7"/>
      <c r="G1259" s="2" t="s">
        <v>13</v>
      </c>
      <c r="H1259" s="2" t="s">
        <v>1550</v>
      </c>
      <c r="I1259" s="5">
        <v>92698.48</v>
      </c>
      <c r="J1259" s="57"/>
      <c r="K1259" s="3">
        <v>1080</v>
      </c>
      <c r="L1259" s="2" t="s">
        <v>64</v>
      </c>
      <c r="M1259" s="2"/>
      <c r="N1259" s="2"/>
      <c r="O1259" s="2"/>
      <c r="P1259" s="21"/>
      <c r="Q1259" s="3"/>
      <c r="R1259" s="3"/>
    </row>
    <row r="1260" spans="1:18" x14ac:dyDescent="0.25">
      <c r="A1260" s="30">
        <v>45855</v>
      </c>
      <c r="B1260" s="28">
        <v>1250</v>
      </c>
      <c r="C1260" s="28"/>
      <c r="D1260" s="2" t="s">
        <v>1551</v>
      </c>
      <c r="E1260" s="7" t="s">
        <v>1552</v>
      </c>
      <c r="F1260" s="7"/>
      <c r="G1260" s="2" t="s">
        <v>13</v>
      </c>
      <c r="H1260" s="2" t="s">
        <v>1553</v>
      </c>
      <c r="I1260" s="5">
        <v>21682.5</v>
      </c>
      <c r="J1260" s="57"/>
      <c r="K1260" s="3"/>
      <c r="L1260" s="2" t="s">
        <v>226</v>
      </c>
      <c r="M1260" s="2"/>
      <c r="N1260" s="2"/>
      <c r="O1260" s="2"/>
      <c r="P1260" s="21"/>
      <c r="Q1260" s="3"/>
      <c r="R1260" s="3"/>
    </row>
    <row r="1261" spans="1:18" x14ac:dyDescent="0.25">
      <c r="A1261" s="30">
        <v>45879</v>
      </c>
      <c r="B1261" s="28">
        <v>1251</v>
      </c>
      <c r="C1261" s="28"/>
      <c r="D1261" s="2" t="s">
        <v>1193</v>
      </c>
      <c r="E1261" s="7" t="s">
        <v>1554</v>
      </c>
      <c r="F1261" s="7"/>
      <c r="G1261" s="2" t="s">
        <v>97</v>
      </c>
      <c r="H1261" s="2" t="s">
        <v>189</v>
      </c>
      <c r="I1261" s="5">
        <v>11940.03</v>
      </c>
      <c r="J1261" s="57"/>
      <c r="K1261" s="3"/>
      <c r="L1261" s="2" t="s">
        <v>134</v>
      </c>
      <c r="M1261" s="2" t="s">
        <v>1849</v>
      </c>
      <c r="N1261" s="2"/>
      <c r="O1261" s="2"/>
      <c r="P1261" s="21"/>
      <c r="Q1261" s="3"/>
      <c r="R1261" s="3"/>
    </row>
    <row r="1262" spans="1:18" x14ac:dyDescent="0.25">
      <c r="A1262" s="30">
        <v>45856</v>
      </c>
      <c r="B1262" s="28">
        <v>1252</v>
      </c>
      <c r="C1262" s="28"/>
      <c r="D1262" s="2" t="s">
        <v>1555</v>
      </c>
      <c r="E1262" s="7"/>
      <c r="F1262" s="7"/>
      <c r="G1262" s="2" t="s">
        <v>13</v>
      </c>
      <c r="H1262" s="2" t="s">
        <v>549</v>
      </c>
      <c r="I1262" s="5">
        <v>1073.48</v>
      </c>
      <c r="J1262" s="57"/>
      <c r="K1262" s="3"/>
      <c r="L1262" s="2" t="s">
        <v>64</v>
      </c>
      <c r="M1262" s="2"/>
      <c r="N1262" s="2"/>
      <c r="O1262" s="2"/>
      <c r="P1262" s="21"/>
      <c r="Q1262" s="3"/>
      <c r="R1262" s="3"/>
    </row>
    <row r="1263" spans="1:18" x14ac:dyDescent="0.25">
      <c r="A1263" s="30">
        <v>45856</v>
      </c>
      <c r="B1263" s="28">
        <v>1253</v>
      </c>
      <c r="C1263" s="28"/>
      <c r="D1263" s="2" t="s">
        <v>1556</v>
      </c>
      <c r="E1263" s="7"/>
      <c r="F1263" s="7"/>
      <c r="G1263" s="2" t="s">
        <v>13</v>
      </c>
      <c r="H1263" s="2" t="s">
        <v>108</v>
      </c>
      <c r="I1263" s="5">
        <v>20408.810000000001</v>
      </c>
      <c r="J1263" s="57"/>
      <c r="K1263" s="3"/>
      <c r="L1263" s="2" t="s">
        <v>64</v>
      </c>
      <c r="M1263" s="2"/>
      <c r="N1263" s="2"/>
      <c r="O1263" s="2"/>
      <c r="P1263" s="21"/>
      <c r="Q1263" s="3"/>
      <c r="R1263" s="3"/>
    </row>
    <row r="1264" spans="1:18" x14ac:dyDescent="0.25">
      <c r="A1264" s="30">
        <v>45856</v>
      </c>
      <c r="B1264" s="28">
        <v>1254</v>
      </c>
      <c r="C1264" s="28"/>
      <c r="D1264" s="2" t="s">
        <v>786</v>
      </c>
      <c r="E1264" s="7"/>
      <c r="F1264" s="7"/>
      <c r="G1264" s="2" t="s">
        <v>26</v>
      </c>
      <c r="H1264" s="2" t="s">
        <v>15</v>
      </c>
      <c r="I1264" s="5">
        <v>5222.83</v>
      </c>
      <c r="J1264" s="57"/>
      <c r="K1264" s="3"/>
      <c r="L1264" s="2" t="s">
        <v>64</v>
      </c>
      <c r="M1264" s="2"/>
      <c r="N1264" s="2"/>
      <c r="O1264" s="2"/>
      <c r="P1264" s="21"/>
      <c r="Q1264" s="3"/>
      <c r="R1264" s="3"/>
    </row>
    <row r="1265" spans="1:19" x14ac:dyDescent="0.25">
      <c r="A1265" s="30">
        <v>45856</v>
      </c>
      <c r="B1265" s="28">
        <v>1255</v>
      </c>
      <c r="C1265" s="28"/>
      <c r="D1265" s="2" t="s">
        <v>56</v>
      </c>
      <c r="E1265" s="7" t="s">
        <v>1557</v>
      </c>
      <c r="F1265" s="7"/>
      <c r="G1265" s="2" t="s">
        <v>43</v>
      </c>
      <c r="H1265" s="2" t="s">
        <v>275</v>
      </c>
      <c r="I1265" s="5">
        <v>1488.56</v>
      </c>
      <c r="J1265" s="57"/>
      <c r="K1265" s="3"/>
      <c r="L1265" s="2" t="s">
        <v>64</v>
      </c>
      <c r="M1265" s="2"/>
      <c r="N1265" s="2"/>
      <c r="O1265" s="2"/>
      <c r="P1265" s="21"/>
      <c r="Q1265" s="3"/>
      <c r="R1265" s="3"/>
    </row>
    <row r="1266" spans="1:19" x14ac:dyDescent="0.25">
      <c r="A1266" s="30">
        <v>45856</v>
      </c>
      <c r="B1266" s="28">
        <v>1256</v>
      </c>
      <c r="C1266" s="28"/>
      <c r="D1266" s="2" t="s">
        <v>525</v>
      </c>
      <c r="E1266" s="7" t="s">
        <v>1558</v>
      </c>
      <c r="F1266" s="7"/>
      <c r="G1266" s="2" t="s">
        <v>97</v>
      </c>
      <c r="H1266" s="2" t="s">
        <v>424</v>
      </c>
      <c r="I1266" s="5">
        <v>168289.15</v>
      </c>
      <c r="J1266" s="57"/>
      <c r="K1266" s="3"/>
      <c r="L1266" s="2" t="s">
        <v>134</v>
      </c>
      <c r="M1266" s="2" t="s">
        <v>2030</v>
      </c>
      <c r="N1266" s="2" t="s">
        <v>135</v>
      </c>
      <c r="O1266" s="2" t="s">
        <v>1979</v>
      </c>
      <c r="P1266" s="21"/>
      <c r="Q1266" s="3"/>
      <c r="R1266" s="3"/>
    </row>
    <row r="1267" spans="1:19" x14ac:dyDescent="0.25">
      <c r="A1267" s="30">
        <v>45856</v>
      </c>
      <c r="B1267" s="28">
        <v>1257</v>
      </c>
      <c r="C1267" s="28"/>
      <c r="D1267" s="2" t="s">
        <v>102</v>
      </c>
      <c r="E1267" s="7"/>
      <c r="F1267" s="7"/>
      <c r="G1267" s="2" t="s">
        <v>13</v>
      </c>
      <c r="H1267" s="2" t="s">
        <v>872</v>
      </c>
      <c r="I1267" s="5">
        <v>653.37</v>
      </c>
      <c r="J1267" s="57"/>
      <c r="K1267" s="3"/>
      <c r="L1267" s="2" t="s">
        <v>64</v>
      </c>
      <c r="M1267" s="2"/>
      <c r="N1267" s="2"/>
      <c r="O1267" s="2"/>
      <c r="P1267" s="21"/>
      <c r="Q1267" s="3"/>
      <c r="R1267" s="3"/>
    </row>
    <row r="1268" spans="1:19" x14ac:dyDescent="0.25">
      <c r="A1268" s="30">
        <v>45879</v>
      </c>
      <c r="B1268" s="28">
        <v>1258</v>
      </c>
      <c r="C1268" s="28"/>
      <c r="D1268" s="2" t="s">
        <v>1193</v>
      </c>
      <c r="E1268" s="7" t="s">
        <v>1559</v>
      </c>
      <c r="F1268" s="7"/>
      <c r="G1268" s="2" t="s">
        <v>97</v>
      </c>
      <c r="H1268" s="2" t="s">
        <v>189</v>
      </c>
      <c r="I1268" s="5">
        <v>5542.69</v>
      </c>
      <c r="J1268" s="57"/>
      <c r="K1268" s="3"/>
      <c r="L1268" s="2" t="s">
        <v>134</v>
      </c>
      <c r="M1268" s="2" t="s">
        <v>1849</v>
      </c>
      <c r="N1268" s="2"/>
      <c r="O1268" s="2"/>
      <c r="P1268" s="21"/>
      <c r="Q1268" s="3"/>
      <c r="R1268" s="3"/>
      <c r="S1268" t="s">
        <v>12</v>
      </c>
    </row>
    <row r="1269" spans="1:19" x14ac:dyDescent="0.25">
      <c r="A1269" s="30">
        <v>45856</v>
      </c>
      <c r="B1269" s="28">
        <v>1259</v>
      </c>
      <c r="C1269" s="28"/>
      <c r="D1269" s="2" t="s">
        <v>283</v>
      </c>
      <c r="E1269" s="7"/>
      <c r="F1269" s="7"/>
      <c r="G1269" s="2" t="s">
        <v>97</v>
      </c>
      <c r="H1269" s="2" t="s">
        <v>285</v>
      </c>
      <c r="I1269" s="5">
        <v>12455.47</v>
      </c>
      <c r="J1269" s="57"/>
      <c r="K1269" s="3"/>
      <c r="L1269" s="2" t="s">
        <v>226</v>
      </c>
      <c r="M1269" s="2"/>
      <c r="N1269" s="2"/>
      <c r="O1269" s="2"/>
      <c r="P1269" s="21"/>
      <c r="Q1269" s="3"/>
      <c r="R1269" s="3"/>
    </row>
    <row r="1270" spans="1:19" x14ac:dyDescent="0.25">
      <c r="A1270" s="30">
        <v>45859</v>
      </c>
      <c r="B1270" s="28">
        <v>1260</v>
      </c>
      <c r="C1270" s="28"/>
      <c r="D1270" s="2" t="s">
        <v>212</v>
      </c>
      <c r="E1270" s="7" t="s">
        <v>1560</v>
      </c>
      <c r="F1270" s="7"/>
      <c r="G1270" s="2" t="s">
        <v>20</v>
      </c>
      <c r="H1270" s="2" t="s">
        <v>235</v>
      </c>
      <c r="I1270" s="5">
        <v>1494.34</v>
      </c>
      <c r="J1270" s="57"/>
      <c r="K1270" s="3">
        <v>192</v>
      </c>
      <c r="L1270" s="2" t="s">
        <v>64</v>
      </c>
      <c r="M1270" s="2"/>
      <c r="N1270" s="2"/>
      <c r="O1270" s="2"/>
      <c r="P1270" s="21"/>
      <c r="Q1270" s="3"/>
      <c r="R1270" s="3"/>
    </row>
    <row r="1271" spans="1:19" x14ac:dyDescent="0.25">
      <c r="A1271" s="30">
        <v>45860</v>
      </c>
      <c r="B1271" s="28">
        <v>1261</v>
      </c>
      <c r="C1271" s="28"/>
      <c r="D1271" s="2" t="s">
        <v>1561</v>
      </c>
      <c r="E1271" s="7" t="s">
        <v>1562</v>
      </c>
      <c r="F1271" s="7"/>
      <c r="G1271" s="2" t="s">
        <v>13</v>
      </c>
      <c r="H1271" s="2" t="s">
        <v>263</v>
      </c>
      <c r="I1271" s="5">
        <v>18797.09</v>
      </c>
      <c r="J1271" s="57"/>
      <c r="K1271" s="3"/>
      <c r="L1271" s="2" t="s">
        <v>226</v>
      </c>
      <c r="M1271" s="2"/>
      <c r="N1271" s="2"/>
      <c r="O1271" s="2"/>
      <c r="P1271" s="21"/>
      <c r="Q1271" s="3"/>
      <c r="R1271" s="3"/>
    </row>
    <row r="1272" spans="1:19" x14ac:dyDescent="0.25">
      <c r="A1272" s="30">
        <v>45859</v>
      </c>
      <c r="B1272" s="28">
        <v>1262</v>
      </c>
      <c r="C1272" s="28"/>
      <c r="D1272" s="2" t="s">
        <v>465</v>
      </c>
      <c r="E1272" s="7" t="s">
        <v>1526</v>
      </c>
      <c r="F1272" s="7"/>
      <c r="G1272" s="2" t="s">
        <v>26</v>
      </c>
      <c r="H1272" s="2" t="s">
        <v>55</v>
      </c>
      <c r="I1272" s="5">
        <v>2117.25</v>
      </c>
      <c r="J1272" s="57"/>
      <c r="K1272" s="3"/>
      <c r="L1272" s="2" t="s">
        <v>64</v>
      </c>
      <c r="M1272" s="2"/>
      <c r="N1272" s="2"/>
      <c r="O1272" s="2"/>
      <c r="P1272" s="21"/>
      <c r="Q1272" s="3"/>
      <c r="R1272" s="3"/>
    </row>
    <row r="1273" spans="1:19" x14ac:dyDescent="0.25">
      <c r="A1273" s="30">
        <v>45860</v>
      </c>
      <c r="B1273" s="28">
        <v>1263</v>
      </c>
      <c r="C1273" s="28"/>
      <c r="D1273" s="2" t="s">
        <v>1120</v>
      </c>
      <c r="E1273" s="7" t="s">
        <v>1079</v>
      </c>
      <c r="F1273" s="7"/>
      <c r="G1273" s="2" t="s">
        <v>97</v>
      </c>
      <c r="H1273" s="2" t="s">
        <v>368</v>
      </c>
      <c r="I1273" s="5">
        <v>5954.22</v>
      </c>
      <c r="J1273" s="57"/>
      <c r="K1273" s="3"/>
      <c r="L1273" s="2" t="s">
        <v>64</v>
      </c>
      <c r="M1273" s="2"/>
      <c r="N1273" s="2"/>
      <c r="O1273" s="2"/>
      <c r="P1273" s="21"/>
      <c r="Q1273" s="3"/>
      <c r="R1273" s="3"/>
    </row>
    <row r="1274" spans="1:19" x14ac:dyDescent="0.25">
      <c r="A1274" s="30">
        <v>45859</v>
      </c>
      <c r="B1274" s="28">
        <v>1264</v>
      </c>
      <c r="C1274" s="28"/>
      <c r="D1274" s="2" t="s">
        <v>541</v>
      </c>
      <c r="E1274" s="7" t="s">
        <v>979</v>
      </c>
      <c r="F1274" s="7"/>
      <c r="G1274" s="2" t="s">
        <v>97</v>
      </c>
      <c r="H1274" s="2" t="s">
        <v>543</v>
      </c>
      <c r="I1274" s="5">
        <v>1604.15</v>
      </c>
      <c r="J1274" s="57"/>
      <c r="K1274" s="3"/>
      <c r="L1274" s="2" t="s">
        <v>64</v>
      </c>
      <c r="M1274" s="2"/>
      <c r="N1274" s="2"/>
      <c r="O1274" s="2"/>
      <c r="P1274" s="21"/>
      <c r="Q1274" s="3"/>
      <c r="R1274" s="3"/>
    </row>
    <row r="1275" spans="1:19" x14ac:dyDescent="0.25">
      <c r="A1275" s="30">
        <v>45860</v>
      </c>
      <c r="B1275" s="28">
        <v>1265</v>
      </c>
      <c r="C1275" s="28"/>
      <c r="D1275" s="2" t="s">
        <v>1563</v>
      </c>
      <c r="E1275" s="7"/>
      <c r="F1275" s="7"/>
      <c r="G1275" s="2" t="s">
        <v>13</v>
      </c>
      <c r="H1275" s="2" t="s">
        <v>129</v>
      </c>
      <c r="I1275" s="5">
        <v>2139.34</v>
      </c>
      <c r="J1275" s="57"/>
      <c r="K1275" s="3"/>
      <c r="L1275" s="2" t="s">
        <v>64</v>
      </c>
      <c r="M1275" s="2"/>
      <c r="N1275" s="2"/>
      <c r="O1275" s="2"/>
      <c r="P1275" s="21"/>
      <c r="Q1275" s="3"/>
      <c r="R1275" s="3"/>
    </row>
    <row r="1276" spans="1:19" x14ac:dyDescent="0.25">
      <c r="A1276" s="30">
        <v>45859</v>
      </c>
      <c r="B1276" s="28">
        <v>1266</v>
      </c>
      <c r="C1276" s="28"/>
      <c r="D1276" s="2" t="s">
        <v>1564</v>
      </c>
      <c r="E1276" s="7" t="s">
        <v>1565</v>
      </c>
      <c r="F1276" s="7"/>
      <c r="G1276" s="2" t="s">
        <v>97</v>
      </c>
      <c r="H1276" s="2" t="s">
        <v>938</v>
      </c>
      <c r="I1276" s="5">
        <v>18739.88</v>
      </c>
      <c r="J1276" s="57"/>
      <c r="K1276" s="3"/>
      <c r="L1276" s="2" t="s">
        <v>226</v>
      </c>
      <c r="M1276" s="2"/>
      <c r="N1276" s="2"/>
      <c r="O1276" s="2"/>
      <c r="P1276" s="21"/>
      <c r="Q1276" s="3"/>
      <c r="R1276" s="3"/>
    </row>
    <row r="1277" spans="1:19" x14ac:dyDescent="0.25">
      <c r="A1277" s="30">
        <v>45861</v>
      </c>
      <c r="B1277" s="28">
        <v>1267</v>
      </c>
      <c r="C1277" s="28"/>
      <c r="D1277" s="2" t="s">
        <v>508</v>
      </c>
      <c r="E1277" s="7"/>
      <c r="F1277" s="7"/>
      <c r="G1277" s="2" t="s">
        <v>20</v>
      </c>
      <c r="H1277" s="2" t="s">
        <v>596</v>
      </c>
      <c r="I1277" s="5">
        <v>76681.710000000006</v>
      </c>
      <c r="J1277" s="57"/>
      <c r="K1277" s="3"/>
      <c r="L1277" s="2" t="s">
        <v>64</v>
      </c>
      <c r="M1277" s="2"/>
      <c r="N1277" s="2"/>
      <c r="O1277" s="2"/>
      <c r="P1277" s="21"/>
      <c r="Q1277" s="3"/>
      <c r="R1277" s="3"/>
    </row>
    <row r="1278" spans="1:19" x14ac:dyDescent="0.25">
      <c r="A1278" s="30">
        <v>45859</v>
      </c>
      <c r="B1278" s="28">
        <v>1268</v>
      </c>
      <c r="C1278" s="28"/>
      <c r="D1278" s="2" t="s">
        <v>425</v>
      </c>
      <c r="E1278" s="7" t="s">
        <v>1566</v>
      </c>
      <c r="F1278" s="7"/>
      <c r="G1278" s="2" t="s">
        <v>26</v>
      </c>
      <c r="H1278" s="2" t="s">
        <v>491</v>
      </c>
      <c r="I1278" s="5">
        <v>26521.3</v>
      </c>
      <c r="J1278" s="57"/>
      <c r="K1278" s="3"/>
      <c r="L1278" s="2" t="s">
        <v>226</v>
      </c>
      <c r="M1278" s="2" t="s">
        <v>1807</v>
      </c>
      <c r="N1278" s="2"/>
      <c r="O1278" s="2"/>
      <c r="P1278" s="21"/>
      <c r="Q1278" s="3"/>
      <c r="R1278" s="3"/>
    </row>
    <row r="1279" spans="1:19" x14ac:dyDescent="0.25">
      <c r="A1279" s="30">
        <v>45860</v>
      </c>
      <c r="B1279" s="28">
        <v>1269</v>
      </c>
      <c r="C1279" s="28"/>
      <c r="D1279" s="2" t="s">
        <v>1567</v>
      </c>
      <c r="E1279" s="7"/>
      <c r="F1279" s="7"/>
      <c r="G1279" s="2" t="s">
        <v>13</v>
      </c>
      <c r="H1279" s="2" t="s">
        <v>590</v>
      </c>
      <c r="I1279" s="5">
        <v>14868</v>
      </c>
      <c r="J1279" s="57"/>
      <c r="K1279" s="3"/>
      <c r="L1279" s="2" t="s">
        <v>226</v>
      </c>
      <c r="M1279" s="2"/>
      <c r="N1279" s="2"/>
      <c r="O1279" s="2"/>
      <c r="P1279" s="21"/>
      <c r="Q1279" s="3"/>
      <c r="R1279" s="3"/>
    </row>
    <row r="1280" spans="1:19" x14ac:dyDescent="0.25">
      <c r="A1280" s="30">
        <v>45860</v>
      </c>
      <c r="B1280" s="28">
        <v>1270</v>
      </c>
      <c r="C1280" s="28"/>
      <c r="D1280" s="2" t="s">
        <v>425</v>
      </c>
      <c r="E1280" s="7" t="s">
        <v>1568</v>
      </c>
      <c r="F1280" s="7"/>
      <c r="G1280" s="2" t="s">
        <v>26</v>
      </c>
      <c r="H1280" s="2" t="s">
        <v>1569</v>
      </c>
      <c r="I1280" s="5">
        <v>5608.6</v>
      </c>
      <c r="J1280" s="57"/>
      <c r="K1280" s="3"/>
      <c r="L1280" s="2" t="s">
        <v>226</v>
      </c>
      <c r="M1280" s="2"/>
      <c r="N1280" s="2"/>
      <c r="O1280" s="2"/>
      <c r="P1280" s="21"/>
      <c r="Q1280" s="3"/>
      <c r="R1280" s="3"/>
    </row>
    <row r="1281" spans="1:18" x14ac:dyDescent="0.25">
      <c r="A1281" s="30">
        <v>45860</v>
      </c>
      <c r="B1281" s="28">
        <v>1271</v>
      </c>
      <c r="C1281" s="28"/>
      <c r="D1281" s="2" t="s">
        <v>208</v>
      </c>
      <c r="E1281" s="7" t="s">
        <v>1570</v>
      </c>
      <c r="F1281" s="7"/>
      <c r="G1281" s="2" t="s">
        <v>43</v>
      </c>
      <c r="H1281" s="2" t="s">
        <v>448</v>
      </c>
      <c r="I1281" s="5">
        <v>106933.28</v>
      </c>
      <c r="J1281" s="57"/>
      <c r="K1281" s="3"/>
      <c r="L1281" s="2" t="s">
        <v>226</v>
      </c>
      <c r="M1281" s="2"/>
      <c r="N1281" s="2"/>
      <c r="O1281" s="2"/>
      <c r="P1281" s="21"/>
      <c r="Q1281" s="3"/>
      <c r="R1281" s="3"/>
    </row>
    <row r="1282" spans="1:18" x14ac:dyDescent="0.25">
      <c r="A1282" s="30">
        <v>45860</v>
      </c>
      <c r="B1282" s="28">
        <v>1272</v>
      </c>
      <c r="C1282" s="28"/>
      <c r="D1282" s="2" t="s">
        <v>233</v>
      </c>
      <c r="E1282" s="7" t="s">
        <v>1519</v>
      </c>
      <c r="F1282" s="7"/>
      <c r="G1282" s="2" t="s">
        <v>13</v>
      </c>
      <c r="H1282" s="2" t="s">
        <v>235</v>
      </c>
      <c r="I1282" s="5">
        <v>8673</v>
      </c>
      <c r="J1282" s="57"/>
      <c r="K1282" s="3"/>
      <c r="L1282" s="2" t="s">
        <v>226</v>
      </c>
      <c r="M1282" s="2"/>
      <c r="N1282" s="2"/>
      <c r="O1282" s="2"/>
      <c r="P1282" s="21"/>
      <c r="Q1282" s="3"/>
      <c r="R1282" s="3"/>
    </row>
    <row r="1283" spans="1:18" x14ac:dyDescent="0.25">
      <c r="A1283" s="30">
        <v>45860</v>
      </c>
      <c r="B1283" s="28">
        <v>1273</v>
      </c>
      <c r="C1283" s="28"/>
      <c r="D1283" s="2" t="s">
        <v>124</v>
      </c>
      <c r="E1283" s="7" t="s">
        <v>1571</v>
      </c>
      <c r="F1283" s="7"/>
      <c r="G1283" s="2" t="s">
        <v>20</v>
      </c>
      <c r="H1283" s="2" t="s">
        <v>263</v>
      </c>
      <c r="I1283" s="5">
        <v>227782.74</v>
      </c>
      <c r="J1283" s="57"/>
      <c r="K1283" s="3"/>
      <c r="L1283" s="2" t="s">
        <v>226</v>
      </c>
      <c r="M1283" s="2"/>
      <c r="N1283" s="2"/>
      <c r="O1283" s="2"/>
      <c r="P1283" s="21"/>
      <c r="Q1283" s="3"/>
      <c r="R1283" s="3"/>
    </row>
    <row r="1284" spans="1:18" x14ac:dyDescent="0.25">
      <c r="A1284" s="30">
        <v>45861</v>
      </c>
      <c r="B1284" s="28">
        <v>1274</v>
      </c>
      <c r="C1284" s="28"/>
      <c r="D1284" s="2" t="s">
        <v>601</v>
      </c>
      <c r="E1284" s="7" t="s">
        <v>1572</v>
      </c>
      <c r="F1284" s="7"/>
      <c r="G1284" s="2" t="s">
        <v>13</v>
      </c>
      <c r="H1284" s="2" t="s">
        <v>751</v>
      </c>
      <c r="I1284" s="5">
        <v>76937.740000000005</v>
      </c>
      <c r="J1284" s="57"/>
      <c r="K1284" s="3">
        <v>1008</v>
      </c>
      <c r="L1284" s="2" t="s">
        <v>64</v>
      </c>
      <c r="M1284" s="2"/>
      <c r="N1284" s="2"/>
      <c r="O1284" s="2"/>
      <c r="P1284" s="21"/>
      <c r="Q1284" s="3"/>
      <c r="R1284" s="3"/>
    </row>
    <row r="1285" spans="1:18" x14ac:dyDescent="0.25">
      <c r="A1285" s="30">
        <v>45860</v>
      </c>
      <c r="B1285" s="28">
        <v>1275</v>
      </c>
      <c r="C1285" s="28"/>
      <c r="D1285" s="2" t="s">
        <v>87</v>
      </c>
      <c r="E1285" s="7" t="s">
        <v>1573</v>
      </c>
      <c r="F1285" s="7"/>
      <c r="G1285" s="2" t="s">
        <v>13</v>
      </c>
      <c r="H1285" s="2" t="s">
        <v>185</v>
      </c>
      <c r="I1285" s="5">
        <v>277978.42</v>
      </c>
      <c r="J1285" s="57"/>
      <c r="K1285" s="3"/>
      <c r="L1285" s="2" t="s">
        <v>226</v>
      </c>
      <c r="M1285" s="2"/>
      <c r="N1285" s="2"/>
      <c r="O1285" s="2"/>
      <c r="P1285" s="21"/>
      <c r="Q1285" s="3"/>
      <c r="R1285" s="3"/>
    </row>
    <row r="1286" spans="1:18" x14ac:dyDescent="0.25">
      <c r="A1286" s="30">
        <v>45860</v>
      </c>
      <c r="B1286" s="28">
        <v>1276</v>
      </c>
      <c r="C1286" s="28"/>
      <c r="D1286" s="2" t="s">
        <v>1403</v>
      </c>
      <c r="E1286" s="7"/>
      <c r="F1286" s="7"/>
      <c r="G1286" s="2" t="s">
        <v>13</v>
      </c>
      <c r="H1286" s="2" t="s">
        <v>1404</v>
      </c>
      <c r="I1286" s="5">
        <v>6802.13</v>
      </c>
      <c r="J1286" s="57"/>
      <c r="K1286" s="3"/>
      <c r="L1286" s="2" t="s">
        <v>226</v>
      </c>
      <c r="M1286" s="2"/>
      <c r="N1286" s="2"/>
      <c r="O1286" s="2"/>
      <c r="P1286" s="21"/>
      <c r="Q1286" s="3"/>
      <c r="R1286" s="3"/>
    </row>
    <row r="1287" spans="1:18" x14ac:dyDescent="0.25">
      <c r="A1287" s="30">
        <v>45860</v>
      </c>
      <c r="B1287" s="28">
        <v>1277</v>
      </c>
      <c r="C1287" s="28"/>
      <c r="D1287" s="2" t="s">
        <v>106</v>
      </c>
      <c r="E1287" s="7" t="s">
        <v>1574</v>
      </c>
      <c r="F1287" s="7"/>
      <c r="G1287" s="2" t="s">
        <v>13</v>
      </c>
      <c r="H1287" s="2" t="s">
        <v>40</v>
      </c>
      <c r="I1287" s="5">
        <v>101022.29</v>
      </c>
      <c r="J1287" s="57"/>
      <c r="K1287" s="3"/>
      <c r="L1287" s="2" t="s">
        <v>21</v>
      </c>
      <c r="M1287" s="2"/>
      <c r="N1287" s="2"/>
      <c r="O1287" s="2"/>
      <c r="P1287" s="21"/>
      <c r="Q1287" s="3"/>
      <c r="R1287" s="3"/>
    </row>
    <row r="1288" spans="1:18" x14ac:dyDescent="0.25">
      <c r="A1288" s="30">
        <v>45860</v>
      </c>
      <c r="B1288" s="28">
        <v>1278</v>
      </c>
      <c r="C1288" s="28"/>
      <c r="D1288" s="2" t="s">
        <v>1575</v>
      </c>
      <c r="E1288" s="7" t="s">
        <v>1535</v>
      </c>
      <c r="F1288" s="7"/>
      <c r="G1288" s="2" t="s">
        <v>26</v>
      </c>
      <c r="H1288" s="2" t="s">
        <v>1576</v>
      </c>
      <c r="I1288" s="5">
        <v>34854.410000000003</v>
      </c>
      <c r="J1288" s="57"/>
      <c r="K1288" s="3"/>
      <c r="L1288" s="2" t="s">
        <v>226</v>
      </c>
      <c r="M1288" s="2"/>
      <c r="N1288" s="2"/>
      <c r="O1288" s="2"/>
      <c r="P1288" s="21"/>
      <c r="Q1288" s="3"/>
      <c r="R1288" s="3"/>
    </row>
    <row r="1289" spans="1:18" x14ac:dyDescent="0.25">
      <c r="A1289" s="30">
        <v>45861</v>
      </c>
      <c r="B1289" s="28">
        <v>1279</v>
      </c>
      <c r="C1289" s="28"/>
      <c r="D1289" s="2" t="s">
        <v>1577</v>
      </c>
      <c r="E1289" s="7" t="s">
        <v>1578</v>
      </c>
      <c r="F1289" s="7"/>
      <c r="G1289" s="2" t="s">
        <v>13</v>
      </c>
      <c r="H1289" s="2" t="s">
        <v>114</v>
      </c>
      <c r="I1289" s="5">
        <v>31747.03</v>
      </c>
      <c r="J1289" s="57"/>
      <c r="K1289" s="3"/>
      <c r="L1289" s="2" t="s">
        <v>226</v>
      </c>
      <c r="M1289" s="2"/>
      <c r="N1289" s="2"/>
      <c r="O1289" s="2"/>
      <c r="P1289" s="21"/>
      <c r="Q1289" s="3"/>
      <c r="R1289" s="3"/>
    </row>
    <row r="1290" spans="1:18" x14ac:dyDescent="0.25">
      <c r="A1290" s="30">
        <v>45861</v>
      </c>
      <c r="B1290" s="28">
        <v>1280</v>
      </c>
      <c r="C1290" s="28"/>
      <c r="D1290" s="2" t="s">
        <v>1579</v>
      </c>
      <c r="E1290" s="7"/>
      <c r="F1290" s="7"/>
      <c r="G1290" s="2" t="s">
        <v>13</v>
      </c>
      <c r="H1290" s="2" t="s">
        <v>467</v>
      </c>
      <c r="I1290" s="5">
        <v>51351.040000000001</v>
      </c>
      <c r="J1290" s="57"/>
      <c r="K1290" s="3"/>
      <c r="L1290" s="2" t="s">
        <v>226</v>
      </c>
      <c r="M1290" s="2"/>
      <c r="N1290" s="2"/>
      <c r="O1290" s="2"/>
      <c r="P1290" s="21"/>
      <c r="Q1290" s="3"/>
      <c r="R1290" s="3"/>
    </row>
    <row r="1291" spans="1:18" x14ac:dyDescent="0.25">
      <c r="A1291" s="30">
        <v>45860</v>
      </c>
      <c r="B1291" s="28">
        <v>1281</v>
      </c>
      <c r="C1291" s="28"/>
      <c r="D1291" s="2" t="s">
        <v>1237</v>
      </c>
      <c r="E1291" s="7" t="s">
        <v>1580</v>
      </c>
      <c r="F1291" s="7"/>
      <c r="G1291" s="2" t="s">
        <v>20</v>
      </c>
      <c r="H1291" s="2" t="s">
        <v>13</v>
      </c>
      <c r="I1291" s="5">
        <v>12914.3</v>
      </c>
      <c r="J1291" s="57"/>
      <c r="K1291" s="3"/>
      <c r="L1291" s="2" t="s">
        <v>226</v>
      </c>
      <c r="M1291" s="2"/>
      <c r="N1291" s="2"/>
      <c r="O1291" s="2"/>
      <c r="P1291" s="21"/>
      <c r="Q1291" s="3"/>
      <c r="R1291" s="3"/>
    </row>
    <row r="1292" spans="1:18" x14ac:dyDescent="0.25">
      <c r="A1292" s="30">
        <v>45860</v>
      </c>
      <c r="B1292" s="28">
        <v>1282</v>
      </c>
      <c r="C1292" s="28"/>
      <c r="D1292" s="2" t="s">
        <v>41</v>
      </c>
      <c r="E1292" s="7" t="s">
        <v>1581</v>
      </c>
      <c r="F1292" s="7"/>
      <c r="G1292" s="2" t="s">
        <v>43</v>
      </c>
      <c r="H1292" s="2" t="s">
        <v>417</v>
      </c>
      <c r="I1292" s="5">
        <v>194143.25</v>
      </c>
      <c r="J1292" s="57"/>
      <c r="K1292" s="3"/>
      <c r="L1292" s="2" t="s">
        <v>226</v>
      </c>
      <c r="M1292" s="2" t="s">
        <v>1397</v>
      </c>
      <c r="N1292" s="2"/>
      <c r="O1292" s="2"/>
      <c r="P1292" s="21"/>
      <c r="Q1292" s="3"/>
      <c r="R1292" s="3"/>
    </row>
    <row r="1293" spans="1:18" x14ac:dyDescent="0.25">
      <c r="A1293" s="30">
        <v>45883</v>
      </c>
      <c r="B1293" s="28">
        <v>1283</v>
      </c>
      <c r="C1293" s="28"/>
      <c r="D1293" s="2" t="s">
        <v>124</v>
      </c>
      <c r="E1293" s="7" t="s">
        <v>1582</v>
      </c>
      <c r="F1293" s="7"/>
      <c r="G1293" s="2" t="s">
        <v>20</v>
      </c>
      <c r="H1293" s="2" t="s">
        <v>154</v>
      </c>
      <c r="I1293" s="5">
        <v>203152.1</v>
      </c>
      <c r="J1293" s="57"/>
      <c r="K1293" s="3"/>
      <c r="L1293" s="2" t="s">
        <v>134</v>
      </c>
      <c r="M1293" s="2" t="s">
        <v>1160</v>
      </c>
      <c r="N1293" s="2" t="s">
        <v>135</v>
      </c>
      <c r="O1293" s="2" t="s">
        <v>374</v>
      </c>
      <c r="P1293" s="21"/>
      <c r="Q1293" s="3"/>
      <c r="R1293" s="3"/>
    </row>
    <row r="1294" spans="1:18" x14ac:dyDescent="0.25">
      <c r="A1294" s="30">
        <v>45861</v>
      </c>
      <c r="B1294" s="28">
        <v>1284</v>
      </c>
      <c r="C1294" s="28"/>
      <c r="D1294" s="2" t="s">
        <v>102</v>
      </c>
      <c r="E1294" s="7"/>
      <c r="F1294" s="7"/>
      <c r="G1294" s="2" t="s">
        <v>13</v>
      </c>
      <c r="H1294" s="2" t="s">
        <v>872</v>
      </c>
      <c r="I1294" s="5">
        <v>1809.15</v>
      </c>
      <c r="J1294" s="57"/>
      <c r="K1294" s="3"/>
      <c r="L1294" s="2" t="s">
        <v>64</v>
      </c>
      <c r="M1294" s="2"/>
      <c r="N1294" s="2"/>
      <c r="O1294" s="2"/>
      <c r="P1294" s="21"/>
      <c r="Q1294" s="3"/>
      <c r="R1294" s="3"/>
    </row>
    <row r="1295" spans="1:18" x14ac:dyDescent="0.25">
      <c r="A1295" s="30">
        <v>45861</v>
      </c>
      <c r="B1295" s="28">
        <v>1285</v>
      </c>
      <c r="C1295" s="28"/>
      <c r="D1295" s="2" t="s">
        <v>92</v>
      </c>
      <c r="E1295" s="7" t="s">
        <v>1584</v>
      </c>
      <c r="F1295" s="7"/>
      <c r="G1295" s="2" t="s">
        <v>26</v>
      </c>
      <c r="H1295" s="2" t="s">
        <v>1583</v>
      </c>
      <c r="I1295" s="5">
        <v>432</v>
      </c>
      <c r="J1295" s="57"/>
      <c r="K1295" s="3"/>
      <c r="L1295" s="2" t="s">
        <v>226</v>
      </c>
      <c r="M1295" s="2"/>
      <c r="N1295" s="2"/>
      <c r="O1295" s="2"/>
      <c r="P1295" s="21"/>
      <c r="Q1295" s="3"/>
      <c r="R1295" s="3"/>
    </row>
    <row r="1296" spans="1:18" x14ac:dyDescent="0.25">
      <c r="A1296" s="30">
        <v>45861</v>
      </c>
      <c r="B1296" s="28">
        <v>1286</v>
      </c>
      <c r="C1296" s="28"/>
      <c r="D1296" s="2" t="s">
        <v>208</v>
      </c>
      <c r="E1296" s="7" t="s">
        <v>1585</v>
      </c>
      <c r="F1296" s="7"/>
      <c r="G1296" s="2" t="s">
        <v>43</v>
      </c>
      <c r="H1296" s="2" t="s">
        <v>448</v>
      </c>
      <c r="I1296" s="5">
        <v>95955.05</v>
      </c>
      <c r="J1296" s="57"/>
      <c r="K1296" s="3"/>
      <c r="L1296" s="2" t="s">
        <v>226</v>
      </c>
      <c r="M1296" s="2"/>
      <c r="N1296" s="2"/>
      <c r="O1296" s="2"/>
      <c r="P1296" s="21"/>
      <c r="Q1296" s="3"/>
      <c r="R1296" s="3"/>
    </row>
    <row r="1297" spans="1:18" x14ac:dyDescent="0.25">
      <c r="A1297" s="30">
        <v>45877</v>
      </c>
      <c r="B1297" s="28">
        <v>1287</v>
      </c>
      <c r="C1297" s="28"/>
      <c r="D1297" s="2" t="s">
        <v>1863</v>
      </c>
      <c r="E1297" s="7" t="s">
        <v>1586</v>
      </c>
      <c r="F1297" s="7"/>
      <c r="G1297" s="2" t="s">
        <v>43</v>
      </c>
      <c r="H1297" s="2" t="s">
        <v>294</v>
      </c>
      <c r="I1297" s="5">
        <v>1440.26</v>
      </c>
      <c r="J1297" s="57"/>
      <c r="K1297" s="3"/>
      <c r="L1297" s="2" t="s">
        <v>134</v>
      </c>
      <c r="M1297" s="2" t="s">
        <v>1754</v>
      </c>
      <c r="N1297" s="2" t="s">
        <v>1755</v>
      </c>
      <c r="O1297" s="2"/>
      <c r="P1297" s="21"/>
      <c r="Q1297" s="3"/>
      <c r="R1297" s="3"/>
    </row>
    <row r="1298" spans="1:18" x14ac:dyDescent="0.25">
      <c r="A1298" s="30">
        <v>45861</v>
      </c>
      <c r="B1298" s="28">
        <v>1288</v>
      </c>
      <c r="C1298" s="28"/>
      <c r="D1298" s="2" t="s">
        <v>692</v>
      </c>
      <c r="E1298" s="7"/>
      <c r="F1298" s="7"/>
      <c r="G1298" s="2" t="s">
        <v>97</v>
      </c>
      <c r="H1298" s="2" t="s">
        <v>590</v>
      </c>
      <c r="I1298" s="5">
        <v>941.28</v>
      </c>
      <c r="J1298" s="57"/>
      <c r="K1298" s="3"/>
      <c r="L1298" s="2" t="s">
        <v>226</v>
      </c>
      <c r="M1298" s="2"/>
      <c r="N1298" s="2"/>
      <c r="O1298" s="2"/>
      <c r="P1298" s="21"/>
      <c r="Q1298" s="3"/>
      <c r="R1298" s="3"/>
    </row>
    <row r="1299" spans="1:18" x14ac:dyDescent="0.25">
      <c r="A1299" s="30">
        <v>45862</v>
      </c>
      <c r="B1299" s="28">
        <v>1289</v>
      </c>
      <c r="C1299" s="28"/>
      <c r="D1299" s="2" t="s">
        <v>1556</v>
      </c>
      <c r="E1299" s="7"/>
      <c r="F1299" s="7"/>
      <c r="G1299" s="2" t="s">
        <v>13</v>
      </c>
      <c r="H1299" s="2" t="s">
        <v>108</v>
      </c>
      <c r="I1299" s="5">
        <v>6655.18</v>
      </c>
      <c r="J1299" s="57"/>
      <c r="K1299" s="3"/>
      <c r="L1299" s="2" t="s">
        <v>64</v>
      </c>
      <c r="M1299" s="2"/>
      <c r="N1299" s="2"/>
      <c r="O1299" s="2"/>
      <c r="P1299" s="21"/>
      <c r="Q1299" s="3"/>
      <c r="R1299" s="3"/>
    </row>
    <row r="1300" spans="1:18" x14ac:dyDescent="0.25">
      <c r="A1300" s="30">
        <v>45862</v>
      </c>
      <c r="B1300" s="28">
        <v>1290</v>
      </c>
      <c r="C1300" s="28"/>
      <c r="D1300" s="2" t="s">
        <v>1202</v>
      </c>
      <c r="E1300" s="7" t="s">
        <v>1587</v>
      </c>
      <c r="F1300" s="7"/>
      <c r="G1300" s="2" t="s">
        <v>97</v>
      </c>
      <c r="H1300" s="2" t="s">
        <v>1588</v>
      </c>
      <c r="I1300" s="5">
        <v>7137.31</v>
      </c>
      <c r="J1300" s="57"/>
      <c r="K1300" s="3"/>
      <c r="L1300" s="2" t="s">
        <v>226</v>
      </c>
      <c r="M1300" s="2"/>
      <c r="N1300" s="2"/>
      <c r="O1300" s="2"/>
      <c r="P1300" s="21"/>
      <c r="Q1300" s="3"/>
      <c r="R1300" s="3"/>
    </row>
    <row r="1301" spans="1:18" x14ac:dyDescent="0.25">
      <c r="A1301" s="30">
        <v>45862</v>
      </c>
      <c r="B1301" s="28">
        <v>1291</v>
      </c>
      <c r="C1301" s="28"/>
      <c r="D1301" s="2" t="s">
        <v>109</v>
      </c>
      <c r="E1301" s="7" t="s">
        <v>1589</v>
      </c>
      <c r="F1301" s="7"/>
      <c r="G1301" s="2" t="s">
        <v>111</v>
      </c>
      <c r="H1301" s="2" t="s">
        <v>319</v>
      </c>
      <c r="I1301" s="5">
        <v>28368.71</v>
      </c>
      <c r="J1301" s="57"/>
      <c r="K1301" s="3"/>
      <c r="L1301" s="2" t="s">
        <v>226</v>
      </c>
      <c r="M1301" s="2" t="s">
        <v>1531</v>
      </c>
      <c r="N1301" s="2"/>
      <c r="O1301" s="2"/>
      <c r="P1301" s="21"/>
      <c r="Q1301" s="3"/>
      <c r="R1301" s="3"/>
    </row>
    <row r="1302" spans="1:18" x14ac:dyDescent="0.25">
      <c r="A1302" s="30">
        <v>45862</v>
      </c>
      <c r="B1302" s="28">
        <v>1292</v>
      </c>
      <c r="C1302" s="28"/>
      <c r="D1302" s="2" t="s">
        <v>1590</v>
      </c>
      <c r="E1302" s="7" t="s">
        <v>1692</v>
      </c>
      <c r="F1302" s="7"/>
      <c r="G1302" s="2" t="s">
        <v>111</v>
      </c>
      <c r="H1302" s="2" t="s">
        <v>112</v>
      </c>
      <c r="I1302" s="5">
        <v>29241.11</v>
      </c>
      <c r="J1302" s="57"/>
      <c r="K1302" s="3"/>
      <c r="L1302" s="2" t="s">
        <v>134</v>
      </c>
      <c r="M1302" s="2" t="s">
        <v>1531</v>
      </c>
      <c r="N1302" s="2"/>
      <c r="O1302" s="2"/>
      <c r="P1302" s="21"/>
      <c r="Q1302" s="3"/>
      <c r="R1302" s="3"/>
    </row>
    <row r="1303" spans="1:18" x14ac:dyDescent="0.25">
      <c r="A1303" s="30">
        <v>45862</v>
      </c>
      <c r="B1303" s="28">
        <v>1293</v>
      </c>
      <c r="C1303" s="28"/>
      <c r="D1303" s="2" t="s">
        <v>803</v>
      </c>
      <c r="E1303" s="7" t="s">
        <v>12</v>
      </c>
      <c r="F1303" s="7"/>
      <c r="G1303" s="2" t="s">
        <v>13</v>
      </c>
      <c r="H1303" s="2" t="s">
        <v>1591</v>
      </c>
      <c r="I1303" s="5">
        <v>16520</v>
      </c>
      <c r="J1303" s="57"/>
      <c r="K1303" s="3">
        <v>240</v>
      </c>
      <c r="L1303" s="2" t="s">
        <v>226</v>
      </c>
      <c r="M1303" s="2" t="s">
        <v>12</v>
      </c>
      <c r="N1303" s="2" t="s">
        <v>12</v>
      </c>
      <c r="O1303" s="2" t="s">
        <v>12</v>
      </c>
      <c r="P1303" s="21" t="s">
        <v>12</v>
      </c>
      <c r="Q1303" s="3" t="s">
        <v>12</v>
      </c>
      <c r="R1303" s="3" t="s">
        <v>12</v>
      </c>
    </row>
    <row r="1304" spans="1:18" x14ac:dyDescent="0.25">
      <c r="A1304" s="30">
        <v>45863</v>
      </c>
      <c r="B1304" s="28">
        <v>1294</v>
      </c>
      <c r="C1304" s="28"/>
      <c r="D1304" s="2" t="s">
        <v>508</v>
      </c>
      <c r="E1304" s="7" t="s">
        <v>12</v>
      </c>
      <c r="F1304" s="7"/>
      <c r="G1304" s="2" t="s">
        <v>20</v>
      </c>
      <c r="H1304" s="2" t="s">
        <v>596</v>
      </c>
      <c r="I1304" s="5">
        <v>153626.71</v>
      </c>
      <c r="J1304" s="57"/>
      <c r="K1304" s="3">
        <v>2664</v>
      </c>
      <c r="L1304" s="2" t="s">
        <v>226</v>
      </c>
      <c r="M1304" s="2" t="s">
        <v>1397</v>
      </c>
      <c r="N1304" s="2" t="s">
        <v>12</v>
      </c>
      <c r="O1304" s="2" t="s">
        <v>12</v>
      </c>
      <c r="P1304" s="21" t="s">
        <v>12</v>
      </c>
      <c r="Q1304" s="3" t="s">
        <v>12</v>
      </c>
      <c r="R1304" s="3" t="s">
        <v>12</v>
      </c>
    </row>
    <row r="1305" spans="1:18" x14ac:dyDescent="0.25">
      <c r="A1305" s="30">
        <v>45862</v>
      </c>
      <c r="B1305" s="28">
        <v>1295</v>
      </c>
      <c r="C1305" s="28"/>
      <c r="D1305" s="2" t="s">
        <v>56</v>
      </c>
      <c r="E1305" s="7" t="s">
        <v>1499</v>
      </c>
      <c r="F1305" s="7"/>
      <c r="G1305" s="2" t="s">
        <v>43</v>
      </c>
      <c r="H1305" s="2" t="s">
        <v>1442</v>
      </c>
      <c r="I1305" s="5">
        <v>29999.71</v>
      </c>
      <c r="J1305" s="57"/>
      <c r="K1305" s="3">
        <v>312</v>
      </c>
      <c r="L1305" s="2" t="s">
        <v>226</v>
      </c>
      <c r="M1305" s="2" t="s">
        <v>12</v>
      </c>
      <c r="N1305" s="2" t="s">
        <v>12</v>
      </c>
      <c r="O1305" s="2" t="s">
        <v>12</v>
      </c>
      <c r="P1305" s="21" t="s">
        <v>12</v>
      </c>
      <c r="Q1305" s="3" t="s">
        <v>12</v>
      </c>
      <c r="R1305" s="3" t="s">
        <v>12</v>
      </c>
    </row>
    <row r="1306" spans="1:18" x14ac:dyDescent="0.25">
      <c r="A1306" s="30">
        <v>45862</v>
      </c>
      <c r="B1306" s="28">
        <v>1296</v>
      </c>
      <c r="C1306" s="28"/>
      <c r="D1306" s="2" t="s">
        <v>941</v>
      </c>
      <c r="E1306" s="7" t="s">
        <v>12</v>
      </c>
      <c r="F1306" s="7"/>
      <c r="G1306" s="2" t="s">
        <v>13</v>
      </c>
      <c r="H1306" s="2" t="s">
        <v>943</v>
      </c>
      <c r="I1306" s="5">
        <v>46001.01</v>
      </c>
      <c r="J1306" s="57"/>
      <c r="K1306" s="3">
        <v>480</v>
      </c>
      <c r="L1306" s="2" t="s">
        <v>226</v>
      </c>
      <c r="M1306" s="2" t="s">
        <v>12</v>
      </c>
      <c r="N1306" s="2" t="s">
        <v>12</v>
      </c>
      <c r="O1306" s="2" t="s">
        <v>12</v>
      </c>
      <c r="P1306" s="21" t="s">
        <v>12</v>
      </c>
      <c r="Q1306" s="3" t="s">
        <v>12</v>
      </c>
      <c r="R1306" s="3" t="s">
        <v>12</v>
      </c>
    </row>
    <row r="1307" spans="1:18" x14ac:dyDescent="0.25">
      <c r="A1307" s="30">
        <v>45862</v>
      </c>
      <c r="B1307" s="28">
        <v>1297</v>
      </c>
      <c r="C1307" s="28"/>
      <c r="D1307" s="2" t="s">
        <v>106</v>
      </c>
      <c r="E1307" s="7" t="s">
        <v>1592</v>
      </c>
      <c r="F1307" s="7"/>
      <c r="G1307" s="2" t="s">
        <v>13</v>
      </c>
      <c r="H1307" s="2" t="s">
        <v>40</v>
      </c>
      <c r="I1307" s="5">
        <v>6520.42</v>
      </c>
      <c r="J1307" s="57"/>
      <c r="K1307" s="3">
        <v>72</v>
      </c>
      <c r="L1307" s="2" t="s">
        <v>226</v>
      </c>
      <c r="M1307" s="2" t="s">
        <v>12</v>
      </c>
      <c r="N1307" s="2" t="s">
        <v>12</v>
      </c>
      <c r="O1307" s="2" t="s">
        <v>12</v>
      </c>
      <c r="P1307" s="21" t="s">
        <v>12</v>
      </c>
      <c r="Q1307" s="3" t="s">
        <v>12</v>
      </c>
      <c r="R1307" s="3" t="s">
        <v>12</v>
      </c>
    </row>
    <row r="1308" spans="1:18" x14ac:dyDescent="0.25">
      <c r="A1308" s="30">
        <v>45863</v>
      </c>
      <c r="B1308" s="28">
        <v>1298</v>
      </c>
      <c r="C1308" s="28"/>
      <c r="D1308" s="2" t="s">
        <v>87</v>
      </c>
      <c r="E1308" s="7" t="s">
        <v>1593</v>
      </c>
      <c r="F1308" s="7"/>
      <c r="G1308" s="2" t="s">
        <v>13</v>
      </c>
      <c r="H1308" s="2" t="s">
        <v>185</v>
      </c>
      <c r="I1308" s="5">
        <v>238239.78</v>
      </c>
      <c r="J1308" s="57"/>
      <c r="K1308" s="3">
        <v>2452.8000000000002</v>
      </c>
      <c r="L1308" s="2" t="s">
        <v>226</v>
      </c>
      <c r="M1308" s="2" t="s">
        <v>12</v>
      </c>
      <c r="N1308" s="2" t="s">
        <v>12</v>
      </c>
      <c r="O1308" s="2" t="s">
        <v>12</v>
      </c>
      <c r="P1308" s="21" t="s">
        <v>12</v>
      </c>
      <c r="Q1308" s="3" t="s">
        <v>12</v>
      </c>
      <c r="R1308" s="3" t="s">
        <v>12</v>
      </c>
    </row>
    <row r="1309" spans="1:18" x14ac:dyDescent="0.25">
      <c r="A1309" s="30">
        <v>45867</v>
      </c>
      <c r="B1309" s="28">
        <v>1299</v>
      </c>
      <c r="C1309" s="28"/>
      <c r="D1309" s="2" t="s">
        <v>433</v>
      </c>
      <c r="E1309" s="7" t="s">
        <v>1594</v>
      </c>
      <c r="F1309" s="7"/>
      <c r="G1309" s="2" t="s">
        <v>97</v>
      </c>
      <c r="H1309" s="2" t="s">
        <v>395</v>
      </c>
      <c r="I1309" s="5">
        <v>67814.55</v>
      </c>
      <c r="J1309" s="57"/>
      <c r="K1309" s="3">
        <v>768</v>
      </c>
      <c r="L1309" s="2" t="s">
        <v>64</v>
      </c>
      <c r="M1309" s="2" t="s">
        <v>12</v>
      </c>
      <c r="N1309" s="2" t="s">
        <v>12</v>
      </c>
      <c r="O1309" s="2" t="s">
        <v>12</v>
      </c>
      <c r="P1309" s="21" t="s">
        <v>12</v>
      </c>
      <c r="Q1309" s="3" t="s">
        <v>12</v>
      </c>
      <c r="R1309" s="3" t="s">
        <v>12</v>
      </c>
    </row>
    <row r="1310" spans="1:18" x14ac:dyDescent="0.25">
      <c r="A1310" s="30">
        <v>45867</v>
      </c>
      <c r="B1310" s="28">
        <v>1300</v>
      </c>
      <c r="C1310" s="28"/>
      <c r="D1310" s="2" t="s">
        <v>433</v>
      </c>
      <c r="E1310" s="7" t="s">
        <v>1595</v>
      </c>
      <c r="F1310" s="7"/>
      <c r="G1310" s="2" t="s">
        <v>97</v>
      </c>
      <c r="H1310" s="2" t="s">
        <v>395</v>
      </c>
      <c r="I1310" s="5">
        <v>69246.63</v>
      </c>
      <c r="J1310" s="57"/>
      <c r="K1310" s="3">
        <v>792</v>
      </c>
      <c r="L1310" s="2" t="s">
        <v>64</v>
      </c>
      <c r="M1310" s="2" t="s">
        <v>12</v>
      </c>
      <c r="N1310" s="2" t="s">
        <v>12</v>
      </c>
      <c r="O1310" s="2" t="s">
        <v>12</v>
      </c>
      <c r="P1310" s="21" t="s">
        <v>12</v>
      </c>
      <c r="Q1310" s="3" t="s">
        <v>12</v>
      </c>
      <c r="R1310" s="3" t="s">
        <v>12</v>
      </c>
    </row>
    <row r="1311" spans="1:18" x14ac:dyDescent="0.25">
      <c r="A1311" s="30">
        <v>45866</v>
      </c>
      <c r="B1311" s="28">
        <v>1301</v>
      </c>
      <c r="C1311" s="28"/>
      <c r="D1311" s="2" t="s">
        <v>1596</v>
      </c>
      <c r="E1311" s="7" t="s">
        <v>12</v>
      </c>
      <c r="F1311" s="7"/>
      <c r="G1311" s="2" t="s">
        <v>43</v>
      </c>
      <c r="H1311" s="2" t="s">
        <v>1597</v>
      </c>
      <c r="I1311" s="5">
        <v>7885.91</v>
      </c>
      <c r="J1311" s="57"/>
      <c r="K1311" s="3">
        <v>72</v>
      </c>
      <c r="L1311" s="2" t="s">
        <v>64</v>
      </c>
      <c r="M1311" s="2" t="s">
        <v>12</v>
      </c>
      <c r="N1311" s="2" t="s">
        <v>12</v>
      </c>
      <c r="O1311" s="2" t="s">
        <v>12</v>
      </c>
      <c r="P1311" s="21" t="s">
        <v>12</v>
      </c>
      <c r="Q1311" s="3" t="s">
        <v>12</v>
      </c>
      <c r="R1311" s="3" t="s">
        <v>12</v>
      </c>
    </row>
    <row r="1312" spans="1:18" x14ac:dyDescent="0.25">
      <c r="A1312" s="30">
        <v>45863</v>
      </c>
      <c r="B1312" s="28">
        <v>1302</v>
      </c>
      <c r="C1312" s="28"/>
      <c r="D1312" s="2" t="s">
        <v>130</v>
      </c>
      <c r="E1312" s="7" t="s">
        <v>1598</v>
      </c>
      <c r="F1312" s="7"/>
      <c r="G1312" s="2" t="s">
        <v>26</v>
      </c>
      <c r="H1312" s="2" t="s">
        <v>129</v>
      </c>
      <c r="I1312" s="5">
        <v>18240.919999999998</v>
      </c>
      <c r="J1312" s="57"/>
      <c r="K1312" s="3">
        <v>240</v>
      </c>
      <c r="L1312" s="2" t="s">
        <v>226</v>
      </c>
      <c r="M1312" s="2" t="s">
        <v>12</v>
      </c>
      <c r="N1312" s="2" t="s">
        <v>12</v>
      </c>
      <c r="O1312" s="2" t="s">
        <v>12</v>
      </c>
      <c r="P1312" s="21" t="s">
        <v>12</v>
      </c>
      <c r="Q1312" s="3" t="s">
        <v>12</v>
      </c>
      <c r="R1312" s="3" t="s">
        <v>12</v>
      </c>
    </row>
    <row r="1313" spans="1:18" x14ac:dyDescent="0.25">
      <c r="A1313" s="30">
        <v>45866</v>
      </c>
      <c r="B1313" s="28">
        <v>1303</v>
      </c>
      <c r="C1313" s="28"/>
      <c r="D1313" s="2" t="s">
        <v>1599</v>
      </c>
      <c r="E1313" s="7" t="s">
        <v>12</v>
      </c>
      <c r="F1313" s="7"/>
      <c r="G1313" s="2" t="s">
        <v>13</v>
      </c>
      <c r="H1313" s="2" t="s">
        <v>331</v>
      </c>
      <c r="I1313" s="5">
        <v>2223.5500000000002</v>
      </c>
      <c r="J1313" s="57"/>
      <c r="K1313" s="3">
        <v>24</v>
      </c>
      <c r="L1313" s="2" t="s">
        <v>64</v>
      </c>
      <c r="M1313" s="2" t="s">
        <v>12</v>
      </c>
      <c r="N1313" s="2" t="s">
        <v>12</v>
      </c>
      <c r="O1313" s="2" t="s">
        <v>12</v>
      </c>
      <c r="P1313" s="21" t="s">
        <v>12</v>
      </c>
      <c r="Q1313" s="3" t="s">
        <v>12</v>
      </c>
      <c r="R1313" s="3" t="s">
        <v>12</v>
      </c>
    </row>
    <row r="1314" spans="1:18" x14ac:dyDescent="0.25">
      <c r="A1314" s="30">
        <v>45866</v>
      </c>
      <c r="B1314" s="28">
        <v>1304</v>
      </c>
      <c r="C1314" s="28"/>
      <c r="D1314" s="2" t="s">
        <v>415</v>
      </c>
      <c r="E1314" s="7" t="s">
        <v>1600</v>
      </c>
      <c r="F1314" s="7"/>
      <c r="G1314" s="2" t="s">
        <v>13</v>
      </c>
      <c r="H1314" s="2" t="s">
        <v>390</v>
      </c>
      <c r="I1314" s="5">
        <v>11747.91</v>
      </c>
      <c r="J1314" s="57"/>
      <c r="K1314" s="3">
        <v>120</v>
      </c>
      <c r="L1314" s="2" t="s">
        <v>226</v>
      </c>
      <c r="M1314" s="2" t="s">
        <v>12</v>
      </c>
      <c r="N1314" s="2" t="s">
        <v>12</v>
      </c>
      <c r="O1314" s="2" t="s">
        <v>12</v>
      </c>
      <c r="P1314" s="21" t="s">
        <v>12</v>
      </c>
      <c r="Q1314" s="3" t="s">
        <v>12</v>
      </c>
      <c r="R1314" s="3" t="s">
        <v>12</v>
      </c>
    </row>
    <row r="1315" spans="1:18" x14ac:dyDescent="0.25">
      <c r="A1315" s="30">
        <v>45866</v>
      </c>
      <c r="B1315" s="28">
        <v>1305</v>
      </c>
      <c r="C1315" s="28"/>
      <c r="D1315" s="2" t="s">
        <v>1446</v>
      </c>
      <c r="E1315" s="7" t="s">
        <v>1601</v>
      </c>
      <c r="F1315" s="7"/>
      <c r="G1315" s="2" t="s">
        <v>43</v>
      </c>
      <c r="H1315" s="2" t="s">
        <v>1448</v>
      </c>
      <c r="I1315" s="5">
        <v>9623.6299999999992</v>
      </c>
      <c r="J1315" s="57"/>
      <c r="K1315" s="3">
        <v>72</v>
      </c>
      <c r="L1315" s="2" t="s">
        <v>134</v>
      </c>
      <c r="M1315" s="2" t="s">
        <v>1531</v>
      </c>
      <c r="N1315" s="2" t="s">
        <v>12</v>
      </c>
      <c r="O1315" s="2" t="s">
        <v>12</v>
      </c>
      <c r="P1315" s="21" t="s">
        <v>12</v>
      </c>
      <c r="Q1315" s="3" t="s">
        <v>12</v>
      </c>
      <c r="R1315" s="3" t="s">
        <v>12</v>
      </c>
    </row>
    <row r="1316" spans="1:18" x14ac:dyDescent="0.25">
      <c r="A1316" s="30">
        <v>45866</v>
      </c>
      <c r="B1316" s="28">
        <v>1306</v>
      </c>
      <c r="C1316" s="28"/>
      <c r="D1316" s="2" t="s">
        <v>1544</v>
      </c>
      <c r="E1316" s="7" t="s">
        <v>1602</v>
      </c>
      <c r="F1316" s="7"/>
      <c r="G1316" s="2" t="s">
        <v>13</v>
      </c>
      <c r="H1316" s="2" t="s">
        <v>427</v>
      </c>
      <c r="I1316" s="5">
        <v>61923.69</v>
      </c>
      <c r="J1316" s="57"/>
      <c r="K1316" s="3">
        <v>672</v>
      </c>
      <c r="L1316" s="2" t="s">
        <v>226</v>
      </c>
      <c r="M1316" s="2" t="s">
        <v>12</v>
      </c>
      <c r="N1316" s="2" t="s">
        <v>12</v>
      </c>
      <c r="O1316" s="2" t="s">
        <v>12</v>
      </c>
      <c r="P1316" s="21" t="s">
        <v>12</v>
      </c>
      <c r="Q1316" s="3" t="s">
        <v>12</v>
      </c>
      <c r="R1316" s="3" t="s">
        <v>12</v>
      </c>
    </row>
    <row r="1317" spans="1:18" x14ac:dyDescent="0.25">
      <c r="A1317" s="30">
        <v>45866</v>
      </c>
      <c r="B1317" s="28">
        <v>1307</v>
      </c>
      <c r="C1317" s="28"/>
      <c r="D1317" s="2" t="s">
        <v>87</v>
      </c>
      <c r="E1317" s="7" t="s">
        <v>1603</v>
      </c>
      <c r="F1317" s="7"/>
      <c r="G1317" s="2" t="s">
        <v>13</v>
      </c>
      <c r="H1317" s="2" t="s">
        <v>114</v>
      </c>
      <c r="I1317" s="5">
        <v>44441.47</v>
      </c>
      <c r="J1317" s="57"/>
      <c r="K1317" s="3" t="s">
        <v>12</v>
      </c>
      <c r="L1317" s="2" t="s">
        <v>64</v>
      </c>
      <c r="M1317" s="2" t="s">
        <v>12</v>
      </c>
      <c r="N1317" s="2" t="s">
        <v>12</v>
      </c>
      <c r="O1317" s="2" t="s">
        <v>12</v>
      </c>
      <c r="P1317" s="21" t="s">
        <v>12</v>
      </c>
      <c r="Q1317" s="3" t="s">
        <v>12</v>
      </c>
      <c r="R1317" s="3" t="s">
        <v>12</v>
      </c>
    </row>
    <row r="1318" spans="1:18" x14ac:dyDescent="0.25">
      <c r="A1318" s="30">
        <v>45866</v>
      </c>
      <c r="B1318" s="28">
        <v>1308</v>
      </c>
      <c r="C1318" s="28"/>
      <c r="D1318" s="2" t="s">
        <v>1590</v>
      </c>
      <c r="E1318" s="7" t="s">
        <v>1693</v>
      </c>
      <c r="F1318" s="7"/>
      <c r="G1318" s="2" t="s">
        <v>111</v>
      </c>
      <c r="H1318" s="2" t="s">
        <v>112</v>
      </c>
      <c r="I1318" s="5">
        <v>15074.84</v>
      </c>
      <c r="J1318" s="57"/>
      <c r="K1318" s="3"/>
      <c r="L1318" s="2" t="s">
        <v>226</v>
      </c>
      <c r="M1318" s="2" t="s">
        <v>12</v>
      </c>
      <c r="N1318" s="2" t="s">
        <v>12</v>
      </c>
      <c r="O1318" s="2" t="s">
        <v>12</v>
      </c>
      <c r="P1318" s="21" t="s">
        <v>12</v>
      </c>
      <c r="Q1318" s="3" t="s">
        <v>12</v>
      </c>
      <c r="R1318" s="3" t="s">
        <v>12</v>
      </c>
    </row>
    <row r="1319" spans="1:18" x14ac:dyDescent="0.25">
      <c r="A1319" s="30">
        <v>45866</v>
      </c>
      <c r="B1319" s="28">
        <v>1309</v>
      </c>
      <c r="C1319" s="28"/>
      <c r="D1319" s="2" t="s">
        <v>1544</v>
      </c>
      <c r="E1319" s="7" t="s">
        <v>1604</v>
      </c>
      <c r="F1319" s="7"/>
      <c r="G1319" s="2" t="s">
        <v>26</v>
      </c>
      <c r="H1319" s="2" t="s">
        <v>642</v>
      </c>
      <c r="I1319" s="5">
        <v>8437.1299999999992</v>
      </c>
      <c r="J1319" s="57"/>
      <c r="K1319" s="3" t="s">
        <v>12</v>
      </c>
      <c r="L1319" s="2" t="s">
        <v>64</v>
      </c>
      <c r="M1319" s="2" t="s">
        <v>12</v>
      </c>
      <c r="N1319" s="2" t="s">
        <v>12</v>
      </c>
      <c r="O1319" s="2" t="s">
        <v>12</v>
      </c>
      <c r="P1319" s="21" t="s">
        <v>12</v>
      </c>
      <c r="Q1319" s="3" t="s">
        <v>12</v>
      </c>
      <c r="R1319" s="3" t="s">
        <v>12</v>
      </c>
    </row>
    <row r="1320" spans="1:18" x14ac:dyDescent="0.25">
      <c r="A1320" s="30">
        <v>45867</v>
      </c>
      <c r="B1320" s="28">
        <v>1310</v>
      </c>
      <c r="C1320" s="28"/>
      <c r="D1320" s="2" t="s">
        <v>41</v>
      </c>
      <c r="E1320" s="7" t="s">
        <v>1605</v>
      </c>
      <c r="F1320" s="7"/>
      <c r="G1320" s="2" t="s">
        <v>43</v>
      </c>
      <c r="H1320" s="2" t="s">
        <v>158</v>
      </c>
      <c r="I1320" s="5">
        <v>14495.46</v>
      </c>
      <c r="J1320" s="57"/>
      <c r="K1320" s="3">
        <v>176.4</v>
      </c>
      <c r="L1320" s="2" t="s">
        <v>134</v>
      </c>
      <c r="M1320" s="2" t="s">
        <v>1648</v>
      </c>
      <c r="N1320" s="2" t="s">
        <v>12</v>
      </c>
      <c r="O1320" s="2" t="s">
        <v>12</v>
      </c>
      <c r="P1320" s="21" t="s">
        <v>12</v>
      </c>
      <c r="Q1320" s="3" t="s">
        <v>12</v>
      </c>
      <c r="R1320" s="3" t="s">
        <v>12</v>
      </c>
    </row>
    <row r="1321" spans="1:18" x14ac:dyDescent="0.25">
      <c r="A1321" s="30">
        <v>45866</v>
      </c>
      <c r="B1321" s="28">
        <v>1311</v>
      </c>
      <c r="C1321" s="28"/>
      <c r="D1321" s="2" t="s">
        <v>109</v>
      </c>
      <c r="E1321" s="7" t="s">
        <v>1606</v>
      </c>
      <c r="F1321" s="7"/>
      <c r="G1321" s="2" t="s">
        <v>111</v>
      </c>
      <c r="H1321" s="2" t="s">
        <v>112</v>
      </c>
      <c r="I1321" s="5">
        <v>213604.79</v>
      </c>
      <c r="J1321" s="57"/>
      <c r="K1321" s="3">
        <v>2352</v>
      </c>
      <c r="L1321" s="2" t="s">
        <v>226</v>
      </c>
      <c r="M1321" s="2" t="s">
        <v>12</v>
      </c>
      <c r="N1321" s="2" t="s">
        <v>12</v>
      </c>
      <c r="O1321" s="2" t="s">
        <v>12</v>
      </c>
      <c r="P1321" s="21" t="s">
        <v>12</v>
      </c>
      <c r="Q1321" s="3" t="s">
        <v>12</v>
      </c>
      <c r="R1321" s="3" t="s">
        <v>12</v>
      </c>
    </row>
    <row r="1322" spans="1:18" x14ac:dyDescent="0.25">
      <c r="A1322" s="30">
        <v>45867</v>
      </c>
      <c r="B1322" s="28">
        <v>1312</v>
      </c>
      <c r="C1322" s="28"/>
      <c r="D1322" s="2" t="s">
        <v>1607</v>
      </c>
      <c r="E1322" s="7" t="s">
        <v>12</v>
      </c>
      <c r="F1322" s="7"/>
      <c r="G1322" s="2" t="s">
        <v>13</v>
      </c>
      <c r="H1322" s="2" t="s">
        <v>1608</v>
      </c>
      <c r="I1322" s="5">
        <v>14000.34</v>
      </c>
      <c r="J1322" s="57"/>
      <c r="K1322" s="3">
        <v>120</v>
      </c>
      <c r="L1322" s="2" t="s">
        <v>64</v>
      </c>
      <c r="M1322" s="2" t="s">
        <v>12</v>
      </c>
      <c r="N1322" s="2" t="s">
        <v>12</v>
      </c>
      <c r="O1322" s="2" t="s">
        <v>12</v>
      </c>
      <c r="P1322" s="21" t="s">
        <v>12</v>
      </c>
      <c r="Q1322" s="3" t="s">
        <v>12</v>
      </c>
      <c r="R1322" s="3" t="s">
        <v>12</v>
      </c>
    </row>
    <row r="1323" spans="1:18" x14ac:dyDescent="0.25">
      <c r="A1323" s="30">
        <v>45867</v>
      </c>
      <c r="B1323" s="28">
        <v>1313</v>
      </c>
      <c r="C1323" s="28"/>
      <c r="D1323" s="2" t="s">
        <v>1609</v>
      </c>
      <c r="E1323" s="7" t="s">
        <v>1610</v>
      </c>
      <c r="F1323" s="7"/>
      <c r="G1323" s="2" t="s">
        <v>43</v>
      </c>
      <c r="H1323" s="2" t="s">
        <v>448</v>
      </c>
      <c r="I1323" s="5">
        <v>44504.89</v>
      </c>
      <c r="J1323" s="57"/>
      <c r="K1323" s="3">
        <v>504</v>
      </c>
      <c r="L1323" s="2" t="s">
        <v>226</v>
      </c>
      <c r="M1323" s="2" t="s">
        <v>12</v>
      </c>
      <c r="N1323" s="2" t="s">
        <v>12</v>
      </c>
      <c r="O1323" s="2" t="s">
        <v>12</v>
      </c>
      <c r="P1323" s="21" t="s">
        <v>12</v>
      </c>
      <c r="Q1323" s="3" t="s">
        <v>1622</v>
      </c>
      <c r="R1323" s="3" t="s">
        <v>75</v>
      </c>
    </row>
    <row r="1324" spans="1:18" x14ac:dyDescent="0.25">
      <c r="A1324" s="30">
        <v>45867</v>
      </c>
      <c r="B1324" s="28">
        <v>1314</v>
      </c>
      <c r="C1324" s="28"/>
      <c r="D1324" s="2" t="s">
        <v>1611</v>
      </c>
      <c r="E1324" s="7" t="s">
        <v>1602</v>
      </c>
      <c r="F1324" s="7"/>
      <c r="G1324" s="2" t="s">
        <v>97</v>
      </c>
      <c r="H1324" s="2" t="s">
        <v>627</v>
      </c>
      <c r="I1324" s="5">
        <v>61923.69</v>
      </c>
      <c r="J1324" s="57"/>
      <c r="K1324" s="3">
        <v>672</v>
      </c>
      <c r="L1324" s="2" t="s">
        <v>226</v>
      </c>
      <c r="M1324" s="2" t="s">
        <v>1688</v>
      </c>
      <c r="N1324" s="2" t="s">
        <v>12</v>
      </c>
      <c r="O1324" s="2" t="s">
        <v>12</v>
      </c>
      <c r="P1324" s="21" t="s">
        <v>12</v>
      </c>
      <c r="Q1324" s="3" t="s">
        <v>959</v>
      </c>
      <c r="R1324" s="3" t="s">
        <v>80</v>
      </c>
    </row>
    <row r="1325" spans="1:18" x14ac:dyDescent="0.25">
      <c r="A1325" s="30">
        <v>45867</v>
      </c>
      <c r="B1325" s="28">
        <v>1315</v>
      </c>
      <c r="C1325" s="28"/>
      <c r="D1325" s="2" t="s">
        <v>646</v>
      </c>
      <c r="E1325" s="7" t="s">
        <v>1612</v>
      </c>
      <c r="F1325" s="7"/>
      <c r="G1325" s="2" t="s">
        <v>111</v>
      </c>
      <c r="H1325" s="2" t="s">
        <v>874</v>
      </c>
      <c r="I1325" s="5">
        <v>75852.070000000007</v>
      </c>
      <c r="J1325" s="57"/>
      <c r="K1325" s="3">
        <v>888</v>
      </c>
      <c r="L1325" s="2" t="s">
        <v>134</v>
      </c>
      <c r="M1325" s="2" t="s">
        <v>1531</v>
      </c>
      <c r="N1325" s="2" t="s">
        <v>12</v>
      </c>
      <c r="O1325" s="2" t="s">
        <v>12</v>
      </c>
      <c r="P1325" s="21" t="s">
        <v>12</v>
      </c>
      <c r="Q1325" s="3" t="s">
        <v>646</v>
      </c>
      <c r="R1325" s="3" t="s">
        <v>75</v>
      </c>
    </row>
    <row r="1326" spans="1:18" x14ac:dyDescent="0.25">
      <c r="A1326" s="30">
        <v>45867</v>
      </c>
      <c r="B1326" s="28">
        <v>1316</v>
      </c>
      <c r="C1326" s="28"/>
      <c r="D1326" s="2" t="s">
        <v>99</v>
      </c>
      <c r="E1326" s="7" t="s">
        <v>1691</v>
      </c>
      <c r="F1326" s="7"/>
      <c r="G1326" s="2" t="s">
        <v>20</v>
      </c>
      <c r="H1326" s="2" t="s">
        <v>1613</v>
      </c>
      <c r="I1326" s="5">
        <v>2075.5700000000002</v>
      </c>
      <c r="J1326" s="57"/>
      <c r="K1326" s="3" t="s">
        <v>12</v>
      </c>
      <c r="L1326" s="2" t="s">
        <v>226</v>
      </c>
      <c r="M1326" s="2" t="s">
        <v>12</v>
      </c>
      <c r="N1326" s="2" t="s">
        <v>12</v>
      </c>
      <c r="O1326" s="2" t="s">
        <v>12</v>
      </c>
      <c r="P1326" s="21" t="s">
        <v>12</v>
      </c>
      <c r="Q1326" s="3" t="s">
        <v>12</v>
      </c>
      <c r="R1326" s="3" t="s">
        <v>12</v>
      </c>
    </row>
    <row r="1327" spans="1:18" x14ac:dyDescent="0.25">
      <c r="A1327" s="30">
        <v>45867</v>
      </c>
      <c r="B1327" s="28">
        <v>1317</v>
      </c>
      <c r="C1327" s="28"/>
      <c r="D1327" s="2" t="s">
        <v>130</v>
      </c>
      <c r="E1327" s="7" t="s">
        <v>1528</v>
      </c>
      <c r="F1327" s="7"/>
      <c r="G1327" s="2" t="s">
        <v>26</v>
      </c>
      <c r="H1327" s="2" t="s">
        <v>101</v>
      </c>
      <c r="I1327" s="5">
        <v>74388.009999999995</v>
      </c>
      <c r="J1327" s="57"/>
      <c r="K1327" s="3">
        <v>720</v>
      </c>
      <c r="L1327" s="2" t="s">
        <v>226</v>
      </c>
      <c r="M1327" s="2" t="s">
        <v>1689</v>
      </c>
      <c r="N1327" s="2" t="s">
        <v>12</v>
      </c>
      <c r="O1327" s="2" t="s">
        <v>12</v>
      </c>
      <c r="P1327" s="21" t="s">
        <v>12</v>
      </c>
      <c r="Q1327" s="3" t="s">
        <v>959</v>
      </c>
      <c r="R1327" s="3" t="s">
        <v>75</v>
      </c>
    </row>
    <row r="1328" spans="1:18" x14ac:dyDescent="0.25">
      <c r="A1328" s="30">
        <v>45867</v>
      </c>
      <c r="B1328" s="28">
        <v>1318</v>
      </c>
      <c r="C1328" s="28"/>
      <c r="D1328" s="2" t="s">
        <v>894</v>
      </c>
      <c r="E1328" s="7" t="s">
        <v>1614</v>
      </c>
      <c r="F1328" s="7"/>
      <c r="G1328" s="2" t="s">
        <v>13</v>
      </c>
      <c r="H1328" s="2" t="s">
        <v>119</v>
      </c>
      <c r="I1328" s="5">
        <v>27333.18</v>
      </c>
      <c r="J1328" s="57"/>
      <c r="K1328" s="3">
        <v>288</v>
      </c>
      <c r="L1328" s="2" t="s">
        <v>64</v>
      </c>
      <c r="M1328" s="2" t="s">
        <v>12</v>
      </c>
      <c r="N1328" s="2" t="s">
        <v>12</v>
      </c>
      <c r="O1328" s="2" t="s">
        <v>12</v>
      </c>
      <c r="P1328" s="21" t="s">
        <v>12</v>
      </c>
      <c r="Q1328" s="3" t="s">
        <v>12</v>
      </c>
      <c r="R1328" s="3" t="s">
        <v>12</v>
      </c>
    </row>
    <row r="1329" spans="1:18" x14ac:dyDescent="0.25">
      <c r="A1329" s="30">
        <v>45867</v>
      </c>
      <c r="B1329" s="28">
        <v>1319</v>
      </c>
      <c r="C1329" s="28"/>
      <c r="D1329" s="2" t="s">
        <v>1615</v>
      </c>
      <c r="E1329" s="7" t="s">
        <v>12</v>
      </c>
      <c r="F1329" s="7"/>
      <c r="G1329" s="2" t="s">
        <v>13</v>
      </c>
      <c r="H1329" s="2" t="s">
        <v>467</v>
      </c>
      <c r="I1329" s="5">
        <v>11554.95</v>
      </c>
      <c r="J1329" s="57"/>
      <c r="K1329" s="3" t="s">
        <v>12</v>
      </c>
      <c r="L1329" s="2" t="s">
        <v>226</v>
      </c>
      <c r="M1329" s="2" t="s">
        <v>12</v>
      </c>
      <c r="N1329" s="2" t="s">
        <v>12</v>
      </c>
      <c r="O1329" s="2" t="s">
        <v>12</v>
      </c>
      <c r="P1329" s="21" t="s">
        <v>12</v>
      </c>
      <c r="Q1329" s="3" t="s">
        <v>12</v>
      </c>
      <c r="R1329" s="3" t="s">
        <v>12</v>
      </c>
    </row>
    <row r="1330" spans="1:18" x14ac:dyDescent="0.25">
      <c r="A1330" s="30">
        <v>45867</v>
      </c>
      <c r="B1330" s="28">
        <v>1320</v>
      </c>
      <c r="C1330" s="28"/>
      <c r="D1330" s="2" t="s">
        <v>1616</v>
      </c>
      <c r="E1330" s="7" t="s">
        <v>1617</v>
      </c>
      <c r="F1330" s="7"/>
      <c r="G1330" s="2" t="s">
        <v>26</v>
      </c>
      <c r="H1330" s="2" t="s">
        <v>1618</v>
      </c>
      <c r="I1330" s="5">
        <v>4140.22</v>
      </c>
      <c r="J1330" s="57"/>
      <c r="K1330" s="3">
        <v>48</v>
      </c>
      <c r="L1330" s="2" t="s">
        <v>226</v>
      </c>
      <c r="M1330" s="2" t="s">
        <v>12</v>
      </c>
      <c r="N1330" s="2" t="s">
        <v>12</v>
      </c>
      <c r="O1330" s="2" t="s">
        <v>12</v>
      </c>
      <c r="P1330" s="21" t="s">
        <v>12</v>
      </c>
      <c r="Q1330" s="3" t="s">
        <v>12</v>
      </c>
      <c r="R1330" s="3" t="s">
        <v>12</v>
      </c>
    </row>
    <row r="1331" spans="1:18" x14ac:dyDescent="0.25">
      <c r="A1331" s="30">
        <v>45867</v>
      </c>
      <c r="B1331" s="28">
        <v>1321</v>
      </c>
      <c r="C1331" s="28"/>
      <c r="D1331" s="2" t="s">
        <v>176</v>
      </c>
      <c r="E1331" s="7" t="s">
        <v>12</v>
      </c>
      <c r="F1331" s="7"/>
      <c r="G1331" s="2" t="s">
        <v>13</v>
      </c>
      <c r="H1331" s="2" t="s">
        <v>108</v>
      </c>
      <c r="I1331" s="5">
        <v>19580.259999999998</v>
      </c>
      <c r="J1331" s="57"/>
      <c r="K1331" s="3">
        <v>336</v>
      </c>
      <c r="L1331" s="2" t="s">
        <v>64</v>
      </c>
      <c r="M1331" s="2" t="s">
        <v>12</v>
      </c>
      <c r="N1331" s="2" t="s">
        <v>12</v>
      </c>
      <c r="O1331" s="2" t="s">
        <v>12</v>
      </c>
      <c r="P1331" s="21" t="s">
        <v>12</v>
      </c>
      <c r="Q1331" s="3" t="s">
        <v>12</v>
      </c>
      <c r="R1331" s="3" t="s">
        <v>12</v>
      </c>
    </row>
    <row r="1332" spans="1:18" x14ac:dyDescent="0.25">
      <c r="A1332" s="30">
        <v>45867</v>
      </c>
      <c r="B1332" s="28">
        <v>1322</v>
      </c>
      <c r="C1332" s="28"/>
      <c r="D1332" s="2" t="s">
        <v>637</v>
      </c>
      <c r="E1332" s="7" t="s">
        <v>1619</v>
      </c>
      <c r="F1332" s="7"/>
      <c r="G1332" s="2" t="s">
        <v>13</v>
      </c>
      <c r="H1332" s="2" t="s">
        <v>427</v>
      </c>
      <c r="I1332" s="5">
        <v>50894.36</v>
      </c>
      <c r="J1332" s="57"/>
      <c r="K1332" s="3">
        <v>528</v>
      </c>
      <c r="L1332" s="2" t="s">
        <v>226</v>
      </c>
      <c r="M1332" s="2" t="s">
        <v>12</v>
      </c>
      <c r="N1332" s="2" t="s">
        <v>12</v>
      </c>
      <c r="O1332" s="2" t="s">
        <v>12</v>
      </c>
      <c r="P1332" s="21" t="s">
        <v>12</v>
      </c>
      <c r="Q1332" s="3" t="s">
        <v>1623</v>
      </c>
      <c r="R1332" s="3" t="s">
        <v>75</v>
      </c>
    </row>
    <row r="1333" spans="1:18" x14ac:dyDescent="0.25">
      <c r="A1333" s="30">
        <v>45867</v>
      </c>
      <c r="B1333" s="28">
        <v>1323</v>
      </c>
      <c r="C1333" s="28"/>
      <c r="D1333" s="2" t="s">
        <v>1620</v>
      </c>
      <c r="E1333" s="7" t="s">
        <v>12</v>
      </c>
      <c r="F1333" s="7"/>
      <c r="G1333" s="2" t="s">
        <v>13</v>
      </c>
      <c r="H1333" s="2" t="s">
        <v>596</v>
      </c>
      <c r="I1333" s="5">
        <v>2379.38</v>
      </c>
      <c r="J1333" s="57"/>
      <c r="K1333" s="3">
        <v>24</v>
      </c>
      <c r="L1333" s="2" t="s">
        <v>226</v>
      </c>
      <c r="M1333" s="2" t="s">
        <v>12</v>
      </c>
      <c r="N1333" s="2" t="s">
        <v>12</v>
      </c>
      <c r="O1333" s="2" t="s">
        <v>12</v>
      </c>
      <c r="P1333" s="21" t="s">
        <v>12</v>
      </c>
      <c r="Q1333" s="3" t="s">
        <v>12</v>
      </c>
      <c r="R1333" s="3" t="s">
        <v>12</v>
      </c>
    </row>
    <row r="1334" spans="1:18" x14ac:dyDescent="0.25">
      <c r="A1334" s="30">
        <v>45867</v>
      </c>
      <c r="B1334" s="28">
        <v>1324</v>
      </c>
      <c r="C1334" s="28"/>
      <c r="D1334" s="2" t="s">
        <v>839</v>
      </c>
      <c r="E1334" s="7" t="s">
        <v>1621</v>
      </c>
      <c r="F1334" s="7"/>
      <c r="G1334" s="2" t="s">
        <v>20</v>
      </c>
      <c r="H1334" s="2" t="s">
        <v>948</v>
      </c>
      <c r="I1334" s="5">
        <v>1221.67</v>
      </c>
      <c r="J1334" s="57"/>
      <c r="K1334" s="3" t="s">
        <v>12</v>
      </c>
      <c r="L1334" s="2" t="s">
        <v>64</v>
      </c>
      <c r="M1334" s="2" t="s">
        <v>1842</v>
      </c>
      <c r="N1334" s="2" t="s">
        <v>12</v>
      </c>
      <c r="O1334" s="2" t="s">
        <v>12</v>
      </c>
      <c r="P1334" s="21" t="s">
        <v>12</v>
      </c>
      <c r="Q1334" s="3" t="s">
        <v>12</v>
      </c>
      <c r="R1334" s="3" t="s">
        <v>12</v>
      </c>
    </row>
    <row r="1335" spans="1:18" x14ac:dyDescent="0.25">
      <c r="A1335" s="30">
        <v>30.07</v>
      </c>
      <c r="B1335" s="28">
        <v>1325</v>
      </c>
      <c r="C1335" s="28"/>
      <c r="D1335" s="2" t="s">
        <v>92</v>
      </c>
      <c r="E1335" s="7" t="s">
        <v>1632</v>
      </c>
      <c r="F1335" s="7"/>
      <c r="G1335" s="2" t="s">
        <v>26</v>
      </c>
      <c r="H1335" s="2" t="s">
        <v>15</v>
      </c>
      <c r="I1335" s="5">
        <v>18564.07</v>
      </c>
      <c r="J1335" s="57"/>
      <c r="K1335" s="3">
        <v>240</v>
      </c>
      <c r="L1335" s="2" t="s">
        <v>226</v>
      </c>
      <c r="M1335" s="2" t="s">
        <v>12</v>
      </c>
      <c r="N1335" s="2" t="s">
        <v>12</v>
      </c>
      <c r="O1335" s="2" t="s">
        <v>12</v>
      </c>
      <c r="P1335" s="21" t="s">
        <v>12</v>
      </c>
      <c r="Q1335" s="3" t="s">
        <v>12</v>
      </c>
      <c r="R1335" s="3" t="s">
        <v>12</v>
      </c>
    </row>
    <row r="1336" spans="1:18" x14ac:dyDescent="0.25">
      <c r="A1336" s="30">
        <v>45890</v>
      </c>
      <c r="B1336" s="28">
        <v>1326</v>
      </c>
      <c r="C1336" s="28"/>
      <c r="D1336" s="2" t="s">
        <v>23</v>
      </c>
      <c r="E1336" s="7" t="s">
        <v>1633</v>
      </c>
      <c r="F1336" s="7"/>
      <c r="G1336" s="2" t="s">
        <v>20</v>
      </c>
      <c r="H1336" s="2" t="s">
        <v>24</v>
      </c>
      <c r="I1336" s="5">
        <v>30801.95</v>
      </c>
      <c r="J1336" s="57"/>
      <c r="K1336" s="3">
        <v>384</v>
      </c>
      <c r="L1336" s="2" t="s">
        <v>134</v>
      </c>
      <c r="M1336" s="2" t="s">
        <v>1160</v>
      </c>
      <c r="N1336" s="2" t="s">
        <v>135</v>
      </c>
      <c r="O1336" s="2" t="s">
        <v>374</v>
      </c>
      <c r="P1336" s="21" t="s">
        <v>1805</v>
      </c>
      <c r="Q1336" s="3" t="s">
        <v>12</v>
      </c>
      <c r="R1336" s="3" t="s">
        <v>12</v>
      </c>
    </row>
    <row r="1337" spans="1:18" x14ac:dyDescent="0.25">
      <c r="A1337" s="30">
        <v>45890</v>
      </c>
      <c r="B1337" s="28">
        <v>1327</v>
      </c>
      <c r="C1337" s="28"/>
      <c r="D1337" s="2" t="s">
        <v>23</v>
      </c>
      <c r="E1337" s="7" t="s">
        <v>1634</v>
      </c>
      <c r="F1337" s="7"/>
      <c r="G1337" s="2" t="s">
        <v>20</v>
      </c>
      <c r="H1337" s="2" t="s">
        <v>24</v>
      </c>
      <c r="I1337" s="5">
        <v>2133.2399999999998</v>
      </c>
      <c r="J1337" s="57"/>
      <c r="K1337" s="3" t="s">
        <v>12</v>
      </c>
      <c r="L1337" s="2" t="s">
        <v>134</v>
      </c>
      <c r="M1337" s="2" t="s">
        <v>1160</v>
      </c>
      <c r="N1337" s="2" t="s">
        <v>135</v>
      </c>
      <c r="O1337" s="2" t="s">
        <v>374</v>
      </c>
      <c r="P1337" s="21" t="s">
        <v>12</v>
      </c>
      <c r="Q1337" s="3" t="s">
        <v>12</v>
      </c>
      <c r="R1337" s="3" t="s">
        <v>12</v>
      </c>
    </row>
    <row r="1338" spans="1:18" x14ac:dyDescent="0.25">
      <c r="A1338" s="30">
        <v>45890</v>
      </c>
      <c r="B1338" s="28">
        <v>1328</v>
      </c>
      <c r="C1338" s="28"/>
      <c r="D1338" s="2" t="s">
        <v>23</v>
      </c>
      <c r="E1338" s="7" t="s">
        <v>1635</v>
      </c>
      <c r="F1338" s="7"/>
      <c r="G1338" s="2" t="s">
        <v>20</v>
      </c>
      <c r="H1338" s="2" t="s">
        <v>24</v>
      </c>
      <c r="I1338" s="5">
        <v>3835.52</v>
      </c>
      <c r="J1338" s="57"/>
      <c r="K1338" s="3" t="s">
        <v>12</v>
      </c>
      <c r="L1338" s="2" t="s">
        <v>64</v>
      </c>
      <c r="M1338" s="2" t="s">
        <v>12</v>
      </c>
      <c r="N1338" s="2" t="s">
        <v>12</v>
      </c>
      <c r="O1338" s="2" t="s">
        <v>12</v>
      </c>
      <c r="P1338" s="21" t="s">
        <v>12</v>
      </c>
      <c r="Q1338" s="3" t="s">
        <v>12</v>
      </c>
      <c r="R1338" s="3" t="s">
        <v>12</v>
      </c>
    </row>
    <row r="1339" spans="1:18" x14ac:dyDescent="0.25">
      <c r="A1339" s="30">
        <v>45868</v>
      </c>
      <c r="B1339" s="28">
        <v>1329</v>
      </c>
      <c r="C1339" s="28"/>
      <c r="D1339" s="2" t="s">
        <v>1636</v>
      </c>
      <c r="E1339" s="7" t="s">
        <v>1637</v>
      </c>
      <c r="F1339" s="7"/>
      <c r="G1339" s="2" t="s">
        <v>13</v>
      </c>
      <c r="H1339" s="2" t="s">
        <v>395</v>
      </c>
      <c r="I1339" s="5">
        <v>26027.52</v>
      </c>
      <c r="J1339" s="57"/>
      <c r="K1339" s="3">
        <v>264</v>
      </c>
      <c r="L1339" s="2" t="s">
        <v>226</v>
      </c>
      <c r="M1339" s="2" t="s">
        <v>12</v>
      </c>
      <c r="N1339" s="2" t="s">
        <v>12</v>
      </c>
      <c r="O1339" s="2" t="s">
        <v>12</v>
      </c>
      <c r="P1339" s="21" t="s">
        <v>12</v>
      </c>
      <c r="Q1339" s="3" t="s">
        <v>1646</v>
      </c>
      <c r="R1339" s="3" t="s">
        <v>80</v>
      </c>
    </row>
    <row r="1340" spans="1:18" x14ac:dyDescent="0.25">
      <c r="A1340" s="30">
        <v>45868</v>
      </c>
      <c r="B1340" s="28">
        <v>1330</v>
      </c>
      <c r="C1340" s="28"/>
      <c r="D1340" s="2" t="s">
        <v>376</v>
      </c>
      <c r="E1340" s="7" t="s">
        <v>12</v>
      </c>
      <c r="F1340" s="7"/>
      <c r="G1340" s="2" t="s">
        <v>26</v>
      </c>
      <c r="H1340" s="2" t="s">
        <v>377</v>
      </c>
      <c r="I1340" s="5">
        <v>1828.5</v>
      </c>
      <c r="J1340" s="57"/>
      <c r="K1340" s="3">
        <v>24</v>
      </c>
      <c r="L1340" s="2" t="s">
        <v>134</v>
      </c>
      <c r="M1340" s="2" t="s">
        <v>1011</v>
      </c>
      <c r="N1340" s="2" t="s">
        <v>135</v>
      </c>
      <c r="O1340" s="2" t="s">
        <v>374</v>
      </c>
      <c r="P1340" s="21" t="s">
        <v>12</v>
      </c>
      <c r="Q1340" s="3" t="s">
        <v>12</v>
      </c>
      <c r="R1340" s="3" t="s">
        <v>12</v>
      </c>
    </row>
    <row r="1341" spans="1:18" x14ac:dyDescent="0.25">
      <c r="A1341" s="30">
        <v>45868</v>
      </c>
      <c r="B1341" s="28">
        <v>1331</v>
      </c>
      <c r="C1341" s="28"/>
      <c r="D1341" s="2" t="s">
        <v>87</v>
      </c>
      <c r="E1341" s="7" t="s">
        <v>1638</v>
      </c>
      <c r="F1341" s="7"/>
      <c r="G1341" s="2" t="s">
        <v>13</v>
      </c>
      <c r="H1341" s="2" t="s">
        <v>114</v>
      </c>
      <c r="I1341" s="5">
        <v>292956.08</v>
      </c>
      <c r="J1341" s="57"/>
      <c r="K1341" s="3">
        <v>3072</v>
      </c>
      <c r="L1341" s="2" t="s">
        <v>64</v>
      </c>
      <c r="M1341" s="2" t="s">
        <v>12</v>
      </c>
      <c r="N1341" s="2" t="s">
        <v>12</v>
      </c>
      <c r="O1341" s="2" t="s">
        <v>12</v>
      </c>
      <c r="P1341" s="21" t="s">
        <v>12</v>
      </c>
      <c r="Q1341" s="3" t="s">
        <v>78</v>
      </c>
      <c r="R1341" s="3" t="s">
        <v>1647</v>
      </c>
    </row>
    <row r="1342" spans="1:18" x14ac:dyDescent="0.25">
      <c r="A1342" s="30">
        <v>45868</v>
      </c>
      <c r="B1342" s="28">
        <v>1332</v>
      </c>
      <c r="C1342" s="28"/>
      <c r="D1342" s="2" t="s">
        <v>1639</v>
      </c>
      <c r="E1342" s="7" t="s">
        <v>12</v>
      </c>
      <c r="F1342" s="7"/>
      <c r="G1342" s="2" t="s">
        <v>13</v>
      </c>
      <c r="H1342" s="2" t="s">
        <v>1640</v>
      </c>
      <c r="I1342" s="5">
        <v>1809.15</v>
      </c>
      <c r="J1342" s="57"/>
      <c r="K1342" s="3">
        <v>24</v>
      </c>
      <c r="L1342" s="2" t="s">
        <v>226</v>
      </c>
      <c r="M1342" s="2" t="s">
        <v>12</v>
      </c>
      <c r="N1342" s="2" t="s">
        <v>12</v>
      </c>
      <c r="O1342" s="2" t="s">
        <v>12</v>
      </c>
      <c r="P1342" s="21" t="s">
        <v>12</v>
      </c>
      <c r="Q1342" s="3" t="s">
        <v>12</v>
      </c>
      <c r="R1342" s="3" t="s">
        <v>12</v>
      </c>
    </row>
    <row r="1343" spans="1:18" x14ac:dyDescent="0.25">
      <c r="A1343" s="30">
        <v>45868</v>
      </c>
      <c r="B1343" s="28">
        <v>1333</v>
      </c>
      <c r="C1343" s="28"/>
      <c r="D1343" s="2" t="s">
        <v>168</v>
      </c>
      <c r="E1343" s="7" t="s">
        <v>1641</v>
      </c>
      <c r="F1343" s="7"/>
      <c r="G1343" s="2" t="s">
        <v>43</v>
      </c>
      <c r="H1343" s="2" t="s">
        <v>375</v>
      </c>
      <c r="I1343" s="5">
        <v>19992.02</v>
      </c>
      <c r="J1343" s="57"/>
      <c r="K1343" s="3" t="s">
        <v>12</v>
      </c>
      <c r="L1343" s="2" t="s">
        <v>64</v>
      </c>
      <c r="M1343" s="2" t="s">
        <v>12</v>
      </c>
      <c r="N1343" s="2" t="s">
        <v>12</v>
      </c>
      <c r="O1343" s="2" t="s">
        <v>12</v>
      </c>
      <c r="P1343" s="21" t="s">
        <v>12</v>
      </c>
      <c r="Q1343" s="3" t="s">
        <v>12</v>
      </c>
      <c r="R1343" s="3" t="s">
        <v>12</v>
      </c>
    </row>
    <row r="1344" spans="1:18" x14ac:dyDescent="0.25">
      <c r="A1344" s="30">
        <v>45868</v>
      </c>
      <c r="B1344" s="28">
        <v>1334</v>
      </c>
      <c r="C1344" s="28"/>
      <c r="D1344" s="2" t="s">
        <v>33</v>
      </c>
      <c r="E1344" s="7" t="s">
        <v>1642</v>
      </c>
      <c r="F1344" s="7"/>
      <c r="G1344" s="2" t="s">
        <v>13</v>
      </c>
      <c r="H1344" s="2" t="s">
        <v>35</v>
      </c>
      <c r="I1344" s="5">
        <v>7616.84</v>
      </c>
      <c r="J1344" s="57"/>
      <c r="K1344" s="3">
        <v>72</v>
      </c>
      <c r="L1344" s="2" t="s">
        <v>226</v>
      </c>
      <c r="M1344" s="2" t="s">
        <v>12</v>
      </c>
      <c r="N1344" s="2" t="s">
        <v>12</v>
      </c>
      <c r="O1344" s="2" t="s">
        <v>12</v>
      </c>
      <c r="P1344" s="21" t="s">
        <v>12</v>
      </c>
      <c r="Q1344" s="3" t="s">
        <v>74</v>
      </c>
      <c r="R1344" s="3" t="s">
        <v>76</v>
      </c>
    </row>
    <row r="1345" spans="1:18" x14ac:dyDescent="0.25">
      <c r="A1345" s="30">
        <v>45868</v>
      </c>
      <c r="B1345" s="28">
        <v>1335</v>
      </c>
      <c r="C1345" s="28"/>
      <c r="D1345" s="2" t="s">
        <v>41</v>
      </c>
      <c r="E1345" s="7" t="s">
        <v>1643</v>
      </c>
      <c r="F1345" s="7"/>
      <c r="G1345" s="2" t="s">
        <v>43</v>
      </c>
      <c r="H1345" s="2" t="s">
        <v>417</v>
      </c>
      <c r="I1345" s="5">
        <v>128502.42</v>
      </c>
      <c r="J1345" s="57"/>
      <c r="K1345" s="3">
        <v>1440</v>
      </c>
      <c r="L1345" s="2" t="s">
        <v>226</v>
      </c>
      <c r="M1345" s="2" t="s">
        <v>12</v>
      </c>
      <c r="N1345" s="2" t="s">
        <v>12</v>
      </c>
      <c r="O1345" s="2" t="s">
        <v>12</v>
      </c>
      <c r="P1345" s="21" t="s">
        <v>12</v>
      </c>
      <c r="Q1345" s="3" t="s">
        <v>456</v>
      </c>
      <c r="R1345" s="3" t="s">
        <v>80</v>
      </c>
    </row>
    <row r="1346" spans="1:18" x14ac:dyDescent="0.25">
      <c r="A1346" s="30">
        <v>45868</v>
      </c>
      <c r="B1346" s="28">
        <v>1336</v>
      </c>
      <c r="C1346" s="28"/>
      <c r="D1346" s="2" t="s">
        <v>601</v>
      </c>
      <c r="E1346" s="7" t="s">
        <v>1644</v>
      </c>
      <c r="F1346" s="7"/>
      <c r="G1346" s="2" t="s">
        <v>13</v>
      </c>
      <c r="H1346" s="2" t="s">
        <v>751</v>
      </c>
      <c r="I1346" s="5">
        <v>6024.68</v>
      </c>
      <c r="J1346" s="57"/>
      <c r="K1346" s="3">
        <v>96</v>
      </c>
      <c r="L1346" s="2" t="s">
        <v>64</v>
      </c>
      <c r="M1346" s="2" t="s">
        <v>12</v>
      </c>
      <c r="N1346" s="2" t="s">
        <v>12</v>
      </c>
      <c r="O1346" s="2" t="s">
        <v>12</v>
      </c>
      <c r="P1346" s="21" t="s">
        <v>12</v>
      </c>
      <c r="Q1346" s="3" t="s">
        <v>12</v>
      </c>
      <c r="R1346" s="3" t="s">
        <v>12</v>
      </c>
    </row>
    <row r="1347" spans="1:18" x14ac:dyDescent="0.25">
      <c r="A1347" s="30">
        <v>45868</v>
      </c>
      <c r="B1347" s="28">
        <v>1337</v>
      </c>
      <c r="C1347" s="28"/>
      <c r="D1347" s="2" t="s">
        <v>165</v>
      </c>
      <c r="E1347" s="7" t="s">
        <v>316</v>
      </c>
      <c r="F1347" s="7"/>
      <c r="G1347" s="2" t="s">
        <v>97</v>
      </c>
      <c r="H1347" s="2" t="s">
        <v>167</v>
      </c>
      <c r="I1347" s="5">
        <v>56168</v>
      </c>
      <c r="J1347" s="57"/>
      <c r="K1347" s="3">
        <v>960</v>
      </c>
      <c r="L1347" s="2" t="s">
        <v>134</v>
      </c>
      <c r="M1347" s="2" t="s">
        <v>1011</v>
      </c>
      <c r="N1347" s="2" t="s">
        <v>135</v>
      </c>
      <c r="O1347" s="2" t="s">
        <v>374</v>
      </c>
      <c r="P1347" s="21" t="s">
        <v>1649</v>
      </c>
      <c r="Q1347" s="3" t="s">
        <v>12</v>
      </c>
      <c r="R1347" s="3" t="s">
        <v>12</v>
      </c>
    </row>
    <row r="1348" spans="1:18" x14ac:dyDescent="0.25">
      <c r="A1348" s="30">
        <v>45868</v>
      </c>
      <c r="B1348" s="28">
        <v>1338</v>
      </c>
      <c r="C1348" s="28"/>
      <c r="D1348" s="2" t="s">
        <v>106</v>
      </c>
      <c r="E1348" s="7" t="s">
        <v>12</v>
      </c>
      <c r="F1348" s="7"/>
      <c r="G1348" s="2" t="s">
        <v>13</v>
      </c>
      <c r="H1348" s="2" t="s">
        <v>1645</v>
      </c>
      <c r="I1348" s="5">
        <v>7763.85</v>
      </c>
      <c r="J1348" s="57"/>
      <c r="K1348" s="3" t="s">
        <v>12</v>
      </c>
      <c r="L1348" s="2" t="s">
        <v>226</v>
      </c>
      <c r="M1348" s="2" t="s">
        <v>12</v>
      </c>
      <c r="N1348" s="2" t="s">
        <v>12</v>
      </c>
      <c r="O1348" s="2" t="s">
        <v>12</v>
      </c>
      <c r="P1348" s="21" t="s">
        <v>12</v>
      </c>
      <c r="Q1348" s="3" t="s">
        <v>12</v>
      </c>
      <c r="R1348" s="3" t="s">
        <v>12</v>
      </c>
    </row>
    <row r="1349" spans="1:18" x14ac:dyDescent="0.25">
      <c r="A1349" s="30">
        <v>45869</v>
      </c>
      <c r="B1349" s="28">
        <v>1339</v>
      </c>
      <c r="C1349" s="28"/>
      <c r="D1349" s="2" t="s">
        <v>858</v>
      </c>
      <c r="E1349" s="7" t="s">
        <v>1650</v>
      </c>
      <c r="F1349" s="7"/>
      <c r="G1349" s="2" t="s">
        <v>97</v>
      </c>
      <c r="H1349" s="2" t="s">
        <v>1404</v>
      </c>
      <c r="I1349" s="5">
        <v>28039.19</v>
      </c>
      <c r="J1349" s="57"/>
      <c r="K1349" s="3">
        <v>312</v>
      </c>
      <c r="L1349" s="2" t="s">
        <v>64</v>
      </c>
      <c r="M1349" s="2"/>
      <c r="N1349" s="2"/>
      <c r="O1349" s="2"/>
      <c r="P1349" s="21"/>
      <c r="Q1349" s="3" t="s">
        <v>133</v>
      </c>
      <c r="R1349" s="3" t="s">
        <v>75</v>
      </c>
    </row>
    <row r="1350" spans="1:18" x14ac:dyDescent="0.25">
      <c r="A1350" s="30">
        <v>45869</v>
      </c>
      <c r="B1350" s="28">
        <v>1340</v>
      </c>
      <c r="C1350" s="28"/>
      <c r="D1350" s="2" t="s">
        <v>1596</v>
      </c>
      <c r="E1350" s="7" t="s">
        <v>12</v>
      </c>
      <c r="F1350" s="7"/>
      <c r="G1350" s="2" t="s">
        <v>43</v>
      </c>
      <c r="H1350" s="2" t="s">
        <v>1597</v>
      </c>
      <c r="I1350" s="5">
        <v>39267.56</v>
      </c>
      <c r="J1350" s="57"/>
      <c r="K1350" s="3">
        <v>480</v>
      </c>
      <c r="L1350" s="2" t="s">
        <v>64</v>
      </c>
      <c r="M1350" s="2" t="s">
        <v>12</v>
      </c>
      <c r="N1350" s="2" t="s">
        <v>12</v>
      </c>
      <c r="O1350" s="2" t="s">
        <v>12</v>
      </c>
      <c r="P1350" s="21" t="s">
        <v>12</v>
      </c>
      <c r="Q1350" s="3" t="s">
        <v>12</v>
      </c>
      <c r="R1350" s="3" t="s">
        <v>12</v>
      </c>
    </row>
    <row r="1351" spans="1:18" x14ac:dyDescent="0.25">
      <c r="A1351" s="30">
        <v>45870</v>
      </c>
      <c r="B1351" s="28">
        <v>1341</v>
      </c>
      <c r="C1351" s="28"/>
      <c r="D1351" s="2" t="s">
        <v>508</v>
      </c>
      <c r="E1351" s="7" t="s">
        <v>1683</v>
      </c>
      <c r="F1351" s="7"/>
      <c r="G1351" s="2" t="s">
        <v>20</v>
      </c>
      <c r="H1351" s="2" t="s">
        <v>596</v>
      </c>
      <c r="I1351" s="5">
        <v>76681.710000000006</v>
      </c>
      <c r="J1351" s="57"/>
      <c r="K1351" s="3">
        <v>1344</v>
      </c>
      <c r="L1351" s="2" t="s">
        <v>64</v>
      </c>
      <c r="M1351" s="2" t="s">
        <v>12</v>
      </c>
      <c r="N1351" s="2" t="s">
        <v>12</v>
      </c>
      <c r="O1351" s="2" t="s">
        <v>12</v>
      </c>
      <c r="P1351" s="21" t="s">
        <v>12</v>
      </c>
      <c r="Q1351" s="3" t="s">
        <v>12</v>
      </c>
      <c r="R1351" s="3" t="s">
        <v>12</v>
      </c>
    </row>
    <row r="1352" spans="1:18" x14ac:dyDescent="0.25">
      <c r="A1352" s="30">
        <v>45869</v>
      </c>
      <c r="B1352" s="28">
        <v>1342</v>
      </c>
      <c r="C1352" s="28"/>
      <c r="D1352" s="2" t="s">
        <v>92</v>
      </c>
      <c r="E1352" s="7" t="s">
        <v>1651</v>
      </c>
      <c r="F1352" s="7"/>
      <c r="G1352" s="2" t="s">
        <v>26</v>
      </c>
      <c r="H1352" s="2" t="s">
        <v>410</v>
      </c>
      <c r="I1352" s="5">
        <v>41138.86</v>
      </c>
      <c r="J1352" s="57"/>
      <c r="K1352" s="3">
        <v>480</v>
      </c>
      <c r="L1352" s="2" t="s">
        <v>226</v>
      </c>
      <c r="M1352" s="2" t="s">
        <v>12</v>
      </c>
      <c r="N1352" s="2" t="s">
        <v>12</v>
      </c>
      <c r="O1352" s="2" t="s">
        <v>12</v>
      </c>
      <c r="P1352" s="21" t="s">
        <v>12</v>
      </c>
      <c r="Q1352" s="3" t="s">
        <v>12</v>
      </c>
      <c r="R1352" s="3" t="s">
        <v>12</v>
      </c>
    </row>
    <row r="1353" spans="1:18" x14ac:dyDescent="0.25">
      <c r="A1353" s="30">
        <v>45869</v>
      </c>
      <c r="B1353" s="28">
        <v>1343</v>
      </c>
      <c r="C1353" s="28"/>
      <c r="D1353" s="2" t="s">
        <v>1403</v>
      </c>
      <c r="E1353" s="7" t="s">
        <v>12</v>
      </c>
      <c r="F1353" s="7"/>
      <c r="G1353" s="2" t="s">
        <v>13</v>
      </c>
      <c r="H1353" s="2" t="s">
        <v>1404</v>
      </c>
      <c r="I1353" s="5">
        <v>4594.54</v>
      </c>
      <c r="J1353" s="57"/>
      <c r="K1353" s="3">
        <v>48</v>
      </c>
      <c r="L1353" s="2" t="s">
        <v>226</v>
      </c>
      <c r="M1353" s="2" t="s">
        <v>12</v>
      </c>
      <c r="N1353" s="2" t="s">
        <v>12</v>
      </c>
      <c r="O1353" s="2" t="s">
        <v>12</v>
      </c>
      <c r="P1353" s="21" t="s">
        <v>12</v>
      </c>
      <c r="Q1353" s="3" t="s">
        <v>12</v>
      </c>
      <c r="R1353" s="3" t="s">
        <v>12</v>
      </c>
    </row>
    <row r="1354" spans="1:18" x14ac:dyDescent="0.25">
      <c r="A1354" s="30">
        <v>45869</v>
      </c>
      <c r="B1354" s="28">
        <v>1344</v>
      </c>
      <c r="C1354" s="28"/>
      <c r="D1354" s="2" t="s">
        <v>1652</v>
      </c>
      <c r="E1354" s="7" t="s">
        <v>1602</v>
      </c>
      <c r="F1354" s="7"/>
      <c r="G1354" s="2" t="s">
        <v>97</v>
      </c>
      <c r="H1354" s="2" t="s">
        <v>1653</v>
      </c>
      <c r="I1354" s="5">
        <v>3800</v>
      </c>
      <c r="J1354" s="57"/>
      <c r="K1354" s="3" t="s">
        <v>12</v>
      </c>
      <c r="L1354" s="2" t="s">
        <v>64</v>
      </c>
      <c r="M1354" s="2" t="s">
        <v>12</v>
      </c>
      <c r="N1354" s="2" t="s">
        <v>12</v>
      </c>
      <c r="O1354" s="2" t="s">
        <v>12</v>
      </c>
      <c r="P1354" s="21" t="s">
        <v>12</v>
      </c>
      <c r="Q1354" s="3" t="s">
        <v>12</v>
      </c>
      <c r="R1354" s="3" t="s">
        <v>12</v>
      </c>
    </row>
    <row r="1355" spans="1:18" x14ac:dyDescent="0.25">
      <c r="A1355" s="30">
        <v>45869</v>
      </c>
      <c r="B1355" s="28">
        <v>1345</v>
      </c>
      <c r="C1355" s="28"/>
      <c r="D1355" s="2" t="s">
        <v>41</v>
      </c>
      <c r="E1355" s="7" t="s">
        <v>1654</v>
      </c>
      <c r="F1355" s="7"/>
      <c r="G1355" s="2" t="s">
        <v>43</v>
      </c>
      <c r="H1355" s="2" t="s">
        <v>417</v>
      </c>
      <c r="I1355" s="5">
        <v>135748.60999999999</v>
      </c>
      <c r="J1355" s="57"/>
      <c r="K1355" s="3">
        <v>1200</v>
      </c>
      <c r="L1355" s="2" t="s">
        <v>226</v>
      </c>
      <c r="M1355" s="2" t="s">
        <v>12</v>
      </c>
      <c r="N1355" s="2" t="s">
        <v>12</v>
      </c>
      <c r="O1355" s="2" t="s">
        <v>12</v>
      </c>
      <c r="P1355" s="21" t="s">
        <v>12</v>
      </c>
      <c r="Q1355" s="3" t="s">
        <v>1677</v>
      </c>
      <c r="R1355" s="3" t="s">
        <v>75</v>
      </c>
    </row>
    <row r="1356" spans="1:18" x14ac:dyDescent="0.25">
      <c r="A1356" s="30">
        <v>45870</v>
      </c>
      <c r="B1356" s="28">
        <v>1346</v>
      </c>
      <c r="C1356" s="28"/>
      <c r="D1356" s="2" t="s">
        <v>103</v>
      </c>
      <c r="E1356" s="7" t="s">
        <v>1655</v>
      </c>
      <c r="F1356" s="7"/>
      <c r="G1356" s="2" t="s">
        <v>13</v>
      </c>
      <c r="H1356" s="2" t="s">
        <v>491</v>
      </c>
      <c r="I1356" s="5">
        <v>48590.98</v>
      </c>
      <c r="J1356" s="57"/>
      <c r="K1356" s="3">
        <v>720</v>
      </c>
      <c r="L1356" s="2" t="s">
        <v>64</v>
      </c>
      <c r="M1356" s="2" t="s">
        <v>12</v>
      </c>
      <c r="N1356" s="2" t="s">
        <v>12</v>
      </c>
      <c r="O1356" s="2" t="s">
        <v>12</v>
      </c>
      <c r="P1356" s="21" t="s">
        <v>12</v>
      </c>
      <c r="Q1356" s="3" t="s">
        <v>12</v>
      </c>
      <c r="R1356" s="3" t="s">
        <v>12</v>
      </c>
    </row>
    <row r="1357" spans="1:18" x14ac:dyDescent="0.25">
      <c r="A1357" s="30">
        <v>45870</v>
      </c>
      <c r="B1357" s="28">
        <v>1347</v>
      </c>
      <c r="C1357" s="28"/>
      <c r="D1357" s="2" t="s">
        <v>41</v>
      </c>
      <c r="E1357" s="7" t="s">
        <v>1656</v>
      </c>
      <c r="F1357" s="7"/>
      <c r="G1357" s="2" t="s">
        <v>43</v>
      </c>
      <c r="H1357" s="2" t="s">
        <v>417</v>
      </c>
      <c r="I1357" s="5">
        <v>119257.88</v>
      </c>
      <c r="J1357" s="57"/>
      <c r="K1357" s="3">
        <v>1080</v>
      </c>
      <c r="L1357" s="2" t="s">
        <v>226</v>
      </c>
      <c r="M1357" s="2" t="s">
        <v>12</v>
      </c>
      <c r="N1357" s="2" t="s">
        <v>12</v>
      </c>
      <c r="O1357" s="2" t="s">
        <v>12</v>
      </c>
      <c r="P1357" s="21" t="s">
        <v>12</v>
      </c>
      <c r="Q1357" s="3" t="s">
        <v>1677</v>
      </c>
      <c r="R1357" s="3" t="s">
        <v>75</v>
      </c>
    </row>
    <row r="1358" spans="1:18" x14ac:dyDescent="0.25">
      <c r="A1358" s="30">
        <v>45870</v>
      </c>
      <c r="B1358" s="28">
        <v>1348</v>
      </c>
      <c r="C1358" s="28"/>
      <c r="D1358" s="2" t="s">
        <v>737</v>
      </c>
      <c r="E1358" s="7" t="s">
        <v>1036</v>
      </c>
      <c r="F1358" s="7"/>
      <c r="G1358" s="2" t="s">
        <v>13</v>
      </c>
      <c r="H1358" s="2" t="s">
        <v>101</v>
      </c>
      <c r="I1358" s="5">
        <v>14357.18</v>
      </c>
      <c r="J1358" s="57"/>
      <c r="K1358" s="3">
        <v>192</v>
      </c>
      <c r="L1358" s="2" t="s">
        <v>64</v>
      </c>
      <c r="M1358" s="2" t="s">
        <v>12</v>
      </c>
      <c r="N1358" s="2" t="s">
        <v>12</v>
      </c>
      <c r="O1358" s="2" t="s">
        <v>12</v>
      </c>
      <c r="P1358" s="21" t="s">
        <v>12</v>
      </c>
      <c r="Q1358" s="3" t="s">
        <v>12</v>
      </c>
      <c r="R1358" s="3" t="s">
        <v>12</v>
      </c>
    </row>
    <row r="1359" spans="1:18" x14ac:dyDescent="0.25">
      <c r="A1359" s="30">
        <v>45875</v>
      </c>
      <c r="B1359" s="28">
        <v>1349</v>
      </c>
      <c r="C1359" s="28"/>
      <c r="D1359" s="2" t="s">
        <v>137</v>
      </c>
      <c r="E1359" s="7" t="s">
        <v>1497</v>
      </c>
      <c r="F1359" s="7"/>
      <c r="G1359" s="2" t="s">
        <v>26</v>
      </c>
      <c r="H1359" s="2" t="s">
        <v>317</v>
      </c>
      <c r="I1359" s="5">
        <v>47155.41</v>
      </c>
      <c r="J1359" s="57"/>
      <c r="K1359" s="3">
        <v>624</v>
      </c>
      <c r="L1359" s="2" t="s">
        <v>64</v>
      </c>
      <c r="M1359" s="2" t="s">
        <v>530</v>
      </c>
      <c r="N1359" s="2" t="s">
        <v>12</v>
      </c>
      <c r="O1359" s="2" t="s">
        <v>12</v>
      </c>
      <c r="P1359" s="21" t="s">
        <v>12</v>
      </c>
      <c r="Q1359" s="3" t="s">
        <v>12</v>
      </c>
      <c r="R1359" s="3" t="s">
        <v>12</v>
      </c>
    </row>
    <row r="1360" spans="1:18" x14ac:dyDescent="0.25">
      <c r="A1360" s="30">
        <v>45890</v>
      </c>
      <c r="B1360" s="28">
        <v>1350</v>
      </c>
      <c r="C1360" s="28"/>
      <c r="D1360" s="2" t="s">
        <v>23</v>
      </c>
      <c r="E1360" s="7" t="s">
        <v>1633</v>
      </c>
      <c r="F1360" s="7"/>
      <c r="G1360" s="2" t="s">
        <v>20</v>
      </c>
      <c r="H1360" s="2" t="s">
        <v>24</v>
      </c>
      <c r="I1360" s="5">
        <v>30801.95</v>
      </c>
      <c r="J1360" s="57"/>
      <c r="K1360" s="3">
        <v>384</v>
      </c>
      <c r="L1360" s="2" t="s">
        <v>226</v>
      </c>
      <c r="M1360" s="2" t="s">
        <v>12</v>
      </c>
      <c r="N1360" s="2" t="s">
        <v>12</v>
      </c>
      <c r="O1360" s="2" t="s">
        <v>12</v>
      </c>
      <c r="P1360" s="21" t="s">
        <v>12</v>
      </c>
      <c r="Q1360" s="3" t="s">
        <v>12</v>
      </c>
      <c r="R1360" s="3" t="s">
        <v>12</v>
      </c>
    </row>
    <row r="1361" spans="1:18" x14ac:dyDescent="0.25">
      <c r="A1361" s="30">
        <v>45873</v>
      </c>
      <c r="B1361" s="28">
        <v>1351</v>
      </c>
      <c r="C1361" s="28"/>
      <c r="D1361" s="2" t="s">
        <v>233</v>
      </c>
      <c r="E1361" s="7" t="s">
        <v>12</v>
      </c>
      <c r="F1361" s="7"/>
      <c r="G1361" s="2" t="s">
        <v>13</v>
      </c>
      <c r="H1361" s="2" t="s">
        <v>235</v>
      </c>
      <c r="I1361" s="5">
        <v>22465.1</v>
      </c>
      <c r="J1361" s="57"/>
      <c r="K1361" s="3">
        <v>360</v>
      </c>
      <c r="L1361" s="2" t="s">
        <v>64</v>
      </c>
      <c r="M1361" s="2" t="s">
        <v>12</v>
      </c>
      <c r="N1361" s="2" t="s">
        <v>12</v>
      </c>
      <c r="O1361" s="2" t="s">
        <v>12</v>
      </c>
      <c r="P1361" s="21" t="s">
        <v>12</v>
      </c>
      <c r="Q1361" s="3" t="s">
        <v>12</v>
      </c>
      <c r="R1361" s="3" t="s">
        <v>12</v>
      </c>
    </row>
    <row r="1362" spans="1:18" x14ac:dyDescent="0.25">
      <c r="A1362" s="30">
        <v>45873</v>
      </c>
      <c r="B1362" s="28">
        <v>1352</v>
      </c>
      <c r="C1362" s="28"/>
      <c r="D1362" s="2" t="s">
        <v>1746</v>
      </c>
      <c r="E1362" s="7" t="s">
        <v>1843</v>
      </c>
      <c r="F1362" s="7"/>
      <c r="G1362" s="2" t="s">
        <v>111</v>
      </c>
      <c r="H1362" s="2" t="s">
        <v>369</v>
      </c>
      <c r="I1362" s="5">
        <v>37605.769999999997</v>
      </c>
      <c r="J1362" s="57"/>
      <c r="K1362" s="3" t="s">
        <v>12</v>
      </c>
      <c r="L1362" s="2" t="s">
        <v>134</v>
      </c>
      <c r="M1362" s="2" t="s">
        <v>1531</v>
      </c>
      <c r="N1362" s="2" t="s">
        <v>12</v>
      </c>
      <c r="O1362" s="2" t="s">
        <v>12</v>
      </c>
      <c r="P1362" s="21"/>
      <c r="Q1362" s="3" t="s">
        <v>12</v>
      </c>
      <c r="R1362" s="3" t="s">
        <v>12</v>
      </c>
    </row>
    <row r="1363" spans="1:18" x14ac:dyDescent="0.25">
      <c r="A1363" s="30">
        <v>45873</v>
      </c>
      <c r="B1363" s="28">
        <v>1353</v>
      </c>
      <c r="C1363" s="28"/>
      <c r="D1363" s="2" t="s">
        <v>41</v>
      </c>
      <c r="E1363" s="7" t="s">
        <v>1657</v>
      </c>
      <c r="F1363" s="7"/>
      <c r="G1363" s="2" t="s">
        <v>43</v>
      </c>
      <c r="H1363" s="2" t="s">
        <v>43</v>
      </c>
      <c r="I1363" s="5">
        <v>16588.96</v>
      </c>
      <c r="J1363" s="57"/>
      <c r="K1363" s="3">
        <v>168</v>
      </c>
      <c r="L1363" s="2" t="s">
        <v>226</v>
      </c>
      <c r="M1363" s="2" t="s">
        <v>12</v>
      </c>
      <c r="N1363" s="2" t="s">
        <v>12</v>
      </c>
      <c r="O1363" s="2" t="s">
        <v>12</v>
      </c>
      <c r="P1363" s="21" t="s">
        <v>12</v>
      </c>
      <c r="Q1363" s="3" t="s">
        <v>956</v>
      </c>
      <c r="R1363" s="3" t="s">
        <v>80</v>
      </c>
    </row>
    <row r="1364" spans="1:18" x14ac:dyDescent="0.25">
      <c r="A1364" s="30">
        <v>45873</v>
      </c>
      <c r="B1364" s="28">
        <v>1354</v>
      </c>
      <c r="C1364" s="28"/>
      <c r="D1364" s="2" t="s">
        <v>208</v>
      </c>
      <c r="E1364" s="7" t="s">
        <v>1658</v>
      </c>
      <c r="F1364" s="7"/>
      <c r="G1364" s="2" t="s">
        <v>43</v>
      </c>
      <c r="H1364" s="2" t="s">
        <v>448</v>
      </c>
      <c r="I1364" s="5">
        <v>42166.49</v>
      </c>
      <c r="J1364" s="57"/>
      <c r="K1364" s="3">
        <v>456</v>
      </c>
      <c r="L1364" s="2" t="s">
        <v>226</v>
      </c>
      <c r="M1364" s="2" t="s">
        <v>12</v>
      </c>
      <c r="N1364" s="2" t="s">
        <v>12</v>
      </c>
      <c r="O1364" s="2" t="s">
        <v>12</v>
      </c>
      <c r="P1364" s="21" t="s">
        <v>12</v>
      </c>
      <c r="Q1364" s="3" t="s">
        <v>1678</v>
      </c>
      <c r="R1364" s="3" t="s">
        <v>75</v>
      </c>
    </row>
    <row r="1365" spans="1:18" x14ac:dyDescent="0.25">
      <c r="A1365" s="30">
        <v>45873</v>
      </c>
      <c r="B1365" s="28">
        <v>1355</v>
      </c>
      <c r="C1365" s="28"/>
      <c r="D1365" s="2" t="s">
        <v>403</v>
      </c>
      <c r="E1365" s="7" t="s">
        <v>1659</v>
      </c>
      <c r="F1365" s="7"/>
      <c r="G1365" s="2" t="s">
        <v>43</v>
      </c>
      <c r="H1365" s="2" t="s">
        <v>390</v>
      </c>
      <c r="I1365" s="5">
        <v>8120.65</v>
      </c>
      <c r="J1365" s="57"/>
      <c r="K1365" s="3">
        <v>72</v>
      </c>
      <c r="L1365" s="2" t="s">
        <v>226</v>
      </c>
      <c r="M1365" s="2" t="s">
        <v>12</v>
      </c>
      <c r="N1365" s="2" t="s">
        <v>12</v>
      </c>
      <c r="O1365" s="2" t="s">
        <v>12</v>
      </c>
      <c r="P1365" s="21" t="s">
        <v>12</v>
      </c>
      <c r="Q1365" s="3" t="s">
        <v>12</v>
      </c>
      <c r="R1365" s="3" t="s">
        <v>12</v>
      </c>
    </row>
    <row r="1366" spans="1:18" x14ac:dyDescent="0.25">
      <c r="A1366" s="30">
        <v>45873</v>
      </c>
      <c r="B1366" s="28">
        <v>1356</v>
      </c>
      <c r="C1366" s="28"/>
      <c r="D1366" s="2" t="s">
        <v>786</v>
      </c>
      <c r="E1366" s="7" t="s">
        <v>12</v>
      </c>
      <c r="F1366" s="7"/>
      <c r="G1366" s="2" t="s">
        <v>26</v>
      </c>
      <c r="H1366" s="2" t="s">
        <v>1660</v>
      </c>
      <c r="I1366" s="5">
        <v>6076.13</v>
      </c>
      <c r="J1366" s="57"/>
      <c r="K1366" s="3">
        <v>72</v>
      </c>
      <c r="L1366" s="2" t="s">
        <v>64</v>
      </c>
      <c r="M1366" s="2" t="s">
        <v>12</v>
      </c>
      <c r="N1366" s="2" t="s">
        <v>12</v>
      </c>
      <c r="O1366" s="2" t="s">
        <v>12</v>
      </c>
      <c r="P1366" s="21" t="s">
        <v>12</v>
      </c>
      <c r="Q1366" s="3" t="s">
        <v>12</v>
      </c>
      <c r="R1366" s="3" t="s">
        <v>12</v>
      </c>
    </row>
    <row r="1367" spans="1:18" x14ac:dyDescent="0.25">
      <c r="A1367" s="30">
        <v>45873</v>
      </c>
      <c r="B1367" s="28">
        <v>1357</v>
      </c>
      <c r="C1367" s="28"/>
      <c r="D1367" s="2" t="s">
        <v>1190</v>
      </c>
      <c r="E1367" s="7" t="s">
        <v>12</v>
      </c>
      <c r="F1367" s="7"/>
      <c r="G1367" s="2" t="s">
        <v>13</v>
      </c>
      <c r="H1367" s="2" t="s">
        <v>390</v>
      </c>
      <c r="I1367" s="5">
        <v>9491.36</v>
      </c>
      <c r="J1367" s="57"/>
      <c r="K1367" s="3">
        <v>144</v>
      </c>
      <c r="L1367" s="2" t="s">
        <v>64</v>
      </c>
      <c r="M1367" s="2" t="s">
        <v>12</v>
      </c>
      <c r="N1367" s="2" t="s">
        <v>12</v>
      </c>
      <c r="O1367" s="2" t="s">
        <v>12</v>
      </c>
      <c r="P1367" s="21" t="s">
        <v>12</v>
      </c>
      <c r="Q1367" s="3" t="s">
        <v>12</v>
      </c>
      <c r="R1367" s="3" t="s">
        <v>12</v>
      </c>
    </row>
    <row r="1368" spans="1:18" x14ac:dyDescent="0.25">
      <c r="A1368" s="30">
        <v>45874</v>
      </c>
      <c r="B1368" s="28">
        <v>1358</v>
      </c>
      <c r="C1368" s="28"/>
      <c r="D1368" s="2" t="s">
        <v>273</v>
      </c>
      <c r="E1368" s="7" t="s">
        <v>12</v>
      </c>
      <c r="F1368" s="7"/>
      <c r="G1368" s="2" t="s">
        <v>26</v>
      </c>
      <c r="H1368" s="2" t="s">
        <v>116</v>
      </c>
      <c r="I1368" s="5">
        <v>2034.95</v>
      </c>
      <c r="J1368" s="57"/>
      <c r="K1368" s="3">
        <v>24</v>
      </c>
      <c r="L1368" s="2" t="s">
        <v>64</v>
      </c>
      <c r="M1368" s="2" t="s">
        <v>12</v>
      </c>
      <c r="N1368" s="2" t="s">
        <v>12</v>
      </c>
      <c r="O1368" s="2" t="s">
        <v>12</v>
      </c>
      <c r="P1368" s="21" t="s">
        <v>12</v>
      </c>
      <c r="Q1368" s="3" t="s">
        <v>12</v>
      </c>
      <c r="R1368" s="3" t="s">
        <v>12</v>
      </c>
    </row>
    <row r="1369" spans="1:18" x14ac:dyDescent="0.25">
      <c r="A1369" s="30">
        <v>45874</v>
      </c>
      <c r="B1369" s="28">
        <v>1359</v>
      </c>
      <c r="C1369" s="28"/>
      <c r="D1369" s="2" t="s">
        <v>41</v>
      </c>
      <c r="E1369" s="7" t="s">
        <v>1661</v>
      </c>
      <c r="F1369" s="7"/>
      <c r="G1369" s="2" t="s">
        <v>43</v>
      </c>
      <c r="H1369" s="2" t="s">
        <v>319</v>
      </c>
      <c r="I1369" s="5">
        <v>297607.86</v>
      </c>
      <c r="J1369" s="57"/>
      <c r="K1369" s="3">
        <v>2664</v>
      </c>
      <c r="L1369" s="2" t="s">
        <v>226</v>
      </c>
      <c r="M1369" s="2" t="s">
        <v>12</v>
      </c>
      <c r="N1369" s="2" t="s">
        <v>12</v>
      </c>
      <c r="O1369" s="2" t="s">
        <v>12</v>
      </c>
      <c r="P1369" s="21" t="s">
        <v>12</v>
      </c>
      <c r="Q1369" s="3" t="s">
        <v>456</v>
      </c>
      <c r="R1369" s="3" t="s">
        <v>75</v>
      </c>
    </row>
    <row r="1370" spans="1:18" x14ac:dyDescent="0.25">
      <c r="A1370" s="30">
        <v>45875</v>
      </c>
      <c r="B1370" s="28">
        <v>1360</v>
      </c>
      <c r="C1370" s="28"/>
      <c r="D1370" s="2" t="s">
        <v>1662</v>
      </c>
      <c r="E1370" s="7" t="s">
        <v>1663</v>
      </c>
      <c r="F1370" s="7"/>
      <c r="G1370" s="2" t="s">
        <v>26</v>
      </c>
      <c r="H1370" s="2" t="s">
        <v>827</v>
      </c>
      <c r="I1370" s="5">
        <v>50267.3</v>
      </c>
      <c r="J1370" s="57"/>
      <c r="K1370" s="3">
        <v>552</v>
      </c>
      <c r="L1370" s="2" t="s">
        <v>226</v>
      </c>
      <c r="M1370" s="2" t="s">
        <v>12</v>
      </c>
      <c r="N1370" s="2" t="s">
        <v>12</v>
      </c>
      <c r="O1370" s="2" t="s">
        <v>12</v>
      </c>
      <c r="P1370" s="21" t="s">
        <v>12</v>
      </c>
      <c r="Q1370" s="3" t="s">
        <v>1679</v>
      </c>
      <c r="R1370" s="3" t="s">
        <v>76</v>
      </c>
    </row>
    <row r="1371" spans="1:18" x14ac:dyDescent="0.25">
      <c r="A1371" s="30">
        <v>45875</v>
      </c>
      <c r="B1371" s="28">
        <v>1361</v>
      </c>
      <c r="C1371" s="28"/>
      <c r="D1371" s="2" t="s">
        <v>168</v>
      </c>
      <c r="E1371" s="7" t="s">
        <v>1664</v>
      </c>
      <c r="F1371" s="7"/>
      <c r="G1371" s="2" t="s">
        <v>43</v>
      </c>
      <c r="H1371" s="2" t="s">
        <v>182</v>
      </c>
      <c r="I1371" s="5">
        <v>239856.94</v>
      </c>
      <c r="J1371" s="57"/>
      <c r="K1371" s="3">
        <v>3096</v>
      </c>
      <c r="L1371" s="2" t="s">
        <v>226</v>
      </c>
      <c r="M1371" s="2" t="s">
        <v>12</v>
      </c>
      <c r="N1371" s="2" t="s">
        <v>12</v>
      </c>
      <c r="O1371" s="2" t="s">
        <v>12</v>
      </c>
      <c r="P1371" s="21" t="s">
        <v>12</v>
      </c>
      <c r="Q1371" s="3" t="s">
        <v>12</v>
      </c>
      <c r="R1371" s="3" t="s">
        <v>12</v>
      </c>
    </row>
    <row r="1372" spans="1:18" x14ac:dyDescent="0.25">
      <c r="A1372" s="30">
        <v>45875</v>
      </c>
      <c r="B1372" s="28">
        <v>1362</v>
      </c>
      <c r="C1372" s="28"/>
      <c r="D1372" s="2" t="s">
        <v>109</v>
      </c>
      <c r="E1372" s="7" t="s">
        <v>1665</v>
      </c>
      <c r="F1372" s="7"/>
      <c r="G1372" s="2" t="s">
        <v>111</v>
      </c>
      <c r="H1372" s="2" t="s">
        <v>1104</v>
      </c>
      <c r="I1372" s="5">
        <v>1975.3</v>
      </c>
      <c r="J1372" s="57"/>
      <c r="K1372" s="3">
        <v>24</v>
      </c>
      <c r="L1372" s="2" t="s">
        <v>64</v>
      </c>
      <c r="M1372" s="2" t="s">
        <v>12</v>
      </c>
      <c r="N1372" s="2" t="s">
        <v>12</v>
      </c>
      <c r="O1372" s="2" t="s">
        <v>12</v>
      </c>
      <c r="P1372" s="21" t="s">
        <v>12</v>
      </c>
      <c r="Q1372" s="3" t="s">
        <v>12</v>
      </c>
      <c r="R1372" s="3" t="s">
        <v>12</v>
      </c>
    </row>
    <row r="1373" spans="1:18" x14ac:dyDescent="0.25">
      <c r="A1373" s="30">
        <v>45875</v>
      </c>
      <c r="B1373" s="28">
        <v>1363</v>
      </c>
      <c r="C1373" s="28"/>
      <c r="D1373" s="2" t="s">
        <v>87</v>
      </c>
      <c r="E1373" s="7" t="s">
        <v>1666</v>
      </c>
      <c r="F1373" s="7"/>
      <c r="G1373" s="2" t="s">
        <v>13</v>
      </c>
      <c r="H1373" s="2" t="s">
        <v>185</v>
      </c>
      <c r="I1373" s="5">
        <v>59653.97</v>
      </c>
      <c r="J1373" s="57"/>
      <c r="K1373" s="3">
        <v>675</v>
      </c>
      <c r="L1373" s="2" t="s">
        <v>226</v>
      </c>
      <c r="M1373" s="2" t="s">
        <v>12</v>
      </c>
      <c r="N1373" s="2" t="s">
        <v>12</v>
      </c>
      <c r="O1373" s="2" t="s">
        <v>12</v>
      </c>
      <c r="P1373" s="21" t="s">
        <v>12</v>
      </c>
      <c r="Q1373" s="3" t="s">
        <v>78</v>
      </c>
      <c r="R1373" s="3" t="s">
        <v>75</v>
      </c>
    </row>
    <row r="1374" spans="1:18" x14ac:dyDescent="0.25">
      <c r="A1374" s="30">
        <v>45875</v>
      </c>
      <c r="B1374" s="28">
        <v>1364</v>
      </c>
      <c r="C1374" s="28"/>
      <c r="D1374" s="2" t="s">
        <v>87</v>
      </c>
      <c r="E1374" s="7" t="s">
        <v>1667</v>
      </c>
      <c r="F1374" s="7"/>
      <c r="G1374" s="2" t="s">
        <v>13</v>
      </c>
      <c r="H1374" s="2" t="s">
        <v>185</v>
      </c>
      <c r="I1374" s="5">
        <v>300273.89</v>
      </c>
      <c r="J1374" s="57"/>
      <c r="K1374" s="3">
        <v>3120</v>
      </c>
      <c r="L1374" s="2" t="s">
        <v>226</v>
      </c>
      <c r="M1374" s="2" t="s">
        <v>12</v>
      </c>
      <c r="N1374" s="2" t="s">
        <v>12</v>
      </c>
      <c r="O1374" s="2" t="s">
        <v>12</v>
      </c>
      <c r="P1374" s="21" t="s">
        <v>12</v>
      </c>
      <c r="Q1374" s="3" t="s">
        <v>78</v>
      </c>
      <c r="R1374" s="3" t="s">
        <v>75</v>
      </c>
    </row>
    <row r="1375" spans="1:18" x14ac:dyDescent="0.25">
      <c r="A1375" s="30">
        <v>45875</v>
      </c>
      <c r="B1375" s="28">
        <v>1365</v>
      </c>
      <c r="C1375" s="28"/>
      <c r="D1375" s="2" t="s">
        <v>109</v>
      </c>
      <c r="E1375" s="7" t="s">
        <v>1668</v>
      </c>
      <c r="F1375" s="7"/>
      <c r="G1375" s="2" t="s">
        <v>111</v>
      </c>
      <c r="H1375" s="2" t="s">
        <v>1104</v>
      </c>
      <c r="I1375" s="5">
        <v>226795.31</v>
      </c>
      <c r="J1375" s="57"/>
      <c r="K1375" s="3">
        <v>2880</v>
      </c>
      <c r="L1375" s="2" t="s">
        <v>226</v>
      </c>
      <c r="M1375" s="2" t="s">
        <v>1531</v>
      </c>
      <c r="N1375" s="2" t="s">
        <v>12</v>
      </c>
      <c r="O1375" s="2" t="s">
        <v>12</v>
      </c>
      <c r="P1375" s="21" t="s">
        <v>12</v>
      </c>
      <c r="Q1375" s="3" t="s">
        <v>12</v>
      </c>
      <c r="R1375" s="3" t="s">
        <v>12</v>
      </c>
    </row>
    <row r="1376" spans="1:18" x14ac:dyDescent="0.25">
      <c r="A1376" s="30">
        <v>45875</v>
      </c>
      <c r="B1376" s="28">
        <v>1366</v>
      </c>
      <c r="C1376" s="28"/>
      <c r="D1376" s="2" t="s">
        <v>1523</v>
      </c>
      <c r="E1376" s="7" t="s">
        <v>1669</v>
      </c>
      <c r="F1376" s="7"/>
      <c r="G1376" s="2" t="s">
        <v>111</v>
      </c>
      <c r="H1376" s="2" t="s">
        <v>1168</v>
      </c>
      <c r="I1376" s="5">
        <v>3504.67</v>
      </c>
      <c r="J1376" s="57"/>
      <c r="K1376" s="3">
        <v>48</v>
      </c>
      <c r="L1376" s="2" t="s">
        <v>64</v>
      </c>
      <c r="M1376" s="2" t="s">
        <v>12</v>
      </c>
      <c r="N1376" s="2" t="s">
        <v>12</v>
      </c>
      <c r="O1376" s="2" t="s">
        <v>12</v>
      </c>
      <c r="P1376" s="21" t="s">
        <v>12</v>
      </c>
      <c r="Q1376" s="3" t="s">
        <v>1680</v>
      </c>
      <c r="R1376" s="3" t="s">
        <v>75</v>
      </c>
    </row>
    <row r="1377" spans="1:18" x14ac:dyDescent="0.25">
      <c r="A1377" s="30">
        <v>45875</v>
      </c>
      <c r="B1377" s="28">
        <v>1367</v>
      </c>
      <c r="C1377" s="28"/>
      <c r="D1377" s="2" t="s">
        <v>1670</v>
      </c>
      <c r="E1377" s="7" t="s">
        <v>1671</v>
      </c>
      <c r="F1377" s="7"/>
      <c r="G1377" s="2" t="s">
        <v>13</v>
      </c>
      <c r="H1377" s="2" t="s">
        <v>1672</v>
      </c>
      <c r="I1377" s="5">
        <v>63495.68</v>
      </c>
      <c r="J1377" s="57"/>
      <c r="K1377" s="3">
        <v>648</v>
      </c>
      <c r="L1377" s="2" t="s">
        <v>21</v>
      </c>
      <c r="M1377" s="2" t="s">
        <v>1684</v>
      </c>
      <c r="N1377" s="2" t="s">
        <v>12</v>
      </c>
      <c r="O1377" s="2" t="s">
        <v>12</v>
      </c>
      <c r="P1377" s="21" t="s">
        <v>12</v>
      </c>
      <c r="Q1377" s="3" t="s">
        <v>12</v>
      </c>
      <c r="R1377" s="3" t="s">
        <v>12</v>
      </c>
    </row>
    <row r="1378" spans="1:18" x14ac:dyDescent="0.25">
      <c r="A1378" s="30">
        <v>45875</v>
      </c>
      <c r="B1378" s="28">
        <v>1368</v>
      </c>
      <c r="C1378" s="28"/>
      <c r="D1378" s="2" t="s">
        <v>1673</v>
      </c>
      <c r="E1378" s="7" t="s">
        <v>1674</v>
      </c>
      <c r="F1378" s="7"/>
      <c r="G1378" s="2" t="s">
        <v>26</v>
      </c>
      <c r="H1378" s="2" t="s">
        <v>1675</v>
      </c>
      <c r="I1378" s="5">
        <v>9901.68</v>
      </c>
      <c r="J1378" s="57"/>
      <c r="K1378" s="3">
        <v>96</v>
      </c>
      <c r="L1378" s="2" t="s">
        <v>226</v>
      </c>
      <c r="M1378" s="2" t="s">
        <v>12</v>
      </c>
      <c r="N1378" s="2" t="s">
        <v>12</v>
      </c>
      <c r="O1378" s="2" t="s">
        <v>12</v>
      </c>
      <c r="P1378" s="21" t="s">
        <v>12</v>
      </c>
      <c r="Q1378" s="3" t="s">
        <v>1681</v>
      </c>
      <c r="R1378" s="3" t="s">
        <v>76</v>
      </c>
    </row>
    <row r="1379" spans="1:18" x14ac:dyDescent="0.25">
      <c r="A1379" s="30">
        <v>45875</v>
      </c>
      <c r="B1379" s="28">
        <v>1369</v>
      </c>
      <c r="C1379" s="28"/>
      <c r="D1379" s="2" t="s">
        <v>56</v>
      </c>
      <c r="E1379" s="7" t="s">
        <v>1676</v>
      </c>
      <c r="F1379" s="7"/>
      <c r="G1379" s="2" t="s">
        <v>43</v>
      </c>
      <c r="H1379" s="2" t="s">
        <v>58</v>
      </c>
      <c r="I1379" s="5">
        <v>16588.96</v>
      </c>
      <c r="J1379" s="57"/>
      <c r="K1379" s="3">
        <v>168</v>
      </c>
      <c r="L1379" s="2" t="s">
        <v>226</v>
      </c>
      <c r="M1379" s="2" t="s">
        <v>12</v>
      </c>
      <c r="N1379" s="2" t="s">
        <v>12</v>
      </c>
      <c r="O1379" s="2" t="s">
        <v>12</v>
      </c>
      <c r="P1379" s="21" t="s">
        <v>12</v>
      </c>
      <c r="Q1379" s="3" t="s">
        <v>956</v>
      </c>
      <c r="R1379" s="3" t="s">
        <v>80</v>
      </c>
    </row>
    <row r="1380" spans="1:18" x14ac:dyDescent="0.25">
      <c r="A1380" s="30">
        <v>45875</v>
      </c>
      <c r="B1380" s="28">
        <v>1370</v>
      </c>
      <c r="C1380" s="28"/>
      <c r="D1380" s="2" t="s">
        <v>56</v>
      </c>
      <c r="E1380" s="7" t="s">
        <v>1699</v>
      </c>
      <c r="F1380" s="7"/>
      <c r="G1380" s="2" t="s">
        <v>43</v>
      </c>
      <c r="H1380" s="2" t="s">
        <v>58</v>
      </c>
      <c r="I1380" s="5">
        <v>11764.86</v>
      </c>
      <c r="J1380" s="57"/>
      <c r="K1380" s="3">
        <v>120</v>
      </c>
      <c r="L1380" s="2" t="s">
        <v>226</v>
      </c>
      <c r="M1380" s="2" t="s">
        <v>12</v>
      </c>
      <c r="N1380" s="2" t="s">
        <v>12</v>
      </c>
      <c r="O1380" s="2" t="s">
        <v>12</v>
      </c>
      <c r="P1380" s="21" t="s">
        <v>12</v>
      </c>
      <c r="Q1380" s="3" t="s">
        <v>1682</v>
      </c>
      <c r="R1380" s="3" t="s">
        <v>80</v>
      </c>
    </row>
    <row r="1381" spans="1:18" x14ac:dyDescent="0.25">
      <c r="A1381" s="30">
        <v>45876</v>
      </c>
      <c r="B1381" s="28">
        <v>1371</v>
      </c>
      <c r="C1381" s="28"/>
      <c r="D1381" s="2" t="s">
        <v>601</v>
      </c>
      <c r="E1381" s="7" t="s">
        <v>1700</v>
      </c>
      <c r="F1381" s="7"/>
      <c r="G1381" s="2" t="s">
        <v>13</v>
      </c>
      <c r="H1381" s="2" t="s">
        <v>751</v>
      </c>
      <c r="I1381" s="5">
        <v>90970.44</v>
      </c>
      <c r="J1381" s="57"/>
      <c r="K1381" s="3">
        <v>1200</v>
      </c>
      <c r="L1381" s="2" t="s">
        <v>64</v>
      </c>
      <c r="M1381" s="2" t="s">
        <v>12</v>
      </c>
      <c r="N1381" s="2" t="s">
        <v>12</v>
      </c>
      <c r="O1381" s="2" t="s">
        <v>12</v>
      </c>
      <c r="P1381" s="21" t="s">
        <v>12</v>
      </c>
      <c r="Q1381" s="3" t="s">
        <v>12</v>
      </c>
      <c r="R1381" s="3" t="s">
        <v>12</v>
      </c>
    </row>
    <row r="1382" spans="1:18" x14ac:dyDescent="0.25">
      <c r="A1382" s="30">
        <v>45876</v>
      </c>
      <c r="B1382" s="28">
        <v>1372</v>
      </c>
      <c r="C1382" s="28"/>
      <c r="D1382" s="2" t="s">
        <v>1745</v>
      </c>
      <c r="E1382" s="7" t="s">
        <v>1844</v>
      </c>
      <c r="F1382" s="7"/>
      <c r="G1382" s="2" t="s">
        <v>111</v>
      </c>
      <c r="H1382" s="2" t="s">
        <v>1845</v>
      </c>
      <c r="I1382" s="5">
        <v>14114.74</v>
      </c>
      <c r="J1382" s="57"/>
      <c r="K1382" s="3" t="s">
        <v>12</v>
      </c>
      <c r="L1382" s="2" t="s">
        <v>226</v>
      </c>
      <c r="M1382" s="2" t="s">
        <v>12</v>
      </c>
      <c r="N1382" s="2" t="s">
        <v>12</v>
      </c>
      <c r="O1382" s="2" t="s">
        <v>12</v>
      </c>
      <c r="P1382" s="21" t="s">
        <v>12</v>
      </c>
      <c r="Q1382" s="3" t="s">
        <v>12</v>
      </c>
      <c r="R1382" s="3" t="s">
        <v>12</v>
      </c>
    </row>
    <row r="1383" spans="1:18" x14ac:dyDescent="0.25">
      <c r="A1383" s="30">
        <v>45876</v>
      </c>
      <c r="B1383" s="28">
        <v>1373</v>
      </c>
      <c r="C1383" s="28"/>
      <c r="D1383" s="2" t="s">
        <v>496</v>
      </c>
      <c r="E1383" s="7" t="s">
        <v>1701</v>
      </c>
      <c r="F1383" s="7"/>
      <c r="G1383" s="2" t="s">
        <v>13</v>
      </c>
      <c r="H1383" s="2" t="s">
        <v>225</v>
      </c>
      <c r="I1383" s="5">
        <v>8270.3799999999992</v>
      </c>
      <c r="J1383" s="57"/>
      <c r="K1383" s="3">
        <v>96</v>
      </c>
      <c r="L1383" s="2" t="s">
        <v>226</v>
      </c>
      <c r="M1383" s="2" t="s">
        <v>12</v>
      </c>
      <c r="N1383" s="2" t="s">
        <v>12</v>
      </c>
      <c r="O1383" s="2" t="s">
        <v>12</v>
      </c>
      <c r="P1383" s="21" t="s">
        <v>12</v>
      </c>
      <c r="Q1383" s="3" t="s">
        <v>1266</v>
      </c>
      <c r="R1383" s="3" t="s">
        <v>80</v>
      </c>
    </row>
    <row r="1384" spans="1:18" x14ac:dyDescent="0.25">
      <c r="A1384" s="30">
        <v>45876</v>
      </c>
      <c r="B1384" s="28">
        <v>1374</v>
      </c>
      <c r="C1384" s="28"/>
      <c r="D1384" s="2" t="s">
        <v>336</v>
      </c>
      <c r="E1384" s="7" t="s">
        <v>1702</v>
      </c>
      <c r="F1384" s="7"/>
      <c r="G1384" s="2" t="s">
        <v>20</v>
      </c>
      <c r="H1384" s="2" t="s">
        <v>1153</v>
      </c>
      <c r="I1384" s="5">
        <v>72469.45</v>
      </c>
      <c r="J1384" s="57"/>
      <c r="K1384" s="3">
        <v>888</v>
      </c>
      <c r="L1384" s="2" t="s">
        <v>64</v>
      </c>
      <c r="M1384" s="2" t="s">
        <v>12</v>
      </c>
      <c r="N1384" s="2" t="s">
        <v>12</v>
      </c>
      <c r="O1384" s="2" t="s">
        <v>12</v>
      </c>
      <c r="P1384" s="21" t="s">
        <v>12</v>
      </c>
      <c r="Q1384" s="3" t="s">
        <v>959</v>
      </c>
      <c r="R1384" s="3" t="s">
        <v>80</v>
      </c>
    </row>
    <row r="1385" spans="1:18" x14ac:dyDescent="0.25">
      <c r="A1385" s="30">
        <v>46037</v>
      </c>
      <c r="B1385" s="28">
        <v>1375</v>
      </c>
      <c r="C1385" s="28"/>
      <c r="D1385" s="2" t="s">
        <v>41</v>
      </c>
      <c r="E1385" s="7" t="s">
        <v>1703</v>
      </c>
      <c r="F1385" s="7"/>
      <c r="G1385" s="2" t="s">
        <v>43</v>
      </c>
      <c r="H1385" s="2" t="s">
        <v>158</v>
      </c>
      <c r="I1385" s="5">
        <v>187494.05</v>
      </c>
      <c r="J1385" s="57"/>
      <c r="K1385" s="3">
        <v>1945.2</v>
      </c>
      <c r="L1385" s="2" t="s">
        <v>134</v>
      </c>
      <c r="M1385" s="2" t="s">
        <v>1160</v>
      </c>
      <c r="N1385" s="2" t="s">
        <v>135</v>
      </c>
      <c r="O1385" s="2" t="s">
        <v>374</v>
      </c>
      <c r="P1385" s="21" t="s">
        <v>12</v>
      </c>
      <c r="Q1385" s="3" t="s">
        <v>78</v>
      </c>
      <c r="R1385" s="3" t="s">
        <v>1747</v>
      </c>
    </row>
    <row r="1386" spans="1:18" x14ac:dyDescent="0.25">
      <c r="A1386" s="30">
        <v>45877</v>
      </c>
      <c r="B1386" s="28">
        <v>1376</v>
      </c>
      <c r="C1386" s="28"/>
      <c r="D1386" s="2" t="s">
        <v>41</v>
      </c>
      <c r="E1386" s="7" t="s">
        <v>1374</v>
      </c>
      <c r="F1386" s="7"/>
      <c r="G1386" s="2" t="s">
        <v>43</v>
      </c>
      <c r="H1386" s="2" t="s">
        <v>417</v>
      </c>
      <c r="I1386" s="5">
        <v>140134.59</v>
      </c>
      <c r="J1386" s="57"/>
      <c r="K1386" s="3">
        <v>1465.2</v>
      </c>
      <c r="L1386" s="2" t="s">
        <v>64</v>
      </c>
      <c r="M1386" s="2" t="s">
        <v>12</v>
      </c>
      <c r="N1386" s="2" t="s">
        <v>12</v>
      </c>
      <c r="O1386" s="2" t="s">
        <v>12</v>
      </c>
      <c r="P1386" s="21" t="s">
        <v>12</v>
      </c>
      <c r="Q1386" s="3" t="s">
        <v>78</v>
      </c>
      <c r="R1386" s="3" t="s">
        <v>1747</v>
      </c>
    </row>
    <row r="1387" spans="1:18" x14ac:dyDescent="0.25">
      <c r="A1387" s="30">
        <v>45876</v>
      </c>
      <c r="B1387" s="28">
        <v>1377</v>
      </c>
      <c r="C1387" s="28"/>
      <c r="D1387" s="2" t="s">
        <v>1704</v>
      </c>
      <c r="E1387" s="7" t="s">
        <v>12</v>
      </c>
      <c r="F1387" s="7"/>
      <c r="G1387" s="2" t="s">
        <v>13</v>
      </c>
      <c r="H1387" s="2" t="s">
        <v>471</v>
      </c>
      <c r="I1387" s="5">
        <v>13931.86</v>
      </c>
      <c r="J1387" s="57"/>
      <c r="K1387" s="3">
        <v>192</v>
      </c>
      <c r="L1387" s="2" t="s">
        <v>226</v>
      </c>
      <c r="M1387" s="2" t="s">
        <v>12</v>
      </c>
      <c r="N1387" s="2" t="s">
        <v>12</v>
      </c>
      <c r="O1387" s="2" t="s">
        <v>12</v>
      </c>
      <c r="P1387" s="21" t="s">
        <v>12</v>
      </c>
      <c r="Q1387" s="3" t="s">
        <v>12</v>
      </c>
      <c r="R1387" s="3" t="s">
        <v>12</v>
      </c>
    </row>
    <row r="1388" spans="1:18" x14ac:dyDescent="0.25">
      <c r="A1388" s="30">
        <v>45876</v>
      </c>
      <c r="B1388" s="28">
        <v>1378</v>
      </c>
      <c r="C1388" s="28"/>
      <c r="D1388" s="2" t="s">
        <v>1705</v>
      </c>
      <c r="E1388" s="7" t="s">
        <v>12</v>
      </c>
      <c r="F1388" s="7"/>
      <c r="G1388" s="2" t="s">
        <v>13</v>
      </c>
      <c r="H1388" s="2" t="s">
        <v>633</v>
      </c>
      <c r="I1388" s="5">
        <v>7236.59</v>
      </c>
      <c r="J1388" s="57"/>
      <c r="K1388" s="3">
        <v>96</v>
      </c>
      <c r="L1388" s="2" t="s">
        <v>226</v>
      </c>
      <c r="M1388" s="2" t="s">
        <v>12</v>
      </c>
      <c r="N1388" s="2" t="s">
        <v>12</v>
      </c>
      <c r="O1388" s="2" t="s">
        <v>12</v>
      </c>
      <c r="P1388" s="21" t="s">
        <v>12</v>
      </c>
      <c r="Q1388" s="3" t="s">
        <v>12</v>
      </c>
      <c r="R1388" s="3" t="s">
        <v>12</v>
      </c>
    </row>
    <row r="1389" spans="1:18" x14ac:dyDescent="0.25">
      <c r="A1389" s="30">
        <v>45877</v>
      </c>
      <c r="B1389" s="28">
        <v>1379</v>
      </c>
      <c r="C1389" s="28"/>
      <c r="D1389" s="2" t="s">
        <v>646</v>
      </c>
      <c r="E1389" s="7" t="s">
        <v>1374</v>
      </c>
      <c r="F1389" s="7"/>
      <c r="G1389" s="2" t="s">
        <v>111</v>
      </c>
      <c r="H1389" s="2" t="s">
        <v>1706</v>
      </c>
      <c r="I1389" s="5">
        <v>25755.48</v>
      </c>
      <c r="J1389" s="57"/>
      <c r="K1389" s="3">
        <v>288</v>
      </c>
      <c r="L1389" s="2" t="s">
        <v>226</v>
      </c>
      <c r="M1389" s="2" t="s">
        <v>1685</v>
      </c>
      <c r="N1389" s="2" t="s">
        <v>12</v>
      </c>
      <c r="O1389" s="2" t="s">
        <v>12</v>
      </c>
      <c r="P1389" s="21" t="s">
        <v>12</v>
      </c>
      <c r="Q1389" s="3" t="s">
        <v>12</v>
      </c>
      <c r="R1389" s="3" t="s">
        <v>12</v>
      </c>
    </row>
    <row r="1390" spans="1:18" x14ac:dyDescent="0.25">
      <c r="A1390" s="30">
        <v>45876</v>
      </c>
      <c r="B1390" s="28">
        <v>1380</v>
      </c>
      <c r="C1390" s="28"/>
      <c r="D1390" s="2" t="s">
        <v>1611</v>
      </c>
      <c r="E1390" s="7" t="s">
        <v>1707</v>
      </c>
      <c r="F1390" s="7"/>
      <c r="G1390" s="2" t="s">
        <v>97</v>
      </c>
      <c r="H1390" s="2" t="s">
        <v>627</v>
      </c>
      <c r="I1390" s="5">
        <v>14033.12</v>
      </c>
      <c r="J1390" s="57"/>
      <c r="K1390" s="3">
        <v>144</v>
      </c>
      <c r="L1390" s="2" t="s">
        <v>226</v>
      </c>
      <c r="M1390" s="2" t="s">
        <v>12</v>
      </c>
      <c r="N1390" s="2" t="s">
        <v>12</v>
      </c>
      <c r="O1390" s="2" t="s">
        <v>12</v>
      </c>
      <c r="P1390" s="21" t="s">
        <v>12</v>
      </c>
      <c r="Q1390" s="3" t="s">
        <v>1711</v>
      </c>
      <c r="R1390" s="3" t="s">
        <v>75</v>
      </c>
    </row>
    <row r="1391" spans="1:18" x14ac:dyDescent="0.25">
      <c r="A1391" s="30">
        <v>45876</v>
      </c>
      <c r="B1391" s="28">
        <v>1381</v>
      </c>
      <c r="C1391" s="28"/>
      <c r="D1391" s="2" t="s">
        <v>56</v>
      </c>
      <c r="E1391" s="7" t="s">
        <v>1708</v>
      </c>
      <c r="F1391" s="7"/>
      <c r="G1391" s="2" t="s">
        <v>43</v>
      </c>
      <c r="H1391" s="2" t="s">
        <v>58</v>
      </c>
      <c r="I1391" s="5">
        <v>21287.93</v>
      </c>
      <c r="J1391" s="57"/>
      <c r="K1391" s="3">
        <v>216</v>
      </c>
      <c r="L1391" s="2" t="s">
        <v>226</v>
      </c>
      <c r="M1391" s="2" t="s">
        <v>12</v>
      </c>
      <c r="N1391" s="2" t="s">
        <v>12</v>
      </c>
      <c r="O1391" s="2" t="s">
        <v>12</v>
      </c>
      <c r="P1391" s="21" t="s">
        <v>12</v>
      </c>
      <c r="Q1391" s="3" t="s">
        <v>1748</v>
      </c>
      <c r="R1391" s="3" t="s">
        <v>80</v>
      </c>
    </row>
    <row r="1392" spans="1:18" x14ac:dyDescent="0.25">
      <c r="A1392" s="30">
        <v>45876</v>
      </c>
      <c r="B1392" s="28">
        <v>1382</v>
      </c>
      <c r="C1392" s="28"/>
      <c r="D1392" s="2" t="s">
        <v>403</v>
      </c>
      <c r="E1392" s="7" t="s">
        <v>1709</v>
      </c>
      <c r="F1392" s="7"/>
      <c r="G1392" s="2" t="s">
        <v>43</v>
      </c>
      <c r="H1392" s="2" t="s">
        <v>405</v>
      </c>
      <c r="I1392" s="5">
        <v>2700.9</v>
      </c>
      <c r="J1392" s="57"/>
      <c r="K1392" s="3">
        <v>24</v>
      </c>
      <c r="L1392" s="2" t="s">
        <v>226</v>
      </c>
      <c r="M1392" s="2" t="s">
        <v>12</v>
      </c>
      <c r="N1392" s="2" t="s">
        <v>12</v>
      </c>
      <c r="O1392" s="2" t="s">
        <v>12</v>
      </c>
      <c r="P1392" s="21" t="s">
        <v>12</v>
      </c>
      <c r="Q1392" s="3" t="s">
        <v>12</v>
      </c>
      <c r="R1392" s="3" t="s">
        <v>12</v>
      </c>
    </row>
    <row r="1393" spans="1:19" x14ac:dyDescent="0.25">
      <c r="A1393" s="30">
        <v>45876</v>
      </c>
      <c r="B1393" s="28">
        <v>1383</v>
      </c>
      <c r="C1393" s="28"/>
      <c r="D1393" s="2" t="s">
        <v>403</v>
      </c>
      <c r="E1393" s="7" t="s">
        <v>1710</v>
      </c>
      <c r="F1393" s="7"/>
      <c r="G1393" s="2" t="s">
        <v>43</v>
      </c>
      <c r="H1393" s="2" t="s">
        <v>405</v>
      </c>
      <c r="I1393" s="5">
        <v>3082.08</v>
      </c>
      <c r="J1393" s="57"/>
      <c r="K1393" s="3">
        <v>27</v>
      </c>
      <c r="L1393" s="2" t="s">
        <v>226</v>
      </c>
      <c r="M1393" s="2" t="s">
        <v>12</v>
      </c>
      <c r="N1393" s="2" t="s">
        <v>12</v>
      </c>
      <c r="O1393" s="2" t="s">
        <v>12</v>
      </c>
      <c r="P1393" s="21" t="s">
        <v>12</v>
      </c>
      <c r="Q1393" s="3" t="s">
        <v>12</v>
      </c>
      <c r="R1393" s="3" t="s">
        <v>12</v>
      </c>
    </row>
    <row r="1394" spans="1:19" x14ac:dyDescent="0.25">
      <c r="A1394" s="30">
        <v>45876</v>
      </c>
      <c r="B1394" s="28">
        <v>1384</v>
      </c>
      <c r="C1394" s="28"/>
      <c r="D1394" s="2" t="s">
        <v>1711</v>
      </c>
      <c r="E1394" s="7" t="s">
        <v>1707</v>
      </c>
      <c r="F1394" s="7"/>
      <c r="G1394" s="2" t="s">
        <v>13</v>
      </c>
      <c r="H1394" s="2" t="s">
        <v>1712</v>
      </c>
      <c r="I1394" s="5">
        <v>12005.49</v>
      </c>
      <c r="J1394" s="57"/>
      <c r="K1394" s="3">
        <v>144</v>
      </c>
      <c r="L1394" s="2" t="s">
        <v>226</v>
      </c>
      <c r="M1394" s="2" t="s">
        <v>12</v>
      </c>
      <c r="N1394" s="2" t="s">
        <v>12</v>
      </c>
      <c r="O1394" s="2" t="s">
        <v>12</v>
      </c>
      <c r="P1394" s="21" t="s">
        <v>12</v>
      </c>
      <c r="Q1394" s="3" t="s">
        <v>1711</v>
      </c>
      <c r="R1394" s="3" t="s">
        <v>75</v>
      </c>
    </row>
    <row r="1395" spans="1:19" x14ac:dyDescent="0.25">
      <c r="A1395" s="30">
        <v>45876</v>
      </c>
      <c r="B1395" s="28">
        <v>1385</v>
      </c>
      <c r="C1395" s="28"/>
      <c r="D1395" s="2" t="s">
        <v>233</v>
      </c>
      <c r="E1395" s="7" t="s">
        <v>12</v>
      </c>
      <c r="F1395" s="7"/>
      <c r="G1395" s="2" t="s">
        <v>13</v>
      </c>
      <c r="H1395" s="2" t="s">
        <v>235</v>
      </c>
      <c r="I1395" s="5">
        <v>20372.18</v>
      </c>
      <c r="J1395" s="57"/>
      <c r="K1395" s="3">
        <v>264</v>
      </c>
      <c r="L1395" s="2" t="s">
        <v>226</v>
      </c>
      <c r="M1395" s="2" t="s">
        <v>12</v>
      </c>
      <c r="N1395" s="2" t="s">
        <v>12</v>
      </c>
      <c r="O1395" s="2" t="s">
        <v>12</v>
      </c>
      <c r="P1395" s="21" t="s">
        <v>12</v>
      </c>
      <c r="Q1395" s="3" t="s">
        <v>12</v>
      </c>
      <c r="R1395" s="3" t="s">
        <v>12</v>
      </c>
    </row>
    <row r="1396" spans="1:19" x14ac:dyDescent="0.25">
      <c r="A1396" s="30">
        <v>45877</v>
      </c>
      <c r="B1396" s="28">
        <v>1386</v>
      </c>
      <c r="C1396" s="28"/>
      <c r="D1396" s="2" t="s">
        <v>1713</v>
      </c>
      <c r="E1396" s="7" t="s">
        <v>12</v>
      </c>
      <c r="F1396" s="7"/>
      <c r="G1396" s="2" t="s">
        <v>20</v>
      </c>
      <c r="H1396" s="2" t="s">
        <v>43</v>
      </c>
      <c r="I1396" s="5">
        <v>3699.62</v>
      </c>
      <c r="J1396" s="57"/>
      <c r="K1396" s="3">
        <v>48</v>
      </c>
      <c r="L1396" s="2" t="s">
        <v>64</v>
      </c>
      <c r="M1396" s="2" t="s">
        <v>12</v>
      </c>
      <c r="N1396" s="2" t="s">
        <v>12</v>
      </c>
      <c r="O1396" s="2" t="s">
        <v>12</v>
      </c>
      <c r="P1396" s="21" t="s">
        <v>12</v>
      </c>
      <c r="Q1396" s="3" t="s">
        <v>12</v>
      </c>
      <c r="R1396" s="3" t="s">
        <v>12</v>
      </c>
      <c r="S1396" t="s">
        <v>12</v>
      </c>
    </row>
    <row r="1397" spans="1:19" x14ac:dyDescent="0.25">
      <c r="A1397" s="30">
        <v>45877</v>
      </c>
      <c r="B1397" s="28">
        <v>1387</v>
      </c>
      <c r="C1397" s="28"/>
      <c r="D1397" s="2" t="s">
        <v>1705</v>
      </c>
      <c r="E1397" s="7" t="s">
        <v>12</v>
      </c>
      <c r="F1397" s="7"/>
      <c r="G1397" s="2" t="s">
        <v>13</v>
      </c>
      <c r="H1397" s="2" t="s">
        <v>633</v>
      </c>
      <c r="I1397" s="5">
        <v>15601.95</v>
      </c>
      <c r="J1397" s="57"/>
      <c r="K1397" s="3">
        <v>192</v>
      </c>
      <c r="L1397" s="2" t="s">
        <v>226</v>
      </c>
      <c r="M1397" s="2" t="s">
        <v>12</v>
      </c>
      <c r="N1397" s="2" t="s">
        <v>12</v>
      </c>
      <c r="O1397" s="2" t="s">
        <v>12</v>
      </c>
      <c r="P1397" s="21" t="s">
        <v>12</v>
      </c>
      <c r="Q1397" s="3" t="s">
        <v>12</v>
      </c>
      <c r="R1397" s="3" t="s">
        <v>12</v>
      </c>
    </row>
    <row r="1398" spans="1:19" x14ac:dyDescent="0.25">
      <c r="A1398" s="30">
        <v>45877</v>
      </c>
      <c r="B1398" s="28">
        <v>1388</v>
      </c>
      <c r="C1398" s="28"/>
      <c r="D1398" s="2" t="s">
        <v>92</v>
      </c>
      <c r="E1398" s="7" t="s">
        <v>1714</v>
      </c>
      <c r="F1398" s="7"/>
      <c r="G1398" s="2" t="s">
        <v>26</v>
      </c>
      <c r="H1398" s="2" t="s">
        <v>15</v>
      </c>
      <c r="I1398" s="5">
        <v>6327.57</v>
      </c>
      <c r="J1398" s="57"/>
      <c r="K1398" s="3">
        <v>96</v>
      </c>
      <c r="L1398" s="2" t="s">
        <v>226</v>
      </c>
      <c r="M1398" s="2" t="s">
        <v>1806</v>
      </c>
      <c r="N1398" s="2" t="s">
        <v>12</v>
      </c>
      <c r="O1398" s="2" t="s">
        <v>12</v>
      </c>
      <c r="P1398" s="21" t="s">
        <v>12</v>
      </c>
      <c r="Q1398" s="3" t="s">
        <v>12</v>
      </c>
      <c r="R1398" s="3" t="s">
        <v>12</v>
      </c>
    </row>
    <row r="1399" spans="1:19" x14ac:dyDescent="0.25">
      <c r="A1399" s="30">
        <v>45877</v>
      </c>
      <c r="B1399" s="28">
        <v>1389</v>
      </c>
      <c r="C1399" s="28"/>
      <c r="D1399" s="2" t="s">
        <v>165</v>
      </c>
      <c r="E1399" s="7" t="s">
        <v>1715</v>
      </c>
      <c r="F1399" s="7"/>
      <c r="G1399" s="2" t="s">
        <v>97</v>
      </c>
      <c r="H1399" s="2" t="s">
        <v>167</v>
      </c>
      <c r="I1399" s="5">
        <v>63389.8</v>
      </c>
      <c r="J1399" s="57"/>
      <c r="K1399" s="3">
        <v>960</v>
      </c>
      <c r="L1399" s="2" t="s">
        <v>64</v>
      </c>
      <c r="M1399" s="2" t="s">
        <v>12</v>
      </c>
      <c r="N1399" s="2" t="s">
        <v>12</v>
      </c>
      <c r="O1399" s="2" t="s">
        <v>12</v>
      </c>
      <c r="P1399" s="21" t="s">
        <v>12</v>
      </c>
      <c r="Q1399" s="3" t="s">
        <v>12</v>
      </c>
      <c r="R1399" s="3" t="s">
        <v>12</v>
      </c>
    </row>
    <row r="1400" spans="1:19" x14ac:dyDescent="0.25">
      <c r="A1400" s="30">
        <v>45877</v>
      </c>
      <c r="B1400" s="28">
        <v>1390</v>
      </c>
      <c r="C1400" s="28"/>
      <c r="D1400" s="2" t="s">
        <v>646</v>
      </c>
      <c r="E1400" s="7" t="s">
        <v>1716</v>
      </c>
      <c r="F1400" s="7"/>
      <c r="G1400" s="2" t="s">
        <v>111</v>
      </c>
      <c r="H1400" s="2" t="s">
        <v>874</v>
      </c>
      <c r="I1400" s="5">
        <v>29938.49</v>
      </c>
      <c r="J1400" s="57"/>
      <c r="K1400" s="3">
        <v>336</v>
      </c>
      <c r="L1400" s="2" t="s">
        <v>226</v>
      </c>
      <c r="M1400" s="2" t="s">
        <v>12</v>
      </c>
      <c r="N1400" s="2" t="s">
        <v>12</v>
      </c>
      <c r="O1400" s="2" t="s">
        <v>12</v>
      </c>
      <c r="P1400" s="21" t="s">
        <v>12</v>
      </c>
      <c r="Q1400" s="3" t="s">
        <v>646</v>
      </c>
      <c r="R1400" s="3" t="s">
        <v>80</v>
      </c>
    </row>
    <row r="1401" spans="1:19" x14ac:dyDescent="0.25">
      <c r="A1401" s="30">
        <v>45877</v>
      </c>
      <c r="B1401" s="28">
        <v>1391</v>
      </c>
      <c r="C1401" s="28"/>
      <c r="D1401" s="2" t="s">
        <v>1183</v>
      </c>
      <c r="E1401" s="7" t="s">
        <v>1084</v>
      </c>
      <c r="F1401" s="7"/>
      <c r="G1401" s="2" t="s">
        <v>13</v>
      </c>
      <c r="H1401" s="2" t="s">
        <v>1498</v>
      </c>
      <c r="I1401" s="5">
        <v>81508.53</v>
      </c>
      <c r="J1401" s="57"/>
      <c r="K1401" s="3">
        <v>1032</v>
      </c>
      <c r="L1401" s="2" t="s">
        <v>64</v>
      </c>
      <c r="M1401" s="2" t="s">
        <v>12</v>
      </c>
      <c r="N1401" s="2" t="s">
        <v>12</v>
      </c>
      <c r="O1401" s="2" t="s">
        <v>12</v>
      </c>
      <c r="P1401" s="21" t="s">
        <v>12</v>
      </c>
      <c r="Q1401" s="3" t="s">
        <v>959</v>
      </c>
      <c r="R1401" s="3" t="s">
        <v>80</v>
      </c>
    </row>
    <row r="1402" spans="1:19" x14ac:dyDescent="0.25">
      <c r="A1402" s="30">
        <v>45877</v>
      </c>
      <c r="B1402" s="28">
        <v>1392</v>
      </c>
      <c r="C1402" s="28"/>
      <c r="D1402" s="2" t="s">
        <v>208</v>
      </c>
      <c r="E1402" s="7" t="s">
        <v>1708</v>
      </c>
      <c r="F1402" s="7"/>
      <c r="G1402" s="2" t="s">
        <v>43</v>
      </c>
      <c r="H1402" s="2" t="s">
        <v>1113</v>
      </c>
      <c r="I1402" s="5">
        <v>21690.19</v>
      </c>
      <c r="J1402" s="57"/>
      <c r="K1402" s="3">
        <v>216</v>
      </c>
      <c r="L1402" s="2" t="s">
        <v>226</v>
      </c>
      <c r="M1402" s="2" t="s">
        <v>12</v>
      </c>
      <c r="N1402" s="2" t="s">
        <v>12</v>
      </c>
      <c r="O1402" s="2" t="s">
        <v>12</v>
      </c>
      <c r="P1402" s="21" t="s">
        <v>12</v>
      </c>
      <c r="Q1402" s="3" t="s">
        <v>1748</v>
      </c>
      <c r="R1402" s="3" t="s">
        <v>80</v>
      </c>
    </row>
    <row r="1403" spans="1:19" x14ac:dyDescent="0.25">
      <c r="A1403" s="30">
        <v>45877</v>
      </c>
      <c r="B1403" s="28">
        <v>1393</v>
      </c>
      <c r="C1403" s="28"/>
      <c r="D1403" s="2" t="s">
        <v>496</v>
      </c>
      <c r="E1403" s="7" t="s">
        <v>12</v>
      </c>
      <c r="F1403" s="7"/>
      <c r="G1403" s="2" t="s">
        <v>13</v>
      </c>
      <c r="H1403" s="2" t="s">
        <v>13</v>
      </c>
      <c r="I1403" s="5">
        <v>1367.1</v>
      </c>
      <c r="J1403" s="57"/>
      <c r="K1403" s="3" t="s">
        <v>12</v>
      </c>
      <c r="L1403" s="2" t="s">
        <v>226</v>
      </c>
      <c r="M1403" s="2" t="s">
        <v>12</v>
      </c>
      <c r="N1403" s="2" t="s">
        <v>12</v>
      </c>
      <c r="O1403" s="2" t="s">
        <v>12</v>
      </c>
      <c r="P1403" s="21" t="s">
        <v>12</v>
      </c>
      <c r="Q1403" s="3" t="s">
        <v>12</v>
      </c>
      <c r="R1403" s="3" t="s">
        <v>12</v>
      </c>
    </row>
    <row r="1404" spans="1:19" x14ac:dyDescent="0.25">
      <c r="A1404" s="30">
        <v>45877</v>
      </c>
      <c r="B1404" s="28">
        <v>1394</v>
      </c>
      <c r="C1404" s="28"/>
      <c r="D1404" s="2" t="s">
        <v>336</v>
      </c>
      <c r="E1404" s="7" t="s">
        <v>1717</v>
      </c>
      <c r="F1404" s="7"/>
      <c r="G1404" s="2" t="s">
        <v>20</v>
      </c>
      <c r="H1404" s="2" t="s">
        <v>1153</v>
      </c>
      <c r="I1404" s="5">
        <v>49028.94</v>
      </c>
      <c r="J1404" s="57"/>
      <c r="K1404" s="3">
        <v>624</v>
      </c>
      <c r="L1404" s="2" t="s">
        <v>64</v>
      </c>
      <c r="M1404" s="2" t="s">
        <v>12</v>
      </c>
      <c r="N1404" s="2" t="s">
        <v>12</v>
      </c>
      <c r="O1404" s="2" t="s">
        <v>12</v>
      </c>
      <c r="P1404" s="21" t="s">
        <v>12</v>
      </c>
      <c r="Q1404" s="3" t="s">
        <v>959</v>
      </c>
      <c r="R1404" s="3" t="s">
        <v>80</v>
      </c>
    </row>
    <row r="1405" spans="1:19" x14ac:dyDescent="0.25">
      <c r="A1405" s="30">
        <v>45877</v>
      </c>
      <c r="B1405" s="28">
        <v>1395</v>
      </c>
      <c r="C1405" s="28"/>
      <c r="D1405" s="2" t="s">
        <v>56</v>
      </c>
      <c r="E1405" s="7" t="s">
        <v>1718</v>
      </c>
      <c r="F1405" s="7"/>
      <c r="G1405" s="2" t="s">
        <v>43</v>
      </c>
      <c r="H1405" s="2" t="s">
        <v>58</v>
      </c>
      <c r="I1405" s="5">
        <v>71213.19</v>
      </c>
      <c r="J1405" s="57"/>
      <c r="K1405" s="3">
        <v>672</v>
      </c>
      <c r="L1405" s="2" t="s">
        <v>64</v>
      </c>
      <c r="M1405" s="2" t="s">
        <v>530</v>
      </c>
      <c r="N1405" s="2" t="s">
        <v>12</v>
      </c>
      <c r="O1405" s="2" t="s">
        <v>12</v>
      </c>
      <c r="P1405" s="21" t="s">
        <v>12</v>
      </c>
      <c r="Q1405" s="3" t="s">
        <v>56</v>
      </c>
      <c r="R1405" s="3" t="s">
        <v>80</v>
      </c>
    </row>
    <row r="1406" spans="1:19" x14ac:dyDescent="0.25">
      <c r="A1406" s="30">
        <v>45880</v>
      </c>
      <c r="B1406" s="28">
        <v>1396</v>
      </c>
      <c r="C1406" s="28"/>
      <c r="D1406" s="2" t="s">
        <v>839</v>
      </c>
      <c r="E1406" s="7" t="s">
        <v>1719</v>
      </c>
      <c r="F1406" s="7"/>
      <c r="G1406" s="2" t="s">
        <v>20</v>
      </c>
      <c r="H1406" s="2" t="s">
        <v>275</v>
      </c>
      <c r="I1406" s="5">
        <v>7954.36</v>
      </c>
      <c r="J1406" s="57"/>
      <c r="K1406" s="3">
        <v>75.599999999999994</v>
      </c>
      <c r="L1406" s="2" t="s">
        <v>64</v>
      </c>
      <c r="M1406" s="2" t="s">
        <v>12</v>
      </c>
      <c r="N1406" s="2" t="s">
        <v>12</v>
      </c>
      <c r="O1406" s="2" t="s">
        <v>12</v>
      </c>
      <c r="P1406" s="21" t="s">
        <v>12</v>
      </c>
      <c r="Q1406" s="3" t="s">
        <v>12</v>
      </c>
      <c r="R1406" s="3" t="s">
        <v>12</v>
      </c>
    </row>
    <row r="1407" spans="1:19" x14ac:dyDescent="0.25">
      <c r="A1407" s="30">
        <v>45877</v>
      </c>
      <c r="B1407" s="28">
        <v>1397</v>
      </c>
      <c r="C1407" s="28"/>
      <c r="D1407" s="2" t="s">
        <v>130</v>
      </c>
      <c r="E1407" s="7" t="s">
        <v>1720</v>
      </c>
      <c r="F1407" s="7"/>
      <c r="G1407" s="2" t="s">
        <v>26</v>
      </c>
      <c r="H1407" s="2" t="s">
        <v>438</v>
      </c>
      <c r="I1407" s="5">
        <v>11513.61</v>
      </c>
      <c r="J1407" s="57"/>
      <c r="K1407" s="3">
        <v>144</v>
      </c>
      <c r="L1407" s="2" t="s">
        <v>226</v>
      </c>
      <c r="M1407" s="2" t="s">
        <v>12</v>
      </c>
      <c r="N1407" s="2" t="s">
        <v>12</v>
      </c>
      <c r="O1407" s="2" t="s">
        <v>12</v>
      </c>
      <c r="P1407" s="21" t="s">
        <v>12</v>
      </c>
      <c r="Q1407" s="3" t="s">
        <v>75</v>
      </c>
      <c r="R1407" s="3" t="s">
        <v>80</v>
      </c>
    </row>
    <row r="1408" spans="1:19" x14ac:dyDescent="0.25">
      <c r="A1408" s="30">
        <v>45877</v>
      </c>
      <c r="B1408" s="28">
        <v>1398</v>
      </c>
      <c r="C1408" s="28"/>
      <c r="D1408" s="2" t="s">
        <v>1721</v>
      </c>
      <c r="E1408" s="7" t="s">
        <v>12</v>
      </c>
      <c r="F1408" s="7"/>
      <c r="G1408" s="2" t="s">
        <v>111</v>
      </c>
      <c r="H1408" s="2" t="s">
        <v>1722</v>
      </c>
      <c r="I1408" s="5">
        <v>15230.12</v>
      </c>
      <c r="J1408" s="57"/>
      <c r="K1408" s="3">
        <v>168</v>
      </c>
      <c r="L1408" s="2" t="s">
        <v>226</v>
      </c>
      <c r="M1408" s="2" t="s">
        <v>12</v>
      </c>
      <c r="N1408" s="2" t="s">
        <v>12</v>
      </c>
      <c r="O1408" s="2" t="s">
        <v>12</v>
      </c>
      <c r="P1408" s="21" t="s">
        <v>12</v>
      </c>
      <c r="Q1408" s="3" t="s">
        <v>12</v>
      </c>
      <c r="R1408" s="3" t="s">
        <v>12</v>
      </c>
    </row>
    <row r="1409" spans="1:18" x14ac:dyDescent="0.25">
      <c r="A1409" s="30">
        <v>45880</v>
      </c>
      <c r="B1409" s="28">
        <v>1399</v>
      </c>
      <c r="C1409" s="28"/>
      <c r="D1409" s="2" t="s">
        <v>1723</v>
      </c>
      <c r="E1409" s="7" t="s">
        <v>12</v>
      </c>
      <c r="F1409" s="7"/>
      <c r="G1409" s="2" t="s">
        <v>13</v>
      </c>
      <c r="H1409" s="2" t="s">
        <v>1404</v>
      </c>
      <c r="I1409" s="5">
        <v>27318.62</v>
      </c>
      <c r="J1409" s="57"/>
      <c r="K1409" s="3">
        <v>288</v>
      </c>
      <c r="L1409" s="2" t="s">
        <v>226</v>
      </c>
      <c r="M1409" s="2" t="s">
        <v>12</v>
      </c>
      <c r="N1409" s="2" t="s">
        <v>12</v>
      </c>
      <c r="O1409" s="2" t="s">
        <v>12</v>
      </c>
      <c r="P1409" s="21" t="s">
        <v>12</v>
      </c>
      <c r="Q1409" s="3" t="s">
        <v>12</v>
      </c>
      <c r="R1409" s="3" t="s">
        <v>12</v>
      </c>
    </row>
    <row r="1410" spans="1:18" x14ac:dyDescent="0.25">
      <c r="A1410" s="30">
        <v>45880</v>
      </c>
      <c r="B1410" s="28">
        <v>1400</v>
      </c>
      <c r="C1410" s="28"/>
      <c r="D1410" s="2" t="s">
        <v>226</v>
      </c>
      <c r="E1410" s="7" t="s">
        <v>226</v>
      </c>
      <c r="F1410" s="7"/>
      <c r="G1410" s="2"/>
      <c r="H1410" s="2"/>
      <c r="I1410" s="5"/>
      <c r="J1410" s="57"/>
      <c r="K1410" s="3"/>
      <c r="L1410" s="2" t="s">
        <v>226</v>
      </c>
      <c r="M1410" s="2" t="s">
        <v>12</v>
      </c>
      <c r="N1410" s="2" t="s">
        <v>12</v>
      </c>
      <c r="O1410" s="2" t="s">
        <v>12</v>
      </c>
      <c r="P1410" s="21"/>
      <c r="Q1410" s="3" t="s">
        <v>12</v>
      </c>
      <c r="R1410" s="3" t="s">
        <v>12</v>
      </c>
    </row>
    <row r="1411" spans="1:18" x14ac:dyDescent="0.25">
      <c r="A1411" s="30">
        <v>45880</v>
      </c>
      <c r="B1411" s="28">
        <v>1401</v>
      </c>
      <c r="C1411" s="28"/>
      <c r="D1411" s="2" t="s">
        <v>128</v>
      </c>
      <c r="E1411" s="7" t="s">
        <v>1724</v>
      </c>
      <c r="F1411" s="7"/>
      <c r="G1411" s="2" t="s">
        <v>97</v>
      </c>
      <c r="H1411" s="2" t="s">
        <v>129</v>
      </c>
      <c r="I1411" s="5">
        <v>22372.92</v>
      </c>
      <c r="J1411" s="57"/>
      <c r="K1411" s="3">
        <v>240</v>
      </c>
      <c r="L1411" s="2" t="s">
        <v>226</v>
      </c>
      <c r="M1411" s="2" t="s">
        <v>12</v>
      </c>
      <c r="N1411" s="2" t="s">
        <v>12</v>
      </c>
      <c r="O1411" s="2" t="s">
        <v>12</v>
      </c>
      <c r="P1411" s="21" t="s">
        <v>12</v>
      </c>
      <c r="Q1411" s="3" t="s">
        <v>128</v>
      </c>
      <c r="R1411" s="3" t="s">
        <v>75</v>
      </c>
    </row>
    <row r="1412" spans="1:18" x14ac:dyDescent="0.25">
      <c r="A1412" s="30">
        <v>45880</v>
      </c>
      <c r="B1412" s="28">
        <v>1402</v>
      </c>
      <c r="C1412" s="28"/>
      <c r="D1412" s="2" t="s">
        <v>1725</v>
      </c>
      <c r="E1412" s="7" t="s">
        <v>12</v>
      </c>
      <c r="F1412" s="7"/>
      <c r="G1412" s="2" t="s">
        <v>13</v>
      </c>
      <c r="H1412" s="2" t="s">
        <v>502</v>
      </c>
      <c r="I1412" s="5">
        <v>5451.6</v>
      </c>
      <c r="J1412" s="57"/>
      <c r="K1412" s="3">
        <v>96</v>
      </c>
      <c r="L1412" s="2" t="s">
        <v>64</v>
      </c>
      <c r="M1412" s="2" t="s">
        <v>12</v>
      </c>
      <c r="N1412" s="2" t="s">
        <v>12</v>
      </c>
      <c r="O1412" s="2" t="s">
        <v>12</v>
      </c>
      <c r="P1412" s="21" t="s">
        <v>12</v>
      </c>
      <c r="Q1412" s="3" t="s">
        <v>12</v>
      </c>
      <c r="R1412" s="3" t="s">
        <v>12</v>
      </c>
    </row>
    <row r="1413" spans="1:18" x14ac:dyDescent="0.25">
      <c r="A1413" s="30">
        <v>45880</v>
      </c>
      <c r="B1413" s="28">
        <v>1403</v>
      </c>
      <c r="C1413" s="28"/>
      <c r="D1413" s="2" t="s">
        <v>1721</v>
      </c>
      <c r="E1413" s="7" t="s">
        <v>870</v>
      </c>
      <c r="F1413" s="7"/>
      <c r="G1413" s="2" t="s">
        <v>111</v>
      </c>
      <c r="H1413" s="2" t="s">
        <v>1726</v>
      </c>
      <c r="I1413" s="5">
        <v>152122.57</v>
      </c>
      <c r="J1413" s="57"/>
      <c r="K1413" s="3">
        <v>1896</v>
      </c>
      <c r="L1413" s="2" t="s">
        <v>226</v>
      </c>
      <c r="M1413" s="2" t="s">
        <v>12</v>
      </c>
      <c r="N1413" s="2" t="s">
        <v>12</v>
      </c>
      <c r="O1413" s="2" t="s">
        <v>12</v>
      </c>
      <c r="P1413" s="21" t="s">
        <v>12</v>
      </c>
      <c r="Q1413" s="3" t="s">
        <v>12</v>
      </c>
      <c r="R1413" s="3" t="s">
        <v>12</v>
      </c>
    </row>
    <row r="1414" spans="1:18" x14ac:dyDescent="0.25">
      <c r="A1414" s="30">
        <v>45880</v>
      </c>
      <c r="B1414" s="28">
        <v>1404</v>
      </c>
      <c r="C1414" s="28"/>
      <c r="D1414" s="2" t="s">
        <v>1615</v>
      </c>
      <c r="E1414" s="7" t="s">
        <v>12</v>
      </c>
      <c r="F1414" s="7"/>
      <c r="G1414" s="2" t="s">
        <v>13</v>
      </c>
      <c r="H1414" s="2" t="s">
        <v>467</v>
      </c>
      <c r="I1414" s="5">
        <v>543.36</v>
      </c>
      <c r="J1414" s="57"/>
      <c r="K1414" s="3" t="s">
        <v>12</v>
      </c>
      <c r="L1414" s="2" t="s">
        <v>64</v>
      </c>
      <c r="M1414" s="2" t="s">
        <v>12</v>
      </c>
      <c r="N1414" s="2" t="s">
        <v>12</v>
      </c>
      <c r="O1414" s="2" t="s">
        <v>12</v>
      </c>
      <c r="P1414" s="21" t="s">
        <v>12</v>
      </c>
      <c r="Q1414" s="3" t="s">
        <v>12</v>
      </c>
      <c r="R1414" s="3" t="s">
        <v>12</v>
      </c>
    </row>
    <row r="1415" spans="1:18" x14ac:dyDescent="0.25">
      <c r="A1415" s="30">
        <v>45882</v>
      </c>
      <c r="B1415" s="28">
        <v>1405</v>
      </c>
      <c r="C1415" s="28"/>
      <c r="D1415" s="2" t="s">
        <v>168</v>
      </c>
      <c r="E1415" s="7" t="s">
        <v>1727</v>
      </c>
      <c r="F1415" s="7"/>
      <c r="G1415" s="2" t="s">
        <v>43</v>
      </c>
      <c r="H1415" s="2" t="s">
        <v>170</v>
      </c>
      <c r="I1415" s="5">
        <v>20875.36</v>
      </c>
      <c r="J1415" s="57"/>
      <c r="K1415" s="3">
        <v>264</v>
      </c>
      <c r="L1415" s="2" t="s">
        <v>226</v>
      </c>
      <c r="M1415" s="2" t="s">
        <v>1397</v>
      </c>
      <c r="N1415" s="2" t="s">
        <v>12</v>
      </c>
      <c r="O1415" s="2" t="s">
        <v>12</v>
      </c>
      <c r="P1415" s="21" t="s">
        <v>12</v>
      </c>
      <c r="Q1415" s="3" t="s">
        <v>286</v>
      </c>
      <c r="R1415" s="3" t="s">
        <v>80</v>
      </c>
    </row>
    <row r="1416" spans="1:18" x14ac:dyDescent="0.25">
      <c r="A1416" s="30">
        <v>45880</v>
      </c>
      <c r="B1416" s="28">
        <v>1406</v>
      </c>
      <c r="C1416" s="28"/>
      <c r="D1416" s="2" t="s">
        <v>388</v>
      </c>
      <c r="E1416" s="7" t="s">
        <v>1728</v>
      </c>
      <c r="F1416" s="7"/>
      <c r="G1416" s="2" t="s">
        <v>26</v>
      </c>
      <c r="H1416" s="2" t="s">
        <v>928</v>
      </c>
      <c r="I1416" s="5">
        <v>11552.86</v>
      </c>
      <c r="J1416" s="57"/>
      <c r="K1416" s="3">
        <v>120</v>
      </c>
      <c r="L1416" s="2" t="s">
        <v>226</v>
      </c>
      <c r="M1416" s="2" t="s">
        <v>12</v>
      </c>
      <c r="N1416" s="2" t="s">
        <v>12</v>
      </c>
      <c r="O1416" s="2" t="s">
        <v>12</v>
      </c>
      <c r="P1416" s="21" t="s">
        <v>12</v>
      </c>
      <c r="Q1416" s="3" t="s">
        <v>1682</v>
      </c>
      <c r="R1416" s="3" t="s">
        <v>80</v>
      </c>
    </row>
    <row r="1417" spans="1:18" x14ac:dyDescent="0.25">
      <c r="A1417" s="30">
        <v>45880</v>
      </c>
      <c r="B1417" s="28">
        <v>1407</v>
      </c>
      <c r="C1417" s="28"/>
      <c r="D1417" s="2" t="s">
        <v>1673</v>
      </c>
      <c r="E1417" s="7" t="s">
        <v>1729</v>
      </c>
      <c r="F1417" s="7"/>
      <c r="G1417" s="2" t="s">
        <v>26</v>
      </c>
      <c r="H1417" s="2" t="s">
        <v>1540</v>
      </c>
      <c r="I1417" s="5">
        <v>12684.12</v>
      </c>
      <c r="J1417" s="57"/>
      <c r="K1417" s="3">
        <v>120</v>
      </c>
      <c r="L1417" s="2" t="s">
        <v>226</v>
      </c>
      <c r="M1417" s="2" t="s">
        <v>12</v>
      </c>
      <c r="N1417" s="2" t="s">
        <v>12</v>
      </c>
      <c r="O1417" s="2" t="s">
        <v>12</v>
      </c>
      <c r="P1417" s="21" t="s">
        <v>12</v>
      </c>
      <c r="Q1417" s="3" t="s">
        <v>1749</v>
      </c>
      <c r="R1417" s="3" t="s">
        <v>76</v>
      </c>
    </row>
    <row r="1418" spans="1:18" x14ac:dyDescent="0.25">
      <c r="A1418" s="30">
        <v>45880</v>
      </c>
      <c r="B1418" s="28">
        <v>1408</v>
      </c>
      <c r="C1418" s="28"/>
      <c r="D1418" s="2" t="s">
        <v>41</v>
      </c>
      <c r="E1418" s="7" t="s">
        <v>1730</v>
      </c>
      <c r="F1418" s="7"/>
      <c r="G1418" s="2" t="s">
        <v>43</v>
      </c>
      <c r="H1418" s="2" t="s">
        <v>43</v>
      </c>
      <c r="I1418" s="5">
        <v>190967.54</v>
      </c>
      <c r="J1418" s="57"/>
      <c r="K1418" s="3">
        <v>1752</v>
      </c>
      <c r="L1418" s="2" t="s">
        <v>226</v>
      </c>
      <c r="M1418" s="2" t="s">
        <v>12</v>
      </c>
      <c r="N1418" s="2" t="s">
        <v>12</v>
      </c>
      <c r="O1418" s="2" t="s">
        <v>12</v>
      </c>
      <c r="P1418" s="21" t="s">
        <v>12</v>
      </c>
      <c r="Q1418" s="3" t="s">
        <v>1315</v>
      </c>
      <c r="R1418" s="3" t="s">
        <v>75</v>
      </c>
    </row>
    <row r="1419" spans="1:18" x14ac:dyDescent="0.25">
      <c r="A1419" s="30">
        <v>45881</v>
      </c>
      <c r="B1419" s="28">
        <v>1409</v>
      </c>
      <c r="C1419" s="28"/>
      <c r="D1419" s="2" t="s">
        <v>403</v>
      </c>
      <c r="E1419" s="7" t="s">
        <v>1731</v>
      </c>
      <c r="F1419" s="7"/>
      <c r="G1419" s="2" t="s">
        <v>43</v>
      </c>
      <c r="H1419" s="2" t="s">
        <v>1732</v>
      </c>
      <c r="I1419" s="5">
        <v>76534.460000000006</v>
      </c>
      <c r="J1419" s="57"/>
      <c r="K1419" s="3">
        <v>792</v>
      </c>
      <c r="L1419" s="2" t="s">
        <v>64</v>
      </c>
      <c r="M1419" s="2" t="s">
        <v>530</v>
      </c>
      <c r="N1419" s="2" t="s">
        <v>12</v>
      </c>
      <c r="O1419" s="2" t="s">
        <v>12</v>
      </c>
      <c r="P1419" s="21" t="s">
        <v>12</v>
      </c>
      <c r="Q1419" s="3" t="s">
        <v>403</v>
      </c>
      <c r="R1419" s="3" t="s">
        <v>80</v>
      </c>
    </row>
    <row r="1420" spans="1:18" x14ac:dyDescent="0.25">
      <c r="A1420" s="30">
        <v>45880</v>
      </c>
      <c r="B1420" s="28">
        <v>1410</v>
      </c>
      <c r="C1420" s="28"/>
      <c r="D1420" s="2" t="s">
        <v>564</v>
      </c>
      <c r="E1420" s="7" t="s">
        <v>12</v>
      </c>
      <c r="F1420" s="7"/>
      <c r="G1420" s="2" t="s">
        <v>13</v>
      </c>
      <c r="H1420" s="2" t="s">
        <v>319</v>
      </c>
      <c r="I1420" s="5">
        <v>8431.7000000000007</v>
      </c>
      <c r="J1420" s="57"/>
      <c r="K1420" s="3">
        <v>96</v>
      </c>
      <c r="L1420" s="2" t="s">
        <v>64</v>
      </c>
      <c r="M1420" s="2" t="s">
        <v>12</v>
      </c>
      <c r="N1420" s="2" t="s">
        <v>12</v>
      </c>
      <c r="O1420" s="2" t="s">
        <v>12</v>
      </c>
      <c r="P1420" s="21" t="s">
        <v>12</v>
      </c>
      <c r="Q1420" s="3" t="s">
        <v>12</v>
      </c>
      <c r="R1420" s="3" t="s">
        <v>12</v>
      </c>
    </row>
    <row r="1421" spans="1:18" x14ac:dyDescent="0.25">
      <c r="A1421" s="30">
        <v>45881</v>
      </c>
      <c r="B1421" s="28">
        <v>1411</v>
      </c>
      <c r="C1421" s="28"/>
      <c r="D1421" s="2" t="s">
        <v>1733</v>
      </c>
      <c r="E1421" s="7" t="s">
        <v>12</v>
      </c>
      <c r="F1421" s="7"/>
      <c r="G1421" s="2" t="s">
        <v>26</v>
      </c>
      <c r="H1421" s="2" t="s">
        <v>63</v>
      </c>
      <c r="I1421" s="5">
        <v>4053.24</v>
      </c>
      <c r="J1421" s="57"/>
      <c r="K1421" s="3">
        <v>48</v>
      </c>
      <c r="L1421" s="2" t="s">
        <v>64</v>
      </c>
      <c r="M1421" s="2" t="s">
        <v>12</v>
      </c>
      <c r="N1421" s="2" t="s">
        <v>12</v>
      </c>
      <c r="O1421" s="2" t="s">
        <v>12</v>
      </c>
      <c r="P1421" s="21" t="s">
        <v>12</v>
      </c>
      <c r="Q1421" s="3" t="s">
        <v>12</v>
      </c>
      <c r="R1421" s="3" t="s">
        <v>12</v>
      </c>
    </row>
    <row r="1422" spans="1:18" x14ac:dyDescent="0.25">
      <c r="A1422" s="30">
        <v>45881</v>
      </c>
      <c r="B1422" s="28">
        <v>1412</v>
      </c>
      <c r="C1422" s="28"/>
      <c r="D1422" s="2" t="s">
        <v>1744</v>
      </c>
      <c r="E1422" s="7" t="s">
        <v>1846</v>
      </c>
      <c r="F1422" s="7"/>
      <c r="G1422" s="2" t="s">
        <v>111</v>
      </c>
      <c r="H1422" s="2" t="s">
        <v>383</v>
      </c>
      <c r="I1422" s="5">
        <v>7679.05</v>
      </c>
      <c r="J1422" s="57"/>
      <c r="K1422" s="3" t="s">
        <v>12</v>
      </c>
      <c r="L1422" s="2" t="s">
        <v>226</v>
      </c>
      <c r="M1422" s="2" t="s">
        <v>12</v>
      </c>
      <c r="N1422" s="2" t="s">
        <v>12</v>
      </c>
      <c r="O1422" s="2" t="s">
        <v>12</v>
      </c>
      <c r="P1422" s="21" t="s">
        <v>12</v>
      </c>
      <c r="Q1422" s="3" t="s">
        <v>12</v>
      </c>
      <c r="R1422" s="3" t="s">
        <v>12</v>
      </c>
    </row>
    <row r="1423" spans="1:18" x14ac:dyDescent="0.25">
      <c r="A1423" s="30">
        <v>45881</v>
      </c>
      <c r="B1423" s="28">
        <v>1413</v>
      </c>
      <c r="C1423" s="28"/>
      <c r="D1423" s="2" t="s">
        <v>909</v>
      </c>
      <c r="E1423" s="7" t="s">
        <v>1847</v>
      </c>
      <c r="F1423" s="7"/>
      <c r="G1423" s="2" t="s">
        <v>111</v>
      </c>
      <c r="H1423" s="2" t="s">
        <v>1848</v>
      </c>
      <c r="I1423" s="5">
        <v>185778.32</v>
      </c>
      <c r="J1423" s="57"/>
      <c r="K1423" s="3" t="s">
        <v>12</v>
      </c>
      <c r="L1423" s="2" t="s">
        <v>226</v>
      </c>
      <c r="M1423" s="2" t="s">
        <v>2075</v>
      </c>
      <c r="N1423" s="2" t="s">
        <v>12</v>
      </c>
      <c r="O1423" s="2" t="s">
        <v>12</v>
      </c>
      <c r="P1423" s="21" t="s">
        <v>12</v>
      </c>
      <c r="Q1423" s="3" t="s">
        <v>12</v>
      </c>
      <c r="R1423" s="3" t="s">
        <v>12</v>
      </c>
    </row>
    <row r="1424" spans="1:18" x14ac:dyDescent="0.25">
      <c r="A1424" s="30">
        <v>45881</v>
      </c>
      <c r="B1424" s="28">
        <v>1414</v>
      </c>
      <c r="C1424" s="28"/>
      <c r="D1424" s="2" t="s">
        <v>124</v>
      </c>
      <c r="E1424" s="7" t="s">
        <v>1734</v>
      </c>
      <c r="F1424" s="7"/>
      <c r="G1424" s="2" t="s">
        <v>20</v>
      </c>
      <c r="H1424" s="2" t="s">
        <v>112</v>
      </c>
      <c r="I1424" s="5">
        <v>28393.72</v>
      </c>
      <c r="J1424" s="57"/>
      <c r="K1424" s="3">
        <v>312</v>
      </c>
      <c r="L1424" s="2" t="s">
        <v>226</v>
      </c>
      <c r="M1424" s="2" t="s">
        <v>2438</v>
      </c>
      <c r="N1424" s="2" t="s">
        <v>12</v>
      </c>
      <c r="O1424" s="2" t="s">
        <v>12</v>
      </c>
      <c r="P1424" s="21" t="s">
        <v>12</v>
      </c>
      <c r="Q1424" s="3" t="s">
        <v>1471</v>
      </c>
      <c r="R1424" s="3" t="s">
        <v>75</v>
      </c>
    </row>
    <row r="1425" spans="1:18" x14ac:dyDescent="0.25">
      <c r="A1425" s="30">
        <v>45882</v>
      </c>
      <c r="B1425" s="28">
        <v>1415</v>
      </c>
      <c r="C1425" s="28"/>
      <c r="D1425" s="2" t="s">
        <v>273</v>
      </c>
      <c r="E1425" s="7" t="s">
        <v>12</v>
      </c>
      <c r="F1425" s="7"/>
      <c r="G1425" s="2" t="s">
        <v>26</v>
      </c>
      <c r="H1425" s="2" t="s">
        <v>116</v>
      </c>
      <c r="I1425" s="5">
        <v>14180.67</v>
      </c>
      <c r="J1425" s="57"/>
      <c r="K1425" s="3">
        <v>216</v>
      </c>
      <c r="L1425" s="2" t="s">
        <v>64</v>
      </c>
      <c r="M1425" s="2" t="s">
        <v>12</v>
      </c>
      <c r="N1425" s="2" t="s">
        <v>12</v>
      </c>
      <c r="O1425" s="2" t="s">
        <v>12</v>
      </c>
      <c r="P1425" s="21" t="s">
        <v>12</v>
      </c>
      <c r="Q1425" s="3" t="s">
        <v>12</v>
      </c>
      <c r="R1425" s="3" t="s">
        <v>12</v>
      </c>
    </row>
    <row r="1426" spans="1:18" x14ac:dyDescent="0.25">
      <c r="A1426" s="30">
        <v>45881</v>
      </c>
      <c r="B1426" s="28">
        <v>1416</v>
      </c>
      <c r="C1426" s="28"/>
      <c r="D1426" s="2" t="s">
        <v>1328</v>
      </c>
      <c r="E1426" s="7" t="s">
        <v>1735</v>
      </c>
      <c r="F1426" s="7"/>
      <c r="G1426" s="2" t="s">
        <v>13</v>
      </c>
      <c r="H1426" s="2" t="s">
        <v>43</v>
      </c>
      <c r="I1426" s="5">
        <v>5498.67</v>
      </c>
      <c r="J1426" s="57"/>
      <c r="K1426" s="3">
        <v>48</v>
      </c>
      <c r="L1426" s="2" t="s">
        <v>64</v>
      </c>
      <c r="M1426" s="2" t="s">
        <v>12</v>
      </c>
      <c r="N1426" s="2" t="s">
        <v>12</v>
      </c>
      <c r="O1426" s="2" t="s">
        <v>12</v>
      </c>
      <c r="P1426" s="21" t="s">
        <v>12</v>
      </c>
      <c r="Q1426" s="3" t="s">
        <v>1750</v>
      </c>
      <c r="R1426" s="3" t="s">
        <v>75</v>
      </c>
    </row>
    <row r="1427" spans="1:18" x14ac:dyDescent="0.25">
      <c r="A1427" s="30">
        <v>45882</v>
      </c>
      <c r="B1427" s="28">
        <v>1417</v>
      </c>
      <c r="C1427" s="28"/>
      <c r="D1427" s="2" t="s">
        <v>1705</v>
      </c>
      <c r="E1427" s="7" t="s">
        <v>12</v>
      </c>
      <c r="F1427" s="7"/>
      <c r="G1427" s="2" t="s">
        <v>13</v>
      </c>
      <c r="H1427" s="2" t="s">
        <v>633</v>
      </c>
      <c r="I1427" s="5">
        <v>16722.66</v>
      </c>
      <c r="J1427" s="57"/>
      <c r="K1427" s="3">
        <v>216</v>
      </c>
      <c r="L1427" s="2" t="s">
        <v>64</v>
      </c>
      <c r="M1427" s="2" t="s">
        <v>12</v>
      </c>
      <c r="N1427" s="2" t="s">
        <v>12</v>
      </c>
      <c r="O1427" s="2" t="s">
        <v>12</v>
      </c>
      <c r="P1427" s="21" t="s">
        <v>12</v>
      </c>
      <c r="Q1427" s="3" t="s">
        <v>12</v>
      </c>
      <c r="R1427" s="3" t="s">
        <v>12</v>
      </c>
    </row>
    <row r="1428" spans="1:18" x14ac:dyDescent="0.25">
      <c r="A1428" s="30">
        <v>45882</v>
      </c>
      <c r="B1428" s="28">
        <v>1418</v>
      </c>
      <c r="C1428" s="28"/>
      <c r="D1428" s="2" t="s">
        <v>124</v>
      </c>
      <c r="E1428" s="7" t="s">
        <v>1736</v>
      </c>
      <c r="F1428" s="7"/>
      <c r="G1428" s="2" t="s">
        <v>20</v>
      </c>
      <c r="H1428" s="2" t="s">
        <v>112</v>
      </c>
      <c r="I1428" s="5">
        <v>50602.63</v>
      </c>
      <c r="J1428" s="57"/>
      <c r="K1428" s="3">
        <v>672</v>
      </c>
      <c r="L1428" s="2" t="s">
        <v>226</v>
      </c>
      <c r="M1428" s="2" t="s">
        <v>667</v>
      </c>
      <c r="N1428" s="2" t="s">
        <v>12</v>
      </c>
      <c r="O1428" s="2" t="s">
        <v>12</v>
      </c>
      <c r="P1428" s="21" t="s">
        <v>12</v>
      </c>
      <c r="Q1428" s="3" t="s">
        <v>12</v>
      </c>
      <c r="R1428" s="3" t="s">
        <v>12</v>
      </c>
    </row>
    <row r="1429" spans="1:18" x14ac:dyDescent="0.25">
      <c r="A1429" s="30">
        <v>45882</v>
      </c>
      <c r="B1429" s="28">
        <v>1419</v>
      </c>
      <c r="C1429" s="28"/>
      <c r="D1429" s="2" t="s">
        <v>1737</v>
      </c>
      <c r="E1429" s="7" t="s">
        <v>12</v>
      </c>
      <c r="F1429" s="7"/>
      <c r="G1429" s="2" t="s">
        <v>26</v>
      </c>
      <c r="H1429" s="2" t="s">
        <v>291</v>
      </c>
      <c r="I1429" s="5">
        <v>43773.24</v>
      </c>
      <c r="J1429" s="57"/>
      <c r="K1429" s="3">
        <v>480</v>
      </c>
      <c r="L1429" s="2" t="s">
        <v>134</v>
      </c>
      <c r="M1429" s="2" t="s">
        <v>1850</v>
      </c>
      <c r="N1429" s="2" t="s">
        <v>1851</v>
      </c>
      <c r="O1429" s="2" t="s">
        <v>1852</v>
      </c>
      <c r="P1429" s="21" t="s">
        <v>12</v>
      </c>
      <c r="Q1429" s="3" t="s">
        <v>12</v>
      </c>
      <c r="R1429" s="3" t="s">
        <v>12</v>
      </c>
    </row>
    <row r="1430" spans="1:18" x14ac:dyDescent="0.25">
      <c r="A1430" s="30">
        <v>45882</v>
      </c>
      <c r="B1430" s="28">
        <v>1420</v>
      </c>
      <c r="C1430" s="28"/>
      <c r="D1430" s="2" t="s">
        <v>87</v>
      </c>
      <c r="E1430" s="7" t="s">
        <v>1738</v>
      </c>
      <c r="F1430" s="7"/>
      <c r="G1430" s="2" t="s">
        <v>13</v>
      </c>
      <c r="H1430" s="2" t="s">
        <v>185</v>
      </c>
      <c r="I1430" s="5">
        <v>56245.43</v>
      </c>
      <c r="J1430" s="57"/>
      <c r="K1430" s="3">
        <v>624</v>
      </c>
      <c r="L1430" s="2" t="s">
        <v>64</v>
      </c>
      <c r="M1430" s="2" t="s">
        <v>12</v>
      </c>
      <c r="N1430" s="2" t="s">
        <v>12</v>
      </c>
      <c r="O1430" s="2" t="s">
        <v>12</v>
      </c>
      <c r="P1430" s="21" t="s">
        <v>12</v>
      </c>
      <c r="Q1430" s="3" t="s">
        <v>1751</v>
      </c>
      <c r="R1430" s="3" t="s">
        <v>80</v>
      </c>
    </row>
    <row r="1431" spans="1:18" x14ac:dyDescent="0.25">
      <c r="A1431" s="30">
        <v>45882</v>
      </c>
      <c r="B1431" s="28">
        <v>1421</v>
      </c>
      <c r="C1431" s="28"/>
      <c r="D1431" s="2" t="s">
        <v>87</v>
      </c>
      <c r="E1431" s="7" t="s">
        <v>1739</v>
      </c>
      <c r="F1431" s="7"/>
      <c r="G1431" s="2" t="s">
        <v>13</v>
      </c>
      <c r="H1431" s="2" t="s">
        <v>185</v>
      </c>
      <c r="I1431" s="5">
        <v>148607.22</v>
      </c>
      <c r="J1431" s="57"/>
      <c r="K1431" s="3">
        <v>1536</v>
      </c>
      <c r="L1431" s="2" t="s">
        <v>64</v>
      </c>
      <c r="M1431" s="2" t="s">
        <v>12</v>
      </c>
      <c r="N1431" s="2" t="s">
        <v>12</v>
      </c>
      <c r="O1431" s="2" t="s">
        <v>12</v>
      </c>
      <c r="P1431" s="21" t="s">
        <v>12</v>
      </c>
      <c r="Q1431" s="3" t="s">
        <v>1751</v>
      </c>
      <c r="R1431" s="3" t="s">
        <v>80</v>
      </c>
    </row>
    <row r="1432" spans="1:18" x14ac:dyDescent="0.25">
      <c r="A1432" s="30">
        <v>45882</v>
      </c>
      <c r="B1432" s="28">
        <v>1422</v>
      </c>
      <c r="C1432" s="28"/>
      <c r="D1432" s="2" t="s">
        <v>1740</v>
      </c>
      <c r="E1432" s="7" t="s">
        <v>1741</v>
      </c>
      <c r="F1432" s="7"/>
      <c r="G1432" s="2" t="s">
        <v>97</v>
      </c>
      <c r="H1432" s="2" t="s">
        <v>1742</v>
      </c>
      <c r="I1432" s="5">
        <v>18286.63</v>
      </c>
      <c r="J1432" s="57"/>
      <c r="K1432" s="3">
        <v>288</v>
      </c>
      <c r="L1432" s="2" t="s">
        <v>64</v>
      </c>
      <c r="M1432" s="2" t="s">
        <v>530</v>
      </c>
      <c r="N1432" s="2" t="s">
        <v>12</v>
      </c>
      <c r="O1432" s="2" t="s">
        <v>12</v>
      </c>
      <c r="P1432" s="21" t="s">
        <v>12</v>
      </c>
      <c r="Q1432" s="3" t="s">
        <v>12</v>
      </c>
      <c r="R1432" s="3" t="s">
        <v>12</v>
      </c>
    </row>
    <row r="1433" spans="1:18" x14ac:dyDescent="0.25">
      <c r="A1433" s="30">
        <v>45882</v>
      </c>
      <c r="B1433" s="28">
        <v>1423</v>
      </c>
      <c r="C1433" s="28"/>
      <c r="D1433" s="2" t="s">
        <v>168</v>
      </c>
      <c r="E1433" s="7" t="s">
        <v>1517</v>
      </c>
      <c r="F1433" s="7"/>
      <c r="G1433" s="2" t="s">
        <v>43</v>
      </c>
      <c r="H1433" s="2" t="s">
        <v>375</v>
      </c>
      <c r="I1433" s="5">
        <v>11766.67</v>
      </c>
      <c r="J1433" s="57"/>
      <c r="K1433" s="3" t="s">
        <v>12</v>
      </c>
      <c r="L1433" s="2" t="s">
        <v>64</v>
      </c>
      <c r="M1433" s="2" t="s">
        <v>12</v>
      </c>
      <c r="N1433" s="2" t="s">
        <v>12</v>
      </c>
      <c r="O1433" s="2" t="s">
        <v>12</v>
      </c>
      <c r="P1433" s="21" t="s">
        <v>12</v>
      </c>
      <c r="Q1433" s="3" t="s">
        <v>12</v>
      </c>
      <c r="R1433" s="3" t="s">
        <v>12</v>
      </c>
    </row>
    <row r="1434" spans="1:18" x14ac:dyDescent="0.25">
      <c r="A1434" s="30">
        <v>45882</v>
      </c>
      <c r="B1434" s="28">
        <v>1424</v>
      </c>
      <c r="C1434" s="28"/>
      <c r="D1434" s="2" t="s">
        <v>637</v>
      </c>
      <c r="E1434" s="7" t="s">
        <v>1227</v>
      </c>
      <c r="F1434" s="7"/>
      <c r="G1434" s="2" t="s">
        <v>13</v>
      </c>
      <c r="H1434" s="2" t="s">
        <v>15</v>
      </c>
      <c r="I1434" s="5">
        <v>49041.11</v>
      </c>
      <c r="J1434" s="57"/>
      <c r="K1434" s="3">
        <v>504</v>
      </c>
      <c r="L1434" s="2" t="s">
        <v>226</v>
      </c>
      <c r="M1434" s="2" t="s">
        <v>12</v>
      </c>
      <c r="N1434" s="2" t="s">
        <v>12</v>
      </c>
      <c r="O1434" s="2" t="s">
        <v>12</v>
      </c>
      <c r="P1434" s="21" t="s">
        <v>12</v>
      </c>
      <c r="Q1434" s="3" t="s">
        <v>78</v>
      </c>
      <c r="R1434" s="3" t="s">
        <v>80</v>
      </c>
    </row>
    <row r="1435" spans="1:18" x14ac:dyDescent="0.25">
      <c r="A1435" s="30">
        <v>45882</v>
      </c>
      <c r="B1435" s="28">
        <v>1425</v>
      </c>
      <c r="C1435" s="28"/>
      <c r="D1435" s="2" t="s">
        <v>894</v>
      </c>
      <c r="E1435" s="7" t="s">
        <v>1743</v>
      </c>
      <c r="F1435" s="7"/>
      <c r="G1435" s="2" t="s">
        <v>13</v>
      </c>
      <c r="H1435" s="2" t="s">
        <v>119</v>
      </c>
      <c r="I1435" s="5">
        <v>72562.179999999993</v>
      </c>
      <c r="J1435" s="57"/>
      <c r="K1435" s="3">
        <v>1008</v>
      </c>
      <c r="L1435" s="2" t="s">
        <v>226</v>
      </c>
      <c r="M1435" s="2" t="s">
        <v>12</v>
      </c>
      <c r="N1435" s="2" t="s">
        <v>12</v>
      </c>
      <c r="O1435" s="2" t="s">
        <v>12</v>
      </c>
      <c r="P1435" s="21" t="s">
        <v>12</v>
      </c>
      <c r="Q1435" s="3" t="s">
        <v>1752</v>
      </c>
      <c r="R1435" s="3" t="s">
        <v>80</v>
      </c>
    </row>
    <row r="1436" spans="1:18" x14ac:dyDescent="0.25">
      <c r="A1436" s="30">
        <v>45882</v>
      </c>
      <c r="B1436" s="28">
        <v>1426</v>
      </c>
      <c r="C1436" s="28"/>
      <c r="D1436" s="2" t="s">
        <v>137</v>
      </c>
      <c r="E1436" s="7" t="s">
        <v>1508</v>
      </c>
      <c r="F1436" s="7"/>
      <c r="G1436" s="2" t="s">
        <v>26</v>
      </c>
      <c r="H1436" s="2" t="s">
        <v>98</v>
      </c>
      <c r="I1436" s="5">
        <v>60000</v>
      </c>
      <c r="J1436" s="57"/>
      <c r="K1436" s="3">
        <v>648</v>
      </c>
      <c r="L1436" s="2" t="s">
        <v>64</v>
      </c>
      <c r="M1436" s="2" t="s">
        <v>12</v>
      </c>
      <c r="N1436" s="2" t="s">
        <v>12</v>
      </c>
      <c r="O1436" s="2" t="s">
        <v>12</v>
      </c>
      <c r="P1436" s="21" t="s">
        <v>12</v>
      </c>
      <c r="Q1436" s="3" t="s">
        <v>1753</v>
      </c>
      <c r="R1436" s="3" t="s">
        <v>75</v>
      </c>
    </row>
    <row r="1437" spans="1:18" x14ac:dyDescent="0.25">
      <c r="A1437" s="30">
        <v>45882</v>
      </c>
      <c r="B1437" s="28">
        <v>1427</v>
      </c>
      <c r="C1437" s="28"/>
      <c r="D1437" s="2" t="s">
        <v>233</v>
      </c>
      <c r="E1437" s="7" t="s">
        <v>12</v>
      </c>
      <c r="F1437" s="7"/>
      <c r="G1437" s="2" t="s">
        <v>13</v>
      </c>
      <c r="H1437" s="2" t="s">
        <v>235</v>
      </c>
      <c r="I1437" s="5">
        <v>3528.55</v>
      </c>
      <c r="J1437" s="57"/>
      <c r="K1437" s="3">
        <v>48</v>
      </c>
      <c r="L1437" s="2" t="s">
        <v>226</v>
      </c>
      <c r="M1437" s="2" t="s">
        <v>12</v>
      </c>
      <c r="N1437" s="2" t="s">
        <v>12</v>
      </c>
      <c r="O1437" s="2" t="s">
        <v>12</v>
      </c>
      <c r="P1437" s="21" t="s">
        <v>12</v>
      </c>
      <c r="Q1437" s="3" t="s">
        <v>12</v>
      </c>
      <c r="R1437" s="3" t="s">
        <v>12</v>
      </c>
    </row>
    <row r="1438" spans="1:18" x14ac:dyDescent="0.25">
      <c r="A1438" s="30">
        <v>45883</v>
      </c>
      <c r="B1438" s="28">
        <v>1428</v>
      </c>
      <c r="C1438" s="28"/>
      <c r="D1438" s="2" t="s">
        <v>233</v>
      </c>
      <c r="E1438" s="7" t="s">
        <v>12</v>
      </c>
      <c r="F1438" s="7"/>
      <c r="G1438" s="2" t="s">
        <v>13</v>
      </c>
      <c r="H1438" s="2" t="s">
        <v>235</v>
      </c>
      <c r="I1438" s="5">
        <v>13373.12</v>
      </c>
      <c r="J1438" s="57"/>
      <c r="K1438" s="3">
        <v>192</v>
      </c>
      <c r="L1438" s="2" t="s">
        <v>226</v>
      </c>
      <c r="M1438" s="2" t="s">
        <v>12</v>
      </c>
      <c r="N1438" s="2" t="s">
        <v>12</v>
      </c>
      <c r="O1438" s="2" t="s">
        <v>12</v>
      </c>
      <c r="P1438" s="21" t="s">
        <v>12</v>
      </c>
      <c r="Q1438" s="3" t="s">
        <v>12</v>
      </c>
      <c r="R1438" s="3" t="s">
        <v>12</v>
      </c>
    </row>
    <row r="1439" spans="1:18" x14ac:dyDescent="0.25">
      <c r="A1439" s="30">
        <v>45883</v>
      </c>
      <c r="B1439" s="28">
        <v>1429</v>
      </c>
      <c r="C1439" s="28"/>
      <c r="D1439" s="2" t="s">
        <v>1596</v>
      </c>
      <c r="E1439" s="7" t="s">
        <v>12</v>
      </c>
      <c r="F1439" s="7"/>
      <c r="G1439" s="2" t="s">
        <v>43</v>
      </c>
      <c r="H1439" s="2" t="s">
        <v>1597</v>
      </c>
      <c r="I1439" s="5">
        <v>37922.25</v>
      </c>
      <c r="J1439" s="57"/>
      <c r="K1439" s="3">
        <v>480</v>
      </c>
      <c r="L1439" s="2" t="s">
        <v>64</v>
      </c>
      <c r="M1439" s="2" t="s">
        <v>12</v>
      </c>
      <c r="N1439" s="2" t="s">
        <v>12</v>
      </c>
      <c r="O1439" s="2" t="s">
        <v>12</v>
      </c>
      <c r="P1439" s="21" t="s">
        <v>12</v>
      </c>
      <c r="Q1439" s="3" t="s">
        <v>12</v>
      </c>
      <c r="R1439" s="3" t="s">
        <v>12</v>
      </c>
    </row>
    <row r="1440" spans="1:18" x14ac:dyDescent="0.25">
      <c r="A1440" s="30">
        <v>45883</v>
      </c>
      <c r="B1440" s="28">
        <v>1430</v>
      </c>
      <c r="C1440" s="28"/>
      <c r="D1440" s="2" t="s">
        <v>388</v>
      </c>
      <c r="E1440" s="7" t="s">
        <v>1756</v>
      </c>
      <c r="F1440" s="7"/>
      <c r="G1440" s="2" t="s">
        <v>26</v>
      </c>
      <c r="H1440" s="2" t="s">
        <v>928</v>
      </c>
      <c r="I1440" s="5">
        <v>18176.39</v>
      </c>
      <c r="J1440" s="57"/>
      <c r="K1440" s="3">
        <v>192</v>
      </c>
      <c r="L1440" s="2" t="s">
        <v>226</v>
      </c>
      <c r="M1440" s="2" t="s">
        <v>12</v>
      </c>
      <c r="N1440" s="2" t="s">
        <v>12</v>
      </c>
      <c r="O1440" s="2" t="s">
        <v>12</v>
      </c>
      <c r="P1440" s="21" t="s">
        <v>12</v>
      </c>
      <c r="Q1440" s="3" t="s">
        <v>1748</v>
      </c>
      <c r="R1440" s="3" t="s">
        <v>80</v>
      </c>
    </row>
    <row r="1441" spans="1:18" x14ac:dyDescent="0.25">
      <c r="A1441" s="30">
        <v>45883</v>
      </c>
      <c r="B1441" s="28">
        <v>1431</v>
      </c>
      <c r="C1441" s="28"/>
      <c r="D1441" s="2" t="s">
        <v>137</v>
      </c>
      <c r="E1441" s="7" t="s">
        <v>1757</v>
      </c>
      <c r="F1441" s="7"/>
      <c r="G1441" s="2" t="s">
        <v>26</v>
      </c>
      <c r="H1441" s="2" t="s">
        <v>317</v>
      </c>
      <c r="I1441" s="5">
        <v>186880.53</v>
      </c>
      <c r="J1441" s="57"/>
      <c r="K1441" s="3">
        <v>1946.4</v>
      </c>
      <c r="L1441" s="2" t="s">
        <v>226</v>
      </c>
      <c r="M1441" s="2" t="s">
        <v>12</v>
      </c>
      <c r="N1441" s="2" t="s">
        <v>12</v>
      </c>
      <c r="O1441" s="2" t="s">
        <v>12</v>
      </c>
      <c r="P1441" s="21" t="s">
        <v>12</v>
      </c>
      <c r="Q1441" s="3" t="s">
        <v>78</v>
      </c>
      <c r="R1441" s="3" t="s">
        <v>1647</v>
      </c>
    </row>
    <row r="1442" spans="1:18" x14ac:dyDescent="0.25">
      <c r="A1442" s="30">
        <v>45883</v>
      </c>
      <c r="B1442" s="28">
        <v>1432</v>
      </c>
      <c r="C1442" s="28"/>
      <c r="D1442" s="2" t="s">
        <v>87</v>
      </c>
      <c r="E1442" s="7" t="s">
        <v>1758</v>
      </c>
      <c r="F1442" s="7"/>
      <c r="G1442" s="2" t="s">
        <v>13</v>
      </c>
      <c r="H1442" s="2" t="s">
        <v>185</v>
      </c>
      <c r="I1442" s="5">
        <v>323707.68</v>
      </c>
      <c r="J1442" s="57"/>
      <c r="K1442" s="3">
        <v>3408</v>
      </c>
      <c r="L1442" s="2" t="s">
        <v>226</v>
      </c>
      <c r="M1442" s="2" t="s">
        <v>12</v>
      </c>
      <c r="N1442" s="2" t="s">
        <v>12</v>
      </c>
      <c r="O1442" s="2" t="s">
        <v>12</v>
      </c>
      <c r="P1442" s="21" t="s">
        <v>12</v>
      </c>
      <c r="Q1442" s="3" t="s">
        <v>78</v>
      </c>
      <c r="R1442" s="3" t="s">
        <v>80</v>
      </c>
    </row>
    <row r="1443" spans="1:18" x14ac:dyDescent="0.25">
      <c r="A1443" s="30">
        <v>45883</v>
      </c>
      <c r="B1443" s="28">
        <v>1433</v>
      </c>
      <c r="C1443" s="28"/>
      <c r="D1443" s="2" t="s">
        <v>41</v>
      </c>
      <c r="E1443" s="7" t="s">
        <v>1759</v>
      </c>
      <c r="F1443" s="7"/>
      <c r="G1443" s="2" t="s">
        <v>43</v>
      </c>
      <c r="H1443" s="2" t="s">
        <v>319</v>
      </c>
      <c r="I1443" s="5">
        <v>467713.25</v>
      </c>
      <c r="J1443" s="57"/>
      <c r="K1443" s="3">
        <v>3960</v>
      </c>
      <c r="L1443" s="2" t="s">
        <v>226</v>
      </c>
      <c r="M1443" s="2" t="s">
        <v>12</v>
      </c>
      <c r="N1443" s="2" t="s">
        <v>12</v>
      </c>
      <c r="O1443" s="2" t="s">
        <v>12</v>
      </c>
      <c r="P1443" s="21" t="s">
        <v>12</v>
      </c>
      <c r="Q1443" s="3" t="s">
        <v>456</v>
      </c>
      <c r="R1443" s="3" t="s">
        <v>80</v>
      </c>
    </row>
    <row r="1444" spans="1:18" x14ac:dyDescent="0.25">
      <c r="A1444" s="30">
        <v>45938</v>
      </c>
      <c r="B1444" s="28">
        <v>1434</v>
      </c>
      <c r="C1444" s="28"/>
      <c r="D1444" s="2" t="s">
        <v>646</v>
      </c>
      <c r="E1444" s="7" t="s">
        <v>1760</v>
      </c>
      <c r="F1444" s="7"/>
      <c r="G1444" s="2" t="s">
        <v>111</v>
      </c>
      <c r="H1444" s="2" t="s">
        <v>1761</v>
      </c>
      <c r="I1444" s="5">
        <v>41096.26</v>
      </c>
      <c r="J1444" s="57"/>
      <c r="K1444" s="3">
        <v>432</v>
      </c>
      <c r="L1444" s="2" t="s">
        <v>134</v>
      </c>
      <c r="M1444" s="2" t="s">
        <v>1531</v>
      </c>
      <c r="N1444" s="2" t="s">
        <v>12</v>
      </c>
      <c r="O1444" s="2" t="s">
        <v>12</v>
      </c>
      <c r="P1444" s="21" t="s">
        <v>12</v>
      </c>
      <c r="Q1444" s="3" t="s">
        <v>12</v>
      </c>
      <c r="R1444" s="3" t="s">
        <v>12</v>
      </c>
    </row>
    <row r="1445" spans="1:18" x14ac:dyDescent="0.25">
      <c r="A1445" s="30">
        <v>45884</v>
      </c>
      <c r="B1445" s="28">
        <v>1435</v>
      </c>
      <c r="C1445" s="28"/>
      <c r="D1445" s="2" t="s">
        <v>109</v>
      </c>
      <c r="E1445" s="7" t="s">
        <v>1762</v>
      </c>
      <c r="F1445" s="7"/>
      <c r="G1445" s="2" t="s">
        <v>111</v>
      </c>
      <c r="H1445" s="2" t="s">
        <v>1763</v>
      </c>
      <c r="I1445" s="5">
        <v>27866.41</v>
      </c>
      <c r="J1445" s="57"/>
      <c r="K1445" s="3">
        <v>288</v>
      </c>
      <c r="L1445" s="2" t="s">
        <v>226</v>
      </c>
      <c r="M1445" s="2" t="s">
        <v>12</v>
      </c>
      <c r="N1445" s="2" t="s">
        <v>12</v>
      </c>
      <c r="O1445" s="2" t="s">
        <v>12</v>
      </c>
      <c r="P1445" s="21" t="s">
        <v>12</v>
      </c>
      <c r="Q1445" s="3" t="s">
        <v>12</v>
      </c>
      <c r="R1445" s="3" t="s">
        <v>12</v>
      </c>
    </row>
    <row r="1446" spans="1:18" x14ac:dyDescent="0.25">
      <c r="A1446" s="30">
        <v>45887</v>
      </c>
      <c r="B1446" s="28">
        <v>1436</v>
      </c>
      <c r="C1446" s="28"/>
      <c r="D1446" s="2" t="s">
        <v>1446</v>
      </c>
      <c r="E1446" s="7" t="s">
        <v>1764</v>
      </c>
      <c r="F1446" s="7"/>
      <c r="G1446" s="2" t="s">
        <v>43</v>
      </c>
      <c r="H1446" s="2" t="s">
        <v>1448</v>
      </c>
      <c r="I1446" s="5">
        <v>8831.9599999999991</v>
      </c>
      <c r="J1446" s="57"/>
      <c r="K1446" s="3">
        <v>72</v>
      </c>
      <c r="L1446" s="2" t="s">
        <v>64</v>
      </c>
      <c r="M1446" s="2" t="s">
        <v>12</v>
      </c>
      <c r="N1446" s="2" t="s">
        <v>12</v>
      </c>
      <c r="O1446" s="2" t="s">
        <v>12</v>
      </c>
      <c r="P1446" s="21" t="s">
        <v>12</v>
      </c>
      <c r="Q1446" s="3" t="s">
        <v>12</v>
      </c>
      <c r="R1446" s="3" t="s">
        <v>12</v>
      </c>
    </row>
    <row r="1447" spans="1:18" x14ac:dyDescent="0.25">
      <c r="A1447" s="30">
        <v>45883</v>
      </c>
      <c r="B1447" s="28">
        <v>1437</v>
      </c>
      <c r="C1447" s="28"/>
      <c r="D1447" s="2" t="s">
        <v>256</v>
      </c>
      <c r="E1447" s="7" t="s">
        <v>1765</v>
      </c>
      <c r="F1447" s="7"/>
      <c r="G1447" s="2" t="s">
        <v>20</v>
      </c>
      <c r="H1447" s="2" t="s">
        <v>948</v>
      </c>
      <c r="I1447" s="5">
        <v>46502.07</v>
      </c>
      <c r="J1447" s="57"/>
      <c r="K1447" s="3">
        <v>528</v>
      </c>
      <c r="L1447" s="2" t="s">
        <v>226</v>
      </c>
      <c r="M1447" s="2" t="s">
        <v>12</v>
      </c>
      <c r="N1447" s="2" t="s">
        <v>12</v>
      </c>
      <c r="O1447" s="2" t="s">
        <v>12</v>
      </c>
      <c r="P1447" s="21" t="s">
        <v>12</v>
      </c>
      <c r="Q1447" s="3" t="s">
        <v>1795</v>
      </c>
      <c r="R1447" s="3" t="s">
        <v>75</v>
      </c>
    </row>
    <row r="1448" spans="1:18" x14ac:dyDescent="0.25">
      <c r="A1448" s="30">
        <v>45884</v>
      </c>
      <c r="B1448" s="28">
        <v>1438</v>
      </c>
      <c r="C1448" s="28"/>
      <c r="D1448" s="2" t="s">
        <v>388</v>
      </c>
      <c r="E1448" s="7" t="s">
        <v>1766</v>
      </c>
      <c r="F1448" s="7"/>
      <c r="G1448" s="2" t="s">
        <v>26</v>
      </c>
      <c r="H1448" s="2" t="s">
        <v>928</v>
      </c>
      <c r="I1448" s="5">
        <v>26743.74</v>
      </c>
      <c r="J1448" s="57"/>
      <c r="K1448" s="3">
        <v>288</v>
      </c>
      <c r="L1448" s="2" t="s">
        <v>226</v>
      </c>
      <c r="M1448" s="2" t="s">
        <v>12</v>
      </c>
      <c r="N1448" s="2" t="s">
        <v>12</v>
      </c>
      <c r="O1448" s="2" t="s">
        <v>12</v>
      </c>
      <c r="P1448" s="21" t="s">
        <v>12</v>
      </c>
      <c r="Q1448" s="3" t="s">
        <v>1796</v>
      </c>
      <c r="R1448" s="3" t="s">
        <v>80</v>
      </c>
    </row>
    <row r="1449" spans="1:18" x14ac:dyDescent="0.25">
      <c r="A1449" s="30">
        <v>45884</v>
      </c>
      <c r="B1449" s="28">
        <v>1439</v>
      </c>
      <c r="C1449" s="28"/>
      <c r="D1449" s="2" t="s">
        <v>1767</v>
      </c>
      <c r="E1449" s="7" t="s">
        <v>1768</v>
      </c>
      <c r="F1449" s="7"/>
      <c r="G1449" s="2" t="s">
        <v>97</v>
      </c>
      <c r="H1449" s="2" t="s">
        <v>1769</v>
      </c>
      <c r="I1449" s="5">
        <v>53780.93</v>
      </c>
      <c r="J1449" s="57"/>
      <c r="K1449" s="3">
        <v>552</v>
      </c>
      <c r="L1449" s="2" t="s">
        <v>226</v>
      </c>
      <c r="M1449" s="2" t="s">
        <v>1531</v>
      </c>
      <c r="N1449" s="2" t="s">
        <v>12</v>
      </c>
      <c r="O1449" s="2" t="s">
        <v>12</v>
      </c>
      <c r="P1449" s="21" t="s">
        <v>12</v>
      </c>
      <c r="Q1449" s="3" t="s">
        <v>286</v>
      </c>
      <c r="R1449" s="3" t="s">
        <v>75</v>
      </c>
    </row>
    <row r="1450" spans="1:18" x14ac:dyDescent="0.25">
      <c r="A1450" s="30">
        <v>45887</v>
      </c>
      <c r="B1450" s="28">
        <v>1440</v>
      </c>
      <c r="C1450" s="28"/>
      <c r="D1450" s="2" t="s">
        <v>256</v>
      </c>
      <c r="E1450" s="7" t="s">
        <v>12</v>
      </c>
      <c r="F1450" s="7"/>
      <c r="G1450" s="2" t="s">
        <v>20</v>
      </c>
      <c r="H1450" s="2" t="s">
        <v>257</v>
      </c>
      <c r="I1450" s="5">
        <v>965.15</v>
      </c>
      <c r="J1450" s="57"/>
      <c r="K1450" s="3" t="s">
        <v>12</v>
      </c>
      <c r="L1450" s="2" t="s">
        <v>64</v>
      </c>
      <c r="M1450" s="2" t="s">
        <v>12</v>
      </c>
      <c r="N1450" s="2" t="s">
        <v>12</v>
      </c>
      <c r="O1450" s="2" t="s">
        <v>12</v>
      </c>
      <c r="P1450" s="21" t="s">
        <v>12</v>
      </c>
      <c r="Q1450" s="3" t="s">
        <v>12</v>
      </c>
      <c r="R1450" s="3" t="s">
        <v>12</v>
      </c>
    </row>
    <row r="1451" spans="1:18" x14ac:dyDescent="0.25">
      <c r="A1451" s="30">
        <v>45884</v>
      </c>
      <c r="B1451" s="28">
        <v>1441</v>
      </c>
      <c r="C1451" s="28"/>
      <c r="D1451" s="2" t="s">
        <v>1770</v>
      </c>
      <c r="E1451" s="7" t="s">
        <v>1771</v>
      </c>
      <c r="F1451" s="7"/>
      <c r="G1451" s="2" t="s">
        <v>13</v>
      </c>
      <c r="H1451" s="2" t="s">
        <v>1772</v>
      </c>
      <c r="I1451" s="5">
        <v>27234.9</v>
      </c>
      <c r="J1451" s="57"/>
      <c r="K1451" s="3">
        <v>264</v>
      </c>
      <c r="L1451" s="2" t="s">
        <v>226</v>
      </c>
      <c r="M1451" s="2" t="s">
        <v>12</v>
      </c>
      <c r="N1451" s="2" t="s">
        <v>12</v>
      </c>
      <c r="O1451" s="2" t="s">
        <v>12</v>
      </c>
      <c r="P1451" s="21" t="s">
        <v>12</v>
      </c>
      <c r="Q1451" s="3" t="s">
        <v>1797</v>
      </c>
      <c r="R1451" s="3" t="s">
        <v>1065</v>
      </c>
    </row>
    <row r="1452" spans="1:18" x14ac:dyDescent="0.25">
      <c r="A1452" s="30">
        <v>45884</v>
      </c>
      <c r="B1452" s="28">
        <v>1442</v>
      </c>
      <c r="C1452" s="28"/>
      <c r="D1452" s="2" t="s">
        <v>102</v>
      </c>
      <c r="E1452" s="7" t="s">
        <v>12</v>
      </c>
      <c r="F1452" s="7"/>
      <c r="G1452" s="2" t="s">
        <v>13</v>
      </c>
      <c r="H1452" s="2" t="s">
        <v>55</v>
      </c>
      <c r="I1452" s="5">
        <v>3618.29</v>
      </c>
      <c r="J1452" s="57"/>
      <c r="K1452" s="3">
        <v>48</v>
      </c>
      <c r="L1452" s="2" t="s">
        <v>226</v>
      </c>
      <c r="M1452" s="2" t="s">
        <v>1803</v>
      </c>
      <c r="N1452" s="2" t="s">
        <v>12</v>
      </c>
      <c r="O1452" s="2" t="s">
        <v>12</v>
      </c>
      <c r="P1452" s="21" t="s">
        <v>12</v>
      </c>
      <c r="Q1452" s="3" t="s">
        <v>12</v>
      </c>
      <c r="R1452" s="3" t="s">
        <v>12</v>
      </c>
    </row>
    <row r="1453" spans="1:18" x14ac:dyDescent="0.25">
      <c r="A1453" s="30">
        <v>45884</v>
      </c>
      <c r="B1453" s="28">
        <v>1443</v>
      </c>
      <c r="C1453" s="28"/>
      <c r="D1453" s="2" t="s">
        <v>87</v>
      </c>
      <c r="E1453" s="7" t="s">
        <v>1773</v>
      </c>
      <c r="F1453" s="7"/>
      <c r="G1453" s="2" t="s">
        <v>13</v>
      </c>
      <c r="H1453" s="2" t="s">
        <v>185</v>
      </c>
      <c r="I1453" s="5">
        <v>191600.04</v>
      </c>
      <c r="J1453" s="57"/>
      <c r="K1453" s="3">
        <v>2016</v>
      </c>
      <c r="L1453" s="2" t="s">
        <v>64</v>
      </c>
      <c r="M1453" s="2" t="s">
        <v>12</v>
      </c>
      <c r="N1453" s="2" t="s">
        <v>12</v>
      </c>
      <c r="O1453" s="2" t="s">
        <v>12</v>
      </c>
      <c r="P1453" s="21" t="s">
        <v>12</v>
      </c>
      <c r="Q1453" s="3" t="s">
        <v>78</v>
      </c>
      <c r="R1453" s="3" t="s">
        <v>80</v>
      </c>
    </row>
    <row r="1454" spans="1:18" x14ac:dyDescent="0.25">
      <c r="A1454" s="30">
        <v>45884</v>
      </c>
      <c r="B1454" s="28">
        <v>1444</v>
      </c>
      <c r="C1454" s="28"/>
      <c r="D1454" s="2" t="s">
        <v>1774</v>
      </c>
      <c r="E1454" s="7" t="s">
        <v>12</v>
      </c>
      <c r="F1454" s="7"/>
      <c r="G1454" s="2" t="s">
        <v>13</v>
      </c>
      <c r="H1454" s="2" t="s">
        <v>98</v>
      </c>
      <c r="I1454" s="5">
        <v>8518.4599999999991</v>
      </c>
      <c r="J1454" s="57"/>
      <c r="K1454" s="3">
        <v>48</v>
      </c>
      <c r="L1454" s="2" t="s">
        <v>226</v>
      </c>
      <c r="M1454" s="2" t="s">
        <v>12</v>
      </c>
      <c r="N1454" s="2" t="s">
        <v>12</v>
      </c>
      <c r="O1454" s="2" t="s">
        <v>12</v>
      </c>
      <c r="P1454" s="21" t="s">
        <v>12</v>
      </c>
      <c r="Q1454" s="3" t="s">
        <v>12</v>
      </c>
      <c r="R1454" s="3" t="s">
        <v>12</v>
      </c>
    </row>
    <row r="1455" spans="1:18" x14ac:dyDescent="0.25">
      <c r="A1455" s="30">
        <v>45884</v>
      </c>
      <c r="B1455" s="28">
        <v>1445</v>
      </c>
      <c r="C1455" s="28"/>
      <c r="D1455" s="2" t="s">
        <v>62</v>
      </c>
      <c r="E1455" s="7" t="s">
        <v>12</v>
      </c>
      <c r="F1455" s="7"/>
      <c r="G1455" s="2" t="s">
        <v>26</v>
      </c>
      <c r="H1455" s="2" t="s">
        <v>63</v>
      </c>
      <c r="I1455" s="5">
        <v>6623.28</v>
      </c>
      <c r="J1455" s="57"/>
      <c r="K1455" s="3">
        <v>96</v>
      </c>
      <c r="L1455" s="2" t="s">
        <v>64</v>
      </c>
      <c r="M1455" s="2" t="s">
        <v>12</v>
      </c>
      <c r="N1455" s="2" t="s">
        <v>12</v>
      </c>
      <c r="O1455" s="2" t="s">
        <v>12</v>
      </c>
      <c r="P1455" s="21" t="s">
        <v>12</v>
      </c>
      <c r="Q1455" s="3" t="s">
        <v>12</v>
      </c>
      <c r="R1455" s="3" t="s">
        <v>12</v>
      </c>
    </row>
    <row r="1456" spans="1:18" x14ac:dyDescent="0.25">
      <c r="A1456" s="30">
        <v>45887</v>
      </c>
      <c r="B1456" s="28">
        <v>1446</v>
      </c>
      <c r="C1456" s="28"/>
      <c r="D1456" s="2" t="s">
        <v>1705</v>
      </c>
      <c r="E1456" s="7" t="s">
        <v>1775</v>
      </c>
      <c r="F1456" s="7"/>
      <c r="G1456" s="2" t="s">
        <v>13</v>
      </c>
      <c r="H1456" s="2" t="s">
        <v>633</v>
      </c>
      <c r="I1456" s="5">
        <v>23236.67</v>
      </c>
      <c r="J1456" s="57"/>
      <c r="K1456" s="3">
        <v>216</v>
      </c>
      <c r="L1456" s="2" t="s">
        <v>226</v>
      </c>
      <c r="M1456" s="2" t="s">
        <v>12</v>
      </c>
      <c r="N1456" s="2" t="s">
        <v>12</v>
      </c>
      <c r="O1456" s="2" t="s">
        <v>12</v>
      </c>
      <c r="P1456" s="21" t="s">
        <v>12</v>
      </c>
      <c r="Q1456" s="3" t="s">
        <v>12</v>
      </c>
      <c r="R1456" s="3" t="s">
        <v>12</v>
      </c>
    </row>
    <row r="1457" spans="1:18" x14ac:dyDescent="0.25">
      <c r="A1457" s="30">
        <v>45887</v>
      </c>
      <c r="B1457" s="28">
        <v>1447</v>
      </c>
      <c r="C1457" s="28"/>
      <c r="D1457" s="2" t="s">
        <v>276</v>
      </c>
      <c r="E1457" s="7" t="s">
        <v>1776</v>
      </c>
      <c r="F1457" s="7"/>
      <c r="G1457" s="2" t="s">
        <v>43</v>
      </c>
      <c r="H1457" s="2" t="s">
        <v>108</v>
      </c>
      <c r="I1457" s="5">
        <v>102357.04</v>
      </c>
      <c r="J1457" s="57"/>
      <c r="K1457" s="3">
        <v>1128</v>
      </c>
      <c r="L1457" s="2" t="s">
        <v>226</v>
      </c>
      <c r="M1457" s="2" t="s">
        <v>12</v>
      </c>
      <c r="N1457" s="2" t="s">
        <v>12</v>
      </c>
      <c r="O1457" s="2" t="s">
        <v>12</v>
      </c>
      <c r="P1457" s="21" t="s">
        <v>12</v>
      </c>
      <c r="Q1457" s="3" t="s">
        <v>133</v>
      </c>
      <c r="R1457" s="3" t="s">
        <v>80</v>
      </c>
    </row>
    <row r="1458" spans="1:18" x14ac:dyDescent="0.25">
      <c r="A1458" s="30">
        <v>45887</v>
      </c>
      <c r="B1458" s="28">
        <v>1448</v>
      </c>
      <c r="C1458" s="28"/>
      <c r="D1458" s="2" t="s">
        <v>1711</v>
      </c>
      <c r="E1458" s="7" t="s">
        <v>12</v>
      </c>
      <c r="F1458" s="7"/>
      <c r="G1458" s="2" t="s">
        <v>13</v>
      </c>
      <c r="H1458" s="2" t="s">
        <v>1712</v>
      </c>
      <c r="I1458" s="5">
        <v>1606.62</v>
      </c>
      <c r="J1458" s="57"/>
      <c r="K1458" s="3" t="s">
        <v>12</v>
      </c>
      <c r="L1458" s="2" t="s">
        <v>64</v>
      </c>
      <c r="M1458" s="2" t="s">
        <v>12</v>
      </c>
      <c r="N1458" s="2" t="s">
        <v>12</v>
      </c>
      <c r="O1458" s="2" t="s">
        <v>12</v>
      </c>
      <c r="P1458" s="21" t="s">
        <v>12</v>
      </c>
      <c r="Q1458" s="3" t="s">
        <v>12</v>
      </c>
      <c r="R1458" s="3" t="s">
        <v>12</v>
      </c>
    </row>
    <row r="1459" spans="1:18" x14ac:dyDescent="0.25">
      <c r="A1459" s="30">
        <v>45888</v>
      </c>
      <c r="B1459" s="28">
        <v>1449</v>
      </c>
      <c r="C1459" s="28"/>
      <c r="D1459" s="2" t="s">
        <v>1484</v>
      </c>
      <c r="E1459" s="7" t="s">
        <v>1777</v>
      </c>
      <c r="F1459" s="7"/>
      <c r="G1459" s="2" t="s">
        <v>20</v>
      </c>
      <c r="H1459" s="2" t="s">
        <v>827</v>
      </c>
      <c r="I1459" s="5">
        <v>71112.22</v>
      </c>
      <c r="J1459" s="57"/>
      <c r="K1459" s="3">
        <v>816</v>
      </c>
      <c r="L1459" s="2" t="s">
        <v>64</v>
      </c>
      <c r="M1459" s="2" t="s">
        <v>12</v>
      </c>
      <c r="N1459" s="2" t="s">
        <v>12</v>
      </c>
      <c r="O1459" s="2" t="s">
        <v>12</v>
      </c>
      <c r="P1459" s="21" t="s">
        <v>12</v>
      </c>
      <c r="Q1459" s="3" t="s">
        <v>12</v>
      </c>
      <c r="R1459" s="3" t="s">
        <v>12</v>
      </c>
    </row>
    <row r="1460" spans="1:18" x14ac:dyDescent="0.25">
      <c r="A1460" s="30">
        <v>45887</v>
      </c>
      <c r="B1460" s="28">
        <v>1450</v>
      </c>
      <c r="C1460" s="28"/>
      <c r="D1460" s="2" t="s">
        <v>87</v>
      </c>
      <c r="E1460" s="7" t="s">
        <v>1757</v>
      </c>
      <c r="F1460" s="7"/>
      <c r="G1460" s="2" t="s">
        <v>13</v>
      </c>
      <c r="H1460" s="2" t="s">
        <v>185</v>
      </c>
      <c r="I1460" s="5">
        <v>188689.68</v>
      </c>
      <c r="J1460" s="57"/>
      <c r="K1460" s="3">
        <v>1970.4</v>
      </c>
      <c r="L1460" s="2" t="s">
        <v>226</v>
      </c>
      <c r="M1460" s="2" t="s">
        <v>12</v>
      </c>
      <c r="N1460" s="2" t="s">
        <v>12</v>
      </c>
      <c r="O1460" s="2" t="s">
        <v>12</v>
      </c>
      <c r="P1460" s="21" t="s">
        <v>12</v>
      </c>
      <c r="Q1460" s="3" t="s">
        <v>1751</v>
      </c>
      <c r="R1460" s="3" t="s">
        <v>80</v>
      </c>
    </row>
    <row r="1461" spans="1:18" x14ac:dyDescent="0.25">
      <c r="A1461" s="30">
        <v>45887</v>
      </c>
      <c r="B1461" s="28">
        <v>1451</v>
      </c>
      <c r="C1461" s="28"/>
      <c r="D1461" s="2" t="s">
        <v>41</v>
      </c>
      <c r="E1461" s="7" t="s">
        <v>1757</v>
      </c>
      <c r="F1461" s="7"/>
      <c r="G1461" s="2" t="s">
        <v>43</v>
      </c>
      <c r="H1461" s="2" t="s">
        <v>417</v>
      </c>
      <c r="I1461" s="5">
        <v>186880.53</v>
      </c>
      <c r="J1461" s="57"/>
      <c r="K1461" s="3">
        <v>1946.4</v>
      </c>
      <c r="L1461" s="2" t="s">
        <v>226</v>
      </c>
      <c r="M1461" s="2" t="s">
        <v>12</v>
      </c>
      <c r="N1461" s="2" t="s">
        <v>12</v>
      </c>
      <c r="O1461" s="2" t="s">
        <v>12</v>
      </c>
      <c r="P1461" s="21" t="s">
        <v>12</v>
      </c>
      <c r="Q1461" s="3" t="s">
        <v>1751</v>
      </c>
      <c r="R1461" s="3" t="s">
        <v>80</v>
      </c>
    </row>
    <row r="1462" spans="1:18" x14ac:dyDescent="0.25">
      <c r="A1462" s="30">
        <v>45887</v>
      </c>
      <c r="B1462" s="28">
        <v>1452</v>
      </c>
      <c r="C1462" s="28"/>
      <c r="D1462" s="2" t="s">
        <v>109</v>
      </c>
      <c r="E1462" s="7" t="s">
        <v>1778</v>
      </c>
      <c r="F1462" s="7"/>
      <c r="G1462" s="2" t="s">
        <v>111</v>
      </c>
      <c r="H1462" s="2" t="s">
        <v>346</v>
      </c>
      <c r="I1462" s="5">
        <v>6354.55</v>
      </c>
      <c r="J1462" s="57"/>
      <c r="K1462" s="3">
        <v>48</v>
      </c>
      <c r="L1462" s="2" t="s">
        <v>226</v>
      </c>
      <c r="M1462" s="2" t="s">
        <v>12</v>
      </c>
      <c r="N1462" s="2" t="s">
        <v>12</v>
      </c>
      <c r="O1462" s="2" t="s">
        <v>12</v>
      </c>
      <c r="P1462" s="21" t="s">
        <v>12</v>
      </c>
      <c r="Q1462" s="3" t="s">
        <v>12</v>
      </c>
      <c r="R1462" s="3" t="s">
        <v>12</v>
      </c>
    </row>
    <row r="1463" spans="1:18" x14ac:dyDescent="0.25">
      <c r="A1463" s="30">
        <v>45887</v>
      </c>
      <c r="B1463" s="28">
        <v>1453</v>
      </c>
      <c r="C1463" s="28"/>
      <c r="D1463" s="2" t="s">
        <v>41</v>
      </c>
      <c r="E1463" s="7" t="s">
        <v>1779</v>
      </c>
      <c r="F1463" s="7"/>
      <c r="G1463" s="2" t="s">
        <v>43</v>
      </c>
      <c r="H1463" s="2" t="s">
        <v>339</v>
      </c>
      <c r="I1463" s="5">
        <v>59093.279999999999</v>
      </c>
      <c r="J1463" s="57"/>
      <c r="K1463" s="3">
        <v>768</v>
      </c>
      <c r="L1463" s="2" t="s">
        <v>226</v>
      </c>
      <c r="M1463" s="2" t="s">
        <v>12</v>
      </c>
      <c r="N1463" s="2" t="s">
        <v>12</v>
      </c>
      <c r="O1463" s="2" t="s">
        <v>12</v>
      </c>
      <c r="P1463" s="21" t="s">
        <v>12</v>
      </c>
      <c r="Q1463" s="3" t="s">
        <v>12</v>
      </c>
      <c r="R1463" s="3" t="s">
        <v>12</v>
      </c>
    </row>
    <row r="1464" spans="1:18" x14ac:dyDescent="0.25">
      <c r="A1464" s="30">
        <v>45888</v>
      </c>
      <c r="B1464" s="28">
        <v>1454</v>
      </c>
      <c r="C1464" s="28"/>
      <c r="D1464" s="2" t="s">
        <v>1780</v>
      </c>
      <c r="E1464" s="7" t="s">
        <v>12</v>
      </c>
      <c r="F1464" s="7"/>
      <c r="G1464" s="2" t="s">
        <v>13</v>
      </c>
      <c r="H1464" s="2" t="s">
        <v>1781</v>
      </c>
      <c r="I1464" s="5">
        <v>72446.539999999994</v>
      </c>
      <c r="J1464" s="57"/>
      <c r="K1464" s="3">
        <v>960</v>
      </c>
      <c r="L1464" s="2" t="s">
        <v>226</v>
      </c>
      <c r="M1464" s="2" t="s">
        <v>12</v>
      </c>
      <c r="N1464" s="2" t="s">
        <v>12</v>
      </c>
      <c r="O1464" s="2" t="s">
        <v>12</v>
      </c>
      <c r="P1464" s="21" t="s">
        <v>12</v>
      </c>
      <c r="Q1464" s="3" t="s">
        <v>12</v>
      </c>
      <c r="R1464" s="3" t="s">
        <v>12</v>
      </c>
    </row>
    <row r="1465" spans="1:18" x14ac:dyDescent="0.25">
      <c r="A1465" s="30">
        <v>45888</v>
      </c>
      <c r="B1465" s="28">
        <v>1455</v>
      </c>
      <c r="C1465" s="28"/>
      <c r="D1465" s="2" t="s">
        <v>557</v>
      </c>
      <c r="E1465" s="7" t="s">
        <v>1782</v>
      </c>
      <c r="F1465" s="7"/>
      <c r="G1465" s="2" t="s">
        <v>20</v>
      </c>
      <c r="H1465" s="2" t="s">
        <v>471</v>
      </c>
      <c r="I1465" s="5">
        <v>138719.54</v>
      </c>
      <c r="J1465" s="57"/>
      <c r="K1465" s="3">
        <v>1248</v>
      </c>
      <c r="L1465" s="2" t="s">
        <v>226</v>
      </c>
      <c r="M1465" s="2" t="s">
        <v>2578</v>
      </c>
      <c r="N1465" s="2" t="s">
        <v>12</v>
      </c>
      <c r="O1465" s="2" t="s">
        <v>12</v>
      </c>
      <c r="P1465" s="21" t="s">
        <v>12</v>
      </c>
      <c r="Q1465" s="3" t="s">
        <v>1798</v>
      </c>
      <c r="R1465" s="3" t="s">
        <v>1799</v>
      </c>
    </row>
    <row r="1466" spans="1:18" x14ac:dyDescent="0.25">
      <c r="A1466" s="30">
        <v>45888</v>
      </c>
      <c r="B1466" s="28">
        <v>1456</v>
      </c>
      <c r="C1466" s="28"/>
      <c r="D1466" s="2" t="s">
        <v>173</v>
      </c>
      <c r="E1466" s="7" t="s">
        <v>1978</v>
      </c>
      <c r="F1466" s="7"/>
      <c r="G1466" s="2" t="s">
        <v>97</v>
      </c>
      <c r="H1466" s="2" t="s">
        <v>175</v>
      </c>
      <c r="I1466" s="5">
        <v>113406.55</v>
      </c>
      <c r="J1466" s="57"/>
      <c r="K1466" s="3">
        <v>1104</v>
      </c>
      <c r="L1466" s="2" t="s">
        <v>226</v>
      </c>
      <c r="M1466" s="2" t="s">
        <v>12</v>
      </c>
      <c r="N1466" s="2" t="s">
        <v>12</v>
      </c>
      <c r="O1466" s="2" t="s">
        <v>12</v>
      </c>
      <c r="P1466" s="21" t="s">
        <v>12</v>
      </c>
      <c r="Q1466" s="3" t="s">
        <v>12</v>
      </c>
      <c r="R1466" s="3" t="s">
        <v>12</v>
      </c>
    </row>
    <row r="1467" spans="1:18" x14ac:dyDescent="0.25">
      <c r="A1467" s="30">
        <v>45888</v>
      </c>
      <c r="B1467" s="28">
        <v>1457</v>
      </c>
      <c r="C1467" s="28"/>
      <c r="D1467" s="2" t="s">
        <v>109</v>
      </c>
      <c r="E1467" s="7" t="s">
        <v>1783</v>
      </c>
      <c r="F1467" s="7"/>
      <c r="G1467" s="2" t="s">
        <v>111</v>
      </c>
      <c r="H1467" s="2" t="s">
        <v>1763</v>
      </c>
      <c r="I1467" s="5">
        <v>7744.87</v>
      </c>
      <c r="J1467" s="57"/>
      <c r="K1467" s="3">
        <v>48</v>
      </c>
      <c r="L1467" s="2" t="s">
        <v>226</v>
      </c>
      <c r="M1467" s="2" t="s">
        <v>12</v>
      </c>
      <c r="N1467" s="2" t="s">
        <v>12</v>
      </c>
      <c r="O1467" s="2" t="s">
        <v>12</v>
      </c>
      <c r="P1467" s="21" t="s">
        <v>12</v>
      </c>
      <c r="Q1467" s="3" t="s">
        <v>12</v>
      </c>
      <c r="R1467" s="3" t="s">
        <v>12</v>
      </c>
    </row>
    <row r="1468" spans="1:18" x14ac:dyDescent="0.25">
      <c r="A1468" s="30">
        <v>45888</v>
      </c>
      <c r="B1468" s="28">
        <v>1458</v>
      </c>
      <c r="C1468" s="28"/>
      <c r="D1468" s="2" t="s">
        <v>601</v>
      </c>
      <c r="E1468" s="7" t="s">
        <v>12</v>
      </c>
      <c r="F1468" s="7"/>
      <c r="G1468" s="2" t="s">
        <v>13</v>
      </c>
      <c r="H1468" s="2" t="s">
        <v>55</v>
      </c>
      <c r="I1468" s="5">
        <v>7236.59</v>
      </c>
      <c r="J1468" s="57"/>
      <c r="K1468" s="3">
        <v>96</v>
      </c>
      <c r="L1468" s="2" t="s">
        <v>226</v>
      </c>
      <c r="M1468" s="2" t="s">
        <v>12</v>
      </c>
      <c r="N1468" s="2" t="s">
        <v>12</v>
      </c>
      <c r="O1468" s="2" t="s">
        <v>12</v>
      </c>
      <c r="P1468" s="21" t="s">
        <v>12</v>
      </c>
      <c r="Q1468" s="3" t="s">
        <v>12</v>
      </c>
      <c r="R1468" s="3" t="s">
        <v>12</v>
      </c>
    </row>
    <row r="1469" spans="1:18" x14ac:dyDescent="0.25">
      <c r="A1469" s="30">
        <v>45888</v>
      </c>
      <c r="B1469" s="28">
        <v>1459</v>
      </c>
      <c r="C1469" s="28"/>
      <c r="D1469" s="2" t="s">
        <v>1076</v>
      </c>
      <c r="E1469" s="7" t="s">
        <v>1784</v>
      </c>
      <c r="F1469" s="7"/>
      <c r="G1469" s="2" t="s">
        <v>13</v>
      </c>
      <c r="H1469" s="2" t="s">
        <v>1785</v>
      </c>
      <c r="I1469" s="5">
        <v>4903.57</v>
      </c>
      <c r="J1469" s="57"/>
      <c r="K1469" s="3">
        <v>48</v>
      </c>
      <c r="L1469" s="2" t="s">
        <v>226</v>
      </c>
      <c r="M1469" s="2" t="s">
        <v>12</v>
      </c>
      <c r="N1469" s="2" t="s">
        <v>12</v>
      </c>
      <c r="O1469" s="2" t="s">
        <v>12</v>
      </c>
      <c r="P1469" s="21" t="s">
        <v>12</v>
      </c>
      <c r="Q1469" s="3" t="s">
        <v>1800</v>
      </c>
      <c r="R1469" s="3" t="s">
        <v>80</v>
      </c>
    </row>
    <row r="1470" spans="1:18" x14ac:dyDescent="0.25">
      <c r="A1470" s="30">
        <v>45888</v>
      </c>
      <c r="B1470" s="28">
        <v>1460</v>
      </c>
      <c r="C1470" s="28"/>
      <c r="D1470" s="2" t="s">
        <v>130</v>
      </c>
      <c r="E1470" s="7" t="s">
        <v>1786</v>
      </c>
      <c r="F1470" s="7"/>
      <c r="G1470" s="2" t="s">
        <v>26</v>
      </c>
      <c r="H1470" s="2" t="s">
        <v>438</v>
      </c>
      <c r="I1470" s="5">
        <v>26740.16</v>
      </c>
      <c r="J1470" s="57"/>
      <c r="K1470" s="3">
        <v>336</v>
      </c>
      <c r="L1470" s="2" t="s">
        <v>226</v>
      </c>
      <c r="M1470" s="2" t="s">
        <v>12</v>
      </c>
      <c r="N1470" s="2" t="s">
        <v>12</v>
      </c>
      <c r="O1470" s="2" t="s">
        <v>12</v>
      </c>
      <c r="P1470" s="21" t="s">
        <v>12</v>
      </c>
      <c r="Q1470" s="3" t="s">
        <v>1801</v>
      </c>
      <c r="R1470" s="3" t="s">
        <v>222</v>
      </c>
    </row>
    <row r="1471" spans="1:18" x14ac:dyDescent="0.25">
      <c r="A1471" s="30">
        <v>45888</v>
      </c>
      <c r="B1471" s="28">
        <v>1461</v>
      </c>
      <c r="C1471" s="28"/>
      <c r="D1471" s="2" t="s">
        <v>516</v>
      </c>
      <c r="E1471" s="7" t="s">
        <v>1787</v>
      </c>
      <c r="F1471" s="7"/>
      <c r="G1471" s="2" t="s">
        <v>111</v>
      </c>
      <c r="H1471" s="2" t="s">
        <v>1171</v>
      </c>
      <c r="I1471" s="5">
        <v>4100.1099999999997</v>
      </c>
      <c r="J1471" s="57"/>
      <c r="K1471" s="3">
        <v>48</v>
      </c>
      <c r="L1471" s="2" t="s">
        <v>64</v>
      </c>
      <c r="M1471" s="2" t="s">
        <v>12</v>
      </c>
      <c r="N1471" s="2" t="s">
        <v>12</v>
      </c>
      <c r="O1471" s="2" t="s">
        <v>12</v>
      </c>
      <c r="P1471" s="21" t="s">
        <v>12</v>
      </c>
      <c r="Q1471" s="3" t="s">
        <v>12</v>
      </c>
      <c r="R1471" s="3" t="s">
        <v>12</v>
      </c>
    </row>
    <row r="1472" spans="1:18" x14ac:dyDescent="0.25">
      <c r="A1472" s="30">
        <v>45888</v>
      </c>
      <c r="B1472" s="28">
        <v>1462</v>
      </c>
      <c r="C1472" s="28"/>
      <c r="D1472" s="2" t="s">
        <v>1673</v>
      </c>
      <c r="E1472" s="7" t="s">
        <v>1788</v>
      </c>
      <c r="F1472" s="7"/>
      <c r="G1472" s="2" t="s">
        <v>26</v>
      </c>
      <c r="H1472" s="2" t="s">
        <v>1540</v>
      </c>
      <c r="I1472" s="5">
        <v>13806.78</v>
      </c>
      <c r="J1472" s="57"/>
      <c r="K1472" s="3">
        <v>144</v>
      </c>
      <c r="L1472" s="2" t="s">
        <v>226</v>
      </c>
      <c r="M1472" s="2" t="s">
        <v>12</v>
      </c>
      <c r="N1472" s="2" t="s">
        <v>12</v>
      </c>
      <c r="O1472" s="2" t="s">
        <v>12</v>
      </c>
      <c r="P1472" s="21" t="s">
        <v>12</v>
      </c>
      <c r="Q1472" s="3" t="s">
        <v>1681</v>
      </c>
      <c r="R1472" s="3" t="s">
        <v>222</v>
      </c>
    </row>
    <row r="1473" spans="1:18" x14ac:dyDescent="0.25">
      <c r="A1473" s="30">
        <v>45888</v>
      </c>
      <c r="B1473" s="28">
        <v>1463</v>
      </c>
      <c r="C1473" s="28"/>
      <c r="D1473" s="2" t="s">
        <v>1446</v>
      </c>
      <c r="E1473" s="7" t="s">
        <v>1789</v>
      </c>
      <c r="F1473" s="7"/>
      <c r="G1473" s="2" t="s">
        <v>43</v>
      </c>
      <c r="H1473" s="2" t="s">
        <v>1448</v>
      </c>
      <c r="I1473" s="5">
        <v>12634.63</v>
      </c>
      <c r="J1473" s="57"/>
      <c r="K1473" s="3">
        <v>120</v>
      </c>
      <c r="L1473" s="2" t="s">
        <v>226</v>
      </c>
      <c r="M1473" s="2" t="s">
        <v>12</v>
      </c>
      <c r="N1473" s="2" t="s">
        <v>12</v>
      </c>
      <c r="O1473" s="2" t="s">
        <v>12</v>
      </c>
      <c r="P1473" s="21" t="s">
        <v>12</v>
      </c>
      <c r="Q1473" s="3" t="s">
        <v>12</v>
      </c>
      <c r="R1473" s="3" t="s">
        <v>12</v>
      </c>
    </row>
    <row r="1474" spans="1:18" x14ac:dyDescent="0.25">
      <c r="A1474" s="30">
        <v>45888</v>
      </c>
      <c r="B1474" s="28">
        <v>1464</v>
      </c>
      <c r="C1474" s="28"/>
      <c r="D1474" s="2" t="s">
        <v>1446</v>
      </c>
      <c r="E1474" s="7" t="s">
        <v>1790</v>
      </c>
      <c r="F1474" s="7"/>
      <c r="G1474" s="2" t="s">
        <v>43</v>
      </c>
      <c r="H1474" s="2" t="s">
        <v>1448</v>
      </c>
      <c r="I1474" s="5">
        <v>5403.69</v>
      </c>
      <c r="J1474" s="57"/>
      <c r="K1474" s="3">
        <v>48</v>
      </c>
      <c r="L1474" s="2" t="s">
        <v>226</v>
      </c>
      <c r="M1474" s="2" t="s">
        <v>12</v>
      </c>
      <c r="N1474" s="2" t="s">
        <v>12</v>
      </c>
      <c r="O1474" s="2" t="s">
        <v>12</v>
      </c>
      <c r="P1474" s="21" t="s">
        <v>12</v>
      </c>
      <c r="Q1474" s="3" t="s">
        <v>12</v>
      </c>
      <c r="R1474" s="3" t="s">
        <v>12</v>
      </c>
    </row>
    <row r="1475" spans="1:18" x14ac:dyDescent="0.25">
      <c r="A1475" s="30">
        <v>45888</v>
      </c>
      <c r="B1475" s="28">
        <v>1465</v>
      </c>
      <c r="C1475" s="28"/>
      <c r="D1475" s="2" t="s">
        <v>62</v>
      </c>
      <c r="E1475" s="7" t="s">
        <v>12</v>
      </c>
      <c r="F1475" s="7"/>
      <c r="G1475" s="2" t="s">
        <v>26</v>
      </c>
      <c r="H1475" s="2" t="s">
        <v>63</v>
      </c>
      <c r="I1475" s="5">
        <v>4417.3999999999996</v>
      </c>
      <c r="J1475" s="57"/>
      <c r="K1475" s="3" t="s">
        <v>12</v>
      </c>
      <c r="L1475" s="2" t="s">
        <v>64</v>
      </c>
      <c r="M1475" s="2" t="s">
        <v>12</v>
      </c>
      <c r="N1475" s="2" t="s">
        <v>12</v>
      </c>
      <c r="O1475" s="2" t="s">
        <v>12</v>
      </c>
      <c r="P1475" s="21" t="s">
        <v>12</v>
      </c>
      <c r="Q1475" s="3" t="s">
        <v>12</v>
      </c>
      <c r="R1475" s="3" t="s">
        <v>12</v>
      </c>
    </row>
    <row r="1476" spans="1:18" x14ac:dyDescent="0.25">
      <c r="A1476" s="30">
        <v>45888</v>
      </c>
      <c r="B1476" s="28">
        <v>1466</v>
      </c>
      <c r="C1476" s="28"/>
      <c r="D1476" s="2" t="s">
        <v>1237</v>
      </c>
      <c r="E1476" s="7" t="s">
        <v>1791</v>
      </c>
      <c r="F1476" s="7"/>
      <c r="G1476" s="2" t="s">
        <v>20</v>
      </c>
      <c r="H1476" s="2" t="s">
        <v>251</v>
      </c>
      <c r="I1476" s="5">
        <v>36062.089999999997</v>
      </c>
      <c r="J1476" s="57"/>
      <c r="K1476" s="3">
        <v>480</v>
      </c>
      <c r="L1476" s="2" t="s">
        <v>226</v>
      </c>
      <c r="M1476" s="2" t="s">
        <v>2080</v>
      </c>
      <c r="N1476" s="2" t="s">
        <v>12</v>
      </c>
      <c r="O1476" s="2" t="s">
        <v>12</v>
      </c>
      <c r="P1476" s="21" t="s">
        <v>12</v>
      </c>
      <c r="Q1476" s="3" t="s">
        <v>12</v>
      </c>
      <c r="R1476" s="3" t="s">
        <v>12</v>
      </c>
    </row>
    <row r="1477" spans="1:18" x14ac:dyDescent="0.25">
      <c r="A1477" s="30">
        <v>45888</v>
      </c>
      <c r="B1477" s="28">
        <v>1467</v>
      </c>
      <c r="C1477" s="28"/>
      <c r="D1477" s="2" t="s">
        <v>41</v>
      </c>
      <c r="E1477" s="7" t="s">
        <v>1792</v>
      </c>
      <c r="F1477" s="7"/>
      <c r="G1477" s="2" t="s">
        <v>43</v>
      </c>
      <c r="H1477" s="2" t="s">
        <v>417</v>
      </c>
      <c r="I1477" s="5">
        <v>69495.31</v>
      </c>
      <c r="J1477" s="57"/>
      <c r="K1477" s="3">
        <v>744</v>
      </c>
      <c r="L1477" s="2" t="s">
        <v>226</v>
      </c>
      <c r="M1477" s="2" t="s">
        <v>12</v>
      </c>
      <c r="N1477" s="2" t="s">
        <v>12</v>
      </c>
      <c r="O1477" s="2" t="s">
        <v>12</v>
      </c>
      <c r="P1477" s="21" t="s">
        <v>12</v>
      </c>
      <c r="Q1477" s="3" t="s">
        <v>456</v>
      </c>
      <c r="R1477" s="3" t="s">
        <v>80</v>
      </c>
    </row>
    <row r="1478" spans="1:18" x14ac:dyDescent="0.25">
      <c r="A1478" s="30">
        <v>45888</v>
      </c>
      <c r="B1478" s="28">
        <v>1468</v>
      </c>
      <c r="C1478" s="28"/>
      <c r="D1478" s="2" t="s">
        <v>103</v>
      </c>
      <c r="E1478" s="7" t="s">
        <v>1655</v>
      </c>
      <c r="F1478" s="7"/>
      <c r="G1478" s="2" t="s">
        <v>13</v>
      </c>
      <c r="H1478" s="2" t="s">
        <v>491</v>
      </c>
      <c r="I1478" s="5">
        <v>5559.29</v>
      </c>
      <c r="J1478" s="57"/>
      <c r="K1478" s="3">
        <v>72</v>
      </c>
      <c r="L1478" s="2" t="s">
        <v>64</v>
      </c>
      <c r="M1478" s="2" t="s">
        <v>12</v>
      </c>
      <c r="N1478" s="2" t="s">
        <v>12</v>
      </c>
      <c r="O1478" s="2" t="s">
        <v>12</v>
      </c>
      <c r="P1478" s="21" t="s">
        <v>12</v>
      </c>
      <c r="Q1478" s="3" t="s">
        <v>12</v>
      </c>
      <c r="R1478" s="3" t="s">
        <v>12</v>
      </c>
    </row>
    <row r="1479" spans="1:18" x14ac:dyDescent="0.25">
      <c r="A1479" s="30">
        <v>45889</v>
      </c>
      <c r="B1479" s="28">
        <v>1469</v>
      </c>
      <c r="C1479" s="28"/>
      <c r="D1479" s="2" t="s">
        <v>54</v>
      </c>
      <c r="E1479" s="7" t="s">
        <v>12</v>
      </c>
      <c r="F1479" s="7"/>
      <c r="G1479" s="2" t="s">
        <v>26</v>
      </c>
      <c r="H1479" s="2" t="s">
        <v>55</v>
      </c>
      <c r="I1479" s="5">
        <v>1000.49</v>
      </c>
      <c r="J1479" s="57"/>
      <c r="K1479" s="3" t="s">
        <v>12</v>
      </c>
      <c r="L1479" s="2" t="s">
        <v>226</v>
      </c>
      <c r="M1479" s="2" t="s">
        <v>12</v>
      </c>
      <c r="N1479" s="2" t="s">
        <v>12</v>
      </c>
      <c r="O1479" s="2" t="s">
        <v>12</v>
      </c>
      <c r="P1479" s="21" t="s">
        <v>12</v>
      </c>
      <c r="Q1479" s="3" t="s">
        <v>12</v>
      </c>
      <c r="R1479" s="3" t="s">
        <v>12</v>
      </c>
    </row>
    <row r="1480" spans="1:18" x14ac:dyDescent="0.25">
      <c r="A1480" s="30">
        <v>45889</v>
      </c>
      <c r="B1480" s="28">
        <v>1470</v>
      </c>
      <c r="C1480" s="28"/>
      <c r="D1480" s="2" t="s">
        <v>941</v>
      </c>
      <c r="E1480" s="7" t="s">
        <v>1793</v>
      </c>
      <c r="F1480" s="7"/>
      <c r="G1480" s="2" t="s">
        <v>13</v>
      </c>
      <c r="H1480" s="2" t="s">
        <v>943</v>
      </c>
      <c r="I1480" s="5">
        <v>3557.37</v>
      </c>
      <c r="J1480" s="57"/>
      <c r="K1480" s="3">
        <v>48</v>
      </c>
      <c r="L1480" s="2" t="s">
        <v>226</v>
      </c>
      <c r="M1480" s="2" t="s">
        <v>12</v>
      </c>
      <c r="N1480" s="2" t="s">
        <v>12</v>
      </c>
      <c r="O1480" s="2" t="s">
        <v>12</v>
      </c>
      <c r="P1480" s="21" t="s">
        <v>12</v>
      </c>
      <c r="Q1480" s="3" t="s">
        <v>1802</v>
      </c>
      <c r="R1480" s="3" t="s">
        <v>75</v>
      </c>
    </row>
    <row r="1481" spans="1:18" x14ac:dyDescent="0.25">
      <c r="A1481" s="30">
        <v>45889</v>
      </c>
      <c r="B1481" s="28">
        <v>1471</v>
      </c>
      <c r="C1481" s="28"/>
      <c r="D1481" s="2" t="s">
        <v>746</v>
      </c>
      <c r="E1481" s="7" t="s">
        <v>1794</v>
      </c>
      <c r="F1481" s="7"/>
      <c r="G1481" s="2" t="s">
        <v>20</v>
      </c>
      <c r="H1481" s="2" t="s">
        <v>114</v>
      </c>
      <c r="I1481" s="5">
        <v>20342</v>
      </c>
      <c r="J1481" s="57"/>
      <c r="K1481" s="3">
        <v>192</v>
      </c>
      <c r="L1481" s="2" t="s">
        <v>226</v>
      </c>
      <c r="M1481" s="2" t="s">
        <v>667</v>
      </c>
      <c r="N1481" s="2" t="s">
        <v>12</v>
      </c>
      <c r="O1481" s="2" t="s">
        <v>12</v>
      </c>
      <c r="P1481" s="21" t="s">
        <v>12</v>
      </c>
      <c r="Q1481" s="3" t="s">
        <v>75</v>
      </c>
      <c r="R1481" s="3" t="s">
        <v>80</v>
      </c>
    </row>
    <row r="1482" spans="1:18" x14ac:dyDescent="0.25">
      <c r="A1482" s="30">
        <v>45889</v>
      </c>
      <c r="B1482" s="28">
        <v>1472</v>
      </c>
      <c r="C1482" s="28"/>
      <c r="D1482" s="2" t="s">
        <v>1711</v>
      </c>
      <c r="E1482" s="7" t="s">
        <v>12</v>
      </c>
      <c r="F1482" s="7"/>
      <c r="G1482" s="2" t="s">
        <v>26</v>
      </c>
      <c r="H1482" s="2" t="s">
        <v>507</v>
      </c>
      <c r="I1482" s="5">
        <v>397.6</v>
      </c>
      <c r="J1482" s="57"/>
      <c r="K1482" s="3" t="s">
        <v>12</v>
      </c>
      <c r="L1482" s="2" t="s">
        <v>64</v>
      </c>
      <c r="M1482" s="2" t="s">
        <v>12</v>
      </c>
      <c r="N1482" s="2" t="s">
        <v>12</v>
      </c>
      <c r="O1482" s="2" t="s">
        <v>12</v>
      </c>
      <c r="P1482" s="21" t="s">
        <v>12</v>
      </c>
      <c r="Q1482" s="3" t="s">
        <v>12</v>
      </c>
      <c r="R1482" s="3" t="s">
        <v>12</v>
      </c>
    </row>
    <row r="1483" spans="1:18" x14ac:dyDescent="0.25">
      <c r="A1483" s="30">
        <v>45889</v>
      </c>
      <c r="B1483" s="28">
        <v>1473</v>
      </c>
      <c r="C1483" s="28"/>
      <c r="D1483" s="2" t="s">
        <v>1596</v>
      </c>
      <c r="E1483" s="7" t="s">
        <v>12</v>
      </c>
      <c r="F1483" s="7"/>
      <c r="G1483" s="2" t="s">
        <v>43</v>
      </c>
      <c r="H1483" s="2" t="s">
        <v>1597</v>
      </c>
      <c r="I1483" s="5">
        <v>27503.96</v>
      </c>
      <c r="J1483" s="57"/>
      <c r="K1483" s="3">
        <v>360</v>
      </c>
      <c r="L1483" s="2" t="s">
        <v>64</v>
      </c>
      <c r="M1483" s="2" t="s">
        <v>12</v>
      </c>
      <c r="N1483" s="2" t="s">
        <v>12</v>
      </c>
      <c r="O1483" s="2" t="s">
        <v>12</v>
      </c>
      <c r="P1483" s="21" t="s">
        <v>12</v>
      </c>
      <c r="Q1483" s="3" t="s">
        <v>12</v>
      </c>
      <c r="R1483" s="3" t="s">
        <v>12</v>
      </c>
    </row>
    <row r="1484" spans="1:18" x14ac:dyDescent="0.25">
      <c r="A1484" s="30">
        <v>45895</v>
      </c>
      <c r="B1484" s="28">
        <v>1474</v>
      </c>
      <c r="C1484" s="28"/>
      <c r="D1484" s="2" t="s">
        <v>2272</v>
      </c>
      <c r="E1484" s="7" t="s">
        <v>1808</v>
      </c>
      <c r="F1484" s="7"/>
      <c r="G1484" s="2" t="s">
        <v>43</v>
      </c>
      <c r="H1484" s="2" t="s">
        <v>1809</v>
      </c>
      <c r="I1484" s="5">
        <v>27690.95</v>
      </c>
      <c r="J1484" s="57"/>
      <c r="K1484" s="3">
        <v>288</v>
      </c>
      <c r="L1484" s="2" t="s">
        <v>226</v>
      </c>
      <c r="M1484" s="2" t="s">
        <v>12</v>
      </c>
      <c r="N1484" s="2" t="s">
        <v>12</v>
      </c>
      <c r="O1484" s="2" t="s">
        <v>12</v>
      </c>
      <c r="P1484" s="21" t="s">
        <v>12</v>
      </c>
      <c r="Q1484" s="3" t="s">
        <v>1770</v>
      </c>
      <c r="R1484" s="3" t="s">
        <v>80</v>
      </c>
    </row>
    <row r="1485" spans="1:18" x14ac:dyDescent="0.25">
      <c r="A1485" s="30">
        <v>45890</v>
      </c>
      <c r="B1485" s="28">
        <v>1475</v>
      </c>
      <c r="C1485" s="28"/>
      <c r="D1485" s="2" t="s">
        <v>1152</v>
      </c>
      <c r="E1485" s="7" t="s">
        <v>1810</v>
      </c>
      <c r="F1485" s="7"/>
      <c r="G1485" s="2" t="s">
        <v>13</v>
      </c>
      <c r="H1485" s="2" t="s">
        <v>1153</v>
      </c>
      <c r="I1485" s="5">
        <v>62663.69</v>
      </c>
      <c r="J1485" s="57"/>
      <c r="K1485" s="3">
        <v>792</v>
      </c>
      <c r="L1485" s="2" t="s">
        <v>226</v>
      </c>
      <c r="M1485" s="2" t="s">
        <v>12</v>
      </c>
      <c r="N1485" s="2" t="s">
        <v>12</v>
      </c>
      <c r="O1485" s="2" t="s">
        <v>12</v>
      </c>
      <c r="P1485" s="21" t="s">
        <v>12</v>
      </c>
      <c r="Q1485" s="3" t="s">
        <v>1152</v>
      </c>
      <c r="R1485" s="3" t="s">
        <v>76</v>
      </c>
    </row>
    <row r="1486" spans="1:18" x14ac:dyDescent="0.25">
      <c r="A1486" s="30">
        <v>45890</v>
      </c>
      <c r="B1486" s="28">
        <v>1476</v>
      </c>
      <c r="C1486" s="28"/>
      <c r="D1486" s="2" t="s">
        <v>41</v>
      </c>
      <c r="E1486" s="7" t="s">
        <v>996</v>
      </c>
      <c r="F1486" s="7"/>
      <c r="G1486" s="2" t="s">
        <v>43</v>
      </c>
      <c r="H1486" s="2" t="s">
        <v>417</v>
      </c>
      <c r="I1486" s="5">
        <v>215015.85</v>
      </c>
      <c r="J1486" s="57"/>
      <c r="K1486" s="3">
        <v>2032.8</v>
      </c>
      <c r="L1486" s="2" t="s">
        <v>226</v>
      </c>
      <c r="M1486" s="2" t="s">
        <v>12</v>
      </c>
      <c r="N1486" s="2" t="s">
        <v>12</v>
      </c>
      <c r="O1486" s="2" t="s">
        <v>12</v>
      </c>
      <c r="P1486" s="21" t="s">
        <v>12</v>
      </c>
      <c r="Q1486" s="3" t="s">
        <v>41</v>
      </c>
      <c r="R1486" s="3" t="s">
        <v>80</v>
      </c>
    </row>
    <row r="1487" spans="1:18" x14ac:dyDescent="0.25">
      <c r="A1487" s="30">
        <v>45890</v>
      </c>
      <c r="B1487" s="28">
        <v>1477</v>
      </c>
      <c r="C1487" s="28"/>
      <c r="D1487" s="2" t="s">
        <v>106</v>
      </c>
      <c r="E1487" s="7" t="s">
        <v>12</v>
      </c>
      <c r="F1487" s="7"/>
      <c r="G1487" s="2" t="s">
        <v>13</v>
      </c>
      <c r="H1487" s="2" t="s">
        <v>1645</v>
      </c>
      <c r="I1487" s="5">
        <v>77422.06</v>
      </c>
      <c r="J1487" s="57"/>
      <c r="K1487" s="3">
        <v>1104</v>
      </c>
      <c r="L1487" s="2" t="s">
        <v>21</v>
      </c>
      <c r="M1487" s="2" t="s">
        <v>1841</v>
      </c>
      <c r="N1487" s="2" t="s">
        <v>12</v>
      </c>
      <c r="O1487" s="2" t="s">
        <v>12</v>
      </c>
      <c r="P1487" s="21" t="s">
        <v>12</v>
      </c>
      <c r="Q1487" s="3" t="s">
        <v>12</v>
      </c>
      <c r="R1487" s="3" t="s">
        <v>12</v>
      </c>
    </row>
    <row r="1488" spans="1:18" x14ac:dyDescent="0.25">
      <c r="A1488" s="30">
        <v>45890</v>
      </c>
      <c r="B1488" s="28">
        <v>1478</v>
      </c>
      <c r="C1488" s="28"/>
      <c r="D1488" s="2" t="s">
        <v>1446</v>
      </c>
      <c r="E1488" s="7" t="s">
        <v>1811</v>
      </c>
      <c r="F1488" s="7"/>
      <c r="G1488" s="2" t="s">
        <v>43</v>
      </c>
      <c r="H1488" s="2" t="s">
        <v>1448</v>
      </c>
      <c r="I1488" s="5">
        <v>3141.34</v>
      </c>
      <c r="J1488" s="57"/>
      <c r="K1488" s="3">
        <v>24</v>
      </c>
      <c r="L1488" s="2" t="s">
        <v>64</v>
      </c>
      <c r="M1488" s="2" t="s">
        <v>12</v>
      </c>
      <c r="N1488" s="2" t="s">
        <v>12</v>
      </c>
      <c r="O1488" s="2" t="s">
        <v>12</v>
      </c>
      <c r="P1488" s="21" t="s">
        <v>12</v>
      </c>
      <c r="Q1488" s="3" t="s">
        <v>12</v>
      </c>
      <c r="R1488" s="3" t="s">
        <v>12</v>
      </c>
    </row>
    <row r="1489" spans="1:18" x14ac:dyDescent="0.25">
      <c r="A1489" s="30">
        <v>45905</v>
      </c>
      <c r="B1489" s="28">
        <v>1479</v>
      </c>
      <c r="C1489" s="28"/>
      <c r="D1489" s="2" t="s">
        <v>41</v>
      </c>
      <c r="E1489" s="7" t="s">
        <v>1812</v>
      </c>
      <c r="F1489" s="7"/>
      <c r="G1489" s="2" t="s">
        <v>43</v>
      </c>
      <c r="H1489" s="2" t="s">
        <v>319</v>
      </c>
      <c r="I1489" s="5">
        <v>96676.98</v>
      </c>
      <c r="J1489" s="57"/>
      <c r="K1489" s="3">
        <v>984</v>
      </c>
      <c r="L1489" s="2" t="s">
        <v>134</v>
      </c>
      <c r="M1489" s="2" t="s">
        <v>135</v>
      </c>
      <c r="N1489" s="2" t="s">
        <v>135</v>
      </c>
      <c r="O1489" s="2" t="s">
        <v>374</v>
      </c>
      <c r="P1489" s="21" t="s">
        <v>12</v>
      </c>
      <c r="Q1489" s="3" t="s">
        <v>1748</v>
      </c>
      <c r="R1489" s="3" t="s">
        <v>80</v>
      </c>
    </row>
    <row r="1490" spans="1:18" x14ac:dyDescent="0.25">
      <c r="A1490" s="30">
        <v>45890</v>
      </c>
      <c r="B1490" s="28">
        <v>1480</v>
      </c>
      <c r="C1490" s="28"/>
      <c r="D1490" s="2" t="s">
        <v>1237</v>
      </c>
      <c r="E1490" s="7" t="s">
        <v>1813</v>
      </c>
      <c r="F1490" s="7"/>
      <c r="G1490" s="2" t="s">
        <v>20</v>
      </c>
      <c r="H1490" s="2" t="s">
        <v>13</v>
      </c>
      <c r="I1490" s="5">
        <v>32235.47</v>
      </c>
      <c r="J1490" s="57"/>
      <c r="K1490" s="3">
        <v>360</v>
      </c>
      <c r="L1490" s="2" t="s">
        <v>226</v>
      </c>
      <c r="M1490" s="2" t="s">
        <v>667</v>
      </c>
      <c r="N1490" s="2" t="s">
        <v>12</v>
      </c>
      <c r="O1490" s="2" t="s">
        <v>12</v>
      </c>
      <c r="P1490" s="21" t="s">
        <v>12</v>
      </c>
      <c r="Q1490" s="3" t="s">
        <v>12</v>
      </c>
      <c r="R1490" s="3" t="s">
        <v>12</v>
      </c>
    </row>
    <row r="1491" spans="1:18" x14ac:dyDescent="0.25">
      <c r="A1491" s="30">
        <v>45891</v>
      </c>
      <c r="B1491" s="28">
        <v>1481</v>
      </c>
      <c r="C1491" s="28"/>
      <c r="D1491" s="2" t="s">
        <v>1814</v>
      </c>
      <c r="E1491" s="7" t="s">
        <v>12</v>
      </c>
      <c r="F1491" s="7"/>
      <c r="G1491" s="2" t="s">
        <v>13</v>
      </c>
      <c r="H1491" s="2" t="s">
        <v>1815</v>
      </c>
      <c r="I1491" s="5">
        <v>47654.38</v>
      </c>
      <c r="J1491" s="57"/>
      <c r="K1491" s="3">
        <v>504</v>
      </c>
      <c r="L1491" s="2" t="s">
        <v>64</v>
      </c>
      <c r="M1491" s="2" t="s">
        <v>12</v>
      </c>
      <c r="N1491" s="2" t="s">
        <v>12</v>
      </c>
      <c r="O1491" s="2" t="s">
        <v>12</v>
      </c>
      <c r="P1491" s="21" t="s">
        <v>12</v>
      </c>
      <c r="Q1491" s="3" t="s">
        <v>12</v>
      </c>
      <c r="R1491" s="3" t="s">
        <v>12</v>
      </c>
    </row>
    <row r="1492" spans="1:18" x14ac:dyDescent="0.25">
      <c r="A1492" s="30">
        <v>45896</v>
      </c>
      <c r="B1492" s="28">
        <v>1482</v>
      </c>
      <c r="C1492" s="28"/>
      <c r="D1492" s="2" t="s">
        <v>23</v>
      </c>
      <c r="E1492" s="7" t="s">
        <v>1816</v>
      </c>
      <c r="F1492" s="7"/>
      <c r="G1492" s="2" t="s">
        <v>20</v>
      </c>
      <c r="H1492" s="2" t="s">
        <v>32</v>
      </c>
      <c r="I1492" s="5">
        <v>25586.62</v>
      </c>
      <c r="J1492" s="57"/>
      <c r="K1492" s="3">
        <v>384</v>
      </c>
      <c r="L1492" s="2" t="s">
        <v>64</v>
      </c>
      <c r="M1492" s="2" t="s">
        <v>12</v>
      </c>
      <c r="N1492" s="2" t="s">
        <v>12</v>
      </c>
      <c r="O1492" s="2" t="s">
        <v>12</v>
      </c>
      <c r="P1492" s="21" t="s">
        <v>12</v>
      </c>
      <c r="Q1492" s="3" t="s">
        <v>12</v>
      </c>
      <c r="R1492" s="3" t="s">
        <v>12</v>
      </c>
    </row>
    <row r="1493" spans="1:18" x14ac:dyDescent="0.25">
      <c r="A1493" s="30">
        <v>45891</v>
      </c>
      <c r="B1493" s="28">
        <v>1483</v>
      </c>
      <c r="C1493" s="28"/>
      <c r="D1493" s="2" t="s">
        <v>41</v>
      </c>
      <c r="E1493" s="7" t="s">
        <v>1817</v>
      </c>
      <c r="F1493" s="7"/>
      <c r="G1493" s="2" t="s">
        <v>43</v>
      </c>
      <c r="H1493" s="2" t="s">
        <v>43</v>
      </c>
      <c r="I1493" s="5">
        <v>14550.09</v>
      </c>
      <c r="J1493" s="57"/>
      <c r="K1493" s="3">
        <v>144</v>
      </c>
      <c r="L1493" s="2" t="s">
        <v>226</v>
      </c>
      <c r="M1493" s="2" t="s">
        <v>12</v>
      </c>
      <c r="N1493" s="2" t="s">
        <v>12</v>
      </c>
      <c r="O1493" s="2" t="s">
        <v>12</v>
      </c>
      <c r="P1493" s="21" t="s">
        <v>12</v>
      </c>
      <c r="Q1493" s="3" t="s">
        <v>956</v>
      </c>
      <c r="R1493" s="3" t="s">
        <v>80</v>
      </c>
    </row>
    <row r="1494" spans="1:18" x14ac:dyDescent="0.25">
      <c r="A1494" s="30">
        <v>45891</v>
      </c>
      <c r="B1494" s="28">
        <v>1484</v>
      </c>
      <c r="C1494" s="28"/>
      <c r="D1494" s="2" t="s">
        <v>56</v>
      </c>
      <c r="E1494" s="7" t="s">
        <v>1817</v>
      </c>
      <c r="F1494" s="7"/>
      <c r="G1494" s="2" t="s">
        <v>43</v>
      </c>
      <c r="H1494" s="2" t="s">
        <v>58</v>
      </c>
      <c r="I1494" s="5">
        <v>14550.09</v>
      </c>
      <c r="J1494" s="57"/>
      <c r="K1494" s="3">
        <v>144</v>
      </c>
      <c r="L1494" s="2" t="s">
        <v>226</v>
      </c>
      <c r="M1494" s="2" t="s">
        <v>12</v>
      </c>
      <c r="N1494" s="2" t="s">
        <v>12</v>
      </c>
      <c r="O1494" s="2" t="s">
        <v>12</v>
      </c>
      <c r="P1494" s="21" t="s">
        <v>12</v>
      </c>
      <c r="Q1494" s="3" t="s">
        <v>956</v>
      </c>
      <c r="R1494" s="3" t="s">
        <v>80</v>
      </c>
    </row>
    <row r="1495" spans="1:18" x14ac:dyDescent="0.25">
      <c r="A1495" s="30">
        <v>45891</v>
      </c>
      <c r="B1495" s="28">
        <v>1485</v>
      </c>
      <c r="C1495" s="28"/>
      <c r="D1495" s="2" t="s">
        <v>87</v>
      </c>
      <c r="E1495" s="7" t="s">
        <v>1818</v>
      </c>
      <c r="F1495" s="7"/>
      <c r="G1495" s="2" t="s">
        <v>13</v>
      </c>
      <c r="H1495" s="2" t="s">
        <v>185</v>
      </c>
      <c r="I1495" s="5">
        <v>171650.69</v>
      </c>
      <c r="J1495" s="57"/>
      <c r="K1495" s="3">
        <v>1737.6</v>
      </c>
      <c r="L1495" s="2" t="s">
        <v>226</v>
      </c>
      <c r="M1495" s="2" t="s">
        <v>12</v>
      </c>
      <c r="N1495" s="2" t="s">
        <v>12</v>
      </c>
      <c r="O1495" s="2" t="s">
        <v>12</v>
      </c>
      <c r="P1495" s="21" t="s">
        <v>12</v>
      </c>
      <c r="Q1495" s="3" t="s">
        <v>87</v>
      </c>
      <c r="R1495" s="3" t="s">
        <v>80</v>
      </c>
    </row>
    <row r="1496" spans="1:18" x14ac:dyDescent="0.25">
      <c r="A1496" s="30">
        <v>45894</v>
      </c>
      <c r="B1496" s="28">
        <v>1486</v>
      </c>
      <c r="C1496" s="28"/>
      <c r="D1496" s="2" t="s">
        <v>23</v>
      </c>
      <c r="E1496" s="7" t="s">
        <v>1819</v>
      </c>
      <c r="F1496" s="7"/>
      <c r="G1496" s="2" t="s">
        <v>20</v>
      </c>
      <c r="H1496" s="2" t="s">
        <v>32</v>
      </c>
      <c r="I1496" s="5">
        <v>43161.36</v>
      </c>
      <c r="J1496" s="57"/>
      <c r="K1496" s="3">
        <v>600</v>
      </c>
      <c r="L1496" s="2" t="s">
        <v>226</v>
      </c>
      <c r="M1496" s="2" t="s">
        <v>530</v>
      </c>
      <c r="N1496" s="2" t="s">
        <v>12</v>
      </c>
      <c r="O1496" s="2" t="s">
        <v>12</v>
      </c>
      <c r="P1496" s="21" t="s">
        <v>12</v>
      </c>
      <c r="Q1496" s="3" t="s">
        <v>12</v>
      </c>
      <c r="R1496" s="3" t="s">
        <v>12</v>
      </c>
    </row>
    <row r="1497" spans="1:18" x14ac:dyDescent="0.25">
      <c r="A1497" s="30">
        <v>45891</v>
      </c>
      <c r="B1497" s="28">
        <v>1487</v>
      </c>
      <c r="C1497" s="28"/>
      <c r="D1497" s="2" t="s">
        <v>433</v>
      </c>
      <c r="E1497" s="7" t="s">
        <v>12</v>
      </c>
      <c r="F1497" s="7"/>
      <c r="G1497" s="2" t="s">
        <v>97</v>
      </c>
      <c r="H1497" s="2" t="s">
        <v>390</v>
      </c>
      <c r="I1497" s="5">
        <v>52843.83</v>
      </c>
      <c r="J1497" s="57"/>
      <c r="K1497" s="3">
        <v>672</v>
      </c>
      <c r="L1497" s="2" t="s">
        <v>226</v>
      </c>
      <c r="M1497" s="2" t="s">
        <v>12</v>
      </c>
      <c r="N1497" s="2" t="s">
        <v>12</v>
      </c>
      <c r="O1497" s="2" t="s">
        <v>12</v>
      </c>
      <c r="P1497" s="21" t="s">
        <v>12</v>
      </c>
      <c r="Q1497" s="3" t="s">
        <v>12</v>
      </c>
      <c r="R1497" s="3" t="s">
        <v>12</v>
      </c>
    </row>
    <row r="1498" spans="1:18" x14ac:dyDescent="0.25">
      <c r="A1498" s="30">
        <v>45891</v>
      </c>
      <c r="B1498" s="28">
        <v>1488</v>
      </c>
      <c r="C1498" s="28"/>
      <c r="D1498" s="2" t="s">
        <v>52</v>
      </c>
      <c r="E1498" s="7" t="s">
        <v>12</v>
      </c>
      <c r="F1498" s="7"/>
      <c r="G1498" s="2" t="s">
        <v>26</v>
      </c>
      <c r="H1498" s="2" t="s">
        <v>1000</v>
      </c>
      <c r="I1498" s="5">
        <v>11649.38</v>
      </c>
      <c r="J1498" s="57"/>
      <c r="K1498" s="3">
        <v>97.2</v>
      </c>
      <c r="L1498" s="2" t="s">
        <v>226</v>
      </c>
      <c r="M1498" s="2" t="s">
        <v>12</v>
      </c>
      <c r="N1498" s="2" t="s">
        <v>12</v>
      </c>
      <c r="O1498" s="2" t="s">
        <v>12</v>
      </c>
      <c r="P1498" s="21" t="s">
        <v>12</v>
      </c>
      <c r="Q1498" s="3" t="s">
        <v>12</v>
      </c>
      <c r="R1498" s="3" t="s">
        <v>12</v>
      </c>
    </row>
    <row r="1499" spans="1:18" x14ac:dyDescent="0.25">
      <c r="A1499" s="30">
        <v>45891</v>
      </c>
      <c r="B1499" s="28">
        <v>1489</v>
      </c>
      <c r="C1499" s="28"/>
      <c r="D1499" s="2" t="s">
        <v>1820</v>
      </c>
      <c r="E1499" s="7" t="s">
        <v>12</v>
      </c>
      <c r="F1499" s="7"/>
      <c r="G1499" s="2" t="s">
        <v>97</v>
      </c>
      <c r="H1499" s="2" t="s">
        <v>129</v>
      </c>
      <c r="I1499" s="5">
        <v>19564.2</v>
      </c>
      <c r="J1499" s="57"/>
      <c r="K1499" s="3">
        <v>240</v>
      </c>
      <c r="L1499" s="2" t="s">
        <v>226</v>
      </c>
      <c r="M1499" s="2" t="s">
        <v>12</v>
      </c>
      <c r="N1499" s="2" t="s">
        <v>12</v>
      </c>
      <c r="O1499" s="2" t="s">
        <v>12</v>
      </c>
      <c r="P1499" s="21" t="s">
        <v>12</v>
      </c>
      <c r="Q1499" s="3" t="s">
        <v>12</v>
      </c>
      <c r="R1499" s="3" t="s">
        <v>12</v>
      </c>
    </row>
    <row r="1500" spans="1:18" x14ac:dyDescent="0.25">
      <c r="A1500" s="30">
        <v>45891</v>
      </c>
      <c r="B1500" s="28">
        <v>1490</v>
      </c>
      <c r="C1500" s="28"/>
      <c r="D1500" s="2" t="s">
        <v>52</v>
      </c>
      <c r="E1500" s="7" t="s">
        <v>12</v>
      </c>
      <c r="F1500" s="7"/>
      <c r="G1500" s="2" t="s">
        <v>26</v>
      </c>
      <c r="H1500" s="2" t="s">
        <v>1000</v>
      </c>
      <c r="I1500" s="5">
        <v>6231.36</v>
      </c>
      <c r="J1500" s="57"/>
      <c r="K1500" s="3">
        <v>24</v>
      </c>
      <c r="L1500" s="2" t="s">
        <v>64</v>
      </c>
      <c r="M1500" s="2" t="s">
        <v>12</v>
      </c>
      <c r="N1500" s="2" t="s">
        <v>12</v>
      </c>
      <c r="O1500" s="2" t="s">
        <v>12</v>
      </c>
      <c r="P1500" s="21" t="s">
        <v>12</v>
      </c>
      <c r="Q1500" s="3" t="s">
        <v>12</v>
      </c>
      <c r="R1500" s="3" t="s">
        <v>12</v>
      </c>
    </row>
    <row r="1501" spans="1:18" x14ac:dyDescent="0.25">
      <c r="A1501" s="30">
        <v>45894</v>
      </c>
      <c r="B1501" s="28">
        <v>1491</v>
      </c>
      <c r="C1501" s="28"/>
      <c r="D1501" s="2" t="s">
        <v>1615</v>
      </c>
      <c r="E1501" s="7" t="s">
        <v>12</v>
      </c>
      <c r="F1501" s="7"/>
      <c r="G1501" s="2" t="s">
        <v>13</v>
      </c>
      <c r="H1501" s="2" t="s">
        <v>467</v>
      </c>
      <c r="I1501" s="5">
        <v>2371.3000000000002</v>
      </c>
      <c r="J1501" s="57"/>
      <c r="K1501" s="3" t="s">
        <v>12</v>
      </c>
      <c r="L1501" s="2" t="s">
        <v>64</v>
      </c>
      <c r="M1501" s="2" t="s">
        <v>12</v>
      </c>
      <c r="N1501" s="2" t="s">
        <v>12</v>
      </c>
      <c r="O1501" s="2" t="s">
        <v>12</v>
      </c>
      <c r="P1501" s="21" t="s">
        <v>12</v>
      </c>
      <c r="Q1501" s="3" t="s">
        <v>12</v>
      </c>
      <c r="R1501" s="3" t="s">
        <v>12</v>
      </c>
    </row>
    <row r="1502" spans="1:18" x14ac:dyDescent="0.25">
      <c r="A1502" s="30">
        <v>45894</v>
      </c>
      <c r="B1502" s="28">
        <v>1492</v>
      </c>
      <c r="C1502" s="28"/>
      <c r="D1502" s="2" t="s">
        <v>1840</v>
      </c>
      <c r="E1502" s="7" t="s">
        <v>1907</v>
      </c>
      <c r="F1502" s="7"/>
      <c r="G1502" s="2" t="s">
        <v>111</v>
      </c>
      <c r="H1502" s="2" t="s">
        <v>1217</v>
      </c>
      <c r="I1502" s="5">
        <v>122224.61</v>
      </c>
      <c r="J1502" s="57"/>
      <c r="K1502" s="3" t="s">
        <v>12</v>
      </c>
      <c r="L1502" s="2" t="s">
        <v>226</v>
      </c>
      <c r="M1502" s="2" t="s">
        <v>12</v>
      </c>
      <c r="N1502" s="2" t="s">
        <v>12</v>
      </c>
      <c r="O1502" s="2" t="s">
        <v>12</v>
      </c>
      <c r="P1502" s="21" t="s">
        <v>12</v>
      </c>
      <c r="Q1502" s="3" t="s">
        <v>12</v>
      </c>
      <c r="R1502" s="3" t="s">
        <v>12</v>
      </c>
    </row>
    <row r="1503" spans="1:18" x14ac:dyDescent="0.25">
      <c r="A1503" s="30">
        <v>45894</v>
      </c>
      <c r="B1503" s="28">
        <v>1493</v>
      </c>
      <c r="C1503" s="28"/>
      <c r="D1503" s="2" t="s">
        <v>233</v>
      </c>
      <c r="E1503" s="7" t="s">
        <v>12</v>
      </c>
      <c r="F1503" s="7"/>
      <c r="G1503" s="2" t="s">
        <v>13</v>
      </c>
      <c r="H1503" s="2" t="s">
        <v>235</v>
      </c>
      <c r="I1503" s="5">
        <v>33338.1</v>
      </c>
      <c r="J1503" s="57"/>
      <c r="K1503" s="3">
        <v>480</v>
      </c>
      <c r="L1503" s="2" t="s">
        <v>226</v>
      </c>
      <c r="M1503" s="2" t="s">
        <v>12</v>
      </c>
      <c r="N1503" s="2" t="s">
        <v>12</v>
      </c>
      <c r="O1503" s="2" t="s">
        <v>12</v>
      </c>
      <c r="P1503" s="21" t="s">
        <v>12</v>
      </c>
      <c r="Q1503" s="3" t="s">
        <v>12</v>
      </c>
      <c r="R1503" s="3" t="s">
        <v>12</v>
      </c>
    </row>
    <row r="1504" spans="1:18" x14ac:dyDescent="0.25">
      <c r="A1504" s="30">
        <v>45894</v>
      </c>
      <c r="B1504" s="28">
        <v>1494</v>
      </c>
      <c r="C1504" s="28"/>
      <c r="D1504" s="2" t="s">
        <v>1821</v>
      </c>
      <c r="E1504" s="7" t="s">
        <v>1822</v>
      </c>
      <c r="F1504" s="7"/>
      <c r="G1504" s="2" t="s">
        <v>43</v>
      </c>
      <c r="H1504" s="2" t="s">
        <v>467</v>
      </c>
      <c r="I1504" s="5">
        <v>326700.06</v>
      </c>
      <c r="J1504" s="57"/>
      <c r="K1504" s="3">
        <v>3528</v>
      </c>
      <c r="L1504" s="2" t="s">
        <v>226</v>
      </c>
      <c r="M1504" s="2" t="s">
        <v>2027</v>
      </c>
      <c r="N1504" s="2" t="s">
        <v>12</v>
      </c>
      <c r="O1504" s="2" t="s">
        <v>12</v>
      </c>
      <c r="P1504" s="21" t="s">
        <v>12</v>
      </c>
      <c r="Q1504" s="3" t="s">
        <v>1821</v>
      </c>
      <c r="R1504" s="3" t="s">
        <v>1836</v>
      </c>
    </row>
    <row r="1505" spans="1:18" x14ac:dyDescent="0.25">
      <c r="A1505" s="30">
        <v>45895</v>
      </c>
      <c r="B1505" s="28">
        <v>1495</v>
      </c>
      <c r="C1505" s="28"/>
      <c r="D1505" s="2" t="s">
        <v>1823</v>
      </c>
      <c r="E1505" s="7" t="s">
        <v>1824</v>
      </c>
      <c r="F1505" s="7"/>
      <c r="G1505" s="2" t="s">
        <v>13</v>
      </c>
      <c r="H1505" s="2" t="s">
        <v>162</v>
      </c>
      <c r="I1505" s="5">
        <v>6980.17</v>
      </c>
      <c r="J1505" s="57"/>
      <c r="K1505" s="3">
        <v>96</v>
      </c>
      <c r="L1505" s="2" t="s">
        <v>226</v>
      </c>
      <c r="M1505" s="2" t="s">
        <v>12</v>
      </c>
      <c r="N1505" s="2" t="s">
        <v>12</v>
      </c>
      <c r="O1505" s="2" t="s">
        <v>12</v>
      </c>
      <c r="P1505" s="21" t="s">
        <v>12</v>
      </c>
      <c r="Q1505" s="3" t="s">
        <v>12</v>
      </c>
      <c r="R1505" s="3" t="s">
        <v>12</v>
      </c>
    </row>
    <row r="1506" spans="1:18" x14ac:dyDescent="0.25">
      <c r="A1506" s="30">
        <v>45895</v>
      </c>
      <c r="B1506" s="28">
        <v>1496</v>
      </c>
      <c r="C1506" s="28"/>
      <c r="D1506" s="2" t="s">
        <v>786</v>
      </c>
      <c r="E1506" s="7" t="s">
        <v>12</v>
      </c>
      <c r="F1506" s="7"/>
      <c r="G1506" s="2" t="s">
        <v>26</v>
      </c>
      <c r="H1506" s="2" t="s">
        <v>15</v>
      </c>
      <c r="I1506" s="5">
        <v>4737.79</v>
      </c>
      <c r="J1506" s="57"/>
      <c r="K1506" s="3">
        <v>48</v>
      </c>
      <c r="L1506" s="2" t="s">
        <v>64</v>
      </c>
      <c r="M1506" s="2" t="s">
        <v>12</v>
      </c>
      <c r="N1506" s="2" t="s">
        <v>12</v>
      </c>
      <c r="O1506" s="2" t="s">
        <v>12</v>
      </c>
      <c r="P1506" s="21" t="s">
        <v>12</v>
      </c>
      <c r="Q1506" s="3" t="s">
        <v>12</v>
      </c>
      <c r="R1506" s="3" t="s">
        <v>12</v>
      </c>
    </row>
    <row r="1507" spans="1:18" x14ac:dyDescent="0.25">
      <c r="A1507" s="30">
        <v>45895</v>
      </c>
      <c r="B1507" s="28">
        <v>1497</v>
      </c>
      <c r="C1507" s="28"/>
      <c r="D1507" s="2" t="s">
        <v>921</v>
      </c>
      <c r="E1507" s="7" t="s">
        <v>12</v>
      </c>
      <c r="F1507" s="7"/>
      <c r="G1507" s="2" t="s">
        <v>13</v>
      </c>
      <c r="H1507" s="2" t="s">
        <v>549</v>
      </c>
      <c r="I1507" s="5">
        <v>5275.25</v>
      </c>
      <c r="J1507" s="57"/>
      <c r="K1507" s="3">
        <v>96</v>
      </c>
      <c r="L1507" s="2" t="s">
        <v>64</v>
      </c>
      <c r="M1507" s="2" t="s">
        <v>12</v>
      </c>
      <c r="N1507" s="2" t="s">
        <v>12</v>
      </c>
      <c r="O1507" s="2" t="s">
        <v>12</v>
      </c>
      <c r="P1507" s="21" t="s">
        <v>12</v>
      </c>
      <c r="Q1507" s="3" t="s">
        <v>12</v>
      </c>
      <c r="R1507" s="3" t="s">
        <v>12</v>
      </c>
    </row>
    <row r="1508" spans="1:18" x14ac:dyDescent="0.25">
      <c r="A1508" s="30">
        <v>45895</v>
      </c>
      <c r="B1508" s="28">
        <v>1498</v>
      </c>
      <c r="C1508" s="28"/>
      <c r="D1508" s="2" t="s">
        <v>41</v>
      </c>
      <c r="E1508" s="7" t="s">
        <v>1825</v>
      </c>
      <c r="F1508" s="7"/>
      <c r="G1508" s="2" t="s">
        <v>43</v>
      </c>
      <c r="H1508" s="2" t="s">
        <v>319</v>
      </c>
      <c r="I1508" s="5">
        <v>59221.62</v>
      </c>
      <c r="J1508" s="57"/>
      <c r="K1508" s="3">
        <v>528</v>
      </c>
      <c r="L1508" s="2" t="s">
        <v>226</v>
      </c>
      <c r="M1508" s="2" t="s">
        <v>12</v>
      </c>
      <c r="N1508" s="2" t="s">
        <v>12</v>
      </c>
      <c r="O1508" s="2" t="s">
        <v>12</v>
      </c>
      <c r="P1508" s="21" t="s">
        <v>12</v>
      </c>
      <c r="Q1508" s="3" t="s">
        <v>1315</v>
      </c>
      <c r="R1508" s="3" t="s">
        <v>75</v>
      </c>
    </row>
    <row r="1509" spans="1:18" x14ac:dyDescent="0.25">
      <c r="A1509" s="30">
        <v>45895</v>
      </c>
      <c r="B1509" s="28">
        <v>1499</v>
      </c>
      <c r="C1509" s="28"/>
      <c r="D1509" s="2" t="s">
        <v>202</v>
      </c>
      <c r="E1509" s="7" t="s">
        <v>1826</v>
      </c>
      <c r="F1509" s="7"/>
      <c r="G1509" s="2" t="s">
        <v>97</v>
      </c>
      <c r="H1509" s="2" t="s">
        <v>119</v>
      </c>
      <c r="I1509" s="5">
        <v>88638.02</v>
      </c>
      <c r="J1509" s="57"/>
      <c r="K1509" s="3">
        <v>864</v>
      </c>
      <c r="L1509" s="2" t="s">
        <v>226</v>
      </c>
      <c r="M1509" s="2" t="s">
        <v>12</v>
      </c>
      <c r="N1509" s="2" t="s">
        <v>12</v>
      </c>
      <c r="O1509" s="2" t="s">
        <v>12</v>
      </c>
      <c r="P1509" s="21" t="s">
        <v>12</v>
      </c>
      <c r="Q1509" s="3" t="s">
        <v>1748</v>
      </c>
      <c r="R1509" s="3" t="s">
        <v>80</v>
      </c>
    </row>
    <row r="1510" spans="1:18" x14ac:dyDescent="0.25">
      <c r="A1510" s="30">
        <v>45905</v>
      </c>
      <c r="B1510" s="28">
        <v>1500</v>
      </c>
      <c r="C1510" s="28"/>
      <c r="D1510" s="2" t="s">
        <v>103</v>
      </c>
      <c r="E1510" s="7" t="s">
        <v>1983</v>
      </c>
      <c r="F1510" s="7"/>
      <c r="G1510" s="2" t="s">
        <v>13</v>
      </c>
      <c r="H1510" s="2" t="s">
        <v>491</v>
      </c>
      <c r="I1510" s="5">
        <v>68017.649999999994</v>
      </c>
      <c r="J1510" s="57"/>
      <c r="K1510" s="3">
        <v>888</v>
      </c>
      <c r="L1510" s="2" t="s">
        <v>134</v>
      </c>
      <c r="M1510" s="2" t="s">
        <v>135</v>
      </c>
      <c r="N1510" s="2" t="s">
        <v>135</v>
      </c>
      <c r="O1510" s="2" t="s">
        <v>374</v>
      </c>
      <c r="P1510" s="21">
        <v>65000</v>
      </c>
      <c r="Q1510" s="3" t="s">
        <v>12</v>
      </c>
      <c r="R1510" s="3" t="s">
        <v>12</v>
      </c>
    </row>
    <row r="1511" spans="1:18" x14ac:dyDescent="0.25">
      <c r="A1511" s="30">
        <v>45895</v>
      </c>
      <c r="B1511" s="28">
        <v>1501</v>
      </c>
      <c r="C1511" s="28"/>
      <c r="D1511" s="2" t="s">
        <v>41</v>
      </c>
      <c r="E1511" s="7" t="s">
        <v>12</v>
      </c>
      <c r="F1511" s="7"/>
      <c r="G1511" s="2" t="s">
        <v>43</v>
      </c>
      <c r="H1511" s="2" t="s">
        <v>417</v>
      </c>
      <c r="I1511" s="5">
        <v>7117.2</v>
      </c>
      <c r="J1511" s="57"/>
      <c r="K1511" s="3" t="s">
        <v>12</v>
      </c>
      <c r="L1511" s="2" t="s">
        <v>226</v>
      </c>
      <c r="M1511" s="2" t="s">
        <v>12</v>
      </c>
      <c r="N1511" s="2" t="s">
        <v>12</v>
      </c>
      <c r="O1511" s="2" t="s">
        <v>12</v>
      </c>
      <c r="P1511" s="21" t="s">
        <v>12</v>
      </c>
      <c r="Q1511" s="3" t="s">
        <v>12</v>
      </c>
      <c r="R1511" s="3" t="s">
        <v>12</v>
      </c>
    </row>
    <row r="1512" spans="1:18" x14ac:dyDescent="0.25">
      <c r="A1512" s="30">
        <v>45895</v>
      </c>
      <c r="B1512" s="28">
        <v>1502</v>
      </c>
      <c r="C1512" s="28"/>
      <c r="D1512" s="2" t="s">
        <v>825</v>
      </c>
      <c r="E1512" s="7" t="s">
        <v>1827</v>
      </c>
      <c r="F1512" s="7"/>
      <c r="G1512" s="2" t="s">
        <v>111</v>
      </c>
      <c r="H1512" s="2" t="s">
        <v>368</v>
      </c>
      <c r="I1512" s="5">
        <v>948.18</v>
      </c>
      <c r="J1512" s="57"/>
      <c r="K1512" s="3" t="s">
        <v>12</v>
      </c>
      <c r="L1512" s="2" t="s">
        <v>64</v>
      </c>
      <c r="M1512" s="2" t="s">
        <v>12</v>
      </c>
      <c r="N1512" s="2" t="s">
        <v>12</v>
      </c>
      <c r="O1512" s="2" t="s">
        <v>12</v>
      </c>
      <c r="P1512" s="21" t="s">
        <v>12</v>
      </c>
      <c r="Q1512" s="3" t="s">
        <v>12</v>
      </c>
      <c r="R1512" s="3" t="s">
        <v>12</v>
      </c>
    </row>
    <row r="1513" spans="1:18" x14ac:dyDescent="0.25">
      <c r="A1513" s="30">
        <v>45895</v>
      </c>
      <c r="B1513" s="28">
        <v>1503</v>
      </c>
      <c r="C1513" s="28"/>
      <c r="D1513" s="2" t="s">
        <v>92</v>
      </c>
      <c r="E1513" s="7" t="s">
        <v>1828</v>
      </c>
      <c r="F1513" s="7"/>
      <c r="G1513" s="2" t="s">
        <v>26</v>
      </c>
      <c r="H1513" s="2" t="s">
        <v>15</v>
      </c>
      <c r="I1513" s="5">
        <v>12872.41</v>
      </c>
      <c r="J1513" s="57"/>
      <c r="K1513" s="3">
        <v>96</v>
      </c>
      <c r="L1513" s="2" t="s">
        <v>226</v>
      </c>
      <c r="M1513" s="2" t="s">
        <v>12</v>
      </c>
      <c r="N1513" s="2" t="s">
        <v>12</v>
      </c>
      <c r="O1513" s="2" t="s">
        <v>12</v>
      </c>
      <c r="P1513" s="21" t="s">
        <v>12</v>
      </c>
      <c r="Q1513" s="3" t="s">
        <v>12</v>
      </c>
      <c r="R1513" s="3" t="s">
        <v>12</v>
      </c>
    </row>
    <row r="1514" spans="1:18" x14ac:dyDescent="0.25">
      <c r="A1514" s="30">
        <v>45895</v>
      </c>
      <c r="B1514" s="28">
        <v>1504</v>
      </c>
      <c r="C1514" s="28"/>
      <c r="D1514" s="2" t="s">
        <v>444</v>
      </c>
      <c r="E1514" s="7" t="s">
        <v>12</v>
      </c>
      <c r="F1514" s="7"/>
      <c r="G1514" s="2" t="s">
        <v>20</v>
      </c>
      <c r="H1514" s="2" t="s">
        <v>1829</v>
      </c>
      <c r="I1514" s="5">
        <v>9973.9500000000007</v>
      </c>
      <c r="J1514" s="57"/>
      <c r="K1514" s="3">
        <v>168</v>
      </c>
      <c r="L1514" s="2" t="s">
        <v>64</v>
      </c>
      <c r="M1514" s="2" t="s">
        <v>12</v>
      </c>
      <c r="N1514" s="2" t="s">
        <v>12</v>
      </c>
      <c r="O1514" s="2" t="s">
        <v>12</v>
      </c>
      <c r="P1514" s="21" t="s">
        <v>12</v>
      </c>
      <c r="Q1514" s="3" t="s">
        <v>12</v>
      </c>
      <c r="R1514" s="3" t="s">
        <v>12</v>
      </c>
    </row>
    <row r="1515" spans="1:18" x14ac:dyDescent="0.25">
      <c r="A1515" s="30">
        <v>45895</v>
      </c>
      <c r="B1515" s="28">
        <v>1505</v>
      </c>
      <c r="C1515" s="28"/>
      <c r="D1515" s="2" t="s">
        <v>403</v>
      </c>
      <c r="E1515" s="7" t="s">
        <v>1830</v>
      </c>
      <c r="F1515" s="7"/>
      <c r="G1515" s="2" t="s">
        <v>43</v>
      </c>
      <c r="H1515" s="2" t="s">
        <v>390</v>
      </c>
      <c r="I1515" s="5">
        <v>3666</v>
      </c>
      <c r="J1515" s="57"/>
      <c r="K1515" s="3">
        <v>48</v>
      </c>
      <c r="L1515" s="2" t="s">
        <v>226</v>
      </c>
      <c r="M1515" s="2" t="s">
        <v>1977</v>
      </c>
      <c r="N1515" s="2" t="s">
        <v>12</v>
      </c>
      <c r="O1515" s="2" t="s">
        <v>12</v>
      </c>
      <c r="P1515" s="21" t="s">
        <v>12</v>
      </c>
      <c r="Q1515" s="3" t="s">
        <v>1837</v>
      </c>
      <c r="R1515" s="3" t="s">
        <v>1838</v>
      </c>
    </row>
    <row r="1516" spans="1:18" x14ac:dyDescent="0.25">
      <c r="A1516" s="30">
        <v>45895</v>
      </c>
      <c r="B1516" s="28">
        <v>1506</v>
      </c>
      <c r="C1516" s="28"/>
      <c r="D1516" s="2" t="s">
        <v>525</v>
      </c>
      <c r="E1516" s="7" t="s">
        <v>1831</v>
      </c>
      <c r="F1516" s="7"/>
      <c r="G1516" s="2" t="s">
        <v>13</v>
      </c>
      <c r="H1516" s="2" t="s">
        <v>1169</v>
      </c>
      <c r="I1516" s="5">
        <v>131363.67000000001</v>
      </c>
      <c r="J1516" s="57"/>
      <c r="K1516" s="3">
        <v>1344</v>
      </c>
      <c r="L1516" s="2" t="s">
        <v>226</v>
      </c>
      <c r="M1516" s="2" t="s">
        <v>12</v>
      </c>
      <c r="N1516" s="2" t="s">
        <v>12</v>
      </c>
      <c r="O1516" s="2" t="s">
        <v>12</v>
      </c>
      <c r="P1516" s="21" t="s">
        <v>12</v>
      </c>
      <c r="Q1516" s="3" t="s">
        <v>525</v>
      </c>
      <c r="R1516" s="3" t="s">
        <v>75</v>
      </c>
    </row>
    <row r="1517" spans="1:18" x14ac:dyDescent="0.25">
      <c r="A1517" s="30">
        <v>45905</v>
      </c>
      <c r="B1517" s="28">
        <v>1507</v>
      </c>
      <c r="C1517" s="28"/>
      <c r="D1517" s="2" t="s">
        <v>41</v>
      </c>
      <c r="E1517" s="7" t="s">
        <v>1832</v>
      </c>
      <c r="F1517" s="7"/>
      <c r="G1517" s="2" t="s">
        <v>43</v>
      </c>
      <c r="H1517" s="2" t="s">
        <v>319</v>
      </c>
      <c r="I1517" s="5">
        <v>52292.800000000003</v>
      </c>
      <c r="J1517" s="57"/>
      <c r="K1517" s="3">
        <v>696</v>
      </c>
      <c r="L1517" s="2" t="s">
        <v>134</v>
      </c>
      <c r="M1517" s="2" t="s">
        <v>135</v>
      </c>
      <c r="N1517" s="2" t="s">
        <v>135</v>
      </c>
      <c r="O1517" s="2" t="s">
        <v>374</v>
      </c>
      <c r="P1517" s="21" t="s">
        <v>12</v>
      </c>
      <c r="Q1517" s="3" t="s">
        <v>1839</v>
      </c>
      <c r="R1517" s="3" t="s">
        <v>80</v>
      </c>
    </row>
    <row r="1518" spans="1:18" x14ac:dyDescent="0.25">
      <c r="A1518" s="30">
        <v>45896</v>
      </c>
      <c r="B1518" s="28">
        <v>1508</v>
      </c>
      <c r="C1518" s="28"/>
      <c r="D1518" s="2" t="s">
        <v>1446</v>
      </c>
      <c r="E1518" s="7" t="s">
        <v>1833</v>
      </c>
      <c r="F1518" s="7"/>
      <c r="G1518" s="2" t="s">
        <v>43</v>
      </c>
      <c r="H1518" s="2" t="s">
        <v>1448</v>
      </c>
      <c r="I1518" s="5">
        <v>5164.18</v>
      </c>
      <c r="J1518" s="57"/>
      <c r="K1518" s="3">
        <v>48</v>
      </c>
      <c r="L1518" s="2" t="s">
        <v>64</v>
      </c>
      <c r="M1518" s="2" t="s">
        <v>530</v>
      </c>
      <c r="N1518" s="2" t="s">
        <v>12</v>
      </c>
      <c r="O1518" s="2" t="s">
        <v>12</v>
      </c>
      <c r="P1518" s="21" t="s">
        <v>12</v>
      </c>
      <c r="Q1518" s="3" t="s">
        <v>12</v>
      </c>
      <c r="R1518" s="3" t="s">
        <v>12</v>
      </c>
    </row>
    <row r="1519" spans="1:18" x14ac:dyDescent="0.25">
      <c r="A1519" s="30">
        <v>45896</v>
      </c>
      <c r="B1519" s="28">
        <v>1509</v>
      </c>
      <c r="C1519" s="28"/>
      <c r="D1519" s="2" t="s">
        <v>737</v>
      </c>
      <c r="E1519" s="7" t="s">
        <v>12</v>
      </c>
      <c r="F1519" s="7"/>
      <c r="G1519" s="2" t="s">
        <v>13</v>
      </c>
      <c r="H1519" s="2" t="s">
        <v>101</v>
      </c>
      <c r="I1519" s="5">
        <v>2490.39</v>
      </c>
      <c r="J1519" s="57"/>
      <c r="K1519" s="3" t="s">
        <v>12</v>
      </c>
      <c r="L1519" s="2" t="s">
        <v>226</v>
      </c>
      <c r="M1519" s="2" t="s">
        <v>12</v>
      </c>
      <c r="N1519" s="2" t="s">
        <v>12</v>
      </c>
      <c r="O1519" s="2" t="s">
        <v>12</v>
      </c>
      <c r="P1519" s="21" t="s">
        <v>12</v>
      </c>
      <c r="Q1519" s="3" t="s">
        <v>12</v>
      </c>
      <c r="R1519" s="3" t="s">
        <v>12</v>
      </c>
    </row>
    <row r="1520" spans="1:18" x14ac:dyDescent="0.25">
      <c r="A1520" s="30">
        <v>45896</v>
      </c>
      <c r="B1520" s="28">
        <v>1510</v>
      </c>
      <c r="C1520" s="28"/>
      <c r="D1520" s="2" t="s">
        <v>525</v>
      </c>
      <c r="E1520" s="7" t="s">
        <v>1834</v>
      </c>
      <c r="F1520" s="7"/>
      <c r="G1520" s="2" t="s">
        <v>13</v>
      </c>
      <c r="H1520" s="2" t="s">
        <v>1169</v>
      </c>
      <c r="I1520" s="5">
        <v>57844.84</v>
      </c>
      <c r="J1520" s="57"/>
      <c r="K1520" s="3">
        <v>624</v>
      </c>
      <c r="L1520" s="2" t="s">
        <v>226</v>
      </c>
      <c r="M1520" s="2" t="s">
        <v>12</v>
      </c>
      <c r="N1520" s="2" t="s">
        <v>12</v>
      </c>
      <c r="O1520" s="2" t="s">
        <v>12</v>
      </c>
      <c r="P1520" s="21" t="s">
        <v>12</v>
      </c>
      <c r="Q1520" s="3" t="s">
        <v>525</v>
      </c>
      <c r="R1520" s="3" t="s">
        <v>75</v>
      </c>
    </row>
    <row r="1521" spans="1:18" x14ac:dyDescent="0.25">
      <c r="A1521" s="30">
        <v>45896</v>
      </c>
      <c r="B1521" s="28">
        <v>1511</v>
      </c>
      <c r="C1521" s="28"/>
      <c r="D1521" s="2" t="s">
        <v>1099</v>
      </c>
      <c r="E1521" s="7" t="s">
        <v>1835</v>
      </c>
      <c r="F1521" s="7"/>
      <c r="G1521" s="2" t="s">
        <v>20</v>
      </c>
      <c r="H1521" s="2" t="s">
        <v>129</v>
      </c>
      <c r="I1521" s="5">
        <v>309749.08</v>
      </c>
      <c r="J1521" s="57"/>
      <c r="K1521" s="3">
        <v>3960</v>
      </c>
      <c r="L1521" s="2" t="s">
        <v>226</v>
      </c>
      <c r="M1521" s="2" t="s">
        <v>667</v>
      </c>
      <c r="N1521" s="2" t="s">
        <v>12</v>
      </c>
      <c r="O1521" s="2" t="s">
        <v>12</v>
      </c>
      <c r="P1521" s="21" t="s">
        <v>12</v>
      </c>
      <c r="Q1521" s="3" t="s">
        <v>959</v>
      </c>
      <c r="R1521" s="3" t="s">
        <v>80</v>
      </c>
    </row>
    <row r="1522" spans="1:18" x14ac:dyDescent="0.25">
      <c r="A1522" s="30">
        <v>45896</v>
      </c>
      <c r="B1522" s="28">
        <v>1512</v>
      </c>
      <c r="C1522" s="28"/>
      <c r="D1522" s="2" t="s">
        <v>165</v>
      </c>
      <c r="E1522" s="7" t="s">
        <v>316</v>
      </c>
      <c r="F1522" s="7"/>
      <c r="G1522" s="2" t="s">
        <v>97</v>
      </c>
      <c r="H1522" s="2" t="s">
        <v>167</v>
      </c>
      <c r="I1522" s="5">
        <v>89587.87</v>
      </c>
      <c r="J1522" s="57"/>
      <c r="K1522" s="3">
        <v>1200</v>
      </c>
      <c r="L1522" s="2" t="s">
        <v>64</v>
      </c>
      <c r="M1522" s="2" t="s">
        <v>12</v>
      </c>
      <c r="N1522" s="2" t="s">
        <v>12</v>
      </c>
      <c r="O1522" s="2" t="s">
        <v>12</v>
      </c>
      <c r="P1522" s="21" t="s">
        <v>12</v>
      </c>
      <c r="Q1522" s="3" t="s">
        <v>12</v>
      </c>
      <c r="R1522" s="3" t="s">
        <v>12</v>
      </c>
    </row>
    <row r="1523" spans="1:18" x14ac:dyDescent="0.25">
      <c r="A1523" s="30">
        <v>45896</v>
      </c>
      <c r="B1523" s="28">
        <v>1513</v>
      </c>
      <c r="C1523" s="28"/>
      <c r="D1523" s="2" t="s">
        <v>1466</v>
      </c>
      <c r="E1523" s="7" t="s">
        <v>1853</v>
      </c>
      <c r="F1523" s="7"/>
      <c r="G1523" s="2" t="s">
        <v>26</v>
      </c>
      <c r="H1523" s="2" t="s">
        <v>395</v>
      </c>
      <c r="I1523" s="5">
        <v>46845.35</v>
      </c>
      <c r="J1523" s="57"/>
      <c r="K1523" s="3">
        <v>408</v>
      </c>
      <c r="L1523" s="2" t="s">
        <v>226</v>
      </c>
      <c r="M1523" s="2" t="s">
        <v>12</v>
      </c>
      <c r="N1523" s="2" t="s">
        <v>12</v>
      </c>
      <c r="O1523" s="2" t="s">
        <v>12</v>
      </c>
      <c r="P1523" s="21" t="s">
        <v>12</v>
      </c>
      <c r="Q1523" s="3" t="s">
        <v>12</v>
      </c>
      <c r="R1523" s="3" t="s">
        <v>12</v>
      </c>
    </row>
    <row r="1524" spans="1:18" x14ac:dyDescent="0.25">
      <c r="A1524" s="30">
        <v>45961</v>
      </c>
      <c r="B1524" s="28">
        <v>1514</v>
      </c>
      <c r="C1524" s="28"/>
      <c r="D1524" s="2" t="s">
        <v>1099</v>
      </c>
      <c r="E1524" s="7" t="s">
        <v>1786</v>
      </c>
      <c r="F1524" s="7"/>
      <c r="G1524" s="2" t="s">
        <v>20</v>
      </c>
      <c r="H1524" s="2" t="s">
        <v>129</v>
      </c>
      <c r="I1524" s="5">
        <v>21947.21</v>
      </c>
      <c r="J1524" s="57"/>
      <c r="K1524" s="3">
        <v>336</v>
      </c>
      <c r="L1524" s="2" t="s">
        <v>134</v>
      </c>
      <c r="M1524" s="2" t="s">
        <v>373</v>
      </c>
      <c r="N1524" s="2" t="s">
        <v>373</v>
      </c>
      <c r="O1524" s="2" t="s">
        <v>528</v>
      </c>
      <c r="P1524" s="21" t="s">
        <v>12</v>
      </c>
      <c r="Q1524" s="3" t="s">
        <v>1801</v>
      </c>
      <c r="R1524" s="3" t="s">
        <v>76</v>
      </c>
    </row>
    <row r="1525" spans="1:18" x14ac:dyDescent="0.25">
      <c r="A1525" s="30">
        <v>45897</v>
      </c>
      <c r="B1525" s="28">
        <v>1515</v>
      </c>
      <c r="C1525" s="28"/>
      <c r="D1525" s="2" t="s">
        <v>1099</v>
      </c>
      <c r="E1525" s="7" t="s">
        <v>1854</v>
      </c>
      <c r="F1525" s="7"/>
      <c r="G1525" s="2" t="s">
        <v>20</v>
      </c>
      <c r="H1525" s="2" t="s">
        <v>129</v>
      </c>
      <c r="I1525" s="5">
        <v>81089.7</v>
      </c>
      <c r="J1525" s="57"/>
      <c r="K1525" s="3">
        <v>984</v>
      </c>
      <c r="L1525" s="2" t="s">
        <v>64</v>
      </c>
      <c r="M1525" s="2" t="s">
        <v>530</v>
      </c>
      <c r="N1525" s="2" t="s">
        <v>12</v>
      </c>
      <c r="O1525" s="2" t="s">
        <v>12</v>
      </c>
      <c r="P1525" s="21" t="s">
        <v>12</v>
      </c>
      <c r="Q1525" s="3" t="s">
        <v>1900</v>
      </c>
      <c r="R1525" s="3" t="s">
        <v>80</v>
      </c>
    </row>
    <row r="1526" spans="1:18" x14ac:dyDescent="0.25">
      <c r="A1526" s="30">
        <v>45897</v>
      </c>
      <c r="B1526" s="28">
        <v>1516</v>
      </c>
      <c r="C1526" s="28"/>
      <c r="D1526" s="2" t="s">
        <v>41</v>
      </c>
      <c r="E1526" s="7" t="s">
        <v>1855</v>
      </c>
      <c r="F1526" s="7"/>
      <c r="G1526" s="2" t="s">
        <v>43</v>
      </c>
      <c r="H1526" s="2" t="s">
        <v>43</v>
      </c>
      <c r="I1526" s="5">
        <v>319592.01</v>
      </c>
      <c r="J1526" s="57"/>
      <c r="K1526" s="3">
        <v>3096</v>
      </c>
      <c r="L1526" s="2" t="s">
        <v>226</v>
      </c>
      <c r="M1526" s="2" t="s">
        <v>12</v>
      </c>
      <c r="N1526" s="2" t="s">
        <v>12</v>
      </c>
      <c r="O1526" s="2" t="s">
        <v>12</v>
      </c>
      <c r="P1526" s="21" t="s">
        <v>12</v>
      </c>
      <c r="Q1526" s="3" t="s">
        <v>1315</v>
      </c>
      <c r="R1526" s="3" t="s">
        <v>75</v>
      </c>
    </row>
    <row r="1527" spans="1:18" x14ac:dyDescent="0.25">
      <c r="A1527" s="30">
        <v>45897</v>
      </c>
      <c r="B1527" s="28">
        <v>1517</v>
      </c>
      <c r="C1527" s="28"/>
      <c r="D1527" s="2" t="s">
        <v>637</v>
      </c>
      <c r="E1527" s="7" t="s">
        <v>1856</v>
      </c>
      <c r="F1527" s="7"/>
      <c r="G1527" s="2" t="s">
        <v>13</v>
      </c>
      <c r="H1527" s="2" t="s">
        <v>15</v>
      </c>
      <c r="I1527" s="5">
        <v>52985.59</v>
      </c>
      <c r="J1527" s="57"/>
      <c r="K1527" s="3">
        <v>576</v>
      </c>
      <c r="L1527" s="2" t="s">
        <v>226</v>
      </c>
      <c r="M1527" s="2" t="s">
        <v>12</v>
      </c>
      <c r="N1527" s="2" t="s">
        <v>12</v>
      </c>
      <c r="O1527" s="2" t="s">
        <v>12</v>
      </c>
      <c r="P1527" s="21" t="s">
        <v>12</v>
      </c>
      <c r="Q1527" s="3" t="s">
        <v>959</v>
      </c>
      <c r="R1527" s="3" t="s">
        <v>76</v>
      </c>
    </row>
    <row r="1528" spans="1:18" x14ac:dyDescent="0.25">
      <c r="A1528" s="30">
        <v>45897</v>
      </c>
      <c r="B1528" s="28">
        <v>1518</v>
      </c>
      <c r="C1528" s="28"/>
      <c r="D1528" s="2" t="s">
        <v>1721</v>
      </c>
      <c r="E1528" s="7" t="s">
        <v>744</v>
      </c>
      <c r="F1528" s="7"/>
      <c r="G1528" s="2" t="s">
        <v>111</v>
      </c>
      <c r="H1528" s="2" t="s">
        <v>101</v>
      </c>
      <c r="I1528" s="5">
        <v>159058.54999999999</v>
      </c>
      <c r="J1528" s="57"/>
      <c r="K1528" s="3">
        <v>1416</v>
      </c>
      <c r="L1528" s="2" t="s">
        <v>64</v>
      </c>
      <c r="M1528" s="2" t="s">
        <v>530</v>
      </c>
      <c r="N1528" s="2" t="s">
        <v>12</v>
      </c>
      <c r="O1528" s="2" t="s">
        <v>12</v>
      </c>
      <c r="P1528" s="21" t="s">
        <v>12</v>
      </c>
      <c r="Q1528" s="3" t="s">
        <v>75</v>
      </c>
      <c r="R1528" s="3" t="s">
        <v>75</v>
      </c>
    </row>
    <row r="1529" spans="1:18" x14ac:dyDescent="0.25">
      <c r="A1529" s="30">
        <v>45897</v>
      </c>
      <c r="B1529" s="28">
        <v>1519</v>
      </c>
      <c r="C1529" s="28"/>
      <c r="D1529" s="2" t="s">
        <v>206</v>
      </c>
      <c r="E1529" s="7" t="s">
        <v>1150</v>
      </c>
      <c r="F1529" s="7"/>
      <c r="G1529" s="2" t="s">
        <v>97</v>
      </c>
      <c r="H1529" s="2" t="s">
        <v>473</v>
      </c>
      <c r="I1529" s="5">
        <v>8897.81</v>
      </c>
      <c r="J1529" s="57"/>
      <c r="K1529" s="3">
        <v>144</v>
      </c>
      <c r="L1529" s="2" t="s">
        <v>64</v>
      </c>
      <c r="M1529" s="2" t="s">
        <v>12</v>
      </c>
      <c r="N1529" s="2" t="s">
        <v>12</v>
      </c>
      <c r="O1529" s="2" t="s">
        <v>12</v>
      </c>
      <c r="P1529" s="21" t="s">
        <v>12</v>
      </c>
      <c r="Q1529" s="3" t="s">
        <v>12</v>
      </c>
      <c r="R1529" s="3" t="s">
        <v>12</v>
      </c>
    </row>
    <row r="1530" spans="1:18" x14ac:dyDescent="0.25">
      <c r="A1530" s="30">
        <v>45897</v>
      </c>
      <c r="B1530" s="28">
        <v>1520</v>
      </c>
      <c r="C1530" s="28"/>
      <c r="D1530" s="2" t="s">
        <v>206</v>
      </c>
      <c r="E1530" s="7" t="s">
        <v>1857</v>
      </c>
      <c r="F1530" s="7"/>
      <c r="G1530" s="2" t="s">
        <v>97</v>
      </c>
      <c r="H1530" s="2" t="s">
        <v>368</v>
      </c>
      <c r="I1530" s="5">
        <v>11748.29</v>
      </c>
      <c r="J1530" s="57"/>
      <c r="K1530" s="3">
        <v>96</v>
      </c>
      <c r="L1530" s="2" t="s">
        <v>226</v>
      </c>
      <c r="M1530" s="2" t="s">
        <v>12</v>
      </c>
      <c r="N1530" s="2" t="s">
        <v>12</v>
      </c>
      <c r="O1530" s="2" t="s">
        <v>12</v>
      </c>
      <c r="P1530" s="21" t="s">
        <v>12</v>
      </c>
      <c r="Q1530" s="3" t="s">
        <v>1901</v>
      </c>
      <c r="R1530" s="3" t="s">
        <v>80</v>
      </c>
    </row>
    <row r="1531" spans="1:18" x14ac:dyDescent="0.25">
      <c r="A1531" s="30">
        <v>45901</v>
      </c>
      <c r="B1531" s="28">
        <v>1521</v>
      </c>
      <c r="C1531" s="28"/>
      <c r="D1531" s="2" t="s">
        <v>206</v>
      </c>
      <c r="E1531" s="7" t="s">
        <v>1858</v>
      </c>
      <c r="F1531" s="7"/>
      <c r="G1531" s="2" t="s">
        <v>97</v>
      </c>
      <c r="H1531" s="2" t="s">
        <v>473</v>
      </c>
      <c r="I1531" s="5">
        <v>32511.54</v>
      </c>
      <c r="J1531" s="57"/>
      <c r="K1531" s="3">
        <v>480</v>
      </c>
      <c r="L1531" s="2" t="s">
        <v>64</v>
      </c>
      <c r="M1531" s="2" t="s">
        <v>12</v>
      </c>
      <c r="N1531" s="2" t="s">
        <v>12</v>
      </c>
      <c r="O1531" s="2" t="s">
        <v>12</v>
      </c>
      <c r="P1531" s="21" t="s">
        <v>12</v>
      </c>
      <c r="Q1531" s="3" t="s">
        <v>12</v>
      </c>
      <c r="R1531" s="3" t="s">
        <v>12</v>
      </c>
    </row>
    <row r="1532" spans="1:18" x14ac:dyDescent="0.25">
      <c r="A1532" s="30">
        <v>45897</v>
      </c>
      <c r="B1532" s="28">
        <v>1522</v>
      </c>
      <c r="C1532" s="28"/>
      <c r="D1532" s="2" t="s">
        <v>1767</v>
      </c>
      <c r="E1532" s="7" t="s">
        <v>1859</v>
      </c>
      <c r="F1532" s="7"/>
      <c r="G1532" s="2" t="s">
        <v>97</v>
      </c>
      <c r="H1532" s="2" t="s">
        <v>288</v>
      </c>
      <c r="I1532" s="5">
        <v>12212.06</v>
      </c>
      <c r="J1532" s="57"/>
      <c r="K1532" s="3">
        <v>120</v>
      </c>
      <c r="L1532" s="2" t="s">
        <v>226</v>
      </c>
      <c r="M1532" s="2" t="s">
        <v>12</v>
      </c>
      <c r="N1532" s="2" t="s">
        <v>12</v>
      </c>
      <c r="O1532" s="2" t="s">
        <v>12</v>
      </c>
      <c r="P1532" s="21" t="s">
        <v>12</v>
      </c>
      <c r="Q1532" s="3" t="s">
        <v>286</v>
      </c>
      <c r="R1532" s="3" t="s">
        <v>1902</v>
      </c>
    </row>
    <row r="1533" spans="1:18" x14ac:dyDescent="0.25">
      <c r="A1533" s="30">
        <v>45897</v>
      </c>
      <c r="B1533" s="28">
        <v>1523</v>
      </c>
      <c r="C1533" s="28"/>
      <c r="D1533" s="2" t="s">
        <v>87</v>
      </c>
      <c r="E1533" s="7" t="s">
        <v>1860</v>
      </c>
      <c r="F1533" s="7"/>
      <c r="G1533" s="2" t="s">
        <v>13</v>
      </c>
      <c r="H1533" s="2" t="s">
        <v>238</v>
      </c>
      <c r="I1533" s="5">
        <v>101703.71</v>
      </c>
      <c r="J1533" s="57"/>
      <c r="K1533" s="3">
        <v>1056</v>
      </c>
      <c r="L1533" s="2" t="s">
        <v>64</v>
      </c>
      <c r="M1533" s="2" t="s">
        <v>12</v>
      </c>
      <c r="N1533" s="2" t="s">
        <v>12</v>
      </c>
      <c r="O1533" s="2" t="s">
        <v>12</v>
      </c>
      <c r="P1533" s="21" t="s">
        <v>12</v>
      </c>
      <c r="Q1533" s="3" t="s">
        <v>87</v>
      </c>
      <c r="R1533" s="3" t="s">
        <v>80</v>
      </c>
    </row>
    <row r="1534" spans="1:18" x14ac:dyDescent="0.25">
      <c r="A1534" s="30">
        <v>45898</v>
      </c>
      <c r="B1534" s="28">
        <v>1524</v>
      </c>
      <c r="C1534" s="28"/>
      <c r="D1534" s="2" t="s">
        <v>1899</v>
      </c>
      <c r="E1534" s="7" t="s">
        <v>1982</v>
      </c>
      <c r="F1534" s="7"/>
      <c r="G1534" s="2" t="s">
        <v>111</v>
      </c>
      <c r="H1534" s="2"/>
      <c r="I1534" s="5"/>
      <c r="J1534" s="57"/>
      <c r="K1534" s="3"/>
      <c r="L1534" s="2" t="s">
        <v>226</v>
      </c>
      <c r="M1534" s="2"/>
      <c r="N1534" s="2"/>
      <c r="O1534" s="2"/>
      <c r="P1534" s="21"/>
      <c r="Q1534" s="3"/>
      <c r="R1534" s="3"/>
    </row>
    <row r="1535" spans="1:18" x14ac:dyDescent="0.25">
      <c r="A1535" s="30">
        <v>45898</v>
      </c>
      <c r="B1535" s="28">
        <v>1525</v>
      </c>
      <c r="C1535" s="28"/>
      <c r="D1535" s="2" t="s">
        <v>87</v>
      </c>
      <c r="E1535" s="7" t="s">
        <v>1861</v>
      </c>
      <c r="F1535" s="7"/>
      <c r="G1535" s="2" t="s">
        <v>13</v>
      </c>
      <c r="H1535" s="2" t="s">
        <v>238</v>
      </c>
      <c r="I1535" s="5">
        <v>18539.14</v>
      </c>
      <c r="J1535" s="57"/>
      <c r="K1535" s="3">
        <v>192</v>
      </c>
      <c r="L1535" s="2" t="s">
        <v>64</v>
      </c>
      <c r="M1535" s="2" t="s">
        <v>12</v>
      </c>
      <c r="N1535" s="2" t="s">
        <v>12</v>
      </c>
      <c r="O1535" s="2" t="s">
        <v>12</v>
      </c>
      <c r="P1535" s="21" t="s">
        <v>12</v>
      </c>
      <c r="Q1535" s="3" t="s">
        <v>87</v>
      </c>
      <c r="R1535" s="3" t="s">
        <v>80</v>
      </c>
    </row>
    <row r="1536" spans="1:18" x14ac:dyDescent="0.25">
      <c r="A1536" s="30">
        <v>45898</v>
      </c>
      <c r="B1536" s="28">
        <v>1526</v>
      </c>
      <c r="C1536" s="28"/>
      <c r="D1536" s="2" t="s">
        <v>1673</v>
      </c>
      <c r="E1536" s="7" t="s">
        <v>1862</v>
      </c>
      <c r="F1536" s="7"/>
      <c r="G1536" s="2" t="s">
        <v>26</v>
      </c>
      <c r="H1536" s="2" t="s">
        <v>1540</v>
      </c>
      <c r="I1536" s="5">
        <v>5080.9799999999996</v>
      </c>
      <c r="J1536" s="57"/>
      <c r="K1536" s="3">
        <v>48</v>
      </c>
      <c r="L1536" s="2" t="s">
        <v>226</v>
      </c>
      <c r="M1536" s="2" t="s">
        <v>12</v>
      </c>
      <c r="N1536" s="2" t="s">
        <v>12</v>
      </c>
      <c r="O1536" s="2" t="s">
        <v>12</v>
      </c>
      <c r="P1536" s="21" t="s">
        <v>12</v>
      </c>
      <c r="Q1536" s="3" t="s">
        <v>1681</v>
      </c>
      <c r="R1536" s="3" t="s">
        <v>222</v>
      </c>
    </row>
    <row r="1537" spans="1:18" x14ac:dyDescent="0.25">
      <c r="A1537" s="30">
        <v>45898</v>
      </c>
      <c r="B1537" s="28">
        <v>1527</v>
      </c>
      <c r="C1537" s="28"/>
      <c r="D1537" s="2" t="s">
        <v>137</v>
      </c>
      <c r="E1537" s="7" t="s">
        <v>12</v>
      </c>
      <c r="F1537" s="7"/>
      <c r="G1537" s="2" t="s">
        <v>26</v>
      </c>
      <c r="H1537" s="2" t="s">
        <v>98</v>
      </c>
      <c r="I1537" s="5">
        <v>758.27</v>
      </c>
      <c r="J1537" s="57"/>
      <c r="K1537" s="3" t="s">
        <v>12</v>
      </c>
      <c r="L1537" s="2" t="s">
        <v>226</v>
      </c>
      <c r="M1537" s="2" t="s">
        <v>12</v>
      </c>
      <c r="N1537" s="2" t="s">
        <v>12</v>
      </c>
      <c r="O1537" s="2" t="s">
        <v>12</v>
      </c>
      <c r="P1537" s="21" t="s">
        <v>12</v>
      </c>
      <c r="Q1537" s="3" t="s">
        <v>12</v>
      </c>
      <c r="R1537" s="3" t="s">
        <v>12</v>
      </c>
    </row>
    <row r="1538" spans="1:18" x14ac:dyDescent="0.25">
      <c r="A1538" s="30">
        <v>45898</v>
      </c>
      <c r="B1538" s="28">
        <v>1528</v>
      </c>
      <c r="C1538" s="28"/>
      <c r="D1538" s="2" t="s">
        <v>1863</v>
      </c>
      <c r="E1538" s="7" t="s">
        <v>12</v>
      </c>
      <c r="F1538" s="7"/>
      <c r="G1538" s="2" t="s">
        <v>43</v>
      </c>
      <c r="H1538" s="2" t="s">
        <v>1037</v>
      </c>
      <c r="I1538" s="5">
        <v>88805.81</v>
      </c>
      <c r="J1538" s="57"/>
      <c r="K1538" s="3">
        <v>927.6</v>
      </c>
      <c r="L1538" s="2" t="s">
        <v>226</v>
      </c>
      <c r="M1538" s="2" t="s">
        <v>12</v>
      </c>
      <c r="N1538" s="2" t="s">
        <v>12</v>
      </c>
      <c r="O1538" s="2" t="s">
        <v>12</v>
      </c>
      <c r="P1538" s="21" t="s">
        <v>12</v>
      </c>
      <c r="Q1538" s="3" t="s">
        <v>12</v>
      </c>
      <c r="R1538" s="3" t="s">
        <v>12</v>
      </c>
    </row>
    <row r="1539" spans="1:18" x14ac:dyDescent="0.25">
      <c r="A1539" s="30">
        <v>45901</v>
      </c>
      <c r="B1539" s="28">
        <v>1529</v>
      </c>
      <c r="C1539" s="28"/>
      <c r="D1539" s="2" t="s">
        <v>103</v>
      </c>
      <c r="E1539" s="7" t="s">
        <v>1864</v>
      </c>
      <c r="F1539" s="7"/>
      <c r="G1539" s="2" t="s">
        <v>13</v>
      </c>
      <c r="H1539" s="2" t="s">
        <v>491</v>
      </c>
      <c r="I1539" s="5">
        <v>65000</v>
      </c>
      <c r="J1539" s="57"/>
      <c r="K1539" s="3">
        <v>864</v>
      </c>
      <c r="L1539" s="2" t="s">
        <v>64</v>
      </c>
      <c r="M1539" s="2" t="s">
        <v>12</v>
      </c>
      <c r="N1539" s="2" t="s">
        <v>12</v>
      </c>
      <c r="O1539" s="2" t="s">
        <v>12</v>
      </c>
      <c r="P1539" s="21" t="s">
        <v>12</v>
      </c>
      <c r="Q1539" s="3" t="s">
        <v>12</v>
      </c>
      <c r="R1539" s="3" t="s">
        <v>12</v>
      </c>
    </row>
    <row r="1540" spans="1:18" x14ac:dyDescent="0.25">
      <c r="A1540" s="30">
        <v>45898</v>
      </c>
      <c r="B1540" s="28">
        <v>1530</v>
      </c>
      <c r="C1540" s="28"/>
      <c r="D1540" s="2" t="s">
        <v>1865</v>
      </c>
      <c r="E1540" s="7" t="s">
        <v>12</v>
      </c>
      <c r="F1540" s="7"/>
      <c r="G1540" s="2" t="s">
        <v>13</v>
      </c>
      <c r="H1540" s="2" t="s">
        <v>119</v>
      </c>
      <c r="I1540" s="5">
        <v>31123.29</v>
      </c>
      <c r="J1540" s="57"/>
      <c r="K1540" s="3">
        <v>360</v>
      </c>
      <c r="L1540" s="2" t="s">
        <v>226</v>
      </c>
      <c r="M1540" s="2" t="s">
        <v>12</v>
      </c>
      <c r="N1540" s="2" t="s">
        <v>12</v>
      </c>
      <c r="O1540" s="2" t="s">
        <v>12</v>
      </c>
      <c r="P1540" s="21" t="s">
        <v>12</v>
      </c>
      <c r="Q1540" s="3" t="s">
        <v>12</v>
      </c>
      <c r="R1540" s="3" t="s">
        <v>12</v>
      </c>
    </row>
    <row r="1541" spans="1:18" x14ac:dyDescent="0.25">
      <c r="A1541" s="30">
        <v>45905</v>
      </c>
      <c r="B1541" s="28">
        <v>1531</v>
      </c>
      <c r="C1541" s="28"/>
      <c r="D1541" s="2" t="s">
        <v>212</v>
      </c>
      <c r="E1541" s="7" t="s">
        <v>1866</v>
      </c>
      <c r="F1541" s="7"/>
      <c r="G1541" s="2" t="s">
        <v>20</v>
      </c>
      <c r="H1541" s="2" t="s">
        <v>251</v>
      </c>
      <c r="I1541" s="5">
        <v>57797.02</v>
      </c>
      <c r="J1541" s="57"/>
      <c r="K1541" s="3">
        <v>517.20000000000005</v>
      </c>
      <c r="L1541" s="2" t="s">
        <v>134</v>
      </c>
      <c r="M1541" s="2" t="s">
        <v>135</v>
      </c>
      <c r="N1541" s="2" t="s">
        <v>135</v>
      </c>
      <c r="O1541" s="2" t="s">
        <v>1980</v>
      </c>
      <c r="P1541" s="21" t="s">
        <v>12</v>
      </c>
      <c r="Q1541" s="3" t="s">
        <v>1903</v>
      </c>
      <c r="R1541" s="3" t="s">
        <v>76</v>
      </c>
    </row>
    <row r="1542" spans="1:18" x14ac:dyDescent="0.25">
      <c r="A1542" s="30">
        <v>45898</v>
      </c>
      <c r="B1542" s="28">
        <v>1532</v>
      </c>
      <c r="C1542" s="28"/>
      <c r="D1542" s="2" t="s">
        <v>388</v>
      </c>
      <c r="E1542" s="7" t="s">
        <v>1867</v>
      </c>
      <c r="F1542" s="7"/>
      <c r="G1542" s="2" t="s">
        <v>26</v>
      </c>
      <c r="H1542" s="2" t="s">
        <v>928</v>
      </c>
      <c r="I1542" s="5">
        <v>2422.25</v>
      </c>
      <c r="J1542" s="57"/>
      <c r="K1542" s="3">
        <v>24</v>
      </c>
      <c r="L1542" s="2" t="s">
        <v>226</v>
      </c>
      <c r="M1542" s="2" t="s">
        <v>12</v>
      </c>
      <c r="N1542" s="2" t="s">
        <v>12</v>
      </c>
      <c r="O1542" s="2" t="s">
        <v>12</v>
      </c>
      <c r="P1542" s="21" t="s">
        <v>12</v>
      </c>
      <c r="Q1542" s="3" t="s">
        <v>956</v>
      </c>
      <c r="R1542" s="3" t="s">
        <v>80</v>
      </c>
    </row>
    <row r="1543" spans="1:18" x14ac:dyDescent="0.25">
      <c r="A1543" s="30">
        <v>45901</v>
      </c>
      <c r="B1543" s="28">
        <v>1533</v>
      </c>
      <c r="C1543" s="28"/>
      <c r="D1543" s="2" t="s">
        <v>1673</v>
      </c>
      <c r="E1543" s="7" t="s">
        <v>1868</v>
      </c>
      <c r="F1543" s="7"/>
      <c r="G1543" s="2" t="s">
        <v>26</v>
      </c>
      <c r="H1543" s="2" t="s">
        <v>1540</v>
      </c>
      <c r="I1543" s="5">
        <v>10423.700000000001</v>
      </c>
      <c r="J1543" s="57"/>
      <c r="K1543" s="3">
        <v>96</v>
      </c>
      <c r="L1543" s="2" t="s">
        <v>226</v>
      </c>
      <c r="M1543" s="2" t="s">
        <v>12</v>
      </c>
      <c r="N1543" s="2" t="s">
        <v>12</v>
      </c>
      <c r="O1543" s="2" t="s">
        <v>12</v>
      </c>
      <c r="P1543" s="21" t="s">
        <v>12</v>
      </c>
      <c r="Q1543" s="3" t="s">
        <v>1904</v>
      </c>
      <c r="R1543" s="3" t="s">
        <v>76</v>
      </c>
    </row>
    <row r="1544" spans="1:18" x14ac:dyDescent="0.25">
      <c r="A1544" s="30">
        <v>45901</v>
      </c>
      <c r="B1544" s="28">
        <v>1534</v>
      </c>
      <c r="C1544" s="28"/>
      <c r="D1544" s="2" t="s">
        <v>273</v>
      </c>
      <c r="E1544" s="7" t="s">
        <v>12</v>
      </c>
      <c r="F1544" s="7"/>
      <c r="G1544" s="2" t="s">
        <v>26</v>
      </c>
      <c r="H1544" s="2" t="s">
        <v>116</v>
      </c>
      <c r="I1544" s="5">
        <v>4607.5</v>
      </c>
      <c r="J1544" s="57"/>
      <c r="K1544" s="3" t="s">
        <v>12</v>
      </c>
      <c r="L1544" s="2" t="s">
        <v>226</v>
      </c>
      <c r="M1544" s="2" t="s">
        <v>12</v>
      </c>
      <c r="N1544" s="2" t="s">
        <v>12</v>
      </c>
      <c r="O1544" s="2" t="s">
        <v>12</v>
      </c>
      <c r="P1544" s="21" t="s">
        <v>12</v>
      </c>
      <c r="Q1544" s="3" t="s">
        <v>12</v>
      </c>
      <c r="R1544" s="3" t="s">
        <v>12</v>
      </c>
    </row>
    <row r="1545" spans="1:18" x14ac:dyDescent="0.25">
      <c r="A1545" s="30">
        <v>45901</v>
      </c>
      <c r="B1545" s="28">
        <v>1535</v>
      </c>
      <c r="C1545" s="28"/>
      <c r="D1545" s="2" t="s">
        <v>68</v>
      </c>
      <c r="E1545" s="7" t="s">
        <v>12</v>
      </c>
      <c r="F1545" s="7"/>
      <c r="G1545" s="2" t="s">
        <v>13</v>
      </c>
      <c r="H1545" s="2"/>
      <c r="I1545" s="5">
        <v>141167.89000000001</v>
      </c>
      <c r="J1545" s="57"/>
      <c r="K1545" s="3">
        <v>1416</v>
      </c>
      <c r="L1545" s="2" t="s">
        <v>226</v>
      </c>
      <c r="M1545" s="2" t="s">
        <v>12</v>
      </c>
      <c r="N1545" s="2" t="s">
        <v>12</v>
      </c>
      <c r="O1545" s="2" t="s">
        <v>12</v>
      </c>
      <c r="P1545" s="21" t="s">
        <v>12</v>
      </c>
      <c r="Q1545" s="3" t="s">
        <v>12</v>
      </c>
      <c r="R1545" s="3" t="s">
        <v>12</v>
      </c>
    </row>
    <row r="1546" spans="1:18" x14ac:dyDescent="0.25">
      <c r="A1546" s="30">
        <v>45901</v>
      </c>
      <c r="B1546" s="28">
        <v>1536</v>
      </c>
      <c r="C1546" s="28"/>
      <c r="D1546" s="2" t="s">
        <v>130</v>
      </c>
      <c r="E1546" s="7" t="s">
        <v>1869</v>
      </c>
      <c r="F1546" s="7"/>
      <c r="G1546" s="2" t="s">
        <v>26</v>
      </c>
      <c r="H1546" s="2" t="s">
        <v>369</v>
      </c>
      <c r="I1546" s="5">
        <v>165462.28</v>
      </c>
      <c r="J1546" s="57"/>
      <c r="K1546" s="3">
        <v>1776</v>
      </c>
      <c r="L1546" s="2" t="s">
        <v>226</v>
      </c>
      <c r="M1546" s="2" t="s">
        <v>12</v>
      </c>
      <c r="N1546" s="2" t="s">
        <v>12</v>
      </c>
      <c r="O1546" s="2" t="s">
        <v>12</v>
      </c>
      <c r="P1546" s="21" t="s">
        <v>12</v>
      </c>
      <c r="Q1546" s="3" t="s">
        <v>1905</v>
      </c>
      <c r="R1546" s="3" t="s">
        <v>80</v>
      </c>
    </row>
    <row r="1547" spans="1:18" x14ac:dyDescent="0.25">
      <c r="A1547" s="30">
        <v>45901</v>
      </c>
      <c r="B1547" s="28">
        <v>1537</v>
      </c>
      <c r="C1547" s="28"/>
      <c r="D1547" s="2" t="s">
        <v>353</v>
      </c>
      <c r="E1547" s="7" t="s">
        <v>1869</v>
      </c>
      <c r="F1547" s="7"/>
      <c r="G1547" s="2" t="s">
        <v>13</v>
      </c>
      <c r="H1547" s="2" t="s">
        <v>1870</v>
      </c>
      <c r="I1547" s="5">
        <v>165462.28</v>
      </c>
      <c r="J1547" s="57"/>
      <c r="K1547" s="3">
        <v>1776</v>
      </c>
      <c r="L1547" s="2" t="s">
        <v>226</v>
      </c>
      <c r="M1547" s="2" t="s">
        <v>12</v>
      </c>
      <c r="N1547" s="2" t="s">
        <v>12</v>
      </c>
      <c r="O1547" s="2" t="s">
        <v>12</v>
      </c>
      <c r="P1547" s="21" t="s">
        <v>12</v>
      </c>
      <c r="Q1547" s="3" t="s">
        <v>1905</v>
      </c>
      <c r="R1547" s="3" t="s">
        <v>80</v>
      </c>
    </row>
    <row r="1548" spans="1:18" x14ac:dyDescent="0.25">
      <c r="A1548" s="30">
        <v>45901</v>
      </c>
      <c r="B1548" s="28">
        <v>1538</v>
      </c>
      <c r="C1548" s="28" t="s">
        <v>2162</v>
      </c>
      <c r="D1548" s="2" t="s">
        <v>1446</v>
      </c>
      <c r="E1548" s="7" t="s">
        <v>1872</v>
      </c>
      <c r="F1548" s="7"/>
      <c r="G1548" s="2" t="s">
        <v>43</v>
      </c>
      <c r="H1548" s="2" t="s">
        <v>1448</v>
      </c>
      <c r="I1548" s="5">
        <v>5815.56</v>
      </c>
      <c r="J1548" s="57"/>
      <c r="K1548" s="3">
        <v>48</v>
      </c>
      <c r="L1548" s="2" t="s">
        <v>64</v>
      </c>
      <c r="M1548" s="2" t="s">
        <v>2073</v>
      </c>
      <c r="N1548" s="2" t="s">
        <v>12</v>
      </c>
      <c r="O1548" s="2" t="s">
        <v>12</v>
      </c>
      <c r="P1548" s="21" t="s">
        <v>12</v>
      </c>
      <c r="Q1548" s="3" t="s">
        <v>12</v>
      </c>
      <c r="R1548" s="3" t="s">
        <v>12</v>
      </c>
    </row>
    <row r="1549" spans="1:18" x14ac:dyDescent="0.25">
      <c r="A1549" s="30">
        <v>45901</v>
      </c>
      <c r="B1549" s="28">
        <v>1539</v>
      </c>
      <c r="C1549" s="28"/>
      <c r="D1549" s="2" t="s">
        <v>1446</v>
      </c>
      <c r="E1549" s="7" t="s">
        <v>1871</v>
      </c>
      <c r="F1549" s="7"/>
      <c r="G1549" s="2" t="s">
        <v>43</v>
      </c>
      <c r="H1549" s="2" t="s">
        <v>1448</v>
      </c>
      <c r="I1549" s="5">
        <v>18069.37</v>
      </c>
      <c r="J1549" s="57"/>
      <c r="K1549" s="3">
        <v>144</v>
      </c>
      <c r="L1549" s="2" t="s">
        <v>226</v>
      </c>
      <c r="M1549" s="2" t="s">
        <v>12</v>
      </c>
      <c r="N1549" s="2" t="s">
        <v>12</v>
      </c>
      <c r="O1549" s="2" t="s">
        <v>12</v>
      </c>
      <c r="P1549" s="21" t="s">
        <v>12</v>
      </c>
      <c r="Q1549" s="3" t="s">
        <v>12</v>
      </c>
      <c r="R1549" s="3" t="s">
        <v>12</v>
      </c>
    </row>
    <row r="1550" spans="1:18" x14ac:dyDescent="0.25">
      <c r="A1550" s="30">
        <v>45901</v>
      </c>
      <c r="B1550" s="28">
        <v>1540</v>
      </c>
      <c r="C1550" s="28"/>
      <c r="D1550" s="2" t="s">
        <v>1446</v>
      </c>
      <c r="E1550" s="7" t="s">
        <v>1873</v>
      </c>
      <c r="F1550" s="7"/>
      <c r="G1550" s="2" t="s">
        <v>43</v>
      </c>
      <c r="H1550" s="2" t="s">
        <v>1448</v>
      </c>
      <c r="I1550" s="5">
        <v>5493.1</v>
      </c>
      <c r="J1550" s="57"/>
      <c r="K1550" s="3">
        <v>48</v>
      </c>
      <c r="L1550" s="2" t="s">
        <v>226</v>
      </c>
      <c r="M1550" s="2" t="s">
        <v>667</v>
      </c>
      <c r="N1550" s="2" t="s">
        <v>12</v>
      </c>
      <c r="O1550" s="2" t="s">
        <v>12</v>
      </c>
      <c r="P1550" s="21" t="s">
        <v>12</v>
      </c>
      <c r="Q1550" s="3" t="s">
        <v>12</v>
      </c>
      <c r="R1550" s="3" t="s">
        <v>12</v>
      </c>
    </row>
    <row r="1551" spans="1:18" x14ac:dyDescent="0.25">
      <c r="A1551" s="30">
        <v>45901</v>
      </c>
      <c r="B1551" s="28">
        <v>1541</v>
      </c>
      <c r="C1551" s="28"/>
      <c r="D1551" s="2" t="s">
        <v>1446</v>
      </c>
      <c r="E1551" s="7" t="s">
        <v>1874</v>
      </c>
      <c r="F1551" s="7"/>
      <c r="G1551" s="2" t="s">
        <v>43</v>
      </c>
      <c r="H1551" s="2" t="s">
        <v>1448</v>
      </c>
      <c r="I1551" s="5">
        <v>5301.26</v>
      </c>
      <c r="J1551" s="57"/>
      <c r="K1551" s="3">
        <v>48</v>
      </c>
      <c r="L1551" s="2" t="s">
        <v>226</v>
      </c>
      <c r="M1551" s="2" t="s">
        <v>12</v>
      </c>
      <c r="N1551" s="2" t="s">
        <v>12</v>
      </c>
      <c r="O1551" s="2" t="s">
        <v>12</v>
      </c>
      <c r="P1551" s="21" t="s">
        <v>12</v>
      </c>
      <c r="Q1551" s="3" t="s">
        <v>12</v>
      </c>
      <c r="R1551" s="3" t="s">
        <v>12</v>
      </c>
    </row>
    <row r="1552" spans="1:18" x14ac:dyDescent="0.25">
      <c r="A1552" s="30">
        <v>45901</v>
      </c>
      <c r="B1552" s="28">
        <v>1542</v>
      </c>
      <c r="C1552" s="28"/>
      <c r="D1552" s="2" t="s">
        <v>103</v>
      </c>
      <c r="E1552" s="7" t="s">
        <v>12</v>
      </c>
      <c r="F1552" s="7"/>
      <c r="G1552" s="2" t="s">
        <v>13</v>
      </c>
      <c r="H1552" s="2" t="s">
        <v>491</v>
      </c>
      <c r="I1552" s="5">
        <v>308.16000000000003</v>
      </c>
      <c r="J1552" s="57"/>
      <c r="K1552" s="3" t="s">
        <v>12</v>
      </c>
      <c r="L1552" s="2" t="s">
        <v>64</v>
      </c>
      <c r="M1552" s="2" t="s">
        <v>12</v>
      </c>
      <c r="N1552" s="2" t="s">
        <v>12</v>
      </c>
      <c r="O1552" s="2" t="s">
        <v>12</v>
      </c>
      <c r="P1552" s="21" t="s">
        <v>12</v>
      </c>
      <c r="Q1552" s="3" t="s">
        <v>12</v>
      </c>
      <c r="R1552" s="3" t="s">
        <v>12</v>
      </c>
    </row>
    <row r="1553" spans="1:18" x14ac:dyDescent="0.25">
      <c r="A1553" s="30">
        <v>45903</v>
      </c>
      <c r="B1553" s="28">
        <v>1543</v>
      </c>
      <c r="C1553" s="28"/>
      <c r="D1553" s="2" t="s">
        <v>336</v>
      </c>
      <c r="E1553" s="7" t="s">
        <v>1875</v>
      </c>
      <c r="F1553" s="7"/>
      <c r="G1553" s="2" t="s">
        <v>20</v>
      </c>
      <c r="H1553" s="2" t="s">
        <v>1153</v>
      </c>
      <c r="I1553" s="5">
        <v>49500.160000000003</v>
      </c>
      <c r="J1553" s="57"/>
      <c r="K1553" s="3">
        <v>624</v>
      </c>
      <c r="L1553" s="2" t="s">
        <v>64</v>
      </c>
      <c r="M1553" s="2" t="s">
        <v>12</v>
      </c>
      <c r="N1553" s="2" t="s">
        <v>12</v>
      </c>
      <c r="O1553" s="2" t="s">
        <v>12</v>
      </c>
      <c r="P1553" s="21" t="s">
        <v>12</v>
      </c>
      <c r="Q1553" s="3" t="s">
        <v>1801</v>
      </c>
      <c r="R1553" s="3" t="s">
        <v>80</v>
      </c>
    </row>
    <row r="1554" spans="1:18" x14ac:dyDescent="0.25">
      <c r="A1554" s="30">
        <v>45901</v>
      </c>
      <c r="B1554" s="28">
        <v>1544</v>
      </c>
      <c r="C1554" s="28"/>
      <c r="D1554" s="2" t="s">
        <v>1876</v>
      </c>
      <c r="E1554" s="7" t="s">
        <v>12</v>
      </c>
      <c r="F1554" s="7"/>
      <c r="G1554" s="2" t="s">
        <v>13</v>
      </c>
      <c r="H1554" s="2" t="s">
        <v>43</v>
      </c>
      <c r="I1554" s="5">
        <v>2421.41</v>
      </c>
      <c r="J1554" s="57"/>
      <c r="K1554" s="3" t="s">
        <v>12</v>
      </c>
      <c r="L1554" s="2" t="s">
        <v>64</v>
      </c>
      <c r="M1554" s="2" t="s">
        <v>12</v>
      </c>
      <c r="N1554" s="2" t="s">
        <v>12</v>
      </c>
      <c r="O1554" s="2" t="s">
        <v>12</v>
      </c>
      <c r="P1554" s="21" t="s">
        <v>12</v>
      </c>
      <c r="Q1554" s="3" t="s">
        <v>12</v>
      </c>
      <c r="R1554" s="3" t="s">
        <v>12</v>
      </c>
    </row>
    <row r="1555" spans="1:18" x14ac:dyDescent="0.25">
      <c r="A1555" s="30">
        <v>45902</v>
      </c>
      <c r="B1555" s="28">
        <v>1545</v>
      </c>
      <c r="C1555" s="28"/>
      <c r="D1555" s="2" t="s">
        <v>109</v>
      </c>
      <c r="E1555" s="7" t="s">
        <v>1877</v>
      </c>
      <c r="F1555" s="7"/>
      <c r="G1555" s="2" t="s">
        <v>111</v>
      </c>
      <c r="H1555" s="2" t="s">
        <v>251</v>
      </c>
      <c r="I1555" s="5">
        <v>108123.79</v>
      </c>
      <c r="J1555" s="57"/>
      <c r="K1555" s="3">
        <v>1224</v>
      </c>
      <c r="L1555" s="2" t="s">
        <v>226</v>
      </c>
      <c r="M1555" s="2" t="s">
        <v>12</v>
      </c>
      <c r="N1555" s="2" t="s">
        <v>12</v>
      </c>
      <c r="O1555" s="2" t="s">
        <v>12</v>
      </c>
      <c r="P1555" s="21" t="s">
        <v>12</v>
      </c>
      <c r="Q1555" s="3" t="s">
        <v>109</v>
      </c>
      <c r="R1555" s="3" t="s">
        <v>75</v>
      </c>
    </row>
    <row r="1556" spans="1:18" x14ac:dyDescent="0.25">
      <c r="A1556" s="30">
        <v>45901</v>
      </c>
      <c r="B1556" s="28">
        <v>1546</v>
      </c>
      <c r="C1556" s="28"/>
      <c r="D1556" s="2" t="s">
        <v>163</v>
      </c>
      <c r="E1556" s="7" t="s">
        <v>1878</v>
      </c>
      <c r="F1556" s="7"/>
      <c r="G1556" s="2" t="s">
        <v>97</v>
      </c>
      <c r="H1556" s="2" t="s">
        <v>189</v>
      </c>
      <c r="I1556" s="5">
        <v>8459.14</v>
      </c>
      <c r="J1556" s="57"/>
      <c r="K1556" s="3">
        <v>96</v>
      </c>
      <c r="L1556" s="2" t="s">
        <v>226</v>
      </c>
      <c r="M1556" s="2" t="s">
        <v>12</v>
      </c>
      <c r="N1556" s="2" t="s">
        <v>12</v>
      </c>
      <c r="O1556" s="2" t="s">
        <v>12</v>
      </c>
      <c r="P1556" s="21" t="s">
        <v>12</v>
      </c>
      <c r="Q1556" s="3" t="s">
        <v>1906</v>
      </c>
      <c r="R1556" s="3" t="s">
        <v>75</v>
      </c>
    </row>
    <row r="1557" spans="1:18" x14ac:dyDescent="0.25">
      <c r="A1557" s="30">
        <v>45902</v>
      </c>
      <c r="B1557" s="28">
        <v>1547</v>
      </c>
      <c r="C1557" s="28"/>
      <c r="D1557" s="2" t="s">
        <v>1879</v>
      </c>
      <c r="E1557" s="7" t="s">
        <v>12</v>
      </c>
      <c r="F1557" s="7"/>
      <c r="G1557" s="2" t="s">
        <v>20</v>
      </c>
      <c r="H1557" s="2" t="s">
        <v>91</v>
      </c>
      <c r="I1557" s="5">
        <v>49467</v>
      </c>
      <c r="J1557" s="57"/>
      <c r="K1557" s="3">
        <v>720</v>
      </c>
      <c r="L1557" s="2" t="s">
        <v>64</v>
      </c>
      <c r="M1557" s="2" t="s">
        <v>12</v>
      </c>
      <c r="N1557" s="2" t="s">
        <v>12</v>
      </c>
      <c r="O1557" s="2" t="s">
        <v>12</v>
      </c>
      <c r="P1557" s="21" t="s">
        <v>12</v>
      </c>
      <c r="Q1557" s="3" t="s">
        <v>12</v>
      </c>
      <c r="R1557" s="3" t="s">
        <v>12</v>
      </c>
    </row>
    <row r="1558" spans="1:18" x14ac:dyDescent="0.25">
      <c r="A1558" s="30">
        <v>45901</v>
      </c>
      <c r="B1558" s="28">
        <v>1548</v>
      </c>
      <c r="C1558" s="28"/>
      <c r="D1558" s="2" t="s">
        <v>1880</v>
      </c>
      <c r="E1558" s="7" t="s">
        <v>1881</v>
      </c>
      <c r="F1558" s="7"/>
      <c r="G1558" s="2" t="s">
        <v>20</v>
      </c>
      <c r="H1558" s="2" t="s">
        <v>1882</v>
      </c>
      <c r="I1558" s="5">
        <v>2246.2600000000002</v>
      </c>
      <c r="J1558" s="57"/>
      <c r="K1558" s="3">
        <v>24</v>
      </c>
      <c r="L1558" s="2" t="s">
        <v>226</v>
      </c>
      <c r="M1558" s="2" t="s">
        <v>1179</v>
      </c>
      <c r="N1558" s="2" t="s">
        <v>12</v>
      </c>
      <c r="O1558" s="2" t="s">
        <v>12</v>
      </c>
      <c r="P1558" s="21" t="s">
        <v>12</v>
      </c>
      <c r="Q1558" s="3" t="s">
        <v>12</v>
      </c>
      <c r="R1558" s="3" t="s">
        <v>12</v>
      </c>
    </row>
    <row r="1559" spans="1:18" x14ac:dyDescent="0.25">
      <c r="A1559" s="30">
        <v>45902</v>
      </c>
      <c r="B1559" s="28">
        <v>1549</v>
      </c>
      <c r="C1559" s="28"/>
      <c r="D1559" s="2" t="s">
        <v>1202</v>
      </c>
      <c r="E1559" s="7" t="s">
        <v>1883</v>
      </c>
      <c r="F1559" s="7"/>
      <c r="G1559" s="2" t="s">
        <v>97</v>
      </c>
      <c r="H1559" s="2" t="s">
        <v>101</v>
      </c>
      <c r="I1559" s="5">
        <v>596.54999999999995</v>
      </c>
      <c r="J1559" s="57"/>
      <c r="K1559" s="3" t="s">
        <v>12</v>
      </c>
      <c r="L1559" s="2" t="s">
        <v>226</v>
      </c>
      <c r="M1559" s="2" t="s">
        <v>12</v>
      </c>
      <c r="N1559" s="2" t="s">
        <v>12</v>
      </c>
      <c r="O1559" s="2" t="s">
        <v>12</v>
      </c>
      <c r="P1559" s="21" t="s">
        <v>12</v>
      </c>
      <c r="Q1559" s="3" t="s">
        <v>12</v>
      </c>
      <c r="R1559" s="3" t="s">
        <v>12</v>
      </c>
    </row>
    <row r="1560" spans="1:18" x14ac:dyDescent="0.25">
      <c r="A1560" s="30">
        <v>45903</v>
      </c>
      <c r="B1560" s="28">
        <v>1550</v>
      </c>
      <c r="C1560" s="28"/>
      <c r="D1560" s="2" t="s">
        <v>204</v>
      </c>
      <c r="E1560" s="7" t="s">
        <v>1884</v>
      </c>
      <c r="F1560" s="7"/>
      <c r="G1560" s="2" t="s">
        <v>26</v>
      </c>
      <c r="H1560" s="2" t="s">
        <v>235</v>
      </c>
      <c r="I1560" s="5">
        <v>37878.800000000003</v>
      </c>
      <c r="J1560" s="57"/>
      <c r="K1560" s="3">
        <v>408</v>
      </c>
      <c r="L1560" s="2" t="s">
        <v>64</v>
      </c>
      <c r="M1560" s="2" t="s">
        <v>12</v>
      </c>
      <c r="N1560" s="2" t="s">
        <v>12</v>
      </c>
      <c r="O1560" s="2" t="s">
        <v>12</v>
      </c>
      <c r="P1560" s="21" t="s">
        <v>12</v>
      </c>
      <c r="Q1560" s="3" t="s">
        <v>12</v>
      </c>
      <c r="R1560" s="3" t="s">
        <v>12</v>
      </c>
    </row>
    <row r="1561" spans="1:18" x14ac:dyDescent="0.25">
      <c r="A1561" s="30">
        <v>45902</v>
      </c>
      <c r="B1561" s="28">
        <v>1551</v>
      </c>
      <c r="C1561" s="28"/>
      <c r="D1561" s="2" t="s">
        <v>1885</v>
      </c>
      <c r="E1561" s="7" t="s">
        <v>1886</v>
      </c>
      <c r="F1561" s="7"/>
      <c r="G1561" s="2" t="s">
        <v>13</v>
      </c>
      <c r="H1561" s="2" t="s">
        <v>35</v>
      </c>
      <c r="I1561" s="5">
        <v>6245.9</v>
      </c>
      <c r="J1561" s="57"/>
      <c r="K1561" s="3">
        <v>48</v>
      </c>
      <c r="L1561" s="2" t="s">
        <v>226</v>
      </c>
      <c r="M1561" s="2" t="s">
        <v>12</v>
      </c>
      <c r="N1561" s="2" t="s">
        <v>12</v>
      </c>
      <c r="O1561" s="2" t="s">
        <v>12</v>
      </c>
      <c r="P1561" s="21" t="s">
        <v>12</v>
      </c>
      <c r="Q1561" s="3" t="s">
        <v>74</v>
      </c>
      <c r="R1561" s="3" t="s">
        <v>76</v>
      </c>
    </row>
    <row r="1562" spans="1:18" x14ac:dyDescent="0.25">
      <c r="A1562" s="30">
        <v>45902</v>
      </c>
      <c r="B1562" s="28">
        <v>1552</v>
      </c>
      <c r="C1562" s="28"/>
      <c r="D1562" s="2" t="s">
        <v>1885</v>
      </c>
      <c r="E1562" s="7" t="s">
        <v>1887</v>
      </c>
      <c r="F1562" s="7"/>
      <c r="G1562" s="2" t="s">
        <v>13</v>
      </c>
      <c r="H1562" s="2" t="s">
        <v>35</v>
      </c>
      <c r="I1562" s="5">
        <v>20218.580000000002</v>
      </c>
      <c r="J1562" s="57"/>
      <c r="K1562" s="3">
        <v>192</v>
      </c>
      <c r="L1562" s="2" t="s">
        <v>226</v>
      </c>
      <c r="M1562" s="2" t="s">
        <v>12</v>
      </c>
      <c r="N1562" s="2" t="s">
        <v>12</v>
      </c>
      <c r="O1562" s="2" t="s">
        <v>12</v>
      </c>
      <c r="P1562" s="21" t="s">
        <v>12</v>
      </c>
      <c r="Q1562" s="3" t="s">
        <v>74</v>
      </c>
      <c r="R1562" s="3" t="s">
        <v>76</v>
      </c>
    </row>
    <row r="1563" spans="1:18" x14ac:dyDescent="0.25">
      <c r="A1563" s="30">
        <v>45902</v>
      </c>
      <c r="B1563" s="28">
        <v>1553</v>
      </c>
      <c r="C1563" s="28"/>
      <c r="D1563" s="2" t="s">
        <v>1885</v>
      </c>
      <c r="E1563" s="7" t="s">
        <v>1888</v>
      </c>
      <c r="F1563" s="7"/>
      <c r="G1563" s="2" t="s">
        <v>13</v>
      </c>
      <c r="H1563" s="2" t="s">
        <v>35</v>
      </c>
      <c r="I1563" s="5">
        <v>11056.02</v>
      </c>
      <c r="J1563" s="57"/>
      <c r="K1563" s="3">
        <v>96</v>
      </c>
      <c r="L1563" s="2" t="s">
        <v>226</v>
      </c>
      <c r="M1563" s="2" t="s">
        <v>12</v>
      </c>
      <c r="N1563" s="2" t="s">
        <v>12</v>
      </c>
      <c r="O1563" s="2" t="s">
        <v>12</v>
      </c>
      <c r="P1563" s="21" t="s">
        <v>12</v>
      </c>
      <c r="Q1563" s="3" t="s">
        <v>74</v>
      </c>
      <c r="R1563" s="3" t="s">
        <v>76</v>
      </c>
    </row>
    <row r="1564" spans="1:18" x14ac:dyDescent="0.25">
      <c r="A1564" s="30">
        <v>45902</v>
      </c>
      <c r="B1564" s="28">
        <v>1554</v>
      </c>
      <c r="C1564" s="28"/>
      <c r="D1564" s="2" t="s">
        <v>1885</v>
      </c>
      <c r="E1564" s="7" t="s">
        <v>1889</v>
      </c>
      <c r="F1564" s="7"/>
      <c r="G1564" s="2" t="s">
        <v>13</v>
      </c>
      <c r="H1564" s="2" t="s">
        <v>35</v>
      </c>
      <c r="I1564" s="5">
        <v>7937.35</v>
      </c>
      <c r="J1564" s="57"/>
      <c r="K1564" s="3">
        <v>72</v>
      </c>
      <c r="L1564" s="2" t="s">
        <v>226</v>
      </c>
      <c r="M1564" s="2" t="s">
        <v>12</v>
      </c>
      <c r="N1564" s="2" t="s">
        <v>12</v>
      </c>
      <c r="O1564" s="2" t="s">
        <v>12</v>
      </c>
      <c r="P1564" s="21" t="s">
        <v>12</v>
      </c>
      <c r="Q1564" s="3" t="s">
        <v>74</v>
      </c>
      <c r="R1564" s="3" t="s">
        <v>76</v>
      </c>
    </row>
    <row r="1565" spans="1:18" x14ac:dyDescent="0.25">
      <c r="A1565" s="30">
        <v>45902</v>
      </c>
      <c r="B1565" s="28">
        <v>1555</v>
      </c>
      <c r="C1565" s="28"/>
      <c r="D1565" s="2" t="s">
        <v>1863</v>
      </c>
      <c r="E1565" s="7" t="s">
        <v>1890</v>
      </c>
      <c r="F1565" s="7"/>
      <c r="G1565" s="2" t="s">
        <v>43</v>
      </c>
      <c r="H1565" s="2" t="s">
        <v>769</v>
      </c>
      <c r="I1565" s="5">
        <v>564006.98</v>
      </c>
      <c r="J1565" s="57"/>
      <c r="K1565" s="3">
        <v>6348</v>
      </c>
      <c r="L1565" s="2" t="s">
        <v>226</v>
      </c>
      <c r="M1565" s="2" t="s">
        <v>12</v>
      </c>
      <c r="N1565" s="2" t="s">
        <v>12</v>
      </c>
      <c r="O1565" s="2" t="s">
        <v>12</v>
      </c>
      <c r="P1565" s="21" t="s">
        <v>12</v>
      </c>
      <c r="Q1565" s="3" t="s">
        <v>12</v>
      </c>
      <c r="R1565" s="3" t="s">
        <v>12</v>
      </c>
    </row>
    <row r="1566" spans="1:18" x14ac:dyDescent="0.25">
      <c r="A1566" s="30">
        <v>45903</v>
      </c>
      <c r="B1566" s="28">
        <v>1556</v>
      </c>
      <c r="C1566" s="28"/>
      <c r="D1566" s="2" t="s">
        <v>41</v>
      </c>
      <c r="E1566" s="7" t="s">
        <v>1891</v>
      </c>
      <c r="F1566" s="7"/>
      <c r="G1566" s="2" t="s">
        <v>43</v>
      </c>
      <c r="H1566" s="2" t="s">
        <v>158</v>
      </c>
      <c r="I1566" s="5">
        <v>36304.35</v>
      </c>
      <c r="J1566" s="57"/>
      <c r="K1566" s="3">
        <v>624</v>
      </c>
      <c r="L1566" s="2" t="s">
        <v>64</v>
      </c>
      <c r="M1566" s="2" t="s">
        <v>12</v>
      </c>
      <c r="N1566" s="2" t="s">
        <v>12</v>
      </c>
      <c r="O1566" s="2" t="s">
        <v>12</v>
      </c>
      <c r="P1566" s="21" t="s">
        <v>12</v>
      </c>
      <c r="Q1566" s="3" t="s">
        <v>12</v>
      </c>
      <c r="R1566" s="3" t="s">
        <v>12</v>
      </c>
    </row>
    <row r="1567" spans="1:18" x14ac:dyDescent="0.25">
      <c r="A1567" s="30">
        <v>45902</v>
      </c>
      <c r="B1567" s="28">
        <v>1557</v>
      </c>
      <c r="C1567" s="28"/>
      <c r="D1567" s="2" t="s">
        <v>492</v>
      </c>
      <c r="E1567" s="7" t="s">
        <v>12</v>
      </c>
      <c r="F1567" s="7"/>
      <c r="G1567" s="2" t="s">
        <v>97</v>
      </c>
      <c r="H1567" s="2" t="s">
        <v>242</v>
      </c>
      <c r="I1567" s="5">
        <v>3026.05</v>
      </c>
      <c r="J1567" s="57"/>
      <c r="K1567" s="3">
        <v>48</v>
      </c>
      <c r="L1567" s="2" t="s">
        <v>226</v>
      </c>
      <c r="M1567" s="2" t="s">
        <v>12</v>
      </c>
      <c r="N1567" s="2" t="s">
        <v>12</v>
      </c>
      <c r="O1567" s="2" t="s">
        <v>12</v>
      </c>
      <c r="P1567" s="21" t="s">
        <v>12</v>
      </c>
      <c r="Q1567" s="3" t="s">
        <v>12</v>
      </c>
      <c r="R1567" s="3" t="s">
        <v>12</v>
      </c>
    </row>
    <row r="1568" spans="1:18" x14ac:dyDescent="0.25">
      <c r="A1568" s="30">
        <v>45903</v>
      </c>
      <c r="B1568" s="28">
        <v>1558</v>
      </c>
      <c r="C1568" s="28"/>
      <c r="D1568" s="2" t="s">
        <v>233</v>
      </c>
      <c r="E1568" s="7" t="s">
        <v>12</v>
      </c>
      <c r="F1568" s="7"/>
      <c r="G1568" s="2" t="s">
        <v>13</v>
      </c>
      <c r="H1568" s="2" t="s">
        <v>235</v>
      </c>
      <c r="I1568" s="5">
        <v>16360.66</v>
      </c>
      <c r="J1568" s="57"/>
      <c r="K1568" s="3">
        <v>240</v>
      </c>
      <c r="L1568" s="2" t="s">
        <v>64</v>
      </c>
      <c r="M1568" s="2" t="s">
        <v>12</v>
      </c>
      <c r="N1568" s="2" t="s">
        <v>12</v>
      </c>
      <c r="O1568" s="2" t="s">
        <v>12</v>
      </c>
      <c r="P1568" s="21" t="s">
        <v>12</v>
      </c>
      <c r="Q1568" s="3" t="s">
        <v>12</v>
      </c>
      <c r="R1568" s="3" t="s">
        <v>12</v>
      </c>
    </row>
    <row r="1569" spans="1:18" x14ac:dyDescent="0.25">
      <c r="A1569" s="30">
        <v>45903</v>
      </c>
      <c r="B1569" s="28">
        <v>1559</v>
      </c>
      <c r="C1569" s="28"/>
      <c r="D1569" s="2" t="s">
        <v>353</v>
      </c>
      <c r="E1569" s="7" t="s">
        <v>12</v>
      </c>
      <c r="F1569" s="7"/>
      <c r="G1569" s="2" t="s">
        <v>13</v>
      </c>
      <c r="H1569" s="2" t="s">
        <v>1892</v>
      </c>
      <c r="I1569" s="5">
        <v>620444.59</v>
      </c>
      <c r="J1569" s="57"/>
      <c r="K1569" s="3">
        <v>6072</v>
      </c>
      <c r="L1569" s="2" t="s">
        <v>226</v>
      </c>
      <c r="M1569" s="2" t="s">
        <v>12</v>
      </c>
      <c r="N1569" s="2" t="s">
        <v>12</v>
      </c>
      <c r="O1569" s="2" t="s">
        <v>12</v>
      </c>
      <c r="P1569" s="21" t="s">
        <v>12</v>
      </c>
      <c r="Q1569" s="3" t="s">
        <v>12</v>
      </c>
      <c r="R1569" s="3" t="s">
        <v>12</v>
      </c>
    </row>
    <row r="1570" spans="1:18" x14ac:dyDescent="0.25">
      <c r="A1570" s="30">
        <v>45903</v>
      </c>
      <c r="B1570" s="28">
        <v>1560</v>
      </c>
      <c r="C1570" s="28"/>
      <c r="D1570" s="2" t="s">
        <v>1893</v>
      </c>
      <c r="E1570" s="7" t="s">
        <v>1950</v>
      </c>
      <c r="F1570" s="7"/>
      <c r="G1570" s="2" t="s">
        <v>26</v>
      </c>
      <c r="H1570" s="2" t="s">
        <v>1000</v>
      </c>
      <c r="I1570" s="5">
        <v>18348.11</v>
      </c>
      <c r="J1570" s="57"/>
      <c r="K1570" s="3">
        <v>121.2</v>
      </c>
      <c r="L1570" s="2" t="s">
        <v>226</v>
      </c>
      <c r="M1570" s="2" t="s">
        <v>12</v>
      </c>
      <c r="N1570" s="2" t="s">
        <v>12</v>
      </c>
      <c r="O1570" s="2" t="s">
        <v>12</v>
      </c>
      <c r="P1570" s="21" t="s">
        <v>12</v>
      </c>
      <c r="Q1570" s="3" t="s">
        <v>12</v>
      </c>
      <c r="R1570" s="3" t="s">
        <v>12</v>
      </c>
    </row>
    <row r="1571" spans="1:18" x14ac:dyDescent="0.25">
      <c r="A1571" s="30">
        <v>45903</v>
      </c>
      <c r="B1571" s="28">
        <v>1561</v>
      </c>
      <c r="C1571" s="28"/>
      <c r="D1571" s="2" t="s">
        <v>1894</v>
      </c>
      <c r="E1571" s="7" t="s">
        <v>12</v>
      </c>
      <c r="F1571" s="7"/>
      <c r="G1571" s="2" t="s">
        <v>13</v>
      </c>
      <c r="H1571" s="2" t="s">
        <v>735</v>
      </c>
      <c r="I1571" s="5">
        <v>3146.11</v>
      </c>
      <c r="J1571" s="57"/>
      <c r="K1571" s="3">
        <v>48</v>
      </c>
      <c r="L1571" s="2" t="s">
        <v>64</v>
      </c>
      <c r="M1571" s="2" t="s">
        <v>12</v>
      </c>
      <c r="N1571" s="2" t="s">
        <v>12</v>
      </c>
      <c r="O1571" s="2" t="s">
        <v>12</v>
      </c>
      <c r="P1571" s="21" t="s">
        <v>12</v>
      </c>
      <c r="Q1571" s="3" t="s">
        <v>12</v>
      </c>
      <c r="R1571" s="3" t="s">
        <v>12</v>
      </c>
    </row>
    <row r="1572" spans="1:18" x14ac:dyDescent="0.25">
      <c r="A1572" s="30">
        <v>45903</v>
      </c>
      <c r="B1572" s="28">
        <v>1562</v>
      </c>
      <c r="C1572" s="28"/>
      <c r="D1572" s="2" t="s">
        <v>103</v>
      </c>
      <c r="E1572" s="7" t="s">
        <v>12</v>
      </c>
      <c r="F1572" s="7"/>
      <c r="G1572" s="2" t="s">
        <v>13</v>
      </c>
      <c r="H1572" s="2" t="s">
        <v>491</v>
      </c>
      <c r="I1572" s="5">
        <v>303.18</v>
      </c>
      <c r="J1572" s="57"/>
      <c r="K1572" s="3" t="s">
        <v>12</v>
      </c>
      <c r="L1572" s="2" t="s">
        <v>64</v>
      </c>
      <c r="M1572" s="2" t="s">
        <v>12</v>
      </c>
      <c r="N1572" s="2" t="s">
        <v>12</v>
      </c>
      <c r="O1572" s="2" t="s">
        <v>12</v>
      </c>
      <c r="P1572" s="21" t="s">
        <v>12</v>
      </c>
      <c r="Q1572" s="3" t="s">
        <v>12</v>
      </c>
      <c r="R1572" s="3" t="s">
        <v>12</v>
      </c>
    </row>
    <row r="1573" spans="1:18" x14ac:dyDescent="0.25">
      <c r="A1573" s="30">
        <v>45872</v>
      </c>
      <c r="B1573" s="28">
        <v>1563</v>
      </c>
      <c r="C1573" s="28"/>
      <c r="D1573" s="2" t="s">
        <v>109</v>
      </c>
      <c r="E1573" s="7" t="s">
        <v>1981</v>
      </c>
      <c r="F1573" s="7"/>
      <c r="G1573" s="2" t="s">
        <v>111</v>
      </c>
      <c r="H1573" s="2" t="s">
        <v>758</v>
      </c>
      <c r="I1573" s="5">
        <v>49348.1</v>
      </c>
      <c r="J1573" s="57"/>
      <c r="K1573" s="3"/>
      <c r="L1573" s="2" t="s">
        <v>226</v>
      </c>
      <c r="M1573" s="2"/>
      <c r="N1573" s="2"/>
      <c r="O1573" s="2"/>
      <c r="P1573" s="21"/>
      <c r="Q1573" s="3"/>
      <c r="R1573" s="3"/>
    </row>
    <row r="1574" spans="1:18" x14ac:dyDescent="0.25">
      <c r="A1574" s="30">
        <v>45903</v>
      </c>
      <c r="B1574" s="28">
        <v>1564</v>
      </c>
      <c r="C1574" s="28"/>
      <c r="D1574" s="2" t="s">
        <v>87</v>
      </c>
      <c r="E1574" s="7" t="s">
        <v>1895</v>
      </c>
      <c r="F1574" s="7"/>
      <c r="G1574" s="2" t="s">
        <v>13</v>
      </c>
      <c r="H1574" s="2" t="s">
        <v>238</v>
      </c>
      <c r="I1574" s="5">
        <v>203304.38</v>
      </c>
      <c r="J1574" s="57"/>
      <c r="K1574" s="3">
        <v>2112</v>
      </c>
      <c r="L1574" s="2" t="s">
        <v>226</v>
      </c>
      <c r="M1574" s="2" t="s">
        <v>12</v>
      </c>
      <c r="N1574" s="2" t="s">
        <v>12</v>
      </c>
      <c r="O1574" s="2" t="s">
        <v>12</v>
      </c>
      <c r="P1574" s="21" t="s">
        <v>12</v>
      </c>
      <c r="Q1574" s="3" t="s">
        <v>87</v>
      </c>
      <c r="R1574" s="3" t="s">
        <v>80</v>
      </c>
    </row>
    <row r="1575" spans="1:18" x14ac:dyDescent="0.25">
      <c r="A1575" s="30">
        <v>45903</v>
      </c>
      <c r="B1575" s="28">
        <v>1565</v>
      </c>
      <c r="C1575" s="28"/>
      <c r="D1575" s="2" t="s">
        <v>87</v>
      </c>
      <c r="E1575" s="7" t="s">
        <v>1896</v>
      </c>
      <c r="F1575" s="7"/>
      <c r="G1575" s="2" t="s">
        <v>13</v>
      </c>
      <c r="H1575" s="2" t="s">
        <v>185</v>
      </c>
      <c r="I1575" s="5">
        <v>75899.259999999995</v>
      </c>
      <c r="J1575" s="57"/>
      <c r="K1575" s="3">
        <v>816</v>
      </c>
      <c r="L1575" s="2" t="s">
        <v>226</v>
      </c>
      <c r="M1575" s="2" t="s">
        <v>12</v>
      </c>
      <c r="N1575" s="2" t="s">
        <v>12</v>
      </c>
      <c r="O1575" s="2" t="s">
        <v>12</v>
      </c>
      <c r="P1575" s="21" t="s">
        <v>12</v>
      </c>
      <c r="Q1575" s="3" t="s">
        <v>87</v>
      </c>
      <c r="R1575" s="3" t="s">
        <v>80</v>
      </c>
    </row>
    <row r="1576" spans="1:18" x14ac:dyDescent="0.25">
      <c r="A1576" s="30">
        <v>45903</v>
      </c>
      <c r="B1576" s="28">
        <v>1566</v>
      </c>
      <c r="C1576" s="28"/>
      <c r="D1576" s="2" t="s">
        <v>87</v>
      </c>
      <c r="E1576" s="7" t="s">
        <v>1897</v>
      </c>
      <c r="F1576" s="7"/>
      <c r="G1576" s="2" t="s">
        <v>13</v>
      </c>
      <c r="H1576" s="2" t="s">
        <v>185</v>
      </c>
      <c r="I1576" s="5">
        <v>193019.4</v>
      </c>
      <c r="J1576" s="57"/>
      <c r="K1576" s="3">
        <v>1968</v>
      </c>
      <c r="L1576" s="2" t="s">
        <v>226</v>
      </c>
      <c r="M1576" s="2" t="s">
        <v>12</v>
      </c>
      <c r="N1576" s="2" t="s">
        <v>12</v>
      </c>
      <c r="O1576" s="2" t="s">
        <v>12</v>
      </c>
      <c r="P1576" s="21" t="s">
        <v>12</v>
      </c>
      <c r="Q1576" s="3" t="s">
        <v>87</v>
      </c>
      <c r="R1576" s="3" t="s">
        <v>80</v>
      </c>
    </row>
    <row r="1577" spans="1:18" x14ac:dyDescent="0.25">
      <c r="A1577" s="30">
        <v>45903</v>
      </c>
      <c r="B1577" s="28">
        <v>1567</v>
      </c>
      <c r="C1577" s="28"/>
      <c r="D1577" s="2" t="s">
        <v>1190</v>
      </c>
      <c r="E1577" s="7" t="s">
        <v>12</v>
      </c>
      <c r="F1577" s="7"/>
      <c r="G1577" s="2" t="s">
        <v>13</v>
      </c>
      <c r="H1577" s="2" t="s">
        <v>390</v>
      </c>
      <c r="I1577" s="5">
        <v>5427.44</v>
      </c>
      <c r="J1577" s="57"/>
      <c r="K1577" s="3">
        <v>72</v>
      </c>
      <c r="L1577" s="2" t="s">
        <v>226</v>
      </c>
      <c r="M1577" s="2" t="s">
        <v>12</v>
      </c>
      <c r="N1577" s="2" t="s">
        <v>12</v>
      </c>
      <c r="O1577" s="2" t="s">
        <v>12</v>
      </c>
      <c r="P1577" s="21" t="s">
        <v>12</v>
      </c>
      <c r="Q1577" s="3" t="s">
        <v>12</v>
      </c>
      <c r="R1577" s="3" t="s">
        <v>12</v>
      </c>
    </row>
    <row r="1578" spans="1:18" x14ac:dyDescent="0.25">
      <c r="A1578" s="30">
        <v>45903</v>
      </c>
      <c r="B1578" s="28">
        <v>1568</v>
      </c>
      <c r="C1578" s="28"/>
      <c r="D1578" s="2" t="s">
        <v>1898</v>
      </c>
      <c r="E1578" s="7" t="s">
        <v>12</v>
      </c>
      <c r="F1578" s="7"/>
      <c r="G1578" s="2" t="s">
        <v>13</v>
      </c>
      <c r="H1578" s="2" t="s">
        <v>751</v>
      </c>
      <c r="I1578" s="5">
        <v>2867.02</v>
      </c>
      <c r="J1578" s="57"/>
      <c r="K1578" s="3">
        <v>24</v>
      </c>
      <c r="L1578" s="2" t="s">
        <v>226</v>
      </c>
      <c r="M1578" s="2" t="s">
        <v>12</v>
      </c>
      <c r="N1578" s="2" t="s">
        <v>12</v>
      </c>
      <c r="O1578" s="2" t="s">
        <v>12</v>
      </c>
      <c r="P1578" s="21" t="s">
        <v>12</v>
      </c>
      <c r="Q1578" s="3" t="s">
        <v>12</v>
      </c>
      <c r="R1578" s="3" t="s">
        <v>12</v>
      </c>
    </row>
    <row r="1579" spans="1:18" x14ac:dyDescent="0.25">
      <c r="A1579" s="30">
        <v>45903</v>
      </c>
      <c r="B1579" s="28">
        <v>1569</v>
      </c>
      <c r="C1579" s="28"/>
      <c r="D1579" s="2" t="s">
        <v>1876</v>
      </c>
      <c r="E1579" s="7" t="s">
        <v>12</v>
      </c>
      <c r="F1579" s="7"/>
      <c r="G1579" s="2" t="s">
        <v>13</v>
      </c>
      <c r="H1579" s="2" t="s">
        <v>43</v>
      </c>
      <c r="I1579" s="5">
        <v>7905.23</v>
      </c>
      <c r="J1579" s="57"/>
      <c r="K1579" s="3">
        <v>96</v>
      </c>
      <c r="L1579" s="2" t="s">
        <v>226</v>
      </c>
      <c r="M1579" s="2" t="s">
        <v>12</v>
      </c>
      <c r="N1579" s="2" t="s">
        <v>12</v>
      </c>
      <c r="O1579" s="2" t="s">
        <v>12</v>
      </c>
      <c r="P1579" s="21" t="s">
        <v>12</v>
      </c>
      <c r="Q1579" s="3" t="s">
        <v>12</v>
      </c>
      <c r="R1579" s="3" t="s">
        <v>12</v>
      </c>
    </row>
    <row r="1580" spans="1:18" x14ac:dyDescent="0.25">
      <c r="A1580" s="30">
        <v>45903</v>
      </c>
      <c r="B1580" s="28">
        <v>1570</v>
      </c>
      <c r="C1580" s="28"/>
      <c r="D1580" s="2" t="s">
        <v>1099</v>
      </c>
      <c r="E1580" s="7" t="s">
        <v>1777</v>
      </c>
      <c r="F1580" s="7"/>
      <c r="G1580" s="2" t="s">
        <v>20</v>
      </c>
      <c r="H1580" s="2" t="s">
        <v>129</v>
      </c>
      <c r="I1580" s="5">
        <v>132482.49</v>
      </c>
      <c r="J1580" s="57"/>
      <c r="K1580" s="3">
        <v>1800</v>
      </c>
      <c r="L1580" s="2" t="s">
        <v>64</v>
      </c>
      <c r="M1580" s="2" t="s">
        <v>530</v>
      </c>
      <c r="N1580" s="2" t="s">
        <v>12</v>
      </c>
      <c r="O1580" s="2" t="s">
        <v>12</v>
      </c>
      <c r="P1580" s="21" t="s">
        <v>12</v>
      </c>
      <c r="Q1580" s="3" t="s">
        <v>12</v>
      </c>
      <c r="R1580" s="3" t="s">
        <v>12</v>
      </c>
    </row>
    <row r="1581" spans="1:18" x14ac:dyDescent="0.25">
      <c r="A1581" s="30">
        <v>45904</v>
      </c>
      <c r="B1581" s="28">
        <v>1571</v>
      </c>
      <c r="C1581" s="28"/>
      <c r="D1581" s="2" t="s">
        <v>1909</v>
      </c>
      <c r="E1581" s="7" t="s">
        <v>12</v>
      </c>
      <c r="F1581" s="7"/>
      <c r="G1581" s="2" t="s">
        <v>13</v>
      </c>
      <c r="H1581" s="2" t="s">
        <v>1910</v>
      </c>
      <c r="I1581" s="5">
        <v>51393.73</v>
      </c>
      <c r="J1581" s="57"/>
      <c r="K1581" s="3">
        <v>720</v>
      </c>
      <c r="L1581" s="2" t="s">
        <v>226</v>
      </c>
      <c r="M1581" s="2" t="s">
        <v>12</v>
      </c>
      <c r="N1581" s="2" t="s">
        <v>12</v>
      </c>
      <c r="O1581" s="2" t="s">
        <v>12</v>
      </c>
      <c r="P1581" s="21" t="s">
        <v>12</v>
      </c>
      <c r="Q1581" s="3" t="s">
        <v>12</v>
      </c>
      <c r="R1581" s="3" t="s">
        <v>12</v>
      </c>
    </row>
    <row r="1582" spans="1:18" x14ac:dyDescent="0.25">
      <c r="A1582" s="30">
        <v>45904</v>
      </c>
      <c r="B1582" s="28">
        <v>1572</v>
      </c>
      <c r="C1582" s="28"/>
      <c r="D1582" s="2" t="s">
        <v>336</v>
      </c>
      <c r="E1582" s="7" t="s">
        <v>1911</v>
      </c>
      <c r="F1582" s="7"/>
      <c r="G1582" s="2" t="s">
        <v>20</v>
      </c>
      <c r="H1582" s="2" t="s">
        <v>1153</v>
      </c>
      <c r="I1582" s="5">
        <v>79316.63</v>
      </c>
      <c r="J1582" s="57"/>
      <c r="K1582" s="3">
        <v>960</v>
      </c>
      <c r="L1582" s="2" t="s">
        <v>64</v>
      </c>
      <c r="M1582" s="2" t="s">
        <v>12</v>
      </c>
      <c r="N1582" s="2" t="s">
        <v>12</v>
      </c>
      <c r="O1582" s="2" t="s">
        <v>12</v>
      </c>
      <c r="P1582" s="21" t="s">
        <v>12</v>
      </c>
      <c r="Q1582" s="3" t="s">
        <v>457</v>
      </c>
      <c r="R1582" s="3" t="s">
        <v>80</v>
      </c>
    </row>
    <row r="1583" spans="1:18" x14ac:dyDescent="0.25">
      <c r="A1583" s="30">
        <v>45904</v>
      </c>
      <c r="B1583" s="28">
        <v>1573</v>
      </c>
      <c r="C1583" s="28"/>
      <c r="D1583" s="2" t="s">
        <v>1912</v>
      </c>
      <c r="E1583" s="7" t="s">
        <v>12</v>
      </c>
      <c r="F1583" s="7"/>
      <c r="G1583" s="2" t="s">
        <v>13</v>
      </c>
      <c r="H1583" s="2" t="s">
        <v>1913</v>
      </c>
      <c r="I1583" s="5">
        <v>4801.5</v>
      </c>
      <c r="J1583" s="57"/>
      <c r="K1583" s="3" t="s">
        <v>12</v>
      </c>
      <c r="L1583" s="2" t="s">
        <v>226</v>
      </c>
      <c r="M1583" s="2" t="s">
        <v>12</v>
      </c>
      <c r="N1583" s="2" t="s">
        <v>12</v>
      </c>
      <c r="O1583" s="2" t="s">
        <v>12</v>
      </c>
      <c r="P1583" s="21" t="s">
        <v>12</v>
      </c>
      <c r="Q1583" s="3" t="s">
        <v>12</v>
      </c>
      <c r="R1583" s="3" t="s">
        <v>12</v>
      </c>
    </row>
    <row r="1584" spans="1:18" x14ac:dyDescent="0.25">
      <c r="A1584" s="30">
        <v>45905</v>
      </c>
      <c r="B1584" s="28">
        <v>1574</v>
      </c>
      <c r="C1584" s="28"/>
      <c r="D1584" s="2" t="s">
        <v>1091</v>
      </c>
      <c r="E1584" s="7" t="s">
        <v>1914</v>
      </c>
      <c r="F1584" s="7"/>
      <c r="G1584" s="2" t="s">
        <v>26</v>
      </c>
      <c r="H1584" s="2" t="s">
        <v>225</v>
      </c>
      <c r="I1584" s="5">
        <v>24300.33</v>
      </c>
      <c r="J1584" s="57"/>
      <c r="K1584" s="3">
        <v>216</v>
      </c>
      <c r="L1584" s="2" t="s">
        <v>134</v>
      </c>
      <c r="M1584" s="2" t="s">
        <v>373</v>
      </c>
      <c r="N1584" s="2" t="s">
        <v>373</v>
      </c>
      <c r="O1584" s="2" t="s">
        <v>443</v>
      </c>
      <c r="P1584" s="21" t="s">
        <v>12</v>
      </c>
      <c r="Q1584" s="3" t="s">
        <v>12</v>
      </c>
      <c r="R1584" s="3" t="s">
        <v>12</v>
      </c>
    </row>
    <row r="1585" spans="1:18" x14ac:dyDescent="0.25">
      <c r="A1585" s="30">
        <v>45904</v>
      </c>
      <c r="B1585" s="28">
        <v>1575</v>
      </c>
      <c r="C1585" s="28"/>
      <c r="D1585" s="2" t="s">
        <v>1673</v>
      </c>
      <c r="E1585" s="7" t="s">
        <v>1915</v>
      </c>
      <c r="F1585" s="7"/>
      <c r="G1585" s="2" t="s">
        <v>26</v>
      </c>
      <c r="H1585" s="2" t="s">
        <v>1540</v>
      </c>
      <c r="I1585" s="5">
        <v>5177.18</v>
      </c>
      <c r="J1585" s="57"/>
      <c r="K1585" s="3">
        <v>48</v>
      </c>
      <c r="L1585" s="2" t="s">
        <v>226</v>
      </c>
      <c r="M1585" s="2" t="s">
        <v>12</v>
      </c>
      <c r="N1585" s="2" t="s">
        <v>12</v>
      </c>
      <c r="O1585" s="2" t="s">
        <v>12</v>
      </c>
      <c r="P1585" s="21" t="s">
        <v>12</v>
      </c>
      <c r="Q1585" s="3" t="s">
        <v>1681</v>
      </c>
      <c r="R1585" s="3" t="s">
        <v>222</v>
      </c>
    </row>
    <row r="1586" spans="1:18" x14ac:dyDescent="0.25">
      <c r="A1586" s="30">
        <v>45904</v>
      </c>
      <c r="B1586" s="28">
        <v>1576</v>
      </c>
      <c r="C1586" s="28"/>
      <c r="D1586" s="2" t="s">
        <v>130</v>
      </c>
      <c r="E1586" s="7" t="s">
        <v>1916</v>
      </c>
      <c r="F1586" s="7"/>
      <c r="G1586" s="2" t="s">
        <v>26</v>
      </c>
      <c r="H1586" s="2" t="s">
        <v>294</v>
      </c>
      <c r="I1586" s="5">
        <v>50906.7</v>
      </c>
      <c r="J1586" s="57"/>
      <c r="K1586" s="3">
        <v>552</v>
      </c>
      <c r="L1586" s="2" t="s">
        <v>226</v>
      </c>
      <c r="M1586" s="2" t="s">
        <v>12</v>
      </c>
      <c r="N1586" s="2" t="s">
        <v>12</v>
      </c>
      <c r="O1586" s="2" t="s">
        <v>12</v>
      </c>
      <c r="P1586" s="21" t="s">
        <v>12</v>
      </c>
      <c r="Q1586" s="3" t="s">
        <v>133</v>
      </c>
      <c r="R1586" s="3" t="s">
        <v>75</v>
      </c>
    </row>
    <row r="1587" spans="1:18" x14ac:dyDescent="0.25">
      <c r="A1587" s="30">
        <v>45904</v>
      </c>
      <c r="B1587" s="28">
        <v>1577</v>
      </c>
      <c r="C1587" s="28" t="s">
        <v>2161</v>
      </c>
      <c r="D1587" s="2" t="s">
        <v>1523</v>
      </c>
      <c r="E1587" s="7" t="s">
        <v>1917</v>
      </c>
      <c r="F1587" s="7"/>
      <c r="G1587" s="2" t="s">
        <v>111</v>
      </c>
      <c r="H1587" s="2" t="s">
        <v>1168</v>
      </c>
      <c r="I1587" s="5">
        <v>649075.49</v>
      </c>
      <c r="J1587" s="57"/>
      <c r="K1587" s="3">
        <v>7080</v>
      </c>
      <c r="L1587" s="2" t="s">
        <v>226</v>
      </c>
      <c r="M1587" s="2" t="s">
        <v>12</v>
      </c>
      <c r="N1587" s="2" t="s">
        <v>12</v>
      </c>
      <c r="O1587" s="2" t="s">
        <v>12</v>
      </c>
      <c r="P1587" s="21" t="s">
        <v>12</v>
      </c>
      <c r="Q1587" s="3" t="s">
        <v>906</v>
      </c>
      <c r="R1587" s="3" t="s">
        <v>1943</v>
      </c>
    </row>
    <row r="1588" spans="1:18" x14ac:dyDescent="0.25">
      <c r="A1588" s="30">
        <v>45904</v>
      </c>
      <c r="B1588" s="28">
        <v>1578</v>
      </c>
      <c r="C1588" s="28"/>
      <c r="D1588" s="2" t="s">
        <v>1744</v>
      </c>
      <c r="E1588" s="7" t="s">
        <v>2084</v>
      </c>
      <c r="F1588" s="7"/>
      <c r="G1588" s="2" t="s">
        <v>111</v>
      </c>
      <c r="H1588" s="2" t="s">
        <v>383</v>
      </c>
      <c r="I1588" s="5">
        <v>17897.88</v>
      </c>
      <c r="J1588" s="57"/>
      <c r="K1588" s="3"/>
      <c r="L1588" s="2" t="s">
        <v>64</v>
      </c>
      <c r="M1588" s="2"/>
      <c r="N1588" s="2"/>
      <c r="O1588" s="2"/>
      <c r="P1588" s="21"/>
      <c r="Q1588" s="3"/>
      <c r="R1588" s="3"/>
    </row>
    <row r="1589" spans="1:18" x14ac:dyDescent="0.25">
      <c r="A1589" s="30">
        <v>45904</v>
      </c>
      <c r="B1589" s="28">
        <v>1579</v>
      </c>
      <c r="C1589" s="28"/>
      <c r="D1589" s="2" t="s">
        <v>54</v>
      </c>
      <c r="E1589" s="7" t="s">
        <v>12</v>
      </c>
      <c r="F1589" s="7"/>
      <c r="G1589" s="2" t="s">
        <v>26</v>
      </c>
      <c r="H1589" s="2" t="s">
        <v>116</v>
      </c>
      <c r="I1589" s="5">
        <v>18795.169999999998</v>
      </c>
      <c r="J1589" s="57"/>
      <c r="K1589" s="3">
        <v>216</v>
      </c>
      <c r="L1589" s="2" t="s">
        <v>226</v>
      </c>
      <c r="M1589" s="2" t="s">
        <v>12</v>
      </c>
      <c r="N1589" s="2" t="s">
        <v>12</v>
      </c>
      <c r="O1589" s="2" t="s">
        <v>12</v>
      </c>
      <c r="P1589" s="21" t="s">
        <v>12</v>
      </c>
      <c r="Q1589" s="3" t="s">
        <v>12</v>
      </c>
      <c r="R1589" s="3" t="s">
        <v>12</v>
      </c>
    </row>
    <row r="1590" spans="1:18" x14ac:dyDescent="0.25">
      <c r="A1590" s="30">
        <v>45904</v>
      </c>
      <c r="B1590" s="28">
        <v>1580</v>
      </c>
      <c r="C1590" s="28"/>
      <c r="D1590" s="2" t="s">
        <v>62</v>
      </c>
      <c r="E1590" s="7" t="s">
        <v>12</v>
      </c>
      <c r="F1590" s="7"/>
      <c r="G1590" s="2" t="s">
        <v>26</v>
      </c>
      <c r="H1590" s="2" t="s">
        <v>63</v>
      </c>
      <c r="I1590" s="5">
        <v>6623.28</v>
      </c>
      <c r="J1590" s="57"/>
      <c r="K1590" s="3">
        <v>96</v>
      </c>
      <c r="L1590" s="2" t="s">
        <v>64</v>
      </c>
      <c r="M1590" s="2" t="s">
        <v>12</v>
      </c>
      <c r="N1590" s="2" t="s">
        <v>12</v>
      </c>
      <c r="O1590" s="2" t="s">
        <v>12</v>
      </c>
      <c r="P1590" s="21" t="s">
        <v>12</v>
      </c>
      <c r="Q1590" s="3" t="s">
        <v>12</v>
      </c>
      <c r="R1590" s="3" t="s">
        <v>12</v>
      </c>
    </row>
    <row r="1591" spans="1:18" x14ac:dyDescent="0.25">
      <c r="A1591" s="30">
        <v>45910</v>
      </c>
      <c r="B1591" s="28">
        <v>1581</v>
      </c>
      <c r="C1591" s="28"/>
      <c r="D1591" s="2" t="s">
        <v>338</v>
      </c>
      <c r="E1591" s="7" t="s">
        <v>1918</v>
      </c>
      <c r="F1591" s="7"/>
      <c r="G1591" s="2" t="s">
        <v>97</v>
      </c>
      <c r="H1591" s="2" t="s">
        <v>339</v>
      </c>
      <c r="I1591" s="5">
        <v>203287.5</v>
      </c>
      <c r="J1591" s="57"/>
      <c r="K1591" s="3">
        <v>2520</v>
      </c>
      <c r="L1591" s="2" t="s">
        <v>64</v>
      </c>
      <c r="M1591" s="2" t="s">
        <v>12</v>
      </c>
      <c r="N1591" s="2" t="s">
        <v>12</v>
      </c>
      <c r="O1591" s="2" t="s">
        <v>12</v>
      </c>
      <c r="P1591" s="21" t="s">
        <v>12</v>
      </c>
      <c r="Q1591" s="3" t="s">
        <v>1944</v>
      </c>
      <c r="R1591" s="3" t="s">
        <v>80</v>
      </c>
    </row>
    <row r="1592" spans="1:18" x14ac:dyDescent="0.25">
      <c r="A1592" s="30">
        <v>45905</v>
      </c>
      <c r="B1592" s="28">
        <v>1582</v>
      </c>
      <c r="C1592" s="28"/>
      <c r="D1592" s="2" t="s">
        <v>601</v>
      </c>
      <c r="E1592" s="7" t="s">
        <v>1919</v>
      </c>
      <c r="F1592" s="7"/>
      <c r="G1592" s="2" t="s">
        <v>13</v>
      </c>
      <c r="H1592" s="2" t="s">
        <v>1920</v>
      </c>
      <c r="I1592" s="5">
        <v>2135.3200000000002</v>
      </c>
      <c r="J1592" s="57"/>
      <c r="K1592" s="3" t="s">
        <v>12</v>
      </c>
      <c r="L1592" s="2" t="s">
        <v>64</v>
      </c>
      <c r="M1592" s="2" t="s">
        <v>12</v>
      </c>
      <c r="N1592" s="2" t="s">
        <v>12</v>
      </c>
      <c r="O1592" s="2" t="s">
        <v>12</v>
      </c>
      <c r="P1592" s="21" t="s">
        <v>12</v>
      </c>
      <c r="Q1592" s="3" t="s">
        <v>12</v>
      </c>
      <c r="R1592" s="3" t="s">
        <v>12</v>
      </c>
    </row>
    <row r="1593" spans="1:18" x14ac:dyDescent="0.25">
      <c r="A1593" s="30">
        <v>45905</v>
      </c>
      <c r="B1593" s="28">
        <v>1583</v>
      </c>
      <c r="C1593" s="28"/>
      <c r="D1593" s="2" t="s">
        <v>524</v>
      </c>
      <c r="E1593" s="7" t="s">
        <v>1921</v>
      </c>
      <c r="F1593" s="7"/>
      <c r="G1593" s="2" t="s">
        <v>13</v>
      </c>
      <c r="H1593" s="2" t="s">
        <v>1251</v>
      </c>
      <c r="I1593" s="5">
        <v>259689.91</v>
      </c>
      <c r="J1593" s="57"/>
      <c r="K1593" s="3">
        <v>2784</v>
      </c>
      <c r="L1593" s="2" t="s">
        <v>226</v>
      </c>
      <c r="M1593" s="2" t="s">
        <v>12</v>
      </c>
      <c r="N1593" s="2" t="s">
        <v>12</v>
      </c>
      <c r="O1593" s="2" t="s">
        <v>12</v>
      </c>
      <c r="P1593" s="21" t="s">
        <v>12</v>
      </c>
      <c r="Q1593" s="3" t="s">
        <v>12</v>
      </c>
      <c r="R1593" s="3" t="s">
        <v>12</v>
      </c>
    </row>
    <row r="1594" spans="1:18" x14ac:dyDescent="0.25">
      <c r="A1594" s="30">
        <v>45905</v>
      </c>
      <c r="B1594" s="28">
        <v>1584</v>
      </c>
      <c r="C1594" s="28"/>
      <c r="D1594" s="2" t="s">
        <v>204</v>
      </c>
      <c r="E1594" s="7" t="s">
        <v>12</v>
      </c>
      <c r="F1594" s="7"/>
      <c r="G1594" s="2" t="s">
        <v>26</v>
      </c>
      <c r="H1594" s="2" t="s">
        <v>490</v>
      </c>
      <c r="I1594" s="5">
        <v>994</v>
      </c>
      <c r="J1594" s="57"/>
      <c r="K1594" s="3" t="s">
        <v>12</v>
      </c>
      <c r="L1594" s="2" t="s">
        <v>64</v>
      </c>
      <c r="M1594" s="2" t="s">
        <v>12</v>
      </c>
      <c r="N1594" s="2" t="s">
        <v>12</v>
      </c>
      <c r="O1594" s="2" t="s">
        <v>12</v>
      </c>
      <c r="P1594" s="21" t="s">
        <v>12</v>
      </c>
      <c r="Q1594" s="3" t="s">
        <v>12</v>
      </c>
      <c r="R1594" s="3" t="s">
        <v>12</v>
      </c>
    </row>
    <row r="1595" spans="1:18" x14ac:dyDescent="0.25">
      <c r="A1595" s="30">
        <v>45905</v>
      </c>
      <c r="B1595" s="28">
        <v>1585</v>
      </c>
      <c r="C1595" s="28"/>
      <c r="D1595" s="2" t="s">
        <v>137</v>
      </c>
      <c r="E1595" s="7" t="s">
        <v>12</v>
      </c>
      <c r="F1595" s="7"/>
      <c r="G1595" s="2" t="s">
        <v>26</v>
      </c>
      <c r="H1595" s="2" t="s">
        <v>98</v>
      </c>
      <c r="I1595" s="5">
        <v>1712.95</v>
      </c>
      <c r="J1595" s="57"/>
      <c r="K1595" s="3" t="s">
        <v>12</v>
      </c>
      <c r="L1595" s="2" t="s">
        <v>64</v>
      </c>
      <c r="M1595" s="2" t="s">
        <v>12</v>
      </c>
      <c r="N1595" s="2" t="s">
        <v>12</v>
      </c>
      <c r="O1595" s="2" t="s">
        <v>12</v>
      </c>
      <c r="P1595" s="21" t="s">
        <v>12</v>
      </c>
      <c r="Q1595" s="3" t="s">
        <v>12</v>
      </c>
      <c r="R1595" s="3" t="s">
        <v>12</v>
      </c>
    </row>
    <row r="1596" spans="1:18" x14ac:dyDescent="0.25">
      <c r="A1596" s="30">
        <v>45905</v>
      </c>
      <c r="B1596" s="28">
        <v>1586</v>
      </c>
      <c r="C1596" s="28"/>
      <c r="D1596" s="2" t="s">
        <v>233</v>
      </c>
      <c r="E1596" s="7" t="s">
        <v>1922</v>
      </c>
      <c r="F1596" s="7"/>
      <c r="G1596" s="2" t="s">
        <v>13</v>
      </c>
      <c r="H1596" s="2" t="s">
        <v>235</v>
      </c>
      <c r="I1596" s="5">
        <v>8019.29</v>
      </c>
      <c r="J1596" s="57"/>
      <c r="K1596" s="3">
        <v>96</v>
      </c>
      <c r="L1596" s="2" t="s">
        <v>226</v>
      </c>
      <c r="M1596" s="2" t="s">
        <v>12</v>
      </c>
      <c r="N1596" s="2" t="s">
        <v>12</v>
      </c>
      <c r="O1596" s="2" t="s">
        <v>12</v>
      </c>
      <c r="P1596" s="21" t="s">
        <v>12</v>
      </c>
      <c r="Q1596" s="3" t="s">
        <v>1945</v>
      </c>
      <c r="R1596" s="3" t="s">
        <v>1946</v>
      </c>
    </row>
    <row r="1597" spans="1:18" x14ac:dyDescent="0.25">
      <c r="A1597" s="30">
        <v>45910</v>
      </c>
      <c r="B1597" s="28">
        <v>1587</v>
      </c>
      <c r="C1597" s="28"/>
      <c r="D1597" s="2" t="s">
        <v>524</v>
      </c>
      <c r="E1597" s="7" t="s">
        <v>1923</v>
      </c>
      <c r="F1597" s="7"/>
      <c r="G1597" s="2" t="s">
        <v>13</v>
      </c>
      <c r="H1597" s="2" t="s">
        <v>1251</v>
      </c>
      <c r="I1597" s="5">
        <v>84911.69</v>
      </c>
      <c r="J1597" s="57"/>
      <c r="K1597" s="3">
        <v>912</v>
      </c>
      <c r="L1597" s="2" t="s">
        <v>226</v>
      </c>
      <c r="M1597" s="2" t="s">
        <v>12</v>
      </c>
      <c r="N1597" s="2" t="s">
        <v>12</v>
      </c>
      <c r="O1597" s="2" t="s">
        <v>12</v>
      </c>
      <c r="P1597" s="21" t="s">
        <v>12</v>
      </c>
      <c r="Q1597" s="3" t="s">
        <v>12</v>
      </c>
      <c r="R1597" s="3" t="s">
        <v>12</v>
      </c>
    </row>
    <row r="1598" spans="1:18" x14ac:dyDescent="0.25">
      <c r="A1598" s="30">
        <v>45910</v>
      </c>
      <c r="B1598" s="28">
        <v>1588</v>
      </c>
      <c r="C1598" s="28"/>
      <c r="D1598" s="2" t="s">
        <v>1976</v>
      </c>
      <c r="E1598" s="7" t="s">
        <v>12</v>
      </c>
      <c r="F1598" s="7"/>
      <c r="G1598" s="2" t="s">
        <v>111</v>
      </c>
      <c r="H1598" s="2" t="s">
        <v>12</v>
      </c>
      <c r="I1598" s="5" t="s">
        <v>12</v>
      </c>
      <c r="J1598" s="57"/>
      <c r="K1598" s="3" t="s">
        <v>12</v>
      </c>
      <c r="L1598" s="2" t="s">
        <v>226</v>
      </c>
      <c r="M1598" s="2" t="s">
        <v>12</v>
      </c>
      <c r="N1598" s="2" t="s">
        <v>12</v>
      </c>
      <c r="O1598" s="2" t="s">
        <v>12</v>
      </c>
      <c r="P1598" s="21" t="s">
        <v>12</v>
      </c>
      <c r="Q1598" s="3" t="s">
        <v>12</v>
      </c>
      <c r="R1598" s="3" t="s">
        <v>12</v>
      </c>
    </row>
    <row r="1599" spans="1:18" x14ac:dyDescent="0.25">
      <c r="A1599" s="30">
        <v>45908</v>
      </c>
      <c r="B1599" s="28">
        <v>1589</v>
      </c>
      <c r="C1599" s="28"/>
      <c r="D1599" s="2" t="s">
        <v>1206</v>
      </c>
      <c r="E1599" s="7" t="s">
        <v>1924</v>
      </c>
      <c r="F1599" s="7"/>
      <c r="G1599" s="2" t="s">
        <v>26</v>
      </c>
      <c r="H1599" s="2" t="s">
        <v>180</v>
      </c>
      <c r="I1599" s="5">
        <v>882010.3</v>
      </c>
      <c r="J1599" s="57"/>
      <c r="K1599" s="3">
        <v>11544</v>
      </c>
      <c r="L1599" s="2" t="s">
        <v>226</v>
      </c>
      <c r="M1599" s="2" t="s">
        <v>12</v>
      </c>
      <c r="N1599" s="2" t="s">
        <v>12</v>
      </c>
      <c r="O1599" s="2" t="s">
        <v>12</v>
      </c>
      <c r="P1599" s="21" t="s">
        <v>12</v>
      </c>
      <c r="Q1599" s="3" t="s">
        <v>12</v>
      </c>
      <c r="R1599" s="3" t="s">
        <v>12</v>
      </c>
    </row>
    <row r="1600" spans="1:18" x14ac:dyDescent="0.25">
      <c r="A1600" s="30">
        <v>45908</v>
      </c>
      <c r="B1600" s="28">
        <v>1590</v>
      </c>
      <c r="C1600" s="28"/>
      <c r="D1600" s="2" t="s">
        <v>298</v>
      </c>
      <c r="E1600" s="7" t="s">
        <v>12</v>
      </c>
      <c r="F1600" s="7"/>
      <c r="G1600" s="2" t="s">
        <v>13</v>
      </c>
      <c r="H1600" s="2" t="s">
        <v>13</v>
      </c>
      <c r="I1600" s="5">
        <v>1922.51</v>
      </c>
      <c r="J1600" s="57"/>
      <c r="K1600" s="3" t="s">
        <v>12</v>
      </c>
      <c r="L1600" s="2" t="s">
        <v>226</v>
      </c>
      <c r="M1600" s="2" t="s">
        <v>12</v>
      </c>
      <c r="N1600" s="2" t="s">
        <v>12</v>
      </c>
      <c r="O1600" s="2" t="s">
        <v>12</v>
      </c>
      <c r="P1600" s="21" t="s">
        <v>12</v>
      </c>
      <c r="Q1600" s="3" t="s">
        <v>12</v>
      </c>
      <c r="R1600" s="3" t="s">
        <v>12</v>
      </c>
    </row>
    <row r="1601" spans="1:18" x14ac:dyDescent="0.25">
      <c r="A1601" s="30">
        <v>45908</v>
      </c>
      <c r="B1601" s="28">
        <v>1591</v>
      </c>
      <c r="C1601" s="28"/>
      <c r="D1601" s="2" t="s">
        <v>56</v>
      </c>
      <c r="E1601" s="7" t="s">
        <v>1925</v>
      </c>
      <c r="F1601" s="7"/>
      <c r="G1601" s="2" t="s">
        <v>43</v>
      </c>
      <c r="H1601" s="2" t="s">
        <v>58</v>
      </c>
      <c r="I1601" s="5">
        <v>71580.59</v>
      </c>
      <c r="J1601" s="57"/>
      <c r="K1601" s="3">
        <v>744</v>
      </c>
      <c r="L1601" s="2" t="s">
        <v>64</v>
      </c>
      <c r="M1601" s="2" t="s">
        <v>530</v>
      </c>
      <c r="N1601" s="2" t="s">
        <v>12</v>
      </c>
      <c r="O1601" s="2" t="s">
        <v>12</v>
      </c>
      <c r="P1601" s="21" t="s">
        <v>12</v>
      </c>
      <c r="Q1601" s="3" t="s">
        <v>56</v>
      </c>
      <c r="R1601" s="3" t="s">
        <v>80</v>
      </c>
    </row>
    <row r="1602" spans="1:18" x14ac:dyDescent="0.25">
      <c r="A1602" s="30">
        <v>45908</v>
      </c>
      <c r="B1602" s="28">
        <v>1592</v>
      </c>
      <c r="C1602" s="28"/>
      <c r="D1602" s="2" t="s">
        <v>56</v>
      </c>
      <c r="E1602" s="7" t="s">
        <v>1926</v>
      </c>
      <c r="F1602" s="7"/>
      <c r="G1602" s="2" t="s">
        <v>43</v>
      </c>
      <c r="H1602" s="2" t="s">
        <v>58</v>
      </c>
      <c r="I1602" s="5">
        <v>56698.25</v>
      </c>
      <c r="J1602" s="57"/>
      <c r="K1602" s="3">
        <v>576</v>
      </c>
      <c r="L1602" s="2" t="s">
        <v>64</v>
      </c>
      <c r="M1602" s="2" t="s">
        <v>530</v>
      </c>
      <c r="N1602" s="2" t="s">
        <v>12</v>
      </c>
      <c r="O1602" s="2" t="s">
        <v>12</v>
      </c>
      <c r="P1602" s="21" t="s">
        <v>12</v>
      </c>
      <c r="Q1602" s="3" t="s">
        <v>56</v>
      </c>
      <c r="R1602" s="3" t="s">
        <v>80</v>
      </c>
    </row>
    <row r="1603" spans="1:18" x14ac:dyDescent="0.25">
      <c r="A1603" s="30">
        <v>45908</v>
      </c>
      <c r="B1603" s="28">
        <v>1593</v>
      </c>
      <c r="C1603" s="28"/>
      <c r="D1603" s="2" t="s">
        <v>941</v>
      </c>
      <c r="E1603" s="7" t="s">
        <v>1927</v>
      </c>
      <c r="F1603" s="7"/>
      <c r="G1603" s="2" t="s">
        <v>13</v>
      </c>
      <c r="H1603" s="2" t="s">
        <v>943</v>
      </c>
      <c r="I1603" s="5">
        <v>30243.03</v>
      </c>
      <c r="J1603" s="57"/>
      <c r="K1603" s="3">
        <v>336</v>
      </c>
      <c r="L1603" s="2" t="s">
        <v>226</v>
      </c>
      <c r="M1603" s="2" t="s">
        <v>12</v>
      </c>
      <c r="N1603" s="2" t="s">
        <v>12</v>
      </c>
      <c r="O1603" s="2" t="s">
        <v>12</v>
      </c>
      <c r="P1603" s="21" t="s">
        <v>12</v>
      </c>
      <c r="Q1603" s="3" t="s">
        <v>1947</v>
      </c>
      <c r="R1603" s="3" t="s">
        <v>75</v>
      </c>
    </row>
    <row r="1604" spans="1:18" x14ac:dyDescent="0.25">
      <c r="A1604" s="30">
        <v>45908</v>
      </c>
      <c r="B1604" s="28">
        <v>1594</v>
      </c>
      <c r="C1604" s="28"/>
      <c r="D1604" s="2" t="s">
        <v>1224</v>
      </c>
      <c r="E1604" s="7" t="s">
        <v>12</v>
      </c>
      <c r="F1604" s="7"/>
      <c r="G1604" s="2" t="s">
        <v>26</v>
      </c>
      <c r="H1604" s="2" t="s">
        <v>596</v>
      </c>
      <c r="I1604" s="5">
        <v>104090.27</v>
      </c>
      <c r="J1604" s="57"/>
      <c r="K1604" s="3">
        <v>1056</v>
      </c>
      <c r="L1604" s="2" t="s">
        <v>226</v>
      </c>
      <c r="M1604" s="2" t="s">
        <v>12</v>
      </c>
      <c r="N1604" s="2" t="s">
        <v>12</v>
      </c>
      <c r="O1604" s="2" t="s">
        <v>12</v>
      </c>
      <c r="P1604" s="21" t="s">
        <v>12</v>
      </c>
      <c r="Q1604" s="3" t="s">
        <v>12</v>
      </c>
      <c r="R1604" s="3" t="s">
        <v>12</v>
      </c>
    </row>
    <row r="1605" spans="1:18" x14ac:dyDescent="0.25">
      <c r="A1605" s="30">
        <v>45910</v>
      </c>
      <c r="B1605" s="28">
        <v>1595</v>
      </c>
      <c r="C1605" s="28"/>
      <c r="D1605" s="2" t="s">
        <v>1091</v>
      </c>
      <c r="E1605" s="7" t="s">
        <v>1928</v>
      </c>
      <c r="F1605" s="7"/>
      <c r="G1605" s="2" t="s">
        <v>26</v>
      </c>
      <c r="H1605" s="2" t="s">
        <v>225</v>
      </c>
      <c r="I1605" s="5">
        <v>57684.81</v>
      </c>
      <c r="J1605" s="57"/>
      <c r="K1605" s="3">
        <v>552</v>
      </c>
      <c r="L1605" s="2" t="s">
        <v>64</v>
      </c>
      <c r="M1605" s="2" t="s">
        <v>12</v>
      </c>
      <c r="N1605" s="2" t="s">
        <v>12</v>
      </c>
      <c r="O1605" s="2" t="s">
        <v>12</v>
      </c>
      <c r="P1605" s="21" t="s">
        <v>12</v>
      </c>
      <c r="Q1605" s="3" t="s">
        <v>12</v>
      </c>
      <c r="R1605" s="3" t="s">
        <v>12</v>
      </c>
    </row>
    <row r="1606" spans="1:18" x14ac:dyDescent="0.25">
      <c r="A1606" s="30">
        <v>45908</v>
      </c>
      <c r="B1606" s="28">
        <v>1596</v>
      </c>
      <c r="C1606" s="28"/>
      <c r="D1606" s="2" t="s">
        <v>168</v>
      </c>
      <c r="E1606" s="7" t="s">
        <v>1929</v>
      </c>
      <c r="F1606" s="7"/>
      <c r="G1606" s="2" t="s">
        <v>43</v>
      </c>
      <c r="H1606" s="2" t="s">
        <v>170</v>
      </c>
      <c r="I1606" s="5">
        <v>40003.65</v>
      </c>
      <c r="J1606" s="57"/>
      <c r="K1606" s="3">
        <v>408</v>
      </c>
      <c r="L1606" s="2" t="s">
        <v>226</v>
      </c>
      <c r="M1606" s="2" t="s">
        <v>12</v>
      </c>
      <c r="N1606" s="2" t="s">
        <v>12</v>
      </c>
      <c r="O1606" s="2" t="s">
        <v>12</v>
      </c>
      <c r="P1606" s="21" t="s">
        <v>12</v>
      </c>
      <c r="Q1606" s="3" t="s">
        <v>12</v>
      </c>
      <c r="R1606" s="3" t="s">
        <v>12</v>
      </c>
    </row>
    <row r="1607" spans="1:18" x14ac:dyDescent="0.25">
      <c r="A1607" s="30">
        <v>45908</v>
      </c>
      <c r="B1607" s="28">
        <v>1597</v>
      </c>
      <c r="C1607" s="28"/>
      <c r="D1607" s="2" t="s">
        <v>212</v>
      </c>
      <c r="E1607" s="7" t="s">
        <v>12</v>
      </c>
      <c r="F1607" s="7"/>
      <c r="G1607" s="2" t="s">
        <v>20</v>
      </c>
      <c r="H1607" s="2" t="s">
        <v>235</v>
      </c>
      <c r="I1607" s="5">
        <v>6052.1</v>
      </c>
      <c r="J1607" s="57"/>
      <c r="K1607" s="3">
        <v>96</v>
      </c>
      <c r="L1607" s="2" t="s">
        <v>226</v>
      </c>
      <c r="M1607" s="2" t="s">
        <v>12</v>
      </c>
      <c r="N1607" s="2" t="s">
        <v>12</v>
      </c>
      <c r="O1607" s="2" t="s">
        <v>12</v>
      </c>
      <c r="P1607" s="21" t="s">
        <v>12</v>
      </c>
      <c r="Q1607" s="3" t="s">
        <v>12</v>
      </c>
      <c r="R1607" s="3" t="s">
        <v>12</v>
      </c>
    </row>
    <row r="1608" spans="1:18" x14ac:dyDescent="0.25">
      <c r="A1608" s="30">
        <v>45909</v>
      </c>
      <c r="B1608" s="28">
        <v>1598</v>
      </c>
      <c r="C1608" s="28"/>
      <c r="D1608" s="2" t="s">
        <v>206</v>
      </c>
      <c r="E1608" s="7" t="s">
        <v>1858</v>
      </c>
      <c r="F1608" s="7"/>
      <c r="G1608" s="2" t="s">
        <v>97</v>
      </c>
      <c r="H1608" s="2" t="s">
        <v>473</v>
      </c>
      <c r="I1608" s="5">
        <v>1453.28</v>
      </c>
      <c r="J1608" s="57"/>
      <c r="K1608" s="3" t="s">
        <v>12</v>
      </c>
      <c r="L1608" s="2" t="s">
        <v>134</v>
      </c>
      <c r="M1608" s="2" t="s">
        <v>2029</v>
      </c>
      <c r="N1608" s="2" t="s">
        <v>135</v>
      </c>
      <c r="O1608" s="2" t="s">
        <v>528</v>
      </c>
      <c r="P1608" s="21" t="s">
        <v>12</v>
      </c>
      <c r="Q1608" s="3" t="s">
        <v>12</v>
      </c>
      <c r="R1608" s="3" t="s">
        <v>12</v>
      </c>
    </row>
    <row r="1609" spans="1:18" x14ac:dyDescent="0.25">
      <c r="A1609" s="30">
        <v>45910</v>
      </c>
      <c r="B1609" s="28">
        <v>1599</v>
      </c>
      <c r="C1609" s="28"/>
      <c r="D1609" s="2" t="s">
        <v>839</v>
      </c>
      <c r="E1609" s="7" t="s">
        <v>1930</v>
      </c>
      <c r="F1609" s="7"/>
      <c r="G1609" s="2" t="s">
        <v>20</v>
      </c>
      <c r="H1609" s="2" t="s">
        <v>948</v>
      </c>
      <c r="I1609" s="5">
        <v>51551.45</v>
      </c>
      <c r="J1609" s="57"/>
      <c r="K1609" s="3">
        <v>504</v>
      </c>
      <c r="L1609" s="2" t="s">
        <v>64</v>
      </c>
      <c r="M1609" s="2" t="s">
        <v>12</v>
      </c>
      <c r="N1609" s="2" t="s">
        <v>12</v>
      </c>
      <c r="O1609" s="2" t="s">
        <v>12</v>
      </c>
      <c r="P1609" s="21" t="s">
        <v>12</v>
      </c>
      <c r="Q1609" s="3" t="s">
        <v>12</v>
      </c>
      <c r="R1609" s="3" t="s">
        <v>12</v>
      </c>
    </row>
    <row r="1610" spans="1:18" x14ac:dyDescent="0.25">
      <c r="A1610" s="30">
        <v>45909</v>
      </c>
      <c r="B1610" s="28">
        <v>1600</v>
      </c>
      <c r="C1610" s="28"/>
      <c r="D1610" s="2" t="s">
        <v>103</v>
      </c>
      <c r="E1610" s="7" t="s">
        <v>1931</v>
      </c>
      <c r="F1610" s="7"/>
      <c r="G1610" s="2" t="s">
        <v>13</v>
      </c>
      <c r="H1610" s="2" t="s">
        <v>491</v>
      </c>
      <c r="I1610" s="5">
        <v>60887.11</v>
      </c>
      <c r="J1610" s="57"/>
      <c r="K1610" s="3">
        <v>720</v>
      </c>
      <c r="L1610" s="2" t="s">
        <v>134</v>
      </c>
      <c r="M1610" s="2" t="s">
        <v>2030</v>
      </c>
      <c r="N1610" s="2" t="s">
        <v>135</v>
      </c>
      <c r="O1610" s="2" t="s">
        <v>1979</v>
      </c>
      <c r="P1610" s="21" t="s">
        <v>12</v>
      </c>
      <c r="Q1610" s="3" t="s">
        <v>12</v>
      </c>
      <c r="R1610" s="3" t="s">
        <v>12</v>
      </c>
    </row>
    <row r="1611" spans="1:18" x14ac:dyDescent="0.25">
      <c r="A1611" s="30">
        <v>45909</v>
      </c>
      <c r="B1611" s="28">
        <v>1601</v>
      </c>
      <c r="C1611" s="28"/>
      <c r="D1611" s="2" t="s">
        <v>348</v>
      </c>
      <c r="E1611" s="7" t="s">
        <v>12</v>
      </c>
      <c r="F1611" s="7"/>
      <c r="G1611" s="2" t="s">
        <v>26</v>
      </c>
      <c r="H1611" s="2" t="s">
        <v>350</v>
      </c>
      <c r="I1611" s="5">
        <v>4365</v>
      </c>
      <c r="J1611" s="57"/>
      <c r="K1611" s="3" t="s">
        <v>12</v>
      </c>
      <c r="L1611" s="2" t="s">
        <v>226</v>
      </c>
      <c r="M1611" s="2" t="s">
        <v>12</v>
      </c>
      <c r="N1611" s="2" t="s">
        <v>12</v>
      </c>
      <c r="O1611" s="2" t="s">
        <v>12</v>
      </c>
      <c r="P1611" s="21" t="s">
        <v>12</v>
      </c>
      <c r="Q1611" s="3" t="s">
        <v>12</v>
      </c>
      <c r="R1611" s="3" t="s">
        <v>12</v>
      </c>
    </row>
    <row r="1612" spans="1:18" x14ac:dyDescent="0.25">
      <c r="A1612" s="30">
        <v>45909</v>
      </c>
      <c r="B1612" s="28">
        <v>1602</v>
      </c>
      <c r="C1612" s="28"/>
      <c r="D1612" s="2" t="s">
        <v>839</v>
      </c>
      <c r="E1612" s="7" t="s">
        <v>12</v>
      </c>
      <c r="F1612" s="7"/>
      <c r="G1612" s="2" t="s">
        <v>20</v>
      </c>
      <c r="H1612" s="2" t="s">
        <v>948</v>
      </c>
      <c r="I1612" s="5">
        <v>2079.37</v>
      </c>
      <c r="J1612" s="57"/>
      <c r="K1612" s="3" t="s">
        <v>12</v>
      </c>
      <c r="L1612" s="2" t="s">
        <v>64</v>
      </c>
      <c r="M1612" s="2" t="s">
        <v>12</v>
      </c>
      <c r="N1612" s="2" t="s">
        <v>12</v>
      </c>
      <c r="O1612" s="2" t="s">
        <v>12</v>
      </c>
      <c r="P1612" s="21" t="s">
        <v>12</v>
      </c>
      <c r="Q1612" s="3" t="s">
        <v>12</v>
      </c>
      <c r="R1612" s="3" t="s">
        <v>12</v>
      </c>
    </row>
    <row r="1613" spans="1:18" x14ac:dyDescent="0.25">
      <c r="A1613" s="30">
        <v>45910</v>
      </c>
      <c r="B1613" s="28">
        <v>1603</v>
      </c>
      <c r="C1613" s="28"/>
      <c r="D1613" s="2" t="s">
        <v>212</v>
      </c>
      <c r="E1613" s="7" t="s">
        <v>2085</v>
      </c>
      <c r="F1613" s="7"/>
      <c r="G1613" s="2" t="s">
        <v>20</v>
      </c>
      <c r="H1613" s="2" t="s">
        <v>20</v>
      </c>
      <c r="I1613" s="5">
        <v>7172.16</v>
      </c>
      <c r="J1613" s="57"/>
      <c r="K1613" s="3">
        <v>96</v>
      </c>
      <c r="L1613" s="2" t="s">
        <v>226</v>
      </c>
      <c r="M1613" s="2" t="s">
        <v>2083</v>
      </c>
      <c r="N1613" s="2" t="s">
        <v>12</v>
      </c>
      <c r="O1613" s="2" t="s">
        <v>12</v>
      </c>
      <c r="P1613" s="21" t="s">
        <v>12</v>
      </c>
      <c r="Q1613" s="3" t="s">
        <v>12</v>
      </c>
      <c r="R1613" s="3" t="s">
        <v>12</v>
      </c>
    </row>
    <row r="1614" spans="1:18" x14ac:dyDescent="0.25">
      <c r="A1614" s="30">
        <v>45910</v>
      </c>
      <c r="B1614" s="28">
        <v>1604</v>
      </c>
      <c r="C1614" s="28"/>
      <c r="D1614" s="2" t="s">
        <v>1349</v>
      </c>
      <c r="E1614" s="7" t="s">
        <v>12</v>
      </c>
      <c r="F1614" s="7"/>
      <c r="G1614" s="2" t="s">
        <v>13</v>
      </c>
      <c r="H1614" s="2" t="s">
        <v>1351</v>
      </c>
      <c r="I1614" s="5">
        <v>3163.79</v>
      </c>
      <c r="J1614" s="57"/>
      <c r="K1614" s="3">
        <v>48</v>
      </c>
      <c r="L1614" s="2" t="s">
        <v>226</v>
      </c>
      <c r="M1614" s="2" t="s">
        <v>12</v>
      </c>
      <c r="N1614" s="2" t="s">
        <v>12</v>
      </c>
      <c r="O1614" s="2" t="s">
        <v>12</v>
      </c>
      <c r="P1614" s="21" t="s">
        <v>12</v>
      </c>
      <c r="Q1614" s="3" t="s">
        <v>12</v>
      </c>
      <c r="R1614" s="3" t="s">
        <v>12</v>
      </c>
    </row>
    <row r="1615" spans="1:18" x14ac:dyDescent="0.25">
      <c r="A1615" s="30">
        <v>45910</v>
      </c>
      <c r="B1615" s="28">
        <v>1605</v>
      </c>
      <c r="C1615" s="28"/>
      <c r="D1615" s="2" t="s">
        <v>233</v>
      </c>
      <c r="E1615" s="7" t="s">
        <v>12</v>
      </c>
      <c r="F1615" s="7"/>
      <c r="G1615" s="2" t="s">
        <v>13</v>
      </c>
      <c r="H1615" s="2" t="s">
        <v>235</v>
      </c>
      <c r="I1615" s="5">
        <v>20214.12</v>
      </c>
      <c r="J1615" s="57"/>
      <c r="K1615" s="3">
        <v>288</v>
      </c>
      <c r="L1615" s="2" t="s">
        <v>226</v>
      </c>
      <c r="M1615" s="2" t="s">
        <v>12</v>
      </c>
      <c r="N1615" s="2" t="s">
        <v>12</v>
      </c>
      <c r="O1615" s="2" t="s">
        <v>12</v>
      </c>
      <c r="P1615" s="21" t="s">
        <v>12</v>
      </c>
      <c r="Q1615" s="3" t="s">
        <v>12</v>
      </c>
      <c r="R1615" s="3" t="s">
        <v>12</v>
      </c>
    </row>
    <row r="1616" spans="1:18" x14ac:dyDescent="0.25">
      <c r="A1616" s="30">
        <v>45910</v>
      </c>
      <c r="B1616" s="28">
        <v>1606</v>
      </c>
      <c r="C1616" s="28"/>
      <c r="D1616" s="2" t="s">
        <v>1711</v>
      </c>
      <c r="E1616" s="7" t="s">
        <v>12</v>
      </c>
      <c r="F1616" s="7"/>
      <c r="G1616" s="2" t="s">
        <v>97</v>
      </c>
      <c r="H1616" s="2" t="s">
        <v>1932</v>
      </c>
      <c r="I1616" s="5">
        <v>29981.71</v>
      </c>
      <c r="J1616" s="57"/>
      <c r="K1616" s="3">
        <v>324</v>
      </c>
      <c r="L1616" s="2" t="s">
        <v>64</v>
      </c>
      <c r="M1616" s="2" t="s">
        <v>12</v>
      </c>
      <c r="N1616" s="2" t="s">
        <v>12</v>
      </c>
      <c r="O1616" s="2" t="s">
        <v>12</v>
      </c>
      <c r="P1616" s="21" t="s">
        <v>12</v>
      </c>
      <c r="Q1616" s="3" t="s">
        <v>12</v>
      </c>
      <c r="R1616" s="3" t="s">
        <v>12</v>
      </c>
    </row>
    <row r="1617" spans="1:18" x14ac:dyDescent="0.25">
      <c r="A1617" s="30">
        <v>45910</v>
      </c>
      <c r="B1617" s="28">
        <v>1607</v>
      </c>
      <c r="C1617" s="28"/>
      <c r="D1617" s="2" t="s">
        <v>340</v>
      </c>
      <c r="E1617" s="7" t="s">
        <v>12</v>
      </c>
      <c r="F1617" s="7"/>
      <c r="G1617" s="2" t="s">
        <v>13</v>
      </c>
      <c r="H1617" s="2" t="s">
        <v>1169</v>
      </c>
      <c r="I1617" s="5">
        <v>194.94</v>
      </c>
      <c r="J1617" s="57"/>
      <c r="K1617" s="3">
        <v>2.4</v>
      </c>
      <c r="L1617" s="2" t="s">
        <v>64</v>
      </c>
      <c r="M1617" s="2" t="s">
        <v>12</v>
      </c>
      <c r="N1617" s="2" t="s">
        <v>12</v>
      </c>
      <c r="O1617" s="2" t="s">
        <v>12</v>
      </c>
      <c r="P1617" s="21" t="s">
        <v>12</v>
      </c>
      <c r="Q1617" s="3" t="s">
        <v>12</v>
      </c>
      <c r="R1617" s="3" t="s">
        <v>12</v>
      </c>
    </row>
    <row r="1618" spans="1:18" x14ac:dyDescent="0.25">
      <c r="A1618" s="30">
        <v>45910</v>
      </c>
      <c r="B1618" s="28">
        <v>1608</v>
      </c>
      <c r="C1618" s="28"/>
      <c r="D1618" s="2" t="s">
        <v>1711</v>
      </c>
      <c r="E1618" s="7" t="s">
        <v>1933</v>
      </c>
      <c r="F1618" s="7"/>
      <c r="G1618" s="2" t="s">
        <v>97</v>
      </c>
      <c r="H1618" s="2" t="s">
        <v>1932</v>
      </c>
      <c r="I1618" s="5">
        <v>11856.26</v>
      </c>
      <c r="J1618" s="57"/>
      <c r="K1618" s="3">
        <v>144</v>
      </c>
      <c r="L1618" s="2" t="s">
        <v>64</v>
      </c>
      <c r="M1618" s="2" t="s">
        <v>12</v>
      </c>
      <c r="N1618" s="2" t="s">
        <v>12</v>
      </c>
      <c r="O1618" s="2" t="s">
        <v>12</v>
      </c>
      <c r="P1618" s="21" t="s">
        <v>12</v>
      </c>
      <c r="Q1618" s="3" t="s">
        <v>12</v>
      </c>
      <c r="R1618" s="3" t="s">
        <v>12</v>
      </c>
    </row>
    <row r="1619" spans="1:18" x14ac:dyDescent="0.25">
      <c r="A1619" s="30">
        <v>45910</v>
      </c>
      <c r="B1619" s="28">
        <v>1609</v>
      </c>
      <c r="C1619" s="28"/>
      <c r="D1619" s="2" t="s">
        <v>168</v>
      </c>
      <c r="E1619" s="7" t="s">
        <v>1517</v>
      </c>
      <c r="F1619" s="7"/>
      <c r="G1619" s="2" t="s">
        <v>43</v>
      </c>
      <c r="H1619" s="2" t="s">
        <v>375</v>
      </c>
      <c r="I1619" s="5">
        <v>11745.6</v>
      </c>
      <c r="J1619" s="57"/>
      <c r="K1619" s="3" t="s">
        <v>12</v>
      </c>
      <c r="L1619" s="2" t="s">
        <v>64</v>
      </c>
      <c r="M1619" s="2" t="s">
        <v>12</v>
      </c>
      <c r="N1619" s="2" t="s">
        <v>12</v>
      </c>
      <c r="O1619" s="2" t="s">
        <v>12</v>
      </c>
      <c r="P1619" s="21" t="s">
        <v>12</v>
      </c>
      <c r="Q1619" s="3" t="s">
        <v>12</v>
      </c>
      <c r="R1619" s="3" t="s">
        <v>12</v>
      </c>
    </row>
    <row r="1620" spans="1:18" x14ac:dyDescent="0.25">
      <c r="A1620" s="30">
        <v>45910</v>
      </c>
      <c r="B1620" s="28">
        <v>1610</v>
      </c>
      <c r="C1620" s="28"/>
      <c r="D1620" s="2" t="s">
        <v>1934</v>
      </c>
      <c r="E1620" s="7" t="s">
        <v>1935</v>
      </c>
      <c r="F1620" s="7"/>
      <c r="G1620" s="2" t="s">
        <v>97</v>
      </c>
      <c r="H1620" s="2" t="s">
        <v>1936</v>
      </c>
      <c r="I1620" s="5">
        <v>2039.36</v>
      </c>
      <c r="J1620" s="57"/>
      <c r="K1620" s="3">
        <v>26.4</v>
      </c>
      <c r="L1620" s="2" t="s">
        <v>226</v>
      </c>
      <c r="M1620" s="2" t="s">
        <v>12</v>
      </c>
      <c r="N1620" s="2" t="s">
        <v>12</v>
      </c>
      <c r="O1620" s="2" t="s">
        <v>12</v>
      </c>
      <c r="P1620" s="21" t="s">
        <v>12</v>
      </c>
      <c r="Q1620" s="3" t="s">
        <v>12</v>
      </c>
      <c r="R1620" s="3" t="s">
        <v>12</v>
      </c>
    </row>
    <row r="1621" spans="1:18" x14ac:dyDescent="0.25">
      <c r="A1621" s="30">
        <v>45910</v>
      </c>
      <c r="B1621" s="28">
        <v>1611</v>
      </c>
      <c r="C1621" s="28"/>
      <c r="D1621" s="2" t="s">
        <v>1937</v>
      </c>
      <c r="E1621" s="7" t="s">
        <v>12</v>
      </c>
      <c r="F1621" s="7"/>
      <c r="G1621" s="2" t="s">
        <v>13</v>
      </c>
      <c r="H1621" s="2" t="s">
        <v>268</v>
      </c>
      <c r="I1621" s="5">
        <v>4611.5200000000004</v>
      </c>
      <c r="J1621" s="57"/>
      <c r="K1621" s="3">
        <v>25.2</v>
      </c>
      <c r="L1621" s="2" t="s">
        <v>64</v>
      </c>
      <c r="M1621" s="2" t="s">
        <v>12</v>
      </c>
      <c r="N1621" s="2" t="s">
        <v>12</v>
      </c>
      <c r="O1621" s="2" t="s">
        <v>12</v>
      </c>
      <c r="P1621" s="21" t="s">
        <v>12</v>
      </c>
      <c r="Q1621" s="3" t="s">
        <v>12</v>
      </c>
      <c r="R1621" s="3" t="s">
        <v>12</v>
      </c>
    </row>
    <row r="1622" spans="1:18" x14ac:dyDescent="0.25">
      <c r="A1622" s="30">
        <v>45910</v>
      </c>
      <c r="B1622" s="28">
        <v>1612</v>
      </c>
      <c r="C1622" s="28"/>
      <c r="D1622" s="2" t="s">
        <v>433</v>
      </c>
      <c r="E1622" s="7" t="s">
        <v>12</v>
      </c>
      <c r="F1622" s="7"/>
      <c r="G1622" s="2" t="s">
        <v>97</v>
      </c>
      <c r="H1622" s="2" t="s">
        <v>395</v>
      </c>
      <c r="I1622" s="5">
        <v>49069.120000000003</v>
      </c>
      <c r="J1622" s="57"/>
      <c r="K1622" s="3">
        <v>600</v>
      </c>
      <c r="L1622" s="2" t="s">
        <v>64</v>
      </c>
      <c r="M1622" s="2" t="s">
        <v>12</v>
      </c>
      <c r="N1622" s="2" t="s">
        <v>12</v>
      </c>
      <c r="O1622" s="2" t="s">
        <v>12</v>
      </c>
      <c r="P1622" s="21" t="s">
        <v>12</v>
      </c>
      <c r="Q1622" s="3" t="s">
        <v>12</v>
      </c>
      <c r="R1622" s="3" t="s">
        <v>12</v>
      </c>
    </row>
    <row r="1623" spans="1:18" x14ac:dyDescent="0.25">
      <c r="A1623" s="30">
        <v>45910</v>
      </c>
      <c r="B1623" s="28">
        <v>1613</v>
      </c>
      <c r="C1623" s="28"/>
      <c r="D1623" s="2" t="s">
        <v>204</v>
      </c>
      <c r="E1623" s="7" t="s">
        <v>1938</v>
      </c>
      <c r="F1623" s="7"/>
      <c r="G1623" s="2" t="s">
        <v>26</v>
      </c>
      <c r="H1623" s="2" t="s">
        <v>320</v>
      </c>
      <c r="I1623" s="5">
        <v>1386016</v>
      </c>
      <c r="J1623" s="57"/>
      <c r="K1623" s="3">
        <v>15504</v>
      </c>
      <c r="L1623" s="2" t="s">
        <v>226</v>
      </c>
      <c r="M1623" s="2" t="s">
        <v>12</v>
      </c>
      <c r="N1623" s="2" t="s">
        <v>12</v>
      </c>
      <c r="O1623" s="2" t="s">
        <v>12</v>
      </c>
      <c r="P1623" s="21" t="s">
        <v>12</v>
      </c>
      <c r="Q1623" s="3" t="s">
        <v>12</v>
      </c>
      <c r="R1623" s="3" t="s">
        <v>12</v>
      </c>
    </row>
    <row r="1624" spans="1:18" x14ac:dyDescent="0.25">
      <c r="A1624" s="30">
        <v>45910</v>
      </c>
      <c r="B1624" s="28">
        <v>1614</v>
      </c>
      <c r="C1624" s="28"/>
      <c r="D1624" s="2" t="s">
        <v>684</v>
      </c>
      <c r="E1624" s="7" t="s">
        <v>12</v>
      </c>
      <c r="F1624" s="7"/>
      <c r="G1624" s="2" t="s">
        <v>43</v>
      </c>
      <c r="H1624" s="2" t="s">
        <v>854</v>
      </c>
      <c r="I1624" s="5">
        <v>1683616.89</v>
      </c>
      <c r="J1624" s="57"/>
      <c r="K1624" s="3">
        <v>20040</v>
      </c>
      <c r="L1624" s="2" t="s">
        <v>226</v>
      </c>
      <c r="M1624" s="2" t="s">
        <v>12</v>
      </c>
      <c r="N1624" s="2" t="s">
        <v>12</v>
      </c>
      <c r="O1624" s="2" t="s">
        <v>12</v>
      </c>
      <c r="P1624" s="21" t="s">
        <v>12</v>
      </c>
      <c r="Q1624" s="3" t="s">
        <v>12</v>
      </c>
      <c r="R1624" s="3" t="s">
        <v>12</v>
      </c>
    </row>
    <row r="1625" spans="1:18" x14ac:dyDescent="0.25">
      <c r="A1625" s="30">
        <v>45910</v>
      </c>
      <c r="B1625" s="28">
        <v>1615</v>
      </c>
      <c r="C1625" s="28"/>
      <c r="D1625" s="2" t="s">
        <v>1885</v>
      </c>
      <c r="E1625" s="7" t="s">
        <v>1939</v>
      </c>
      <c r="F1625" s="7"/>
      <c r="G1625" s="2" t="s">
        <v>13</v>
      </c>
      <c r="H1625" s="2" t="s">
        <v>35</v>
      </c>
      <c r="I1625" s="5">
        <v>11154.88</v>
      </c>
      <c r="J1625" s="57"/>
      <c r="K1625" s="3">
        <v>144</v>
      </c>
      <c r="L1625" s="2" t="s">
        <v>226</v>
      </c>
      <c r="M1625" s="2" t="s">
        <v>12</v>
      </c>
      <c r="N1625" s="2" t="s">
        <v>12</v>
      </c>
      <c r="O1625" s="2" t="s">
        <v>12</v>
      </c>
      <c r="P1625" s="21" t="s">
        <v>12</v>
      </c>
      <c r="Q1625" s="3" t="s">
        <v>74</v>
      </c>
      <c r="R1625" s="3" t="s">
        <v>1065</v>
      </c>
    </row>
    <row r="1626" spans="1:18" x14ac:dyDescent="0.25">
      <c r="A1626" s="30">
        <v>45910</v>
      </c>
      <c r="B1626" s="28">
        <v>1616</v>
      </c>
      <c r="C1626" s="28"/>
      <c r="D1626" s="2" t="s">
        <v>1940</v>
      </c>
      <c r="E1626" s="7" t="s">
        <v>1941</v>
      </c>
      <c r="F1626" s="7"/>
      <c r="G1626" s="2" t="s">
        <v>13</v>
      </c>
      <c r="H1626" s="2" t="s">
        <v>1942</v>
      </c>
      <c r="I1626" s="5">
        <v>24284.560000000001</v>
      </c>
      <c r="J1626" s="57"/>
      <c r="K1626" s="3">
        <v>240</v>
      </c>
      <c r="L1626" s="2" t="s">
        <v>226</v>
      </c>
      <c r="M1626" s="2" t="s">
        <v>12</v>
      </c>
      <c r="N1626" s="2" t="s">
        <v>12</v>
      </c>
      <c r="O1626" s="2" t="s">
        <v>12</v>
      </c>
      <c r="P1626" s="21" t="s">
        <v>12</v>
      </c>
      <c r="Q1626" s="3" t="s">
        <v>1948</v>
      </c>
      <c r="R1626" s="3" t="s">
        <v>80</v>
      </c>
    </row>
    <row r="1627" spans="1:18" x14ac:dyDescent="0.25">
      <c r="A1627" s="30">
        <v>45911</v>
      </c>
      <c r="B1627" s="28">
        <v>1617</v>
      </c>
      <c r="C1627" s="28"/>
      <c r="D1627" s="2" t="s">
        <v>1711</v>
      </c>
      <c r="E1627" s="7" t="s">
        <v>1949</v>
      </c>
      <c r="F1627" s="7"/>
      <c r="G1627" s="2" t="s">
        <v>97</v>
      </c>
      <c r="H1627" s="2" t="s">
        <v>1653</v>
      </c>
      <c r="I1627" s="5">
        <v>23987.16</v>
      </c>
      <c r="J1627" s="57"/>
      <c r="K1627" s="3">
        <v>324</v>
      </c>
      <c r="L1627" s="2" t="s">
        <v>64</v>
      </c>
      <c r="M1627" s="2" t="s">
        <v>12</v>
      </c>
      <c r="N1627" s="2" t="s">
        <v>12</v>
      </c>
      <c r="O1627" s="2" t="s">
        <v>12</v>
      </c>
      <c r="P1627" s="21" t="s">
        <v>12</v>
      </c>
      <c r="Q1627" s="3" t="s">
        <v>12</v>
      </c>
      <c r="R1627" s="3" t="s">
        <v>12</v>
      </c>
    </row>
    <row r="1628" spans="1:18" x14ac:dyDescent="0.25">
      <c r="A1628" s="30">
        <v>45911</v>
      </c>
      <c r="B1628" s="28">
        <v>1618</v>
      </c>
      <c r="C1628" s="28"/>
      <c r="D1628" s="2" t="s">
        <v>1893</v>
      </c>
      <c r="E1628" s="7" t="s">
        <v>1950</v>
      </c>
      <c r="F1628" s="7"/>
      <c r="G1628" s="2" t="s">
        <v>26</v>
      </c>
      <c r="H1628" s="2" t="s">
        <v>1000</v>
      </c>
      <c r="I1628" s="5">
        <v>33831.730000000003</v>
      </c>
      <c r="J1628" s="57"/>
      <c r="K1628" s="3">
        <v>384</v>
      </c>
      <c r="L1628" s="2" t="s">
        <v>226</v>
      </c>
      <c r="M1628" s="2" t="s">
        <v>12</v>
      </c>
      <c r="N1628" s="2" t="s">
        <v>12</v>
      </c>
      <c r="O1628" s="2" t="s">
        <v>12</v>
      </c>
      <c r="P1628" s="21" t="s">
        <v>12</v>
      </c>
      <c r="Q1628" s="3" t="s">
        <v>12</v>
      </c>
      <c r="R1628" s="3" t="s">
        <v>12</v>
      </c>
    </row>
    <row r="1629" spans="1:18" x14ac:dyDescent="0.25">
      <c r="A1629" s="30">
        <v>45911</v>
      </c>
      <c r="B1629" s="28">
        <v>1619</v>
      </c>
      <c r="C1629" s="28"/>
      <c r="D1629" s="2" t="s">
        <v>601</v>
      </c>
      <c r="E1629" s="7" t="s">
        <v>12</v>
      </c>
      <c r="F1629" s="7"/>
      <c r="G1629" s="2" t="s">
        <v>13</v>
      </c>
      <c r="H1629" s="2" t="s">
        <v>827</v>
      </c>
      <c r="I1629" s="5">
        <v>617.22</v>
      </c>
      <c r="J1629" s="57"/>
      <c r="K1629" s="3" t="s">
        <v>12</v>
      </c>
      <c r="L1629" s="2" t="s">
        <v>64</v>
      </c>
      <c r="M1629" s="2" t="s">
        <v>12</v>
      </c>
      <c r="N1629" s="2" t="s">
        <v>12</v>
      </c>
      <c r="O1629" s="2" t="s">
        <v>12</v>
      </c>
      <c r="P1629" s="21" t="s">
        <v>12</v>
      </c>
      <c r="Q1629" s="3" t="s">
        <v>12</v>
      </c>
      <c r="R1629" s="3" t="s">
        <v>12</v>
      </c>
    </row>
    <row r="1630" spans="1:18" x14ac:dyDescent="0.25">
      <c r="A1630" s="30">
        <v>45917</v>
      </c>
      <c r="B1630" s="28">
        <v>1620</v>
      </c>
      <c r="C1630" s="28"/>
      <c r="D1630" s="2" t="s">
        <v>273</v>
      </c>
      <c r="E1630" s="7" t="s">
        <v>12</v>
      </c>
      <c r="F1630" s="7"/>
      <c r="G1630" s="2" t="s">
        <v>26</v>
      </c>
      <c r="H1630" s="2" t="s">
        <v>116</v>
      </c>
      <c r="I1630" s="5">
        <v>1640.87</v>
      </c>
      <c r="J1630" s="57"/>
      <c r="K1630" s="3" t="s">
        <v>12</v>
      </c>
      <c r="L1630" s="2" t="s">
        <v>64</v>
      </c>
      <c r="M1630" s="2" t="s">
        <v>12</v>
      </c>
      <c r="N1630" s="2" t="s">
        <v>12</v>
      </c>
      <c r="O1630" s="2" t="s">
        <v>12</v>
      </c>
      <c r="P1630" s="21" t="s">
        <v>12</v>
      </c>
      <c r="Q1630" s="3" t="s">
        <v>12</v>
      </c>
      <c r="R1630" s="3" t="s">
        <v>12</v>
      </c>
    </row>
    <row r="1631" spans="1:18" x14ac:dyDescent="0.25">
      <c r="A1631" s="30">
        <v>45912</v>
      </c>
      <c r="B1631" s="28">
        <v>1621</v>
      </c>
      <c r="C1631" s="28"/>
      <c r="D1631" s="2" t="s">
        <v>1863</v>
      </c>
      <c r="E1631" s="7" t="s">
        <v>2074</v>
      </c>
      <c r="F1631" s="7"/>
      <c r="G1631" s="2" t="s">
        <v>43</v>
      </c>
      <c r="H1631" s="2" t="s">
        <v>294</v>
      </c>
      <c r="I1631" s="5">
        <v>257372.99</v>
      </c>
      <c r="J1631" s="57"/>
      <c r="K1631" s="3">
        <v>4512</v>
      </c>
      <c r="L1631" s="2" t="s">
        <v>134</v>
      </c>
      <c r="M1631" s="2" t="s">
        <v>1160</v>
      </c>
      <c r="N1631" s="2" t="s">
        <v>135</v>
      </c>
      <c r="O1631" s="2" t="s">
        <v>374</v>
      </c>
      <c r="P1631" s="21" t="s">
        <v>2546</v>
      </c>
      <c r="Q1631" s="3" t="s">
        <v>12</v>
      </c>
      <c r="R1631" s="3" t="s">
        <v>12</v>
      </c>
    </row>
    <row r="1632" spans="1:18" x14ac:dyDescent="0.25">
      <c r="A1632" s="30">
        <v>45912</v>
      </c>
      <c r="B1632" s="28">
        <v>1622</v>
      </c>
      <c r="C1632" s="28"/>
      <c r="D1632" s="2" t="s">
        <v>1711</v>
      </c>
      <c r="E1632" s="7" t="s">
        <v>1951</v>
      </c>
      <c r="F1632" s="7"/>
      <c r="G1632" s="2" t="s">
        <v>97</v>
      </c>
      <c r="H1632" s="2" t="s">
        <v>1653</v>
      </c>
      <c r="I1632" s="5">
        <v>24345</v>
      </c>
      <c r="J1632" s="57"/>
      <c r="K1632" s="3">
        <v>324</v>
      </c>
      <c r="L1632" s="2" t="s">
        <v>226</v>
      </c>
      <c r="M1632" s="2" t="s">
        <v>12</v>
      </c>
      <c r="N1632" s="2" t="s">
        <v>12</v>
      </c>
      <c r="O1632" s="2" t="s">
        <v>12</v>
      </c>
      <c r="P1632" s="21" t="s">
        <v>12</v>
      </c>
      <c r="Q1632" s="3" t="s">
        <v>12</v>
      </c>
      <c r="R1632" s="3" t="s">
        <v>12</v>
      </c>
    </row>
    <row r="1633" spans="1:18" x14ac:dyDescent="0.25">
      <c r="A1633" s="30">
        <v>45912</v>
      </c>
      <c r="B1633" s="28">
        <v>1623</v>
      </c>
      <c r="C1633" s="28"/>
      <c r="D1633" s="2" t="s">
        <v>839</v>
      </c>
      <c r="E1633" s="7" t="s">
        <v>1952</v>
      </c>
      <c r="F1633" s="7"/>
      <c r="G1633" s="2" t="s">
        <v>20</v>
      </c>
      <c r="H1633" s="2" t="s">
        <v>948</v>
      </c>
      <c r="I1633" s="5">
        <v>4365</v>
      </c>
      <c r="J1633" s="57"/>
      <c r="K1633" s="3" t="s">
        <v>12</v>
      </c>
      <c r="L1633" s="2" t="s">
        <v>226</v>
      </c>
      <c r="M1633" s="2" t="s">
        <v>12</v>
      </c>
      <c r="N1633" s="2" t="s">
        <v>12</v>
      </c>
      <c r="O1633" s="2" t="s">
        <v>12</v>
      </c>
      <c r="P1633" s="21" t="s">
        <v>12</v>
      </c>
      <c r="Q1633" s="3" t="s">
        <v>12</v>
      </c>
      <c r="R1633" s="3" t="s">
        <v>12</v>
      </c>
    </row>
    <row r="1634" spans="1:18" x14ac:dyDescent="0.25">
      <c r="A1634" s="30">
        <v>45915</v>
      </c>
      <c r="B1634" s="28">
        <v>1624</v>
      </c>
      <c r="C1634" s="28"/>
      <c r="D1634" s="2" t="s">
        <v>109</v>
      </c>
      <c r="E1634" s="7" t="s">
        <v>1953</v>
      </c>
      <c r="F1634" s="7"/>
      <c r="G1634" s="2" t="s">
        <v>111</v>
      </c>
      <c r="H1634" s="2" t="s">
        <v>1404</v>
      </c>
      <c r="I1634" s="5">
        <v>21161.08</v>
      </c>
      <c r="J1634" s="57"/>
      <c r="K1634" s="3">
        <v>336</v>
      </c>
      <c r="L1634" s="2" t="s">
        <v>226</v>
      </c>
      <c r="M1634" s="2" t="s">
        <v>12</v>
      </c>
      <c r="N1634" s="2" t="s">
        <v>12</v>
      </c>
      <c r="O1634" s="2" t="s">
        <v>12</v>
      </c>
      <c r="P1634" s="21" t="s">
        <v>12</v>
      </c>
      <c r="Q1634" s="3" t="s">
        <v>12</v>
      </c>
      <c r="R1634" s="3" t="s">
        <v>12</v>
      </c>
    </row>
    <row r="1635" spans="1:18" x14ac:dyDescent="0.25">
      <c r="A1635" s="30">
        <v>45917</v>
      </c>
      <c r="B1635" s="28">
        <v>1625</v>
      </c>
      <c r="C1635" s="28"/>
      <c r="D1635" s="2" t="s">
        <v>1954</v>
      </c>
      <c r="E1635" s="7" t="s">
        <v>12</v>
      </c>
      <c r="F1635" s="7"/>
      <c r="G1635" s="2" t="s">
        <v>13</v>
      </c>
      <c r="H1635" s="2" t="s">
        <v>368</v>
      </c>
      <c r="I1635" s="5">
        <v>185000</v>
      </c>
      <c r="J1635" s="57"/>
      <c r="K1635" s="3">
        <v>1737.6</v>
      </c>
      <c r="L1635" s="2" t="s">
        <v>64</v>
      </c>
      <c r="M1635" s="2" t="s">
        <v>12</v>
      </c>
      <c r="N1635" s="2" t="s">
        <v>12</v>
      </c>
      <c r="O1635" s="2" t="s">
        <v>12</v>
      </c>
      <c r="P1635" s="21" t="s">
        <v>12</v>
      </c>
      <c r="Q1635" s="3" t="s">
        <v>12</v>
      </c>
      <c r="R1635" s="3" t="s">
        <v>12</v>
      </c>
    </row>
    <row r="1636" spans="1:18" x14ac:dyDescent="0.25">
      <c r="A1636" s="30">
        <v>45912</v>
      </c>
      <c r="B1636" s="28">
        <v>1626</v>
      </c>
      <c r="C1636" s="28"/>
      <c r="D1636" s="2" t="s">
        <v>217</v>
      </c>
      <c r="E1636" s="7" t="s">
        <v>12</v>
      </c>
      <c r="F1636" s="7"/>
      <c r="G1636" s="2" t="s">
        <v>13</v>
      </c>
      <c r="H1636" s="2" t="s">
        <v>98</v>
      </c>
      <c r="I1636" s="5">
        <v>455.52</v>
      </c>
      <c r="J1636" s="57"/>
      <c r="K1636" s="3" t="s">
        <v>12</v>
      </c>
      <c r="L1636" s="2" t="s">
        <v>226</v>
      </c>
      <c r="M1636" s="2" t="s">
        <v>12</v>
      </c>
      <c r="N1636" s="2" t="s">
        <v>12</v>
      </c>
      <c r="O1636" s="2" t="s">
        <v>12</v>
      </c>
      <c r="P1636" s="21" t="s">
        <v>12</v>
      </c>
      <c r="Q1636" s="3" t="s">
        <v>12</v>
      </c>
      <c r="R1636" s="3" t="s">
        <v>12</v>
      </c>
    </row>
    <row r="1637" spans="1:18" x14ac:dyDescent="0.25">
      <c r="A1637" s="30">
        <v>45916</v>
      </c>
      <c r="B1637" s="28">
        <v>1627</v>
      </c>
      <c r="C1637" s="28"/>
      <c r="D1637" s="2" t="s">
        <v>1955</v>
      </c>
      <c r="E1637" s="7" t="s">
        <v>12</v>
      </c>
      <c r="F1637" s="7"/>
      <c r="G1637" s="2" t="s">
        <v>13</v>
      </c>
      <c r="H1637" s="2" t="s">
        <v>129</v>
      </c>
      <c r="I1637" s="5">
        <v>7219.86</v>
      </c>
      <c r="J1637" s="57"/>
      <c r="K1637" s="3">
        <v>72</v>
      </c>
      <c r="L1637" s="2" t="s">
        <v>64</v>
      </c>
      <c r="M1637" s="2" t="s">
        <v>12</v>
      </c>
      <c r="N1637" s="2" t="s">
        <v>12</v>
      </c>
      <c r="O1637" s="2" t="s">
        <v>12</v>
      </c>
      <c r="P1637" s="21" t="s">
        <v>12</v>
      </c>
      <c r="Q1637" s="3" t="s">
        <v>12</v>
      </c>
      <c r="R1637" s="3" t="s">
        <v>12</v>
      </c>
    </row>
    <row r="1638" spans="1:18" x14ac:dyDescent="0.25">
      <c r="A1638" s="30">
        <v>45915</v>
      </c>
      <c r="B1638" s="28">
        <v>1628</v>
      </c>
      <c r="C1638" s="28"/>
      <c r="D1638" s="2" t="s">
        <v>109</v>
      </c>
      <c r="E1638" s="7" t="s">
        <v>1956</v>
      </c>
      <c r="F1638" s="7"/>
      <c r="G1638" s="2" t="s">
        <v>111</v>
      </c>
      <c r="H1638" s="2" t="s">
        <v>1957</v>
      </c>
      <c r="I1638" s="5">
        <v>50185.120000000003</v>
      </c>
      <c r="J1638" s="57"/>
      <c r="K1638" s="3">
        <v>456</v>
      </c>
      <c r="L1638" s="2" t="s">
        <v>226</v>
      </c>
      <c r="M1638" s="2" t="s">
        <v>12</v>
      </c>
      <c r="N1638" s="2" t="s">
        <v>12</v>
      </c>
      <c r="O1638" s="2" t="s">
        <v>12</v>
      </c>
      <c r="P1638" s="21" t="s">
        <v>12</v>
      </c>
      <c r="Q1638" s="3" t="s">
        <v>12</v>
      </c>
      <c r="R1638" s="3" t="s">
        <v>12</v>
      </c>
    </row>
    <row r="1639" spans="1:18" x14ac:dyDescent="0.25">
      <c r="A1639" s="30">
        <v>45915</v>
      </c>
      <c r="B1639" s="28">
        <v>1629</v>
      </c>
      <c r="C1639" s="28"/>
      <c r="D1639" s="2" t="s">
        <v>1958</v>
      </c>
      <c r="E1639" s="7" t="s">
        <v>12</v>
      </c>
      <c r="F1639" s="7"/>
      <c r="G1639" s="2" t="s">
        <v>13</v>
      </c>
      <c r="H1639" s="2" t="s">
        <v>170</v>
      </c>
      <c r="I1639" s="5">
        <v>2372.89</v>
      </c>
      <c r="J1639" s="57"/>
      <c r="K1639" s="3">
        <v>36</v>
      </c>
      <c r="L1639" s="2" t="s">
        <v>226</v>
      </c>
      <c r="M1639" s="2" t="s">
        <v>12</v>
      </c>
      <c r="N1639" s="2" t="s">
        <v>12</v>
      </c>
      <c r="O1639" s="2" t="s">
        <v>12</v>
      </c>
      <c r="P1639" s="21" t="s">
        <v>12</v>
      </c>
      <c r="Q1639" s="3" t="s">
        <v>12</v>
      </c>
      <c r="R1639" s="3" t="s">
        <v>12</v>
      </c>
    </row>
    <row r="1640" spans="1:18" x14ac:dyDescent="0.25">
      <c r="A1640" s="30">
        <v>45915</v>
      </c>
      <c r="B1640" s="28">
        <v>1630</v>
      </c>
      <c r="C1640" s="28"/>
      <c r="D1640" s="2" t="s">
        <v>87</v>
      </c>
      <c r="E1640" s="7" t="s">
        <v>1959</v>
      </c>
      <c r="F1640" s="7"/>
      <c r="G1640" s="2" t="s">
        <v>13</v>
      </c>
      <c r="H1640" s="2" t="s">
        <v>185</v>
      </c>
      <c r="I1640" s="5">
        <v>114311.39</v>
      </c>
      <c r="J1640" s="57"/>
      <c r="K1640" s="3">
        <v>1200</v>
      </c>
      <c r="L1640" s="2" t="s">
        <v>226</v>
      </c>
      <c r="M1640" s="2" t="s">
        <v>12</v>
      </c>
      <c r="N1640" s="2" t="s">
        <v>12</v>
      </c>
      <c r="O1640" s="2" t="s">
        <v>12</v>
      </c>
      <c r="P1640" s="21" t="s">
        <v>12</v>
      </c>
      <c r="Q1640" s="3" t="s">
        <v>959</v>
      </c>
      <c r="R1640" s="3" t="s">
        <v>1975</v>
      </c>
    </row>
    <row r="1641" spans="1:18" x14ac:dyDescent="0.25">
      <c r="A1641" s="30">
        <v>45915</v>
      </c>
      <c r="B1641" s="28">
        <v>1631</v>
      </c>
      <c r="C1641" s="28"/>
      <c r="D1641" s="2" t="s">
        <v>41</v>
      </c>
      <c r="E1641" s="7" t="s">
        <v>1960</v>
      </c>
      <c r="F1641" s="7"/>
      <c r="G1641" s="2" t="s">
        <v>43</v>
      </c>
      <c r="H1641" s="2" t="s">
        <v>158</v>
      </c>
      <c r="I1641" s="5">
        <v>18091.47</v>
      </c>
      <c r="J1641" s="57"/>
      <c r="K1641" s="3">
        <v>240</v>
      </c>
      <c r="L1641" s="2" t="s">
        <v>64</v>
      </c>
      <c r="M1641" s="2" t="s">
        <v>12</v>
      </c>
      <c r="N1641" s="2" t="s">
        <v>12</v>
      </c>
      <c r="O1641" s="2" t="s">
        <v>12</v>
      </c>
      <c r="P1641" s="21" t="s">
        <v>12</v>
      </c>
      <c r="Q1641" s="3" t="s">
        <v>12</v>
      </c>
      <c r="R1641" s="3" t="s">
        <v>12</v>
      </c>
    </row>
    <row r="1642" spans="1:18" x14ac:dyDescent="0.25">
      <c r="A1642" s="30">
        <v>45915</v>
      </c>
      <c r="B1642" s="28">
        <v>1632</v>
      </c>
      <c r="C1642" s="28"/>
      <c r="D1642" s="2" t="s">
        <v>59</v>
      </c>
      <c r="E1642" s="7" t="s">
        <v>1060</v>
      </c>
      <c r="F1642" s="7"/>
      <c r="G1642" s="2" t="s">
        <v>20</v>
      </c>
      <c r="H1642" s="2" t="s">
        <v>1373</v>
      </c>
      <c r="I1642" s="5">
        <v>687902.18</v>
      </c>
      <c r="J1642" s="57"/>
      <c r="K1642" s="3">
        <v>8112</v>
      </c>
      <c r="L1642" s="2" t="s">
        <v>226</v>
      </c>
      <c r="M1642" s="2" t="s">
        <v>1179</v>
      </c>
      <c r="N1642" s="2" t="s">
        <v>12</v>
      </c>
      <c r="O1642" s="2" t="s">
        <v>12</v>
      </c>
      <c r="P1642" s="21" t="s">
        <v>12</v>
      </c>
      <c r="Q1642" s="3" t="s">
        <v>12</v>
      </c>
      <c r="R1642" s="3" t="s">
        <v>12</v>
      </c>
    </row>
    <row r="1643" spans="1:18" x14ac:dyDescent="0.25">
      <c r="A1643" s="30">
        <v>45915</v>
      </c>
      <c r="B1643" s="28">
        <v>1633</v>
      </c>
      <c r="C1643" s="28"/>
      <c r="D1643" s="2" t="s">
        <v>1961</v>
      </c>
      <c r="E1643" s="7" t="s">
        <v>1962</v>
      </c>
      <c r="F1643" s="7"/>
      <c r="G1643" s="2" t="s">
        <v>20</v>
      </c>
      <c r="H1643" s="2" t="s">
        <v>337</v>
      </c>
      <c r="I1643" s="5">
        <v>6028.76</v>
      </c>
      <c r="J1643" s="57"/>
      <c r="K1643" s="3">
        <v>48</v>
      </c>
      <c r="L1643" s="2" t="s">
        <v>226</v>
      </c>
      <c r="M1643" s="2" t="s">
        <v>12</v>
      </c>
      <c r="N1643" s="2" t="s">
        <v>12</v>
      </c>
      <c r="O1643" s="2" t="s">
        <v>12</v>
      </c>
      <c r="P1643" s="21" t="s">
        <v>12</v>
      </c>
      <c r="Q1643" s="3" t="s">
        <v>1961</v>
      </c>
      <c r="R1643" s="3" t="s">
        <v>75</v>
      </c>
    </row>
    <row r="1644" spans="1:18" x14ac:dyDescent="0.25">
      <c r="A1644" s="30">
        <v>45915</v>
      </c>
      <c r="B1644" s="28">
        <v>1634</v>
      </c>
      <c r="C1644" s="28"/>
      <c r="D1644" s="2" t="s">
        <v>1076</v>
      </c>
      <c r="E1644" s="7" t="s">
        <v>12</v>
      </c>
      <c r="F1644" s="7"/>
      <c r="G1644" s="2" t="s">
        <v>13</v>
      </c>
      <c r="H1644" s="2" t="s">
        <v>1785</v>
      </c>
      <c r="I1644" s="5">
        <v>3550.22</v>
      </c>
      <c r="J1644" s="57"/>
      <c r="K1644" s="3">
        <v>48</v>
      </c>
      <c r="L1644" s="2" t="s">
        <v>226</v>
      </c>
      <c r="M1644" s="2" t="s">
        <v>12</v>
      </c>
      <c r="N1644" s="2" t="s">
        <v>12</v>
      </c>
      <c r="O1644" s="2" t="s">
        <v>12</v>
      </c>
      <c r="P1644" s="21" t="s">
        <v>12</v>
      </c>
      <c r="Q1644" s="3" t="s">
        <v>12</v>
      </c>
      <c r="R1644" s="3" t="s">
        <v>12</v>
      </c>
    </row>
    <row r="1645" spans="1:18" x14ac:dyDescent="0.25">
      <c r="A1645" s="30">
        <v>45915</v>
      </c>
      <c r="B1645" s="28">
        <v>1635</v>
      </c>
      <c r="C1645" s="28"/>
      <c r="D1645" s="2" t="s">
        <v>601</v>
      </c>
      <c r="E1645" s="7" t="s">
        <v>12</v>
      </c>
      <c r="F1645" s="7"/>
      <c r="G1645" s="2" t="s">
        <v>13</v>
      </c>
      <c r="H1645" s="2" t="s">
        <v>827</v>
      </c>
      <c r="I1645" s="5">
        <v>609.4</v>
      </c>
      <c r="J1645" s="57"/>
      <c r="K1645" s="3" t="s">
        <v>12</v>
      </c>
      <c r="L1645" s="2" t="s">
        <v>64</v>
      </c>
      <c r="M1645" s="2" t="s">
        <v>12</v>
      </c>
      <c r="N1645" s="2" t="s">
        <v>12</v>
      </c>
      <c r="O1645" s="2" t="s">
        <v>12</v>
      </c>
      <c r="P1645" s="21" t="s">
        <v>12</v>
      </c>
      <c r="Q1645" s="3" t="s">
        <v>12</v>
      </c>
      <c r="R1645" s="3" t="s">
        <v>12</v>
      </c>
    </row>
    <row r="1646" spans="1:18" x14ac:dyDescent="0.25">
      <c r="A1646" s="30">
        <v>45916</v>
      </c>
      <c r="B1646" s="28">
        <v>1636</v>
      </c>
      <c r="C1646" s="28"/>
      <c r="D1646" s="2" t="s">
        <v>283</v>
      </c>
      <c r="E1646" s="7" t="s">
        <v>12</v>
      </c>
      <c r="F1646" s="7"/>
      <c r="G1646" s="2" t="s">
        <v>97</v>
      </c>
      <c r="H1646" s="2" t="s">
        <v>285</v>
      </c>
      <c r="I1646" s="5">
        <v>6052.1</v>
      </c>
      <c r="J1646" s="57"/>
      <c r="K1646" s="3">
        <v>96</v>
      </c>
      <c r="L1646" s="2" t="s">
        <v>226</v>
      </c>
      <c r="M1646" s="2" t="s">
        <v>12</v>
      </c>
      <c r="N1646" s="2" t="s">
        <v>12</v>
      </c>
      <c r="O1646" s="2" t="s">
        <v>12</v>
      </c>
      <c r="P1646" s="21" t="s">
        <v>12</v>
      </c>
      <c r="Q1646" s="3" t="s">
        <v>12</v>
      </c>
      <c r="R1646" s="3" t="s">
        <v>12</v>
      </c>
    </row>
    <row r="1647" spans="1:18" x14ac:dyDescent="0.25">
      <c r="A1647" s="30">
        <v>45916</v>
      </c>
      <c r="B1647" s="28">
        <v>1637</v>
      </c>
      <c r="C1647" s="28"/>
      <c r="D1647" s="2" t="s">
        <v>338</v>
      </c>
      <c r="E1647" s="7" t="s">
        <v>1963</v>
      </c>
      <c r="F1647" s="7"/>
      <c r="G1647" s="2" t="s">
        <v>97</v>
      </c>
      <c r="H1647" s="2" t="s">
        <v>339</v>
      </c>
      <c r="I1647" s="5">
        <v>53255.02</v>
      </c>
      <c r="J1647" s="57"/>
      <c r="K1647" s="3">
        <v>648</v>
      </c>
      <c r="L1647" s="2" t="s">
        <v>226</v>
      </c>
      <c r="M1647" s="2" t="s">
        <v>12</v>
      </c>
      <c r="N1647" s="2" t="s">
        <v>12</v>
      </c>
      <c r="O1647" s="2" t="s">
        <v>12</v>
      </c>
      <c r="P1647" s="21" t="s">
        <v>12</v>
      </c>
      <c r="Q1647" s="3" t="s">
        <v>1944</v>
      </c>
      <c r="R1647" s="3" t="s">
        <v>80</v>
      </c>
    </row>
    <row r="1648" spans="1:18" x14ac:dyDescent="0.25">
      <c r="A1648" s="30">
        <v>45916</v>
      </c>
      <c r="B1648" s="28">
        <v>1638</v>
      </c>
      <c r="C1648" s="28"/>
      <c r="D1648" s="2" t="s">
        <v>517</v>
      </c>
      <c r="E1648" s="7" t="s">
        <v>2028</v>
      </c>
      <c r="F1648" s="7"/>
      <c r="G1648" s="2" t="s">
        <v>111</v>
      </c>
      <c r="H1648" s="2" t="s">
        <v>483</v>
      </c>
      <c r="I1648" s="5" t="s">
        <v>12</v>
      </c>
      <c r="J1648" s="57"/>
      <c r="K1648" s="3" t="s">
        <v>12</v>
      </c>
      <c r="L1648" s="2" t="s">
        <v>226</v>
      </c>
      <c r="M1648" s="2" t="s">
        <v>2076</v>
      </c>
      <c r="N1648" s="2" t="s">
        <v>12</v>
      </c>
      <c r="O1648" s="2" t="s">
        <v>12</v>
      </c>
      <c r="P1648" s="21" t="s">
        <v>12</v>
      </c>
      <c r="Q1648" s="3" t="s">
        <v>12</v>
      </c>
      <c r="R1648" s="3" t="s">
        <v>12</v>
      </c>
    </row>
    <row r="1649" spans="1:18" x14ac:dyDescent="0.25">
      <c r="A1649" s="30">
        <v>45916</v>
      </c>
      <c r="B1649" s="28">
        <v>1639</v>
      </c>
      <c r="C1649" s="28"/>
      <c r="D1649" s="2" t="s">
        <v>62</v>
      </c>
      <c r="E1649" s="7" t="s">
        <v>12</v>
      </c>
      <c r="F1649" s="7"/>
      <c r="G1649" s="2" t="s">
        <v>26</v>
      </c>
      <c r="H1649" s="2" t="s">
        <v>63</v>
      </c>
      <c r="I1649" s="5">
        <v>9266.61</v>
      </c>
      <c r="J1649" s="57"/>
      <c r="K1649" s="3">
        <v>72</v>
      </c>
      <c r="L1649" s="2" t="s">
        <v>64</v>
      </c>
      <c r="M1649" s="2" t="s">
        <v>12</v>
      </c>
      <c r="N1649" s="2" t="s">
        <v>12</v>
      </c>
      <c r="O1649" s="2" t="s">
        <v>12</v>
      </c>
      <c r="P1649" s="21" t="s">
        <v>12</v>
      </c>
      <c r="Q1649" s="3" t="s">
        <v>12</v>
      </c>
      <c r="R1649" s="3" t="s">
        <v>12</v>
      </c>
    </row>
    <row r="1650" spans="1:18" x14ac:dyDescent="0.25">
      <c r="A1650" s="30">
        <v>45917</v>
      </c>
      <c r="B1650" s="28">
        <v>1640</v>
      </c>
      <c r="C1650" s="28"/>
      <c r="D1650" s="2" t="s">
        <v>321</v>
      </c>
      <c r="E1650" s="7" t="s">
        <v>1964</v>
      </c>
      <c r="F1650" s="7"/>
      <c r="G1650" s="2" t="s">
        <v>111</v>
      </c>
      <c r="H1650" s="2" t="s">
        <v>322</v>
      </c>
      <c r="I1650" s="5">
        <v>9025.3700000000008</v>
      </c>
      <c r="J1650" s="57"/>
      <c r="K1650" s="3">
        <v>144</v>
      </c>
      <c r="L1650" s="2" t="s">
        <v>64</v>
      </c>
      <c r="M1650" s="2" t="s">
        <v>12</v>
      </c>
      <c r="N1650" s="2" t="s">
        <v>12</v>
      </c>
      <c r="O1650" s="2" t="s">
        <v>12</v>
      </c>
      <c r="P1650" s="21" t="s">
        <v>12</v>
      </c>
      <c r="Q1650" s="3" t="s">
        <v>12</v>
      </c>
      <c r="R1650" s="3" t="s">
        <v>12</v>
      </c>
    </row>
    <row r="1651" spans="1:18" x14ac:dyDescent="0.25">
      <c r="A1651" s="30">
        <v>45885</v>
      </c>
      <c r="B1651" s="28">
        <v>1641</v>
      </c>
      <c r="C1651" s="28"/>
      <c r="D1651" s="2" t="s">
        <v>1965</v>
      </c>
      <c r="E1651" s="7" t="s">
        <v>1966</v>
      </c>
      <c r="F1651" s="7"/>
      <c r="G1651" s="2" t="s">
        <v>97</v>
      </c>
      <c r="H1651" s="2" t="s">
        <v>162</v>
      </c>
      <c r="I1651" s="5">
        <v>56952.14</v>
      </c>
      <c r="J1651" s="57"/>
      <c r="K1651" s="3">
        <v>528</v>
      </c>
      <c r="L1651" s="2" t="s">
        <v>226</v>
      </c>
      <c r="M1651" s="2" t="s">
        <v>12</v>
      </c>
      <c r="N1651" s="2" t="s">
        <v>12</v>
      </c>
      <c r="O1651" s="2" t="s">
        <v>12</v>
      </c>
      <c r="P1651" s="21" t="s">
        <v>12</v>
      </c>
      <c r="Q1651" s="3" t="s">
        <v>12</v>
      </c>
      <c r="R1651" s="3" t="s">
        <v>12</v>
      </c>
    </row>
    <row r="1652" spans="1:18" x14ac:dyDescent="0.25">
      <c r="A1652" s="30">
        <v>45916</v>
      </c>
      <c r="B1652" s="28">
        <v>1642</v>
      </c>
      <c r="C1652" s="28"/>
      <c r="D1652" s="2" t="s">
        <v>1206</v>
      </c>
      <c r="E1652" s="7" t="s">
        <v>1967</v>
      </c>
      <c r="F1652" s="7"/>
      <c r="G1652" s="2" t="s">
        <v>26</v>
      </c>
      <c r="H1652" s="2" t="s">
        <v>180</v>
      </c>
      <c r="I1652" s="5">
        <v>794305.66</v>
      </c>
      <c r="J1652" s="57"/>
      <c r="K1652" s="3">
        <v>8211.6</v>
      </c>
      <c r="L1652" s="2" t="s">
        <v>226</v>
      </c>
      <c r="M1652" s="2" t="s">
        <v>12</v>
      </c>
      <c r="N1652" s="2" t="s">
        <v>12</v>
      </c>
      <c r="O1652" s="2" t="s">
        <v>12</v>
      </c>
      <c r="P1652" s="21" t="s">
        <v>12</v>
      </c>
      <c r="Q1652" s="3" t="s">
        <v>12</v>
      </c>
      <c r="R1652" s="3" t="s">
        <v>12</v>
      </c>
    </row>
    <row r="1653" spans="1:18" x14ac:dyDescent="0.25">
      <c r="A1653" s="30">
        <v>45916</v>
      </c>
      <c r="B1653" s="28">
        <v>1643</v>
      </c>
      <c r="C1653" s="28"/>
      <c r="D1653" s="2" t="s">
        <v>255</v>
      </c>
      <c r="E1653" s="7" t="s">
        <v>1602</v>
      </c>
      <c r="F1653" s="7"/>
      <c r="G1653" s="2" t="s">
        <v>13</v>
      </c>
      <c r="H1653" s="2" t="s">
        <v>627</v>
      </c>
      <c r="I1653" s="5">
        <v>61923.69</v>
      </c>
      <c r="J1653" s="57"/>
      <c r="K1653" s="3">
        <v>672</v>
      </c>
      <c r="L1653" s="2" t="s">
        <v>226</v>
      </c>
      <c r="M1653" s="2"/>
      <c r="N1653" s="2" t="s">
        <v>12</v>
      </c>
      <c r="O1653" s="2" t="s">
        <v>12</v>
      </c>
      <c r="P1653" s="21" t="s">
        <v>12</v>
      </c>
      <c r="Q1653" s="3" t="s">
        <v>12</v>
      </c>
      <c r="R1653" s="3"/>
    </row>
    <row r="1654" spans="1:18" x14ac:dyDescent="0.25">
      <c r="A1654" s="30">
        <v>45916</v>
      </c>
      <c r="B1654" s="28">
        <v>1644</v>
      </c>
      <c r="C1654" s="28"/>
      <c r="D1654" s="2" t="s">
        <v>103</v>
      </c>
      <c r="E1654" s="7" t="s">
        <v>1968</v>
      </c>
      <c r="F1654" s="7"/>
      <c r="G1654" s="2" t="s">
        <v>13</v>
      </c>
      <c r="H1654" s="2" t="s">
        <v>491</v>
      </c>
      <c r="I1654" s="5">
        <v>49146.3</v>
      </c>
      <c r="J1654" s="57"/>
      <c r="K1654" s="3">
        <v>720</v>
      </c>
      <c r="L1654" s="2" t="s">
        <v>64</v>
      </c>
      <c r="M1654" s="2" t="s">
        <v>12</v>
      </c>
      <c r="N1654" s="2" t="s">
        <v>12</v>
      </c>
      <c r="O1654" s="2" t="s">
        <v>12</v>
      </c>
      <c r="P1654" s="21" t="s">
        <v>12</v>
      </c>
      <c r="Q1654" s="3" t="s">
        <v>12</v>
      </c>
      <c r="R1654" s="3" t="s">
        <v>12</v>
      </c>
    </row>
    <row r="1655" spans="1:18" x14ac:dyDescent="0.25">
      <c r="A1655" s="30">
        <v>45917</v>
      </c>
      <c r="B1655" s="28">
        <v>1645</v>
      </c>
      <c r="C1655" s="28"/>
      <c r="D1655" s="2" t="s">
        <v>637</v>
      </c>
      <c r="E1655" s="7" t="s">
        <v>1969</v>
      </c>
      <c r="F1655" s="7"/>
      <c r="G1655" s="2" t="s">
        <v>13</v>
      </c>
      <c r="H1655" s="2" t="s">
        <v>15</v>
      </c>
      <c r="I1655" s="5">
        <v>20555.060000000001</v>
      </c>
      <c r="J1655" s="57"/>
      <c r="K1655" s="3">
        <v>240</v>
      </c>
      <c r="L1655" s="2" t="s">
        <v>226</v>
      </c>
      <c r="M1655" s="2" t="s">
        <v>12</v>
      </c>
      <c r="N1655" s="2" t="s">
        <v>12</v>
      </c>
      <c r="O1655" s="2" t="s">
        <v>12</v>
      </c>
      <c r="P1655" s="21" t="s">
        <v>12</v>
      </c>
      <c r="Q1655" s="3" t="s">
        <v>12</v>
      </c>
      <c r="R1655" s="3" t="s">
        <v>12</v>
      </c>
    </row>
    <row r="1656" spans="1:18" x14ac:dyDescent="0.25">
      <c r="A1656" s="30">
        <v>45914</v>
      </c>
      <c r="B1656" s="28">
        <v>1646</v>
      </c>
      <c r="C1656" s="28"/>
      <c r="D1656" s="2" t="s">
        <v>1970</v>
      </c>
      <c r="E1656" s="7" t="s">
        <v>1971</v>
      </c>
      <c r="F1656" s="7"/>
      <c r="G1656" s="2" t="s">
        <v>43</v>
      </c>
      <c r="H1656" s="2" t="s">
        <v>1972</v>
      </c>
      <c r="I1656" s="5">
        <v>44625.37</v>
      </c>
      <c r="J1656" s="57"/>
      <c r="K1656" s="3">
        <v>352.8</v>
      </c>
      <c r="L1656" s="2" t="s">
        <v>64</v>
      </c>
      <c r="M1656" s="2" t="s">
        <v>12</v>
      </c>
      <c r="N1656" s="2" t="s">
        <v>12</v>
      </c>
      <c r="O1656" s="2" t="s">
        <v>12</v>
      </c>
      <c r="P1656" s="21" t="s">
        <v>12</v>
      </c>
      <c r="Q1656" s="3" t="s">
        <v>12</v>
      </c>
      <c r="R1656" s="3" t="s">
        <v>12</v>
      </c>
    </row>
    <row r="1657" spans="1:18" x14ac:dyDescent="0.25">
      <c r="A1657" s="30">
        <v>45917</v>
      </c>
      <c r="B1657" s="28">
        <v>1647</v>
      </c>
      <c r="C1657" s="28"/>
      <c r="D1657" s="2" t="s">
        <v>41</v>
      </c>
      <c r="E1657" s="7" t="s">
        <v>1973</v>
      </c>
      <c r="F1657" s="7"/>
      <c r="G1657" s="2" t="s">
        <v>43</v>
      </c>
      <c r="H1657" s="2" t="s">
        <v>43</v>
      </c>
      <c r="I1657" s="5">
        <v>97324.08</v>
      </c>
      <c r="J1657" s="57"/>
      <c r="K1657" s="3">
        <v>984</v>
      </c>
      <c r="L1657" s="2" t="s">
        <v>226</v>
      </c>
      <c r="M1657" s="2" t="s">
        <v>12</v>
      </c>
      <c r="N1657" s="2" t="s">
        <v>12</v>
      </c>
      <c r="O1657" s="2" t="s">
        <v>12</v>
      </c>
      <c r="P1657" s="21" t="s">
        <v>12</v>
      </c>
      <c r="Q1657" s="3" t="s">
        <v>456</v>
      </c>
      <c r="R1657" s="3" t="s">
        <v>80</v>
      </c>
    </row>
    <row r="1658" spans="1:18" x14ac:dyDescent="0.25">
      <c r="A1658" s="30">
        <v>45917</v>
      </c>
      <c r="B1658" s="28">
        <v>1648</v>
      </c>
      <c r="C1658" s="28"/>
      <c r="D1658" s="2" t="s">
        <v>336</v>
      </c>
      <c r="E1658" s="7" t="s">
        <v>1974</v>
      </c>
      <c r="F1658" s="7"/>
      <c r="G1658" s="2" t="s">
        <v>20</v>
      </c>
      <c r="H1658" s="2" t="s">
        <v>1153</v>
      </c>
      <c r="I1658" s="5">
        <v>56067.85</v>
      </c>
      <c r="J1658" s="57"/>
      <c r="K1658" s="3">
        <v>744</v>
      </c>
      <c r="L1658" s="2" t="s">
        <v>64</v>
      </c>
      <c r="M1658" s="2" t="s">
        <v>12</v>
      </c>
      <c r="N1658" s="2" t="s">
        <v>12</v>
      </c>
      <c r="O1658" s="2" t="s">
        <v>12</v>
      </c>
      <c r="P1658" s="21" t="s">
        <v>12</v>
      </c>
      <c r="Q1658" s="3" t="s">
        <v>1801</v>
      </c>
      <c r="R1658" s="3" t="s">
        <v>75</v>
      </c>
    </row>
    <row r="1659" spans="1:18" x14ac:dyDescent="0.25">
      <c r="A1659" s="30">
        <v>45918</v>
      </c>
      <c r="B1659" s="28">
        <v>1649</v>
      </c>
      <c r="C1659" s="28"/>
      <c r="D1659" s="2" t="s">
        <v>1984</v>
      </c>
      <c r="E1659" s="7" t="s">
        <v>1985</v>
      </c>
      <c r="F1659" s="7"/>
      <c r="G1659" s="2" t="s">
        <v>13</v>
      </c>
      <c r="H1659" s="2" t="s">
        <v>407</v>
      </c>
      <c r="I1659" s="5">
        <v>14240.72</v>
      </c>
      <c r="J1659" s="57"/>
      <c r="K1659" s="3">
        <v>144</v>
      </c>
      <c r="L1659" s="2" t="s">
        <v>226</v>
      </c>
      <c r="M1659" s="2" t="s">
        <v>12</v>
      </c>
      <c r="N1659" s="2" t="s">
        <v>12</v>
      </c>
      <c r="O1659" s="2" t="s">
        <v>12</v>
      </c>
      <c r="P1659" s="21" t="s">
        <v>12</v>
      </c>
      <c r="Q1659" s="3"/>
      <c r="R1659" s="3"/>
    </row>
    <row r="1660" spans="1:18" x14ac:dyDescent="0.25">
      <c r="A1660" s="30">
        <v>45918</v>
      </c>
      <c r="B1660" s="28">
        <v>1650</v>
      </c>
      <c r="C1660" s="28"/>
      <c r="D1660" s="2" t="s">
        <v>1328</v>
      </c>
      <c r="E1660" s="7" t="s">
        <v>1986</v>
      </c>
      <c r="F1660" s="7"/>
      <c r="G1660" s="2" t="s">
        <v>13</v>
      </c>
      <c r="H1660" s="2" t="s">
        <v>1458</v>
      </c>
      <c r="I1660" s="5">
        <v>2403.4699999999998</v>
      </c>
      <c r="J1660" s="57">
        <v>7.0000000000000007E-2</v>
      </c>
      <c r="K1660" s="3">
        <v>24</v>
      </c>
      <c r="L1660" s="2" t="s">
        <v>64</v>
      </c>
      <c r="M1660" s="2" t="s">
        <v>12</v>
      </c>
      <c r="N1660" s="2" t="s">
        <v>12</v>
      </c>
      <c r="O1660" s="2" t="s">
        <v>12</v>
      </c>
      <c r="P1660" s="21" t="s">
        <v>12</v>
      </c>
      <c r="Q1660" s="3" t="s">
        <v>12</v>
      </c>
      <c r="R1660" s="3" t="s">
        <v>12</v>
      </c>
    </row>
    <row r="1661" spans="1:18" x14ac:dyDescent="0.25">
      <c r="A1661" s="30">
        <v>45918</v>
      </c>
      <c r="B1661" s="28">
        <v>1651</v>
      </c>
      <c r="C1661" s="28"/>
      <c r="D1661" s="2" t="s">
        <v>124</v>
      </c>
      <c r="E1661" s="7" t="s">
        <v>1987</v>
      </c>
      <c r="F1661" s="7"/>
      <c r="G1661" s="2" t="s">
        <v>20</v>
      </c>
      <c r="H1661" s="2" t="s">
        <v>112</v>
      </c>
      <c r="I1661" s="5">
        <v>6006.27</v>
      </c>
      <c r="J1661" s="57"/>
      <c r="K1661" s="3">
        <v>97.2</v>
      </c>
      <c r="L1661" s="2" t="s">
        <v>226</v>
      </c>
      <c r="M1661" s="2" t="s">
        <v>12</v>
      </c>
      <c r="N1661" s="2" t="s">
        <v>12</v>
      </c>
      <c r="O1661" s="2" t="s">
        <v>12</v>
      </c>
      <c r="P1661" s="21" t="s">
        <v>12</v>
      </c>
      <c r="Q1661" s="3" t="s">
        <v>12</v>
      </c>
      <c r="R1661" s="3" t="s">
        <v>12</v>
      </c>
    </row>
    <row r="1662" spans="1:18" x14ac:dyDescent="0.25">
      <c r="A1662" s="30">
        <v>45918</v>
      </c>
      <c r="B1662" s="28">
        <v>1652</v>
      </c>
      <c r="C1662" s="28"/>
      <c r="D1662" s="2" t="s">
        <v>1988</v>
      </c>
      <c r="E1662" s="7" t="s">
        <v>1989</v>
      </c>
      <c r="F1662" s="7"/>
      <c r="G1662" s="2" t="s">
        <v>13</v>
      </c>
      <c r="H1662" s="2" t="s">
        <v>1990</v>
      </c>
      <c r="I1662" s="5">
        <v>50551.69</v>
      </c>
      <c r="J1662" s="57"/>
      <c r="K1662" s="3">
        <v>528</v>
      </c>
      <c r="L1662" s="2" t="s">
        <v>21</v>
      </c>
      <c r="M1662" s="2" t="s">
        <v>12</v>
      </c>
      <c r="N1662" s="2" t="s">
        <v>12</v>
      </c>
      <c r="O1662" s="2" t="s">
        <v>12</v>
      </c>
      <c r="P1662" s="21" t="s">
        <v>12</v>
      </c>
      <c r="Q1662" s="3" t="s">
        <v>12</v>
      </c>
      <c r="R1662" s="3" t="s">
        <v>12</v>
      </c>
    </row>
    <row r="1663" spans="1:18" x14ac:dyDescent="0.25">
      <c r="A1663" s="30">
        <v>45918</v>
      </c>
      <c r="B1663" s="28">
        <v>1653</v>
      </c>
      <c r="C1663" s="28"/>
      <c r="D1663" s="2" t="s">
        <v>1991</v>
      </c>
      <c r="E1663" s="7" t="s">
        <v>12</v>
      </c>
      <c r="F1663" s="7"/>
      <c r="G1663" s="2" t="s">
        <v>13</v>
      </c>
      <c r="H1663" s="2" t="s">
        <v>63</v>
      </c>
      <c r="I1663" s="5">
        <v>4607.5</v>
      </c>
      <c r="J1663" s="57"/>
      <c r="K1663" s="3" t="s">
        <v>12</v>
      </c>
      <c r="L1663" s="2" t="s">
        <v>226</v>
      </c>
      <c r="M1663" s="2" t="s">
        <v>12</v>
      </c>
      <c r="N1663" s="2" t="s">
        <v>12</v>
      </c>
      <c r="O1663" s="2" t="s">
        <v>12</v>
      </c>
      <c r="P1663" s="21" t="s">
        <v>12</v>
      </c>
      <c r="Q1663" s="3" t="s">
        <v>12</v>
      </c>
      <c r="R1663" s="3" t="s">
        <v>12</v>
      </c>
    </row>
    <row r="1664" spans="1:18" x14ac:dyDescent="0.25">
      <c r="A1664" s="30">
        <v>45918</v>
      </c>
      <c r="B1664" s="28">
        <v>1654</v>
      </c>
      <c r="C1664" s="28"/>
      <c r="D1664" s="2" t="s">
        <v>208</v>
      </c>
      <c r="E1664" s="7" t="s">
        <v>1985</v>
      </c>
      <c r="F1664" s="7"/>
      <c r="G1664" s="2" t="s">
        <v>43</v>
      </c>
      <c r="H1664" s="2" t="s">
        <v>1113</v>
      </c>
      <c r="I1664" s="5">
        <v>14240.72</v>
      </c>
      <c r="J1664" s="57"/>
      <c r="K1664" s="3">
        <v>144</v>
      </c>
      <c r="L1664" s="2" t="s">
        <v>226</v>
      </c>
      <c r="M1664" s="2" t="s">
        <v>12</v>
      </c>
      <c r="N1664" s="2" t="s">
        <v>12</v>
      </c>
      <c r="O1664" s="2" t="s">
        <v>12</v>
      </c>
      <c r="P1664" s="21" t="s">
        <v>12</v>
      </c>
      <c r="Q1664" s="3" t="s">
        <v>2023</v>
      </c>
      <c r="R1664" s="3" t="s">
        <v>80</v>
      </c>
    </row>
    <row r="1665" spans="1:18" x14ac:dyDescent="0.25">
      <c r="A1665" s="30">
        <v>45918</v>
      </c>
      <c r="B1665" s="28">
        <v>1655</v>
      </c>
      <c r="C1665" s="28"/>
      <c r="D1665" s="2" t="s">
        <v>807</v>
      </c>
      <c r="E1665" s="7" t="s">
        <v>1992</v>
      </c>
      <c r="F1665" s="7"/>
      <c r="G1665" s="2" t="s">
        <v>26</v>
      </c>
      <c r="H1665" s="2" t="s">
        <v>809</v>
      </c>
      <c r="I1665" s="5">
        <v>10144.969999999999</v>
      </c>
      <c r="J1665" s="57"/>
      <c r="K1665" s="3">
        <v>96</v>
      </c>
      <c r="L1665" s="2" t="s">
        <v>226</v>
      </c>
      <c r="M1665" s="2" t="s">
        <v>12</v>
      </c>
      <c r="N1665" s="2" t="s">
        <v>12</v>
      </c>
      <c r="O1665" s="2" t="s">
        <v>12</v>
      </c>
      <c r="P1665" s="21" t="s">
        <v>12</v>
      </c>
      <c r="Q1665" s="3" t="s">
        <v>2024</v>
      </c>
      <c r="R1665" s="3" t="s">
        <v>222</v>
      </c>
    </row>
    <row r="1666" spans="1:18" x14ac:dyDescent="0.25">
      <c r="A1666" s="30">
        <v>45918</v>
      </c>
      <c r="B1666" s="28">
        <v>1656</v>
      </c>
      <c r="C1666" s="28"/>
      <c r="D1666" s="2" t="s">
        <v>1993</v>
      </c>
      <c r="E1666" s="7" t="s">
        <v>12</v>
      </c>
      <c r="F1666" s="7"/>
      <c r="G1666" s="2" t="s">
        <v>13</v>
      </c>
      <c r="H1666" s="2" t="s">
        <v>596</v>
      </c>
      <c r="I1666" s="5">
        <v>9493.56</v>
      </c>
      <c r="J1666" s="57"/>
      <c r="K1666" s="3">
        <v>72</v>
      </c>
      <c r="L1666" s="2" t="s">
        <v>226</v>
      </c>
      <c r="M1666" s="2" t="s">
        <v>12</v>
      </c>
      <c r="N1666" s="2" t="s">
        <v>12</v>
      </c>
      <c r="O1666" s="2" t="s">
        <v>12</v>
      </c>
      <c r="P1666" s="21" t="s">
        <v>12</v>
      </c>
      <c r="Q1666" s="3" t="s">
        <v>12</v>
      </c>
      <c r="R1666" s="3" t="s">
        <v>12</v>
      </c>
    </row>
    <row r="1667" spans="1:18" x14ac:dyDescent="0.25">
      <c r="A1667" s="30">
        <v>45918</v>
      </c>
      <c r="B1667" s="28">
        <v>1657</v>
      </c>
      <c r="C1667" s="28"/>
      <c r="D1667" s="2" t="s">
        <v>515</v>
      </c>
      <c r="E1667" s="7" t="s">
        <v>1994</v>
      </c>
      <c r="F1667" s="7"/>
      <c r="G1667" s="2" t="s">
        <v>111</v>
      </c>
      <c r="H1667" s="2" t="s">
        <v>1413</v>
      </c>
      <c r="I1667" s="5">
        <v>1681993.07</v>
      </c>
      <c r="J1667" s="57"/>
      <c r="K1667" s="3">
        <v>16368</v>
      </c>
      <c r="L1667" s="2" t="s">
        <v>226</v>
      </c>
      <c r="M1667" s="2" t="s">
        <v>12</v>
      </c>
      <c r="N1667" s="2" t="s">
        <v>12</v>
      </c>
      <c r="O1667" s="2" t="s">
        <v>12</v>
      </c>
      <c r="P1667" s="21" t="s">
        <v>12</v>
      </c>
      <c r="Q1667" s="3" t="s">
        <v>12</v>
      </c>
      <c r="R1667" s="3" t="s">
        <v>12</v>
      </c>
    </row>
    <row r="1668" spans="1:18" x14ac:dyDescent="0.25">
      <c r="A1668" s="30">
        <v>45922</v>
      </c>
      <c r="B1668" s="28">
        <v>1658</v>
      </c>
      <c r="C1668" s="28"/>
      <c r="D1668" s="2" t="s">
        <v>103</v>
      </c>
      <c r="E1668" s="7" t="s">
        <v>1995</v>
      </c>
      <c r="F1668" s="7"/>
      <c r="G1668" s="2" t="s">
        <v>13</v>
      </c>
      <c r="H1668" s="2" t="s">
        <v>491</v>
      </c>
      <c r="I1668" s="5">
        <v>57980.59</v>
      </c>
      <c r="J1668" s="57"/>
      <c r="K1668" s="3">
        <v>888</v>
      </c>
      <c r="L1668" s="2" t="s">
        <v>134</v>
      </c>
      <c r="M1668" s="2" t="s">
        <v>135</v>
      </c>
      <c r="N1668" s="2" t="s">
        <v>135</v>
      </c>
      <c r="O1668" s="2" t="s">
        <v>374</v>
      </c>
      <c r="P1668" s="21">
        <v>57000</v>
      </c>
      <c r="Q1668" s="3" t="s">
        <v>12</v>
      </c>
      <c r="R1668" s="3" t="s">
        <v>12</v>
      </c>
    </row>
    <row r="1669" spans="1:18" x14ac:dyDescent="0.25">
      <c r="A1669" s="30">
        <v>45919</v>
      </c>
      <c r="B1669" s="28">
        <v>1659</v>
      </c>
      <c r="C1669" s="28"/>
      <c r="D1669" s="2" t="s">
        <v>601</v>
      </c>
      <c r="E1669" s="7" t="s">
        <v>12</v>
      </c>
      <c r="F1669" s="7"/>
      <c r="G1669" s="2" t="s">
        <v>13</v>
      </c>
      <c r="H1669" s="2" t="s">
        <v>1051</v>
      </c>
      <c r="I1669" s="5">
        <v>22644.6</v>
      </c>
      <c r="J1669" s="57"/>
      <c r="K1669" s="3">
        <v>176.4</v>
      </c>
      <c r="L1669" s="2" t="s">
        <v>226</v>
      </c>
      <c r="M1669" s="2" t="s">
        <v>12</v>
      </c>
      <c r="N1669" s="2" t="s">
        <v>12</v>
      </c>
      <c r="O1669" s="2" t="s">
        <v>12</v>
      </c>
      <c r="P1669" s="21" t="s">
        <v>12</v>
      </c>
      <c r="Q1669" s="3" t="s">
        <v>12</v>
      </c>
      <c r="R1669" s="3" t="s">
        <v>12</v>
      </c>
    </row>
    <row r="1670" spans="1:18" x14ac:dyDescent="0.25">
      <c r="A1670" s="30">
        <v>45919</v>
      </c>
      <c r="B1670" s="28">
        <v>1660</v>
      </c>
      <c r="C1670" s="28"/>
      <c r="D1670" s="2" t="s">
        <v>103</v>
      </c>
      <c r="E1670" s="7" t="s">
        <v>12</v>
      </c>
      <c r="F1670" s="7"/>
      <c r="G1670" s="2" t="s">
        <v>13</v>
      </c>
      <c r="H1670" s="2" t="s">
        <v>491</v>
      </c>
      <c r="I1670" s="5">
        <v>65591.98</v>
      </c>
      <c r="J1670" s="57"/>
      <c r="K1670" s="3">
        <v>840</v>
      </c>
      <c r="L1670" s="2" t="s">
        <v>64</v>
      </c>
      <c r="M1670" s="2" t="s">
        <v>12</v>
      </c>
      <c r="N1670" s="2" t="s">
        <v>12</v>
      </c>
      <c r="O1670" s="2" t="s">
        <v>12</v>
      </c>
      <c r="P1670" s="21" t="s">
        <v>12</v>
      </c>
      <c r="Q1670" s="3" t="s">
        <v>12</v>
      </c>
      <c r="R1670" s="3" t="s">
        <v>12</v>
      </c>
    </row>
    <row r="1671" spans="1:18" x14ac:dyDescent="0.25">
      <c r="A1671" s="30">
        <v>45919</v>
      </c>
      <c r="B1671" s="28">
        <v>1661</v>
      </c>
      <c r="C1671" s="28"/>
      <c r="D1671" s="2" t="s">
        <v>1996</v>
      </c>
      <c r="E1671" s="7" t="s">
        <v>2081</v>
      </c>
      <c r="F1671" s="7"/>
      <c r="G1671" s="2" t="s">
        <v>20</v>
      </c>
      <c r="H1671" s="2" t="s">
        <v>302</v>
      </c>
      <c r="I1671" s="5">
        <v>7059.58</v>
      </c>
      <c r="J1671" s="57"/>
      <c r="K1671" s="3">
        <v>96</v>
      </c>
      <c r="L1671" s="2" t="s">
        <v>64</v>
      </c>
      <c r="M1671" s="2" t="s">
        <v>2072</v>
      </c>
      <c r="N1671" s="2" t="s">
        <v>12</v>
      </c>
      <c r="O1671" s="2" t="s">
        <v>12</v>
      </c>
      <c r="P1671" s="21" t="s">
        <v>12</v>
      </c>
      <c r="Q1671" s="3" t="s">
        <v>12</v>
      </c>
      <c r="R1671" s="3" t="s">
        <v>12</v>
      </c>
    </row>
    <row r="1672" spans="1:18" x14ac:dyDescent="0.25">
      <c r="A1672" s="30">
        <v>45919</v>
      </c>
      <c r="B1672" s="28">
        <v>1662</v>
      </c>
      <c r="C1672" s="28"/>
      <c r="D1672" s="2" t="s">
        <v>1997</v>
      </c>
      <c r="E1672" s="7" t="s">
        <v>12</v>
      </c>
      <c r="F1672" s="7"/>
      <c r="G1672" s="2" t="s">
        <v>13</v>
      </c>
      <c r="H1672" s="2" t="s">
        <v>863</v>
      </c>
      <c r="I1672" s="5">
        <v>400.2</v>
      </c>
      <c r="J1672" s="57"/>
      <c r="K1672" s="3" t="s">
        <v>12</v>
      </c>
      <c r="L1672" s="2" t="s">
        <v>226</v>
      </c>
      <c r="M1672" s="2" t="s">
        <v>12</v>
      </c>
      <c r="N1672" s="2" t="s">
        <v>12</v>
      </c>
      <c r="O1672" s="2" t="s">
        <v>12</v>
      </c>
      <c r="P1672" s="21" t="s">
        <v>12</v>
      </c>
      <c r="Q1672" s="3" t="s">
        <v>12</v>
      </c>
      <c r="R1672" s="3" t="s">
        <v>12</v>
      </c>
    </row>
    <row r="1673" spans="1:18" x14ac:dyDescent="0.25">
      <c r="A1673" s="30">
        <v>45919</v>
      </c>
      <c r="B1673" s="28">
        <v>1663</v>
      </c>
      <c r="C1673" s="28"/>
      <c r="D1673" s="2" t="s">
        <v>1998</v>
      </c>
      <c r="E1673" s="7" t="s">
        <v>1999</v>
      </c>
      <c r="F1673" s="7"/>
      <c r="G1673" s="2" t="s">
        <v>43</v>
      </c>
      <c r="H1673" s="2" t="s">
        <v>438</v>
      </c>
      <c r="I1673" s="5">
        <v>2761.67</v>
      </c>
      <c r="J1673" s="57"/>
      <c r="K1673" s="3">
        <v>24</v>
      </c>
      <c r="L1673" s="2" t="s">
        <v>64</v>
      </c>
      <c r="M1673" s="2" t="s">
        <v>12</v>
      </c>
      <c r="N1673" s="2" t="s">
        <v>12</v>
      </c>
      <c r="O1673" s="2" t="s">
        <v>12</v>
      </c>
      <c r="P1673" s="21" t="s">
        <v>12</v>
      </c>
      <c r="Q1673" s="3" t="s">
        <v>12</v>
      </c>
      <c r="R1673" s="3" t="s">
        <v>12</v>
      </c>
    </row>
    <row r="1674" spans="1:18" x14ac:dyDescent="0.25">
      <c r="A1674" s="30">
        <v>45919</v>
      </c>
      <c r="B1674" s="28">
        <v>1664</v>
      </c>
      <c r="C1674" s="28"/>
      <c r="D1674" s="2" t="s">
        <v>1998</v>
      </c>
      <c r="E1674" s="7" t="s">
        <v>2000</v>
      </c>
      <c r="F1674" s="7"/>
      <c r="G1674" s="2" t="s">
        <v>43</v>
      </c>
      <c r="H1674" s="2" t="s">
        <v>438</v>
      </c>
      <c r="I1674" s="5">
        <v>2761.67</v>
      </c>
      <c r="J1674" s="57"/>
      <c r="K1674" s="3">
        <v>24</v>
      </c>
      <c r="L1674" s="2" t="s">
        <v>64</v>
      </c>
      <c r="M1674" s="2" t="s">
        <v>12</v>
      </c>
      <c r="N1674" s="2" t="s">
        <v>12</v>
      </c>
      <c r="O1674" s="2" t="s">
        <v>12</v>
      </c>
      <c r="P1674" s="21" t="s">
        <v>12</v>
      </c>
      <c r="Q1674" s="3" t="s">
        <v>12</v>
      </c>
      <c r="R1674" s="3" t="s">
        <v>12</v>
      </c>
    </row>
    <row r="1675" spans="1:18" x14ac:dyDescent="0.25">
      <c r="A1675" s="30">
        <v>45922</v>
      </c>
      <c r="B1675" s="28">
        <v>1665</v>
      </c>
      <c r="C1675" s="28"/>
      <c r="D1675" s="2" t="s">
        <v>137</v>
      </c>
      <c r="E1675" s="7" t="s">
        <v>12</v>
      </c>
      <c r="F1675" s="7"/>
      <c r="G1675" s="2" t="s">
        <v>26</v>
      </c>
      <c r="H1675" s="2" t="s">
        <v>98</v>
      </c>
      <c r="I1675" s="5">
        <v>3513.88</v>
      </c>
      <c r="J1675" s="57"/>
      <c r="K1675" s="3">
        <v>48</v>
      </c>
      <c r="L1675" s="2" t="s">
        <v>64</v>
      </c>
      <c r="M1675" s="2" t="s">
        <v>12</v>
      </c>
      <c r="N1675" s="2" t="s">
        <v>12</v>
      </c>
      <c r="O1675" s="2" t="s">
        <v>12</v>
      </c>
      <c r="P1675" s="21" t="s">
        <v>12</v>
      </c>
      <c r="Q1675" s="3" t="s">
        <v>12</v>
      </c>
      <c r="R1675" s="3" t="s">
        <v>12</v>
      </c>
    </row>
    <row r="1676" spans="1:18" x14ac:dyDescent="0.25">
      <c r="A1676" s="30">
        <v>45922</v>
      </c>
      <c r="B1676" s="28">
        <v>1666</v>
      </c>
      <c r="C1676" s="28"/>
      <c r="D1676" s="2" t="s">
        <v>215</v>
      </c>
      <c r="E1676" s="7" t="s">
        <v>2001</v>
      </c>
      <c r="F1676" s="7"/>
      <c r="G1676" s="2" t="s">
        <v>26</v>
      </c>
      <c r="H1676" s="2" t="s">
        <v>216</v>
      </c>
      <c r="I1676" s="5">
        <v>997.28</v>
      </c>
      <c r="J1676" s="57"/>
      <c r="K1676" s="3" t="s">
        <v>12</v>
      </c>
      <c r="L1676" s="2" t="s">
        <v>64</v>
      </c>
      <c r="M1676" s="2" t="s">
        <v>12</v>
      </c>
      <c r="N1676" s="2" t="s">
        <v>12</v>
      </c>
      <c r="O1676" s="2" t="s">
        <v>12</v>
      </c>
      <c r="P1676" s="21" t="s">
        <v>12</v>
      </c>
      <c r="Q1676" s="3" t="s">
        <v>12</v>
      </c>
      <c r="R1676" s="3" t="s">
        <v>12</v>
      </c>
    </row>
    <row r="1677" spans="1:18" x14ac:dyDescent="0.25">
      <c r="A1677" s="30">
        <v>45922</v>
      </c>
      <c r="B1677" s="28">
        <v>1667</v>
      </c>
      <c r="C1677" s="28"/>
      <c r="D1677" s="2" t="s">
        <v>425</v>
      </c>
      <c r="E1677" s="7" t="s">
        <v>2002</v>
      </c>
      <c r="F1677" s="7"/>
      <c r="G1677" s="2" t="s">
        <v>26</v>
      </c>
      <c r="H1677" s="2" t="s">
        <v>491</v>
      </c>
      <c r="I1677" s="5">
        <v>134956.07999999999</v>
      </c>
      <c r="J1677" s="57"/>
      <c r="K1677" s="3">
        <v>1488</v>
      </c>
      <c r="L1677" s="2" t="s">
        <v>226</v>
      </c>
      <c r="M1677" s="2" t="s">
        <v>12</v>
      </c>
      <c r="N1677" s="2" t="s">
        <v>12</v>
      </c>
      <c r="O1677" s="2" t="s">
        <v>12</v>
      </c>
      <c r="P1677" s="21" t="s">
        <v>12</v>
      </c>
      <c r="Q1677" s="3" t="s">
        <v>2025</v>
      </c>
      <c r="R1677" s="3" t="s">
        <v>222</v>
      </c>
    </row>
    <row r="1678" spans="1:18" x14ac:dyDescent="0.25">
      <c r="A1678" s="30">
        <v>45922</v>
      </c>
      <c r="B1678" s="28">
        <v>1668</v>
      </c>
      <c r="C1678" s="28"/>
      <c r="D1678" s="2" t="s">
        <v>425</v>
      </c>
      <c r="E1678" s="7" t="s">
        <v>1322</v>
      </c>
      <c r="F1678" s="7"/>
      <c r="G1678" s="2" t="s">
        <v>26</v>
      </c>
      <c r="H1678" s="2" t="s">
        <v>2003</v>
      </c>
      <c r="I1678" s="5">
        <v>5243.87</v>
      </c>
      <c r="J1678" s="57"/>
      <c r="K1678" s="3">
        <v>48</v>
      </c>
      <c r="L1678" s="2" t="s">
        <v>64</v>
      </c>
      <c r="M1678" s="2" t="s">
        <v>12</v>
      </c>
      <c r="N1678" s="2" t="s">
        <v>12</v>
      </c>
      <c r="O1678" s="2" t="s">
        <v>12</v>
      </c>
      <c r="P1678" s="21" t="s">
        <v>12</v>
      </c>
      <c r="Q1678" s="3" t="s">
        <v>12</v>
      </c>
      <c r="R1678" s="3" t="s">
        <v>12</v>
      </c>
    </row>
    <row r="1679" spans="1:18" x14ac:dyDescent="0.25">
      <c r="A1679" s="30">
        <v>45922</v>
      </c>
      <c r="B1679" s="28">
        <v>1669</v>
      </c>
      <c r="C1679" s="28"/>
      <c r="D1679" s="2" t="s">
        <v>640</v>
      </c>
      <c r="E1679" s="7" t="s">
        <v>2004</v>
      </c>
      <c r="F1679" s="7"/>
      <c r="G1679" s="2" t="s">
        <v>26</v>
      </c>
      <c r="H1679" s="2" t="s">
        <v>642</v>
      </c>
      <c r="I1679" s="5">
        <v>10343.33</v>
      </c>
      <c r="J1679" s="57"/>
      <c r="K1679" s="3" t="s">
        <v>12</v>
      </c>
      <c r="L1679" s="2" t="s">
        <v>64</v>
      </c>
      <c r="M1679" s="2" t="s">
        <v>12</v>
      </c>
      <c r="N1679" s="2" t="s">
        <v>12</v>
      </c>
      <c r="O1679" s="2" t="s">
        <v>12</v>
      </c>
      <c r="P1679" s="21" t="s">
        <v>12</v>
      </c>
      <c r="Q1679" s="3" t="s">
        <v>12</v>
      </c>
      <c r="R1679" s="3" t="s">
        <v>12</v>
      </c>
    </row>
    <row r="1680" spans="1:18" x14ac:dyDescent="0.25">
      <c r="A1680" s="30">
        <v>45922</v>
      </c>
      <c r="B1680" s="28">
        <v>1670</v>
      </c>
      <c r="C1680" s="28"/>
      <c r="D1680" s="2" t="s">
        <v>168</v>
      </c>
      <c r="E1680" s="7" t="s">
        <v>12</v>
      </c>
      <c r="F1680" s="7"/>
      <c r="G1680" s="2" t="s">
        <v>43</v>
      </c>
      <c r="H1680" s="2" t="s">
        <v>375</v>
      </c>
      <c r="I1680" s="5">
        <v>5488.87</v>
      </c>
      <c r="J1680" s="57"/>
      <c r="K1680" s="3" t="s">
        <v>12</v>
      </c>
      <c r="L1680" s="2" t="s">
        <v>64</v>
      </c>
      <c r="M1680" s="2" t="s">
        <v>12</v>
      </c>
      <c r="N1680" s="2" t="s">
        <v>12</v>
      </c>
      <c r="O1680" s="2" t="s">
        <v>12</v>
      </c>
      <c r="P1680" s="21" t="s">
        <v>12</v>
      </c>
      <c r="Q1680" s="3" t="s">
        <v>12</v>
      </c>
      <c r="R1680" s="3" t="s">
        <v>12</v>
      </c>
    </row>
    <row r="1681" spans="1:18" x14ac:dyDescent="0.25">
      <c r="A1681" s="30">
        <v>45923</v>
      </c>
      <c r="B1681" s="28">
        <v>1671</v>
      </c>
      <c r="C1681" s="28"/>
      <c r="D1681" s="2" t="s">
        <v>403</v>
      </c>
      <c r="E1681" s="7" t="s">
        <v>2005</v>
      </c>
      <c r="F1681" s="7"/>
      <c r="G1681" s="2" t="s">
        <v>43</v>
      </c>
      <c r="H1681" s="2" t="s">
        <v>535</v>
      </c>
      <c r="I1681" s="5">
        <v>22190.32</v>
      </c>
      <c r="J1681" s="57"/>
      <c r="K1681" s="3">
        <v>288</v>
      </c>
      <c r="L1681" s="2" t="s">
        <v>226</v>
      </c>
      <c r="M1681" s="2" t="s">
        <v>12</v>
      </c>
      <c r="N1681" s="2" t="s">
        <v>12</v>
      </c>
      <c r="O1681" s="2" t="s">
        <v>12</v>
      </c>
      <c r="P1681" s="21" t="s">
        <v>12</v>
      </c>
      <c r="Q1681" s="3" t="s">
        <v>12</v>
      </c>
      <c r="R1681" s="3" t="s">
        <v>12</v>
      </c>
    </row>
    <row r="1682" spans="1:18" x14ac:dyDescent="0.25">
      <c r="A1682" s="30">
        <v>45922</v>
      </c>
      <c r="B1682" s="28">
        <v>1672</v>
      </c>
      <c r="C1682" s="28"/>
      <c r="D1682" s="2" t="s">
        <v>1446</v>
      </c>
      <c r="E1682" s="7" t="s">
        <v>2006</v>
      </c>
      <c r="F1682" s="7"/>
      <c r="G1682" s="2" t="s">
        <v>43</v>
      </c>
      <c r="H1682" s="2" t="s">
        <v>2007</v>
      </c>
      <c r="I1682" s="5">
        <v>5496.23</v>
      </c>
      <c r="J1682" s="57"/>
      <c r="K1682" s="3">
        <v>48</v>
      </c>
      <c r="L1682" s="2" t="s">
        <v>226</v>
      </c>
      <c r="M1682" s="2" t="s">
        <v>12</v>
      </c>
      <c r="N1682" s="2" t="s">
        <v>12</v>
      </c>
      <c r="O1682" s="2" t="s">
        <v>12</v>
      </c>
      <c r="P1682" s="21" t="s">
        <v>12</v>
      </c>
      <c r="Q1682" s="3" t="s">
        <v>12</v>
      </c>
      <c r="R1682" s="3" t="s">
        <v>12</v>
      </c>
    </row>
    <row r="1683" spans="1:18" x14ac:dyDescent="0.25">
      <c r="A1683" s="30">
        <v>45922</v>
      </c>
      <c r="B1683" s="28">
        <v>1673</v>
      </c>
      <c r="C1683" s="28"/>
      <c r="D1683" s="2" t="s">
        <v>109</v>
      </c>
      <c r="E1683" s="7" t="s">
        <v>2008</v>
      </c>
      <c r="F1683" s="7"/>
      <c r="G1683" s="2" t="s">
        <v>111</v>
      </c>
      <c r="H1683" s="2" t="s">
        <v>395</v>
      </c>
      <c r="I1683" s="5">
        <v>332106.46000000002</v>
      </c>
      <c r="J1683" s="57"/>
      <c r="K1683" s="3">
        <v>3696</v>
      </c>
      <c r="L1683" s="2" t="s">
        <v>226</v>
      </c>
      <c r="M1683" s="2" t="s">
        <v>12</v>
      </c>
      <c r="N1683" s="2" t="s">
        <v>12</v>
      </c>
      <c r="O1683" s="2" t="s">
        <v>12</v>
      </c>
      <c r="P1683" s="21" t="s">
        <v>12</v>
      </c>
      <c r="Q1683" s="3" t="s">
        <v>12</v>
      </c>
      <c r="R1683" s="3" t="s">
        <v>12</v>
      </c>
    </row>
    <row r="1684" spans="1:18" x14ac:dyDescent="0.25">
      <c r="A1684" s="30">
        <v>45922</v>
      </c>
      <c r="B1684" s="28">
        <v>1674</v>
      </c>
      <c r="C1684" s="28"/>
      <c r="D1684" s="2" t="s">
        <v>109</v>
      </c>
      <c r="E1684" s="7" t="s">
        <v>2008</v>
      </c>
      <c r="F1684" s="7"/>
      <c r="G1684" s="2" t="s">
        <v>111</v>
      </c>
      <c r="H1684" s="2" t="s">
        <v>395</v>
      </c>
      <c r="I1684" s="5">
        <v>264072.51</v>
      </c>
      <c r="J1684" s="57"/>
      <c r="K1684" s="3">
        <v>3408</v>
      </c>
      <c r="L1684" s="2" t="s">
        <v>226</v>
      </c>
      <c r="M1684" s="2" t="s">
        <v>12</v>
      </c>
      <c r="N1684" s="2" t="s">
        <v>12</v>
      </c>
      <c r="O1684" s="2" t="s">
        <v>12</v>
      </c>
      <c r="P1684" s="21" t="s">
        <v>12</v>
      </c>
      <c r="Q1684" s="3" t="s">
        <v>12</v>
      </c>
      <c r="R1684" s="3" t="s">
        <v>12</v>
      </c>
    </row>
    <row r="1685" spans="1:18" x14ac:dyDescent="0.25">
      <c r="A1685" s="30">
        <v>45922</v>
      </c>
      <c r="B1685" s="28">
        <v>1675</v>
      </c>
      <c r="C1685" s="28"/>
      <c r="D1685" s="2" t="s">
        <v>2299</v>
      </c>
      <c r="E1685" s="7" t="s">
        <v>12</v>
      </c>
      <c r="F1685" s="7"/>
      <c r="G1685" s="2" t="s">
        <v>26</v>
      </c>
      <c r="H1685" s="2" t="s">
        <v>148</v>
      </c>
      <c r="I1685" s="5">
        <v>1809.15</v>
      </c>
      <c r="J1685" s="57"/>
      <c r="K1685" s="3">
        <v>24</v>
      </c>
      <c r="L1685" s="2" t="s">
        <v>64</v>
      </c>
      <c r="M1685" s="2" t="s">
        <v>12</v>
      </c>
      <c r="N1685" s="2" t="s">
        <v>12</v>
      </c>
      <c r="O1685" s="2" t="s">
        <v>12</v>
      </c>
      <c r="P1685" s="21" t="s">
        <v>12</v>
      </c>
      <c r="Q1685" s="3" t="s">
        <v>12</v>
      </c>
      <c r="R1685" s="3" t="s">
        <v>12</v>
      </c>
    </row>
    <row r="1686" spans="1:18" x14ac:dyDescent="0.25">
      <c r="A1686" s="30">
        <v>45923</v>
      </c>
      <c r="B1686" s="28">
        <v>1676</v>
      </c>
      <c r="C1686" s="28"/>
      <c r="D1686" s="2" t="s">
        <v>56</v>
      </c>
      <c r="E1686" s="7" t="s">
        <v>2009</v>
      </c>
      <c r="F1686" s="7"/>
      <c r="G1686" s="2" t="s">
        <v>43</v>
      </c>
      <c r="H1686" s="2" t="s">
        <v>58</v>
      </c>
      <c r="I1686" s="5">
        <v>55187.76</v>
      </c>
      <c r="J1686" s="57"/>
      <c r="K1686" s="3">
        <v>624</v>
      </c>
      <c r="L1686" s="2" t="s">
        <v>64</v>
      </c>
      <c r="M1686" s="2" t="s">
        <v>530</v>
      </c>
      <c r="N1686" s="2" t="s">
        <v>12</v>
      </c>
      <c r="O1686" s="2" t="s">
        <v>12</v>
      </c>
      <c r="P1686" s="21" t="s">
        <v>12</v>
      </c>
      <c r="Q1686" s="3" t="s">
        <v>56</v>
      </c>
      <c r="R1686" s="3" t="s">
        <v>80</v>
      </c>
    </row>
    <row r="1687" spans="1:18" x14ac:dyDescent="0.25">
      <c r="A1687" s="30">
        <v>45923</v>
      </c>
      <c r="B1687" s="28">
        <v>1677</v>
      </c>
      <c r="C1687" s="28"/>
      <c r="D1687" s="2" t="s">
        <v>2010</v>
      </c>
      <c r="E1687" s="7" t="s">
        <v>2011</v>
      </c>
      <c r="F1687" s="7"/>
      <c r="G1687" s="2" t="s">
        <v>13</v>
      </c>
      <c r="H1687" s="2" t="s">
        <v>495</v>
      </c>
      <c r="I1687" s="5">
        <v>534.72</v>
      </c>
      <c r="J1687" s="57"/>
      <c r="K1687" s="3" t="s">
        <v>12</v>
      </c>
      <c r="L1687" s="2" t="s">
        <v>226</v>
      </c>
      <c r="M1687" s="2" t="s">
        <v>12</v>
      </c>
      <c r="N1687" s="2" t="s">
        <v>12</v>
      </c>
      <c r="O1687" s="2" t="s">
        <v>12</v>
      </c>
      <c r="P1687" s="21" t="s">
        <v>12</v>
      </c>
      <c r="Q1687" s="3" t="s">
        <v>12</v>
      </c>
      <c r="R1687" s="3" t="s">
        <v>12</v>
      </c>
    </row>
    <row r="1688" spans="1:18" x14ac:dyDescent="0.25">
      <c r="A1688" s="30">
        <v>45923</v>
      </c>
      <c r="B1688" s="28">
        <v>1678</v>
      </c>
      <c r="C1688" s="28"/>
      <c r="D1688" s="2" t="s">
        <v>336</v>
      </c>
      <c r="E1688" s="7" t="s">
        <v>2012</v>
      </c>
      <c r="F1688" s="7"/>
      <c r="G1688" s="2" t="s">
        <v>20</v>
      </c>
      <c r="H1688" s="2" t="s">
        <v>1153</v>
      </c>
      <c r="I1688" s="5">
        <v>27922.23</v>
      </c>
      <c r="J1688" s="57">
        <v>0.03</v>
      </c>
      <c r="K1688" s="3">
        <v>268.68</v>
      </c>
      <c r="L1688" s="2" t="s">
        <v>64</v>
      </c>
      <c r="M1688" s="2" t="s">
        <v>2072</v>
      </c>
      <c r="N1688" s="2" t="s">
        <v>12</v>
      </c>
      <c r="O1688" s="2" t="s">
        <v>12</v>
      </c>
      <c r="P1688" s="21" t="s">
        <v>12</v>
      </c>
      <c r="Q1688" s="3" t="s">
        <v>12</v>
      </c>
      <c r="R1688" s="3" t="s">
        <v>12</v>
      </c>
    </row>
    <row r="1689" spans="1:18" x14ac:dyDescent="0.25">
      <c r="A1689" s="30">
        <v>45923</v>
      </c>
      <c r="B1689" s="28">
        <v>1679</v>
      </c>
      <c r="C1689" s="28"/>
      <c r="D1689" s="2" t="s">
        <v>298</v>
      </c>
      <c r="E1689" s="7" t="s">
        <v>12</v>
      </c>
      <c r="F1689" s="7"/>
      <c r="G1689" s="2" t="s">
        <v>13</v>
      </c>
      <c r="H1689" s="2" t="s">
        <v>13</v>
      </c>
      <c r="I1689" s="5">
        <v>30271.25</v>
      </c>
      <c r="J1689" s="57"/>
      <c r="K1689" s="3">
        <v>384</v>
      </c>
      <c r="L1689" s="2" t="s">
        <v>226</v>
      </c>
      <c r="M1689" s="2" t="s">
        <v>12</v>
      </c>
      <c r="N1689" s="2" t="s">
        <v>12</v>
      </c>
      <c r="O1689" s="2" t="s">
        <v>12</v>
      </c>
      <c r="P1689" s="21" t="s">
        <v>12</v>
      </c>
      <c r="Q1689" s="3" t="s">
        <v>12</v>
      </c>
      <c r="R1689" s="3" t="s">
        <v>12</v>
      </c>
    </row>
    <row r="1690" spans="1:18" x14ac:dyDescent="0.25">
      <c r="A1690" s="30">
        <v>45923</v>
      </c>
      <c r="B1690" s="28">
        <v>1680</v>
      </c>
      <c r="C1690" s="28"/>
      <c r="D1690" s="2" t="s">
        <v>1446</v>
      </c>
      <c r="E1690" s="7" t="s">
        <v>12</v>
      </c>
      <c r="F1690" s="7"/>
      <c r="G1690" s="2" t="s">
        <v>43</v>
      </c>
      <c r="H1690" s="2"/>
      <c r="I1690" s="5">
        <v>1488.56</v>
      </c>
      <c r="J1690" s="57"/>
      <c r="K1690" s="3">
        <v>24</v>
      </c>
      <c r="L1690" s="2" t="s">
        <v>64</v>
      </c>
      <c r="M1690" s="2" t="s">
        <v>12</v>
      </c>
      <c r="N1690" s="2" t="s">
        <v>12</v>
      </c>
      <c r="O1690" s="2" t="s">
        <v>12</v>
      </c>
      <c r="P1690" s="21" t="s">
        <v>12</v>
      </c>
      <c r="Q1690" s="3" t="s">
        <v>12</v>
      </c>
      <c r="R1690" s="3" t="s">
        <v>12</v>
      </c>
    </row>
    <row r="1691" spans="1:18" x14ac:dyDescent="0.25">
      <c r="A1691" s="30">
        <v>45923</v>
      </c>
      <c r="B1691" s="28">
        <v>1681</v>
      </c>
      <c r="C1691" s="28"/>
      <c r="D1691" s="2" t="s">
        <v>1596</v>
      </c>
      <c r="E1691" s="7" t="s">
        <v>12</v>
      </c>
      <c r="F1691" s="7"/>
      <c r="G1691" s="2" t="s">
        <v>43</v>
      </c>
      <c r="H1691" s="2" t="s">
        <v>751</v>
      </c>
      <c r="I1691" s="5">
        <v>29826.35</v>
      </c>
      <c r="J1691" s="57"/>
      <c r="K1691" s="3">
        <v>360</v>
      </c>
      <c r="L1691" s="2" t="s">
        <v>64</v>
      </c>
      <c r="M1691" s="2" t="s">
        <v>2072</v>
      </c>
      <c r="N1691" s="2" t="s">
        <v>12</v>
      </c>
      <c r="O1691" s="2" t="s">
        <v>12</v>
      </c>
      <c r="P1691" s="21" t="s">
        <v>12</v>
      </c>
      <c r="Q1691" s="3" t="s">
        <v>12</v>
      </c>
      <c r="R1691" s="3" t="s">
        <v>12</v>
      </c>
    </row>
    <row r="1692" spans="1:18" x14ac:dyDescent="0.25">
      <c r="A1692" s="30">
        <v>45923</v>
      </c>
      <c r="B1692" s="28">
        <v>1682</v>
      </c>
      <c r="C1692" s="28"/>
      <c r="D1692" s="2" t="s">
        <v>130</v>
      </c>
      <c r="E1692" s="7" t="s">
        <v>2013</v>
      </c>
      <c r="F1692" s="7"/>
      <c r="G1692" s="2" t="s">
        <v>26</v>
      </c>
      <c r="H1692" s="2" t="s">
        <v>369</v>
      </c>
      <c r="I1692" s="5">
        <v>266663.53999999998</v>
      </c>
      <c r="J1692" s="57"/>
      <c r="K1692" s="3">
        <v>2664</v>
      </c>
      <c r="L1692" s="2" t="s">
        <v>226</v>
      </c>
      <c r="M1692" s="2" t="s">
        <v>12</v>
      </c>
      <c r="N1692" s="2" t="s">
        <v>12</v>
      </c>
      <c r="O1692" s="2" t="s">
        <v>12</v>
      </c>
      <c r="P1692" s="21" t="s">
        <v>12</v>
      </c>
      <c r="Q1692" s="3" t="s">
        <v>1905</v>
      </c>
      <c r="R1692" s="3" t="s">
        <v>75</v>
      </c>
    </row>
    <row r="1693" spans="1:18" x14ac:dyDescent="0.25">
      <c r="A1693" s="30">
        <v>45924</v>
      </c>
      <c r="B1693" s="28">
        <v>1683</v>
      </c>
      <c r="C1693" s="28"/>
      <c r="D1693" s="2" t="s">
        <v>1934</v>
      </c>
      <c r="E1693" s="7" t="s">
        <v>2014</v>
      </c>
      <c r="F1693" s="7"/>
      <c r="G1693" s="2" t="s">
        <v>97</v>
      </c>
      <c r="H1693" s="2" t="s">
        <v>1936</v>
      </c>
      <c r="I1693" s="5">
        <v>32698.720000000001</v>
      </c>
      <c r="J1693" s="57"/>
      <c r="K1693" s="3">
        <v>336</v>
      </c>
      <c r="L1693" s="2" t="s">
        <v>226</v>
      </c>
      <c r="M1693" s="2" t="s">
        <v>12</v>
      </c>
      <c r="N1693" s="2" t="s">
        <v>12</v>
      </c>
      <c r="O1693" s="2" t="s">
        <v>12</v>
      </c>
      <c r="P1693" s="21" t="s">
        <v>12</v>
      </c>
      <c r="Q1693" s="3" t="s">
        <v>2026</v>
      </c>
      <c r="R1693" s="3" t="s">
        <v>222</v>
      </c>
    </row>
    <row r="1694" spans="1:18" x14ac:dyDescent="0.25">
      <c r="A1694" s="30">
        <v>45924</v>
      </c>
      <c r="B1694" s="28">
        <v>1684</v>
      </c>
      <c r="C1694" s="28"/>
      <c r="D1694" s="2" t="s">
        <v>165</v>
      </c>
      <c r="E1694" s="7" t="s">
        <v>166</v>
      </c>
      <c r="F1694" s="7"/>
      <c r="G1694" s="2" t="s">
        <v>97</v>
      </c>
      <c r="H1694" s="2" t="s">
        <v>167</v>
      </c>
      <c r="I1694" s="5">
        <v>63912.4</v>
      </c>
      <c r="J1694" s="57"/>
      <c r="K1694" s="3">
        <v>960</v>
      </c>
      <c r="L1694" s="2" t="s">
        <v>226</v>
      </c>
      <c r="M1694" s="2" t="s">
        <v>12</v>
      </c>
      <c r="N1694" s="2" t="s">
        <v>12</v>
      </c>
      <c r="O1694" s="2" t="s">
        <v>12</v>
      </c>
      <c r="P1694" s="21" t="s">
        <v>12</v>
      </c>
      <c r="Q1694" s="3" t="s">
        <v>12</v>
      </c>
      <c r="R1694" s="3" t="s">
        <v>12</v>
      </c>
    </row>
    <row r="1695" spans="1:18" x14ac:dyDescent="0.25">
      <c r="A1695" s="30">
        <v>45924</v>
      </c>
      <c r="B1695" s="28">
        <v>1685</v>
      </c>
      <c r="C1695" s="28"/>
      <c r="D1695" s="2" t="s">
        <v>433</v>
      </c>
      <c r="E1695" s="7" t="s">
        <v>12</v>
      </c>
      <c r="F1695" s="7"/>
      <c r="G1695" s="2" t="s">
        <v>97</v>
      </c>
      <c r="H1695" s="2" t="s">
        <v>2079</v>
      </c>
      <c r="I1695" s="5">
        <v>1516.54</v>
      </c>
      <c r="J1695" s="57"/>
      <c r="K1695" s="3" t="s">
        <v>12</v>
      </c>
      <c r="L1695" s="2" t="s">
        <v>226</v>
      </c>
      <c r="M1695" s="2" t="s">
        <v>12</v>
      </c>
      <c r="N1695" s="2" t="s">
        <v>12</v>
      </c>
      <c r="O1695" s="2" t="s">
        <v>12</v>
      </c>
      <c r="P1695" s="21" t="s">
        <v>12</v>
      </c>
      <c r="Q1695" s="3" t="s">
        <v>12</v>
      </c>
      <c r="R1695" s="3" t="s">
        <v>12</v>
      </c>
    </row>
    <row r="1696" spans="1:18" x14ac:dyDescent="0.25">
      <c r="A1696" s="30">
        <v>45924</v>
      </c>
      <c r="B1696" s="28">
        <v>1686</v>
      </c>
      <c r="C1696" s="28"/>
      <c r="D1696" s="2" t="s">
        <v>1099</v>
      </c>
      <c r="E1696" s="7" t="s">
        <v>2015</v>
      </c>
      <c r="F1696" s="7"/>
      <c r="G1696" s="2" t="s">
        <v>20</v>
      </c>
      <c r="H1696" s="2" t="s">
        <v>129</v>
      </c>
      <c r="I1696" s="5">
        <v>27086.01</v>
      </c>
      <c r="J1696" s="57"/>
      <c r="K1696" s="3">
        <v>432</v>
      </c>
      <c r="L1696" s="2" t="s">
        <v>226</v>
      </c>
      <c r="M1696" s="2" t="s">
        <v>2072</v>
      </c>
      <c r="N1696" s="2" t="s">
        <v>12</v>
      </c>
      <c r="O1696" s="2" t="s">
        <v>12</v>
      </c>
      <c r="P1696" s="21" t="s">
        <v>12</v>
      </c>
      <c r="Q1696" s="3" t="s">
        <v>1801</v>
      </c>
      <c r="R1696" s="3" t="s">
        <v>75</v>
      </c>
    </row>
    <row r="1697" spans="1:18" x14ac:dyDescent="0.25">
      <c r="A1697" s="30">
        <v>45924</v>
      </c>
      <c r="B1697" s="28">
        <v>1687</v>
      </c>
      <c r="C1697" s="28"/>
      <c r="D1697" s="2" t="s">
        <v>2016</v>
      </c>
      <c r="E1697" s="7" t="s">
        <v>2017</v>
      </c>
      <c r="F1697" s="7"/>
      <c r="G1697" s="2" t="s">
        <v>97</v>
      </c>
      <c r="H1697" s="2" t="s">
        <v>427</v>
      </c>
      <c r="I1697" s="5">
        <v>55077.8</v>
      </c>
      <c r="J1697" s="57"/>
      <c r="K1697" s="3">
        <v>624</v>
      </c>
      <c r="L1697" s="2" t="s">
        <v>226</v>
      </c>
      <c r="M1697" s="2" t="s">
        <v>12</v>
      </c>
      <c r="N1697" s="2" t="s">
        <v>12</v>
      </c>
      <c r="O1697" s="2" t="s">
        <v>12</v>
      </c>
      <c r="P1697" s="21" t="s">
        <v>12</v>
      </c>
      <c r="Q1697" s="3" t="s">
        <v>12</v>
      </c>
      <c r="R1697" s="3" t="s">
        <v>12</v>
      </c>
    </row>
    <row r="1698" spans="1:18" x14ac:dyDescent="0.25">
      <c r="A1698" s="30">
        <v>45924</v>
      </c>
      <c r="B1698" s="28">
        <v>1688</v>
      </c>
      <c r="C1698" s="28"/>
      <c r="D1698" s="2" t="s">
        <v>2018</v>
      </c>
      <c r="E1698" s="7" t="s">
        <v>2019</v>
      </c>
      <c r="F1698" s="7"/>
      <c r="G1698" s="2" t="s">
        <v>13</v>
      </c>
      <c r="H1698" s="2" t="s">
        <v>2020</v>
      </c>
      <c r="I1698" s="5">
        <v>35395.57</v>
      </c>
      <c r="J1698" s="57"/>
      <c r="K1698" s="3">
        <v>408</v>
      </c>
      <c r="L1698" s="2" t="s">
        <v>226</v>
      </c>
      <c r="M1698" s="2" t="s">
        <v>12</v>
      </c>
      <c r="N1698" s="2" t="s">
        <v>12</v>
      </c>
      <c r="O1698" s="2" t="s">
        <v>12</v>
      </c>
      <c r="P1698" s="21" t="s">
        <v>12</v>
      </c>
      <c r="Q1698" s="3" t="s">
        <v>12</v>
      </c>
      <c r="R1698" s="3" t="s">
        <v>12</v>
      </c>
    </row>
    <row r="1699" spans="1:18" x14ac:dyDescent="0.25">
      <c r="A1699" s="30">
        <v>45924</v>
      </c>
      <c r="B1699" s="28">
        <v>1689</v>
      </c>
      <c r="C1699" s="28"/>
      <c r="D1699" s="2" t="s">
        <v>2021</v>
      </c>
      <c r="E1699" s="7" t="s">
        <v>2022</v>
      </c>
      <c r="F1699" s="7"/>
      <c r="G1699" s="2" t="s">
        <v>13</v>
      </c>
      <c r="H1699" s="2"/>
      <c r="I1699" s="5">
        <v>105753.76</v>
      </c>
      <c r="J1699" s="57"/>
      <c r="K1699" s="3">
        <v>1152</v>
      </c>
      <c r="L1699" s="2" t="s">
        <v>21</v>
      </c>
      <c r="M1699" s="2" t="s">
        <v>12</v>
      </c>
      <c r="N1699" s="2" t="s">
        <v>12</v>
      </c>
      <c r="O1699" s="2" t="s">
        <v>12</v>
      </c>
      <c r="P1699" s="21" t="s">
        <v>12</v>
      </c>
      <c r="Q1699" s="3" t="s">
        <v>12</v>
      </c>
      <c r="R1699" s="3" t="s">
        <v>12</v>
      </c>
    </row>
    <row r="1700" spans="1:18" x14ac:dyDescent="0.25">
      <c r="A1700" s="30">
        <v>45924</v>
      </c>
      <c r="B1700" s="28">
        <v>1690</v>
      </c>
      <c r="C1700" s="28"/>
      <c r="D1700" s="2" t="s">
        <v>425</v>
      </c>
      <c r="E1700" s="7" t="s">
        <v>12</v>
      </c>
      <c r="F1700" s="7"/>
      <c r="G1700" s="2" t="s">
        <v>26</v>
      </c>
      <c r="H1700" s="2" t="s">
        <v>2003</v>
      </c>
      <c r="I1700" s="5">
        <v>8167.93</v>
      </c>
      <c r="J1700" s="57"/>
      <c r="K1700" s="3" t="s">
        <v>12</v>
      </c>
      <c r="L1700" s="2" t="s">
        <v>64</v>
      </c>
      <c r="M1700" s="2" t="s">
        <v>12</v>
      </c>
      <c r="N1700" s="2" t="s">
        <v>12</v>
      </c>
      <c r="O1700" s="2" t="s">
        <v>12</v>
      </c>
      <c r="P1700" s="21" t="s">
        <v>12</v>
      </c>
      <c r="Q1700" s="3" t="s">
        <v>12</v>
      </c>
      <c r="R1700" s="3" t="s">
        <v>12</v>
      </c>
    </row>
    <row r="1701" spans="1:18" x14ac:dyDescent="0.25">
      <c r="A1701" s="30">
        <v>45924</v>
      </c>
      <c r="B1701" s="28">
        <v>1691</v>
      </c>
      <c r="C1701" s="28"/>
      <c r="D1701" s="2" t="s">
        <v>508</v>
      </c>
      <c r="E1701" s="7" t="s">
        <v>12</v>
      </c>
      <c r="F1701" s="7"/>
      <c r="G1701" s="2" t="s">
        <v>20</v>
      </c>
      <c r="H1701" s="2" t="s">
        <v>596</v>
      </c>
      <c r="I1701" s="5">
        <v>57283.1</v>
      </c>
      <c r="J1701" s="57"/>
      <c r="K1701" s="3">
        <v>960</v>
      </c>
      <c r="L1701" s="2" t="s">
        <v>64</v>
      </c>
      <c r="M1701" s="2" t="s">
        <v>12</v>
      </c>
      <c r="N1701" s="2" t="s">
        <v>12</v>
      </c>
      <c r="O1701" s="2" t="s">
        <v>12</v>
      </c>
      <c r="P1701" s="21" t="s">
        <v>12</v>
      </c>
      <c r="Q1701" s="3" t="s">
        <v>12</v>
      </c>
      <c r="R1701" s="3" t="s">
        <v>12</v>
      </c>
    </row>
    <row r="1702" spans="1:18" x14ac:dyDescent="0.25">
      <c r="A1702" s="30">
        <v>45924</v>
      </c>
      <c r="B1702" s="28">
        <v>1692</v>
      </c>
      <c r="C1702" s="28"/>
      <c r="D1702" s="2" t="s">
        <v>137</v>
      </c>
      <c r="E1702" s="7" t="s">
        <v>2032</v>
      </c>
      <c r="F1702" s="7"/>
      <c r="G1702" s="2" t="s">
        <v>26</v>
      </c>
      <c r="H1702" s="2" t="s">
        <v>98</v>
      </c>
      <c r="I1702" s="5">
        <v>15058.46</v>
      </c>
      <c r="J1702" s="57"/>
      <c r="K1702" s="3">
        <v>144</v>
      </c>
      <c r="L1702" s="2" t="s">
        <v>226</v>
      </c>
      <c r="M1702" s="2" t="s">
        <v>12</v>
      </c>
      <c r="N1702" s="2" t="s">
        <v>12</v>
      </c>
      <c r="O1702" s="2" t="s">
        <v>12</v>
      </c>
      <c r="P1702" s="21" t="s">
        <v>12</v>
      </c>
      <c r="Q1702" s="3" t="s">
        <v>2065</v>
      </c>
      <c r="R1702" s="3" t="s">
        <v>80</v>
      </c>
    </row>
    <row r="1703" spans="1:18" x14ac:dyDescent="0.25">
      <c r="A1703" s="30">
        <v>45924</v>
      </c>
      <c r="B1703" s="28">
        <v>1693</v>
      </c>
      <c r="C1703" s="28"/>
      <c r="D1703" s="2"/>
      <c r="E1703" s="7"/>
      <c r="F1703" s="7"/>
      <c r="G1703" s="2"/>
      <c r="H1703" s="2"/>
      <c r="I1703" s="5"/>
      <c r="J1703" s="57"/>
      <c r="K1703" s="3"/>
      <c r="L1703" s="2" t="s">
        <v>226</v>
      </c>
      <c r="M1703" s="2"/>
      <c r="N1703" s="2"/>
      <c r="O1703" s="2"/>
      <c r="P1703" s="21"/>
      <c r="Q1703" s="3"/>
      <c r="R1703" s="3"/>
    </row>
    <row r="1704" spans="1:18" x14ac:dyDescent="0.25">
      <c r="A1704" s="30">
        <v>45926</v>
      </c>
      <c r="B1704" s="28">
        <v>1694</v>
      </c>
      <c r="C1704" s="28"/>
      <c r="D1704" s="2" t="s">
        <v>1996</v>
      </c>
      <c r="E1704" s="7" t="s">
        <v>2033</v>
      </c>
      <c r="F1704" s="7"/>
      <c r="G1704" s="2" t="s">
        <v>20</v>
      </c>
      <c r="H1704" s="2" t="s">
        <v>302</v>
      </c>
      <c r="I1704" s="5">
        <v>4567.2299999999996</v>
      </c>
      <c r="J1704" s="57"/>
      <c r="K1704" s="3">
        <v>48</v>
      </c>
      <c r="L1704" s="2" t="s">
        <v>64</v>
      </c>
      <c r="M1704" s="2" t="s">
        <v>12</v>
      </c>
      <c r="N1704" s="2" t="s">
        <v>12</v>
      </c>
      <c r="O1704" s="2" t="s">
        <v>12</v>
      </c>
      <c r="P1704" s="21" t="s">
        <v>12</v>
      </c>
      <c r="Q1704" s="3" t="s">
        <v>75</v>
      </c>
      <c r="R1704" s="3" t="s">
        <v>80</v>
      </c>
    </row>
    <row r="1705" spans="1:18" x14ac:dyDescent="0.25">
      <c r="A1705" s="30">
        <v>45925</v>
      </c>
      <c r="B1705" s="28">
        <v>1695</v>
      </c>
      <c r="C1705" s="28"/>
      <c r="D1705" s="2" t="s">
        <v>298</v>
      </c>
      <c r="E1705" s="7" t="s">
        <v>2034</v>
      </c>
      <c r="F1705" s="7"/>
      <c r="G1705" s="2" t="s">
        <v>13</v>
      </c>
      <c r="H1705" s="2" t="s">
        <v>13</v>
      </c>
      <c r="I1705" s="5">
        <v>3146.51</v>
      </c>
      <c r="J1705" s="57"/>
      <c r="K1705" s="3" t="s">
        <v>12</v>
      </c>
      <c r="L1705" s="2" t="s">
        <v>226</v>
      </c>
      <c r="M1705" s="2" t="s">
        <v>12</v>
      </c>
      <c r="N1705" s="2" t="s">
        <v>12</v>
      </c>
      <c r="O1705" s="2" t="s">
        <v>12</v>
      </c>
      <c r="P1705" s="21" t="s">
        <v>12</v>
      </c>
      <c r="Q1705" s="3" t="s">
        <v>12</v>
      </c>
      <c r="R1705" s="3" t="s">
        <v>12</v>
      </c>
    </row>
    <row r="1706" spans="1:18" x14ac:dyDescent="0.25">
      <c r="A1706" s="30">
        <v>45925</v>
      </c>
      <c r="B1706" s="28">
        <v>1696</v>
      </c>
      <c r="C1706" s="28"/>
      <c r="D1706" s="2" t="s">
        <v>388</v>
      </c>
      <c r="E1706" s="7" t="s">
        <v>2032</v>
      </c>
      <c r="F1706" s="7"/>
      <c r="G1706" s="2" t="s">
        <v>26</v>
      </c>
      <c r="H1706" s="2" t="s">
        <v>390</v>
      </c>
      <c r="I1706" s="5">
        <v>15058.46</v>
      </c>
      <c r="J1706" s="57"/>
      <c r="K1706" s="3">
        <v>144</v>
      </c>
      <c r="L1706" s="2" t="s">
        <v>226</v>
      </c>
      <c r="M1706" s="2" t="s">
        <v>12</v>
      </c>
      <c r="N1706" s="2" t="s">
        <v>12</v>
      </c>
      <c r="O1706" s="2" t="s">
        <v>12</v>
      </c>
      <c r="P1706" s="21" t="s">
        <v>12</v>
      </c>
      <c r="Q1706" s="3" t="s">
        <v>2065</v>
      </c>
      <c r="R1706" s="3" t="s">
        <v>80</v>
      </c>
    </row>
    <row r="1707" spans="1:18" x14ac:dyDescent="0.25">
      <c r="A1707" s="30">
        <v>45925</v>
      </c>
      <c r="B1707" s="28">
        <v>1697</v>
      </c>
      <c r="C1707" s="28"/>
      <c r="D1707" s="2" t="s">
        <v>202</v>
      </c>
      <c r="E1707" s="7" t="s">
        <v>2035</v>
      </c>
      <c r="F1707" s="7"/>
      <c r="G1707" s="2" t="s">
        <v>97</v>
      </c>
      <c r="H1707" s="2" t="s">
        <v>119</v>
      </c>
      <c r="I1707" s="5">
        <v>14409.45</v>
      </c>
      <c r="J1707" s="57"/>
      <c r="K1707" s="3">
        <v>168</v>
      </c>
      <c r="L1707" s="2" t="s">
        <v>226</v>
      </c>
      <c r="M1707" s="2" t="s">
        <v>12</v>
      </c>
      <c r="N1707" s="2" t="s">
        <v>12</v>
      </c>
      <c r="O1707" s="2" t="s">
        <v>12</v>
      </c>
      <c r="P1707" s="21" t="s">
        <v>12</v>
      </c>
      <c r="Q1707" s="3" t="s">
        <v>12</v>
      </c>
      <c r="R1707" s="3" t="s">
        <v>12</v>
      </c>
    </row>
    <row r="1708" spans="1:18" x14ac:dyDescent="0.25">
      <c r="A1708" s="30">
        <v>45925</v>
      </c>
      <c r="B1708" s="28">
        <v>1698</v>
      </c>
      <c r="C1708" s="28"/>
      <c r="D1708" s="2" t="s">
        <v>206</v>
      </c>
      <c r="E1708" s="7" t="s">
        <v>1150</v>
      </c>
      <c r="F1708" s="7"/>
      <c r="G1708" s="2" t="s">
        <v>97</v>
      </c>
      <c r="H1708" s="2" t="s">
        <v>473</v>
      </c>
      <c r="I1708" s="5">
        <v>3243.4</v>
      </c>
      <c r="J1708" s="57"/>
      <c r="K1708" s="3">
        <v>48</v>
      </c>
      <c r="L1708" s="2" t="s">
        <v>64</v>
      </c>
      <c r="M1708" s="2" t="s">
        <v>12</v>
      </c>
      <c r="N1708" s="2" t="s">
        <v>12</v>
      </c>
      <c r="O1708" s="2" t="s">
        <v>12</v>
      </c>
      <c r="P1708" s="21" t="s">
        <v>12</v>
      </c>
      <c r="Q1708" s="3" t="s">
        <v>12</v>
      </c>
      <c r="R1708" s="3" t="s">
        <v>12</v>
      </c>
    </row>
    <row r="1709" spans="1:18" x14ac:dyDescent="0.25">
      <c r="A1709" s="30">
        <v>45925</v>
      </c>
      <c r="B1709" s="28">
        <v>1699</v>
      </c>
      <c r="C1709" s="28"/>
      <c r="D1709" s="2" t="s">
        <v>243</v>
      </c>
      <c r="E1709" s="7" t="s">
        <v>12</v>
      </c>
      <c r="F1709" s="7"/>
      <c r="G1709" s="2" t="s">
        <v>20</v>
      </c>
      <c r="H1709" s="2" t="s">
        <v>244</v>
      </c>
      <c r="I1709" s="5">
        <v>9495.5499999999993</v>
      </c>
      <c r="J1709" s="57"/>
      <c r="K1709" s="3">
        <v>96</v>
      </c>
      <c r="L1709" s="2" t="s">
        <v>64</v>
      </c>
      <c r="M1709" s="2" t="s">
        <v>12</v>
      </c>
      <c r="N1709" s="2" t="s">
        <v>12</v>
      </c>
      <c r="O1709" s="2" t="s">
        <v>12</v>
      </c>
      <c r="P1709" s="21" t="s">
        <v>12</v>
      </c>
      <c r="Q1709" s="3" t="s">
        <v>12</v>
      </c>
      <c r="R1709" s="3" t="s">
        <v>12</v>
      </c>
    </row>
    <row r="1710" spans="1:18" x14ac:dyDescent="0.25">
      <c r="A1710" s="30">
        <v>45925</v>
      </c>
      <c r="B1710" s="28">
        <v>1700</v>
      </c>
      <c r="C1710" s="28"/>
      <c r="D1710" s="2" t="s">
        <v>2064</v>
      </c>
      <c r="E1710" s="7" t="s">
        <v>2077</v>
      </c>
      <c r="F1710" s="7"/>
      <c r="G1710" s="2" t="s">
        <v>111</v>
      </c>
      <c r="H1710" s="2" t="s">
        <v>2078</v>
      </c>
      <c r="I1710" s="5">
        <v>11651.11</v>
      </c>
      <c r="J1710" s="57"/>
      <c r="K1710" s="3"/>
      <c r="L1710" s="2" t="s">
        <v>226</v>
      </c>
      <c r="M1710" s="2" t="s">
        <v>1531</v>
      </c>
      <c r="N1710" s="2"/>
      <c r="O1710" s="2"/>
      <c r="P1710" s="21"/>
      <c r="Q1710" s="3"/>
      <c r="R1710" s="3"/>
    </row>
    <row r="1711" spans="1:18" x14ac:dyDescent="0.25">
      <c r="A1711" s="30">
        <v>45926</v>
      </c>
      <c r="B1711" s="28">
        <v>1701</v>
      </c>
      <c r="C1711" s="28"/>
      <c r="D1711" s="2" t="s">
        <v>168</v>
      </c>
      <c r="E1711" s="7" t="s">
        <v>2036</v>
      </c>
      <c r="F1711" s="7"/>
      <c r="G1711" s="2" t="s">
        <v>43</v>
      </c>
      <c r="H1711" s="2" t="s">
        <v>375</v>
      </c>
      <c r="I1711" s="5">
        <v>5280.8</v>
      </c>
      <c r="J1711" s="57"/>
      <c r="K1711" s="3" t="s">
        <v>12</v>
      </c>
      <c r="L1711" s="2" t="s">
        <v>64</v>
      </c>
      <c r="M1711" s="2" t="s">
        <v>12</v>
      </c>
      <c r="N1711" s="2" t="s">
        <v>12</v>
      </c>
      <c r="O1711" s="2" t="s">
        <v>12</v>
      </c>
      <c r="P1711" s="21" t="s">
        <v>12</v>
      </c>
      <c r="Q1711" s="3" t="s">
        <v>12</v>
      </c>
      <c r="R1711" s="3" t="s">
        <v>12</v>
      </c>
    </row>
    <row r="1712" spans="1:18" x14ac:dyDescent="0.25">
      <c r="A1712" s="30">
        <v>45926</v>
      </c>
      <c r="B1712" s="28">
        <v>1702</v>
      </c>
      <c r="C1712" s="28"/>
      <c r="D1712" s="2" t="s">
        <v>273</v>
      </c>
      <c r="E1712" s="7" t="s">
        <v>12</v>
      </c>
      <c r="F1712" s="7"/>
      <c r="G1712" s="2" t="s">
        <v>26</v>
      </c>
      <c r="H1712" s="2" t="s">
        <v>116</v>
      </c>
      <c r="I1712" s="5">
        <v>10693.19</v>
      </c>
      <c r="J1712" s="57"/>
      <c r="K1712" s="3">
        <v>144</v>
      </c>
      <c r="L1712" s="2" t="s">
        <v>226</v>
      </c>
      <c r="M1712" s="2" t="s">
        <v>12</v>
      </c>
      <c r="N1712" s="2" t="s">
        <v>12</v>
      </c>
      <c r="O1712" s="2" t="s">
        <v>12</v>
      </c>
      <c r="P1712" s="21" t="s">
        <v>12</v>
      </c>
      <c r="Q1712" s="3" t="s">
        <v>12</v>
      </c>
      <c r="R1712" s="3" t="s">
        <v>12</v>
      </c>
    </row>
    <row r="1713" spans="1:19" x14ac:dyDescent="0.25">
      <c r="A1713" s="30">
        <v>45926</v>
      </c>
      <c r="B1713" s="28">
        <v>1703</v>
      </c>
      <c r="C1713" s="28"/>
      <c r="D1713" s="2" t="s">
        <v>330</v>
      </c>
      <c r="E1713" s="7" t="s">
        <v>12</v>
      </c>
      <c r="F1713" s="7"/>
      <c r="G1713" s="2" t="s">
        <v>13</v>
      </c>
      <c r="H1713" s="2" t="s">
        <v>331</v>
      </c>
      <c r="I1713" s="5">
        <v>11613.83</v>
      </c>
      <c r="J1713" s="57"/>
      <c r="K1713" s="3">
        <v>144</v>
      </c>
      <c r="L1713" s="2" t="s">
        <v>226</v>
      </c>
      <c r="M1713" s="2" t="s">
        <v>12</v>
      </c>
      <c r="N1713" s="2" t="s">
        <v>12</v>
      </c>
      <c r="O1713" s="2" t="s">
        <v>12</v>
      </c>
      <c r="P1713" s="21" t="s">
        <v>12</v>
      </c>
      <c r="Q1713" s="3" t="s">
        <v>12</v>
      </c>
      <c r="R1713" s="3" t="s">
        <v>12</v>
      </c>
    </row>
    <row r="1714" spans="1:19" x14ac:dyDescent="0.25">
      <c r="A1714" s="30">
        <v>45926</v>
      </c>
      <c r="B1714" s="28">
        <v>1704</v>
      </c>
      <c r="C1714" s="28"/>
      <c r="D1714" s="2" t="s">
        <v>524</v>
      </c>
      <c r="E1714" s="7" t="s">
        <v>2037</v>
      </c>
      <c r="F1714" s="7"/>
      <c r="G1714" s="2" t="s">
        <v>13</v>
      </c>
      <c r="H1714" s="2" t="s">
        <v>1251</v>
      </c>
      <c r="I1714" s="5">
        <v>14514.43</v>
      </c>
      <c r="J1714" s="57"/>
      <c r="K1714" s="3">
        <v>192</v>
      </c>
      <c r="L1714" s="2" t="s">
        <v>226</v>
      </c>
      <c r="M1714" s="2" t="s">
        <v>12</v>
      </c>
      <c r="N1714" s="2" t="s">
        <v>12</v>
      </c>
      <c r="O1714" s="2" t="s">
        <v>12</v>
      </c>
      <c r="P1714" s="21" t="s">
        <v>12</v>
      </c>
      <c r="Q1714" s="3" t="s">
        <v>2066</v>
      </c>
      <c r="R1714" s="3" t="s">
        <v>75</v>
      </c>
    </row>
    <row r="1715" spans="1:19" x14ac:dyDescent="0.25">
      <c r="A1715" s="30">
        <v>45926</v>
      </c>
      <c r="B1715" s="28">
        <v>1705</v>
      </c>
      <c r="C1715" s="28"/>
      <c r="D1715" s="2" t="s">
        <v>1984</v>
      </c>
      <c r="E1715" s="7" t="s">
        <v>2038</v>
      </c>
      <c r="F1715" s="7"/>
      <c r="G1715" s="2" t="s">
        <v>13</v>
      </c>
      <c r="H1715" s="2" t="s">
        <v>407</v>
      </c>
      <c r="I1715" s="5">
        <v>33611.21</v>
      </c>
      <c r="J1715" s="57"/>
      <c r="K1715" s="3">
        <v>384</v>
      </c>
      <c r="L1715" s="2" t="s">
        <v>226</v>
      </c>
      <c r="M1715" s="2" t="s">
        <v>12</v>
      </c>
      <c r="N1715" s="2" t="s">
        <v>12</v>
      </c>
      <c r="O1715" s="2" t="s">
        <v>12</v>
      </c>
      <c r="P1715" s="21" t="s">
        <v>12</v>
      </c>
      <c r="Q1715" s="3" t="s">
        <v>23</v>
      </c>
      <c r="R1715" s="3" t="s">
        <v>75</v>
      </c>
    </row>
    <row r="1716" spans="1:19" x14ac:dyDescent="0.25">
      <c r="A1716" s="30">
        <v>45926</v>
      </c>
      <c r="B1716" s="28">
        <v>1706</v>
      </c>
      <c r="C1716" s="28"/>
      <c r="D1716" s="2" t="s">
        <v>516</v>
      </c>
      <c r="E1716" s="7" t="s">
        <v>2039</v>
      </c>
      <c r="F1716" s="7"/>
      <c r="G1716" s="2" t="s">
        <v>111</v>
      </c>
      <c r="H1716" s="2" t="s">
        <v>1171</v>
      </c>
      <c r="I1716" s="5">
        <v>48415.38</v>
      </c>
      <c r="J1716" s="57"/>
      <c r="K1716" s="3">
        <v>528</v>
      </c>
      <c r="L1716" s="2" t="s">
        <v>226</v>
      </c>
      <c r="M1716" s="2" t="s">
        <v>1531</v>
      </c>
      <c r="N1716" s="2" t="s">
        <v>12</v>
      </c>
      <c r="O1716" s="2" t="s">
        <v>12</v>
      </c>
      <c r="P1716" s="21" t="s">
        <v>12</v>
      </c>
      <c r="Q1716" s="3" t="s">
        <v>12</v>
      </c>
      <c r="R1716" s="3" t="s">
        <v>12</v>
      </c>
    </row>
    <row r="1717" spans="1:19" x14ac:dyDescent="0.25">
      <c r="A1717" s="30">
        <v>45929</v>
      </c>
      <c r="B1717" s="28">
        <v>1707</v>
      </c>
      <c r="C1717" s="28"/>
      <c r="D1717" s="2" t="s">
        <v>23</v>
      </c>
      <c r="E1717" s="7" t="s">
        <v>2040</v>
      </c>
      <c r="F1717" s="7"/>
      <c r="G1717" s="2" t="s">
        <v>20</v>
      </c>
      <c r="H1717" s="2" t="s">
        <v>32</v>
      </c>
      <c r="I1717" s="5">
        <v>3815.09</v>
      </c>
      <c r="J1717" s="57"/>
      <c r="K1717" s="3">
        <v>72</v>
      </c>
      <c r="L1717" s="2" t="s">
        <v>64</v>
      </c>
      <c r="M1717" s="2" t="s">
        <v>12</v>
      </c>
      <c r="N1717" s="2" t="s">
        <v>12</v>
      </c>
      <c r="O1717" s="2" t="s">
        <v>12</v>
      </c>
      <c r="P1717" s="21" t="s">
        <v>12</v>
      </c>
      <c r="Q1717" s="3" t="s">
        <v>12</v>
      </c>
      <c r="R1717" s="3" t="s">
        <v>12</v>
      </c>
    </row>
    <row r="1718" spans="1:19" x14ac:dyDescent="0.25">
      <c r="A1718" s="30">
        <v>45926</v>
      </c>
      <c r="B1718" s="28">
        <v>1708</v>
      </c>
      <c r="C1718" s="28" t="s">
        <v>2229</v>
      </c>
      <c r="D1718" s="2" t="s">
        <v>2041</v>
      </c>
      <c r="E1718" s="7" t="s">
        <v>2042</v>
      </c>
      <c r="F1718" s="7"/>
      <c r="G1718" s="2" t="s">
        <v>13</v>
      </c>
      <c r="H1718" s="2" t="s">
        <v>2043</v>
      </c>
      <c r="I1718" s="5">
        <v>12232.93</v>
      </c>
      <c r="J1718" s="57">
        <v>0.06</v>
      </c>
      <c r="K1718" s="3">
        <v>144</v>
      </c>
      <c r="L1718" s="2" t="s">
        <v>21</v>
      </c>
      <c r="M1718" s="2" t="s">
        <v>12</v>
      </c>
      <c r="N1718" s="2" t="s">
        <v>12</v>
      </c>
      <c r="O1718" s="2" t="s">
        <v>12</v>
      </c>
      <c r="P1718" s="21" t="s">
        <v>12</v>
      </c>
      <c r="Q1718" s="3" t="s">
        <v>12</v>
      </c>
      <c r="R1718" s="3" t="s">
        <v>12</v>
      </c>
    </row>
    <row r="1719" spans="1:19" x14ac:dyDescent="0.25">
      <c r="A1719" s="30">
        <v>45926</v>
      </c>
      <c r="B1719" s="28">
        <v>1709</v>
      </c>
      <c r="C1719" s="28"/>
      <c r="D1719" s="2" t="s">
        <v>1988</v>
      </c>
      <c r="E1719" s="7" t="s">
        <v>12</v>
      </c>
      <c r="F1719" s="7"/>
      <c r="G1719" s="2" t="s">
        <v>13</v>
      </c>
      <c r="H1719" s="2" t="s">
        <v>1990</v>
      </c>
      <c r="I1719" s="5">
        <v>6412.55</v>
      </c>
      <c r="J1719" s="57"/>
      <c r="K1719" s="3">
        <v>48</v>
      </c>
      <c r="L1719" s="2" t="s">
        <v>226</v>
      </c>
      <c r="M1719" s="2" t="s">
        <v>12</v>
      </c>
      <c r="N1719" s="2" t="s">
        <v>12</v>
      </c>
      <c r="O1719" s="2" t="s">
        <v>12</v>
      </c>
      <c r="P1719" s="21" t="s">
        <v>12</v>
      </c>
      <c r="Q1719" s="3" t="s">
        <v>12</v>
      </c>
      <c r="R1719" s="3" t="s">
        <v>12</v>
      </c>
      <c r="S1719" t="s">
        <v>12</v>
      </c>
    </row>
    <row r="1720" spans="1:19" x14ac:dyDescent="0.25">
      <c r="A1720" s="30">
        <v>45930</v>
      </c>
      <c r="B1720" s="28">
        <v>1710</v>
      </c>
      <c r="C1720" s="28"/>
      <c r="D1720" s="2" t="s">
        <v>23</v>
      </c>
      <c r="E1720" s="7" t="s">
        <v>2044</v>
      </c>
      <c r="F1720" s="7"/>
      <c r="G1720" s="2" t="s">
        <v>20</v>
      </c>
      <c r="H1720" s="2" t="s">
        <v>32</v>
      </c>
      <c r="I1720" s="5">
        <v>33234.230000000003</v>
      </c>
      <c r="J1720" s="57"/>
      <c r="K1720" s="3">
        <v>480</v>
      </c>
      <c r="L1720" s="2" t="s">
        <v>64</v>
      </c>
      <c r="M1720" s="2" t="s">
        <v>12</v>
      </c>
      <c r="N1720" s="2" t="s">
        <v>12</v>
      </c>
      <c r="O1720" s="2" t="s">
        <v>12</v>
      </c>
      <c r="P1720" s="21" t="s">
        <v>12</v>
      </c>
      <c r="Q1720" s="3" t="s">
        <v>12</v>
      </c>
      <c r="R1720" s="3" t="s">
        <v>12</v>
      </c>
    </row>
    <row r="1721" spans="1:19" x14ac:dyDescent="0.25">
      <c r="A1721" s="30">
        <v>45929</v>
      </c>
      <c r="B1721" s="28">
        <v>1711</v>
      </c>
      <c r="C1721" s="28"/>
      <c r="D1721" s="2" t="s">
        <v>103</v>
      </c>
      <c r="E1721" s="7" t="s">
        <v>12</v>
      </c>
      <c r="F1721" s="7"/>
      <c r="G1721" s="2" t="s">
        <v>13</v>
      </c>
      <c r="H1721" s="2" t="s">
        <v>491</v>
      </c>
      <c r="I1721" s="5">
        <v>3220.08</v>
      </c>
      <c r="J1721" s="57"/>
      <c r="K1721" s="3">
        <v>48</v>
      </c>
      <c r="L1721" s="2" t="s">
        <v>226</v>
      </c>
      <c r="M1721" s="2" t="s">
        <v>12</v>
      </c>
      <c r="N1721" s="2" t="s">
        <v>12</v>
      </c>
      <c r="O1721" s="2" t="s">
        <v>12</v>
      </c>
      <c r="P1721" s="21" t="s">
        <v>12</v>
      </c>
      <c r="Q1721" s="3" t="s">
        <v>12</v>
      </c>
      <c r="R1721" s="3" t="s">
        <v>12</v>
      </c>
    </row>
    <row r="1722" spans="1:19" x14ac:dyDescent="0.25">
      <c r="A1722" s="30">
        <v>45929</v>
      </c>
      <c r="B1722" s="28">
        <v>1712</v>
      </c>
      <c r="C1722" s="28"/>
      <c r="D1722" s="2" t="s">
        <v>103</v>
      </c>
      <c r="E1722" s="7" t="s">
        <v>12</v>
      </c>
      <c r="F1722" s="7"/>
      <c r="G1722" s="2" t="s">
        <v>13</v>
      </c>
      <c r="H1722" s="2" t="s">
        <v>491</v>
      </c>
      <c r="I1722" s="5">
        <v>528.91</v>
      </c>
      <c r="J1722" s="57"/>
      <c r="K1722" s="3" t="s">
        <v>12</v>
      </c>
      <c r="L1722" s="2" t="s">
        <v>226</v>
      </c>
      <c r="M1722" s="2" t="s">
        <v>12</v>
      </c>
      <c r="N1722" s="2" t="s">
        <v>12</v>
      </c>
      <c r="O1722" s="2" t="s">
        <v>12</v>
      </c>
      <c r="P1722" s="21" t="s">
        <v>12</v>
      </c>
      <c r="Q1722" s="3" t="s">
        <v>12</v>
      </c>
      <c r="R1722" s="3" t="s">
        <v>12</v>
      </c>
    </row>
    <row r="1723" spans="1:19" x14ac:dyDescent="0.25">
      <c r="A1723" s="30">
        <v>45929</v>
      </c>
      <c r="B1723" s="28">
        <v>1713</v>
      </c>
      <c r="C1723" s="28"/>
      <c r="D1723" s="2" t="s">
        <v>41</v>
      </c>
      <c r="E1723" s="7" t="s">
        <v>12</v>
      </c>
      <c r="F1723" s="7"/>
      <c r="G1723" s="2" t="s">
        <v>43</v>
      </c>
      <c r="H1723" s="2" t="s">
        <v>417</v>
      </c>
      <c r="I1723" s="5">
        <v>909.92</v>
      </c>
      <c r="J1723" s="57"/>
      <c r="K1723" s="3" t="s">
        <v>12</v>
      </c>
      <c r="L1723" s="2" t="s">
        <v>226</v>
      </c>
      <c r="M1723" s="2" t="s">
        <v>12</v>
      </c>
      <c r="N1723" s="2" t="s">
        <v>12</v>
      </c>
      <c r="O1723" s="2" t="s">
        <v>12</v>
      </c>
      <c r="P1723" s="21" t="s">
        <v>12</v>
      </c>
      <c r="Q1723" s="3" t="s">
        <v>12</v>
      </c>
      <c r="R1723" s="3" t="s">
        <v>12</v>
      </c>
    </row>
    <row r="1724" spans="1:19" x14ac:dyDescent="0.25">
      <c r="A1724" s="30">
        <v>45929</v>
      </c>
      <c r="B1724" s="28">
        <v>1714</v>
      </c>
      <c r="C1724" s="28"/>
      <c r="D1724" s="2" t="s">
        <v>266</v>
      </c>
      <c r="E1724" s="7" t="s">
        <v>2045</v>
      </c>
      <c r="F1724" s="7"/>
      <c r="G1724" s="2" t="s">
        <v>26</v>
      </c>
      <c r="H1724" s="2" t="s">
        <v>395</v>
      </c>
      <c r="I1724" s="5">
        <v>135346.76999999999</v>
      </c>
      <c r="J1724" s="57"/>
      <c r="K1724" s="3">
        <v>1536</v>
      </c>
      <c r="L1724" s="2" t="s">
        <v>226</v>
      </c>
      <c r="M1724" s="2" t="s">
        <v>12</v>
      </c>
      <c r="N1724" s="2" t="s">
        <v>12</v>
      </c>
      <c r="O1724" s="2" t="s">
        <v>12</v>
      </c>
      <c r="P1724" s="21" t="s">
        <v>12</v>
      </c>
      <c r="Q1724" s="3" t="s">
        <v>2025</v>
      </c>
      <c r="R1724" s="3" t="s">
        <v>222</v>
      </c>
    </row>
    <row r="1725" spans="1:19" x14ac:dyDescent="0.25">
      <c r="A1725" s="30">
        <v>45929</v>
      </c>
      <c r="B1725" s="28">
        <v>1715</v>
      </c>
      <c r="C1725" s="28"/>
      <c r="D1725" s="2" t="s">
        <v>87</v>
      </c>
      <c r="E1725" s="7" t="s">
        <v>2046</v>
      </c>
      <c r="F1725" s="7"/>
      <c r="G1725" s="2" t="s">
        <v>13</v>
      </c>
      <c r="H1725" s="2" t="s">
        <v>185</v>
      </c>
      <c r="I1725" s="5">
        <v>77729.09</v>
      </c>
      <c r="J1725" s="57"/>
      <c r="K1725" s="3">
        <v>770.4</v>
      </c>
      <c r="L1725" s="2" t="s">
        <v>226</v>
      </c>
      <c r="M1725" s="2" t="s">
        <v>12</v>
      </c>
      <c r="N1725" s="2" t="s">
        <v>12</v>
      </c>
      <c r="O1725" s="2" t="s">
        <v>12</v>
      </c>
      <c r="P1725" s="21" t="s">
        <v>12</v>
      </c>
      <c r="Q1725" s="3" t="s">
        <v>2067</v>
      </c>
      <c r="R1725" s="3" t="s">
        <v>80</v>
      </c>
    </row>
    <row r="1726" spans="1:19" x14ac:dyDescent="0.25">
      <c r="A1726" s="30">
        <v>45938</v>
      </c>
      <c r="B1726" s="28">
        <v>1716</v>
      </c>
      <c r="C1726" s="28"/>
      <c r="D1726" s="2" t="s">
        <v>202</v>
      </c>
      <c r="E1726" s="7" t="s">
        <v>12</v>
      </c>
      <c r="F1726" s="7"/>
      <c r="G1726" s="2" t="s">
        <v>97</v>
      </c>
      <c r="H1726" s="2" t="s">
        <v>1143</v>
      </c>
      <c r="I1726" s="5">
        <v>21223.45</v>
      </c>
      <c r="J1726" s="57"/>
      <c r="K1726" s="3">
        <v>288</v>
      </c>
      <c r="L1726" s="2" t="s">
        <v>134</v>
      </c>
      <c r="M1726" s="2" t="s">
        <v>1160</v>
      </c>
      <c r="N1726" s="2" t="s">
        <v>135</v>
      </c>
      <c r="O1726" s="2" t="s">
        <v>374</v>
      </c>
      <c r="P1726" s="21">
        <v>18500</v>
      </c>
      <c r="Q1726" s="3" t="s">
        <v>12</v>
      </c>
      <c r="R1726" s="3" t="s">
        <v>12</v>
      </c>
    </row>
    <row r="1727" spans="1:19" x14ac:dyDescent="0.25">
      <c r="A1727" s="30">
        <v>45929</v>
      </c>
      <c r="B1727" s="28">
        <v>1717</v>
      </c>
      <c r="C1727" s="28"/>
      <c r="D1727" s="2" t="s">
        <v>206</v>
      </c>
      <c r="E1727" s="7" t="s">
        <v>1858</v>
      </c>
      <c r="F1727" s="7"/>
      <c r="G1727" s="2" t="s">
        <v>97</v>
      </c>
      <c r="H1727" s="2" t="s">
        <v>473</v>
      </c>
      <c r="I1727" s="5">
        <v>1564.92</v>
      </c>
      <c r="J1727" s="57"/>
      <c r="K1727" s="3">
        <v>24</v>
      </c>
      <c r="L1727" s="2" t="s">
        <v>64</v>
      </c>
      <c r="M1727" s="2" t="s">
        <v>12</v>
      </c>
      <c r="N1727" s="2" t="s">
        <v>12</v>
      </c>
      <c r="O1727" s="2" t="s">
        <v>12</v>
      </c>
      <c r="P1727" s="21" t="s">
        <v>12</v>
      </c>
      <c r="Q1727" s="3" t="s">
        <v>12</v>
      </c>
      <c r="R1727" s="3" t="s">
        <v>12</v>
      </c>
    </row>
    <row r="1728" spans="1:19" x14ac:dyDescent="0.25">
      <c r="A1728" s="30">
        <v>45929</v>
      </c>
      <c r="B1728" s="28">
        <v>1718</v>
      </c>
      <c r="C1728" s="28"/>
      <c r="D1728" s="2" t="s">
        <v>298</v>
      </c>
      <c r="E1728" s="7" t="s">
        <v>12</v>
      </c>
      <c r="F1728" s="7"/>
      <c r="G1728" s="2" t="s">
        <v>13</v>
      </c>
      <c r="H1728" s="2" t="s">
        <v>13</v>
      </c>
      <c r="I1728" s="5">
        <v>11965.29</v>
      </c>
      <c r="J1728" s="57"/>
      <c r="K1728" s="3">
        <v>120</v>
      </c>
      <c r="L1728" s="2" t="s">
        <v>64</v>
      </c>
      <c r="M1728" s="2" t="s">
        <v>12</v>
      </c>
      <c r="N1728" s="2" t="s">
        <v>12</v>
      </c>
      <c r="O1728" s="2" t="s">
        <v>12</v>
      </c>
      <c r="P1728" s="21" t="s">
        <v>12</v>
      </c>
      <c r="Q1728" s="3" t="s">
        <v>12</v>
      </c>
      <c r="R1728" s="3" t="s">
        <v>12</v>
      </c>
    </row>
    <row r="1729" spans="1:18" x14ac:dyDescent="0.25">
      <c r="A1729" s="30">
        <v>45929</v>
      </c>
      <c r="B1729" s="28">
        <v>1719</v>
      </c>
      <c r="C1729" s="28"/>
      <c r="D1729" s="2" t="s">
        <v>2047</v>
      </c>
      <c r="E1729" s="7" t="s">
        <v>12</v>
      </c>
      <c r="F1729" s="7"/>
      <c r="G1729" s="2" t="s">
        <v>111</v>
      </c>
      <c r="H1729" s="2" t="s">
        <v>2048</v>
      </c>
      <c r="I1729" s="5">
        <v>4607.5</v>
      </c>
      <c r="J1729" s="57"/>
      <c r="K1729" s="3" t="s">
        <v>12</v>
      </c>
      <c r="L1729" s="2" t="s">
        <v>64</v>
      </c>
      <c r="M1729" s="2" t="s">
        <v>12</v>
      </c>
      <c r="N1729" s="2" t="s">
        <v>12</v>
      </c>
      <c r="O1729" s="2" t="s">
        <v>12</v>
      </c>
      <c r="P1729" s="21" t="s">
        <v>12</v>
      </c>
      <c r="Q1729" s="3" t="s">
        <v>12</v>
      </c>
      <c r="R1729" s="3" t="s">
        <v>12</v>
      </c>
    </row>
    <row r="1730" spans="1:18" x14ac:dyDescent="0.25">
      <c r="A1730" s="30">
        <v>45930</v>
      </c>
      <c r="B1730" s="28">
        <v>1720</v>
      </c>
      <c r="C1730" s="28"/>
      <c r="D1730" s="2" t="s">
        <v>1713</v>
      </c>
      <c r="E1730" s="7" t="s">
        <v>2049</v>
      </c>
      <c r="F1730" s="7"/>
      <c r="G1730" s="2" t="s">
        <v>20</v>
      </c>
      <c r="H1730" s="2" t="s">
        <v>43</v>
      </c>
      <c r="I1730" s="5">
        <v>160000</v>
      </c>
      <c r="J1730" s="57">
        <v>0.06</v>
      </c>
      <c r="K1730" s="3">
        <v>192</v>
      </c>
      <c r="L1730" s="2" t="s">
        <v>64</v>
      </c>
      <c r="M1730" s="2" t="s">
        <v>2072</v>
      </c>
      <c r="N1730" s="2" t="s">
        <v>12</v>
      </c>
      <c r="O1730" s="2" t="s">
        <v>12</v>
      </c>
      <c r="P1730" s="21" t="s">
        <v>12</v>
      </c>
      <c r="Q1730" s="3" t="s">
        <v>12</v>
      </c>
      <c r="R1730" s="3" t="s">
        <v>12</v>
      </c>
    </row>
    <row r="1731" spans="1:18" x14ac:dyDescent="0.25">
      <c r="A1731" s="30">
        <v>45930</v>
      </c>
      <c r="B1731" s="28">
        <v>1721</v>
      </c>
      <c r="C1731" s="28"/>
      <c r="D1731" s="2" t="s">
        <v>137</v>
      </c>
      <c r="E1731" s="7" t="s">
        <v>12</v>
      </c>
      <c r="F1731" s="7"/>
      <c r="G1731" s="2" t="s">
        <v>26</v>
      </c>
      <c r="H1731" s="2" t="s">
        <v>98</v>
      </c>
      <c r="I1731" s="5">
        <v>281.8</v>
      </c>
      <c r="J1731" s="57"/>
      <c r="K1731" s="3" t="s">
        <v>12</v>
      </c>
      <c r="L1731" s="2" t="s">
        <v>226</v>
      </c>
      <c r="M1731" s="2" t="s">
        <v>12</v>
      </c>
      <c r="N1731" s="2" t="s">
        <v>12</v>
      </c>
      <c r="O1731" s="2" t="s">
        <v>12</v>
      </c>
      <c r="P1731" s="21" t="s">
        <v>12</v>
      </c>
      <c r="Q1731" s="3" t="s">
        <v>12</v>
      </c>
      <c r="R1731" s="3" t="s">
        <v>12</v>
      </c>
    </row>
    <row r="1732" spans="1:18" x14ac:dyDescent="0.25">
      <c r="A1732" s="30">
        <v>45930</v>
      </c>
      <c r="B1732" s="28">
        <v>1722</v>
      </c>
      <c r="C1732" s="28"/>
      <c r="D1732" s="2" t="s">
        <v>1996</v>
      </c>
      <c r="E1732" s="7" t="s">
        <v>2050</v>
      </c>
      <c r="F1732" s="7"/>
      <c r="G1732" s="2" t="s">
        <v>20</v>
      </c>
      <c r="H1732" s="2" t="s">
        <v>302</v>
      </c>
      <c r="I1732" s="5">
        <v>23862.39</v>
      </c>
      <c r="J1732" s="57"/>
      <c r="K1732" s="3">
        <v>288</v>
      </c>
      <c r="L1732" s="2" t="s">
        <v>226</v>
      </c>
      <c r="M1732" s="2" t="s">
        <v>2747</v>
      </c>
      <c r="N1732" s="2" t="s">
        <v>12</v>
      </c>
      <c r="O1732" s="2" t="s">
        <v>12</v>
      </c>
      <c r="P1732" s="21" t="s">
        <v>12</v>
      </c>
      <c r="Q1732" s="3" t="s">
        <v>12</v>
      </c>
      <c r="R1732" s="3" t="s">
        <v>12</v>
      </c>
    </row>
    <row r="1733" spans="1:18" x14ac:dyDescent="0.25">
      <c r="A1733" s="30">
        <v>45930</v>
      </c>
      <c r="B1733" s="28">
        <v>1723</v>
      </c>
      <c r="C1733" s="28"/>
      <c r="D1733" s="2" t="s">
        <v>558</v>
      </c>
      <c r="E1733" s="7" t="s">
        <v>2051</v>
      </c>
      <c r="F1733" s="7"/>
      <c r="G1733" s="2" t="s">
        <v>20</v>
      </c>
      <c r="H1733" s="2" t="s">
        <v>532</v>
      </c>
      <c r="I1733" s="5">
        <v>22598.799999999999</v>
      </c>
      <c r="J1733" s="57"/>
      <c r="K1733" s="3">
        <v>264</v>
      </c>
      <c r="L1733" s="2" t="s">
        <v>64</v>
      </c>
      <c r="M1733" s="2" t="s">
        <v>12</v>
      </c>
      <c r="N1733" s="2" t="s">
        <v>12</v>
      </c>
      <c r="O1733" s="2" t="s">
        <v>12</v>
      </c>
      <c r="P1733" s="21" t="s">
        <v>12</v>
      </c>
      <c r="Q1733" s="3" t="s">
        <v>558</v>
      </c>
      <c r="R1733" s="3" t="s">
        <v>1065</v>
      </c>
    </row>
    <row r="1734" spans="1:18" x14ac:dyDescent="0.25">
      <c r="A1734" s="30">
        <v>45930</v>
      </c>
      <c r="B1734" s="28">
        <v>1724</v>
      </c>
      <c r="C1734" s="28"/>
      <c r="D1734" s="2" t="s">
        <v>130</v>
      </c>
      <c r="E1734" s="7" t="s">
        <v>2052</v>
      </c>
      <c r="F1734" s="7"/>
      <c r="G1734" s="2" t="s">
        <v>26</v>
      </c>
      <c r="H1734" s="2" t="s">
        <v>2053</v>
      </c>
      <c r="I1734" s="5">
        <v>174365.12</v>
      </c>
      <c r="J1734" s="57"/>
      <c r="K1734" s="3">
        <v>1848</v>
      </c>
      <c r="L1734" s="2" t="s">
        <v>226</v>
      </c>
      <c r="M1734" s="2" t="s">
        <v>12</v>
      </c>
      <c r="N1734" s="2" t="s">
        <v>12</v>
      </c>
      <c r="O1734" s="2" t="s">
        <v>12</v>
      </c>
      <c r="P1734" s="21" t="s">
        <v>12</v>
      </c>
      <c r="Q1734" s="3" t="s">
        <v>2068</v>
      </c>
      <c r="R1734" s="3" t="s">
        <v>80</v>
      </c>
    </row>
    <row r="1735" spans="1:18" x14ac:dyDescent="0.25">
      <c r="A1735" s="30">
        <v>45930</v>
      </c>
      <c r="B1735" s="28">
        <v>1725</v>
      </c>
      <c r="C1735" s="28"/>
      <c r="D1735" s="2" t="s">
        <v>1206</v>
      </c>
      <c r="E1735" s="7" t="s">
        <v>2054</v>
      </c>
      <c r="F1735" s="7"/>
      <c r="G1735" s="2" t="s">
        <v>26</v>
      </c>
      <c r="H1735" s="2" t="s">
        <v>1474</v>
      </c>
      <c r="I1735" s="5">
        <v>49770.97</v>
      </c>
      <c r="J1735" s="57">
        <v>0.03</v>
      </c>
      <c r="K1735" s="3">
        <v>624</v>
      </c>
      <c r="L1735" s="2" t="s">
        <v>64</v>
      </c>
      <c r="M1735" s="2" t="s">
        <v>2166</v>
      </c>
      <c r="N1735" s="2" t="s">
        <v>12</v>
      </c>
      <c r="O1735" s="2" t="s">
        <v>12</v>
      </c>
      <c r="P1735" s="21" t="s">
        <v>12</v>
      </c>
      <c r="Q1735" s="3" t="s">
        <v>2069</v>
      </c>
      <c r="R1735" s="3" t="s">
        <v>75</v>
      </c>
    </row>
    <row r="1736" spans="1:18" x14ac:dyDescent="0.25">
      <c r="A1736" s="30">
        <v>45930</v>
      </c>
      <c r="B1736" s="28">
        <v>1726</v>
      </c>
      <c r="C1736" s="28"/>
      <c r="D1736" s="2" t="s">
        <v>212</v>
      </c>
      <c r="E1736" s="7" t="s">
        <v>2055</v>
      </c>
      <c r="F1736" s="7"/>
      <c r="G1736" s="2" t="s">
        <v>20</v>
      </c>
      <c r="H1736" s="2" t="s">
        <v>2007</v>
      </c>
      <c r="I1736" s="5">
        <v>11078.13</v>
      </c>
      <c r="J1736" s="57"/>
      <c r="K1736" s="3">
        <v>144</v>
      </c>
      <c r="L1736" s="2" t="s">
        <v>64</v>
      </c>
      <c r="M1736" s="2" t="s">
        <v>12</v>
      </c>
      <c r="N1736" s="2" t="s">
        <v>12</v>
      </c>
      <c r="O1736" s="2" t="s">
        <v>12</v>
      </c>
      <c r="P1736" s="21" t="s">
        <v>12</v>
      </c>
      <c r="Q1736" s="3" t="s">
        <v>75</v>
      </c>
      <c r="R1736" s="3" t="s">
        <v>80</v>
      </c>
    </row>
    <row r="1737" spans="1:18" x14ac:dyDescent="0.25">
      <c r="A1737" s="30">
        <v>45930</v>
      </c>
      <c r="B1737" s="28">
        <v>1727</v>
      </c>
      <c r="C1737" s="28"/>
      <c r="D1737" s="2" t="s">
        <v>2056</v>
      </c>
      <c r="E1737" s="7" t="s">
        <v>2057</v>
      </c>
      <c r="F1737" s="7"/>
      <c r="G1737" s="2" t="s">
        <v>97</v>
      </c>
      <c r="H1737" s="2" t="s">
        <v>2058</v>
      </c>
      <c r="I1737" s="5">
        <v>2273.06</v>
      </c>
      <c r="J1737" s="57"/>
      <c r="K1737" s="3">
        <v>24</v>
      </c>
      <c r="L1737" s="2" t="s">
        <v>226</v>
      </c>
      <c r="M1737" s="2" t="s">
        <v>12</v>
      </c>
      <c r="N1737" s="2" t="s">
        <v>12</v>
      </c>
      <c r="O1737" s="2" t="s">
        <v>12</v>
      </c>
      <c r="P1737" s="21" t="s">
        <v>12</v>
      </c>
      <c r="Q1737" s="3" t="s">
        <v>12</v>
      </c>
      <c r="R1737" s="3" t="s">
        <v>12</v>
      </c>
    </row>
    <row r="1738" spans="1:18" x14ac:dyDescent="0.25">
      <c r="A1738" s="30">
        <v>45931</v>
      </c>
      <c r="B1738" s="28">
        <v>1728</v>
      </c>
      <c r="C1738" s="28"/>
      <c r="D1738" s="2" t="s">
        <v>433</v>
      </c>
      <c r="E1738" s="7" t="s">
        <v>12</v>
      </c>
      <c r="F1738" s="7"/>
      <c r="G1738" s="2" t="s">
        <v>97</v>
      </c>
      <c r="H1738" s="2" t="s">
        <v>2079</v>
      </c>
      <c r="I1738" s="5">
        <v>61695.23</v>
      </c>
      <c r="J1738" s="57"/>
      <c r="K1738" s="3">
        <v>600</v>
      </c>
      <c r="L1738" s="2" t="s">
        <v>64</v>
      </c>
      <c r="M1738" s="2" t="s">
        <v>12</v>
      </c>
      <c r="N1738" s="2" t="s">
        <v>12</v>
      </c>
      <c r="O1738" s="2" t="s">
        <v>12</v>
      </c>
      <c r="P1738" s="21" t="s">
        <v>12</v>
      </c>
      <c r="Q1738" s="3" t="s">
        <v>12</v>
      </c>
      <c r="R1738" s="3" t="s">
        <v>12</v>
      </c>
    </row>
    <row r="1739" spans="1:18" x14ac:dyDescent="0.25">
      <c r="A1739" s="30">
        <v>45931</v>
      </c>
      <c r="B1739" s="28">
        <v>1729</v>
      </c>
      <c r="C1739" s="28"/>
      <c r="D1739" s="2" t="s">
        <v>87</v>
      </c>
      <c r="E1739" s="7" t="s">
        <v>2059</v>
      </c>
      <c r="F1739" s="7"/>
      <c r="G1739" s="2" t="s">
        <v>13</v>
      </c>
      <c r="H1739" s="2" t="s">
        <v>238</v>
      </c>
      <c r="I1739" s="5">
        <v>118829.05</v>
      </c>
      <c r="J1739" s="57"/>
      <c r="K1739" s="3">
        <v>1248</v>
      </c>
      <c r="L1739" s="2" t="s">
        <v>226</v>
      </c>
      <c r="M1739" s="2" t="s">
        <v>12</v>
      </c>
      <c r="N1739" s="2" t="s">
        <v>12</v>
      </c>
      <c r="O1739" s="2" t="s">
        <v>12</v>
      </c>
      <c r="P1739" s="21" t="s">
        <v>12</v>
      </c>
      <c r="Q1739" s="3" t="s">
        <v>659</v>
      </c>
      <c r="R1739" s="3" t="s">
        <v>75</v>
      </c>
    </row>
    <row r="1740" spans="1:18" x14ac:dyDescent="0.25">
      <c r="A1740" s="30">
        <v>45931</v>
      </c>
      <c r="B1740" s="28">
        <v>1730</v>
      </c>
      <c r="C1740" s="28"/>
      <c r="D1740" s="2" t="s">
        <v>87</v>
      </c>
      <c r="E1740" s="7" t="s">
        <v>2060</v>
      </c>
      <c r="F1740" s="7"/>
      <c r="G1740" s="2" t="s">
        <v>13</v>
      </c>
      <c r="H1740" s="2" t="s">
        <v>238</v>
      </c>
      <c r="I1740" s="5">
        <v>53487.92</v>
      </c>
      <c r="J1740" s="57"/>
      <c r="K1740" s="3">
        <v>576</v>
      </c>
      <c r="L1740" s="2" t="s">
        <v>226</v>
      </c>
      <c r="M1740" s="2" t="s">
        <v>12</v>
      </c>
      <c r="N1740" s="2" t="s">
        <v>12</v>
      </c>
      <c r="O1740" s="2" t="s">
        <v>12</v>
      </c>
      <c r="P1740" s="21" t="s">
        <v>12</v>
      </c>
      <c r="Q1740" s="3" t="s">
        <v>659</v>
      </c>
      <c r="R1740" s="3" t="s">
        <v>75</v>
      </c>
    </row>
    <row r="1741" spans="1:18" x14ac:dyDescent="0.25">
      <c r="A1741" s="30">
        <v>45931</v>
      </c>
      <c r="B1741" s="28">
        <v>1731</v>
      </c>
      <c r="C1741" s="28"/>
      <c r="D1741" s="2" t="s">
        <v>87</v>
      </c>
      <c r="E1741" s="7" t="s">
        <v>2061</v>
      </c>
      <c r="F1741" s="7"/>
      <c r="G1741" s="2" t="s">
        <v>13</v>
      </c>
      <c r="H1741" s="2" t="s">
        <v>238</v>
      </c>
      <c r="I1741" s="5">
        <v>9564.5</v>
      </c>
      <c r="J1741" s="57"/>
      <c r="K1741" s="3">
        <v>96</v>
      </c>
      <c r="L1741" s="2" t="s">
        <v>226</v>
      </c>
      <c r="M1741" s="2" t="s">
        <v>12</v>
      </c>
      <c r="N1741" s="2" t="s">
        <v>12</v>
      </c>
      <c r="O1741" s="2" t="s">
        <v>12</v>
      </c>
      <c r="P1741" s="21" t="s">
        <v>12</v>
      </c>
      <c r="Q1741" s="3" t="s">
        <v>659</v>
      </c>
      <c r="R1741" s="3" t="s">
        <v>75</v>
      </c>
    </row>
    <row r="1742" spans="1:18" x14ac:dyDescent="0.25">
      <c r="A1742" s="30">
        <v>45931</v>
      </c>
      <c r="B1742" s="28">
        <v>1732</v>
      </c>
      <c r="C1742" s="28"/>
      <c r="D1742" s="2" t="s">
        <v>45</v>
      </c>
      <c r="E1742" s="7" t="s">
        <v>2062</v>
      </c>
      <c r="F1742" s="7"/>
      <c r="G1742" s="2" t="s">
        <v>20</v>
      </c>
      <c r="H1742" s="2" t="s">
        <v>121</v>
      </c>
      <c r="I1742" s="5">
        <v>10382.33</v>
      </c>
      <c r="J1742" s="57"/>
      <c r="K1742" s="3">
        <v>144</v>
      </c>
      <c r="L1742" s="2" t="s">
        <v>226</v>
      </c>
      <c r="M1742" s="2" t="s">
        <v>1358</v>
      </c>
      <c r="N1742" s="2" t="s">
        <v>12</v>
      </c>
      <c r="O1742" s="2" t="s">
        <v>12</v>
      </c>
      <c r="P1742" s="21" t="s">
        <v>12</v>
      </c>
      <c r="Q1742" s="3" t="s">
        <v>12</v>
      </c>
      <c r="R1742" s="3" t="s">
        <v>12</v>
      </c>
    </row>
    <row r="1743" spans="1:18" x14ac:dyDescent="0.25">
      <c r="A1743" s="30">
        <v>45931</v>
      </c>
      <c r="B1743" s="28">
        <v>1733</v>
      </c>
      <c r="C1743" s="28"/>
      <c r="D1743" s="2" t="s">
        <v>176</v>
      </c>
      <c r="E1743" s="7" t="s">
        <v>12</v>
      </c>
      <c r="F1743" s="7"/>
      <c r="G1743" s="2" t="s">
        <v>13</v>
      </c>
      <c r="H1743" s="2" t="s">
        <v>108</v>
      </c>
      <c r="I1743" s="5">
        <v>2740.67</v>
      </c>
      <c r="J1743" s="57"/>
      <c r="K1743" s="3">
        <v>48</v>
      </c>
      <c r="L1743" s="2" t="s">
        <v>64</v>
      </c>
      <c r="M1743" s="2" t="s">
        <v>12</v>
      </c>
      <c r="N1743" s="2" t="s">
        <v>12</v>
      </c>
      <c r="O1743" s="2" t="s">
        <v>12</v>
      </c>
      <c r="P1743" s="21" t="s">
        <v>12</v>
      </c>
      <c r="Q1743" s="3" t="s">
        <v>12</v>
      </c>
      <c r="R1743" s="3" t="s">
        <v>12</v>
      </c>
    </row>
    <row r="1744" spans="1:18" x14ac:dyDescent="0.25">
      <c r="A1744" s="30">
        <v>45931</v>
      </c>
      <c r="B1744" s="28">
        <v>1734</v>
      </c>
      <c r="C1744" s="28"/>
      <c r="D1744" s="2" t="s">
        <v>601</v>
      </c>
      <c r="E1744" s="7" t="s">
        <v>2063</v>
      </c>
      <c r="F1744" s="7"/>
      <c r="G1744" s="2" t="s">
        <v>13</v>
      </c>
      <c r="H1744" s="2" t="s">
        <v>945</v>
      </c>
      <c r="I1744" s="5">
        <v>94057.68</v>
      </c>
      <c r="J1744" s="57"/>
      <c r="K1744" s="3">
        <v>1008</v>
      </c>
      <c r="L1744" s="2" t="s">
        <v>226</v>
      </c>
      <c r="M1744" s="2" t="s">
        <v>12</v>
      </c>
      <c r="N1744" s="2" t="s">
        <v>12</v>
      </c>
      <c r="O1744" s="2" t="s">
        <v>12</v>
      </c>
      <c r="P1744" s="21" t="s">
        <v>12</v>
      </c>
      <c r="Q1744" s="3" t="s">
        <v>12</v>
      </c>
      <c r="R1744" s="3" t="s">
        <v>12</v>
      </c>
    </row>
    <row r="1745" spans="1:18" x14ac:dyDescent="0.25">
      <c r="A1745" s="30">
        <v>45931</v>
      </c>
      <c r="B1745" s="28">
        <v>1735</v>
      </c>
      <c r="C1745" s="28"/>
      <c r="D1745" s="2" t="s">
        <v>1446</v>
      </c>
      <c r="E1745" s="7" t="s">
        <v>3184</v>
      </c>
      <c r="F1745" s="7"/>
      <c r="G1745" s="2" t="s">
        <v>43</v>
      </c>
      <c r="H1745" s="2" t="s">
        <v>2007</v>
      </c>
      <c r="I1745" s="5">
        <v>14339.56</v>
      </c>
      <c r="J1745" s="57"/>
      <c r="K1745" s="3">
        <v>144</v>
      </c>
      <c r="L1745" s="2" t="s">
        <v>226</v>
      </c>
      <c r="M1745" s="2" t="s">
        <v>530</v>
      </c>
      <c r="N1745" s="2" t="s">
        <v>12</v>
      </c>
      <c r="O1745" s="2" t="s">
        <v>12</v>
      </c>
      <c r="P1745" s="21" t="s">
        <v>12</v>
      </c>
      <c r="Q1745" s="3" t="s">
        <v>12</v>
      </c>
      <c r="R1745" s="3" t="s">
        <v>12</v>
      </c>
    </row>
    <row r="1746" spans="1:18" x14ac:dyDescent="0.25">
      <c r="A1746" s="30">
        <v>45938</v>
      </c>
      <c r="B1746" s="28">
        <v>1736</v>
      </c>
      <c r="C1746" s="28"/>
      <c r="D1746" s="2" t="s">
        <v>393</v>
      </c>
      <c r="E1746" s="7" t="s">
        <v>2086</v>
      </c>
      <c r="F1746" s="7"/>
      <c r="G1746" s="2" t="s">
        <v>43</v>
      </c>
      <c r="H1746" s="2" t="s">
        <v>43</v>
      </c>
      <c r="I1746" s="5">
        <v>38055.730000000003</v>
      </c>
      <c r="J1746" s="57">
        <v>0.04</v>
      </c>
      <c r="K1746" s="3">
        <v>456</v>
      </c>
      <c r="L1746" s="2" t="s">
        <v>64</v>
      </c>
      <c r="M1746" s="2" t="s">
        <v>12</v>
      </c>
      <c r="N1746" s="2" t="s">
        <v>12</v>
      </c>
      <c r="O1746" s="2" t="s">
        <v>12</v>
      </c>
      <c r="P1746" s="21" t="s">
        <v>12</v>
      </c>
      <c r="Q1746" s="3" t="s">
        <v>2130</v>
      </c>
      <c r="R1746" s="3" t="s">
        <v>80</v>
      </c>
    </row>
    <row r="1747" spans="1:18" x14ac:dyDescent="0.25">
      <c r="A1747" s="30">
        <v>45932</v>
      </c>
      <c r="B1747" s="28">
        <v>1737</v>
      </c>
      <c r="C1747" s="28"/>
      <c r="D1747" s="2" t="s">
        <v>171</v>
      </c>
      <c r="E1747" s="7" t="s">
        <v>2063</v>
      </c>
      <c r="F1747" s="7"/>
      <c r="G1747" s="2" t="s">
        <v>26</v>
      </c>
      <c r="H1747" s="2" t="s">
        <v>427</v>
      </c>
      <c r="I1747" s="5">
        <v>94057.68</v>
      </c>
      <c r="J1747" s="57"/>
      <c r="K1747" s="3">
        <v>1008</v>
      </c>
      <c r="L1747" s="2" t="s">
        <v>226</v>
      </c>
      <c r="M1747" s="2" t="s">
        <v>12</v>
      </c>
      <c r="N1747" s="2" t="s">
        <v>12</v>
      </c>
      <c r="O1747" s="2" t="s">
        <v>12</v>
      </c>
      <c r="P1747" s="21" t="s">
        <v>12</v>
      </c>
      <c r="Q1747" s="3" t="s">
        <v>75</v>
      </c>
      <c r="R1747" s="3" t="s">
        <v>75</v>
      </c>
    </row>
    <row r="1748" spans="1:18" x14ac:dyDescent="0.25">
      <c r="A1748" s="30">
        <v>45932</v>
      </c>
      <c r="B1748" s="28">
        <v>1738</v>
      </c>
      <c r="C1748" s="28"/>
      <c r="D1748" s="2" t="s">
        <v>425</v>
      </c>
      <c r="E1748" s="7" t="s">
        <v>12</v>
      </c>
      <c r="F1748" s="7"/>
      <c r="G1748" s="2" t="s">
        <v>26</v>
      </c>
      <c r="H1748" s="2" t="s">
        <v>2003</v>
      </c>
      <c r="I1748" s="5">
        <v>2988.9</v>
      </c>
      <c r="J1748" s="57"/>
      <c r="K1748" s="3" t="s">
        <v>12</v>
      </c>
      <c r="L1748" s="2" t="s">
        <v>226</v>
      </c>
      <c r="M1748" s="2" t="s">
        <v>12</v>
      </c>
      <c r="N1748" s="2" t="s">
        <v>12</v>
      </c>
      <c r="O1748" s="2" t="s">
        <v>12</v>
      </c>
      <c r="P1748" s="21" t="s">
        <v>12</v>
      </c>
      <c r="Q1748" s="3" t="s">
        <v>12</v>
      </c>
      <c r="R1748" s="3" t="s">
        <v>12</v>
      </c>
    </row>
    <row r="1749" spans="1:18" x14ac:dyDescent="0.25">
      <c r="A1749" s="30">
        <v>45933</v>
      </c>
      <c r="B1749" s="28">
        <v>1739</v>
      </c>
      <c r="C1749" s="28"/>
      <c r="D1749" s="2" t="s">
        <v>124</v>
      </c>
      <c r="E1749" s="7" t="s">
        <v>2087</v>
      </c>
      <c r="F1749" s="7"/>
      <c r="G1749" s="2" t="s">
        <v>20</v>
      </c>
      <c r="H1749" s="2" t="s">
        <v>112</v>
      </c>
      <c r="I1749" s="5">
        <v>143263.72</v>
      </c>
      <c r="J1749" s="57"/>
      <c r="K1749" s="3">
        <v>1728</v>
      </c>
      <c r="L1749" s="2" t="s">
        <v>226</v>
      </c>
      <c r="M1749" s="2" t="s">
        <v>667</v>
      </c>
      <c r="N1749" s="2" t="s">
        <v>12</v>
      </c>
      <c r="O1749" s="2" t="s">
        <v>12</v>
      </c>
      <c r="P1749" s="21" t="s">
        <v>12</v>
      </c>
      <c r="Q1749" s="3" t="s">
        <v>297</v>
      </c>
      <c r="R1749" s="3" t="s">
        <v>80</v>
      </c>
    </row>
    <row r="1750" spans="1:18" x14ac:dyDescent="0.25">
      <c r="A1750" s="30">
        <v>45932</v>
      </c>
      <c r="B1750" s="28">
        <v>1740</v>
      </c>
      <c r="C1750" s="28"/>
      <c r="D1750" s="2" t="s">
        <v>637</v>
      </c>
      <c r="E1750" s="7" t="s">
        <v>2088</v>
      </c>
      <c r="F1750" s="7"/>
      <c r="G1750" s="2" t="s">
        <v>13</v>
      </c>
      <c r="H1750" s="2" t="s">
        <v>15</v>
      </c>
      <c r="I1750" s="5">
        <v>116524.09</v>
      </c>
      <c r="J1750" s="57"/>
      <c r="K1750" s="3">
        <v>1416</v>
      </c>
      <c r="L1750" s="2" t="s">
        <v>226</v>
      </c>
      <c r="M1750" s="2" t="s">
        <v>12</v>
      </c>
      <c r="N1750" s="2" t="s">
        <v>12</v>
      </c>
      <c r="O1750" s="2" t="s">
        <v>12</v>
      </c>
      <c r="P1750" s="21" t="s">
        <v>12</v>
      </c>
      <c r="Q1750" s="3" t="s">
        <v>75</v>
      </c>
      <c r="R1750" s="3" t="s">
        <v>80</v>
      </c>
    </row>
    <row r="1751" spans="1:18" x14ac:dyDescent="0.25">
      <c r="A1751" s="30">
        <v>45932</v>
      </c>
      <c r="B1751" s="28">
        <v>1741</v>
      </c>
      <c r="C1751" s="28"/>
      <c r="D1751" s="2" t="s">
        <v>137</v>
      </c>
      <c r="E1751" s="7" t="s">
        <v>2089</v>
      </c>
      <c r="F1751" s="7"/>
      <c r="G1751" s="2" t="s">
        <v>26</v>
      </c>
      <c r="H1751" s="2" t="s">
        <v>98</v>
      </c>
      <c r="I1751" s="5">
        <v>1803.05</v>
      </c>
      <c r="J1751" s="57"/>
      <c r="K1751" s="3">
        <v>24</v>
      </c>
      <c r="L1751" s="2" t="s">
        <v>64</v>
      </c>
      <c r="M1751" s="2" t="s">
        <v>12</v>
      </c>
      <c r="N1751" s="2" t="s">
        <v>12</v>
      </c>
      <c r="O1751" s="2" t="s">
        <v>12</v>
      </c>
      <c r="P1751" s="21" t="s">
        <v>12</v>
      </c>
      <c r="Q1751" s="3" t="s">
        <v>12</v>
      </c>
      <c r="R1751" s="3" t="s">
        <v>12</v>
      </c>
    </row>
    <row r="1752" spans="1:18" x14ac:dyDescent="0.25">
      <c r="A1752" s="30">
        <v>45933</v>
      </c>
      <c r="B1752" s="28">
        <v>1742</v>
      </c>
      <c r="C1752" s="28"/>
      <c r="D1752" s="2" t="s">
        <v>23</v>
      </c>
      <c r="E1752" s="7" t="s">
        <v>2090</v>
      </c>
      <c r="F1752" s="7"/>
      <c r="G1752" s="2" t="s">
        <v>20</v>
      </c>
      <c r="H1752" s="2" t="s">
        <v>24</v>
      </c>
      <c r="I1752" s="5">
        <v>21669.42</v>
      </c>
      <c r="J1752" s="57"/>
      <c r="K1752" s="3">
        <v>312</v>
      </c>
      <c r="L1752" s="2" t="s">
        <v>21</v>
      </c>
      <c r="M1752" s="2" t="s">
        <v>2773</v>
      </c>
      <c r="N1752" s="2" t="s">
        <v>12</v>
      </c>
      <c r="O1752" s="2" t="s">
        <v>12</v>
      </c>
      <c r="P1752" s="21" t="s">
        <v>12</v>
      </c>
      <c r="Q1752" s="3" t="s">
        <v>133</v>
      </c>
      <c r="R1752" s="3" t="s">
        <v>75</v>
      </c>
    </row>
    <row r="1753" spans="1:18" x14ac:dyDescent="0.25">
      <c r="A1753" s="30">
        <v>45933</v>
      </c>
      <c r="B1753" s="28">
        <v>1743</v>
      </c>
      <c r="C1753" s="28"/>
      <c r="D1753" s="2" t="s">
        <v>23</v>
      </c>
      <c r="E1753" s="7" t="s">
        <v>2091</v>
      </c>
      <c r="F1753" s="7"/>
      <c r="G1753" s="2" t="s">
        <v>20</v>
      </c>
      <c r="H1753" s="2" t="s">
        <v>24</v>
      </c>
      <c r="I1753" s="5">
        <v>21075.82</v>
      </c>
      <c r="J1753" s="57"/>
      <c r="K1753" s="3">
        <v>288</v>
      </c>
      <c r="L1753" s="2" t="s">
        <v>21</v>
      </c>
      <c r="M1753" s="2" t="s">
        <v>2773</v>
      </c>
      <c r="N1753" s="2" t="s">
        <v>12</v>
      </c>
      <c r="O1753" s="2" t="s">
        <v>12</v>
      </c>
      <c r="P1753" s="21" t="s">
        <v>12</v>
      </c>
      <c r="Q1753" s="3" t="s">
        <v>133</v>
      </c>
      <c r="R1753" s="3" t="s">
        <v>75</v>
      </c>
    </row>
    <row r="1754" spans="1:18" x14ac:dyDescent="0.25">
      <c r="A1754" s="30">
        <v>45933</v>
      </c>
      <c r="B1754" s="28">
        <v>1744</v>
      </c>
      <c r="C1754" s="28"/>
      <c r="D1754" s="2" t="s">
        <v>23</v>
      </c>
      <c r="E1754" s="7" t="s">
        <v>2092</v>
      </c>
      <c r="F1754" s="7"/>
      <c r="G1754" s="2" t="s">
        <v>20</v>
      </c>
      <c r="H1754" s="2" t="s">
        <v>24</v>
      </c>
      <c r="I1754" s="5">
        <v>14427.09</v>
      </c>
      <c r="J1754" s="57"/>
      <c r="K1754" s="3">
        <v>216</v>
      </c>
      <c r="L1754" s="2" t="s">
        <v>21</v>
      </c>
      <c r="M1754" s="2" t="s">
        <v>2773</v>
      </c>
      <c r="N1754" s="2" t="s">
        <v>12</v>
      </c>
      <c r="O1754" s="2" t="s">
        <v>12</v>
      </c>
      <c r="P1754" s="21" t="s">
        <v>12</v>
      </c>
      <c r="Q1754" s="3" t="s">
        <v>133</v>
      </c>
      <c r="R1754" s="3" t="s">
        <v>75</v>
      </c>
    </row>
    <row r="1755" spans="1:18" x14ac:dyDescent="0.25">
      <c r="A1755" s="30">
        <v>45933</v>
      </c>
      <c r="B1755" s="28">
        <v>1745</v>
      </c>
      <c r="C1755" s="28"/>
      <c r="D1755" s="2" t="s">
        <v>87</v>
      </c>
      <c r="E1755" s="7" t="s">
        <v>2093</v>
      </c>
      <c r="F1755" s="7"/>
      <c r="G1755" s="2" t="s">
        <v>13</v>
      </c>
      <c r="H1755" s="2" t="s">
        <v>185</v>
      </c>
      <c r="I1755" s="5">
        <v>74370.31</v>
      </c>
      <c r="J1755" s="57"/>
      <c r="K1755" s="3">
        <v>408</v>
      </c>
      <c r="L1755" s="2" t="s">
        <v>226</v>
      </c>
      <c r="M1755" s="2" t="s">
        <v>12</v>
      </c>
      <c r="N1755" s="2" t="s">
        <v>12</v>
      </c>
      <c r="O1755" s="2" t="s">
        <v>12</v>
      </c>
      <c r="P1755" s="21" t="s">
        <v>12</v>
      </c>
      <c r="Q1755" s="3" t="s">
        <v>78</v>
      </c>
      <c r="R1755" s="3" t="s">
        <v>75</v>
      </c>
    </row>
    <row r="1756" spans="1:18" x14ac:dyDescent="0.25">
      <c r="A1756" s="30">
        <v>45933</v>
      </c>
      <c r="B1756" s="28">
        <v>1746</v>
      </c>
      <c r="C1756" s="28"/>
      <c r="D1756" s="2" t="s">
        <v>2094</v>
      </c>
      <c r="E1756" s="7" t="s">
        <v>2095</v>
      </c>
      <c r="F1756" s="7"/>
      <c r="G1756" s="2" t="s">
        <v>13</v>
      </c>
      <c r="H1756" s="2" t="s">
        <v>2096</v>
      </c>
      <c r="I1756" s="5">
        <v>132760.57999999999</v>
      </c>
      <c r="J1756" s="57"/>
      <c r="K1756" s="3">
        <v>1608</v>
      </c>
      <c r="L1756" s="2" t="s">
        <v>226</v>
      </c>
      <c r="M1756" s="2" t="s">
        <v>12</v>
      </c>
      <c r="N1756" s="2" t="s">
        <v>12</v>
      </c>
      <c r="O1756" s="2" t="s">
        <v>12</v>
      </c>
      <c r="P1756" s="21" t="s">
        <v>12</v>
      </c>
      <c r="Q1756" s="3" t="s">
        <v>12</v>
      </c>
      <c r="R1756" s="3" t="s">
        <v>12</v>
      </c>
    </row>
    <row r="1757" spans="1:18" x14ac:dyDescent="0.25">
      <c r="A1757" s="30">
        <v>45933</v>
      </c>
      <c r="B1757" s="28">
        <v>1747</v>
      </c>
      <c r="C1757" s="28"/>
      <c r="D1757" s="2" t="s">
        <v>92</v>
      </c>
      <c r="E1757" s="7" t="s">
        <v>1916</v>
      </c>
      <c r="F1757" s="7"/>
      <c r="G1757" s="2" t="s">
        <v>26</v>
      </c>
      <c r="H1757" s="2" t="s">
        <v>652</v>
      </c>
      <c r="I1757" s="5">
        <v>50133.66</v>
      </c>
      <c r="J1757" s="57"/>
      <c r="K1757" s="3">
        <v>552</v>
      </c>
      <c r="L1757" s="2" t="s">
        <v>226</v>
      </c>
      <c r="M1757" s="2" t="s">
        <v>12</v>
      </c>
      <c r="N1757" s="2" t="s">
        <v>12</v>
      </c>
      <c r="O1757" s="2" t="s">
        <v>12</v>
      </c>
      <c r="P1757" s="21" t="s">
        <v>12</v>
      </c>
      <c r="Q1757" s="3" t="s">
        <v>133</v>
      </c>
      <c r="R1757" s="3" t="s">
        <v>75</v>
      </c>
    </row>
    <row r="1758" spans="1:18" x14ac:dyDescent="0.25">
      <c r="A1758" s="30">
        <v>45933</v>
      </c>
      <c r="B1758" s="28">
        <v>1748</v>
      </c>
      <c r="C1758" s="28"/>
      <c r="D1758" s="2" t="s">
        <v>155</v>
      </c>
      <c r="E1758" s="7" t="s">
        <v>2097</v>
      </c>
      <c r="F1758" s="7"/>
      <c r="G1758" s="2" t="s">
        <v>26</v>
      </c>
      <c r="H1758" s="2" t="s">
        <v>112</v>
      </c>
      <c r="I1758" s="5">
        <v>57253.99</v>
      </c>
      <c r="J1758" s="57"/>
      <c r="K1758" s="3">
        <v>624</v>
      </c>
      <c r="L1758" s="2" t="s">
        <v>226</v>
      </c>
      <c r="M1758" s="2" t="s">
        <v>12</v>
      </c>
      <c r="N1758" s="2" t="s">
        <v>12</v>
      </c>
      <c r="O1758" s="2" t="s">
        <v>12</v>
      </c>
      <c r="P1758" s="21" t="s">
        <v>12</v>
      </c>
      <c r="Q1758" s="3" t="s">
        <v>2131</v>
      </c>
      <c r="R1758" s="3" t="s">
        <v>76</v>
      </c>
    </row>
    <row r="1759" spans="1:18" x14ac:dyDescent="0.25">
      <c r="A1759" s="30">
        <v>45933</v>
      </c>
      <c r="B1759" s="28">
        <v>1749</v>
      </c>
      <c r="C1759" s="28"/>
      <c r="D1759" s="2" t="s">
        <v>2098</v>
      </c>
      <c r="E1759" s="7" t="s">
        <v>12</v>
      </c>
      <c r="F1759" s="7"/>
      <c r="G1759" s="2" t="s">
        <v>13</v>
      </c>
      <c r="H1759" s="2" t="s">
        <v>928</v>
      </c>
      <c r="I1759" s="5">
        <v>18005.349999999999</v>
      </c>
      <c r="J1759" s="57"/>
      <c r="K1759" s="3">
        <v>192</v>
      </c>
      <c r="L1759" s="2" t="s">
        <v>226</v>
      </c>
      <c r="M1759" s="2" t="s">
        <v>12</v>
      </c>
      <c r="N1759" s="2" t="s">
        <v>12</v>
      </c>
      <c r="O1759" s="2" t="s">
        <v>12</v>
      </c>
      <c r="P1759" s="21" t="s">
        <v>12</v>
      </c>
      <c r="Q1759" s="3" t="s">
        <v>12</v>
      </c>
      <c r="R1759" s="3" t="s">
        <v>12</v>
      </c>
    </row>
    <row r="1760" spans="1:18" x14ac:dyDescent="0.25">
      <c r="A1760" s="30">
        <v>45933</v>
      </c>
      <c r="B1760" s="28">
        <v>1750</v>
      </c>
      <c r="C1760" s="28"/>
      <c r="D1760" s="2" t="s">
        <v>41</v>
      </c>
      <c r="E1760" s="7" t="s">
        <v>2099</v>
      </c>
      <c r="F1760" s="7"/>
      <c r="G1760" s="2" t="s">
        <v>43</v>
      </c>
      <c r="H1760" s="2" t="s">
        <v>417</v>
      </c>
      <c r="I1760" s="5">
        <v>56362.400000000001</v>
      </c>
      <c r="J1760" s="57"/>
      <c r="K1760" s="3">
        <v>528</v>
      </c>
      <c r="L1760" s="2" t="s">
        <v>226</v>
      </c>
      <c r="M1760" s="2" t="s">
        <v>12</v>
      </c>
      <c r="N1760" s="2" t="s">
        <v>12</v>
      </c>
      <c r="O1760" s="2" t="s">
        <v>12</v>
      </c>
      <c r="P1760" s="21" t="s">
        <v>12</v>
      </c>
      <c r="Q1760" s="3" t="s">
        <v>12</v>
      </c>
      <c r="R1760" s="3"/>
    </row>
    <row r="1761" spans="1:18" x14ac:dyDescent="0.25">
      <c r="A1761" s="30">
        <v>45936</v>
      </c>
      <c r="B1761" s="28">
        <v>1751</v>
      </c>
      <c r="C1761" s="28" t="s">
        <v>2162</v>
      </c>
      <c r="D1761" s="2" t="s">
        <v>2100</v>
      </c>
      <c r="E1761" s="7" t="s">
        <v>12</v>
      </c>
      <c r="F1761" s="7"/>
      <c r="G1761" s="2" t="s">
        <v>13</v>
      </c>
      <c r="H1761" s="2" t="s">
        <v>377</v>
      </c>
      <c r="I1761" s="5">
        <v>13596.39</v>
      </c>
      <c r="J1761" s="57"/>
      <c r="K1761" s="3">
        <v>97.2</v>
      </c>
      <c r="L1761" s="2" t="s">
        <v>226</v>
      </c>
      <c r="M1761" s="2" t="s">
        <v>12</v>
      </c>
      <c r="N1761" s="2" t="s">
        <v>12</v>
      </c>
      <c r="O1761" s="2" t="s">
        <v>12</v>
      </c>
      <c r="P1761" s="21" t="s">
        <v>12</v>
      </c>
      <c r="Q1761" s="3" t="s">
        <v>12</v>
      </c>
      <c r="R1761" s="3" t="s">
        <v>12</v>
      </c>
    </row>
    <row r="1762" spans="1:18" x14ac:dyDescent="0.25">
      <c r="A1762" s="30">
        <v>45933</v>
      </c>
      <c r="B1762" s="28">
        <v>1752</v>
      </c>
      <c r="C1762" s="28"/>
      <c r="D1762" s="2" t="s">
        <v>1190</v>
      </c>
      <c r="E1762" s="7" t="s">
        <v>2101</v>
      </c>
      <c r="F1762" s="7"/>
      <c r="G1762" s="2" t="s">
        <v>43</v>
      </c>
      <c r="H1762" s="2" t="s">
        <v>162</v>
      </c>
      <c r="I1762" s="5">
        <v>19983.580000000002</v>
      </c>
      <c r="J1762" s="57"/>
      <c r="K1762" s="3">
        <v>216</v>
      </c>
      <c r="L1762" s="2" t="s">
        <v>64</v>
      </c>
      <c r="M1762" s="2" t="s">
        <v>12</v>
      </c>
      <c r="N1762" s="2" t="s">
        <v>12</v>
      </c>
      <c r="O1762" s="2" t="s">
        <v>12</v>
      </c>
      <c r="P1762" s="21" t="s">
        <v>12</v>
      </c>
      <c r="Q1762" s="3" t="s">
        <v>12</v>
      </c>
      <c r="R1762" s="3" t="s">
        <v>12</v>
      </c>
    </row>
    <row r="1763" spans="1:18" x14ac:dyDescent="0.25">
      <c r="A1763" s="30">
        <v>45936</v>
      </c>
      <c r="B1763" s="28">
        <v>1753</v>
      </c>
      <c r="C1763" s="28"/>
      <c r="D1763" s="2" t="s">
        <v>1446</v>
      </c>
      <c r="E1763" s="7" t="s">
        <v>2102</v>
      </c>
      <c r="F1763" s="7"/>
      <c r="G1763" s="2" t="s">
        <v>43</v>
      </c>
      <c r="H1763" s="2" t="s">
        <v>2007</v>
      </c>
      <c r="I1763" s="5">
        <v>6347.88</v>
      </c>
      <c r="J1763" s="57"/>
      <c r="K1763" s="3">
        <v>48</v>
      </c>
      <c r="L1763" s="2" t="s">
        <v>226</v>
      </c>
      <c r="M1763" s="2" t="s">
        <v>12</v>
      </c>
      <c r="N1763" s="2" t="s">
        <v>12</v>
      </c>
      <c r="O1763" s="2" t="s">
        <v>12</v>
      </c>
      <c r="P1763" s="21" t="s">
        <v>12</v>
      </c>
      <c r="Q1763" s="3" t="s">
        <v>2132</v>
      </c>
      <c r="R1763" s="3" t="s">
        <v>75</v>
      </c>
    </row>
    <row r="1764" spans="1:18" x14ac:dyDescent="0.25">
      <c r="A1764" s="30">
        <v>45936</v>
      </c>
      <c r="B1764" s="28">
        <v>1754</v>
      </c>
      <c r="C1764" s="28"/>
      <c r="D1764" s="2" t="s">
        <v>103</v>
      </c>
      <c r="E1764" s="7" t="s">
        <v>2103</v>
      </c>
      <c r="F1764" s="7"/>
      <c r="G1764" s="2" t="s">
        <v>13</v>
      </c>
      <c r="H1764" s="2" t="s">
        <v>491</v>
      </c>
      <c r="I1764" s="5">
        <v>18987.27</v>
      </c>
      <c r="J1764" s="57"/>
      <c r="K1764" s="3">
        <v>240</v>
      </c>
      <c r="L1764" s="2" t="s">
        <v>134</v>
      </c>
      <c r="M1764" s="2" t="s">
        <v>2030</v>
      </c>
      <c r="N1764" s="2" t="s">
        <v>135</v>
      </c>
      <c r="O1764" s="2" t="s">
        <v>2137</v>
      </c>
      <c r="P1764" s="21">
        <v>17500</v>
      </c>
      <c r="Q1764" s="3" t="s">
        <v>12</v>
      </c>
      <c r="R1764" s="3" t="s">
        <v>12</v>
      </c>
    </row>
    <row r="1765" spans="1:18" x14ac:dyDescent="0.25">
      <c r="A1765" s="30">
        <v>46006</v>
      </c>
      <c r="B1765" s="28">
        <v>1755</v>
      </c>
      <c r="C1765" s="28"/>
      <c r="D1765" s="2" t="s">
        <v>516</v>
      </c>
      <c r="E1765" s="7" t="s">
        <v>2314</v>
      </c>
      <c r="F1765" s="7"/>
      <c r="G1765" s="2" t="s">
        <v>111</v>
      </c>
      <c r="H1765" s="2" t="s">
        <v>2315</v>
      </c>
      <c r="I1765" s="5">
        <v>21456.77</v>
      </c>
      <c r="J1765" s="57"/>
      <c r="K1765" s="3"/>
      <c r="L1765" s="2" t="s">
        <v>134</v>
      </c>
      <c r="M1765" s="2"/>
      <c r="N1765" s="2"/>
      <c r="O1765" s="2"/>
      <c r="P1765" s="21"/>
      <c r="Q1765" s="3"/>
      <c r="R1765" s="3"/>
    </row>
    <row r="1766" spans="1:18" x14ac:dyDescent="0.25">
      <c r="A1766" s="30">
        <v>45936</v>
      </c>
      <c r="B1766" s="28">
        <v>1756</v>
      </c>
      <c r="C1766" s="28"/>
      <c r="D1766" s="2" t="s">
        <v>411</v>
      </c>
      <c r="E1766" s="7" t="s">
        <v>1216</v>
      </c>
      <c r="F1766" s="7"/>
      <c r="G1766" s="2" t="s">
        <v>26</v>
      </c>
      <c r="H1766" s="2" t="s">
        <v>2104</v>
      </c>
      <c r="I1766" s="5">
        <v>62417.79</v>
      </c>
      <c r="J1766" s="57"/>
      <c r="K1766" s="3">
        <v>648</v>
      </c>
      <c r="L1766" s="2" t="s">
        <v>226</v>
      </c>
      <c r="M1766" s="2" t="s">
        <v>12</v>
      </c>
      <c r="N1766" s="2" t="s">
        <v>12</v>
      </c>
      <c r="O1766" s="2" t="s">
        <v>12</v>
      </c>
      <c r="P1766" s="21" t="s">
        <v>12</v>
      </c>
      <c r="Q1766" s="3" t="s">
        <v>2133</v>
      </c>
      <c r="R1766" s="3" t="s">
        <v>222</v>
      </c>
    </row>
    <row r="1767" spans="1:18" x14ac:dyDescent="0.25">
      <c r="A1767" s="30">
        <v>45936</v>
      </c>
      <c r="B1767" s="28">
        <v>1757</v>
      </c>
      <c r="C1767" s="28"/>
      <c r="D1767" s="2" t="s">
        <v>2105</v>
      </c>
      <c r="E1767" s="7" t="s">
        <v>2160</v>
      </c>
      <c r="F1767" s="7"/>
      <c r="G1767" s="2" t="s">
        <v>13</v>
      </c>
      <c r="H1767" s="2" t="s">
        <v>101</v>
      </c>
      <c r="I1767" s="5">
        <v>9000.01</v>
      </c>
      <c r="J1767" s="57">
        <v>0.05</v>
      </c>
      <c r="K1767" s="3">
        <v>120</v>
      </c>
      <c r="L1767" s="2" t="s">
        <v>64</v>
      </c>
      <c r="M1767" s="2" t="s">
        <v>12</v>
      </c>
      <c r="N1767" s="2" t="s">
        <v>12</v>
      </c>
      <c r="O1767" s="2" t="s">
        <v>12</v>
      </c>
      <c r="P1767" s="21" t="s">
        <v>12</v>
      </c>
      <c r="Q1767" s="54" t="s">
        <v>2106</v>
      </c>
      <c r="R1767" s="3" t="s">
        <v>12</v>
      </c>
    </row>
    <row r="1768" spans="1:18" x14ac:dyDescent="0.25">
      <c r="A1768" s="30">
        <v>45936</v>
      </c>
      <c r="B1768" s="28">
        <v>1758</v>
      </c>
      <c r="C1768" s="28"/>
      <c r="D1768" s="2" t="s">
        <v>25</v>
      </c>
      <c r="E1768" s="7" t="s">
        <v>2107</v>
      </c>
      <c r="F1768" s="7"/>
      <c r="G1768" s="2" t="s">
        <v>26</v>
      </c>
      <c r="H1768" s="2" t="s">
        <v>2165</v>
      </c>
      <c r="I1768" s="5">
        <v>110945.41</v>
      </c>
      <c r="J1768" s="57"/>
      <c r="K1768" s="3">
        <v>1008</v>
      </c>
      <c r="L1768" s="2" t="s">
        <v>226</v>
      </c>
      <c r="M1768" s="2" t="s">
        <v>12</v>
      </c>
      <c r="N1768" s="2" t="s">
        <v>12</v>
      </c>
      <c r="O1768" s="2" t="s">
        <v>12</v>
      </c>
      <c r="P1768" s="21" t="s">
        <v>12</v>
      </c>
      <c r="Q1768" s="3" t="s">
        <v>2134</v>
      </c>
      <c r="R1768" s="3" t="s">
        <v>76</v>
      </c>
    </row>
    <row r="1769" spans="1:18" x14ac:dyDescent="0.25">
      <c r="A1769" s="30">
        <v>45936</v>
      </c>
      <c r="B1769" s="28">
        <v>1759</v>
      </c>
      <c r="C1769" s="28"/>
      <c r="D1769" s="2" t="s">
        <v>109</v>
      </c>
      <c r="E1769" s="7" t="s">
        <v>12</v>
      </c>
      <c r="F1769" s="7"/>
      <c r="G1769" s="2" t="s">
        <v>111</v>
      </c>
      <c r="H1769" s="2" t="s">
        <v>1763</v>
      </c>
      <c r="I1769" s="5">
        <v>779.74</v>
      </c>
      <c r="J1769" s="57"/>
      <c r="K1769" s="3">
        <v>9.6</v>
      </c>
      <c r="L1769" s="2" t="s">
        <v>226</v>
      </c>
      <c r="M1769" s="2" t="s">
        <v>12</v>
      </c>
      <c r="N1769" s="2" t="s">
        <v>12</v>
      </c>
      <c r="O1769" s="2" t="s">
        <v>12</v>
      </c>
      <c r="P1769" s="21" t="s">
        <v>12</v>
      </c>
      <c r="Q1769" s="3" t="s">
        <v>12</v>
      </c>
      <c r="R1769" s="3" t="s">
        <v>12</v>
      </c>
    </row>
    <row r="1770" spans="1:18" x14ac:dyDescent="0.25">
      <c r="A1770" s="30">
        <v>45936</v>
      </c>
      <c r="B1770" s="28">
        <v>1760</v>
      </c>
      <c r="C1770" s="28"/>
      <c r="D1770" s="2" t="s">
        <v>1711</v>
      </c>
      <c r="E1770" s="7" t="s">
        <v>2108</v>
      </c>
      <c r="F1770" s="7"/>
      <c r="G1770" s="2" t="s">
        <v>97</v>
      </c>
      <c r="H1770" s="2" t="s">
        <v>507</v>
      </c>
      <c r="I1770" s="5">
        <v>596.4</v>
      </c>
      <c r="J1770" s="57"/>
      <c r="K1770" s="3" t="s">
        <v>12</v>
      </c>
      <c r="L1770" s="2" t="s">
        <v>64</v>
      </c>
      <c r="M1770" s="2" t="s">
        <v>12</v>
      </c>
      <c r="N1770" s="2" t="s">
        <v>12</v>
      </c>
      <c r="O1770" s="2" t="s">
        <v>12</v>
      </c>
      <c r="P1770" s="21" t="s">
        <v>12</v>
      </c>
      <c r="Q1770" s="3" t="s">
        <v>12</v>
      </c>
      <c r="R1770" s="3" t="s">
        <v>12</v>
      </c>
    </row>
    <row r="1771" spans="1:18" x14ac:dyDescent="0.25">
      <c r="A1771" s="30">
        <v>45936</v>
      </c>
      <c r="B1771" s="28">
        <v>1761</v>
      </c>
      <c r="C1771" s="28"/>
      <c r="D1771" s="2" t="s">
        <v>909</v>
      </c>
      <c r="E1771" s="7" t="s">
        <v>2163</v>
      </c>
      <c r="F1771" s="7"/>
      <c r="G1771" s="2" t="s">
        <v>111</v>
      </c>
      <c r="H1771" s="2" t="s">
        <v>369</v>
      </c>
      <c r="I1771" s="5"/>
      <c r="J1771" s="57"/>
      <c r="K1771" s="3"/>
      <c r="L1771" s="2" t="s">
        <v>226</v>
      </c>
      <c r="M1771" s="2"/>
      <c r="N1771" s="2"/>
      <c r="O1771" s="2"/>
      <c r="P1771" s="21"/>
      <c r="Q1771" s="3"/>
      <c r="R1771" s="3"/>
    </row>
    <row r="1772" spans="1:18" x14ac:dyDescent="0.25">
      <c r="A1772" s="30">
        <v>45938</v>
      </c>
      <c r="B1772" s="28">
        <v>1762</v>
      </c>
      <c r="C1772" s="28"/>
      <c r="D1772" s="2" t="s">
        <v>2109</v>
      </c>
      <c r="E1772" s="7" t="s">
        <v>2110</v>
      </c>
      <c r="F1772" s="7"/>
      <c r="G1772" s="2" t="s">
        <v>13</v>
      </c>
      <c r="H1772" s="2" t="s">
        <v>129</v>
      </c>
      <c r="I1772" s="5">
        <v>135726.57999999999</v>
      </c>
      <c r="J1772" s="57"/>
      <c r="K1772" s="3">
        <v>1608</v>
      </c>
      <c r="L1772" s="2" t="s">
        <v>226</v>
      </c>
      <c r="M1772" s="2" t="s">
        <v>12</v>
      </c>
      <c r="N1772" s="2" t="s">
        <v>12</v>
      </c>
      <c r="O1772" s="2" t="s">
        <v>12</v>
      </c>
      <c r="P1772" s="21" t="s">
        <v>12</v>
      </c>
      <c r="Q1772" s="3" t="s">
        <v>2135</v>
      </c>
      <c r="R1772" s="3" t="s">
        <v>80</v>
      </c>
    </row>
    <row r="1773" spans="1:18" x14ac:dyDescent="0.25">
      <c r="A1773" s="30">
        <v>45938</v>
      </c>
      <c r="B1773" s="28">
        <v>1763</v>
      </c>
      <c r="C1773" s="28"/>
      <c r="D1773" s="2" t="s">
        <v>2109</v>
      </c>
      <c r="E1773" s="7" t="s">
        <v>2111</v>
      </c>
      <c r="F1773" s="7"/>
      <c r="G1773" s="2" t="s">
        <v>13</v>
      </c>
      <c r="H1773" s="2" t="s">
        <v>129</v>
      </c>
      <c r="I1773" s="5">
        <v>171891.91</v>
      </c>
      <c r="J1773" s="57"/>
      <c r="K1773" s="3">
        <v>1728</v>
      </c>
      <c r="L1773" s="2" t="s">
        <v>226</v>
      </c>
      <c r="M1773" s="2" t="s">
        <v>12</v>
      </c>
      <c r="N1773" s="2" t="s">
        <v>12</v>
      </c>
      <c r="O1773" s="2" t="s">
        <v>12</v>
      </c>
      <c r="P1773" s="21" t="s">
        <v>12</v>
      </c>
      <c r="Q1773" s="3" t="s">
        <v>2135</v>
      </c>
      <c r="R1773" s="3" t="s">
        <v>80</v>
      </c>
    </row>
    <row r="1774" spans="1:18" x14ac:dyDescent="0.25">
      <c r="A1774" s="30">
        <v>45937</v>
      </c>
      <c r="B1774" s="28">
        <v>1764</v>
      </c>
      <c r="C1774" s="28"/>
      <c r="D1774" s="2" t="s">
        <v>2112</v>
      </c>
      <c r="E1774" s="7" t="s">
        <v>2113</v>
      </c>
      <c r="F1774" s="7"/>
      <c r="G1774" s="2" t="s">
        <v>13</v>
      </c>
      <c r="H1774" s="2" t="s">
        <v>938</v>
      </c>
      <c r="I1774" s="5">
        <v>1251020.98</v>
      </c>
      <c r="J1774" s="57"/>
      <c r="K1774" s="3">
        <v>16224</v>
      </c>
      <c r="L1774" s="2" t="s">
        <v>226</v>
      </c>
      <c r="M1774" s="2" t="s">
        <v>12</v>
      </c>
      <c r="N1774" s="2" t="s">
        <v>12</v>
      </c>
      <c r="O1774" s="2" t="s">
        <v>12</v>
      </c>
      <c r="P1774" s="21" t="s">
        <v>12</v>
      </c>
      <c r="Q1774" s="3" t="s">
        <v>12</v>
      </c>
      <c r="R1774" s="3" t="s">
        <v>12</v>
      </c>
    </row>
    <row r="1775" spans="1:18" x14ac:dyDescent="0.25">
      <c r="A1775" s="30">
        <v>45937</v>
      </c>
      <c r="B1775" s="28">
        <v>1765</v>
      </c>
      <c r="C1775" s="28"/>
      <c r="D1775" s="2" t="s">
        <v>2114</v>
      </c>
      <c r="E1775" s="7" t="s">
        <v>2115</v>
      </c>
      <c r="F1775" s="7"/>
      <c r="G1775" s="2" t="s">
        <v>97</v>
      </c>
      <c r="H1775" s="2" t="s">
        <v>948</v>
      </c>
      <c r="I1775" s="5">
        <v>153820.87</v>
      </c>
      <c r="J1775" s="57"/>
      <c r="K1775" s="3">
        <v>1632</v>
      </c>
      <c r="L1775" s="2" t="s">
        <v>226</v>
      </c>
      <c r="M1775" s="2" t="s">
        <v>12</v>
      </c>
      <c r="N1775" s="2" t="s">
        <v>12</v>
      </c>
      <c r="O1775" s="2" t="s">
        <v>12</v>
      </c>
      <c r="P1775" s="21" t="s">
        <v>12</v>
      </c>
      <c r="Q1775" s="3" t="s">
        <v>12</v>
      </c>
      <c r="R1775" s="3" t="s">
        <v>12</v>
      </c>
    </row>
    <row r="1776" spans="1:18" x14ac:dyDescent="0.25">
      <c r="A1776" s="30">
        <v>45937</v>
      </c>
      <c r="B1776" s="28">
        <v>1766</v>
      </c>
      <c r="C1776" s="28" t="s">
        <v>2161</v>
      </c>
      <c r="D1776" s="2" t="s">
        <v>168</v>
      </c>
      <c r="E1776" s="7" t="s">
        <v>2116</v>
      </c>
      <c r="F1776" s="7"/>
      <c r="G1776" s="2" t="s">
        <v>43</v>
      </c>
      <c r="H1776" s="2" t="s">
        <v>375</v>
      </c>
      <c r="I1776" s="5">
        <v>35583.019999999997</v>
      </c>
      <c r="J1776" s="57">
        <v>0.04</v>
      </c>
      <c r="K1776" s="3">
        <v>408</v>
      </c>
      <c r="L1776" s="2" t="s">
        <v>64</v>
      </c>
      <c r="M1776" s="2" t="s">
        <v>530</v>
      </c>
      <c r="N1776" s="2" t="s">
        <v>12</v>
      </c>
      <c r="O1776" s="2" t="s">
        <v>12</v>
      </c>
      <c r="P1776" s="21" t="s">
        <v>12</v>
      </c>
      <c r="Q1776" s="3" t="s">
        <v>75</v>
      </c>
      <c r="R1776" s="3" t="s">
        <v>80</v>
      </c>
    </row>
    <row r="1777" spans="1:18" x14ac:dyDescent="0.25">
      <c r="A1777" s="30">
        <v>45937</v>
      </c>
      <c r="B1777" s="28">
        <v>1767</v>
      </c>
      <c r="C1777" s="28"/>
      <c r="D1777" s="2" t="s">
        <v>737</v>
      </c>
      <c r="E1777" s="7" t="s">
        <v>2117</v>
      </c>
      <c r="F1777" s="7"/>
      <c r="G1777" s="2" t="s">
        <v>13</v>
      </c>
      <c r="H1777" s="2" t="s">
        <v>101</v>
      </c>
      <c r="I1777" s="5">
        <v>579028.25</v>
      </c>
      <c r="J1777" s="57"/>
      <c r="K1777" s="3">
        <v>7200</v>
      </c>
      <c r="L1777" s="2" t="s">
        <v>226</v>
      </c>
      <c r="M1777" s="2" t="s">
        <v>12</v>
      </c>
      <c r="N1777" s="2" t="s">
        <v>12</v>
      </c>
      <c r="O1777" s="2" t="s">
        <v>12</v>
      </c>
      <c r="P1777" s="21" t="s">
        <v>12</v>
      </c>
      <c r="Q1777" s="3" t="s">
        <v>12</v>
      </c>
      <c r="R1777" s="3" t="s">
        <v>12</v>
      </c>
    </row>
    <row r="1778" spans="1:18" x14ac:dyDescent="0.25">
      <c r="A1778" s="30">
        <v>45937</v>
      </c>
      <c r="B1778" s="28">
        <v>1768</v>
      </c>
      <c r="C1778" s="28"/>
      <c r="D1778" s="2" t="s">
        <v>941</v>
      </c>
      <c r="E1778" s="7" t="s">
        <v>2118</v>
      </c>
      <c r="F1778" s="7"/>
      <c r="G1778" s="2" t="s">
        <v>13</v>
      </c>
      <c r="H1778" s="2" t="s">
        <v>943</v>
      </c>
      <c r="I1778" s="5">
        <v>11066.35</v>
      </c>
      <c r="J1778" s="57"/>
      <c r="K1778" s="3">
        <v>144</v>
      </c>
      <c r="L1778" s="2" t="s">
        <v>226</v>
      </c>
      <c r="M1778" s="2" t="s">
        <v>12</v>
      </c>
      <c r="N1778" s="2" t="s">
        <v>12</v>
      </c>
      <c r="O1778" s="2" t="s">
        <v>12</v>
      </c>
      <c r="P1778" s="21" t="s">
        <v>12</v>
      </c>
      <c r="Q1778" s="3" t="s">
        <v>2136</v>
      </c>
      <c r="R1778" s="3" t="s">
        <v>75</v>
      </c>
    </row>
    <row r="1779" spans="1:18" x14ac:dyDescent="0.25">
      <c r="A1779" s="30">
        <v>45937</v>
      </c>
      <c r="B1779" s="28">
        <v>1769</v>
      </c>
      <c r="C1779" s="28"/>
      <c r="D1779" s="2" t="s">
        <v>411</v>
      </c>
      <c r="E1779" s="7" t="s">
        <v>1720</v>
      </c>
      <c r="F1779" s="7"/>
      <c r="G1779" s="2" t="s">
        <v>26</v>
      </c>
      <c r="H1779" s="2" t="s">
        <v>2104</v>
      </c>
      <c r="I1779" s="5">
        <v>11702.29</v>
      </c>
      <c r="J1779" s="57"/>
      <c r="K1779" s="3">
        <v>144</v>
      </c>
      <c r="L1779" s="2" t="s">
        <v>226</v>
      </c>
      <c r="M1779" s="2" t="s">
        <v>12</v>
      </c>
      <c r="N1779" s="2" t="s">
        <v>12</v>
      </c>
      <c r="O1779" s="2" t="s">
        <v>12</v>
      </c>
      <c r="P1779" s="21" t="s">
        <v>12</v>
      </c>
      <c r="Q1779" s="3" t="s">
        <v>75</v>
      </c>
      <c r="R1779" s="3" t="s">
        <v>80</v>
      </c>
    </row>
    <row r="1780" spans="1:18" x14ac:dyDescent="0.25">
      <c r="A1780" s="30">
        <v>45937</v>
      </c>
      <c r="B1780" s="28">
        <v>1770</v>
      </c>
      <c r="C1780" s="28" t="s">
        <v>2161</v>
      </c>
      <c r="D1780" s="2" t="s">
        <v>411</v>
      </c>
      <c r="E1780" s="7" t="s">
        <v>2119</v>
      </c>
      <c r="F1780" s="7"/>
      <c r="G1780" s="2" t="s">
        <v>26</v>
      </c>
      <c r="H1780" s="2" t="s">
        <v>2104</v>
      </c>
      <c r="I1780" s="5">
        <v>11939.95</v>
      </c>
      <c r="J1780" s="57">
        <v>0.05</v>
      </c>
      <c r="K1780" s="3">
        <v>144</v>
      </c>
      <c r="L1780" s="2" t="s">
        <v>64</v>
      </c>
      <c r="M1780" s="2" t="s">
        <v>12</v>
      </c>
      <c r="N1780" s="2" t="s">
        <v>12</v>
      </c>
      <c r="O1780" s="2" t="s">
        <v>12</v>
      </c>
      <c r="P1780" s="21" t="s">
        <v>12</v>
      </c>
      <c r="Q1780" s="3" t="s">
        <v>12</v>
      </c>
      <c r="R1780" s="3"/>
    </row>
    <row r="1781" spans="1:18" x14ac:dyDescent="0.25">
      <c r="A1781" s="30">
        <v>45937</v>
      </c>
      <c r="B1781" s="28">
        <v>1771</v>
      </c>
      <c r="C1781" s="28"/>
      <c r="D1781" s="2" t="s">
        <v>2120</v>
      </c>
      <c r="E1781" s="7" t="s">
        <v>12</v>
      </c>
      <c r="F1781" s="7"/>
      <c r="G1781" s="2" t="s">
        <v>20</v>
      </c>
      <c r="H1781" s="2" t="s">
        <v>799</v>
      </c>
      <c r="I1781" s="5">
        <v>5695.21</v>
      </c>
      <c r="J1781" s="57"/>
      <c r="K1781" s="3">
        <v>72</v>
      </c>
      <c r="L1781" s="2" t="s">
        <v>64</v>
      </c>
      <c r="M1781" s="2" t="s">
        <v>12</v>
      </c>
      <c r="N1781" s="2" t="s">
        <v>12</v>
      </c>
      <c r="O1781" s="2" t="s">
        <v>12</v>
      </c>
      <c r="P1781" s="21" t="s">
        <v>12</v>
      </c>
      <c r="Q1781" s="3" t="s">
        <v>12</v>
      </c>
      <c r="R1781" s="3" t="s">
        <v>12</v>
      </c>
    </row>
    <row r="1782" spans="1:18" x14ac:dyDescent="0.25">
      <c r="A1782" s="30">
        <v>45937</v>
      </c>
      <c r="B1782" s="28">
        <v>1772</v>
      </c>
      <c r="C1782" s="28"/>
      <c r="D1782" s="2" t="s">
        <v>2121</v>
      </c>
      <c r="E1782" s="7" t="s">
        <v>12</v>
      </c>
      <c r="F1782" s="7"/>
      <c r="G1782" s="2" t="s">
        <v>13</v>
      </c>
      <c r="H1782" s="2" t="s">
        <v>15</v>
      </c>
      <c r="I1782" s="5">
        <v>705.31</v>
      </c>
      <c r="J1782" s="57"/>
      <c r="K1782" s="3" t="s">
        <v>12</v>
      </c>
      <c r="L1782" s="2" t="s">
        <v>226</v>
      </c>
      <c r="M1782" s="2" t="s">
        <v>12</v>
      </c>
      <c r="N1782" s="2" t="s">
        <v>12</v>
      </c>
      <c r="O1782" s="2" t="s">
        <v>12</v>
      </c>
      <c r="P1782" s="21" t="s">
        <v>12</v>
      </c>
      <c r="Q1782" s="3" t="s">
        <v>12</v>
      </c>
      <c r="R1782" s="3" t="s">
        <v>12</v>
      </c>
    </row>
    <row r="1783" spans="1:18" x14ac:dyDescent="0.25">
      <c r="A1783" s="30">
        <v>45938</v>
      </c>
      <c r="B1783" s="28">
        <v>1773</v>
      </c>
      <c r="C1783" s="28"/>
      <c r="D1783" s="2" t="s">
        <v>176</v>
      </c>
      <c r="E1783" s="7" t="s">
        <v>12</v>
      </c>
      <c r="F1783" s="7"/>
      <c r="G1783" s="2" t="s">
        <v>13</v>
      </c>
      <c r="H1783" s="2" t="s">
        <v>177</v>
      </c>
      <c r="I1783" s="5">
        <v>10844.55</v>
      </c>
      <c r="J1783" s="57"/>
      <c r="K1783" s="3">
        <v>192</v>
      </c>
      <c r="L1783" s="2" t="s">
        <v>64</v>
      </c>
      <c r="M1783" s="2" t="s">
        <v>12</v>
      </c>
      <c r="N1783" s="2" t="s">
        <v>12</v>
      </c>
      <c r="O1783" s="2" t="s">
        <v>12</v>
      </c>
      <c r="P1783" s="21" t="s">
        <v>12</v>
      </c>
      <c r="Q1783" s="3" t="s">
        <v>12</v>
      </c>
      <c r="R1783" s="3" t="s">
        <v>12</v>
      </c>
    </row>
    <row r="1784" spans="1:18" x14ac:dyDescent="0.25">
      <c r="A1784" s="30">
        <v>45938</v>
      </c>
      <c r="B1784" s="28">
        <v>1774</v>
      </c>
      <c r="C1784" s="28"/>
      <c r="D1784" s="2" t="s">
        <v>496</v>
      </c>
      <c r="E1784" s="7" t="s">
        <v>12</v>
      </c>
      <c r="F1784" s="7"/>
      <c r="G1784" s="2" t="s">
        <v>13</v>
      </c>
      <c r="H1784" s="2" t="s">
        <v>13</v>
      </c>
      <c r="I1784" s="5">
        <v>5827.64</v>
      </c>
      <c r="J1784" s="57"/>
      <c r="K1784" s="3">
        <v>72</v>
      </c>
      <c r="L1784" s="2" t="s">
        <v>226</v>
      </c>
      <c r="M1784" s="2" t="s">
        <v>12</v>
      </c>
      <c r="N1784" s="2" t="s">
        <v>12</v>
      </c>
      <c r="O1784" s="2" t="s">
        <v>12</v>
      </c>
      <c r="P1784" s="21" t="s">
        <v>12</v>
      </c>
      <c r="Q1784" s="3" t="s">
        <v>12</v>
      </c>
      <c r="R1784" s="3" t="s">
        <v>12</v>
      </c>
    </row>
    <row r="1785" spans="1:18" x14ac:dyDescent="0.25">
      <c r="A1785" s="30">
        <v>45938</v>
      </c>
      <c r="B1785" s="28">
        <v>1775</v>
      </c>
      <c r="C1785" s="28"/>
      <c r="D1785" s="2" t="s">
        <v>2122</v>
      </c>
      <c r="E1785" s="7" t="s">
        <v>2123</v>
      </c>
      <c r="F1785" s="7"/>
      <c r="G1785" s="2" t="s">
        <v>97</v>
      </c>
      <c r="H1785" s="2" t="s">
        <v>2124</v>
      </c>
      <c r="I1785" s="5">
        <v>17485.98</v>
      </c>
      <c r="J1785" s="57"/>
      <c r="K1785" s="3">
        <v>168</v>
      </c>
      <c r="L1785" s="2" t="s">
        <v>226</v>
      </c>
      <c r="M1785" s="2" t="s">
        <v>12</v>
      </c>
      <c r="N1785" s="2" t="s">
        <v>12</v>
      </c>
      <c r="O1785" s="2" t="s">
        <v>12</v>
      </c>
      <c r="P1785" s="21" t="s">
        <v>12</v>
      </c>
      <c r="Q1785" s="3" t="s">
        <v>12</v>
      </c>
      <c r="R1785" s="3" t="s">
        <v>12</v>
      </c>
    </row>
    <row r="1786" spans="1:18" x14ac:dyDescent="0.25">
      <c r="A1786" s="30">
        <v>45938</v>
      </c>
      <c r="B1786" s="28">
        <v>1776</v>
      </c>
      <c r="C1786" s="28"/>
      <c r="D1786" s="2" t="s">
        <v>1183</v>
      </c>
      <c r="E1786" s="7" t="s">
        <v>2125</v>
      </c>
      <c r="F1786" s="7"/>
      <c r="G1786" s="2" t="s">
        <v>13</v>
      </c>
      <c r="H1786" s="2" t="s">
        <v>1498</v>
      </c>
      <c r="I1786" s="5">
        <v>38496.32</v>
      </c>
      <c r="J1786" s="57"/>
      <c r="K1786" s="3">
        <v>480</v>
      </c>
      <c r="L1786" s="2" t="s">
        <v>226</v>
      </c>
      <c r="M1786" s="2"/>
      <c r="N1786" s="2" t="s">
        <v>12</v>
      </c>
      <c r="O1786" s="2" t="s">
        <v>12</v>
      </c>
      <c r="P1786" s="21" t="s">
        <v>12</v>
      </c>
      <c r="Q1786" s="3" t="s">
        <v>12</v>
      </c>
      <c r="R1786" s="3"/>
    </row>
    <row r="1787" spans="1:18" x14ac:dyDescent="0.25">
      <c r="A1787" s="30">
        <v>45938</v>
      </c>
      <c r="B1787" s="28">
        <v>1777</v>
      </c>
      <c r="C1787" s="28"/>
      <c r="D1787" s="2" t="s">
        <v>2126</v>
      </c>
      <c r="E1787" s="7" t="s">
        <v>2127</v>
      </c>
      <c r="F1787" s="7"/>
      <c r="G1787" s="2" t="s">
        <v>13</v>
      </c>
      <c r="H1787" s="2" t="s">
        <v>268</v>
      </c>
      <c r="I1787" s="5">
        <v>24004.83</v>
      </c>
      <c r="J1787" s="57"/>
      <c r="K1787" s="3">
        <v>288</v>
      </c>
      <c r="L1787" s="2" t="s">
        <v>226</v>
      </c>
      <c r="M1787" s="2" t="s">
        <v>12</v>
      </c>
      <c r="N1787" s="2" t="s">
        <v>12</v>
      </c>
      <c r="O1787" s="2" t="s">
        <v>12</v>
      </c>
      <c r="P1787" s="21" t="s">
        <v>12</v>
      </c>
      <c r="Q1787" s="3" t="s">
        <v>357</v>
      </c>
      <c r="R1787" s="3" t="s">
        <v>75</v>
      </c>
    </row>
    <row r="1788" spans="1:18" x14ac:dyDescent="0.25">
      <c r="A1788" s="30">
        <v>45938</v>
      </c>
      <c r="B1788" s="28">
        <v>1778</v>
      </c>
      <c r="C1788" s="28"/>
      <c r="D1788" s="2" t="s">
        <v>87</v>
      </c>
      <c r="E1788" s="7" t="s">
        <v>2128</v>
      </c>
      <c r="F1788" s="7"/>
      <c r="G1788" s="2" t="s">
        <v>13</v>
      </c>
      <c r="H1788" s="2" t="s">
        <v>185</v>
      </c>
      <c r="I1788" s="5">
        <v>4874.79</v>
      </c>
      <c r="J1788" s="57"/>
      <c r="K1788" s="3">
        <v>48</v>
      </c>
      <c r="L1788" s="2" t="s">
        <v>64</v>
      </c>
      <c r="M1788" s="2" t="s">
        <v>12</v>
      </c>
      <c r="N1788" s="2" t="s">
        <v>12</v>
      </c>
      <c r="O1788" s="2" t="s">
        <v>12</v>
      </c>
      <c r="P1788" s="21" t="s">
        <v>12</v>
      </c>
      <c r="Q1788" s="3" t="s">
        <v>2067</v>
      </c>
      <c r="R1788" s="3" t="s">
        <v>80</v>
      </c>
    </row>
    <row r="1789" spans="1:18" x14ac:dyDescent="0.25">
      <c r="A1789" s="30">
        <v>45938</v>
      </c>
      <c r="B1789" s="28">
        <v>1779</v>
      </c>
      <c r="C1789" s="28"/>
      <c r="D1789" s="2" t="s">
        <v>92</v>
      </c>
      <c r="E1789" s="7" t="s">
        <v>2129</v>
      </c>
      <c r="F1789" s="7"/>
      <c r="G1789" s="2" t="s">
        <v>26</v>
      </c>
      <c r="H1789" s="2" t="s">
        <v>1169</v>
      </c>
      <c r="I1789" s="5">
        <v>168334.48</v>
      </c>
      <c r="J1789" s="57"/>
      <c r="K1789" s="3">
        <v>1867.2</v>
      </c>
      <c r="L1789" s="2" t="s">
        <v>226</v>
      </c>
      <c r="M1789" s="2" t="s">
        <v>12</v>
      </c>
      <c r="N1789" s="2" t="s">
        <v>12</v>
      </c>
      <c r="O1789" s="2" t="s">
        <v>12</v>
      </c>
      <c r="P1789" s="21" t="s">
        <v>12</v>
      </c>
      <c r="Q1789" s="3" t="s">
        <v>12</v>
      </c>
      <c r="R1789" s="3" t="s">
        <v>12</v>
      </c>
    </row>
    <row r="1790" spans="1:18" x14ac:dyDescent="0.25">
      <c r="A1790" s="30">
        <v>45938</v>
      </c>
      <c r="B1790" s="28">
        <v>1780</v>
      </c>
      <c r="C1790" s="28"/>
      <c r="D1790" s="2" t="s">
        <v>440</v>
      </c>
      <c r="E1790" s="7" t="s">
        <v>911</v>
      </c>
      <c r="F1790" s="7"/>
      <c r="G1790" s="2" t="s">
        <v>111</v>
      </c>
      <c r="H1790" s="2" t="s">
        <v>319</v>
      </c>
      <c r="I1790" s="5">
        <v>180052.96</v>
      </c>
      <c r="J1790" s="57"/>
      <c r="K1790" s="3"/>
      <c r="L1790" s="2" t="s">
        <v>64</v>
      </c>
      <c r="M1790" s="2"/>
      <c r="N1790" s="2"/>
      <c r="O1790" s="2"/>
      <c r="P1790" s="21"/>
      <c r="Q1790" s="3"/>
      <c r="R1790" s="3"/>
    </row>
    <row r="1791" spans="1:18" x14ac:dyDescent="0.25">
      <c r="A1791" s="30">
        <v>45938</v>
      </c>
      <c r="B1791" s="28">
        <v>1781</v>
      </c>
      <c r="C1791" s="28"/>
      <c r="D1791" s="2" t="s">
        <v>1879</v>
      </c>
      <c r="E1791" s="7" t="s">
        <v>12</v>
      </c>
      <c r="F1791" s="7"/>
      <c r="G1791" s="2" t="s">
        <v>20</v>
      </c>
      <c r="H1791" s="2" t="s">
        <v>216</v>
      </c>
      <c r="I1791" s="5">
        <v>57207.47</v>
      </c>
      <c r="J1791" s="57">
        <v>0.03</v>
      </c>
      <c r="K1791" s="3">
        <v>720</v>
      </c>
      <c r="L1791" s="2" t="s">
        <v>64</v>
      </c>
      <c r="M1791" s="2" t="s">
        <v>12</v>
      </c>
      <c r="N1791" s="2" t="s">
        <v>12</v>
      </c>
      <c r="O1791" s="2" t="s">
        <v>12</v>
      </c>
      <c r="P1791" s="21" t="s">
        <v>12</v>
      </c>
      <c r="Q1791" s="3" t="s">
        <v>12</v>
      </c>
      <c r="R1791" s="3" t="s">
        <v>12</v>
      </c>
    </row>
    <row r="1792" spans="1:18" x14ac:dyDescent="0.25">
      <c r="A1792" s="30">
        <v>45939</v>
      </c>
      <c r="B1792" s="28">
        <v>1782</v>
      </c>
      <c r="C1792" s="28"/>
      <c r="D1792" s="2" t="s">
        <v>273</v>
      </c>
      <c r="E1792" s="7" t="s">
        <v>12</v>
      </c>
      <c r="F1792" s="7"/>
      <c r="G1792" s="2" t="s">
        <v>26</v>
      </c>
      <c r="H1792" s="2" t="s">
        <v>116</v>
      </c>
      <c r="I1792" s="5">
        <v>13486.41</v>
      </c>
      <c r="J1792" s="57">
        <v>0.05</v>
      </c>
      <c r="K1792" s="3">
        <v>168</v>
      </c>
      <c r="L1792" s="2" t="s">
        <v>64</v>
      </c>
      <c r="M1792" s="2" t="s">
        <v>12</v>
      </c>
      <c r="N1792" s="2" t="s">
        <v>12</v>
      </c>
      <c r="O1792" s="2" t="s">
        <v>12</v>
      </c>
      <c r="P1792" s="21" t="s">
        <v>12</v>
      </c>
      <c r="Q1792" s="3" t="s">
        <v>12</v>
      </c>
      <c r="R1792" s="3" t="s">
        <v>12</v>
      </c>
    </row>
    <row r="1793" spans="1:18" x14ac:dyDescent="0.25">
      <c r="A1793" s="30">
        <v>45939</v>
      </c>
      <c r="B1793" s="28">
        <v>1783</v>
      </c>
      <c r="C1793" s="28"/>
      <c r="D1793" s="2" t="s">
        <v>103</v>
      </c>
      <c r="E1793" s="7" t="s">
        <v>12</v>
      </c>
      <c r="F1793" s="7"/>
      <c r="G1793" s="2" t="s">
        <v>13</v>
      </c>
      <c r="H1793" s="2" t="s">
        <v>491</v>
      </c>
      <c r="I1793" s="5">
        <v>666.69</v>
      </c>
      <c r="J1793" s="57"/>
      <c r="K1793" s="3" t="s">
        <v>12</v>
      </c>
      <c r="L1793" s="2" t="s">
        <v>64</v>
      </c>
      <c r="M1793" s="2" t="s">
        <v>12</v>
      </c>
      <c r="N1793" s="2" t="s">
        <v>12</v>
      </c>
      <c r="O1793" s="2" t="s">
        <v>12</v>
      </c>
      <c r="P1793" s="21" t="s">
        <v>12</v>
      </c>
      <c r="Q1793" s="3" t="s">
        <v>12</v>
      </c>
      <c r="R1793" s="3" t="s">
        <v>12</v>
      </c>
    </row>
    <row r="1794" spans="1:18" x14ac:dyDescent="0.25">
      <c r="A1794" s="30">
        <v>45939</v>
      </c>
      <c r="B1794" s="28">
        <v>1784</v>
      </c>
      <c r="C1794" s="28"/>
      <c r="D1794" s="2" t="s">
        <v>212</v>
      </c>
      <c r="E1794" s="7" t="s">
        <v>2138</v>
      </c>
      <c r="F1794" s="7"/>
      <c r="G1794" s="2" t="s">
        <v>20</v>
      </c>
      <c r="H1794" s="2" t="s">
        <v>2007</v>
      </c>
      <c r="I1794" s="5">
        <v>26919.89</v>
      </c>
      <c r="J1794" s="57">
        <v>7.0000000000000007E-2</v>
      </c>
      <c r="K1794" s="3">
        <v>336</v>
      </c>
      <c r="L1794" s="2" t="s">
        <v>226</v>
      </c>
      <c r="M1794" s="2" t="s">
        <v>667</v>
      </c>
      <c r="N1794" s="2" t="s">
        <v>12</v>
      </c>
      <c r="O1794" s="2" t="s">
        <v>12</v>
      </c>
      <c r="P1794" s="21" t="s">
        <v>12</v>
      </c>
      <c r="Q1794" s="3" t="s">
        <v>1551</v>
      </c>
      <c r="R1794" s="3" t="s">
        <v>76</v>
      </c>
    </row>
    <row r="1795" spans="1:18" x14ac:dyDescent="0.25">
      <c r="A1795" s="30">
        <v>45939</v>
      </c>
      <c r="B1795" s="28">
        <v>1785</v>
      </c>
      <c r="C1795" s="28"/>
      <c r="D1795" s="2" t="s">
        <v>601</v>
      </c>
      <c r="E1795" s="7" t="s">
        <v>2139</v>
      </c>
      <c r="F1795" s="7"/>
      <c r="G1795" s="2" t="s">
        <v>13</v>
      </c>
      <c r="H1795" s="2" t="s">
        <v>1051</v>
      </c>
      <c r="I1795" s="5">
        <v>544071.06000000006</v>
      </c>
      <c r="J1795" s="57">
        <v>0.05</v>
      </c>
      <c r="K1795" s="3">
        <v>7200</v>
      </c>
      <c r="L1795" s="2" t="s">
        <v>226</v>
      </c>
      <c r="M1795" s="2" t="s">
        <v>12</v>
      </c>
      <c r="N1795" s="2" t="s">
        <v>12</v>
      </c>
      <c r="O1795" s="2" t="s">
        <v>12</v>
      </c>
      <c r="P1795" s="21" t="s">
        <v>12</v>
      </c>
      <c r="Q1795" s="3" t="s">
        <v>12</v>
      </c>
      <c r="R1795" s="3" t="s">
        <v>12</v>
      </c>
    </row>
    <row r="1796" spans="1:18" x14ac:dyDescent="0.25">
      <c r="A1796" s="30">
        <v>45939</v>
      </c>
      <c r="B1796" s="28">
        <v>1786</v>
      </c>
      <c r="C1796" s="28"/>
      <c r="D1796" s="2" t="s">
        <v>176</v>
      </c>
      <c r="E1796" s="7" t="s">
        <v>12</v>
      </c>
      <c r="F1796" s="7"/>
      <c r="G1796" s="2" t="s">
        <v>13</v>
      </c>
      <c r="H1796" s="2" t="s">
        <v>177</v>
      </c>
      <c r="I1796" s="5">
        <v>9248.93</v>
      </c>
      <c r="J1796" s="57">
        <v>0.05</v>
      </c>
      <c r="K1796" s="3">
        <v>168</v>
      </c>
      <c r="L1796" s="2" t="s">
        <v>64</v>
      </c>
      <c r="M1796" s="2" t="s">
        <v>12</v>
      </c>
      <c r="N1796" s="2" t="s">
        <v>12</v>
      </c>
      <c r="O1796" s="2" t="s">
        <v>12</v>
      </c>
      <c r="P1796" s="21" t="s">
        <v>12</v>
      </c>
      <c r="Q1796" s="3" t="s">
        <v>12</v>
      </c>
      <c r="R1796" s="3" t="s">
        <v>12</v>
      </c>
    </row>
    <row r="1797" spans="1:18" x14ac:dyDescent="0.25">
      <c r="A1797" s="30">
        <v>45939</v>
      </c>
      <c r="B1797" s="28">
        <v>1787</v>
      </c>
      <c r="C1797" s="28"/>
      <c r="D1797" s="2" t="s">
        <v>370</v>
      </c>
      <c r="E1797" s="7" t="s">
        <v>2140</v>
      </c>
      <c r="F1797" s="7"/>
      <c r="G1797" s="2" t="s">
        <v>26</v>
      </c>
      <c r="H1797" s="2" t="s">
        <v>148</v>
      </c>
      <c r="I1797" s="5">
        <v>17577.919999999998</v>
      </c>
      <c r="J1797" s="57">
        <v>7.0000000000000007E-2</v>
      </c>
      <c r="K1797" s="3">
        <v>192</v>
      </c>
      <c r="L1797" s="2" t="s">
        <v>226</v>
      </c>
      <c r="M1797" s="2" t="s">
        <v>12</v>
      </c>
      <c r="N1797" s="2" t="s">
        <v>12</v>
      </c>
      <c r="O1797" s="2" t="s">
        <v>12</v>
      </c>
      <c r="P1797" s="21" t="s">
        <v>12</v>
      </c>
      <c r="Q1797" s="3" t="s">
        <v>12</v>
      </c>
      <c r="R1797" s="3" t="s">
        <v>12</v>
      </c>
    </row>
    <row r="1798" spans="1:18" x14ac:dyDescent="0.25">
      <c r="A1798" s="30">
        <v>45939</v>
      </c>
      <c r="B1798" s="28">
        <v>1788</v>
      </c>
      <c r="C1798" s="28"/>
      <c r="D1798" s="2" t="s">
        <v>355</v>
      </c>
      <c r="E1798" s="7" t="s">
        <v>2141</v>
      </c>
      <c r="F1798" s="7"/>
      <c r="G1798" s="2" t="s">
        <v>111</v>
      </c>
      <c r="H1798" s="2" t="s">
        <v>439</v>
      </c>
      <c r="I1798" s="5">
        <v>26148.880000000001</v>
      </c>
      <c r="J1798" s="57">
        <v>7.0000000000000007E-2</v>
      </c>
      <c r="K1798" s="3">
        <v>264</v>
      </c>
      <c r="L1798" s="2" t="s">
        <v>226</v>
      </c>
      <c r="M1798" s="2" t="s">
        <v>667</v>
      </c>
      <c r="N1798" s="2" t="s">
        <v>12</v>
      </c>
      <c r="O1798" s="2" t="s">
        <v>12</v>
      </c>
      <c r="P1798" s="21" t="s">
        <v>12</v>
      </c>
      <c r="Q1798" s="3" t="s">
        <v>12</v>
      </c>
      <c r="R1798" s="3" t="s">
        <v>12</v>
      </c>
    </row>
    <row r="1799" spans="1:18" x14ac:dyDescent="0.25">
      <c r="A1799" s="30">
        <v>45940</v>
      </c>
      <c r="B1799" s="28">
        <v>1789</v>
      </c>
      <c r="C1799" s="28" t="s">
        <v>2162</v>
      </c>
      <c r="D1799" s="2" t="s">
        <v>1099</v>
      </c>
      <c r="E1799" s="7" t="s">
        <v>2142</v>
      </c>
      <c r="F1799" s="7"/>
      <c r="G1799" s="2" t="s">
        <v>20</v>
      </c>
      <c r="H1799" s="2" t="s">
        <v>129</v>
      </c>
      <c r="I1799" s="5">
        <v>49176.24</v>
      </c>
      <c r="J1799" s="57">
        <v>0.03</v>
      </c>
      <c r="K1799" s="3">
        <v>624</v>
      </c>
      <c r="L1799" s="2" t="s">
        <v>64</v>
      </c>
      <c r="M1799" s="2" t="s">
        <v>530</v>
      </c>
      <c r="N1799" s="2" t="s">
        <v>12</v>
      </c>
      <c r="O1799" s="2" t="s">
        <v>12</v>
      </c>
      <c r="P1799" s="21" t="s">
        <v>12</v>
      </c>
      <c r="Q1799" s="3" t="s">
        <v>12</v>
      </c>
      <c r="R1799" s="3" t="s">
        <v>12</v>
      </c>
    </row>
    <row r="1800" spans="1:18" x14ac:dyDescent="0.25">
      <c r="A1800" s="30">
        <v>45940</v>
      </c>
      <c r="B1800" s="28">
        <v>1790</v>
      </c>
      <c r="C1800" s="28" t="s">
        <v>2161</v>
      </c>
      <c r="D1800" s="2" t="s">
        <v>102</v>
      </c>
      <c r="E1800" s="7" t="s">
        <v>12</v>
      </c>
      <c r="F1800" s="7"/>
      <c r="G1800" s="2" t="s">
        <v>13</v>
      </c>
      <c r="H1800" s="2" t="s">
        <v>94</v>
      </c>
      <c r="I1800" s="5">
        <v>1809.15</v>
      </c>
      <c r="J1800" s="57">
        <v>7.0000000000000007E-2</v>
      </c>
      <c r="K1800" s="3">
        <v>24</v>
      </c>
      <c r="L1800" s="2" t="s">
        <v>64</v>
      </c>
      <c r="M1800" s="2" t="s">
        <v>12</v>
      </c>
      <c r="N1800" s="2" t="s">
        <v>12</v>
      </c>
      <c r="O1800" s="2" t="s">
        <v>12</v>
      </c>
      <c r="P1800" s="21" t="s">
        <v>12</v>
      </c>
      <c r="Q1800" s="3" t="s">
        <v>12</v>
      </c>
      <c r="R1800" s="3" t="s">
        <v>12</v>
      </c>
    </row>
    <row r="1801" spans="1:18" x14ac:dyDescent="0.25">
      <c r="A1801" s="30">
        <v>45940</v>
      </c>
      <c r="B1801" s="28">
        <v>1791</v>
      </c>
      <c r="C1801" s="28"/>
      <c r="D1801" s="2" t="s">
        <v>130</v>
      </c>
      <c r="E1801" s="7" t="s">
        <v>2143</v>
      </c>
      <c r="F1801" s="7"/>
      <c r="G1801" s="2" t="s">
        <v>13</v>
      </c>
      <c r="H1801" s="2" t="s">
        <v>369</v>
      </c>
      <c r="I1801" s="5">
        <v>34936.910000000003</v>
      </c>
      <c r="J1801" s="57">
        <v>7.0000000000000007E-2</v>
      </c>
      <c r="K1801" s="3">
        <v>360</v>
      </c>
      <c r="L1801" s="2" t="s">
        <v>226</v>
      </c>
      <c r="M1801" s="2" t="s">
        <v>12</v>
      </c>
      <c r="N1801" s="2" t="s">
        <v>12</v>
      </c>
      <c r="O1801" s="2" t="s">
        <v>12</v>
      </c>
      <c r="P1801" s="21" t="s">
        <v>12</v>
      </c>
      <c r="Q1801" s="3" t="s">
        <v>12</v>
      </c>
      <c r="R1801" s="3" t="s">
        <v>12</v>
      </c>
    </row>
    <row r="1802" spans="1:18" x14ac:dyDescent="0.25">
      <c r="A1802" s="30">
        <v>45940</v>
      </c>
      <c r="B1802" s="28">
        <v>1792</v>
      </c>
      <c r="C1802" s="28" t="s">
        <v>2162</v>
      </c>
      <c r="D1802" s="2" t="s">
        <v>62</v>
      </c>
      <c r="E1802" s="7" t="s">
        <v>12</v>
      </c>
      <c r="F1802" s="7"/>
      <c r="G1802" s="2" t="s">
        <v>26</v>
      </c>
      <c r="H1802" s="2" t="s">
        <v>63</v>
      </c>
      <c r="I1802" s="5">
        <v>5109.37</v>
      </c>
      <c r="J1802" s="57">
        <v>0.05</v>
      </c>
      <c r="K1802" s="3">
        <v>24</v>
      </c>
      <c r="L1802" s="2" t="s">
        <v>64</v>
      </c>
      <c r="M1802" s="2" t="s">
        <v>12</v>
      </c>
      <c r="N1802" s="2" t="s">
        <v>12</v>
      </c>
      <c r="O1802" s="2" t="s">
        <v>12</v>
      </c>
      <c r="P1802" s="21" t="s">
        <v>12</v>
      </c>
      <c r="Q1802" s="3" t="s">
        <v>12</v>
      </c>
      <c r="R1802" s="3" t="s">
        <v>12</v>
      </c>
    </row>
    <row r="1803" spans="1:18" x14ac:dyDescent="0.25">
      <c r="A1803" s="30">
        <v>45944</v>
      </c>
      <c r="B1803" s="28">
        <v>1793</v>
      </c>
      <c r="C1803" s="28" t="s">
        <v>2161</v>
      </c>
      <c r="D1803" s="2" t="s">
        <v>2144</v>
      </c>
      <c r="E1803" s="7" t="s">
        <v>2145</v>
      </c>
      <c r="F1803" s="7"/>
      <c r="G1803" s="2" t="s">
        <v>20</v>
      </c>
      <c r="H1803" s="2" t="s">
        <v>2146</v>
      </c>
      <c r="I1803" s="5">
        <v>16461.78</v>
      </c>
      <c r="J1803" s="57">
        <v>0.04</v>
      </c>
      <c r="K1803" s="3">
        <v>216</v>
      </c>
      <c r="L1803" s="2" t="s">
        <v>64</v>
      </c>
      <c r="M1803" s="2" t="s">
        <v>2083</v>
      </c>
      <c r="N1803" s="2" t="s">
        <v>12</v>
      </c>
      <c r="O1803" s="2" t="s">
        <v>12</v>
      </c>
      <c r="P1803" s="21" t="s">
        <v>12</v>
      </c>
      <c r="Q1803" s="3" t="s">
        <v>12</v>
      </c>
      <c r="R1803" s="3" t="s">
        <v>12</v>
      </c>
    </row>
    <row r="1804" spans="1:18" x14ac:dyDescent="0.25">
      <c r="A1804" s="30">
        <v>45940</v>
      </c>
      <c r="B1804" s="28">
        <v>1794</v>
      </c>
      <c r="C1804" s="28" t="s">
        <v>12</v>
      </c>
      <c r="D1804" s="2" t="s">
        <v>41</v>
      </c>
      <c r="E1804" s="7" t="s">
        <v>2147</v>
      </c>
      <c r="F1804" s="7"/>
      <c r="G1804" s="2" t="s">
        <v>43</v>
      </c>
      <c r="H1804" s="2" t="s">
        <v>319</v>
      </c>
      <c r="I1804" s="5">
        <v>16429.04</v>
      </c>
      <c r="J1804" s="57">
        <v>7.0000000000000007E-2</v>
      </c>
      <c r="K1804" s="3">
        <v>192</v>
      </c>
      <c r="L1804" s="2" t="s">
        <v>226</v>
      </c>
      <c r="M1804" s="2" t="s">
        <v>2312</v>
      </c>
      <c r="N1804" s="2" t="s">
        <v>12</v>
      </c>
      <c r="O1804" s="2" t="s">
        <v>12</v>
      </c>
      <c r="P1804" s="21" t="s">
        <v>12</v>
      </c>
      <c r="Q1804" s="3" t="s">
        <v>12</v>
      </c>
      <c r="R1804" s="3" t="s">
        <v>12</v>
      </c>
    </row>
    <row r="1805" spans="1:18" x14ac:dyDescent="0.25">
      <c r="A1805" s="30">
        <v>45940</v>
      </c>
      <c r="B1805" s="28">
        <v>1795</v>
      </c>
      <c r="C1805" s="28"/>
      <c r="D1805" s="2" t="s">
        <v>41</v>
      </c>
      <c r="E1805" s="7" t="s">
        <v>2148</v>
      </c>
      <c r="F1805" s="7"/>
      <c r="G1805" s="2" t="s">
        <v>43</v>
      </c>
      <c r="H1805" s="2" t="s">
        <v>158</v>
      </c>
      <c r="I1805" s="5">
        <v>1088.32</v>
      </c>
      <c r="J1805" s="57">
        <v>7.0000000000000007E-2</v>
      </c>
      <c r="K1805" s="3" t="s">
        <v>12</v>
      </c>
      <c r="L1805" s="2" t="s">
        <v>134</v>
      </c>
      <c r="M1805" s="2" t="s">
        <v>1400</v>
      </c>
      <c r="N1805" s="2" t="s">
        <v>135</v>
      </c>
      <c r="O1805" s="2" t="s">
        <v>374</v>
      </c>
      <c r="P1805" s="21" t="s">
        <v>12</v>
      </c>
      <c r="Q1805" s="3" t="s">
        <v>12</v>
      </c>
      <c r="R1805" s="3" t="s">
        <v>12</v>
      </c>
    </row>
    <row r="1806" spans="1:18" x14ac:dyDescent="0.25">
      <c r="A1806" s="30">
        <v>45940</v>
      </c>
      <c r="B1806" s="28">
        <v>1796</v>
      </c>
      <c r="C1806" s="28"/>
      <c r="D1806" s="2" t="s">
        <v>1725</v>
      </c>
      <c r="E1806" s="7" t="s">
        <v>12</v>
      </c>
      <c r="F1806" s="7"/>
      <c r="G1806" s="2" t="s">
        <v>13</v>
      </c>
      <c r="H1806" s="2" t="s">
        <v>502</v>
      </c>
      <c r="I1806" s="5">
        <v>8935.67</v>
      </c>
      <c r="J1806" s="57">
        <v>7.0000000000000007E-2</v>
      </c>
      <c r="K1806" s="3">
        <v>144</v>
      </c>
      <c r="L1806" s="2" t="s">
        <v>64</v>
      </c>
      <c r="M1806" s="2" t="s">
        <v>12</v>
      </c>
      <c r="N1806" s="2" t="s">
        <v>12</v>
      </c>
      <c r="O1806" s="2" t="s">
        <v>12</v>
      </c>
      <c r="P1806" s="21" t="s">
        <v>12</v>
      </c>
      <c r="Q1806" s="3" t="s">
        <v>12</v>
      </c>
      <c r="R1806" s="3" t="s">
        <v>12</v>
      </c>
    </row>
    <row r="1807" spans="1:18" x14ac:dyDescent="0.25">
      <c r="A1807" s="30">
        <v>45940</v>
      </c>
      <c r="B1807" s="28">
        <v>1797</v>
      </c>
      <c r="C1807" s="28" t="s">
        <v>2161</v>
      </c>
      <c r="D1807" s="2" t="s">
        <v>109</v>
      </c>
      <c r="E1807" s="7" t="s">
        <v>2149</v>
      </c>
      <c r="F1807" s="7"/>
      <c r="G1807" s="2" t="s">
        <v>111</v>
      </c>
      <c r="H1807" s="2" t="s">
        <v>61</v>
      </c>
      <c r="I1807" s="5">
        <v>225680.57</v>
      </c>
      <c r="J1807" s="57">
        <v>0.05</v>
      </c>
      <c r="K1807" s="3">
        <v>3034.8</v>
      </c>
      <c r="L1807" s="2" t="s">
        <v>226</v>
      </c>
      <c r="M1807" s="2" t="s">
        <v>12</v>
      </c>
      <c r="N1807" s="2" t="s">
        <v>12</v>
      </c>
      <c r="O1807" s="2" t="s">
        <v>12</v>
      </c>
      <c r="P1807" s="21" t="s">
        <v>12</v>
      </c>
      <c r="Q1807" s="3" t="s">
        <v>12</v>
      </c>
      <c r="R1807" s="3" t="s">
        <v>12</v>
      </c>
    </row>
    <row r="1808" spans="1:18" x14ac:dyDescent="0.25">
      <c r="A1808" s="30">
        <v>45943</v>
      </c>
      <c r="B1808" s="28">
        <v>1798</v>
      </c>
      <c r="C1808" s="28"/>
      <c r="D1808" s="2" t="s">
        <v>336</v>
      </c>
      <c r="E1808" s="7" t="s">
        <v>2228</v>
      </c>
      <c r="F1808" s="7"/>
      <c r="G1808" s="2" t="s">
        <v>20</v>
      </c>
      <c r="H1808" s="2" t="s">
        <v>2150</v>
      </c>
      <c r="I1808" s="5">
        <v>3551.99</v>
      </c>
      <c r="J1808" s="57">
        <v>7.0000000000000007E-2</v>
      </c>
      <c r="K1808" s="3" t="s">
        <v>12</v>
      </c>
      <c r="L1808" s="2" t="s">
        <v>64</v>
      </c>
      <c r="M1808" s="2" t="s">
        <v>2083</v>
      </c>
      <c r="N1808" s="2" t="s">
        <v>12</v>
      </c>
      <c r="O1808" s="2" t="s">
        <v>12</v>
      </c>
      <c r="P1808" s="21" t="s">
        <v>12</v>
      </c>
      <c r="Q1808" s="3" t="s">
        <v>12</v>
      </c>
      <c r="R1808" s="3" t="s">
        <v>12</v>
      </c>
    </row>
    <row r="1809" spans="1:18" x14ac:dyDescent="0.25">
      <c r="A1809" s="30">
        <v>45943</v>
      </c>
      <c r="B1809" s="28">
        <v>1799</v>
      </c>
      <c r="C1809" s="28"/>
      <c r="D1809" s="2" t="s">
        <v>646</v>
      </c>
      <c r="E1809" s="7" t="s">
        <v>2164</v>
      </c>
      <c r="F1809" s="7"/>
      <c r="G1809" s="2" t="s">
        <v>111</v>
      </c>
      <c r="H1809" s="2" t="s">
        <v>874</v>
      </c>
      <c r="I1809" s="5">
        <v>7277.77</v>
      </c>
      <c r="J1809" s="57"/>
      <c r="K1809" s="3"/>
      <c r="L1809" s="2" t="s">
        <v>226</v>
      </c>
      <c r="M1809" s="2"/>
      <c r="N1809" s="2"/>
      <c r="O1809" s="2"/>
      <c r="P1809" s="21"/>
      <c r="Q1809" s="3" t="s">
        <v>12</v>
      </c>
      <c r="R1809" s="3" t="s">
        <v>12</v>
      </c>
    </row>
    <row r="1810" spans="1:18" x14ac:dyDescent="0.25">
      <c r="A1810" s="30">
        <v>45944</v>
      </c>
      <c r="B1810" s="28">
        <v>1800</v>
      </c>
      <c r="C1810" s="28" t="s">
        <v>2162</v>
      </c>
      <c r="D1810" s="2" t="s">
        <v>165</v>
      </c>
      <c r="E1810" s="7" t="s">
        <v>1715</v>
      </c>
      <c r="F1810" s="7"/>
      <c r="G1810" s="2" t="s">
        <v>97</v>
      </c>
      <c r="H1810" s="2" t="s">
        <v>167</v>
      </c>
      <c r="I1810" s="5">
        <v>27051.5</v>
      </c>
      <c r="J1810" s="57">
        <v>0.03</v>
      </c>
      <c r="K1810" s="3">
        <v>480</v>
      </c>
      <c r="L1810" s="2" t="s">
        <v>64</v>
      </c>
      <c r="M1810" s="2" t="s">
        <v>12</v>
      </c>
      <c r="N1810" s="2" t="s">
        <v>12</v>
      </c>
      <c r="O1810" s="2" t="s">
        <v>12</v>
      </c>
      <c r="P1810" s="21" t="s">
        <v>12</v>
      </c>
      <c r="Q1810" s="3" t="s">
        <v>12</v>
      </c>
      <c r="R1810" s="3" t="s">
        <v>12</v>
      </c>
    </row>
    <row r="1811" spans="1:18" x14ac:dyDescent="0.25">
      <c r="A1811" s="30">
        <v>45943</v>
      </c>
      <c r="B1811" s="28">
        <v>1801</v>
      </c>
      <c r="C1811" s="28"/>
      <c r="D1811" s="2" t="s">
        <v>103</v>
      </c>
      <c r="E1811" s="7" t="s">
        <v>12</v>
      </c>
      <c r="F1811" s="7"/>
      <c r="G1811" s="2" t="s">
        <v>13</v>
      </c>
      <c r="H1811" s="2" t="s">
        <v>491</v>
      </c>
      <c r="I1811" s="5">
        <v>321.02999999999997</v>
      </c>
      <c r="J1811" s="57">
        <v>7.0000000000000007E-2</v>
      </c>
      <c r="K1811" s="3" t="s">
        <v>12</v>
      </c>
      <c r="L1811" s="2" t="s">
        <v>64</v>
      </c>
      <c r="M1811" s="2" t="s">
        <v>12</v>
      </c>
      <c r="N1811" s="2" t="s">
        <v>12</v>
      </c>
      <c r="O1811" s="2" t="s">
        <v>12</v>
      </c>
      <c r="P1811" s="21" t="s">
        <v>12</v>
      </c>
      <c r="Q1811" s="3" t="s">
        <v>12</v>
      </c>
      <c r="R1811" s="3" t="s">
        <v>12</v>
      </c>
    </row>
    <row r="1812" spans="1:18" x14ac:dyDescent="0.25">
      <c r="A1812" s="30">
        <v>45943</v>
      </c>
      <c r="B1812" s="28">
        <v>1802</v>
      </c>
      <c r="C1812" s="28" t="s">
        <v>2161</v>
      </c>
      <c r="D1812" s="2" t="s">
        <v>1711</v>
      </c>
      <c r="E1812" s="7" t="s">
        <v>2151</v>
      </c>
      <c r="F1812" s="7"/>
      <c r="G1812" s="2" t="s">
        <v>13</v>
      </c>
      <c r="H1812" s="2" t="s">
        <v>1932</v>
      </c>
      <c r="I1812" s="5">
        <v>36201.26</v>
      </c>
      <c r="J1812" s="57">
        <v>0.04</v>
      </c>
      <c r="K1812" s="3">
        <v>468</v>
      </c>
      <c r="L1812" s="2" t="s">
        <v>64</v>
      </c>
      <c r="M1812" s="2" t="s">
        <v>12</v>
      </c>
      <c r="N1812" s="2" t="s">
        <v>12</v>
      </c>
      <c r="O1812" s="2" t="s">
        <v>12</v>
      </c>
      <c r="P1812" s="21" t="s">
        <v>12</v>
      </c>
      <c r="Q1812" s="3" t="s">
        <v>12</v>
      </c>
      <c r="R1812" s="3" t="s">
        <v>12</v>
      </c>
    </row>
    <row r="1813" spans="1:18" x14ac:dyDescent="0.25">
      <c r="A1813" s="30">
        <v>45943</v>
      </c>
      <c r="B1813" s="28">
        <v>1803</v>
      </c>
      <c r="C1813" s="28"/>
      <c r="D1813" s="2" t="s">
        <v>516</v>
      </c>
      <c r="E1813" s="7" t="s">
        <v>2152</v>
      </c>
      <c r="F1813" s="7"/>
      <c r="G1813" s="2" t="s">
        <v>111</v>
      </c>
      <c r="H1813" s="2" t="s">
        <v>1171</v>
      </c>
      <c r="I1813" s="5">
        <v>187.92</v>
      </c>
      <c r="J1813" s="57">
        <v>7.0000000000000007E-2</v>
      </c>
      <c r="K1813" s="3" t="s">
        <v>12</v>
      </c>
      <c r="L1813" s="2" t="s">
        <v>64</v>
      </c>
      <c r="M1813" s="2" t="s">
        <v>12</v>
      </c>
      <c r="N1813" s="2" t="s">
        <v>12</v>
      </c>
      <c r="O1813" s="2" t="s">
        <v>12</v>
      </c>
      <c r="P1813" s="21" t="s">
        <v>12</v>
      </c>
      <c r="Q1813" s="3" t="s">
        <v>12</v>
      </c>
      <c r="R1813" s="3" t="s">
        <v>12</v>
      </c>
    </row>
    <row r="1814" spans="1:18" x14ac:dyDescent="0.25">
      <c r="A1814" s="30">
        <v>45944</v>
      </c>
      <c r="B1814" s="28">
        <v>1804</v>
      </c>
      <c r="C1814" s="28" t="s">
        <v>2161</v>
      </c>
      <c r="D1814" s="2" t="s">
        <v>2153</v>
      </c>
      <c r="E1814" s="7" t="s">
        <v>2154</v>
      </c>
      <c r="F1814" s="7"/>
      <c r="G1814" s="2" t="s">
        <v>97</v>
      </c>
      <c r="H1814" s="2" t="s">
        <v>1502</v>
      </c>
      <c r="I1814" s="5">
        <v>4852.83</v>
      </c>
      <c r="J1814" s="57">
        <v>7.0000000000000007E-2</v>
      </c>
      <c r="K1814" s="3">
        <v>48</v>
      </c>
      <c r="L1814" s="2" t="s">
        <v>226</v>
      </c>
      <c r="M1814" s="2" t="s">
        <v>12</v>
      </c>
      <c r="N1814" s="2" t="s">
        <v>12</v>
      </c>
      <c r="O1814" s="2" t="s">
        <v>12</v>
      </c>
      <c r="P1814" s="21" t="s">
        <v>12</v>
      </c>
      <c r="Q1814" s="3" t="s">
        <v>12</v>
      </c>
      <c r="R1814" s="3" t="s">
        <v>12</v>
      </c>
    </row>
    <row r="1815" spans="1:18" x14ac:dyDescent="0.25">
      <c r="A1815" s="30">
        <v>45943</v>
      </c>
      <c r="B1815" s="28">
        <v>1805</v>
      </c>
      <c r="C1815" s="28"/>
      <c r="D1815" s="2" t="s">
        <v>692</v>
      </c>
      <c r="E1815" s="7" t="s">
        <v>2155</v>
      </c>
      <c r="F1815" s="7"/>
      <c r="G1815" s="2" t="s">
        <v>97</v>
      </c>
      <c r="H1815" s="2" t="s">
        <v>1454</v>
      </c>
      <c r="I1815" s="5">
        <v>575105.46</v>
      </c>
      <c r="J1815" s="57">
        <v>7.0000000000000007E-2</v>
      </c>
      <c r="K1815" s="3">
        <v>6792</v>
      </c>
      <c r="L1815" s="2" t="s">
        <v>73</v>
      </c>
      <c r="M1815" s="2" t="s">
        <v>2227</v>
      </c>
      <c r="N1815" s="2" t="s">
        <v>12</v>
      </c>
      <c r="O1815" s="2" t="s">
        <v>12</v>
      </c>
      <c r="P1815" s="21" t="s">
        <v>12</v>
      </c>
      <c r="Q1815" s="3" t="s">
        <v>692</v>
      </c>
      <c r="R1815" s="3" t="s">
        <v>80</v>
      </c>
    </row>
    <row r="1816" spans="1:18" x14ac:dyDescent="0.25">
      <c r="A1816" s="30">
        <v>45945</v>
      </c>
      <c r="B1816" s="28">
        <v>1806</v>
      </c>
      <c r="C1816" s="28" t="s">
        <v>2161</v>
      </c>
      <c r="D1816" s="2" t="s">
        <v>204</v>
      </c>
      <c r="E1816" s="7" t="s">
        <v>2156</v>
      </c>
      <c r="F1816" s="7"/>
      <c r="G1816" s="2" t="s">
        <v>26</v>
      </c>
      <c r="H1816" s="2" t="s">
        <v>490</v>
      </c>
      <c r="I1816" s="5">
        <v>1732.19</v>
      </c>
      <c r="J1816" s="57">
        <v>0.05</v>
      </c>
      <c r="K1816" s="3">
        <v>24</v>
      </c>
      <c r="L1816" s="2" t="s">
        <v>64</v>
      </c>
      <c r="M1816" s="2" t="s">
        <v>12</v>
      </c>
      <c r="N1816" s="2" t="s">
        <v>12</v>
      </c>
      <c r="O1816" s="2" t="s">
        <v>12</v>
      </c>
      <c r="P1816" s="21" t="s">
        <v>12</v>
      </c>
      <c r="Q1816" s="3" t="s">
        <v>12</v>
      </c>
      <c r="R1816" s="3" t="s">
        <v>12</v>
      </c>
    </row>
    <row r="1817" spans="1:18" x14ac:dyDescent="0.25">
      <c r="A1817" s="30">
        <v>45945</v>
      </c>
      <c r="B1817" s="28">
        <v>1807</v>
      </c>
      <c r="C1817" s="28"/>
      <c r="D1817" s="2"/>
      <c r="E1817" s="7"/>
      <c r="F1817" s="7"/>
      <c r="G1817" s="2" t="s">
        <v>111</v>
      </c>
      <c r="H1817" s="2"/>
      <c r="I1817" s="5"/>
      <c r="J1817" s="57"/>
      <c r="K1817" s="3"/>
      <c r="L1817" s="2" t="s">
        <v>226</v>
      </c>
      <c r="M1817" s="2"/>
      <c r="N1817" s="2"/>
      <c r="O1817" s="2"/>
      <c r="P1817" s="21"/>
      <c r="Q1817" s="3"/>
      <c r="R1817" s="3"/>
    </row>
    <row r="1818" spans="1:18" x14ac:dyDescent="0.25">
      <c r="A1818" s="30">
        <v>45944</v>
      </c>
      <c r="B1818" s="28">
        <v>1808</v>
      </c>
      <c r="C1818" s="28"/>
      <c r="D1818" s="2" t="s">
        <v>95</v>
      </c>
      <c r="E1818" s="7" t="s">
        <v>12</v>
      </c>
      <c r="F1818" s="7"/>
      <c r="G1818" s="2" t="s">
        <v>97</v>
      </c>
      <c r="H1818" s="2" t="s">
        <v>852</v>
      </c>
      <c r="I1818" s="5">
        <v>7170.31</v>
      </c>
      <c r="J1818" s="57">
        <v>7.0000000000000007E-2</v>
      </c>
      <c r="K1818" s="3">
        <v>72</v>
      </c>
      <c r="L1818" s="2" t="s">
        <v>226</v>
      </c>
      <c r="M1818" s="2" t="s">
        <v>12</v>
      </c>
      <c r="N1818" s="2" t="s">
        <v>12</v>
      </c>
      <c r="O1818" s="2" t="s">
        <v>12</v>
      </c>
      <c r="P1818" s="21" t="s">
        <v>12</v>
      </c>
      <c r="Q1818" s="3" t="s">
        <v>12</v>
      </c>
      <c r="R1818" s="3" t="s">
        <v>12</v>
      </c>
    </row>
    <row r="1819" spans="1:18" x14ac:dyDescent="0.25">
      <c r="A1819" s="30">
        <v>45944</v>
      </c>
      <c r="B1819" s="28">
        <v>1809</v>
      </c>
      <c r="C1819" s="28"/>
      <c r="D1819" s="2" t="s">
        <v>433</v>
      </c>
      <c r="E1819" s="7" t="s">
        <v>12</v>
      </c>
      <c r="F1819" s="7"/>
      <c r="G1819" s="2" t="s">
        <v>97</v>
      </c>
      <c r="H1819" s="2" t="s">
        <v>2079</v>
      </c>
      <c r="I1819" s="5">
        <v>116202.36</v>
      </c>
      <c r="J1819" s="57">
        <v>0.03</v>
      </c>
      <c r="K1819" s="3">
        <v>1464</v>
      </c>
      <c r="L1819" s="2" t="s">
        <v>226</v>
      </c>
      <c r="M1819" s="2" t="s">
        <v>1531</v>
      </c>
      <c r="N1819" s="2" t="s">
        <v>12</v>
      </c>
      <c r="O1819" s="2" t="s">
        <v>12</v>
      </c>
      <c r="P1819" s="21" t="s">
        <v>12</v>
      </c>
      <c r="Q1819" s="3" t="s">
        <v>12</v>
      </c>
      <c r="R1819" s="3" t="s">
        <v>12</v>
      </c>
    </row>
    <row r="1820" spans="1:18" x14ac:dyDescent="0.25">
      <c r="A1820" s="30">
        <v>45944</v>
      </c>
      <c r="B1820" s="28">
        <v>1810</v>
      </c>
      <c r="C1820" s="28"/>
      <c r="D1820" s="2" t="s">
        <v>115</v>
      </c>
      <c r="E1820" s="7" t="s">
        <v>12</v>
      </c>
      <c r="F1820" s="7"/>
      <c r="G1820" s="2" t="s">
        <v>20</v>
      </c>
      <c r="H1820" s="2" t="s">
        <v>116</v>
      </c>
      <c r="I1820" s="5">
        <v>6007.23</v>
      </c>
      <c r="J1820" s="57">
        <v>7.0000000000000007E-2</v>
      </c>
      <c r="K1820" s="3">
        <v>72</v>
      </c>
      <c r="L1820" s="2" t="s">
        <v>64</v>
      </c>
      <c r="M1820" s="2" t="s">
        <v>12</v>
      </c>
      <c r="N1820" s="2" t="s">
        <v>12</v>
      </c>
      <c r="O1820" s="2" t="s">
        <v>12</v>
      </c>
      <c r="P1820" s="21" t="s">
        <v>12</v>
      </c>
      <c r="Q1820" s="3" t="s">
        <v>12</v>
      </c>
      <c r="R1820" s="3" t="s">
        <v>12</v>
      </c>
    </row>
    <row r="1821" spans="1:18" x14ac:dyDescent="0.25">
      <c r="A1821" s="30">
        <v>45945</v>
      </c>
      <c r="B1821" s="28">
        <v>1811</v>
      </c>
      <c r="C1821" s="28"/>
      <c r="D1821" s="2" t="s">
        <v>403</v>
      </c>
      <c r="E1821" s="7" t="s">
        <v>2157</v>
      </c>
      <c r="F1821" s="7"/>
      <c r="G1821" s="2" t="s">
        <v>43</v>
      </c>
      <c r="H1821" s="2" t="s">
        <v>405</v>
      </c>
      <c r="I1821" s="5">
        <v>154016.24</v>
      </c>
      <c r="J1821" s="57">
        <v>7.0000000000000007E-2</v>
      </c>
      <c r="K1821" s="3">
        <v>1536</v>
      </c>
      <c r="L1821" s="2" t="s">
        <v>226</v>
      </c>
      <c r="M1821" s="2" t="s">
        <v>12</v>
      </c>
      <c r="N1821" s="2" t="s">
        <v>12</v>
      </c>
      <c r="O1821" s="2" t="s">
        <v>12</v>
      </c>
      <c r="P1821" s="21" t="s">
        <v>12</v>
      </c>
      <c r="Q1821" s="3" t="s">
        <v>12</v>
      </c>
      <c r="R1821" s="3" t="s">
        <v>12</v>
      </c>
    </row>
    <row r="1822" spans="1:18" x14ac:dyDescent="0.25">
      <c r="A1822" s="30">
        <v>45945</v>
      </c>
      <c r="B1822" s="28">
        <v>1812</v>
      </c>
      <c r="C1822" s="28"/>
      <c r="D1822" s="2" t="s">
        <v>1800</v>
      </c>
      <c r="E1822" s="7" t="s">
        <v>2158</v>
      </c>
      <c r="F1822" s="7"/>
      <c r="G1822" s="2" t="s">
        <v>13</v>
      </c>
      <c r="H1822" s="2" t="s">
        <v>337</v>
      </c>
      <c r="I1822" s="5">
        <v>67579.62</v>
      </c>
      <c r="J1822" s="57">
        <v>7.0000000000000007E-2</v>
      </c>
      <c r="K1822" s="3">
        <v>751.2</v>
      </c>
      <c r="L1822" s="2" t="s">
        <v>226</v>
      </c>
      <c r="M1822" s="2" t="s">
        <v>12</v>
      </c>
      <c r="N1822" s="2" t="s">
        <v>12</v>
      </c>
      <c r="O1822" s="2" t="s">
        <v>12</v>
      </c>
      <c r="P1822" s="21" t="s">
        <v>12</v>
      </c>
      <c r="Q1822" s="3" t="s">
        <v>12</v>
      </c>
      <c r="R1822" s="3" t="s">
        <v>12</v>
      </c>
    </row>
    <row r="1823" spans="1:18" x14ac:dyDescent="0.25">
      <c r="A1823" s="30">
        <v>45945</v>
      </c>
      <c r="B1823" s="28">
        <v>1813</v>
      </c>
      <c r="C1823" s="28"/>
      <c r="D1823" s="2" t="s">
        <v>286</v>
      </c>
      <c r="E1823" s="7" t="s">
        <v>2159</v>
      </c>
      <c r="F1823" s="7"/>
      <c r="G1823" s="2" t="s">
        <v>97</v>
      </c>
      <c r="H1823" s="2" t="s">
        <v>288</v>
      </c>
      <c r="I1823" s="5">
        <v>33594.74</v>
      </c>
      <c r="J1823" s="57">
        <v>7.0000000000000007E-2</v>
      </c>
      <c r="K1823" s="3">
        <v>336</v>
      </c>
      <c r="L1823" s="2" t="s">
        <v>226</v>
      </c>
      <c r="M1823" s="2" t="s">
        <v>12</v>
      </c>
      <c r="N1823" s="2" t="s">
        <v>12</v>
      </c>
      <c r="O1823" s="2" t="s">
        <v>12</v>
      </c>
      <c r="P1823" s="21" t="s">
        <v>12</v>
      </c>
      <c r="Q1823" s="3" t="s">
        <v>286</v>
      </c>
      <c r="R1823" s="3" t="s">
        <v>80</v>
      </c>
    </row>
    <row r="1824" spans="1:18" x14ac:dyDescent="0.25">
      <c r="A1824" s="30">
        <v>45946</v>
      </c>
      <c r="B1824" s="28">
        <v>1814</v>
      </c>
      <c r="C1824" s="28"/>
      <c r="D1824" s="2" t="s">
        <v>497</v>
      </c>
      <c r="E1824" s="7" t="s">
        <v>2170</v>
      </c>
      <c r="F1824" s="7"/>
      <c r="G1824" s="2" t="s">
        <v>97</v>
      </c>
      <c r="H1824" s="2" t="s">
        <v>43</v>
      </c>
      <c r="I1824" s="5">
        <v>73684.62</v>
      </c>
      <c r="J1824" s="57">
        <v>7.0000000000000007E-2</v>
      </c>
      <c r="K1824" s="3">
        <v>408</v>
      </c>
      <c r="L1824" s="2" t="s">
        <v>226</v>
      </c>
      <c r="M1824" s="2" t="s">
        <v>12</v>
      </c>
      <c r="N1824" s="2" t="s">
        <v>12</v>
      </c>
      <c r="O1824" s="2" t="s">
        <v>12</v>
      </c>
      <c r="P1824" s="21" t="s">
        <v>12</v>
      </c>
      <c r="Q1824" s="3"/>
      <c r="R1824" s="3"/>
    </row>
    <row r="1825" spans="1:18" x14ac:dyDescent="0.25">
      <c r="A1825" s="30">
        <v>45947</v>
      </c>
      <c r="B1825" s="28">
        <v>1815</v>
      </c>
      <c r="C1825" s="28"/>
      <c r="D1825" s="2" t="s">
        <v>92</v>
      </c>
      <c r="E1825" s="7" t="s">
        <v>2171</v>
      </c>
      <c r="F1825" s="7"/>
      <c r="G1825" s="2" t="s">
        <v>26</v>
      </c>
      <c r="H1825" s="2" t="s">
        <v>751</v>
      </c>
      <c r="I1825" s="5">
        <v>3119.65</v>
      </c>
      <c r="J1825" s="57">
        <v>7.0000000000000007E-2</v>
      </c>
      <c r="K1825" s="3">
        <v>31.2</v>
      </c>
      <c r="L1825" s="2" t="s">
        <v>64</v>
      </c>
      <c r="M1825" s="2" t="s">
        <v>12</v>
      </c>
      <c r="N1825" s="2" t="s">
        <v>12</v>
      </c>
      <c r="O1825" s="2" t="s">
        <v>12</v>
      </c>
      <c r="P1825" s="21" t="s">
        <v>12</v>
      </c>
      <c r="Q1825" s="3" t="s">
        <v>12</v>
      </c>
      <c r="R1825" s="3" t="s">
        <v>12</v>
      </c>
    </row>
    <row r="1826" spans="1:18" x14ac:dyDescent="0.25">
      <c r="A1826" s="30">
        <v>45946</v>
      </c>
      <c r="B1826" s="28">
        <v>1816</v>
      </c>
      <c r="C1826" s="28"/>
      <c r="D1826" s="2" t="s">
        <v>411</v>
      </c>
      <c r="E1826" s="7" t="s">
        <v>2172</v>
      </c>
      <c r="F1826" s="7"/>
      <c r="G1826" s="2" t="s">
        <v>26</v>
      </c>
      <c r="H1826" s="2" t="s">
        <v>413</v>
      </c>
      <c r="I1826" s="5">
        <v>84606.53</v>
      </c>
      <c r="J1826" s="57">
        <v>7.0000000000000007E-2</v>
      </c>
      <c r="K1826" s="3">
        <v>1056</v>
      </c>
      <c r="L1826" s="2" t="s">
        <v>226</v>
      </c>
      <c r="M1826" s="2" t="s">
        <v>12</v>
      </c>
      <c r="N1826" s="2" t="s">
        <v>12</v>
      </c>
      <c r="O1826" s="2" t="s">
        <v>12</v>
      </c>
      <c r="P1826" s="21" t="s">
        <v>12</v>
      </c>
      <c r="Q1826" s="3" t="s">
        <v>2219</v>
      </c>
      <c r="R1826" s="3" t="s">
        <v>80</v>
      </c>
    </row>
    <row r="1827" spans="1:18" x14ac:dyDescent="0.25">
      <c r="A1827" s="30">
        <v>45946</v>
      </c>
      <c r="B1827" s="28">
        <v>1817</v>
      </c>
      <c r="C1827" s="28"/>
      <c r="D1827" s="2" t="s">
        <v>41</v>
      </c>
      <c r="E1827" s="7" t="s">
        <v>2173</v>
      </c>
      <c r="F1827" s="7"/>
      <c r="G1827" s="2" t="s">
        <v>43</v>
      </c>
      <c r="H1827" s="2" t="s">
        <v>43</v>
      </c>
      <c r="I1827" s="5">
        <v>180417.6</v>
      </c>
      <c r="J1827" s="57">
        <v>7.0000000000000007E-2</v>
      </c>
      <c r="K1827" s="3">
        <v>1824</v>
      </c>
      <c r="L1827" s="2" t="s">
        <v>226</v>
      </c>
      <c r="M1827" s="2" t="s">
        <v>2623</v>
      </c>
      <c r="N1827" s="2" t="s">
        <v>12</v>
      </c>
      <c r="O1827" s="2" t="s">
        <v>12</v>
      </c>
      <c r="P1827" s="21" t="s">
        <v>12</v>
      </c>
      <c r="Q1827" s="3" t="s">
        <v>577</v>
      </c>
      <c r="R1827" s="3" t="s">
        <v>76</v>
      </c>
    </row>
    <row r="1828" spans="1:18" x14ac:dyDescent="0.25">
      <c r="A1828" s="30">
        <v>45946</v>
      </c>
      <c r="B1828" s="28">
        <v>1818</v>
      </c>
      <c r="C1828" s="28" t="s">
        <v>2161</v>
      </c>
      <c r="D1828" s="2" t="s">
        <v>1863</v>
      </c>
      <c r="E1828" s="7" t="s">
        <v>2174</v>
      </c>
      <c r="F1828" s="7"/>
      <c r="G1828" s="2" t="s">
        <v>43</v>
      </c>
      <c r="H1828" s="2" t="s">
        <v>769</v>
      </c>
      <c r="I1828" s="5">
        <v>993647.59</v>
      </c>
      <c r="J1828" s="57">
        <v>7.0000000000000007E-2</v>
      </c>
      <c r="K1828" s="3">
        <v>9600</v>
      </c>
      <c r="L1828" s="2" t="s">
        <v>226</v>
      </c>
      <c r="M1828" s="2" t="s">
        <v>12</v>
      </c>
      <c r="N1828" s="2" t="s">
        <v>12</v>
      </c>
      <c r="O1828" s="2" t="s">
        <v>12</v>
      </c>
      <c r="P1828" s="21" t="s">
        <v>12</v>
      </c>
      <c r="Q1828" s="3" t="s">
        <v>12</v>
      </c>
      <c r="R1828" s="3" t="s">
        <v>12</v>
      </c>
    </row>
    <row r="1829" spans="1:18" x14ac:dyDescent="0.25">
      <c r="A1829" s="30">
        <v>45946</v>
      </c>
      <c r="B1829" s="28">
        <v>1819</v>
      </c>
      <c r="C1829" s="28"/>
      <c r="D1829" s="2" t="s">
        <v>697</v>
      </c>
      <c r="E1829" s="7" t="s">
        <v>2175</v>
      </c>
      <c r="F1829" s="7"/>
      <c r="G1829" s="2" t="s">
        <v>43</v>
      </c>
      <c r="H1829" s="2" t="s">
        <v>2269</v>
      </c>
      <c r="I1829" s="5">
        <v>11464.84</v>
      </c>
      <c r="J1829" s="57">
        <v>7.0000000000000007E-2</v>
      </c>
      <c r="K1829" s="3">
        <v>96</v>
      </c>
      <c r="L1829" s="2" t="s">
        <v>226</v>
      </c>
      <c r="M1829" s="2" t="s">
        <v>12</v>
      </c>
      <c r="N1829" s="2" t="s">
        <v>12</v>
      </c>
      <c r="O1829" s="2" t="s">
        <v>12</v>
      </c>
      <c r="P1829" s="21" t="s">
        <v>12</v>
      </c>
      <c r="Q1829" s="3" t="s">
        <v>2220</v>
      </c>
      <c r="R1829" s="3" t="s">
        <v>76</v>
      </c>
    </row>
    <row r="1830" spans="1:18" x14ac:dyDescent="0.25">
      <c r="A1830" s="30">
        <v>45946</v>
      </c>
      <c r="B1830" s="28">
        <v>1820</v>
      </c>
      <c r="C1830" s="28"/>
      <c r="D1830" s="2" t="s">
        <v>516</v>
      </c>
      <c r="E1830" s="7" t="s">
        <v>2177</v>
      </c>
      <c r="F1830" s="7"/>
      <c r="G1830" s="2" t="s">
        <v>111</v>
      </c>
      <c r="H1830" s="2" t="s">
        <v>12</v>
      </c>
      <c r="I1830" s="5" t="s">
        <v>12</v>
      </c>
      <c r="J1830" s="57" t="s">
        <v>12</v>
      </c>
      <c r="K1830" s="3" t="s">
        <v>12</v>
      </c>
      <c r="L1830" s="2" t="s">
        <v>226</v>
      </c>
      <c r="M1830" s="2" t="s">
        <v>12</v>
      </c>
      <c r="N1830" s="2" t="s">
        <v>12</v>
      </c>
      <c r="O1830" s="2" t="s">
        <v>12</v>
      </c>
      <c r="P1830" s="21" t="s">
        <v>12</v>
      </c>
      <c r="Q1830" s="3" t="s">
        <v>12</v>
      </c>
      <c r="R1830" s="3" t="s">
        <v>12</v>
      </c>
    </row>
    <row r="1831" spans="1:18" x14ac:dyDescent="0.25">
      <c r="A1831" s="30">
        <v>45947</v>
      </c>
      <c r="B1831" s="28">
        <v>1821</v>
      </c>
      <c r="C1831" s="28"/>
      <c r="D1831" s="2" t="s">
        <v>1466</v>
      </c>
      <c r="E1831" s="7" t="s">
        <v>2176</v>
      </c>
      <c r="F1831" s="7"/>
      <c r="G1831" s="2" t="s">
        <v>13</v>
      </c>
      <c r="H1831" s="2" t="s">
        <v>882</v>
      </c>
      <c r="I1831" s="5">
        <v>2201.19</v>
      </c>
      <c r="J1831" s="57">
        <v>7.0000000000000007E-2</v>
      </c>
      <c r="K1831" s="3">
        <v>24</v>
      </c>
      <c r="L1831" s="2" t="s">
        <v>226</v>
      </c>
      <c r="M1831" s="2" t="s">
        <v>12</v>
      </c>
      <c r="N1831" s="2" t="s">
        <v>12</v>
      </c>
      <c r="O1831" s="2" t="s">
        <v>12</v>
      </c>
      <c r="P1831" s="21" t="s">
        <v>12</v>
      </c>
      <c r="Q1831" s="3" t="s">
        <v>12</v>
      </c>
      <c r="R1831" s="3" t="s">
        <v>12</v>
      </c>
    </row>
    <row r="1832" spans="1:18" x14ac:dyDescent="0.25">
      <c r="A1832" s="30">
        <v>45947</v>
      </c>
      <c r="B1832" s="28">
        <v>1822</v>
      </c>
      <c r="C1832" s="28"/>
      <c r="D1832" s="2" t="s">
        <v>176</v>
      </c>
      <c r="E1832" s="7" t="s">
        <v>12</v>
      </c>
      <c r="F1832" s="7"/>
      <c r="G1832" s="2" t="s">
        <v>13</v>
      </c>
      <c r="H1832" s="2" t="s">
        <v>177</v>
      </c>
      <c r="I1832" s="5">
        <v>98890.79</v>
      </c>
      <c r="J1832" s="57">
        <v>0.05</v>
      </c>
      <c r="K1832" s="3">
        <v>1680</v>
      </c>
      <c r="L1832" s="2" t="s">
        <v>21</v>
      </c>
      <c r="M1832" s="2" t="s">
        <v>12</v>
      </c>
      <c r="N1832" s="2" t="s">
        <v>12</v>
      </c>
      <c r="O1832" s="2" t="s">
        <v>12</v>
      </c>
      <c r="P1832" s="21" t="s">
        <v>12</v>
      </c>
      <c r="Q1832" s="3" t="s">
        <v>12</v>
      </c>
      <c r="R1832" s="3" t="s">
        <v>12</v>
      </c>
    </row>
    <row r="1833" spans="1:18" x14ac:dyDescent="0.25">
      <c r="A1833" s="30">
        <v>45947</v>
      </c>
      <c r="B1833" s="28">
        <v>1823</v>
      </c>
      <c r="C1833" s="28"/>
      <c r="D1833" s="2" t="s">
        <v>1711</v>
      </c>
      <c r="E1833" s="7" t="s">
        <v>2178</v>
      </c>
      <c r="F1833" s="7"/>
      <c r="G1833" s="2" t="s">
        <v>13</v>
      </c>
      <c r="H1833" s="2" t="s">
        <v>1712</v>
      </c>
      <c r="I1833" s="5">
        <v>30643.95</v>
      </c>
      <c r="J1833" s="57">
        <v>7.0000000000000007E-2</v>
      </c>
      <c r="K1833" s="3">
        <v>336</v>
      </c>
      <c r="L1833" s="2" t="s">
        <v>21</v>
      </c>
      <c r="M1833" s="2" t="s">
        <v>12</v>
      </c>
      <c r="N1833" s="2" t="s">
        <v>12</v>
      </c>
      <c r="O1833" s="2" t="s">
        <v>12</v>
      </c>
      <c r="P1833" s="21" t="s">
        <v>12</v>
      </c>
      <c r="Q1833" s="3" t="s">
        <v>12</v>
      </c>
      <c r="R1833" s="3" t="s">
        <v>12</v>
      </c>
    </row>
    <row r="1834" spans="1:18" x14ac:dyDescent="0.25">
      <c r="A1834" s="30">
        <v>45947</v>
      </c>
      <c r="B1834" s="28">
        <v>1824</v>
      </c>
      <c r="C1834" s="28"/>
      <c r="D1834" s="2" t="s">
        <v>41</v>
      </c>
      <c r="E1834" s="7" t="s">
        <v>2179</v>
      </c>
      <c r="F1834" s="7"/>
      <c r="G1834" s="2" t="s">
        <v>43</v>
      </c>
      <c r="H1834" s="2" t="s">
        <v>319</v>
      </c>
      <c r="I1834" s="5">
        <v>256668.65</v>
      </c>
      <c r="J1834" s="57">
        <v>7.0000000000000007E-2</v>
      </c>
      <c r="K1834" s="3">
        <v>2544</v>
      </c>
      <c r="L1834" s="2" t="s">
        <v>226</v>
      </c>
      <c r="M1834" s="2" t="s">
        <v>12</v>
      </c>
      <c r="N1834" s="2" t="s">
        <v>12</v>
      </c>
      <c r="O1834" s="2" t="s">
        <v>12</v>
      </c>
      <c r="P1834" s="21" t="s">
        <v>12</v>
      </c>
      <c r="Q1834" s="3" t="s">
        <v>2221</v>
      </c>
      <c r="R1834" s="3" t="s">
        <v>76</v>
      </c>
    </row>
    <row r="1835" spans="1:18" x14ac:dyDescent="0.25">
      <c r="A1835" s="30">
        <v>45947</v>
      </c>
      <c r="B1835" s="28">
        <v>1825</v>
      </c>
      <c r="C1835" s="28"/>
      <c r="D1835" s="2" t="s">
        <v>2180</v>
      </c>
      <c r="E1835" s="7" t="s">
        <v>12</v>
      </c>
      <c r="F1835" s="7"/>
      <c r="G1835" s="2" t="s">
        <v>97</v>
      </c>
      <c r="H1835" s="2" t="s">
        <v>616</v>
      </c>
      <c r="I1835" s="5">
        <v>22594.82</v>
      </c>
      <c r="J1835" s="57">
        <v>7.0000000000000007E-2</v>
      </c>
      <c r="K1835" s="3">
        <v>264</v>
      </c>
      <c r="L1835" s="2" t="s">
        <v>226</v>
      </c>
      <c r="M1835" s="2" t="s">
        <v>12</v>
      </c>
      <c r="N1835" s="2" t="s">
        <v>12</v>
      </c>
      <c r="O1835" s="2" t="s">
        <v>12</v>
      </c>
      <c r="P1835" s="21" t="s">
        <v>12</v>
      </c>
      <c r="Q1835" s="3" t="s">
        <v>12</v>
      </c>
      <c r="R1835" s="3" t="s">
        <v>12</v>
      </c>
    </row>
    <row r="1836" spans="1:18" x14ac:dyDescent="0.25">
      <c r="A1836" s="30">
        <v>45947</v>
      </c>
      <c r="B1836" s="28">
        <v>1826</v>
      </c>
      <c r="C1836" s="28"/>
      <c r="D1836" s="2" t="s">
        <v>102</v>
      </c>
      <c r="E1836" s="7" t="s">
        <v>12</v>
      </c>
      <c r="F1836" s="7"/>
      <c r="G1836" s="2" t="s">
        <v>13</v>
      </c>
      <c r="H1836" s="2" t="s">
        <v>2181</v>
      </c>
      <c r="I1836" s="5">
        <v>4324.37</v>
      </c>
      <c r="J1836" s="57">
        <v>7.0000000000000007E-2</v>
      </c>
      <c r="K1836" s="3">
        <v>48</v>
      </c>
      <c r="L1836" s="2" t="s">
        <v>226</v>
      </c>
      <c r="M1836" s="2" t="s">
        <v>12</v>
      </c>
      <c r="N1836" s="2" t="s">
        <v>12</v>
      </c>
      <c r="O1836" s="2" t="s">
        <v>12</v>
      </c>
      <c r="P1836" s="21" t="s">
        <v>12</v>
      </c>
      <c r="Q1836" s="3" t="s">
        <v>12</v>
      </c>
      <c r="R1836" s="3" t="s">
        <v>12</v>
      </c>
    </row>
    <row r="1837" spans="1:18" x14ac:dyDescent="0.25">
      <c r="A1837" s="30">
        <v>45947</v>
      </c>
      <c r="B1837" s="28">
        <v>1827</v>
      </c>
      <c r="C1837" s="28"/>
      <c r="D1837" s="2" t="s">
        <v>2098</v>
      </c>
      <c r="E1837" s="7" t="s">
        <v>12</v>
      </c>
      <c r="F1837" s="7"/>
      <c r="G1837" s="2" t="s">
        <v>13</v>
      </c>
      <c r="H1837" s="2" t="s">
        <v>928</v>
      </c>
      <c r="I1837" s="5">
        <v>2009.25</v>
      </c>
      <c r="J1837" s="57">
        <v>7.0000000000000007E-2</v>
      </c>
      <c r="K1837" s="3">
        <v>24</v>
      </c>
      <c r="L1837" s="2" t="s">
        <v>226</v>
      </c>
      <c r="M1837" s="2" t="s">
        <v>12</v>
      </c>
      <c r="N1837" s="2" t="s">
        <v>12</v>
      </c>
      <c r="O1837" s="2" t="s">
        <v>12</v>
      </c>
      <c r="P1837" s="21" t="s">
        <v>12</v>
      </c>
      <c r="Q1837" s="3" t="s">
        <v>12</v>
      </c>
      <c r="R1837" s="3" t="s">
        <v>12</v>
      </c>
    </row>
    <row r="1838" spans="1:18" x14ac:dyDescent="0.25">
      <c r="A1838" s="30">
        <v>45947</v>
      </c>
      <c r="B1838" s="28">
        <v>1828</v>
      </c>
      <c r="C1838" s="28"/>
      <c r="D1838" s="2" t="s">
        <v>2182</v>
      </c>
      <c r="E1838" s="7" t="s">
        <v>2183</v>
      </c>
      <c r="F1838" s="7"/>
      <c r="G1838" s="2" t="s">
        <v>13</v>
      </c>
      <c r="H1838" s="2" t="s">
        <v>2184</v>
      </c>
      <c r="I1838" s="5">
        <v>19089.82</v>
      </c>
      <c r="J1838" s="57">
        <v>7.0000000000000007E-2</v>
      </c>
      <c r="K1838" s="3">
        <v>240</v>
      </c>
      <c r="L1838" s="2" t="s">
        <v>226</v>
      </c>
      <c r="M1838" s="2" t="s">
        <v>12</v>
      </c>
      <c r="N1838" s="2" t="s">
        <v>12</v>
      </c>
      <c r="O1838" s="2" t="s">
        <v>12</v>
      </c>
      <c r="P1838" s="21" t="s">
        <v>12</v>
      </c>
      <c r="Q1838" s="3" t="s">
        <v>457</v>
      </c>
      <c r="R1838" s="3" t="s">
        <v>80</v>
      </c>
    </row>
    <row r="1839" spans="1:18" x14ac:dyDescent="0.25">
      <c r="A1839" s="30">
        <v>45947</v>
      </c>
      <c r="B1839" s="28">
        <v>1829</v>
      </c>
      <c r="C1839" s="28"/>
      <c r="D1839" s="2" t="s">
        <v>1954</v>
      </c>
      <c r="E1839" s="7" t="s">
        <v>12</v>
      </c>
      <c r="F1839" s="7"/>
      <c r="G1839" s="2" t="s">
        <v>13</v>
      </c>
      <c r="H1839" s="2" t="s">
        <v>368</v>
      </c>
      <c r="I1839" s="5">
        <v>3450</v>
      </c>
      <c r="J1839" s="57">
        <v>7.0000000000000007E-2</v>
      </c>
      <c r="K1839" s="3" t="s">
        <v>12</v>
      </c>
      <c r="L1839" s="2" t="s">
        <v>64</v>
      </c>
      <c r="M1839" s="2" t="s">
        <v>12</v>
      </c>
      <c r="N1839" s="2" t="s">
        <v>12</v>
      </c>
      <c r="O1839" s="2" t="s">
        <v>12</v>
      </c>
      <c r="P1839" s="21" t="s">
        <v>12</v>
      </c>
      <c r="Q1839" s="3" t="s">
        <v>12</v>
      </c>
      <c r="R1839" s="3" t="s">
        <v>12</v>
      </c>
    </row>
    <row r="1840" spans="1:18" x14ac:dyDescent="0.25">
      <c r="A1840" s="30">
        <v>45950</v>
      </c>
      <c r="B1840" s="28">
        <v>1830</v>
      </c>
      <c r="C1840" s="28" t="s">
        <v>2161</v>
      </c>
      <c r="D1840" s="2" t="s">
        <v>298</v>
      </c>
      <c r="E1840" s="7" t="s">
        <v>12</v>
      </c>
      <c r="F1840" s="7"/>
      <c r="G1840" s="2" t="s">
        <v>13</v>
      </c>
      <c r="H1840" s="2" t="s">
        <v>13</v>
      </c>
      <c r="I1840" s="5">
        <v>20361.900000000001</v>
      </c>
      <c r="J1840" s="57">
        <v>0.05</v>
      </c>
      <c r="K1840" s="3">
        <v>264</v>
      </c>
      <c r="L1840" s="2" t="s">
        <v>226</v>
      </c>
      <c r="M1840" s="2" t="s">
        <v>12</v>
      </c>
      <c r="N1840" s="2" t="s">
        <v>12</v>
      </c>
      <c r="O1840" s="2" t="s">
        <v>12</v>
      </c>
      <c r="P1840" s="21" t="s">
        <v>12</v>
      </c>
      <c r="Q1840" s="3" t="s">
        <v>12</v>
      </c>
      <c r="R1840" s="3" t="s">
        <v>12</v>
      </c>
    </row>
    <row r="1841" spans="1:18" x14ac:dyDescent="0.25">
      <c r="A1841" s="30">
        <v>45950</v>
      </c>
      <c r="B1841" s="28">
        <v>1831</v>
      </c>
      <c r="C1841" s="28" t="s">
        <v>2162</v>
      </c>
      <c r="D1841" s="2" t="s">
        <v>433</v>
      </c>
      <c r="E1841" s="7" t="s">
        <v>2185</v>
      </c>
      <c r="F1841" s="7"/>
      <c r="G1841" s="2" t="s">
        <v>97</v>
      </c>
      <c r="H1841" s="2" t="s">
        <v>395</v>
      </c>
      <c r="I1841" s="5">
        <v>107577.58</v>
      </c>
      <c r="J1841" s="57">
        <v>0.03</v>
      </c>
      <c r="K1841" s="3">
        <v>1440</v>
      </c>
      <c r="L1841" s="2" t="s">
        <v>226</v>
      </c>
      <c r="M1841" s="2" t="s">
        <v>12</v>
      </c>
      <c r="N1841" s="2" t="s">
        <v>12</v>
      </c>
      <c r="O1841" s="2" t="s">
        <v>12</v>
      </c>
      <c r="P1841" s="21" t="s">
        <v>12</v>
      </c>
      <c r="Q1841" s="3" t="s">
        <v>12</v>
      </c>
      <c r="R1841" s="3" t="s">
        <v>12</v>
      </c>
    </row>
    <row r="1842" spans="1:18" x14ac:dyDescent="0.25">
      <c r="A1842" s="30">
        <v>45950</v>
      </c>
      <c r="B1842" s="28">
        <v>1832</v>
      </c>
      <c r="C1842" s="28"/>
      <c r="D1842" s="2" t="s">
        <v>130</v>
      </c>
      <c r="E1842" s="7" t="s">
        <v>2186</v>
      </c>
      <c r="F1842" s="7"/>
      <c r="G1842" s="2" t="s">
        <v>26</v>
      </c>
      <c r="H1842" s="2" t="s">
        <v>369</v>
      </c>
      <c r="I1842" s="5">
        <v>342694.16</v>
      </c>
      <c r="J1842" s="57">
        <v>7.0000000000000007E-2</v>
      </c>
      <c r="K1842" s="3">
        <v>3648</v>
      </c>
      <c r="L1842" s="2" t="s">
        <v>226</v>
      </c>
      <c r="M1842" s="2" t="s">
        <v>12</v>
      </c>
      <c r="N1842" s="2" t="s">
        <v>12</v>
      </c>
      <c r="O1842" s="2" t="s">
        <v>12</v>
      </c>
      <c r="P1842" s="21" t="s">
        <v>12</v>
      </c>
      <c r="Q1842" s="3" t="s">
        <v>959</v>
      </c>
      <c r="R1842" s="3" t="s">
        <v>75</v>
      </c>
    </row>
    <row r="1843" spans="1:18" x14ac:dyDescent="0.25">
      <c r="A1843" s="30">
        <v>45951</v>
      </c>
      <c r="B1843" s="28">
        <v>1833</v>
      </c>
      <c r="C1843" s="28" t="s">
        <v>2161</v>
      </c>
      <c r="D1843" s="2" t="s">
        <v>1091</v>
      </c>
      <c r="E1843" s="7" t="s">
        <v>2187</v>
      </c>
      <c r="F1843" s="7"/>
      <c r="G1843" s="2" t="s">
        <v>26</v>
      </c>
      <c r="H1843" s="2" t="s">
        <v>225</v>
      </c>
      <c r="I1843" s="5">
        <v>14558.69</v>
      </c>
      <c r="J1843" s="57">
        <v>0.04</v>
      </c>
      <c r="K1843" s="3">
        <v>144</v>
      </c>
      <c r="L1843" s="2" t="s">
        <v>134</v>
      </c>
      <c r="M1843" s="2" t="s">
        <v>2270</v>
      </c>
      <c r="N1843" s="2" t="s">
        <v>373</v>
      </c>
      <c r="O1843" s="2" t="s">
        <v>374</v>
      </c>
      <c r="P1843" s="21">
        <v>12500</v>
      </c>
      <c r="Q1843" s="3" t="s">
        <v>12</v>
      </c>
      <c r="R1843" s="3" t="s">
        <v>12</v>
      </c>
    </row>
    <row r="1844" spans="1:18" x14ac:dyDescent="0.25">
      <c r="A1844" s="30">
        <v>45950</v>
      </c>
      <c r="B1844" s="28">
        <v>1834</v>
      </c>
      <c r="C1844" s="28"/>
      <c r="D1844" s="2" t="s">
        <v>524</v>
      </c>
      <c r="E1844" s="7" t="s">
        <v>2188</v>
      </c>
      <c r="F1844" s="7"/>
      <c r="G1844" s="2" t="s">
        <v>13</v>
      </c>
      <c r="H1844" s="2" t="s">
        <v>1251</v>
      </c>
      <c r="I1844" s="5">
        <v>100227.56</v>
      </c>
      <c r="J1844" s="57">
        <v>0.03</v>
      </c>
      <c r="K1844" s="3">
        <v>1344</v>
      </c>
      <c r="L1844" s="2" t="s">
        <v>64</v>
      </c>
      <c r="M1844" s="2" t="s">
        <v>2227</v>
      </c>
      <c r="N1844" s="2" t="s">
        <v>12</v>
      </c>
      <c r="O1844" s="2" t="s">
        <v>12</v>
      </c>
      <c r="P1844" s="21" t="s">
        <v>12</v>
      </c>
      <c r="Q1844" s="3" t="s">
        <v>12</v>
      </c>
      <c r="R1844" s="3" t="s">
        <v>12</v>
      </c>
    </row>
    <row r="1845" spans="1:18" x14ac:dyDescent="0.25">
      <c r="A1845" s="30">
        <v>45950</v>
      </c>
      <c r="B1845" s="28">
        <v>1835</v>
      </c>
      <c r="C1845" s="28"/>
      <c r="D1845" s="2" t="s">
        <v>87</v>
      </c>
      <c r="E1845" s="7" t="s">
        <v>2189</v>
      </c>
      <c r="F1845" s="7"/>
      <c r="G1845" s="2" t="s">
        <v>13</v>
      </c>
      <c r="H1845" s="2" t="s">
        <v>238</v>
      </c>
      <c r="I1845" s="5">
        <v>10045.799999999999</v>
      </c>
      <c r="J1845" s="57">
        <v>7.0000000000000007E-2</v>
      </c>
      <c r="K1845" s="3">
        <v>96</v>
      </c>
      <c r="L1845" s="2" t="s">
        <v>226</v>
      </c>
      <c r="M1845" s="2" t="s">
        <v>12</v>
      </c>
      <c r="N1845" s="2" t="s">
        <v>12</v>
      </c>
      <c r="O1845" s="2" t="s">
        <v>12</v>
      </c>
      <c r="P1845" s="21" t="s">
        <v>12</v>
      </c>
      <c r="Q1845" s="3" t="s">
        <v>2222</v>
      </c>
      <c r="R1845" s="3" t="s">
        <v>75</v>
      </c>
    </row>
    <row r="1846" spans="1:18" x14ac:dyDescent="0.25">
      <c r="A1846" s="30">
        <v>45950</v>
      </c>
      <c r="B1846" s="28">
        <v>1836</v>
      </c>
      <c r="C1846" s="28" t="s">
        <v>2161</v>
      </c>
      <c r="D1846" s="2" t="s">
        <v>2190</v>
      </c>
      <c r="E1846" s="7" t="s">
        <v>12</v>
      </c>
      <c r="F1846" s="7"/>
      <c r="G1846" s="2" t="s">
        <v>13</v>
      </c>
      <c r="H1846" s="2" t="s">
        <v>565</v>
      </c>
      <c r="I1846" s="5">
        <v>7912.87</v>
      </c>
      <c r="J1846" s="57">
        <v>0.05</v>
      </c>
      <c r="K1846" s="3">
        <v>144</v>
      </c>
      <c r="L1846" s="2" t="s">
        <v>226</v>
      </c>
      <c r="M1846" s="2" t="s">
        <v>12</v>
      </c>
      <c r="N1846" s="2" t="s">
        <v>12</v>
      </c>
      <c r="O1846" s="2" t="s">
        <v>12</v>
      </c>
      <c r="P1846" s="21" t="s">
        <v>12</v>
      </c>
      <c r="Q1846" s="3" t="s">
        <v>12</v>
      </c>
      <c r="R1846" s="3" t="s">
        <v>12</v>
      </c>
    </row>
    <row r="1847" spans="1:18" x14ac:dyDescent="0.25">
      <c r="A1847" s="30">
        <v>45950</v>
      </c>
      <c r="B1847" s="28">
        <v>1837</v>
      </c>
      <c r="C1847" s="28"/>
      <c r="D1847" s="2" t="s">
        <v>2191</v>
      </c>
      <c r="E1847" s="7" t="s">
        <v>12</v>
      </c>
      <c r="F1847" s="7"/>
      <c r="G1847" s="2" t="s">
        <v>13</v>
      </c>
      <c r="H1847" s="2" t="s">
        <v>2192</v>
      </c>
      <c r="I1847" s="5">
        <v>8181.18</v>
      </c>
      <c r="J1847" s="57">
        <v>7.0000000000000007E-2</v>
      </c>
      <c r="K1847" s="3">
        <v>96</v>
      </c>
      <c r="L1847" s="2" t="s">
        <v>226</v>
      </c>
      <c r="M1847" s="2" t="s">
        <v>12</v>
      </c>
      <c r="N1847" s="2" t="s">
        <v>12</v>
      </c>
      <c r="O1847" s="2" t="s">
        <v>12</v>
      </c>
      <c r="P1847" s="21" t="s">
        <v>12</v>
      </c>
      <c r="Q1847" s="3" t="s">
        <v>12</v>
      </c>
      <c r="R1847" s="3" t="s">
        <v>12</v>
      </c>
    </row>
    <row r="1848" spans="1:18" x14ac:dyDescent="0.25">
      <c r="A1848" s="30">
        <v>45951</v>
      </c>
      <c r="B1848" s="28">
        <v>1838</v>
      </c>
      <c r="C1848" s="28" t="s">
        <v>2229</v>
      </c>
      <c r="D1848" s="2" t="s">
        <v>23</v>
      </c>
      <c r="E1848" s="7" t="s">
        <v>2193</v>
      </c>
      <c r="F1848" s="7"/>
      <c r="G1848" s="2" t="s">
        <v>20</v>
      </c>
      <c r="H1848" s="2" t="s">
        <v>24</v>
      </c>
      <c r="I1848" s="5">
        <v>98844.41</v>
      </c>
      <c r="J1848" s="57">
        <v>0.03</v>
      </c>
      <c r="K1848" s="3">
        <v>1200</v>
      </c>
      <c r="L1848" s="2" t="s">
        <v>64</v>
      </c>
      <c r="M1848" s="2" t="s">
        <v>12</v>
      </c>
      <c r="N1848" s="2" t="s">
        <v>12</v>
      </c>
      <c r="O1848" s="2" t="s">
        <v>12</v>
      </c>
      <c r="P1848" s="21" t="s">
        <v>12</v>
      </c>
      <c r="Q1848" s="3" t="s">
        <v>12</v>
      </c>
      <c r="R1848" s="3" t="s">
        <v>12</v>
      </c>
    </row>
    <row r="1849" spans="1:18" x14ac:dyDescent="0.25">
      <c r="A1849" s="30">
        <v>45951</v>
      </c>
      <c r="B1849" s="28">
        <v>1839</v>
      </c>
      <c r="C1849" s="28" t="s">
        <v>2229</v>
      </c>
      <c r="D1849" s="2" t="s">
        <v>336</v>
      </c>
      <c r="E1849" s="7" t="s">
        <v>2194</v>
      </c>
      <c r="F1849" s="7"/>
      <c r="G1849" s="2" t="s">
        <v>20</v>
      </c>
      <c r="H1849" s="2" t="s">
        <v>2150</v>
      </c>
      <c r="I1849" s="5">
        <v>105957.66</v>
      </c>
      <c r="J1849" s="57">
        <v>0.03</v>
      </c>
      <c r="K1849" s="3">
        <v>1416</v>
      </c>
      <c r="L1849" s="2" t="s">
        <v>64</v>
      </c>
      <c r="M1849" s="2" t="s">
        <v>12</v>
      </c>
      <c r="N1849" s="2" t="s">
        <v>12</v>
      </c>
      <c r="O1849" s="2" t="s">
        <v>12</v>
      </c>
      <c r="P1849" s="21" t="s">
        <v>12</v>
      </c>
      <c r="Q1849" s="3" t="s">
        <v>12</v>
      </c>
      <c r="R1849" s="3" t="s">
        <v>12</v>
      </c>
    </row>
    <row r="1850" spans="1:18" x14ac:dyDescent="0.25">
      <c r="A1850" s="30">
        <v>45951</v>
      </c>
      <c r="B1850" s="28">
        <v>1840</v>
      </c>
      <c r="C1850" s="28" t="s">
        <v>2162</v>
      </c>
      <c r="D1850" s="2" t="s">
        <v>336</v>
      </c>
      <c r="E1850" s="7" t="s">
        <v>2195</v>
      </c>
      <c r="F1850" s="7"/>
      <c r="G1850" s="2" t="s">
        <v>20</v>
      </c>
      <c r="H1850" s="2" t="s">
        <v>2150</v>
      </c>
      <c r="I1850" s="5">
        <v>27391.88</v>
      </c>
      <c r="J1850" s="57">
        <v>0.03</v>
      </c>
      <c r="K1850" s="3">
        <v>408</v>
      </c>
      <c r="L1850" s="2" t="s">
        <v>64</v>
      </c>
      <c r="M1850" s="2" t="s">
        <v>530</v>
      </c>
      <c r="N1850" s="2" t="s">
        <v>12</v>
      </c>
      <c r="O1850" s="2" t="s">
        <v>12</v>
      </c>
      <c r="P1850" s="21" t="s">
        <v>12</v>
      </c>
      <c r="Q1850" s="3" t="s">
        <v>12</v>
      </c>
      <c r="R1850" s="3" t="s">
        <v>12</v>
      </c>
    </row>
    <row r="1851" spans="1:18" x14ac:dyDescent="0.25">
      <c r="A1851" s="30">
        <v>45951</v>
      </c>
      <c r="B1851" s="28">
        <v>1841</v>
      </c>
      <c r="C1851" s="28"/>
      <c r="D1851" s="2" t="s">
        <v>1328</v>
      </c>
      <c r="E1851" s="7" t="s">
        <v>12</v>
      </c>
      <c r="F1851" s="7"/>
      <c r="G1851" s="2" t="s">
        <v>13</v>
      </c>
      <c r="H1851" s="2" t="s">
        <v>1458</v>
      </c>
      <c r="I1851" s="5">
        <v>2156.9499999999998</v>
      </c>
      <c r="J1851" s="57">
        <v>7.0000000000000007E-2</v>
      </c>
      <c r="K1851" s="3">
        <v>24</v>
      </c>
      <c r="L1851" s="2" t="s">
        <v>226</v>
      </c>
      <c r="M1851" s="2" t="s">
        <v>12</v>
      </c>
      <c r="N1851" s="2" t="s">
        <v>12</v>
      </c>
      <c r="O1851" s="2" t="s">
        <v>12</v>
      </c>
      <c r="P1851" s="21" t="s">
        <v>12</v>
      </c>
      <c r="Q1851" s="3" t="s">
        <v>12</v>
      </c>
      <c r="R1851" s="3" t="s">
        <v>12</v>
      </c>
    </row>
    <row r="1852" spans="1:18" x14ac:dyDescent="0.25">
      <c r="A1852" s="30">
        <v>45951</v>
      </c>
      <c r="B1852" s="28">
        <v>1842</v>
      </c>
      <c r="C1852" s="28"/>
      <c r="D1852" s="2" t="s">
        <v>2196</v>
      </c>
      <c r="E1852" s="7" t="s">
        <v>2087</v>
      </c>
      <c r="F1852" s="7"/>
      <c r="G1852" s="2" t="s">
        <v>13</v>
      </c>
      <c r="H1852" s="2" t="s">
        <v>2197</v>
      </c>
      <c r="I1852" s="5">
        <v>160560.88</v>
      </c>
      <c r="J1852" s="57">
        <v>7.0000000000000007E-2</v>
      </c>
      <c r="K1852" s="3">
        <v>1728</v>
      </c>
      <c r="L1852" s="2" t="s">
        <v>226</v>
      </c>
      <c r="M1852" s="2" t="s">
        <v>12</v>
      </c>
      <c r="N1852" s="2" t="s">
        <v>12</v>
      </c>
      <c r="O1852" s="2" t="s">
        <v>12</v>
      </c>
      <c r="P1852" s="21" t="s">
        <v>12</v>
      </c>
      <c r="Q1852" s="3" t="s">
        <v>297</v>
      </c>
      <c r="R1852" s="3" t="s">
        <v>80</v>
      </c>
    </row>
    <row r="1853" spans="1:18" x14ac:dyDescent="0.25">
      <c r="A1853" s="30">
        <v>45951</v>
      </c>
      <c r="B1853" s="28">
        <v>1843</v>
      </c>
      <c r="C1853" s="28" t="s">
        <v>2271</v>
      </c>
      <c r="D1853" s="2" t="s">
        <v>1446</v>
      </c>
      <c r="E1853" s="7" t="s">
        <v>2198</v>
      </c>
      <c r="F1853" s="7"/>
      <c r="G1853" s="2" t="s">
        <v>43</v>
      </c>
      <c r="H1853" s="2" t="s">
        <v>2007</v>
      </c>
      <c r="I1853" s="5">
        <v>7623.17</v>
      </c>
      <c r="J1853" s="57">
        <v>0.04</v>
      </c>
      <c r="K1853" s="3">
        <v>72</v>
      </c>
      <c r="L1853" s="2" t="s">
        <v>64</v>
      </c>
      <c r="M1853" s="2" t="s">
        <v>2073</v>
      </c>
      <c r="N1853" s="2" t="s">
        <v>12</v>
      </c>
      <c r="O1853" s="2" t="s">
        <v>12</v>
      </c>
      <c r="P1853" s="21" t="s">
        <v>12</v>
      </c>
      <c r="Q1853" s="3" t="s">
        <v>12</v>
      </c>
      <c r="R1853" s="3" t="s">
        <v>12</v>
      </c>
    </row>
    <row r="1854" spans="1:18" x14ac:dyDescent="0.25">
      <c r="A1854" s="30">
        <v>45951</v>
      </c>
      <c r="B1854" s="28">
        <v>1844</v>
      </c>
      <c r="C1854" s="28"/>
      <c r="D1854" s="2" t="s">
        <v>1446</v>
      </c>
      <c r="E1854" s="7" t="s">
        <v>2547</v>
      </c>
      <c r="F1854" s="7"/>
      <c r="G1854" s="2" t="s">
        <v>43</v>
      </c>
      <c r="H1854" s="2" t="s">
        <v>2007</v>
      </c>
      <c r="I1854" s="5">
        <v>12630.7</v>
      </c>
      <c r="J1854" s="57">
        <v>0.04</v>
      </c>
      <c r="K1854" s="3">
        <v>120</v>
      </c>
      <c r="L1854" s="2" t="s">
        <v>226</v>
      </c>
      <c r="M1854" s="2" t="s">
        <v>12</v>
      </c>
      <c r="N1854" s="2" t="s">
        <v>12</v>
      </c>
      <c r="O1854" s="2" t="s">
        <v>12</v>
      </c>
      <c r="P1854" s="21" t="s">
        <v>12</v>
      </c>
      <c r="Q1854" s="3" t="s">
        <v>12</v>
      </c>
      <c r="R1854" s="3"/>
    </row>
    <row r="1855" spans="1:18" x14ac:dyDescent="0.25">
      <c r="A1855" s="30">
        <v>45951</v>
      </c>
      <c r="B1855" s="28">
        <v>1845</v>
      </c>
      <c r="C1855" s="28"/>
      <c r="D1855" s="2" t="s">
        <v>1190</v>
      </c>
      <c r="E1855" s="7" t="s">
        <v>2199</v>
      </c>
      <c r="F1855" s="7"/>
      <c r="G1855" s="2" t="s">
        <v>43</v>
      </c>
      <c r="H1855" s="2" t="s">
        <v>390</v>
      </c>
      <c r="I1855" s="5">
        <v>21137.94</v>
      </c>
      <c r="J1855" s="57">
        <v>0.05</v>
      </c>
      <c r="K1855" s="3">
        <v>264</v>
      </c>
      <c r="L1855" s="2" t="s">
        <v>64</v>
      </c>
      <c r="M1855" s="2" t="s">
        <v>12</v>
      </c>
      <c r="N1855" s="2" t="s">
        <v>12</v>
      </c>
      <c r="O1855" s="2" t="s">
        <v>12</v>
      </c>
      <c r="P1855" s="21" t="s">
        <v>12</v>
      </c>
      <c r="Q1855" s="3" t="s">
        <v>12</v>
      </c>
      <c r="R1855" s="3" t="s">
        <v>12</v>
      </c>
    </row>
    <row r="1856" spans="1:18" x14ac:dyDescent="0.25">
      <c r="A1856" s="30">
        <v>45951</v>
      </c>
      <c r="B1856" s="28">
        <v>1846</v>
      </c>
      <c r="C1856" s="28"/>
      <c r="D1856" s="2" t="s">
        <v>1190</v>
      </c>
      <c r="E1856" s="7" t="s">
        <v>2199</v>
      </c>
      <c r="F1856" s="7"/>
      <c r="G1856" s="2" t="s">
        <v>43</v>
      </c>
      <c r="H1856" s="2" t="s">
        <v>390</v>
      </c>
      <c r="I1856" s="5">
        <v>21314.99</v>
      </c>
      <c r="J1856" s="57">
        <v>0.05</v>
      </c>
      <c r="K1856" s="3">
        <v>264</v>
      </c>
      <c r="L1856" s="2" t="s">
        <v>64</v>
      </c>
      <c r="M1856" s="2" t="s">
        <v>12</v>
      </c>
      <c r="N1856" s="2" t="s">
        <v>12</v>
      </c>
      <c r="O1856" s="2" t="s">
        <v>12</v>
      </c>
      <c r="P1856" s="21" t="s">
        <v>12</v>
      </c>
      <c r="Q1856" s="3" t="s">
        <v>12</v>
      </c>
      <c r="R1856" s="3" t="s">
        <v>12</v>
      </c>
    </row>
    <row r="1857" spans="1:18" x14ac:dyDescent="0.25">
      <c r="A1857" s="30">
        <v>45951</v>
      </c>
      <c r="B1857" s="28">
        <v>1847</v>
      </c>
      <c r="C1857" s="28" t="s">
        <v>2161</v>
      </c>
      <c r="D1857" s="2" t="s">
        <v>1190</v>
      </c>
      <c r="E1857" s="7" t="s">
        <v>2200</v>
      </c>
      <c r="F1857" s="7"/>
      <c r="G1857" s="2" t="s">
        <v>43</v>
      </c>
      <c r="H1857" s="2" t="s">
        <v>390</v>
      </c>
      <c r="I1857" s="5">
        <v>16745</v>
      </c>
      <c r="J1857" s="57">
        <v>0.05</v>
      </c>
      <c r="K1857" s="3">
        <v>216</v>
      </c>
      <c r="L1857" s="2" t="s">
        <v>64</v>
      </c>
      <c r="M1857" s="2" t="s">
        <v>12</v>
      </c>
      <c r="N1857" s="2" t="s">
        <v>12</v>
      </c>
      <c r="O1857" s="2" t="s">
        <v>12</v>
      </c>
      <c r="P1857" s="21" t="s">
        <v>12</v>
      </c>
      <c r="Q1857" s="3" t="s">
        <v>12</v>
      </c>
      <c r="R1857" s="3" t="s">
        <v>12</v>
      </c>
    </row>
    <row r="1858" spans="1:18" x14ac:dyDescent="0.25">
      <c r="A1858" s="30">
        <v>45951</v>
      </c>
      <c r="B1858" s="28">
        <v>1848</v>
      </c>
      <c r="C1858" s="28" t="s">
        <v>2161</v>
      </c>
      <c r="D1858" s="2" t="s">
        <v>1190</v>
      </c>
      <c r="E1858" s="7" t="s">
        <v>2201</v>
      </c>
      <c r="F1858" s="7"/>
      <c r="G1858" s="2" t="s">
        <v>43</v>
      </c>
      <c r="H1858" s="2" t="s">
        <v>390</v>
      </c>
      <c r="I1858" s="5">
        <v>19038.080000000002</v>
      </c>
      <c r="J1858" s="57">
        <v>0.05</v>
      </c>
      <c r="K1858" s="3">
        <v>216</v>
      </c>
      <c r="L1858" s="2" t="s">
        <v>64</v>
      </c>
      <c r="M1858" s="2" t="s">
        <v>12</v>
      </c>
      <c r="N1858" s="2" t="s">
        <v>12</v>
      </c>
      <c r="O1858" s="2" t="s">
        <v>12</v>
      </c>
      <c r="P1858" s="21" t="s">
        <v>12</v>
      </c>
      <c r="Q1858" s="3" t="s">
        <v>12</v>
      </c>
      <c r="R1858" s="3" t="s">
        <v>12</v>
      </c>
    </row>
    <row r="1859" spans="1:18" x14ac:dyDescent="0.25">
      <c r="A1859" s="30">
        <v>45951</v>
      </c>
      <c r="B1859" s="28">
        <v>1849</v>
      </c>
      <c r="C1859" s="28" t="s">
        <v>2161</v>
      </c>
      <c r="D1859" s="2" t="s">
        <v>2202</v>
      </c>
      <c r="E1859" s="7" t="s">
        <v>2203</v>
      </c>
      <c r="F1859" s="7"/>
      <c r="G1859" s="2" t="s">
        <v>13</v>
      </c>
      <c r="H1859" s="2" t="s">
        <v>438</v>
      </c>
      <c r="I1859" s="5">
        <v>3002.6</v>
      </c>
      <c r="J1859" s="57">
        <v>0.05</v>
      </c>
      <c r="K1859" s="3">
        <v>24</v>
      </c>
      <c r="L1859" s="2" t="s">
        <v>64</v>
      </c>
      <c r="M1859" s="2" t="s">
        <v>12</v>
      </c>
      <c r="N1859" s="2" t="s">
        <v>12</v>
      </c>
      <c r="O1859" s="2" t="s">
        <v>12</v>
      </c>
      <c r="P1859" s="21" t="s">
        <v>12</v>
      </c>
      <c r="Q1859" s="3" t="s">
        <v>2223</v>
      </c>
      <c r="R1859" s="3" t="s">
        <v>75</v>
      </c>
    </row>
    <row r="1860" spans="1:18" x14ac:dyDescent="0.25">
      <c r="A1860" s="30">
        <v>45951</v>
      </c>
      <c r="B1860" s="28">
        <v>1850</v>
      </c>
      <c r="C1860" s="28"/>
      <c r="D1860" s="2" t="s">
        <v>45</v>
      </c>
      <c r="E1860" s="7" t="s">
        <v>2204</v>
      </c>
      <c r="F1860" s="7"/>
      <c r="G1860" s="2" t="s">
        <v>20</v>
      </c>
      <c r="H1860" s="2" t="s">
        <v>1543</v>
      </c>
      <c r="I1860" s="5">
        <v>201551.77</v>
      </c>
      <c r="J1860" s="57">
        <v>7.0000000000000007E-2</v>
      </c>
      <c r="K1860" s="3">
        <v>2496</v>
      </c>
      <c r="L1860" s="2" t="s">
        <v>226</v>
      </c>
      <c r="M1860" s="2" t="s">
        <v>12</v>
      </c>
      <c r="N1860" s="2" t="s">
        <v>12</v>
      </c>
      <c r="O1860" s="2" t="s">
        <v>12</v>
      </c>
      <c r="P1860" s="21" t="s">
        <v>12</v>
      </c>
      <c r="Q1860" s="3" t="s">
        <v>12</v>
      </c>
      <c r="R1860" s="3" t="s">
        <v>12</v>
      </c>
    </row>
    <row r="1861" spans="1:18" x14ac:dyDescent="0.25">
      <c r="A1861" s="30">
        <v>45951</v>
      </c>
      <c r="B1861" s="28">
        <v>1851</v>
      </c>
      <c r="C1861" s="28"/>
      <c r="D1861" s="2" t="s">
        <v>2190</v>
      </c>
      <c r="E1861" s="7" t="s">
        <v>12</v>
      </c>
      <c r="F1861" s="7"/>
      <c r="G1861" s="2" t="s">
        <v>13</v>
      </c>
      <c r="H1861" s="2" t="s">
        <v>549</v>
      </c>
      <c r="I1861" s="5">
        <v>28637.52</v>
      </c>
      <c r="J1861" s="57">
        <v>0.05</v>
      </c>
      <c r="K1861" s="3">
        <v>480</v>
      </c>
      <c r="L1861" s="2" t="s">
        <v>226</v>
      </c>
      <c r="M1861" s="2" t="s">
        <v>12</v>
      </c>
      <c r="N1861" s="2" t="s">
        <v>12</v>
      </c>
      <c r="O1861" s="2" t="s">
        <v>12</v>
      </c>
      <c r="P1861" s="21" t="s">
        <v>12</v>
      </c>
      <c r="Q1861" s="3" t="s">
        <v>12</v>
      </c>
      <c r="R1861" s="3" t="s">
        <v>12</v>
      </c>
    </row>
    <row r="1862" spans="1:18" x14ac:dyDescent="0.25">
      <c r="A1862" s="30">
        <v>45951</v>
      </c>
      <c r="B1862" s="28">
        <v>1852</v>
      </c>
      <c r="C1862" s="28"/>
      <c r="D1862" s="2" t="s">
        <v>87</v>
      </c>
      <c r="E1862" s="7" t="s">
        <v>2205</v>
      </c>
      <c r="F1862" s="7"/>
      <c r="G1862" s="2" t="s">
        <v>13</v>
      </c>
      <c r="H1862" s="2" t="s">
        <v>185</v>
      </c>
      <c r="I1862" s="5">
        <v>41919.5</v>
      </c>
      <c r="J1862" s="57">
        <v>0.04</v>
      </c>
      <c r="K1862" s="3">
        <v>672</v>
      </c>
      <c r="L1862" s="2" t="s">
        <v>64</v>
      </c>
      <c r="M1862" s="2" t="s">
        <v>12</v>
      </c>
      <c r="N1862" s="2" t="s">
        <v>12</v>
      </c>
      <c r="O1862" s="2" t="s">
        <v>12</v>
      </c>
      <c r="P1862" s="21" t="s">
        <v>12</v>
      </c>
      <c r="Q1862" s="3" t="s">
        <v>2224</v>
      </c>
      <c r="R1862" s="3" t="s">
        <v>80</v>
      </c>
    </row>
    <row r="1863" spans="1:18" x14ac:dyDescent="0.25">
      <c r="A1863" s="30">
        <v>45951</v>
      </c>
      <c r="B1863" s="28">
        <v>1853</v>
      </c>
      <c r="C1863" s="28" t="s">
        <v>2161</v>
      </c>
      <c r="D1863" s="2" t="s">
        <v>62</v>
      </c>
      <c r="E1863" s="7" t="s">
        <v>12</v>
      </c>
      <c r="F1863" s="7"/>
      <c r="G1863" s="2" t="s">
        <v>26</v>
      </c>
      <c r="H1863" s="2" t="s">
        <v>63</v>
      </c>
      <c r="I1863" s="5">
        <v>1495.2</v>
      </c>
      <c r="J1863" s="57">
        <v>7.0000000000000007E-2</v>
      </c>
      <c r="K1863" s="3" t="s">
        <v>12</v>
      </c>
      <c r="L1863" s="2" t="s">
        <v>64</v>
      </c>
      <c r="M1863" s="2" t="s">
        <v>12</v>
      </c>
      <c r="N1863" s="2" t="s">
        <v>12</v>
      </c>
      <c r="O1863" s="2" t="s">
        <v>12</v>
      </c>
      <c r="P1863" s="21" t="s">
        <v>12</v>
      </c>
      <c r="Q1863" s="3" t="s">
        <v>12</v>
      </c>
      <c r="R1863" s="3" t="s">
        <v>12</v>
      </c>
    </row>
    <row r="1864" spans="1:18" x14ac:dyDescent="0.25">
      <c r="A1864" s="30">
        <v>45951</v>
      </c>
      <c r="B1864" s="28">
        <v>1854</v>
      </c>
      <c r="C1864" s="28"/>
      <c r="D1864" s="2" t="s">
        <v>87</v>
      </c>
      <c r="E1864" s="7" t="s">
        <v>2206</v>
      </c>
      <c r="F1864" s="7"/>
      <c r="G1864" s="2" t="s">
        <v>13</v>
      </c>
      <c r="H1864" s="2" t="s">
        <v>238</v>
      </c>
      <c r="I1864" s="5">
        <v>190975.23</v>
      </c>
      <c r="J1864" s="57">
        <v>7.0000000000000007E-2</v>
      </c>
      <c r="K1864" s="3">
        <v>2016</v>
      </c>
      <c r="L1864" s="2" t="s">
        <v>226</v>
      </c>
      <c r="M1864" s="2" t="s">
        <v>12</v>
      </c>
      <c r="N1864" s="2" t="s">
        <v>12</v>
      </c>
      <c r="O1864" s="2" t="s">
        <v>12</v>
      </c>
      <c r="P1864" s="21" t="s">
        <v>12</v>
      </c>
      <c r="Q1864" s="3" t="s">
        <v>1751</v>
      </c>
      <c r="R1864" s="3" t="s">
        <v>80</v>
      </c>
    </row>
    <row r="1865" spans="1:18" x14ac:dyDescent="0.25">
      <c r="A1865" s="30">
        <v>45952</v>
      </c>
      <c r="B1865" s="28">
        <v>1855</v>
      </c>
      <c r="C1865" s="28" t="s">
        <v>2161</v>
      </c>
      <c r="D1865" s="2" t="s">
        <v>1596</v>
      </c>
      <c r="E1865" s="7" t="s">
        <v>12</v>
      </c>
      <c r="F1865" s="7"/>
      <c r="G1865" s="2" t="s">
        <v>43</v>
      </c>
      <c r="H1865" s="2" t="s">
        <v>751</v>
      </c>
      <c r="I1865" s="5">
        <v>44215.71</v>
      </c>
      <c r="J1865" s="57">
        <v>7.0000000000000007E-2</v>
      </c>
      <c r="K1865" s="3">
        <v>360</v>
      </c>
      <c r="L1865" s="2" t="s">
        <v>64</v>
      </c>
      <c r="M1865" s="2" t="s">
        <v>12</v>
      </c>
      <c r="N1865" s="2" t="s">
        <v>12</v>
      </c>
      <c r="O1865" s="2" t="s">
        <v>12</v>
      </c>
      <c r="P1865" s="21" t="s">
        <v>12</v>
      </c>
      <c r="Q1865" s="3" t="s">
        <v>12</v>
      </c>
      <c r="R1865" s="3" t="s">
        <v>12</v>
      </c>
    </row>
    <row r="1866" spans="1:18" x14ac:dyDescent="0.25">
      <c r="A1866" s="30">
        <v>45951</v>
      </c>
      <c r="B1866" s="28">
        <v>1856</v>
      </c>
      <c r="C1866" s="28" t="s">
        <v>2161</v>
      </c>
      <c r="D1866" s="2" t="s">
        <v>336</v>
      </c>
      <c r="E1866" s="7" t="s">
        <v>2207</v>
      </c>
      <c r="F1866" s="7"/>
      <c r="G1866" s="2" t="s">
        <v>20</v>
      </c>
      <c r="H1866" s="2" t="s">
        <v>2150</v>
      </c>
      <c r="I1866" s="5">
        <v>7120.28</v>
      </c>
      <c r="J1866" s="57">
        <v>0.03</v>
      </c>
      <c r="K1866" s="3">
        <v>96</v>
      </c>
      <c r="L1866" s="2" t="s">
        <v>64</v>
      </c>
      <c r="M1866" s="2" t="s">
        <v>2083</v>
      </c>
      <c r="N1866" s="2" t="s">
        <v>12</v>
      </c>
      <c r="O1866" s="2" t="s">
        <v>12</v>
      </c>
      <c r="P1866" s="21" t="s">
        <v>12</v>
      </c>
      <c r="Q1866" s="3" t="s">
        <v>12</v>
      </c>
      <c r="R1866" s="3" t="s">
        <v>12</v>
      </c>
    </row>
    <row r="1867" spans="1:18" x14ac:dyDescent="0.25">
      <c r="A1867" s="30">
        <v>45952</v>
      </c>
      <c r="B1867" s="28">
        <v>1857</v>
      </c>
      <c r="C1867" s="28"/>
      <c r="D1867" s="2" t="s">
        <v>2208</v>
      </c>
      <c r="E1867" s="7" t="s">
        <v>2209</v>
      </c>
      <c r="F1867" s="7"/>
      <c r="G1867" s="2" t="s">
        <v>13</v>
      </c>
      <c r="H1867" s="2" t="s">
        <v>627</v>
      </c>
      <c r="I1867" s="5">
        <v>21510.17</v>
      </c>
      <c r="J1867" s="57">
        <v>7.0000000000000007E-2</v>
      </c>
      <c r="K1867" s="3">
        <v>240</v>
      </c>
      <c r="L1867" s="2" t="s">
        <v>226</v>
      </c>
      <c r="M1867" s="2" t="s">
        <v>12</v>
      </c>
      <c r="N1867" s="2" t="s">
        <v>12</v>
      </c>
      <c r="O1867" s="2" t="s">
        <v>12</v>
      </c>
      <c r="P1867" s="21" t="s">
        <v>12</v>
      </c>
      <c r="Q1867" s="3" t="s">
        <v>12</v>
      </c>
      <c r="R1867" s="3"/>
    </row>
    <row r="1868" spans="1:18" x14ac:dyDescent="0.25">
      <c r="A1868" s="30">
        <v>45952</v>
      </c>
      <c r="B1868" s="28">
        <v>1858</v>
      </c>
      <c r="C1868" s="28"/>
      <c r="D1868" s="2" t="s">
        <v>109</v>
      </c>
      <c r="E1868" s="7" t="s">
        <v>2210</v>
      </c>
      <c r="F1868" s="7"/>
      <c r="G1868" s="2" t="s">
        <v>111</v>
      </c>
      <c r="H1868" s="2" t="s">
        <v>1104</v>
      </c>
      <c r="I1868" s="5">
        <v>3634.1</v>
      </c>
      <c r="J1868" s="57">
        <v>7.0000000000000007E-2</v>
      </c>
      <c r="K1868" s="3">
        <v>48</v>
      </c>
      <c r="L1868" s="2" t="s">
        <v>64</v>
      </c>
      <c r="M1868" s="2" t="s">
        <v>12</v>
      </c>
      <c r="N1868" s="2" t="s">
        <v>12</v>
      </c>
      <c r="O1868" s="2" t="s">
        <v>12</v>
      </c>
      <c r="P1868" s="21" t="s">
        <v>12</v>
      </c>
      <c r="Q1868" s="3" t="s">
        <v>12</v>
      </c>
      <c r="R1868" s="3" t="s">
        <v>12</v>
      </c>
    </row>
    <row r="1869" spans="1:18" x14ac:dyDescent="0.25">
      <c r="A1869" s="30">
        <v>45952</v>
      </c>
      <c r="B1869" s="28">
        <v>1859</v>
      </c>
      <c r="C1869" s="28"/>
      <c r="D1869" s="2" t="s">
        <v>2211</v>
      </c>
      <c r="E1869" s="7" t="s">
        <v>12</v>
      </c>
      <c r="F1869" s="7"/>
      <c r="G1869" s="2" t="s">
        <v>26</v>
      </c>
      <c r="H1869" s="2" t="s">
        <v>2212</v>
      </c>
      <c r="I1869" s="5">
        <v>25837.14</v>
      </c>
      <c r="J1869" s="57">
        <v>7.0000000000000007E-2</v>
      </c>
      <c r="K1869" s="3">
        <v>264</v>
      </c>
      <c r="L1869" s="2" t="s">
        <v>226</v>
      </c>
      <c r="M1869" s="2" t="s">
        <v>12</v>
      </c>
      <c r="N1869" s="2" t="s">
        <v>12</v>
      </c>
      <c r="O1869" s="2" t="s">
        <v>12</v>
      </c>
      <c r="P1869" s="21" t="s">
        <v>12</v>
      </c>
      <c r="Q1869" s="3" t="s">
        <v>12</v>
      </c>
      <c r="R1869" s="3" t="s">
        <v>12</v>
      </c>
    </row>
    <row r="1870" spans="1:18" x14ac:dyDescent="0.25">
      <c r="A1870" s="30">
        <v>45952</v>
      </c>
      <c r="B1870" s="28">
        <v>1860</v>
      </c>
      <c r="C1870" s="28"/>
      <c r="D1870" s="2" t="s">
        <v>41</v>
      </c>
      <c r="E1870" s="7" t="s">
        <v>2213</v>
      </c>
      <c r="F1870" s="7"/>
      <c r="G1870" s="2" t="s">
        <v>43</v>
      </c>
      <c r="H1870" s="2" t="s">
        <v>319</v>
      </c>
      <c r="I1870" s="5">
        <v>341184.81</v>
      </c>
      <c r="J1870" s="57">
        <v>7.0000000000000007E-2</v>
      </c>
      <c r="K1870" s="3">
        <v>3768</v>
      </c>
      <c r="L1870" s="2" t="s">
        <v>226</v>
      </c>
      <c r="M1870" s="2" t="s">
        <v>12</v>
      </c>
      <c r="N1870" s="2" t="s">
        <v>12</v>
      </c>
      <c r="O1870" s="2" t="s">
        <v>12</v>
      </c>
      <c r="P1870" s="21" t="s">
        <v>12</v>
      </c>
      <c r="Q1870" s="3" t="s">
        <v>12</v>
      </c>
      <c r="R1870" s="3"/>
    </row>
    <row r="1871" spans="1:18" x14ac:dyDescent="0.25">
      <c r="A1871" s="30">
        <v>45952</v>
      </c>
      <c r="B1871" s="28">
        <v>1861</v>
      </c>
      <c r="C1871" s="28"/>
      <c r="D1871" s="2" t="s">
        <v>62</v>
      </c>
      <c r="E1871" s="7" t="s">
        <v>12</v>
      </c>
      <c r="F1871" s="7"/>
      <c r="G1871" s="2" t="s">
        <v>26</v>
      </c>
      <c r="H1871" s="2" t="s">
        <v>63</v>
      </c>
      <c r="I1871" s="5">
        <v>8656.75</v>
      </c>
      <c r="J1871" s="57">
        <v>0.05</v>
      </c>
      <c r="K1871" s="3">
        <v>72</v>
      </c>
      <c r="L1871" s="2" t="s">
        <v>64</v>
      </c>
      <c r="M1871" s="2" t="s">
        <v>12</v>
      </c>
      <c r="N1871" s="2" t="s">
        <v>12</v>
      </c>
      <c r="O1871" s="2" t="s">
        <v>12</v>
      </c>
      <c r="P1871" s="21" t="s">
        <v>12</v>
      </c>
      <c r="Q1871" s="3" t="s">
        <v>12</v>
      </c>
      <c r="R1871" s="3" t="s">
        <v>12</v>
      </c>
    </row>
    <row r="1872" spans="1:18" x14ac:dyDescent="0.25">
      <c r="A1872" s="30">
        <v>45952</v>
      </c>
      <c r="B1872" s="28">
        <v>1862</v>
      </c>
      <c r="C1872" s="28"/>
      <c r="D1872" s="2" t="s">
        <v>1609</v>
      </c>
      <c r="E1872" s="7" t="s">
        <v>2214</v>
      </c>
      <c r="F1872" s="7"/>
      <c r="G1872" s="2" t="s">
        <v>43</v>
      </c>
      <c r="H1872" s="2" t="s">
        <v>448</v>
      </c>
      <c r="I1872" s="5">
        <v>6910.22</v>
      </c>
      <c r="J1872" s="57">
        <v>7.0000000000000007E-2</v>
      </c>
      <c r="K1872" s="3">
        <v>48</v>
      </c>
      <c r="L1872" s="2" t="s">
        <v>64</v>
      </c>
      <c r="M1872" s="2" t="s">
        <v>12</v>
      </c>
      <c r="N1872" s="2" t="s">
        <v>12</v>
      </c>
      <c r="O1872" s="2" t="s">
        <v>12</v>
      </c>
      <c r="P1872" s="21" t="s">
        <v>12</v>
      </c>
      <c r="Q1872" s="3" t="s">
        <v>12</v>
      </c>
      <c r="R1872" s="3" t="s">
        <v>12</v>
      </c>
    </row>
    <row r="1873" spans="1:18" x14ac:dyDescent="0.25">
      <c r="A1873" s="30">
        <v>45952</v>
      </c>
      <c r="B1873" s="28">
        <v>1863</v>
      </c>
      <c r="C1873" s="28"/>
      <c r="D1873" s="2" t="s">
        <v>168</v>
      </c>
      <c r="E1873" s="7" t="s">
        <v>2173</v>
      </c>
      <c r="F1873" s="7"/>
      <c r="G1873" s="2" t="s">
        <v>43</v>
      </c>
      <c r="H1873" s="2" t="s">
        <v>381</v>
      </c>
      <c r="I1873" s="5">
        <v>161448.24</v>
      </c>
      <c r="J1873" s="57">
        <v>0.05</v>
      </c>
      <c r="K1873" s="3">
        <v>1824</v>
      </c>
      <c r="L1873" s="2" t="s">
        <v>226</v>
      </c>
      <c r="M1873" s="2" t="s">
        <v>12</v>
      </c>
      <c r="N1873" s="2" t="s">
        <v>12</v>
      </c>
      <c r="O1873" s="2" t="s">
        <v>12</v>
      </c>
      <c r="P1873" s="21" t="s">
        <v>12</v>
      </c>
      <c r="Q1873" s="3" t="s">
        <v>577</v>
      </c>
      <c r="R1873" s="3" t="s">
        <v>76</v>
      </c>
    </row>
    <row r="1874" spans="1:18" x14ac:dyDescent="0.25">
      <c r="A1874" s="30">
        <v>45952</v>
      </c>
      <c r="B1874" s="28">
        <v>1864</v>
      </c>
      <c r="C1874" s="28"/>
      <c r="D1874" s="2" t="s">
        <v>41</v>
      </c>
      <c r="E1874" s="7" t="s">
        <v>2215</v>
      </c>
      <c r="F1874" s="7"/>
      <c r="G1874" s="2" t="s">
        <v>43</v>
      </c>
      <c r="H1874" s="2" t="s">
        <v>417</v>
      </c>
      <c r="I1874" s="5">
        <v>37718.449999999997</v>
      </c>
      <c r="J1874" s="57">
        <v>7.0000000000000007E-2</v>
      </c>
      <c r="K1874" s="3">
        <v>480</v>
      </c>
      <c r="L1874" s="2" t="s">
        <v>226</v>
      </c>
      <c r="M1874" s="2" t="s">
        <v>12</v>
      </c>
      <c r="N1874" s="2" t="s">
        <v>12</v>
      </c>
      <c r="O1874" s="2" t="s">
        <v>12</v>
      </c>
      <c r="P1874" s="21" t="s">
        <v>12</v>
      </c>
      <c r="Q1874" s="3" t="s">
        <v>2225</v>
      </c>
      <c r="R1874" s="3" t="s">
        <v>75</v>
      </c>
    </row>
    <row r="1875" spans="1:18" x14ac:dyDescent="0.25">
      <c r="A1875" s="30">
        <v>45952</v>
      </c>
      <c r="B1875" s="28">
        <v>1865</v>
      </c>
      <c r="C1875" s="28"/>
      <c r="D1875" s="2" t="s">
        <v>2216</v>
      </c>
      <c r="E1875" s="7" t="s">
        <v>2217</v>
      </c>
      <c r="F1875" s="7"/>
      <c r="G1875" s="2" t="s">
        <v>26</v>
      </c>
      <c r="H1875" s="2" t="s">
        <v>263</v>
      </c>
      <c r="I1875" s="5">
        <v>89051.19</v>
      </c>
      <c r="J1875" s="57">
        <v>7.0000000000000007E-2</v>
      </c>
      <c r="K1875" s="3">
        <v>630</v>
      </c>
      <c r="L1875" s="2" t="s">
        <v>226</v>
      </c>
      <c r="M1875" s="2" t="s">
        <v>12</v>
      </c>
      <c r="N1875" s="2" t="s">
        <v>12</v>
      </c>
      <c r="O1875" s="2" t="s">
        <v>12</v>
      </c>
      <c r="P1875" s="21" t="s">
        <v>12</v>
      </c>
      <c r="Q1875" s="3" t="s">
        <v>2226</v>
      </c>
      <c r="R1875" s="3" t="s">
        <v>75</v>
      </c>
    </row>
    <row r="1876" spans="1:18" x14ac:dyDescent="0.25">
      <c r="A1876" s="30">
        <v>45952</v>
      </c>
      <c r="B1876" s="28">
        <v>1866</v>
      </c>
      <c r="C1876" s="28"/>
      <c r="D1876" s="2" t="s">
        <v>411</v>
      </c>
      <c r="E1876" s="7" t="s">
        <v>2218</v>
      </c>
      <c r="F1876" s="7"/>
      <c r="G1876" s="2" t="s">
        <v>26</v>
      </c>
      <c r="H1876" s="2" t="s">
        <v>413</v>
      </c>
      <c r="I1876" s="5">
        <v>62931.09</v>
      </c>
      <c r="J1876" s="57">
        <v>7.0000000000000007E-2</v>
      </c>
      <c r="K1876" s="3">
        <v>696</v>
      </c>
      <c r="L1876" s="2" t="s">
        <v>226</v>
      </c>
      <c r="M1876" s="2" t="s">
        <v>12</v>
      </c>
      <c r="N1876" s="2" t="s">
        <v>12</v>
      </c>
      <c r="O1876" s="2" t="s">
        <v>12</v>
      </c>
      <c r="P1876" s="21" t="s">
        <v>12</v>
      </c>
      <c r="Q1876" s="3" t="s">
        <v>133</v>
      </c>
      <c r="R1876" s="3" t="s">
        <v>75</v>
      </c>
    </row>
    <row r="1877" spans="1:18" x14ac:dyDescent="0.25">
      <c r="A1877" s="30">
        <v>45952</v>
      </c>
      <c r="B1877" s="28">
        <v>1867</v>
      </c>
      <c r="C1877" s="28"/>
      <c r="D1877" s="2" t="s">
        <v>168</v>
      </c>
      <c r="E1877" s="7" t="s">
        <v>2179</v>
      </c>
      <c r="F1877" s="7"/>
      <c r="G1877" s="2" t="s">
        <v>43</v>
      </c>
      <c r="H1877" s="2" t="s">
        <v>381</v>
      </c>
      <c r="I1877" s="5">
        <v>229775.43</v>
      </c>
      <c r="J1877" s="57">
        <v>0.05</v>
      </c>
      <c r="K1877" s="3">
        <v>2544</v>
      </c>
      <c r="L1877" s="2" t="s">
        <v>21</v>
      </c>
      <c r="M1877" s="2" t="s">
        <v>3029</v>
      </c>
      <c r="N1877" s="2" t="s">
        <v>12</v>
      </c>
      <c r="O1877" s="2" t="s">
        <v>12</v>
      </c>
      <c r="P1877" s="21" t="s">
        <v>12</v>
      </c>
      <c r="Q1877" s="3" t="s">
        <v>2221</v>
      </c>
      <c r="R1877" s="3" t="s">
        <v>76</v>
      </c>
    </row>
    <row r="1878" spans="1:18" x14ac:dyDescent="0.25">
      <c r="A1878" s="30">
        <v>45952</v>
      </c>
      <c r="B1878" s="28">
        <v>1868</v>
      </c>
      <c r="C1878" s="28"/>
      <c r="D1878" s="2" t="s">
        <v>1596</v>
      </c>
      <c r="E1878" s="7" t="s">
        <v>12</v>
      </c>
      <c r="F1878" s="7"/>
      <c r="G1878" s="2" t="s">
        <v>43</v>
      </c>
      <c r="H1878" s="2" t="s">
        <v>751</v>
      </c>
      <c r="I1878" s="5">
        <v>1828.2</v>
      </c>
      <c r="J1878" s="57">
        <v>7.0000000000000007E-2</v>
      </c>
      <c r="K1878" s="3" t="s">
        <v>12</v>
      </c>
      <c r="L1878" s="2" t="s">
        <v>64</v>
      </c>
      <c r="M1878" s="2" t="s">
        <v>12</v>
      </c>
      <c r="N1878" s="2" t="s">
        <v>12</v>
      </c>
      <c r="O1878" s="2" t="s">
        <v>12</v>
      </c>
      <c r="P1878" s="21" t="s">
        <v>12</v>
      </c>
      <c r="Q1878" s="3" t="s">
        <v>12</v>
      </c>
      <c r="R1878" s="3" t="s">
        <v>12</v>
      </c>
    </row>
    <row r="1879" spans="1:18" x14ac:dyDescent="0.25">
      <c r="A1879" s="30">
        <v>45957</v>
      </c>
      <c r="B1879" s="28">
        <v>1869</v>
      </c>
      <c r="C1879" s="28" t="s">
        <v>2161</v>
      </c>
      <c r="D1879" s="2" t="s">
        <v>1523</v>
      </c>
      <c r="E1879" s="7" t="s">
        <v>2230</v>
      </c>
      <c r="F1879" s="7"/>
      <c r="G1879" s="2" t="s">
        <v>111</v>
      </c>
      <c r="H1879" s="2" t="s">
        <v>1168</v>
      </c>
      <c r="I1879" s="5">
        <v>6284.62</v>
      </c>
      <c r="J1879" s="57">
        <v>7.0000000000000007E-2</v>
      </c>
      <c r="K1879" s="3">
        <v>72</v>
      </c>
      <c r="L1879" s="2" t="s">
        <v>64</v>
      </c>
      <c r="M1879" s="2" t="s">
        <v>12</v>
      </c>
      <c r="N1879" s="2" t="s">
        <v>12</v>
      </c>
      <c r="O1879" s="2" t="s">
        <v>12</v>
      </c>
      <c r="P1879" s="21" t="s">
        <v>12</v>
      </c>
      <c r="Q1879" s="3" t="s">
        <v>12</v>
      </c>
      <c r="R1879" s="3" t="s">
        <v>12</v>
      </c>
    </row>
    <row r="1880" spans="1:18" x14ac:dyDescent="0.25">
      <c r="A1880" s="30">
        <v>45954</v>
      </c>
      <c r="B1880" s="28">
        <v>1870</v>
      </c>
      <c r="C1880" s="28" t="s">
        <v>2161</v>
      </c>
      <c r="D1880" s="2" t="s">
        <v>2231</v>
      </c>
      <c r="E1880" s="7" t="s">
        <v>2232</v>
      </c>
      <c r="F1880" s="7"/>
      <c r="G1880" s="2" t="s">
        <v>20</v>
      </c>
      <c r="H1880" s="2" t="s">
        <v>129</v>
      </c>
      <c r="I1880" s="5">
        <v>75056.88</v>
      </c>
      <c r="J1880" s="57">
        <v>0.03</v>
      </c>
      <c r="K1880" s="3">
        <v>1056</v>
      </c>
      <c r="L1880" s="2" t="s">
        <v>226</v>
      </c>
      <c r="M1880" s="2" t="s">
        <v>12</v>
      </c>
      <c r="N1880" s="2" t="s">
        <v>12</v>
      </c>
      <c r="O1880" s="2" t="s">
        <v>12</v>
      </c>
      <c r="P1880" s="21" t="s">
        <v>12</v>
      </c>
      <c r="Q1880" s="3" t="s">
        <v>12</v>
      </c>
      <c r="R1880" s="3" t="s">
        <v>12</v>
      </c>
    </row>
    <row r="1881" spans="1:18" x14ac:dyDescent="0.25">
      <c r="A1881" s="30">
        <v>45953</v>
      </c>
      <c r="B1881" s="28">
        <v>1871</v>
      </c>
      <c r="C1881" s="28"/>
      <c r="D1881" s="2" t="s">
        <v>1237</v>
      </c>
      <c r="E1881" s="7" t="s">
        <v>2233</v>
      </c>
      <c r="F1881" s="7"/>
      <c r="G1881" s="2" t="s">
        <v>20</v>
      </c>
      <c r="H1881" s="2" t="s">
        <v>251</v>
      </c>
      <c r="I1881" s="5">
        <v>28002.9</v>
      </c>
      <c r="J1881" s="57">
        <v>7.0000000000000007E-2</v>
      </c>
      <c r="K1881" s="3">
        <v>384</v>
      </c>
      <c r="L1881" s="2" t="s">
        <v>226</v>
      </c>
      <c r="M1881" s="2" t="s">
        <v>1179</v>
      </c>
      <c r="N1881" s="2" t="s">
        <v>12</v>
      </c>
      <c r="O1881" s="2" t="s">
        <v>12</v>
      </c>
      <c r="P1881" s="21" t="s">
        <v>12</v>
      </c>
      <c r="Q1881" s="3" t="s">
        <v>12</v>
      </c>
      <c r="R1881" s="3" t="s">
        <v>12</v>
      </c>
    </row>
    <row r="1882" spans="1:18" x14ac:dyDescent="0.25">
      <c r="A1882" s="30">
        <v>45953</v>
      </c>
      <c r="B1882" s="28">
        <v>1872</v>
      </c>
      <c r="C1882" s="28"/>
      <c r="D1882" s="2" t="s">
        <v>1523</v>
      </c>
      <c r="E1882" s="7" t="s">
        <v>12</v>
      </c>
      <c r="F1882" s="7"/>
      <c r="G1882" s="2" t="s">
        <v>111</v>
      </c>
      <c r="H1882" s="2" t="s">
        <v>1168</v>
      </c>
      <c r="I1882" s="5">
        <v>11271.82</v>
      </c>
      <c r="J1882" s="57">
        <v>7.0000000000000007E-2</v>
      </c>
      <c r="K1882" s="3">
        <v>129.6</v>
      </c>
      <c r="L1882" s="2" t="s">
        <v>226</v>
      </c>
      <c r="M1882" s="2" t="s">
        <v>12</v>
      </c>
      <c r="N1882" s="2" t="s">
        <v>12</v>
      </c>
      <c r="O1882" s="2" t="s">
        <v>12</v>
      </c>
      <c r="P1882" s="21" t="s">
        <v>12</v>
      </c>
      <c r="Q1882" s="3" t="s">
        <v>12</v>
      </c>
      <c r="R1882" s="3" t="s">
        <v>12</v>
      </c>
    </row>
    <row r="1883" spans="1:18" x14ac:dyDescent="0.25">
      <c r="A1883" s="30" t="s">
        <v>2234</v>
      </c>
      <c r="B1883" s="28">
        <v>1873</v>
      </c>
      <c r="C1883" s="28"/>
      <c r="D1883" s="2" t="s">
        <v>41</v>
      </c>
      <c r="E1883" s="7" t="s">
        <v>2186</v>
      </c>
      <c r="F1883" s="7"/>
      <c r="G1883" s="2" t="s">
        <v>43</v>
      </c>
      <c r="H1883" s="2" t="s">
        <v>417</v>
      </c>
      <c r="I1883" s="5">
        <v>342694.16</v>
      </c>
      <c r="J1883" s="57">
        <v>7.0000000000000007E-2</v>
      </c>
      <c r="K1883" s="3">
        <v>3648</v>
      </c>
      <c r="L1883" s="2" t="s">
        <v>226</v>
      </c>
      <c r="M1883" s="2" t="s">
        <v>2491</v>
      </c>
      <c r="N1883" s="2" t="s">
        <v>12</v>
      </c>
      <c r="O1883" s="2" t="s">
        <v>12</v>
      </c>
      <c r="P1883" s="21" t="s">
        <v>12</v>
      </c>
      <c r="Q1883" s="3" t="s">
        <v>959</v>
      </c>
      <c r="R1883" s="3" t="s">
        <v>75</v>
      </c>
    </row>
    <row r="1884" spans="1:18" x14ac:dyDescent="0.25">
      <c r="A1884" s="30">
        <v>45953</v>
      </c>
      <c r="B1884" s="28">
        <v>1874</v>
      </c>
      <c r="C1884" s="28"/>
      <c r="D1884" s="2" t="s">
        <v>516</v>
      </c>
      <c r="E1884" s="7" t="s">
        <v>2235</v>
      </c>
      <c r="F1884" s="7"/>
      <c r="G1884" s="2" t="s">
        <v>111</v>
      </c>
      <c r="H1884" s="2" t="s">
        <v>1171</v>
      </c>
      <c r="I1884" s="5">
        <v>1532</v>
      </c>
      <c r="J1884" s="57">
        <v>7.0000000000000007E-2</v>
      </c>
      <c r="K1884" s="3" t="s">
        <v>12</v>
      </c>
      <c r="L1884" s="2" t="s">
        <v>226</v>
      </c>
      <c r="M1884" s="2" t="s">
        <v>12</v>
      </c>
      <c r="N1884" s="2" t="s">
        <v>12</v>
      </c>
      <c r="O1884" s="2" t="s">
        <v>12</v>
      </c>
      <c r="P1884" s="21" t="s">
        <v>12</v>
      </c>
      <c r="Q1884" s="3" t="s">
        <v>12</v>
      </c>
      <c r="R1884" s="3" t="s">
        <v>12</v>
      </c>
    </row>
    <row r="1885" spans="1:18" x14ac:dyDescent="0.25">
      <c r="A1885" s="30">
        <v>45958</v>
      </c>
      <c r="B1885" s="28">
        <v>1875</v>
      </c>
      <c r="C1885" s="28" t="s">
        <v>2236</v>
      </c>
      <c r="D1885" s="2" t="s">
        <v>646</v>
      </c>
      <c r="E1885" s="7" t="s">
        <v>2237</v>
      </c>
      <c r="F1885" s="7"/>
      <c r="G1885" s="2" t="s">
        <v>26</v>
      </c>
      <c r="H1885" s="2" t="s">
        <v>874</v>
      </c>
      <c r="I1885" s="5">
        <v>23466.09</v>
      </c>
      <c r="J1885" s="57">
        <v>0.03</v>
      </c>
      <c r="K1885" s="3">
        <v>288</v>
      </c>
      <c r="L1885" s="2" t="s">
        <v>64</v>
      </c>
      <c r="M1885" s="2" t="s">
        <v>12</v>
      </c>
      <c r="N1885" s="2" t="s">
        <v>12</v>
      </c>
      <c r="O1885" s="2" t="s">
        <v>12</v>
      </c>
      <c r="P1885" s="21" t="s">
        <v>12</v>
      </c>
      <c r="Q1885" s="3" t="s">
        <v>2265</v>
      </c>
      <c r="R1885" s="3" t="s">
        <v>75</v>
      </c>
    </row>
    <row r="1886" spans="1:18" x14ac:dyDescent="0.25">
      <c r="A1886" s="30">
        <v>45953</v>
      </c>
      <c r="B1886" s="28">
        <v>1876</v>
      </c>
      <c r="C1886" s="28"/>
      <c r="D1886" s="2" t="s">
        <v>92</v>
      </c>
      <c r="E1886" s="7" t="s">
        <v>2238</v>
      </c>
      <c r="F1886" s="7"/>
      <c r="G1886" s="2" t="s">
        <v>26</v>
      </c>
      <c r="H1886" s="2" t="s">
        <v>410</v>
      </c>
      <c r="I1886" s="5">
        <v>184967.78</v>
      </c>
      <c r="J1886" s="57">
        <v>7.0000000000000007E-2</v>
      </c>
      <c r="K1886" s="3">
        <v>2160</v>
      </c>
      <c r="L1886" s="2" t="s">
        <v>226</v>
      </c>
      <c r="M1886" s="2" t="s">
        <v>12</v>
      </c>
      <c r="N1886" s="2" t="s">
        <v>12</v>
      </c>
      <c r="O1886" s="2" t="s">
        <v>12</v>
      </c>
      <c r="P1886" s="21" t="s">
        <v>12</v>
      </c>
      <c r="Q1886" s="3" t="s">
        <v>75</v>
      </c>
      <c r="R1886" s="3" t="s">
        <v>75</v>
      </c>
    </row>
    <row r="1887" spans="1:18" x14ac:dyDescent="0.25">
      <c r="A1887" s="30">
        <v>45953</v>
      </c>
      <c r="B1887" s="28">
        <v>1877</v>
      </c>
      <c r="C1887" s="28"/>
      <c r="D1887" s="2" t="s">
        <v>1237</v>
      </c>
      <c r="E1887" s="7" t="s">
        <v>12</v>
      </c>
      <c r="F1887" s="7"/>
      <c r="G1887" s="2" t="s">
        <v>20</v>
      </c>
      <c r="H1887" s="2" t="s">
        <v>251</v>
      </c>
      <c r="I1887" s="5">
        <v>5809.94</v>
      </c>
      <c r="J1887" s="57">
        <v>0.04</v>
      </c>
      <c r="K1887" s="3">
        <v>96</v>
      </c>
      <c r="L1887" s="2" t="s">
        <v>226</v>
      </c>
      <c r="M1887" s="2" t="s">
        <v>2439</v>
      </c>
      <c r="N1887" s="2" t="s">
        <v>12</v>
      </c>
      <c r="O1887" s="2" t="s">
        <v>12</v>
      </c>
      <c r="P1887" s="21" t="s">
        <v>12</v>
      </c>
      <c r="Q1887" s="3" t="s">
        <v>12</v>
      </c>
      <c r="R1887" s="3" t="s">
        <v>12</v>
      </c>
    </row>
    <row r="1888" spans="1:18" x14ac:dyDescent="0.25">
      <c r="A1888" s="30">
        <v>45953</v>
      </c>
      <c r="B1888" s="28">
        <v>1878</v>
      </c>
      <c r="C1888" s="28"/>
      <c r="D1888" s="2" t="s">
        <v>2239</v>
      </c>
      <c r="E1888" s="7" t="s">
        <v>2240</v>
      </c>
      <c r="F1888" s="7"/>
      <c r="G1888" s="2" t="s">
        <v>13</v>
      </c>
      <c r="H1888" s="2" t="s">
        <v>294</v>
      </c>
      <c r="I1888" s="5">
        <v>177009.48</v>
      </c>
      <c r="J1888" s="57">
        <v>7.0000000000000007E-2</v>
      </c>
      <c r="K1888" s="3">
        <v>2184</v>
      </c>
      <c r="L1888" s="2" t="s">
        <v>226</v>
      </c>
      <c r="M1888" s="2" t="s">
        <v>12</v>
      </c>
      <c r="N1888" s="2" t="s">
        <v>12</v>
      </c>
      <c r="O1888" s="2" t="s">
        <v>12</v>
      </c>
      <c r="P1888" s="21" t="s">
        <v>12</v>
      </c>
      <c r="Q1888" s="3" t="s">
        <v>12</v>
      </c>
      <c r="R1888" s="3" t="s">
        <v>12</v>
      </c>
    </row>
    <row r="1889" spans="1:18" x14ac:dyDescent="0.25">
      <c r="A1889" s="30">
        <v>45953</v>
      </c>
      <c r="B1889" s="28">
        <v>1879</v>
      </c>
      <c r="C1889" s="28"/>
      <c r="D1889" s="2" t="s">
        <v>646</v>
      </c>
      <c r="E1889" s="7" t="s">
        <v>2241</v>
      </c>
      <c r="F1889" s="7"/>
      <c r="G1889" s="2" t="s">
        <v>111</v>
      </c>
      <c r="H1889" s="2" t="s">
        <v>874</v>
      </c>
      <c r="I1889" s="5" t="s">
        <v>12</v>
      </c>
      <c r="J1889" s="57" t="s">
        <v>12</v>
      </c>
      <c r="K1889" s="3" t="s">
        <v>12</v>
      </c>
      <c r="L1889" s="2" t="s">
        <v>226</v>
      </c>
      <c r="M1889" s="2" t="s">
        <v>12</v>
      </c>
      <c r="N1889" s="2" t="s">
        <v>12</v>
      </c>
      <c r="O1889" s="2" t="s">
        <v>12</v>
      </c>
      <c r="P1889" s="21" t="s">
        <v>12</v>
      </c>
      <c r="Q1889" s="3" t="s">
        <v>12</v>
      </c>
      <c r="R1889" s="3" t="s">
        <v>12</v>
      </c>
    </row>
    <row r="1890" spans="1:18" x14ac:dyDescent="0.25">
      <c r="A1890" s="30">
        <v>45959</v>
      </c>
      <c r="B1890" s="28">
        <v>1880</v>
      </c>
      <c r="C1890" s="28"/>
      <c r="D1890" s="2" t="s">
        <v>23</v>
      </c>
      <c r="E1890" s="7" t="s">
        <v>2242</v>
      </c>
      <c r="F1890" s="7"/>
      <c r="G1890" s="2" t="s">
        <v>20</v>
      </c>
      <c r="H1890" s="2" t="s">
        <v>24</v>
      </c>
      <c r="I1890" s="5">
        <v>3994.34</v>
      </c>
      <c r="J1890" s="57">
        <v>7.0000000000000007E-2</v>
      </c>
      <c r="K1890" s="3" t="s">
        <v>12</v>
      </c>
      <c r="L1890" s="2" t="s">
        <v>64</v>
      </c>
      <c r="M1890" s="2" t="s">
        <v>12</v>
      </c>
      <c r="N1890" s="2" t="s">
        <v>12</v>
      </c>
      <c r="O1890" s="2" t="s">
        <v>12</v>
      </c>
      <c r="P1890" s="21" t="s">
        <v>12</v>
      </c>
      <c r="Q1890" s="3" t="s">
        <v>12</v>
      </c>
      <c r="R1890" s="3" t="s">
        <v>12</v>
      </c>
    </row>
    <row r="1891" spans="1:18" x14ac:dyDescent="0.25">
      <c r="A1891" s="30">
        <v>45954</v>
      </c>
      <c r="B1891" s="28">
        <v>1881</v>
      </c>
      <c r="C1891" s="28"/>
      <c r="D1891" s="2" t="s">
        <v>168</v>
      </c>
      <c r="E1891" s="7" t="s">
        <v>2243</v>
      </c>
      <c r="F1891" s="7"/>
      <c r="G1891" s="2" t="s">
        <v>43</v>
      </c>
      <c r="H1891" s="2" t="s">
        <v>182</v>
      </c>
      <c r="I1891" s="5">
        <v>47919.73</v>
      </c>
      <c r="J1891" s="57">
        <v>0.05</v>
      </c>
      <c r="K1891" s="3">
        <v>624</v>
      </c>
      <c r="L1891" s="2" t="s">
        <v>226</v>
      </c>
      <c r="M1891" s="2" t="s">
        <v>2622</v>
      </c>
      <c r="N1891" s="2" t="s">
        <v>12</v>
      </c>
      <c r="O1891" s="2" t="s">
        <v>12</v>
      </c>
      <c r="P1891" s="21" t="s">
        <v>12</v>
      </c>
      <c r="Q1891" s="3" t="s">
        <v>12</v>
      </c>
      <c r="R1891" s="3" t="s">
        <v>12</v>
      </c>
    </row>
    <row r="1892" spans="1:18" x14ac:dyDescent="0.25">
      <c r="A1892" s="30">
        <v>45954</v>
      </c>
      <c r="B1892" s="28">
        <v>1882</v>
      </c>
      <c r="C1892" s="28"/>
      <c r="D1892" s="2" t="s">
        <v>558</v>
      </c>
      <c r="E1892" s="7" t="s">
        <v>2244</v>
      </c>
      <c r="F1892" s="7"/>
      <c r="G1892" s="2" t="s">
        <v>20</v>
      </c>
      <c r="H1892" s="2" t="s">
        <v>532</v>
      </c>
      <c r="I1892" s="5">
        <v>55390.1</v>
      </c>
      <c r="J1892" s="57">
        <v>7.0000000000000007E-2</v>
      </c>
      <c r="K1892" s="3">
        <v>672</v>
      </c>
      <c r="L1892" s="2" t="s">
        <v>226</v>
      </c>
      <c r="M1892" s="2" t="s">
        <v>12</v>
      </c>
      <c r="N1892" s="2" t="s">
        <v>12</v>
      </c>
      <c r="O1892" s="2" t="s">
        <v>12</v>
      </c>
      <c r="P1892" s="21" t="s">
        <v>12</v>
      </c>
      <c r="Q1892" s="3" t="s">
        <v>558</v>
      </c>
      <c r="R1892" s="3" t="s">
        <v>75</v>
      </c>
    </row>
    <row r="1893" spans="1:18" x14ac:dyDescent="0.25">
      <c r="A1893" s="30">
        <v>45954</v>
      </c>
      <c r="B1893" s="28">
        <v>1883</v>
      </c>
      <c r="C1893" s="28" t="s">
        <v>2161</v>
      </c>
      <c r="D1893" s="2" t="s">
        <v>411</v>
      </c>
      <c r="E1893" s="7" t="s">
        <v>1776</v>
      </c>
      <c r="F1893" s="7"/>
      <c r="G1893" s="2" t="s">
        <v>26</v>
      </c>
      <c r="H1893" s="2" t="s">
        <v>413</v>
      </c>
      <c r="I1893" s="5">
        <v>80152.899999999994</v>
      </c>
      <c r="J1893" s="57">
        <v>0.04</v>
      </c>
      <c r="K1893" s="3">
        <v>1056</v>
      </c>
      <c r="L1893" s="2" t="s">
        <v>64</v>
      </c>
      <c r="M1893" s="2" t="s">
        <v>12</v>
      </c>
      <c r="N1893" s="2" t="s">
        <v>12</v>
      </c>
      <c r="O1893" s="2" t="s">
        <v>12</v>
      </c>
      <c r="P1893" s="21" t="s">
        <v>12</v>
      </c>
      <c r="Q1893" s="3" t="s">
        <v>133</v>
      </c>
      <c r="R1893" s="3" t="s">
        <v>75</v>
      </c>
    </row>
    <row r="1894" spans="1:18" x14ac:dyDescent="0.25">
      <c r="A1894" s="30">
        <v>45954</v>
      </c>
      <c r="B1894" s="28">
        <v>1884</v>
      </c>
      <c r="C1894" s="28"/>
      <c r="D1894" s="2" t="s">
        <v>1206</v>
      </c>
      <c r="E1894" s="7" t="s">
        <v>2245</v>
      </c>
      <c r="F1894" s="7"/>
      <c r="G1894" s="2" t="s">
        <v>26</v>
      </c>
      <c r="H1894" s="2"/>
      <c r="I1894" s="5">
        <v>594962.96</v>
      </c>
      <c r="J1894" s="57">
        <v>0.05</v>
      </c>
      <c r="K1894" s="3">
        <v>6073.2</v>
      </c>
      <c r="L1894" s="2" t="s">
        <v>226</v>
      </c>
      <c r="M1894" s="2" t="s">
        <v>2543</v>
      </c>
      <c r="N1894" s="2" t="s">
        <v>12</v>
      </c>
      <c r="O1894" s="2" t="s">
        <v>12</v>
      </c>
      <c r="P1894" s="21" t="s">
        <v>12</v>
      </c>
      <c r="Q1894" s="3" t="s">
        <v>12</v>
      </c>
      <c r="R1894" s="3" t="s">
        <v>12</v>
      </c>
    </row>
    <row r="1895" spans="1:18" x14ac:dyDescent="0.25">
      <c r="A1895" s="30">
        <v>45954</v>
      </c>
      <c r="B1895" s="28">
        <v>1885</v>
      </c>
      <c r="C1895" s="28"/>
      <c r="D1895" s="2" t="s">
        <v>1206</v>
      </c>
      <c r="E1895" s="7" t="s">
        <v>2245</v>
      </c>
      <c r="F1895" s="7"/>
      <c r="G1895" s="2" t="s">
        <v>26</v>
      </c>
      <c r="H1895" s="2"/>
      <c r="I1895" s="5">
        <v>199719.72</v>
      </c>
      <c r="J1895" s="57">
        <v>0.05</v>
      </c>
      <c r="K1895" s="3">
        <v>2640</v>
      </c>
      <c r="L1895" s="2" t="s">
        <v>226</v>
      </c>
      <c r="M1895" s="2" t="s">
        <v>2543</v>
      </c>
      <c r="N1895" s="2" t="s">
        <v>12</v>
      </c>
      <c r="O1895" s="2" t="s">
        <v>12</v>
      </c>
      <c r="P1895" s="21" t="s">
        <v>12</v>
      </c>
      <c r="Q1895" s="3" t="s">
        <v>12</v>
      </c>
      <c r="R1895" s="3" t="s">
        <v>12</v>
      </c>
    </row>
    <row r="1896" spans="1:18" x14ac:dyDescent="0.25">
      <c r="A1896" s="30">
        <v>45957</v>
      </c>
      <c r="B1896" s="28">
        <v>1886</v>
      </c>
      <c r="C1896" s="28"/>
      <c r="D1896" s="2" t="s">
        <v>425</v>
      </c>
      <c r="E1896" s="7" t="s">
        <v>2246</v>
      </c>
      <c r="F1896" s="7"/>
      <c r="G1896" s="2" t="s">
        <v>26</v>
      </c>
      <c r="H1896" s="2" t="s">
        <v>2003</v>
      </c>
      <c r="I1896" s="5">
        <v>1926.57</v>
      </c>
      <c r="J1896" s="57">
        <v>7.0000000000000007E-2</v>
      </c>
      <c r="K1896" s="3">
        <v>24</v>
      </c>
      <c r="L1896" s="2" t="s">
        <v>64</v>
      </c>
      <c r="M1896" s="2" t="s">
        <v>12</v>
      </c>
      <c r="N1896" s="2" t="s">
        <v>12</v>
      </c>
      <c r="O1896" s="2" t="s">
        <v>12</v>
      </c>
      <c r="P1896" s="21" t="s">
        <v>12</v>
      </c>
      <c r="Q1896" s="3" t="s">
        <v>12</v>
      </c>
      <c r="R1896" s="3" t="s">
        <v>12</v>
      </c>
    </row>
    <row r="1897" spans="1:18" x14ac:dyDescent="0.25">
      <c r="A1897" s="30">
        <v>45957</v>
      </c>
      <c r="B1897" s="28">
        <v>1887</v>
      </c>
      <c r="C1897" s="28" t="s">
        <v>2161</v>
      </c>
      <c r="D1897" s="2" t="s">
        <v>1711</v>
      </c>
      <c r="E1897" s="7" t="s">
        <v>2247</v>
      </c>
      <c r="F1897" s="7"/>
      <c r="G1897" s="2" t="s">
        <v>97</v>
      </c>
      <c r="H1897" s="2" t="s">
        <v>1932</v>
      </c>
      <c r="I1897" s="5">
        <v>19489.509999999998</v>
      </c>
      <c r="J1897" s="57">
        <v>0.04</v>
      </c>
      <c r="K1897" s="3">
        <v>300</v>
      </c>
      <c r="L1897" s="2" t="s">
        <v>64</v>
      </c>
      <c r="M1897" s="2" t="s">
        <v>2579</v>
      </c>
      <c r="N1897" s="2" t="s">
        <v>12</v>
      </c>
      <c r="O1897" s="2" t="s">
        <v>12</v>
      </c>
      <c r="P1897" s="21" t="s">
        <v>12</v>
      </c>
      <c r="Q1897" s="3" t="s">
        <v>12</v>
      </c>
      <c r="R1897" s="3" t="s">
        <v>12</v>
      </c>
    </row>
    <row r="1898" spans="1:18" x14ac:dyDescent="0.25">
      <c r="A1898" s="30">
        <v>45957</v>
      </c>
      <c r="B1898" s="28">
        <v>1888</v>
      </c>
      <c r="C1898" s="28"/>
      <c r="D1898" s="2" t="s">
        <v>56</v>
      </c>
      <c r="E1898" s="7" t="s">
        <v>12</v>
      </c>
      <c r="F1898" s="7"/>
      <c r="G1898" s="2" t="s">
        <v>43</v>
      </c>
      <c r="H1898" s="2" t="s">
        <v>58</v>
      </c>
      <c r="I1898" s="5">
        <v>12354.9</v>
      </c>
      <c r="J1898" s="57">
        <v>0.04</v>
      </c>
      <c r="K1898" s="3">
        <v>192</v>
      </c>
      <c r="L1898" s="2" t="s">
        <v>226</v>
      </c>
      <c r="M1898" s="2" t="s">
        <v>12</v>
      </c>
      <c r="N1898" s="2" t="s">
        <v>12</v>
      </c>
      <c r="O1898" s="2" t="s">
        <v>12</v>
      </c>
      <c r="P1898" s="21" t="s">
        <v>12</v>
      </c>
      <c r="Q1898" s="3" t="s">
        <v>12</v>
      </c>
      <c r="R1898" s="3" t="s">
        <v>12</v>
      </c>
    </row>
    <row r="1899" spans="1:18" x14ac:dyDescent="0.25">
      <c r="A1899" s="30">
        <v>45957</v>
      </c>
      <c r="B1899" s="28">
        <v>1889</v>
      </c>
      <c r="C1899" s="28" t="s">
        <v>2162</v>
      </c>
      <c r="D1899" s="2" t="s">
        <v>2248</v>
      </c>
      <c r="E1899" s="7" t="s">
        <v>12</v>
      </c>
      <c r="F1899" s="7"/>
      <c r="G1899" s="2" t="s">
        <v>13</v>
      </c>
      <c r="H1899" s="2" t="s">
        <v>2249</v>
      </c>
      <c r="I1899" s="5">
        <v>19691.580000000002</v>
      </c>
      <c r="J1899" s="57">
        <v>0.04</v>
      </c>
      <c r="K1899" s="3">
        <v>336</v>
      </c>
      <c r="L1899" s="2" t="s">
        <v>64</v>
      </c>
      <c r="M1899" s="2" t="s">
        <v>12</v>
      </c>
      <c r="N1899" s="2" t="s">
        <v>12</v>
      </c>
      <c r="O1899" s="2" t="s">
        <v>12</v>
      </c>
      <c r="P1899" s="21" t="s">
        <v>12</v>
      </c>
      <c r="Q1899" s="3" t="s">
        <v>12</v>
      </c>
      <c r="R1899" s="3" t="s">
        <v>12</v>
      </c>
    </row>
    <row r="1900" spans="1:18" x14ac:dyDescent="0.25">
      <c r="A1900" s="30">
        <v>45957</v>
      </c>
      <c r="B1900" s="28">
        <v>1890</v>
      </c>
      <c r="C1900" s="28"/>
      <c r="D1900" s="2" t="s">
        <v>692</v>
      </c>
      <c r="E1900" s="7" t="s">
        <v>2250</v>
      </c>
      <c r="F1900" s="7"/>
      <c r="G1900" s="2" t="s">
        <v>97</v>
      </c>
      <c r="H1900" s="2" t="s">
        <v>963</v>
      </c>
      <c r="I1900" s="5">
        <v>124531.8</v>
      </c>
      <c r="J1900" s="57">
        <v>7.0000000000000007E-2</v>
      </c>
      <c r="K1900" s="3">
        <v>1176</v>
      </c>
      <c r="L1900" s="2" t="s">
        <v>226</v>
      </c>
      <c r="M1900" s="2" t="s">
        <v>12</v>
      </c>
      <c r="N1900" s="2" t="s">
        <v>12</v>
      </c>
      <c r="O1900" s="2"/>
      <c r="P1900" s="21" t="s">
        <v>12</v>
      </c>
      <c r="Q1900" s="3" t="s">
        <v>2266</v>
      </c>
      <c r="R1900" s="3" t="s">
        <v>75</v>
      </c>
    </row>
    <row r="1901" spans="1:18" x14ac:dyDescent="0.25">
      <c r="A1901" s="30">
        <v>45957</v>
      </c>
      <c r="B1901" s="28">
        <v>1891</v>
      </c>
      <c r="C1901" s="28"/>
      <c r="D1901" s="2" t="s">
        <v>363</v>
      </c>
      <c r="E1901" s="7" t="s">
        <v>12</v>
      </c>
      <c r="F1901" s="7"/>
      <c r="G1901" s="2" t="s">
        <v>13</v>
      </c>
      <c r="H1901" s="2" t="s">
        <v>98</v>
      </c>
      <c r="I1901" s="5">
        <v>81774</v>
      </c>
      <c r="J1901" s="57">
        <v>7.0000000000000007E-2</v>
      </c>
      <c r="K1901" s="3">
        <v>1440</v>
      </c>
      <c r="L1901" s="2" t="s">
        <v>64</v>
      </c>
      <c r="M1901" s="2" t="s">
        <v>12</v>
      </c>
      <c r="N1901" s="2" t="s">
        <v>12</v>
      </c>
      <c r="O1901" s="2" t="s">
        <v>12</v>
      </c>
      <c r="P1901" s="21" t="s">
        <v>12</v>
      </c>
      <c r="Q1901" s="3" t="s">
        <v>12</v>
      </c>
      <c r="R1901" s="3" t="s">
        <v>12</v>
      </c>
    </row>
    <row r="1902" spans="1:18" x14ac:dyDescent="0.25">
      <c r="A1902" s="30">
        <v>45959</v>
      </c>
      <c r="B1902" s="28">
        <v>1892</v>
      </c>
      <c r="C1902" s="28" t="s">
        <v>2161</v>
      </c>
      <c r="D1902" s="2" t="s">
        <v>23</v>
      </c>
      <c r="E1902" s="7" t="s">
        <v>2251</v>
      </c>
      <c r="F1902" s="7"/>
      <c r="G1902" s="2" t="s">
        <v>20</v>
      </c>
      <c r="H1902" s="2" t="s">
        <v>32</v>
      </c>
      <c r="I1902" s="5">
        <v>30062.27</v>
      </c>
      <c r="J1902" s="57">
        <v>0.03</v>
      </c>
      <c r="K1902" s="3">
        <v>528</v>
      </c>
      <c r="L1902" s="2" t="s">
        <v>64</v>
      </c>
      <c r="M1902" s="2" t="s">
        <v>12</v>
      </c>
      <c r="N1902" s="2" t="s">
        <v>12</v>
      </c>
      <c r="O1902" s="2" t="s">
        <v>12</v>
      </c>
      <c r="P1902" s="21" t="s">
        <v>12</v>
      </c>
      <c r="Q1902" s="3" t="s">
        <v>12</v>
      </c>
      <c r="R1902" s="3" t="s">
        <v>12</v>
      </c>
    </row>
    <row r="1903" spans="1:18" x14ac:dyDescent="0.25">
      <c r="A1903" s="30">
        <v>45957</v>
      </c>
      <c r="B1903" s="28">
        <v>1893</v>
      </c>
      <c r="C1903" s="28" t="s">
        <v>2161</v>
      </c>
      <c r="D1903" s="2" t="s">
        <v>425</v>
      </c>
      <c r="E1903" s="7" t="s">
        <v>2252</v>
      </c>
      <c r="F1903" s="7"/>
      <c r="G1903" s="2" t="s">
        <v>26</v>
      </c>
      <c r="H1903" s="2" t="s">
        <v>1726</v>
      </c>
      <c r="I1903" s="5">
        <v>150369.94</v>
      </c>
      <c r="J1903" s="57">
        <v>0.05</v>
      </c>
      <c r="K1903" s="3">
        <v>1632</v>
      </c>
      <c r="L1903" s="2" t="s">
        <v>226</v>
      </c>
      <c r="M1903" s="2" t="s">
        <v>12</v>
      </c>
      <c r="N1903" s="2" t="s">
        <v>12</v>
      </c>
      <c r="O1903" s="2" t="s">
        <v>12</v>
      </c>
      <c r="P1903" s="21" t="s">
        <v>12</v>
      </c>
      <c r="Q1903" s="3" t="s">
        <v>425</v>
      </c>
      <c r="R1903" s="3" t="s">
        <v>80</v>
      </c>
    </row>
    <row r="1904" spans="1:18" x14ac:dyDescent="0.25">
      <c r="A1904" s="30">
        <v>45959</v>
      </c>
      <c r="B1904" s="28">
        <v>1894</v>
      </c>
      <c r="C1904" s="28" t="s">
        <v>2162</v>
      </c>
      <c r="D1904" s="2" t="s">
        <v>2253</v>
      </c>
      <c r="E1904" s="7" t="s">
        <v>2268</v>
      </c>
      <c r="F1904" s="7"/>
      <c r="G1904" s="2" t="s">
        <v>13</v>
      </c>
      <c r="H1904" s="2" t="s">
        <v>170</v>
      </c>
      <c r="I1904" s="5">
        <v>56844.59</v>
      </c>
      <c r="J1904" s="57">
        <v>0.04</v>
      </c>
      <c r="K1904" s="3">
        <v>684</v>
      </c>
      <c r="L1904" s="2" t="s">
        <v>64</v>
      </c>
      <c r="M1904" s="2" t="s">
        <v>12</v>
      </c>
      <c r="N1904" s="2" t="s">
        <v>12</v>
      </c>
      <c r="O1904" s="2" t="s">
        <v>12</v>
      </c>
      <c r="P1904" s="21" t="s">
        <v>12</v>
      </c>
      <c r="Q1904" s="3" t="s">
        <v>12</v>
      </c>
      <c r="R1904" s="3" t="s">
        <v>12</v>
      </c>
    </row>
    <row r="1905" spans="1:18" x14ac:dyDescent="0.25">
      <c r="A1905" s="30">
        <v>45958</v>
      </c>
      <c r="B1905" s="28">
        <v>1895</v>
      </c>
      <c r="C1905" s="28"/>
      <c r="D1905" s="2" t="s">
        <v>23</v>
      </c>
      <c r="E1905" s="7" t="s">
        <v>2254</v>
      </c>
      <c r="F1905" s="7"/>
      <c r="G1905" s="2" t="s">
        <v>20</v>
      </c>
      <c r="H1905" s="2" t="s">
        <v>32</v>
      </c>
      <c r="I1905" s="5">
        <v>2383.0100000000002</v>
      </c>
      <c r="J1905" s="57">
        <v>0.03</v>
      </c>
      <c r="K1905" s="3">
        <v>48</v>
      </c>
      <c r="L1905" s="2" t="s">
        <v>64</v>
      </c>
      <c r="M1905" s="2" t="s">
        <v>12</v>
      </c>
      <c r="N1905" s="2" t="s">
        <v>12</v>
      </c>
      <c r="O1905" s="2" t="s">
        <v>12</v>
      </c>
      <c r="P1905" s="21" t="s">
        <v>12</v>
      </c>
      <c r="Q1905" s="3" t="s">
        <v>12</v>
      </c>
      <c r="R1905" s="3" t="s">
        <v>12</v>
      </c>
    </row>
    <row r="1906" spans="1:18" x14ac:dyDescent="0.25">
      <c r="A1906" s="30">
        <v>45958</v>
      </c>
      <c r="B1906" s="28">
        <v>1896</v>
      </c>
      <c r="C1906" s="28" t="s">
        <v>2162</v>
      </c>
      <c r="D1906" s="2" t="s">
        <v>87</v>
      </c>
      <c r="E1906" s="7" t="s">
        <v>2255</v>
      </c>
      <c r="F1906" s="7"/>
      <c r="G1906" s="2" t="s">
        <v>13</v>
      </c>
      <c r="H1906" s="2" t="s">
        <v>238</v>
      </c>
      <c r="I1906" s="5">
        <v>31201.67</v>
      </c>
      <c r="J1906" s="57">
        <v>0.04</v>
      </c>
      <c r="K1906" s="3">
        <v>192</v>
      </c>
      <c r="L1906" s="2" t="s">
        <v>64</v>
      </c>
      <c r="M1906" s="2" t="s">
        <v>12</v>
      </c>
      <c r="N1906" s="2" t="s">
        <v>12</v>
      </c>
      <c r="O1906" s="2" t="s">
        <v>12</v>
      </c>
      <c r="P1906" s="21" t="s">
        <v>12</v>
      </c>
      <c r="Q1906" s="3" t="s">
        <v>12</v>
      </c>
      <c r="R1906" s="3" t="s">
        <v>12</v>
      </c>
    </row>
    <row r="1907" spans="1:18" x14ac:dyDescent="0.25">
      <c r="A1907" s="30">
        <v>45959</v>
      </c>
      <c r="B1907" s="28">
        <v>1897</v>
      </c>
      <c r="C1907" s="28" t="s">
        <v>2162</v>
      </c>
      <c r="D1907" s="2" t="s">
        <v>925</v>
      </c>
      <c r="E1907" s="7" t="s">
        <v>2256</v>
      </c>
      <c r="F1907" s="7"/>
      <c r="G1907" s="2" t="s">
        <v>26</v>
      </c>
      <c r="H1907" s="2" t="s">
        <v>1187</v>
      </c>
      <c r="I1907" s="5">
        <v>29676.48</v>
      </c>
      <c r="J1907" s="57">
        <v>0.05</v>
      </c>
      <c r="K1907" s="3">
        <v>336</v>
      </c>
      <c r="L1907" s="2" t="s">
        <v>134</v>
      </c>
      <c r="M1907" s="2" t="s">
        <v>135</v>
      </c>
      <c r="N1907" s="2" t="s">
        <v>135</v>
      </c>
      <c r="O1907" s="2" t="s">
        <v>12</v>
      </c>
      <c r="P1907" s="21" t="s">
        <v>12</v>
      </c>
      <c r="Q1907" s="3" t="s">
        <v>12</v>
      </c>
      <c r="R1907" s="3" t="s">
        <v>12</v>
      </c>
    </row>
    <row r="1908" spans="1:18" x14ac:dyDescent="0.25">
      <c r="A1908" s="30">
        <v>45958</v>
      </c>
      <c r="B1908" s="28">
        <v>1898</v>
      </c>
      <c r="C1908" s="28"/>
      <c r="D1908" s="2" t="s">
        <v>2257</v>
      </c>
      <c r="E1908" s="7" t="s">
        <v>2245</v>
      </c>
      <c r="F1908" s="7"/>
      <c r="G1908" s="2" t="s">
        <v>26</v>
      </c>
      <c r="H1908" s="2" t="s">
        <v>331</v>
      </c>
      <c r="I1908" s="5">
        <v>594962.96</v>
      </c>
      <c r="J1908" s="57">
        <v>0.05</v>
      </c>
      <c r="K1908" s="3">
        <v>6073.2</v>
      </c>
      <c r="L1908" s="2" t="s">
        <v>226</v>
      </c>
      <c r="M1908" s="2" t="s">
        <v>12</v>
      </c>
      <c r="N1908" s="2" t="s">
        <v>12</v>
      </c>
      <c r="O1908" s="2" t="s">
        <v>12</v>
      </c>
      <c r="P1908" s="21" t="s">
        <v>12</v>
      </c>
      <c r="Q1908" s="3" t="s">
        <v>12</v>
      </c>
      <c r="R1908" s="3" t="s">
        <v>12</v>
      </c>
    </row>
    <row r="1909" spans="1:18" x14ac:dyDescent="0.25">
      <c r="A1909" s="30">
        <v>45958</v>
      </c>
      <c r="B1909" s="28">
        <v>1899</v>
      </c>
      <c r="C1909" s="28"/>
      <c r="D1909" s="2" t="s">
        <v>2257</v>
      </c>
      <c r="E1909" s="7" t="s">
        <v>2245</v>
      </c>
      <c r="F1909" s="7"/>
      <c r="G1909" s="2" t="s">
        <v>26</v>
      </c>
      <c r="H1909" s="2" t="s">
        <v>331</v>
      </c>
      <c r="I1909" s="5">
        <v>199719.72</v>
      </c>
      <c r="J1909" s="57">
        <v>0.05</v>
      </c>
      <c r="K1909" s="3">
        <v>2640</v>
      </c>
      <c r="L1909" s="2" t="s">
        <v>226</v>
      </c>
      <c r="M1909" s="2" t="s">
        <v>12</v>
      </c>
      <c r="N1909" s="2" t="s">
        <v>12</v>
      </c>
      <c r="O1909" s="2" t="s">
        <v>12</v>
      </c>
      <c r="P1909" s="21" t="s">
        <v>12</v>
      </c>
      <c r="Q1909" s="3" t="s">
        <v>12</v>
      </c>
      <c r="R1909" s="3" t="s">
        <v>12</v>
      </c>
    </row>
    <row r="1910" spans="1:18" x14ac:dyDescent="0.25">
      <c r="A1910" s="30">
        <v>45958</v>
      </c>
      <c r="B1910" s="28">
        <v>1900</v>
      </c>
      <c r="C1910" s="28"/>
      <c r="D1910" s="2" t="s">
        <v>23</v>
      </c>
      <c r="E1910" s="7" t="s">
        <v>2258</v>
      </c>
      <c r="F1910" s="7"/>
      <c r="G1910" s="2" t="s">
        <v>20</v>
      </c>
      <c r="H1910" s="2" t="s">
        <v>32</v>
      </c>
      <c r="I1910" s="5">
        <v>15630.97</v>
      </c>
      <c r="J1910" s="57">
        <v>0.03</v>
      </c>
      <c r="K1910" s="3">
        <v>216</v>
      </c>
      <c r="L1910" s="2" t="s">
        <v>64</v>
      </c>
      <c r="M1910" s="2" t="s">
        <v>12</v>
      </c>
      <c r="N1910" s="2" t="s">
        <v>12</v>
      </c>
      <c r="O1910" s="2" t="s">
        <v>12</v>
      </c>
      <c r="P1910" s="21" t="s">
        <v>12</v>
      </c>
      <c r="Q1910" s="3" t="s">
        <v>12</v>
      </c>
      <c r="R1910" s="3" t="s">
        <v>12</v>
      </c>
    </row>
    <row r="1911" spans="1:18" x14ac:dyDescent="0.25">
      <c r="A1911" s="30">
        <v>45958</v>
      </c>
      <c r="B1911" s="28">
        <v>1901</v>
      </c>
      <c r="C1911" s="28"/>
      <c r="D1911" s="2" t="s">
        <v>2259</v>
      </c>
      <c r="E1911" s="7" t="s">
        <v>12</v>
      </c>
      <c r="F1911" s="7"/>
      <c r="G1911" s="2" t="s">
        <v>13</v>
      </c>
      <c r="H1911" s="2" t="s">
        <v>225</v>
      </c>
      <c r="I1911" s="5">
        <v>3163.79</v>
      </c>
      <c r="J1911" s="57">
        <v>0.05</v>
      </c>
      <c r="K1911" s="3">
        <v>48</v>
      </c>
      <c r="L1911" s="2" t="s">
        <v>226</v>
      </c>
      <c r="M1911" s="2" t="s">
        <v>12</v>
      </c>
      <c r="N1911" s="2" t="s">
        <v>12</v>
      </c>
      <c r="O1911" s="2" t="s">
        <v>12</v>
      </c>
      <c r="P1911" s="21" t="s">
        <v>12</v>
      </c>
      <c r="Q1911" s="3" t="s">
        <v>12</v>
      </c>
      <c r="R1911" s="3" t="s">
        <v>12</v>
      </c>
    </row>
    <row r="1912" spans="1:18" x14ac:dyDescent="0.25">
      <c r="A1912" s="30">
        <v>45958</v>
      </c>
      <c r="B1912" s="28">
        <v>1902</v>
      </c>
      <c r="C1912" s="28"/>
      <c r="D1912" s="2" t="s">
        <v>41</v>
      </c>
      <c r="E1912" s="7" t="s">
        <v>2260</v>
      </c>
      <c r="F1912" s="7"/>
      <c r="G1912" s="2" t="s">
        <v>43</v>
      </c>
      <c r="H1912" s="2" t="s">
        <v>43</v>
      </c>
      <c r="I1912" s="5">
        <v>33024.17</v>
      </c>
      <c r="J1912" s="57">
        <v>7.0000000000000007E-2</v>
      </c>
      <c r="K1912" s="3">
        <v>336</v>
      </c>
      <c r="L1912" s="2" t="s">
        <v>226</v>
      </c>
      <c r="M1912" s="2" t="s">
        <v>12</v>
      </c>
      <c r="N1912" s="2" t="s">
        <v>12</v>
      </c>
      <c r="O1912" s="2" t="s">
        <v>12</v>
      </c>
      <c r="P1912" s="21" t="s">
        <v>12</v>
      </c>
      <c r="Q1912" s="3" t="s">
        <v>460</v>
      </c>
      <c r="R1912" s="3" t="s">
        <v>80</v>
      </c>
    </row>
    <row r="1913" spans="1:18" x14ac:dyDescent="0.25">
      <c r="A1913" s="30">
        <v>45958</v>
      </c>
      <c r="B1913" s="28">
        <v>1903</v>
      </c>
      <c r="C1913" s="28"/>
      <c r="D1913" s="2" t="s">
        <v>311</v>
      </c>
      <c r="E1913" s="7" t="s">
        <v>2260</v>
      </c>
      <c r="F1913" s="7"/>
      <c r="G1913" s="2" t="s">
        <v>97</v>
      </c>
      <c r="H1913" s="2" t="s">
        <v>611</v>
      </c>
      <c r="I1913" s="5">
        <v>33024.17</v>
      </c>
      <c r="J1913" s="57">
        <v>7.0000000000000007E-2</v>
      </c>
      <c r="K1913" s="3">
        <v>336</v>
      </c>
      <c r="L1913" s="2" t="s">
        <v>226</v>
      </c>
      <c r="M1913" s="2" t="s">
        <v>12</v>
      </c>
      <c r="N1913" s="2" t="s">
        <v>12</v>
      </c>
      <c r="O1913" s="2" t="s">
        <v>12</v>
      </c>
      <c r="P1913" s="21" t="s">
        <v>12</v>
      </c>
      <c r="Q1913" s="3" t="s">
        <v>460</v>
      </c>
      <c r="R1913" s="3" t="s">
        <v>80</v>
      </c>
    </row>
    <row r="1914" spans="1:18" x14ac:dyDescent="0.25">
      <c r="A1914" s="30">
        <v>45959</v>
      </c>
      <c r="B1914" s="28">
        <v>1904</v>
      </c>
      <c r="C1914" s="28" t="s">
        <v>2161</v>
      </c>
      <c r="D1914" s="2" t="s">
        <v>564</v>
      </c>
      <c r="E1914" s="7" t="s">
        <v>12</v>
      </c>
      <c r="F1914" s="7"/>
      <c r="G1914" s="2" t="s">
        <v>13</v>
      </c>
      <c r="H1914" s="2" t="s">
        <v>1260</v>
      </c>
      <c r="I1914" s="5">
        <v>38155.1</v>
      </c>
      <c r="J1914" s="57">
        <v>0.05</v>
      </c>
      <c r="K1914" s="3">
        <v>360</v>
      </c>
      <c r="L1914" s="2" t="s">
        <v>64</v>
      </c>
      <c r="M1914" s="2" t="s">
        <v>12</v>
      </c>
      <c r="N1914" s="2" t="s">
        <v>12</v>
      </c>
      <c r="O1914" s="2" t="s">
        <v>12</v>
      </c>
      <c r="P1914" s="21" t="s">
        <v>12</v>
      </c>
      <c r="Q1914" s="3" t="s">
        <v>12</v>
      </c>
      <c r="R1914" s="3" t="s">
        <v>12</v>
      </c>
    </row>
    <row r="1915" spans="1:18" x14ac:dyDescent="0.25">
      <c r="A1915" s="30">
        <v>45959</v>
      </c>
      <c r="B1915" s="28">
        <v>1905</v>
      </c>
      <c r="C1915" s="28"/>
      <c r="D1915" s="2" t="s">
        <v>1561</v>
      </c>
      <c r="E1915" s="7" t="s">
        <v>2261</v>
      </c>
      <c r="F1915" s="7"/>
      <c r="G1915" s="2" t="s">
        <v>13</v>
      </c>
      <c r="H1915" s="2" t="s">
        <v>263</v>
      </c>
      <c r="I1915" s="5">
        <v>115139.73</v>
      </c>
      <c r="J1915" s="57">
        <v>0.05</v>
      </c>
      <c r="K1915" s="3">
        <v>1368</v>
      </c>
      <c r="L1915" s="2" t="s">
        <v>226</v>
      </c>
      <c r="M1915" s="2" t="s">
        <v>12</v>
      </c>
      <c r="N1915" s="2" t="s">
        <v>12</v>
      </c>
      <c r="O1915" s="2" t="s">
        <v>12</v>
      </c>
      <c r="P1915" s="21" t="s">
        <v>12</v>
      </c>
      <c r="Q1915" s="3" t="s">
        <v>75</v>
      </c>
      <c r="R1915" s="3" t="s">
        <v>75</v>
      </c>
    </row>
    <row r="1916" spans="1:18" x14ac:dyDescent="0.25">
      <c r="A1916" s="30">
        <v>45959</v>
      </c>
      <c r="B1916" s="28">
        <v>1906</v>
      </c>
      <c r="C1916" s="28"/>
      <c r="D1916" s="2" t="s">
        <v>516</v>
      </c>
      <c r="E1916" s="7" t="s">
        <v>2205</v>
      </c>
      <c r="F1916" s="7"/>
      <c r="G1916" s="2" t="s">
        <v>111</v>
      </c>
      <c r="H1916" s="2" t="s">
        <v>407</v>
      </c>
      <c r="I1916" s="5">
        <v>63714.99</v>
      </c>
      <c r="J1916" s="57">
        <v>7.0000000000000007E-2</v>
      </c>
      <c r="K1916" s="3">
        <v>672</v>
      </c>
      <c r="L1916" s="2" t="s">
        <v>226</v>
      </c>
      <c r="M1916" s="2" t="s">
        <v>2273</v>
      </c>
      <c r="N1916" s="2" t="s">
        <v>12</v>
      </c>
      <c r="O1916" s="2" t="s">
        <v>12</v>
      </c>
      <c r="P1916" s="21" t="s">
        <v>12</v>
      </c>
      <c r="Q1916" s="3" t="s">
        <v>2267</v>
      </c>
      <c r="R1916" s="3" t="s">
        <v>80</v>
      </c>
    </row>
    <row r="1917" spans="1:18" x14ac:dyDescent="0.25">
      <c r="A1917" s="30">
        <v>45959</v>
      </c>
      <c r="B1917" s="28">
        <v>1907</v>
      </c>
      <c r="C1917" s="28"/>
      <c r="D1917" s="2" t="s">
        <v>2262</v>
      </c>
      <c r="E1917" s="7" t="s">
        <v>113</v>
      </c>
      <c r="F1917" s="7"/>
      <c r="G1917" s="2" t="s">
        <v>13</v>
      </c>
      <c r="H1917" s="2" t="s">
        <v>2263</v>
      </c>
      <c r="I1917" s="5">
        <v>179141.37</v>
      </c>
      <c r="J1917" s="57">
        <v>7.0000000000000007E-2</v>
      </c>
      <c r="K1917" s="3">
        <v>2208</v>
      </c>
      <c r="L1917" s="2" t="s">
        <v>226</v>
      </c>
      <c r="M1917" s="2" t="s">
        <v>12</v>
      </c>
      <c r="N1917" s="2" t="s">
        <v>12</v>
      </c>
      <c r="O1917" s="2" t="s">
        <v>12</v>
      </c>
      <c r="P1917" s="21" t="s">
        <v>12</v>
      </c>
      <c r="Q1917" s="3" t="s">
        <v>12</v>
      </c>
      <c r="R1917" s="3" t="s">
        <v>12</v>
      </c>
    </row>
    <row r="1918" spans="1:18" x14ac:dyDescent="0.25">
      <c r="A1918" s="30">
        <v>45959</v>
      </c>
      <c r="B1918" s="28">
        <v>1908</v>
      </c>
      <c r="C1918" s="28"/>
      <c r="D1918" s="2" t="s">
        <v>1237</v>
      </c>
      <c r="E1918" s="7" t="s">
        <v>2264</v>
      </c>
      <c r="F1918" s="7"/>
      <c r="G1918" s="2" t="s">
        <v>20</v>
      </c>
      <c r="H1918" s="2" t="s">
        <v>251</v>
      </c>
      <c r="I1918" s="5">
        <v>13642.43</v>
      </c>
      <c r="J1918" s="57">
        <v>7.0000000000000007E-2</v>
      </c>
      <c r="K1918" s="3">
        <v>126</v>
      </c>
      <c r="L1918" s="2" t="s">
        <v>226</v>
      </c>
      <c r="M1918" s="2" t="s">
        <v>12</v>
      </c>
      <c r="N1918" s="2" t="s">
        <v>12</v>
      </c>
      <c r="O1918" s="2" t="s">
        <v>12</v>
      </c>
      <c r="P1918" s="21" t="s">
        <v>12</v>
      </c>
      <c r="Q1918" s="3" t="s">
        <v>12</v>
      </c>
      <c r="R1918" s="3" t="s">
        <v>12</v>
      </c>
    </row>
    <row r="1919" spans="1:18" x14ac:dyDescent="0.25">
      <c r="A1919" s="30">
        <v>45959</v>
      </c>
      <c r="B1919" s="28">
        <v>1909</v>
      </c>
      <c r="C1919" s="28"/>
      <c r="D1919" s="2" t="s">
        <v>1984</v>
      </c>
      <c r="E1919" s="7" t="s">
        <v>2260</v>
      </c>
      <c r="F1919" s="7"/>
      <c r="G1919" s="2" t="s">
        <v>13</v>
      </c>
      <c r="H1919" s="2" t="s">
        <v>395</v>
      </c>
      <c r="I1919" s="5">
        <v>33024.17</v>
      </c>
      <c r="J1919" s="57">
        <v>7.0000000000000007E-2</v>
      </c>
      <c r="K1919" s="3">
        <v>336</v>
      </c>
      <c r="L1919" s="2" t="s">
        <v>226</v>
      </c>
      <c r="M1919" s="2" t="s">
        <v>12</v>
      </c>
      <c r="N1919" s="2" t="s">
        <v>12</v>
      </c>
      <c r="O1919" s="2" t="s">
        <v>12</v>
      </c>
      <c r="P1919" s="21" t="s">
        <v>12</v>
      </c>
      <c r="Q1919" s="3" t="s">
        <v>460</v>
      </c>
      <c r="R1919" s="3" t="s">
        <v>80</v>
      </c>
    </row>
    <row r="1920" spans="1:18" x14ac:dyDescent="0.25">
      <c r="A1920" s="30">
        <v>45960</v>
      </c>
      <c r="B1920" s="28">
        <v>1910</v>
      </c>
      <c r="C1920" s="28"/>
      <c r="D1920" s="2" t="s">
        <v>2248</v>
      </c>
      <c r="E1920" s="7" t="s">
        <v>12</v>
      </c>
      <c r="F1920" s="7"/>
      <c r="G1920" s="2" t="s">
        <v>13</v>
      </c>
      <c r="H1920" s="2" t="s">
        <v>2249</v>
      </c>
      <c r="I1920" s="5">
        <v>11547.94</v>
      </c>
      <c r="J1920" s="57">
        <v>7.0000000000000007E-2</v>
      </c>
      <c r="K1920" s="3">
        <v>144</v>
      </c>
      <c r="L1920" s="2" t="s">
        <v>226</v>
      </c>
      <c r="M1920" s="2" t="s">
        <v>12</v>
      </c>
      <c r="N1920" s="2" t="s">
        <v>12</v>
      </c>
      <c r="O1920" s="2" t="s">
        <v>12</v>
      </c>
      <c r="P1920" s="21" t="s">
        <v>12</v>
      </c>
      <c r="Q1920" s="3" t="s">
        <v>12</v>
      </c>
      <c r="R1920" s="3" t="s">
        <v>12</v>
      </c>
    </row>
    <row r="1921" spans="1:18" x14ac:dyDescent="0.25">
      <c r="A1921" s="30">
        <v>45960</v>
      </c>
      <c r="B1921" s="28">
        <v>1911</v>
      </c>
      <c r="C1921" s="28"/>
      <c r="D1921" s="2" t="s">
        <v>825</v>
      </c>
      <c r="E1921" s="7" t="s">
        <v>2306</v>
      </c>
      <c r="F1921" s="7"/>
      <c r="G1921" s="2" t="s">
        <v>111</v>
      </c>
      <c r="H1921" s="2" t="s">
        <v>827</v>
      </c>
      <c r="I1921" s="5">
        <v>2472.9</v>
      </c>
      <c r="J1921" s="57">
        <v>7.0000000000000007E-2</v>
      </c>
      <c r="K1921" s="3">
        <v>24</v>
      </c>
      <c r="L1921" s="2" t="s">
        <v>64</v>
      </c>
      <c r="M1921" s="2" t="s">
        <v>12</v>
      </c>
      <c r="N1921" s="2" t="s">
        <v>12</v>
      </c>
      <c r="O1921" s="2" t="s">
        <v>12</v>
      </c>
      <c r="P1921" s="21" t="s">
        <v>12</v>
      </c>
      <c r="Q1921" s="3" t="s">
        <v>12</v>
      </c>
      <c r="R1921" s="3" t="s">
        <v>12</v>
      </c>
    </row>
    <row r="1922" spans="1:18" x14ac:dyDescent="0.25">
      <c r="A1922" s="30">
        <v>45960</v>
      </c>
      <c r="B1922" s="28">
        <v>1912</v>
      </c>
      <c r="C1922" s="28" t="s">
        <v>2161</v>
      </c>
      <c r="D1922" s="2" t="s">
        <v>23</v>
      </c>
      <c r="E1922" s="7" t="s">
        <v>2275</v>
      </c>
      <c r="F1922" s="7"/>
      <c r="G1922" s="2" t="s">
        <v>20</v>
      </c>
      <c r="H1922" s="2" t="s">
        <v>32</v>
      </c>
      <c r="I1922" s="5">
        <v>18792.259999999998</v>
      </c>
      <c r="J1922" s="57">
        <v>0.03</v>
      </c>
      <c r="K1922" s="3">
        <v>264</v>
      </c>
      <c r="L1922" s="2" t="s">
        <v>64</v>
      </c>
      <c r="M1922" s="2" t="s">
        <v>12</v>
      </c>
      <c r="N1922" s="2" t="s">
        <v>12</v>
      </c>
      <c r="O1922" s="2" t="s">
        <v>12</v>
      </c>
      <c r="P1922" s="21" t="s">
        <v>12</v>
      </c>
      <c r="Q1922" s="3" t="s">
        <v>12</v>
      </c>
      <c r="R1922" s="3"/>
    </row>
    <row r="1923" spans="1:18" x14ac:dyDescent="0.25">
      <c r="A1923" s="30">
        <v>45960</v>
      </c>
      <c r="B1923" s="28">
        <v>1913</v>
      </c>
      <c r="C1923" s="28"/>
      <c r="D1923" s="2" t="s">
        <v>2276</v>
      </c>
      <c r="E1923" s="7" t="s">
        <v>2277</v>
      </c>
      <c r="F1923" s="7"/>
      <c r="G1923" s="2" t="s">
        <v>43</v>
      </c>
      <c r="H1923" s="2" t="s">
        <v>2278</v>
      </c>
      <c r="I1923" s="5">
        <v>126848.52</v>
      </c>
      <c r="J1923" s="57">
        <v>7.0000000000000007E-2</v>
      </c>
      <c r="K1923" s="3">
        <v>1344</v>
      </c>
      <c r="L1923" s="2" t="s">
        <v>226</v>
      </c>
      <c r="M1923" s="2" t="s">
        <v>12</v>
      </c>
      <c r="N1923" s="2" t="s">
        <v>12</v>
      </c>
      <c r="O1923" s="2" t="s">
        <v>12</v>
      </c>
      <c r="P1923" s="21" t="s">
        <v>12</v>
      </c>
      <c r="Q1923" s="3" t="s">
        <v>2307</v>
      </c>
      <c r="R1923" s="3" t="s">
        <v>222</v>
      </c>
    </row>
    <row r="1924" spans="1:18" x14ac:dyDescent="0.25">
      <c r="A1924" s="30">
        <v>45960</v>
      </c>
      <c r="B1924" s="28">
        <v>1914</v>
      </c>
      <c r="C1924" s="28"/>
      <c r="D1924" s="2" t="s">
        <v>1446</v>
      </c>
      <c r="E1924" s="7" t="s">
        <v>2279</v>
      </c>
      <c r="F1924" s="7"/>
      <c r="G1924" s="2" t="s">
        <v>43</v>
      </c>
      <c r="H1924" s="2" t="s">
        <v>2007</v>
      </c>
      <c r="I1924" s="5">
        <v>21525.57</v>
      </c>
      <c r="J1924" s="57">
        <v>7.0000000000000007E-2</v>
      </c>
      <c r="K1924" s="3">
        <v>240</v>
      </c>
      <c r="L1924" s="2" t="s">
        <v>226</v>
      </c>
      <c r="M1924" s="2" t="s">
        <v>667</v>
      </c>
      <c r="N1924" s="2" t="s">
        <v>12</v>
      </c>
      <c r="O1924" s="2" t="s">
        <v>12</v>
      </c>
      <c r="P1924" s="21" t="s">
        <v>12</v>
      </c>
      <c r="Q1924" s="3" t="s">
        <v>75</v>
      </c>
      <c r="R1924" s="3" t="s">
        <v>75</v>
      </c>
    </row>
    <row r="1925" spans="1:18" x14ac:dyDescent="0.25">
      <c r="A1925" s="30">
        <v>45960</v>
      </c>
      <c r="B1925" s="28">
        <v>1915</v>
      </c>
      <c r="C1925" s="28"/>
      <c r="D1925" s="2" t="s">
        <v>2190</v>
      </c>
      <c r="E1925" s="7" t="s">
        <v>12</v>
      </c>
      <c r="F1925" s="7"/>
      <c r="G1925" s="2" t="s">
        <v>13</v>
      </c>
      <c r="H1925" s="2" t="s">
        <v>549</v>
      </c>
      <c r="I1925" s="5">
        <v>18322.62</v>
      </c>
      <c r="J1925" s="57">
        <v>0.05</v>
      </c>
      <c r="K1925" s="3">
        <v>288</v>
      </c>
      <c r="L1925" s="2" t="s">
        <v>226</v>
      </c>
      <c r="M1925" s="2" t="s">
        <v>12</v>
      </c>
      <c r="N1925" s="2" t="s">
        <v>12</v>
      </c>
      <c r="O1925" s="2" t="s">
        <v>12</v>
      </c>
      <c r="P1925" s="21" t="s">
        <v>12</v>
      </c>
      <c r="Q1925" s="3" t="s">
        <v>12</v>
      </c>
      <c r="R1925" s="3" t="s">
        <v>12</v>
      </c>
    </row>
    <row r="1926" spans="1:18" x14ac:dyDescent="0.25">
      <c r="A1926" s="30">
        <v>45960</v>
      </c>
      <c r="B1926" s="28">
        <v>1916</v>
      </c>
      <c r="C1926" s="28"/>
      <c r="D1926" s="2" t="s">
        <v>1673</v>
      </c>
      <c r="E1926" s="7" t="s">
        <v>12</v>
      </c>
      <c r="F1926" s="7"/>
      <c r="G1926" s="2" t="s">
        <v>26</v>
      </c>
      <c r="H1926" s="2" t="s">
        <v>1540</v>
      </c>
      <c r="I1926" s="5">
        <v>6184.05</v>
      </c>
      <c r="J1926" s="57">
        <v>7.0000000000000007E-2</v>
      </c>
      <c r="K1926" s="3">
        <v>72</v>
      </c>
      <c r="L1926" s="2" t="s">
        <v>226</v>
      </c>
      <c r="M1926" s="2" t="s">
        <v>12</v>
      </c>
      <c r="N1926" s="2" t="s">
        <v>12</v>
      </c>
      <c r="O1926" s="2" t="s">
        <v>12</v>
      </c>
      <c r="P1926" s="21" t="s">
        <v>12</v>
      </c>
      <c r="Q1926" s="3" t="s">
        <v>12</v>
      </c>
      <c r="R1926" s="3" t="s">
        <v>12</v>
      </c>
    </row>
    <row r="1927" spans="1:18" x14ac:dyDescent="0.25">
      <c r="A1927" s="30">
        <v>45961</v>
      </c>
      <c r="B1927" s="28">
        <v>1917</v>
      </c>
      <c r="C1927" s="28"/>
      <c r="D1927" s="2" t="s">
        <v>2280</v>
      </c>
      <c r="E1927" s="7" t="s">
        <v>2281</v>
      </c>
      <c r="F1927" s="7"/>
      <c r="G1927" s="2" t="s">
        <v>26</v>
      </c>
      <c r="H1927" s="2" t="s">
        <v>2282</v>
      </c>
      <c r="I1927" s="5">
        <v>31408.83</v>
      </c>
      <c r="J1927" s="57">
        <v>7.0000000000000007E-2</v>
      </c>
      <c r="K1927" s="3">
        <v>336</v>
      </c>
      <c r="L1927" s="2" t="s">
        <v>226</v>
      </c>
      <c r="M1927" s="2" t="s">
        <v>12</v>
      </c>
      <c r="N1927" s="2" t="s">
        <v>12</v>
      </c>
      <c r="O1927" s="2" t="s">
        <v>12</v>
      </c>
      <c r="P1927" s="21" t="s">
        <v>12</v>
      </c>
      <c r="Q1927" s="3" t="s">
        <v>2308</v>
      </c>
      <c r="R1927" s="3" t="s">
        <v>80</v>
      </c>
    </row>
    <row r="1928" spans="1:18" x14ac:dyDescent="0.25">
      <c r="A1928" s="30">
        <v>45961</v>
      </c>
      <c r="B1928" s="28">
        <v>1918</v>
      </c>
      <c r="C1928" s="28"/>
      <c r="D1928" s="2" t="s">
        <v>87</v>
      </c>
      <c r="E1928" s="7" t="s">
        <v>2283</v>
      </c>
      <c r="F1928" s="7"/>
      <c r="G1928" s="2" t="s">
        <v>13</v>
      </c>
      <c r="H1928" s="2" t="s">
        <v>238</v>
      </c>
      <c r="I1928" s="5">
        <v>8413.5400000000009</v>
      </c>
      <c r="J1928" s="57">
        <v>7.0000000000000007E-2</v>
      </c>
      <c r="K1928" s="3">
        <v>96</v>
      </c>
      <c r="L1928" s="2" t="s">
        <v>226</v>
      </c>
      <c r="M1928" s="2" t="s">
        <v>12</v>
      </c>
      <c r="N1928" s="2" t="s">
        <v>12</v>
      </c>
      <c r="O1928" s="2" t="s">
        <v>12</v>
      </c>
      <c r="P1928" s="21" t="s">
        <v>12</v>
      </c>
      <c r="Q1928" s="3" t="s">
        <v>78</v>
      </c>
      <c r="R1928" s="3" t="s">
        <v>75</v>
      </c>
    </row>
    <row r="1929" spans="1:18" x14ac:dyDescent="0.25">
      <c r="A1929" s="30">
        <v>45961</v>
      </c>
      <c r="B1929" s="28">
        <v>1919</v>
      </c>
      <c r="C1929" s="28"/>
      <c r="D1929" s="2" t="s">
        <v>336</v>
      </c>
      <c r="E1929" s="7" t="s">
        <v>2284</v>
      </c>
      <c r="F1929" s="7"/>
      <c r="G1929" s="2" t="s">
        <v>20</v>
      </c>
      <c r="H1929" s="2" t="s">
        <v>1153</v>
      </c>
      <c r="I1929" s="5">
        <v>79536.759999999995</v>
      </c>
      <c r="J1929" s="57">
        <v>0.03</v>
      </c>
      <c r="K1929" s="3">
        <v>984</v>
      </c>
      <c r="L1929" s="2" t="s">
        <v>64</v>
      </c>
      <c r="M1929" s="2" t="s">
        <v>12</v>
      </c>
      <c r="N1929" s="2" t="s">
        <v>12</v>
      </c>
      <c r="O1929" s="2" t="s">
        <v>12</v>
      </c>
      <c r="P1929" s="21" t="s">
        <v>12</v>
      </c>
      <c r="Q1929" s="3" t="s">
        <v>12</v>
      </c>
      <c r="R1929" s="3" t="s">
        <v>12</v>
      </c>
    </row>
    <row r="1930" spans="1:18" x14ac:dyDescent="0.25">
      <c r="A1930" s="30">
        <v>45965</v>
      </c>
      <c r="B1930" s="28">
        <v>1920</v>
      </c>
      <c r="C1930" s="28" t="s">
        <v>2162</v>
      </c>
      <c r="D1930" s="2" t="s">
        <v>204</v>
      </c>
      <c r="E1930" s="7" t="s">
        <v>1884</v>
      </c>
      <c r="F1930" s="7"/>
      <c r="G1930" s="2" t="s">
        <v>26</v>
      </c>
      <c r="H1930" s="2" t="s">
        <v>490</v>
      </c>
      <c r="I1930" s="5">
        <v>20000.45</v>
      </c>
      <c r="J1930" s="57">
        <v>0.05</v>
      </c>
      <c r="K1930" s="3">
        <v>240</v>
      </c>
      <c r="L1930" s="2" t="s">
        <v>64</v>
      </c>
      <c r="M1930" s="2" t="s">
        <v>12</v>
      </c>
      <c r="N1930" s="2" t="s">
        <v>12</v>
      </c>
      <c r="O1930" s="2" t="s">
        <v>12</v>
      </c>
      <c r="P1930" s="21" t="s">
        <v>12</v>
      </c>
      <c r="Q1930" s="3" t="s">
        <v>12</v>
      </c>
      <c r="R1930" s="3" t="s">
        <v>12</v>
      </c>
    </row>
    <row r="1931" spans="1:18" x14ac:dyDescent="0.25">
      <c r="A1931" s="30">
        <v>45961</v>
      </c>
      <c r="B1931" s="28">
        <v>1921</v>
      </c>
      <c r="C1931" s="28"/>
      <c r="D1931" s="2" t="s">
        <v>601</v>
      </c>
      <c r="E1931" s="7" t="s">
        <v>2285</v>
      </c>
      <c r="F1931" s="7"/>
      <c r="G1931" s="2" t="s">
        <v>13</v>
      </c>
      <c r="H1931" s="2" t="s">
        <v>1341</v>
      </c>
      <c r="I1931" s="5">
        <v>238710.66</v>
      </c>
      <c r="J1931" s="57">
        <v>7.0000000000000007E-2</v>
      </c>
      <c r="K1931" s="3">
        <v>2280</v>
      </c>
      <c r="L1931" s="2" t="s">
        <v>226</v>
      </c>
      <c r="M1931" s="2" t="s">
        <v>12</v>
      </c>
      <c r="N1931" s="2" t="s">
        <v>12</v>
      </c>
      <c r="O1931" s="2" t="s">
        <v>12</v>
      </c>
      <c r="P1931" s="21" t="s">
        <v>12</v>
      </c>
      <c r="Q1931" s="3" t="s">
        <v>2309</v>
      </c>
      <c r="R1931" s="3" t="s">
        <v>75</v>
      </c>
    </row>
    <row r="1932" spans="1:18" x14ac:dyDescent="0.25">
      <c r="A1932" s="30">
        <v>45961</v>
      </c>
      <c r="B1932" s="28">
        <v>1922</v>
      </c>
      <c r="C1932" s="28"/>
      <c r="D1932" s="2" t="s">
        <v>1711</v>
      </c>
      <c r="E1932" s="7" t="s">
        <v>2286</v>
      </c>
      <c r="F1932" s="7"/>
      <c r="G1932" s="2" t="s">
        <v>97</v>
      </c>
      <c r="H1932" s="2" t="s">
        <v>507</v>
      </c>
      <c r="I1932" s="5">
        <v>1197.5999999999999</v>
      </c>
      <c r="J1932" s="57">
        <v>7.0000000000000007E-2</v>
      </c>
      <c r="K1932" s="3" t="s">
        <v>12</v>
      </c>
      <c r="L1932" s="2" t="s">
        <v>226</v>
      </c>
      <c r="M1932" s="2" t="s">
        <v>12</v>
      </c>
      <c r="N1932" s="2" t="s">
        <v>12</v>
      </c>
      <c r="O1932" s="2" t="s">
        <v>12</v>
      </c>
      <c r="P1932" s="21" t="s">
        <v>12</v>
      </c>
      <c r="Q1932" s="3" t="s">
        <v>12</v>
      </c>
      <c r="R1932" s="3" t="s">
        <v>12</v>
      </c>
    </row>
    <row r="1933" spans="1:18" x14ac:dyDescent="0.25">
      <c r="A1933" s="30">
        <v>45964</v>
      </c>
      <c r="B1933" s="28">
        <v>1923</v>
      </c>
      <c r="C1933" s="28"/>
      <c r="D1933" s="2" t="s">
        <v>411</v>
      </c>
      <c r="E1933" s="7" t="s">
        <v>113</v>
      </c>
      <c r="F1933" s="7"/>
      <c r="G1933" s="2" t="s">
        <v>26</v>
      </c>
      <c r="H1933" s="2" t="s">
        <v>413</v>
      </c>
      <c r="I1933" s="5">
        <v>168983.31</v>
      </c>
      <c r="J1933" s="57">
        <v>7.0000000000000007E-2</v>
      </c>
      <c r="K1933" s="3">
        <v>1920</v>
      </c>
      <c r="L1933" s="2" t="s">
        <v>226</v>
      </c>
      <c r="M1933" s="2" t="s">
        <v>12</v>
      </c>
      <c r="N1933" s="2" t="s">
        <v>12</v>
      </c>
      <c r="O1933" s="2" t="s">
        <v>12</v>
      </c>
      <c r="P1933" s="21" t="s">
        <v>12</v>
      </c>
      <c r="Q1933" s="3" t="s">
        <v>12</v>
      </c>
      <c r="R1933" s="3" t="s">
        <v>12</v>
      </c>
    </row>
    <row r="1934" spans="1:18" x14ac:dyDescent="0.25">
      <c r="A1934" s="30">
        <v>45964</v>
      </c>
      <c r="B1934" s="28">
        <v>1924</v>
      </c>
      <c r="C1934" s="28" t="s">
        <v>2161</v>
      </c>
      <c r="D1934" s="2" t="s">
        <v>103</v>
      </c>
      <c r="E1934" s="7" t="s">
        <v>2287</v>
      </c>
      <c r="F1934" s="7"/>
      <c r="G1934" s="2" t="s">
        <v>13</v>
      </c>
      <c r="H1934" s="2" t="s">
        <v>491</v>
      </c>
      <c r="I1934" s="5">
        <v>68334.52</v>
      </c>
      <c r="J1934" s="57">
        <v>0.03</v>
      </c>
      <c r="K1934" s="3">
        <v>888</v>
      </c>
      <c r="L1934" s="2" t="s">
        <v>64</v>
      </c>
      <c r="M1934" s="2" t="s">
        <v>12</v>
      </c>
      <c r="N1934" s="2" t="s">
        <v>12</v>
      </c>
      <c r="O1934" s="2" t="s">
        <v>12</v>
      </c>
      <c r="P1934" s="21" t="s">
        <v>12</v>
      </c>
      <c r="Q1934" s="3" t="s">
        <v>12</v>
      </c>
      <c r="R1934" s="3" t="s">
        <v>12</v>
      </c>
    </row>
    <row r="1935" spans="1:18" x14ac:dyDescent="0.25">
      <c r="A1935" s="30">
        <v>45964</v>
      </c>
      <c r="B1935" s="28">
        <v>1925</v>
      </c>
      <c r="C1935" s="28"/>
      <c r="D1935" s="2" t="s">
        <v>517</v>
      </c>
      <c r="E1935" s="64" t="s">
        <v>2077</v>
      </c>
      <c r="F1935" s="64"/>
      <c r="G1935" s="65" t="s">
        <v>111</v>
      </c>
      <c r="H1935" s="65" t="s">
        <v>2078</v>
      </c>
      <c r="I1935" s="66">
        <v>11651.11</v>
      </c>
      <c r="J1935" s="57" t="s">
        <v>12</v>
      </c>
      <c r="K1935" s="3" t="s">
        <v>12</v>
      </c>
      <c r="L1935" s="2" t="s">
        <v>226</v>
      </c>
      <c r="M1935" s="2" t="s">
        <v>2083</v>
      </c>
      <c r="N1935" s="2" t="s">
        <v>12</v>
      </c>
      <c r="O1935" s="2" t="s">
        <v>12</v>
      </c>
      <c r="P1935" s="21" t="s">
        <v>12</v>
      </c>
      <c r="Q1935" s="3" t="s">
        <v>12</v>
      </c>
      <c r="R1935" s="3" t="s">
        <v>12</v>
      </c>
    </row>
    <row r="1936" spans="1:18" x14ac:dyDescent="0.25">
      <c r="A1936" s="30">
        <v>45964</v>
      </c>
      <c r="B1936" s="28">
        <v>1926</v>
      </c>
      <c r="C1936" s="28"/>
      <c r="D1936" s="2" t="s">
        <v>286</v>
      </c>
      <c r="E1936" s="7" t="s">
        <v>2288</v>
      </c>
      <c r="F1936" s="7"/>
      <c r="G1936" s="2" t="s">
        <v>97</v>
      </c>
      <c r="H1936" s="2" t="s">
        <v>288</v>
      </c>
      <c r="I1936" s="5">
        <v>11814.29</v>
      </c>
      <c r="J1936" s="57">
        <v>7.0000000000000007E-2</v>
      </c>
      <c r="K1936" s="3">
        <v>120</v>
      </c>
      <c r="L1936" s="2" t="s">
        <v>226</v>
      </c>
      <c r="M1936" s="2" t="s">
        <v>12</v>
      </c>
      <c r="N1936" s="2" t="s">
        <v>12</v>
      </c>
      <c r="O1936" s="2" t="s">
        <v>12</v>
      </c>
      <c r="P1936" s="21" t="s">
        <v>12</v>
      </c>
      <c r="Q1936" s="3" t="s">
        <v>12</v>
      </c>
      <c r="R1936" s="3" t="s">
        <v>12</v>
      </c>
    </row>
    <row r="1937" spans="1:18" x14ac:dyDescent="0.25">
      <c r="A1937" s="30">
        <v>45966</v>
      </c>
      <c r="B1937" s="28">
        <v>1927</v>
      </c>
      <c r="C1937" s="28" t="s">
        <v>2161</v>
      </c>
      <c r="D1937" s="2" t="s">
        <v>106</v>
      </c>
      <c r="E1937" s="7" t="s">
        <v>12</v>
      </c>
      <c r="F1937" s="7"/>
      <c r="G1937" s="2" t="s">
        <v>13</v>
      </c>
      <c r="H1937" s="2" t="s">
        <v>1645</v>
      </c>
      <c r="I1937" s="5">
        <v>36223.57</v>
      </c>
      <c r="J1937" s="57">
        <v>7.0000000000000007E-2</v>
      </c>
      <c r="K1937" s="3">
        <v>480</v>
      </c>
      <c r="L1937" s="2" t="s">
        <v>21</v>
      </c>
      <c r="M1937" s="2" t="s">
        <v>12</v>
      </c>
      <c r="N1937" s="2" t="s">
        <v>12</v>
      </c>
      <c r="O1937" s="2" t="s">
        <v>12</v>
      </c>
      <c r="P1937" s="21" t="s">
        <v>12</v>
      </c>
      <c r="Q1937" s="3" t="s">
        <v>12</v>
      </c>
      <c r="R1937" s="3" t="s">
        <v>12</v>
      </c>
    </row>
    <row r="1938" spans="1:18" x14ac:dyDescent="0.25">
      <c r="A1938" s="30">
        <v>45964</v>
      </c>
      <c r="B1938" s="28">
        <v>1928</v>
      </c>
      <c r="C1938" s="28"/>
      <c r="D1938" s="2" t="s">
        <v>165</v>
      </c>
      <c r="E1938" s="7" t="s">
        <v>1715</v>
      </c>
      <c r="F1938" s="7"/>
      <c r="G1938" s="2" t="s">
        <v>97</v>
      </c>
      <c r="H1938" s="2" t="s">
        <v>167</v>
      </c>
      <c r="I1938" s="5">
        <v>6085.1</v>
      </c>
      <c r="J1938" s="57">
        <v>7.0000000000000007E-2</v>
      </c>
      <c r="K1938" s="3" t="s">
        <v>12</v>
      </c>
      <c r="L1938" s="2" t="s">
        <v>64</v>
      </c>
      <c r="M1938" s="2" t="s">
        <v>12</v>
      </c>
      <c r="N1938" s="2" t="s">
        <v>12</v>
      </c>
      <c r="O1938" s="2" t="s">
        <v>12</v>
      </c>
      <c r="P1938" s="21" t="s">
        <v>12</v>
      </c>
      <c r="Q1938" s="3" t="s">
        <v>12</v>
      </c>
      <c r="R1938" s="3" t="s">
        <v>12</v>
      </c>
    </row>
    <row r="1939" spans="1:18" x14ac:dyDescent="0.25">
      <c r="A1939" s="30">
        <v>45964</v>
      </c>
      <c r="B1939" s="28">
        <v>1929</v>
      </c>
      <c r="C1939" s="28"/>
      <c r="D1939" s="2" t="s">
        <v>41</v>
      </c>
      <c r="E1939" s="7" t="s">
        <v>2289</v>
      </c>
      <c r="F1939" s="7"/>
      <c r="G1939" s="2" t="s">
        <v>43</v>
      </c>
      <c r="H1939" s="2" t="s">
        <v>43</v>
      </c>
      <c r="I1939" s="5">
        <v>73540.92</v>
      </c>
      <c r="J1939" s="57">
        <v>7.0000000000000007E-2</v>
      </c>
      <c r="K1939" s="3">
        <v>816</v>
      </c>
      <c r="L1939" s="2" t="s">
        <v>226</v>
      </c>
      <c r="M1939" s="2" t="s">
        <v>12</v>
      </c>
      <c r="N1939" s="2" t="s">
        <v>12</v>
      </c>
      <c r="O1939" s="2" t="s">
        <v>12</v>
      </c>
      <c r="P1939" s="21" t="s">
        <v>12</v>
      </c>
      <c r="Q1939" s="3" t="s">
        <v>12</v>
      </c>
      <c r="R1939" s="3" t="s">
        <v>12</v>
      </c>
    </row>
    <row r="1940" spans="1:18" x14ac:dyDescent="0.25">
      <c r="A1940" s="30">
        <v>45965</v>
      </c>
      <c r="B1940" s="28">
        <v>1930</v>
      </c>
      <c r="C1940" s="28"/>
      <c r="D1940" s="2" t="s">
        <v>23</v>
      </c>
      <c r="E1940" s="7" t="s">
        <v>2290</v>
      </c>
      <c r="F1940" s="7"/>
      <c r="G1940" s="2" t="s">
        <v>20</v>
      </c>
      <c r="H1940" s="2" t="s">
        <v>24</v>
      </c>
      <c r="I1940" s="5">
        <v>59266.8</v>
      </c>
      <c r="J1940" s="57">
        <v>0.03</v>
      </c>
      <c r="K1940" s="3">
        <v>960</v>
      </c>
      <c r="L1940" s="2" t="s">
        <v>226</v>
      </c>
      <c r="M1940" s="2" t="s">
        <v>530</v>
      </c>
      <c r="N1940" s="2" t="s">
        <v>12</v>
      </c>
      <c r="O1940" s="2" t="s">
        <v>12</v>
      </c>
      <c r="P1940" s="21" t="s">
        <v>12</v>
      </c>
      <c r="Q1940" s="3" t="s">
        <v>12</v>
      </c>
      <c r="R1940" s="3" t="s">
        <v>12</v>
      </c>
    </row>
    <row r="1941" spans="1:18" x14ac:dyDescent="0.25">
      <c r="A1941" s="30">
        <v>45965</v>
      </c>
      <c r="B1941" s="28">
        <v>1931</v>
      </c>
      <c r="C1941" s="28" t="s">
        <v>2161</v>
      </c>
      <c r="D1941" s="2" t="s">
        <v>497</v>
      </c>
      <c r="E1941" s="7" t="s">
        <v>2170</v>
      </c>
      <c r="F1941" s="7"/>
      <c r="G1941" s="2" t="s">
        <v>97</v>
      </c>
      <c r="H1941" s="2" t="s">
        <v>43</v>
      </c>
      <c r="I1941" s="5">
        <v>44159.93</v>
      </c>
      <c r="J1941" s="57">
        <v>0.04</v>
      </c>
      <c r="K1941" s="3">
        <v>504</v>
      </c>
      <c r="L1941" s="2" t="s">
        <v>226</v>
      </c>
      <c r="M1941" s="2" t="s">
        <v>12</v>
      </c>
      <c r="N1941" s="2" t="s">
        <v>12</v>
      </c>
      <c r="O1941" s="2" t="s">
        <v>12</v>
      </c>
      <c r="P1941" s="21" t="s">
        <v>12</v>
      </c>
      <c r="Q1941" s="3" t="s">
        <v>12</v>
      </c>
      <c r="R1941" s="3" t="s">
        <v>12</v>
      </c>
    </row>
    <row r="1942" spans="1:18" x14ac:dyDescent="0.25">
      <c r="A1942" s="30">
        <v>45965</v>
      </c>
      <c r="B1942" s="28">
        <v>1932</v>
      </c>
      <c r="C1942" s="28"/>
      <c r="D1942" s="2" t="s">
        <v>353</v>
      </c>
      <c r="E1942" s="7" t="s">
        <v>2291</v>
      </c>
      <c r="F1942" s="7"/>
      <c r="G1942" s="2" t="s">
        <v>13</v>
      </c>
      <c r="H1942" s="2" t="s">
        <v>549</v>
      </c>
      <c r="I1942" s="5">
        <v>627991.22</v>
      </c>
      <c r="J1942" s="57">
        <v>7.0000000000000007E-2</v>
      </c>
      <c r="K1942" s="3">
        <v>7392</v>
      </c>
      <c r="L1942" s="2" t="s">
        <v>226</v>
      </c>
      <c r="M1942" s="2" t="s">
        <v>12</v>
      </c>
      <c r="N1942" s="2" t="s">
        <v>12</v>
      </c>
      <c r="O1942" s="2" t="s">
        <v>12</v>
      </c>
      <c r="P1942" s="21" t="s">
        <v>12</v>
      </c>
      <c r="Q1942" s="3" t="s">
        <v>12</v>
      </c>
      <c r="R1942" s="3" t="s">
        <v>12</v>
      </c>
    </row>
    <row r="1943" spans="1:18" x14ac:dyDescent="0.25">
      <c r="A1943" s="30">
        <v>45965</v>
      </c>
      <c r="B1943" s="28">
        <v>1933</v>
      </c>
      <c r="C1943" s="28"/>
      <c r="D1943" s="2" t="s">
        <v>1296</v>
      </c>
      <c r="E1943" s="7" t="s">
        <v>12</v>
      </c>
      <c r="F1943" s="7"/>
      <c r="G1943" s="2" t="s">
        <v>13</v>
      </c>
      <c r="H1943" s="2" t="s">
        <v>1726</v>
      </c>
      <c r="I1943" s="5">
        <v>25749.21</v>
      </c>
      <c r="J1943" s="57">
        <v>0.05</v>
      </c>
      <c r="K1943" s="3">
        <v>264</v>
      </c>
      <c r="L1943" s="2" t="s">
        <v>21</v>
      </c>
      <c r="M1943" s="2" t="s">
        <v>12</v>
      </c>
      <c r="N1943" s="2" t="s">
        <v>12</v>
      </c>
      <c r="O1943" s="2" t="s">
        <v>12</v>
      </c>
      <c r="P1943" s="21" t="s">
        <v>12</v>
      </c>
      <c r="Q1943" s="3" t="s">
        <v>12</v>
      </c>
      <c r="R1943" s="3"/>
    </row>
    <row r="1944" spans="1:18" x14ac:dyDescent="0.25">
      <c r="A1944" s="30">
        <v>45965</v>
      </c>
      <c r="B1944" s="28">
        <v>1934</v>
      </c>
      <c r="C1944" s="28"/>
      <c r="D1944" s="2" t="s">
        <v>2292</v>
      </c>
      <c r="E1944" s="7" t="s">
        <v>2293</v>
      </c>
      <c r="F1944" s="7"/>
      <c r="G1944" s="2" t="s">
        <v>13</v>
      </c>
      <c r="H1944" s="2" t="s">
        <v>337</v>
      </c>
      <c r="I1944" s="5">
        <v>22834.69</v>
      </c>
      <c r="J1944" s="57">
        <v>7.0000000000000007E-2</v>
      </c>
      <c r="K1944" s="3">
        <v>288</v>
      </c>
      <c r="L1944" s="2" t="s">
        <v>21</v>
      </c>
      <c r="M1944" s="2" t="s">
        <v>530</v>
      </c>
      <c r="N1944" s="2" t="s">
        <v>12</v>
      </c>
      <c r="O1944" s="2" t="s">
        <v>12</v>
      </c>
      <c r="P1944" s="21" t="s">
        <v>12</v>
      </c>
      <c r="Q1944" s="3" t="s">
        <v>1839</v>
      </c>
      <c r="R1944" s="3" t="s">
        <v>75</v>
      </c>
    </row>
    <row r="1945" spans="1:18" x14ac:dyDescent="0.25">
      <c r="A1945" s="30">
        <v>45966</v>
      </c>
      <c r="B1945" s="28">
        <v>1935</v>
      </c>
      <c r="C1945" s="28"/>
      <c r="D1945" s="2" t="s">
        <v>1446</v>
      </c>
      <c r="E1945" s="7" t="s">
        <v>2294</v>
      </c>
      <c r="F1945" s="7"/>
      <c r="G1945" s="2" t="s">
        <v>43</v>
      </c>
      <c r="H1945" s="2" t="s">
        <v>2007</v>
      </c>
      <c r="I1945" s="5">
        <v>10692.81</v>
      </c>
      <c r="J1945" s="57">
        <v>0.04</v>
      </c>
      <c r="K1945" s="3">
        <v>96</v>
      </c>
      <c r="L1945" s="2" t="s">
        <v>226</v>
      </c>
      <c r="M1945" s="2" t="s">
        <v>530</v>
      </c>
      <c r="N1945" s="2" t="s">
        <v>12</v>
      </c>
      <c r="O1945" s="2" t="s">
        <v>12</v>
      </c>
      <c r="P1945" s="21" t="s">
        <v>12</v>
      </c>
      <c r="Q1945" s="3" t="s">
        <v>2310</v>
      </c>
      <c r="R1945" s="3" t="s">
        <v>75</v>
      </c>
    </row>
    <row r="1946" spans="1:18" x14ac:dyDescent="0.25">
      <c r="A1946" s="30">
        <v>45966</v>
      </c>
      <c r="B1946" s="28">
        <v>1936</v>
      </c>
      <c r="C1946" s="28"/>
      <c r="D1946" s="2" t="s">
        <v>1446</v>
      </c>
      <c r="E1946" s="7" t="s">
        <v>2295</v>
      </c>
      <c r="F1946" s="7"/>
      <c r="G1946" s="2" t="s">
        <v>43</v>
      </c>
      <c r="H1946" s="2" t="s">
        <v>2007</v>
      </c>
      <c r="I1946" s="5">
        <v>8252.0400000000009</v>
      </c>
      <c r="J1946" s="57">
        <v>0.04</v>
      </c>
      <c r="K1946" s="3">
        <v>72</v>
      </c>
      <c r="L1946" s="2" t="s">
        <v>226</v>
      </c>
      <c r="M1946" s="2" t="s">
        <v>12</v>
      </c>
      <c r="N1946" s="2" t="s">
        <v>12</v>
      </c>
      <c r="O1946" s="2" t="s">
        <v>12</v>
      </c>
      <c r="P1946" s="21" t="s">
        <v>12</v>
      </c>
      <c r="Q1946" s="3" t="s">
        <v>2310</v>
      </c>
      <c r="R1946" s="3" t="s">
        <v>75</v>
      </c>
    </row>
    <row r="1947" spans="1:18" x14ac:dyDescent="0.25">
      <c r="A1947" s="30">
        <v>45965</v>
      </c>
      <c r="B1947" s="28">
        <v>1937</v>
      </c>
      <c r="C1947" s="28"/>
      <c r="D1947" s="2" t="s">
        <v>508</v>
      </c>
      <c r="E1947" s="7" t="s">
        <v>12</v>
      </c>
      <c r="F1947" s="7"/>
      <c r="G1947" s="2" t="s">
        <v>20</v>
      </c>
      <c r="H1947" s="2" t="s">
        <v>596</v>
      </c>
      <c r="I1947" s="5">
        <v>63275.73</v>
      </c>
      <c r="J1947" s="57">
        <v>0.05</v>
      </c>
      <c r="K1947" s="3">
        <v>960</v>
      </c>
      <c r="L1947" s="2" t="s">
        <v>64</v>
      </c>
      <c r="M1947" s="2" t="s">
        <v>12</v>
      </c>
      <c r="N1947" s="2" t="s">
        <v>12</v>
      </c>
      <c r="O1947" s="2" t="s">
        <v>12</v>
      </c>
      <c r="P1947" s="21" t="s">
        <v>12</v>
      </c>
      <c r="Q1947" s="3" t="s">
        <v>12</v>
      </c>
      <c r="R1947" s="3" t="s">
        <v>12</v>
      </c>
    </row>
    <row r="1948" spans="1:18" x14ac:dyDescent="0.25">
      <c r="A1948" s="30">
        <v>45966</v>
      </c>
      <c r="B1948" s="28">
        <v>1938</v>
      </c>
      <c r="C1948" s="28" t="s">
        <v>2161</v>
      </c>
      <c r="D1948" s="2" t="s">
        <v>1713</v>
      </c>
      <c r="E1948" s="7" t="s">
        <v>2296</v>
      </c>
      <c r="F1948" s="7"/>
      <c r="G1948" s="2" t="s">
        <v>20</v>
      </c>
      <c r="H1948" s="2" t="s">
        <v>43</v>
      </c>
      <c r="I1948" s="5">
        <v>10031.620000000001</v>
      </c>
      <c r="J1948" s="57">
        <v>7.0000000000000007E-2</v>
      </c>
      <c r="K1948" s="3">
        <v>96</v>
      </c>
      <c r="L1948" s="2" t="s">
        <v>64</v>
      </c>
      <c r="M1948" s="2" t="s">
        <v>530</v>
      </c>
      <c r="N1948" s="2" t="s">
        <v>12</v>
      </c>
      <c r="O1948" s="2" t="s">
        <v>12</v>
      </c>
      <c r="P1948" s="21" t="s">
        <v>12</v>
      </c>
      <c r="Q1948" s="3" t="s">
        <v>12</v>
      </c>
      <c r="R1948" s="3" t="s">
        <v>12</v>
      </c>
    </row>
    <row r="1949" spans="1:18" x14ac:dyDescent="0.25">
      <c r="A1949" s="30">
        <v>45965</v>
      </c>
      <c r="B1949" s="28">
        <v>1939</v>
      </c>
      <c r="C1949" s="28" t="s">
        <v>2229</v>
      </c>
      <c r="D1949" s="2" t="s">
        <v>2098</v>
      </c>
      <c r="E1949" s="7" t="s">
        <v>12</v>
      </c>
      <c r="F1949" s="7"/>
      <c r="G1949" s="2" t="s">
        <v>13</v>
      </c>
      <c r="H1949" s="2" t="s">
        <v>928</v>
      </c>
      <c r="I1949" s="5">
        <v>19949.46</v>
      </c>
      <c r="J1949" s="57">
        <v>7.0000000000000007E-2</v>
      </c>
      <c r="K1949" s="3">
        <v>216</v>
      </c>
      <c r="L1949" s="2" t="s">
        <v>21</v>
      </c>
      <c r="M1949" s="2" t="s">
        <v>12</v>
      </c>
      <c r="N1949" s="2" t="s">
        <v>12</v>
      </c>
      <c r="O1949" s="2" t="s">
        <v>12</v>
      </c>
      <c r="P1949" s="21" t="s">
        <v>12</v>
      </c>
      <c r="Q1949" s="3" t="s">
        <v>12</v>
      </c>
      <c r="R1949" s="3" t="s">
        <v>12</v>
      </c>
    </row>
    <row r="1950" spans="1:18" x14ac:dyDescent="0.25">
      <c r="A1950" s="30">
        <v>45966</v>
      </c>
      <c r="B1950" s="28">
        <v>1940</v>
      </c>
      <c r="C1950" s="28" t="s">
        <v>2229</v>
      </c>
      <c r="D1950" s="2" t="s">
        <v>2297</v>
      </c>
      <c r="E1950" s="7" t="s">
        <v>2288</v>
      </c>
      <c r="F1950" s="7"/>
      <c r="G1950" s="2" t="s">
        <v>13</v>
      </c>
      <c r="H1950" s="2" t="s">
        <v>235</v>
      </c>
      <c r="I1950" s="5">
        <v>12983.11</v>
      </c>
      <c r="J1950" s="57">
        <v>0.05</v>
      </c>
      <c r="K1950" s="3">
        <v>144</v>
      </c>
      <c r="L1950" s="2" t="s">
        <v>21</v>
      </c>
      <c r="M1950" s="2" t="s">
        <v>12</v>
      </c>
      <c r="N1950" s="2" t="s">
        <v>12</v>
      </c>
      <c r="O1950" s="2" t="s">
        <v>12</v>
      </c>
      <c r="P1950" s="21" t="s">
        <v>12</v>
      </c>
      <c r="Q1950" s="3" t="s">
        <v>12</v>
      </c>
      <c r="R1950" s="3" t="s">
        <v>12</v>
      </c>
    </row>
    <row r="1951" spans="1:18" x14ac:dyDescent="0.25">
      <c r="A1951" s="30">
        <v>45966</v>
      </c>
      <c r="B1951" s="28">
        <v>1941</v>
      </c>
      <c r="C1951" s="28"/>
      <c r="D1951" s="2" t="s">
        <v>2257</v>
      </c>
      <c r="E1951" s="7" t="s">
        <v>2298</v>
      </c>
      <c r="F1951" s="7"/>
      <c r="G1951" s="2" t="s">
        <v>26</v>
      </c>
      <c r="H1951" s="2" t="s">
        <v>112</v>
      </c>
      <c r="I1951" s="5">
        <v>173970.3</v>
      </c>
      <c r="J1951" s="57">
        <v>7.0000000000000007E-2</v>
      </c>
      <c r="K1951" s="3">
        <v>2352</v>
      </c>
      <c r="L1951" s="2" t="s">
        <v>226</v>
      </c>
      <c r="M1951" s="2" t="s">
        <v>12</v>
      </c>
      <c r="N1951" s="2" t="s">
        <v>12</v>
      </c>
      <c r="O1951" s="2" t="s">
        <v>12</v>
      </c>
      <c r="P1951" s="21" t="s">
        <v>12</v>
      </c>
      <c r="Q1951" s="3" t="s">
        <v>2311</v>
      </c>
      <c r="R1951" s="3" t="s">
        <v>75</v>
      </c>
    </row>
    <row r="1952" spans="1:18" x14ac:dyDescent="0.25">
      <c r="A1952" s="30">
        <v>46037</v>
      </c>
      <c r="B1952" s="28">
        <v>1942</v>
      </c>
      <c r="C1952" s="28"/>
      <c r="D1952" s="2" t="s">
        <v>2299</v>
      </c>
      <c r="E1952" s="7" t="s">
        <v>2300</v>
      </c>
      <c r="F1952" s="7"/>
      <c r="G1952" s="2" t="s">
        <v>26</v>
      </c>
      <c r="H1952" s="2" t="s">
        <v>148</v>
      </c>
      <c r="I1952" s="5">
        <v>80724.149999999994</v>
      </c>
      <c r="J1952" s="57">
        <v>0.04</v>
      </c>
      <c r="K1952" s="3">
        <v>1128</v>
      </c>
      <c r="L1952" s="2" t="s">
        <v>134</v>
      </c>
      <c r="M1952" s="2" t="s">
        <v>1531</v>
      </c>
      <c r="N1952" s="2" t="s">
        <v>12</v>
      </c>
      <c r="O1952" s="2" t="s">
        <v>12</v>
      </c>
      <c r="P1952" s="21" t="s">
        <v>12</v>
      </c>
      <c r="Q1952" s="3" t="s">
        <v>12</v>
      </c>
      <c r="R1952" s="3" t="s">
        <v>12</v>
      </c>
    </row>
    <row r="1953" spans="1:18" x14ac:dyDescent="0.25">
      <c r="A1953" s="30">
        <v>46037</v>
      </c>
      <c r="B1953" s="28">
        <v>1943</v>
      </c>
      <c r="C1953" s="28"/>
      <c r="D1953" s="2" t="s">
        <v>2299</v>
      </c>
      <c r="E1953" s="7" t="s">
        <v>2301</v>
      </c>
      <c r="F1953" s="7"/>
      <c r="G1953" s="2" t="s">
        <v>26</v>
      </c>
      <c r="H1953" s="2" t="s">
        <v>148</v>
      </c>
      <c r="I1953" s="5">
        <v>173138.49</v>
      </c>
      <c r="J1953" s="57">
        <v>0.04</v>
      </c>
      <c r="K1953" s="3">
        <v>2736</v>
      </c>
      <c r="L1953" s="2" t="s">
        <v>134</v>
      </c>
      <c r="M1953" s="2" t="s">
        <v>1531</v>
      </c>
      <c r="N1953" s="2" t="s">
        <v>12</v>
      </c>
      <c r="O1953" s="2" t="s">
        <v>12</v>
      </c>
      <c r="P1953" s="21" t="s">
        <v>12</v>
      </c>
      <c r="Q1953" s="3" t="s">
        <v>12</v>
      </c>
      <c r="R1953" s="3" t="s">
        <v>12</v>
      </c>
    </row>
    <row r="1954" spans="1:18" x14ac:dyDescent="0.25">
      <c r="A1954" s="30">
        <v>45989</v>
      </c>
      <c r="B1954" s="28">
        <v>1944</v>
      </c>
      <c r="C1954" s="28"/>
      <c r="D1954" s="2" t="s">
        <v>2299</v>
      </c>
      <c r="E1954" s="7" t="s">
        <v>2302</v>
      </c>
      <c r="F1954" s="7"/>
      <c r="G1954" s="2" t="s">
        <v>26</v>
      </c>
      <c r="H1954" s="2" t="s">
        <v>148</v>
      </c>
      <c r="I1954" s="5">
        <v>277349.51</v>
      </c>
      <c r="J1954" s="57">
        <v>0.04</v>
      </c>
      <c r="K1954" s="3">
        <v>4392</v>
      </c>
      <c r="L1954" s="2" t="s">
        <v>134</v>
      </c>
      <c r="M1954" s="2" t="s">
        <v>135</v>
      </c>
      <c r="N1954" s="2" t="s">
        <v>135</v>
      </c>
      <c r="O1954" s="2" t="s">
        <v>12</v>
      </c>
      <c r="P1954" s="21" t="s">
        <v>12</v>
      </c>
      <c r="Q1954" s="3" t="s">
        <v>12</v>
      </c>
      <c r="R1954" s="3" t="s">
        <v>12</v>
      </c>
    </row>
    <row r="1955" spans="1:18" x14ac:dyDescent="0.25">
      <c r="A1955" s="30">
        <v>45966</v>
      </c>
      <c r="B1955" s="28">
        <v>1945</v>
      </c>
      <c r="C1955" s="28"/>
      <c r="D1955" s="2" t="s">
        <v>676</v>
      </c>
      <c r="E1955" s="7" t="s">
        <v>12</v>
      </c>
      <c r="F1955" s="7"/>
      <c r="G1955" s="2" t="s">
        <v>13</v>
      </c>
      <c r="H1955" s="2" t="s">
        <v>677</v>
      </c>
      <c r="I1955" s="5">
        <v>294017.7</v>
      </c>
      <c r="J1955" s="57">
        <v>7.0000000000000007E-2</v>
      </c>
      <c r="K1955" s="3">
        <v>5040</v>
      </c>
      <c r="L1955" s="2" t="s">
        <v>226</v>
      </c>
      <c r="M1955" s="2" t="s">
        <v>12</v>
      </c>
      <c r="N1955" s="2" t="s">
        <v>12</v>
      </c>
      <c r="O1955" s="2" t="s">
        <v>12</v>
      </c>
      <c r="P1955" s="21" t="s">
        <v>12</v>
      </c>
      <c r="Q1955" s="3" t="s">
        <v>12</v>
      </c>
      <c r="R1955" s="3" t="s">
        <v>12</v>
      </c>
    </row>
    <row r="1956" spans="1:18" x14ac:dyDescent="0.25">
      <c r="A1956" s="30">
        <v>45966</v>
      </c>
      <c r="B1956" s="28">
        <v>1946</v>
      </c>
      <c r="C1956" s="28" t="s">
        <v>2162</v>
      </c>
      <c r="D1956" s="2" t="s">
        <v>321</v>
      </c>
      <c r="E1956" s="7" t="s">
        <v>2313</v>
      </c>
      <c r="F1956" s="7"/>
      <c r="G1956" s="2" t="s">
        <v>111</v>
      </c>
      <c r="H1956" s="2" t="s">
        <v>322</v>
      </c>
      <c r="I1956" s="5">
        <v>41415.53</v>
      </c>
      <c r="J1956" s="57">
        <v>0.04</v>
      </c>
      <c r="K1956" s="3">
        <v>456</v>
      </c>
      <c r="L1956" s="2" t="s">
        <v>64</v>
      </c>
      <c r="M1956" s="2" t="s">
        <v>12</v>
      </c>
      <c r="N1956" s="2" t="s">
        <v>12</v>
      </c>
      <c r="O1956" s="2" t="s">
        <v>12</v>
      </c>
      <c r="P1956" s="21" t="s">
        <v>12</v>
      </c>
      <c r="Q1956" s="3" t="s">
        <v>12</v>
      </c>
      <c r="R1956" s="3" t="s">
        <v>12</v>
      </c>
    </row>
    <row r="1957" spans="1:18" x14ac:dyDescent="0.25">
      <c r="A1957" s="30">
        <v>45966</v>
      </c>
      <c r="B1957" s="28">
        <v>1947</v>
      </c>
      <c r="C1957" s="28"/>
      <c r="D1957" s="2" t="s">
        <v>256</v>
      </c>
      <c r="E1957" s="7" t="s">
        <v>2303</v>
      </c>
      <c r="F1957" s="7"/>
      <c r="G1957" s="2" t="s">
        <v>20</v>
      </c>
      <c r="H1957" s="2" t="s">
        <v>948</v>
      </c>
      <c r="I1957" s="5">
        <v>85512.57</v>
      </c>
      <c r="J1957" s="57">
        <v>7.0000000000000007E-2</v>
      </c>
      <c r="K1957" s="3">
        <v>888</v>
      </c>
      <c r="L1957" s="2" t="s">
        <v>226</v>
      </c>
      <c r="M1957" s="2" t="s">
        <v>1179</v>
      </c>
      <c r="N1957" s="2" t="s">
        <v>12</v>
      </c>
      <c r="O1957" s="2" t="s">
        <v>12</v>
      </c>
      <c r="P1957" s="21" t="s">
        <v>12</v>
      </c>
      <c r="Q1957" s="3" t="s">
        <v>2026</v>
      </c>
      <c r="R1957" s="3" t="s">
        <v>76</v>
      </c>
    </row>
    <row r="1958" spans="1:18" x14ac:dyDescent="0.25">
      <c r="A1958" s="30">
        <v>45966</v>
      </c>
      <c r="B1958" s="28">
        <v>1948</v>
      </c>
      <c r="C1958" s="28"/>
      <c r="D1958" s="2" t="s">
        <v>1237</v>
      </c>
      <c r="E1958" s="7" t="s">
        <v>2304</v>
      </c>
      <c r="F1958" s="7"/>
      <c r="G1958" s="2" t="s">
        <v>20</v>
      </c>
      <c r="H1958" s="2" t="s">
        <v>251</v>
      </c>
      <c r="I1958" s="5">
        <v>43967.59</v>
      </c>
      <c r="J1958" s="57">
        <v>7.0000000000000007E-2</v>
      </c>
      <c r="K1958" s="3">
        <v>528</v>
      </c>
      <c r="L1958" s="2" t="s">
        <v>226</v>
      </c>
      <c r="M1958" s="2" t="s">
        <v>12</v>
      </c>
      <c r="N1958" s="2" t="s">
        <v>12</v>
      </c>
      <c r="O1958" s="2" t="s">
        <v>12</v>
      </c>
      <c r="P1958" s="21" t="s">
        <v>12</v>
      </c>
      <c r="Q1958" s="3" t="s">
        <v>12</v>
      </c>
      <c r="R1958" s="3" t="s">
        <v>12</v>
      </c>
    </row>
    <row r="1959" spans="1:18" x14ac:dyDescent="0.25">
      <c r="A1959" s="30">
        <v>45989</v>
      </c>
      <c r="B1959" s="28">
        <v>1949</v>
      </c>
      <c r="C1959" s="28"/>
      <c r="D1959" s="2" t="s">
        <v>321</v>
      </c>
      <c r="E1959" s="7" t="s">
        <v>2305</v>
      </c>
      <c r="F1959" s="7"/>
      <c r="G1959" s="2" t="s">
        <v>111</v>
      </c>
      <c r="H1959" s="2" t="s">
        <v>322</v>
      </c>
      <c r="I1959" s="5">
        <v>183</v>
      </c>
      <c r="J1959" s="57">
        <v>7.0000000000000007E-2</v>
      </c>
      <c r="K1959" s="3" t="s">
        <v>12</v>
      </c>
      <c r="L1959" s="2" t="s">
        <v>134</v>
      </c>
      <c r="M1959" s="2" t="s">
        <v>2417</v>
      </c>
      <c r="N1959" s="2" t="s">
        <v>135</v>
      </c>
      <c r="O1959" s="2" t="s">
        <v>2418</v>
      </c>
      <c r="P1959" s="21" t="s">
        <v>12</v>
      </c>
      <c r="Q1959" s="3" t="s">
        <v>12</v>
      </c>
      <c r="R1959" s="3" t="s">
        <v>12</v>
      </c>
    </row>
    <row r="1960" spans="1:18" x14ac:dyDescent="0.25">
      <c r="A1960" s="30">
        <v>45967</v>
      </c>
      <c r="B1960" s="28">
        <v>1950</v>
      </c>
      <c r="C1960" s="28"/>
      <c r="D1960" s="2" t="s">
        <v>212</v>
      </c>
      <c r="E1960" s="7" t="s">
        <v>2316</v>
      </c>
      <c r="F1960" s="7"/>
      <c r="G1960" s="2" t="s">
        <v>20</v>
      </c>
      <c r="H1960" s="2" t="s">
        <v>20</v>
      </c>
      <c r="I1960" s="5">
        <v>164543.23000000001</v>
      </c>
      <c r="J1960" s="57">
        <v>7.0000000000000007E-2</v>
      </c>
      <c r="K1960" s="3">
        <v>1776</v>
      </c>
      <c r="L1960" s="2" t="s">
        <v>226</v>
      </c>
      <c r="M1960" s="2" t="s">
        <v>2626</v>
      </c>
      <c r="N1960" s="2" t="s">
        <v>12</v>
      </c>
      <c r="O1960" s="2" t="s">
        <v>12</v>
      </c>
      <c r="P1960" s="21" t="s">
        <v>12</v>
      </c>
      <c r="Q1960" s="3" t="s">
        <v>12</v>
      </c>
      <c r="R1960" s="3" t="s">
        <v>12</v>
      </c>
    </row>
    <row r="1961" spans="1:18" x14ac:dyDescent="0.25">
      <c r="A1961" s="30">
        <v>45967</v>
      </c>
      <c r="B1961" s="28">
        <v>1951</v>
      </c>
      <c r="C1961" s="28"/>
      <c r="D1961" s="2" t="s">
        <v>1740</v>
      </c>
      <c r="E1961" s="7" t="s">
        <v>2317</v>
      </c>
      <c r="F1961" s="7"/>
      <c r="G1961" s="2" t="s">
        <v>97</v>
      </c>
      <c r="H1961" s="2" t="s">
        <v>1742</v>
      </c>
      <c r="I1961" s="5">
        <v>120462.64</v>
      </c>
      <c r="J1961" s="57">
        <v>7.0000000000000007E-2</v>
      </c>
      <c r="K1961" s="3">
        <v>1200</v>
      </c>
      <c r="L1961" s="2" t="s">
        <v>226</v>
      </c>
      <c r="M1961" s="2" t="s">
        <v>12</v>
      </c>
      <c r="N1961" s="2" t="s">
        <v>12</v>
      </c>
      <c r="O1961" s="2" t="s">
        <v>12</v>
      </c>
      <c r="P1961" s="21" t="s">
        <v>12</v>
      </c>
      <c r="Q1961" s="3" t="s">
        <v>906</v>
      </c>
      <c r="R1961" s="3" t="s">
        <v>75</v>
      </c>
    </row>
    <row r="1962" spans="1:18" x14ac:dyDescent="0.25">
      <c r="A1962" s="30">
        <v>45967</v>
      </c>
      <c r="B1962" s="28">
        <v>1952</v>
      </c>
      <c r="C1962" s="28"/>
      <c r="D1962" s="2" t="s">
        <v>106</v>
      </c>
      <c r="E1962" s="7" t="s">
        <v>12</v>
      </c>
      <c r="F1962" s="7"/>
      <c r="G1962" s="2" t="s">
        <v>13</v>
      </c>
      <c r="H1962" s="2" t="s">
        <v>40</v>
      </c>
      <c r="I1962" s="5">
        <v>653.79999999999995</v>
      </c>
      <c r="J1962" s="57">
        <v>7.0000000000000007E-2</v>
      </c>
      <c r="K1962" s="3" t="s">
        <v>12</v>
      </c>
      <c r="L1962" s="2" t="s">
        <v>226</v>
      </c>
      <c r="M1962" s="2" t="s">
        <v>12</v>
      </c>
      <c r="N1962" s="2" t="s">
        <v>12</v>
      </c>
      <c r="O1962" s="2" t="s">
        <v>12</v>
      </c>
      <c r="P1962" s="21" t="s">
        <v>12</v>
      </c>
      <c r="Q1962" s="3" t="s">
        <v>12</v>
      </c>
      <c r="R1962" s="3" t="s">
        <v>12</v>
      </c>
    </row>
    <row r="1963" spans="1:18" x14ac:dyDescent="0.25">
      <c r="A1963" s="30">
        <v>45967</v>
      </c>
      <c r="B1963" s="28">
        <v>1953</v>
      </c>
      <c r="C1963" s="28"/>
      <c r="D1963" s="2" t="s">
        <v>215</v>
      </c>
      <c r="E1963" s="7" t="s">
        <v>12</v>
      </c>
      <c r="F1963" s="7"/>
      <c r="G1963" s="2" t="s">
        <v>26</v>
      </c>
      <c r="H1963" s="2" t="s">
        <v>2318</v>
      </c>
      <c r="I1963" s="5">
        <v>968.69</v>
      </c>
      <c r="J1963" s="57">
        <v>7.0000000000000007E-2</v>
      </c>
      <c r="K1963" s="3" t="s">
        <v>12</v>
      </c>
      <c r="L1963" s="2" t="s">
        <v>226</v>
      </c>
      <c r="M1963" s="2" t="s">
        <v>12</v>
      </c>
      <c r="N1963" s="2" t="s">
        <v>12</v>
      </c>
      <c r="O1963" s="2" t="s">
        <v>12</v>
      </c>
      <c r="P1963" s="21" t="s">
        <v>12</v>
      </c>
      <c r="Q1963" s="3" t="s">
        <v>12</v>
      </c>
      <c r="R1963" s="3"/>
    </row>
    <row r="1964" spans="1:18" x14ac:dyDescent="0.25">
      <c r="A1964" s="30">
        <v>45967</v>
      </c>
      <c r="B1964" s="28">
        <v>1954</v>
      </c>
      <c r="C1964" s="28"/>
      <c r="D1964" s="2" t="s">
        <v>56</v>
      </c>
      <c r="E1964" s="7" t="s">
        <v>2319</v>
      </c>
      <c r="F1964" s="7"/>
      <c r="G1964" s="2" t="s">
        <v>43</v>
      </c>
      <c r="H1964" s="2" t="s">
        <v>13</v>
      </c>
      <c r="I1964" s="5">
        <v>127852.3</v>
      </c>
      <c r="J1964" s="57">
        <v>7.0000000000000007E-2</v>
      </c>
      <c r="K1964" s="3">
        <v>1392</v>
      </c>
      <c r="L1964" s="2" t="s">
        <v>226</v>
      </c>
      <c r="M1964" s="2" t="s">
        <v>12</v>
      </c>
      <c r="N1964" s="2" t="s">
        <v>12</v>
      </c>
      <c r="O1964" s="2" t="s">
        <v>12</v>
      </c>
      <c r="P1964" s="21"/>
      <c r="Q1964" s="3" t="s">
        <v>12</v>
      </c>
      <c r="R1964" s="3"/>
    </row>
    <row r="1965" spans="1:18" x14ac:dyDescent="0.25">
      <c r="A1965" s="30">
        <v>45967</v>
      </c>
      <c r="B1965" s="28">
        <v>1955</v>
      </c>
      <c r="C1965" s="28"/>
      <c r="D1965" s="2" t="s">
        <v>1711</v>
      </c>
      <c r="E1965" s="7" t="s">
        <v>2320</v>
      </c>
      <c r="F1965" s="7"/>
      <c r="G1965" s="2" t="s">
        <v>97</v>
      </c>
      <c r="H1965" s="2" t="s">
        <v>1712</v>
      </c>
      <c r="I1965" s="5">
        <v>160395.07</v>
      </c>
      <c r="J1965" s="57">
        <v>0.04</v>
      </c>
      <c r="K1965" s="3">
        <v>1536</v>
      </c>
      <c r="L1965" s="2" t="s">
        <v>226</v>
      </c>
      <c r="M1965" s="2" t="s">
        <v>12</v>
      </c>
      <c r="N1965" s="2" t="s">
        <v>12</v>
      </c>
      <c r="O1965" s="2" t="s">
        <v>12</v>
      </c>
      <c r="P1965" s="21" t="s">
        <v>12</v>
      </c>
      <c r="Q1965" s="3" t="s">
        <v>12</v>
      </c>
      <c r="R1965" s="3" t="s">
        <v>12</v>
      </c>
    </row>
    <row r="1966" spans="1:18" x14ac:dyDescent="0.25">
      <c r="A1966" s="30">
        <v>45967</v>
      </c>
      <c r="B1966" s="28">
        <v>1956</v>
      </c>
      <c r="C1966" s="28"/>
      <c r="D1966" s="2" t="s">
        <v>176</v>
      </c>
      <c r="E1966" s="7" t="s">
        <v>12</v>
      </c>
      <c r="F1966" s="7"/>
      <c r="G1966" s="2" t="s">
        <v>13</v>
      </c>
      <c r="H1966" s="2" t="s">
        <v>177</v>
      </c>
      <c r="I1966" s="5">
        <v>8736.4</v>
      </c>
      <c r="J1966" s="57">
        <v>0.05</v>
      </c>
      <c r="K1966" s="3">
        <v>120</v>
      </c>
      <c r="L1966" s="2" t="s">
        <v>226</v>
      </c>
      <c r="M1966" s="2" t="s">
        <v>12</v>
      </c>
      <c r="N1966" s="2" t="s">
        <v>12</v>
      </c>
      <c r="O1966" s="2" t="s">
        <v>12</v>
      </c>
      <c r="P1966" s="21" t="s">
        <v>12</v>
      </c>
      <c r="Q1966" s="3" t="s">
        <v>12</v>
      </c>
      <c r="R1966" s="3" t="s">
        <v>12</v>
      </c>
    </row>
    <row r="1967" spans="1:18" x14ac:dyDescent="0.25">
      <c r="A1967" s="30">
        <v>45968</v>
      </c>
      <c r="B1967" s="28">
        <v>1957</v>
      </c>
      <c r="C1967" s="28"/>
      <c r="D1967" s="2" t="s">
        <v>1596</v>
      </c>
      <c r="E1967" s="7" t="s">
        <v>12</v>
      </c>
      <c r="F1967" s="7"/>
      <c r="G1967" s="2" t="s">
        <v>43</v>
      </c>
      <c r="H1967" s="2" t="s">
        <v>751</v>
      </c>
      <c r="I1967" s="5">
        <v>29516.95</v>
      </c>
      <c r="J1967" s="57">
        <v>7.0000000000000007E-2</v>
      </c>
      <c r="K1967" s="3">
        <v>360</v>
      </c>
      <c r="L1967" s="2" t="s">
        <v>64</v>
      </c>
      <c r="M1967" s="2" t="s">
        <v>12</v>
      </c>
      <c r="N1967" s="2" t="s">
        <v>12</v>
      </c>
      <c r="O1967" s="2" t="s">
        <v>12</v>
      </c>
      <c r="P1967" s="21" t="s">
        <v>12</v>
      </c>
      <c r="Q1967" s="3" t="s">
        <v>12</v>
      </c>
      <c r="R1967" s="3" t="s">
        <v>12</v>
      </c>
    </row>
    <row r="1968" spans="1:18" x14ac:dyDescent="0.25">
      <c r="A1968" s="30">
        <v>45968</v>
      </c>
      <c r="B1968" s="28">
        <v>1958</v>
      </c>
      <c r="C1968" s="28"/>
      <c r="D1968" s="2" t="s">
        <v>202</v>
      </c>
      <c r="E1968" s="7" t="s">
        <v>2321</v>
      </c>
      <c r="F1968" s="7"/>
      <c r="G1968" s="2" t="s">
        <v>97</v>
      </c>
      <c r="H1968" s="2" t="s">
        <v>119</v>
      </c>
      <c r="I1968" s="5">
        <v>95283.15</v>
      </c>
      <c r="J1968" s="57">
        <v>7.0000000000000007E-2</v>
      </c>
      <c r="K1968" s="3">
        <v>912</v>
      </c>
      <c r="L1968" s="2" t="s">
        <v>226</v>
      </c>
      <c r="M1968" s="2" t="s">
        <v>12</v>
      </c>
      <c r="N1968" s="2" t="s">
        <v>12</v>
      </c>
      <c r="O1968" s="2" t="s">
        <v>12</v>
      </c>
      <c r="P1968" s="21" t="s">
        <v>12</v>
      </c>
      <c r="Q1968" s="3" t="s">
        <v>2361</v>
      </c>
      <c r="R1968" s="3" t="s">
        <v>80</v>
      </c>
    </row>
    <row r="1969" spans="1:18" x14ac:dyDescent="0.25">
      <c r="A1969" s="30">
        <v>45972</v>
      </c>
      <c r="B1969" s="28">
        <v>1959</v>
      </c>
      <c r="C1969" s="28" t="s">
        <v>2161</v>
      </c>
      <c r="D1969" s="2" t="s">
        <v>106</v>
      </c>
      <c r="E1969" s="7" t="s">
        <v>12</v>
      </c>
      <c r="F1969" s="7"/>
      <c r="G1969" s="2" t="s">
        <v>13</v>
      </c>
      <c r="H1969" s="2" t="s">
        <v>40</v>
      </c>
      <c r="I1969" s="5">
        <v>690.2</v>
      </c>
      <c r="J1969" s="57">
        <v>7.0000000000000007E-2</v>
      </c>
      <c r="K1969" s="3" t="s">
        <v>12</v>
      </c>
      <c r="L1969" s="2" t="s">
        <v>64</v>
      </c>
      <c r="M1969" s="2" t="s">
        <v>12</v>
      </c>
      <c r="N1969" s="2" t="s">
        <v>12</v>
      </c>
      <c r="O1969" s="2" t="s">
        <v>12</v>
      </c>
      <c r="P1969" s="21" t="s">
        <v>12</v>
      </c>
      <c r="Q1969" s="3" t="s">
        <v>12</v>
      </c>
      <c r="R1969" s="3" t="s">
        <v>12</v>
      </c>
    </row>
    <row r="1970" spans="1:18" x14ac:dyDescent="0.25">
      <c r="A1970" s="30">
        <v>45968</v>
      </c>
      <c r="B1970" s="28">
        <v>1960</v>
      </c>
      <c r="C1970" s="28"/>
      <c r="D1970" s="2" t="s">
        <v>393</v>
      </c>
      <c r="E1970" s="7" t="s">
        <v>2322</v>
      </c>
      <c r="F1970" s="7"/>
      <c r="G1970" s="2" t="s">
        <v>43</v>
      </c>
      <c r="H1970" s="2" t="s">
        <v>395</v>
      </c>
      <c r="I1970" s="5">
        <v>47327.19</v>
      </c>
      <c r="J1970" s="57">
        <v>7.0000000000000007E-2</v>
      </c>
      <c r="K1970" s="3">
        <v>480</v>
      </c>
      <c r="L1970" s="2" t="s">
        <v>226</v>
      </c>
      <c r="M1970" s="2" t="s">
        <v>12</v>
      </c>
      <c r="N1970" s="2" t="s">
        <v>12</v>
      </c>
      <c r="O1970" s="2" t="s">
        <v>12</v>
      </c>
      <c r="P1970" s="21" t="s">
        <v>12</v>
      </c>
      <c r="Q1970" s="3" t="s">
        <v>2362</v>
      </c>
      <c r="R1970" s="3" t="s">
        <v>75</v>
      </c>
    </row>
    <row r="1971" spans="1:18" x14ac:dyDescent="0.25">
      <c r="A1971" s="30">
        <v>45968</v>
      </c>
      <c r="B1971" s="28">
        <v>1961</v>
      </c>
      <c r="C1971" s="28"/>
      <c r="D1971" s="2" t="s">
        <v>1970</v>
      </c>
      <c r="E1971" s="7" t="s">
        <v>2323</v>
      </c>
      <c r="F1971" s="7"/>
      <c r="G1971" s="2" t="s">
        <v>43</v>
      </c>
      <c r="H1971" s="2" t="s">
        <v>235</v>
      </c>
      <c r="I1971" s="5">
        <v>256847.4</v>
      </c>
      <c r="J1971" s="57">
        <v>7.0000000000000007E-2</v>
      </c>
      <c r="K1971" s="3">
        <v>3000</v>
      </c>
      <c r="L1971" s="2" t="s">
        <v>226</v>
      </c>
      <c r="M1971" s="2" t="s">
        <v>2490</v>
      </c>
      <c r="N1971" s="2" t="s">
        <v>12</v>
      </c>
      <c r="O1971" s="2" t="s">
        <v>12</v>
      </c>
      <c r="P1971" s="21" t="s">
        <v>12</v>
      </c>
      <c r="Q1971" s="3" t="s">
        <v>12</v>
      </c>
      <c r="R1971" s="3" t="s">
        <v>12</v>
      </c>
    </row>
    <row r="1972" spans="1:18" x14ac:dyDescent="0.25">
      <c r="A1972" s="30">
        <v>45968</v>
      </c>
      <c r="B1972" s="28">
        <v>1962</v>
      </c>
      <c r="C1972" s="28"/>
      <c r="D1972" s="2" t="s">
        <v>804</v>
      </c>
      <c r="E1972" s="7" t="s">
        <v>2324</v>
      </c>
      <c r="F1972" s="7"/>
      <c r="G1972" s="2" t="s">
        <v>13</v>
      </c>
      <c r="H1972" s="2" t="s">
        <v>1454</v>
      </c>
      <c r="I1972" s="5">
        <v>51568.37</v>
      </c>
      <c r="J1972" s="57">
        <v>7.0000000000000007E-2</v>
      </c>
      <c r="K1972" s="3">
        <v>528</v>
      </c>
      <c r="L1972" s="2" t="s">
        <v>226</v>
      </c>
      <c r="M1972" s="2" t="s">
        <v>12</v>
      </c>
      <c r="N1972" s="2" t="s">
        <v>12</v>
      </c>
      <c r="O1972" s="2" t="s">
        <v>12</v>
      </c>
      <c r="P1972" s="21" t="s">
        <v>12</v>
      </c>
      <c r="Q1972" s="3" t="s">
        <v>12</v>
      </c>
      <c r="R1972" s="3" t="s">
        <v>12</v>
      </c>
    </row>
    <row r="1973" spans="1:18" x14ac:dyDescent="0.25">
      <c r="A1973" s="30">
        <v>45968</v>
      </c>
      <c r="B1973" s="28">
        <v>1963</v>
      </c>
      <c r="C1973" s="28"/>
      <c r="D1973" s="2" t="s">
        <v>433</v>
      </c>
      <c r="E1973" s="7" t="s">
        <v>2325</v>
      </c>
      <c r="F1973" s="7"/>
      <c r="G1973" s="2" t="s">
        <v>97</v>
      </c>
      <c r="H1973" s="2" t="s">
        <v>2079</v>
      </c>
      <c r="I1973" s="5">
        <v>87953.56</v>
      </c>
      <c r="J1973" s="57">
        <v>0.03</v>
      </c>
      <c r="K1973" s="3">
        <v>936</v>
      </c>
      <c r="L1973" s="2" t="s">
        <v>64</v>
      </c>
      <c r="M1973" s="2" t="s">
        <v>12</v>
      </c>
      <c r="N1973" s="2" t="s">
        <v>12</v>
      </c>
      <c r="O1973" s="2" t="s">
        <v>12</v>
      </c>
      <c r="P1973" s="21" t="s">
        <v>12</v>
      </c>
      <c r="Q1973" s="3" t="s">
        <v>12</v>
      </c>
      <c r="R1973" s="3" t="s">
        <v>12</v>
      </c>
    </row>
    <row r="1974" spans="1:18" x14ac:dyDescent="0.25">
      <c r="A1974" s="30">
        <v>45968</v>
      </c>
      <c r="B1974" s="28">
        <v>1964</v>
      </c>
      <c r="C1974" s="28"/>
      <c r="D1974" s="2" t="s">
        <v>130</v>
      </c>
      <c r="E1974" s="7" t="s">
        <v>2326</v>
      </c>
      <c r="F1974" s="7"/>
      <c r="G1974" s="2" t="s">
        <v>26</v>
      </c>
      <c r="H1974" s="2" t="s">
        <v>369</v>
      </c>
      <c r="I1974" s="5">
        <v>9401.7000000000007</v>
      </c>
      <c r="J1974" s="57">
        <v>7.0000000000000007E-2</v>
      </c>
      <c r="K1974" s="3">
        <v>96</v>
      </c>
      <c r="L1974" s="2" t="s">
        <v>226</v>
      </c>
      <c r="M1974" s="2" t="s">
        <v>12</v>
      </c>
      <c r="N1974" s="2" t="s">
        <v>12</v>
      </c>
      <c r="O1974" s="2" t="s">
        <v>12</v>
      </c>
      <c r="P1974" s="21" t="s">
        <v>12</v>
      </c>
      <c r="Q1974" s="3" t="s">
        <v>2363</v>
      </c>
      <c r="R1974" s="3" t="s">
        <v>75</v>
      </c>
    </row>
    <row r="1975" spans="1:18" x14ac:dyDescent="0.25">
      <c r="A1975" s="30">
        <v>45973</v>
      </c>
      <c r="B1975" s="28">
        <v>1965</v>
      </c>
      <c r="C1975" s="28" t="s">
        <v>2236</v>
      </c>
      <c r="D1975" s="2" t="s">
        <v>336</v>
      </c>
      <c r="E1975" s="7" t="s">
        <v>2327</v>
      </c>
      <c r="F1975" s="7"/>
      <c r="G1975" s="2" t="s">
        <v>20</v>
      </c>
      <c r="H1975" s="2" t="s">
        <v>63</v>
      </c>
      <c r="I1975" s="5">
        <v>61181.53</v>
      </c>
      <c r="J1975" s="57">
        <v>0.03</v>
      </c>
      <c r="K1975" s="3">
        <v>816</v>
      </c>
      <c r="L1975" s="2" t="s">
        <v>64</v>
      </c>
      <c r="M1975" s="2" t="s">
        <v>12</v>
      </c>
      <c r="N1975" s="2" t="s">
        <v>12</v>
      </c>
      <c r="O1975" s="2" t="s">
        <v>12</v>
      </c>
      <c r="P1975" s="21" t="s">
        <v>12</v>
      </c>
      <c r="Q1975" s="3" t="s">
        <v>12</v>
      </c>
      <c r="R1975" s="3" t="s">
        <v>12</v>
      </c>
    </row>
    <row r="1976" spans="1:18" x14ac:dyDescent="0.25">
      <c r="A1976" s="30">
        <v>45996</v>
      </c>
      <c r="B1976" s="28">
        <v>1966</v>
      </c>
      <c r="C1976" s="28"/>
      <c r="D1976" s="2" t="s">
        <v>433</v>
      </c>
      <c r="E1976" s="7" t="s">
        <v>2328</v>
      </c>
      <c r="F1976" s="7"/>
      <c r="G1976" s="2" t="s">
        <v>97</v>
      </c>
      <c r="H1976" s="2" t="s">
        <v>2079</v>
      </c>
      <c r="I1976" s="5">
        <v>16039.62</v>
      </c>
      <c r="J1976" s="57">
        <v>0.03</v>
      </c>
      <c r="K1976" s="3">
        <v>288</v>
      </c>
      <c r="L1976" s="2" t="s">
        <v>134</v>
      </c>
      <c r="M1976" s="2" t="s">
        <v>2489</v>
      </c>
      <c r="N1976" s="2" t="s">
        <v>135</v>
      </c>
      <c r="O1976" s="2" t="s">
        <v>2137</v>
      </c>
      <c r="P1976" s="21" t="s">
        <v>12</v>
      </c>
      <c r="Q1976" s="3" t="s">
        <v>12</v>
      </c>
      <c r="R1976" s="3" t="s">
        <v>12</v>
      </c>
    </row>
    <row r="1977" spans="1:18" x14ac:dyDescent="0.25">
      <c r="A1977" s="30">
        <v>45968</v>
      </c>
      <c r="B1977" s="28">
        <v>1967</v>
      </c>
      <c r="C1977" s="28"/>
      <c r="D1977" s="2" t="s">
        <v>56</v>
      </c>
      <c r="E1977" s="7" t="s">
        <v>2329</v>
      </c>
      <c r="F1977" s="7"/>
      <c r="G1977" s="2" t="s">
        <v>43</v>
      </c>
      <c r="H1977" s="2" t="s">
        <v>2330</v>
      </c>
      <c r="I1977" s="5">
        <v>7227.61</v>
      </c>
      <c r="J1977" s="57">
        <v>7.0000000000000007E-2</v>
      </c>
      <c r="K1977" s="3">
        <v>48</v>
      </c>
      <c r="L1977" s="2" t="s">
        <v>226</v>
      </c>
      <c r="M1977" s="2" t="s">
        <v>12</v>
      </c>
      <c r="N1977" s="2" t="s">
        <v>12</v>
      </c>
      <c r="O1977" s="2" t="s">
        <v>12</v>
      </c>
      <c r="P1977" s="21" t="s">
        <v>12</v>
      </c>
      <c r="Q1977" s="3" t="s">
        <v>12</v>
      </c>
      <c r="R1977" s="3" t="s">
        <v>12</v>
      </c>
    </row>
    <row r="1978" spans="1:18" x14ac:dyDescent="0.25">
      <c r="A1978" s="30">
        <v>45968</v>
      </c>
      <c r="B1978" s="28">
        <v>1968</v>
      </c>
      <c r="C1978" s="28"/>
      <c r="D1978" s="2" t="s">
        <v>109</v>
      </c>
      <c r="E1978" s="7" t="s">
        <v>2331</v>
      </c>
      <c r="F1978" s="7"/>
      <c r="G1978" s="2" t="s">
        <v>111</v>
      </c>
      <c r="H1978" s="2" t="s">
        <v>395</v>
      </c>
      <c r="I1978" s="5">
        <v>47722.99</v>
      </c>
      <c r="J1978" s="57">
        <v>7.0000000000000007E-2</v>
      </c>
      <c r="K1978" s="3">
        <v>552</v>
      </c>
      <c r="L1978" s="2" t="s">
        <v>64</v>
      </c>
      <c r="M1978" s="2" t="s">
        <v>3228</v>
      </c>
      <c r="N1978" s="2" t="s">
        <v>12</v>
      </c>
      <c r="O1978" s="2" t="s">
        <v>12</v>
      </c>
      <c r="P1978" s="21" t="s">
        <v>12</v>
      </c>
      <c r="Q1978" s="3" t="s">
        <v>12</v>
      </c>
      <c r="R1978" s="3" t="s">
        <v>12</v>
      </c>
    </row>
    <row r="1979" spans="1:18" x14ac:dyDescent="0.25">
      <c r="A1979" s="30">
        <v>45968</v>
      </c>
      <c r="B1979" s="28">
        <v>1969</v>
      </c>
      <c r="C1979" s="28"/>
      <c r="D1979" s="2" t="s">
        <v>109</v>
      </c>
      <c r="E1979" s="7" t="s">
        <v>2332</v>
      </c>
      <c r="F1979" s="7"/>
      <c r="G1979" s="2" t="s">
        <v>111</v>
      </c>
      <c r="H1979" s="2" t="s">
        <v>395</v>
      </c>
      <c r="I1979" s="5">
        <v>7069.81</v>
      </c>
      <c r="J1979" s="57">
        <v>7.0000000000000007E-2</v>
      </c>
      <c r="K1979" s="3">
        <v>96</v>
      </c>
      <c r="L1979" s="2" t="s">
        <v>64</v>
      </c>
      <c r="M1979" s="2" t="s">
        <v>3228</v>
      </c>
      <c r="N1979" s="2" t="s">
        <v>12</v>
      </c>
      <c r="O1979" s="2" t="s">
        <v>12</v>
      </c>
      <c r="P1979" s="21" t="s">
        <v>12</v>
      </c>
      <c r="Q1979" s="3" t="s">
        <v>12</v>
      </c>
      <c r="R1979" s="3" t="s">
        <v>12</v>
      </c>
    </row>
    <row r="1980" spans="1:18" x14ac:dyDescent="0.25">
      <c r="A1980" s="30">
        <v>45968</v>
      </c>
      <c r="B1980" s="28">
        <v>1970</v>
      </c>
      <c r="C1980" s="28"/>
      <c r="D1980" s="2" t="s">
        <v>109</v>
      </c>
      <c r="E1980" s="7" t="s">
        <v>2333</v>
      </c>
      <c r="F1980" s="7"/>
      <c r="G1980" s="2" t="s">
        <v>111</v>
      </c>
      <c r="H1980" s="2" t="s">
        <v>395</v>
      </c>
      <c r="I1980" s="5">
        <v>7090.79</v>
      </c>
      <c r="J1980" s="57">
        <v>7.0000000000000007E-2</v>
      </c>
      <c r="K1980" s="3">
        <v>96</v>
      </c>
      <c r="L1980" s="2" t="s">
        <v>64</v>
      </c>
      <c r="M1980" s="2" t="s">
        <v>3228</v>
      </c>
      <c r="N1980" s="2" t="s">
        <v>12</v>
      </c>
      <c r="O1980" s="2" t="s">
        <v>12</v>
      </c>
      <c r="P1980" s="21" t="s">
        <v>12</v>
      </c>
      <c r="Q1980" s="3" t="s">
        <v>12</v>
      </c>
      <c r="R1980" s="3" t="s">
        <v>12</v>
      </c>
    </row>
    <row r="1981" spans="1:18" x14ac:dyDescent="0.25">
      <c r="A1981" s="30">
        <v>45968</v>
      </c>
      <c r="B1981" s="28">
        <v>1971</v>
      </c>
      <c r="C1981" s="28"/>
      <c r="D1981" s="2" t="s">
        <v>720</v>
      </c>
      <c r="E1981" s="7" t="s">
        <v>2260</v>
      </c>
      <c r="F1981" s="7"/>
      <c r="G1981" s="2" t="s">
        <v>20</v>
      </c>
      <c r="H1981" s="2" t="s">
        <v>722</v>
      </c>
      <c r="I1981" s="5">
        <v>33024.17</v>
      </c>
      <c r="J1981" s="57">
        <v>7.0000000000000007E-2</v>
      </c>
      <c r="K1981" s="3">
        <v>336</v>
      </c>
      <c r="L1981" s="2" t="s">
        <v>226</v>
      </c>
      <c r="M1981" s="2" t="s">
        <v>12</v>
      </c>
      <c r="N1981" s="2" t="s">
        <v>12</v>
      </c>
      <c r="O1981" s="2" t="s">
        <v>12</v>
      </c>
      <c r="P1981" s="21" t="s">
        <v>12</v>
      </c>
      <c r="Q1981" s="3" t="s">
        <v>460</v>
      </c>
      <c r="R1981" s="3" t="s">
        <v>80</v>
      </c>
    </row>
    <row r="1982" spans="1:18" x14ac:dyDescent="0.25">
      <c r="A1982" s="30">
        <v>45973</v>
      </c>
      <c r="B1982" s="28">
        <v>1972</v>
      </c>
      <c r="C1982" s="28" t="s">
        <v>2161</v>
      </c>
      <c r="D1982" s="2" t="s">
        <v>41</v>
      </c>
      <c r="E1982" s="7" t="s">
        <v>1779</v>
      </c>
      <c r="F1982" s="7"/>
      <c r="G1982" s="2" t="s">
        <v>43</v>
      </c>
      <c r="H1982" s="2" t="s">
        <v>339</v>
      </c>
      <c r="I1982" s="5">
        <v>3618.29</v>
      </c>
      <c r="J1982" s="57">
        <v>7.0000000000000007E-2</v>
      </c>
      <c r="K1982" s="3">
        <v>48</v>
      </c>
      <c r="L1982" s="2" t="s">
        <v>226</v>
      </c>
      <c r="M1982" s="2" t="s">
        <v>12</v>
      </c>
      <c r="N1982" s="2" t="s">
        <v>12</v>
      </c>
      <c r="O1982" s="2" t="s">
        <v>12</v>
      </c>
      <c r="P1982" s="21" t="s">
        <v>12</v>
      </c>
      <c r="Q1982" s="3" t="s">
        <v>12</v>
      </c>
      <c r="R1982" s="3" t="s">
        <v>12</v>
      </c>
    </row>
    <row r="1983" spans="1:18" x14ac:dyDescent="0.25">
      <c r="A1983" s="30">
        <v>45971</v>
      </c>
      <c r="B1983" s="28">
        <v>1973</v>
      </c>
      <c r="C1983" s="28"/>
      <c r="D1983" s="2" t="s">
        <v>2335</v>
      </c>
      <c r="E1983" s="7" t="s">
        <v>12</v>
      </c>
      <c r="F1983" s="7"/>
      <c r="G1983" s="2" t="s">
        <v>26</v>
      </c>
      <c r="H1983" s="2"/>
      <c r="I1983" s="5">
        <v>1040</v>
      </c>
      <c r="J1983" s="57">
        <v>7.0000000000000007E-2</v>
      </c>
      <c r="K1983" s="3" t="s">
        <v>12</v>
      </c>
      <c r="L1983" s="2" t="s">
        <v>226</v>
      </c>
      <c r="M1983" s="2" t="s">
        <v>12</v>
      </c>
      <c r="N1983" s="2" t="s">
        <v>12</v>
      </c>
      <c r="O1983" s="2" t="s">
        <v>12</v>
      </c>
      <c r="P1983" s="21" t="s">
        <v>12</v>
      </c>
      <c r="Q1983" s="3" t="s">
        <v>12</v>
      </c>
      <c r="R1983" s="3" t="s">
        <v>12</v>
      </c>
    </row>
    <row r="1984" spans="1:18" x14ac:dyDescent="0.25">
      <c r="A1984" s="30">
        <v>45971</v>
      </c>
      <c r="B1984" s="28">
        <v>1974</v>
      </c>
      <c r="C1984" s="28"/>
      <c r="D1984" s="2" t="s">
        <v>525</v>
      </c>
      <c r="E1984" s="7" t="s">
        <v>2245</v>
      </c>
      <c r="F1984" s="7"/>
      <c r="G1984" s="2" t="s">
        <v>97</v>
      </c>
      <c r="H1984" s="2" t="s">
        <v>40</v>
      </c>
      <c r="I1984" s="5">
        <v>603283.06999999995</v>
      </c>
      <c r="J1984" s="57">
        <v>7.0000000000000007E-2</v>
      </c>
      <c r="K1984" s="3">
        <v>6816</v>
      </c>
      <c r="L1984" s="2" t="s">
        <v>226</v>
      </c>
      <c r="M1984" s="2" t="s">
        <v>12</v>
      </c>
      <c r="N1984" s="2" t="s">
        <v>12</v>
      </c>
      <c r="O1984" s="2" t="s">
        <v>12</v>
      </c>
      <c r="P1984" s="21" t="s">
        <v>12</v>
      </c>
      <c r="Q1984" s="3" t="s">
        <v>12</v>
      </c>
      <c r="R1984" s="3" t="s">
        <v>12</v>
      </c>
    </row>
    <row r="1985" spans="1:18" x14ac:dyDescent="0.25">
      <c r="A1985" s="30">
        <v>45971</v>
      </c>
      <c r="B1985" s="28">
        <v>1975</v>
      </c>
      <c r="C1985" s="28"/>
      <c r="D1985" s="2" t="s">
        <v>283</v>
      </c>
      <c r="E1985" s="7" t="s">
        <v>2336</v>
      </c>
      <c r="F1985" s="7"/>
      <c r="G1985" s="2" t="s">
        <v>97</v>
      </c>
      <c r="H1985" s="2" t="s">
        <v>407</v>
      </c>
      <c r="I1985" s="5">
        <v>1156422.3799999999</v>
      </c>
      <c r="J1985" s="57">
        <v>7.0000000000000007E-2</v>
      </c>
      <c r="K1985" s="3">
        <v>13080</v>
      </c>
      <c r="L1985" s="2" t="s">
        <v>226</v>
      </c>
      <c r="M1985" s="2" t="s">
        <v>12</v>
      </c>
      <c r="N1985" s="2" t="s">
        <v>12</v>
      </c>
      <c r="O1985" s="2" t="s">
        <v>12</v>
      </c>
      <c r="P1985" s="21" t="s">
        <v>12</v>
      </c>
      <c r="Q1985" s="3" t="s">
        <v>961</v>
      </c>
      <c r="R1985" s="3" t="s">
        <v>80</v>
      </c>
    </row>
    <row r="1986" spans="1:18" x14ac:dyDescent="0.25">
      <c r="A1986" s="30">
        <v>45971</v>
      </c>
      <c r="B1986" s="28">
        <v>1976</v>
      </c>
      <c r="C1986" s="28"/>
      <c r="D1986" s="2" t="s">
        <v>276</v>
      </c>
      <c r="E1986" s="7" t="s">
        <v>2337</v>
      </c>
      <c r="F1986" s="7"/>
      <c r="G1986" s="2" t="s">
        <v>43</v>
      </c>
      <c r="H1986" s="2" t="s">
        <v>108</v>
      </c>
      <c r="I1986" s="5">
        <v>5565.11</v>
      </c>
      <c r="J1986" s="57">
        <v>7.0000000000000007E-2</v>
      </c>
      <c r="K1986" s="3">
        <v>48</v>
      </c>
      <c r="L1986" s="2" t="s">
        <v>226</v>
      </c>
      <c r="M1986" s="2" t="s">
        <v>12</v>
      </c>
      <c r="N1986" s="2" t="s">
        <v>12</v>
      </c>
      <c r="O1986" s="2" t="s">
        <v>12</v>
      </c>
      <c r="P1986" s="21" t="s">
        <v>12</v>
      </c>
      <c r="Q1986" s="3" t="s">
        <v>2364</v>
      </c>
      <c r="R1986" s="3" t="s">
        <v>80</v>
      </c>
    </row>
    <row r="1987" spans="1:18" x14ac:dyDescent="0.25">
      <c r="A1987" s="30">
        <v>45971</v>
      </c>
      <c r="B1987" s="28">
        <v>1977</v>
      </c>
      <c r="C1987" s="28"/>
      <c r="D1987" s="2" t="s">
        <v>411</v>
      </c>
      <c r="E1987" s="7" t="s">
        <v>2338</v>
      </c>
      <c r="F1987" s="7"/>
      <c r="G1987" s="2" t="s">
        <v>26</v>
      </c>
      <c r="H1987" s="2" t="s">
        <v>413</v>
      </c>
      <c r="I1987" s="5">
        <v>86789.2</v>
      </c>
      <c r="J1987" s="57">
        <v>7.0000000000000007E-2</v>
      </c>
      <c r="K1987" s="3">
        <v>960</v>
      </c>
      <c r="L1987" s="2" t="s">
        <v>73</v>
      </c>
      <c r="M1987" s="2" t="s">
        <v>12</v>
      </c>
      <c r="N1987" s="2" t="s">
        <v>12</v>
      </c>
      <c r="O1987" s="2" t="s">
        <v>12</v>
      </c>
      <c r="P1987" s="21" t="s">
        <v>12</v>
      </c>
      <c r="Q1987" s="3" t="s">
        <v>2365</v>
      </c>
      <c r="R1987" s="3" t="s">
        <v>80</v>
      </c>
    </row>
    <row r="1988" spans="1:18" x14ac:dyDescent="0.25">
      <c r="A1988" s="30">
        <v>45971</v>
      </c>
      <c r="B1988" s="28">
        <v>1978</v>
      </c>
      <c r="C1988" s="28"/>
      <c r="D1988" s="2" t="s">
        <v>433</v>
      </c>
      <c r="E1988" s="7" t="s">
        <v>2339</v>
      </c>
      <c r="F1988" s="7"/>
      <c r="G1988" s="2" t="s">
        <v>97</v>
      </c>
      <c r="H1988" s="2" t="s">
        <v>395</v>
      </c>
      <c r="I1988" s="5">
        <v>88355.18</v>
      </c>
      <c r="J1988" s="57">
        <v>0.03</v>
      </c>
      <c r="K1988" s="3">
        <v>936</v>
      </c>
      <c r="L1988" s="2" t="s">
        <v>226</v>
      </c>
      <c r="M1988" s="2" t="s">
        <v>12</v>
      </c>
      <c r="N1988" s="2" t="s">
        <v>12</v>
      </c>
      <c r="O1988" s="2" t="s">
        <v>12</v>
      </c>
      <c r="P1988" s="21" t="s">
        <v>12</v>
      </c>
      <c r="Q1988" s="3" t="s">
        <v>12</v>
      </c>
      <c r="R1988" s="3" t="s">
        <v>12</v>
      </c>
    </row>
    <row r="1989" spans="1:18" x14ac:dyDescent="0.25">
      <c r="A1989" s="30">
        <v>45972</v>
      </c>
      <c r="B1989" s="28">
        <v>1979</v>
      </c>
      <c r="C1989" s="28" t="s">
        <v>2161</v>
      </c>
      <c r="D1989" s="2" t="s">
        <v>601</v>
      </c>
      <c r="E1989" s="7" t="s">
        <v>12</v>
      </c>
      <c r="F1989" s="7"/>
      <c r="G1989" s="2" t="s">
        <v>13</v>
      </c>
      <c r="H1989" s="2" t="s">
        <v>2340</v>
      </c>
      <c r="I1989" s="5">
        <v>21859.06</v>
      </c>
      <c r="J1989" s="57">
        <v>0.05</v>
      </c>
      <c r="K1989" s="3">
        <v>288</v>
      </c>
      <c r="L1989" s="2" t="s">
        <v>226</v>
      </c>
      <c r="M1989" s="2" t="s">
        <v>12</v>
      </c>
      <c r="N1989" s="2" t="s">
        <v>12</v>
      </c>
      <c r="O1989" s="2" t="s">
        <v>12</v>
      </c>
      <c r="P1989" s="21" t="s">
        <v>12</v>
      </c>
      <c r="Q1989" s="3" t="s">
        <v>12</v>
      </c>
      <c r="R1989" s="3" t="s">
        <v>12</v>
      </c>
    </row>
    <row r="1990" spans="1:18" x14ac:dyDescent="0.25">
      <c r="A1990" s="30">
        <v>45972</v>
      </c>
      <c r="B1990" s="28">
        <v>1980</v>
      </c>
      <c r="C1990" s="28" t="s">
        <v>2162</v>
      </c>
      <c r="D1990" s="2" t="s">
        <v>2341</v>
      </c>
      <c r="E1990" s="7" t="s">
        <v>2342</v>
      </c>
      <c r="F1990" s="7"/>
      <c r="G1990" s="2" t="s">
        <v>13</v>
      </c>
      <c r="H1990" s="2" t="s">
        <v>2343</v>
      </c>
      <c r="I1990" s="5">
        <v>61508.18</v>
      </c>
      <c r="J1990" s="57">
        <v>0.04</v>
      </c>
      <c r="K1990" s="3">
        <v>864</v>
      </c>
      <c r="L1990" s="2" t="s">
        <v>226</v>
      </c>
      <c r="M1990" s="2" t="s">
        <v>12</v>
      </c>
      <c r="N1990" s="2" t="s">
        <v>12</v>
      </c>
      <c r="O1990" s="2" t="s">
        <v>12</v>
      </c>
      <c r="P1990" s="21" t="s">
        <v>12</v>
      </c>
      <c r="Q1990" s="3" t="s">
        <v>12</v>
      </c>
      <c r="R1990" s="3" t="s">
        <v>12</v>
      </c>
    </row>
    <row r="1991" spans="1:18" x14ac:dyDescent="0.25">
      <c r="A1991" s="30">
        <v>45973</v>
      </c>
      <c r="B1991" s="28">
        <v>1981</v>
      </c>
      <c r="C1991" s="28" t="s">
        <v>2162</v>
      </c>
      <c r="D1991" s="2" t="s">
        <v>23</v>
      </c>
      <c r="E1991" s="7" t="s">
        <v>2258</v>
      </c>
      <c r="F1991" s="7"/>
      <c r="G1991" s="2" t="s">
        <v>20</v>
      </c>
      <c r="H1991" s="2" t="s">
        <v>32</v>
      </c>
      <c r="I1991" s="5">
        <v>14180.9</v>
      </c>
      <c r="J1991" s="57">
        <v>0.03</v>
      </c>
      <c r="K1991" s="3">
        <v>216</v>
      </c>
      <c r="L1991" s="2" t="s">
        <v>64</v>
      </c>
      <c r="M1991" s="2" t="s">
        <v>12</v>
      </c>
      <c r="N1991" s="2" t="s">
        <v>12</v>
      </c>
      <c r="O1991" s="2" t="s">
        <v>12</v>
      </c>
      <c r="P1991" s="21" t="s">
        <v>12</v>
      </c>
      <c r="Q1991" s="3" t="s">
        <v>12</v>
      </c>
      <c r="R1991" s="3" t="s">
        <v>12</v>
      </c>
    </row>
    <row r="1992" spans="1:18" x14ac:dyDescent="0.25">
      <c r="A1992" s="30">
        <v>45973</v>
      </c>
      <c r="B1992" s="28">
        <v>1982</v>
      </c>
      <c r="C1992" s="28"/>
      <c r="D1992" s="2" t="s">
        <v>2344</v>
      </c>
      <c r="E1992" s="7" t="s">
        <v>2548</v>
      </c>
      <c r="F1992" s="7"/>
      <c r="G1992" s="2" t="s">
        <v>111</v>
      </c>
      <c r="H1992" s="2" t="s">
        <v>12</v>
      </c>
      <c r="I1992" s="5">
        <v>9576.1</v>
      </c>
      <c r="J1992" s="57" t="s">
        <v>12</v>
      </c>
      <c r="K1992" s="3"/>
      <c r="L1992" s="2" t="s">
        <v>64</v>
      </c>
      <c r="M1992" s="2" t="s">
        <v>12</v>
      </c>
      <c r="N1992" s="2" t="s">
        <v>12</v>
      </c>
      <c r="O1992" s="2" t="s">
        <v>12</v>
      </c>
      <c r="P1992" s="21" t="s">
        <v>12</v>
      </c>
      <c r="Q1992" s="3" t="s">
        <v>12</v>
      </c>
      <c r="R1992" s="3" t="s">
        <v>12</v>
      </c>
    </row>
    <row r="1993" spans="1:18" x14ac:dyDescent="0.25">
      <c r="A1993" s="30">
        <v>45972</v>
      </c>
      <c r="B1993" s="28">
        <v>1983</v>
      </c>
      <c r="C1993" s="28"/>
      <c r="D1993" s="2" t="s">
        <v>493</v>
      </c>
      <c r="E1993" s="7" t="s">
        <v>12</v>
      </c>
      <c r="F1993" s="7"/>
      <c r="G1993" s="2" t="s">
        <v>20</v>
      </c>
      <c r="H1993" s="2"/>
      <c r="I1993" s="5">
        <v>4815.8999999999996</v>
      </c>
      <c r="J1993" s="57">
        <v>7.0000000000000007E-2</v>
      </c>
      <c r="K1993" s="3" t="s">
        <v>12</v>
      </c>
      <c r="L1993" s="2" t="s">
        <v>226</v>
      </c>
      <c r="M1993" s="2" t="s">
        <v>12</v>
      </c>
      <c r="N1993" s="2" t="s">
        <v>12</v>
      </c>
      <c r="O1993" s="2" t="s">
        <v>12</v>
      </c>
      <c r="P1993" s="21" t="s">
        <v>12</v>
      </c>
      <c r="Q1993" s="3" t="s">
        <v>12</v>
      </c>
      <c r="R1993" s="3" t="s">
        <v>12</v>
      </c>
    </row>
    <row r="1994" spans="1:18" x14ac:dyDescent="0.25">
      <c r="A1994" s="30">
        <v>45972</v>
      </c>
      <c r="B1994" s="28">
        <v>1984</v>
      </c>
      <c r="C1994" s="28"/>
      <c r="D1994" s="2" t="s">
        <v>1446</v>
      </c>
      <c r="E1994" s="7" t="s">
        <v>2241</v>
      </c>
      <c r="F1994" s="7"/>
      <c r="G1994" s="2" t="s">
        <v>43</v>
      </c>
      <c r="H1994" s="2" t="s">
        <v>2007</v>
      </c>
      <c r="I1994" s="5">
        <v>6820</v>
      </c>
      <c r="J1994" s="57">
        <v>0.04</v>
      </c>
      <c r="K1994" s="3">
        <v>72</v>
      </c>
      <c r="L1994" s="2" t="s">
        <v>226</v>
      </c>
      <c r="M1994" s="2" t="s">
        <v>12</v>
      </c>
      <c r="N1994" s="2" t="s">
        <v>12</v>
      </c>
      <c r="O1994" s="2" t="s">
        <v>12</v>
      </c>
      <c r="P1994" s="21" t="s">
        <v>12</v>
      </c>
      <c r="Q1994" s="3" t="s">
        <v>75</v>
      </c>
      <c r="R1994" s="3" t="s">
        <v>75</v>
      </c>
    </row>
    <row r="1995" spans="1:18" x14ac:dyDescent="0.25">
      <c r="A1995" s="30">
        <v>45972</v>
      </c>
      <c r="B1995" s="28">
        <v>1985</v>
      </c>
      <c r="C1995" s="28"/>
      <c r="D1995" s="2" t="s">
        <v>2248</v>
      </c>
      <c r="E1995" s="7" t="s">
        <v>12</v>
      </c>
      <c r="F1995" s="7"/>
      <c r="G1995" s="2" t="s">
        <v>13</v>
      </c>
      <c r="H1995" s="2" t="s">
        <v>2249</v>
      </c>
      <c r="I1995" s="5">
        <v>15930.65</v>
      </c>
      <c r="J1995" s="57">
        <v>7.0000000000000007E-2</v>
      </c>
      <c r="K1995" s="3">
        <v>240</v>
      </c>
      <c r="L1995" s="2" t="s">
        <v>64</v>
      </c>
      <c r="M1995" s="2" t="s">
        <v>12</v>
      </c>
      <c r="N1995" s="2" t="s">
        <v>12</v>
      </c>
      <c r="O1995" s="2" t="s">
        <v>12</v>
      </c>
      <c r="P1995" s="21" t="s">
        <v>12</v>
      </c>
      <c r="Q1995" s="3" t="s">
        <v>12</v>
      </c>
      <c r="R1995" s="3" t="s">
        <v>12</v>
      </c>
    </row>
    <row r="1996" spans="1:18" x14ac:dyDescent="0.25">
      <c r="A1996" s="30">
        <v>45972</v>
      </c>
      <c r="B1996" s="28">
        <v>1986</v>
      </c>
      <c r="C1996" s="28"/>
      <c r="D1996" s="2" t="s">
        <v>2248</v>
      </c>
      <c r="E1996" s="7" t="s">
        <v>12</v>
      </c>
      <c r="F1996" s="7"/>
      <c r="G1996" s="2" t="s">
        <v>13</v>
      </c>
      <c r="H1996" s="2" t="s">
        <v>2249</v>
      </c>
      <c r="I1996" s="5">
        <v>3264.74</v>
      </c>
      <c r="J1996" s="57">
        <v>7.0000000000000007E-2</v>
      </c>
      <c r="K1996" s="3">
        <v>48</v>
      </c>
      <c r="L1996" s="2" t="s">
        <v>64</v>
      </c>
      <c r="M1996" s="2" t="s">
        <v>12</v>
      </c>
      <c r="N1996" s="2" t="s">
        <v>12</v>
      </c>
      <c r="O1996" s="2" t="s">
        <v>12</v>
      </c>
      <c r="P1996" s="21" t="s">
        <v>12</v>
      </c>
      <c r="Q1996" s="3" t="s">
        <v>12</v>
      </c>
      <c r="R1996" s="3" t="s">
        <v>12</v>
      </c>
    </row>
    <row r="1997" spans="1:18" x14ac:dyDescent="0.25">
      <c r="A1997" s="30">
        <v>45972</v>
      </c>
      <c r="B1997" s="28">
        <v>1987</v>
      </c>
      <c r="C1997" s="28"/>
      <c r="D1997" s="2" t="s">
        <v>215</v>
      </c>
      <c r="E1997" s="7" t="s">
        <v>2345</v>
      </c>
      <c r="F1997" s="7"/>
      <c r="G1997" s="2" t="s">
        <v>26</v>
      </c>
      <c r="H1997" s="2" t="s">
        <v>2346</v>
      </c>
      <c r="I1997" s="5">
        <v>138364.17000000001</v>
      </c>
      <c r="J1997" s="57">
        <v>0.04</v>
      </c>
      <c r="K1997" s="3">
        <v>1968</v>
      </c>
      <c r="L1997" s="2" t="s">
        <v>64</v>
      </c>
      <c r="M1997" s="2" t="s">
        <v>12</v>
      </c>
      <c r="N1997" s="2" t="s">
        <v>12</v>
      </c>
      <c r="O1997" s="2" t="s">
        <v>12</v>
      </c>
      <c r="P1997" s="21" t="s">
        <v>12</v>
      </c>
      <c r="Q1997" s="3" t="s">
        <v>12</v>
      </c>
      <c r="R1997" s="3" t="s">
        <v>12</v>
      </c>
    </row>
    <row r="1998" spans="1:18" x14ac:dyDescent="0.25">
      <c r="A1998" s="30">
        <v>45973</v>
      </c>
      <c r="B1998" s="28">
        <v>1988</v>
      </c>
      <c r="C1998" s="28" t="s">
        <v>2161</v>
      </c>
      <c r="D1998" s="2" t="s">
        <v>925</v>
      </c>
      <c r="E1998" s="7" t="s">
        <v>12</v>
      </c>
      <c r="F1998" s="7"/>
      <c r="G1998" s="2" t="s">
        <v>26</v>
      </c>
      <c r="H1998" s="2" t="s">
        <v>1187</v>
      </c>
      <c r="I1998" s="5">
        <v>5572.54</v>
      </c>
      <c r="J1998" s="57">
        <v>7.0000000000000007E-2</v>
      </c>
      <c r="K1998" s="3" t="s">
        <v>12</v>
      </c>
      <c r="L1998" s="2" t="s">
        <v>64</v>
      </c>
      <c r="M1998" s="2" t="s">
        <v>12</v>
      </c>
      <c r="N1998" s="2" t="s">
        <v>12</v>
      </c>
      <c r="O1998" s="2" t="s">
        <v>12</v>
      </c>
      <c r="P1998" s="21" t="s">
        <v>12</v>
      </c>
      <c r="Q1998" s="3" t="s">
        <v>12</v>
      </c>
      <c r="R1998" s="3" t="s">
        <v>12</v>
      </c>
    </row>
    <row r="1999" spans="1:18" x14ac:dyDescent="0.25">
      <c r="A1999" s="30">
        <v>45972</v>
      </c>
      <c r="B1999" s="28">
        <v>1989</v>
      </c>
      <c r="C1999" s="28"/>
      <c r="D1999" s="2" t="s">
        <v>411</v>
      </c>
      <c r="E1999" s="7" t="s">
        <v>2347</v>
      </c>
      <c r="F1999" s="7"/>
      <c r="G1999" s="2" t="s">
        <v>26</v>
      </c>
      <c r="H1999" s="2" t="s">
        <v>413</v>
      </c>
      <c r="I1999" s="5">
        <v>65130.5</v>
      </c>
      <c r="J1999" s="57">
        <v>7.0000000000000007E-2</v>
      </c>
      <c r="K1999" s="3">
        <v>672</v>
      </c>
      <c r="L1999" s="2" t="s">
        <v>73</v>
      </c>
      <c r="M1999" s="2" t="s">
        <v>12</v>
      </c>
      <c r="N1999" s="2" t="s">
        <v>12</v>
      </c>
      <c r="O1999" s="2" t="s">
        <v>12</v>
      </c>
      <c r="P1999" s="21" t="s">
        <v>12</v>
      </c>
      <c r="Q1999" s="3" t="s">
        <v>2365</v>
      </c>
      <c r="R1999" s="3" t="s">
        <v>80</v>
      </c>
    </row>
    <row r="2000" spans="1:18" x14ac:dyDescent="0.25">
      <c r="A2000" s="30">
        <v>45972</v>
      </c>
      <c r="B2000" s="28">
        <v>1990</v>
      </c>
      <c r="C2000" s="28"/>
      <c r="D2000" s="2" t="s">
        <v>41</v>
      </c>
      <c r="E2000" s="7" t="s">
        <v>1779</v>
      </c>
      <c r="F2000" s="7"/>
      <c r="G2000" s="2" t="s">
        <v>43</v>
      </c>
      <c r="H2000" s="2" t="s">
        <v>339</v>
      </c>
      <c r="I2000" s="5">
        <v>7236.59</v>
      </c>
      <c r="J2000" s="57">
        <v>7.0000000000000007E-2</v>
      </c>
      <c r="K2000" s="3">
        <v>96</v>
      </c>
      <c r="L2000" s="2" t="s">
        <v>226</v>
      </c>
      <c r="M2000" s="2" t="s">
        <v>12</v>
      </c>
      <c r="N2000" s="2" t="s">
        <v>12</v>
      </c>
      <c r="O2000" s="2" t="s">
        <v>12</v>
      </c>
      <c r="P2000" s="21" t="s">
        <v>12</v>
      </c>
      <c r="Q2000" s="3" t="s">
        <v>12</v>
      </c>
      <c r="R2000" s="3" t="s">
        <v>12</v>
      </c>
    </row>
    <row r="2001" spans="1:18" x14ac:dyDescent="0.25">
      <c r="A2001" s="30">
        <v>45972</v>
      </c>
      <c r="B2001" s="28">
        <v>1991</v>
      </c>
      <c r="C2001" s="28"/>
      <c r="D2001" s="2" t="s">
        <v>2190</v>
      </c>
      <c r="E2001" s="7" t="s">
        <v>12</v>
      </c>
      <c r="F2001" s="7"/>
      <c r="G2001" s="2" t="s">
        <v>13</v>
      </c>
      <c r="H2001" s="2" t="s">
        <v>549</v>
      </c>
      <c r="I2001" s="5">
        <v>42662.44</v>
      </c>
      <c r="J2001" s="57">
        <v>0.05</v>
      </c>
      <c r="K2001" s="3">
        <v>720</v>
      </c>
      <c r="L2001" s="2" t="s">
        <v>226</v>
      </c>
      <c r="M2001" s="2" t="s">
        <v>12</v>
      </c>
      <c r="N2001" s="2" t="s">
        <v>12</v>
      </c>
      <c r="O2001" s="2" t="s">
        <v>12</v>
      </c>
      <c r="P2001" s="21" t="s">
        <v>12</v>
      </c>
      <c r="Q2001" s="3" t="s">
        <v>12</v>
      </c>
      <c r="R2001" s="3" t="s">
        <v>12</v>
      </c>
    </row>
    <row r="2002" spans="1:18" x14ac:dyDescent="0.25">
      <c r="A2002" s="30">
        <v>45972</v>
      </c>
      <c r="B2002" s="28">
        <v>1992</v>
      </c>
      <c r="C2002" s="28"/>
      <c r="D2002" s="2" t="s">
        <v>314</v>
      </c>
      <c r="E2002" s="7" t="s">
        <v>12</v>
      </c>
      <c r="F2002" s="7"/>
      <c r="G2002" s="2" t="s">
        <v>97</v>
      </c>
      <c r="H2002" s="2" t="s">
        <v>2348</v>
      </c>
      <c r="I2002" s="5">
        <v>10078.49</v>
      </c>
      <c r="J2002" s="57">
        <v>0.04</v>
      </c>
      <c r="K2002" s="3">
        <v>120</v>
      </c>
      <c r="L2002" s="2" t="s">
        <v>226</v>
      </c>
      <c r="M2002" s="2" t="s">
        <v>12</v>
      </c>
      <c r="N2002" s="2" t="s">
        <v>12</v>
      </c>
      <c r="O2002" s="2" t="s">
        <v>12</v>
      </c>
      <c r="P2002" s="21" t="s">
        <v>12</v>
      </c>
      <c r="Q2002" s="3" t="s">
        <v>12</v>
      </c>
      <c r="R2002" s="3" t="s">
        <v>12</v>
      </c>
    </row>
    <row r="2003" spans="1:18" x14ac:dyDescent="0.25">
      <c r="A2003" s="30">
        <v>45973</v>
      </c>
      <c r="B2003" s="28">
        <v>1993</v>
      </c>
      <c r="C2003" s="28" t="s">
        <v>2161</v>
      </c>
      <c r="D2003" s="2" t="s">
        <v>273</v>
      </c>
      <c r="E2003" s="7" t="s">
        <v>12</v>
      </c>
      <c r="F2003" s="7"/>
      <c r="G2003" s="2" t="s">
        <v>26</v>
      </c>
      <c r="H2003" s="2" t="s">
        <v>116</v>
      </c>
      <c r="I2003" s="5">
        <v>16747.77</v>
      </c>
      <c r="J2003" s="57">
        <v>0.05</v>
      </c>
      <c r="K2003" s="3">
        <v>240</v>
      </c>
      <c r="L2003" s="2" t="s">
        <v>64</v>
      </c>
      <c r="M2003" s="2" t="s">
        <v>12</v>
      </c>
      <c r="N2003" s="2" t="s">
        <v>12</v>
      </c>
      <c r="O2003" s="2" t="s">
        <v>12</v>
      </c>
      <c r="P2003" s="21" t="s">
        <v>12</v>
      </c>
      <c r="Q2003" s="3" t="s">
        <v>12</v>
      </c>
      <c r="R2003" s="3" t="s">
        <v>12</v>
      </c>
    </row>
    <row r="2004" spans="1:18" x14ac:dyDescent="0.25">
      <c r="A2004" s="30">
        <v>45973</v>
      </c>
      <c r="B2004" s="28">
        <v>1994</v>
      </c>
      <c r="C2004" s="28"/>
      <c r="D2004" s="2" t="s">
        <v>2349</v>
      </c>
      <c r="E2004" s="7" t="s">
        <v>12</v>
      </c>
      <c r="F2004" s="7"/>
      <c r="G2004" s="2" t="s">
        <v>13</v>
      </c>
      <c r="H2004" s="2" t="s">
        <v>1413</v>
      </c>
      <c r="I2004" s="5">
        <v>3424.03</v>
      </c>
      <c r="J2004" s="57">
        <v>7.0000000000000007E-2</v>
      </c>
      <c r="K2004" s="3" t="s">
        <v>12</v>
      </c>
      <c r="L2004" s="2" t="s">
        <v>226</v>
      </c>
      <c r="M2004" s="2" t="s">
        <v>12</v>
      </c>
      <c r="N2004" s="2" t="s">
        <v>12</v>
      </c>
      <c r="O2004" s="2" t="s">
        <v>12</v>
      </c>
      <c r="P2004" s="21" t="s">
        <v>12</v>
      </c>
      <c r="Q2004" s="3" t="s">
        <v>12</v>
      </c>
      <c r="R2004" s="3"/>
    </row>
    <row r="2005" spans="1:18" x14ac:dyDescent="0.25">
      <c r="A2005" s="30">
        <v>45973</v>
      </c>
      <c r="B2005" s="28">
        <v>1995</v>
      </c>
      <c r="C2005" s="28"/>
      <c r="D2005" s="2" t="s">
        <v>601</v>
      </c>
      <c r="E2005" s="7" t="s">
        <v>2350</v>
      </c>
      <c r="F2005" s="7"/>
      <c r="G2005" s="2" t="s">
        <v>13</v>
      </c>
      <c r="H2005" s="2" t="s">
        <v>2351</v>
      </c>
      <c r="I2005" s="5">
        <v>141871.03</v>
      </c>
      <c r="J2005" s="57">
        <v>0.03</v>
      </c>
      <c r="K2005" s="3">
        <v>1968</v>
      </c>
      <c r="L2005" s="2" t="s">
        <v>64</v>
      </c>
      <c r="M2005" s="2" t="s">
        <v>12</v>
      </c>
      <c r="N2005" s="2" t="s">
        <v>12</v>
      </c>
      <c r="O2005" s="2" t="s">
        <v>12</v>
      </c>
      <c r="P2005" s="21" t="s">
        <v>12</v>
      </c>
      <c r="Q2005" s="3" t="s">
        <v>12</v>
      </c>
      <c r="R2005" s="3" t="s">
        <v>12</v>
      </c>
    </row>
    <row r="2006" spans="1:18" x14ac:dyDescent="0.25">
      <c r="A2006" s="30">
        <v>45973</v>
      </c>
      <c r="B2006" s="28">
        <v>1996</v>
      </c>
      <c r="C2006" s="28"/>
      <c r="D2006" s="2" t="s">
        <v>202</v>
      </c>
      <c r="E2006" s="7" t="s">
        <v>2352</v>
      </c>
      <c r="F2006" s="7"/>
      <c r="G2006" s="2" t="s">
        <v>97</v>
      </c>
      <c r="H2006" s="2" t="s">
        <v>119</v>
      </c>
      <c r="I2006" s="5">
        <v>99056.51</v>
      </c>
      <c r="J2006" s="57">
        <v>7.0000000000000007E-2</v>
      </c>
      <c r="K2006" s="3">
        <v>1008</v>
      </c>
      <c r="L2006" s="2" t="s">
        <v>226</v>
      </c>
      <c r="M2006" s="2" t="s">
        <v>12</v>
      </c>
      <c r="N2006" s="2" t="s">
        <v>12</v>
      </c>
      <c r="O2006" s="2" t="s">
        <v>12</v>
      </c>
      <c r="P2006" s="21" t="s">
        <v>12</v>
      </c>
      <c r="Q2006" s="3" t="s">
        <v>2361</v>
      </c>
      <c r="R2006" s="3" t="s">
        <v>80</v>
      </c>
    </row>
    <row r="2007" spans="1:18" x14ac:dyDescent="0.25">
      <c r="A2007" s="30">
        <v>45973</v>
      </c>
      <c r="B2007" s="28">
        <v>1997</v>
      </c>
      <c r="C2007" s="28" t="s">
        <v>2161</v>
      </c>
      <c r="D2007" s="2" t="s">
        <v>1108</v>
      </c>
      <c r="E2007" s="7" t="s">
        <v>2353</v>
      </c>
      <c r="F2007" s="7"/>
      <c r="G2007" s="2" t="s">
        <v>20</v>
      </c>
      <c r="H2007" s="2" t="s">
        <v>1110</v>
      </c>
      <c r="I2007" s="5">
        <v>12936.92</v>
      </c>
      <c r="J2007" s="57">
        <v>7.0000000000000007E-2</v>
      </c>
      <c r="K2007" s="3">
        <v>100.8</v>
      </c>
      <c r="L2007" s="2" t="s">
        <v>226</v>
      </c>
      <c r="M2007" s="2" t="s">
        <v>12</v>
      </c>
      <c r="N2007" s="2" t="s">
        <v>12</v>
      </c>
      <c r="O2007" s="2" t="s">
        <v>12</v>
      </c>
      <c r="P2007" s="21" t="s">
        <v>12</v>
      </c>
      <c r="Q2007" s="3" t="s">
        <v>12</v>
      </c>
      <c r="R2007" s="3" t="s">
        <v>12</v>
      </c>
    </row>
    <row r="2008" spans="1:18" x14ac:dyDescent="0.25">
      <c r="A2008" s="30">
        <v>45973</v>
      </c>
      <c r="B2008" s="28">
        <v>1998</v>
      </c>
      <c r="C2008" s="28"/>
      <c r="D2008" s="2" t="s">
        <v>87</v>
      </c>
      <c r="E2008" s="7" t="s">
        <v>2354</v>
      </c>
      <c r="F2008" s="7"/>
      <c r="G2008" s="2" t="s">
        <v>13</v>
      </c>
      <c r="H2008" s="2" t="s">
        <v>185</v>
      </c>
      <c r="I2008" s="5">
        <v>249840.37</v>
      </c>
      <c r="J2008" s="57">
        <v>7.0000000000000007E-2</v>
      </c>
      <c r="K2008" s="3">
        <v>2546.4</v>
      </c>
      <c r="L2008" s="2" t="s">
        <v>226</v>
      </c>
      <c r="M2008" s="2" t="s">
        <v>12</v>
      </c>
      <c r="N2008" s="2" t="s">
        <v>12</v>
      </c>
      <c r="O2008" s="2" t="s">
        <v>12</v>
      </c>
      <c r="P2008" s="21" t="s">
        <v>12</v>
      </c>
      <c r="Q2008" s="3" t="s">
        <v>78</v>
      </c>
      <c r="R2008" s="3" t="s">
        <v>80</v>
      </c>
    </row>
    <row r="2009" spans="1:18" x14ac:dyDescent="0.25">
      <c r="A2009" s="30">
        <v>45973</v>
      </c>
      <c r="B2009" s="28">
        <v>1999</v>
      </c>
      <c r="C2009" s="28"/>
      <c r="D2009" s="2" t="s">
        <v>87</v>
      </c>
      <c r="E2009" s="7" t="s">
        <v>2355</v>
      </c>
      <c r="F2009" s="7"/>
      <c r="G2009" s="2" t="s">
        <v>13</v>
      </c>
      <c r="H2009" s="2" t="s">
        <v>185</v>
      </c>
      <c r="I2009" s="5">
        <v>222086</v>
      </c>
      <c r="J2009" s="57">
        <v>0.04</v>
      </c>
      <c r="K2009" s="3">
        <v>2210.4</v>
      </c>
      <c r="L2009" s="2" t="s">
        <v>226</v>
      </c>
      <c r="M2009" s="2" t="s">
        <v>12</v>
      </c>
      <c r="N2009" s="2" t="s">
        <v>12</v>
      </c>
      <c r="O2009" s="2" t="s">
        <v>12</v>
      </c>
      <c r="P2009" s="21" t="s">
        <v>12</v>
      </c>
      <c r="Q2009" s="3" t="s">
        <v>78</v>
      </c>
      <c r="R2009" s="3" t="s">
        <v>80</v>
      </c>
    </row>
    <row r="2010" spans="1:18" x14ac:dyDescent="0.25">
      <c r="A2010" s="30">
        <v>45973</v>
      </c>
      <c r="B2010" s="28">
        <v>2000</v>
      </c>
      <c r="C2010" s="28" t="s">
        <v>2161</v>
      </c>
      <c r="D2010" s="2" t="s">
        <v>1484</v>
      </c>
      <c r="E2010" s="7" t="s">
        <v>2356</v>
      </c>
      <c r="F2010" s="7"/>
      <c r="G2010" s="2" t="s">
        <v>20</v>
      </c>
      <c r="H2010" s="2" t="s">
        <v>827</v>
      </c>
      <c r="I2010" s="5">
        <v>68209.850000000006</v>
      </c>
      <c r="J2010" s="57">
        <v>0.03</v>
      </c>
      <c r="K2010" s="3">
        <v>936</v>
      </c>
      <c r="L2010" s="2" t="s">
        <v>64</v>
      </c>
      <c r="M2010" s="2" t="s">
        <v>12</v>
      </c>
      <c r="N2010" s="2" t="s">
        <v>12</v>
      </c>
      <c r="O2010" s="2" t="s">
        <v>12</v>
      </c>
      <c r="P2010" s="21" t="s">
        <v>12</v>
      </c>
      <c r="Q2010" s="3" t="s">
        <v>12</v>
      </c>
      <c r="R2010" s="3" t="s">
        <v>12</v>
      </c>
    </row>
    <row r="2011" spans="1:18" x14ac:dyDescent="0.25">
      <c r="A2011" s="30">
        <v>45973</v>
      </c>
      <c r="B2011" s="28">
        <v>2001</v>
      </c>
      <c r="C2011" s="28"/>
      <c r="D2011" s="2" t="s">
        <v>165</v>
      </c>
      <c r="E2011" s="7" t="s">
        <v>1715</v>
      </c>
      <c r="F2011" s="7"/>
      <c r="G2011" s="2" t="s">
        <v>97</v>
      </c>
      <c r="H2011" s="2" t="s">
        <v>167</v>
      </c>
      <c r="I2011" s="5">
        <v>2982</v>
      </c>
      <c r="J2011" s="57">
        <v>7.0000000000000007E-2</v>
      </c>
      <c r="K2011" s="3" t="s">
        <v>12</v>
      </c>
      <c r="L2011" s="2" t="s">
        <v>226</v>
      </c>
      <c r="M2011" s="2" t="s">
        <v>12</v>
      </c>
      <c r="N2011" s="2" t="s">
        <v>12</v>
      </c>
      <c r="O2011" s="2" t="s">
        <v>12</v>
      </c>
      <c r="P2011" s="21" t="s">
        <v>12</v>
      </c>
      <c r="Q2011" s="3" t="s">
        <v>12</v>
      </c>
      <c r="R2011" s="3" t="s">
        <v>12</v>
      </c>
    </row>
    <row r="2012" spans="1:18" x14ac:dyDescent="0.25">
      <c r="A2012" s="30">
        <v>45973</v>
      </c>
      <c r="B2012" s="28">
        <v>2002</v>
      </c>
      <c r="C2012" s="28"/>
      <c r="D2012" s="2" t="s">
        <v>1446</v>
      </c>
      <c r="E2012" s="7" t="s">
        <v>2357</v>
      </c>
      <c r="F2012" s="7"/>
      <c r="G2012" s="2" t="s">
        <v>43</v>
      </c>
      <c r="H2012" s="2" t="s">
        <v>2007</v>
      </c>
      <c r="I2012" s="5">
        <v>15391.02</v>
      </c>
      <c r="J2012" s="57">
        <v>7.0000000000000007E-2</v>
      </c>
      <c r="K2012" s="3">
        <v>144</v>
      </c>
      <c r="L2012" s="2" t="s">
        <v>226</v>
      </c>
      <c r="M2012" s="2" t="s">
        <v>12</v>
      </c>
      <c r="N2012" s="2" t="s">
        <v>12</v>
      </c>
      <c r="O2012" s="2" t="s">
        <v>12</v>
      </c>
      <c r="P2012" s="21" t="s">
        <v>12</v>
      </c>
      <c r="Q2012" s="3" t="s">
        <v>12</v>
      </c>
      <c r="R2012" s="3" t="s">
        <v>12</v>
      </c>
    </row>
    <row r="2013" spans="1:18" x14ac:dyDescent="0.25">
      <c r="A2013" s="30">
        <v>45973</v>
      </c>
      <c r="B2013" s="28">
        <v>2003</v>
      </c>
      <c r="C2013" s="28"/>
      <c r="D2013" s="2" t="s">
        <v>1446</v>
      </c>
      <c r="E2013" s="7" t="s">
        <v>3185</v>
      </c>
      <c r="F2013" s="7"/>
      <c r="G2013" s="2" t="s">
        <v>43</v>
      </c>
      <c r="H2013" s="2" t="s">
        <v>2007</v>
      </c>
      <c r="I2013" s="5">
        <v>10849.95</v>
      </c>
      <c r="J2013" s="57">
        <v>7.0000000000000007E-2</v>
      </c>
      <c r="K2013" s="3">
        <v>96</v>
      </c>
      <c r="L2013" s="2" t="s">
        <v>21</v>
      </c>
      <c r="M2013" s="2" t="s">
        <v>530</v>
      </c>
      <c r="N2013" s="2" t="s">
        <v>12</v>
      </c>
      <c r="O2013" s="2" t="s">
        <v>12</v>
      </c>
      <c r="P2013" s="21" t="s">
        <v>12</v>
      </c>
      <c r="Q2013" s="3" t="s">
        <v>12</v>
      </c>
      <c r="R2013" s="3" t="s">
        <v>12</v>
      </c>
    </row>
    <row r="2014" spans="1:18" x14ac:dyDescent="0.25">
      <c r="A2014" s="30">
        <v>45973</v>
      </c>
      <c r="B2014" s="28">
        <v>2004</v>
      </c>
      <c r="C2014" s="28"/>
      <c r="D2014" s="2" t="s">
        <v>124</v>
      </c>
      <c r="E2014" s="7" t="s">
        <v>2358</v>
      </c>
      <c r="F2014" s="7"/>
      <c r="G2014" s="2" t="s">
        <v>20</v>
      </c>
      <c r="H2014" s="2" t="s">
        <v>112</v>
      </c>
      <c r="I2014" s="5">
        <v>38565.56</v>
      </c>
      <c r="J2014" s="57">
        <v>7.0000000000000007E-2</v>
      </c>
      <c r="K2014" s="3">
        <v>504</v>
      </c>
      <c r="L2014" s="2" t="s">
        <v>226</v>
      </c>
      <c r="M2014" s="2" t="s">
        <v>12</v>
      </c>
      <c r="N2014" s="2" t="s">
        <v>12</v>
      </c>
      <c r="O2014" s="2" t="s">
        <v>12</v>
      </c>
      <c r="P2014" s="21" t="s">
        <v>12</v>
      </c>
      <c r="Q2014" s="3" t="s">
        <v>12</v>
      </c>
      <c r="R2014" s="3" t="s">
        <v>12</v>
      </c>
    </row>
    <row r="2015" spans="1:18" x14ac:dyDescent="0.25">
      <c r="A2015" s="30">
        <v>45973</v>
      </c>
      <c r="B2015" s="28">
        <v>2005</v>
      </c>
      <c r="C2015" s="28"/>
      <c r="D2015" s="2" t="s">
        <v>87</v>
      </c>
      <c r="E2015" s="7" t="s">
        <v>2359</v>
      </c>
      <c r="F2015" s="7"/>
      <c r="G2015" s="2" t="s">
        <v>13</v>
      </c>
      <c r="H2015" s="2" t="s">
        <v>185</v>
      </c>
      <c r="I2015" s="5">
        <v>14329</v>
      </c>
      <c r="J2015" s="57">
        <v>0.04</v>
      </c>
      <c r="K2015" s="3">
        <v>192</v>
      </c>
      <c r="L2015" s="2" t="s">
        <v>64</v>
      </c>
      <c r="M2015" s="2" t="s">
        <v>12</v>
      </c>
      <c r="N2015" s="2" t="s">
        <v>12</v>
      </c>
      <c r="O2015" s="2" t="s">
        <v>12</v>
      </c>
      <c r="P2015" s="21" t="s">
        <v>12</v>
      </c>
      <c r="Q2015" s="3" t="s">
        <v>12</v>
      </c>
      <c r="R2015" s="3" t="s">
        <v>12</v>
      </c>
    </row>
    <row r="2016" spans="1:18" x14ac:dyDescent="0.25">
      <c r="A2016" s="30">
        <v>45973</v>
      </c>
      <c r="B2016" s="28">
        <v>2006</v>
      </c>
      <c r="C2016" s="28"/>
      <c r="D2016" s="2" t="s">
        <v>87</v>
      </c>
      <c r="E2016" s="7" t="s">
        <v>2360</v>
      </c>
      <c r="F2016" s="7"/>
      <c r="G2016" s="2" t="s">
        <v>13</v>
      </c>
      <c r="H2016" s="2" t="s">
        <v>185</v>
      </c>
      <c r="I2016" s="5">
        <v>1169.9000000000001</v>
      </c>
      <c r="J2016" s="57">
        <v>7.0000000000000007E-2</v>
      </c>
      <c r="K2016" s="3" t="s">
        <v>12</v>
      </c>
      <c r="L2016" s="2" t="s">
        <v>64</v>
      </c>
      <c r="M2016" s="2" t="s">
        <v>12</v>
      </c>
      <c r="N2016" s="2" t="s">
        <v>12</v>
      </c>
      <c r="O2016" s="2" t="s">
        <v>12</v>
      </c>
      <c r="P2016" s="21" t="s">
        <v>12</v>
      </c>
      <c r="Q2016" s="3" t="s">
        <v>12</v>
      </c>
      <c r="R2016" s="3" t="s">
        <v>12</v>
      </c>
    </row>
    <row r="2017" spans="1:18" x14ac:dyDescent="0.25">
      <c r="A2017" s="30">
        <v>45675</v>
      </c>
      <c r="B2017" s="28">
        <v>2007</v>
      </c>
      <c r="C2017" s="28" t="s">
        <v>2162</v>
      </c>
      <c r="D2017" s="2" t="s">
        <v>23</v>
      </c>
      <c r="E2017" s="7" t="s">
        <v>2366</v>
      </c>
      <c r="F2017" s="7"/>
      <c r="G2017" s="2" t="s">
        <v>20</v>
      </c>
      <c r="H2017" s="2" t="s">
        <v>32</v>
      </c>
      <c r="I2017" s="5">
        <v>10103.74</v>
      </c>
      <c r="J2017" s="57">
        <v>0.03</v>
      </c>
      <c r="K2017" s="3">
        <v>120</v>
      </c>
      <c r="L2017" s="2" t="s">
        <v>64</v>
      </c>
      <c r="M2017" s="2" t="s">
        <v>12</v>
      </c>
      <c r="N2017" s="2" t="s">
        <v>12</v>
      </c>
      <c r="O2017" s="2" t="s">
        <v>12</v>
      </c>
      <c r="P2017" s="21" t="s">
        <v>12</v>
      </c>
      <c r="Q2017" s="3" t="s">
        <v>12</v>
      </c>
      <c r="R2017" s="3" t="s">
        <v>12</v>
      </c>
    </row>
    <row r="2018" spans="1:18" x14ac:dyDescent="0.25">
      <c r="A2018" s="30">
        <v>45974</v>
      </c>
      <c r="B2018" s="28">
        <v>2008</v>
      </c>
      <c r="C2018" s="28"/>
      <c r="D2018" s="2" t="s">
        <v>130</v>
      </c>
      <c r="E2018" s="7" t="s">
        <v>2367</v>
      </c>
      <c r="F2018" s="7"/>
      <c r="G2018" s="2" t="s">
        <v>26</v>
      </c>
      <c r="H2018" s="2" t="s">
        <v>2368</v>
      </c>
      <c r="I2018" s="5">
        <v>357764.17</v>
      </c>
      <c r="J2018" s="57">
        <v>7.0000000000000007E-2</v>
      </c>
      <c r="K2018" s="3">
        <v>3528</v>
      </c>
      <c r="L2018" s="2" t="s">
        <v>226</v>
      </c>
      <c r="M2018" s="2" t="s">
        <v>12</v>
      </c>
      <c r="N2018" s="2" t="s">
        <v>12</v>
      </c>
      <c r="O2018" s="2" t="s">
        <v>12</v>
      </c>
      <c r="P2018" s="21" t="s">
        <v>12</v>
      </c>
      <c r="Q2018" s="3" t="s">
        <v>1751</v>
      </c>
      <c r="R2018" s="3" t="s">
        <v>80</v>
      </c>
    </row>
    <row r="2019" spans="1:18" x14ac:dyDescent="0.25">
      <c r="A2019" s="30">
        <v>45974</v>
      </c>
      <c r="B2019" s="28">
        <v>2009</v>
      </c>
      <c r="C2019" s="28"/>
      <c r="D2019" s="2" t="s">
        <v>1183</v>
      </c>
      <c r="E2019" s="7" t="s">
        <v>12</v>
      </c>
      <c r="F2019" s="7"/>
      <c r="G2019" s="2" t="s">
        <v>13</v>
      </c>
      <c r="H2019" s="2" t="s">
        <v>1498</v>
      </c>
      <c r="I2019" s="5">
        <v>6325.92</v>
      </c>
      <c r="J2019" s="57">
        <v>0.04</v>
      </c>
      <c r="K2019" s="3">
        <v>96</v>
      </c>
      <c r="L2019" s="2" t="s">
        <v>226</v>
      </c>
      <c r="M2019" s="2" t="s">
        <v>12</v>
      </c>
      <c r="N2019" s="2" t="s">
        <v>12</v>
      </c>
      <c r="O2019" s="2" t="s">
        <v>12</v>
      </c>
      <c r="P2019" s="21" t="s">
        <v>12</v>
      </c>
      <c r="Q2019" s="3" t="s">
        <v>12</v>
      </c>
      <c r="R2019" s="3" t="s">
        <v>12</v>
      </c>
    </row>
    <row r="2020" spans="1:18" x14ac:dyDescent="0.25">
      <c r="A2020" s="30">
        <v>45978</v>
      </c>
      <c r="B2020" s="28">
        <v>2010</v>
      </c>
      <c r="C2020" s="28"/>
      <c r="D2020" s="2" t="s">
        <v>23</v>
      </c>
      <c r="E2020" s="7" t="s">
        <v>2416</v>
      </c>
      <c r="F2020" s="7"/>
      <c r="G2020" s="2" t="s">
        <v>20</v>
      </c>
      <c r="H2020" s="2" t="s">
        <v>24</v>
      </c>
      <c r="I2020" s="5">
        <v>47849.38</v>
      </c>
      <c r="J2020" s="57">
        <v>0.03</v>
      </c>
      <c r="K2020" s="3">
        <v>624</v>
      </c>
      <c r="L2020" s="2" t="s">
        <v>64</v>
      </c>
      <c r="M2020" s="2" t="s">
        <v>12</v>
      </c>
      <c r="N2020" s="2" t="s">
        <v>12</v>
      </c>
      <c r="O2020" s="2" t="s">
        <v>12</v>
      </c>
      <c r="P2020" s="21" t="s">
        <v>12</v>
      </c>
      <c r="Q2020" s="3" t="s">
        <v>12</v>
      </c>
      <c r="R2020" s="3" t="s">
        <v>12</v>
      </c>
    </row>
    <row r="2021" spans="1:18" x14ac:dyDescent="0.25">
      <c r="A2021" s="30">
        <v>45974</v>
      </c>
      <c r="B2021" s="28">
        <v>2011</v>
      </c>
      <c r="C2021" s="28" t="s">
        <v>2161</v>
      </c>
      <c r="D2021" s="2" t="s">
        <v>115</v>
      </c>
      <c r="E2021" s="7" t="s">
        <v>2369</v>
      </c>
      <c r="F2021" s="7"/>
      <c r="G2021" s="2" t="s">
        <v>20</v>
      </c>
      <c r="H2021" s="2" t="s">
        <v>116</v>
      </c>
      <c r="I2021" s="5">
        <v>26897.919999999998</v>
      </c>
      <c r="J2021" s="57">
        <v>0.05</v>
      </c>
      <c r="K2021" s="3">
        <v>312</v>
      </c>
      <c r="L2021" s="2" t="s">
        <v>64</v>
      </c>
      <c r="M2021" s="2" t="s">
        <v>12</v>
      </c>
      <c r="N2021" s="2" t="s">
        <v>12</v>
      </c>
      <c r="O2021" s="2" t="s">
        <v>12</v>
      </c>
      <c r="P2021" s="21" t="s">
        <v>12</v>
      </c>
      <c r="Q2021" s="3" t="s">
        <v>12</v>
      </c>
      <c r="R2021" s="3" t="s">
        <v>12</v>
      </c>
    </row>
    <row r="2022" spans="1:18" x14ac:dyDescent="0.25">
      <c r="A2022" s="30">
        <v>45975</v>
      </c>
      <c r="B2022" s="28">
        <v>2012</v>
      </c>
      <c r="C2022" s="28"/>
      <c r="D2022" s="2" t="s">
        <v>1523</v>
      </c>
      <c r="E2022" s="7" t="s">
        <v>2370</v>
      </c>
      <c r="F2022" s="7"/>
      <c r="G2022" s="2" t="s">
        <v>111</v>
      </c>
      <c r="H2022" s="2" t="s">
        <v>1168</v>
      </c>
      <c r="I2022" s="5">
        <v>137820.88</v>
      </c>
      <c r="J2022" s="57">
        <v>7.0000000000000007E-2</v>
      </c>
      <c r="K2022" s="3">
        <v>1296</v>
      </c>
      <c r="L2022" s="2" t="s">
        <v>226</v>
      </c>
      <c r="M2022" s="2" t="s">
        <v>12</v>
      </c>
      <c r="N2022" s="2" t="s">
        <v>12</v>
      </c>
      <c r="O2022" s="2" t="s">
        <v>12</v>
      </c>
      <c r="P2022" s="21" t="s">
        <v>12</v>
      </c>
      <c r="Q2022" s="3" t="s">
        <v>906</v>
      </c>
      <c r="R2022" s="3" t="s">
        <v>2411</v>
      </c>
    </row>
    <row r="2023" spans="1:18" x14ac:dyDescent="0.25">
      <c r="A2023" s="30">
        <v>45980</v>
      </c>
      <c r="B2023" s="28">
        <v>2013</v>
      </c>
      <c r="C2023" s="28"/>
      <c r="D2023" s="2" t="s">
        <v>23</v>
      </c>
      <c r="E2023" s="7" t="s">
        <v>2371</v>
      </c>
      <c r="F2023" s="7"/>
      <c r="G2023" s="2" t="s">
        <v>20</v>
      </c>
      <c r="H2023" s="2" t="s">
        <v>24</v>
      </c>
      <c r="I2023" s="5">
        <v>65335.68</v>
      </c>
      <c r="J2023" s="57">
        <v>0.03</v>
      </c>
      <c r="K2023" s="3">
        <v>1032</v>
      </c>
      <c r="L2023" s="2" t="s">
        <v>64</v>
      </c>
      <c r="M2023" s="2" t="s">
        <v>12</v>
      </c>
      <c r="N2023" s="2" t="s">
        <v>12</v>
      </c>
      <c r="O2023" s="2" t="s">
        <v>12</v>
      </c>
      <c r="P2023" s="21" t="s">
        <v>12</v>
      </c>
      <c r="Q2023" s="3" t="s">
        <v>12</v>
      </c>
      <c r="R2023" s="3" t="s">
        <v>12</v>
      </c>
    </row>
    <row r="2024" spans="1:18" x14ac:dyDescent="0.25">
      <c r="A2024" s="30">
        <v>46037</v>
      </c>
      <c r="B2024" s="28">
        <v>2014</v>
      </c>
      <c r="C2024" s="28"/>
      <c r="D2024" s="2" t="s">
        <v>1484</v>
      </c>
      <c r="E2024" s="7" t="s">
        <v>2372</v>
      </c>
      <c r="F2024" s="7"/>
      <c r="G2024" s="2" t="s">
        <v>20</v>
      </c>
      <c r="H2024" s="2" t="s">
        <v>827</v>
      </c>
      <c r="I2024" s="5">
        <v>12281.46</v>
      </c>
      <c r="J2024" s="57">
        <v>0.03</v>
      </c>
      <c r="K2024" s="3">
        <v>192</v>
      </c>
      <c r="L2024" s="2" t="s">
        <v>134</v>
      </c>
      <c r="M2024" s="2" t="s">
        <v>1363</v>
      </c>
      <c r="N2024" s="2" t="s">
        <v>373</v>
      </c>
      <c r="O2024" s="2" t="s">
        <v>12</v>
      </c>
      <c r="P2024" s="21" t="s">
        <v>12</v>
      </c>
      <c r="Q2024" s="3" t="s">
        <v>12</v>
      </c>
      <c r="R2024" s="3" t="s">
        <v>12</v>
      </c>
    </row>
    <row r="2025" spans="1:18" x14ac:dyDescent="0.25">
      <c r="A2025" s="30">
        <v>45975</v>
      </c>
      <c r="B2025" s="28">
        <v>2015</v>
      </c>
      <c r="C2025" s="28"/>
      <c r="D2025" s="2" t="s">
        <v>2373</v>
      </c>
      <c r="E2025" s="7" t="s">
        <v>2374</v>
      </c>
      <c r="F2025" s="7"/>
      <c r="G2025" s="2" t="s">
        <v>13</v>
      </c>
      <c r="H2025" s="2" t="s">
        <v>1454</v>
      </c>
      <c r="I2025" s="5">
        <v>524755.91</v>
      </c>
      <c r="J2025" s="57">
        <v>7.0000000000000007E-2</v>
      </c>
      <c r="K2025" s="3">
        <v>5055.6000000000004</v>
      </c>
      <c r="L2025" s="2" t="s">
        <v>226</v>
      </c>
      <c r="M2025" s="2" t="s">
        <v>12</v>
      </c>
      <c r="N2025" s="2" t="s">
        <v>12</v>
      </c>
      <c r="O2025" s="2" t="s">
        <v>12</v>
      </c>
      <c r="P2025" s="21" t="s">
        <v>12</v>
      </c>
      <c r="Q2025" s="3" t="s">
        <v>124</v>
      </c>
      <c r="R2025" s="3" t="s">
        <v>2412</v>
      </c>
    </row>
    <row r="2026" spans="1:18" x14ac:dyDescent="0.25">
      <c r="A2026" s="30">
        <v>45975</v>
      </c>
      <c r="B2026" s="28">
        <v>2016</v>
      </c>
      <c r="C2026" s="28"/>
      <c r="D2026" s="2" t="s">
        <v>208</v>
      </c>
      <c r="E2026" s="7" t="s">
        <v>2347</v>
      </c>
      <c r="F2026" s="7"/>
      <c r="G2026" s="2" t="s">
        <v>43</v>
      </c>
      <c r="H2026" s="2" t="s">
        <v>448</v>
      </c>
      <c r="I2026" s="5">
        <v>65130.5</v>
      </c>
      <c r="J2026" s="57">
        <v>7.0000000000000007E-2</v>
      </c>
      <c r="K2026" s="3">
        <v>672</v>
      </c>
      <c r="L2026" s="2" t="s">
        <v>226</v>
      </c>
      <c r="M2026" s="2" t="s">
        <v>12</v>
      </c>
      <c r="N2026" s="2" t="s">
        <v>12</v>
      </c>
      <c r="O2026" s="2" t="s">
        <v>12</v>
      </c>
      <c r="P2026" s="21" t="s">
        <v>12</v>
      </c>
      <c r="Q2026" s="3" t="s">
        <v>2365</v>
      </c>
      <c r="R2026" s="3" t="s">
        <v>80</v>
      </c>
    </row>
    <row r="2027" spans="1:18" x14ac:dyDescent="0.25">
      <c r="A2027" s="30">
        <v>45978</v>
      </c>
      <c r="B2027" s="28">
        <v>2017</v>
      </c>
      <c r="C2027" s="28"/>
      <c r="D2027" s="2" t="s">
        <v>1609</v>
      </c>
      <c r="E2027" s="7" t="s">
        <v>2375</v>
      </c>
      <c r="F2027" s="7"/>
      <c r="G2027" s="2" t="s">
        <v>43</v>
      </c>
      <c r="H2027" s="2" t="s">
        <v>448</v>
      </c>
      <c r="I2027" s="5">
        <v>28627.27</v>
      </c>
      <c r="J2027" s="57">
        <v>7.0000000000000007E-2</v>
      </c>
      <c r="K2027" s="3">
        <v>336</v>
      </c>
      <c r="L2027" s="2" t="s">
        <v>226</v>
      </c>
      <c r="M2027" s="2" t="s">
        <v>12</v>
      </c>
      <c r="N2027" s="2" t="s">
        <v>12</v>
      </c>
      <c r="O2027" s="2" t="s">
        <v>12</v>
      </c>
      <c r="P2027" s="21" t="s">
        <v>12</v>
      </c>
      <c r="Q2027" s="3" t="s">
        <v>75</v>
      </c>
      <c r="R2027" s="3" t="s">
        <v>75</v>
      </c>
    </row>
    <row r="2028" spans="1:18" x14ac:dyDescent="0.25">
      <c r="A2028" s="30">
        <v>45978</v>
      </c>
      <c r="B2028" s="28">
        <v>2018</v>
      </c>
      <c r="C2028" s="28"/>
      <c r="D2028" s="2" t="s">
        <v>109</v>
      </c>
      <c r="E2028" s="7" t="s">
        <v>2376</v>
      </c>
      <c r="F2028" s="7"/>
      <c r="G2028" s="2" t="s">
        <v>111</v>
      </c>
      <c r="H2028" s="2" t="s">
        <v>454</v>
      </c>
      <c r="I2028" s="5">
        <v>14725.65</v>
      </c>
      <c r="J2028" s="57">
        <v>7.0000000000000007E-2</v>
      </c>
      <c r="K2028" s="3">
        <v>168</v>
      </c>
      <c r="L2028" s="2" t="s">
        <v>226</v>
      </c>
      <c r="M2028" s="2" t="s">
        <v>12</v>
      </c>
      <c r="N2028" s="2" t="s">
        <v>12</v>
      </c>
      <c r="O2028" s="2" t="s">
        <v>12</v>
      </c>
      <c r="P2028" s="21" t="s">
        <v>12</v>
      </c>
      <c r="Q2028" s="3" t="s">
        <v>12</v>
      </c>
      <c r="R2028" s="3" t="s">
        <v>12</v>
      </c>
    </row>
    <row r="2029" spans="1:18" x14ac:dyDescent="0.25">
      <c r="A2029" s="30">
        <v>45978</v>
      </c>
      <c r="B2029" s="28">
        <v>2019</v>
      </c>
      <c r="C2029" s="28"/>
      <c r="D2029" s="2" t="s">
        <v>41</v>
      </c>
      <c r="E2029" s="7" t="s">
        <v>2354</v>
      </c>
      <c r="F2029" s="7"/>
      <c r="G2029" s="2" t="s">
        <v>43</v>
      </c>
      <c r="H2029" s="2" t="s">
        <v>417</v>
      </c>
      <c r="I2029" s="5">
        <v>249840.37</v>
      </c>
      <c r="J2029" s="57">
        <v>7.0000000000000007E-2</v>
      </c>
      <c r="K2029" s="3">
        <v>2546.4</v>
      </c>
      <c r="L2029" s="2" t="s">
        <v>226</v>
      </c>
      <c r="M2029" s="2" t="s">
        <v>12</v>
      </c>
      <c r="N2029" s="2" t="s">
        <v>12</v>
      </c>
      <c r="O2029" s="2" t="s">
        <v>12</v>
      </c>
      <c r="P2029" s="21" t="s">
        <v>12</v>
      </c>
      <c r="Q2029" s="3" t="s">
        <v>78</v>
      </c>
      <c r="R2029" s="3" t="s">
        <v>80</v>
      </c>
    </row>
    <row r="2030" spans="1:18" x14ac:dyDescent="0.25">
      <c r="A2030" s="30">
        <v>45978</v>
      </c>
      <c r="B2030" s="28">
        <v>2020</v>
      </c>
      <c r="C2030" s="28"/>
      <c r="D2030" s="2" t="s">
        <v>41</v>
      </c>
      <c r="E2030" s="7" t="s">
        <v>2355</v>
      </c>
      <c r="F2030" s="7"/>
      <c r="G2030" s="2" t="s">
        <v>43</v>
      </c>
      <c r="H2030" s="2" t="s">
        <v>417</v>
      </c>
      <c r="I2030" s="5">
        <v>222086</v>
      </c>
      <c r="J2030" s="57">
        <v>7.0000000000000007E-2</v>
      </c>
      <c r="K2030" s="3">
        <v>2210.4</v>
      </c>
      <c r="L2030" s="2" t="s">
        <v>226</v>
      </c>
      <c r="M2030" s="2" t="s">
        <v>12</v>
      </c>
      <c r="N2030" s="2" t="s">
        <v>12</v>
      </c>
      <c r="O2030" s="2" t="s">
        <v>12</v>
      </c>
      <c r="P2030" s="21" t="s">
        <v>12</v>
      </c>
      <c r="Q2030" s="3" t="s">
        <v>78</v>
      </c>
      <c r="R2030" s="3" t="s">
        <v>80</v>
      </c>
    </row>
    <row r="2031" spans="1:18" x14ac:dyDescent="0.25">
      <c r="A2031" s="30">
        <v>45987</v>
      </c>
      <c r="B2031" s="28">
        <v>2021</v>
      </c>
      <c r="C2031" s="28" t="s">
        <v>2162</v>
      </c>
      <c r="D2031" s="2" t="s">
        <v>87</v>
      </c>
      <c r="E2031" s="7" t="s">
        <v>2377</v>
      </c>
      <c r="F2031" s="7"/>
      <c r="G2031" s="2" t="s">
        <v>13</v>
      </c>
      <c r="H2031" s="2" t="s">
        <v>89</v>
      </c>
      <c r="I2031" s="5">
        <v>123008.05</v>
      </c>
      <c r="J2031" s="57">
        <v>0.04</v>
      </c>
      <c r="K2031" s="3">
        <v>1908</v>
      </c>
      <c r="L2031" s="2" t="s">
        <v>226</v>
      </c>
      <c r="M2031" s="2" t="s">
        <v>12</v>
      </c>
      <c r="N2031" s="2" t="s">
        <v>12</v>
      </c>
      <c r="O2031" s="2" t="s">
        <v>12</v>
      </c>
      <c r="P2031" s="21" t="s">
        <v>12</v>
      </c>
      <c r="Q2031" s="3" t="s">
        <v>87</v>
      </c>
      <c r="R2031" s="3" t="s">
        <v>80</v>
      </c>
    </row>
    <row r="2032" spans="1:18" x14ac:dyDescent="0.25">
      <c r="A2032" s="30">
        <v>45978</v>
      </c>
      <c r="B2032" s="28">
        <v>2022</v>
      </c>
      <c r="C2032" s="28"/>
      <c r="D2032" s="2" t="s">
        <v>103</v>
      </c>
      <c r="E2032" s="7" t="s">
        <v>12</v>
      </c>
      <c r="F2032" s="7"/>
      <c r="G2032" s="2" t="s">
        <v>13</v>
      </c>
      <c r="H2032" s="2" t="s">
        <v>491</v>
      </c>
      <c r="I2032" s="5">
        <v>304.7</v>
      </c>
      <c r="J2032" s="57">
        <v>7.0000000000000007E-2</v>
      </c>
      <c r="K2032" s="3" t="s">
        <v>12</v>
      </c>
      <c r="L2032" s="2" t="s">
        <v>226</v>
      </c>
      <c r="M2032" s="2" t="s">
        <v>12</v>
      </c>
      <c r="N2032" s="2" t="s">
        <v>12</v>
      </c>
      <c r="O2032" s="2" t="s">
        <v>12</v>
      </c>
      <c r="P2032" s="21" t="s">
        <v>12</v>
      </c>
      <c r="Q2032" s="3" t="s">
        <v>12</v>
      </c>
      <c r="R2032" s="3" t="s">
        <v>12</v>
      </c>
    </row>
    <row r="2033" spans="1:18" x14ac:dyDescent="0.25">
      <c r="A2033" s="30">
        <v>45978</v>
      </c>
      <c r="B2033" s="28">
        <v>2023</v>
      </c>
      <c r="C2033" s="28"/>
      <c r="D2033" s="2" t="s">
        <v>2378</v>
      </c>
      <c r="E2033" s="7" t="s">
        <v>2379</v>
      </c>
      <c r="F2033" s="7"/>
      <c r="G2033" s="2" t="s">
        <v>26</v>
      </c>
      <c r="H2033" s="2" t="s">
        <v>427</v>
      </c>
      <c r="I2033" s="5">
        <v>42123.34</v>
      </c>
      <c r="J2033" s="57">
        <v>7.0000000000000007E-2</v>
      </c>
      <c r="K2033" s="3">
        <v>480</v>
      </c>
      <c r="L2033" s="2" t="s">
        <v>226</v>
      </c>
      <c r="M2033" s="2" t="s">
        <v>12</v>
      </c>
      <c r="N2033" s="2" t="s">
        <v>12</v>
      </c>
      <c r="O2033" s="2" t="s">
        <v>12</v>
      </c>
      <c r="P2033" s="21" t="s">
        <v>12</v>
      </c>
      <c r="Q2033" s="3" t="s">
        <v>12</v>
      </c>
      <c r="R2033" s="3" t="s">
        <v>12</v>
      </c>
    </row>
    <row r="2034" spans="1:18" x14ac:dyDescent="0.25">
      <c r="A2034" s="30">
        <v>45980</v>
      </c>
      <c r="B2034" s="28">
        <v>2024</v>
      </c>
      <c r="C2034" s="28" t="s">
        <v>2161</v>
      </c>
      <c r="D2034" s="2" t="s">
        <v>215</v>
      </c>
      <c r="E2034" s="7" t="s">
        <v>2380</v>
      </c>
      <c r="F2034" s="7"/>
      <c r="G2034" s="2" t="s">
        <v>26</v>
      </c>
      <c r="H2034" s="2" t="s">
        <v>2346</v>
      </c>
      <c r="I2034" s="5">
        <v>183224.65</v>
      </c>
      <c r="J2034" s="57">
        <v>0.04</v>
      </c>
      <c r="K2034" s="3">
        <v>2362.8000000000002</v>
      </c>
      <c r="L2034" s="2" t="s">
        <v>64</v>
      </c>
      <c r="M2034" s="2" t="s">
        <v>2578</v>
      </c>
      <c r="N2034" s="2" t="s">
        <v>12</v>
      </c>
      <c r="O2034" s="2" t="s">
        <v>12</v>
      </c>
      <c r="P2034" s="21" t="s">
        <v>12</v>
      </c>
      <c r="Q2034" s="3" t="s">
        <v>12</v>
      </c>
      <c r="R2034" s="3" t="s">
        <v>12</v>
      </c>
    </row>
    <row r="2035" spans="1:18" x14ac:dyDescent="0.25">
      <c r="A2035" s="30">
        <v>45987</v>
      </c>
      <c r="B2035" s="28">
        <v>2025</v>
      </c>
      <c r="C2035" s="28" t="s">
        <v>2161</v>
      </c>
      <c r="D2035" s="2" t="s">
        <v>87</v>
      </c>
      <c r="E2035" s="7" t="s">
        <v>2381</v>
      </c>
      <c r="F2035" s="7"/>
      <c r="G2035" s="2" t="s">
        <v>13</v>
      </c>
      <c r="H2035" s="2" t="s">
        <v>185</v>
      </c>
      <c r="I2035" s="5">
        <v>116457.49</v>
      </c>
      <c r="J2035" s="57">
        <v>0.04</v>
      </c>
      <c r="K2035" s="3">
        <v>1728</v>
      </c>
      <c r="L2035" s="2" t="s">
        <v>64</v>
      </c>
      <c r="M2035" s="2" t="s">
        <v>12</v>
      </c>
      <c r="N2035" s="2" t="s">
        <v>12</v>
      </c>
      <c r="O2035" s="2" t="s">
        <v>12</v>
      </c>
      <c r="P2035" s="21" t="s">
        <v>12</v>
      </c>
      <c r="Q2035" s="3" t="s">
        <v>87</v>
      </c>
      <c r="R2035" s="3" t="s">
        <v>80</v>
      </c>
    </row>
    <row r="2036" spans="1:18" x14ac:dyDescent="0.25">
      <c r="A2036" s="30">
        <v>45979</v>
      </c>
      <c r="B2036" s="28">
        <v>2026</v>
      </c>
      <c r="C2036" s="28" t="s">
        <v>2162</v>
      </c>
      <c r="D2036" s="2" t="s">
        <v>165</v>
      </c>
      <c r="E2036" s="7" t="s">
        <v>2382</v>
      </c>
      <c r="F2036" s="7"/>
      <c r="G2036" s="2" t="s">
        <v>97</v>
      </c>
      <c r="H2036" s="2" t="s">
        <v>167</v>
      </c>
      <c r="I2036" s="5">
        <v>610945.23</v>
      </c>
      <c r="J2036" s="57">
        <v>0.03</v>
      </c>
      <c r="K2036" s="3">
        <v>7200</v>
      </c>
      <c r="L2036" s="2" t="s">
        <v>64</v>
      </c>
      <c r="M2036" s="2" t="s">
        <v>12</v>
      </c>
      <c r="N2036" s="2" t="s">
        <v>12</v>
      </c>
      <c r="O2036" s="2" t="s">
        <v>12</v>
      </c>
      <c r="P2036" s="21" t="s">
        <v>12</v>
      </c>
      <c r="Q2036" s="3" t="s">
        <v>12</v>
      </c>
      <c r="R2036" s="3" t="s">
        <v>12</v>
      </c>
    </row>
    <row r="2037" spans="1:18" x14ac:dyDescent="0.25">
      <c r="A2037" s="30">
        <v>45979</v>
      </c>
      <c r="B2037" s="28">
        <v>2027</v>
      </c>
      <c r="C2037" s="28"/>
      <c r="D2037" s="2" t="s">
        <v>558</v>
      </c>
      <c r="E2037" s="7" t="s">
        <v>2488</v>
      </c>
      <c r="F2037" s="7"/>
      <c r="G2037" s="2" t="s">
        <v>20</v>
      </c>
      <c r="H2037" s="2" t="s">
        <v>532</v>
      </c>
      <c r="I2037" s="5">
        <v>24690.75</v>
      </c>
      <c r="J2037" s="57">
        <v>7.0000000000000007E-2</v>
      </c>
      <c r="K2037" s="3">
        <v>240</v>
      </c>
      <c r="L2037" s="2" t="s">
        <v>226</v>
      </c>
      <c r="M2037" s="2" t="s">
        <v>12</v>
      </c>
      <c r="N2037" s="2" t="s">
        <v>12</v>
      </c>
      <c r="O2037" s="2" t="s">
        <v>12</v>
      </c>
      <c r="P2037" s="21" t="s">
        <v>12</v>
      </c>
      <c r="Q2037" s="3" t="s">
        <v>12</v>
      </c>
      <c r="R2037" s="3" t="s">
        <v>12</v>
      </c>
    </row>
    <row r="2038" spans="1:18" x14ac:dyDescent="0.25">
      <c r="A2038" s="30">
        <v>45979</v>
      </c>
      <c r="B2038" s="28">
        <v>2028</v>
      </c>
      <c r="C2038" s="28"/>
      <c r="D2038" s="2" t="s">
        <v>2383</v>
      </c>
      <c r="E2038" s="7" t="s">
        <v>2384</v>
      </c>
      <c r="F2038" s="7"/>
      <c r="G2038" s="2" t="s">
        <v>13</v>
      </c>
      <c r="H2038" s="2" t="s">
        <v>2385</v>
      </c>
      <c r="I2038" s="5">
        <v>54294.87</v>
      </c>
      <c r="J2038" s="57">
        <v>7.0000000000000007E-2</v>
      </c>
      <c r="K2038" s="3">
        <v>528</v>
      </c>
      <c r="L2038" s="2" t="s">
        <v>226</v>
      </c>
      <c r="M2038" s="2" t="s">
        <v>12</v>
      </c>
      <c r="N2038" s="2" t="s">
        <v>12</v>
      </c>
      <c r="O2038" s="2" t="s">
        <v>12</v>
      </c>
      <c r="P2038" s="21" t="s">
        <v>12</v>
      </c>
      <c r="Q2038" s="3" t="s">
        <v>2383</v>
      </c>
      <c r="R2038" s="3" t="s">
        <v>80</v>
      </c>
    </row>
    <row r="2039" spans="1:18" x14ac:dyDescent="0.25">
      <c r="A2039" s="30">
        <v>45979</v>
      </c>
      <c r="B2039" s="28">
        <v>2029</v>
      </c>
      <c r="C2039" s="28"/>
      <c r="D2039" s="2" t="s">
        <v>825</v>
      </c>
      <c r="E2039" s="7" t="s">
        <v>12</v>
      </c>
      <c r="F2039" s="7"/>
      <c r="G2039" s="2" t="s">
        <v>111</v>
      </c>
      <c r="H2039" s="2" t="s">
        <v>827</v>
      </c>
      <c r="I2039" s="5">
        <v>3618.29</v>
      </c>
      <c r="J2039" s="57">
        <v>7.0000000000000007E-2</v>
      </c>
      <c r="K2039" s="3">
        <v>48</v>
      </c>
      <c r="L2039" s="2" t="s">
        <v>64</v>
      </c>
      <c r="M2039" s="2" t="s">
        <v>12</v>
      </c>
      <c r="N2039" s="2" t="s">
        <v>12</v>
      </c>
      <c r="O2039" s="2" t="s">
        <v>12</v>
      </c>
      <c r="P2039" s="21" t="s">
        <v>12</v>
      </c>
      <c r="Q2039" s="3" t="s">
        <v>12</v>
      </c>
      <c r="R2039" s="3" t="s">
        <v>12</v>
      </c>
    </row>
    <row r="2040" spans="1:18" x14ac:dyDescent="0.25">
      <c r="A2040" s="30">
        <v>45979</v>
      </c>
      <c r="B2040" s="28">
        <v>2030</v>
      </c>
      <c r="C2040" s="28"/>
      <c r="D2040" s="2" t="s">
        <v>2386</v>
      </c>
      <c r="E2040" s="7" t="s">
        <v>12</v>
      </c>
      <c r="F2040" s="7"/>
      <c r="G2040" s="2" t="s">
        <v>13</v>
      </c>
      <c r="H2040" s="2"/>
      <c r="I2040" s="5">
        <v>158329.13</v>
      </c>
      <c r="J2040" s="57">
        <v>0.04</v>
      </c>
      <c r="K2040" s="3">
        <v>1752</v>
      </c>
      <c r="L2040" s="2" t="s">
        <v>226</v>
      </c>
      <c r="M2040" s="2" t="s">
        <v>12</v>
      </c>
      <c r="N2040" s="2" t="s">
        <v>12</v>
      </c>
      <c r="O2040" s="2" t="s">
        <v>12</v>
      </c>
      <c r="P2040" s="21" t="s">
        <v>12</v>
      </c>
      <c r="Q2040" s="3" t="s">
        <v>12</v>
      </c>
      <c r="R2040" s="3" t="s">
        <v>12</v>
      </c>
    </row>
    <row r="2041" spans="1:18" x14ac:dyDescent="0.25">
      <c r="A2041" s="30">
        <v>45979</v>
      </c>
      <c r="B2041" s="28">
        <v>2031</v>
      </c>
      <c r="C2041" s="28"/>
      <c r="D2041" s="2" t="s">
        <v>1206</v>
      </c>
      <c r="E2041" s="7" t="s">
        <v>12</v>
      </c>
      <c r="F2041" s="7"/>
      <c r="G2041" s="2" t="s">
        <v>26</v>
      </c>
      <c r="H2041" s="2" t="s">
        <v>432</v>
      </c>
      <c r="I2041" s="5">
        <v>497</v>
      </c>
      <c r="J2041" s="57">
        <v>7.0000000000000007E-2</v>
      </c>
      <c r="K2041" s="3" t="s">
        <v>12</v>
      </c>
      <c r="L2041" s="2" t="s">
        <v>226</v>
      </c>
      <c r="M2041" s="2" t="s">
        <v>12</v>
      </c>
      <c r="N2041" s="2" t="s">
        <v>12</v>
      </c>
      <c r="O2041" s="2" t="s">
        <v>12</v>
      </c>
      <c r="P2041" s="21" t="s">
        <v>12</v>
      </c>
      <c r="Q2041" s="3" t="s">
        <v>12</v>
      </c>
      <c r="R2041" s="3" t="s">
        <v>12</v>
      </c>
    </row>
    <row r="2042" spans="1:18" x14ac:dyDescent="0.25">
      <c r="A2042" s="30">
        <v>45980</v>
      </c>
      <c r="B2042" s="28">
        <v>2032</v>
      </c>
      <c r="C2042" s="28"/>
      <c r="D2042" s="2" t="s">
        <v>1596</v>
      </c>
      <c r="E2042" s="7" t="s">
        <v>12</v>
      </c>
      <c r="F2042" s="7"/>
      <c r="G2042" s="2" t="s">
        <v>43</v>
      </c>
      <c r="H2042" s="2" t="s">
        <v>751</v>
      </c>
      <c r="I2042" s="5">
        <v>33331.69</v>
      </c>
      <c r="J2042" s="57">
        <v>0.05</v>
      </c>
      <c r="K2042" s="3">
        <v>360</v>
      </c>
      <c r="L2042" s="2" t="s">
        <v>64</v>
      </c>
      <c r="M2042" s="2" t="s">
        <v>12</v>
      </c>
      <c r="N2042" s="2" t="s">
        <v>12</v>
      </c>
      <c r="O2042" s="2" t="s">
        <v>12</v>
      </c>
      <c r="P2042" s="21" t="s">
        <v>12</v>
      </c>
      <c r="Q2042" s="3" t="s">
        <v>12</v>
      </c>
      <c r="R2042" s="3" t="s">
        <v>12</v>
      </c>
    </row>
    <row r="2043" spans="1:18" x14ac:dyDescent="0.25">
      <c r="A2043" s="30">
        <v>45979</v>
      </c>
      <c r="B2043" s="28">
        <v>2033</v>
      </c>
      <c r="C2043" s="28"/>
      <c r="D2043" s="2" t="s">
        <v>363</v>
      </c>
      <c r="E2043" s="7" t="s">
        <v>12</v>
      </c>
      <c r="F2043" s="7"/>
      <c r="G2043" s="2" t="s">
        <v>13</v>
      </c>
      <c r="H2043" s="2" t="s">
        <v>98</v>
      </c>
      <c r="I2043" s="5">
        <v>40887</v>
      </c>
      <c r="J2043" s="57">
        <v>7.0000000000000007E-2</v>
      </c>
      <c r="K2043" s="3">
        <v>720</v>
      </c>
      <c r="L2043" s="2" t="s">
        <v>64</v>
      </c>
      <c r="M2043" s="2" t="s">
        <v>12</v>
      </c>
      <c r="N2043" s="2" t="s">
        <v>12</v>
      </c>
      <c r="O2043" s="2" t="s">
        <v>12</v>
      </c>
      <c r="P2043" s="21" t="s">
        <v>12</v>
      </c>
      <c r="Q2043" s="3" t="s">
        <v>12</v>
      </c>
      <c r="R2043" s="3" t="s">
        <v>12</v>
      </c>
    </row>
    <row r="2044" spans="1:18" x14ac:dyDescent="0.25">
      <c r="A2044" s="30">
        <v>45979</v>
      </c>
      <c r="B2044" s="28">
        <v>2034</v>
      </c>
      <c r="C2044" s="28"/>
      <c r="D2044" s="2" t="s">
        <v>70</v>
      </c>
      <c r="E2044" s="7" t="s">
        <v>2387</v>
      </c>
      <c r="F2044" s="7"/>
      <c r="G2044" s="2" t="s">
        <v>13</v>
      </c>
      <c r="H2044" s="2" t="s">
        <v>72</v>
      </c>
      <c r="I2044" s="5">
        <v>95000</v>
      </c>
      <c r="J2044" s="57">
        <v>0.04</v>
      </c>
      <c r="K2044" s="3">
        <v>1728</v>
      </c>
      <c r="L2044" s="2" t="s">
        <v>64</v>
      </c>
      <c r="M2044" s="2" t="s">
        <v>12</v>
      </c>
      <c r="N2044" s="2" t="s">
        <v>12</v>
      </c>
      <c r="O2044" s="2" t="s">
        <v>12</v>
      </c>
      <c r="P2044" s="21" t="s">
        <v>12</v>
      </c>
      <c r="Q2044" s="3" t="s">
        <v>12</v>
      </c>
      <c r="R2044" s="3" t="s">
        <v>12</v>
      </c>
    </row>
    <row r="2045" spans="1:18" x14ac:dyDescent="0.25">
      <c r="A2045" s="30">
        <v>45980</v>
      </c>
      <c r="B2045" s="28">
        <v>2035</v>
      </c>
      <c r="C2045" s="28"/>
      <c r="D2045" s="2" t="s">
        <v>2388</v>
      </c>
      <c r="E2045" s="7" t="s">
        <v>12</v>
      </c>
      <c r="F2045" s="7"/>
      <c r="G2045" s="2" t="s">
        <v>13</v>
      </c>
      <c r="H2045" s="2" t="s">
        <v>12</v>
      </c>
      <c r="I2045" s="5">
        <v>930.3</v>
      </c>
      <c r="J2045" s="57">
        <v>7.0000000000000007E-2</v>
      </c>
      <c r="K2045" s="3">
        <v>9.6</v>
      </c>
      <c r="L2045" s="2" t="s">
        <v>64</v>
      </c>
      <c r="M2045" s="2" t="s">
        <v>12</v>
      </c>
      <c r="N2045" s="2" t="s">
        <v>12</v>
      </c>
      <c r="O2045" s="2" t="s">
        <v>12</v>
      </c>
      <c r="P2045" s="21" t="s">
        <v>12</v>
      </c>
      <c r="Q2045" s="3" t="s">
        <v>12</v>
      </c>
      <c r="R2045" s="3" t="s">
        <v>12</v>
      </c>
    </row>
    <row r="2046" spans="1:18" x14ac:dyDescent="0.25">
      <c r="A2046" s="30">
        <v>45980</v>
      </c>
      <c r="B2046" s="28">
        <v>2036</v>
      </c>
      <c r="C2046" s="28"/>
      <c r="D2046" s="2" t="s">
        <v>276</v>
      </c>
      <c r="E2046" s="7" t="s">
        <v>2389</v>
      </c>
      <c r="F2046" s="7"/>
      <c r="G2046" s="2" t="s">
        <v>43</v>
      </c>
      <c r="H2046" s="2" t="s">
        <v>108</v>
      </c>
      <c r="I2046" s="5">
        <v>48075.24</v>
      </c>
      <c r="J2046" s="57">
        <v>7.0000000000000007E-2</v>
      </c>
      <c r="K2046" s="3">
        <v>408</v>
      </c>
      <c r="L2046" s="2" t="s">
        <v>226</v>
      </c>
      <c r="M2046" s="2" t="s">
        <v>12</v>
      </c>
      <c r="N2046" s="2" t="s">
        <v>12</v>
      </c>
      <c r="O2046" s="2" t="s">
        <v>12</v>
      </c>
      <c r="P2046" s="21" t="s">
        <v>12</v>
      </c>
      <c r="Q2046" s="3" t="s">
        <v>2413</v>
      </c>
      <c r="R2046" s="3" t="s">
        <v>75</v>
      </c>
    </row>
    <row r="2047" spans="1:18" x14ac:dyDescent="0.25">
      <c r="A2047" s="30">
        <v>45980</v>
      </c>
      <c r="B2047" s="28">
        <v>2037</v>
      </c>
      <c r="C2047" s="28"/>
      <c r="D2047" s="2" t="s">
        <v>338</v>
      </c>
      <c r="E2047" s="7" t="s">
        <v>2390</v>
      </c>
      <c r="F2047" s="7"/>
      <c r="G2047" s="2" t="s">
        <v>97</v>
      </c>
      <c r="H2047" s="2" t="s">
        <v>339</v>
      </c>
      <c r="I2047" s="5">
        <v>33768.17</v>
      </c>
      <c r="J2047" s="57">
        <v>7.0000000000000007E-2</v>
      </c>
      <c r="K2047" s="3">
        <v>336</v>
      </c>
      <c r="L2047" s="2" t="s">
        <v>226</v>
      </c>
      <c r="M2047" s="2" t="s">
        <v>12</v>
      </c>
      <c r="N2047" s="2" t="s">
        <v>12</v>
      </c>
      <c r="O2047" s="2" t="s">
        <v>12</v>
      </c>
      <c r="P2047" s="21" t="s">
        <v>12</v>
      </c>
      <c r="Q2047" s="3" t="s">
        <v>286</v>
      </c>
      <c r="R2047" s="3" t="s">
        <v>80</v>
      </c>
    </row>
    <row r="2048" spans="1:18" x14ac:dyDescent="0.25">
      <c r="A2048" s="30">
        <v>45980</v>
      </c>
      <c r="B2048" s="28">
        <v>2038</v>
      </c>
      <c r="C2048" s="28"/>
      <c r="D2048" s="2" t="s">
        <v>2391</v>
      </c>
      <c r="E2048" s="7" t="s">
        <v>12</v>
      </c>
      <c r="F2048" s="7"/>
      <c r="G2048" s="2" t="s">
        <v>13</v>
      </c>
      <c r="H2048" s="2" t="s">
        <v>1153</v>
      </c>
      <c r="I2048" s="5">
        <v>5440.87</v>
      </c>
      <c r="J2048" s="57">
        <v>7.0000000000000007E-2</v>
      </c>
      <c r="K2048" s="3">
        <v>24</v>
      </c>
      <c r="L2048" s="2" t="s">
        <v>226</v>
      </c>
      <c r="M2048" s="2" t="s">
        <v>12</v>
      </c>
      <c r="N2048" s="2" t="s">
        <v>12</v>
      </c>
      <c r="O2048" s="2" t="s">
        <v>12</v>
      </c>
      <c r="P2048" s="21" t="s">
        <v>12</v>
      </c>
      <c r="Q2048" s="3" t="s">
        <v>12</v>
      </c>
      <c r="R2048" s="3" t="s">
        <v>12</v>
      </c>
    </row>
    <row r="2049" spans="1:18" x14ac:dyDescent="0.25">
      <c r="A2049" s="30">
        <v>45980</v>
      </c>
      <c r="B2049" s="28">
        <v>2039</v>
      </c>
      <c r="C2049" s="28"/>
      <c r="D2049" s="2" t="s">
        <v>2392</v>
      </c>
      <c r="E2049" s="7" t="s">
        <v>12</v>
      </c>
      <c r="F2049" s="7"/>
      <c r="G2049" s="2" t="s">
        <v>13</v>
      </c>
      <c r="H2049" s="2" t="s">
        <v>129</v>
      </c>
      <c r="I2049" s="5">
        <v>17612.64</v>
      </c>
      <c r="J2049" s="57">
        <v>7.0000000000000007E-2</v>
      </c>
      <c r="K2049" s="3">
        <v>240</v>
      </c>
      <c r="L2049" s="2" t="s">
        <v>226</v>
      </c>
      <c r="M2049" s="2" t="s">
        <v>12</v>
      </c>
      <c r="N2049" s="2" t="s">
        <v>12</v>
      </c>
      <c r="O2049" s="2" t="s">
        <v>12</v>
      </c>
      <c r="P2049" s="21" t="s">
        <v>12</v>
      </c>
      <c r="Q2049" s="3" t="s">
        <v>12</v>
      </c>
      <c r="R2049" s="3" t="s">
        <v>12</v>
      </c>
    </row>
    <row r="2050" spans="1:18" x14ac:dyDescent="0.25">
      <c r="A2050" s="30">
        <v>45980</v>
      </c>
      <c r="B2050" s="28">
        <v>2040</v>
      </c>
      <c r="C2050" s="28"/>
      <c r="D2050" s="2" t="s">
        <v>137</v>
      </c>
      <c r="E2050" s="7" t="s">
        <v>2354</v>
      </c>
      <c r="F2050" s="7"/>
      <c r="G2050" s="2" t="s">
        <v>43</v>
      </c>
      <c r="H2050" s="2" t="s">
        <v>417</v>
      </c>
      <c r="I2050" s="5">
        <v>249840.37</v>
      </c>
      <c r="J2050" s="57">
        <v>7.0000000000000007E-2</v>
      </c>
      <c r="K2050" s="3">
        <v>2546.4</v>
      </c>
      <c r="L2050" s="2" t="s">
        <v>226</v>
      </c>
      <c r="M2050" s="2" t="s">
        <v>12</v>
      </c>
      <c r="N2050" s="2" t="s">
        <v>12</v>
      </c>
      <c r="O2050" s="2" t="s">
        <v>12</v>
      </c>
      <c r="P2050" s="21" t="s">
        <v>12</v>
      </c>
      <c r="Q2050" s="3" t="s">
        <v>78</v>
      </c>
      <c r="R2050" s="3" t="s">
        <v>80</v>
      </c>
    </row>
    <row r="2051" spans="1:18" x14ac:dyDescent="0.25">
      <c r="A2051" s="30">
        <v>45980</v>
      </c>
      <c r="B2051" s="28">
        <v>2041</v>
      </c>
      <c r="C2051" s="28"/>
      <c r="D2051" s="2" t="s">
        <v>137</v>
      </c>
      <c r="E2051" s="7" t="s">
        <v>2355</v>
      </c>
      <c r="F2051" s="7"/>
      <c r="G2051" s="2" t="s">
        <v>43</v>
      </c>
      <c r="H2051" s="2" t="s">
        <v>417</v>
      </c>
      <c r="I2051" s="5">
        <v>222086</v>
      </c>
      <c r="J2051" s="57">
        <v>7.0000000000000007E-2</v>
      </c>
      <c r="K2051" s="3">
        <v>2210.4</v>
      </c>
      <c r="L2051" s="2" t="s">
        <v>226</v>
      </c>
      <c r="M2051" s="2" t="s">
        <v>12</v>
      </c>
      <c r="N2051" s="2" t="s">
        <v>12</v>
      </c>
      <c r="O2051" s="2" t="s">
        <v>12</v>
      </c>
      <c r="P2051" s="21" t="s">
        <v>12</v>
      </c>
      <c r="Q2051" s="3" t="s">
        <v>78</v>
      </c>
      <c r="R2051" s="3" t="s">
        <v>80</v>
      </c>
    </row>
    <row r="2052" spans="1:18" x14ac:dyDescent="0.25">
      <c r="A2052" s="30">
        <v>45985</v>
      </c>
      <c r="B2052" s="28">
        <v>2042</v>
      </c>
      <c r="C2052" s="28"/>
      <c r="D2052" s="2" t="s">
        <v>1216</v>
      </c>
      <c r="E2052" s="7" t="s">
        <v>12</v>
      </c>
      <c r="F2052" s="7"/>
      <c r="G2052" s="2" t="s">
        <v>13</v>
      </c>
      <c r="H2052" s="2" t="s">
        <v>2393</v>
      </c>
      <c r="I2052" s="5">
        <v>36623.82</v>
      </c>
      <c r="J2052" s="57">
        <v>0.06</v>
      </c>
      <c r="K2052" s="3">
        <v>432</v>
      </c>
      <c r="L2052" s="2" t="s">
        <v>64</v>
      </c>
      <c r="M2052" s="2" t="s">
        <v>12</v>
      </c>
      <c r="N2052" s="2" t="s">
        <v>12</v>
      </c>
      <c r="O2052" s="2" t="s">
        <v>12</v>
      </c>
      <c r="P2052" s="21" t="s">
        <v>12</v>
      </c>
      <c r="Q2052" s="3" t="s">
        <v>12</v>
      </c>
      <c r="R2052" s="3" t="s">
        <v>12</v>
      </c>
    </row>
    <row r="2053" spans="1:18" x14ac:dyDescent="0.25">
      <c r="A2053" s="30">
        <v>45985</v>
      </c>
      <c r="B2053" s="28">
        <v>2043</v>
      </c>
      <c r="C2053" s="28"/>
      <c r="D2053" s="2" t="s">
        <v>336</v>
      </c>
      <c r="E2053" s="7" t="s">
        <v>2394</v>
      </c>
      <c r="F2053" s="7"/>
      <c r="G2053" s="2" t="s">
        <v>20</v>
      </c>
      <c r="H2053" s="2" t="s">
        <v>2395</v>
      </c>
      <c r="I2053" s="5">
        <v>7160.39</v>
      </c>
      <c r="J2053" s="57">
        <v>0.03</v>
      </c>
      <c r="K2053" s="3">
        <v>120</v>
      </c>
      <c r="L2053" s="2" t="s">
        <v>64</v>
      </c>
      <c r="M2053" s="2" t="s">
        <v>12</v>
      </c>
      <c r="N2053" s="2" t="s">
        <v>12</v>
      </c>
      <c r="O2053" s="2" t="s">
        <v>12</v>
      </c>
      <c r="P2053" s="21" t="s">
        <v>12</v>
      </c>
      <c r="Q2053" s="3" t="s">
        <v>12</v>
      </c>
      <c r="R2053" s="3" t="s">
        <v>12</v>
      </c>
    </row>
    <row r="2054" spans="1:18" x14ac:dyDescent="0.25">
      <c r="A2054" s="30">
        <v>45986</v>
      </c>
      <c r="B2054" s="28">
        <v>2044</v>
      </c>
      <c r="C2054" s="28" t="s">
        <v>2161</v>
      </c>
      <c r="D2054" s="2" t="s">
        <v>23</v>
      </c>
      <c r="E2054" s="7" t="s">
        <v>2396</v>
      </c>
      <c r="F2054" s="7"/>
      <c r="G2054" s="2" t="s">
        <v>20</v>
      </c>
      <c r="H2054" s="2" t="s">
        <v>24</v>
      </c>
      <c r="I2054" s="5">
        <v>40738.18</v>
      </c>
      <c r="J2054" s="57">
        <v>0.03</v>
      </c>
      <c r="K2054" s="3">
        <v>624</v>
      </c>
      <c r="L2054" s="2" t="s">
        <v>64</v>
      </c>
      <c r="M2054" s="2" t="s">
        <v>12</v>
      </c>
      <c r="N2054" s="2" t="s">
        <v>12</v>
      </c>
      <c r="O2054" s="2" t="s">
        <v>12</v>
      </c>
      <c r="P2054" s="21" t="s">
        <v>12</v>
      </c>
      <c r="Q2054" s="3" t="s">
        <v>12</v>
      </c>
      <c r="R2054" s="3" t="s">
        <v>12</v>
      </c>
    </row>
    <row r="2055" spans="1:18" x14ac:dyDescent="0.25">
      <c r="A2055" s="30">
        <v>45985</v>
      </c>
      <c r="B2055" s="28">
        <v>2045</v>
      </c>
      <c r="C2055" s="28"/>
      <c r="D2055" s="2" t="s">
        <v>109</v>
      </c>
      <c r="E2055" s="7" t="s">
        <v>2486</v>
      </c>
      <c r="F2055" s="7"/>
      <c r="G2055" s="2" t="s">
        <v>111</v>
      </c>
      <c r="H2055" s="2" t="s">
        <v>1104</v>
      </c>
      <c r="I2055" s="5">
        <v>1100000</v>
      </c>
      <c r="J2055" s="57">
        <v>0.03</v>
      </c>
      <c r="K2055" s="3">
        <v>14025.6</v>
      </c>
      <c r="L2055" s="2" t="s">
        <v>64</v>
      </c>
      <c r="M2055" s="2" t="s">
        <v>12</v>
      </c>
      <c r="N2055" s="2" t="s">
        <v>12</v>
      </c>
      <c r="O2055" s="2" t="s">
        <v>12</v>
      </c>
      <c r="P2055" s="21" t="s">
        <v>12</v>
      </c>
      <c r="Q2055" s="3" t="s">
        <v>12</v>
      </c>
      <c r="R2055" s="3" t="s">
        <v>12</v>
      </c>
    </row>
    <row r="2056" spans="1:18" x14ac:dyDescent="0.25">
      <c r="A2056" s="30">
        <v>45985</v>
      </c>
      <c r="B2056" s="28">
        <v>2046</v>
      </c>
      <c r="C2056" s="28"/>
      <c r="D2056" s="2" t="s">
        <v>2297</v>
      </c>
      <c r="E2056" s="7" t="s">
        <v>12</v>
      </c>
      <c r="F2056" s="7"/>
      <c r="G2056" s="2" t="s">
        <v>13</v>
      </c>
      <c r="H2056" s="2" t="s">
        <v>235</v>
      </c>
      <c r="I2056" s="5">
        <v>5625</v>
      </c>
      <c r="J2056" s="57">
        <v>7.0000000000000007E-2</v>
      </c>
      <c r="K2056" s="3" t="s">
        <v>12</v>
      </c>
      <c r="L2056" s="2" t="s">
        <v>226</v>
      </c>
      <c r="M2056" s="2" t="s">
        <v>12</v>
      </c>
      <c r="N2056" s="2" t="s">
        <v>12</v>
      </c>
      <c r="O2056" s="2" t="s">
        <v>12</v>
      </c>
      <c r="P2056" s="21" t="s">
        <v>12</v>
      </c>
      <c r="Q2056" s="3" t="s">
        <v>12</v>
      </c>
      <c r="R2056" s="3" t="s">
        <v>12</v>
      </c>
    </row>
    <row r="2057" spans="1:18" x14ac:dyDescent="0.25">
      <c r="A2057" s="30">
        <v>45985</v>
      </c>
      <c r="B2057" s="28">
        <v>2047</v>
      </c>
      <c r="C2057" s="28"/>
      <c r="D2057" s="2" t="s">
        <v>106</v>
      </c>
      <c r="E2057" s="7" t="s">
        <v>12</v>
      </c>
      <c r="F2057" s="7"/>
      <c r="G2057" s="2" t="s">
        <v>13</v>
      </c>
      <c r="H2057" s="2" t="s">
        <v>40</v>
      </c>
      <c r="I2057" s="5">
        <v>17887.830000000002</v>
      </c>
      <c r="J2057" s="57">
        <v>7.0000000000000007E-2</v>
      </c>
      <c r="K2057" s="3">
        <v>240</v>
      </c>
      <c r="L2057" s="2" t="s">
        <v>226</v>
      </c>
      <c r="M2057" s="2" t="s">
        <v>12</v>
      </c>
      <c r="N2057" s="2" t="s">
        <v>12</v>
      </c>
      <c r="O2057" s="2" t="s">
        <v>12</v>
      </c>
      <c r="P2057" s="21" t="s">
        <v>12</v>
      </c>
      <c r="Q2057" s="3" t="s">
        <v>12</v>
      </c>
      <c r="R2057" s="3" t="s">
        <v>12</v>
      </c>
    </row>
    <row r="2058" spans="1:18" x14ac:dyDescent="0.25">
      <c r="A2058" s="30">
        <v>45985</v>
      </c>
      <c r="B2058" s="28">
        <v>2048</v>
      </c>
      <c r="C2058" s="28"/>
      <c r="D2058" s="2" t="s">
        <v>1216</v>
      </c>
      <c r="E2058" s="7" t="s">
        <v>12</v>
      </c>
      <c r="F2058" s="7"/>
      <c r="G2058" s="2" t="s">
        <v>13</v>
      </c>
      <c r="H2058" s="2" t="s">
        <v>2393</v>
      </c>
      <c r="I2058" s="5">
        <v>3091.49</v>
      </c>
      <c r="J2058" s="57">
        <v>7.0000000000000007E-2</v>
      </c>
      <c r="K2058" s="3" t="s">
        <v>12</v>
      </c>
      <c r="L2058" s="2" t="s">
        <v>226</v>
      </c>
      <c r="M2058" s="2" t="s">
        <v>12</v>
      </c>
      <c r="N2058" s="2" t="s">
        <v>12</v>
      </c>
      <c r="O2058" s="2" t="s">
        <v>12</v>
      </c>
      <c r="P2058" s="21" t="s">
        <v>12</v>
      </c>
      <c r="Q2058" s="3" t="s">
        <v>12</v>
      </c>
      <c r="R2058" s="3" t="s">
        <v>12</v>
      </c>
    </row>
    <row r="2059" spans="1:18" x14ac:dyDescent="0.25">
      <c r="A2059" s="30">
        <v>45985</v>
      </c>
      <c r="B2059" s="28">
        <v>2049</v>
      </c>
      <c r="C2059" s="28"/>
      <c r="D2059" s="2" t="s">
        <v>2397</v>
      </c>
      <c r="E2059" s="7" t="s">
        <v>12</v>
      </c>
      <c r="F2059" s="7"/>
      <c r="G2059" s="2" t="s">
        <v>13</v>
      </c>
      <c r="H2059" s="2" t="s">
        <v>1000</v>
      </c>
      <c r="I2059" s="5">
        <v>8927.98</v>
      </c>
      <c r="J2059" s="57">
        <v>7.0000000000000007E-2</v>
      </c>
      <c r="K2059" s="3">
        <v>97.2</v>
      </c>
      <c r="L2059" s="2" t="s">
        <v>226</v>
      </c>
      <c r="M2059" s="2" t="s">
        <v>12</v>
      </c>
      <c r="N2059" s="2" t="s">
        <v>12</v>
      </c>
      <c r="O2059" s="2" t="s">
        <v>12</v>
      </c>
      <c r="P2059" s="21" t="s">
        <v>12</v>
      </c>
      <c r="Q2059" s="3" t="s">
        <v>12</v>
      </c>
      <c r="R2059" s="3" t="s">
        <v>12</v>
      </c>
    </row>
    <row r="2060" spans="1:18" x14ac:dyDescent="0.25">
      <c r="A2060" s="30">
        <v>45986</v>
      </c>
      <c r="B2060" s="28">
        <v>2050</v>
      </c>
      <c r="C2060" s="28"/>
      <c r="D2060" s="2" t="s">
        <v>336</v>
      </c>
      <c r="E2060" s="7" t="s">
        <v>2398</v>
      </c>
      <c r="F2060" s="7"/>
      <c r="G2060" s="2" t="s">
        <v>20</v>
      </c>
      <c r="H2060" s="2" t="s">
        <v>2395</v>
      </c>
      <c r="I2060" s="5">
        <v>16045.2</v>
      </c>
      <c r="J2060" s="57">
        <v>0.03</v>
      </c>
      <c r="K2060" s="3">
        <v>240</v>
      </c>
      <c r="L2060" s="2" t="s">
        <v>64</v>
      </c>
      <c r="M2060" s="2" t="s">
        <v>12</v>
      </c>
      <c r="N2060" s="2" t="s">
        <v>12</v>
      </c>
      <c r="O2060" s="2" t="s">
        <v>12</v>
      </c>
      <c r="P2060" s="21" t="s">
        <v>12</v>
      </c>
      <c r="Q2060" s="3" t="s">
        <v>12</v>
      </c>
      <c r="R2060" s="3" t="s">
        <v>12</v>
      </c>
    </row>
    <row r="2061" spans="1:18" x14ac:dyDescent="0.25">
      <c r="A2061" s="30">
        <v>45986</v>
      </c>
      <c r="B2061" s="28">
        <v>2051</v>
      </c>
      <c r="C2061" s="28"/>
      <c r="D2061" s="2" t="s">
        <v>1396</v>
      </c>
      <c r="E2061" s="7" t="s">
        <v>2094</v>
      </c>
      <c r="F2061" s="7"/>
      <c r="G2061" s="2" t="s">
        <v>111</v>
      </c>
      <c r="H2061" s="2" t="s">
        <v>322</v>
      </c>
      <c r="I2061" s="5">
        <v>48300</v>
      </c>
      <c r="J2061" s="57">
        <v>7.0000000000000007E-2</v>
      </c>
      <c r="K2061" s="3" t="s">
        <v>12</v>
      </c>
      <c r="L2061" s="2" t="s">
        <v>64</v>
      </c>
      <c r="M2061" s="2" t="s">
        <v>12</v>
      </c>
      <c r="N2061" s="2" t="s">
        <v>12</v>
      </c>
      <c r="O2061" s="2" t="s">
        <v>12</v>
      </c>
      <c r="P2061" s="21"/>
      <c r="Q2061" s="3" t="s">
        <v>12</v>
      </c>
      <c r="R2061" s="3" t="s">
        <v>12</v>
      </c>
    </row>
    <row r="2062" spans="1:18" x14ac:dyDescent="0.25">
      <c r="A2062" s="30">
        <v>45986</v>
      </c>
      <c r="B2062" s="28">
        <v>2052</v>
      </c>
      <c r="C2062" s="28"/>
      <c r="D2062" s="2" t="s">
        <v>2399</v>
      </c>
      <c r="E2062" s="7" t="s">
        <v>2111</v>
      </c>
      <c r="F2062" s="7"/>
      <c r="G2062" s="2" t="s">
        <v>13</v>
      </c>
      <c r="H2062" s="2" t="s">
        <v>2400</v>
      </c>
      <c r="I2062" s="5">
        <v>151595.6</v>
      </c>
      <c r="J2062" s="57">
        <v>7.0000000000000007E-2</v>
      </c>
      <c r="K2062" s="3">
        <v>1680</v>
      </c>
      <c r="L2062" s="2" t="s">
        <v>226</v>
      </c>
      <c r="M2062" s="2" t="s">
        <v>12</v>
      </c>
      <c r="N2062" s="2" t="s">
        <v>12</v>
      </c>
      <c r="O2062" s="2" t="s">
        <v>12</v>
      </c>
      <c r="P2062" s="21" t="s">
        <v>12</v>
      </c>
      <c r="Q2062" s="3" t="s">
        <v>2414</v>
      </c>
      <c r="R2062" s="3" t="s">
        <v>80</v>
      </c>
    </row>
    <row r="2063" spans="1:18" x14ac:dyDescent="0.25">
      <c r="A2063" s="30">
        <v>45986</v>
      </c>
      <c r="B2063" s="28">
        <v>2053</v>
      </c>
      <c r="C2063" s="28"/>
      <c r="D2063" s="2" t="s">
        <v>87</v>
      </c>
      <c r="E2063" s="7" t="s">
        <v>2401</v>
      </c>
      <c r="F2063" s="7"/>
      <c r="G2063" s="2" t="s">
        <v>13</v>
      </c>
      <c r="H2063" s="2" t="s">
        <v>185</v>
      </c>
      <c r="I2063" s="5">
        <v>115398.07</v>
      </c>
      <c r="J2063" s="57">
        <v>7.0000000000000007E-2</v>
      </c>
      <c r="K2063" s="3">
        <v>1200</v>
      </c>
      <c r="L2063" s="2" t="s">
        <v>226</v>
      </c>
      <c r="M2063" s="2" t="s">
        <v>12</v>
      </c>
      <c r="N2063" s="2" t="s">
        <v>12</v>
      </c>
      <c r="O2063" s="2" t="s">
        <v>12</v>
      </c>
      <c r="P2063" s="21" t="s">
        <v>12</v>
      </c>
      <c r="Q2063" s="3" t="s">
        <v>87</v>
      </c>
      <c r="R2063" s="3" t="s">
        <v>80</v>
      </c>
    </row>
    <row r="2064" spans="1:18" x14ac:dyDescent="0.25">
      <c r="A2064" s="30">
        <v>45986</v>
      </c>
      <c r="B2064" s="28">
        <v>2054</v>
      </c>
      <c r="C2064" s="28"/>
      <c r="D2064" s="2" t="s">
        <v>336</v>
      </c>
      <c r="E2064" s="7" t="s">
        <v>2402</v>
      </c>
      <c r="F2064" s="7"/>
      <c r="G2064" s="2" t="s">
        <v>20</v>
      </c>
      <c r="H2064" s="2" t="s">
        <v>2395</v>
      </c>
      <c r="I2064" s="5">
        <v>11602.22</v>
      </c>
      <c r="J2064" s="57">
        <v>0.03</v>
      </c>
      <c r="K2064" s="3">
        <v>168</v>
      </c>
      <c r="L2064" s="2" t="s">
        <v>64</v>
      </c>
      <c r="M2064" s="2" t="s">
        <v>12</v>
      </c>
      <c r="N2064" s="2" t="s">
        <v>12</v>
      </c>
      <c r="O2064" s="2" t="s">
        <v>12</v>
      </c>
      <c r="P2064" s="21" t="s">
        <v>12</v>
      </c>
      <c r="Q2064" s="3" t="s">
        <v>12</v>
      </c>
      <c r="R2064" s="3" t="s">
        <v>12</v>
      </c>
    </row>
    <row r="2065" spans="1:18" x14ac:dyDescent="0.25">
      <c r="A2065" s="30">
        <v>45987</v>
      </c>
      <c r="B2065" s="28">
        <v>2055</v>
      </c>
      <c r="C2065" s="28" t="s">
        <v>2161</v>
      </c>
      <c r="D2065" s="2" t="s">
        <v>336</v>
      </c>
      <c r="E2065" s="7" t="s">
        <v>2398</v>
      </c>
      <c r="F2065" s="7"/>
      <c r="G2065" s="2" t="s">
        <v>20</v>
      </c>
      <c r="H2065" s="2" t="s">
        <v>2395</v>
      </c>
      <c r="I2065" s="5">
        <v>6020.65</v>
      </c>
      <c r="J2065" s="57">
        <v>0.03</v>
      </c>
      <c r="K2065" s="3">
        <v>72</v>
      </c>
      <c r="L2065" s="2" t="s">
        <v>64</v>
      </c>
      <c r="M2065" s="2" t="s">
        <v>12</v>
      </c>
      <c r="N2065" s="2" t="s">
        <v>12</v>
      </c>
      <c r="O2065" s="2" t="s">
        <v>12</v>
      </c>
      <c r="P2065" s="21" t="s">
        <v>12</v>
      </c>
      <c r="Q2065" s="3" t="s">
        <v>12</v>
      </c>
      <c r="R2065" s="3" t="s">
        <v>12</v>
      </c>
    </row>
    <row r="2066" spans="1:18" x14ac:dyDescent="0.25">
      <c r="A2066" s="30">
        <v>45986</v>
      </c>
      <c r="B2066" s="28">
        <v>2056</v>
      </c>
      <c r="C2066" s="28"/>
      <c r="D2066" s="2" t="s">
        <v>2403</v>
      </c>
      <c r="E2066" s="7" t="s">
        <v>1784</v>
      </c>
      <c r="F2066" s="7"/>
      <c r="G2066" s="2" t="s">
        <v>13</v>
      </c>
      <c r="H2066" s="2" t="s">
        <v>337</v>
      </c>
      <c r="I2066" s="5">
        <v>7664.6</v>
      </c>
      <c r="J2066" s="57">
        <v>7.0000000000000007E-2</v>
      </c>
      <c r="K2066" s="3">
        <v>72</v>
      </c>
      <c r="L2066" s="2" t="s">
        <v>226</v>
      </c>
      <c r="M2066" s="2" t="s">
        <v>12</v>
      </c>
      <c r="N2066" s="2" t="s">
        <v>12</v>
      </c>
      <c r="O2066" s="2" t="s">
        <v>12</v>
      </c>
      <c r="P2066" s="21" t="s">
        <v>12</v>
      </c>
      <c r="Q2066" s="3" t="s">
        <v>1800</v>
      </c>
      <c r="R2066" s="3" t="s">
        <v>80</v>
      </c>
    </row>
    <row r="2067" spans="1:18" x14ac:dyDescent="0.25">
      <c r="A2067" s="30">
        <v>45986</v>
      </c>
      <c r="B2067" s="28">
        <v>2057</v>
      </c>
      <c r="C2067" s="28"/>
      <c r="D2067" s="2" t="s">
        <v>217</v>
      </c>
      <c r="E2067" s="7" t="s">
        <v>12</v>
      </c>
      <c r="F2067" s="7"/>
      <c r="G2067" s="2" t="s">
        <v>13</v>
      </c>
      <c r="H2067" s="2" t="s">
        <v>2404</v>
      </c>
      <c r="I2067" s="5">
        <v>800.39</v>
      </c>
      <c r="J2067" s="57">
        <v>7.0000000000000007E-2</v>
      </c>
      <c r="K2067" s="3" t="s">
        <v>12</v>
      </c>
      <c r="L2067" s="2" t="s">
        <v>64</v>
      </c>
      <c r="M2067" s="2" t="s">
        <v>12</v>
      </c>
      <c r="N2067" s="2" t="s">
        <v>12</v>
      </c>
      <c r="O2067" s="2" t="s">
        <v>12</v>
      </c>
      <c r="P2067" s="21" t="s">
        <v>12</v>
      </c>
      <c r="Q2067" s="3" t="s">
        <v>12</v>
      </c>
      <c r="R2067" s="3" t="s">
        <v>12</v>
      </c>
    </row>
    <row r="2068" spans="1:18" x14ac:dyDescent="0.25">
      <c r="A2068" s="30">
        <v>46037</v>
      </c>
      <c r="B2068" s="28">
        <v>2058</v>
      </c>
      <c r="C2068" s="28"/>
      <c r="D2068" s="2" t="s">
        <v>92</v>
      </c>
      <c r="E2068" s="7" t="s">
        <v>2171</v>
      </c>
      <c r="F2068" s="7"/>
      <c r="G2068" s="2" t="s">
        <v>26</v>
      </c>
      <c r="H2068" s="2" t="s">
        <v>751</v>
      </c>
      <c r="I2068" s="5">
        <v>4990.3999999999996</v>
      </c>
      <c r="J2068" s="57">
        <v>0.05</v>
      </c>
      <c r="K2068" s="3">
        <v>72</v>
      </c>
      <c r="L2068" s="2" t="s">
        <v>134</v>
      </c>
      <c r="M2068" s="2" t="s">
        <v>1160</v>
      </c>
      <c r="N2068" s="2" t="s">
        <v>135</v>
      </c>
      <c r="O2068" s="2" t="s">
        <v>374</v>
      </c>
      <c r="P2068" s="21" t="s">
        <v>12</v>
      </c>
      <c r="Q2068" s="3" t="s">
        <v>12</v>
      </c>
      <c r="R2068" s="3" t="s">
        <v>12</v>
      </c>
    </row>
    <row r="2069" spans="1:18" x14ac:dyDescent="0.25">
      <c r="A2069" s="30">
        <v>45987</v>
      </c>
      <c r="B2069" s="28">
        <v>2059</v>
      </c>
      <c r="C2069" s="28"/>
      <c r="D2069" s="2" t="s">
        <v>2405</v>
      </c>
      <c r="E2069" s="7" t="s">
        <v>2406</v>
      </c>
      <c r="F2069" s="7"/>
      <c r="G2069" s="2" t="s">
        <v>43</v>
      </c>
      <c r="H2069" s="2" t="s">
        <v>2407</v>
      </c>
      <c r="I2069" s="5">
        <v>18999.02</v>
      </c>
      <c r="J2069" s="57">
        <v>7.0000000000000007E-2</v>
      </c>
      <c r="K2069" s="3">
        <v>168</v>
      </c>
      <c r="L2069" s="2" t="s">
        <v>226</v>
      </c>
      <c r="M2069" s="2" t="s">
        <v>12</v>
      </c>
      <c r="N2069" s="2" t="s">
        <v>12</v>
      </c>
      <c r="O2069" s="2" t="s">
        <v>12</v>
      </c>
      <c r="P2069" s="21" t="s">
        <v>12</v>
      </c>
      <c r="Q2069" s="3" t="s">
        <v>2415</v>
      </c>
      <c r="R2069" s="3" t="s">
        <v>222</v>
      </c>
    </row>
    <row r="2070" spans="1:18" x14ac:dyDescent="0.25">
      <c r="A2070" s="30">
        <v>45987</v>
      </c>
      <c r="B2070" s="28">
        <v>2060</v>
      </c>
      <c r="C2070" s="28"/>
      <c r="D2070" s="2" t="s">
        <v>1296</v>
      </c>
      <c r="E2070" s="7" t="s">
        <v>2384</v>
      </c>
      <c r="F2070" s="7"/>
      <c r="G2070" s="2" t="s">
        <v>13</v>
      </c>
      <c r="H2070" s="2" t="s">
        <v>1726</v>
      </c>
      <c r="I2070" s="5">
        <v>54294.87</v>
      </c>
      <c r="J2070" s="57">
        <v>7.0000000000000007E-2</v>
      </c>
      <c r="K2070" s="3">
        <v>528</v>
      </c>
      <c r="L2070" s="2" t="s">
        <v>21</v>
      </c>
      <c r="M2070" s="2" t="s">
        <v>12</v>
      </c>
      <c r="N2070" s="2" t="s">
        <v>12</v>
      </c>
      <c r="O2070" s="2" t="s">
        <v>12</v>
      </c>
      <c r="P2070" s="21" t="s">
        <v>12</v>
      </c>
      <c r="Q2070" s="3" t="s">
        <v>2383</v>
      </c>
      <c r="R2070" s="3" t="s">
        <v>80</v>
      </c>
    </row>
    <row r="2071" spans="1:18" x14ac:dyDescent="0.25">
      <c r="A2071" s="30">
        <v>45987</v>
      </c>
      <c r="B2071" s="28">
        <v>2061</v>
      </c>
      <c r="C2071" s="28"/>
      <c r="D2071" s="2" t="s">
        <v>839</v>
      </c>
      <c r="E2071" s="7" t="s">
        <v>2408</v>
      </c>
      <c r="F2071" s="7"/>
      <c r="G2071" s="2" t="s">
        <v>20</v>
      </c>
      <c r="H2071" s="2" t="s">
        <v>2409</v>
      </c>
      <c r="I2071" s="5">
        <v>4275.38</v>
      </c>
      <c r="J2071" s="57">
        <v>7.0000000000000007E-2</v>
      </c>
      <c r="K2071" s="3">
        <v>7</v>
      </c>
      <c r="L2071" s="2" t="s">
        <v>226</v>
      </c>
      <c r="M2071" s="2" t="s">
        <v>595</v>
      </c>
      <c r="N2071" s="2" t="s">
        <v>12</v>
      </c>
      <c r="O2071" s="2" t="s">
        <v>12</v>
      </c>
      <c r="P2071" s="21" t="s">
        <v>12</v>
      </c>
      <c r="Q2071" s="3" t="s">
        <v>12</v>
      </c>
      <c r="R2071" s="3" t="s">
        <v>12</v>
      </c>
    </row>
    <row r="2072" spans="1:18" x14ac:dyDescent="0.25">
      <c r="A2072" s="30">
        <v>45987</v>
      </c>
      <c r="B2072" s="28">
        <v>2062</v>
      </c>
      <c r="C2072" s="28"/>
      <c r="D2072" s="2" t="s">
        <v>130</v>
      </c>
      <c r="E2072" s="7" t="s">
        <v>2410</v>
      </c>
      <c r="F2072" s="7"/>
      <c r="G2072" s="2" t="s">
        <v>26</v>
      </c>
      <c r="H2072" s="2" t="s">
        <v>369</v>
      </c>
      <c r="I2072" s="5">
        <v>39777.730000000003</v>
      </c>
      <c r="J2072" s="57">
        <v>7.0000000000000007E-2</v>
      </c>
      <c r="K2072" s="3">
        <v>456</v>
      </c>
      <c r="L2072" s="2" t="s">
        <v>226</v>
      </c>
      <c r="M2072" s="2" t="s">
        <v>12</v>
      </c>
      <c r="N2072" s="2" t="s">
        <v>12</v>
      </c>
      <c r="O2072" s="2" t="s">
        <v>12</v>
      </c>
      <c r="P2072" s="21" t="s">
        <v>12</v>
      </c>
      <c r="Q2072" s="3" t="s">
        <v>961</v>
      </c>
      <c r="R2072" s="3" t="s">
        <v>76</v>
      </c>
    </row>
    <row r="2073" spans="1:18" x14ac:dyDescent="0.25">
      <c r="A2073" s="30">
        <v>45987</v>
      </c>
      <c r="B2073" s="28">
        <v>2063</v>
      </c>
      <c r="C2073" s="28"/>
      <c r="D2073" s="2" t="s">
        <v>905</v>
      </c>
      <c r="E2073" s="7" t="s">
        <v>2549</v>
      </c>
      <c r="F2073" s="7"/>
      <c r="G2073" s="2" t="s">
        <v>111</v>
      </c>
      <c r="H2073" s="2" t="s">
        <v>1015</v>
      </c>
      <c r="I2073" s="5">
        <v>10106.48</v>
      </c>
      <c r="J2073" s="57">
        <v>0.04</v>
      </c>
      <c r="K2073" s="3"/>
      <c r="L2073" s="2" t="s">
        <v>64</v>
      </c>
      <c r="M2073" s="2" t="s">
        <v>12</v>
      </c>
      <c r="N2073" s="2" t="s">
        <v>12</v>
      </c>
      <c r="O2073" s="2" t="s">
        <v>12</v>
      </c>
      <c r="P2073" s="21" t="s">
        <v>12</v>
      </c>
      <c r="Q2073" s="3" t="s">
        <v>12</v>
      </c>
      <c r="R2073" s="3" t="s">
        <v>12</v>
      </c>
    </row>
    <row r="2074" spans="1:18" x14ac:dyDescent="0.25">
      <c r="A2074" s="30">
        <v>45988</v>
      </c>
      <c r="B2074" s="28">
        <v>2064</v>
      </c>
      <c r="C2074" s="28"/>
      <c r="D2074" s="2" t="s">
        <v>1446</v>
      </c>
      <c r="E2074" s="7" t="s">
        <v>2419</v>
      </c>
      <c r="F2074" s="7"/>
      <c r="G2074" s="2" t="s">
        <v>43</v>
      </c>
      <c r="H2074" s="2" t="s">
        <v>2007</v>
      </c>
      <c r="I2074" s="5">
        <v>3351.54</v>
      </c>
      <c r="J2074" s="57">
        <v>0.04</v>
      </c>
      <c r="K2074" s="3">
        <v>24</v>
      </c>
      <c r="L2074" s="2" t="s">
        <v>226</v>
      </c>
      <c r="M2074" s="2" t="s">
        <v>12</v>
      </c>
      <c r="N2074" s="2" t="s">
        <v>12</v>
      </c>
      <c r="O2074" s="2" t="s">
        <v>12</v>
      </c>
      <c r="P2074" s="21" t="s">
        <v>12</v>
      </c>
      <c r="Q2074" s="3" t="s">
        <v>12</v>
      </c>
      <c r="R2074" s="3" t="s">
        <v>12</v>
      </c>
    </row>
    <row r="2075" spans="1:18" x14ac:dyDescent="0.25">
      <c r="A2075" s="30">
        <v>45994</v>
      </c>
      <c r="B2075" s="28">
        <v>2065</v>
      </c>
      <c r="C2075" s="28" t="s">
        <v>2236</v>
      </c>
      <c r="D2075" s="2" t="s">
        <v>1774</v>
      </c>
      <c r="E2075" s="7" t="s">
        <v>12</v>
      </c>
      <c r="F2075" s="7"/>
      <c r="G2075" s="2" t="s">
        <v>13</v>
      </c>
      <c r="H2075" s="2" t="s">
        <v>98</v>
      </c>
      <c r="I2075" s="5">
        <v>13796.35</v>
      </c>
      <c r="J2075" s="57">
        <v>0.06</v>
      </c>
      <c r="K2075" s="3">
        <v>64.8</v>
      </c>
      <c r="L2075" s="2" t="s">
        <v>64</v>
      </c>
      <c r="M2075" s="2" t="s">
        <v>12</v>
      </c>
      <c r="N2075" s="2" t="s">
        <v>12</v>
      </c>
      <c r="O2075" s="2" t="s">
        <v>12</v>
      </c>
      <c r="P2075" s="21" t="s">
        <v>12</v>
      </c>
      <c r="Q2075" s="3" t="s">
        <v>12</v>
      </c>
      <c r="R2075" s="3" t="s">
        <v>12</v>
      </c>
    </row>
    <row r="2076" spans="1:18" x14ac:dyDescent="0.25">
      <c r="A2076" s="30">
        <v>45988</v>
      </c>
      <c r="B2076" s="28">
        <v>2066</v>
      </c>
      <c r="C2076" s="28"/>
      <c r="D2076" s="2" t="s">
        <v>109</v>
      </c>
      <c r="E2076" s="7" t="s">
        <v>2736</v>
      </c>
      <c r="F2076" s="7"/>
      <c r="G2076" s="2" t="s">
        <v>111</v>
      </c>
      <c r="H2076" s="2" t="s">
        <v>395</v>
      </c>
      <c r="I2076" s="5">
        <v>8612.9699999999993</v>
      </c>
      <c r="J2076" s="57">
        <v>7.0000000000000007E-2</v>
      </c>
      <c r="K2076" s="3">
        <v>96</v>
      </c>
      <c r="L2076" s="2" t="s">
        <v>226</v>
      </c>
      <c r="M2076" s="2" t="s">
        <v>12</v>
      </c>
      <c r="N2076" s="2" t="s">
        <v>12</v>
      </c>
      <c r="O2076" s="2" t="s">
        <v>12</v>
      </c>
      <c r="P2076" s="21" t="s">
        <v>12</v>
      </c>
      <c r="Q2076" s="3" t="s">
        <v>12</v>
      </c>
      <c r="R2076" s="3" t="s">
        <v>12</v>
      </c>
    </row>
    <row r="2077" spans="1:18" x14ac:dyDescent="0.25">
      <c r="A2077" s="30">
        <v>45988</v>
      </c>
      <c r="B2077" s="28">
        <v>2067</v>
      </c>
      <c r="C2077" s="28"/>
      <c r="D2077" s="2" t="s">
        <v>109</v>
      </c>
      <c r="E2077" s="7" t="s">
        <v>2736</v>
      </c>
      <c r="F2077" s="7"/>
      <c r="G2077" s="2" t="s">
        <v>111</v>
      </c>
      <c r="H2077" s="2" t="s">
        <v>395</v>
      </c>
      <c r="I2077" s="5">
        <v>10696.59</v>
      </c>
      <c r="J2077" s="57">
        <v>7.0000000000000007E-2</v>
      </c>
      <c r="K2077" s="3">
        <v>144</v>
      </c>
      <c r="L2077" s="2" t="s">
        <v>226</v>
      </c>
      <c r="M2077" s="2" t="s">
        <v>12</v>
      </c>
      <c r="N2077" s="2" t="s">
        <v>12</v>
      </c>
      <c r="O2077" s="2" t="s">
        <v>12</v>
      </c>
      <c r="P2077" s="21" t="s">
        <v>12</v>
      </c>
      <c r="Q2077" s="3" t="s">
        <v>12</v>
      </c>
      <c r="R2077" s="3" t="s">
        <v>12</v>
      </c>
    </row>
    <row r="2078" spans="1:18" x14ac:dyDescent="0.25">
      <c r="A2078" s="30">
        <v>45988</v>
      </c>
      <c r="B2078" s="28">
        <v>2068</v>
      </c>
      <c r="C2078" s="28"/>
      <c r="D2078" s="2" t="s">
        <v>109</v>
      </c>
      <c r="E2078" s="7" t="s">
        <v>2736</v>
      </c>
      <c r="F2078" s="7"/>
      <c r="G2078" s="2" t="s">
        <v>111</v>
      </c>
      <c r="H2078" s="2" t="s">
        <v>395</v>
      </c>
      <c r="I2078" s="5">
        <v>10457.9</v>
      </c>
      <c r="J2078" s="57">
        <v>7.0000000000000007E-2</v>
      </c>
      <c r="K2078" s="3">
        <v>144</v>
      </c>
      <c r="L2078" s="2" t="s">
        <v>226</v>
      </c>
      <c r="M2078" s="2" t="s">
        <v>12</v>
      </c>
      <c r="N2078" s="2" t="s">
        <v>12</v>
      </c>
      <c r="O2078" s="2" t="s">
        <v>12</v>
      </c>
      <c r="P2078" s="21" t="s">
        <v>12</v>
      </c>
      <c r="Q2078" s="3" t="s">
        <v>12</v>
      </c>
      <c r="R2078" s="3" t="s">
        <v>12</v>
      </c>
    </row>
    <row r="2079" spans="1:18" x14ac:dyDescent="0.25">
      <c r="A2079" s="30">
        <v>45988</v>
      </c>
      <c r="B2079" s="28">
        <v>2069</v>
      </c>
      <c r="C2079" s="28"/>
      <c r="D2079" s="2" t="s">
        <v>163</v>
      </c>
      <c r="E2079" s="7" t="s">
        <v>12</v>
      </c>
      <c r="F2079" s="7"/>
      <c r="G2079" s="2" t="s">
        <v>97</v>
      </c>
      <c r="H2079" s="2"/>
      <c r="I2079" s="5">
        <v>1930</v>
      </c>
      <c r="J2079" s="57">
        <v>7.0000000000000007E-2</v>
      </c>
      <c r="K2079" s="3" t="s">
        <v>12</v>
      </c>
      <c r="L2079" s="2" t="s">
        <v>226</v>
      </c>
      <c r="M2079" s="2" t="s">
        <v>12</v>
      </c>
      <c r="N2079" s="2" t="s">
        <v>12</v>
      </c>
      <c r="O2079" s="2" t="s">
        <v>12</v>
      </c>
      <c r="P2079" s="21" t="s">
        <v>12</v>
      </c>
      <c r="Q2079" s="3" t="s">
        <v>12</v>
      </c>
      <c r="R2079" s="3" t="s">
        <v>12</v>
      </c>
    </row>
    <row r="2080" spans="1:18" x14ac:dyDescent="0.25">
      <c r="A2080" s="30">
        <v>45988</v>
      </c>
      <c r="B2080" s="28">
        <v>2070</v>
      </c>
      <c r="C2080" s="28"/>
      <c r="D2080" s="2" t="s">
        <v>168</v>
      </c>
      <c r="E2080" s="7" t="s">
        <v>2420</v>
      </c>
      <c r="F2080" s="7"/>
      <c r="G2080" s="2" t="s">
        <v>43</v>
      </c>
      <c r="H2080" s="2" t="s">
        <v>182</v>
      </c>
      <c r="I2080" s="5">
        <v>25792.85</v>
      </c>
      <c r="J2080" s="57">
        <v>0.05</v>
      </c>
      <c r="K2080" s="3">
        <v>336</v>
      </c>
      <c r="L2080" s="2" t="s">
        <v>226</v>
      </c>
      <c r="M2080" s="2" t="s">
        <v>12</v>
      </c>
      <c r="N2080" s="2" t="s">
        <v>12</v>
      </c>
      <c r="O2080" s="2" t="s">
        <v>12</v>
      </c>
      <c r="P2080" s="21" t="s">
        <v>12</v>
      </c>
      <c r="Q2080" s="3" t="s">
        <v>12</v>
      </c>
      <c r="R2080" s="3" t="s">
        <v>12</v>
      </c>
    </row>
    <row r="2081" spans="1:19" x14ac:dyDescent="0.25">
      <c r="A2081" s="30">
        <v>45988</v>
      </c>
      <c r="B2081" s="28">
        <v>2071</v>
      </c>
      <c r="C2081" s="28"/>
      <c r="D2081" s="2" t="s">
        <v>137</v>
      </c>
      <c r="E2081" s="7" t="s">
        <v>12</v>
      </c>
      <c r="F2081" s="7"/>
      <c r="G2081" s="2" t="s">
        <v>26</v>
      </c>
      <c r="H2081" s="2" t="s">
        <v>98</v>
      </c>
      <c r="I2081" s="5">
        <v>553.69000000000005</v>
      </c>
      <c r="J2081" s="57">
        <v>7.0000000000000007E-2</v>
      </c>
      <c r="K2081" s="3">
        <v>2.4</v>
      </c>
      <c r="L2081" s="2" t="s">
        <v>226</v>
      </c>
      <c r="M2081" s="2" t="s">
        <v>12</v>
      </c>
      <c r="N2081" s="2" t="s">
        <v>12</v>
      </c>
      <c r="O2081" s="2" t="s">
        <v>12</v>
      </c>
      <c r="P2081" s="21" t="s">
        <v>12</v>
      </c>
      <c r="Q2081" s="3" t="s">
        <v>12</v>
      </c>
      <c r="R2081" s="3"/>
    </row>
    <row r="2082" spans="1:19" x14ac:dyDescent="0.25">
      <c r="A2082" s="30">
        <v>45988</v>
      </c>
      <c r="B2082" s="28">
        <v>2072</v>
      </c>
      <c r="C2082" s="28"/>
      <c r="D2082" s="2" t="s">
        <v>311</v>
      </c>
      <c r="E2082" s="7" t="s">
        <v>2421</v>
      </c>
      <c r="F2082" s="7"/>
      <c r="G2082" s="2" t="s">
        <v>97</v>
      </c>
      <c r="H2082" s="2" t="s">
        <v>611</v>
      </c>
      <c r="I2082" s="5">
        <v>178655.6</v>
      </c>
      <c r="J2082" s="57">
        <v>7.0000000000000007E-2</v>
      </c>
      <c r="K2082" s="3">
        <v>1728</v>
      </c>
      <c r="L2082" s="2" t="s">
        <v>226</v>
      </c>
      <c r="M2082" s="2" t="s">
        <v>12</v>
      </c>
      <c r="N2082" s="2" t="s">
        <v>12</v>
      </c>
      <c r="O2082" s="2" t="s">
        <v>12</v>
      </c>
      <c r="P2082" s="21" t="s">
        <v>12</v>
      </c>
      <c r="Q2082" s="3" t="s">
        <v>12</v>
      </c>
      <c r="R2082" s="3" t="s">
        <v>12</v>
      </c>
    </row>
    <row r="2083" spans="1:19" x14ac:dyDescent="0.25">
      <c r="A2083" s="30">
        <v>45988</v>
      </c>
      <c r="B2083" s="28">
        <v>2073</v>
      </c>
      <c r="C2083" s="28"/>
      <c r="D2083" s="2" t="s">
        <v>1615</v>
      </c>
      <c r="E2083" s="7" t="s">
        <v>12</v>
      </c>
      <c r="F2083" s="7"/>
      <c r="G2083" s="2" t="s">
        <v>13</v>
      </c>
      <c r="H2083" s="2" t="s">
        <v>2422</v>
      </c>
      <c r="I2083" s="5">
        <v>758.27</v>
      </c>
      <c r="J2083" s="57">
        <v>7.0000000000000007E-2</v>
      </c>
      <c r="K2083" s="3" t="s">
        <v>12</v>
      </c>
      <c r="L2083" s="2" t="s">
        <v>64</v>
      </c>
      <c r="M2083" s="2" t="s">
        <v>12</v>
      </c>
      <c r="N2083" s="2" t="s">
        <v>12</v>
      </c>
      <c r="O2083" s="2" t="s">
        <v>12</v>
      </c>
      <c r="P2083" s="21" t="s">
        <v>12</v>
      </c>
      <c r="Q2083" s="3" t="s">
        <v>12</v>
      </c>
      <c r="R2083" s="3" t="s">
        <v>12</v>
      </c>
      <c r="S2083" t="s">
        <v>12</v>
      </c>
    </row>
    <row r="2084" spans="1:19" x14ac:dyDescent="0.25">
      <c r="A2084" s="30">
        <v>45988</v>
      </c>
      <c r="B2084" s="28">
        <v>2074</v>
      </c>
      <c r="C2084" s="28"/>
      <c r="D2084" s="2" t="s">
        <v>2423</v>
      </c>
      <c r="E2084" s="7" t="s">
        <v>12</v>
      </c>
      <c r="F2084" s="7"/>
      <c r="G2084" s="2" t="s">
        <v>13</v>
      </c>
      <c r="H2084" s="2" t="s">
        <v>369</v>
      </c>
      <c r="I2084" s="5">
        <v>1040</v>
      </c>
      <c r="J2084" s="57">
        <v>7.0000000000000007E-2</v>
      </c>
      <c r="K2084" s="3" t="s">
        <v>12</v>
      </c>
      <c r="L2084" s="2" t="s">
        <v>226</v>
      </c>
      <c r="M2084" s="2" t="s">
        <v>12</v>
      </c>
      <c r="N2084" s="2" t="s">
        <v>12</v>
      </c>
      <c r="O2084" s="2" t="s">
        <v>12</v>
      </c>
      <c r="P2084" s="21" t="s">
        <v>12</v>
      </c>
      <c r="Q2084" s="3" t="s">
        <v>12</v>
      </c>
      <c r="R2084" s="3" t="s">
        <v>12</v>
      </c>
    </row>
    <row r="2085" spans="1:19" x14ac:dyDescent="0.25">
      <c r="A2085" s="30">
        <v>45989</v>
      </c>
      <c r="B2085" s="28">
        <v>2075</v>
      </c>
      <c r="C2085" s="28"/>
      <c r="D2085" s="2" t="s">
        <v>130</v>
      </c>
      <c r="E2085" s="7" t="s">
        <v>2424</v>
      </c>
      <c r="F2085" s="7"/>
      <c r="G2085" s="2" t="s">
        <v>26</v>
      </c>
      <c r="H2085" s="2" t="s">
        <v>2053</v>
      </c>
      <c r="I2085" s="5">
        <v>34786.54</v>
      </c>
      <c r="J2085" s="57">
        <v>7.0000000000000007E-2</v>
      </c>
      <c r="K2085" s="3">
        <v>408</v>
      </c>
      <c r="L2085" s="2" t="s">
        <v>226</v>
      </c>
      <c r="M2085" s="2" t="s">
        <v>12</v>
      </c>
      <c r="N2085" s="2" t="s">
        <v>12</v>
      </c>
      <c r="O2085" s="2" t="s">
        <v>12</v>
      </c>
      <c r="P2085" s="21" t="s">
        <v>12</v>
      </c>
      <c r="Q2085" s="3" t="s">
        <v>2436</v>
      </c>
      <c r="R2085" s="3" t="s">
        <v>75</v>
      </c>
    </row>
    <row r="2086" spans="1:19" x14ac:dyDescent="0.25">
      <c r="A2086" s="30">
        <v>45989</v>
      </c>
      <c r="B2086" s="28">
        <v>2076</v>
      </c>
      <c r="C2086" s="28"/>
      <c r="D2086" s="2" t="s">
        <v>2425</v>
      </c>
      <c r="E2086" s="7" t="s">
        <v>2426</v>
      </c>
      <c r="F2086" s="7"/>
      <c r="G2086" s="2" t="s">
        <v>43</v>
      </c>
      <c r="H2086" s="2" t="s">
        <v>263</v>
      </c>
      <c r="I2086" s="5">
        <v>176528.81</v>
      </c>
      <c r="J2086" s="57">
        <v>7.0000000000000007E-2</v>
      </c>
      <c r="K2086" s="3">
        <v>1776</v>
      </c>
      <c r="L2086" s="2" t="s">
        <v>64</v>
      </c>
      <c r="M2086" s="2" t="s">
        <v>12</v>
      </c>
      <c r="N2086" s="2" t="s">
        <v>12</v>
      </c>
      <c r="O2086" s="2" t="s">
        <v>12</v>
      </c>
      <c r="P2086" s="21" t="s">
        <v>12</v>
      </c>
      <c r="Q2086" s="3" t="s">
        <v>2437</v>
      </c>
      <c r="R2086" s="3" t="s">
        <v>75</v>
      </c>
    </row>
    <row r="2087" spans="1:19" x14ac:dyDescent="0.25">
      <c r="A2087" s="30">
        <v>45989</v>
      </c>
      <c r="B2087" s="28">
        <v>2077</v>
      </c>
      <c r="C2087" s="28"/>
      <c r="D2087" s="2" t="s">
        <v>2144</v>
      </c>
      <c r="E2087" s="7" t="s">
        <v>2427</v>
      </c>
      <c r="F2087" s="7"/>
      <c r="G2087" s="2" t="s">
        <v>20</v>
      </c>
      <c r="H2087" s="2" t="s">
        <v>2428</v>
      </c>
      <c r="I2087" s="5">
        <v>47369.919999999998</v>
      </c>
      <c r="J2087" s="57">
        <v>7.0000000000000007E-2</v>
      </c>
      <c r="K2087" s="3">
        <v>480</v>
      </c>
      <c r="L2087" s="2" t="s">
        <v>226</v>
      </c>
      <c r="M2087" s="2" t="s">
        <v>12</v>
      </c>
      <c r="N2087" s="2" t="s">
        <v>12</v>
      </c>
      <c r="O2087" s="2" t="s">
        <v>12</v>
      </c>
      <c r="P2087" s="21" t="s">
        <v>12</v>
      </c>
      <c r="Q2087" s="3" t="s">
        <v>12</v>
      </c>
      <c r="R2087" s="3" t="s">
        <v>12</v>
      </c>
    </row>
    <row r="2088" spans="1:19" x14ac:dyDescent="0.25">
      <c r="A2088" s="30">
        <v>45989</v>
      </c>
      <c r="B2088" s="28">
        <v>2078</v>
      </c>
      <c r="C2088" s="28"/>
      <c r="D2088" s="2" t="s">
        <v>103</v>
      </c>
      <c r="E2088" s="7" t="s">
        <v>12</v>
      </c>
      <c r="F2088" s="7"/>
      <c r="G2088" s="2" t="s">
        <v>13</v>
      </c>
      <c r="H2088" s="2" t="s">
        <v>491</v>
      </c>
      <c r="I2088" s="5">
        <v>839.05</v>
      </c>
      <c r="J2088" s="57">
        <v>7.0000000000000007E-2</v>
      </c>
      <c r="K2088" s="3" t="s">
        <v>12</v>
      </c>
      <c r="L2088" s="2" t="s">
        <v>226</v>
      </c>
      <c r="M2088" s="2" t="s">
        <v>12</v>
      </c>
      <c r="N2088" s="2" t="s">
        <v>12</v>
      </c>
      <c r="O2088" s="2" t="s">
        <v>12</v>
      </c>
      <c r="P2088" s="21" t="s">
        <v>12</v>
      </c>
      <c r="Q2088" s="3" t="s">
        <v>12</v>
      </c>
      <c r="R2088" s="3" t="s">
        <v>12</v>
      </c>
    </row>
    <row r="2089" spans="1:19" x14ac:dyDescent="0.25">
      <c r="A2089" s="30">
        <v>45992</v>
      </c>
      <c r="B2089" s="28">
        <v>2079</v>
      </c>
      <c r="C2089" s="28"/>
      <c r="D2089" s="2" t="s">
        <v>45</v>
      </c>
      <c r="E2089" s="7" t="s">
        <v>2374</v>
      </c>
      <c r="F2089" s="7"/>
      <c r="G2089" s="2" t="s">
        <v>20</v>
      </c>
      <c r="H2089" s="2" t="s">
        <v>121</v>
      </c>
      <c r="I2089" s="5">
        <v>524755.91</v>
      </c>
      <c r="J2089" s="57">
        <v>7.0000000000000007E-2</v>
      </c>
      <c r="K2089" s="3">
        <v>5055.6000000000004</v>
      </c>
      <c r="L2089" s="2" t="s">
        <v>226</v>
      </c>
      <c r="M2089" s="2" t="s">
        <v>12</v>
      </c>
      <c r="N2089" s="2" t="s">
        <v>12</v>
      </c>
      <c r="O2089" s="2" t="s">
        <v>12</v>
      </c>
      <c r="P2089" s="21" t="s">
        <v>12</v>
      </c>
      <c r="Q2089" s="3" t="s">
        <v>124</v>
      </c>
      <c r="R2089" s="3" t="s">
        <v>955</v>
      </c>
    </row>
    <row r="2090" spans="1:19" x14ac:dyDescent="0.25">
      <c r="A2090" s="30">
        <v>45992</v>
      </c>
      <c r="B2090" s="28">
        <v>2080</v>
      </c>
      <c r="C2090" s="28"/>
      <c r="D2090" s="2" t="s">
        <v>2429</v>
      </c>
      <c r="E2090" s="7" t="s">
        <v>12</v>
      </c>
      <c r="F2090" s="7"/>
      <c r="G2090" s="2" t="s">
        <v>13</v>
      </c>
      <c r="H2090" s="2" t="s">
        <v>13</v>
      </c>
      <c r="I2090" s="5">
        <v>20522.79</v>
      </c>
      <c r="J2090" s="57">
        <v>7.0000000000000007E-2</v>
      </c>
      <c r="K2090" s="3">
        <v>120</v>
      </c>
      <c r="L2090" s="2" t="s">
        <v>226</v>
      </c>
      <c r="M2090" s="2" t="s">
        <v>12</v>
      </c>
      <c r="N2090" s="2" t="s">
        <v>12</v>
      </c>
      <c r="O2090" s="2" t="s">
        <v>12</v>
      </c>
      <c r="P2090" s="21" t="s">
        <v>12</v>
      </c>
      <c r="Q2090" s="3" t="s">
        <v>12</v>
      </c>
      <c r="R2090" s="3" t="s">
        <v>12</v>
      </c>
    </row>
    <row r="2091" spans="1:19" x14ac:dyDescent="0.25">
      <c r="A2091" s="30">
        <v>45992</v>
      </c>
      <c r="B2091" s="28">
        <v>2081</v>
      </c>
      <c r="C2091" s="28"/>
      <c r="D2091" s="2" t="s">
        <v>2429</v>
      </c>
      <c r="E2091" s="7" t="s">
        <v>12</v>
      </c>
      <c r="F2091" s="7"/>
      <c r="G2091" s="2" t="s">
        <v>13</v>
      </c>
      <c r="H2091" s="2" t="s">
        <v>13</v>
      </c>
      <c r="I2091" s="5">
        <v>18492.53</v>
      </c>
      <c r="J2091" s="57">
        <v>7.0000000000000007E-2</v>
      </c>
      <c r="K2091" s="3">
        <v>144</v>
      </c>
      <c r="L2091" s="2" t="s">
        <v>226</v>
      </c>
      <c r="M2091" s="2" t="s">
        <v>12</v>
      </c>
      <c r="N2091" s="2" t="s">
        <v>12</v>
      </c>
      <c r="O2091" s="2" t="s">
        <v>12</v>
      </c>
      <c r="P2091" s="21" t="s">
        <v>12</v>
      </c>
      <c r="Q2091" s="3" t="s">
        <v>12</v>
      </c>
      <c r="R2091" s="3" t="s">
        <v>12</v>
      </c>
    </row>
    <row r="2092" spans="1:19" x14ac:dyDescent="0.25">
      <c r="A2092" s="30">
        <v>45992</v>
      </c>
      <c r="B2092" s="28">
        <v>2082</v>
      </c>
      <c r="C2092" s="28"/>
      <c r="D2092" s="2" t="s">
        <v>2334</v>
      </c>
      <c r="E2092" s="7" t="s">
        <v>2374</v>
      </c>
      <c r="F2092" s="7"/>
      <c r="G2092" s="2" t="s">
        <v>111</v>
      </c>
      <c r="H2092" s="2" t="s">
        <v>2550</v>
      </c>
      <c r="I2092" s="5">
        <v>486583.8</v>
      </c>
      <c r="J2092" s="57">
        <v>7.0000000000000007E-2</v>
      </c>
      <c r="K2092" s="3" t="s">
        <v>12</v>
      </c>
      <c r="L2092" s="2" t="s">
        <v>226</v>
      </c>
      <c r="M2092" s="2" t="s">
        <v>12</v>
      </c>
      <c r="N2092" s="2" t="s">
        <v>12</v>
      </c>
      <c r="O2092" s="2" t="s">
        <v>12</v>
      </c>
      <c r="P2092" s="21" t="s">
        <v>12</v>
      </c>
      <c r="Q2092" s="3" t="s">
        <v>12</v>
      </c>
      <c r="R2092" s="3" t="s">
        <v>12</v>
      </c>
    </row>
    <row r="2093" spans="1:19" x14ac:dyDescent="0.25">
      <c r="A2093" s="30">
        <v>45992</v>
      </c>
      <c r="B2093" s="28">
        <v>2083</v>
      </c>
      <c r="C2093" s="28"/>
      <c r="D2093" s="2" t="s">
        <v>336</v>
      </c>
      <c r="E2093" s="7" t="s">
        <v>12</v>
      </c>
      <c r="F2093" s="7"/>
      <c r="G2093" s="2" t="s">
        <v>20</v>
      </c>
      <c r="H2093" s="2" t="s">
        <v>2150</v>
      </c>
      <c r="I2093" s="5">
        <v>10128.56</v>
      </c>
      <c r="J2093" s="57">
        <v>0.03</v>
      </c>
      <c r="K2093" s="3">
        <v>144</v>
      </c>
      <c r="L2093" s="2" t="s">
        <v>64</v>
      </c>
      <c r="M2093" s="2" t="s">
        <v>12</v>
      </c>
      <c r="N2093" s="2" t="s">
        <v>12</v>
      </c>
      <c r="O2093" s="2" t="s">
        <v>12</v>
      </c>
      <c r="P2093" s="21" t="s">
        <v>12</v>
      </c>
      <c r="Q2093" s="3" t="s">
        <v>12</v>
      </c>
      <c r="R2093" s="3" t="s">
        <v>12</v>
      </c>
    </row>
    <row r="2094" spans="1:19" x14ac:dyDescent="0.25">
      <c r="A2094" s="30">
        <v>45992</v>
      </c>
      <c r="B2094" s="28">
        <v>2084</v>
      </c>
      <c r="C2094" s="28"/>
      <c r="D2094" s="2" t="s">
        <v>1596</v>
      </c>
      <c r="E2094" s="7" t="s">
        <v>2374</v>
      </c>
      <c r="F2094" s="7"/>
      <c r="G2094" s="2" t="s">
        <v>43</v>
      </c>
      <c r="H2094" s="2" t="s">
        <v>319</v>
      </c>
      <c r="I2094" s="5">
        <v>524755.91</v>
      </c>
      <c r="J2094" s="57">
        <v>7.0000000000000007E-2</v>
      </c>
      <c r="K2094" s="3">
        <v>5055.6000000000004</v>
      </c>
      <c r="L2094" s="2" t="s">
        <v>226</v>
      </c>
      <c r="M2094" s="2" t="s">
        <v>12</v>
      </c>
      <c r="N2094" s="2" t="s">
        <v>12</v>
      </c>
      <c r="O2094" s="2" t="s">
        <v>12</v>
      </c>
      <c r="P2094" s="21" t="s">
        <v>12</v>
      </c>
      <c r="Q2094" s="3" t="s">
        <v>124</v>
      </c>
      <c r="R2094" s="3" t="s">
        <v>955</v>
      </c>
    </row>
    <row r="2095" spans="1:19" x14ac:dyDescent="0.25">
      <c r="A2095" s="30">
        <v>45992</v>
      </c>
      <c r="B2095" s="28">
        <v>2085</v>
      </c>
      <c r="C2095" s="28"/>
      <c r="D2095" s="2" t="s">
        <v>425</v>
      </c>
      <c r="E2095" s="7" t="s">
        <v>2374</v>
      </c>
      <c r="F2095" s="7"/>
      <c r="G2095" s="2" t="s">
        <v>26</v>
      </c>
      <c r="H2095" s="2" t="s">
        <v>491</v>
      </c>
      <c r="I2095" s="5">
        <v>524755.91</v>
      </c>
      <c r="J2095" s="57">
        <v>7.0000000000000007E-2</v>
      </c>
      <c r="K2095" s="3">
        <v>5055.6000000000004</v>
      </c>
      <c r="L2095" s="2" t="s">
        <v>226</v>
      </c>
      <c r="M2095" s="2" t="s">
        <v>12</v>
      </c>
      <c r="N2095" s="2" t="s">
        <v>12</v>
      </c>
      <c r="O2095" s="2" t="s">
        <v>12</v>
      </c>
      <c r="P2095" s="21" t="s">
        <v>12</v>
      </c>
      <c r="Q2095" s="3" t="s">
        <v>124</v>
      </c>
      <c r="R2095" s="3" t="s">
        <v>955</v>
      </c>
    </row>
    <row r="2096" spans="1:19" x14ac:dyDescent="0.25">
      <c r="A2096" s="30">
        <v>45992</v>
      </c>
      <c r="B2096" s="28">
        <v>2086</v>
      </c>
      <c r="C2096" s="28"/>
      <c r="D2096" s="2" t="s">
        <v>433</v>
      </c>
      <c r="E2096" s="7" t="s">
        <v>12</v>
      </c>
      <c r="F2096" s="7"/>
      <c r="G2096" s="2" t="s">
        <v>97</v>
      </c>
      <c r="H2096" s="2" t="s">
        <v>2079</v>
      </c>
      <c r="I2096" s="5">
        <v>1369.02</v>
      </c>
      <c r="J2096" s="57">
        <v>7.0000000000000007E-2</v>
      </c>
      <c r="K2096" s="3" t="s">
        <v>12</v>
      </c>
      <c r="L2096" s="2" t="s">
        <v>226</v>
      </c>
      <c r="M2096" s="2" t="s">
        <v>12</v>
      </c>
      <c r="N2096" s="2" t="s">
        <v>12</v>
      </c>
      <c r="O2096" s="2" t="s">
        <v>12</v>
      </c>
      <c r="P2096" s="21" t="s">
        <v>12</v>
      </c>
      <c r="Q2096" s="3" t="s">
        <v>12</v>
      </c>
      <c r="R2096" s="3" t="s">
        <v>12</v>
      </c>
    </row>
    <row r="2097" spans="1:18" x14ac:dyDescent="0.25">
      <c r="A2097" s="30">
        <v>45993</v>
      </c>
      <c r="B2097" s="28">
        <v>2087</v>
      </c>
      <c r="C2097" s="28" t="s">
        <v>2161</v>
      </c>
      <c r="D2097" s="2" t="s">
        <v>1955</v>
      </c>
      <c r="E2097" s="7" t="s">
        <v>12</v>
      </c>
      <c r="F2097" s="7"/>
      <c r="G2097" s="2" t="s">
        <v>13</v>
      </c>
      <c r="H2097" s="2" t="s">
        <v>417</v>
      </c>
      <c r="I2097" s="5">
        <v>2157.9299999999998</v>
      </c>
      <c r="J2097" s="57">
        <v>0.04</v>
      </c>
      <c r="K2097" s="3">
        <v>28.8</v>
      </c>
      <c r="L2097" s="2" t="s">
        <v>226</v>
      </c>
      <c r="M2097" s="2" t="s">
        <v>12</v>
      </c>
      <c r="N2097" s="2" t="s">
        <v>12</v>
      </c>
      <c r="O2097" s="2" t="s">
        <v>12</v>
      </c>
      <c r="P2097" s="21" t="s">
        <v>12</v>
      </c>
      <c r="Q2097" s="3" t="s">
        <v>12</v>
      </c>
      <c r="R2097" s="3" t="s">
        <v>12</v>
      </c>
    </row>
    <row r="2098" spans="1:18" x14ac:dyDescent="0.25">
      <c r="A2098" s="30">
        <v>45993</v>
      </c>
      <c r="B2098" s="28">
        <v>2088</v>
      </c>
      <c r="C2098" s="28"/>
      <c r="D2098" s="2" t="s">
        <v>2378</v>
      </c>
      <c r="E2098" s="7" t="s">
        <v>2374</v>
      </c>
      <c r="F2098" s="7"/>
      <c r="G2098" s="2" t="s">
        <v>26</v>
      </c>
      <c r="H2098" s="2" t="s">
        <v>427</v>
      </c>
      <c r="I2098" s="5">
        <v>524755.91</v>
      </c>
      <c r="J2098" s="57">
        <v>7.0000000000000007E-2</v>
      </c>
      <c r="K2098" s="3">
        <v>5055.6000000000004</v>
      </c>
      <c r="L2098" s="2" t="s">
        <v>226</v>
      </c>
      <c r="M2098" s="2" t="s">
        <v>12</v>
      </c>
      <c r="N2098" s="2" t="s">
        <v>12</v>
      </c>
      <c r="O2098" s="2" t="s">
        <v>12</v>
      </c>
      <c r="P2098" s="21" t="s">
        <v>12</v>
      </c>
      <c r="Q2098" s="3" t="s">
        <v>124</v>
      </c>
      <c r="R2098" s="3" t="s">
        <v>955</v>
      </c>
    </row>
    <row r="2099" spans="1:18" x14ac:dyDescent="0.25">
      <c r="A2099" s="30">
        <v>45993</v>
      </c>
      <c r="B2099" s="28">
        <v>2089</v>
      </c>
      <c r="C2099" s="28"/>
      <c r="D2099" s="2" t="s">
        <v>109</v>
      </c>
      <c r="E2099" s="7" t="s">
        <v>2430</v>
      </c>
      <c r="F2099" s="7"/>
      <c r="G2099" s="2" t="s">
        <v>111</v>
      </c>
      <c r="H2099" s="2" t="s">
        <v>112</v>
      </c>
      <c r="I2099" s="5">
        <v>127552.74</v>
      </c>
      <c r="J2099" s="57">
        <v>7.0000000000000007E-2</v>
      </c>
      <c r="K2099" s="3">
        <v>1560</v>
      </c>
      <c r="L2099" s="2" t="s">
        <v>226</v>
      </c>
      <c r="M2099" s="2" t="s">
        <v>12</v>
      </c>
      <c r="N2099" s="2" t="s">
        <v>12</v>
      </c>
      <c r="O2099" s="2" t="s">
        <v>12</v>
      </c>
      <c r="P2099" s="21" t="s">
        <v>12</v>
      </c>
      <c r="Q2099" s="3" t="s">
        <v>12</v>
      </c>
      <c r="R2099" s="3" t="s">
        <v>12</v>
      </c>
    </row>
    <row r="2100" spans="1:18" x14ac:dyDescent="0.25">
      <c r="A2100" s="30">
        <v>45994</v>
      </c>
      <c r="B2100" s="28">
        <v>2090</v>
      </c>
      <c r="C2100" s="28" t="s">
        <v>2229</v>
      </c>
      <c r="D2100" s="2" t="s">
        <v>1596</v>
      </c>
      <c r="E2100" s="7" t="s">
        <v>12</v>
      </c>
      <c r="F2100" s="7"/>
      <c r="G2100" s="2" t="s">
        <v>43</v>
      </c>
      <c r="H2100" s="2" t="s">
        <v>751</v>
      </c>
      <c r="I2100" s="5">
        <v>46821.35</v>
      </c>
      <c r="J2100" s="57">
        <v>0.05</v>
      </c>
      <c r="K2100" s="3">
        <v>480</v>
      </c>
      <c r="L2100" s="2" t="s">
        <v>64</v>
      </c>
      <c r="M2100" s="2" t="s">
        <v>12</v>
      </c>
      <c r="N2100" s="2" t="s">
        <v>12</v>
      </c>
      <c r="O2100" s="2" t="s">
        <v>12</v>
      </c>
      <c r="P2100" s="21" t="s">
        <v>12</v>
      </c>
      <c r="Q2100" s="3" t="s">
        <v>12</v>
      </c>
      <c r="R2100" s="3" t="s">
        <v>12</v>
      </c>
    </row>
    <row r="2101" spans="1:18" x14ac:dyDescent="0.25">
      <c r="A2101" s="30">
        <v>45994</v>
      </c>
      <c r="B2101" s="28">
        <v>2091</v>
      </c>
      <c r="C2101" s="28"/>
      <c r="D2101" s="2" t="s">
        <v>212</v>
      </c>
      <c r="E2101" s="7" t="s">
        <v>2431</v>
      </c>
      <c r="F2101" s="7"/>
      <c r="G2101" s="2" t="s">
        <v>20</v>
      </c>
      <c r="H2101" s="2" t="s">
        <v>20</v>
      </c>
      <c r="I2101" s="5">
        <v>1258583.75</v>
      </c>
      <c r="J2101" s="57">
        <v>7.0000000000000007E-2</v>
      </c>
      <c r="K2101" s="3">
        <v>13968</v>
      </c>
      <c r="L2101" s="2" t="s">
        <v>226</v>
      </c>
      <c r="M2101" s="2" t="s">
        <v>12</v>
      </c>
      <c r="N2101" s="2" t="s">
        <v>12</v>
      </c>
      <c r="O2101" s="2" t="s">
        <v>12</v>
      </c>
      <c r="P2101" s="21" t="s">
        <v>12</v>
      </c>
      <c r="Q2101" s="3" t="s">
        <v>75</v>
      </c>
      <c r="R2101" s="3" t="s">
        <v>75</v>
      </c>
    </row>
    <row r="2102" spans="1:18" x14ac:dyDescent="0.25">
      <c r="A2102" s="30">
        <v>41334</v>
      </c>
      <c r="B2102" s="28">
        <v>2092</v>
      </c>
      <c r="C2102" s="28"/>
      <c r="D2102" s="2" t="s">
        <v>925</v>
      </c>
      <c r="E2102" s="7" t="s">
        <v>2432</v>
      </c>
      <c r="F2102" s="7"/>
      <c r="G2102" s="2" t="s">
        <v>26</v>
      </c>
      <c r="H2102" s="2" t="s">
        <v>1187</v>
      </c>
      <c r="I2102" s="5">
        <v>5954.22</v>
      </c>
      <c r="J2102" s="57">
        <v>0.04</v>
      </c>
      <c r="K2102" s="3">
        <v>96</v>
      </c>
      <c r="L2102" s="2" t="s">
        <v>64</v>
      </c>
      <c r="M2102" s="2" t="s">
        <v>12</v>
      </c>
      <c r="N2102" s="2" t="s">
        <v>12</v>
      </c>
      <c r="O2102" s="2" t="s">
        <v>12</v>
      </c>
      <c r="P2102" s="21" t="s">
        <v>12</v>
      </c>
      <c r="Q2102" s="3" t="s">
        <v>12</v>
      </c>
      <c r="R2102" s="3" t="s">
        <v>12</v>
      </c>
    </row>
    <row r="2103" spans="1:18" x14ac:dyDescent="0.25">
      <c r="A2103" s="30">
        <v>41334</v>
      </c>
      <c r="B2103" s="28">
        <v>2093</v>
      </c>
      <c r="C2103" s="28" t="s">
        <v>2161</v>
      </c>
      <c r="D2103" s="2" t="s">
        <v>1879</v>
      </c>
      <c r="E2103" s="7" t="s">
        <v>12</v>
      </c>
      <c r="F2103" s="7"/>
      <c r="G2103" s="2" t="s">
        <v>20</v>
      </c>
      <c r="H2103" s="2" t="s">
        <v>91</v>
      </c>
      <c r="I2103" s="5">
        <v>51819.199999999997</v>
      </c>
      <c r="J2103" s="57">
        <v>0.03</v>
      </c>
      <c r="K2103" s="3">
        <v>720</v>
      </c>
      <c r="L2103" s="2" t="s">
        <v>64</v>
      </c>
      <c r="M2103" s="2" t="s">
        <v>12</v>
      </c>
      <c r="N2103" s="2" t="s">
        <v>12</v>
      </c>
      <c r="O2103" s="2" t="s">
        <v>12</v>
      </c>
      <c r="P2103" s="21" t="s">
        <v>12</v>
      </c>
      <c r="Q2103" s="3" t="s">
        <v>12</v>
      </c>
      <c r="R2103" s="3" t="s">
        <v>12</v>
      </c>
    </row>
    <row r="2104" spans="1:18" x14ac:dyDescent="0.25">
      <c r="A2104" s="30">
        <v>45994</v>
      </c>
      <c r="B2104" s="28">
        <v>2094</v>
      </c>
      <c r="C2104" s="28"/>
      <c r="D2104" s="2" t="s">
        <v>41</v>
      </c>
      <c r="E2104" s="7" t="s">
        <v>2433</v>
      </c>
      <c r="F2104" s="7"/>
      <c r="G2104" s="2" t="s">
        <v>43</v>
      </c>
      <c r="H2104" s="2" t="s">
        <v>417</v>
      </c>
      <c r="I2104" s="5">
        <v>38899.25</v>
      </c>
      <c r="J2104" s="57">
        <v>7.0000000000000007E-2</v>
      </c>
      <c r="K2104" s="3">
        <v>384</v>
      </c>
      <c r="L2104" s="2" t="s">
        <v>226</v>
      </c>
      <c r="M2104" s="2" t="s">
        <v>12</v>
      </c>
      <c r="N2104" s="2" t="s">
        <v>12</v>
      </c>
      <c r="O2104" s="2" t="s">
        <v>12</v>
      </c>
      <c r="P2104" s="21" t="s">
        <v>12</v>
      </c>
      <c r="Q2104" s="3" t="s">
        <v>2361</v>
      </c>
      <c r="R2104" s="3" t="s">
        <v>222</v>
      </c>
    </row>
    <row r="2105" spans="1:18" x14ac:dyDescent="0.25">
      <c r="A2105" s="30">
        <v>45994</v>
      </c>
      <c r="B2105" s="28">
        <v>2095</v>
      </c>
      <c r="C2105" s="28"/>
      <c r="D2105" s="2" t="s">
        <v>70</v>
      </c>
      <c r="E2105" s="7" t="s">
        <v>2434</v>
      </c>
      <c r="F2105" s="7"/>
      <c r="G2105" s="2" t="s">
        <v>13</v>
      </c>
      <c r="H2105" s="2" t="s">
        <v>72</v>
      </c>
      <c r="I2105" s="5">
        <v>113195.16</v>
      </c>
      <c r="J2105" s="57">
        <v>7.0000000000000007E-2</v>
      </c>
      <c r="K2105" s="3">
        <v>1200</v>
      </c>
      <c r="L2105" s="2" t="s">
        <v>226</v>
      </c>
      <c r="M2105" s="2" t="s">
        <v>12</v>
      </c>
      <c r="N2105" s="2" t="s">
        <v>12</v>
      </c>
      <c r="O2105" s="2" t="s">
        <v>12</v>
      </c>
      <c r="P2105" s="21" t="s">
        <v>12</v>
      </c>
      <c r="Q2105" s="3" t="s">
        <v>12</v>
      </c>
      <c r="R2105" s="3" t="s">
        <v>12</v>
      </c>
    </row>
    <row r="2106" spans="1:18" x14ac:dyDescent="0.25">
      <c r="A2106" s="30">
        <v>46066</v>
      </c>
      <c r="B2106" s="28">
        <v>2096</v>
      </c>
      <c r="C2106" s="28"/>
      <c r="D2106" s="2" t="s">
        <v>308</v>
      </c>
      <c r="E2106" s="7" t="s">
        <v>2435</v>
      </c>
      <c r="F2106" s="7"/>
      <c r="G2106" s="2" t="s">
        <v>20</v>
      </c>
      <c r="H2106" s="2" t="s">
        <v>129</v>
      </c>
      <c r="I2106" s="5">
        <v>204870.3</v>
      </c>
      <c r="J2106" s="57">
        <v>0.04</v>
      </c>
      <c r="K2106" s="3">
        <v>2520</v>
      </c>
      <c r="L2106" s="2" t="s">
        <v>226</v>
      </c>
      <c r="M2106" s="2" t="s">
        <v>2774</v>
      </c>
      <c r="N2106" s="2" t="s">
        <v>12</v>
      </c>
      <c r="O2106" s="2" t="s">
        <v>12</v>
      </c>
      <c r="P2106" s="21" t="s">
        <v>12</v>
      </c>
      <c r="Q2106" s="3" t="s">
        <v>12</v>
      </c>
      <c r="R2106" s="3"/>
    </row>
    <row r="2107" spans="1:18" x14ac:dyDescent="0.25">
      <c r="A2107" s="30">
        <v>45995</v>
      </c>
      <c r="B2107" s="28">
        <v>2097</v>
      </c>
      <c r="C2107" s="28"/>
      <c r="D2107" s="2" t="s">
        <v>403</v>
      </c>
      <c r="E2107" s="7" t="s">
        <v>2440</v>
      </c>
      <c r="F2107" s="7"/>
      <c r="G2107" s="2" t="s">
        <v>43</v>
      </c>
      <c r="H2107" s="2" t="s">
        <v>43</v>
      </c>
      <c r="I2107" s="5">
        <v>16480.2</v>
      </c>
      <c r="J2107" s="57">
        <v>7.0000000000000007E-2</v>
      </c>
      <c r="K2107" s="3">
        <v>192</v>
      </c>
      <c r="L2107" s="2" t="s">
        <v>226</v>
      </c>
      <c r="M2107" s="2" t="s">
        <v>12</v>
      </c>
      <c r="N2107" s="2" t="s">
        <v>12</v>
      </c>
      <c r="O2107" s="2" t="s">
        <v>12</v>
      </c>
      <c r="P2107" s="21" t="s">
        <v>12</v>
      </c>
      <c r="Q2107" s="3" t="s">
        <v>12</v>
      </c>
      <c r="R2107" s="3" t="s">
        <v>12</v>
      </c>
    </row>
    <row r="2108" spans="1:18" x14ac:dyDescent="0.25">
      <c r="A2108" s="30">
        <v>45995</v>
      </c>
      <c r="B2108" s="28">
        <v>2098</v>
      </c>
      <c r="C2108" s="28"/>
      <c r="D2108" s="2" t="s">
        <v>130</v>
      </c>
      <c r="E2108" s="7" t="s">
        <v>2441</v>
      </c>
      <c r="F2108" s="7"/>
      <c r="G2108" s="2" t="s">
        <v>26</v>
      </c>
      <c r="H2108" s="2" t="s">
        <v>2053</v>
      </c>
      <c r="I2108" s="5">
        <v>183307.26</v>
      </c>
      <c r="J2108" s="57">
        <v>7.0000000000000007E-2</v>
      </c>
      <c r="K2108" s="3">
        <v>1800</v>
      </c>
      <c r="L2108" s="2" t="s">
        <v>134</v>
      </c>
      <c r="M2108" s="2" t="s">
        <v>1531</v>
      </c>
      <c r="N2108" s="2" t="s">
        <v>12</v>
      </c>
      <c r="O2108" s="2" t="s">
        <v>12</v>
      </c>
      <c r="P2108" s="21" t="s">
        <v>12</v>
      </c>
      <c r="Q2108" s="3"/>
      <c r="R2108" s="3"/>
    </row>
    <row r="2109" spans="1:18" x14ac:dyDescent="0.25">
      <c r="A2109" s="30">
        <v>45995</v>
      </c>
      <c r="B2109" s="28">
        <v>2099</v>
      </c>
      <c r="C2109" s="28"/>
      <c r="D2109" s="2" t="s">
        <v>2442</v>
      </c>
      <c r="E2109" s="7" t="s">
        <v>12</v>
      </c>
      <c r="F2109" s="7"/>
      <c r="G2109" s="2" t="s">
        <v>13</v>
      </c>
      <c r="H2109" s="2" t="s">
        <v>129</v>
      </c>
      <c r="I2109" s="5">
        <v>2577.8000000000002</v>
      </c>
      <c r="J2109" s="57">
        <v>7.0000000000000007E-2</v>
      </c>
      <c r="K2109" s="3">
        <v>24</v>
      </c>
      <c r="L2109" s="2" t="s">
        <v>226</v>
      </c>
      <c r="M2109" s="2" t="s">
        <v>12</v>
      </c>
      <c r="N2109" s="2" t="s">
        <v>12</v>
      </c>
      <c r="O2109" s="2" t="s">
        <v>12</v>
      </c>
      <c r="P2109" s="21" t="s">
        <v>12</v>
      </c>
      <c r="Q2109" s="3" t="s">
        <v>12</v>
      </c>
      <c r="R2109" s="3" t="s">
        <v>12</v>
      </c>
    </row>
    <row r="2110" spans="1:18" x14ac:dyDescent="0.25">
      <c r="A2110" s="30">
        <v>45995</v>
      </c>
      <c r="B2110" s="28">
        <v>2100</v>
      </c>
      <c r="C2110" s="28"/>
      <c r="D2110" s="2" t="s">
        <v>342</v>
      </c>
      <c r="E2110" s="7" t="s">
        <v>12</v>
      </c>
      <c r="F2110" s="7"/>
      <c r="G2110" s="2" t="s">
        <v>26</v>
      </c>
      <c r="H2110" s="2" t="s">
        <v>344</v>
      </c>
      <c r="I2110" s="5">
        <v>27523.8</v>
      </c>
      <c r="J2110" s="57">
        <v>7.0000000000000007E-2</v>
      </c>
      <c r="K2110" s="3">
        <v>360</v>
      </c>
      <c r="L2110" s="2" t="s">
        <v>226</v>
      </c>
      <c r="M2110" s="2" t="s">
        <v>12</v>
      </c>
      <c r="N2110" s="2" t="s">
        <v>12</v>
      </c>
      <c r="O2110" s="2" t="s">
        <v>12</v>
      </c>
      <c r="P2110" s="21" t="s">
        <v>12</v>
      </c>
      <c r="Q2110" s="3" t="s">
        <v>12</v>
      </c>
      <c r="R2110" s="3" t="s">
        <v>12</v>
      </c>
    </row>
    <row r="2111" spans="1:18" x14ac:dyDescent="0.25">
      <c r="A2111" s="30">
        <v>45996</v>
      </c>
      <c r="B2111" s="28">
        <v>2101</v>
      </c>
      <c r="C2111" s="28"/>
      <c r="D2111" s="2" t="s">
        <v>2349</v>
      </c>
      <c r="E2111" s="7" t="s">
        <v>2443</v>
      </c>
      <c r="F2111" s="7"/>
      <c r="G2111" s="2" t="s">
        <v>13</v>
      </c>
      <c r="H2111" s="2" t="s">
        <v>2444</v>
      </c>
      <c r="I2111" s="5">
        <v>103702.51</v>
      </c>
      <c r="J2111" s="57">
        <v>7.0000000000000007E-2</v>
      </c>
      <c r="K2111" s="3">
        <v>1104</v>
      </c>
      <c r="L2111" s="2" t="s">
        <v>226</v>
      </c>
      <c r="M2111" s="2" t="s">
        <v>12</v>
      </c>
      <c r="N2111" s="2" t="s">
        <v>12</v>
      </c>
      <c r="O2111" s="2" t="s">
        <v>12</v>
      </c>
      <c r="P2111" s="21" t="s">
        <v>12</v>
      </c>
      <c r="Q2111" s="3" t="s">
        <v>12</v>
      </c>
      <c r="R2111" s="3" t="s">
        <v>12</v>
      </c>
    </row>
    <row r="2112" spans="1:18" x14ac:dyDescent="0.25">
      <c r="A2112" s="30">
        <v>45996</v>
      </c>
      <c r="B2112" s="28">
        <v>2102</v>
      </c>
      <c r="C2112" s="28"/>
      <c r="D2112" s="2" t="s">
        <v>1954</v>
      </c>
      <c r="E2112" s="7" t="s">
        <v>12</v>
      </c>
      <c r="F2112" s="7"/>
      <c r="G2112" s="2" t="s">
        <v>13</v>
      </c>
      <c r="H2112" s="2" t="s">
        <v>368</v>
      </c>
      <c r="I2112" s="5">
        <v>13393.81</v>
      </c>
      <c r="J2112" s="57">
        <v>7.0000000000000007E-2</v>
      </c>
      <c r="K2112" s="3" t="s">
        <v>12</v>
      </c>
      <c r="L2112" s="2" t="s">
        <v>64</v>
      </c>
      <c r="M2112" s="2" t="s">
        <v>12</v>
      </c>
      <c r="N2112" s="2" t="s">
        <v>12</v>
      </c>
      <c r="O2112" s="2" t="s">
        <v>12</v>
      </c>
      <c r="P2112" s="21" t="s">
        <v>12</v>
      </c>
      <c r="Q2112" s="3" t="s">
        <v>12</v>
      </c>
      <c r="R2112" s="3" t="s">
        <v>12</v>
      </c>
    </row>
    <row r="2113" spans="1:18" x14ac:dyDescent="0.25">
      <c r="A2113" s="30">
        <v>45996</v>
      </c>
      <c r="B2113" s="28">
        <v>2103</v>
      </c>
      <c r="C2113" s="28"/>
      <c r="D2113" s="2" t="s">
        <v>41</v>
      </c>
      <c r="E2113" s="7" t="s">
        <v>2421</v>
      </c>
      <c r="F2113" s="7"/>
      <c r="G2113" s="2" t="s">
        <v>43</v>
      </c>
      <c r="H2113" s="2" t="s">
        <v>43</v>
      </c>
      <c r="I2113" s="5">
        <v>178655.6</v>
      </c>
      <c r="J2113" s="57">
        <v>7.0000000000000007E-2</v>
      </c>
      <c r="K2113" s="3">
        <v>1728</v>
      </c>
      <c r="L2113" s="2" t="s">
        <v>226</v>
      </c>
      <c r="M2113" s="2" t="s">
        <v>12</v>
      </c>
      <c r="N2113" s="2" t="s">
        <v>12</v>
      </c>
      <c r="O2113" s="2" t="s">
        <v>12</v>
      </c>
      <c r="P2113" s="21" t="s">
        <v>12</v>
      </c>
      <c r="Q2113" s="3"/>
      <c r="R2113" s="3"/>
    </row>
    <row r="2114" spans="1:18" x14ac:dyDescent="0.25">
      <c r="A2114" s="30">
        <v>45996</v>
      </c>
      <c r="B2114" s="28">
        <v>2104</v>
      </c>
      <c r="C2114" s="28"/>
      <c r="D2114" s="2" t="s">
        <v>70</v>
      </c>
      <c r="E2114" s="7" t="s">
        <v>2445</v>
      </c>
      <c r="F2114" s="7"/>
      <c r="G2114" s="2" t="s">
        <v>13</v>
      </c>
      <c r="H2114" s="2" t="s">
        <v>72</v>
      </c>
      <c r="I2114" s="5">
        <v>113195.16</v>
      </c>
      <c r="J2114" s="57">
        <v>7.0000000000000007E-2</v>
      </c>
      <c r="K2114" s="3">
        <v>1200</v>
      </c>
      <c r="L2114" s="2" t="s">
        <v>226</v>
      </c>
      <c r="M2114" s="2" t="s">
        <v>12</v>
      </c>
      <c r="N2114" s="2" t="s">
        <v>12</v>
      </c>
      <c r="O2114" s="2" t="s">
        <v>12</v>
      </c>
      <c r="P2114" s="21" t="s">
        <v>12</v>
      </c>
      <c r="Q2114" s="3"/>
      <c r="R2114" s="3"/>
    </row>
    <row r="2115" spans="1:18" x14ac:dyDescent="0.25">
      <c r="A2115" s="30">
        <v>45996</v>
      </c>
      <c r="B2115" s="28">
        <v>2105</v>
      </c>
      <c r="C2115" s="28"/>
      <c r="D2115" s="2" t="s">
        <v>1744</v>
      </c>
      <c r="E2115" s="7" t="s">
        <v>2446</v>
      </c>
      <c r="F2115" s="7"/>
      <c r="G2115" s="2" t="s">
        <v>111</v>
      </c>
      <c r="H2115" s="2" t="s">
        <v>383</v>
      </c>
      <c r="I2115" s="5">
        <v>17060.560000000001</v>
      </c>
      <c r="J2115" s="57">
        <v>0.06</v>
      </c>
      <c r="K2115" s="3">
        <v>168</v>
      </c>
      <c r="L2115" s="2" t="s">
        <v>64</v>
      </c>
      <c r="M2115" s="2" t="s">
        <v>12</v>
      </c>
      <c r="N2115" s="2" t="s">
        <v>12</v>
      </c>
      <c r="O2115" s="2" t="s">
        <v>12</v>
      </c>
      <c r="P2115" s="21" t="s">
        <v>12</v>
      </c>
      <c r="Q2115" s="3" t="s">
        <v>12</v>
      </c>
      <c r="R2115" s="3" t="s">
        <v>12</v>
      </c>
    </row>
    <row r="2116" spans="1:18" x14ac:dyDescent="0.25">
      <c r="A2116" s="30">
        <v>45996</v>
      </c>
      <c r="B2116" s="28">
        <v>2106</v>
      </c>
      <c r="C2116" s="28"/>
      <c r="D2116" s="2" t="s">
        <v>353</v>
      </c>
      <c r="E2116" s="7" t="s">
        <v>2374</v>
      </c>
      <c r="F2116" s="7"/>
      <c r="G2116" s="2" t="s">
        <v>13</v>
      </c>
      <c r="H2116" s="2" t="s">
        <v>1892</v>
      </c>
      <c r="I2116" s="5">
        <v>524755.91</v>
      </c>
      <c r="J2116" s="57">
        <v>7.0000000000000007E-2</v>
      </c>
      <c r="K2116" s="3">
        <v>5055.6000000000004</v>
      </c>
      <c r="L2116" s="2" t="s">
        <v>226</v>
      </c>
      <c r="M2116" s="2" t="s">
        <v>12</v>
      </c>
      <c r="N2116" s="2" t="s">
        <v>12</v>
      </c>
      <c r="O2116" s="2" t="s">
        <v>12</v>
      </c>
      <c r="P2116" s="21" t="s">
        <v>12</v>
      </c>
      <c r="Q2116" s="3"/>
      <c r="R2116" s="3"/>
    </row>
    <row r="2117" spans="1:18" x14ac:dyDescent="0.25">
      <c r="A2117" s="30">
        <v>45996</v>
      </c>
      <c r="B2117" s="28">
        <v>2107</v>
      </c>
      <c r="C2117" s="28" t="s">
        <v>2161</v>
      </c>
      <c r="D2117" s="2" t="s">
        <v>2447</v>
      </c>
      <c r="E2117" s="7" t="s">
        <v>12</v>
      </c>
      <c r="F2117" s="7"/>
      <c r="G2117" s="2" t="s">
        <v>13</v>
      </c>
      <c r="H2117" s="2" t="s">
        <v>677</v>
      </c>
      <c r="I2117" s="5">
        <v>72853.2</v>
      </c>
      <c r="J2117" s="57">
        <v>7.0000000000000007E-2</v>
      </c>
      <c r="K2117" s="3">
        <v>1440</v>
      </c>
      <c r="L2117" s="2" t="s">
        <v>64</v>
      </c>
      <c r="M2117" s="2" t="s">
        <v>12</v>
      </c>
      <c r="N2117" s="2" t="s">
        <v>12</v>
      </c>
      <c r="O2117" s="2" t="s">
        <v>12</v>
      </c>
      <c r="P2117" s="21" t="s">
        <v>12</v>
      </c>
      <c r="Q2117" s="3" t="s">
        <v>12</v>
      </c>
      <c r="R2117" s="3" t="s">
        <v>12</v>
      </c>
    </row>
    <row r="2118" spans="1:18" x14ac:dyDescent="0.25">
      <c r="A2118" s="30">
        <v>45999</v>
      </c>
      <c r="B2118" s="28">
        <v>2108</v>
      </c>
      <c r="C2118" s="28"/>
      <c r="D2118" s="2" t="s">
        <v>1523</v>
      </c>
      <c r="E2118" s="7" t="s">
        <v>2448</v>
      </c>
      <c r="F2118" s="7"/>
      <c r="G2118" s="2" t="s">
        <v>111</v>
      </c>
      <c r="H2118" s="2" t="s">
        <v>1168</v>
      </c>
      <c r="I2118" s="5">
        <v>956429.29</v>
      </c>
      <c r="J2118" s="57">
        <v>7.0000000000000007E-2</v>
      </c>
      <c r="K2118" s="3">
        <v>9048</v>
      </c>
      <c r="L2118" s="2" t="s">
        <v>226</v>
      </c>
      <c r="M2118" s="2" t="s">
        <v>12</v>
      </c>
      <c r="N2118" s="2" t="s">
        <v>12</v>
      </c>
      <c r="O2118" s="2" t="s">
        <v>12</v>
      </c>
      <c r="P2118" s="21" t="s">
        <v>12</v>
      </c>
      <c r="Q2118" s="3"/>
      <c r="R2118" s="3"/>
    </row>
    <row r="2119" spans="1:18" x14ac:dyDescent="0.25">
      <c r="A2119" s="30">
        <v>45999</v>
      </c>
      <c r="B2119" s="28">
        <v>2109</v>
      </c>
      <c r="C2119" s="28"/>
      <c r="D2119" s="2" t="s">
        <v>95</v>
      </c>
      <c r="E2119" s="7" t="s">
        <v>2449</v>
      </c>
      <c r="F2119" s="7"/>
      <c r="G2119" s="2" t="s">
        <v>97</v>
      </c>
      <c r="H2119" s="2" t="s">
        <v>98</v>
      </c>
      <c r="I2119" s="5">
        <v>13438.76</v>
      </c>
      <c r="J2119" s="57">
        <v>7.0000000000000007E-2</v>
      </c>
      <c r="K2119" s="3" t="s">
        <v>12</v>
      </c>
      <c r="L2119" s="2" t="s">
        <v>64</v>
      </c>
      <c r="M2119" s="2" t="s">
        <v>12</v>
      </c>
      <c r="N2119" s="2" t="s">
        <v>12</v>
      </c>
      <c r="O2119" s="2" t="s">
        <v>12</v>
      </c>
      <c r="P2119" s="21" t="s">
        <v>12</v>
      </c>
      <c r="Q2119" s="3" t="s">
        <v>12</v>
      </c>
      <c r="R2119" s="3" t="s">
        <v>12</v>
      </c>
    </row>
    <row r="2120" spans="1:18" x14ac:dyDescent="0.25">
      <c r="A2120" s="30">
        <v>45999</v>
      </c>
      <c r="B2120" s="28">
        <v>2110</v>
      </c>
      <c r="C2120" s="28"/>
      <c r="D2120" s="2" t="s">
        <v>41</v>
      </c>
      <c r="E2120" s="7" t="s">
        <v>2450</v>
      </c>
      <c r="F2120" s="7"/>
      <c r="G2120" s="2" t="s">
        <v>43</v>
      </c>
      <c r="H2120" s="2" t="s">
        <v>417</v>
      </c>
      <c r="I2120" s="5">
        <v>64344.94</v>
      </c>
      <c r="J2120" s="57">
        <v>7.0000000000000007E-2</v>
      </c>
      <c r="K2120" s="3">
        <v>624</v>
      </c>
      <c r="L2120" s="2" t="s">
        <v>226</v>
      </c>
      <c r="M2120" s="2" t="s">
        <v>12</v>
      </c>
      <c r="N2120" s="2" t="s">
        <v>12</v>
      </c>
      <c r="O2120" s="2" t="s">
        <v>12</v>
      </c>
      <c r="P2120" s="21" t="s">
        <v>12</v>
      </c>
      <c r="Q2120" s="3"/>
      <c r="R2120" s="3"/>
    </row>
    <row r="2121" spans="1:18" x14ac:dyDescent="0.25">
      <c r="A2121" s="30">
        <v>45999</v>
      </c>
      <c r="B2121" s="28">
        <v>2111</v>
      </c>
      <c r="C2121" s="28"/>
      <c r="D2121" s="2" t="s">
        <v>415</v>
      </c>
      <c r="E2121" s="7" t="s">
        <v>2451</v>
      </c>
      <c r="F2121" s="7"/>
      <c r="G2121" s="2" t="s">
        <v>13</v>
      </c>
      <c r="H2121" s="2" t="s">
        <v>390</v>
      </c>
      <c r="I2121" s="5">
        <v>27428.95</v>
      </c>
      <c r="J2121" s="57">
        <v>7.0000000000000007E-2</v>
      </c>
      <c r="K2121" s="3">
        <v>288</v>
      </c>
      <c r="L2121" s="2" t="s">
        <v>226</v>
      </c>
      <c r="M2121" s="2" t="s">
        <v>12</v>
      </c>
      <c r="N2121" s="2" t="s">
        <v>12</v>
      </c>
      <c r="O2121" s="2" t="s">
        <v>12</v>
      </c>
      <c r="P2121" s="21" t="s">
        <v>12</v>
      </c>
      <c r="Q2121" s="3"/>
      <c r="R2121" s="3"/>
    </row>
    <row r="2122" spans="1:18" x14ac:dyDescent="0.25">
      <c r="A2122" s="30">
        <v>46002</v>
      </c>
      <c r="B2122" s="28">
        <v>2112</v>
      </c>
      <c r="C2122" s="28"/>
      <c r="D2122" s="2" t="s">
        <v>541</v>
      </c>
      <c r="E2122" s="7" t="s">
        <v>12</v>
      </c>
      <c r="F2122" s="7"/>
      <c r="G2122" s="2" t="s">
        <v>97</v>
      </c>
      <c r="H2122" s="2" t="s">
        <v>543</v>
      </c>
      <c r="I2122" s="5">
        <v>63283.7</v>
      </c>
      <c r="J2122" s="57">
        <v>0.03</v>
      </c>
      <c r="K2122" s="3">
        <v>919.2</v>
      </c>
      <c r="L2122" s="2" t="s">
        <v>226</v>
      </c>
      <c r="M2122" s="2" t="s">
        <v>12</v>
      </c>
      <c r="N2122" s="2" t="s">
        <v>12</v>
      </c>
      <c r="O2122" s="2" t="s">
        <v>12</v>
      </c>
      <c r="P2122" s="21" t="s">
        <v>12</v>
      </c>
      <c r="Q2122" s="3" t="s">
        <v>12</v>
      </c>
      <c r="R2122" s="3" t="s">
        <v>12</v>
      </c>
    </row>
    <row r="2123" spans="1:18" x14ac:dyDescent="0.25">
      <c r="A2123" s="30">
        <v>46000</v>
      </c>
      <c r="B2123" s="28">
        <v>2113</v>
      </c>
      <c r="C2123" s="28"/>
      <c r="D2123" s="2" t="s">
        <v>41</v>
      </c>
      <c r="E2123" s="7" t="s">
        <v>2452</v>
      </c>
      <c r="F2123" s="7"/>
      <c r="G2123" s="2" t="s">
        <v>43</v>
      </c>
      <c r="H2123" s="2" t="s">
        <v>43</v>
      </c>
      <c r="I2123" s="5">
        <v>19341.080000000002</v>
      </c>
      <c r="J2123" s="57">
        <v>7.0000000000000007E-2</v>
      </c>
      <c r="K2123" s="3">
        <v>192</v>
      </c>
      <c r="L2123" s="2" t="s">
        <v>226</v>
      </c>
      <c r="M2123" s="2" t="s">
        <v>12</v>
      </c>
      <c r="N2123" s="2" t="s">
        <v>12</v>
      </c>
      <c r="O2123" s="2" t="s">
        <v>12</v>
      </c>
      <c r="P2123" s="21" t="s">
        <v>12</v>
      </c>
      <c r="Q2123" s="3"/>
      <c r="R2123" s="3"/>
    </row>
    <row r="2124" spans="1:18" x14ac:dyDescent="0.25">
      <c r="A2124" s="30">
        <v>46001</v>
      </c>
      <c r="B2124" s="28">
        <v>2114</v>
      </c>
      <c r="C2124" s="28" t="s">
        <v>2161</v>
      </c>
      <c r="D2124" s="2" t="s">
        <v>256</v>
      </c>
      <c r="E2124" s="7" t="s">
        <v>2453</v>
      </c>
      <c r="F2124" s="7"/>
      <c r="G2124" s="2" t="s">
        <v>20</v>
      </c>
      <c r="H2124" s="2" t="s">
        <v>257</v>
      </c>
      <c r="I2124" s="5">
        <v>2069.71</v>
      </c>
      <c r="J2124" s="57">
        <v>0.05</v>
      </c>
      <c r="K2124" s="3">
        <v>24</v>
      </c>
      <c r="L2124" s="2" t="s">
        <v>64</v>
      </c>
      <c r="M2124" s="2" t="s">
        <v>12</v>
      </c>
      <c r="N2124" s="2" t="s">
        <v>12</v>
      </c>
      <c r="O2124" s="2" t="s">
        <v>12</v>
      </c>
      <c r="P2124" s="21" t="s">
        <v>12</v>
      </c>
      <c r="Q2124" s="3" t="s">
        <v>12</v>
      </c>
      <c r="R2124" s="3" t="s">
        <v>12</v>
      </c>
    </row>
    <row r="2125" spans="1:18" x14ac:dyDescent="0.25">
      <c r="A2125" s="30">
        <v>46000</v>
      </c>
      <c r="B2125" s="28">
        <v>2115</v>
      </c>
      <c r="C2125" s="28"/>
      <c r="D2125" s="2" t="s">
        <v>2190</v>
      </c>
      <c r="E2125" s="7" t="s">
        <v>12</v>
      </c>
      <c r="F2125" s="7"/>
      <c r="G2125" s="2" t="s">
        <v>13</v>
      </c>
      <c r="H2125" s="2" t="s">
        <v>549</v>
      </c>
      <c r="I2125" s="5">
        <v>1300.46</v>
      </c>
      <c r="J2125" s="57">
        <v>7.0000000000000007E-2</v>
      </c>
      <c r="K2125" s="3" t="s">
        <v>12</v>
      </c>
      <c r="L2125" s="2" t="s">
        <v>64</v>
      </c>
      <c r="M2125" s="2" t="s">
        <v>12</v>
      </c>
      <c r="N2125" s="2" t="s">
        <v>12</v>
      </c>
      <c r="O2125" s="2" t="s">
        <v>12</v>
      </c>
      <c r="P2125" s="21" t="s">
        <v>12</v>
      </c>
      <c r="Q2125" s="3" t="s">
        <v>12</v>
      </c>
      <c r="R2125" s="3" t="s">
        <v>12</v>
      </c>
    </row>
    <row r="2126" spans="1:18" x14ac:dyDescent="0.25">
      <c r="A2126" s="30">
        <v>46000</v>
      </c>
      <c r="B2126" s="28">
        <v>2116</v>
      </c>
      <c r="C2126" s="28"/>
      <c r="D2126" s="2" t="s">
        <v>1395</v>
      </c>
      <c r="E2126" s="7" t="s">
        <v>2454</v>
      </c>
      <c r="F2126" s="7"/>
      <c r="G2126" s="2" t="s">
        <v>111</v>
      </c>
      <c r="H2126" s="2" t="s">
        <v>2455</v>
      </c>
      <c r="I2126" s="5">
        <v>70412.33</v>
      </c>
      <c r="J2126" s="57">
        <v>0.05</v>
      </c>
      <c r="K2126" s="3">
        <v>840</v>
      </c>
      <c r="L2126" s="2" t="s">
        <v>64</v>
      </c>
      <c r="M2126" s="2" t="s">
        <v>12</v>
      </c>
      <c r="N2126" s="2" t="s">
        <v>12</v>
      </c>
      <c r="O2126" s="2" t="s">
        <v>12</v>
      </c>
      <c r="P2126" s="21" t="s">
        <v>12</v>
      </c>
      <c r="Q2126" s="3" t="s">
        <v>12</v>
      </c>
      <c r="R2126" s="3" t="s">
        <v>12</v>
      </c>
    </row>
    <row r="2127" spans="1:18" x14ac:dyDescent="0.25">
      <c r="A2127" s="30">
        <v>46000</v>
      </c>
      <c r="B2127" s="28">
        <v>2117</v>
      </c>
      <c r="C2127" s="28"/>
      <c r="D2127" s="2" t="s">
        <v>909</v>
      </c>
      <c r="E2127" s="7" t="s">
        <v>2374</v>
      </c>
      <c r="F2127" s="7"/>
      <c r="G2127" s="2" t="s">
        <v>111</v>
      </c>
      <c r="H2127" s="2" t="s">
        <v>369</v>
      </c>
      <c r="I2127" s="5">
        <v>486583.8</v>
      </c>
      <c r="J2127" s="57">
        <v>7.0000000000000007E-2</v>
      </c>
      <c r="K2127" s="3"/>
      <c r="L2127" s="2" t="s">
        <v>226</v>
      </c>
      <c r="M2127" s="2"/>
      <c r="N2127" s="2"/>
      <c r="O2127" s="2"/>
      <c r="P2127" s="21"/>
      <c r="Q2127" s="3"/>
      <c r="R2127" s="3"/>
    </row>
    <row r="2128" spans="1:18" x14ac:dyDescent="0.25">
      <c r="A2128" s="30">
        <v>46000</v>
      </c>
      <c r="B2128" s="28">
        <v>2118</v>
      </c>
      <c r="C2128" s="28"/>
      <c r="D2128" s="2" t="s">
        <v>2458</v>
      </c>
      <c r="E2128" s="7"/>
      <c r="F2128" s="7"/>
      <c r="G2128" s="2" t="s">
        <v>111</v>
      </c>
      <c r="H2128" s="2" t="s">
        <v>1543</v>
      </c>
      <c r="I2128" s="5">
        <v>8596.75</v>
      </c>
      <c r="J2128" s="57">
        <v>7.0000000000000007E-2</v>
      </c>
      <c r="K2128" s="3">
        <v>84</v>
      </c>
      <c r="L2128" s="2" t="s">
        <v>64</v>
      </c>
      <c r="M2128" s="2" t="s">
        <v>12</v>
      </c>
      <c r="N2128" s="2" t="s">
        <v>12</v>
      </c>
      <c r="O2128" s="2" t="s">
        <v>12</v>
      </c>
      <c r="P2128" s="21" t="s">
        <v>12</v>
      </c>
      <c r="Q2128" s="3" t="s">
        <v>12</v>
      </c>
      <c r="R2128" s="3" t="s">
        <v>12</v>
      </c>
    </row>
    <row r="2129" spans="1:18" x14ac:dyDescent="0.25">
      <c r="A2129" s="30">
        <v>46001</v>
      </c>
      <c r="B2129" s="28">
        <v>2119</v>
      </c>
      <c r="C2129" s="28" t="s">
        <v>2229</v>
      </c>
      <c r="D2129" s="2" t="s">
        <v>1596</v>
      </c>
      <c r="E2129" s="7" t="s">
        <v>12</v>
      </c>
      <c r="F2129" s="7"/>
      <c r="G2129" s="2" t="s">
        <v>43</v>
      </c>
      <c r="H2129" s="2" t="s">
        <v>751</v>
      </c>
      <c r="I2129" s="5">
        <v>18672.72</v>
      </c>
      <c r="J2129" s="57">
        <v>0.05</v>
      </c>
      <c r="K2129" s="3">
        <v>240</v>
      </c>
      <c r="L2129" s="2" t="s">
        <v>64</v>
      </c>
      <c r="M2129" s="2" t="s">
        <v>12</v>
      </c>
      <c r="N2129" s="2" t="s">
        <v>12</v>
      </c>
      <c r="O2129" s="2" t="s">
        <v>12</v>
      </c>
      <c r="P2129" s="21" t="s">
        <v>12</v>
      </c>
      <c r="Q2129" s="3" t="s">
        <v>12</v>
      </c>
      <c r="R2129" s="3" t="s">
        <v>12</v>
      </c>
    </row>
    <row r="2130" spans="1:18" x14ac:dyDescent="0.25">
      <c r="A2130" s="30">
        <v>46001</v>
      </c>
      <c r="B2130" s="28">
        <v>2120</v>
      </c>
      <c r="C2130" s="28"/>
      <c r="D2130" s="2" t="s">
        <v>217</v>
      </c>
      <c r="E2130" s="7" t="s">
        <v>12</v>
      </c>
      <c r="F2130" s="7"/>
      <c r="G2130" s="2" t="s">
        <v>13</v>
      </c>
      <c r="H2130" s="2" t="s">
        <v>2404</v>
      </c>
      <c r="I2130" s="5">
        <v>1200.5899999999999</v>
      </c>
      <c r="J2130" s="57">
        <v>7.0000000000000007E-2</v>
      </c>
      <c r="K2130" s="3" t="s">
        <v>12</v>
      </c>
      <c r="L2130" s="2" t="s">
        <v>64</v>
      </c>
      <c r="M2130" s="2" t="s">
        <v>12</v>
      </c>
      <c r="N2130" s="2" t="s">
        <v>12</v>
      </c>
      <c r="O2130" s="2" t="s">
        <v>12</v>
      </c>
      <c r="P2130" s="21" t="s">
        <v>12</v>
      </c>
      <c r="Q2130" s="3" t="s">
        <v>12</v>
      </c>
      <c r="R2130" s="3" t="s">
        <v>12</v>
      </c>
    </row>
    <row r="2131" spans="1:18" x14ac:dyDescent="0.25">
      <c r="A2131" s="30">
        <v>46001</v>
      </c>
      <c r="B2131" s="28">
        <v>2121</v>
      </c>
      <c r="C2131" s="28"/>
      <c r="D2131" s="2" t="s">
        <v>2190</v>
      </c>
      <c r="E2131" s="7" t="s">
        <v>12</v>
      </c>
      <c r="F2131" s="7"/>
      <c r="G2131" s="2" t="s">
        <v>13</v>
      </c>
      <c r="H2131" s="2" t="s">
        <v>549</v>
      </c>
      <c r="I2131" s="5">
        <v>1798.89</v>
      </c>
      <c r="J2131" s="57">
        <v>7.0000000000000007E-2</v>
      </c>
      <c r="K2131" s="3" t="s">
        <v>12</v>
      </c>
      <c r="L2131" s="2" t="s">
        <v>64</v>
      </c>
      <c r="M2131" s="2" t="s">
        <v>12</v>
      </c>
      <c r="N2131" s="2" t="s">
        <v>12</v>
      </c>
      <c r="O2131" s="2" t="s">
        <v>12</v>
      </c>
      <c r="P2131" s="21" t="s">
        <v>12</v>
      </c>
      <c r="Q2131" s="3" t="s">
        <v>12</v>
      </c>
      <c r="R2131" s="3" t="s">
        <v>12</v>
      </c>
    </row>
    <row r="2132" spans="1:18" x14ac:dyDescent="0.25">
      <c r="A2132" s="30">
        <v>46001</v>
      </c>
      <c r="B2132" s="28">
        <v>2122</v>
      </c>
      <c r="C2132" s="28"/>
      <c r="D2132" s="2" t="s">
        <v>415</v>
      </c>
      <c r="E2132" s="7" t="s">
        <v>2456</v>
      </c>
      <c r="F2132" s="7"/>
      <c r="G2132" s="2" t="s">
        <v>13</v>
      </c>
      <c r="H2132" s="2" t="s">
        <v>390</v>
      </c>
      <c r="I2132" s="5">
        <v>31508.57</v>
      </c>
      <c r="J2132" s="57">
        <v>7.0000000000000007E-2</v>
      </c>
      <c r="K2132" s="3">
        <v>384</v>
      </c>
      <c r="L2132" s="2" t="s">
        <v>226</v>
      </c>
      <c r="M2132" s="2" t="s">
        <v>12</v>
      </c>
      <c r="N2132" s="2" t="s">
        <v>12</v>
      </c>
      <c r="O2132" s="2" t="s">
        <v>12</v>
      </c>
      <c r="P2132" s="21" t="s">
        <v>12</v>
      </c>
      <c r="Q2132" s="3"/>
      <c r="R2132" s="3"/>
    </row>
    <row r="2133" spans="1:18" x14ac:dyDescent="0.25">
      <c r="A2133" s="30">
        <v>46001</v>
      </c>
      <c r="B2133" s="28">
        <v>2123</v>
      </c>
      <c r="C2133" s="28"/>
      <c r="D2133" s="2" t="s">
        <v>925</v>
      </c>
      <c r="E2133" s="7" t="s">
        <v>12</v>
      </c>
      <c r="F2133" s="7"/>
      <c r="G2133" s="2" t="s">
        <v>26</v>
      </c>
      <c r="H2133" s="2" t="s">
        <v>1107</v>
      </c>
      <c r="I2133" s="5">
        <v>62.94</v>
      </c>
      <c r="J2133" s="57">
        <v>7.0000000000000007E-2</v>
      </c>
      <c r="K2133" s="3" t="s">
        <v>12</v>
      </c>
      <c r="L2133" s="2" t="s">
        <v>226</v>
      </c>
      <c r="M2133" s="2" t="s">
        <v>12</v>
      </c>
      <c r="N2133" s="2" t="s">
        <v>12</v>
      </c>
      <c r="O2133" s="2" t="s">
        <v>12</v>
      </c>
      <c r="P2133" s="21" t="s">
        <v>12</v>
      </c>
      <c r="Q2133" s="3" t="s">
        <v>12</v>
      </c>
      <c r="R2133" s="3" t="s">
        <v>12</v>
      </c>
    </row>
    <row r="2134" spans="1:18" x14ac:dyDescent="0.25">
      <c r="A2134" s="30">
        <v>46001</v>
      </c>
      <c r="B2134" s="28">
        <v>2124</v>
      </c>
      <c r="C2134" s="28"/>
      <c r="D2134" s="2" t="s">
        <v>41</v>
      </c>
      <c r="E2134" s="7" t="s">
        <v>2457</v>
      </c>
      <c r="F2134" s="7"/>
      <c r="G2134" s="2" t="s">
        <v>43</v>
      </c>
      <c r="H2134" s="2" t="s">
        <v>43</v>
      </c>
      <c r="I2134" s="5">
        <v>212395.66</v>
      </c>
      <c r="J2134" s="57">
        <v>7.0000000000000007E-2</v>
      </c>
      <c r="K2134" s="3">
        <v>1848</v>
      </c>
      <c r="L2134" s="2" t="s">
        <v>226</v>
      </c>
      <c r="M2134" s="2" t="s">
        <v>12</v>
      </c>
      <c r="N2134" s="2" t="s">
        <v>12</v>
      </c>
      <c r="O2134" s="2" t="s">
        <v>12</v>
      </c>
      <c r="P2134" s="21" t="s">
        <v>12</v>
      </c>
      <c r="Q2134" s="3"/>
      <c r="R2134" s="3"/>
    </row>
    <row r="2135" spans="1:18" x14ac:dyDescent="0.25">
      <c r="A2135" s="30">
        <v>46002</v>
      </c>
      <c r="B2135" s="28">
        <v>2125</v>
      </c>
      <c r="C2135" s="28"/>
      <c r="D2135" s="2" t="s">
        <v>1446</v>
      </c>
      <c r="E2135" s="7" t="s">
        <v>12</v>
      </c>
      <c r="F2135" s="7"/>
      <c r="G2135" s="2" t="s">
        <v>43</v>
      </c>
      <c r="H2135" s="2" t="s">
        <v>2007</v>
      </c>
      <c r="I2135" s="5">
        <v>189.84</v>
      </c>
      <c r="J2135" s="57" t="s">
        <v>12</v>
      </c>
      <c r="K2135" s="3" t="s">
        <v>12</v>
      </c>
      <c r="L2135" s="2" t="s">
        <v>64</v>
      </c>
      <c r="M2135" s="2" t="s">
        <v>12</v>
      </c>
      <c r="N2135" s="2" t="s">
        <v>12</v>
      </c>
      <c r="O2135" s="2" t="s">
        <v>12</v>
      </c>
      <c r="P2135" s="21" t="s">
        <v>12</v>
      </c>
      <c r="Q2135" s="3" t="s">
        <v>12</v>
      </c>
      <c r="R2135" s="3" t="s">
        <v>12</v>
      </c>
    </row>
    <row r="2136" spans="1:18" x14ac:dyDescent="0.25">
      <c r="A2136" s="30">
        <v>46002</v>
      </c>
      <c r="B2136" s="28">
        <v>2126</v>
      </c>
      <c r="C2136" s="28"/>
      <c r="D2136" s="2" t="s">
        <v>56</v>
      </c>
      <c r="E2136" s="7" t="s">
        <v>2451</v>
      </c>
      <c r="F2136" s="7"/>
      <c r="G2136" s="2" t="s">
        <v>13</v>
      </c>
      <c r="H2136" s="2" t="s">
        <v>390</v>
      </c>
      <c r="I2136" s="5">
        <v>27428.95</v>
      </c>
      <c r="J2136" s="57">
        <v>7.0000000000000007E-2</v>
      </c>
      <c r="K2136" s="3">
        <v>288</v>
      </c>
      <c r="L2136" s="2" t="s">
        <v>226</v>
      </c>
      <c r="M2136" s="2" t="s">
        <v>12</v>
      </c>
      <c r="N2136" s="2" t="s">
        <v>12</v>
      </c>
      <c r="O2136" s="2" t="s">
        <v>12</v>
      </c>
      <c r="P2136" s="21" t="s">
        <v>12</v>
      </c>
      <c r="Q2136" s="3" t="s">
        <v>12</v>
      </c>
      <c r="R2136" s="3" t="s">
        <v>12</v>
      </c>
    </row>
    <row r="2137" spans="1:18" x14ac:dyDescent="0.25">
      <c r="A2137" s="30">
        <v>46006</v>
      </c>
      <c r="B2137" s="28">
        <v>2127</v>
      </c>
      <c r="C2137" s="28" t="s">
        <v>2162</v>
      </c>
      <c r="D2137" s="2" t="s">
        <v>165</v>
      </c>
      <c r="E2137" s="7" t="s">
        <v>2459</v>
      </c>
      <c r="F2137" s="7"/>
      <c r="G2137" s="2" t="s">
        <v>97</v>
      </c>
      <c r="H2137" s="2" t="s">
        <v>167</v>
      </c>
      <c r="I2137" s="5">
        <v>53680.06</v>
      </c>
      <c r="J2137" s="57">
        <v>0.03</v>
      </c>
      <c r="K2137" s="3">
        <v>720</v>
      </c>
      <c r="L2137" s="2" t="s">
        <v>64</v>
      </c>
      <c r="M2137" s="2" t="s">
        <v>12</v>
      </c>
      <c r="N2137" s="2" t="s">
        <v>12</v>
      </c>
      <c r="O2137" s="2" t="s">
        <v>12</v>
      </c>
      <c r="P2137" s="21" t="s">
        <v>12</v>
      </c>
      <c r="Q2137" s="3" t="s">
        <v>12</v>
      </c>
      <c r="R2137" s="3" t="s">
        <v>12</v>
      </c>
    </row>
    <row r="2138" spans="1:18" x14ac:dyDescent="0.25">
      <c r="A2138" s="30">
        <v>46037</v>
      </c>
      <c r="B2138" s="28">
        <v>2128</v>
      </c>
      <c r="C2138" s="28"/>
      <c r="D2138" s="2" t="s">
        <v>1206</v>
      </c>
      <c r="E2138" s="7" t="s">
        <v>2544</v>
      </c>
      <c r="F2138" s="7"/>
      <c r="G2138" s="2" t="s">
        <v>26</v>
      </c>
      <c r="H2138" s="2" t="s">
        <v>432</v>
      </c>
      <c r="I2138" s="5">
        <v>5944.1</v>
      </c>
      <c r="J2138" s="57">
        <v>7.0000000000000007E-2</v>
      </c>
      <c r="K2138" s="3">
        <v>48</v>
      </c>
      <c r="L2138" s="2" t="s">
        <v>134</v>
      </c>
      <c r="M2138" s="2" t="s">
        <v>135</v>
      </c>
      <c r="N2138" s="2" t="s">
        <v>135</v>
      </c>
      <c r="O2138" s="2" t="s">
        <v>12</v>
      </c>
      <c r="P2138" s="21" t="s">
        <v>12</v>
      </c>
      <c r="Q2138" s="3" t="s">
        <v>12</v>
      </c>
      <c r="R2138" s="3" t="s">
        <v>12</v>
      </c>
    </row>
    <row r="2139" spans="1:18" x14ac:dyDescent="0.25">
      <c r="A2139" s="30">
        <v>46002</v>
      </c>
      <c r="B2139" s="28">
        <v>2129</v>
      </c>
      <c r="C2139" s="28"/>
      <c r="D2139" s="2" t="s">
        <v>130</v>
      </c>
      <c r="E2139" s="7" t="s">
        <v>2460</v>
      </c>
      <c r="F2139" s="7"/>
      <c r="G2139" s="2" t="s">
        <v>26</v>
      </c>
      <c r="H2139" s="2" t="s">
        <v>2053</v>
      </c>
      <c r="I2139" s="5">
        <v>85217.91</v>
      </c>
      <c r="J2139" s="57">
        <v>7.0000000000000007E-2</v>
      </c>
      <c r="K2139" s="3">
        <v>792</v>
      </c>
      <c r="L2139" s="2" t="s">
        <v>226</v>
      </c>
      <c r="M2139" s="2" t="s">
        <v>2744</v>
      </c>
      <c r="N2139" s="2" t="s">
        <v>12</v>
      </c>
      <c r="O2139" s="2" t="s">
        <v>12</v>
      </c>
      <c r="P2139" s="21" t="s">
        <v>12</v>
      </c>
      <c r="Q2139" s="3"/>
      <c r="R2139" s="3"/>
    </row>
    <row r="2140" spans="1:18" x14ac:dyDescent="0.25">
      <c r="A2140" s="30">
        <v>46002</v>
      </c>
      <c r="B2140" s="28">
        <v>2130</v>
      </c>
      <c r="C2140" s="28"/>
      <c r="D2140" s="2" t="s">
        <v>2461</v>
      </c>
      <c r="E2140" s="7" t="s">
        <v>2462</v>
      </c>
      <c r="F2140" s="7"/>
      <c r="G2140" s="2" t="s">
        <v>43</v>
      </c>
      <c r="H2140" s="2" t="s">
        <v>275</v>
      </c>
      <c r="I2140" s="5">
        <v>14438.21</v>
      </c>
      <c r="J2140" s="57">
        <v>7.0000000000000007E-2</v>
      </c>
      <c r="K2140" s="3">
        <v>144</v>
      </c>
      <c r="L2140" s="2" t="s">
        <v>226</v>
      </c>
      <c r="M2140" s="2" t="s">
        <v>12</v>
      </c>
      <c r="N2140" s="2" t="s">
        <v>12</v>
      </c>
      <c r="O2140" s="2" t="s">
        <v>12</v>
      </c>
      <c r="P2140" s="21" t="s">
        <v>12</v>
      </c>
      <c r="Q2140" s="3" t="s">
        <v>12</v>
      </c>
      <c r="R2140" s="3" t="s">
        <v>12</v>
      </c>
    </row>
    <row r="2141" spans="1:18" x14ac:dyDescent="0.25">
      <c r="A2141" s="30">
        <v>46002</v>
      </c>
      <c r="B2141" s="28">
        <v>2131</v>
      </c>
      <c r="C2141" s="28"/>
      <c r="D2141" s="2" t="s">
        <v>1038</v>
      </c>
      <c r="E2141" s="7" t="s">
        <v>12</v>
      </c>
      <c r="F2141" s="7"/>
      <c r="G2141" s="2" t="s">
        <v>13</v>
      </c>
      <c r="H2141" s="2" t="s">
        <v>1113</v>
      </c>
      <c r="I2141" s="5">
        <v>54919.53</v>
      </c>
      <c r="J2141" s="57">
        <v>7.0000000000000007E-2</v>
      </c>
      <c r="K2141" s="3">
        <v>600</v>
      </c>
      <c r="L2141" s="2" t="s">
        <v>226</v>
      </c>
      <c r="M2141" s="2" t="s">
        <v>12</v>
      </c>
      <c r="N2141" s="2" t="s">
        <v>12</v>
      </c>
      <c r="O2141" s="2" t="s">
        <v>12</v>
      </c>
      <c r="P2141" s="21" t="s">
        <v>12</v>
      </c>
      <c r="Q2141" s="3" t="s">
        <v>12</v>
      </c>
      <c r="R2141" s="3" t="s">
        <v>12</v>
      </c>
    </row>
    <row r="2142" spans="1:18" x14ac:dyDescent="0.25">
      <c r="A2142" s="30">
        <v>46002</v>
      </c>
      <c r="B2142" s="28">
        <v>2132</v>
      </c>
      <c r="C2142" s="28"/>
      <c r="D2142" s="2" t="s">
        <v>2297</v>
      </c>
      <c r="E2142" s="7" t="s">
        <v>12</v>
      </c>
      <c r="F2142" s="7"/>
      <c r="G2142" s="2" t="s">
        <v>13</v>
      </c>
      <c r="H2142" s="2" t="s">
        <v>235</v>
      </c>
      <c r="I2142" s="5">
        <v>487.52</v>
      </c>
      <c r="J2142" s="57">
        <v>7.0000000000000007E-2</v>
      </c>
      <c r="K2142" s="3" t="s">
        <v>12</v>
      </c>
      <c r="L2142" s="2" t="s">
        <v>226</v>
      </c>
      <c r="M2142" s="2" t="s">
        <v>12</v>
      </c>
      <c r="N2142" s="2" t="s">
        <v>12</v>
      </c>
      <c r="O2142" s="2" t="s">
        <v>12</v>
      </c>
      <c r="P2142" s="21" t="s">
        <v>12</v>
      </c>
      <c r="Q2142" s="3" t="s">
        <v>12</v>
      </c>
      <c r="R2142" s="3" t="s">
        <v>12</v>
      </c>
    </row>
    <row r="2143" spans="1:18" x14ac:dyDescent="0.25">
      <c r="A2143" s="30">
        <v>46003</v>
      </c>
      <c r="B2143" s="28">
        <v>2133</v>
      </c>
      <c r="C2143" s="28"/>
      <c r="D2143" s="2" t="s">
        <v>70</v>
      </c>
      <c r="E2143" s="7" t="s">
        <v>12</v>
      </c>
      <c r="F2143" s="7"/>
      <c r="G2143" s="2" t="s">
        <v>13</v>
      </c>
      <c r="H2143" s="2" t="s">
        <v>72</v>
      </c>
      <c r="I2143" s="5">
        <v>107739.28</v>
      </c>
      <c r="J2143" s="57">
        <v>0.04</v>
      </c>
      <c r="K2143" s="3">
        <v>1728</v>
      </c>
      <c r="L2143" s="2" t="s">
        <v>226</v>
      </c>
      <c r="M2143" s="2" t="s">
        <v>12</v>
      </c>
      <c r="N2143" s="2" t="s">
        <v>12</v>
      </c>
      <c r="O2143" s="2" t="s">
        <v>12</v>
      </c>
      <c r="P2143" s="21" t="s">
        <v>12</v>
      </c>
      <c r="Q2143" s="3" t="s">
        <v>12</v>
      </c>
      <c r="R2143" s="3" t="s">
        <v>12</v>
      </c>
    </row>
    <row r="2144" spans="1:18" x14ac:dyDescent="0.25">
      <c r="A2144" s="30">
        <v>46003</v>
      </c>
      <c r="B2144" s="28">
        <v>2134</v>
      </c>
      <c r="C2144" s="28"/>
      <c r="D2144" s="2" t="s">
        <v>87</v>
      </c>
      <c r="E2144" s="7" t="s">
        <v>2463</v>
      </c>
      <c r="F2144" s="7"/>
      <c r="G2144" s="2" t="s">
        <v>13</v>
      </c>
      <c r="H2144" s="2" t="s">
        <v>185</v>
      </c>
      <c r="I2144" s="5">
        <v>175496.94</v>
      </c>
      <c r="J2144" s="57">
        <v>7.0000000000000007E-2</v>
      </c>
      <c r="K2144" s="3">
        <v>1920</v>
      </c>
      <c r="L2144" s="2" t="s">
        <v>226</v>
      </c>
      <c r="M2144" s="2" t="s">
        <v>12</v>
      </c>
      <c r="N2144" s="2" t="s">
        <v>12</v>
      </c>
      <c r="O2144" s="2" t="s">
        <v>12</v>
      </c>
      <c r="P2144" s="21" t="s">
        <v>12</v>
      </c>
      <c r="Q2144" s="3"/>
      <c r="R2144" s="3"/>
    </row>
    <row r="2145" spans="1:18" x14ac:dyDescent="0.25">
      <c r="A2145" s="30">
        <v>46008</v>
      </c>
      <c r="B2145" s="28">
        <v>2135</v>
      </c>
      <c r="C2145" s="28" t="s">
        <v>2162</v>
      </c>
      <c r="D2145" s="2" t="s">
        <v>2388</v>
      </c>
      <c r="E2145" s="7" t="s">
        <v>12</v>
      </c>
      <c r="F2145" s="7"/>
      <c r="G2145" s="2" t="s">
        <v>13</v>
      </c>
      <c r="H2145" s="2" t="s">
        <v>12</v>
      </c>
      <c r="I2145" s="5">
        <v>3557.02</v>
      </c>
      <c r="J2145" s="57">
        <v>7.0000000000000007E-2</v>
      </c>
      <c r="K2145" s="3">
        <v>45.6</v>
      </c>
      <c r="L2145" s="2" t="s">
        <v>226</v>
      </c>
      <c r="M2145" s="2" t="s">
        <v>12</v>
      </c>
      <c r="N2145" s="2" t="s">
        <v>12</v>
      </c>
      <c r="O2145" s="2" t="s">
        <v>12</v>
      </c>
      <c r="P2145" s="21" t="s">
        <v>12</v>
      </c>
      <c r="Q2145" s="3" t="s">
        <v>12</v>
      </c>
      <c r="R2145" s="3" t="s">
        <v>12</v>
      </c>
    </row>
    <row r="2146" spans="1:18" x14ac:dyDescent="0.25">
      <c r="A2146" s="30">
        <v>46003</v>
      </c>
      <c r="B2146" s="28">
        <v>2136</v>
      </c>
      <c r="C2146" s="28"/>
      <c r="D2146" s="2" t="s">
        <v>62</v>
      </c>
      <c r="E2146" s="7"/>
      <c r="F2146" s="7"/>
      <c r="G2146" s="2" t="s">
        <v>26</v>
      </c>
      <c r="H2146" s="2" t="s">
        <v>63</v>
      </c>
      <c r="I2146" s="5">
        <v>3673.12</v>
      </c>
      <c r="J2146" s="57">
        <v>0.05</v>
      </c>
      <c r="K2146" s="3">
        <v>48</v>
      </c>
      <c r="L2146" s="2" t="s">
        <v>64</v>
      </c>
      <c r="M2146" s="2" t="s">
        <v>12</v>
      </c>
      <c r="N2146" s="2" t="s">
        <v>12</v>
      </c>
      <c r="O2146" s="2" t="s">
        <v>12</v>
      </c>
      <c r="P2146" s="21" t="s">
        <v>12</v>
      </c>
      <c r="Q2146" s="3" t="s">
        <v>12</v>
      </c>
      <c r="R2146" s="3" t="s">
        <v>12</v>
      </c>
    </row>
    <row r="2147" spans="1:18" x14ac:dyDescent="0.25">
      <c r="A2147" s="30">
        <v>46003</v>
      </c>
      <c r="B2147" s="28">
        <v>2137</v>
      </c>
      <c r="C2147" s="28"/>
      <c r="D2147" s="2" t="s">
        <v>163</v>
      </c>
      <c r="E2147" s="7" t="s">
        <v>12</v>
      </c>
      <c r="F2147" s="7"/>
      <c r="G2147" s="2" t="s">
        <v>97</v>
      </c>
      <c r="H2147" s="2" t="s">
        <v>189</v>
      </c>
      <c r="I2147" s="5">
        <v>6184.05</v>
      </c>
      <c r="J2147" s="57">
        <v>7.0000000000000007E-2</v>
      </c>
      <c r="K2147" s="3">
        <v>72</v>
      </c>
      <c r="L2147" s="2" t="s">
        <v>226</v>
      </c>
      <c r="M2147" s="2" t="s">
        <v>12</v>
      </c>
      <c r="N2147" s="2" t="s">
        <v>12</v>
      </c>
      <c r="O2147" s="2" t="s">
        <v>12</v>
      </c>
      <c r="P2147" s="21" t="s">
        <v>12</v>
      </c>
      <c r="Q2147" s="3" t="s">
        <v>12</v>
      </c>
      <c r="R2147" s="3" t="s">
        <v>12</v>
      </c>
    </row>
    <row r="2148" spans="1:18" x14ac:dyDescent="0.25">
      <c r="A2148" s="30">
        <v>46003</v>
      </c>
      <c r="B2148" s="28">
        <v>2138</v>
      </c>
      <c r="C2148" s="28"/>
      <c r="D2148" s="2" t="s">
        <v>2464</v>
      </c>
      <c r="E2148" s="7" t="s">
        <v>12</v>
      </c>
      <c r="F2148" s="7"/>
      <c r="G2148" s="2" t="s">
        <v>111</v>
      </c>
      <c r="H2148" s="2" t="s">
        <v>112</v>
      </c>
      <c r="I2148" s="5">
        <v>186.2</v>
      </c>
      <c r="J2148" s="57">
        <v>7.0000000000000007E-2</v>
      </c>
      <c r="K2148" s="3" t="s">
        <v>12</v>
      </c>
      <c r="L2148" s="2" t="s">
        <v>64</v>
      </c>
      <c r="M2148" s="2" t="s">
        <v>12</v>
      </c>
      <c r="N2148" s="2" t="s">
        <v>12</v>
      </c>
      <c r="O2148" s="2" t="s">
        <v>12</v>
      </c>
      <c r="P2148" s="21" t="s">
        <v>12</v>
      </c>
      <c r="Q2148" s="3" t="s">
        <v>12</v>
      </c>
      <c r="R2148" s="3" t="s">
        <v>12</v>
      </c>
    </row>
    <row r="2149" spans="1:18" x14ac:dyDescent="0.25">
      <c r="A2149" s="30">
        <v>46006</v>
      </c>
      <c r="B2149" s="28">
        <v>2139</v>
      </c>
      <c r="C2149" s="28"/>
      <c r="D2149" s="2" t="s">
        <v>273</v>
      </c>
      <c r="E2149" s="7" t="s">
        <v>12</v>
      </c>
      <c r="F2149" s="7"/>
      <c r="G2149" s="2" t="s">
        <v>26</v>
      </c>
      <c r="H2149" s="2" t="s">
        <v>116</v>
      </c>
      <c r="I2149" s="5">
        <v>4877.33</v>
      </c>
      <c r="J2149" s="57">
        <v>7.0000000000000007E-2</v>
      </c>
      <c r="K2149" s="3">
        <v>72</v>
      </c>
      <c r="L2149" s="2" t="s">
        <v>226</v>
      </c>
      <c r="M2149" s="2" t="s">
        <v>12</v>
      </c>
      <c r="N2149" s="2" t="s">
        <v>12</v>
      </c>
      <c r="O2149" s="2" t="s">
        <v>12</v>
      </c>
      <c r="P2149" s="21" t="s">
        <v>12</v>
      </c>
      <c r="Q2149" s="3" t="s">
        <v>12</v>
      </c>
      <c r="R2149" s="3" t="s">
        <v>12</v>
      </c>
    </row>
    <row r="2150" spans="1:18" x14ac:dyDescent="0.25">
      <c r="A2150" s="30">
        <v>46006</v>
      </c>
      <c r="B2150" s="28">
        <v>2140</v>
      </c>
      <c r="C2150" s="28"/>
      <c r="D2150" s="2" t="s">
        <v>87</v>
      </c>
      <c r="E2150" s="7" t="s">
        <v>2465</v>
      </c>
      <c r="F2150" s="7"/>
      <c r="G2150" s="2" t="s">
        <v>13</v>
      </c>
      <c r="H2150" s="2" t="s">
        <v>185</v>
      </c>
      <c r="I2150" s="5">
        <v>84613.07</v>
      </c>
      <c r="J2150" s="57">
        <v>7.0000000000000007E-2</v>
      </c>
      <c r="K2150" s="3">
        <v>936</v>
      </c>
      <c r="L2150" s="2" t="s">
        <v>226</v>
      </c>
      <c r="M2150" s="2" t="s">
        <v>12</v>
      </c>
      <c r="N2150" s="2" t="s">
        <v>12</v>
      </c>
      <c r="O2150" s="2" t="s">
        <v>12</v>
      </c>
      <c r="P2150" s="21" t="s">
        <v>12</v>
      </c>
      <c r="Q2150" s="3"/>
      <c r="R2150" s="3"/>
    </row>
    <row r="2151" spans="1:18" x14ac:dyDescent="0.25">
      <c r="A2151" s="30">
        <v>46006</v>
      </c>
      <c r="B2151" s="28">
        <v>2141</v>
      </c>
      <c r="C2151" s="28"/>
      <c r="D2151" s="2" t="s">
        <v>87</v>
      </c>
      <c r="E2151" s="7" t="s">
        <v>2466</v>
      </c>
      <c r="F2151" s="7"/>
      <c r="G2151" s="2" t="s">
        <v>13</v>
      </c>
      <c r="H2151" s="2" t="s">
        <v>185</v>
      </c>
      <c r="I2151" s="5">
        <v>25973.08</v>
      </c>
      <c r="J2151" s="57">
        <v>7.0000000000000007E-2</v>
      </c>
      <c r="K2151" s="3">
        <v>288</v>
      </c>
      <c r="L2151" s="2" t="s">
        <v>226</v>
      </c>
      <c r="M2151" s="2" t="s">
        <v>12</v>
      </c>
      <c r="N2151" s="2" t="s">
        <v>12</v>
      </c>
      <c r="O2151" s="2" t="s">
        <v>12</v>
      </c>
      <c r="P2151" s="21" t="s">
        <v>12</v>
      </c>
      <c r="Q2151" s="3"/>
      <c r="R2151" s="3"/>
    </row>
    <row r="2152" spans="1:18" x14ac:dyDescent="0.25">
      <c r="A2152" s="30">
        <v>46006</v>
      </c>
      <c r="B2152" s="28">
        <v>2142</v>
      </c>
      <c r="C2152" s="28"/>
      <c r="D2152" s="2" t="s">
        <v>87</v>
      </c>
      <c r="E2152" s="7" t="s">
        <v>2467</v>
      </c>
      <c r="F2152" s="7"/>
      <c r="G2152" s="2" t="s">
        <v>13</v>
      </c>
      <c r="H2152" s="2" t="s">
        <v>185</v>
      </c>
      <c r="I2152" s="5">
        <v>2448.33</v>
      </c>
      <c r="J2152" s="57">
        <v>7.0000000000000007E-2</v>
      </c>
      <c r="K2152" s="3">
        <v>24</v>
      </c>
      <c r="L2152" s="2" t="s">
        <v>226</v>
      </c>
      <c r="M2152" s="2" t="s">
        <v>12</v>
      </c>
      <c r="N2152" s="2" t="s">
        <v>12</v>
      </c>
      <c r="O2152" s="2" t="s">
        <v>12</v>
      </c>
      <c r="P2152" s="21" t="s">
        <v>12</v>
      </c>
      <c r="Q2152" s="3" t="s">
        <v>12</v>
      </c>
      <c r="R2152" s="3"/>
    </row>
    <row r="2153" spans="1:18" x14ac:dyDescent="0.25">
      <c r="A2153" s="30">
        <v>46006</v>
      </c>
      <c r="B2153" s="28">
        <v>2143</v>
      </c>
      <c r="C2153" s="28"/>
      <c r="D2153" s="2" t="s">
        <v>41</v>
      </c>
      <c r="E2153" s="7" t="s">
        <v>2468</v>
      </c>
      <c r="F2153" s="7"/>
      <c r="G2153" s="2" t="s">
        <v>43</v>
      </c>
      <c r="H2153" s="2" t="s">
        <v>417</v>
      </c>
      <c r="I2153" s="5">
        <v>209049.7</v>
      </c>
      <c r="J2153" s="57">
        <v>7.0000000000000007E-2</v>
      </c>
      <c r="K2153" s="3">
        <v>1800</v>
      </c>
      <c r="L2153" s="2" t="s">
        <v>226</v>
      </c>
      <c r="M2153" s="2" t="s">
        <v>12</v>
      </c>
      <c r="N2153" s="2" t="s">
        <v>12</v>
      </c>
      <c r="O2153" s="2" t="s">
        <v>12</v>
      </c>
      <c r="P2153" s="21" t="s">
        <v>12</v>
      </c>
      <c r="Q2153" s="3"/>
      <c r="R2153" s="3"/>
    </row>
    <row r="2154" spans="1:18" x14ac:dyDescent="0.25">
      <c r="A2154" s="30">
        <v>46065</v>
      </c>
      <c r="B2154" s="28">
        <v>2144</v>
      </c>
      <c r="C2154" s="28"/>
      <c r="D2154" s="2" t="s">
        <v>1120</v>
      </c>
      <c r="E2154" s="7" t="s">
        <v>2469</v>
      </c>
      <c r="F2154" s="7"/>
      <c r="G2154" s="2" t="s">
        <v>97</v>
      </c>
      <c r="H2154" s="2" t="s">
        <v>368</v>
      </c>
      <c r="I2154" s="5">
        <v>45711.94</v>
      </c>
      <c r="J2154" s="57">
        <v>7.0000000000000007E-2</v>
      </c>
      <c r="K2154" s="3">
        <v>480</v>
      </c>
      <c r="L2154" s="2" t="s">
        <v>134</v>
      </c>
      <c r="M2154" s="2" t="s">
        <v>2742</v>
      </c>
      <c r="N2154" s="2" t="s">
        <v>373</v>
      </c>
      <c r="O2154" s="2" t="s">
        <v>374</v>
      </c>
      <c r="P2154" s="21" t="s">
        <v>12</v>
      </c>
      <c r="Q2154" s="3" t="s">
        <v>12</v>
      </c>
      <c r="R2154" s="3" t="s">
        <v>12</v>
      </c>
    </row>
    <row r="2155" spans="1:18" x14ac:dyDescent="0.25">
      <c r="A2155" s="30">
        <v>46006</v>
      </c>
      <c r="B2155" s="28">
        <v>2145</v>
      </c>
      <c r="C2155" s="28"/>
      <c r="D2155" s="2" t="s">
        <v>2470</v>
      </c>
      <c r="E2155" s="7" t="s">
        <v>2471</v>
      </c>
      <c r="F2155" s="7"/>
      <c r="G2155" s="2" t="s">
        <v>97</v>
      </c>
      <c r="H2155" s="2" t="s">
        <v>114</v>
      </c>
      <c r="I2155" s="5">
        <v>51136.88</v>
      </c>
      <c r="J2155" s="57">
        <v>7.0000000000000007E-2</v>
      </c>
      <c r="K2155" s="3">
        <v>552</v>
      </c>
      <c r="L2155" s="2" t="s">
        <v>226</v>
      </c>
      <c r="M2155" s="2" t="s">
        <v>12</v>
      </c>
      <c r="N2155" s="2" t="s">
        <v>12</v>
      </c>
      <c r="O2155" s="2" t="s">
        <v>12</v>
      </c>
      <c r="P2155" s="21" t="s">
        <v>12</v>
      </c>
      <c r="Q2155" s="3" t="s">
        <v>12</v>
      </c>
      <c r="R2155" s="3" t="s">
        <v>12</v>
      </c>
    </row>
    <row r="2156" spans="1:18" x14ac:dyDescent="0.25">
      <c r="A2156" s="30">
        <v>46037</v>
      </c>
      <c r="B2156" s="28">
        <v>2146</v>
      </c>
      <c r="C2156" s="28" t="s">
        <v>2162</v>
      </c>
      <c r="D2156" s="2" t="s">
        <v>236</v>
      </c>
      <c r="E2156" s="7" t="s">
        <v>2472</v>
      </c>
      <c r="F2156" s="7"/>
      <c r="G2156" s="2" t="s">
        <v>97</v>
      </c>
      <c r="H2156" s="2" t="s">
        <v>2473</v>
      </c>
      <c r="I2156" s="5">
        <v>34593.589999999997</v>
      </c>
      <c r="J2156" s="57">
        <v>0.04</v>
      </c>
      <c r="K2156" s="3">
        <v>408</v>
      </c>
      <c r="L2156" s="2" t="s">
        <v>134</v>
      </c>
      <c r="M2156" s="2" t="s">
        <v>1160</v>
      </c>
      <c r="N2156" s="2" t="s">
        <v>135</v>
      </c>
      <c r="O2156" s="2" t="s">
        <v>374</v>
      </c>
      <c r="P2156" s="21">
        <v>26000</v>
      </c>
      <c r="Q2156" s="3" t="s">
        <v>12</v>
      </c>
      <c r="R2156" s="3" t="s">
        <v>12</v>
      </c>
    </row>
    <row r="2157" spans="1:18" x14ac:dyDescent="0.25">
      <c r="A2157" s="30">
        <v>46006</v>
      </c>
      <c r="B2157" s="28">
        <v>2147</v>
      </c>
      <c r="C2157" s="28"/>
      <c r="D2157" s="2" t="s">
        <v>262</v>
      </c>
      <c r="E2157" s="7" t="s">
        <v>12</v>
      </c>
      <c r="F2157" s="7"/>
      <c r="G2157" s="2" t="s">
        <v>13</v>
      </c>
      <c r="H2157" s="2" t="s">
        <v>1169</v>
      </c>
      <c r="I2157" s="5">
        <v>18091.47</v>
      </c>
      <c r="J2157" s="57">
        <v>7.0000000000000007E-2</v>
      </c>
      <c r="K2157" s="3">
        <v>240</v>
      </c>
      <c r="L2157" s="2" t="s">
        <v>226</v>
      </c>
      <c r="M2157" s="2" t="s">
        <v>12</v>
      </c>
      <c r="N2157" s="2" t="s">
        <v>12</v>
      </c>
      <c r="O2157" s="2" t="s">
        <v>12</v>
      </c>
      <c r="P2157" s="21" t="s">
        <v>12</v>
      </c>
      <c r="Q2157" s="3" t="s">
        <v>12</v>
      </c>
      <c r="R2157" s="3" t="s">
        <v>12</v>
      </c>
    </row>
    <row r="2158" spans="1:18" x14ac:dyDescent="0.25">
      <c r="A2158" s="30">
        <v>46007</v>
      </c>
      <c r="B2158" s="28">
        <v>2148</v>
      </c>
      <c r="C2158" s="28"/>
      <c r="D2158" s="2" t="s">
        <v>2259</v>
      </c>
      <c r="E2158" s="7" t="s">
        <v>12</v>
      </c>
      <c r="F2158" s="7"/>
      <c r="G2158" s="2" t="s">
        <v>13</v>
      </c>
      <c r="H2158" s="2" t="s">
        <v>225</v>
      </c>
      <c r="I2158" s="5">
        <v>5275.25</v>
      </c>
      <c r="J2158" s="57">
        <v>0.05</v>
      </c>
      <c r="K2158" s="3">
        <v>96</v>
      </c>
      <c r="L2158" s="2" t="s">
        <v>226</v>
      </c>
      <c r="M2158" s="2" t="s">
        <v>12</v>
      </c>
      <c r="N2158" s="2" t="s">
        <v>12</v>
      </c>
      <c r="O2158" s="2" t="s">
        <v>12</v>
      </c>
      <c r="P2158" s="21" t="s">
        <v>12</v>
      </c>
      <c r="Q2158" s="3" t="s">
        <v>12</v>
      </c>
      <c r="R2158" s="3" t="s">
        <v>12</v>
      </c>
    </row>
    <row r="2159" spans="1:18" x14ac:dyDescent="0.25">
      <c r="A2159" s="30">
        <v>46008</v>
      </c>
      <c r="B2159" s="28">
        <v>2149</v>
      </c>
      <c r="C2159" s="28"/>
      <c r="D2159" s="2" t="s">
        <v>2429</v>
      </c>
      <c r="E2159" s="7" t="s">
        <v>12</v>
      </c>
      <c r="F2159" s="7"/>
      <c r="G2159" s="2" t="s">
        <v>13</v>
      </c>
      <c r="H2159" s="2" t="s">
        <v>13</v>
      </c>
      <c r="I2159" s="5">
        <v>7927.95</v>
      </c>
      <c r="J2159" s="57"/>
      <c r="K2159" s="3">
        <v>96</v>
      </c>
      <c r="L2159" s="2" t="s">
        <v>64</v>
      </c>
      <c r="M2159" s="2" t="s">
        <v>12</v>
      </c>
      <c r="N2159" s="2" t="s">
        <v>12</v>
      </c>
      <c r="O2159" s="2" t="s">
        <v>12</v>
      </c>
      <c r="P2159" s="21" t="s">
        <v>12</v>
      </c>
      <c r="Q2159" s="3" t="s">
        <v>12</v>
      </c>
      <c r="R2159" s="3" t="s">
        <v>12</v>
      </c>
    </row>
    <row r="2160" spans="1:18" x14ac:dyDescent="0.25">
      <c r="A2160" s="30">
        <v>46007</v>
      </c>
      <c r="B2160" s="28">
        <v>2150</v>
      </c>
      <c r="C2160" s="28"/>
      <c r="D2160" s="2" t="s">
        <v>87</v>
      </c>
      <c r="E2160" s="7" t="s">
        <v>2474</v>
      </c>
      <c r="F2160" s="7"/>
      <c r="G2160" s="2" t="s">
        <v>13</v>
      </c>
      <c r="H2160" s="2" t="s">
        <v>185</v>
      </c>
      <c r="I2160" s="5">
        <v>33967.69</v>
      </c>
      <c r="J2160" s="57">
        <v>7.0000000000000007E-2</v>
      </c>
      <c r="K2160" s="3">
        <v>360</v>
      </c>
      <c r="L2160" s="2" t="s">
        <v>226</v>
      </c>
      <c r="M2160" s="2" t="s">
        <v>12</v>
      </c>
      <c r="N2160" s="2" t="s">
        <v>12</v>
      </c>
      <c r="O2160" s="2" t="s">
        <v>12</v>
      </c>
      <c r="P2160" s="21" t="s">
        <v>12</v>
      </c>
      <c r="Q2160" s="3"/>
      <c r="R2160" s="3"/>
    </row>
    <row r="2161" spans="1:18" x14ac:dyDescent="0.25">
      <c r="A2161" s="30">
        <v>46007</v>
      </c>
      <c r="B2161" s="28">
        <v>2151</v>
      </c>
      <c r="C2161" s="28"/>
      <c r="D2161" s="2" t="s">
        <v>130</v>
      </c>
      <c r="E2161" s="7" t="s">
        <v>2475</v>
      </c>
      <c r="F2161" s="7"/>
      <c r="G2161" s="2" t="s">
        <v>26</v>
      </c>
      <c r="H2161" s="2" t="s">
        <v>2368</v>
      </c>
      <c r="I2161" s="5">
        <v>196097.75</v>
      </c>
      <c r="J2161" s="57">
        <v>7.0000000000000007E-2</v>
      </c>
      <c r="K2161" s="3">
        <v>1952.4</v>
      </c>
      <c r="L2161" s="2" t="s">
        <v>226</v>
      </c>
      <c r="M2161" s="2" t="s">
        <v>2491</v>
      </c>
      <c r="N2161" s="2" t="s">
        <v>12</v>
      </c>
      <c r="O2161" s="2" t="s">
        <v>12</v>
      </c>
      <c r="P2161" s="21" t="s">
        <v>12</v>
      </c>
      <c r="Q2161" s="3"/>
      <c r="R2161" s="3"/>
    </row>
    <row r="2162" spans="1:18" x14ac:dyDescent="0.25">
      <c r="A2162" s="30">
        <v>46007</v>
      </c>
      <c r="B2162" s="28">
        <v>2152</v>
      </c>
      <c r="C2162" s="28"/>
      <c r="D2162" s="2" t="s">
        <v>87</v>
      </c>
      <c r="E2162" s="7" t="s">
        <v>2435</v>
      </c>
      <c r="F2162" s="7"/>
      <c r="G2162" s="2" t="s">
        <v>13</v>
      </c>
      <c r="H2162" s="2" t="s">
        <v>89</v>
      </c>
      <c r="I2162" s="5">
        <v>160000.37</v>
      </c>
      <c r="J2162" s="57">
        <v>0.03</v>
      </c>
      <c r="K2162" s="3">
        <v>2210.4</v>
      </c>
      <c r="L2162" s="2" t="s">
        <v>64</v>
      </c>
      <c r="M2162" s="2" t="s">
        <v>12</v>
      </c>
      <c r="N2162" s="2" t="s">
        <v>12</v>
      </c>
      <c r="O2162" s="2" t="s">
        <v>12</v>
      </c>
      <c r="P2162" s="21" t="s">
        <v>12</v>
      </c>
      <c r="Q2162" s="3" t="s">
        <v>12</v>
      </c>
      <c r="R2162" s="3" t="s">
        <v>12</v>
      </c>
    </row>
    <row r="2163" spans="1:18" x14ac:dyDescent="0.25">
      <c r="A2163" s="30">
        <v>46007</v>
      </c>
      <c r="B2163" s="28">
        <v>2153</v>
      </c>
      <c r="C2163" s="28"/>
      <c r="D2163" s="2" t="s">
        <v>1446</v>
      </c>
      <c r="E2163" s="7" t="s">
        <v>2476</v>
      </c>
      <c r="F2163" s="7"/>
      <c r="G2163" s="2" t="s">
        <v>43</v>
      </c>
      <c r="H2163" s="2" t="s">
        <v>2007</v>
      </c>
      <c r="I2163" s="5">
        <v>10573.98</v>
      </c>
      <c r="J2163" s="57">
        <v>7.0000000000000007E-2</v>
      </c>
      <c r="K2163" s="3">
        <v>96</v>
      </c>
      <c r="L2163" s="2" t="s">
        <v>21</v>
      </c>
      <c r="M2163" s="2" t="s">
        <v>3029</v>
      </c>
      <c r="N2163" s="2" t="s">
        <v>12</v>
      </c>
      <c r="O2163" s="2" t="s">
        <v>12</v>
      </c>
      <c r="P2163" s="21" t="s">
        <v>12</v>
      </c>
      <c r="Q2163" s="3"/>
      <c r="R2163" s="3"/>
    </row>
    <row r="2164" spans="1:18" x14ac:dyDescent="0.25">
      <c r="A2164" s="30">
        <v>46007</v>
      </c>
      <c r="B2164" s="28">
        <v>2154</v>
      </c>
      <c r="C2164" s="28"/>
      <c r="D2164" s="2" t="s">
        <v>905</v>
      </c>
      <c r="E2164" s="7" t="s">
        <v>12</v>
      </c>
      <c r="F2164" s="7"/>
      <c r="G2164" s="2" t="s">
        <v>111</v>
      </c>
      <c r="H2164" s="2" t="s">
        <v>1015</v>
      </c>
      <c r="I2164" s="5">
        <v>10106.48</v>
      </c>
      <c r="J2164" s="57">
        <v>0.05</v>
      </c>
      <c r="K2164" s="3">
        <v>120</v>
      </c>
      <c r="L2164" s="2" t="s">
        <v>64</v>
      </c>
      <c r="M2164" s="2" t="s">
        <v>12</v>
      </c>
      <c r="N2164" s="2" t="s">
        <v>12</v>
      </c>
      <c r="O2164" s="2" t="s">
        <v>12</v>
      </c>
      <c r="P2164" s="21" t="s">
        <v>12</v>
      </c>
      <c r="Q2164" s="3" t="s">
        <v>12</v>
      </c>
      <c r="R2164" s="3" t="s">
        <v>12</v>
      </c>
    </row>
    <row r="2165" spans="1:18" x14ac:dyDescent="0.25">
      <c r="A2165" s="30">
        <v>46008</v>
      </c>
      <c r="B2165" s="28">
        <v>2155</v>
      </c>
      <c r="C2165" s="28"/>
      <c r="D2165" s="2" t="s">
        <v>212</v>
      </c>
      <c r="E2165" s="7" t="s">
        <v>2477</v>
      </c>
      <c r="F2165" s="7"/>
      <c r="G2165" s="2" t="s">
        <v>20</v>
      </c>
      <c r="H2165" s="2" t="s">
        <v>320</v>
      </c>
      <c r="I2165" s="5">
        <v>67788.539999999994</v>
      </c>
      <c r="J2165" s="57">
        <v>7.0000000000000007E-2</v>
      </c>
      <c r="K2165" s="3">
        <v>912</v>
      </c>
      <c r="L2165" s="2" t="s">
        <v>226</v>
      </c>
      <c r="M2165" s="2" t="s">
        <v>12</v>
      </c>
      <c r="N2165" s="2" t="s">
        <v>12</v>
      </c>
      <c r="O2165" s="2" t="s">
        <v>12</v>
      </c>
      <c r="P2165" s="21" t="s">
        <v>12</v>
      </c>
      <c r="Q2165" s="3" t="s">
        <v>12</v>
      </c>
      <c r="R2165" s="3" t="s">
        <v>12</v>
      </c>
    </row>
    <row r="2166" spans="1:18" x14ac:dyDescent="0.25">
      <c r="A2166" s="30">
        <v>46037</v>
      </c>
      <c r="B2166" s="28">
        <v>2156</v>
      </c>
      <c r="C2166" s="28"/>
      <c r="D2166" s="2" t="s">
        <v>2272</v>
      </c>
      <c r="E2166" s="7" t="s">
        <v>2478</v>
      </c>
      <c r="F2166" s="7"/>
      <c r="G2166" s="2" t="s">
        <v>43</v>
      </c>
      <c r="H2166" s="2" t="s">
        <v>438</v>
      </c>
      <c r="I2166" s="5">
        <v>4272.93</v>
      </c>
      <c r="J2166" s="57">
        <v>7.0000000000000007E-2</v>
      </c>
      <c r="K2166" s="3">
        <v>48</v>
      </c>
      <c r="L2166" s="2" t="s">
        <v>134</v>
      </c>
      <c r="M2166" s="2" t="s">
        <v>1160</v>
      </c>
      <c r="N2166" s="2" t="s">
        <v>135</v>
      </c>
      <c r="O2166" s="2" t="s">
        <v>374</v>
      </c>
      <c r="P2166" s="21" t="s">
        <v>2545</v>
      </c>
      <c r="Q2166" s="3" t="s">
        <v>12</v>
      </c>
      <c r="R2166" s="3" t="s">
        <v>12</v>
      </c>
    </row>
    <row r="2167" spans="1:18" x14ac:dyDescent="0.25">
      <c r="A2167" s="30">
        <v>46037</v>
      </c>
      <c r="B2167" s="28">
        <v>2157</v>
      </c>
      <c r="C2167" s="28"/>
      <c r="D2167" s="2" t="s">
        <v>2272</v>
      </c>
      <c r="E2167" s="7" t="s">
        <v>2479</v>
      </c>
      <c r="F2167" s="7"/>
      <c r="G2167" s="2" t="s">
        <v>43</v>
      </c>
      <c r="H2167" s="2" t="s">
        <v>438</v>
      </c>
      <c r="I2167" s="5">
        <v>4466.83</v>
      </c>
      <c r="J2167" s="57">
        <v>7.0000000000000007E-2</v>
      </c>
      <c r="K2167" s="3">
        <v>48</v>
      </c>
      <c r="L2167" s="2" t="s">
        <v>134</v>
      </c>
      <c r="M2167" s="2" t="s">
        <v>1160</v>
      </c>
      <c r="N2167" s="2" t="s">
        <v>135</v>
      </c>
      <c r="O2167" s="2" t="s">
        <v>374</v>
      </c>
      <c r="P2167" s="21" t="s">
        <v>2545</v>
      </c>
      <c r="Q2167" s="3" t="s">
        <v>12</v>
      </c>
      <c r="R2167" s="3" t="s">
        <v>12</v>
      </c>
    </row>
    <row r="2168" spans="1:18" x14ac:dyDescent="0.25">
      <c r="A2168" s="30">
        <v>46037</v>
      </c>
      <c r="B2168" s="28">
        <v>2158</v>
      </c>
      <c r="C2168" s="28"/>
      <c r="D2168" s="2" t="s">
        <v>2272</v>
      </c>
      <c r="E2168" s="7" t="s">
        <v>2480</v>
      </c>
      <c r="F2168" s="7"/>
      <c r="G2168" s="2" t="s">
        <v>43</v>
      </c>
      <c r="H2168" s="2" t="s">
        <v>438</v>
      </c>
      <c r="I2168" s="5">
        <v>6681.43</v>
      </c>
      <c r="J2168" s="57">
        <v>7.0000000000000007E-2</v>
      </c>
      <c r="K2168" s="3">
        <v>72</v>
      </c>
      <c r="L2168" s="2" t="s">
        <v>134</v>
      </c>
      <c r="M2168" s="2" t="s">
        <v>1160</v>
      </c>
      <c r="N2168" s="2" t="s">
        <v>135</v>
      </c>
      <c r="O2168" s="2" t="s">
        <v>374</v>
      </c>
      <c r="P2168" s="21" t="s">
        <v>2545</v>
      </c>
      <c r="Q2168" s="3" t="s">
        <v>12</v>
      </c>
      <c r="R2168" s="3" t="s">
        <v>12</v>
      </c>
    </row>
    <row r="2169" spans="1:18" x14ac:dyDescent="0.25">
      <c r="A2169" s="30">
        <v>46037</v>
      </c>
      <c r="B2169" s="28">
        <v>2159</v>
      </c>
      <c r="C2169" s="28"/>
      <c r="D2169" s="2" t="s">
        <v>2272</v>
      </c>
      <c r="E2169" s="7" t="s">
        <v>2481</v>
      </c>
      <c r="F2169" s="7"/>
      <c r="G2169" s="2" t="s">
        <v>43</v>
      </c>
      <c r="H2169" s="2" t="s">
        <v>438</v>
      </c>
      <c r="I2169" s="5">
        <v>4321.68</v>
      </c>
      <c r="J2169" s="57">
        <v>7.0000000000000007E-2</v>
      </c>
      <c r="K2169" s="3">
        <v>48</v>
      </c>
      <c r="L2169" s="2" t="s">
        <v>134</v>
      </c>
      <c r="M2169" s="2" t="s">
        <v>1160</v>
      </c>
      <c r="N2169" s="2" t="s">
        <v>135</v>
      </c>
      <c r="O2169" s="2" t="s">
        <v>374</v>
      </c>
      <c r="P2169" s="21" t="s">
        <v>2545</v>
      </c>
      <c r="Q2169" s="3" t="s">
        <v>12</v>
      </c>
      <c r="R2169" s="3" t="s">
        <v>12</v>
      </c>
    </row>
    <row r="2170" spans="1:18" x14ac:dyDescent="0.25">
      <c r="A2170" s="30">
        <v>46008</v>
      </c>
      <c r="B2170" s="28">
        <v>2160</v>
      </c>
      <c r="C2170" s="28"/>
      <c r="D2170" s="2" t="s">
        <v>41</v>
      </c>
      <c r="E2170" s="7" t="s">
        <v>2482</v>
      </c>
      <c r="F2170" s="7"/>
      <c r="G2170" s="2" t="s">
        <v>43</v>
      </c>
      <c r="H2170" s="2" t="s">
        <v>43</v>
      </c>
      <c r="I2170" s="5">
        <v>172251.83</v>
      </c>
      <c r="J2170" s="57">
        <v>7.0000000000000007E-2</v>
      </c>
      <c r="K2170" s="3">
        <v>1728</v>
      </c>
      <c r="L2170" s="2" t="s">
        <v>226</v>
      </c>
      <c r="M2170" s="2" t="s">
        <v>12</v>
      </c>
      <c r="N2170" s="2" t="s">
        <v>12</v>
      </c>
      <c r="O2170" s="2" t="s">
        <v>12</v>
      </c>
      <c r="P2170" s="21" t="s">
        <v>12</v>
      </c>
      <c r="Q2170" s="3" t="s">
        <v>12</v>
      </c>
      <c r="R2170" s="3" t="s">
        <v>12</v>
      </c>
    </row>
    <row r="2171" spans="1:18" x14ac:dyDescent="0.25">
      <c r="A2171" s="30">
        <v>46008</v>
      </c>
      <c r="B2171" s="28">
        <v>2161</v>
      </c>
      <c r="C2171" s="28"/>
      <c r="D2171" s="2" t="s">
        <v>87</v>
      </c>
      <c r="E2171" s="7" t="s">
        <v>2482</v>
      </c>
      <c r="F2171" s="7"/>
      <c r="G2171" s="2" t="s">
        <v>13</v>
      </c>
      <c r="H2171" s="2" t="s">
        <v>185</v>
      </c>
      <c r="I2171" s="5">
        <v>172251.83</v>
      </c>
      <c r="J2171" s="57">
        <v>7.0000000000000007E-2</v>
      </c>
      <c r="K2171" s="3">
        <v>1728</v>
      </c>
      <c r="L2171" s="2" t="s">
        <v>226</v>
      </c>
      <c r="M2171" s="2" t="s">
        <v>12</v>
      </c>
      <c r="N2171" s="2" t="s">
        <v>12</v>
      </c>
      <c r="O2171" s="2" t="s">
        <v>12</v>
      </c>
      <c r="P2171" s="21" t="s">
        <v>12</v>
      </c>
      <c r="Q2171" s="3" t="s">
        <v>12</v>
      </c>
      <c r="R2171" s="3"/>
    </row>
    <row r="2172" spans="1:18" x14ac:dyDescent="0.25">
      <c r="A2172" s="30">
        <v>46008</v>
      </c>
      <c r="B2172" s="28">
        <v>2162</v>
      </c>
      <c r="C2172" s="28"/>
      <c r="D2172" s="2" t="s">
        <v>2483</v>
      </c>
      <c r="E2172" s="7" t="s">
        <v>12</v>
      </c>
      <c r="F2172" s="7"/>
      <c r="G2172" s="2" t="s">
        <v>13</v>
      </c>
      <c r="H2172" s="2"/>
      <c r="I2172" s="5">
        <v>6327.57</v>
      </c>
      <c r="J2172" s="57">
        <v>0.05</v>
      </c>
      <c r="K2172" s="3">
        <v>96</v>
      </c>
      <c r="L2172" s="2" t="s">
        <v>226</v>
      </c>
      <c r="M2172" s="2" t="s">
        <v>12</v>
      </c>
      <c r="N2172" s="2" t="s">
        <v>12</v>
      </c>
      <c r="O2172" s="2" t="s">
        <v>12</v>
      </c>
      <c r="P2172" s="21" t="s">
        <v>12</v>
      </c>
      <c r="Q2172" s="3" t="s">
        <v>12</v>
      </c>
      <c r="R2172" s="3" t="s">
        <v>12</v>
      </c>
    </row>
    <row r="2173" spans="1:18" x14ac:dyDescent="0.25">
      <c r="A2173" s="30">
        <v>46008</v>
      </c>
      <c r="B2173" s="28">
        <v>2163</v>
      </c>
      <c r="C2173" s="28" t="s">
        <v>2161</v>
      </c>
      <c r="D2173" s="2" t="s">
        <v>2484</v>
      </c>
      <c r="E2173" s="7" t="s">
        <v>2485</v>
      </c>
      <c r="F2173" s="7"/>
      <c r="G2173" s="2" t="s">
        <v>97</v>
      </c>
      <c r="H2173" s="2" t="s">
        <v>596</v>
      </c>
      <c r="I2173" s="5">
        <v>13431.93</v>
      </c>
      <c r="J2173" s="57">
        <v>7.0000000000000007E-2</v>
      </c>
      <c r="K2173" s="3">
        <v>48</v>
      </c>
      <c r="L2173" s="2" t="s">
        <v>134</v>
      </c>
      <c r="M2173" s="2" t="s">
        <v>2742</v>
      </c>
      <c r="N2173" s="2" t="s">
        <v>373</v>
      </c>
      <c r="O2173" s="2" t="s">
        <v>374</v>
      </c>
      <c r="P2173" s="21" t="s">
        <v>12</v>
      </c>
      <c r="Q2173" s="3" t="s">
        <v>12</v>
      </c>
      <c r="R2173" s="3" t="s">
        <v>12</v>
      </c>
    </row>
    <row r="2174" spans="1:18" x14ac:dyDescent="0.25">
      <c r="A2174" s="30">
        <v>46008</v>
      </c>
      <c r="B2174" s="28">
        <v>2164</v>
      </c>
      <c r="C2174" s="28" t="s">
        <v>2161</v>
      </c>
      <c r="D2174" s="2" t="s">
        <v>1183</v>
      </c>
      <c r="E2174" s="7" t="s">
        <v>12</v>
      </c>
      <c r="F2174" s="7"/>
      <c r="G2174" s="2" t="s">
        <v>13</v>
      </c>
      <c r="H2174" s="2" t="s">
        <v>1498</v>
      </c>
      <c r="I2174" s="5">
        <v>6243.66</v>
      </c>
      <c r="J2174" s="57">
        <v>0.04</v>
      </c>
      <c r="K2174" s="3">
        <v>72</v>
      </c>
      <c r="L2174" s="2" t="s">
        <v>64</v>
      </c>
      <c r="M2174" s="2" t="s">
        <v>12</v>
      </c>
      <c r="N2174" s="2" t="s">
        <v>12</v>
      </c>
      <c r="O2174" s="2" t="s">
        <v>12</v>
      </c>
      <c r="P2174" s="21" t="s">
        <v>12</v>
      </c>
      <c r="Q2174" s="3" t="s">
        <v>12</v>
      </c>
      <c r="R2174" s="3" t="s">
        <v>12</v>
      </c>
    </row>
    <row r="2175" spans="1:18" x14ac:dyDescent="0.25">
      <c r="A2175" s="30">
        <v>45672</v>
      </c>
      <c r="B2175" s="28">
        <v>2165</v>
      </c>
      <c r="C2175" s="28"/>
      <c r="D2175" s="2" t="s">
        <v>925</v>
      </c>
      <c r="E2175" s="7" t="s">
        <v>2492</v>
      </c>
      <c r="F2175" s="7"/>
      <c r="G2175" s="2" t="s">
        <v>26</v>
      </c>
      <c r="H2175" s="2" t="s">
        <v>1187</v>
      </c>
      <c r="I2175" s="5">
        <v>28078.53</v>
      </c>
      <c r="J2175" s="57">
        <v>0.05</v>
      </c>
      <c r="K2175" s="3">
        <v>432</v>
      </c>
      <c r="L2175" s="2" t="s">
        <v>134</v>
      </c>
      <c r="M2175" s="2" t="s">
        <v>1160</v>
      </c>
      <c r="N2175" s="2" t="s">
        <v>135</v>
      </c>
      <c r="O2175" s="2" t="s">
        <v>374</v>
      </c>
      <c r="P2175" s="21" t="s">
        <v>12</v>
      </c>
      <c r="Q2175" s="3" t="s">
        <v>12</v>
      </c>
      <c r="R2175" s="3" t="s">
        <v>12</v>
      </c>
    </row>
    <row r="2176" spans="1:18" x14ac:dyDescent="0.25">
      <c r="A2176" s="30">
        <v>45672</v>
      </c>
      <c r="B2176" s="28">
        <v>2166</v>
      </c>
      <c r="C2176" s="28"/>
      <c r="D2176" s="2" t="s">
        <v>925</v>
      </c>
      <c r="E2176" s="7" t="s">
        <v>2492</v>
      </c>
      <c r="F2176" s="7"/>
      <c r="G2176" s="2" t="s">
        <v>26</v>
      </c>
      <c r="H2176" s="2" t="s">
        <v>1187</v>
      </c>
      <c r="I2176" s="5">
        <v>17398.52</v>
      </c>
      <c r="J2176" s="57">
        <v>0.05</v>
      </c>
      <c r="K2176" s="3">
        <v>192</v>
      </c>
      <c r="L2176" s="2" t="s">
        <v>2542</v>
      </c>
      <c r="M2176" s="2" t="s">
        <v>1160</v>
      </c>
      <c r="N2176" s="2" t="s">
        <v>135</v>
      </c>
      <c r="O2176" s="2" t="s">
        <v>374</v>
      </c>
      <c r="P2176" s="21" t="s">
        <v>12</v>
      </c>
      <c r="Q2176" s="3" t="s">
        <v>12</v>
      </c>
      <c r="R2176" s="3" t="s">
        <v>12</v>
      </c>
    </row>
    <row r="2177" spans="1:18" x14ac:dyDescent="0.25">
      <c r="A2177" s="30">
        <v>46009</v>
      </c>
      <c r="B2177" s="28">
        <v>2167</v>
      </c>
      <c r="C2177" s="28"/>
      <c r="D2177" s="2" t="s">
        <v>1596</v>
      </c>
      <c r="E2177" s="7" t="s">
        <v>12</v>
      </c>
      <c r="F2177" s="7"/>
      <c r="G2177" s="2" t="s">
        <v>43</v>
      </c>
      <c r="H2177" s="2" t="s">
        <v>751</v>
      </c>
      <c r="I2177" s="5">
        <v>35756.32</v>
      </c>
      <c r="J2177" s="57">
        <v>0.05</v>
      </c>
      <c r="K2177" s="3">
        <v>360</v>
      </c>
      <c r="L2177" s="2" t="s">
        <v>64</v>
      </c>
      <c r="M2177" s="2" t="s">
        <v>12</v>
      </c>
      <c r="N2177" s="2" t="s">
        <v>12</v>
      </c>
      <c r="O2177" s="2" t="s">
        <v>12</v>
      </c>
      <c r="P2177" s="21" t="s">
        <v>12</v>
      </c>
      <c r="Q2177" s="3" t="s">
        <v>12</v>
      </c>
      <c r="R2177" s="3" t="s">
        <v>12</v>
      </c>
    </row>
    <row r="2178" spans="1:18" x14ac:dyDescent="0.25">
      <c r="A2178" s="30">
        <v>45701</v>
      </c>
      <c r="B2178" s="28">
        <v>2168</v>
      </c>
      <c r="C2178" s="28"/>
      <c r="D2178" s="2" t="s">
        <v>308</v>
      </c>
      <c r="E2178" s="7" t="s">
        <v>2482</v>
      </c>
      <c r="F2178" s="7"/>
      <c r="G2178" s="2" t="s">
        <v>20</v>
      </c>
      <c r="H2178" s="2" t="s">
        <v>129</v>
      </c>
      <c r="I2178" s="5">
        <v>147020.18</v>
      </c>
      <c r="J2178" s="57">
        <v>0.04</v>
      </c>
      <c r="K2178" s="3">
        <v>1728</v>
      </c>
      <c r="L2178" s="2" t="s">
        <v>226</v>
      </c>
      <c r="M2178" s="2" t="s">
        <v>12</v>
      </c>
      <c r="N2178" s="2" t="s">
        <v>12</v>
      </c>
      <c r="O2178" s="2" t="s">
        <v>12</v>
      </c>
      <c r="P2178" s="21" t="s">
        <v>12</v>
      </c>
      <c r="Q2178" s="3" t="s">
        <v>78</v>
      </c>
      <c r="R2178" s="3" t="s">
        <v>80</v>
      </c>
    </row>
    <row r="2179" spans="1:18" x14ac:dyDescent="0.25">
      <c r="A2179" s="30">
        <v>46009</v>
      </c>
      <c r="B2179" s="28">
        <v>2169</v>
      </c>
      <c r="C2179" s="28"/>
      <c r="D2179" s="2" t="s">
        <v>1183</v>
      </c>
      <c r="E2179" s="7" t="s">
        <v>12</v>
      </c>
      <c r="F2179" s="7"/>
      <c r="G2179" s="2" t="s">
        <v>13</v>
      </c>
      <c r="H2179" s="2" t="s">
        <v>1498</v>
      </c>
      <c r="I2179" s="5">
        <v>4365</v>
      </c>
      <c r="J2179" s="57">
        <v>7.0000000000000007E-2</v>
      </c>
      <c r="K2179" s="3" t="s">
        <v>12</v>
      </c>
      <c r="L2179" s="2" t="s">
        <v>226</v>
      </c>
      <c r="M2179" s="2" t="s">
        <v>12</v>
      </c>
      <c r="N2179" s="2" t="s">
        <v>12</v>
      </c>
      <c r="O2179" s="2" t="s">
        <v>12</v>
      </c>
      <c r="P2179" s="21" t="s">
        <v>12</v>
      </c>
      <c r="Q2179" s="3" t="s">
        <v>12</v>
      </c>
      <c r="R2179" s="3" t="s">
        <v>12</v>
      </c>
    </row>
    <row r="2180" spans="1:18" x14ac:dyDescent="0.25">
      <c r="A2180" s="30">
        <v>46013</v>
      </c>
      <c r="B2180" s="28">
        <v>2170</v>
      </c>
      <c r="C2180" s="28" t="s">
        <v>2161</v>
      </c>
      <c r="D2180" s="2" t="s">
        <v>2190</v>
      </c>
      <c r="E2180" s="7" t="s">
        <v>12</v>
      </c>
      <c r="F2180" s="7"/>
      <c r="G2180" s="2" t="s">
        <v>13</v>
      </c>
      <c r="H2180" s="2" t="s">
        <v>549</v>
      </c>
      <c r="I2180" s="5">
        <v>3036.37</v>
      </c>
      <c r="J2180" s="57">
        <v>7.0000000000000007E-2</v>
      </c>
      <c r="K2180" s="3" t="s">
        <v>12</v>
      </c>
      <c r="L2180" s="2" t="s">
        <v>226</v>
      </c>
      <c r="M2180" s="2" t="s">
        <v>12</v>
      </c>
      <c r="N2180" s="2" t="s">
        <v>12</v>
      </c>
      <c r="O2180" s="2" t="s">
        <v>12</v>
      </c>
      <c r="P2180" s="21" t="s">
        <v>12</v>
      </c>
      <c r="Q2180" s="3" t="s">
        <v>12</v>
      </c>
      <c r="R2180" s="3" t="s">
        <v>12</v>
      </c>
    </row>
    <row r="2181" spans="1:18" x14ac:dyDescent="0.25">
      <c r="A2181" s="30">
        <v>46020</v>
      </c>
      <c r="B2181" s="28">
        <v>2171</v>
      </c>
      <c r="C2181" s="28"/>
      <c r="D2181" s="2" t="s">
        <v>1937</v>
      </c>
      <c r="E2181" s="7" t="s">
        <v>12</v>
      </c>
      <c r="F2181" s="7"/>
      <c r="G2181" s="2" t="s">
        <v>13</v>
      </c>
      <c r="H2181" s="2" t="s">
        <v>313</v>
      </c>
      <c r="I2181" s="5">
        <v>400.2</v>
      </c>
      <c r="J2181" s="57">
        <v>7.0000000000000007E-2</v>
      </c>
      <c r="K2181" s="3" t="s">
        <v>12</v>
      </c>
      <c r="L2181" s="2" t="s">
        <v>226</v>
      </c>
      <c r="M2181" s="2" t="s">
        <v>12</v>
      </c>
      <c r="N2181" s="2" t="s">
        <v>12</v>
      </c>
      <c r="O2181" s="2" t="s">
        <v>12</v>
      </c>
      <c r="P2181" s="21" t="s">
        <v>12</v>
      </c>
      <c r="Q2181" s="3" t="s">
        <v>12</v>
      </c>
      <c r="R2181" s="3" t="s">
        <v>12</v>
      </c>
    </row>
    <row r="2182" spans="1:18" x14ac:dyDescent="0.25">
      <c r="A2182" s="30">
        <v>46020</v>
      </c>
      <c r="B2182" s="28">
        <v>2172</v>
      </c>
      <c r="C2182" s="28"/>
      <c r="D2182" s="2" t="s">
        <v>2391</v>
      </c>
      <c r="E2182" s="7" t="s">
        <v>12</v>
      </c>
      <c r="F2182" s="7"/>
      <c r="G2182" s="2" t="s">
        <v>13</v>
      </c>
      <c r="H2182" s="2" t="s">
        <v>1153</v>
      </c>
      <c r="I2182" s="5">
        <v>575.38</v>
      </c>
      <c r="J2182" s="57">
        <v>7.0000000000000007E-2</v>
      </c>
      <c r="K2182" s="3" t="s">
        <v>12</v>
      </c>
      <c r="L2182" s="2" t="s">
        <v>226</v>
      </c>
      <c r="M2182" s="2" t="s">
        <v>12</v>
      </c>
      <c r="N2182" s="2" t="s">
        <v>12</v>
      </c>
      <c r="O2182" s="2" t="s">
        <v>12</v>
      </c>
      <c r="P2182" s="21" t="s">
        <v>12</v>
      </c>
      <c r="Q2182" s="3" t="s">
        <v>12</v>
      </c>
      <c r="R2182" s="3" t="s">
        <v>12</v>
      </c>
    </row>
    <row r="2183" spans="1:18" x14ac:dyDescent="0.25">
      <c r="A2183" s="30">
        <v>46020</v>
      </c>
      <c r="B2183" s="28">
        <v>2173</v>
      </c>
      <c r="C2183" s="28"/>
      <c r="D2183" s="2" t="s">
        <v>208</v>
      </c>
      <c r="E2183" s="7" t="s">
        <v>2451</v>
      </c>
      <c r="F2183" s="7"/>
      <c r="G2183" s="2" t="s">
        <v>43</v>
      </c>
      <c r="H2183" s="2" t="s">
        <v>1113</v>
      </c>
      <c r="I2183" s="5">
        <v>27428.95</v>
      </c>
      <c r="J2183" s="57">
        <v>7.0000000000000007E-2</v>
      </c>
      <c r="K2183" s="3">
        <v>288</v>
      </c>
      <c r="L2183" s="2" t="s">
        <v>226</v>
      </c>
      <c r="M2183" s="2" t="s">
        <v>12</v>
      </c>
      <c r="N2183" s="2" t="s">
        <v>12</v>
      </c>
      <c r="O2183" s="2" t="s">
        <v>12</v>
      </c>
      <c r="P2183" s="21" t="s">
        <v>12</v>
      </c>
      <c r="Q2183" s="3" t="s">
        <v>2494</v>
      </c>
      <c r="R2183" s="3" t="s">
        <v>80</v>
      </c>
    </row>
    <row r="2184" spans="1:18" x14ac:dyDescent="0.25">
      <c r="A2184" s="30">
        <v>46021</v>
      </c>
      <c r="B2184" s="28">
        <v>2174</v>
      </c>
      <c r="C2184" s="28"/>
      <c r="D2184" s="2" t="s">
        <v>103</v>
      </c>
      <c r="E2184" s="7" t="s">
        <v>2493</v>
      </c>
      <c r="F2184" s="7"/>
      <c r="G2184" s="2" t="s">
        <v>13</v>
      </c>
      <c r="H2184" s="2" t="s">
        <v>491</v>
      </c>
      <c r="I2184" s="5">
        <v>112493.69</v>
      </c>
      <c r="J2184" s="57">
        <v>0.05</v>
      </c>
      <c r="K2184" s="3">
        <v>1176</v>
      </c>
      <c r="L2184" s="2" t="s">
        <v>64</v>
      </c>
      <c r="M2184" s="2" t="s">
        <v>12</v>
      </c>
      <c r="N2184" s="2" t="s">
        <v>12</v>
      </c>
      <c r="O2184" s="2" t="s">
        <v>12</v>
      </c>
      <c r="P2184" s="21" t="s">
        <v>12</v>
      </c>
      <c r="Q2184" s="3" t="s">
        <v>12</v>
      </c>
      <c r="R2184" s="3" t="s">
        <v>12</v>
      </c>
    </row>
    <row r="2185" spans="1:18" x14ac:dyDescent="0.25">
      <c r="A2185" s="30">
        <v>46021</v>
      </c>
      <c r="B2185" s="28">
        <v>2175</v>
      </c>
      <c r="C2185" s="28"/>
      <c r="D2185" s="2" t="s">
        <v>2248</v>
      </c>
      <c r="E2185" s="7" t="s">
        <v>12</v>
      </c>
      <c r="F2185" s="7"/>
      <c r="G2185" s="2" t="s">
        <v>13</v>
      </c>
      <c r="H2185" s="2" t="s">
        <v>2249</v>
      </c>
      <c r="I2185" s="5">
        <v>9545.17</v>
      </c>
      <c r="J2185" s="57">
        <v>0.04</v>
      </c>
      <c r="K2185" s="3">
        <v>144</v>
      </c>
      <c r="L2185" s="2" t="s">
        <v>226</v>
      </c>
      <c r="M2185" s="2" t="s">
        <v>12</v>
      </c>
      <c r="N2185" s="2" t="s">
        <v>12</v>
      </c>
      <c r="O2185" s="2" t="s">
        <v>12</v>
      </c>
      <c r="P2185" s="21" t="s">
        <v>12</v>
      </c>
      <c r="Q2185" s="3" t="s">
        <v>12</v>
      </c>
      <c r="R2185" s="3" t="s">
        <v>12</v>
      </c>
    </row>
    <row r="2186" spans="1:18" x14ac:dyDescent="0.25">
      <c r="A2186" s="30">
        <v>46028</v>
      </c>
      <c r="B2186" s="28">
        <v>1</v>
      </c>
      <c r="C2186" s="28"/>
      <c r="D2186" s="2" t="s">
        <v>403</v>
      </c>
      <c r="E2186" s="7" t="s">
        <v>2495</v>
      </c>
      <c r="F2186" s="7"/>
      <c r="G2186" s="2" t="s">
        <v>43</v>
      </c>
      <c r="H2186" s="2" t="s">
        <v>1732</v>
      </c>
      <c r="I2186" s="5">
        <v>22979.96</v>
      </c>
      <c r="J2186" s="57">
        <v>7.0000000000000007E-2</v>
      </c>
      <c r="K2186" s="3">
        <v>120</v>
      </c>
      <c r="L2186" s="2" t="s">
        <v>64</v>
      </c>
      <c r="M2186" s="2" t="s">
        <v>2578</v>
      </c>
      <c r="N2186" s="2" t="s">
        <v>12</v>
      </c>
      <c r="O2186" s="2" t="s">
        <v>12</v>
      </c>
      <c r="P2186" s="21" t="s">
        <v>12</v>
      </c>
      <c r="Q2186" s="3" t="s">
        <v>12</v>
      </c>
      <c r="R2186" s="3" t="s">
        <v>12</v>
      </c>
    </row>
    <row r="2187" spans="1:18" x14ac:dyDescent="0.25">
      <c r="A2187" s="30">
        <v>46027</v>
      </c>
      <c r="B2187" s="28">
        <v>2</v>
      </c>
      <c r="C2187" s="28"/>
      <c r="D2187" s="2" t="s">
        <v>41</v>
      </c>
      <c r="E2187" s="7" t="s">
        <v>2496</v>
      </c>
      <c r="F2187" s="7"/>
      <c r="G2187" s="2" t="s">
        <v>43</v>
      </c>
      <c r="H2187" s="2" t="s">
        <v>417</v>
      </c>
      <c r="I2187" s="5">
        <v>112648.88</v>
      </c>
      <c r="J2187" s="57">
        <v>7.0000000000000007E-2</v>
      </c>
      <c r="K2187" s="3">
        <v>1344</v>
      </c>
      <c r="L2187" s="2" t="s">
        <v>226</v>
      </c>
      <c r="M2187" s="2" t="s">
        <v>12</v>
      </c>
      <c r="N2187" s="2" t="s">
        <v>12</v>
      </c>
      <c r="O2187" s="2" t="s">
        <v>12</v>
      </c>
      <c r="P2187" s="21" t="s">
        <v>12</v>
      </c>
      <c r="Q2187" s="3" t="s">
        <v>12</v>
      </c>
      <c r="R2187" s="3" t="s">
        <v>12</v>
      </c>
    </row>
    <row r="2188" spans="1:18" x14ac:dyDescent="0.25">
      <c r="A2188" s="30">
        <v>46027</v>
      </c>
      <c r="B2188" s="28">
        <v>3</v>
      </c>
      <c r="C2188" s="28"/>
      <c r="D2188" s="2" t="s">
        <v>2497</v>
      </c>
      <c r="E2188" s="7" t="s">
        <v>2540</v>
      </c>
      <c r="F2188" s="7"/>
      <c r="G2188" s="2" t="s">
        <v>111</v>
      </c>
      <c r="H2188" s="2" t="s">
        <v>2541</v>
      </c>
      <c r="I2188" s="5">
        <v>4563.72</v>
      </c>
      <c r="J2188" s="57">
        <v>7.0000000000000007E-2</v>
      </c>
      <c r="K2188" s="3">
        <v>48</v>
      </c>
      <c r="L2188" s="2" t="s">
        <v>64</v>
      </c>
      <c r="M2188" s="2" t="s">
        <v>12</v>
      </c>
      <c r="N2188" s="2" t="s">
        <v>12</v>
      </c>
      <c r="O2188" s="2" t="s">
        <v>12</v>
      </c>
      <c r="P2188" s="21" t="s">
        <v>12</v>
      </c>
      <c r="Q2188" s="3" t="s">
        <v>12</v>
      </c>
      <c r="R2188" s="3" t="s">
        <v>12</v>
      </c>
    </row>
    <row r="2189" spans="1:18" x14ac:dyDescent="0.25">
      <c r="A2189" s="30">
        <v>46027</v>
      </c>
      <c r="B2189" s="28">
        <v>4</v>
      </c>
      <c r="C2189" s="28"/>
      <c r="D2189" s="2" t="s">
        <v>95</v>
      </c>
      <c r="E2189" s="7" t="s">
        <v>12</v>
      </c>
      <c r="F2189" s="7"/>
      <c r="G2189" s="2" t="s">
        <v>97</v>
      </c>
      <c r="H2189" s="2" t="s">
        <v>98</v>
      </c>
      <c r="I2189" s="5">
        <v>6994.3</v>
      </c>
      <c r="J2189" s="57">
        <v>7.0000000000000007E-2</v>
      </c>
      <c r="K2189" s="3" t="s">
        <v>12</v>
      </c>
      <c r="L2189" s="2" t="s">
        <v>64</v>
      </c>
      <c r="M2189" s="2" t="s">
        <v>12</v>
      </c>
      <c r="N2189" s="2" t="s">
        <v>12</v>
      </c>
      <c r="O2189" s="2" t="s">
        <v>12</v>
      </c>
      <c r="P2189" s="21" t="s">
        <v>12</v>
      </c>
      <c r="Q2189" s="3" t="s">
        <v>12</v>
      </c>
      <c r="R2189" s="3" t="s">
        <v>12</v>
      </c>
    </row>
    <row r="2190" spans="1:18" x14ac:dyDescent="0.25">
      <c r="A2190" s="30">
        <v>46027</v>
      </c>
      <c r="B2190" s="28">
        <v>5</v>
      </c>
      <c r="C2190" s="28"/>
      <c r="D2190" s="2" t="s">
        <v>2248</v>
      </c>
      <c r="E2190" s="7" t="s">
        <v>12</v>
      </c>
      <c r="F2190" s="7"/>
      <c r="G2190" s="2" t="s">
        <v>13</v>
      </c>
      <c r="H2190" s="2" t="s">
        <v>2249</v>
      </c>
      <c r="I2190" s="5">
        <v>9545.17</v>
      </c>
      <c r="J2190" s="57">
        <v>0.04</v>
      </c>
      <c r="K2190" s="3">
        <v>144</v>
      </c>
      <c r="L2190" s="2" t="s">
        <v>64</v>
      </c>
      <c r="M2190" s="2" t="s">
        <v>12</v>
      </c>
      <c r="N2190" s="2" t="s">
        <v>12</v>
      </c>
      <c r="O2190" s="2" t="s">
        <v>12</v>
      </c>
      <c r="P2190" s="21" t="s">
        <v>12</v>
      </c>
      <c r="Q2190" s="3" t="s">
        <v>12</v>
      </c>
      <c r="R2190" s="3" t="s">
        <v>12</v>
      </c>
    </row>
    <row r="2191" spans="1:18" x14ac:dyDescent="0.25">
      <c r="A2191" s="30">
        <v>46027</v>
      </c>
      <c r="B2191" s="28">
        <v>6</v>
      </c>
      <c r="C2191" s="28"/>
      <c r="D2191" s="2" t="s">
        <v>109</v>
      </c>
      <c r="E2191" s="7" t="s">
        <v>2498</v>
      </c>
      <c r="F2191" s="7"/>
      <c r="G2191" s="2" t="s">
        <v>111</v>
      </c>
      <c r="H2191" s="2" t="s">
        <v>61</v>
      </c>
      <c r="I2191" s="5">
        <v>251739.95</v>
      </c>
      <c r="J2191" s="57">
        <v>7.0000000000000007E-2</v>
      </c>
      <c r="K2191" s="3">
        <v>3168</v>
      </c>
      <c r="L2191" s="2" t="s">
        <v>73</v>
      </c>
      <c r="M2191" s="2" t="s">
        <v>12</v>
      </c>
      <c r="N2191" s="2" t="s">
        <v>12</v>
      </c>
      <c r="O2191" s="2" t="s">
        <v>12</v>
      </c>
      <c r="P2191" s="21" t="s">
        <v>12</v>
      </c>
      <c r="Q2191" s="3" t="s">
        <v>12</v>
      </c>
      <c r="R2191" s="3" t="s">
        <v>12</v>
      </c>
    </row>
    <row r="2192" spans="1:18" x14ac:dyDescent="0.25">
      <c r="A2192" s="30">
        <v>46029</v>
      </c>
      <c r="B2192" s="28">
        <v>7</v>
      </c>
      <c r="C2192" s="28" t="s">
        <v>2229</v>
      </c>
      <c r="D2192" s="2" t="s">
        <v>41</v>
      </c>
      <c r="E2192" s="7" t="s">
        <v>2499</v>
      </c>
      <c r="F2192" s="7"/>
      <c r="G2192" s="2" t="s">
        <v>43</v>
      </c>
      <c r="H2192" s="2" t="s">
        <v>417</v>
      </c>
      <c r="I2192" s="5">
        <v>214376.55</v>
      </c>
      <c r="J2192" s="57">
        <v>0.04</v>
      </c>
      <c r="K2192" s="3">
        <v>2412</v>
      </c>
      <c r="L2192" s="2" t="s">
        <v>64</v>
      </c>
      <c r="M2192" s="2" t="s">
        <v>530</v>
      </c>
      <c r="N2192" s="2" t="s">
        <v>12</v>
      </c>
      <c r="O2192" s="2" t="s">
        <v>12</v>
      </c>
      <c r="P2192" s="21" t="s">
        <v>12</v>
      </c>
      <c r="Q2192" s="3" t="s">
        <v>522</v>
      </c>
      <c r="R2192" s="3" t="s">
        <v>75</v>
      </c>
    </row>
    <row r="2193" spans="1:18" x14ac:dyDescent="0.25">
      <c r="A2193" s="30">
        <v>46028</v>
      </c>
      <c r="B2193" s="28">
        <v>8</v>
      </c>
      <c r="C2193" s="28"/>
      <c r="D2193" s="2" t="s">
        <v>515</v>
      </c>
      <c r="E2193" s="7" t="s">
        <v>12</v>
      </c>
      <c r="F2193" s="7"/>
      <c r="G2193" s="2" t="s">
        <v>111</v>
      </c>
      <c r="H2193" s="2" t="s">
        <v>1168</v>
      </c>
      <c r="I2193" s="5">
        <v>7812.13</v>
      </c>
      <c r="J2193" s="57">
        <v>7.0000000000000007E-2</v>
      </c>
      <c r="K2193" s="3">
        <v>88.8</v>
      </c>
      <c r="L2193" s="2" t="s">
        <v>226</v>
      </c>
      <c r="M2193" s="2" t="s">
        <v>12</v>
      </c>
      <c r="N2193" s="2" t="s">
        <v>12</v>
      </c>
      <c r="O2193" s="2" t="s">
        <v>12</v>
      </c>
      <c r="P2193" s="21" t="s">
        <v>12</v>
      </c>
      <c r="Q2193" s="3" t="s">
        <v>12</v>
      </c>
      <c r="R2193" s="3" t="s">
        <v>12</v>
      </c>
    </row>
    <row r="2194" spans="1:18" x14ac:dyDescent="0.25">
      <c r="A2194" s="30">
        <v>46028</v>
      </c>
      <c r="B2194" s="28">
        <v>9</v>
      </c>
      <c r="C2194" s="28"/>
      <c r="D2194" s="2" t="s">
        <v>2259</v>
      </c>
      <c r="E2194" s="7" t="s">
        <v>12</v>
      </c>
      <c r="F2194" s="7"/>
      <c r="G2194" s="2" t="s">
        <v>13</v>
      </c>
      <c r="H2194" s="2" t="s">
        <v>225</v>
      </c>
      <c r="I2194" s="5">
        <v>6394.92</v>
      </c>
      <c r="J2194" s="57">
        <v>0.05</v>
      </c>
      <c r="K2194" s="3">
        <v>97.2</v>
      </c>
      <c r="L2194" s="2" t="s">
        <v>226</v>
      </c>
      <c r="M2194" s="2" t="s">
        <v>12</v>
      </c>
      <c r="N2194" s="2" t="s">
        <v>12</v>
      </c>
      <c r="O2194" s="2" t="s">
        <v>12</v>
      </c>
      <c r="P2194" s="21" t="s">
        <v>12</v>
      </c>
      <c r="Q2194" s="3" t="s">
        <v>12</v>
      </c>
      <c r="R2194" s="3" t="s">
        <v>12</v>
      </c>
    </row>
    <row r="2195" spans="1:18" x14ac:dyDescent="0.25">
      <c r="A2195" s="30">
        <v>46028</v>
      </c>
      <c r="B2195" s="28">
        <v>10</v>
      </c>
      <c r="C2195" s="28"/>
      <c r="D2195" s="2" t="s">
        <v>41</v>
      </c>
      <c r="E2195" s="7" t="s">
        <v>2179</v>
      </c>
      <c r="F2195" s="7"/>
      <c r="G2195" s="2" t="s">
        <v>43</v>
      </c>
      <c r="H2195" s="2" t="s">
        <v>319</v>
      </c>
      <c r="I2195" s="5">
        <v>365818.25</v>
      </c>
      <c r="J2195" s="57">
        <v>0.05</v>
      </c>
      <c r="K2195" s="3">
        <v>4608</v>
      </c>
      <c r="L2195" s="2" t="s">
        <v>226</v>
      </c>
      <c r="M2195" s="2" t="s">
        <v>667</v>
      </c>
      <c r="N2195" s="2" t="s">
        <v>12</v>
      </c>
      <c r="O2195" s="2" t="s">
        <v>12</v>
      </c>
      <c r="P2195" s="21" t="s">
        <v>12</v>
      </c>
      <c r="Q2195" s="3" t="s">
        <v>12</v>
      </c>
      <c r="R2195" s="3" t="s">
        <v>12</v>
      </c>
    </row>
    <row r="2196" spans="1:18" x14ac:dyDescent="0.25">
      <c r="A2196" s="30">
        <v>46028</v>
      </c>
      <c r="B2196" s="28">
        <v>11</v>
      </c>
      <c r="C2196" s="28"/>
      <c r="D2196" s="2" t="s">
        <v>2500</v>
      </c>
      <c r="E2196" s="7" t="s">
        <v>1368</v>
      </c>
      <c r="F2196" s="7"/>
      <c r="G2196" s="2" t="s">
        <v>13</v>
      </c>
      <c r="H2196" s="2" t="s">
        <v>948</v>
      </c>
      <c r="I2196" s="5">
        <v>92510.99</v>
      </c>
      <c r="J2196" s="57">
        <v>7.0000000000000007E-2</v>
      </c>
      <c r="K2196" s="3">
        <v>1056</v>
      </c>
      <c r="L2196" s="2" t="s">
        <v>226</v>
      </c>
      <c r="M2196" s="2" t="s">
        <v>12</v>
      </c>
      <c r="N2196" s="2" t="s">
        <v>12</v>
      </c>
      <c r="O2196" s="2" t="s">
        <v>12</v>
      </c>
      <c r="P2196" s="21" t="s">
        <v>12</v>
      </c>
      <c r="Q2196" s="3" t="s">
        <v>2505</v>
      </c>
      <c r="R2196" s="3" t="s">
        <v>80</v>
      </c>
    </row>
    <row r="2197" spans="1:18" x14ac:dyDescent="0.25">
      <c r="A2197" s="30">
        <v>46028</v>
      </c>
      <c r="B2197" s="28">
        <v>12</v>
      </c>
      <c r="C2197" s="28"/>
      <c r="D2197" s="2" t="s">
        <v>2297</v>
      </c>
      <c r="E2197" s="7" t="s">
        <v>12</v>
      </c>
      <c r="F2197" s="7"/>
      <c r="G2197" s="2" t="s">
        <v>13</v>
      </c>
      <c r="H2197" s="2" t="s">
        <v>235</v>
      </c>
      <c r="I2197" s="5">
        <v>3522.93</v>
      </c>
      <c r="J2197" s="57">
        <v>0.05</v>
      </c>
      <c r="K2197" s="3">
        <v>48</v>
      </c>
      <c r="L2197" s="2" t="s">
        <v>64</v>
      </c>
      <c r="M2197" s="2" t="s">
        <v>12</v>
      </c>
      <c r="N2197" s="2" t="s">
        <v>12</v>
      </c>
      <c r="O2197" s="2" t="s">
        <v>12</v>
      </c>
      <c r="P2197" s="21" t="s">
        <v>12</v>
      </c>
      <c r="Q2197" s="3" t="s">
        <v>12</v>
      </c>
      <c r="R2197" s="3" t="s">
        <v>12</v>
      </c>
    </row>
    <row r="2198" spans="1:18" x14ac:dyDescent="0.25">
      <c r="A2198" s="30">
        <v>46028</v>
      </c>
      <c r="B2198" s="28">
        <v>13</v>
      </c>
      <c r="C2198" s="28"/>
      <c r="D2198" s="2" t="s">
        <v>62</v>
      </c>
      <c r="E2198" s="7" t="s">
        <v>12</v>
      </c>
      <c r="F2198" s="7"/>
      <c r="G2198" s="2" t="s">
        <v>26</v>
      </c>
      <c r="H2198" s="2" t="s">
        <v>63</v>
      </c>
      <c r="I2198" s="5">
        <v>9626.65</v>
      </c>
      <c r="J2198" s="57">
        <v>0.05</v>
      </c>
      <c r="K2198" s="3">
        <v>72</v>
      </c>
      <c r="L2198" s="2" t="s">
        <v>64</v>
      </c>
      <c r="M2198" s="2" t="s">
        <v>12</v>
      </c>
      <c r="N2198" s="2" t="s">
        <v>12</v>
      </c>
      <c r="O2198" s="2" t="s">
        <v>12</v>
      </c>
      <c r="P2198" s="21" t="s">
        <v>12</v>
      </c>
      <c r="Q2198" s="3" t="s">
        <v>12</v>
      </c>
      <c r="R2198" s="3" t="s">
        <v>12</v>
      </c>
    </row>
    <row r="2199" spans="1:18" x14ac:dyDescent="0.25">
      <c r="A2199" s="30">
        <v>46028</v>
      </c>
      <c r="B2199" s="28">
        <v>14</v>
      </c>
      <c r="C2199" s="28"/>
      <c r="D2199" s="2" t="s">
        <v>212</v>
      </c>
      <c r="E2199" s="7" t="s">
        <v>2501</v>
      </c>
      <c r="F2199" s="7"/>
      <c r="G2199" s="2" t="s">
        <v>20</v>
      </c>
      <c r="H2199" s="2" t="s">
        <v>320</v>
      </c>
      <c r="I2199" s="5">
        <v>44476.55</v>
      </c>
      <c r="J2199" s="57">
        <v>7.0000000000000007E-2</v>
      </c>
      <c r="K2199" s="3">
        <v>552</v>
      </c>
      <c r="L2199" s="2" t="s">
        <v>226</v>
      </c>
      <c r="M2199" s="2" t="s">
        <v>12</v>
      </c>
      <c r="N2199" s="2" t="s">
        <v>12</v>
      </c>
      <c r="O2199" s="2" t="s">
        <v>12</v>
      </c>
      <c r="P2199" s="21" t="s">
        <v>12</v>
      </c>
      <c r="Q2199" s="3" t="s">
        <v>12</v>
      </c>
      <c r="R2199" s="3" t="s">
        <v>12</v>
      </c>
    </row>
    <row r="2200" spans="1:18" x14ac:dyDescent="0.25">
      <c r="A2200" s="30">
        <v>46029</v>
      </c>
      <c r="B2200" s="28">
        <v>15</v>
      </c>
      <c r="C2200" s="28"/>
      <c r="D2200" s="2" t="s">
        <v>2429</v>
      </c>
      <c r="E2200" s="7" t="s">
        <v>12</v>
      </c>
      <c r="F2200" s="7"/>
      <c r="G2200" s="2" t="s">
        <v>13</v>
      </c>
      <c r="H2200" s="2" t="s">
        <v>13</v>
      </c>
      <c r="I2200" s="5">
        <v>36677.53</v>
      </c>
      <c r="J2200" s="57">
        <v>0.06</v>
      </c>
      <c r="K2200" s="3">
        <v>264</v>
      </c>
      <c r="L2200" s="2" t="s">
        <v>64</v>
      </c>
      <c r="M2200" s="2" t="s">
        <v>12</v>
      </c>
      <c r="N2200" s="2" t="s">
        <v>12</v>
      </c>
      <c r="O2200" s="2" t="s">
        <v>12</v>
      </c>
      <c r="P2200" s="21" t="s">
        <v>12</v>
      </c>
      <c r="Q2200" s="3" t="s">
        <v>12</v>
      </c>
      <c r="R2200" s="3" t="s">
        <v>12</v>
      </c>
    </row>
    <row r="2201" spans="1:18" x14ac:dyDescent="0.25">
      <c r="A2201" s="30">
        <v>46029</v>
      </c>
      <c r="B2201" s="28">
        <v>16</v>
      </c>
      <c r="C2201" s="28"/>
      <c r="D2201" s="2" t="s">
        <v>168</v>
      </c>
      <c r="E2201" s="7" t="s">
        <v>2502</v>
      </c>
      <c r="F2201" s="7"/>
      <c r="G2201" s="2" t="s">
        <v>43</v>
      </c>
      <c r="H2201" s="2" t="s">
        <v>381</v>
      </c>
      <c r="I2201" s="5">
        <v>178543.06</v>
      </c>
      <c r="J2201" s="57">
        <v>7.0000000000000007E-2</v>
      </c>
      <c r="K2201" s="3">
        <v>1537.2</v>
      </c>
      <c r="L2201" s="2" t="s">
        <v>226</v>
      </c>
      <c r="M2201" s="2" t="s">
        <v>12</v>
      </c>
      <c r="N2201" s="2" t="s">
        <v>12</v>
      </c>
      <c r="O2201" s="2" t="s">
        <v>12</v>
      </c>
      <c r="P2201" s="21" t="s">
        <v>12</v>
      </c>
      <c r="Q2201" s="3" t="s">
        <v>961</v>
      </c>
      <c r="R2201" s="3" t="s">
        <v>80</v>
      </c>
    </row>
    <row r="2202" spans="1:18" x14ac:dyDescent="0.25">
      <c r="A2202" s="30">
        <v>46029</v>
      </c>
      <c r="B2202" s="28">
        <v>17</v>
      </c>
      <c r="C2202" s="28"/>
      <c r="D2202" s="2" t="s">
        <v>933</v>
      </c>
      <c r="E2202" s="7" t="s">
        <v>1411</v>
      </c>
      <c r="F2202" s="7"/>
      <c r="G2202" s="2" t="s">
        <v>20</v>
      </c>
      <c r="H2202" s="2" t="s">
        <v>935</v>
      </c>
      <c r="I2202" s="5">
        <v>30397.759999999998</v>
      </c>
      <c r="J2202" s="57">
        <v>7.0000000000000007E-2</v>
      </c>
      <c r="K2202" s="3">
        <v>312</v>
      </c>
      <c r="L2202" s="2" t="s">
        <v>226</v>
      </c>
      <c r="M2202" s="2" t="s">
        <v>12</v>
      </c>
      <c r="N2202" s="2" t="s">
        <v>12</v>
      </c>
      <c r="O2202" s="2" t="s">
        <v>12</v>
      </c>
      <c r="P2202" s="21" t="s">
        <v>12</v>
      </c>
      <c r="Q2202" s="3" t="s">
        <v>906</v>
      </c>
      <c r="R2202" s="3" t="s">
        <v>75</v>
      </c>
    </row>
    <row r="2203" spans="1:18" x14ac:dyDescent="0.25">
      <c r="A2203" s="30">
        <v>46029</v>
      </c>
      <c r="B2203" s="28">
        <v>18</v>
      </c>
      <c r="C2203" s="28" t="s">
        <v>2161</v>
      </c>
      <c r="D2203" s="2" t="s">
        <v>1216</v>
      </c>
      <c r="E2203" s="7" t="s">
        <v>2503</v>
      </c>
      <c r="F2203" s="7"/>
      <c r="G2203" s="2" t="s">
        <v>13</v>
      </c>
      <c r="H2203" s="2" t="s">
        <v>2393</v>
      </c>
      <c r="I2203" s="5">
        <v>10750.01</v>
      </c>
      <c r="J2203" s="57">
        <v>0.06</v>
      </c>
      <c r="K2203" s="3">
        <v>96</v>
      </c>
      <c r="L2203" s="2" t="s">
        <v>64</v>
      </c>
      <c r="M2203" s="2" t="s">
        <v>12</v>
      </c>
      <c r="N2203" s="2" t="s">
        <v>12</v>
      </c>
      <c r="O2203" s="2" t="s">
        <v>12</v>
      </c>
      <c r="P2203" s="21" t="s">
        <v>12</v>
      </c>
      <c r="Q2203" s="3" t="s">
        <v>12</v>
      </c>
      <c r="R2203" s="3" t="s">
        <v>12</v>
      </c>
    </row>
    <row r="2204" spans="1:18" x14ac:dyDescent="0.25">
      <c r="A2204" s="30">
        <v>46029</v>
      </c>
      <c r="B2204" s="28">
        <v>19</v>
      </c>
      <c r="C2204" s="28"/>
      <c r="D2204" s="2" t="s">
        <v>1216</v>
      </c>
      <c r="E2204" s="7" t="s">
        <v>2503</v>
      </c>
      <c r="F2204" s="7"/>
      <c r="G2204" s="2" t="s">
        <v>13</v>
      </c>
      <c r="H2204" s="2" t="s">
        <v>2393</v>
      </c>
      <c r="I2204" s="5">
        <v>1947.76</v>
      </c>
      <c r="J2204" s="57">
        <v>7.0000000000000007E-2</v>
      </c>
      <c r="K2204" s="3" t="s">
        <v>12</v>
      </c>
      <c r="L2204" s="2" t="s">
        <v>226</v>
      </c>
      <c r="M2204" s="2" t="s">
        <v>12</v>
      </c>
      <c r="N2204" s="2" t="s">
        <v>12</v>
      </c>
      <c r="O2204" s="2" t="s">
        <v>12</v>
      </c>
      <c r="P2204" s="21" t="s">
        <v>12</v>
      </c>
      <c r="Q2204" s="3" t="s">
        <v>12</v>
      </c>
      <c r="R2204" s="3" t="s">
        <v>12</v>
      </c>
    </row>
    <row r="2205" spans="1:18" x14ac:dyDescent="0.25">
      <c r="A2205" s="30">
        <v>46029</v>
      </c>
      <c r="B2205" s="28">
        <v>20</v>
      </c>
      <c r="C2205" s="28"/>
      <c r="D2205" s="2" t="s">
        <v>1609</v>
      </c>
      <c r="E2205" s="7" t="s">
        <v>2504</v>
      </c>
      <c r="F2205" s="7"/>
      <c r="G2205" s="2" t="s">
        <v>43</v>
      </c>
      <c r="H2205" s="2" t="s">
        <v>1113</v>
      </c>
      <c r="I2205" s="5">
        <v>11176.97</v>
      </c>
      <c r="J2205" s="57">
        <v>7.0000000000000007E-2</v>
      </c>
      <c r="K2205" s="3">
        <v>144</v>
      </c>
      <c r="L2205" s="2" t="s">
        <v>226</v>
      </c>
      <c r="M2205" s="2" t="s">
        <v>12</v>
      </c>
      <c r="N2205" s="2" t="s">
        <v>12</v>
      </c>
      <c r="O2205" s="2" t="s">
        <v>12</v>
      </c>
      <c r="P2205" s="21" t="s">
        <v>12</v>
      </c>
      <c r="Q2205" s="3" t="s">
        <v>12</v>
      </c>
      <c r="R2205" s="3" t="s">
        <v>12</v>
      </c>
    </row>
    <row r="2206" spans="1:18" x14ac:dyDescent="0.25">
      <c r="A2206" s="30">
        <v>46030</v>
      </c>
      <c r="B2206" s="28">
        <v>21</v>
      </c>
      <c r="C2206" s="28" t="s">
        <v>2161</v>
      </c>
      <c r="D2206" s="2" t="s">
        <v>1344</v>
      </c>
      <c r="E2206" s="7" t="s">
        <v>2523</v>
      </c>
      <c r="F2206" s="7"/>
      <c r="G2206" s="2" t="s">
        <v>26</v>
      </c>
      <c r="H2206" s="2" t="s">
        <v>331</v>
      </c>
      <c r="I2206" s="5">
        <v>21705.55</v>
      </c>
      <c r="J2206" s="57">
        <v>0.04</v>
      </c>
      <c r="K2206" s="3">
        <v>240</v>
      </c>
      <c r="L2206" s="2" t="s">
        <v>134</v>
      </c>
      <c r="M2206" s="2" t="s">
        <v>135</v>
      </c>
      <c r="N2206" s="2" t="s">
        <v>135</v>
      </c>
      <c r="O2206" s="2" t="s">
        <v>443</v>
      </c>
      <c r="P2206" s="21" t="s">
        <v>12</v>
      </c>
      <c r="Q2206" s="3" t="s">
        <v>12</v>
      </c>
      <c r="R2206" s="3" t="s">
        <v>12</v>
      </c>
    </row>
    <row r="2207" spans="1:18" x14ac:dyDescent="0.25">
      <c r="A2207" s="30">
        <v>46030</v>
      </c>
      <c r="B2207" s="28">
        <v>22</v>
      </c>
      <c r="C2207" s="28"/>
      <c r="D2207" s="2" t="s">
        <v>206</v>
      </c>
      <c r="E2207" s="7" t="s">
        <v>2506</v>
      </c>
      <c r="F2207" s="7"/>
      <c r="G2207" s="2" t="s">
        <v>97</v>
      </c>
      <c r="H2207" s="2" t="s">
        <v>368</v>
      </c>
      <c r="I2207" s="5">
        <v>26319.17</v>
      </c>
      <c r="J2207" s="57">
        <v>7.0000000000000007E-2</v>
      </c>
      <c r="K2207" s="3">
        <v>336</v>
      </c>
      <c r="L2207" s="2" t="s">
        <v>226</v>
      </c>
      <c r="M2207" s="2" t="s">
        <v>12</v>
      </c>
      <c r="N2207" s="2" t="s">
        <v>12</v>
      </c>
      <c r="O2207" s="2" t="s">
        <v>12</v>
      </c>
      <c r="P2207" s="21" t="s">
        <v>12</v>
      </c>
      <c r="Q2207" s="3" t="s">
        <v>12</v>
      </c>
      <c r="R2207" s="3" t="s">
        <v>12</v>
      </c>
    </row>
    <row r="2208" spans="1:18" x14ac:dyDescent="0.25">
      <c r="A2208" s="30">
        <v>46036</v>
      </c>
      <c r="B2208" s="28">
        <v>23</v>
      </c>
      <c r="C2208" s="28" t="s">
        <v>2161</v>
      </c>
      <c r="D2208" s="2" t="s">
        <v>1820</v>
      </c>
      <c r="E2208" s="7" t="s">
        <v>12</v>
      </c>
      <c r="F2208" s="7"/>
      <c r="G2208" s="2" t="s">
        <v>97</v>
      </c>
      <c r="H2208" s="2" t="s">
        <v>1000</v>
      </c>
      <c r="I2208" s="5">
        <v>18621.82</v>
      </c>
      <c r="J2208" s="57">
        <v>0.05</v>
      </c>
      <c r="K2208" s="3">
        <v>240</v>
      </c>
      <c r="L2208" s="2" t="s">
        <v>64</v>
      </c>
      <c r="M2208" s="2" t="s">
        <v>12</v>
      </c>
      <c r="N2208" s="2" t="s">
        <v>12</v>
      </c>
      <c r="O2208" s="2" t="s">
        <v>12</v>
      </c>
      <c r="P2208" s="21" t="s">
        <v>12</v>
      </c>
      <c r="Q2208" s="3" t="s">
        <v>12</v>
      </c>
      <c r="R2208" s="3" t="s">
        <v>12</v>
      </c>
    </row>
    <row r="2209" spans="1:18" x14ac:dyDescent="0.25">
      <c r="A2209" s="30">
        <v>46030</v>
      </c>
      <c r="B2209" s="28">
        <v>24</v>
      </c>
      <c r="C2209" s="28"/>
      <c r="D2209" s="2" t="s">
        <v>109</v>
      </c>
      <c r="E2209" s="7" t="s">
        <v>2507</v>
      </c>
      <c r="F2209" s="7"/>
      <c r="G2209" s="2" t="s">
        <v>111</v>
      </c>
      <c r="H2209" s="2" t="s">
        <v>467</v>
      </c>
      <c r="I2209" s="5">
        <v>729096.92</v>
      </c>
      <c r="J2209" s="57">
        <v>7.0000000000000007E-2</v>
      </c>
      <c r="K2209" s="3">
        <v>5280</v>
      </c>
      <c r="L2209" s="2" t="s">
        <v>64</v>
      </c>
      <c r="M2209" s="2" t="s">
        <v>530</v>
      </c>
      <c r="N2209" s="2" t="s">
        <v>12</v>
      </c>
      <c r="O2209" s="2" t="s">
        <v>12</v>
      </c>
      <c r="P2209" s="21" t="s">
        <v>12</v>
      </c>
      <c r="Q2209" s="3" t="s">
        <v>12</v>
      </c>
      <c r="R2209" s="3" t="s">
        <v>12</v>
      </c>
    </row>
    <row r="2210" spans="1:18" x14ac:dyDescent="0.25">
      <c r="A2210" s="30">
        <v>46030</v>
      </c>
      <c r="B2210" s="28">
        <v>25</v>
      </c>
      <c r="C2210" s="28"/>
      <c r="D2210" s="2" t="s">
        <v>165</v>
      </c>
      <c r="E2210" s="7" t="s">
        <v>2459</v>
      </c>
      <c r="F2210" s="7"/>
      <c r="G2210" s="2" t="s">
        <v>97</v>
      </c>
      <c r="H2210" s="2" t="s">
        <v>2508</v>
      </c>
      <c r="I2210" s="5">
        <v>11864.12</v>
      </c>
      <c r="J2210" s="57">
        <v>7.0000000000000007E-2</v>
      </c>
      <c r="K2210" s="3" t="s">
        <v>12</v>
      </c>
      <c r="L2210" s="2" t="s">
        <v>64</v>
      </c>
      <c r="M2210" s="2" t="s">
        <v>12</v>
      </c>
      <c r="N2210" s="2" t="s">
        <v>12</v>
      </c>
      <c r="O2210" s="2" t="s">
        <v>12</v>
      </c>
      <c r="P2210" s="21" t="s">
        <v>12</v>
      </c>
      <c r="Q2210" s="3" t="s">
        <v>12</v>
      </c>
      <c r="R2210" s="3" t="s">
        <v>12</v>
      </c>
    </row>
    <row r="2211" spans="1:18" x14ac:dyDescent="0.25">
      <c r="A2211" s="30">
        <v>46034</v>
      </c>
      <c r="B2211" s="28">
        <v>26</v>
      </c>
      <c r="C2211" s="28" t="s">
        <v>2229</v>
      </c>
      <c r="D2211" s="2" t="s">
        <v>338</v>
      </c>
      <c r="E2211" s="7" t="s">
        <v>2509</v>
      </c>
      <c r="F2211" s="7"/>
      <c r="G2211" s="2" t="s">
        <v>97</v>
      </c>
      <c r="H2211" s="2" t="s">
        <v>339</v>
      </c>
      <c r="I2211" s="5">
        <v>9909.7999999999993</v>
      </c>
      <c r="J2211" s="57">
        <v>7.0000000000000007E-2</v>
      </c>
      <c r="K2211" s="3" t="s">
        <v>12</v>
      </c>
      <c r="L2211" s="2" t="s">
        <v>64</v>
      </c>
      <c r="M2211" s="2" t="s">
        <v>12</v>
      </c>
      <c r="N2211" s="2" t="s">
        <v>12</v>
      </c>
      <c r="O2211" s="2" t="s">
        <v>12</v>
      </c>
      <c r="P2211" s="21" t="s">
        <v>12</v>
      </c>
      <c r="Q2211" s="3" t="s">
        <v>12</v>
      </c>
      <c r="R2211" s="3" t="s">
        <v>12</v>
      </c>
    </row>
    <row r="2212" spans="1:18" x14ac:dyDescent="0.25">
      <c r="A2212" s="30">
        <v>46035</v>
      </c>
      <c r="B2212" s="28">
        <v>27</v>
      </c>
      <c r="C2212" s="28" t="s">
        <v>2161</v>
      </c>
      <c r="D2212" s="2" t="s">
        <v>206</v>
      </c>
      <c r="E2212" s="7" t="s">
        <v>2510</v>
      </c>
      <c r="F2212" s="7"/>
      <c r="G2212" s="2" t="s">
        <v>97</v>
      </c>
      <c r="H2212" s="2" t="s">
        <v>616</v>
      </c>
      <c r="I2212" s="5">
        <v>32428.91</v>
      </c>
      <c r="J2212" s="57">
        <v>0.04</v>
      </c>
      <c r="K2212" s="3">
        <v>302.39999999999998</v>
      </c>
      <c r="L2212" s="2" t="s">
        <v>226</v>
      </c>
      <c r="M2212" s="2" t="s">
        <v>12</v>
      </c>
      <c r="N2212" s="2" t="s">
        <v>12</v>
      </c>
      <c r="O2212" s="2" t="s">
        <v>12</v>
      </c>
      <c r="P2212" s="21" t="s">
        <v>12</v>
      </c>
      <c r="Q2212" s="3" t="s">
        <v>12</v>
      </c>
      <c r="R2212" s="3" t="s">
        <v>12</v>
      </c>
    </row>
    <row r="2213" spans="1:18" x14ac:dyDescent="0.25">
      <c r="A2213" s="30">
        <v>46030</v>
      </c>
      <c r="B2213" s="28">
        <v>28</v>
      </c>
      <c r="C2213" s="28"/>
      <c r="D2213" s="2" t="s">
        <v>2511</v>
      </c>
      <c r="E2213" s="7" t="s">
        <v>2512</v>
      </c>
      <c r="F2213" s="7"/>
      <c r="G2213" s="2" t="s">
        <v>13</v>
      </c>
      <c r="H2213" s="2" t="s">
        <v>1113</v>
      </c>
      <c r="I2213" s="5">
        <v>17782.36</v>
      </c>
      <c r="J2213" s="57">
        <v>0.05</v>
      </c>
      <c r="K2213" s="3">
        <v>240</v>
      </c>
      <c r="L2213" s="2" t="s">
        <v>226</v>
      </c>
      <c r="M2213" s="2" t="s">
        <v>12</v>
      </c>
      <c r="N2213" s="2" t="s">
        <v>12</v>
      </c>
      <c r="O2213" s="2" t="s">
        <v>12</v>
      </c>
      <c r="P2213" s="21" t="s">
        <v>12</v>
      </c>
      <c r="Q2213" s="3" t="s">
        <v>12</v>
      </c>
      <c r="R2213" s="3" t="s">
        <v>12</v>
      </c>
    </row>
    <row r="2214" spans="1:18" x14ac:dyDescent="0.25">
      <c r="A2214" s="30">
        <v>46030</v>
      </c>
      <c r="B2214" s="28">
        <v>29</v>
      </c>
      <c r="C2214" s="28"/>
      <c r="D2214" s="2" t="s">
        <v>12</v>
      </c>
      <c r="E2214" s="7" t="s">
        <v>12</v>
      </c>
      <c r="F2214" s="7"/>
      <c r="G2214" s="2"/>
      <c r="H2214" s="2" t="s">
        <v>12</v>
      </c>
      <c r="I2214" s="5" t="s">
        <v>12</v>
      </c>
      <c r="J2214" s="57" t="s">
        <v>12</v>
      </c>
      <c r="K2214" s="3" t="s">
        <v>12</v>
      </c>
      <c r="L2214" s="2" t="s">
        <v>226</v>
      </c>
      <c r="M2214" s="2" t="s">
        <v>12</v>
      </c>
      <c r="N2214" s="2" t="s">
        <v>12</v>
      </c>
      <c r="O2214" s="2" t="s">
        <v>12</v>
      </c>
      <c r="P2214" s="21" t="s">
        <v>12</v>
      </c>
      <c r="Q2214" s="3"/>
      <c r="R2214" s="3" t="s">
        <v>12</v>
      </c>
    </row>
    <row r="2215" spans="1:18" x14ac:dyDescent="0.25">
      <c r="A2215" s="30">
        <v>46030</v>
      </c>
      <c r="B2215" s="28">
        <v>30</v>
      </c>
      <c r="C2215" s="28"/>
      <c r="D2215" s="2" t="s">
        <v>163</v>
      </c>
      <c r="E2215" s="7" t="s">
        <v>12</v>
      </c>
      <c r="F2215" s="7"/>
      <c r="G2215" s="2" t="s">
        <v>2513</v>
      </c>
      <c r="H2215" s="2" t="s">
        <v>189</v>
      </c>
      <c r="I2215" s="5">
        <v>3265.6</v>
      </c>
      <c r="J2215" s="57">
        <v>7.0000000000000007E-2</v>
      </c>
      <c r="K2215" s="3">
        <v>33.6</v>
      </c>
      <c r="L2215" s="2" t="s">
        <v>226</v>
      </c>
      <c r="M2215" s="2" t="s">
        <v>12</v>
      </c>
      <c r="N2215" s="2" t="s">
        <v>12</v>
      </c>
      <c r="O2215" s="2" t="s">
        <v>12</v>
      </c>
      <c r="P2215" s="21" t="s">
        <v>12</v>
      </c>
      <c r="Q2215" s="3" t="s">
        <v>12</v>
      </c>
      <c r="R2215" s="3" t="s">
        <v>12</v>
      </c>
    </row>
    <row r="2216" spans="1:18" x14ac:dyDescent="0.25">
      <c r="A2216" s="30">
        <v>46031</v>
      </c>
      <c r="B2216" s="28">
        <v>31</v>
      </c>
      <c r="C2216" s="28" t="s">
        <v>2161</v>
      </c>
      <c r="D2216" s="2" t="s">
        <v>1190</v>
      </c>
      <c r="E2216" s="7" t="s">
        <v>2514</v>
      </c>
      <c r="F2216" s="7"/>
      <c r="G2216" s="2" t="s">
        <v>43</v>
      </c>
      <c r="H2216" s="2" t="s">
        <v>390</v>
      </c>
      <c r="I2216" s="5">
        <v>18453.64</v>
      </c>
      <c r="J2216" s="57">
        <v>0.05</v>
      </c>
      <c r="K2216" s="3">
        <v>264</v>
      </c>
      <c r="L2216" s="2" t="s">
        <v>64</v>
      </c>
      <c r="M2216" s="2" t="s">
        <v>12</v>
      </c>
      <c r="N2216" s="2" t="s">
        <v>12</v>
      </c>
      <c r="O2216" s="2" t="s">
        <v>12</v>
      </c>
      <c r="P2216" s="21" t="s">
        <v>12</v>
      </c>
      <c r="Q2216" s="3" t="s">
        <v>12</v>
      </c>
      <c r="R2216" s="3" t="s">
        <v>12</v>
      </c>
    </row>
    <row r="2217" spans="1:18" x14ac:dyDescent="0.25">
      <c r="A2217" s="30">
        <v>46031</v>
      </c>
      <c r="B2217" s="28">
        <v>32</v>
      </c>
      <c r="C2217" s="28"/>
      <c r="D2217" s="2" t="s">
        <v>803</v>
      </c>
      <c r="E2217" s="7" t="s">
        <v>12</v>
      </c>
      <c r="F2217" s="7"/>
      <c r="G2217" s="2" t="s">
        <v>13</v>
      </c>
      <c r="H2217" s="2" t="s">
        <v>1591</v>
      </c>
      <c r="I2217" s="5">
        <v>9674.67</v>
      </c>
      <c r="J2217" s="57">
        <v>0.05</v>
      </c>
      <c r="K2217" s="3">
        <v>120</v>
      </c>
      <c r="L2217" s="2" t="s">
        <v>64</v>
      </c>
      <c r="M2217" s="2" t="s">
        <v>12</v>
      </c>
      <c r="N2217" s="2" t="s">
        <v>12</v>
      </c>
      <c r="O2217" s="2" t="s">
        <v>12</v>
      </c>
      <c r="P2217" s="21" t="s">
        <v>12</v>
      </c>
      <c r="Q2217" s="3" t="s">
        <v>12</v>
      </c>
      <c r="R2217" s="3" t="s">
        <v>12</v>
      </c>
    </row>
    <row r="2218" spans="1:18" x14ac:dyDescent="0.25">
      <c r="A2218" s="30">
        <v>46031</v>
      </c>
      <c r="B2218" s="28">
        <v>33</v>
      </c>
      <c r="C2218" s="28"/>
      <c r="D2218" s="2" t="s">
        <v>2144</v>
      </c>
      <c r="E2218" s="7" t="s">
        <v>2515</v>
      </c>
      <c r="F2218" s="7"/>
      <c r="G2218" s="2" t="s">
        <v>20</v>
      </c>
      <c r="H2218" s="2" t="s">
        <v>2146</v>
      </c>
      <c r="I2218" s="5">
        <v>16886.5</v>
      </c>
      <c r="J2218" s="57">
        <v>0.05</v>
      </c>
      <c r="K2218" s="3">
        <v>192</v>
      </c>
      <c r="L2218" s="2" t="s">
        <v>64</v>
      </c>
      <c r="M2218" s="2" t="s">
        <v>12</v>
      </c>
      <c r="N2218" s="2" t="s">
        <v>12</v>
      </c>
      <c r="O2218" s="2" t="s">
        <v>12</v>
      </c>
      <c r="P2218" s="21" t="s">
        <v>12</v>
      </c>
      <c r="Q2218" s="3" t="s">
        <v>2537</v>
      </c>
      <c r="R2218" s="3" t="s">
        <v>75</v>
      </c>
    </row>
    <row r="2219" spans="1:18" x14ac:dyDescent="0.25">
      <c r="A2219" s="30">
        <v>46031</v>
      </c>
      <c r="B2219" s="28">
        <v>34</v>
      </c>
      <c r="C2219" s="28"/>
      <c r="D2219" s="2" t="s">
        <v>637</v>
      </c>
      <c r="E2219" s="7" t="s">
        <v>2516</v>
      </c>
      <c r="F2219" s="7"/>
      <c r="G2219" s="2" t="s">
        <v>13</v>
      </c>
      <c r="H2219" s="2" t="s">
        <v>15</v>
      </c>
      <c r="I2219" s="5">
        <v>10648.69</v>
      </c>
      <c r="J2219" s="57">
        <v>7.0000000000000007E-2</v>
      </c>
      <c r="K2219" s="3">
        <v>72</v>
      </c>
      <c r="L2219" s="2" t="s">
        <v>226</v>
      </c>
      <c r="M2219" s="2" t="s">
        <v>12</v>
      </c>
      <c r="N2219" s="2" t="s">
        <v>12</v>
      </c>
      <c r="O2219" s="2" t="s">
        <v>12</v>
      </c>
      <c r="P2219" s="21" t="s">
        <v>12</v>
      </c>
      <c r="Q2219" s="3" t="s">
        <v>1677</v>
      </c>
      <c r="R2219" s="3" t="s">
        <v>75</v>
      </c>
    </row>
    <row r="2220" spans="1:18" x14ac:dyDescent="0.25">
      <c r="A2220" s="30">
        <v>46031</v>
      </c>
      <c r="B2220" s="28">
        <v>35</v>
      </c>
      <c r="C2220" s="28"/>
      <c r="D2220" s="2" t="s">
        <v>2517</v>
      </c>
      <c r="E2220" s="7" t="s">
        <v>2518</v>
      </c>
      <c r="F2220" s="7" t="s">
        <v>2902</v>
      </c>
      <c r="G2220" s="2" t="s">
        <v>43</v>
      </c>
      <c r="H2220" s="2" t="s">
        <v>302</v>
      </c>
      <c r="I2220" s="5">
        <v>6998.77</v>
      </c>
      <c r="J2220" s="57">
        <v>7.0000000000000007E-2</v>
      </c>
      <c r="K2220" s="3">
        <v>72</v>
      </c>
      <c r="L2220" s="2" t="s">
        <v>226</v>
      </c>
      <c r="M2220" s="2" t="s">
        <v>3028</v>
      </c>
      <c r="N2220" s="2" t="s">
        <v>12</v>
      </c>
      <c r="O2220" s="2" t="s">
        <v>12</v>
      </c>
      <c r="P2220" s="21" t="s">
        <v>12</v>
      </c>
      <c r="Q2220" s="3" t="s">
        <v>425</v>
      </c>
      <c r="R2220" s="3" t="s">
        <v>75</v>
      </c>
    </row>
    <row r="2221" spans="1:18" x14ac:dyDescent="0.25">
      <c r="A2221" s="30">
        <v>46031</v>
      </c>
      <c r="B2221" s="28">
        <v>36</v>
      </c>
      <c r="C2221" s="28"/>
      <c r="D2221" s="2" t="s">
        <v>508</v>
      </c>
      <c r="E2221" s="7" t="s">
        <v>595</v>
      </c>
      <c r="F2221" s="7"/>
      <c r="G2221" s="2" t="s">
        <v>20</v>
      </c>
      <c r="H2221" s="2" t="s">
        <v>596</v>
      </c>
      <c r="I2221" s="5">
        <v>67198.399999999994</v>
      </c>
      <c r="J2221" s="57">
        <v>0.03</v>
      </c>
      <c r="K2221" s="3">
        <v>1152</v>
      </c>
      <c r="L2221" s="2" t="s">
        <v>64</v>
      </c>
      <c r="M2221" s="2" t="s">
        <v>2578</v>
      </c>
      <c r="N2221" s="2" t="s">
        <v>12</v>
      </c>
      <c r="O2221" s="2" t="s">
        <v>12</v>
      </c>
      <c r="P2221" s="21" t="s">
        <v>12</v>
      </c>
      <c r="Q2221" s="3" t="s">
        <v>12</v>
      </c>
      <c r="R2221" s="3" t="s">
        <v>12</v>
      </c>
    </row>
    <row r="2222" spans="1:18" x14ac:dyDescent="0.25">
      <c r="A2222" s="30">
        <v>46031</v>
      </c>
      <c r="B2222" s="28">
        <v>37</v>
      </c>
      <c r="C2222" s="28"/>
      <c r="D2222" s="2" t="s">
        <v>2519</v>
      </c>
      <c r="E2222" s="7" t="s">
        <v>2520</v>
      </c>
      <c r="F2222" s="7" t="s">
        <v>2972</v>
      </c>
      <c r="G2222" s="2" t="s">
        <v>13</v>
      </c>
      <c r="H2222" s="2" t="s">
        <v>815</v>
      </c>
      <c r="I2222" s="5">
        <v>5681.37</v>
      </c>
      <c r="J2222" s="57">
        <v>7.0000000000000007E-2</v>
      </c>
      <c r="K2222" s="3">
        <v>48</v>
      </c>
      <c r="L2222" s="2" t="s">
        <v>226</v>
      </c>
      <c r="M2222" s="2" t="s">
        <v>12</v>
      </c>
      <c r="N2222" s="2" t="s">
        <v>12</v>
      </c>
      <c r="O2222" s="2" t="s">
        <v>12</v>
      </c>
      <c r="P2222" s="21" t="s">
        <v>12</v>
      </c>
      <c r="Q2222" s="3" t="s">
        <v>12</v>
      </c>
      <c r="R2222" s="3" t="s">
        <v>12</v>
      </c>
    </row>
    <row r="2223" spans="1:18" x14ac:dyDescent="0.25">
      <c r="A2223" s="30">
        <v>46036</v>
      </c>
      <c r="B2223" s="28">
        <v>38</v>
      </c>
      <c r="C2223" s="28" t="s">
        <v>2229</v>
      </c>
      <c r="D2223" s="2" t="s">
        <v>243</v>
      </c>
      <c r="E2223" s="7" t="s">
        <v>12</v>
      </c>
      <c r="F2223" s="7"/>
      <c r="G2223" s="2" t="s">
        <v>20</v>
      </c>
      <c r="H2223" s="2" t="s">
        <v>244</v>
      </c>
      <c r="I2223" s="5">
        <v>16424.48</v>
      </c>
      <c r="J2223" s="57">
        <v>0.05</v>
      </c>
      <c r="K2223" s="3">
        <v>216</v>
      </c>
      <c r="L2223" s="2" t="s">
        <v>64</v>
      </c>
      <c r="M2223" s="2" t="s">
        <v>12</v>
      </c>
      <c r="N2223" s="2" t="s">
        <v>12</v>
      </c>
      <c r="O2223" s="2" t="s">
        <v>12</v>
      </c>
      <c r="P2223" s="21" t="s">
        <v>12</v>
      </c>
      <c r="Q2223" s="3" t="s">
        <v>12</v>
      </c>
      <c r="R2223" s="3" t="s">
        <v>12</v>
      </c>
    </row>
    <row r="2224" spans="1:18" x14ac:dyDescent="0.25">
      <c r="A2224" s="30">
        <v>46034</v>
      </c>
      <c r="B2224" s="28">
        <v>39</v>
      </c>
      <c r="C2224" s="28"/>
      <c r="D2224" s="2" t="s">
        <v>165</v>
      </c>
      <c r="E2224" s="7" t="s">
        <v>2459</v>
      </c>
      <c r="F2224" s="7"/>
      <c r="G2224" s="2" t="s">
        <v>97</v>
      </c>
      <c r="H2224" s="2" t="s">
        <v>167</v>
      </c>
      <c r="I2224" s="5">
        <v>56713.599999999999</v>
      </c>
      <c r="J2224" s="57">
        <v>0.05</v>
      </c>
      <c r="K2224" s="3">
        <v>720</v>
      </c>
      <c r="L2224" s="2" t="s">
        <v>134</v>
      </c>
      <c r="M2224" s="2" t="s">
        <v>2624</v>
      </c>
      <c r="N2224" s="2" t="s">
        <v>135</v>
      </c>
      <c r="O2224" s="2" t="s">
        <v>2625</v>
      </c>
      <c r="P2224" s="21" t="s">
        <v>12</v>
      </c>
      <c r="Q2224" s="3" t="s">
        <v>12</v>
      </c>
      <c r="R2224" s="3" t="s">
        <v>12</v>
      </c>
    </row>
    <row r="2225" spans="1:18" x14ac:dyDescent="0.25">
      <c r="A2225" s="30">
        <v>46034</v>
      </c>
      <c r="B2225" s="28">
        <v>40</v>
      </c>
      <c r="C2225" s="28"/>
      <c r="D2225" s="2" t="s">
        <v>1744</v>
      </c>
      <c r="E2225" s="7" t="s">
        <v>2960</v>
      </c>
      <c r="F2225" s="7"/>
      <c r="G2225" s="2" t="s">
        <v>111</v>
      </c>
      <c r="H2225" s="2" t="s">
        <v>537</v>
      </c>
      <c r="I2225" s="5">
        <v>310378.64</v>
      </c>
      <c r="J2225" s="57">
        <v>7.0000000000000007E-2</v>
      </c>
      <c r="K2225" s="3" t="s">
        <v>12</v>
      </c>
      <c r="L2225" s="2" t="s">
        <v>73</v>
      </c>
      <c r="M2225" s="2" t="s">
        <v>12</v>
      </c>
      <c r="N2225" s="2" t="s">
        <v>12</v>
      </c>
      <c r="O2225" s="2" t="s">
        <v>12</v>
      </c>
      <c r="P2225" s="21" t="s">
        <v>12</v>
      </c>
      <c r="Q2225" s="3" t="s">
        <v>12</v>
      </c>
      <c r="R2225" s="3" t="s">
        <v>12</v>
      </c>
    </row>
    <row r="2226" spans="1:18" x14ac:dyDescent="0.25">
      <c r="A2226" s="30">
        <v>46034</v>
      </c>
      <c r="B2226" s="28">
        <v>41</v>
      </c>
      <c r="C2226" s="28"/>
      <c r="D2226" s="2" t="s">
        <v>2521</v>
      </c>
      <c r="E2226" s="7" t="s">
        <v>2522</v>
      </c>
      <c r="F2226" s="7"/>
      <c r="G2226" s="2" t="s">
        <v>26</v>
      </c>
      <c r="H2226" s="2" t="s">
        <v>1027</v>
      </c>
      <c r="I2226" s="5">
        <v>186536.61</v>
      </c>
      <c r="J2226" s="57">
        <v>7.0000000000000007E-2</v>
      </c>
      <c r="K2226" s="3">
        <v>2616</v>
      </c>
      <c r="L2226" s="2" t="s">
        <v>226</v>
      </c>
      <c r="M2226" s="2" t="s">
        <v>12</v>
      </c>
      <c r="N2226" s="2" t="s">
        <v>12</v>
      </c>
      <c r="O2226" s="2" t="s">
        <v>12</v>
      </c>
      <c r="P2226" s="21" t="s">
        <v>12</v>
      </c>
      <c r="Q2226" s="3" t="s">
        <v>12</v>
      </c>
      <c r="R2226" s="3" t="s">
        <v>12</v>
      </c>
    </row>
    <row r="2227" spans="1:18" x14ac:dyDescent="0.25">
      <c r="A2227" s="30">
        <v>46034</v>
      </c>
      <c r="B2227" s="28">
        <v>42</v>
      </c>
      <c r="C2227" s="28"/>
      <c r="D2227" s="2" t="s">
        <v>1344</v>
      </c>
      <c r="E2227" s="7" t="s">
        <v>2523</v>
      </c>
      <c r="F2227" s="7" t="s">
        <v>3001</v>
      </c>
      <c r="G2227" s="2" t="s">
        <v>26</v>
      </c>
      <c r="H2227" s="2" t="s">
        <v>114</v>
      </c>
      <c r="I2227" s="5">
        <v>73306.289999999994</v>
      </c>
      <c r="J2227" s="57">
        <v>0.05</v>
      </c>
      <c r="K2227" s="3">
        <v>912</v>
      </c>
      <c r="L2227" s="2" t="s">
        <v>134</v>
      </c>
      <c r="M2227" s="2" t="s">
        <v>135</v>
      </c>
      <c r="N2227" s="2" t="s">
        <v>135</v>
      </c>
      <c r="O2227" s="2" t="s">
        <v>443</v>
      </c>
      <c r="P2227" s="21" t="s">
        <v>12</v>
      </c>
      <c r="Q2227" s="3" t="s">
        <v>133</v>
      </c>
      <c r="R2227" s="3" t="s">
        <v>80</v>
      </c>
    </row>
    <row r="2228" spans="1:18" x14ac:dyDescent="0.25">
      <c r="A2228" s="30">
        <v>46035</v>
      </c>
      <c r="B2228" s="28">
        <v>43</v>
      </c>
      <c r="C2228" s="28"/>
      <c r="D2228" s="2" t="s">
        <v>1344</v>
      </c>
      <c r="E2228" s="7" t="s">
        <v>2524</v>
      </c>
      <c r="F2228" s="7" t="s">
        <v>3001</v>
      </c>
      <c r="G2228" s="2" t="s">
        <v>26</v>
      </c>
      <c r="H2228" s="2" t="s">
        <v>114</v>
      </c>
      <c r="I2228" s="5">
        <v>92774.69</v>
      </c>
      <c r="J2228" s="57">
        <v>0.05</v>
      </c>
      <c r="K2228" s="3">
        <v>1128</v>
      </c>
      <c r="L2228" s="2" t="s">
        <v>134</v>
      </c>
      <c r="M2228" s="2" t="s">
        <v>135</v>
      </c>
      <c r="N2228" s="2" t="s">
        <v>135</v>
      </c>
      <c r="O2228" s="2" t="s">
        <v>443</v>
      </c>
      <c r="P2228" s="21" t="s">
        <v>12</v>
      </c>
      <c r="Q2228" s="3" t="s">
        <v>133</v>
      </c>
      <c r="R2228" s="3" t="s">
        <v>80</v>
      </c>
    </row>
    <row r="2229" spans="1:18" x14ac:dyDescent="0.25">
      <c r="A2229" s="30">
        <v>46035</v>
      </c>
      <c r="B2229" s="28">
        <v>44</v>
      </c>
      <c r="C2229" s="28"/>
      <c r="D2229" s="2" t="s">
        <v>1344</v>
      </c>
      <c r="E2229" s="7" t="s">
        <v>2525</v>
      </c>
      <c r="F2229" s="7" t="s">
        <v>3001</v>
      </c>
      <c r="G2229" s="2" t="s">
        <v>26</v>
      </c>
      <c r="H2229" s="2" t="s">
        <v>114</v>
      </c>
      <c r="I2229" s="5">
        <v>81150.78</v>
      </c>
      <c r="J2229" s="57">
        <v>0.05</v>
      </c>
      <c r="K2229" s="3">
        <v>1008</v>
      </c>
      <c r="L2229" s="2" t="s">
        <v>134</v>
      </c>
      <c r="M2229" s="2" t="s">
        <v>135</v>
      </c>
      <c r="N2229" s="2" t="s">
        <v>135</v>
      </c>
      <c r="O2229" s="2" t="s">
        <v>443</v>
      </c>
      <c r="P2229" s="21" t="s">
        <v>12</v>
      </c>
      <c r="Q2229" s="3" t="s">
        <v>133</v>
      </c>
      <c r="R2229" s="3" t="s">
        <v>80</v>
      </c>
    </row>
    <row r="2230" spans="1:18" x14ac:dyDescent="0.25">
      <c r="A2230" s="30">
        <v>46035</v>
      </c>
      <c r="B2230" s="28">
        <v>45</v>
      </c>
      <c r="C2230" s="28"/>
      <c r="D2230" s="2" t="s">
        <v>1344</v>
      </c>
      <c r="E2230" s="7" t="s">
        <v>2526</v>
      </c>
      <c r="F2230" s="7" t="s">
        <v>3001</v>
      </c>
      <c r="G2230" s="2" t="s">
        <v>26</v>
      </c>
      <c r="H2230" s="2" t="s">
        <v>114</v>
      </c>
      <c r="I2230" s="5">
        <v>72724.92</v>
      </c>
      <c r="J2230" s="57">
        <v>0.05</v>
      </c>
      <c r="K2230" s="3">
        <v>888</v>
      </c>
      <c r="L2230" s="2" t="s">
        <v>134</v>
      </c>
      <c r="M2230" s="2" t="s">
        <v>135</v>
      </c>
      <c r="N2230" s="2" t="s">
        <v>135</v>
      </c>
      <c r="O2230" s="2" t="s">
        <v>443</v>
      </c>
      <c r="P2230" s="21" t="s">
        <v>12</v>
      </c>
      <c r="Q2230" s="3" t="s">
        <v>133</v>
      </c>
      <c r="R2230" s="3" t="s">
        <v>80</v>
      </c>
    </row>
    <row r="2231" spans="1:18" x14ac:dyDescent="0.25">
      <c r="A2231" s="30">
        <v>46035</v>
      </c>
      <c r="B2231" s="28">
        <v>46</v>
      </c>
      <c r="C2231" s="28"/>
      <c r="D2231" s="2" t="s">
        <v>1344</v>
      </c>
      <c r="E2231" s="7" t="s">
        <v>2527</v>
      </c>
      <c r="F2231" s="7" t="s">
        <v>3001</v>
      </c>
      <c r="G2231" s="2" t="s">
        <v>26</v>
      </c>
      <c r="H2231" s="2" t="s">
        <v>114</v>
      </c>
      <c r="I2231" s="5">
        <v>68931.929999999993</v>
      </c>
      <c r="J2231" s="57">
        <v>0.05</v>
      </c>
      <c r="K2231" s="3">
        <v>840</v>
      </c>
      <c r="L2231" s="2" t="s">
        <v>134</v>
      </c>
      <c r="M2231" s="2" t="s">
        <v>135</v>
      </c>
      <c r="N2231" s="2" t="s">
        <v>135</v>
      </c>
      <c r="O2231" s="2" t="s">
        <v>443</v>
      </c>
      <c r="P2231" s="21" t="s">
        <v>12</v>
      </c>
      <c r="Q2231" s="3" t="s">
        <v>133</v>
      </c>
      <c r="R2231" s="3" t="s">
        <v>80</v>
      </c>
    </row>
    <row r="2232" spans="1:18" x14ac:dyDescent="0.25">
      <c r="A2232" s="30">
        <v>46035</v>
      </c>
      <c r="B2232" s="28">
        <v>47</v>
      </c>
      <c r="C2232" s="28"/>
      <c r="D2232" s="2" t="s">
        <v>1344</v>
      </c>
      <c r="E2232" s="7" t="s">
        <v>2528</v>
      </c>
      <c r="F2232" s="7" t="s">
        <v>3001</v>
      </c>
      <c r="G2232" s="2" t="s">
        <v>26</v>
      </c>
      <c r="H2232" s="2" t="s">
        <v>114</v>
      </c>
      <c r="I2232" s="5">
        <v>51690.1</v>
      </c>
      <c r="J2232" s="57">
        <v>0.05</v>
      </c>
      <c r="K2232" s="3">
        <v>600</v>
      </c>
      <c r="L2232" s="2" t="s">
        <v>134</v>
      </c>
      <c r="M2232" s="2" t="s">
        <v>135</v>
      </c>
      <c r="N2232" s="2" t="s">
        <v>135</v>
      </c>
      <c r="O2232" s="2" t="s">
        <v>443</v>
      </c>
      <c r="P2232" s="21" t="s">
        <v>12</v>
      </c>
      <c r="Q2232" s="3" t="s">
        <v>133</v>
      </c>
      <c r="R2232" s="3" t="s">
        <v>80</v>
      </c>
    </row>
    <row r="2233" spans="1:18" x14ac:dyDescent="0.25">
      <c r="A2233" s="30">
        <v>46035</v>
      </c>
      <c r="B2233" s="28">
        <v>48</v>
      </c>
      <c r="C2233" s="28"/>
      <c r="D2233" s="2" t="s">
        <v>1344</v>
      </c>
      <c r="E2233" s="7" t="s">
        <v>2529</v>
      </c>
      <c r="F2233" s="7" t="s">
        <v>3001</v>
      </c>
      <c r="G2233" s="2" t="s">
        <v>26</v>
      </c>
      <c r="H2233" s="2" t="s">
        <v>114</v>
      </c>
      <c r="I2233" s="5">
        <v>5023.8599999999997</v>
      </c>
      <c r="J2233" s="57">
        <v>0.05</v>
      </c>
      <c r="K2233" s="3">
        <v>48</v>
      </c>
      <c r="L2233" s="2" t="s">
        <v>134</v>
      </c>
      <c r="M2233" s="2" t="s">
        <v>135</v>
      </c>
      <c r="N2233" s="2" t="s">
        <v>135</v>
      </c>
      <c r="O2233" s="2" t="s">
        <v>443</v>
      </c>
      <c r="P2233" s="21" t="s">
        <v>12</v>
      </c>
      <c r="Q2233" s="3" t="s">
        <v>133</v>
      </c>
      <c r="R2233" s="3" t="s">
        <v>80</v>
      </c>
    </row>
    <row r="2234" spans="1:18" x14ac:dyDescent="0.25">
      <c r="A2234" s="30">
        <v>46035</v>
      </c>
      <c r="B2234" s="28">
        <v>49</v>
      </c>
      <c r="C2234" s="28"/>
      <c r="D2234" s="2" t="s">
        <v>2530</v>
      </c>
      <c r="E2234" s="7" t="s">
        <v>12</v>
      </c>
      <c r="F2234" s="7"/>
      <c r="G2234" s="2" t="s">
        <v>13</v>
      </c>
      <c r="H2234" s="2" t="s">
        <v>1080</v>
      </c>
      <c r="I2234" s="5">
        <v>5290.77</v>
      </c>
      <c r="J2234" s="57">
        <v>7.0000000000000007E-2</v>
      </c>
      <c r="K2234" s="3">
        <v>50.4</v>
      </c>
      <c r="L2234" s="2" t="s">
        <v>64</v>
      </c>
      <c r="M2234" s="2" t="s">
        <v>12</v>
      </c>
      <c r="N2234" s="2" t="s">
        <v>12</v>
      </c>
      <c r="O2234" s="2" t="s">
        <v>12</v>
      </c>
      <c r="P2234" s="21" t="s">
        <v>12</v>
      </c>
      <c r="Q2234" s="3" t="s">
        <v>12</v>
      </c>
      <c r="R2234" s="3" t="s">
        <v>12</v>
      </c>
    </row>
    <row r="2235" spans="1:18" x14ac:dyDescent="0.25">
      <c r="A2235" s="30">
        <v>46035</v>
      </c>
      <c r="B2235" s="28">
        <v>50</v>
      </c>
      <c r="C2235" s="28"/>
      <c r="D2235" s="2" t="s">
        <v>2190</v>
      </c>
      <c r="E2235" s="7" t="s">
        <v>2531</v>
      </c>
      <c r="F2235" s="7"/>
      <c r="G2235" s="2" t="s">
        <v>13</v>
      </c>
      <c r="H2235" s="2" t="s">
        <v>549</v>
      </c>
      <c r="I2235" s="5">
        <v>7242.55</v>
      </c>
      <c r="J2235" s="57">
        <v>0.05</v>
      </c>
      <c r="K2235" s="3">
        <v>72</v>
      </c>
      <c r="L2235" s="2" t="s">
        <v>64</v>
      </c>
      <c r="M2235" s="2" t="s">
        <v>12</v>
      </c>
      <c r="N2235" s="2" t="s">
        <v>12</v>
      </c>
      <c r="O2235" s="2" t="s">
        <v>12</v>
      </c>
      <c r="P2235" s="21" t="s">
        <v>12</v>
      </c>
      <c r="Q2235" s="3" t="s">
        <v>12</v>
      </c>
      <c r="R2235" s="3" t="s">
        <v>12</v>
      </c>
    </row>
    <row r="2236" spans="1:18" x14ac:dyDescent="0.25">
      <c r="A2236" s="30">
        <v>46035</v>
      </c>
      <c r="B2236" s="28">
        <v>51</v>
      </c>
      <c r="C2236" s="28"/>
      <c r="D2236" s="2" t="s">
        <v>411</v>
      </c>
      <c r="E2236" s="7" t="s">
        <v>2218</v>
      </c>
      <c r="F2236" s="7"/>
      <c r="G2236" s="2" t="s">
        <v>26</v>
      </c>
      <c r="H2236" s="2" t="s">
        <v>413</v>
      </c>
      <c r="I2236" s="5">
        <v>55815.26</v>
      </c>
      <c r="J2236" s="57">
        <v>0.05</v>
      </c>
      <c r="K2236" s="3">
        <v>696</v>
      </c>
      <c r="L2236" s="2" t="s">
        <v>64</v>
      </c>
      <c r="M2236" s="2" t="s">
        <v>12</v>
      </c>
      <c r="N2236" s="2" t="s">
        <v>12</v>
      </c>
      <c r="O2236" s="2" t="s">
        <v>12</v>
      </c>
      <c r="P2236" s="21" t="s">
        <v>12</v>
      </c>
      <c r="Q2236" s="3" t="s">
        <v>133</v>
      </c>
      <c r="R2236" s="3" t="s">
        <v>75</v>
      </c>
    </row>
    <row r="2237" spans="1:18" x14ac:dyDescent="0.25">
      <c r="A2237" s="30">
        <v>46035</v>
      </c>
      <c r="B2237" s="28">
        <v>52</v>
      </c>
      <c r="C2237" s="28"/>
      <c r="D2237" s="2" t="s">
        <v>1194</v>
      </c>
      <c r="E2237" s="7" t="s">
        <v>2532</v>
      </c>
      <c r="F2237" s="7"/>
      <c r="G2237" s="2" t="s">
        <v>26</v>
      </c>
      <c r="H2237" s="2" t="s">
        <v>2422</v>
      </c>
      <c r="I2237" s="5">
        <v>212275.42</v>
      </c>
      <c r="J2237" s="57">
        <v>7.0000000000000007E-2</v>
      </c>
      <c r="K2237" s="3">
        <v>2304</v>
      </c>
      <c r="L2237" s="2" t="s">
        <v>73</v>
      </c>
      <c r="M2237" s="2" t="s">
        <v>12</v>
      </c>
      <c r="N2237" s="2" t="s">
        <v>12</v>
      </c>
      <c r="O2237" s="2" t="s">
        <v>12</v>
      </c>
      <c r="P2237" s="21" t="s">
        <v>12</v>
      </c>
      <c r="Q2237" s="3" t="s">
        <v>2505</v>
      </c>
      <c r="R2237" s="3" t="s">
        <v>2538</v>
      </c>
    </row>
    <row r="2238" spans="1:18" x14ac:dyDescent="0.25">
      <c r="A2238" s="30">
        <v>46035</v>
      </c>
      <c r="B2238" s="28">
        <v>53</v>
      </c>
      <c r="C2238" s="28"/>
      <c r="D2238" s="2" t="s">
        <v>217</v>
      </c>
      <c r="E2238" s="7" t="s">
        <v>12</v>
      </c>
      <c r="F2238" s="7"/>
      <c r="G2238" s="2" t="s">
        <v>13</v>
      </c>
      <c r="H2238" s="2" t="s">
        <v>2404</v>
      </c>
      <c r="I2238" s="5">
        <v>9486.2800000000007</v>
      </c>
      <c r="J2238" s="57">
        <v>0.04</v>
      </c>
      <c r="K2238" s="3">
        <v>120</v>
      </c>
      <c r="L2238" s="2" t="s">
        <v>226</v>
      </c>
      <c r="M2238" s="2" t="s">
        <v>12</v>
      </c>
      <c r="N2238" s="2" t="s">
        <v>12</v>
      </c>
      <c r="O2238" s="2" t="s">
        <v>12</v>
      </c>
      <c r="P2238" s="21" t="s">
        <v>12</v>
      </c>
      <c r="Q2238" s="3" t="s">
        <v>12</v>
      </c>
      <c r="R2238" s="3" t="s">
        <v>12</v>
      </c>
    </row>
    <row r="2239" spans="1:18" x14ac:dyDescent="0.25">
      <c r="A2239" s="30">
        <v>46036</v>
      </c>
      <c r="B2239" s="28">
        <v>54</v>
      </c>
      <c r="C2239" s="28" t="s">
        <v>2161</v>
      </c>
      <c r="D2239" s="2" t="s">
        <v>1863</v>
      </c>
      <c r="E2239" s="7" t="s">
        <v>2621</v>
      </c>
      <c r="F2239" s="7"/>
      <c r="G2239" s="2" t="s">
        <v>43</v>
      </c>
      <c r="H2239" s="2" t="s">
        <v>1037</v>
      </c>
      <c r="I2239" s="5">
        <v>244021.22</v>
      </c>
      <c r="J2239" s="57">
        <v>7.0000000000000007E-2</v>
      </c>
      <c r="K2239" s="3">
        <v>2832</v>
      </c>
      <c r="L2239" s="2" t="s">
        <v>73</v>
      </c>
      <c r="M2239" s="2" t="s">
        <v>12</v>
      </c>
      <c r="N2239" s="2" t="s">
        <v>12</v>
      </c>
      <c r="O2239" s="2" t="s">
        <v>12</v>
      </c>
      <c r="P2239" s="21" t="s">
        <v>12</v>
      </c>
      <c r="Q2239" s="3" t="s">
        <v>12</v>
      </c>
      <c r="R2239" s="3" t="s">
        <v>12</v>
      </c>
    </row>
    <row r="2240" spans="1:18" x14ac:dyDescent="0.25">
      <c r="A2240" s="30">
        <v>46035</v>
      </c>
      <c r="B2240" s="28">
        <v>55</v>
      </c>
      <c r="C2240" s="28"/>
      <c r="D2240" s="2" t="s">
        <v>23</v>
      </c>
      <c r="E2240" s="7" t="s">
        <v>2616</v>
      </c>
      <c r="F2240" s="7"/>
      <c r="G2240" s="2" t="s">
        <v>20</v>
      </c>
      <c r="H2240" s="2" t="s">
        <v>32</v>
      </c>
      <c r="I2240" s="5">
        <v>5486.39</v>
      </c>
      <c r="J2240" s="57">
        <v>0.04</v>
      </c>
      <c r="K2240" s="3">
        <v>72</v>
      </c>
      <c r="L2240" s="2" t="s">
        <v>226</v>
      </c>
      <c r="M2240" s="2" t="s">
        <v>2578</v>
      </c>
      <c r="N2240" s="2" t="s">
        <v>12</v>
      </c>
      <c r="O2240" s="2" t="s">
        <v>12</v>
      </c>
      <c r="P2240" s="21" t="s">
        <v>12</v>
      </c>
      <c r="Q2240" s="3" t="s">
        <v>12</v>
      </c>
      <c r="R2240" s="3" t="s">
        <v>12</v>
      </c>
    </row>
    <row r="2241" spans="1:18" x14ac:dyDescent="0.25">
      <c r="A2241" s="30">
        <v>46035</v>
      </c>
      <c r="B2241" s="28">
        <v>56</v>
      </c>
      <c r="C2241" s="28"/>
      <c r="D2241" s="2" t="s">
        <v>160</v>
      </c>
      <c r="E2241" s="7" t="s">
        <v>2533</v>
      </c>
      <c r="F2241" s="7"/>
      <c r="G2241" s="2" t="s">
        <v>13</v>
      </c>
      <c r="H2241" s="2" t="s">
        <v>162</v>
      </c>
      <c r="I2241" s="5">
        <v>224403.01</v>
      </c>
      <c r="J2241" s="57">
        <v>7.0000000000000007E-2</v>
      </c>
      <c r="K2241" s="3">
        <v>2712</v>
      </c>
      <c r="L2241" s="2" t="s">
        <v>226</v>
      </c>
      <c r="M2241" s="2" t="s">
        <v>12</v>
      </c>
      <c r="N2241" s="2" t="s">
        <v>12</v>
      </c>
      <c r="O2241" s="2" t="s">
        <v>12</v>
      </c>
      <c r="P2241" s="21" t="s">
        <v>12</v>
      </c>
      <c r="Q2241" s="3" t="s">
        <v>2222</v>
      </c>
      <c r="R2241" s="3" t="s">
        <v>75</v>
      </c>
    </row>
    <row r="2242" spans="1:18" x14ac:dyDescent="0.25">
      <c r="A2242" s="30">
        <v>46035</v>
      </c>
      <c r="B2242" s="28">
        <v>57</v>
      </c>
      <c r="C2242" s="28"/>
      <c r="D2242" s="2" t="s">
        <v>2098</v>
      </c>
      <c r="E2242" s="7" t="s">
        <v>12</v>
      </c>
      <c r="F2242" s="7"/>
      <c r="G2242" s="2" t="s">
        <v>13</v>
      </c>
      <c r="H2242" s="2" t="s">
        <v>928</v>
      </c>
      <c r="I2242" s="5">
        <v>6535.74</v>
      </c>
      <c r="J2242" s="57">
        <v>7.0000000000000007E-2</v>
      </c>
      <c r="K2242" s="3">
        <v>50.4</v>
      </c>
      <c r="L2242" s="2" t="s">
        <v>226</v>
      </c>
      <c r="M2242" s="2" t="s">
        <v>12</v>
      </c>
      <c r="N2242" s="2" t="s">
        <v>12</v>
      </c>
      <c r="O2242" s="2" t="s">
        <v>12</v>
      </c>
      <c r="P2242" s="21" t="s">
        <v>12</v>
      </c>
      <c r="Q2242" s="3" t="s">
        <v>12</v>
      </c>
      <c r="R2242" s="3" t="s">
        <v>12</v>
      </c>
    </row>
    <row r="2243" spans="1:18" x14ac:dyDescent="0.25">
      <c r="A2243" s="30">
        <v>46035</v>
      </c>
      <c r="B2243" s="28">
        <v>58</v>
      </c>
      <c r="C2243" s="28"/>
      <c r="D2243" s="2" t="s">
        <v>1183</v>
      </c>
      <c r="E2243" s="7" t="s">
        <v>12</v>
      </c>
      <c r="F2243" s="7"/>
      <c r="G2243" s="2" t="s">
        <v>13</v>
      </c>
      <c r="H2243" s="2" t="s">
        <v>1498</v>
      </c>
      <c r="I2243" s="5">
        <v>7531.28</v>
      </c>
      <c r="J2243" s="57">
        <v>0.04</v>
      </c>
      <c r="K2243" s="3">
        <v>96</v>
      </c>
      <c r="L2243" s="2" t="s">
        <v>64</v>
      </c>
      <c r="M2243" s="2" t="s">
        <v>12</v>
      </c>
      <c r="N2243" s="2" t="s">
        <v>12</v>
      </c>
      <c r="O2243" s="2" t="s">
        <v>12</v>
      </c>
      <c r="P2243" s="21" t="s">
        <v>12</v>
      </c>
      <c r="Q2243" s="3" t="s">
        <v>12</v>
      </c>
      <c r="R2243" s="3" t="s">
        <v>12</v>
      </c>
    </row>
    <row r="2244" spans="1:18" x14ac:dyDescent="0.25">
      <c r="A2244" s="30">
        <v>46036</v>
      </c>
      <c r="B2244" s="28">
        <v>59</v>
      </c>
      <c r="C2244" s="28"/>
      <c r="D2244" s="2" t="s">
        <v>95</v>
      </c>
      <c r="E2244" s="7" t="s">
        <v>12</v>
      </c>
      <c r="F2244" s="7"/>
      <c r="G2244" s="2" t="s">
        <v>97</v>
      </c>
      <c r="H2244" s="2" t="s">
        <v>852</v>
      </c>
      <c r="I2244" s="5">
        <v>162331.42000000001</v>
      </c>
      <c r="J2244" s="57">
        <v>7.0000000000000007E-2</v>
      </c>
      <c r="K2244" s="3">
        <v>1848</v>
      </c>
      <c r="L2244" s="2" t="s">
        <v>226</v>
      </c>
      <c r="M2244" s="2" t="s">
        <v>12</v>
      </c>
      <c r="N2244" s="2" t="s">
        <v>12</v>
      </c>
      <c r="O2244" s="2" t="s">
        <v>12</v>
      </c>
      <c r="P2244" s="21" t="s">
        <v>12</v>
      </c>
      <c r="Q2244" s="3" t="s">
        <v>12</v>
      </c>
      <c r="R2244" s="3" t="s">
        <v>12</v>
      </c>
    </row>
    <row r="2245" spans="1:18" x14ac:dyDescent="0.25">
      <c r="A2245" s="30">
        <v>46036</v>
      </c>
      <c r="B2245" s="28">
        <v>60</v>
      </c>
      <c r="C2245" s="28"/>
      <c r="D2245" s="2" t="s">
        <v>23</v>
      </c>
      <c r="E2245" s="7" t="s">
        <v>278</v>
      </c>
      <c r="F2245" s="7"/>
      <c r="G2245" s="2" t="s">
        <v>20</v>
      </c>
      <c r="H2245" s="2" t="s">
        <v>24</v>
      </c>
      <c r="I2245" s="5">
        <v>6884.73</v>
      </c>
      <c r="J2245" s="57">
        <v>0.04</v>
      </c>
      <c r="K2245" s="3">
        <v>96</v>
      </c>
      <c r="L2245" s="2" t="s">
        <v>226</v>
      </c>
      <c r="M2245" s="2" t="s">
        <v>2578</v>
      </c>
      <c r="N2245" s="2" t="s">
        <v>12</v>
      </c>
      <c r="O2245" s="2" t="s">
        <v>12</v>
      </c>
      <c r="P2245" s="21" t="s">
        <v>12</v>
      </c>
      <c r="Q2245" s="3" t="s">
        <v>12</v>
      </c>
      <c r="R2245" s="3" t="s">
        <v>12</v>
      </c>
    </row>
    <row r="2246" spans="1:18" x14ac:dyDescent="0.25">
      <c r="A2246" s="30">
        <v>46036</v>
      </c>
      <c r="B2246" s="28">
        <v>61</v>
      </c>
      <c r="C2246" s="28"/>
      <c r="D2246" s="2" t="s">
        <v>56</v>
      </c>
      <c r="E2246" s="7" t="s">
        <v>2534</v>
      </c>
      <c r="F2246" s="7"/>
      <c r="G2246" s="2" t="s">
        <v>43</v>
      </c>
      <c r="H2246" s="2" t="s">
        <v>13</v>
      </c>
      <c r="I2246" s="5">
        <v>119330.86</v>
      </c>
      <c r="J2246" s="57">
        <v>7.0000000000000007E-2</v>
      </c>
      <c r="K2246" s="3">
        <v>1272</v>
      </c>
      <c r="L2246" s="2" t="s">
        <v>226</v>
      </c>
      <c r="M2246" s="2" t="s">
        <v>12</v>
      </c>
      <c r="N2246" s="2" t="s">
        <v>12</v>
      </c>
      <c r="O2246" s="2" t="s">
        <v>12</v>
      </c>
      <c r="P2246" s="21" t="s">
        <v>12</v>
      </c>
      <c r="Q2246" s="3" t="s">
        <v>2539</v>
      </c>
      <c r="R2246" s="3" t="s">
        <v>80</v>
      </c>
    </row>
    <row r="2247" spans="1:18" x14ac:dyDescent="0.25">
      <c r="A2247" s="30">
        <v>46036</v>
      </c>
      <c r="B2247" s="28">
        <v>62</v>
      </c>
      <c r="C2247" s="28"/>
      <c r="D2247" s="2" t="s">
        <v>106</v>
      </c>
      <c r="E2247" s="7" t="s">
        <v>12</v>
      </c>
      <c r="F2247" s="7"/>
      <c r="G2247" s="2" t="s">
        <v>13</v>
      </c>
      <c r="H2247" s="2" t="s">
        <v>40</v>
      </c>
      <c r="I2247" s="5">
        <v>15987.42</v>
      </c>
      <c r="J2247" s="57">
        <v>7.0000000000000007E-2</v>
      </c>
      <c r="K2247" s="3">
        <v>240</v>
      </c>
      <c r="L2247" s="2" t="s">
        <v>21</v>
      </c>
      <c r="M2247" s="2" t="s">
        <v>12</v>
      </c>
      <c r="N2247" s="2" t="s">
        <v>12</v>
      </c>
      <c r="O2247" s="2" t="s">
        <v>12</v>
      </c>
      <c r="P2247" s="21" t="s">
        <v>12</v>
      </c>
      <c r="Q2247" s="3" t="s">
        <v>12</v>
      </c>
      <c r="R2247" s="3" t="s">
        <v>12</v>
      </c>
    </row>
    <row r="2248" spans="1:18" x14ac:dyDescent="0.25">
      <c r="A2248" s="30">
        <v>46036</v>
      </c>
      <c r="B2248" s="28">
        <v>63</v>
      </c>
      <c r="C2248" s="28"/>
      <c r="D2248" s="2" t="s">
        <v>62</v>
      </c>
      <c r="E2248" s="7" t="s">
        <v>12</v>
      </c>
      <c r="F2248" s="7"/>
      <c r="G2248" s="2" t="s">
        <v>26</v>
      </c>
      <c r="H2248" s="2" t="s">
        <v>63</v>
      </c>
      <c r="I2248" s="5">
        <v>5094.7700000000004</v>
      </c>
      <c r="J2248" s="57">
        <v>0.05</v>
      </c>
      <c r="K2248" s="3">
        <v>72</v>
      </c>
      <c r="L2248" s="2" t="s">
        <v>64</v>
      </c>
      <c r="M2248" s="2" t="s">
        <v>12</v>
      </c>
      <c r="N2248" s="2" t="s">
        <v>12</v>
      </c>
      <c r="O2248" s="2" t="s">
        <v>12</v>
      </c>
      <c r="P2248" s="21" t="s">
        <v>12</v>
      </c>
      <c r="Q2248" s="3" t="s">
        <v>12</v>
      </c>
      <c r="R2248" s="3" t="s">
        <v>12</v>
      </c>
    </row>
    <row r="2249" spans="1:18" x14ac:dyDescent="0.25">
      <c r="A2249" s="30">
        <v>46036</v>
      </c>
      <c r="B2249" s="28">
        <v>64</v>
      </c>
      <c r="C2249" s="28"/>
      <c r="D2249" s="2" t="s">
        <v>41</v>
      </c>
      <c r="E2249" s="7" t="s">
        <v>2535</v>
      </c>
      <c r="F2249" s="7"/>
      <c r="G2249" s="2" t="s">
        <v>43</v>
      </c>
      <c r="H2249" s="2" t="s">
        <v>417</v>
      </c>
      <c r="I2249" s="5">
        <v>57129.09</v>
      </c>
      <c r="J2249" s="57">
        <v>7.0000000000000007E-2</v>
      </c>
      <c r="K2249" s="3">
        <v>528</v>
      </c>
      <c r="L2249" s="2" t="s">
        <v>226</v>
      </c>
      <c r="M2249" s="2" t="s">
        <v>12</v>
      </c>
      <c r="N2249" s="2" t="s">
        <v>12</v>
      </c>
      <c r="O2249" s="2" t="s">
        <v>12</v>
      </c>
      <c r="P2249" s="21" t="s">
        <v>12</v>
      </c>
      <c r="Q2249" s="3" t="s">
        <v>1315</v>
      </c>
      <c r="R2249" s="3" t="s">
        <v>75</v>
      </c>
    </row>
    <row r="2250" spans="1:18" x14ac:dyDescent="0.25">
      <c r="A2250" s="30">
        <v>46036</v>
      </c>
      <c r="B2250" s="28">
        <v>65</v>
      </c>
      <c r="C2250" s="28"/>
      <c r="D2250" s="2" t="s">
        <v>215</v>
      </c>
      <c r="E2250" s="7" t="s">
        <v>12</v>
      </c>
      <c r="F2250" s="7"/>
      <c r="G2250" s="2" t="s">
        <v>26</v>
      </c>
      <c r="H2250" s="2" t="s">
        <v>2536</v>
      </c>
      <c r="I2250" s="5">
        <v>12026.96</v>
      </c>
      <c r="J2250" s="57">
        <v>7.0000000000000007E-2</v>
      </c>
      <c r="K2250" s="3" t="s">
        <v>12</v>
      </c>
      <c r="L2250" s="2" t="s">
        <v>64</v>
      </c>
      <c r="M2250" s="2" t="s">
        <v>12</v>
      </c>
      <c r="N2250" s="2" t="s">
        <v>12</v>
      </c>
      <c r="O2250" s="2" t="s">
        <v>12</v>
      </c>
      <c r="P2250" s="21" t="s">
        <v>12</v>
      </c>
      <c r="Q2250" s="3" t="s">
        <v>12</v>
      </c>
      <c r="R2250" s="3" t="s">
        <v>12</v>
      </c>
    </row>
    <row r="2251" spans="1:18" x14ac:dyDescent="0.25">
      <c r="A2251" s="30">
        <v>46038</v>
      </c>
      <c r="B2251" s="28">
        <v>66</v>
      </c>
      <c r="C2251" s="28" t="s">
        <v>2161</v>
      </c>
      <c r="D2251" s="2" t="s">
        <v>124</v>
      </c>
      <c r="E2251" s="7" t="s">
        <v>2551</v>
      </c>
      <c r="F2251" s="7"/>
      <c r="G2251" s="2" t="s">
        <v>20</v>
      </c>
      <c r="H2251" s="2" t="s">
        <v>154</v>
      </c>
      <c r="I2251" s="5">
        <v>27404.16</v>
      </c>
      <c r="J2251" s="57">
        <v>7.0000000000000007E-2</v>
      </c>
      <c r="K2251" s="3">
        <v>312</v>
      </c>
      <c r="L2251" s="2" t="s">
        <v>226</v>
      </c>
      <c r="M2251" s="2" t="s">
        <v>1179</v>
      </c>
      <c r="N2251" s="2" t="s">
        <v>12</v>
      </c>
      <c r="O2251" s="2" t="s">
        <v>12</v>
      </c>
      <c r="P2251" s="21" t="s">
        <v>12</v>
      </c>
      <c r="Q2251" s="3" t="s">
        <v>12</v>
      </c>
      <c r="R2251" s="3" t="s">
        <v>12</v>
      </c>
    </row>
    <row r="2252" spans="1:18" x14ac:dyDescent="0.25">
      <c r="A2252" s="30">
        <v>46037</v>
      </c>
      <c r="B2252" s="28">
        <v>67</v>
      </c>
      <c r="C2252" s="28"/>
      <c r="D2252" s="2" t="s">
        <v>212</v>
      </c>
      <c r="E2252" s="7" t="s">
        <v>2552</v>
      </c>
      <c r="F2252" s="7"/>
      <c r="G2252" s="2" t="s">
        <v>20</v>
      </c>
      <c r="H2252" s="2" t="s">
        <v>320</v>
      </c>
      <c r="I2252" s="5">
        <v>384852.06</v>
      </c>
      <c r="J2252" s="57">
        <v>7.0000000000000007E-2</v>
      </c>
      <c r="K2252" s="3">
        <v>3816</v>
      </c>
      <c r="L2252" s="2" t="s">
        <v>226</v>
      </c>
      <c r="M2252" s="2" t="s">
        <v>12</v>
      </c>
      <c r="N2252" s="2" t="s">
        <v>12</v>
      </c>
      <c r="O2252" s="2" t="s">
        <v>12</v>
      </c>
      <c r="P2252" s="21" t="s">
        <v>12</v>
      </c>
      <c r="Q2252" s="3" t="s">
        <v>12</v>
      </c>
      <c r="R2252" s="3" t="s">
        <v>12</v>
      </c>
    </row>
    <row r="2253" spans="1:18" x14ac:dyDescent="0.25">
      <c r="A2253" s="30">
        <v>46037</v>
      </c>
      <c r="B2253" s="28">
        <v>68</v>
      </c>
      <c r="C2253" s="28"/>
      <c r="D2253" s="2" t="s">
        <v>1446</v>
      </c>
      <c r="E2253" s="7" t="s">
        <v>12</v>
      </c>
      <c r="F2253" s="7"/>
      <c r="G2253" s="2" t="s">
        <v>43</v>
      </c>
      <c r="H2253" s="2" t="s">
        <v>2007</v>
      </c>
      <c r="I2253" s="5">
        <v>9991.08</v>
      </c>
      <c r="J2253" s="57">
        <v>7.0000000000000007E-2</v>
      </c>
      <c r="K2253" s="3">
        <v>72</v>
      </c>
      <c r="L2253" s="2" t="s">
        <v>226</v>
      </c>
      <c r="M2253" s="2" t="s">
        <v>2578</v>
      </c>
      <c r="N2253" s="2" t="s">
        <v>12</v>
      </c>
      <c r="O2253" s="2" t="s">
        <v>12</v>
      </c>
      <c r="P2253" s="21" t="s">
        <v>12</v>
      </c>
      <c r="Q2253" s="3" t="s">
        <v>12</v>
      </c>
      <c r="R2253" s="3" t="s">
        <v>12</v>
      </c>
    </row>
    <row r="2254" spans="1:18" x14ac:dyDescent="0.25">
      <c r="A2254" s="30">
        <v>46037</v>
      </c>
      <c r="B2254" s="28">
        <v>69</v>
      </c>
      <c r="C2254" s="28"/>
      <c r="D2254" s="2" t="s">
        <v>1319</v>
      </c>
      <c r="E2254" s="7" t="s">
        <v>2553</v>
      </c>
      <c r="F2254" s="7"/>
      <c r="G2254" s="2" t="s">
        <v>13</v>
      </c>
      <c r="H2254" s="2" t="s">
        <v>543</v>
      </c>
      <c r="I2254" s="5">
        <v>21346.71</v>
      </c>
      <c r="J2254" s="57">
        <v>7.0000000000000007E-2</v>
      </c>
      <c r="K2254" s="3">
        <v>192</v>
      </c>
      <c r="L2254" s="2" t="s">
        <v>226</v>
      </c>
      <c r="M2254" s="2" t="s">
        <v>12</v>
      </c>
      <c r="N2254" s="2" t="s">
        <v>12</v>
      </c>
      <c r="O2254" s="2" t="s">
        <v>12</v>
      </c>
      <c r="P2254" s="21" t="s">
        <v>12</v>
      </c>
      <c r="Q2254" s="3" t="s">
        <v>2573</v>
      </c>
      <c r="R2254" s="3" t="s">
        <v>75</v>
      </c>
    </row>
    <row r="2255" spans="1:18" x14ac:dyDescent="0.25">
      <c r="A2255" s="30">
        <v>46037</v>
      </c>
      <c r="B2255" s="28">
        <v>70</v>
      </c>
      <c r="C2255" s="28"/>
      <c r="D2255" s="2" t="s">
        <v>1216</v>
      </c>
      <c r="E2255" s="7" t="s">
        <v>12</v>
      </c>
      <c r="F2255" s="7"/>
      <c r="G2255" s="2" t="s">
        <v>13</v>
      </c>
      <c r="H2255" s="2" t="s">
        <v>2393</v>
      </c>
      <c r="I2255" s="5">
        <v>4745.68</v>
      </c>
      <c r="J2255" s="57">
        <v>0.05</v>
      </c>
      <c r="K2255" s="3">
        <v>72</v>
      </c>
      <c r="L2255" s="2" t="s">
        <v>64</v>
      </c>
      <c r="M2255" s="2" t="s">
        <v>12</v>
      </c>
      <c r="N2255" s="2" t="s">
        <v>12</v>
      </c>
      <c r="O2255" s="2" t="s">
        <v>12</v>
      </c>
      <c r="P2255" s="21" t="s">
        <v>12</v>
      </c>
      <c r="Q2255" s="3" t="s">
        <v>12</v>
      </c>
      <c r="R2255" s="3" t="s">
        <v>12</v>
      </c>
    </row>
    <row r="2256" spans="1:18" x14ac:dyDescent="0.25">
      <c r="A2256" s="30">
        <v>46038</v>
      </c>
      <c r="B2256" s="28">
        <v>71</v>
      </c>
      <c r="C2256" s="28"/>
      <c r="D2256" s="2" t="s">
        <v>165</v>
      </c>
      <c r="E2256" s="7" t="s">
        <v>12</v>
      </c>
      <c r="F2256" s="7"/>
      <c r="G2256" s="2" t="s">
        <v>97</v>
      </c>
      <c r="H2256" s="2" t="s">
        <v>2508</v>
      </c>
      <c r="I2256" s="5">
        <v>4365</v>
      </c>
      <c r="J2256" s="57">
        <v>7.0000000000000007E-2</v>
      </c>
      <c r="K2256" s="3" t="s">
        <v>12</v>
      </c>
      <c r="L2256" s="2" t="s">
        <v>226</v>
      </c>
      <c r="M2256" s="2" t="s">
        <v>12</v>
      </c>
      <c r="N2256" s="2" t="s">
        <v>12</v>
      </c>
      <c r="O2256" s="2" t="s">
        <v>12</v>
      </c>
      <c r="P2256" s="21" t="s">
        <v>12</v>
      </c>
      <c r="Q2256" s="3" t="s">
        <v>12</v>
      </c>
      <c r="R2256" s="3" t="s">
        <v>12</v>
      </c>
    </row>
    <row r="2257" spans="1:18" x14ac:dyDescent="0.25">
      <c r="A2257" s="30">
        <v>46038</v>
      </c>
      <c r="B2257" s="28">
        <v>72</v>
      </c>
      <c r="C2257" s="28"/>
      <c r="D2257" s="2" t="s">
        <v>2511</v>
      </c>
      <c r="E2257" s="7" t="s">
        <v>12</v>
      </c>
      <c r="F2257" s="7"/>
      <c r="G2257" s="2" t="s">
        <v>13</v>
      </c>
      <c r="H2257" s="2" t="s">
        <v>1113</v>
      </c>
      <c r="I2257" s="5">
        <v>20092.46</v>
      </c>
      <c r="J2257" s="57">
        <v>7.0000000000000007E-2</v>
      </c>
      <c r="K2257" s="3">
        <v>240</v>
      </c>
      <c r="L2257" s="2" t="s">
        <v>226</v>
      </c>
      <c r="M2257" s="2" t="s">
        <v>12</v>
      </c>
      <c r="N2257" s="2" t="s">
        <v>12</v>
      </c>
      <c r="O2257" s="2" t="s">
        <v>12</v>
      </c>
      <c r="P2257" s="21" t="s">
        <v>12</v>
      </c>
      <c r="Q2257" s="3" t="s">
        <v>12</v>
      </c>
      <c r="R2257" s="3" t="s">
        <v>12</v>
      </c>
    </row>
    <row r="2258" spans="1:18" x14ac:dyDescent="0.25">
      <c r="A2258" s="30">
        <v>46038</v>
      </c>
      <c r="B2258" s="28">
        <v>73</v>
      </c>
      <c r="C2258" s="28"/>
      <c r="D2258" s="2" t="s">
        <v>418</v>
      </c>
      <c r="E2258" s="7" t="s">
        <v>2956</v>
      </c>
      <c r="F2258" s="7" t="s">
        <v>2957</v>
      </c>
      <c r="G2258" s="2" t="s">
        <v>97</v>
      </c>
      <c r="H2258" s="2" t="s">
        <v>1205</v>
      </c>
      <c r="I2258" s="5">
        <v>5124.8100000000004</v>
      </c>
      <c r="J2258" s="57">
        <v>0.05</v>
      </c>
      <c r="K2258" s="3">
        <v>72</v>
      </c>
      <c r="L2258" s="2" t="s">
        <v>64</v>
      </c>
      <c r="M2258" s="2" t="s">
        <v>12</v>
      </c>
      <c r="N2258" s="2" t="s">
        <v>12</v>
      </c>
      <c r="O2258" s="2" t="s">
        <v>12</v>
      </c>
      <c r="P2258" s="21" t="s">
        <v>12</v>
      </c>
      <c r="Q2258" s="3" t="s">
        <v>12</v>
      </c>
      <c r="R2258" s="3" t="s">
        <v>12</v>
      </c>
    </row>
    <row r="2259" spans="1:18" x14ac:dyDescent="0.25">
      <c r="A2259" s="30">
        <v>46038</v>
      </c>
      <c r="B2259" s="28">
        <v>74</v>
      </c>
      <c r="C2259" s="28"/>
      <c r="D2259" s="2" t="s">
        <v>130</v>
      </c>
      <c r="E2259" s="7" t="s">
        <v>2554</v>
      </c>
      <c r="F2259" s="7"/>
      <c r="G2259" s="2" t="s">
        <v>26</v>
      </c>
      <c r="H2259" s="2" t="s">
        <v>438</v>
      </c>
      <c r="I2259" s="5">
        <v>169952.27</v>
      </c>
      <c r="J2259" s="57">
        <v>7.0000000000000007E-2</v>
      </c>
      <c r="K2259" s="3">
        <v>1968</v>
      </c>
      <c r="L2259" s="2" t="s">
        <v>226</v>
      </c>
      <c r="M2259" s="2" t="s">
        <v>12</v>
      </c>
      <c r="N2259" s="2" t="s">
        <v>12</v>
      </c>
      <c r="O2259" s="2" t="s">
        <v>12</v>
      </c>
      <c r="P2259" s="21" t="s">
        <v>12</v>
      </c>
      <c r="Q2259" s="3" t="s">
        <v>2574</v>
      </c>
      <c r="R2259" s="3" t="s">
        <v>1838</v>
      </c>
    </row>
    <row r="2260" spans="1:18" x14ac:dyDescent="0.25">
      <c r="A2260" s="30">
        <v>46038</v>
      </c>
      <c r="B2260" s="28">
        <v>75</v>
      </c>
      <c r="C2260" s="28"/>
      <c r="D2260" s="2" t="s">
        <v>109</v>
      </c>
      <c r="E2260" s="7" t="s">
        <v>2555</v>
      </c>
      <c r="F2260" s="7"/>
      <c r="G2260" s="2" t="s">
        <v>111</v>
      </c>
      <c r="H2260" s="2" t="s">
        <v>454</v>
      </c>
      <c r="I2260" s="5">
        <v>47362.13</v>
      </c>
      <c r="J2260" s="57">
        <v>7.0000000000000007E-2</v>
      </c>
      <c r="K2260" s="3">
        <v>600</v>
      </c>
      <c r="L2260" s="2" t="s">
        <v>73</v>
      </c>
      <c r="M2260" s="2" t="s">
        <v>12</v>
      </c>
      <c r="N2260" s="2" t="s">
        <v>12</v>
      </c>
      <c r="O2260" s="2" t="s">
        <v>12</v>
      </c>
      <c r="P2260" s="21" t="s">
        <v>12</v>
      </c>
      <c r="Q2260" s="3" t="s">
        <v>12</v>
      </c>
      <c r="R2260" s="3" t="s">
        <v>12</v>
      </c>
    </row>
    <row r="2261" spans="1:18" x14ac:dyDescent="0.25">
      <c r="A2261" s="30">
        <v>46038</v>
      </c>
      <c r="B2261" s="28">
        <v>76</v>
      </c>
      <c r="C2261" s="28"/>
      <c r="D2261" s="2" t="s">
        <v>909</v>
      </c>
      <c r="E2261" s="7" t="s">
        <v>12</v>
      </c>
      <c r="F2261" s="7"/>
      <c r="G2261" s="2" t="s">
        <v>111</v>
      </c>
      <c r="H2261" s="2" t="s">
        <v>12</v>
      </c>
      <c r="I2261" s="5" t="s">
        <v>12</v>
      </c>
      <c r="J2261" s="57" t="s">
        <v>12</v>
      </c>
      <c r="K2261" s="3" t="s">
        <v>12</v>
      </c>
      <c r="L2261" s="2" t="s">
        <v>226</v>
      </c>
      <c r="M2261" s="2" t="s">
        <v>12</v>
      </c>
      <c r="N2261" s="2" t="s">
        <v>12</v>
      </c>
      <c r="O2261" s="2" t="s">
        <v>12</v>
      </c>
      <c r="P2261" s="21" t="s">
        <v>12</v>
      </c>
      <c r="Q2261" s="3" t="s">
        <v>12</v>
      </c>
      <c r="R2261" s="3" t="s">
        <v>12</v>
      </c>
    </row>
    <row r="2262" spans="1:18" x14ac:dyDescent="0.25">
      <c r="A2262" s="30">
        <v>46038</v>
      </c>
      <c r="B2262" s="28">
        <v>77</v>
      </c>
      <c r="C2262" s="28"/>
      <c r="D2262" s="2" t="s">
        <v>2556</v>
      </c>
      <c r="E2262" s="7" t="s">
        <v>2557</v>
      </c>
      <c r="F2262" s="7"/>
      <c r="G2262" s="2" t="s">
        <v>13</v>
      </c>
      <c r="H2262" s="2" t="s">
        <v>1251</v>
      </c>
      <c r="I2262" s="5">
        <v>141371.65</v>
      </c>
      <c r="J2262" s="57">
        <v>7.0000000000000007E-2</v>
      </c>
      <c r="K2262" s="3">
        <v>1368</v>
      </c>
      <c r="L2262" s="2" t="s">
        <v>226</v>
      </c>
      <c r="M2262" s="2" t="s">
        <v>12</v>
      </c>
      <c r="N2262" s="2" t="s">
        <v>12</v>
      </c>
      <c r="O2262" s="2" t="s">
        <v>12</v>
      </c>
      <c r="P2262" s="21" t="s">
        <v>12</v>
      </c>
      <c r="Q2262" s="3" t="s">
        <v>2575</v>
      </c>
      <c r="R2262" s="3" t="s">
        <v>75</v>
      </c>
    </row>
    <row r="2263" spans="1:18" x14ac:dyDescent="0.25">
      <c r="A2263" s="30">
        <v>46038</v>
      </c>
      <c r="B2263" s="28">
        <v>78</v>
      </c>
      <c r="C2263" s="28"/>
      <c r="D2263" s="2" t="s">
        <v>1237</v>
      </c>
      <c r="E2263" s="7" t="s">
        <v>2619</v>
      </c>
      <c r="F2263" s="7"/>
      <c r="G2263" s="2" t="s">
        <v>20</v>
      </c>
      <c r="H2263" s="2" t="s">
        <v>251</v>
      </c>
      <c r="I2263" s="5">
        <v>314436.81</v>
      </c>
      <c r="J2263" s="57">
        <v>7.0000000000000007E-2</v>
      </c>
      <c r="K2263" s="3">
        <v>3816</v>
      </c>
      <c r="L2263" s="2" t="s">
        <v>226</v>
      </c>
      <c r="M2263" s="2" t="s">
        <v>1179</v>
      </c>
      <c r="N2263" s="2" t="s">
        <v>12</v>
      </c>
      <c r="O2263" s="2" t="s">
        <v>12</v>
      </c>
      <c r="P2263" s="21" t="s">
        <v>12</v>
      </c>
      <c r="Q2263" s="3" t="s">
        <v>12</v>
      </c>
      <c r="R2263" s="3" t="s">
        <v>12</v>
      </c>
    </row>
    <row r="2264" spans="1:18" x14ac:dyDescent="0.25">
      <c r="A2264" s="30">
        <v>46042</v>
      </c>
      <c r="B2264" s="28">
        <v>79</v>
      </c>
      <c r="C2264" s="28" t="s">
        <v>2161</v>
      </c>
      <c r="D2264" s="2" t="s">
        <v>2190</v>
      </c>
      <c r="E2264" s="7" t="s">
        <v>12</v>
      </c>
      <c r="F2264" s="7"/>
      <c r="G2264" s="2" t="s">
        <v>13</v>
      </c>
      <c r="H2264" s="2" t="s">
        <v>549</v>
      </c>
      <c r="I2264" s="5">
        <v>1284.75</v>
      </c>
      <c r="J2264" s="57">
        <v>7.0000000000000007E-2</v>
      </c>
      <c r="K2264" s="3" t="s">
        <v>12</v>
      </c>
      <c r="L2264" s="2" t="s">
        <v>64</v>
      </c>
      <c r="M2264" s="2" t="s">
        <v>12</v>
      </c>
      <c r="N2264" s="2" t="s">
        <v>12</v>
      </c>
      <c r="O2264" s="2" t="s">
        <v>12</v>
      </c>
      <c r="P2264" s="21" t="s">
        <v>12</v>
      </c>
      <c r="Q2264" s="3" t="s">
        <v>12</v>
      </c>
      <c r="R2264" s="3" t="s">
        <v>12</v>
      </c>
    </row>
    <row r="2265" spans="1:18" x14ac:dyDescent="0.25">
      <c r="A2265" s="30">
        <v>46042</v>
      </c>
      <c r="B2265" s="28">
        <v>80</v>
      </c>
      <c r="C2265" s="28"/>
      <c r="D2265" s="2" t="s">
        <v>311</v>
      </c>
      <c r="E2265" s="7" t="s">
        <v>2558</v>
      </c>
      <c r="F2265" s="7"/>
      <c r="G2265" s="2" t="s">
        <v>97</v>
      </c>
      <c r="H2265" s="2" t="s">
        <v>2559</v>
      </c>
      <c r="I2265" s="5">
        <v>9500.74</v>
      </c>
      <c r="J2265" s="57">
        <v>7.0000000000000007E-2</v>
      </c>
      <c r="K2265" s="3">
        <v>96</v>
      </c>
      <c r="L2265" s="2" t="s">
        <v>226</v>
      </c>
      <c r="M2265" s="2" t="s">
        <v>12</v>
      </c>
      <c r="N2265" s="2" t="s">
        <v>12</v>
      </c>
      <c r="O2265" s="2" t="s">
        <v>12</v>
      </c>
      <c r="P2265" s="21" t="s">
        <v>12</v>
      </c>
      <c r="Q2265" s="3" t="s">
        <v>12</v>
      </c>
      <c r="R2265" s="3" t="s">
        <v>12</v>
      </c>
    </row>
    <row r="2266" spans="1:18" x14ac:dyDescent="0.25">
      <c r="A2266" s="30">
        <v>46042</v>
      </c>
      <c r="B2266" s="28">
        <v>81</v>
      </c>
      <c r="C2266" s="28"/>
      <c r="D2266" s="2" t="s">
        <v>1076</v>
      </c>
      <c r="E2266" s="7" t="s">
        <v>2560</v>
      </c>
      <c r="F2266" s="7"/>
      <c r="G2266" s="2" t="s">
        <v>13</v>
      </c>
      <c r="H2266" s="2" t="s">
        <v>1785</v>
      </c>
      <c r="I2266" s="5">
        <v>40065.11</v>
      </c>
      <c r="J2266" s="57">
        <v>7.0000000000000007E-2</v>
      </c>
      <c r="K2266" s="3">
        <v>528</v>
      </c>
      <c r="L2266" s="2" t="s">
        <v>226</v>
      </c>
      <c r="M2266" s="2" t="s">
        <v>12</v>
      </c>
      <c r="N2266" s="2" t="s">
        <v>12</v>
      </c>
      <c r="O2266" s="2" t="s">
        <v>12</v>
      </c>
      <c r="P2266" s="21" t="s">
        <v>12</v>
      </c>
      <c r="Q2266" s="3" t="s">
        <v>2576</v>
      </c>
      <c r="R2266" s="3" t="s">
        <v>222</v>
      </c>
    </row>
    <row r="2267" spans="1:18" x14ac:dyDescent="0.25">
      <c r="A2267" s="30">
        <v>46042</v>
      </c>
      <c r="B2267" s="28">
        <v>82</v>
      </c>
      <c r="C2267" s="28"/>
      <c r="D2267" s="2" t="s">
        <v>2561</v>
      </c>
      <c r="E2267" s="7" t="s">
        <v>2562</v>
      </c>
      <c r="F2267" s="7"/>
      <c r="G2267" s="2" t="s">
        <v>13</v>
      </c>
      <c r="H2267" s="2" t="s">
        <v>368</v>
      </c>
      <c r="I2267" s="5">
        <v>85312.08</v>
      </c>
      <c r="J2267" s="57">
        <v>0.06</v>
      </c>
      <c r="K2267" s="3">
        <v>680.4</v>
      </c>
      <c r="L2267" s="2" t="s">
        <v>226</v>
      </c>
      <c r="M2267" s="2" t="s">
        <v>12</v>
      </c>
      <c r="N2267" s="2" t="s">
        <v>12</v>
      </c>
      <c r="O2267" s="2" t="s">
        <v>12</v>
      </c>
      <c r="P2267" s="21" t="s">
        <v>12</v>
      </c>
      <c r="Q2267" s="3" t="s">
        <v>12</v>
      </c>
      <c r="R2267" s="3" t="s">
        <v>12</v>
      </c>
    </row>
    <row r="2268" spans="1:18" x14ac:dyDescent="0.25">
      <c r="A2268" s="30">
        <v>46042</v>
      </c>
      <c r="B2268" s="28">
        <v>83</v>
      </c>
      <c r="C2268" s="28"/>
      <c r="D2268" s="2" t="s">
        <v>2561</v>
      </c>
      <c r="E2268" s="7" t="s">
        <v>2563</v>
      </c>
      <c r="F2268" s="7"/>
      <c r="G2268" s="2" t="s">
        <v>13</v>
      </c>
      <c r="H2268" s="2" t="s">
        <v>368</v>
      </c>
      <c r="I2268" s="5">
        <v>3698.26</v>
      </c>
      <c r="J2268" s="57">
        <v>7.0000000000000007E-2</v>
      </c>
      <c r="K2268" s="3" t="s">
        <v>12</v>
      </c>
      <c r="L2268" s="2" t="s">
        <v>226</v>
      </c>
      <c r="M2268" s="2" t="s">
        <v>12</v>
      </c>
      <c r="N2268" s="2" t="s">
        <v>12</v>
      </c>
      <c r="O2268" s="2" t="s">
        <v>12</v>
      </c>
      <c r="P2268" s="21" t="s">
        <v>12</v>
      </c>
      <c r="Q2268" s="3" t="s">
        <v>12</v>
      </c>
      <c r="R2268" s="3" t="s">
        <v>12</v>
      </c>
    </row>
    <row r="2269" spans="1:18" x14ac:dyDescent="0.25">
      <c r="A2269" s="30">
        <v>46042</v>
      </c>
      <c r="B2269" s="28">
        <v>84</v>
      </c>
      <c r="C2269" s="28"/>
      <c r="D2269" s="2" t="s">
        <v>601</v>
      </c>
      <c r="E2269" s="7" t="s">
        <v>12</v>
      </c>
      <c r="F2269" s="7"/>
      <c r="G2269" s="2" t="s">
        <v>13</v>
      </c>
      <c r="H2269" s="2" t="s">
        <v>1051</v>
      </c>
      <c r="I2269" s="5">
        <v>109863.34</v>
      </c>
      <c r="J2269" s="57">
        <v>7.0000000000000007E-2</v>
      </c>
      <c r="K2269" s="3">
        <v>1080</v>
      </c>
      <c r="L2269" s="2" t="s">
        <v>226</v>
      </c>
      <c r="M2269" s="2" t="s">
        <v>12</v>
      </c>
      <c r="N2269" s="2" t="s">
        <v>12</v>
      </c>
      <c r="O2269" s="2" t="s">
        <v>12</v>
      </c>
      <c r="P2269" s="21" t="s">
        <v>12</v>
      </c>
      <c r="Q2269" s="3" t="s">
        <v>12</v>
      </c>
      <c r="R2269" s="3" t="s">
        <v>12</v>
      </c>
    </row>
    <row r="2270" spans="1:18" x14ac:dyDescent="0.25">
      <c r="A2270" s="30">
        <v>46042</v>
      </c>
      <c r="B2270" s="28">
        <v>85</v>
      </c>
      <c r="C2270" s="28"/>
      <c r="D2270" s="2" t="s">
        <v>2564</v>
      </c>
      <c r="E2270" s="7" t="s">
        <v>12</v>
      </c>
      <c r="F2270" s="7"/>
      <c r="G2270" s="2" t="s">
        <v>13</v>
      </c>
      <c r="H2270" s="2"/>
      <c r="I2270" s="5">
        <v>24481.99</v>
      </c>
      <c r="J2270" s="57">
        <v>7.0000000000000007E-2</v>
      </c>
      <c r="K2270" s="3">
        <v>240</v>
      </c>
      <c r="L2270" s="2" t="s">
        <v>226</v>
      </c>
      <c r="M2270" s="2" t="s">
        <v>12</v>
      </c>
      <c r="N2270" s="2" t="s">
        <v>12</v>
      </c>
      <c r="O2270" s="2" t="s">
        <v>12</v>
      </c>
      <c r="P2270" s="21" t="s">
        <v>12</v>
      </c>
      <c r="Q2270" s="3" t="s">
        <v>12</v>
      </c>
      <c r="R2270" s="3" t="s">
        <v>12</v>
      </c>
    </row>
    <row r="2271" spans="1:18" x14ac:dyDescent="0.25">
      <c r="A2271" s="30">
        <v>46042</v>
      </c>
      <c r="B2271" s="28">
        <v>86</v>
      </c>
      <c r="C2271" s="28"/>
      <c r="D2271" s="2" t="s">
        <v>212</v>
      </c>
      <c r="E2271" s="7" t="s">
        <v>2565</v>
      </c>
      <c r="F2271" s="7"/>
      <c r="G2271" s="2" t="s">
        <v>20</v>
      </c>
      <c r="H2271" s="2" t="s">
        <v>320</v>
      </c>
      <c r="I2271" s="5">
        <v>9322.32</v>
      </c>
      <c r="J2271" s="57">
        <v>7.0000000000000007E-2</v>
      </c>
      <c r="K2271" s="3">
        <v>96</v>
      </c>
      <c r="L2271" s="2" t="s">
        <v>73</v>
      </c>
      <c r="M2271" s="2" t="s">
        <v>12</v>
      </c>
      <c r="N2271" s="2" t="s">
        <v>12</v>
      </c>
      <c r="O2271" s="2" t="s">
        <v>12</v>
      </c>
      <c r="P2271" s="21" t="s">
        <v>12</v>
      </c>
      <c r="Q2271" s="3" t="s">
        <v>12</v>
      </c>
      <c r="R2271" s="3" t="s">
        <v>12</v>
      </c>
    </row>
    <row r="2272" spans="1:18" x14ac:dyDescent="0.25">
      <c r="A2272" s="30">
        <v>46043</v>
      </c>
      <c r="B2272" s="28">
        <v>87</v>
      </c>
      <c r="C2272" s="28"/>
      <c r="D2272" s="2" t="s">
        <v>2566</v>
      </c>
      <c r="E2272" s="7" t="s">
        <v>2567</v>
      </c>
      <c r="F2272" s="7"/>
      <c r="G2272" s="2" t="s">
        <v>13</v>
      </c>
      <c r="H2272" s="2" t="s">
        <v>926</v>
      </c>
      <c r="I2272" s="5">
        <v>178751.06</v>
      </c>
      <c r="J2272" s="57">
        <v>7.0000000000000007E-2</v>
      </c>
      <c r="K2272" s="3">
        <v>1752</v>
      </c>
      <c r="L2272" s="2" t="s">
        <v>226</v>
      </c>
      <c r="M2272" s="2" t="s">
        <v>12</v>
      </c>
      <c r="N2272" s="2" t="s">
        <v>12</v>
      </c>
      <c r="O2272" s="2" t="s">
        <v>12</v>
      </c>
      <c r="P2272" s="21" t="s">
        <v>12</v>
      </c>
      <c r="Q2272" s="3" t="s">
        <v>2577</v>
      </c>
      <c r="R2272" s="3" t="s">
        <v>222</v>
      </c>
    </row>
    <row r="2273" spans="1:18" x14ac:dyDescent="0.25">
      <c r="A2273" s="30">
        <v>46043</v>
      </c>
      <c r="B2273" s="28">
        <v>88</v>
      </c>
      <c r="C2273" s="28"/>
      <c r="D2273" s="2" t="s">
        <v>1711</v>
      </c>
      <c r="E2273" s="7" t="s">
        <v>12</v>
      </c>
      <c r="F2273" s="7"/>
      <c r="G2273" s="2" t="s">
        <v>97</v>
      </c>
      <c r="H2273" s="2" t="s">
        <v>1712</v>
      </c>
      <c r="I2273" s="5">
        <v>141538.57999999999</v>
      </c>
      <c r="J2273" s="57">
        <v>0.04</v>
      </c>
      <c r="K2273" s="3">
        <v>1440</v>
      </c>
      <c r="L2273" s="2" t="s">
        <v>64</v>
      </c>
      <c r="M2273" s="2" t="s">
        <v>12</v>
      </c>
      <c r="N2273" s="2" t="s">
        <v>12</v>
      </c>
      <c r="O2273" s="2" t="s">
        <v>12</v>
      </c>
      <c r="P2273" s="21" t="s">
        <v>12</v>
      </c>
      <c r="Q2273" s="3" t="s">
        <v>12</v>
      </c>
      <c r="R2273" s="3" t="s">
        <v>12</v>
      </c>
    </row>
    <row r="2274" spans="1:18" x14ac:dyDescent="0.25">
      <c r="A2274" s="30">
        <v>46043</v>
      </c>
      <c r="B2274" s="28">
        <v>89</v>
      </c>
      <c r="C2274" s="28"/>
      <c r="D2274" s="2" t="s">
        <v>2568</v>
      </c>
      <c r="E2274" s="7" t="s">
        <v>12</v>
      </c>
      <c r="F2274" s="7"/>
      <c r="G2274" s="2" t="s">
        <v>13</v>
      </c>
      <c r="H2274" s="2" t="s">
        <v>2569</v>
      </c>
      <c r="I2274" s="5">
        <v>3280.69</v>
      </c>
      <c r="J2274" s="57">
        <v>0.05</v>
      </c>
      <c r="K2274" s="3">
        <v>48</v>
      </c>
      <c r="L2274" s="2" t="s">
        <v>226</v>
      </c>
      <c r="M2274" s="2" t="s">
        <v>12</v>
      </c>
      <c r="N2274" s="2" t="s">
        <v>12</v>
      </c>
      <c r="O2274" s="2" t="s">
        <v>12</v>
      </c>
      <c r="P2274" s="21" t="s">
        <v>12</v>
      </c>
      <c r="Q2274" s="3" t="s">
        <v>12</v>
      </c>
      <c r="R2274" s="3" t="s">
        <v>12</v>
      </c>
    </row>
    <row r="2275" spans="1:18" x14ac:dyDescent="0.25">
      <c r="A2275" s="30">
        <v>46043</v>
      </c>
      <c r="B2275" s="28">
        <v>90</v>
      </c>
      <c r="C2275" s="28"/>
      <c r="D2275" s="2" t="s">
        <v>276</v>
      </c>
      <c r="E2275" s="7" t="s">
        <v>729</v>
      </c>
      <c r="F2275" s="7"/>
      <c r="G2275" s="2" t="s">
        <v>43</v>
      </c>
      <c r="H2275" s="2" t="s">
        <v>108</v>
      </c>
      <c r="I2275" s="5">
        <v>8673.09</v>
      </c>
      <c r="J2275" s="57">
        <v>7.0000000000000007E-2</v>
      </c>
      <c r="K2275" s="3">
        <v>96</v>
      </c>
      <c r="L2275" s="2" t="s">
        <v>226</v>
      </c>
      <c r="M2275" s="2" t="s">
        <v>530</v>
      </c>
      <c r="N2275" s="2" t="s">
        <v>12</v>
      </c>
      <c r="O2275" s="2" t="s">
        <v>12</v>
      </c>
      <c r="P2275" s="21" t="s">
        <v>12</v>
      </c>
      <c r="Q2275" s="3" t="s">
        <v>12</v>
      </c>
      <c r="R2275" s="3" t="s">
        <v>12</v>
      </c>
    </row>
    <row r="2276" spans="1:18" x14ac:dyDescent="0.25">
      <c r="A2276" s="30">
        <v>46043</v>
      </c>
      <c r="B2276" s="28">
        <v>91</v>
      </c>
      <c r="C2276" s="28"/>
      <c r="D2276" s="2" t="s">
        <v>23</v>
      </c>
      <c r="E2276" s="7" t="s">
        <v>2617</v>
      </c>
      <c r="F2276" s="7"/>
      <c r="G2276" s="2" t="s">
        <v>20</v>
      </c>
      <c r="H2276" s="2" t="s">
        <v>32</v>
      </c>
      <c r="I2276" s="5">
        <v>48418</v>
      </c>
      <c r="J2276" s="57">
        <v>0.04</v>
      </c>
      <c r="K2276" s="3">
        <v>696</v>
      </c>
      <c r="L2276" s="2" t="s">
        <v>21</v>
      </c>
      <c r="M2276" s="2" t="s">
        <v>2773</v>
      </c>
      <c r="N2276" s="2" t="s">
        <v>12</v>
      </c>
      <c r="O2276" s="2" t="s">
        <v>12</v>
      </c>
      <c r="P2276" s="21" t="s">
        <v>12</v>
      </c>
      <c r="Q2276" s="3" t="s">
        <v>12</v>
      </c>
      <c r="R2276" s="3" t="s">
        <v>12</v>
      </c>
    </row>
    <row r="2277" spans="1:18" x14ac:dyDescent="0.25">
      <c r="A2277" s="30">
        <v>46043</v>
      </c>
      <c r="B2277" s="28">
        <v>92</v>
      </c>
      <c r="C2277" s="28"/>
      <c r="D2277" s="2" t="s">
        <v>130</v>
      </c>
      <c r="E2277" s="7" t="s">
        <v>2218</v>
      </c>
      <c r="F2277" s="7"/>
      <c r="G2277" s="2" t="s">
        <v>26</v>
      </c>
      <c r="H2277" s="2" t="s">
        <v>2368</v>
      </c>
      <c r="I2277" s="5">
        <v>63075.56</v>
      </c>
      <c r="J2277" s="57">
        <v>7.0000000000000007E-2</v>
      </c>
      <c r="K2277" s="3">
        <v>696</v>
      </c>
      <c r="L2277" s="2" t="s">
        <v>226</v>
      </c>
      <c r="M2277" s="2" t="s">
        <v>2745</v>
      </c>
      <c r="N2277" s="2" t="s">
        <v>12</v>
      </c>
      <c r="O2277" s="2" t="s">
        <v>12</v>
      </c>
      <c r="P2277" s="21" t="s">
        <v>12</v>
      </c>
      <c r="Q2277" s="3" t="s">
        <v>133</v>
      </c>
      <c r="R2277" s="3" t="s">
        <v>80</v>
      </c>
    </row>
    <row r="2278" spans="1:18" x14ac:dyDescent="0.25">
      <c r="A2278" s="30">
        <v>46043</v>
      </c>
      <c r="B2278" s="28">
        <v>93</v>
      </c>
      <c r="C2278" s="28"/>
      <c r="D2278" s="2" t="s">
        <v>2570</v>
      </c>
      <c r="E2278" s="7" t="s">
        <v>2300</v>
      </c>
      <c r="F2278" s="7"/>
      <c r="G2278" s="2" t="s">
        <v>26</v>
      </c>
      <c r="H2278" s="2" t="s">
        <v>148</v>
      </c>
      <c r="I2278" s="5">
        <v>86437.28</v>
      </c>
      <c r="J2278" s="57">
        <v>7.0000000000000007E-2</v>
      </c>
      <c r="K2278" s="3">
        <v>1128</v>
      </c>
      <c r="L2278" s="2" t="s">
        <v>134</v>
      </c>
      <c r="M2278" s="2" t="s">
        <v>1160</v>
      </c>
      <c r="N2278" s="2" t="s">
        <v>135</v>
      </c>
      <c r="O2278" s="2" t="s">
        <v>374</v>
      </c>
      <c r="P2278" s="21" t="s">
        <v>12</v>
      </c>
      <c r="Q2278" s="3" t="s">
        <v>12</v>
      </c>
      <c r="R2278" s="3" t="s">
        <v>12</v>
      </c>
    </row>
    <row r="2279" spans="1:18" x14ac:dyDescent="0.25">
      <c r="A2279" s="30">
        <v>46043</v>
      </c>
      <c r="B2279" s="28">
        <v>94</v>
      </c>
      <c r="C2279" s="28"/>
      <c r="D2279" s="2" t="s">
        <v>160</v>
      </c>
      <c r="E2279" s="7" t="s">
        <v>2571</v>
      </c>
      <c r="F2279" s="7"/>
      <c r="G2279" s="2" t="s">
        <v>13</v>
      </c>
      <c r="H2279" s="2" t="s">
        <v>162</v>
      </c>
      <c r="I2279" s="5">
        <v>56465.8</v>
      </c>
      <c r="J2279" s="57">
        <v>7.0000000000000007E-2</v>
      </c>
      <c r="K2279" s="3">
        <v>576</v>
      </c>
      <c r="L2279" s="2" t="s">
        <v>226</v>
      </c>
      <c r="M2279" s="2" t="s">
        <v>12</v>
      </c>
      <c r="N2279" s="2" t="s">
        <v>12</v>
      </c>
      <c r="O2279" s="2" t="s">
        <v>12</v>
      </c>
      <c r="P2279" s="21" t="s">
        <v>12</v>
      </c>
      <c r="Q2279" s="3" t="s">
        <v>12</v>
      </c>
      <c r="R2279" s="3" t="s">
        <v>12</v>
      </c>
    </row>
    <row r="2280" spans="1:18" x14ac:dyDescent="0.25">
      <c r="A2280" s="30">
        <v>46043</v>
      </c>
      <c r="B2280" s="28">
        <v>95</v>
      </c>
      <c r="C2280" s="28"/>
      <c r="D2280" s="2" t="s">
        <v>558</v>
      </c>
      <c r="E2280" s="7" t="s">
        <v>2572</v>
      </c>
      <c r="F2280" s="7"/>
      <c r="G2280" s="2" t="s">
        <v>20</v>
      </c>
      <c r="H2280" s="2" t="s">
        <v>532</v>
      </c>
      <c r="I2280" s="5">
        <v>11286.51</v>
      </c>
      <c r="J2280" s="57">
        <v>0.04</v>
      </c>
      <c r="K2280" s="3">
        <v>144</v>
      </c>
      <c r="L2280" s="2" t="s">
        <v>64</v>
      </c>
      <c r="M2280" s="2" t="s">
        <v>12</v>
      </c>
      <c r="N2280" s="2" t="s">
        <v>12</v>
      </c>
      <c r="O2280" s="2" t="s">
        <v>12</v>
      </c>
      <c r="P2280" s="21" t="s">
        <v>12</v>
      </c>
      <c r="Q2280" s="3" t="s">
        <v>12</v>
      </c>
      <c r="R2280" s="3" t="s">
        <v>12</v>
      </c>
    </row>
    <row r="2281" spans="1:18" x14ac:dyDescent="0.25">
      <c r="A2281" s="30">
        <v>46065</v>
      </c>
      <c r="B2281" s="28">
        <v>96</v>
      </c>
      <c r="C2281" s="28"/>
      <c r="D2281" s="2" t="s">
        <v>23</v>
      </c>
      <c r="E2281" s="7" t="s">
        <v>2618</v>
      </c>
      <c r="F2281" s="7"/>
      <c r="G2281" s="2" t="s">
        <v>20</v>
      </c>
      <c r="H2281" s="2" t="s">
        <v>32</v>
      </c>
      <c r="I2281" s="5">
        <v>11440.24</v>
      </c>
      <c r="J2281" s="57">
        <v>0.04</v>
      </c>
      <c r="K2281" s="3">
        <v>168</v>
      </c>
      <c r="L2281" s="2" t="s">
        <v>134</v>
      </c>
      <c r="M2281" s="2" t="s">
        <v>1166</v>
      </c>
      <c r="N2281" s="2" t="s">
        <v>373</v>
      </c>
      <c r="O2281" s="2" t="s">
        <v>443</v>
      </c>
      <c r="P2281" s="21" t="s">
        <v>12</v>
      </c>
      <c r="Q2281" s="3" t="s">
        <v>12</v>
      </c>
      <c r="R2281" s="3" t="s">
        <v>12</v>
      </c>
    </row>
    <row r="2282" spans="1:18" x14ac:dyDescent="0.25">
      <c r="A2282" s="30">
        <v>46043</v>
      </c>
      <c r="B2282" s="28">
        <v>97</v>
      </c>
      <c r="C2282" s="28"/>
      <c r="D2282" s="2" t="s">
        <v>1216</v>
      </c>
      <c r="E2282" s="7" t="s">
        <v>12</v>
      </c>
      <c r="F2282" s="7"/>
      <c r="G2282" s="2" t="s">
        <v>13</v>
      </c>
      <c r="H2282" s="2" t="s">
        <v>2393</v>
      </c>
      <c r="I2282" s="5">
        <v>7480.46</v>
      </c>
      <c r="J2282" s="57">
        <v>0.05</v>
      </c>
      <c r="K2282" s="3">
        <v>72</v>
      </c>
      <c r="L2282" s="2" t="s">
        <v>64</v>
      </c>
      <c r="M2282" s="2" t="s">
        <v>12</v>
      </c>
      <c r="N2282" s="2" t="s">
        <v>12</v>
      </c>
      <c r="O2282" s="2" t="s">
        <v>12</v>
      </c>
      <c r="P2282" s="21" t="s">
        <v>12</v>
      </c>
      <c r="Q2282" s="3" t="s">
        <v>12</v>
      </c>
      <c r="R2282" s="3" t="s">
        <v>12</v>
      </c>
    </row>
    <row r="2283" spans="1:18" x14ac:dyDescent="0.25">
      <c r="A2283" s="30">
        <v>46044</v>
      </c>
      <c r="B2283" s="28">
        <v>98</v>
      </c>
      <c r="C2283" s="28"/>
      <c r="D2283" s="2" t="s">
        <v>176</v>
      </c>
      <c r="E2283" s="7" t="s">
        <v>2580</v>
      </c>
      <c r="F2283" s="7"/>
      <c r="G2283" s="2" t="s">
        <v>13</v>
      </c>
      <c r="H2283" s="2" t="s">
        <v>177</v>
      </c>
      <c r="I2283" s="5">
        <v>49445.39</v>
      </c>
      <c r="J2283" s="57">
        <v>0.05</v>
      </c>
      <c r="K2283" s="3">
        <v>840</v>
      </c>
      <c r="L2283" s="2" t="s">
        <v>64</v>
      </c>
      <c r="M2283" s="2" t="s">
        <v>12</v>
      </c>
      <c r="N2283" s="2" t="s">
        <v>12</v>
      </c>
      <c r="O2283" s="2" t="s">
        <v>12</v>
      </c>
      <c r="P2283" s="21" t="s">
        <v>12</v>
      </c>
      <c r="Q2283" s="3" t="s">
        <v>12</v>
      </c>
      <c r="R2283" s="3" t="s">
        <v>12</v>
      </c>
    </row>
    <row r="2284" spans="1:18" x14ac:dyDescent="0.25">
      <c r="A2284" s="30">
        <v>46049</v>
      </c>
      <c r="B2284" s="28">
        <v>99</v>
      </c>
      <c r="C2284" s="28" t="s">
        <v>2236</v>
      </c>
      <c r="D2284" s="2" t="s">
        <v>2581</v>
      </c>
      <c r="E2284" s="7" t="s">
        <v>12</v>
      </c>
      <c r="F2284" s="7"/>
      <c r="G2284" s="2" t="s">
        <v>13</v>
      </c>
      <c r="H2284" s="2" t="s">
        <v>119</v>
      </c>
      <c r="I2284" s="5">
        <v>36159.42</v>
      </c>
      <c r="J2284" s="57">
        <v>0.04</v>
      </c>
      <c r="K2284" s="3">
        <v>288</v>
      </c>
      <c r="L2284" s="2" t="s">
        <v>226</v>
      </c>
      <c r="M2284" s="2" t="s">
        <v>12</v>
      </c>
      <c r="N2284" s="2" t="s">
        <v>12</v>
      </c>
      <c r="O2284" s="2" t="s">
        <v>12</v>
      </c>
      <c r="P2284" s="21" t="s">
        <v>12</v>
      </c>
      <c r="Q2284" s="3" t="s">
        <v>12</v>
      </c>
      <c r="R2284" s="3" t="s">
        <v>12</v>
      </c>
    </row>
    <row r="2285" spans="1:18" x14ac:dyDescent="0.25">
      <c r="A2285" s="30">
        <v>46045</v>
      </c>
      <c r="B2285" s="28">
        <v>100</v>
      </c>
      <c r="C2285" s="28" t="s">
        <v>2162</v>
      </c>
      <c r="D2285" s="2" t="s">
        <v>1596</v>
      </c>
      <c r="E2285" s="7" t="s">
        <v>12</v>
      </c>
      <c r="F2285" s="7"/>
      <c r="G2285" s="2" t="s">
        <v>43</v>
      </c>
      <c r="H2285" s="2" t="s">
        <v>751</v>
      </c>
      <c r="I2285" s="5">
        <v>36355.22</v>
      </c>
      <c r="J2285" s="57">
        <v>0.05</v>
      </c>
      <c r="K2285" s="3">
        <v>360</v>
      </c>
      <c r="L2285" s="2" t="s">
        <v>64</v>
      </c>
      <c r="M2285" s="2" t="s">
        <v>12</v>
      </c>
      <c r="N2285" s="2" t="s">
        <v>12</v>
      </c>
      <c r="O2285" s="2" t="s">
        <v>12</v>
      </c>
      <c r="P2285" s="21" t="s">
        <v>12</v>
      </c>
      <c r="Q2285" s="3" t="s">
        <v>12</v>
      </c>
      <c r="R2285" s="3" t="s">
        <v>12</v>
      </c>
    </row>
    <row r="2286" spans="1:18" x14ac:dyDescent="0.25">
      <c r="A2286" s="30">
        <v>46044</v>
      </c>
      <c r="B2286" s="28">
        <v>101</v>
      </c>
      <c r="C2286" s="28"/>
      <c r="D2286" s="2" t="s">
        <v>637</v>
      </c>
      <c r="E2286" s="7" t="s">
        <v>638</v>
      </c>
      <c r="F2286" s="7"/>
      <c r="G2286" s="2" t="s">
        <v>13</v>
      </c>
      <c r="H2286" s="2" t="s">
        <v>15</v>
      </c>
      <c r="I2286" s="5">
        <v>71709.960000000006</v>
      </c>
      <c r="J2286" s="57">
        <v>7.0000000000000007E-2</v>
      </c>
      <c r="K2286" s="3">
        <v>816</v>
      </c>
      <c r="L2286" s="2" t="s">
        <v>226</v>
      </c>
      <c r="M2286" s="2" t="s">
        <v>12</v>
      </c>
      <c r="N2286" s="2" t="s">
        <v>12</v>
      </c>
      <c r="O2286" s="2" t="s">
        <v>12</v>
      </c>
      <c r="P2286" s="21" t="s">
        <v>12</v>
      </c>
      <c r="Q2286" s="3" t="s">
        <v>12</v>
      </c>
      <c r="R2286" s="3" t="s">
        <v>12</v>
      </c>
    </row>
    <row r="2287" spans="1:18" x14ac:dyDescent="0.25">
      <c r="A2287" s="30">
        <v>46044</v>
      </c>
      <c r="B2287" s="28">
        <v>102</v>
      </c>
      <c r="C2287" s="28"/>
      <c r="D2287" s="2" t="s">
        <v>54</v>
      </c>
      <c r="E2287" s="7" t="s">
        <v>12</v>
      </c>
      <c r="F2287" s="7"/>
      <c r="G2287" s="2" t="s">
        <v>26</v>
      </c>
      <c r="H2287" s="2" t="s">
        <v>55</v>
      </c>
      <c r="I2287" s="5">
        <v>1000.49</v>
      </c>
      <c r="J2287" s="57">
        <v>7.0000000000000007E-2</v>
      </c>
      <c r="K2287" s="3" t="s">
        <v>12</v>
      </c>
      <c r="L2287" s="2" t="s">
        <v>64</v>
      </c>
      <c r="M2287" s="2" t="s">
        <v>12</v>
      </c>
      <c r="N2287" s="2" t="s">
        <v>12</v>
      </c>
      <c r="O2287" s="2" t="s">
        <v>12</v>
      </c>
      <c r="P2287" s="21" t="s">
        <v>12</v>
      </c>
      <c r="Q2287" s="3" t="s">
        <v>12</v>
      </c>
      <c r="R2287" s="3" t="s">
        <v>12</v>
      </c>
    </row>
    <row r="2288" spans="1:18" x14ac:dyDescent="0.25">
      <c r="A2288" s="30">
        <v>46044</v>
      </c>
      <c r="B2288" s="28">
        <v>103</v>
      </c>
      <c r="C2288" s="28"/>
      <c r="D2288" s="2" t="s">
        <v>601</v>
      </c>
      <c r="E2288" s="7" t="s">
        <v>12</v>
      </c>
      <c r="F2288" s="7"/>
      <c r="G2288" s="2" t="s">
        <v>13</v>
      </c>
      <c r="H2288" s="2" t="s">
        <v>2351</v>
      </c>
      <c r="I2288" s="5">
        <v>38076</v>
      </c>
      <c r="J2288" s="57">
        <v>7.0000000000000007E-2</v>
      </c>
      <c r="K2288" s="3" t="s">
        <v>12</v>
      </c>
      <c r="L2288" s="2" t="s">
        <v>226</v>
      </c>
      <c r="M2288" s="2" t="s">
        <v>12</v>
      </c>
      <c r="N2288" s="2" t="s">
        <v>12</v>
      </c>
      <c r="O2288" s="2" t="s">
        <v>12</v>
      </c>
      <c r="P2288" s="21" t="s">
        <v>12</v>
      </c>
      <c r="Q2288" s="3" t="s">
        <v>12</v>
      </c>
      <c r="R2288" s="3" t="s">
        <v>12</v>
      </c>
    </row>
    <row r="2289" spans="1:18" x14ac:dyDescent="0.25">
      <c r="A2289" s="30">
        <v>46044</v>
      </c>
      <c r="B2289" s="28">
        <v>104</v>
      </c>
      <c r="C2289" s="28"/>
      <c r="D2289" s="2" t="s">
        <v>215</v>
      </c>
      <c r="E2289" s="7" t="s">
        <v>2582</v>
      </c>
      <c r="F2289" s="7"/>
      <c r="G2289" s="2" t="s">
        <v>26</v>
      </c>
      <c r="H2289" s="2" t="s">
        <v>2536</v>
      </c>
      <c r="I2289" s="5">
        <v>4020.3</v>
      </c>
      <c r="J2289" s="57">
        <v>7.0000000000000007E-2</v>
      </c>
      <c r="K2289" s="3" t="s">
        <v>12</v>
      </c>
      <c r="L2289" s="2" t="s">
        <v>64</v>
      </c>
      <c r="M2289" s="2" t="s">
        <v>12</v>
      </c>
      <c r="N2289" s="2" t="s">
        <v>12</v>
      </c>
      <c r="O2289" s="2" t="s">
        <v>12</v>
      </c>
      <c r="P2289" s="21" t="s">
        <v>12</v>
      </c>
      <c r="Q2289" s="3" t="s">
        <v>12</v>
      </c>
      <c r="R2289" s="3" t="s">
        <v>12</v>
      </c>
    </row>
    <row r="2290" spans="1:18" x14ac:dyDescent="0.25">
      <c r="A2290" s="30">
        <v>46044</v>
      </c>
      <c r="B2290" s="28">
        <v>105</v>
      </c>
      <c r="C2290" s="28" t="s">
        <v>2161</v>
      </c>
      <c r="D2290" s="2" t="s">
        <v>1193</v>
      </c>
      <c r="E2290" s="7" t="s">
        <v>2583</v>
      </c>
      <c r="F2290" s="7"/>
      <c r="G2290" s="2" t="s">
        <v>97</v>
      </c>
      <c r="H2290" s="2" t="s">
        <v>422</v>
      </c>
      <c r="I2290" s="5">
        <v>30407.22</v>
      </c>
      <c r="J2290" s="57">
        <v>0.05</v>
      </c>
      <c r="K2290" s="3">
        <v>360</v>
      </c>
      <c r="L2290" s="2" t="s">
        <v>226</v>
      </c>
      <c r="M2290" s="2" t="s">
        <v>12</v>
      </c>
      <c r="N2290" s="2" t="s">
        <v>12</v>
      </c>
      <c r="O2290" s="2" t="s">
        <v>12</v>
      </c>
      <c r="P2290" s="21" t="s">
        <v>12</v>
      </c>
      <c r="Q2290" s="3" t="s">
        <v>163</v>
      </c>
      <c r="R2290" s="3" t="s">
        <v>75</v>
      </c>
    </row>
    <row r="2291" spans="1:18" x14ac:dyDescent="0.25">
      <c r="A2291" s="30">
        <v>46044</v>
      </c>
      <c r="B2291" s="28">
        <v>106</v>
      </c>
      <c r="C2291" s="28"/>
      <c r="D2291" s="2" t="s">
        <v>276</v>
      </c>
      <c r="E2291" s="7" t="s">
        <v>1324</v>
      </c>
      <c r="F2291" s="7"/>
      <c r="G2291" s="2" t="s">
        <v>43</v>
      </c>
      <c r="H2291" s="2" t="s">
        <v>108</v>
      </c>
      <c r="I2291" s="5">
        <v>3440.45</v>
      </c>
      <c r="J2291" s="57">
        <v>7.0000000000000007E-2</v>
      </c>
      <c r="K2291" s="3">
        <v>48</v>
      </c>
      <c r="L2291" s="2" t="s">
        <v>226</v>
      </c>
      <c r="M2291" s="2" t="s">
        <v>12</v>
      </c>
      <c r="N2291" s="2" t="s">
        <v>12</v>
      </c>
      <c r="O2291" s="2" t="s">
        <v>12</v>
      </c>
      <c r="P2291" s="21" t="s">
        <v>12</v>
      </c>
      <c r="Q2291" s="3" t="s">
        <v>12</v>
      </c>
      <c r="R2291" s="3" t="s">
        <v>12</v>
      </c>
    </row>
    <row r="2292" spans="1:18" x14ac:dyDescent="0.25">
      <c r="A2292" s="30">
        <v>46044</v>
      </c>
      <c r="B2292" s="28">
        <v>107</v>
      </c>
      <c r="C2292" s="28"/>
      <c r="D2292" s="2" t="s">
        <v>276</v>
      </c>
      <c r="E2292" s="7" t="s">
        <v>1325</v>
      </c>
      <c r="F2292" s="7"/>
      <c r="G2292" s="2" t="s">
        <v>43</v>
      </c>
      <c r="H2292" s="2" t="s">
        <v>108</v>
      </c>
      <c r="I2292" s="5">
        <v>6198.52</v>
      </c>
      <c r="J2292" s="57">
        <v>7.0000000000000007E-2</v>
      </c>
      <c r="K2292" s="3">
        <v>72</v>
      </c>
      <c r="L2292" s="2" t="s">
        <v>226</v>
      </c>
      <c r="M2292" s="2" t="s">
        <v>12</v>
      </c>
      <c r="N2292" s="2" t="s">
        <v>12</v>
      </c>
      <c r="O2292" s="2" t="s">
        <v>12</v>
      </c>
      <c r="P2292" s="21" t="s">
        <v>12</v>
      </c>
      <c r="Q2292" s="3" t="s">
        <v>12</v>
      </c>
      <c r="R2292" s="3" t="s">
        <v>12</v>
      </c>
    </row>
    <row r="2293" spans="1:18" x14ac:dyDescent="0.25">
      <c r="A2293" s="30">
        <v>46044</v>
      </c>
      <c r="B2293" s="28">
        <v>108</v>
      </c>
      <c r="C2293" s="28"/>
      <c r="D2293" s="2" t="s">
        <v>276</v>
      </c>
      <c r="E2293" s="7" t="s">
        <v>1326</v>
      </c>
      <c r="F2293" s="7"/>
      <c r="G2293" s="2" t="s">
        <v>43</v>
      </c>
      <c r="H2293" s="2" t="s">
        <v>108</v>
      </c>
      <c r="I2293" s="5">
        <v>3618.37</v>
      </c>
      <c r="J2293" s="57">
        <v>7.0000000000000007E-2</v>
      </c>
      <c r="K2293" s="3">
        <v>48</v>
      </c>
      <c r="L2293" s="2" t="s">
        <v>226</v>
      </c>
      <c r="M2293" s="2" t="s">
        <v>12</v>
      </c>
      <c r="N2293" s="2" t="s">
        <v>12</v>
      </c>
      <c r="O2293" s="2" t="s">
        <v>12</v>
      </c>
      <c r="P2293" s="21" t="s">
        <v>12</v>
      </c>
      <c r="Q2293" s="3" t="s">
        <v>12</v>
      </c>
      <c r="R2293" s="3" t="s">
        <v>12</v>
      </c>
    </row>
    <row r="2294" spans="1:18" x14ac:dyDescent="0.25">
      <c r="A2294" s="30">
        <v>46050</v>
      </c>
      <c r="B2294" s="28">
        <v>109</v>
      </c>
      <c r="C2294" s="28" t="s">
        <v>2161</v>
      </c>
      <c r="D2294" s="2" t="s">
        <v>212</v>
      </c>
      <c r="E2294" s="7" t="s">
        <v>2584</v>
      </c>
      <c r="F2294" s="7"/>
      <c r="G2294" s="2" t="s">
        <v>20</v>
      </c>
      <c r="H2294" s="2" t="s">
        <v>2585</v>
      </c>
      <c r="I2294" s="5">
        <v>410953.03</v>
      </c>
      <c r="J2294" s="57">
        <v>0.05</v>
      </c>
      <c r="K2294" s="3">
        <v>4344</v>
      </c>
      <c r="L2294" s="2" t="s">
        <v>226</v>
      </c>
      <c r="M2294" s="2" t="s">
        <v>1179</v>
      </c>
      <c r="N2294" s="2" t="s">
        <v>12</v>
      </c>
      <c r="O2294" s="2" t="s">
        <v>12</v>
      </c>
      <c r="P2294" s="21" t="s">
        <v>12</v>
      </c>
      <c r="Q2294" s="3" t="s">
        <v>12</v>
      </c>
      <c r="R2294" s="3" t="s">
        <v>12</v>
      </c>
    </row>
    <row r="2295" spans="1:18" x14ac:dyDescent="0.25">
      <c r="A2295" s="30">
        <v>46045</v>
      </c>
      <c r="B2295" s="28">
        <v>110</v>
      </c>
      <c r="C2295" s="28"/>
      <c r="D2295" s="2" t="s">
        <v>130</v>
      </c>
      <c r="E2295" s="7" t="s">
        <v>2013</v>
      </c>
      <c r="F2295" s="7"/>
      <c r="G2295" s="2" t="s">
        <v>26</v>
      </c>
      <c r="H2295" s="2" t="s">
        <v>369</v>
      </c>
      <c r="I2295" s="5">
        <v>224868.55</v>
      </c>
      <c r="J2295" s="57">
        <v>0.04</v>
      </c>
      <c r="K2295" s="3">
        <v>2640</v>
      </c>
      <c r="L2295" s="2" t="s">
        <v>64</v>
      </c>
      <c r="M2295" s="2" t="s">
        <v>12</v>
      </c>
      <c r="N2295" s="2" t="s">
        <v>12</v>
      </c>
      <c r="O2295" s="2"/>
      <c r="P2295" s="21" t="s">
        <v>12</v>
      </c>
      <c r="Q2295" s="3" t="s">
        <v>12</v>
      </c>
      <c r="R2295" s="3" t="s">
        <v>12</v>
      </c>
    </row>
    <row r="2296" spans="1:18" x14ac:dyDescent="0.25">
      <c r="A2296" s="30">
        <v>46048</v>
      </c>
      <c r="B2296" s="28">
        <v>111</v>
      </c>
      <c r="C2296" s="28" t="s">
        <v>2161</v>
      </c>
      <c r="D2296" s="2" t="s">
        <v>41</v>
      </c>
      <c r="E2296" s="7" t="s">
        <v>2586</v>
      </c>
      <c r="F2296" s="7"/>
      <c r="G2296" s="2" t="s">
        <v>43</v>
      </c>
      <c r="H2296" s="2" t="s">
        <v>43</v>
      </c>
      <c r="I2296" s="5">
        <v>220151.27</v>
      </c>
      <c r="J2296" s="57">
        <v>7.0000000000000007E-2</v>
      </c>
      <c r="K2296" s="3">
        <v>2160</v>
      </c>
      <c r="L2296" s="2" t="s">
        <v>226</v>
      </c>
      <c r="M2296" s="2" t="s">
        <v>2620</v>
      </c>
      <c r="N2296" s="2" t="s">
        <v>12</v>
      </c>
      <c r="O2296" s="2" t="s">
        <v>12</v>
      </c>
      <c r="P2296" s="21" t="s">
        <v>12</v>
      </c>
      <c r="Q2296" s="3" t="s">
        <v>1315</v>
      </c>
      <c r="R2296" s="3" t="s">
        <v>75</v>
      </c>
    </row>
    <row r="2297" spans="1:18" x14ac:dyDescent="0.25">
      <c r="A2297" s="30">
        <v>46045</v>
      </c>
      <c r="B2297" s="28">
        <v>112</v>
      </c>
      <c r="C2297" s="28"/>
      <c r="D2297" s="2" t="s">
        <v>56</v>
      </c>
      <c r="E2297" s="7" t="s">
        <v>2587</v>
      </c>
      <c r="F2297" s="7"/>
      <c r="G2297" s="2" t="s">
        <v>43</v>
      </c>
      <c r="H2297" s="2" t="s">
        <v>13</v>
      </c>
      <c r="I2297" s="5">
        <v>14815.38</v>
      </c>
      <c r="J2297" s="57">
        <v>7.0000000000000007E-2</v>
      </c>
      <c r="K2297" s="3">
        <v>144</v>
      </c>
      <c r="L2297" s="2" t="s">
        <v>226</v>
      </c>
      <c r="M2297" s="2" t="s">
        <v>12</v>
      </c>
      <c r="N2297" s="2" t="s">
        <v>12</v>
      </c>
      <c r="O2297" s="2" t="s">
        <v>12</v>
      </c>
      <c r="P2297" s="21" t="s">
        <v>12</v>
      </c>
      <c r="Q2297" s="3" t="s">
        <v>956</v>
      </c>
      <c r="R2297" s="3" t="s">
        <v>80</v>
      </c>
    </row>
    <row r="2298" spans="1:18" x14ac:dyDescent="0.25">
      <c r="A2298" s="30">
        <v>46045</v>
      </c>
      <c r="B2298" s="28">
        <v>113</v>
      </c>
      <c r="C2298" s="28"/>
      <c r="D2298" s="2" t="s">
        <v>54</v>
      </c>
      <c r="E2298" s="7" t="s">
        <v>12</v>
      </c>
      <c r="F2298" s="7"/>
      <c r="G2298" s="2" t="s">
        <v>26</v>
      </c>
      <c r="H2298" s="2" t="s">
        <v>55</v>
      </c>
      <c r="I2298" s="5">
        <v>4271.9399999999996</v>
      </c>
      <c r="J2298" s="57">
        <v>7.0000000000000007E-2</v>
      </c>
      <c r="K2298" s="3">
        <v>48</v>
      </c>
      <c r="L2298" s="2" t="s">
        <v>64</v>
      </c>
      <c r="M2298" s="2" t="s">
        <v>12</v>
      </c>
      <c r="N2298" s="2" t="s">
        <v>12</v>
      </c>
      <c r="O2298" s="2" t="s">
        <v>12</v>
      </c>
      <c r="P2298" s="21" t="s">
        <v>12</v>
      </c>
      <c r="Q2298" s="3" t="s">
        <v>12</v>
      </c>
      <c r="R2298" s="3" t="s">
        <v>12</v>
      </c>
    </row>
    <row r="2299" spans="1:18" x14ac:dyDescent="0.25">
      <c r="A2299" s="30">
        <v>46045</v>
      </c>
      <c r="B2299" s="28">
        <v>114</v>
      </c>
      <c r="C2299" s="28"/>
      <c r="D2299" s="2" t="s">
        <v>2391</v>
      </c>
      <c r="E2299" s="7" t="s">
        <v>12</v>
      </c>
      <c r="F2299" s="7"/>
      <c r="G2299" s="2" t="s">
        <v>13</v>
      </c>
      <c r="H2299" s="2" t="s">
        <v>1153</v>
      </c>
      <c r="I2299" s="5">
        <v>2784.75</v>
      </c>
      <c r="J2299" s="57">
        <v>7.0000000000000007E-2</v>
      </c>
      <c r="K2299" s="3">
        <v>24</v>
      </c>
      <c r="L2299" s="2" t="s">
        <v>226</v>
      </c>
      <c r="M2299" s="2" t="s">
        <v>12</v>
      </c>
      <c r="N2299" s="2" t="s">
        <v>12</v>
      </c>
      <c r="O2299" s="2" t="s">
        <v>12</v>
      </c>
      <c r="P2299" s="21" t="s">
        <v>12</v>
      </c>
      <c r="Q2299" s="3" t="s">
        <v>12</v>
      </c>
      <c r="R2299" s="3" t="s">
        <v>12</v>
      </c>
    </row>
    <row r="2300" spans="1:18" x14ac:dyDescent="0.25">
      <c r="A2300" s="30">
        <v>46048</v>
      </c>
      <c r="B2300" s="28">
        <v>115</v>
      </c>
      <c r="C2300" s="28"/>
      <c r="D2300" s="2" t="s">
        <v>2248</v>
      </c>
      <c r="E2300" s="7" t="s">
        <v>12</v>
      </c>
      <c r="F2300" s="7"/>
      <c r="G2300" s="2" t="s">
        <v>13</v>
      </c>
      <c r="H2300" s="2" t="s">
        <v>2249</v>
      </c>
      <c r="I2300" s="5">
        <v>10523.7</v>
      </c>
      <c r="J2300" s="57">
        <v>0.04</v>
      </c>
      <c r="K2300" s="3">
        <v>192</v>
      </c>
      <c r="L2300" s="2" t="s">
        <v>64</v>
      </c>
      <c r="M2300" s="2" t="s">
        <v>12</v>
      </c>
      <c r="N2300" s="2" t="s">
        <v>12</v>
      </c>
      <c r="O2300" s="2" t="s">
        <v>12</v>
      </c>
      <c r="P2300" s="21" t="s">
        <v>12</v>
      </c>
      <c r="Q2300" s="3" t="s">
        <v>12</v>
      </c>
      <c r="R2300" s="3" t="s">
        <v>12</v>
      </c>
    </row>
    <row r="2301" spans="1:18" x14ac:dyDescent="0.25">
      <c r="A2301" s="30">
        <v>46045</v>
      </c>
      <c r="B2301" s="28">
        <v>116</v>
      </c>
      <c r="C2301" s="28"/>
      <c r="D2301" s="2" t="s">
        <v>2588</v>
      </c>
      <c r="E2301" s="7" t="s">
        <v>2589</v>
      </c>
      <c r="F2301" s="7"/>
      <c r="G2301" s="2" t="s">
        <v>13</v>
      </c>
      <c r="H2301" s="2" t="s">
        <v>454</v>
      </c>
      <c r="I2301" s="5">
        <v>31226.51</v>
      </c>
      <c r="J2301" s="57">
        <v>7.0000000000000007E-2</v>
      </c>
      <c r="K2301" s="3">
        <v>288</v>
      </c>
      <c r="L2301" s="2" t="s">
        <v>226</v>
      </c>
      <c r="M2301" s="2" t="s">
        <v>12</v>
      </c>
      <c r="N2301" s="2" t="s">
        <v>12</v>
      </c>
      <c r="O2301" s="2" t="s">
        <v>12</v>
      </c>
      <c r="P2301" s="21" t="s">
        <v>12</v>
      </c>
      <c r="Q2301" s="3" t="s">
        <v>74</v>
      </c>
      <c r="R2301" s="3" t="s">
        <v>76</v>
      </c>
    </row>
    <row r="2302" spans="1:18" x14ac:dyDescent="0.25">
      <c r="A2302" s="30">
        <v>46045</v>
      </c>
      <c r="B2302" s="28">
        <v>117</v>
      </c>
      <c r="C2302" s="28" t="s">
        <v>2161</v>
      </c>
      <c r="D2302" s="2" t="s">
        <v>2590</v>
      </c>
      <c r="E2302" s="7" t="s">
        <v>2591</v>
      </c>
      <c r="F2302" s="7"/>
      <c r="G2302" s="2" t="s">
        <v>20</v>
      </c>
      <c r="H2302" s="2" t="s">
        <v>827</v>
      </c>
      <c r="I2302" s="5">
        <v>44753.48</v>
      </c>
      <c r="J2302" s="57">
        <v>7.0000000000000007E-2</v>
      </c>
      <c r="K2302" s="3">
        <v>480</v>
      </c>
      <c r="L2302" s="2" t="s">
        <v>134</v>
      </c>
      <c r="M2302" s="2" t="s">
        <v>135</v>
      </c>
      <c r="N2302" s="2" t="s">
        <v>135</v>
      </c>
      <c r="O2302" s="2" t="s">
        <v>443</v>
      </c>
      <c r="P2302" s="21" t="s">
        <v>12</v>
      </c>
      <c r="Q2302" s="3" t="s">
        <v>12</v>
      </c>
      <c r="R2302" s="3" t="s">
        <v>12</v>
      </c>
    </row>
    <row r="2303" spans="1:18" x14ac:dyDescent="0.25">
      <c r="A2303" s="30">
        <v>46045</v>
      </c>
      <c r="B2303" s="28">
        <v>118</v>
      </c>
      <c r="C2303" s="28"/>
      <c r="D2303" s="2" t="s">
        <v>541</v>
      </c>
      <c r="E2303" s="7" t="s">
        <v>2587</v>
      </c>
      <c r="F2303" s="7"/>
      <c r="G2303" s="2" t="s">
        <v>97</v>
      </c>
      <c r="H2303" s="2" t="s">
        <v>543</v>
      </c>
      <c r="I2303" s="5">
        <v>14815.38</v>
      </c>
      <c r="J2303" s="57">
        <v>7.0000000000000007E-2</v>
      </c>
      <c r="K2303" s="3">
        <v>144</v>
      </c>
      <c r="L2303" s="2" t="s">
        <v>226</v>
      </c>
      <c r="M2303" s="2" t="s">
        <v>12</v>
      </c>
      <c r="N2303" s="2" t="s">
        <v>12</v>
      </c>
      <c r="O2303" s="2" t="s">
        <v>12</v>
      </c>
      <c r="P2303" s="21" t="s">
        <v>12</v>
      </c>
      <c r="Q2303" s="3" t="s">
        <v>956</v>
      </c>
      <c r="R2303" s="3" t="s">
        <v>80</v>
      </c>
    </row>
    <row r="2304" spans="1:18" x14ac:dyDescent="0.25">
      <c r="A2304" s="30">
        <v>46045</v>
      </c>
      <c r="B2304" s="28">
        <v>119</v>
      </c>
      <c r="C2304" s="28"/>
      <c r="D2304" s="2" t="s">
        <v>2592</v>
      </c>
      <c r="E2304" s="7" t="s">
        <v>2593</v>
      </c>
      <c r="F2304" s="7"/>
      <c r="G2304" s="2" t="s">
        <v>97</v>
      </c>
      <c r="H2304" s="2" t="s">
        <v>1169</v>
      </c>
      <c r="I2304" s="5">
        <v>206073.21</v>
      </c>
      <c r="J2304" s="57">
        <v>7.0000000000000007E-2</v>
      </c>
      <c r="K2304" s="3">
        <v>1968</v>
      </c>
      <c r="L2304" s="2" t="s">
        <v>226</v>
      </c>
      <c r="M2304" s="2" t="s">
        <v>12</v>
      </c>
      <c r="N2304" s="2" t="s">
        <v>12</v>
      </c>
      <c r="O2304" s="2" t="s">
        <v>12</v>
      </c>
      <c r="P2304" s="21" t="s">
        <v>12</v>
      </c>
      <c r="Q2304" s="3" t="s">
        <v>906</v>
      </c>
      <c r="R2304" s="3" t="s">
        <v>75</v>
      </c>
    </row>
    <row r="2305" spans="1:18" x14ac:dyDescent="0.25">
      <c r="A2305" s="30">
        <v>46048</v>
      </c>
      <c r="B2305" s="28">
        <v>120</v>
      </c>
      <c r="C2305" s="28"/>
      <c r="D2305" s="2" t="s">
        <v>2594</v>
      </c>
      <c r="E2305" s="7" t="s">
        <v>2595</v>
      </c>
      <c r="F2305" s="7"/>
      <c r="G2305" s="2" t="s">
        <v>13</v>
      </c>
      <c r="H2305" s="2"/>
      <c r="I2305" s="5">
        <v>5500</v>
      </c>
      <c r="J2305" s="57">
        <v>7.0000000000000007E-2</v>
      </c>
      <c r="K2305" s="3" t="s">
        <v>12</v>
      </c>
      <c r="L2305" s="2" t="s">
        <v>64</v>
      </c>
      <c r="M2305" s="2" t="s">
        <v>12</v>
      </c>
      <c r="N2305" s="2" t="s">
        <v>12</v>
      </c>
      <c r="O2305" s="2" t="s">
        <v>12</v>
      </c>
      <c r="P2305" s="21" t="s">
        <v>12</v>
      </c>
      <c r="Q2305" s="3" t="s">
        <v>74</v>
      </c>
      <c r="R2305" s="3" t="s">
        <v>76</v>
      </c>
    </row>
    <row r="2306" spans="1:18" x14ac:dyDescent="0.25">
      <c r="A2306" s="30">
        <v>46048</v>
      </c>
      <c r="B2306" s="28">
        <v>121</v>
      </c>
      <c r="C2306" s="28"/>
      <c r="D2306" s="2" t="s">
        <v>2594</v>
      </c>
      <c r="E2306" s="7" t="s">
        <v>1887</v>
      </c>
      <c r="F2306" s="7"/>
      <c r="G2306" s="2" t="s">
        <v>13</v>
      </c>
      <c r="H2306" s="2"/>
      <c r="I2306" s="5">
        <v>26821.06</v>
      </c>
      <c r="J2306" s="57">
        <v>7.0000000000000007E-2</v>
      </c>
      <c r="K2306" s="3">
        <v>264</v>
      </c>
      <c r="L2306" s="2" t="s">
        <v>226</v>
      </c>
      <c r="M2306" s="2" t="s">
        <v>12</v>
      </c>
      <c r="N2306" s="2" t="s">
        <v>12</v>
      </c>
      <c r="O2306" s="2" t="s">
        <v>12</v>
      </c>
      <c r="P2306" s="21" t="s">
        <v>12</v>
      </c>
      <c r="Q2306" s="3" t="s">
        <v>74</v>
      </c>
      <c r="R2306" s="3" t="s">
        <v>76</v>
      </c>
    </row>
    <row r="2307" spans="1:18" x14ac:dyDescent="0.25">
      <c r="A2307" s="30">
        <v>46050</v>
      </c>
      <c r="B2307" s="28">
        <v>122</v>
      </c>
      <c r="C2307" s="28" t="s">
        <v>2236</v>
      </c>
      <c r="D2307" s="2" t="s">
        <v>70</v>
      </c>
      <c r="E2307" s="7" t="s">
        <v>2557</v>
      </c>
      <c r="F2307" s="7"/>
      <c r="G2307" s="2" t="s">
        <v>13</v>
      </c>
      <c r="H2307" s="2" t="s">
        <v>2596</v>
      </c>
      <c r="I2307" s="5">
        <v>120000</v>
      </c>
      <c r="J2307" s="57">
        <v>0.04</v>
      </c>
      <c r="K2307" s="3">
        <v>1749.6</v>
      </c>
      <c r="L2307" s="2" t="s">
        <v>64</v>
      </c>
      <c r="M2307" s="2" t="s">
        <v>12</v>
      </c>
      <c r="N2307" s="2" t="s">
        <v>12</v>
      </c>
      <c r="O2307" s="2" t="s">
        <v>12</v>
      </c>
      <c r="P2307" s="21" t="s">
        <v>12</v>
      </c>
      <c r="Q2307" s="3" t="s">
        <v>2575</v>
      </c>
      <c r="R2307" s="3" t="s">
        <v>75</v>
      </c>
    </row>
    <row r="2308" spans="1:18" x14ac:dyDescent="0.25">
      <c r="A2308" s="30">
        <v>46049</v>
      </c>
      <c r="B2308" s="28">
        <v>123</v>
      </c>
      <c r="C2308" s="28" t="s">
        <v>2161</v>
      </c>
      <c r="D2308" s="2" t="s">
        <v>321</v>
      </c>
      <c r="E2308" s="7" t="s">
        <v>2597</v>
      </c>
      <c r="F2308" s="7"/>
      <c r="G2308" s="2" t="s">
        <v>111</v>
      </c>
      <c r="H2308" s="2" t="s">
        <v>322</v>
      </c>
      <c r="I2308" s="5">
        <v>39901.769999999997</v>
      </c>
      <c r="J2308" s="57">
        <v>0.04</v>
      </c>
      <c r="K2308" s="3">
        <v>456</v>
      </c>
      <c r="L2308" s="2" t="s">
        <v>64</v>
      </c>
      <c r="M2308" s="2" t="s">
        <v>12</v>
      </c>
      <c r="N2308" s="2" t="s">
        <v>12</v>
      </c>
      <c r="O2308" s="2" t="s">
        <v>12</v>
      </c>
      <c r="P2308" s="21" t="s">
        <v>12</v>
      </c>
      <c r="Q2308" s="3" t="s">
        <v>12</v>
      </c>
      <c r="R2308" s="3" t="s">
        <v>12</v>
      </c>
    </row>
    <row r="2309" spans="1:18" x14ac:dyDescent="0.25">
      <c r="A2309" s="30">
        <v>46051</v>
      </c>
      <c r="B2309" s="28">
        <v>124</v>
      </c>
      <c r="C2309" s="28" t="s">
        <v>2161</v>
      </c>
      <c r="D2309" s="2" t="s">
        <v>103</v>
      </c>
      <c r="E2309" s="7" t="s">
        <v>2598</v>
      </c>
      <c r="F2309" s="7"/>
      <c r="G2309" s="2" t="s">
        <v>13</v>
      </c>
      <c r="H2309" s="2" t="s">
        <v>491</v>
      </c>
      <c r="I2309" s="5">
        <v>82232.820000000007</v>
      </c>
      <c r="J2309" s="57">
        <v>0.03</v>
      </c>
      <c r="K2309" s="3">
        <v>1080</v>
      </c>
      <c r="L2309" s="2" t="s">
        <v>134</v>
      </c>
      <c r="M2309" s="2" t="s">
        <v>1160</v>
      </c>
      <c r="N2309" s="2" t="s">
        <v>135</v>
      </c>
      <c r="O2309" s="2" t="s">
        <v>374</v>
      </c>
      <c r="P2309" s="21">
        <v>80000</v>
      </c>
      <c r="Q2309" s="3" t="s">
        <v>12</v>
      </c>
      <c r="R2309" s="3" t="s">
        <v>12</v>
      </c>
    </row>
    <row r="2310" spans="1:18" x14ac:dyDescent="0.25">
      <c r="A2310" s="30">
        <v>46049</v>
      </c>
      <c r="B2310" s="28">
        <v>125</v>
      </c>
      <c r="C2310" s="28"/>
      <c r="D2310" s="2" t="s">
        <v>99</v>
      </c>
      <c r="E2310" s="7" t="s">
        <v>2599</v>
      </c>
      <c r="F2310" s="7"/>
      <c r="G2310" s="2" t="s">
        <v>20</v>
      </c>
      <c r="H2310" s="2" t="s">
        <v>302</v>
      </c>
      <c r="I2310" s="5">
        <v>469362.98</v>
      </c>
      <c r="J2310" s="57">
        <v>7.0000000000000007E-2</v>
      </c>
      <c r="K2310" s="3">
        <v>5352</v>
      </c>
      <c r="L2310" s="2" t="s">
        <v>73</v>
      </c>
      <c r="M2310" s="2" t="s">
        <v>2819</v>
      </c>
      <c r="N2310" s="2" t="s">
        <v>12</v>
      </c>
      <c r="O2310" s="2" t="s">
        <v>12</v>
      </c>
      <c r="P2310" s="21" t="s">
        <v>12</v>
      </c>
      <c r="Q2310" s="3" t="s">
        <v>99</v>
      </c>
      <c r="R2310" s="3" t="s">
        <v>75</v>
      </c>
    </row>
    <row r="2311" spans="1:18" x14ac:dyDescent="0.25">
      <c r="A2311" s="30">
        <v>46049</v>
      </c>
      <c r="B2311" s="28">
        <v>126</v>
      </c>
      <c r="C2311" s="28"/>
      <c r="D2311" s="2" t="s">
        <v>1893</v>
      </c>
      <c r="E2311" s="7" t="s">
        <v>2600</v>
      </c>
      <c r="F2311" s="7" t="s">
        <v>3001</v>
      </c>
      <c r="G2311" s="2" t="s">
        <v>26</v>
      </c>
      <c r="H2311" s="2" t="s">
        <v>1000</v>
      </c>
      <c r="I2311" s="5">
        <v>16953.36</v>
      </c>
      <c r="J2311" s="57">
        <v>7.0000000000000007E-2</v>
      </c>
      <c r="K2311" s="3">
        <v>240</v>
      </c>
      <c r="L2311" s="2" t="s">
        <v>64</v>
      </c>
      <c r="M2311" s="2" t="s">
        <v>12</v>
      </c>
      <c r="N2311" s="2" t="s">
        <v>12</v>
      </c>
      <c r="O2311" s="2" t="s">
        <v>12</v>
      </c>
      <c r="P2311" s="21" t="s">
        <v>12</v>
      </c>
      <c r="Q2311" s="3" t="s">
        <v>12</v>
      </c>
      <c r="R2311" s="3" t="s">
        <v>12</v>
      </c>
    </row>
    <row r="2312" spans="1:18" x14ac:dyDescent="0.25">
      <c r="A2312" s="30">
        <v>46049</v>
      </c>
      <c r="B2312" s="28">
        <v>127</v>
      </c>
      <c r="C2312" s="28"/>
      <c r="D2312" s="2" t="s">
        <v>558</v>
      </c>
      <c r="E2312" s="7" t="s">
        <v>2601</v>
      </c>
      <c r="F2312" s="7"/>
      <c r="G2312" s="2" t="s">
        <v>20</v>
      </c>
      <c r="H2312" s="2" t="s">
        <v>532</v>
      </c>
      <c r="I2312" s="5">
        <v>5817.04</v>
      </c>
      <c r="J2312" s="57">
        <v>7.0000000000000007E-2</v>
      </c>
      <c r="K2312" s="3">
        <v>48</v>
      </c>
      <c r="L2312" s="2" t="s">
        <v>226</v>
      </c>
      <c r="M2312" s="2" t="s">
        <v>1179</v>
      </c>
      <c r="N2312" s="2" t="s">
        <v>12</v>
      </c>
      <c r="O2312" s="2" t="s">
        <v>12</v>
      </c>
      <c r="P2312" s="21" t="s">
        <v>12</v>
      </c>
      <c r="Q2312" s="3" t="s">
        <v>2612</v>
      </c>
      <c r="R2312" s="3" t="s">
        <v>222</v>
      </c>
    </row>
    <row r="2313" spans="1:18" x14ac:dyDescent="0.25">
      <c r="A2313" s="30">
        <v>46049</v>
      </c>
      <c r="B2313" s="28">
        <v>128</v>
      </c>
      <c r="C2313" s="28"/>
      <c r="D2313" s="2" t="s">
        <v>558</v>
      </c>
      <c r="E2313" s="7" t="s">
        <v>2602</v>
      </c>
      <c r="F2313" s="7"/>
      <c r="G2313" s="2" t="s">
        <v>20</v>
      </c>
      <c r="H2313" s="2" t="s">
        <v>532</v>
      </c>
      <c r="I2313" s="5">
        <v>25408.35</v>
      </c>
      <c r="J2313" s="57">
        <v>7.0000000000000007E-2</v>
      </c>
      <c r="K2313" s="3">
        <v>264</v>
      </c>
      <c r="L2313" s="2" t="s">
        <v>226</v>
      </c>
      <c r="M2313" s="2" t="s">
        <v>1179</v>
      </c>
      <c r="N2313" s="2" t="s">
        <v>12</v>
      </c>
      <c r="O2313" s="2" t="s">
        <v>12</v>
      </c>
      <c r="P2313" s="21" t="s">
        <v>12</v>
      </c>
      <c r="Q2313" s="3" t="s">
        <v>2613</v>
      </c>
      <c r="R2313" s="3" t="s">
        <v>75</v>
      </c>
    </row>
    <row r="2314" spans="1:18" x14ac:dyDescent="0.25">
      <c r="A2314" s="30">
        <v>46049</v>
      </c>
      <c r="B2314" s="28">
        <v>129</v>
      </c>
      <c r="C2314" s="28"/>
      <c r="D2314" s="2" t="s">
        <v>353</v>
      </c>
      <c r="E2314" s="7" t="s">
        <v>12</v>
      </c>
      <c r="F2314" s="7"/>
      <c r="G2314" s="2" t="s">
        <v>13</v>
      </c>
      <c r="H2314" s="2" t="s">
        <v>2603</v>
      </c>
      <c r="I2314" s="5">
        <v>3859.55</v>
      </c>
      <c r="J2314" s="57">
        <v>7.0000000000000007E-2</v>
      </c>
      <c r="K2314" s="3">
        <v>24</v>
      </c>
      <c r="L2314" s="2" t="s">
        <v>226</v>
      </c>
      <c r="M2314" s="2" t="s">
        <v>12</v>
      </c>
      <c r="N2314" s="2" t="s">
        <v>12</v>
      </c>
      <c r="O2314" s="2" t="s">
        <v>12</v>
      </c>
      <c r="P2314" s="21" t="s">
        <v>12</v>
      </c>
      <c r="Q2314" s="3" t="s">
        <v>12</v>
      </c>
      <c r="R2314" s="3" t="s">
        <v>12</v>
      </c>
    </row>
    <row r="2315" spans="1:18" x14ac:dyDescent="0.25">
      <c r="A2315" s="30">
        <v>46049</v>
      </c>
      <c r="B2315" s="28">
        <v>130</v>
      </c>
      <c r="C2315" s="28"/>
      <c r="D2315" s="2" t="s">
        <v>2604</v>
      </c>
      <c r="E2315" s="7" t="s">
        <v>2605</v>
      </c>
      <c r="F2315" s="7"/>
      <c r="G2315" s="2" t="s">
        <v>13</v>
      </c>
      <c r="H2315" s="2" t="s">
        <v>2606</v>
      </c>
      <c r="I2315" s="5">
        <v>16138.68</v>
      </c>
      <c r="J2315" s="57">
        <v>7.0000000000000007E-2</v>
      </c>
      <c r="K2315" s="3">
        <v>144</v>
      </c>
      <c r="L2315" s="2" t="s">
        <v>226</v>
      </c>
      <c r="M2315" s="2" t="s">
        <v>12</v>
      </c>
      <c r="N2315" s="2" t="s">
        <v>12</v>
      </c>
      <c r="O2315" s="2" t="s">
        <v>12</v>
      </c>
      <c r="P2315" s="21" t="s">
        <v>12</v>
      </c>
      <c r="Q2315" s="3" t="s">
        <v>2222</v>
      </c>
      <c r="R2315" s="3" t="s">
        <v>75</v>
      </c>
    </row>
    <row r="2316" spans="1:18" x14ac:dyDescent="0.25">
      <c r="A2316" s="30">
        <v>27</v>
      </c>
      <c r="B2316" s="28">
        <v>131</v>
      </c>
      <c r="C2316" s="28"/>
      <c r="D2316" s="2" t="s">
        <v>2607</v>
      </c>
      <c r="E2316" s="7" t="s">
        <v>2608</v>
      </c>
      <c r="F2316" s="7"/>
      <c r="G2316" s="2" t="s">
        <v>26</v>
      </c>
      <c r="H2316" s="2" t="s">
        <v>112</v>
      </c>
      <c r="I2316" s="5">
        <v>13783.34</v>
      </c>
      <c r="J2316" s="57">
        <v>7.0000000000000007E-2</v>
      </c>
      <c r="K2316" s="3">
        <v>144</v>
      </c>
      <c r="L2316" s="2" t="s">
        <v>226</v>
      </c>
      <c r="M2316" s="2" t="s">
        <v>12</v>
      </c>
      <c r="N2316" s="2" t="s">
        <v>12</v>
      </c>
      <c r="O2316" s="2" t="s">
        <v>12</v>
      </c>
      <c r="P2316" s="21" t="s">
        <v>12</v>
      </c>
      <c r="Q2316" s="3" t="s">
        <v>2614</v>
      </c>
      <c r="R2316" s="3" t="s">
        <v>955</v>
      </c>
    </row>
    <row r="2317" spans="1:18" x14ac:dyDescent="0.25">
      <c r="A2317" s="30">
        <v>46050</v>
      </c>
      <c r="B2317" s="28">
        <v>132</v>
      </c>
      <c r="C2317" s="28"/>
      <c r="D2317" s="2" t="s">
        <v>601</v>
      </c>
      <c r="E2317" s="7" t="s">
        <v>12</v>
      </c>
      <c r="F2317" s="7"/>
      <c r="G2317" s="2" t="s">
        <v>13</v>
      </c>
      <c r="H2317" s="2" t="s">
        <v>596</v>
      </c>
      <c r="I2317" s="5">
        <v>159505.76</v>
      </c>
      <c r="J2317" s="57">
        <v>0.03</v>
      </c>
      <c r="K2317" s="3">
        <v>2640</v>
      </c>
      <c r="L2317" s="2" t="s">
        <v>64</v>
      </c>
      <c r="M2317" s="2" t="s">
        <v>12</v>
      </c>
      <c r="N2317" s="2" t="s">
        <v>12</v>
      </c>
      <c r="O2317" s="2" t="s">
        <v>12</v>
      </c>
      <c r="P2317" s="21" t="s">
        <v>12</v>
      </c>
      <c r="Q2317" s="3" t="s">
        <v>12</v>
      </c>
      <c r="R2317" s="3" t="s">
        <v>12</v>
      </c>
    </row>
    <row r="2318" spans="1:18" x14ac:dyDescent="0.25">
      <c r="A2318" s="30">
        <v>46139</v>
      </c>
      <c r="B2318" s="28">
        <v>133</v>
      </c>
      <c r="C2318" s="28"/>
      <c r="D2318" s="2" t="s">
        <v>1193</v>
      </c>
      <c r="E2318" s="7" t="s">
        <v>2609</v>
      </c>
      <c r="F2318" s="7"/>
      <c r="G2318" s="2" t="s">
        <v>97</v>
      </c>
      <c r="H2318" s="2"/>
      <c r="I2318" s="5">
        <v>19425.5</v>
      </c>
      <c r="J2318" s="57">
        <v>0.05</v>
      </c>
      <c r="K2318" s="3">
        <v>240</v>
      </c>
      <c r="L2318" s="2" t="s">
        <v>226</v>
      </c>
      <c r="M2318" s="2" t="s">
        <v>12</v>
      </c>
      <c r="N2318" s="2" t="s">
        <v>12</v>
      </c>
      <c r="O2318" s="2" t="s">
        <v>12</v>
      </c>
      <c r="P2318" s="21" t="s">
        <v>12</v>
      </c>
      <c r="Q2318" s="3" t="s">
        <v>133</v>
      </c>
      <c r="R2318" s="3" t="s">
        <v>75</v>
      </c>
    </row>
    <row r="2319" spans="1:18" x14ac:dyDescent="0.25">
      <c r="A2319" s="30">
        <v>46050</v>
      </c>
      <c r="B2319" s="28">
        <v>134</v>
      </c>
      <c r="C2319" s="28"/>
      <c r="D2319" s="2" t="s">
        <v>2610</v>
      </c>
      <c r="E2319" s="7" t="s">
        <v>12</v>
      </c>
      <c r="F2319" s="7"/>
      <c r="G2319" s="2" t="s">
        <v>13</v>
      </c>
      <c r="H2319" s="2" t="s">
        <v>2611</v>
      </c>
      <c r="I2319" s="5">
        <v>11650.57</v>
      </c>
      <c r="J2319" s="57">
        <v>7.0000000000000007E-2</v>
      </c>
      <c r="K2319" s="3">
        <v>96</v>
      </c>
      <c r="L2319" s="2" t="s">
        <v>64</v>
      </c>
      <c r="M2319" s="2" t="s">
        <v>12</v>
      </c>
      <c r="N2319" s="2" t="s">
        <v>12</v>
      </c>
      <c r="O2319" s="2" t="s">
        <v>12</v>
      </c>
      <c r="P2319" s="21" t="s">
        <v>12</v>
      </c>
      <c r="Q2319" s="3" t="s">
        <v>12</v>
      </c>
      <c r="R2319" s="3" t="s">
        <v>12</v>
      </c>
    </row>
    <row r="2320" spans="1:18" x14ac:dyDescent="0.25">
      <c r="A2320" s="30">
        <v>46050</v>
      </c>
      <c r="B2320" s="28">
        <v>135</v>
      </c>
      <c r="C2320" s="28"/>
      <c r="D2320" s="2" t="s">
        <v>176</v>
      </c>
      <c r="E2320" s="7" t="s">
        <v>12</v>
      </c>
      <c r="F2320" s="7"/>
      <c r="G2320" s="2" t="s">
        <v>13</v>
      </c>
      <c r="H2320" s="2" t="s">
        <v>177</v>
      </c>
      <c r="I2320" s="5">
        <v>4810.71</v>
      </c>
      <c r="J2320" s="57">
        <v>7.0000000000000007E-2</v>
      </c>
      <c r="K2320" s="3" t="s">
        <v>12</v>
      </c>
      <c r="L2320" s="2" t="s">
        <v>64</v>
      </c>
      <c r="M2320" s="2" t="s">
        <v>12</v>
      </c>
      <c r="N2320" s="2" t="s">
        <v>12</v>
      </c>
      <c r="O2320" s="2" t="s">
        <v>12</v>
      </c>
      <c r="P2320" s="21" t="s">
        <v>12</v>
      </c>
      <c r="Q2320" s="3" t="s">
        <v>12</v>
      </c>
      <c r="R2320" s="3" t="s">
        <v>12</v>
      </c>
    </row>
    <row r="2321" spans="1:18" x14ac:dyDescent="0.25">
      <c r="A2321" s="30">
        <v>46050</v>
      </c>
      <c r="B2321" s="28">
        <v>136</v>
      </c>
      <c r="C2321" s="28"/>
      <c r="D2321" s="2" t="s">
        <v>601</v>
      </c>
      <c r="E2321" s="7" t="s">
        <v>12</v>
      </c>
      <c r="F2321" s="7"/>
      <c r="G2321" s="2" t="s">
        <v>13</v>
      </c>
      <c r="H2321" s="2" t="s">
        <v>2351</v>
      </c>
      <c r="I2321" s="5">
        <v>181491.5</v>
      </c>
      <c r="J2321" s="57">
        <v>7.0000000000000007E-2</v>
      </c>
      <c r="K2321" s="3">
        <v>1968</v>
      </c>
      <c r="L2321" s="2" t="s">
        <v>226</v>
      </c>
      <c r="M2321" s="2" t="s">
        <v>12</v>
      </c>
      <c r="N2321" s="2" t="s">
        <v>12</v>
      </c>
      <c r="O2321" s="2" t="s">
        <v>12</v>
      </c>
      <c r="P2321" s="21" t="s">
        <v>12</v>
      </c>
      <c r="Q2321" s="3" t="s">
        <v>12</v>
      </c>
      <c r="R2321" s="3" t="s">
        <v>12</v>
      </c>
    </row>
    <row r="2322" spans="1:18" x14ac:dyDescent="0.25">
      <c r="A2322" s="30">
        <v>46051</v>
      </c>
      <c r="B2322" s="28">
        <v>137</v>
      </c>
      <c r="C2322" s="28" t="s">
        <v>2161</v>
      </c>
      <c r="D2322" s="2" t="s">
        <v>1879</v>
      </c>
      <c r="E2322" s="7" t="s">
        <v>12</v>
      </c>
      <c r="F2322" s="7"/>
      <c r="G2322" s="2" t="s">
        <v>20</v>
      </c>
      <c r="H2322" s="2" t="s">
        <v>12</v>
      </c>
      <c r="I2322" s="5">
        <v>68145</v>
      </c>
      <c r="J2322" s="57">
        <v>0.03</v>
      </c>
      <c r="K2322" s="3">
        <v>1200</v>
      </c>
      <c r="L2322" s="2" t="s">
        <v>64</v>
      </c>
      <c r="M2322" s="2" t="s">
        <v>12</v>
      </c>
      <c r="N2322" s="2" t="s">
        <v>12</v>
      </c>
      <c r="O2322" s="2" t="s">
        <v>12</v>
      </c>
      <c r="P2322" s="21" t="s">
        <v>12</v>
      </c>
      <c r="Q2322" s="3" t="s">
        <v>12</v>
      </c>
      <c r="R2322" s="3" t="s">
        <v>12</v>
      </c>
    </row>
    <row r="2323" spans="1:18" x14ac:dyDescent="0.25">
      <c r="A2323" s="30">
        <v>46051</v>
      </c>
      <c r="B2323" s="28">
        <v>138</v>
      </c>
      <c r="C2323" s="28"/>
      <c r="D2323" s="2" t="s">
        <v>684</v>
      </c>
      <c r="E2323" s="7" t="s">
        <v>2627</v>
      </c>
      <c r="F2323" s="7"/>
      <c r="G2323" s="2" t="s">
        <v>43</v>
      </c>
      <c r="H2323" s="2" t="s">
        <v>1474</v>
      </c>
      <c r="I2323" s="5">
        <v>4655</v>
      </c>
      <c r="J2323" s="57">
        <v>7.0000000000000007E-2</v>
      </c>
      <c r="K2323" s="3" t="s">
        <v>12</v>
      </c>
      <c r="L2323" s="2" t="s">
        <v>226</v>
      </c>
      <c r="M2323" s="2" t="s">
        <v>12</v>
      </c>
      <c r="N2323" s="2" t="s">
        <v>12</v>
      </c>
      <c r="O2323" s="2"/>
      <c r="P2323" s="21" t="s">
        <v>12</v>
      </c>
      <c r="Q2323" s="3" t="s">
        <v>12</v>
      </c>
      <c r="R2323" s="3" t="s">
        <v>12</v>
      </c>
    </row>
    <row r="2324" spans="1:18" x14ac:dyDescent="0.25">
      <c r="A2324" s="30">
        <v>46051</v>
      </c>
      <c r="B2324" s="28">
        <v>139</v>
      </c>
      <c r="C2324" s="28"/>
      <c r="D2324" s="2" t="s">
        <v>168</v>
      </c>
      <c r="E2324" s="7" t="s">
        <v>2628</v>
      </c>
      <c r="F2324" s="7"/>
      <c r="G2324" s="2" t="s">
        <v>43</v>
      </c>
      <c r="H2324" s="2" t="s">
        <v>381</v>
      </c>
      <c r="I2324" s="5">
        <v>137406.01</v>
      </c>
      <c r="J2324" s="57">
        <v>7.0000000000000007E-2</v>
      </c>
      <c r="K2324" s="3">
        <v>1296</v>
      </c>
      <c r="L2324" s="2" t="s">
        <v>134</v>
      </c>
      <c r="M2324" s="2" t="s">
        <v>1531</v>
      </c>
      <c r="N2324" s="2" t="s">
        <v>2734</v>
      </c>
      <c r="O2324" s="2" t="s">
        <v>2735</v>
      </c>
      <c r="P2324" s="21" t="s">
        <v>12</v>
      </c>
      <c r="Q2324" s="3" t="s">
        <v>75</v>
      </c>
      <c r="R2324" s="3" t="s">
        <v>80</v>
      </c>
    </row>
    <row r="2325" spans="1:18" x14ac:dyDescent="0.25">
      <c r="A2325" s="30">
        <v>46051</v>
      </c>
      <c r="B2325" s="28">
        <v>140</v>
      </c>
      <c r="C2325" s="28"/>
      <c r="D2325" s="2" t="s">
        <v>321</v>
      </c>
      <c r="E2325" s="7" t="s">
        <v>2738</v>
      </c>
      <c r="F2325" s="7"/>
      <c r="G2325" s="2" t="s">
        <v>111</v>
      </c>
      <c r="H2325" s="2" t="s">
        <v>322</v>
      </c>
      <c r="I2325" s="5">
        <v>9085.58</v>
      </c>
      <c r="J2325" s="57">
        <v>0.05</v>
      </c>
      <c r="K2325" s="3" t="s">
        <v>12</v>
      </c>
      <c r="L2325" s="2" t="s">
        <v>64</v>
      </c>
      <c r="M2325" s="2" t="s">
        <v>12</v>
      </c>
      <c r="N2325" s="2" t="s">
        <v>12</v>
      </c>
      <c r="O2325" s="2" t="s">
        <v>12</v>
      </c>
      <c r="P2325" s="21" t="s">
        <v>12</v>
      </c>
      <c r="Q2325" s="3" t="s">
        <v>12</v>
      </c>
      <c r="R2325" s="3" t="s">
        <v>12</v>
      </c>
    </row>
    <row r="2326" spans="1:18" x14ac:dyDescent="0.25">
      <c r="A2326" s="30">
        <v>46051</v>
      </c>
      <c r="B2326" s="28">
        <v>141</v>
      </c>
      <c r="C2326" s="28"/>
      <c r="D2326" s="2" t="s">
        <v>109</v>
      </c>
      <c r="E2326" s="7" t="s">
        <v>2739</v>
      </c>
      <c r="F2326" s="7"/>
      <c r="G2326" s="2" t="s">
        <v>111</v>
      </c>
      <c r="H2326" s="2" t="s">
        <v>346</v>
      </c>
      <c r="I2326" s="5">
        <v>7995.27</v>
      </c>
      <c r="J2326" s="57">
        <v>7.0000000000000007E-2</v>
      </c>
      <c r="K2326" s="3" t="s">
        <v>12</v>
      </c>
      <c r="L2326" s="2" t="s">
        <v>64</v>
      </c>
      <c r="M2326" s="2" t="s">
        <v>12</v>
      </c>
      <c r="N2326" s="2" t="s">
        <v>12</v>
      </c>
      <c r="O2326" s="2" t="s">
        <v>12</v>
      </c>
      <c r="P2326" s="21" t="s">
        <v>12</v>
      </c>
      <c r="Q2326" s="3" t="s">
        <v>12</v>
      </c>
      <c r="R2326" s="3" t="s">
        <v>12</v>
      </c>
    </row>
    <row r="2327" spans="1:18" x14ac:dyDescent="0.25">
      <c r="A2327" s="30">
        <v>46051</v>
      </c>
      <c r="B2327" s="28">
        <v>142</v>
      </c>
      <c r="C2327" s="28"/>
      <c r="D2327" s="2" t="s">
        <v>363</v>
      </c>
      <c r="E2327" s="7" t="s">
        <v>12</v>
      </c>
      <c r="F2327" s="7"/>
      <c r="G2327" s="2" t="s">
        <v>13</v>
      </c>
      <c r="H2327" s="2" t="s">
        <v>98</v>
      </c>
      <c r="I2327" s="5">
        <v>27258</v>
      </c>
      <c r="J2327" s="57">
        <v>7.0000000000000007E-2</v>
      </c>
      <c r="K2327" s="3">
        <v>480</v>
      </c>
      <c r="L2327" s="2" t="s">
        <v>64</v>
      </c>
      <c r="M2327" s="2" t="s">
        <v>12</v>
      </c>
      <c r="N2327" s="2" t="s">
        <v>12</v>
      </c>
      <c r="O2327" s="2" t="s">
        <v>12</v>
      </c>
      <c r="P2327" s="21" t="s">
        <v>12</v>
      </c>
      <c r="Q2327" s="3" t="s">
        <v>12</v>
      </c>
      <c r="R2327" s="3" t="s">
        <v>12</v>
      </c>
    </row>
    <row r="2328" spans="1:18" x14ac:dyDescent="0.25">
      <c r="A2328" s="30">
        <v>46051</v>
      </c>
      <c r="B2328" s="28">
        <v>143</v>
      </c>
      <c r="C2328" s="28"/>
      <c r="D2328" s="2" t="s">
        <v>56</v>
      </c>
      <c r="E2328" s="7" t="s">
        <v>2629</v>
      </c>
      <c r="F2328" s="7"/>
      <c r="G2328" s="2" t="s">
        <v>43</v>
      </c>
      <c r="H2328" s="2" t="s">
        <v>13</v>
      </c>
      <c r="I2328" s="5">
        <v>78106.509999999995</v>
      </c>
      <c r="J2328" s="57">
        <v>7.0000000000000007E-2</v>
      </c>
      <c r="K2328" s="3">
        <v>792</v>
      </c>
      <c r="L2328" s="2" t="s">
        <v>226</v>
      </c>
      <c r="M2328" s="2" t="s">
        <v>12</v>
      </c>
      <c r="N2328" s="2" t="s">
        <v>12</v>
      </c>
      <c r="O2328" s="2" t="s">
        <v>12</v>
      </c>
      <c r="P2328" s="21" t="s">
        <v>12</v>
      </c>
      <c r="Q2328" s="3" t="s">
        <v>2679</v>
      </c>
      <c r="R2328" s="3" t="s">
        <v>80</v>
      </c>
    </row>
    <row r="2329" spans="1:18" x14ac:dyDescent="0.25">
      <c r="A2329" s="30">
        <v>46051</v>
      </c>
      <c r="B2329" s="28">
        <v>144</v>
      </c>
      <c r="C2329" s="28"/>
      <c r="D2329" s="2" t="s">
        <v>825</v>
      </c>
      <c r="E2329" s="7" t="s">
        <v>12</v>
      </c>
      <c r="F2329" s="7"/>
      <c r="G2329" s="2" t="s">
        <v>111</v>
      </c>
      <c r="H2329" s="2" t="s">
        <v>12</v>
      </c>
      <c r="I2329" s="5" t="s">
        <v>12</v>
      </c>
      <c r="J2329" s="57" t="s">
        <v>12</v>
      </c>
      <c r="K2329" s="3" t="s">
        <v>12</v>
      </c>
      <c r="L2329" s="2" t="s">
        <v>226</v>
      </c>
      <c r="M2329" s="2" t="s">
        <v>12</v>
      </c>
      <c r="N2329" s="2" t="s">
        <v>12</v>
      </c>
      <c r="O2329" s="2" t="s">
        <v>12</v>
      </c>
      <c r="P2329" s="21" t="s">
        <v>12</v>
      </c>
      <c r="Q2329" s="3" t="s">
        <v>12</v>
      </c>
      <c r="R2329" s="3" t="s">
        <v>12</v>
      </c>
    </row>
    <row r="2330" spans="1:18" x14ac:dyDescent="0.25">
      <c r="A2330" s="30">
        <v>46051</v>
      </c>
      <c r="B2330" s="28">
        <v>145</v>
      </c>
      <c r="C2330" s="28" t="s">
        <v>2161</v>
      </c>
      <c r="D2330" s="2" t="s">
        <v>160</v>
      </c>
      <c r="E2330" s="7" t="s">
        <v>2630</v>
      </c>
      <c r="F2330" s="7"/>
      <c r="G2330" s="2" t="s">
        <v>13</v>
      </c>
      <c r="H2330" s="2" t="s">
        <v>162</v>
      </c>
      <c r="I2330" s="5">
        <v>118677.81</v>
      </c>
      <c r="J2330" s="57">
        <v>0.05</v>
      </c>
      <c r="K2330" s="3">
        <v>1344</v>
      </c>
      <c r="L2330" s="2" t="s">
        <v>226</v>
      </c>
      <c r="M2330" s="2" t="s">
        <v>12</v>
      </c>
      <c r="N2330" s="2" t="s">
        <v>12</v>
      </c>
      <c r="O2330" s="2" t="s">
        <v>12</v>
      </c>
      <c r="P2330" s="21" t="s">
        <v>12</v>
      </c>
      <c r="Q2330" s="3" t="s">
        <v>1839</v>
      </c>
      <c r="R2330" s="3" t="s">
        <v>75</v>
      </c>
    </row>
    <row r="2331" spans="1:18" x14ac:dyDescent="0.25">
      <c r="A2331" s="30">
        <v>46051</v>
      </c>
      <c r="B2331" s="28">
        <v>146</v>
      </c>
      <c r="C2331" s="28"/>
      <c r="D2331" s="2" t="s">
        <v>529</v>
      </c>
      <c r="E2331" s="7" t="s">
        <v>12</v>
      </c>
      <c r="F2331" s="7"/>
      <c r="G2331" s="2" t="s">
        <v>13</v>
      </c>
      <c r="H2331" s="2" t="s">
        <v>225</v>
      </c>
      <c r="I2331" s="5">
        <v>10781.22</v>
      </c>
      <c r="J2331" s="57">
        <v>7.0000000000000007E-2</v>
      </c>
      <c r="K2331" s="3">
        <v>72</v>
      </c>
      <c r="L2331" s="2" t="s">
        <v>226</v>
      </c>
      <c r="M2331" s="2" t="s">
        <v>12</v>
      </c>
      <c r="N2331" s="2" t="s">
        <v>12</v>
      </c>
      <c r="O2331" s="2" t="s">
        <v>12</v>
      </c>
      <c r="P2331" s="21" t="s">
        <v>12</v>
      </c>
      <c r="Q2331" s="3" t="s">
        <v>12</v>
      </c>
      <c r="R2331" s="3" t="s">
        <v>12</v>
      </c>
    </row>
    <row r="2332" spans="1:18" x14ac:dyDescent="0.25">
      <c r="A2332" s="30">
        <v>46052</v>
      </c>
      <c r="B2332" s="28">
        <v>147</v>
      </c>
      <c r="C2332" s="28" t="s">
        <v>2162</v>
      </c>
      <c r="D2332" s="2" t="s">
        <v>103</v>
      </c>
      <c r="E2332" s="7" t="s">
        <v>2631</v>
      </c>
      <c r="F2332" s="7"/>
      <c r="G2332" s="2" t="s">
        <v>13</v>
      </c>
      <c r="H2332" s="2" t="s">
        <v>491</v>
      </c>
      <c r="I2332" s="5">
        <v>82162.42</v>
      </c>
      <c r="J2332" s="57">
        <v>0.03</v>
      </c>
      <c r="K2332" s="3">
        <v>1008</v>
      </c>
      <c r="L2332" s="2" t="s">
        <v>64</v>
      </c>
      <c r="M2332" s="2" t="s">
        <v>12</v>
      </c>
      <c r="N2332" s="2" t="s">
        <v>12</v>
      </c>
      <c r="O2332" s="2" t="s">
        <v>12</v>
      </c>
      <c r="P2332" s="21" t="s">
        <v>12</v>
      </c>
      <c r="Q2332" s="3" t="s">
        <v>12</v>
      </c>
      <c r="R2332" s="3" t="s">
        <v>12</v>
      </c>
    </row>
    <row r="2333" spans="1:18" x14ac:dyDescent="0.25">
      <c r="A2333" s="30">
        <v>46051</v>
      </c>
      <c r="B2333" s="28">
        <v>148</v>
      </c>
      <c r="C2333" s="28"/>
      <c r="D2333" s="2" t="s">
        <v>1091</v>
      </c>
      <c r="E2333" s="7" t="s">
        <v>2746</v>
      </c>
      <c r="F2333" s="7"/>
      <c r="G2333" s="2" t="s">
        <v>26</v>
      </c>
      <c r="H2333" s="2" t="s">
        <v>15</v>
      </c>
      <c r="I2333" s="5">
        <v>69096.009999999995</v>
      </c>
      <c r="J2333" s="57">
        <v>7.0000000000000007E-2</v>
      </c>
      <c r="K2333" s="3">
        <v>648</v>
      </c>
      <c r="L2333" s="2" t="s">
        <v>226</v>
      </c>
      <c r="M2333" s="2" t="s">
        <v>12</v>
      </c>
      <c r="N2333" s="2" t="s">
        <v>12</v>
      </c>
      <c r="O2333" s="2" t="s">
        <v>12</v>
      </c>
      <c r="P2333" s="21" t="s">
        <v>12</v>
      </c>
      <c r="Q2333" s="3" t="s">
        <v>12</v>
      </c>
      <c r="R2333" s="3" t="s">
        <v>12</v>
      </c>
    </row>
    <row r="2334" spans="1:18" x14ac:dyDescent="0.25">
      <c r="A2334" s="30">
        <v>46051</v>
      </c>
      <c r="B2334" s="28">
        <v>149</v>
      </c>
      <c r="C2334" s="28"/>
      <c r="D2334" s="2" t="s">
        <v>933</v>
      </c>
      <c r="E2334" s="7" t="s">
        <v>2632</v>
      </c>
      <c r="F2334" s="7"/>
      <c r="G2334" s="2" t="s">
        <v>20</v>
      </c>
      <c r="H2334" s="2" t="s">
        <v>172</v>
      </c>
      <c r="I2334" s="5">
        <v>19565.53</v>
      </c>
      <c r="J2334" s="57">
        <v>7.0000000000000007E-2</v>
      </c>
      <c r="K2334" s="3">
        <v>216</v>
      </c>
      <c r="L2334" s="2" t="s">
        <v>226</v>
      </c>
      <c r="M2334" s="2" t="s">
        <v>12</v>
      </c>
      <c r="N2334" s="2" t="s">
        <v>12</v>
      </c>
      <c r="O2334" s="2" t="s">
        <v>12</v>
      </c>
      <c r="P2334" s="21" t="s">
        <v>12</v>
      </c>
      <c r="Q2334" s="3" t="s">
        <v>12</v>
      </c>
      <c r="R2334" s="3" t="s">
        <v>12</v>
      </c>
    </row>
    <row r="2335" spans="1:18" x14ac:dyDescent="0.25">
      <c r="A2335" s="30">
        <v>46051</v>
      </c>
      <c r="B2335" s="28">
        <v>150</v>
      </c>
      <c r="C2335" s="28"/>
      <c r="D2335" s="2" t="s">
        <v>411</v>
      </c>
      <c r="E2335" s="7" t="s">
        <v>2218</v>
      </c>
      <c r="F2335" s="7"/>
      <c r="G2335" s="2" t="s">
        <v>26</v>
      </c>
      <c r="H2335" s="2" t="s">
        <v>413</v>
      </c>
      <c r="I2335" s="5">
        <v>59581.599999999999</v>
      </c>
      <c r="J2335" s="57">
        <v>7.0000000000000007E-2</v>
      </c>
      <c r="K2335" s="3">
        <v>696</v>
      </c>
      <c r="L2335" s="2" t="s">
        <v>64</v>
      </c>
      <c r="M2335" s="2" t="s">
        <v>12</v>
      </c>
      <c r="N2335" s="2" t="s">
        <v>12</v>
      </c>
      <c r="O2335" s="2" t="s">
        <v>12</v>
      </c>
      <c r="P2335" s="21" t="s">
        <v>12</v>
      </c>
      <c r="Q2335" s="3" t="s">
        <v>12</v>
      </c>
      <c r="R2335" s="3" t="s">
        <v>12</v>
      </c>
    </row>
    <row r="2336" spans="1:18" x14ac:dyDescent="0.25">
      <c r="A2336" s="30">
        <v>46093</v>
      </c>
      <c r="B2336" s="28">
        <v>151</v>
      </c>
      <c r="C2336" s="28"/>
      <c r="D2336" s="2" t="s">
        <v>2592</v>
      </c>
      <c r="E2336" s="7" t="s">
        <v>2633</v>
      </c>
      <c r="F2336" s="7"/>
      <c r="G2336" s="2" t="s">
        <v>97</v>
      </c>
      <c r="H2336" s="2" t="s">
        <v>1742</v>
      </c>
      <c r="I2336" s="5">
        <v>7443.08</v>
      </c>
      <c r="J2336" s="57">
        <v>7.0000000000000007E-2</v>
      </c>
      <c r="K2336" s="3">
        <v>96</v>
      </c>
      <c r="L2336" s="2" t="s">
        <v>134</v>
      </c>
      <c r="M2336" s="2" t="s">
        <v>2859</v>
      </c>
      <c r="N2336" s="2" t="s">
        <v>373</v>
      </c>
      <c r="O2336" s="2" t="s">
        <v>12</v>
      </c>
      <c r="P2336" s="21" t="s">
        <v>12</v>
      </c>
      <c r="Q2336" s="3" t="s">
        <v>12</v>
      </c>
      <c r="R2336" s="3" t="s">
        <v>12</v>
      </c>
    </row>
    <row r="2337" spans="1:18" x14ac:dyDescent="0.25">
      <c r="A2337" s="30">
        <v>46093</v>
      </c>
      <c r="B2337" s="28">
        <v>152</v>
      </c>
      <c r="C2337" s="28" t="s">
        <v>2161</v>
      </c>
      <c r="D2337" s="2" t="s">
        <v>1737</v>
      </c>
      <c r="E2337" s="7" t="s">
        <v>2634</v>
      </c>
      <c r="F2337" s="7"/>
      <c r="G2337" s="2" t="s">
        <v>26</v>
      </c>
      <c r="H2337" s="2" t="s">
        <v>368</v>
      </c>
      <c r="I2337" s="5">
        <v>12107.05</v>
      </c>
      <c r="J2337" s="57">
        <v>0.04</v>
      </c>
      <c r="K2337" s="3">
        <v>144</v>
      </c>
      <c r="L2337" s="2" t="s">
        <v>134</v>
      </c>
      <c r="M2337" s="2" t="s">
        <v>2030</v>
      </c>
      <c r="N2337" s="2" t="s">
        <v>135</v>
      </c>
      <c r="O2337" s="2" t="s">
        <v>1979</v>
      </c>
      <c r="P2337" s="21" t="s">
        <v>12</v>
      </c>
      <c r="Q2337" s="3" t="s">
        <v>1737</v>
      </c>
      <c r="R2337" s="3" t="s">
        <v>80</v>
      </c>
    </row>
    <row r="2338" spans="1:18" x14ac:dyDescent="0.25">
      <c r="A2338" s="30">
        <v>46052</v>
      </c>
      <c r="B2338" s="28">
        <v>153</v>
      </c>
      <c r="C2338" s="28"/>
      <c r="D2338" s="2" t="s">
        <v>2635</v>
      </c>
      <c r="E2338" s="7" t="s">
        <v>12</v>
      </c>
      <c r="F2338" s="7"/>
      <c r="G2338" s="2" t="s">
        <v>111</v>
      </c>
      <c r="H2338" s="2" t="s">
        <v>2740</v>
      </c>
      <c r="I2338" s="5">
        <v>14411.96</v>
      </c>
      <c r="J2338" s="57">
        <v>7.0000000000000007E-2</v>
      </c>
      <c r="K2338" s="3" t="s">
        <v>12</v>
      </c>
      <c r="L2338" s="2" t="s">
        <v>134</v>
      </c>
      <c r="M2338" s="2" t="s">
        <v>135</v>
      </c>
      <c r="N2338" s="2" t="s">
        <v>135</v>
      </c>
      <c r="O2338" s="2" t="s">
        <v>2741</v>
      </c>
      <c r="P2338" s="21" t="s">
        <v>12</v>
      </c>
      <c r="Q2338" s="3" t="s">
        <v>12</v>
      </c>
      <c r="R2338" s="3" t="s">
        <v>12</v>
      </c>
    </row>
    <row r="2339" spans="1:18" x14ac:dyDescent="0.25">
      <c r="A2339" s="30">
        <v>46052</v>
      </c>
      <c r="B2339" s="28">
        <v>154</v>
      </c>
      <c r="C2339" s="28"/>
      <c r="D2339" s="2" t="s">
        <v>403</v>
      </c>
      <c r="E2339" s="7" t="s">
        <v>12</v>
      </c>
      <c r="F2339" s="7"/>
      <c r="G2339" s="2" t="s">
        <v>43</v>
      </c>
      <c r="H2339" s="2" t="s">
        <v>1292</v>
      </c>
      <c r="I2339" s="5">
        <v>81764.009999999995</v>
      </c>
      <c r="J2339" s="57">
        <v>7.0000000000000007E-2</v>
      </c>
      <c r="K2339" s="3">
        <v>960</v>
      </c>
      <c r="L2339" s="2" t="s">
        <v>226</v>
      </c>
      <c r="M2339" s="2" t="s">
        <v>12</v>
      </c>
      <c r="N2339" s="2" t="s">
        <v>12</v>
      </c>
      <c r="O2339" s="2" t="s">
        <v>12</v>
      </c>
      <c r="P2339" s="21" t="s">
        <v>12</v>
      </c>
      <c r="Q2339" s="3" t="s">
        <v>12</v>
      </c>
      <c r="R2339" s="3" t="s">
        <v>12</v>
      </c>
    </row>
    <row r="2340" spans="1:18" x14ac:dyDescent="0.25">
      <c r="A2340" s="30">
        <v>46052</v>
      </c>
      <c r="B2340" s="28">
        <v>155</v>
      </c>
      <c r="C2340" s="28" t="s">
        <v>2161</v>
      </c>
      <c r="D2340" s="2" t="s">
        <v>256</v>
      </c>
      <c r="E2340" s="7" t="s">
        <v>2636</v>
      </c>
      <c r="F2340" s="7"/>
      <c r="G2340" s="2" t="s">
        <v>20</v>
      </c>
      <c r="H2340" s="2" t="s">
        <v>1000</v>
      </c>
      <c r="I2340" s="5">
        <v>7881.51</v>
      </c>
      <c r="J2340" s="57">
        <v>0.06</v>
      </c>
      <c r="K2340" s="3">
        <v>96</v>
      </c>
      <c r="L2340" s="2" t="s">
        <v>64</v>
      </c>
      <c r="M2340" s="2" t="s">
        <v>12</v>
      </c>
      <c r="N2340" s="2" t="s">
        <v>12</v>
      </c>
      <c r="O2340" s="2" t="s">
        <v>12</v>
      </c>
      <c r="P2340" s="21" t="s">
        <v>12</v>
      </c>
      <c r="Q2340" s="3" t="s">
        <v>12</v>
      </c>
      <c r="R2340" s="3" t="s">
        <v>12</v>
      </c>
    </row>
    <row r="2341" spans="1:18" x14ac:dyDescent="0.25">
      <c r="A2341" s="30">
        <v>46052</v>
      </c>
      <c r="B2341" s="28">
        <v>156</v>
      </c>
      <c r="C2341" s="28"/>
      <c r="D2341" s="2" t="s">
        <v>2637</v>
      </c>
      <c r="E2341" s="7" t="s">
        <v>2638</v>
      </c>
      <c r="F2341" s="7"/>
      <c r="G2341" s="2" t="s">
        <v>97</v>
      </c>
      <c r="H2341" s="2" t="s">
        <v>1461</v>
      </c>
      <c r="I2341" s="5">
        <v>27711.279999999999</v>
      </c>
      <c r="J2341" s="57">
        <v>7.0000000000000007E-2</v>
      </c>
      <c r="K2341" s="3">
        <v>312</v>
      </c>
      <c r="L2341" s="2" t="s">
        <v>226</v>
      </c>
      <c r="M2341" s="2" t="s">
        <v>12</v>
      </c>
      <c r="N2341" s="2" t="s">
        <v>12</v>
      </c>
      <c r="O2341" s="2" t="s">
        <v>12</v>
      </c>
      <c r="P2341" s="21" t="s">
        <v>12</v>
      </c>
      <c r="Q2341" s="3" t="s">
        <v>12</v>
      </c>
      <c r="R2341" s="3" t="s">
        <v>12</v>
      </c>
    </row>
    <row r="2342" spans="1:18" x14ac:dyDescent="0.25">
      <c r="A2342" s="30">
        <v>46052</v>
      </c>
      <c r="B2342" s="28">
        <v>157</v>
      </c>
      <c r="C2342" s="28"/>
      <c r="D2342" s="2" t="s">
        <v>1711</v>
      </c>
      <c r="E2342" s="7" t="s">
        <v>2639</v>
      </c>
      <c r="F2342" s="7"/>
      <c r="G2342" s="2" t="s">
        <v>97</v>
      </c>
      <c r="H2342" s="2" t="s">
        <v>1321</v>
      </c>
      <c r="I2342" s="5">
        <v>35939.89</v>
      </c>
      <c r="J2342" s="57">
        <v>0.04</v>
      </c>
      <c r="K2342" s="3">
        <v>480</v>
      </c>
      <c r="L2342" s="2" t="s">
        <v>64</v>
      </c>
      <c r="M2342" s="2" t="s">
        <v>12</v>
      </c>
      <c r="N2342" s="2" t="s">
        <v>12</v>
      </c>
      <c r="O2342" s="2" t="s">
        <v>12</v>
      </c>
      <c r="P2342" s="21" t="s">
        <v>12</v>
      </c>
      <c r="Q2342" s="3" t="s">
        <v>1801</v>
      </c>
      <c r="R2342" s="3" t="s">
        <v>80</v>
      </c>
    </row>
    <row r="2343" spans="1:18" x14ac:dyDescent="0.25">
      <c r="A2343" s="30">
        <v>46055</v>
      </c>
      <c r="B2343" s="28">
        <v>158</v>
      </c>
      <c r="C2343" s="28"/>
      <c r="D2343" s="2" t="s">
        <v>2640</v>
      </c>
      <c r="E2343" s="7" t="s">
        <v>2630</v>
      </c>
      <c r="F2343" s="7"/>
      <c r="G2343" s="2" t="s">
        <v>13</v>
      </c>
      <c r="H2343" s="2" t="s">
        <v>2569</v>
      </c>
      <c r="I2343" s="5">
        <v>130658.11</v>
      </c>
      <c r="J2343" s="57">
        <v>7.0000000000000007E-2</v>
      </c>
      <c r="K2343" s="3">
        <v>1344</v>
      </c>
      <c r="L2343" s="2" t="s">
        <v>226</v>
      </c>
      <c r="M2343" s="2" t="s">
        <v>12</v>
      </c>
      <c r="N2343" s="2" t="s">
        <v>12</v>
      </c>
      <c r="O2343" s="2" t="s">
        <v>12</v>
      </c>
      <c r="P2343" s="21" t="s">
        <v>12</v>
      </c>
      <c r="Q2343" s="3" t="s">
        <v>1839</v>
      </c>
      <c r="R2343" s="3" t="s">
        <v>75</v>
      </c>
    </row>
    <row r="2344" spans="1:18" x14ac:dyDescent="0.25">
      <c r="A2344" s="30">
        <v>46052</v>
      </c>
      <c r="B2344" s="28">
        <v>159</v>
      </c>
      <c r="C2344" s="28"/>
      <c r="D2344" s="2" t="s">
        <v>2641</v>
      </c>
      <c r="E2344" s="7" t="s">
        <v>12</v>
      </c>
      <c r="F2344" s="7"/>
      <c r="G2344" s="2" t="s">
        <v>13</v>
      </c>
      <c r="H2344" s="2" t="s">
        <v>926</v>
      </c>
      <c r="I2344" s="5">
        <v>9311.02</v>
      </c>
      <c r="J2344" s="57">
        <v>0.04</v>
      </c>
      <c r="K2344" s="3">
        <v>72</v>
      </c>
      <c r="L2344" s="2" t="s">
        <v>226</v>
      </c>
      <c r="M2344" s="2" t="s">
        <v>12</v>
      </c>
      <c r="N2344" s="2" t="s">
        <v>12</v>
      </c>
      <c r="O2344" s="2" t="s">
        <v>12</v>
      </c>
      <c r="P2344" s="21" t="s">
        <v>12</v>
      </c>
      <c r="Q2344" s="3" t="s">
        <v>12</v>
      </c>
      <c r="R2344" s="3" t="s">
        <v>12</v>
      </c>
    </row>
    <row r="2345" spans="1:18" x14ac:dyDescent="0.25">
      <c r="A2345" s="30">
        <v>46052</v>
      </c>
      <c r="B2345" s="28">
        <v>160</v>
      </c>
      <c r="C2345" s="28" t="s">
        <v>2161</v>
      </c>
      <c r="D2345" s="2" t="s">
        <v>1091</v>
      </c>
      <c r="E2345" s="7" t="s">
        <v>2642</v>
      </c>
      <c r="F2345" s="7"/>
      <c r="G2345" s="2" t="s">
        <v>26</v>
      </c>
      <c r="H2345" s="2" t="s">
        <v>225</v>
      </c>
      <c r="I2345" s="5">
        <v>50000</v>
      </c>
      <c r="J2345" s="57">
        <v>0.03</v>
      </c>
      <c r="K2345" s="3">
        <v>624</v>
      </c>
      <c r="L2345" s="2" t="s">
        <v>64</v>
      </c>
      <c r="M2345" s="2" t="s">
        <v>12</v>
      </c>
      <c r="N2345" s="2" t="s">
        <v>12</v>
      </c>
      <c r="O2345" s="2" t="s">
        <v>12</v>
      </c>
      <c r="P2345" s="21" t="s">
        <v>12</v>
      </c>
      <c r="Q2345" s="3" t="s">
        <v>12</v>
      </c>
      <c r="R2345" s="3" t="s">
        <v>12</v>
      </c>
    </row>
    <row r="2346" spans="1:18" x14ac:dyDescent="0.25">
      <c r="A2346" s="30">
        <v>46052</v>
      </c>
      <c r="B2346" s="28">
        <v>161</v>
      </c>
      <c r="C2346" s="28"/>
      <c r="D2346" s="2" t="s">
        <v>109</v>
      </c>
      <c r="E2346" s="7" t="s">
        <v>2643</v>
      </c>
      <c r="F2346" s="7"/>
      <c r="G2346" s="2" t="s">
        <v>111</v>
      </c>
      <c r="H2346" s="2" t="s">
        <v>1000</v>
      </c>
      <c r="I2346" s="5">
        <v>3874.74</v>
      </c>
      <c r="J2346" s="57">
        <v>7.0000000000000007E-2</v>
      </c>
      <c r="K2346" s="3">
        <v>48</v>
      </c>
      <c r="L2346" s="2" t="s">
        <v>226</v>
      </c>
      <c r="M2346" s="2" t="s">
        <v>12</v>
      </c>
      <c r="N2346" s="2" t="s">
        <v>12</v>
      </c>
      <c r="O2346" s="2" t="s">
        <v>12</v>
      </c>
      <c r="P2346" s="21" t="s">
        <v>12</v>
      </c>
      <c r="Q2346" s="3" t="s">
        <v>133</v>
      </c>
      <c r="R2346" s="3" t="s">
        <v>75</v>
      </c>
    </row>
    <row r="2347" spans="1:18" x14ac:dyDescent="0.25">
      <c r="A2347" s="30">
        <v>46052</v>
      </c>
      <c r="B2347" s="28">
        <v>162</v>
      </c>
      <c r="C2347" s="28"/>
      <c r="D2347" s="2" t="s">
        <v>109</v>
      </c>
      <c r="E2347" s="7" t="s">
        <v>2644</v>
      </c>
      <c r="F2347" s="7"/>
      <c r="G2347" s="2" t="s">
        <v>111</v>
      </c>
      <c r="H2347" s="2" t="s">
        <v>1000</v>
      </c>
      <c r="I2347" s="5">
        <v>45836.17</v>
      </c>
      <c r="J2347" s="57">
        <v>7.0000000000000007E-2</v>
      </c>
      <c r="K2347" s="3">
        <v>528</v>
      </c>
      <c r="L2347" s="2" t="s">
        <v>226</v>
      </c>
      <c r="M2347" s="2" t="s">
        <v>12</v>
      </c>
      <c r="N2347" s="2" t="s">
        <v>12</v>
      </c>
      <c r="O2347" s="2" t="s">
        <v>12</v>
      </c>
      <c r="P2347" s="21" t="s">
        <v>12</v>
      </c>
      <c r="Q2347" s="3" t="s">
        <v>133</v>
      </c>
      <c r="R2347" s="3" t="s">
        <v>75</v>
      </c>
    </row>
    <row r="2348" spans="1:18" x14ac:dyDescent="0.25">
      <c r="A2348" s="30">
        <v>46052</v>
      </c>
      <c r="B2348" s="28">
        <v>163</v>
      </c>
      <c r="C2348" s="28"/>
      <c r="D2348" s="2" t="s">
        <v>109</v>
      </c>
      <c r="E2348" s="7" t="s">
        <v>2645</v>
      </c>
      <c r="F2348" s="7"/>
      <c r="G2348" s="2" t="s">
        <v>111</v>
      </c>
      <c r="H2348" s="2" t="s">
        <v>1000</v>
      </c>
      <c r="I2348" s="5">
        <v>102012.08</v>
      </c>
      <c r="J2348" s="57">
        <v>7.0000000000000007E-2</v>
      </c>
      <c r="K2348" s="3">
        <v>1200</v>
      </c>
      <c r="L2348" s="2" t="s">
        <v>226</v>
      </c>
      <c r="M2348" s="2" t="s">
        <v>12</v>
      </c>
      <c r="N2348" s="2" t="s">
        <v>12</v>
      </c>
      <c r="O2348" s="2" t="s">
        <v>12</v>
      </c>
      <c r="P2348" s="21" t="s">
        <v>12</v>
      </c>
      <c r="Q2348" s="3" t="s">
        <v>133</v>
      </c>
      <c r="R2348" s="3" t="s">
        <v>75</v>
      </c>
    </row>
    <row r="2349" spans="1:18" x14ac:dyDescent="0.25">
      <c r="A2349" s="30">
        <v>46052</v>
      </c>
      <c r="B2349" s="28">
        <v>164</v>
      </c>
      <c r="C2349" s="28"/>
      <c r="D2349" s="2" t="s">
        <v>109</v>
      </c>
      <c r="E2349" s="7" t="s">
        <v>2646</v>
      </c>
      <c r="F2349" s="7"/>
      <c r="G2349" s="2" t="s">
        <v>111</v>
      </c>
      <c r="H2349" s="2" t="s">
        <v>1000</v>
      </c>
      <c r="I2349" s="5">
        <v>142147.51</v>
      </c>
      <c r="J2349" s="57">
        <v>7.0000000000000007E-2</v>
      </c>
      <c r="K2349" s="3">
        <v>1632</v>
      </c>
      <c r="L2349" s="2" t="s">
        <v>226</v>
      </c>
      <c r="M2349" s="2" t="s">
        <v>12</v>
      </c>
      <c r="N2349" s="2" t="s">
        <v>12</v>
      </c>
      <c r="O2349" s="2" t="s">
        <v>12</v>
      </c>
      <c r="P2349" s="21" t="s">
        <v>12</v>
      </c>
      <c r="Q2349" s="3" t="s">
        <v>133</v>
      </c>
      <c r="R2349" s="3" t="s">
        <v>75</v>
      </c>
    </row>
    <row r="2350" spans="1:18" x14ac:dyDescent="0.25">
      <c r="A2350" s="30">
        <v>46052</v>
      </c>
      <c r="B2350" s="28">
        <v>165</v>
      </c>
      <c r="C2350" s="28"/>
      <c r="D2350" s="2" t="s">
        <v>109</v>
      </c>
      <c r="E2350" s="7" t="s">
        <v>2647</v>
      </c>
      <c r="F2350" s="7"/>
      <c r="G2350" s="2" t="s">
        <v>111</v>
      </c>
      <c r="H2350" s="2" t="s">
        <v>1000</v>
      </c>
      <c r="I2350" s="5">
        <v>167362.57</v>
      </c>
      <c r="J2350" s="57">
        <v>7.0000000000000007E-2</v>
      </c>
      <c r="K2350" s="3">
        <v>1920</v>
      </c>
      <c r="L2350" s="2" t="s">
        <v>226</v>
      </c>
      <c r="M2350" s="2" t="s">
        <v>12</v>
      </c>
      <c r="N2350" s="2" t="s">
        <v>12</v>
      </c>
      <c r="O2350" s="2" t="s">
        <v>12</v>
      </c>
      <c r="P2350" s="21" t="s">
        <v>12</v>
      </c>
      <c r="Q2350" s="3" t="s">
        <v>133</v>
      </c>
      <c r="R2350" s="3" t="s">
        <v>75</v>
      </c>
    </row>
    <row r="2351" spans="1:18" x14ac:dyDescent="0.25">
      <c r="A2351" s="30">
        <v>46052</v>
      </c>
      <c r="B2351" s="28">
        <v>166</v>
      </c>
      <c r="C2351" s="28"/>
      <c r="D2351" s="2" t="s">
        <v>109</v>
      </c>
      <c r="E2351" s="7" t="s">
        <v>2648</v>
      </c>
      <c r="F2351" s="7"/>
      <c r="G2351" s="2" t="s">
        <v>111</v>
      </c>
      <c r="H2351" s="2" t="s">
        <v>1000</v>
      </c>
      <c r="I2351" s="5">
        <v>161670.53</v>
      </c>
      <c r="J2351" s="57">
        <v>7.0000000000000007E-2</v>
      </c>
      <c r="K2351" s="3">
        <v>1896</v>
      </c>
      <c r="L2351" s="2" t="s">
        <v>226</v>
      </c>
      <c r="M2351" s="2" t="s">
        <v>12</v>
      </c>
      <c r="N2351" s="2" t="s">
        <v>12</v>
      </c>
      <c r="O2351" s="2" t="s">
        <v>12</v>
      </c>
      <c r="P2351" s="21" t="s">
        <v>12</v>
      </c>
      <c r="Q2351" s="3" t="s">
        <v>133</v>
      </c>
      <c r="R2351" s="3" t="s">
        <v>75</v>
      </c>
    </row>
    <row r="2352" spans="1:18" x14ac:dyDescent="0.25">
      <c r="A2352" s="30">
        <v>46052</v>
      </c>
      <c r="B2352" s="28">
        <v>167</v>
      </c>
      <c r="C2352" s="28"/>
      <c r="D2352" s="2" t="s">
        <v>109</v>
      </c>
      <c r="E2352" s="7" t="s">
        <v>2649</v>
      </c>
      <c r="F2352" s="7"/>
      <c r="G2352" s="2" t="s">
        <v>111</v>
      </c>
      <c r="H2352" s="2" t="s">
        <v>1000</v>
      </c>
      <c r="I2352" s="5">
        <v>153658.25</v>
      </c>
      <c r="J2352" s="57">
        <v>7.0000000000000007E-2</v>
      </c>
      <c r="K2352" s="3">
        <v>1728</v>
      </c>
      <c r="L2352" s="2" t="s">
        <v>226</v>
      </c>
      <c r="M2352" s="2" t="s">
        <v>12</v>
      </c>
      <c r="N2352" s="2" t="s">
        <v>12</v>
      </c>
      <c r="O2352" s="2" t="s">
        <v>12</v>
      </c>
      <c r="P2352" s="21" t="s">
        <v>12</v>
      </c>
      <c r="Q2352" s="3" t="s">
        <v>133</v>
      </c>
      <c r="R2352" s="3" t="s">
        <v>75</v>
      </c>
    </row>
    <row r="2353" spans="1:18" x14ac:dyDescent="0.25">
      <c r="A2353" s="30">
        <v>46052</v>
      </c>
      <c r="B2353" s="28">
        <v>168</v>
      </c>
      <c r="C2353" s="28"/>
      <c r="D2353" s="2" t="s">
        <v>342</v>
      </c>
      <c r="E2353" s="7" t="s">
        <v>12</v>
      </c>
      <c r="F2353" s="7"/>
      <c r="G2353" s="2" t="s">
        <v>26</v>
      </c>
      <c r="H2353" s="2" t="s">
        <v>344</v>
      </c>
      <c r="I2353" s="5">
        <v>174966.41</v>
      </c>
      <c r="J2353" s="57">
        <v>7.0000000000000007E-2</v>
      </c>
      <c r="K2353" s="3">
        <v>1444.8</v>
      </c>
      <c r="L2353" s="2" t="s">
        <v>226</v>
      </c>
      <c r="M2353" s="2" t="s">
        <v>12</v>
      </c>
      <c r="N2353" s="2" t="s">
        <v>12</v>
      </c>
      <c r="O2353" s="2" t="s">
        <v>12</v>
      </c>
      <c r="P2353" s="21" t="s">
        <v>12</v>
      </c>
      <c r="Q2353" s="3" t="s">
        <v>12</v>
      </c>
      <c r="R2353" s="3" t="s">
        <v>12</v>
      </c>
    </row>
    <row r="2354" spans="1:18" x14ac:dyDescent="0.25">
      <c r="A2354" s="30">
        <v>46052</v>
      </c>
      <c r="B2354" s="28">
        <v>169</v>
      </c>
      <c r="C2354" s="28"/>
      <c r="D2354" s="2" t="s">
        <v>95</v>
      </c>
      <c r="E2354" s="7" t="s">
        <v>2743</v>
      </c>
      <c r="F2354" s="7"/>
      <c r="G2354" s="2" t="s">
        <v>97</v>
      </c>
      <c r="H2354" s="2" t="s">
        <v>43</v>
      </c>
      <c r="I2354" s="5">
        <v>114071.8</v>
      </c>
      <c r="J2354" s="57">
        <v>7.0000000000000007E-2</v>
      </c>
      <c r="K2354" s="3">
        <v>1152</v>
      </c>
      <c r="L2354" s="2" t="s">
        <v>226</v>
      </c>
      <c r="M2354" s="2" t="s">
        <v>12</v>
      </c>
      <c r="N2354" s="2" t="s">
        <v>12</v>
      </c>
      <c r="O2354" s="2" t="s">
        <v>12</v>
      </c>
      <c r="P2354" s="21" t="s">
        <v>12</v>
      </c>
      <c r="Q2354" s="3" t="s">
        <v>12</v>
      </c>
      <c r="R2354" s="3" t="s">
        <v>75</v>
      </c>
    </row>
    <row r="2355" spans="1:18" x14ac:dyDescent="0.25">
      <c r="A2355" s="30">
        <v>46055</v>
      </c>
      <c r="B2355" s="28">
        <v>170</v>
      </c>
      <c r="C2355" s="28"/>
      <c r="D2355" s="2" t="s">
        <v>109</v>
      </c>
      <c r="E2355" s="7" t="s">
        <v>2650</v>
      </c>
      <c r="F2355" s="7"/>
      <c r="G2355" s="2" t="s">
        <v>111</v>
      </c>
      <c r="H2355" s="2" t="s">
        <v>1000</v>
      </c>
      <c r="I2355" s="5">
        <v>64697.1</v>
      </c>
      <c r="J2355" s="57">
        <v>7.0000000000000007E-2</v>
      </c>
      <c r="K2355" s="3">
        <v>768</v>
      </c>
      <c r="L2355" s="2" t="s">
        <v>226</v>
      </c>
      <c r="M2355" s="2" t="s">
        <v>12</v>
      </c>
      <c r="N2355" s="2" t="s">
        <v>12</v>
      </c>
      <c r="O2355" s="2" t="s">
        <v>12</v>
      </c>
      <c r="P2355" s="21" t="s">
        <v>12</v>
      </c>
      <c r="Q2355" s="3" t="s">
        <v>133</v>
      </c>
      <c r="R2355" s="3" t="s">
        <v>75</v>
      </c>
    </row>
    <row r="2356" spans="1:18" x14ac:dyDescent="0.25">
      <c r="A2356" s="30">
        <v>46055</v>
      </c>
      <c r="B2356" s="28">
        <v>171</v>
      </c>
      <c r="C2356" s="28"/>
      <c r="D2356" s="2" t="s">
        <v>109</v>
      </c>
      <c r="E2356" s="7" t="s">
        <v>2651</v>
      </c>
      <c r="F2356" s="7"/>
      <c r="G2356" s="2" t="s">
        <v>111</v>
      </c>
      <c r="H2356" s="2" t="s">
        <v>1000</v>
      </c>
      <c r="I2356" s="5">
        <v>111754.59</v>
      </c>
      <c r="J2356" s="57">
        <v>7.0000000000000007E-2</v>
      </c>
      <c r="K2356" s="3">
        <v>1296</v>
      </c>
      <c r="L2356" s="2" t="s">
        <v>226</v>
      </c>
      <c r="M2356" s="2" t="s">
        <v>12</v>
      </c>
      <c r="N2356" s="2" t="s">
        <v>12</v>
      </c>
      <c r="O2356" s="2" t="s">
        <v>12</v>
      </c>
      <c r="P2356" s="21" t="s">
        <v>12</v>
      </c>
      <c r="Q2356" s="3" t="s">
        <v>133</v>
      </c>
      <c r="R2356" s="3"/>
    </row>
    <row r="2357" spans="1:18" x14ac:dyDescent="0.25">
      <c r="A2357" s="30">
        <v>46055</v>
      </c>
      <c r="B2357" s="28">
        <v>172</v>
      </c>
      <c r="C2357" s="28"/>
      <c r="D2357" s="2" t="s">
        <v>2652</v>
      </c>
      <c r="E2357" s="7" t="s">
        <v>12</v>
      </c>
      <c r="F2357" s="7"/>
      <c r="G2357" s="2" t="s">
        <v>13</v>
      </c>
      <c r="H2357" s="2" t="s">
        <v>180</v>
      </c>
      <c r="I2357" s="5">
        <v>8369.5400000000009</v>
      </c>
      <c r="J2357" s="57">
        <v>7.0000000000000007E-2</v>
      </c>
      <c r="K2357" s="3">
        <v>96</v>
      </c>
      <c r="L2357" s="2" t="s">
        <v>226</v>
      </c>
      <c r="M2357" s="2" t="s">
        <v>12</v>
      </c>
      <c r="N2357" s="2" t="s">
        <v>12</v>
      </c>
      <c r="O2357" s="2" t="s">
        <v>12</v>
      </c>
      <c r="P2357" s="21" t="s">
        <v>12</v>
      </c>
      <c r="Q2357" s="3" t="s">
        <v>12</v>
      </c>
      <c r="R2357" s="3" t="s">
        <v>12</v>
      </c>
    </row>
    <row r="2358" spans="1:18" x14ac:dyDescent="0.25">
      <c r="A2358" s="30">
        <v>46055</v>
      </c>
      <c r="B2358" s="28">
        <v>173</v>
      </c>
      <c r="C2358" s="28"/>
      <c r="D2358" s="2" t="s">
        <v>109</v>
      </c>
      <c r="E2358" s="7" t="s">
        <v>2653</v>
      </c>
      <c r="F2358" s="7"/>
      <c r="G2358" s="2" t="s">
        <v>111</v>
      </c>
      <c r="H2358" s="2" t="s">
        <v>1000</v>
      </c>
      <c r="I2358" s="5">
        <v>101216.01</v>
      </c>
      <c r="J2358" s="57">
        <v>7.0000000000000007E-2</v>
      </c>
      <c r="K2358" s="3">
        <v>1176</v>
      </c>
      <c r="L2358" s="2" t="s">
        <v>226</v>
      </c>
      <c r="M2358" s="2" t="s">
        <v>12</v>
      </c>
      <c r="N2358" s="2" t="s">
        <v>12</v>
      </c>
      <c r="O2358" s="2" t="s">
        <v>12</v>
      </c>
      <c r="P2358" s="21" t="s">
        <v>12</v>
      </c>
      <c r="Q2358" s="3" t="s">
        <v>133</v>
      </c>
      <c r="R2358" s="3" t="s">
        <v>75</v>
      </c>
    </row>
    <row r="2359" spans="1:18" x14ac:dyDescent="0.25">
      <c r="A2359" s="30">
        <v>46055</v>
      </c>
      <c r="B2359" s="28">
        <v>174</v>
      </c>
      <c r="C2359" s="28"/>
      <c r="D2359" s="2" t="s">
        <v>109</v>
      </c>
      <c r="E2359" s="7" t="s">
        <v>2654</v>
      </c>
      <c r="F2359" s="7"/>
      <c r="G2359" s="2" t="s">
        <v>111</v>
      </c>
      <c r="H2359" s="2" t="s">
        <v>1000</v>
      </c>
      <c r="I2359" s="5">
        <v>51769.75</v>
      </c>
      <c r="J2359" s="57">
        <v>7.0000000000000007E-2</v>
      </c>
      <c r="K2359" s="3">
        <v>600</v>
      </c>
      <c r="L2359" s="2" t="s">
        <v>226</v>
      </c>
      <c r="M2359" s="2" t="s">
        <v>12</v>
      </c>
      <c r="N2359" s="2" t="s">
        <v>12</v>
      </c>
      <c r="O2359" s="2" t="s">
        <v>12</v>
      </c>
      <c r="P2359" s="21" t="s">
        <v>12</v>
      </c>
      <c r="Q2359" s="3" t="s">
        <v>133</v>
      </c>
      <c r="R2359" s="3" t="s">
        <v>75</v>
      </c>
    </row>
    <row r="2360" spans="1:18" x14ac:dyDescent="0.25">
      <c r="A2360" s="30">
        <v>46055</v>
      </c>
      <c r="B2360" s="28">
        <v>175</v>
      </c>
      <c r="C2360" s="28"/>
      <c r="D2360" s="2" t="s">
        <v>109</v>
      </c>
      <c r="E2360" s="7" t="s">
        <v>2655</v>
      </c>
      <c r="F2360" s="7"/>
      <c r="G2360" s="2" t="s">
        <v>111</v>
      </c>
      <c r="H2360" s="2" t="s">
        <v>1000</v>
      </c>
      <c r="I2360" s="5">
        <v>46190.79</v>
      </c>
      <c r="J2360" s="57">
        <v>7.0000000000000007E-2</v>
      </c>
      <c r="K2360" s="3">
        <v>528</v>
      </c>
      <c r="L2360" s="2" t="s">
        <v>226</v>
      </c>
      <c r="M2360" s="2" t="s">
        <v>12</v>
      </c>
      <c r="N2360" s="2" t="s">
        <v>12</v>
      </c>
      <c r="O2360" s="2" t="s">
        <v>12</v>
      </c>
      <c r="P2360" s="21" t="s">
        <v>12</v>
      </c>
      <c r="Q2360" s="3" t="s">
        <v>133</v>
      </c>
      <c r="R2360" s="3" t="s">
        <v>75</v>
      </c>
    </row>
    <row r="2361" spans="1:18" x14ac:dyDescent="0.25">
      <c r="A2361" s="30">
        <v>46055</v>
      </c>
      <c r="B2361" s="28">
        <v>176</v>
      </c>
      <c r="C2361" s="28"/>
      <c r="D2361" s="2" t="s">
        <v>109</v>
      </c>
      <c r="E2361" s="7" t="s">
        <v>2656</v>
      </c>
      <c r="F2361" s="7"/>
      <c r="G2361" s="2" t="s">
        <v>111</v>
      </c>
      <c r="H2361" s="2" t="s">
        <v>1000</v>
      </c>
      <c r="I2361" s="5">
        <v>58085.9</v>
      </c>
      <c r="J2361" s="57">
        <v>7.0000000000000007E-2</v>
      </c>
      <c r="K2361" s="3">
        <v>672</v>
      </c>
      <c r="L2361" s="2" t="s">
        <v>226</v>
      </c>
      <c r="M2361" s="2" t="s">
        <v>12</v>
      </c>
      <c r="N2361" s="2" t="s">
        <v>12</v>
      </c>
      <c r="O2361" s="2" t="s">
        <v>12</v>
      </c>
      <c r="P2361" s="21" t="s">
        <v>12</v>
      </c>
      <c r="Q2361" s="3" t="s">
        <v>133</v>
      </c>
      <c r="R2361" s="3" t="s">
        <v>75</v>
      </c>
    </row>
    <row r="2362" spans="1:18" x14ac:dyDescent="0.25">
      <c r="A2362" s="30">
        <v>46055</v>
      </c>
      <c r="B2362" s="28">
        <v>177</v>
      </c>
      <c r="C2362" s="28"/>
      <c r="D2362" s="2" t="s">
        <v>109</v>
      </c>
      <c r="E2362" s="7" t="s">
        <v>2657</v>
      </c>
      <c r="F2362" s="7"/>
      <c r="G2362" s="2" t="s">
        <v>111</v>
      </c>
      <c r="H2362" s="2" t="s">
        <v>1000</v>
      </c>
      <c r="I2362" s="5">
        <v>48146.53</v>
      </c>
      <c r="J2362" s="57">
        <v>7.0000000000000007E-2</v>
      </c>
      <c r="K2362" s="3">
        <v>528</v>
      </c>
      <c r="L2362" s="2" t="s">
        <v>226</v>
      </c>
      <c r="M2362" s="2" t="s">
        <v>12</v>
      </c>
      <c r="N2362" s="2" t="s">
        <v>12</v>
      </c>
      <c r="O2362" s="2" t="s">
        <v>12</v>
      </c>
      <c r="P2362" s="21" t="s">
        <v>12</v>
      </c>
      <c r="Q2362" s="3" t="s">
        <v>133</v>
      </c>
      <c r="R2362" s="3" t="s">
        <v>75</v>
      </c>
    </row>
    <row r="2363" spans="1:18" x14ac:dyDescent="0.25">
      <c r="A2363" s="30">
        <v>46055</v>
      </c>
      <c r="B2363" s="28">
        <v>178</v>
      </c>
      <c r="C2363" s="28"/>
      <c r="D2363" s="2" t="s">
        <v>109</v>
      </c>
      <c r="E2363" s="7" t="s">
        <v>2658</v>
      </c>
      <c r="F2363" s="7"/>
      <c r="G2363" s="2" t="s">
        <v>111</v>
      </c>
      <c r="H2363" s="2" t="s">
        <v>1000</v>
      </c>
      <c r="I2363" s="5">
        <v>17320.53</v>
      </c>
      <c r="J2363" s="57">
        <v>7.0000000000000007E-2</v>
      </c>
      <c r="K2363" s="3">
        <v>151.19999999999999</v>
      </c>
      <c r="L2363" s="2" t="s">
        <v>226</v>
      </c>
      <c r="M2363" s="2" t="s">
        <v>12</v>
      </c>
      <c r="N2363" s="2" t="s">
        <v>12</v>
      </c>
      <c r="O2363" s="2" t="s">
        <v>12</v>
      </c>
      <c r="P2363" s="21" t="s">
        <v>12</v>
      </c>
      <c r="Q2363" s="3" t="s">
        <v>133</v>
      </c>
      <c r="R2363" s="3" t="s">
        <v>75</v>
      </c>
    </row>
    <row r="2364" spans="1:18" x14ac:dyDescent="0.25">
      <c r="A2364" s="30">
        <v>46055</v>
      </c>
      <c r="B2364" s="28">
        <v>179</v>
      </c>
      <c r="C2364" s="28"/>
      <c r="D2364" s="2" t="s">
        <v>109</v>
      </c>
      <c r="E2364" s="7" t="s">
        <v>2659</v>
      </c>
      <c r="F2364" s="7"/>
      <c r="G2364" s="2" t="s">
        <v>111</v>
      </c>
      <c r="H2364" s="2" t="s">
        <v>1000</v>
      </c>
      <c r="I2364" s="5">
        <v>176982.38</v>
      </c>
      <c r="J2364" s="57">
        <v>7.0000000000000007E-2</v>
      </c>
      <c r="K2364" s="3">
        <v>1992</v>
      </c>
      <c r="L2364" s="2" t="s">
        <v>226</v>
      </c>
      <c r="M2364" s="2" t="s">
        <v>12</v>
      </c>
      <c r="N2364" s="2" t="s">
        <v>12</v>
      </c>
      <c r="O2364" s="2" t="s">
        <v>12</v>
      </c>
      <c r="P2364" s="21" t="s">
        <v>12</v>
      </c>
      <c r="Q2364" s="3" t="s">
        <v>133</v>
      </c>
      <c r="R2364" s="3" t="s">
        <v>75</v>
      </c>
    </row>
    <row r="2365" spans="1:18" x14ac:dyDescent="0.25">
      <c r="A2365" s="30">
        <v>46055</v>
      </c>
      <c r="B2365" s="28">
        <v>180</v>
      </c>
      <c r="C2365" s="28" t="s">
        <v>2161</v>
      </c>
      <c r="D2365" s="2" t="s">
        <v>2190</v>
      </c>
      <c r="E2365" s="7" t="s">
        <v>2531</v>
      </c>
      <c r="F2365" s="7"/>
      <c r="G2365" s="2" t="s">
        <v>13</v>
      </c>
      <c r="H2365" s="2" t="s">
        <v>549</v>
      </c>
      <c r="I2365" s="5">
        <v>3927.88</v>
      </c>
      <c r="J2365" s="57">
        <v>0.05</v>
      </c>
      <c r="K2365" s="3">
        <v>48</v>
      </c>
      <c r="L2365" s="2" t="s">
        <v>64</v>
      </c>
      <c r="M2365" s="2" t="s">
        <v>12</v>
      </c>
      <c r="N2365" s="2" t="s">
        <v>12</v>
      </c>
      <c r="O2365" s="2" t="s">
        <v>12</v>
      </c>
      <c r="P2365" s="21" t="s">
        <v>12</v>
      </c>
      <c r="Q2365" s="3" t="s">
        <v>12</v>
      </c>
      <c r="R2365" s="3" t="s">
        <v>12</v>
      </c>
    </row>
    <row r="2366" spans="1:18" x14ac:dyDescent="0.25">
      <c r="A2366" s="30">
        <v>46055</v>
      </c>
      <c r="B2366" s="28">
        <v>181</v>
      </c>
      <c r="C2366" s="28"/>
      <c r="D2366" s="2" t="s">
        <v>425</v>
      </c>
      <c r="E2366" s="7" t="s">
        <v>2252</v>
      </c>
      <c r="F2366" s="7"/>
      <c r="G2366" s="2" t="s">
        <v>26</v>
      </c>
      <c r="H2366" s="2" t="s">
        <v>1726</v>
      </c>
      <c r="I2366" s="5">
        <v>129768.9</v>
      </c>
      <c r="J2366" s="57">
        <v>0.04</v>
      </c>
      <c r="K2366" s="3">
        <v>1632</v>
      </c>
      <c r="L2366" s="2" t="s">
        <v>64</v>
      </c>
      <c r="M2366" s="2" t="s">
        <v>12</v>
      </c>
      <c r="N2366" s="2" t="s">
        <v>12</v>
      </c>
      <c r="O2366" s="2" t="s">
        <v>12</v>
      </c>
      <c r="P2366" s="21" t="s">
        <v>12</v>
      </c>
      <c r="Q2366" s="3" t="s">
        <v>12</v>
      </c>
      <c r="R2366" s="3" t="s">
        <v>12</v>
      </c>
    </row>
    <row r="2367" spans="1:18" x14ac:dyDescent="0.25">
      <c r="A2367" s="30">
        <v>46056</v>
      </c>
      <c r="B2367" s="28">
        <v>182</v>
      </c>
      <c r="C2367" s="28" t="s">
        <v>2161</v>
      </c>
      <c r="D2367" s="2" t="s">
        <v>692</v>
      </c>
      <c r="E2367" s="7" t="s">
        <v>2630</v>
      </c>
      <c r="F2367" s="7"/>
      <c r="G2367" s="2" t="s">
        <v>97</v>
      </c>
      <c r="H2367" s="2" t="s">
        <v>1454</v>
      </c>
      <c r="I2367" s="5">
        <v>150473.70000000001</v>
      </c>
      <c r="J2367" s="57">
        <v>7.0000000000000007E-2</v>
      </c>
      <c r="K2367" s="3">
        <v>1344</v>
      </c>
      <c r="L2367" s="2" t="s">
        <v>226</v>
      </c>
      <c r="M2367" s="2" t="s">
        <v>12</v>
      </c>
      <c r="N2367" s="2" t="s">
        <v>12</v>
      </c>
      <c r="O2367" s="2" t="s">
        <v>12</v>
      </c>
      <c r="P2367" s="21" t="s">
        <v>12</v>
      </c>
      <c r="Q2367" s="3" t="s">
        <v>12</v>
      </c>
      <c r="R2367" s="3" t="s">
        <v>12</v>
      </c>
    </row>
    <row r="2368" spans="1:18" x14ac:dyDescent="0.25">
      <c r="A2368" s="30">
        <v>46055</v>
      </c>
      <c r="B2368" s="28">
        <v>183</v>
      </c>
      <c r="C2368" s="28"/>
      <c r="D2368" s="2" t="s">
        <v>59</v>
      </c>
      <c r="E2368" s="7" t="s">
        <v>2660</v>
      </c>
      <c r="F2368" s="7"/>
      <c r="G2368" s="2" t="s">
        <v>20</v>
      </c>
      <c r="H2368" s="2" t="s">
        <v>1169</v>
      </c>
      <c r="I2368" s="5">
        <v>8535.18</v>
      </c>
      <c r="J2368" s="57">
        <v>0.05</v>
      </c>
      <c r="K2368" s="3">
        <v>120</v>
      </c>
      <c r="L2368" s="2" t="s">
        <v>64</v>
      </c>
      <c r="M2368" s="2" t="s">
        <v>12</v>
      </c>
      <c r="N2368" s="2" t="s">
        <v>12</v>
      </c>
      <c r="O2368" s="2" t="s">
        <v>12</v>
      </c>
      <c r="P2368" s="21" t="s">
        <v>12</v>
      </c>
      <c r="Q2368" s="3" t="s">
        <v>12</v>
      </c>
      <c r="R2368" s="3" t="s">
        <v>12</v>
      </c>
    </row>
    <row r="2369" spans="1:19" x14ac:dyDescent="0.25">
      <c r="A2369" s="30">
        <v>46055</v>
      </c>
      <c r="B2369" s="28">
        <v>184</v>
      </c>
      <c r="C2369" s="28"/>
      <c r="D2369" s="2" t="s">
        <v>2661</v>
      </c>
      <c r="E2369" s="7" t="s">
        <v>12</v>
      </c>
      <c r="F2369" s="7"/>
      <c r="G2369" s="2" t="s">
        <v>13</v>
      </c>
      <c r="H2369" s="2" t="s">
        <v>438</v>
      </c>
      <c r="I2369" s="5">
        <v>12694.45</v>
      </c>
      <c r="J2369" s="57">
        <v>0.05</v>
      </c>
      <c r="K2369" s="3">
        <v>144</v>
      </c>
      <c r="L2369" s="2" t="s">
        <v>226</v>
      </c>
      <c r="M2369" s="2" t="s">
        <v>12</v>
      </c>
      <c r="N2369" s="2" t="s">
        <v>12</v>
      </c>
      <c r="O2369" s="2" t="s">
        <v>12</v>
      </c>
      <c r="P2369" s="21" t="s">
        <v>12</v>
      </c>
      <c r="Q2369" s="3" t="s">
        <v>12</v>
      </c>
      <c r="R2369" s="3" t="s">
        <v>12</v>
      </c>
    </row>
    <row r="2370" spans="1:19" x14ac:dyDescent="0.25">
      <c r="A2370" s="30">
        <v>46056</v>
      </c>
      <c r="B2370" s="28">
        <v>185</v>
      </c>
      <c r="C2370" s="28"/>
      <c r="D2370" s="2" t="s">
        <v>353</v>
      </c>
      <c r="E2370" s="7" t="s">
        <v>2662</v>
      </c>
      <c r="F2370" s="7"/>
      <c r="G2370" s="2" t="s">
        <v>13</v>
      </c>
      <c r="H2370" s="2" t="s">
        <v>1892</v>
      </c>
      <c r="I2370" s="5">
        <v>977746.09</v>
      </c>
      <c r="J2370" s="57">
        <v>7.0000000000000007E-2</v>
      </c>
      <c r="K2370" s="3">
        <v>10776</v>
      </c>
      <c r="L2370" s="2" t="s">
        <v>226</v>
      </c>
      <c r="M2370" s="2" t="s">
        <v>12</v>
      </c>
      <c r="N2370" s="2" t="s">
        <v>12</v>
      </c>
      <c r="O2370" s="2" t="s">
        <v>12</v>
      </c>
      <c r="P2370" s="21" t="s">
        <v>12</v>
      </c>
      <c r="Q2370" s="3" t="s">
        <v>12</v>
      </c>
      <c r="R2370" s="3" t="s">
        <v>12</v>
      </c>
    </row>
    <row r="2371" spans="1:19" x14ac:dyDescent="0.25">
      <c r="A2371" s="30">
        <v>46057</v>
      </c>
      <c r="B2371" s="28">
        <v>186</v>
      </c>
      <c r="C2371" s="28" t="s">
        <v>2161</v>
      </c>
      <c r="D2371" s="2" t="s">
        <v>952</v>
      </c>
      <c r="E2371" s="7" t="s">
        <v>12</v>
      </c>
      <c r="F2371" s="7"/>
      <c r="G2371" s="2" t="s">
        <v>13</v>
      </c>
      <c r="H2371" s="2" t="s">
        <v>275</v>
      </c>
      <c r="I2371" s="5">
        <v>8581.15</v>
      </c>
      <c r="J2371" s="57">
        <v>0.06</v>
      </c>
      <c r="K2371" s="3">
        <v>72</v>
      </c>
      <c r="L2371" s="2" t="s">
        <v>64</v>
      </c>
      <c r="M2371" s="2" t="s">
        <v>12</v>
      </c>
      <c r="N2371" s="2" t="s">
        <v>12</v>
      </c>
      <c r="O2371" s="2" t="s">
        <v>12</v>
      </c>
      <c r="P2371" s="21" t="s">
        <v>12</v>
      </c>
      <c r="Q2371" s="3" t="s">
        <v>12</v>
      </c>
      <c r="R2371" s="3" t="s">
        <v>12</v>
      </c>
    </row>
    <row r="2372" spans="1:19" x14ac:dyDescent="0.25">
      <c r="A2372" s="30">
        <v>46056</v>
      </c>
      <c r="B2372" s="28">
        <v>187</v>
      </c>
      <c r="C2372" s="28"/>
      <c r="D2372" s="2" t="s">
        <v>87</v>
      </c>
      <c r="E2372" s="7" t="s">
        <v>2663</v>
      </c>
      <c r="F2372" s="7"/>
      <c r="G2372" s="2" t="s">
        <v>13</v>
      </c>
      <c r="H2372" s="2" t="s">
        <v>185</v>
      </c>
      <c r="I2372" s="5">
        <v>139382.22</v>
      </c>
      <c r="J2372" s="57">
        <v>7.0000000000000007E-2</v>
      </c>
      <c r="K2372" s="3">
        <v>1296</v>
      </c>
      <c r="L2372" s="2" t="s">
        <v>226</v>
      </c>
      <c r="M2372" s="2" t="s">
        <v>12</v>
      </c>
      <c r="N2372" s="2" t="s">
        <v>12</v>
      </c>
      <c r="O2372" s="2" t="s">
        <v>12</v>
      </c>
      <c r="P2372" s="21" t="s">
        <v>12</v>
      </c>
      <c r="Q2372" s="3" t="s">
        <v>2680</v>
      </c>
      <c r="R2372" s="3" t="s">
        <v>80</v>
      </c>
    </row>
    <row r="2373" spans="1:19" x14ac:dyDescent="0.25">
      <c r="A2373" s="30">
        <v>46056</v>
      </c>
      <c r="B2373" s="28">
        <v>188</v>
      </c>
      <c r="C2373" s="28"/>
      <c r="D2373" s="2" t="s">
        <v>637</v>
      </c>
      <c r="E2373" s="7" t="s">
        <v>2664</v>
      </c>
      <c r="F2373" s="7"/>
      <c r="G2373" s="2" t="s">
        <v>13</v>
      </c>
      <c r="H2373" s="2" t="s">
        <v>15</v>
      </c>
      <c r="I2373" s="5">
        <v>40128.61</v>
      </c>
      <c r="J2373" s="57">
        <v>7.0000000000000007E-2</v>
      </c>
      <c r="K2373" s="3">
        <v>408</v>
      </c>
      <c r="L2373" s="2" t="s">
        <v>226</v>
      </c>
      <c r="M2373" s="2" t="s">
        <v>12</v>
      </c>
      <c r="N2373" s="2" t="s">
        <v>12</v>
      </c>
      <c r="O2373" s="2" t="s">
        <v>12</v>
      </c>
      <c r="P2373" s="21" t="s">
        <v>12</v>
      </c>
      <c r="Q2373" s="3" t="s">
        <v>78</v>
      </c>
      <c r="R2373" s="3" t="s">
        <v>80</v>
      </c>
    </row>
    <row r="2374" spans="1:19" x14ac:dyDescent="0.25">
      <c r="A2374" s="30">
        <v>46056</v>
      </c>
      <c r="B2374" s="28">
        <v>189</v>
      </c>
      <c r="C2374" s="28"/>
      <c r="D2374" s="2" t="s">
        <v>2098</v>
      </c>
      <c r="E2374" s="7" t="s">
        <v>12</v>
      </c>
      <c r="F2374" s="7"/>
      <c r="G2374" s="2" t="s">
        <v>13</v>
      </c>
      <c r="H2374" s="2" t="s">
        <v>928</v>
      </c>
      <c r="I2374" s="5">
        <v>8475.26</v>
      </c>
      <c r="J2374" s="57">
        <v>7.0000000000000007E-2</v>
      </c>
      <c r="K2374" s="3">
        <v>75.599999999999994</v>
      </c>
      <c r="L2374" s="2" t="s">
        <v>64</v>
      </c>
      <c r="M2374" s="2" t="s">
        <v>12</v>
      </c>
      <c r="N2374" s="2" t="s">
        <v>12</v>
      </c>
      <c r="O2374" s="2" t="s">
        <v>12</v>
      </c>
      <c r="P2374" s="21" t="s">
        <v>12</v>
      </c>
      <c r="Q2374" s="3" t="s">
        <v>12</v>
      </c>
      <c r="R2374" s="3" t="s">
        <v>12</v>
      </c>
    </row>
    <row r="2375" spans="1:19" x14ac:dyDescent="0.25">
      <c r="A2375" s="30">
        <v>46056</v>
      </c>
      <c r="B2375" s="28">
        <v>190</v>
      </c>
      <c r="C2375" s="28"/>
      <c r="D2375" s="2" t="s">
        <v>2640</v>
      </c>
      <c r="E2375" s="7" t="s">
        <v>2665</v>
      </c>
      <c r="F2375" s="7"/>
      <c r="G2375" s="2" t="s">
        <v>13</v>
      </c>
      <c r="H2375" s="2" t="s">
        <v>2569</v>
      </c>
      <c r="I2375" s="5">
        <v>45144.79</v>
      </c>
      <c r="J2375" s="57">
        <v>7.0000000000000007E-2</v>
      </c>
      <c r="K2375" s="3">
        <v>552</v>
      </c>
      <c r="L2375" s="2" t="s">
        <v>226</v>
      </c>
      <c r="M2375" s="2" t="s">
        <v>12</v>
      </c>
      <c r="N2375" s="2" t="s">
        <v>12</v>
      </c>
      <c r="O2375" s="2" t="s">
        <v>12</v>
      </c>
      <c r="P2375" s="21" t="s">
        <v>12</v>
      </c>
      <c r="Q2375" s="3" t="s">
        <v>692</v>
      </c>
      <c r="R2375" s="3" t="s">
        <v>75</v>
      </c>
    </row>
    <row r="2376" spans="1:19" x14ac:dyDescent="0.25">
      <c r="A2376" s="30">
        <v>46056</v>
      </c>
      <c r="B2376" s="28">
        <v>191</v>
      </c>
      <c r="C2376" s="28"/>
      <c r="D2376" s="2" t="s">
        <v>56</v>
      </c>
      <c r="E2376" s="7" t="s">
        <v>2666</v>
      </c>
      <c r="F2376" s="7"/>
      <c r="G2376" s="2" t="s">
        <v>43</v>
      </c>
      <c r="H2376" s="2" t="s">
        <v>13</v>
      </c>
      <c r="I2376" s="5">
        <v>40646.080000000002</v>
      </c>
      <c r="J2376" s="57">
        <v>7.0000000000000007E-2</v>
      </c>
      <c r="K2376" s="3">
        <v>432</v>
      </c>
      <c r="L2376" s="2" t="s">
        <v>73</v>
      </c>
      <c r="M2376" s="2" t="s">
        <v>12</v>
      </c>
      <c r="N2376" s="2" t="s">
        <v>12</v>
      </c>
      <c r="O2376" s="2" t="s">
        <v>12</v>
      </c>
      <c r="P2376" s="21" t="s">
        <v>12</v>
      </c>
      <c r="Q2376" s="3" t="s">
        <v>2681</v>
      </c>
      <c r="R2376" s="3" t="s">
        <v>80</v>
      </c>
    </row>
    <row r="2377" spans="1:19" x14ac:dyDescent="0.25">
      <c r="A2377" s="30">
        <v>46057</v>
      </c>
      <c r="B2377" s="28">
        <v>192</v>
      </c>
      <c r="C2377" s="28"/>
      <c r="D2377" s="2" t="s">
        <v>403</v>
      </c>
      <c r="E2377" s="7" t="s">
        <v>2667</v>
      </c>
      <c r="F2377" s="7"/>
      <c r="G2377" s="2" t="s">
        <v>43</v>
      </c>
      <c r="H2377" s="2" t="s">
        <v>405</v>
      </c>
      <c r="I2377" s="5">
        <v>174988.03</v>
      </c>
      <c r="J2377" s="57">
        <v>7.0000000000000007E-2</v>
      </c>
      <c r="K2377" s="3">
        <v>1461.6</v>
      </c>
      <c r="L2377" s="2" t="s">
        <v>73</v>
      </c>
      <c r="M2377" s="2" t="s">
        <v>12</v>
      </c>
      <c r="N2377" s="2" t="s">
        <v>12</v>
      </c>
      <c r="O2377" s="2" t="s">
        <v>12</v>
      </c>
      <c r="P2377" s="21" t="s">
        <v>12</v>
      </c>
      <c r="Q2377" s="3" t="s">
        <v>75</v>
      </c>
      <c r="R2377" s="3" t="s">
        <v>194</v>
      </c>
    </row>
    <row r="2378" spans="1:19" x14ac:dyDescent="0.25">
      <c r="A2378" s="30">
        <v>46056</v>
      </c>
      <c r="B2378" s="28">
        <v>193</v>
      </c>
      <c r="C2378" s="28"/>
      <c r="D2378" s="2" t="s">
        <v>1237</v>
      </c>
      <c r="E2378" s="7" t="s">
        <v>2668</v>
      </c>
      <c r="F2378" s="7"/>
      <c r="G2378" s="2" t="s">
        <v>20</v>
      </c>
      <c r="H2378" s="2" t="s">
        <v>1239</v>
      </c>
      <c r="I2378" s="5">
        <v>3539.21</v>
      </c>
      <c r="J2378" s="57">
        <v>7.0000000000000007E-2</v>
      </c>
      <c r="K2378" s="3">
        <v>48</v>
      </c>
      <c r="L2378" s="2" t="s">
        <v>134</v>
      </c>
      <c r="M2378" s="2" t="s">
        <v>2859</v>
      </c>
      <c r="N2378" s="2" t="s">
        <v>373</v>
      </c>
      <c r="O2378" s="2" t="s">
        <v>443</v>
      </c>
      <c r="P2378" s="21" t="s">
        <v>12</v>
      </c>
      <c r="Q2378" s="3" t="s">
        <v>12</v>
      </c>
      <c r="R2378" s="3" t="s">
        <v>12</v>
      </c>
    </row>
    <row r="2379" spans="1:19" x14ac:dyDescent="0.25">
      <c r="A2379" s="30">
        <v>46093</v>
      </c>
      <c r="B2379" s="28">
        <v>194</v>
      </c>
      <c r="C2379" s="28"/>
      <c r="D2379" s="2" t="s">
        <v>348</v>
      </c>
      <c r="E2379" s="7" t="s">
        <v>2669</v>
      </c>
      <c r="F2379" s="7"/>
      <c r="G2379" s="2" t="s">
        <v>26</v>
      </c>
      <c r="H2379" s="2" t="s">
        <v>2858</v>
      </c>
      <c r="I2379" s="5">
        <v>4767.3</v>
      </c>
      <c r="J2379" s="57">
        <v>7.0000000000000007E-2</v>
      </c>
      <c r="K2379" s="3">
        <v>48</v>
      </c>
      <c r="L2379" s="2" t="s">
        <v>134</v>
      </c>
      <c r="M2379" s="2" t="s">
        <v>1166</v>
      </c>
      <c r="N2379" s="2" t="s">
        <v>373</v>
      </c>
      <c r="O2379" s="2" t="s">
        <v>443</v>
      </c>
      <c r="P2379" s="21" t="s">
        <v>12</v>
      </c>
      <c r="Q2379" s="3" t="s">
        <v>12</v>
      </c>
      <c r="R2379" s="3" t="s">
        <v>12</v>
      </c>
    </row>
    <row r="2380" spans="1:19" x14ac:dyDescent="0.25">
      <c r="A2380" s="30">
        <v>46056</v>
      </c>
      <c r="B2380" s="28">
        <v>195</v>
      </c>
      <c r="C2380" s="28"/>
      <c r="D2380" s="2" t="s">
        <v>2098</v>
      </c>
      <c r="E2380" s="7" t="s">
        <v>12</v>
      </c>
      <c r="F2380" s="7"/>
      <c r="G2380" s="2" t="s">
        <v>13</v>
      </c>
      <c r="H2380" s="2" t="s">
        <v>928</v>
      </c>
      <c r="I2380" s="5">
        <v>4607.5</v>
      </c>
      <c r="J2380" s="57">
        <v>7.0000000000000007E-2</v>
      </c>
      <c r="K2380" s="3" t="s">
        <v>12</v>
      </c>
      <c r="L2380" s="2" t="s">
        <v>64</v>
      </c>
      <c r="M2380" s="2" t="s">
        <v>12</v>
      </c>
      <c r="N2380" s="2" t="s">
        <v>12</v>
      </c>
      <c r="O2380" s="2" t="s">
        <v>12</v>
      </c>
      <c r="P2380" s="21" t="s">
        <v>12</v>
      </c>
      <c r="Q2380" s="3" t="s">
        <v>12</v>
      </c>
      <c r="R2380" s="3"/>
      <c r="S2380" t="s">
        <v>12</v>
      </c>
    </row>
    <row r="2381" spans="1:19" x14ac:dyDescent="0.25">
      <c r="A2381" s="30">
        <v>46057</v>
      </c>
      <c r="B2381" s="28">
        <v>196</v>
      </c>
      <c r="C2381" s="28" t="s">
        <v>2161</v>
      </c>
      <c r="D2381" s="2" t="s">
        <v>109</v>
      </c>
      <c r="E2381" s="7" t="s">
        <v>2670</v>
      </c>
      <c r="F2381" s="7"/>
      <c r="G2381" s="2" t="s">
        <v>111</v>
      </c>
      <c r="H2381" s="2" t="s">
        <v>395</v>
      </c>
      <c r="I2381" s="5">
        <v>65434.81</v>
      </c>
      <c r="J2381" s="57">
        <v>7.0000000000000007E-2</v>
      </c>
      <c r="K2381" s="3">
        <v>792</v>
      </c>
      <c r="L2381" s="2" t="s">
        <v>73</v>
      </c>
      <c r="M2381" s="2" t="s">
        <v>12</v>
      </c>
      <c r="N2381" s="2" t="s">
        <v>12</v>
      </c>
      <c r="O2381" s="2" t="s">
        <v>12</v>
      </c>
      <c r="P2381" s="21" t="s">
        <v>12</v>
      </c>
      <c r="Q2381" s="3" t="s">
        <v>12</v>
      </c>
      <c r="R2381" s="3" t="s">
        <v>12</v>
      </c>
    </row>
    <row r="2382" spans="1:19" x14ac:dyDescent="0.25">
      <c r="A2382" s="30">
        <v>46057</v>
      </c>
      <c r="B2382" s="28">
        <v>197</v>
      </c>
      <c r="C2382" s="28"/>
      <c r="D2382" s="2" t="s">
        <v>1820</v>
      </c>
      <c r="E2382" s="7" t="s">
        <v>12</v>
      </c>
      <c r="F2382" s="7"/>
      <c r="G2382" s="2" t="s">
        <v>97</v>
      </c>
      <c r="H2382" s="2" t="s">
        <v>129</v>
      </c>
      <c r="I2382" s="5">
        <v>746.55</v>
      </c>
      <c r="J2382" s="57">
        <v>7.0000000000000007E-2</v>
      </c>
      <c r="K2382" s="3" t="s">
        <v>12</v>
      </c>
      <c r="L2382" s="2" t="s">
        <v>134</v>
      </c>
      <c r="M2382" s="2" t="s">
        <v>2737</v>
      </c>
      <c r="N2382" s="2" t="s">
        <v>373</v>
      </c>
      <c r="O2382" s="2" t="s">
        <v>528</v>
      </c>
      <c r="P2382" s="21" t="s">
        <v>12</v>
      </c>
      <c r="Q2382" s="3" t="s">
        <v>12</v>
      </c>
      <c r="R2382" s="3" t="s">
        <v>12</v>
      </c>
    </row>
    <row r="2383" spans="1:19" x14ac:dyDescent="0.25">
      <c r="A2383" s="30">
        <v>46057</v>
      </c>
      <c r="B2383" s="28">
        <v>198</v>
      </c>
      <c r="C2383" s="28"/>
      <c r="D2383" s="2" t="s">
        <v>1446</v>
      </c>
      <c r="E2383" s="7" t="s">
        <v>2903</v>
      </c>
      <c r="F2383" s="7"/>
      <c r="G2383" s="2" t="s">
        <v>43</v>
      </c>
      <c r="H2383" s="2" t="s">
        <v>2007</v>
      </c>
      <c r="I2383" s="5">
        <v>15887.57</v>
      </c>
      <c r="J2383" s="57">
        <v>0.04</v>
      </c>
      <c r="K2383" s="3">
        <v>144</v>
      </c>
      <c r="L2383" s="2" t="s">
        <v>226</v>
      </c>
      <c r="M2383" s="2" t="s">
        <v>12</v>
      </c>
      <c r="N2383" s="2" t="s">
        <v>12</v>
      </c>
      <c r="O2383" s="2" t="s">
        <v>12</v>
      </c>
      <c r="P2383" s="21" t="s">
        <v>12</v>
      </c>
      <c r="Q2383" s="3" t="s">
        <v>12</v>
      </c>
      <c r="R2383" s="3" t="s">
        <v>12</v>
      </c>
    </row>
    <row r="2384" spans="1:19" x14ac:dyDescent="0.25">
      <c r="A2384" s="30">
        <v>46057</v>
      </c>
      <c r="B2384" s="28">
        <v>199</v>
      </c>
      <c r="C2384" s="28" t="s">
        <v>2161</v>
      </c>
      <c r="D2384" s="2" t="s">
        <v>168</v>
      </c>
      <c r="E2384" s="7" t="s">
        <v>2671</v>
      </c>
      <c r="F2384" s="7"/>
      <c r="G2384" s="2" t="s">
        <v>43</v>
      </c>
      <c r="H2384" s="2" t="s">
        <v>170</v>
      </c>
      <c r="I2384" s="5">
        <v>27137.98</v>
      </c>
      <c r="J2384" s="57">
        <v>0.04</v>
      </c>
      <c r="K2384" s="3">
        <v>336</v>
      </c>
      <c r="L2384" s="2" t="s">
        <v>64</v>
      </c>
      <c r="M2384" s="2" t="s">
        <v>12</v>
      </c>
      <c r="N2384" s="2" t="s">
        <v>12</v>
      </c>
      <c r="O2384" s="2" t="s">
        <v>12</v>
      </c>
      <c r="P2384" s="21" t="s">
        <v>12</v>
      </c>
      <c r="Q2384" s="3" t="s">
        <v>458</v>
      </c>
      <c r="R2384" s="3" t="s">
        <v>80</v>
      </c>
    </row>
    <row r="2385" spans="1:18" x14ac:dyDescent="0.25">
      <c r="A2385" s="30">
        <v>46057</v>
      </c>
      <c r="B2385" s="28">
        <v>200</v>
      </c>
      <c r="C2385" s="28"/>
      <c r="D2385" s="2" t="s">
        <v>87</v>
      </c>
      <c r="E2385" s="7" t="s">
        <v>2672</v>
      </c>
      <c r="F2385" s="7"/>
      <c r="G2385" s="2" t="s">
        <v>13</v>
      </c>
      <c r="H2385" s="2" t="s">
        <v>185</v>
      </c>
      <c r="I2385" s="5">
        <v>118773.53</v>
      </c>
      <c r="J2385" s="57">
        <v>7.0000000000000007E-2</v>
      </c>
      <c r="K2385" s="3">
        <v>1322.4</v>
      </c>
      <c r="L2385" s="2" t="s">
        <v>226</v>
      </c>
      <c r="M2385" s="2" t="s">
        <v>12</v>
      </c>
      <c r="N2385" s="2" t="s">
        <v>12</v>
      </c>
      <c r="O2385" s="2" t="s">
        <v>12</v>
      </c>
      <c r="P2385" s="21" t="s">
        <v>12</v>
      </c>
      <c r="Q2385" s="3" t="s">
        <v>78</v>
      </c>
      <c r="R2385" s="3" t="s">
        <v>80</v>
      </c>
    </row>
    <row r="2386" spans="1:18" x14ac:dyDescent="0.25">
      <c r="A2386" s="30">
        <v>46057</v>
      </c>
      <c r="B2386" s="28">
        <v>201</v>
      </c>
      <c r="C2386" s="28"/>
      <c r="D2386" s="2" t="s">
        <v>2673</v>
      </c>
      <c r="E2386" s="7" t="s">
        <v>12</v>
      </c>
      <c r="F2386" s="7"/>
      <c r="G2386" s="2" t="s">
        <v>13</v>
      </c>
      <c r="H2386" s="2" t="s">
        <v>2674</v>
      </c>
      <c r="I2386" s="5">
        <v>9721.7800000000007</v>
      </c>
      <c r="J2386" s="57">
        <v>7.0000000000000007E-2</v>
      </c>
      <c r="K2386" s="3">
        <v>120</v>
      </c>
      <c r="L2386" s="2" t="s">
        <v>226</v>
      </c>
      <c r="M2386" s="2" t="s">
        <v>12</v>
      </c>
      <c r="N2386" s="2" t="s">
        <v>12</v>
      </c>
      <c r="O2386" s="2" t="s">
        <v>12</v>
      </c>
      <c r="P2386" s="21" t="s">
        <v>12</v>
      </c>
      <c r="Q2386" s="3" t="s">
        <v>12</v>
      </c>
      <c r="R2386" s="3" t="s">
        <v>12</v>
      </c>
    </row>
    <row r="2387" spans="1:18" x14ac:dyDescent="0.25">
      <c r="A2387" s="30">
        <v>46057</v>
      </c>
      <c r="B2387" s="28">
        <v>202</v>
      </c>
      <c r="C2387" s="28"/>
      <c r="D2387" s="2" t="s">
        <v>2675</v>
      </c>
      <c r="E2387" s="7" t="s">
        <v>2732</v>
      </c>
      <c r="F2387" s="7"/>
      <c r="G2387" s="2" t="s">
        <v>13</v>
      </c>
      <c r="H2387" s="2" t="s">
        <v>1407</v>
      </c>
      <c r="I2387" s="5">
        <v>24118.5</v>
      </c>
      <c r="J2387" s="57">
        <v>0.04</v>
      </c>
      <c r="K2387" s="3">
        <v>288</v>
      </c>
      <c r="L2387" s="2" t="s">
        <v>64</v>
      </c>
      <c r="M2387" s="2" t="s">
        <v>12</v>
      </c>
      <c r="N2387" s="2" t="s">
        <v>12</v>
      </c>
      <c r="O2387" s="2" t="s">
        <v>12</v>
      </c>
      <c r="P2387" s="21" t="s">
        <v>12</v>
      </c>
      <c r="Q2387" s="3" t="s">
        <v>12</v>
      </c>
      <c r="R2387" s="3" t="s">
        <v>12</v>
      </c>
    </row>
    <row r="2388" spans="1:18" x14ac:dyDescent="0.25">
      <c r="A2388" s="30">
        <v>46057</v>
      </c>
      <c r="B2388" s="28">
        <v>203</v>
      </c>
      <c r="C2388" s="28"/>
      <c r="D2388" s="2" t="s">
        <v>656</v>
      </c>
      <c r="E2388" s="7" t="s">
        <v>2676</v>
      </c>
      <c r="F2388" s="7"/>
      <c r="G2388" s="2" t="s">
        <v>13</v>
      </c>
      <c r="H2388" s="2" t="s">
        <v>263</v>
      </c>
      <c r="I2388" s="5">
        <v>60353.22</v>
      </c>
      <c r="J2388" s="57">
        <v>7.0000000000000007E-2</v>
      </c>
      <c r="K2388" s="3">
        <v>672</v>
      </c>
      <c r="L2388" s="2" t="s">
        <v>226</v>
      </c>
      <c r="M2388" s="2" t="s">
        <v>12</v>
      </c>
      <c r="N2388" s="2" t="s">
        <v>12</v>
      </c>
      <c r="O2388" s="2" t="s">
        <v>12</v>
      </c>
      <c r="P2388" s="21" t="s">
        <v>12</v>
      </c>
      <c r="Q2388" s="3" t="s">
        <v>12</v>
      </c>
      <c r="R2388" s="3" t="s">
        <v>12</v>
      </c>
    </row>
    <row r="2389" spans="1:18" x14ac:dyDescent="0.25">
      <c r="A2389" s="30">
        <v>46057</v>
      </c>
      <c r="B2389" s="28">
        <v>204</v>
      </c>
      <c r="C2389" s="28"/>
      <c r="D2389" s="2" t="s">
        <v>1466</v>
      </c>
      <c r="E2389" s="7" t="s">
        <v>2677</v>
      </c>
      <c r="F2389" s="7"/>
      <c r="G2389" s="2" t="s">
        <v>26</v>
      </c>
      <c r="H2389" s="2" t="s">
        <v>395</v>
      </c>
      <c r="I2389" s="5">
        <v>34843.089999999997</v>
      </c>
      <c r="J2389" s="57">
        <v>7.0000000000000007E-2</v>
      </c>
      <c r="K2389" s="3">
        <v>408</v>
      </c>
      <c r="L2389" s="2" t="s">
        <v>73</v>
      </c>
      <c r="M2389" s="2" t="s">
        <v>12</v>
      </c>
      <c r="N2389" s="2" t="s">
        <v>12</v>
      </c>
      <c r="O2389" s="2" t="s">
        <v>12</v>
      </c>
      <c r="P2389" s="21" t="s">
        <v>12</v>
      </c>
      <c r="Q2389" s="3" t="s">
        <v>12</v>
      </c>
      <c r="R2389" s="3" t="s">
        <v>12</v>
      </c>
    </row>
    <row r="2390" spans="1:18" x14ac:dyDescent="0.25">
      <c r="A2390" s="30">
        <v>46057</v>
      </c>
      <c r="B2390" s="28">
        <v>205</v>
      </c>
      <c r="C2390" s="28"/>
      <c r="D2390" s="2" t="s">
        <v>109</v>
      </c>
      <c r="E2390" s="7" t="s">
        <v>12</v>
      </c>
      <c r="F2390" s="7"/>
      <c r="G2390" s="2" t="s">
        <v>111</v>
      </c>
      <c r="H2390" s="2" t="s">
        <v>12</v>
      </c>
      <c r="I2390" s="5" t="s">
        <v>12</v>
      </c>
      <c r="J2390" s="57" t="s">
        <v>12</v>
      </c>
      <c r="K2390" s="3" t="s">
        <v>12</v>
      </c>
      <c r="L2390" s="2" t="s">
        <v>226</v>
      </c>
      <c r="M2390" s="2" t="s">
        <v>12</v>
      </c>
      <c r="N2390" s="2" t="s">
        <v>12</v>
      </c>
      <c r="O2390" s="2" t="s">
        <v>12</v>
      </c>
      <c r="P2390" s="21" t="s">
        <v>12</v>
      </c>
      <c r="Q2390" s="3" t="s">
        <v>12</v>
      </c>
      <c r="R2390" s="3" t="s">
        <v>12</v>
      </c>
    </row>
    <row r="2391" spans="1:18" x14ac:dyDescent="0.25">
      <c r="A2391" s="30">
        <v>46057</v>
      </c>
      <c r="B2391" s="28">
        <v>206</v>
      </c>
      <c r="C2391" s="28"/>
      <c r="D2391" s="2" t="s">
        <v>109</v>
      </c>
      <c r="E2391" s="7" t="s">
        <v>2904</v>
      </c>
      <c r="F2391" s="7"/>
      <c r="G2391" s="2" t="s">
        <v>111</v>
      </c>
      <c r="H2391" s="2" t="s">
        <v>112</v>
      </c>
      <c r="I2391" s="5">
        <v>138899.32999999999</v>
      </c>
      <c r="J2391" s="57">
        <v>7.0000000000000007E-2</v>
      </c>
      <c r="K2391" s="3">
        <v>1208.4000000000001</v>
      </c>
      <c r="L2391" s="2" t="s">
        <v>73</v>
      </c>
      <c r="M2391" s="2" t="s">
        <v>12</v>
      </c>
      <c r="N2391" s="2" t="s">
        <v>12</v>
      </c>
      <c r="O2391" s="2" t="s">
        <v>12</v>
      </c>
      <c r="P2391" s="21" t="s">
        <v>12</v>
      </c>
      <c r="Q2391" s="3" t="s">
        <v>12</v>
      </c>
      <c r="R2391" s="3" t="s">
        <v>12</v>
      </c>
    </row>
    <row r="2392" spans="1:18" x14ac:dyDescent="0.25">
      <c r="A2392" s="30">
        <v>46057</v>
      </c>
      <c r="B2392" s="28">
        <v>207</v>
      </c>
      <c r="C2392" s="28"/>
      <c r="D2392" s="2" t="s">
        <v>202</v>
      </c>
      <c r="E2392" s="7" t="s">
        <v>2678</v>
      </c>
      <c r="F2392" s="7"/>
      <c r="G2392" s="2" t="s">
        <v>97</v>
      </c>
      <c r="H2392" s="2" t="s">
        <v>1303</v>
      </c>
      <c r="I2392" s="5">
        <v>78710.899999999994</v>
      </c>
      <c r="J2392" s="57">
        <v>0.05</v>
      </c>
      <c r="K2392" s="3">
        <v>864</v>
      </c>
      <c r="L2392" s="2" t="s">
        <v>64</v>
      </c>
      <c r="M2392" s="2" t="s">
        <v>12</v>
      </c>
      <c r="N2392" s="2" t="s">
        <v>12</v>
      </c>
      <c r="O2392" s="2" t="s">
        <v>12</v>
      </c>
      <c r="P2392" s="21" t="s">
        <v>12</v>
      </c>
      <c r="Q2392" s="3" t="s">
        <v>220</v>
      </c>
      <c r="R2392" s="3" t="s">
        <v>80</v>
      </c>
    </row>
    <row r="2393" spans="1:18" x14ac:dyDescent="0.25">
      <c r="A2393" s="30">
        <v>46058</v>
      </c>
      <c r="B2393" s="28">
        <v>208</v>
      </c>
      <c r="C2393" s="28"/>
      <c r="D2393" s="2" t="s">
        <v>62</v>
      </c>
      <c r="E2393" s="7" t="s">
        <v>12</v>
      </c>
      <c r="F2393" s="7" t="s">
        <v>2683</v>
      </c>
      <c r="G2393" s="2" t="s">
        <v>26</v>
      </c>
      <c r="H2393" s="2" t="s">
        <v>63</v>
      </c>
      <c r="I2393" s="5">
        <v>10477.09</v>
      </c>
      <c r="J2393" s="57">
        <v>0.06</v>
      </c>
      <c r="K2393" s="3">
        <v>96</v>
      </c>
      <c r="L2393" s="2" t="s">
        <v>64</v>
      </c>
      <c r="M2393" s="2" t="s">
        <v>12</v>
      </c>
      <c r="N2393" s="2" t="s">
        <v>12</v>
      </c>
      <c r="O2393" s="2" t="s">
        <v>12</v>
      </c>
      <c r="P2393" s="21" t="s">
        <v>12</v>
      </c>
      <c r="Q2393" s="3" t="s">
        <v>12</v>
      </c>
      <c r="R2393" s="3" t="s">
        <v>12</v>
      </c>
    </row>
    <row r="2394" spans="1:18" x14ac:dyDescent="0.25">
      <c r="A2394" s="30">
        <v>46058</v>
      </c>
      <c r="B2394" s="28">
        <v>209</v>
      </c>
      <c r="C2394" s="28"/>
      <c r="D2394" s="2" t="s">
        <v>1237</v>
      </c>
      <c r="E2394" s="7" t="s">
        <v>2684</v>
      </c>
      <c r="F2394" s="7" t="s">
        <v>2697</v>
      </c>
      <c r="G2394" s="2" t="s">
        <v>20</v>
      </c>
      <c r="H2394" s="2" t="s">
        <v>13</v>
      </c>
      <c r="I2394" s="5">
        <v>162702.35</v>
      </c>
      <c r="J2394" s="57">
        <v>7.0000000000000007E-2</v>
      </c>
      <c r="K2394" s="3">
        <v>1776</v>
      </c>
      <c r="L2394" s="2" t="s">
        <v>226</v>
      </c>
      <c r="M2394" s="2" t="s">
        <v>2578</v>
      </c>
      <c r="N2394" s="2" t="s">
        <v>12</v>
      </c>
      <c r="O2394" s="2" t="s">
        <v>12</v>
      </c>
      <c r="P2394" s="21" t="s">
        <v>12</v>
      </c>
      <c r="Q2394" s="3" t="s">
        <v>12</v>
      </c>
      <c r="R2394" s="3" t="s">
        <v>12</v>
      </c>
    </row>
    <row r="2395" spans="1:18" x14ac:dyDescent="0.25">
      <c r="A2395" s="30">
        <v>46058</v>
      </c>
      <c r="B2395" s="28">
        <v>210</v>
      </c>
      <c r="C2395" s="28"/>
      <c r="D2395" s="2" t="s">
        <v>212</v>
      </c>
      <c r="E2395" s="7" t="s">
        <v>2685</v>
      </c>
      <c r="F2395" s="7" t="s">
        <v>3002</v>
      </c>
      <c r="G2395" s="2" t="s">
        <v>20</v>
      </c>
      <c r="H2395" s="2" t="s">
        <v>320</v>
      </c>
      <c r="I2395" s="5">
        <v>502374.06</v>
      </c>
      <c r="J2395" s="57">
        <v>7.0000000000000007E-2</v>
      </c>
      <c r="K2395" s="3">
        <v>5424</v>
      </c>
      <c r="L2395" s="2" t="s">
        <v>226</v>
      </c>
      <c r="M2395" s="2" t="s">
        <v>711</v>
      </c>
      <c r="N2395" s="2" t="s">
        <v>12</v>
      </c>
      <c r="O2395" s="2" t="s">
        <v>12</v>
      </c>
      <c r="P2395" s="21" t="s">
        <v>12</v>
      </c>
      <c r="Q2395" s="3" t="s">
        <v>12</v>
      </c>
      <c r="R2395" s="3" t="s">
        <v>12</v>
      </c>
    </row>
    <row r="2396" spans="1:18" x14ac:dyDescent="0.25">
      <c r="A2396" s="30">
        <v>46063</v>
      </c>
      <c r="B2396" s="28">
        <v>211</v>
      </c>
      <c r="C2396" s="28" t="s">
        <v>2161</v>
      </c>
      <c r="D2396" s="2" t="s">
        <v>2190</v>
      </c>
      <c r="E2396" s="7" t="s">
        <v>2686</v>
      </c>
      <c r="F2396" s="7" t="s">
        <v>3001</v>
      </c>
      <c r="G2396" s="2" t="s">
        <v>13</v>
      </c>
      <c r="H2396" s="2" t="s">
        <v>549</v>
      </c>
      <c r="I2396" s="5">
        <v>12314.78</v>
      </c>
      <c r="J2396" s="57">
        <v>7.0000000000000007E-2</v>
      </c>
      <c r="K2396" s="3">
        <v>120</v>
      </c>
      <c r="L2396" s="2" t="s">
        <v>64</v>
      </c>
      <c r="M2396" s="2" t="s">
        <v>12</v>
      </c>
      <c r="N2396" s="2" t="s">
        <v>12</v>
      </c>
      <c r="O2396" s="2" t="s">
        <v>12</v>
      </c>
      <c r="P2396" s="21" t="s">
        <v>12</v>
      </c>
      <c r="Q2396" s="3" t="s">
        <v>12</v>
      </c>
      <c r="R2396" s="3" t="s">
        <v>12</v>
      </c>
    </row>
    <row r="2397" spans="1:18" x14ac:dyDescent="0.25">
      <c r="A2397" s="30">
        <v>46063</v>
      </c>
      <c r="B2397" s="28">
        <v>212</v>
      </c>
      <c r="C2397" s="28" t="s">
        <v>2161</v>
      </c>
      <c r="D2397" s="2" t="s">
        <v>2190</v>
      </c>
      <c r="E2397" s="7" t="s">
        <v>2687</v>
      </c>
      <c r="F2397" s="7" t="s">
        <v>3001</v>
      </c>
      <c r="G2397" s="2" t="s">
        <v>13</v>
      </c>
      <c r="H2397" s="2" t="s">
        <v>549</v>
      </c>
      <c r="I2397" s="5">
        <v>17751.07</v>
      </c>
      <c r="J2397" s="57">
        <v>7.0000000000000007E-2</v>
      </c>
      <c r="K2397" s="3">
        <v>216</v>
      </c>
      <c r="L2397" s="2" t="s">
        <v>64</v>
      </c>
      <c r="M2397" s="2" t="s">
        <v>12</v>
      </c>
      <c r="N2397" s="2" t="s">
        <v>12</v>
      </c>
      <c r="O2397" s="2" t="s">
        <v>12</v>
      </c>
      <c r="P2397" s="21" t="s">
        <v>12</v>
      </c>
      <c r="Q2397" s="3" t="s">
        <v>12</v>
      </c>
      <c r="R2397" s="3" t="s">
        <v>12</v>
      </c>
    </row>
    <row r="2398" spans="1:18" x14ac:dyDescent="0.25">
      <c r="A2398" s="30">
        <v>46058</v>
      </c>
      <c r="B2398" s="28">
        <v>213</v>
      </c>
      <c r="C2398" s="28"/>
      <c r="D2398" s="2" t="s">
        <v>2592</v>
      </c>
      <c r="E2398" s="7" t="s">
        <v>2818</v>
      </c>
      <c r="F2398" s="7" t="s">
        <v>2693</v>
      </c>
      <c r="G2398" s="2" t="s">
        <v>97</v>
      </c>
      <c r="H2398" s="2" t="s">
        <v>1742</v>
      </c>
      <c r="I2398" s="5">
        <v>533456.82999999996</v>
      </c>
      <c r="J2398" s="57">
        <v>0.05</v>
      </c>
      <c r="K2398" s="3">
        <v>7080</v>
      </c>
      <c r="L2398" s="2" t="s">
        <v>226</v>
      </c>
      <c r="M2398" s="2" t="s">
        <v>12</v>
      </c>
      <c r="N2398" s="2" t="s">
        <v>12</v>
      </c>
      <c r="O2398" s="2" t="s">
        <v>12</v>
      </c>
      <c r="P2398" s="21" t="s">
        <v>12</v>
      </c>
      <c r="Q2398" s="3" t="s">
        <v>12</v>
      </c>
      <c r="R2398" s="3" t="s">
        <v>12</v>
      </c>
    </row>
    <row r="2399" spans="1:18" x14ac:dyDescent="0.25">
      <c r="A2399" s="30">
        <v>46059</v>
      </c>
      <c r="B2399" s="28">
        <v>214</v>
      </c>
      <c r="C2399" s="28"/>
      <c r="D2399" s="2" t="s">
        <v>87</v>
      </c>
      <c r="E2399" s="7" t="s">
        <v>2688</v>
      </c>
      <c r="F2399" s="7" t="s">
        <v>2972</v>
      </c>
      <c r="G2399" s="2" t="s">
        <v>13</v>
      </c>
      <c r="H2399" s="2" t="s">
        <v>369</v>
      </c>
      <c r="I2399" s="5">
        <v>30458.94</v>
      </c>
      <c r="J2399" s="57">
        <v>7.0000000000000007E-2</v>
      </c>
      <c r="K2399" s="3">
        <v>336</v>
      </c>
      <c r="L2399" s="2" t="s">
        <v>226</v>
      </c>
      <c r="M2399" s="2" t="s">
        <v>12</v>
      </c>
      <c r="N2399" s="2"/>
      <c r="O2399" s="2"/>
      <c r="P2399" s="21"/>
      <c r="Q2399" s="3" t="s">
        <v>12</v>
      </c>
      <c r="R2399" s="3" t="s">
        <v>12</v>
      </c>
    </row>
    <row r="2400" spans="1:18" x14ac:dyDescent="0.25">
      <c r="A2400" s="30">
        <v>46059</v>
      </c>
      <c r="B2400" s="28">
        <v>215</v>
      </c>
      <c r="C2400" s="28"/>
      <c r="D2400" s="2" t="s">
        <v>2689</v>
      </c>
      <c r="E2400" s="7" t="s">
        <v>12</v>
      </c>
      <c r="F2400" s="7" t="s">
        <v>2683</v>
      </c>
      <c r="G2400" s="2" t="s">
        <v>13</v>
      </c>
      <c r="H2400" s="2" t="s">
        <v>1454</v>
      </c>
      <c r="I2400" s="5">
        <v>6536.74</v>
      </c>
      <c r="J2400" s="57">
        <v>7.0000000000000007E-2</v>
      </c>
      <c r="K2400" s="3">
        <v>72</v>
      </c>
      <c r="L2400" s="2" t="s">
        <v>226</v>
      </c>
      <c r="M2400" s="2" t="s">
        <v>12</v>
      </c>
      <c r="N2400" s="2" t="s">
        <v>12</v>
      </c>
      <c r="O2400" s="2" t="s">
        <v>12</v>
      </c>
      <c r="P2400" s="21" t="s">
        <v>12</v>
      </c>
      <c r="Q2400" s="3" t="s">
        <v>12</v>
      </c>
      <c r="R2400" s="3" t="s">
        <v>12</v>
      </c>
    </row>
    <row r="2401" spans="1:18" x14ac:dyDescent="0.25">
      <c r="A2401" s="30">
        <v>46066</v>
      </c>
      <c r="B2401" s="28">
        <v>216</v>
      </c>
      <c r="C2401" s="28"/>
      <c r="D2401" s="2" t="s">
        <v>308</v>
      </c>
      <c r="E2401" s="7" t="s">
        <v>2690</v>
      </c>
      <c r="F2401" s="7" t="s">
        <v>3002</v>
      </c>
      <c r="G2401" s="2" t="s">
        <v>20</v>
      </c>
      <c r="H2401" s="2" t="s">
        <v>129</v>
      </c>
      <c r="I2401" s="5">
        <v>79699.25</v>
      </c>
      <c r="J2401" s="57">
        <v>0.05</v>
      </c>
      <c r="K2401" s="3">
        <v>1200</v>
      </c>
      <c r="L2401" s="2" t="s">
        <v>226</v>
      </c>
      <c r="M2401" s="2" t="s">
        <v>2774</v>
      </c>
      <c r="N2401" s="2" t="s">
        <v>12</v>
      </c>
      <c r="O2401" s="2" t="s">
        <v>12</v>
      </c>
      <c r="P2401" s="21" t="s">
        <v>12</v>
      </c>
      <c r="Q2401" s="3" t="s">
        <v>12</v>
      </c>
      <c r="R2401" s="3" t="s">
        <v>12</v>
      </c>
    </row>
    <row r="2402" spans="1:18" x14ac:dyDescent="0.25">
      <c r="A2402" s="30">
        <v>46059</v>
      </c>
      <c r="B2402" s="28">
        <v>217</v>
      </c>
      <c r="C2402" s="28"/>
      <c r="D2402" s="2" t="s">
        <v>1296</v>
      </c>
      <c r="E2402" s="7" t="s">
        <v>12</v>
      </c>
      <c r="F2402" s="7" t="s">
        <v>2693</v>
      </c>
      <c r="G2402" s="2" t="s">
        <v>26</v>
      </c>
      <c r="H2402" s="2" t="s">
        <v>1726</v>
      </c>
      <c r="I2402" s="5">
        <v>4200</v>
      </c>
      <c r="J2402" s="57">
        <v>7.0000000000000007E-2</v>
      </c>
      <c r="K2402" s="3" t="s">
        <v>12</v>
      </c>
      <c r="L2402" s="2" t="s">
        <v>226</v>
      </c>
      <c r="M2402" s="2" t="s">
        <v>12</v>
      </c>
      <c r="N2402" s="2" t="s">
        <v>12</v>
      </c>
      <c r="O2402" s="2" t="s">
        <v>12</v>
      </c>
      <c r="P2402" s="21" t="s">
        <v>12</v>
      </c>
      <c r="Q2402" s="3" t="s">
        <v>12</v>
      </c>
      <c r="R2402" s="3" t="s">
        <v>12</v>
      </c>
    </row>
    <row r="2403" spans="1:18" x14ac:dyDescent="0.25">
      <c r="A2403" s="30">
        <v>46059</v>
      </c>
      <c r="B2403" s="28">
        <v>218</v>
      </c>
      <c r="C2403" s="28"/>
      <c r="D2403" s="2" t="s">
        <v>1446</v>
      </c>
      <c r="E2403" s="7" t="s">
        <v>2691</v>
      </c>
      <c r="F2403" s="7" t="s">
        <v>2693</v>
      </c>
      <c r="G2403" s="2" t="s">
        <v>43</v>
      </c>
      <c r="H2403" s="2" t="s">
        <v>2007</v>
      </c>
      <c r="I2403" s="5">
        <v>29075.52</v>
      </c>
      <c r="J2403" s="57">
        <v>7.0000000000000007E-2</v>
      </c>
      <c r="K2403" s="3">
        <v>312</v>
      </c>
      <c r="L2403" s="2" t="s">
        <v>73</v>
      </c>
      <c r="M2403" s="2" t="s">
        <v>12</v>
      </c>
      <c r="N2403" s="2" t="s">
        <v>12</v>
      </c>
      <c r="O2403" s="2" t="s">
        <v>12</v>
      </c>
      <c r="P2403" s="21" t="s">
        <v>12</v>
      </c>
      <c r="Q2403" s="3" t="s">
        <v>12</v>
      </c>
      <c r="R2403" s="3" t="s">
        <v>12</v>
      </c>
    </row>
    <row r="2404" spans="1:18" x14ac:dyDescent="0.25">
      <c r="A2404" s="30">
        <v>46059</v>
      </c>
      <c r="B2404" s="28">
        <v>219</v>
      </c>
      <c r="C2404" s="28"/>
      <c r="D2404" s="2" t="s">
        <v>1446</v>
      </c>
      <c r="E2404" s="7" t="s">
        <v>2692</v>
      </c>
      <c r="F2404" s="7" t="s">
        <v>2693</v>
      </c>
      <c r="G2404" s="2" t="s">
        <v>43</v>
      </c>
      <c r="H2404" s="2" t="s">
        <v>2007</v>
      </c>
      <c r="I2404" s="5">
        <v>28351.18</v>
      </c>
      <c r="J2404" s="57">
        <v>7.0000000000000007E-2</v>
      </c>
      <c r="K2404" s="3">
        <v>264</v>
      </c>
      <c r="L2404" s="2" t="s">
        <v>73</v>
      </c>
      <c r="M2404" s="2" t="s">
        <v>12</v>
      </c>
      <c r="N2404" s="2"/>
      <c r="O2404" s="2"/>
      <c r="P2404" s="21"/>
      <c r="Q2404" s="3" t="s">
        <v>12</v>
      </c>
      <c r="R2404" s="3" t="s">
        <v>12</v>
      </c>
    </row>
    <row r="2405" spans="1:18" x14ac:dyDescent="0.25">
      <c r="A2405" s="30">
        <v>46059</v>
      </c>
      <c r="B2405" s="28">
        <v>220</v>
      </c>
      <c r="C2405" s="28"/>
      <c r="D2405" s="2" t="s">
        <v>2594</v>
      </c>
      <c r="E2405" s="7" t="s">
        <v>1889</v>
      </c>
      <c r="F2405" s="7" t="s">
        <v>2694</v>
      </c>
      <c r="G2405" s="2" t="s">
        <v>13</v>
      </c>
      <c r="H2405" s="2"/>
      <c r="I2405" s="5">
        <v>3900</v>
      </c>
      <c r="J2405" s="57">
        <v>7.0000000000000007E-2</v>
      </c>
      <c r="K2405" s="3" t="s">
        <v>12</v>
      </c>
      <c r="L2405" s="2" t="s">
        <v>64</v>
      </c>
      <c r="M2405" s="2" t="s">
        <v>12</v>
      </c>
      <c r="N2405" s="2" t="s">
        <v>12</v>
      </c>
      <c r="O2405" s="2" t="s">
        <v>12</v>
      </c>
      <c r="P2405" s="21" t="s">
        <v>12</v>
      </c>
      <c r="Q2405" s="3" t="s">
        <v>74</v>
      </c>
      <c r="R2405" s="3" t="s">
        <v>222</v>
      </c>
    </row>
    <row r="2406" spans="1:18" x14ac:dyDescent="0.25">
      <c r="A2406" s="30">
        <v>46063</v>
      </c>
      <c r="B2406" s="28">
        <v>221</v>
      </c>
      <c r="C2406" s="28" t="s">
        <v>2161</v>
      </c>
      <c r="D2406" s="2" t="s">
        <v>1328</v>
      </c>
      <c r="E2406" s="7" t="s">
        <v>2695</v>
      </c>
      <c r="F2406" s="7" t="s">
        <v>2693</v>
      </c>
      <c r="G2406" s="2" t="s">
        <v>13</v>
      </c>
      <c r="H2406" s="2" t="s">
        <v>101</v>
      </c>
      <c r="I2406" s="5">
        <v>41780.71</v>
      </c>
      <c r="J2406" s="57">
        <v>0.05</v>
      </c>
      <c r="K2406" s="3">
        <v>432</v>
      </c>
      <c r="L2406" s="2" t="s">
        <v>64</v>
      </c>
      <c r="M2406" s="2" t="s">
        <v>12</v>
      </c>
      <c r="N2406" s="2" t="s">
        <v>12</v>
      </c>
      <c r="O2406" s="2" t="s">
        <v>12</v>
      </c>
      <c r="P2406" s="21" t="s">
        <v>12</v>
      </c>
      <c r="Q2406" s="3" t="s">
        <v>1328</v>
      </c>
      <c r="R2406" s="3" t="s">
        <v>80</v>
      </c>
    </row>
    <row r="2407" spans="1:18" x14ac:dyDescent="0.25">
      <c r="A2407" s="30">
        <v>46062</v>
      </c>
      <c r="B2407" s="28">
        <v>222</v>
      </c>
      <c r="C2407" s="28"/>
      <c r="D2407" s="2" t="s">
        <v>355</v>
      </c>
      <c r="E2407" s="7" t="s">
        <v>2696</v>
      </c>
      <c r="F2407" s="7" t="s">
        <v>2697</v>
      </c>
      <c r="G2407" s="2" t="s">
        <v>111</v>
      </c>
      <c r="H2407" s="2" t="s">
        <v>439</v>
      </c>
      <c r="I2407" s="5">
        <v>10052.6</v>
      </c>
      <c r="J2407" s="57">
        <v>7.0000000000000007E-2</v>
      </c>
      <c r="K2407" s="3">
        <v>96</v>
      </c>
      <c r="L2407" s="2" t="s">
        <v>226</v>
      </c>
      <c r="M2407" s="2" t="s">
        <v>12</v>
      </c>
      <c r="N2407" s="2" t="s">
        <v>12</v>
      </c>
      <c r="O2407" s="2" t="s">
        <v>12</v>
      </c>
      <c r="P2407" s="21" t="s">
        <v>12</v>
      </c>
      <c r="Q2407" s="3" t="s">
        <v>2728</v>
      </c>
      <c r="R2407" s="3" t="s">
        <v>80</v>
      </c>
    </row>
    <row r="2408" spans="1:18" x14ac:dyDescent="0.25">
      <c r="A2408" s="30">
        <v>46062</v>
      </c>
      <c r="B2408" s="28">
        <v>223</v>
      </c>
      <c r="C2408" s="28"/>
      <c r="D2408" s="2" t="s">
        <v>1108</v>
      </c>
      <c r="E2408" s="7" t="s">
        <v>2698</v>
      </c>
      <c r="F2408" s="7" t="s">
        <v>3001</v>
      </c>
      <c r="G2408" s="2" t="s">
        <v>20</v>
      </c>
      <c r="H2408" s="2" t="s">
        <v>2699</v>
      </c>
      <c r="I2408" s="5">
        <v>3958.93</v>
      </c>
      <c r="J2408" s="57">
        <v>7.0000000000000007E-2</v>
      </c>
      <c r="K2408" s="3">
        <v>48</v>
      </c>
      <c r="L2408" s="2" t="s">
        <v>226</v>
      </c>
      <c r="M2408" s="2" t="s">
        <v>12</v>
      </c>
      <c r="N2408" s="2" t="s">
        <v>12</v>
      </c>
      <c r="O2408" s="2" t="s">
        <v>12</v>
      </c>
      <c r="P2408" s="21" t="s">
        <v>12</v>
      </c>
      <c r="Q2408" s="3" t="s">
        <v>12</v>
      </c>
      <c r="R2408" s="3" t="s">
        <v>12</v>
      </c>
    </row>
    <row r="2409" spans="1:18" x14ac:dyDescent="0.25">
      <c r="A2409" s="30">
        <v>46062</v>
      </c>
      <c r="B2409" s="28">
        <v>224</v>
      </c>
      <c r="C2409" s="28"/>
      <c r="D2409" s="2" t="s">
        <v>1998</v>
      </c>
      <c r="E2409" s="7" t="s">
        <v>2700</v>
      </c>
      <c r="F2409" s="7" t="s">
        <v>3001</v>
      </c>
      <c r="G2409" s="2" t="s">
        <v>43</v>
      </c>
      <c r="H2409" s="2" t="s">
        <v>98</v>
      </c>
      <c r="I2409" s="5">
        <v>104146.22</v>
      </c>
      <c r="J2409" s="57">
        <v>7.0000000000000007E-2</v>
      </c>
      <c r="K2409" s="3">
        <v>1200</v>
      </c>
      <c r="L2409" s="2" t="s">
        <v>226</v>
      </c>
      <c r="M2409" s="2" t="s">
        <v>12</v>
      </c>
      <c r="N2409" s="2" t="s">
        <v>12</v>
      </c>
      <c r="O2409" s="2" t="s">
        <v>12</v>
      </c>
      <c r="P2409" s="21" t="s">
        <v>12</v>
      </c>
      <c r="Q2409" s="3" t="s">
        <v>12</v>
      </c>
      <c r="R2409" s="3"/>
    </row>
    <row r="2410" spans="1:18" x14ac:dyDescent="0.25">
      <c r="A2410" s="30">
        <v>46064</v>
      </c>
      <c r="B2410" s="28">
        <v>225</v>
      </c>
      <c r="C2410" s="28"/>
      <c r="D2410" s="2" t="s">
        <v>2701</v>
      </c>
      <c r="E2410" s="7" t="s">
        <v>2702</v>
      </c>
      <c r="F2410" s="7" t="s">
        <v>2694</v>
      </c>
      <c r="G2410" s="2" t="s">
        <v>26</v>
      </c>
      <c r="H2410" s="2" t="s">
        <v>2703</v>
      </c>
      <c r="I2410" s="5">
        <v>37426.49</v>
      </c>
      <c r="J2410" s="57">
        <v>0.06</v>
      </c>
      <c r="K2410" s="3">
        <v>351.6</v>
      </c>
      <c r="L2410" s="2" t="s">
        <v>64</v>
      </c>
      <c r="M2410" s="2" t="s">
        <v>12</v>
      </c>
      <c r="N2410" s="2" t="s">
        <v>12</v>
      </c>
      <c r="O2410" s="2" t="s">
        <v>12</v>
      </c>
      <c r="P2410" s="21" t="s">
        <v>12</v>
      </c>
      <c r="Q2410" s="3" t="s">
        <v>12</v>
      </c>
      <c r="R2410" s="3" t="s">
        <v>12</v>
      </c>
    </row>
    <row r="2411" spans="1:18" x14ac:dyDescent="0.25">
      <c r="A2411" s="30">
        <v>46062</v>
      </c>
      <c r="B2411" s="28">
        <v>226</v>
      </c>
      <c r="C2411" s="28"/>
      <c r="D2411" s="2" t="s">
        <v>989</v>
      </c>
      <c r="E2411" s="7" t="s">
        <v>2704</v>
      </c>
      <c r="F2411" s="7" t="s">
        <v>2694</v>
      </c>
      <c r="G2411" s="2" t="s">
        <v>20</v>
      </c>
      <c r="H2411" s="2" t="s">
        <v>432</v>
      </c>
      <c r="I2411" s="5">
        <v>10365.58</v>
      </c>
      <c r="J2411" s="57">
        <v>7.0000000000000007E-2</v>
      </c>
      <c r="K2411" s="3">
        <v>120</v>
      </c>
      <c r="L2411" s="2" t="s">
        <v>226</v>
      </c>
      <c r="M2411" s="2" t="s">
        <v>2908</v>
      </c>
      <c r="N2411" s="2" t="s">
        <v>12</v>
      </c>
      <c r="O2411" s="2" t="s">
        <v>12</v>
      </c>
      <c r="P2411" s="21" t="s">
        <v>12</v>
      </c>
      <c r="Q2411" s="3" t="s">
        <v>12</v>
      </c>
      <c r="R2411" s="3" t="s">
        <v>12</v>
      </c>
    </row>
    <row r="2412" spans="1:18" x14ac:dyDescent="0.25">
      <c r="A2412" s="30">
        <v>46062</v>
      </c>
      <c r="B2412" s="28">
        <v>227</v>
      </c>
      <c r="C2412" s="28"/>
      <c r="D2412" s="2" t="s">
        <v>130</v>
      </c>
      <c r="E2412" s="7" t="s">
        <v>2705</v>
      </c>
      <c r="F2412" s="7" t="s">
        <v>3001</v>
      </c>
      <c r="G2412" s="2" t="s">
        <v>26</v>
      </c>
      <c r="H2412" s="2" t="s">
        <v>438</v>
      </c>
      <c r="I2412" s="5">
        <v>35519.040000000001</v>
      </c>
      <c r="J2412" s="57">
        <v>7.0000000000000007E-2</v>
      </c>
      <c r="K2412" s="3">
        <v>384</v>
      </c>
      <c r="L2412" s="2" t="s">
        <v>226</v>
      </c>
      <c r="M2412" s="2" t="s">
        <v>12</v>
      </c>
      <c r="N2412" s="2" t="s">
        <v>12</v>
      </c>
      <c r="O2412" s="2" t="s">
        <v>12</v>
      </c>
      <c r="P2412" s="21" t="s">
        <v>12</v>
      </c>
      <c r="Q2412" s="3" t="s">
        <v>133</v>
      </c>
      <c r="R2412" s="3" t="s">
        <v>75</v>
      </c>
    </row>
    <row r="2413" spans="1:18" x14ac:dyDescent="0.25">
      <c r="A2413" s="30">
        <v>46063</v>
      </c>
      <c r="B2413" s="28">
        <v>228</v>
      </c>
      <c r="C2413" s="28"/>
      <c r="D2413" s="2" t="s">
        <v>130</v>
      </c>
      <c r="E2413" s="7" t="s">
        <v>2706</v>
      </c>
      <c r="F2413" s="7" t="s">
        <v>3001</v>
      </c>
      <c r="G2413" s="2" t="s">
        <v>26</v>
      </c>
      <c r="H2413" s="2" t="s">
        <v>369</v>
      </c>
      <c r="I2413" s="5">
        <v>51889.55</v>
      </c>
      <c r="J2413" s="57">
        <v>7.0000000000000007E-2</v>
      </c>
      <c r="K2413" s="3">
        <v>528</v>
      </c>
      <c r="L2413" s="2" t="s">
        <v>226</v>
      </c>
      <c r="M2413" s="2" t="s">
        <v>12</v>
      </c>
      <c r="N2413" s="2" t="s">
        <v>12</v>
      </c>
      <c r="O2413" s="2" t="s">
        <v>12</v>
      </c>
      <c r="P2413" s="21" t="s">
        <v>12</v>
      </c>
      <c r="Q2413" s="3" t="s">
        <v>133</v>
      </c>
      <c r="R2413" s="3" t="s">
        <v>75</v>
      </c>
    </row>
    <row r="2414" spans="1:18" x14ac:dyDescent="0.25">
      <c r="A2414" s="30">
        <v>46093</v>
      </c>
      <c r="B2414" s="28">
        <v>229</v>
      </c>
      <c r="C2414" s="28"/>
      <c r="D2414" s="2" t="s">
        <v>41</v>
      </c>
      <c r="E2414" s="7" t="s">
        <v>2707</v>
      </c>
      <c r="F2414" s="7" t="s">
        <v>2697</v>
      </c>
      <c r="G2414" s="2" t="s">
        <v>43</v>
      </c>
      <c r="H2414" s="2" t="s">
        <v>158</v>
      </c>
      <c r="I2414" s="5">
        <v>39201.94</v>
      </c>
      <c r="J2414" s="57">
        <v>7.0000000000000007E-2</v>
      </c>
      <c r="K2414" s="3">
        <v>480</v>
      </c>
      <c r="L2414" s="2" t="s">
        <v>134</v>
      </c>
      <c r="M2414" s="2" t="s">
        <v>1160</v>
      </c>
      <c r="N2414" s="2" t="s">
        <v>135</v>
      </c>
      <c r="O2414" s="2" t="s">
        <v>374</v>
      </c>
      <c r="P2414" s="21" t="s">
        <v>12</v>
      </c>
      <c r="Q2414" s="3" t="s">
        <v>12</v>
      </c>
      <c r="R2414" s="3" t="s">
        <v>12</v>
      </c>
    </row>
    <row r="2415" spans="1:18" x14ac:dyDescent="0.25">
      <c r="A2415" s="30">
        <v>46063</v>
      </c>
      <c r="B2415" s="28">
        <v>230</v>
      </c>
      <c r="C2415" s="28"/>
      <c r="D2415" s="2" t="s">
        <v>45</v>
      </c>
      <c r="E2415" s="7" t="s">
        <v>2667</v>
      </c>
      <c r="F2415" s="7" t="s">
        <v>2972</v>
      </c>
      <c r="G2415" s="2" t="s">
        <v>20</v>
      </c>
      <c r="H2415" s="2" t="s">
        <v>121</v>
      </c>
      <c r="I2415" s="5">
        <v>122014.18</v>
      </c>
      <c r="J2415" s="57">
        <v>7.0000000000000007E-2</v>
      </c>
      <c r="K2415" s="3">
        <v>1200</v>
      </c>
      <c r="L2415" s="2" t="s">
        <v>226</v>
      </c>
      <c r="M2415" s="2" t="s">
        <v>12</v>
      </c>
      <c r="N2415" s="2" t="s">
        <v>12</v>
      </c>
      <c r="O2415" s="2" t="s">
        <v>12</v>
      </c>
      <c r="P2415" s="21" t="s">
        <v>12</v>
      </c>
      <c r="Q2415" s="3" t="s">
        <v>12</v>
      </c>
      <c r="R2415" s="3" t="s">
        <v>12</v>
      </c>
    </row>
    <row r="2416" spans="1:18" x14ac:dyDescent="0.25">
      <c r="A2416" s="30">
        <v>46063</v>
      </c>
      <c r="B2416" s="28">
        <v>231</v>
      </c>
      <c r="C2416" s="28"/>
      <c r="D2416" s="2" t="s">
        <v>1596</v>
      </c>
      <c r="E2416" s="7" t="s">
        <v>12</v>
      </c>
      <c r="F2416" s="7" t="s">
        <v>2683</v>
      </c>
      <c r="G2416" s="2" t="s">
        <v>43</v>
      </c>
      <c r="H2416" s="2" t="s">
        <v>751</v>
      </c>
      <c r="I2416" s="5">
        <v>47526.01</v>
      </c>
      <c r="J2416" s="57">
        <v>0.05</v>
      </c>
      <c r="K2416" s="3">
        <v>360</v>
      </c>
      <c r="L2416" s="2" t="s">
        <v>64</v>
      </c>
      <c r="M2416" s="2" t="s">
        <v>12</v>
      </c>
      <c r="N2416" s="2" t="s">
        <v>12</v>
      </c>
      <c r="O2416" s="2" t="s">
        <v>12</v>
      </c>
      <c r="P2416" s="21" t="s">
        <v>12</v>
      </c>
      <c r="Q2416" s="3" t="s">
        <v>12</v>
      </c>
      <c r="R2416" s="3" t="s">
        <v>12</v>
      </c>
    </row>
    <row r="2417" spans="1:18" x14ac:dyDescent="0.25">
      <c r="A2417" s="30">
        <v>46064</v>
      </c>
      <c r="B2417" s="28">
        <v>232</v>
      </c>
      <c r="C2417" s="28"/>
      <c r="D2417" s="2" t="s">
        <v>256</v>
      </c>
      <c r="E2417" s="7" t="s">
        <v>2708</v>
      </c>
      <c r="F2417" s="7" t="s">
        <v>2694</v>
      </c>
      <c r="G2417" s="2" t="s">
        <v>20</v>
      </c>
      <c r="H2417" s="2" t="s">
        <v>1000</v>
      </c>
      <c r="I2417" s="5">
        <v>23107.37</v>
      </c>
      <c r="J2417" s="57">
        <v>0.04</v>
      </c>
      <c r="K2417" s="3">
        <v>384</v>
      </c>
      <c r="L2417" s="2" t="s">
        <v>64</v>
      </c>
      <c r="M2417" s="2" t="s">
        <v>12</v>
      </c>
      <c r="N2417" s="2" t="s">
        <v>12</v>
      </c>
      <c r="O2417" s="2" t="s">
        <v>12</v>
      </c>
      <c r="P2417" s="21" t="s">
        <v>12</v>
      </c>
      <c r="Q2417" s="3" t="s">
        <v>12</v>
      </c>
      <c r="R2417" s="3" t="s">
        <v>12</v>
      </c>
    </row>
    <row r="2418" spans="1:18" x14ac:dyDescent="0.25">
      <c r="A2418" s="30">
        <v>46063</v>
      </c>
      <c r="B2418" s="28">
        <v>233</v>
      </c>
      <c r="C2418" s="28"/>
      <c r="D2418" s="2" t="s">
        <v>163</v>
      </c>
      <c r="E2418" s="7" t="s">
        <v>2709</v>
      </c>
      <c r="F2418" s="7" t="s">
        <v>3001</v>
      </c>
      <c r="G2418" s="2" t="s">
        <v>97</v>
      </c>
      <c r="H2418" s="2" t="s">
        <v>368</v>
      </c>
      <c r="I2418" s="5">
        <v>62355.15</v>
      </c>
      <c r="J2418" s="57">
        <v>7.0000000000000007E-2</v>
      </c>
      <c r="K2418" s="3">
        <v>720</v>
      </c>
      <c r="L2418" s="2" t="s">
        <v>64</v>
      </c>
      <c r="M2418" s="2" t="s">
        <v>12</v>
      </c>
      <c r="N2418" s="2" t="s">
        <v>12</v>
      </c>
      <c r="O2418" s="2" t="s">
        <v>12</v>
      </c>
      <c r="P2418" s="21" t="s">
        <v>12</v>
      </c>
      <c r="Q2418" s="3" t="s">
        <v>12</v>
      </c>
      <c r="R2418" s="3" t="s">
        <v>12</v>
      </c>
    </row>
    <row r="2419" spans="1:18" x14ac:dyDescent="0.25">
      <c r="A2419" s="30">
        <v>46063</v>
      </c>
      <c r="B2419" s="28">
        <v>234</v>
      </c>
      <c r="C2419" s="28"/>
      <c r="D2419" s="2" t="s">
        <v>87</v>
      </c>
      <c r="E2419" s="7" t="s">
        <v>2710</v>
      </c>
      <c r="F2419" s="7" t="s">
        <v>3002</v>
      </c>
      <c r="G2419" s="2" t="s">
        <v>13</v>
      </c>
      <c r="H2419" s="2" t="s">
        <v>185</v>
      </c>
      <c r="I2419" s="5">
        <v>157341.9</v>
      </c>
      <c r="J2419" s="57">
        <v>7.0000000000000007E-2</v>
      </c>
      <c r="K2419" s="3">
        <v>1972.8</v>
      </c>
      <c r="L2419" s="2" t="s">
        <v>21</v>
      </c>
      <c r="M2419" s="2" t="s">
        <v>12</v>
      </c>
      <c r="N2419" s="2" t="s">
        <v>12</v>
      </c>
      <c r="O2419" s="2" t="s">
        <v>12</v>
      </c>
      <c r="P2419" s="21" t="s">
        <v>12</v>
      </c>
      <c r="Q2419" s="3" t="s">
        <v>78</v>
      </c>
      <c r="R2419" s="3" t="s">
        <v>80</v>
      </c>
    </row>
    <row r="2420" spans="1:18" x14ac:dyDescent="0.25">
      <c r="A2420" s="30">
        <v>46063</v>
      </c>
      <c r="B2420" s="28">
        <v>235</v>
      </c>
      <c r="C2420" s="28"/>
      <c r="D2420" s="2" t="s">
        <v>87</v>
      </c>
      <c r="E2420" s="7" t="s">
        <v>2711</v>
      </c>
      <c r="F2420" s="7" t="s">
        <v>3002</v>
      </c>
      <c r="G2420" s="2" t="s">
        <v>13</v>
      </c>
      <c r="H2420" s="2" t="s">
        <v>185</v>
      </c>
      <c r="I2420" s="5">
        <v>385688.68</v>
      </c>
      <c r="J2420" s="57">
        <v>7.0000000000000007E-2</v>
      </c>
      <c r="K2420" s="3">
        <v>4008</v>
      </c>
      <c r="L2420" s="2" t="s">
        <v>226</v>
      </c>
      <c r="M2420" s="2" t="s">
        <v>12</v>
      </c>
      <c r="N2420" s="2" t="s">
        <v>12</v>
      </c>
      <c r="O2420" s="2" t="s">
        <v>12</v>
      </c>
      <c r="P2420" s="21" t="s">
        <v>12</v>
      </c>
      <c r="Q2420" s="3" t="s">
        <v>78</v>
      </c>
      <c r="R2420" s="3" t="s">
        <v>2712</v>
      </c>
    </row>
    <row r="2421" spans="1:18" x14ac:dyDescent="0.25">
      <c r="A2421" s="30">
        <v>46064</v>
      </c>
      <c r="B2421" s="28">
        <v>236</v>
      </c>
      <c r="C2421" s="28"/>
      <c r="D2421" s="2" t="s">
        <v>338</v>
      </c>
      <c r="E2421" s="7" t="s">
        <v>12</v>
      </c>
      <c r="F2421" s="7" t="s">
        <v>2683</v>
      </c>
      <c r="G2421" s="2" t="s">
        <v>97</v>
      </c>
      <c r="H2421" s="2" t="s">
        <v>339</v>
      </c>
      <c r="I2421" s="5">
        <v>17639.490000000002</v>
      </c>
      <c r="J2421" s="57">
        <v>7.0000000000000007E-2</v>
      </c>
      <c r="K2421" s="3" t="s">
        <v>12</v>
      </c>
      <c r="L2421" s="2" t="s">
        <v>64</v>
      </c>
      <c r="M2421" s="2" t="s">
        <v>12</v>
      </c>
      <c r="N2421" s="2" t="s">
        <v>12</v>
      </c>
      <c r="O2421" s="2" t="s">
        <v>12</v>
      </c>
      <c r="P2421" s="21" t="s">
        <v>12</v>
      </c>
      <c r="Q2421" s="3" t="s">
        <v>12</v>
      </c>
      <c r="R2421" s="3" t="s">
        <v>12</v>
      </c>
    </row>
    <row r="2422" spans="1:18" x14ac:dyDescent="0.25">
      <c r="A2422" s="30">
        <v>46063</v>
      </c>
      <c r="B2422" s="28">
        <v>237</v>
      </c>
      <c r="C2422" s="28"/>
      <c r="D2422" s="2" t="s">
        <v>215</v>
      </c>
      <c r="E2422" s="7" t="s">
        <v>2713</v>
      </c>
      <c r="F2422" s="7" t="s">
        <v>2972</v>
      </c>
      <c r="G2422" s="2" t="s">
        <v>26</v>
      </c>
      <c r="H2422" s="2" t="s">
        <v>2536</v>
      </c>
      <c r="I2422" s="5">
        <v>1947.76</v>
      </c>
      <c r="J2422" s="57">
        <v>7.0000000000000007E-2</v>
      </c>
      <c r="K2422" s="3" t="s">
        <v>12</v>
      </c>
      <c r="L2422" s="2" t="s">
        <v>226</v>
      </c>
      <c r="M2422" s="2" t="s">
        <v>12</v>
      </c>
      <c r="N2422" s="2" t="s">
        <v>12</v>
      </c>
      <c r="O2422" s="2" t="s">
        <v>12</v>
      </c>
      <c r="P2422" s="21" t="s">
        <v>12</v>
      </c>
      <c r="Q2422" s="3" t="s">
        <v>12</v>
      </c>
      <c r="R2422" s="3" t="s">
        <v>12</v>
      </c>
    </row>
    <row r="2423" spans="1:18" x14ac:dyDescent="0.25">
      <c r="A2423" s="30">
        <v>46064</v>
      </c>
      <c r="B2423" s="28">
        <v>238</v>
      </c>
      <c r="C2423" s="28"/>
      <c r="D2423" s="2" t="s">
        <v>1547</v>
      </c>
      <c r="E2423" s="7" t="s">
        <v>2714</v>
      </c>
      <c r="F2423" s="7" t="s">
        <v>2715</v>
      </c>
      <c r="G2423" s="2" t="s">
        <v>13</v>
      </c>
      <c r="H2423" s="2" t="s">
        <v>395</v>
      </c>
      <c r="I2423" s="5">
        <v>4685.67</v>
      </c>
      <c r="J2423" s="57"/>
      <c r="K2423" s="3">
        <v>48</v>
      </c>
      <c r="L2423" s="2" t="s">
        <v>226</v>
      </c>
      <c r="M2423" s="2" t="s">
        <v>12</v>
      </c>
      <c r="N2423" s="2" t="s">
        <v>12</v>
      </c>
      <c r="O2423" s="2" t="s">
        <v>12</v>
      </c>
      <c r="P2423" s="21" t="s">
        <v>12</v>
      </c>
      <c r="Q2423" s="3" t="s">
        <v>2729</v>
      </c>
      <c r="R2423" s="3" t="s">
        <v>75</v>
      </c>
    </row>
    <row r="2424" spans="1:18" x14ac:dyDescent="0.25">
      <c r="A2424" s="30">
        <v>46064</v>
      </c>
      <c r="B2424" s="28">
        <v>239</v>
      </c>
      <c r="C2424" s="28"/>
      <c r="D2424" s="2" t="s">
        <v>226</v>
      </c>
      <c r="E2424" s="7"/>
      <c r="F2424" s="7"/>
      <c r="G2424" s="2"/>
      <c r="H2424" s="2"/>
      <c r="I2424" s="5"/>
      <c r="J2424" s="57"/>
      <c r="K2424" s="3"/>
      <c r="L2424" s="2" t="s">
        <v>226</v>
      </c>
      <c r="M2424" s="2" t="s">
        <v>12</v>
      </c>
      <c r="N2424" s="2"/>
      <c r="O2424" s="2"/>
      <c r="P2424" s="21"/>
      <c r="Q2424" s="3" t="s">
        <v>12</v>
      </c>
      <c r="R2424" s="3" t="s">
        <v>12</v>
      </c>
    </row>
    <row r="2425" spans="1:18" x14ac:dyDescent="0.25">
      <c r="A2425" s="30">
        <v>46064</v>
      </c>
      <c r="B2425" s="28">
        <v>240</v>
      </c>
      <c r="C2425" s="28" t="s">
        <v>2162</v>
      </c>
      <c r="D2425" s="2" t="s">
        <v>109</v>
      </c>
      <c r="E2425" s="7" t="s">
        <v>2716</v>
      </c>
      <c r="F2425" s="7" t="s">
        <v>3001</v>
      </c>
      <c r="G2425" s="2" t="s">
        <v>111</v>
      </c>
      <c r="H2425" s="2" t="s">
        <v>1000</v>
      </c>
      <c r="I2425" s="5">
        <v>275460.13</v>
      </c>
      <c r="J2425" s="57">
        <v>7.0000000000000007E-2</v>
      </c>
      <c r="K2425" s="3">
        <v>2208</v>
      </c>
      <c r="L2425" s="2" t="s">
        <v>64</v>
      </c>
      <c r="M2425" s="2" t="s">
        <v>2615</v>
      </c>
      <c r="N2425" s="2" t="s">
        <v>12</v>
      </c>
      <c r="O2425" s="2" t="s">
        <v>12</v>
      </c>
      <c r="P2425" s="21" t="s">
        <v>12</v>
      </c>
      <c r="Q2425" s="3" t="s">
        <v>133</v>
      </c>
      <c r="R2425" s="3" t="s">
        <v>75</v>
      </c>
    </row>
    <row r="2426" spans="1:18" x14ac:dyDescent="0.25">
      <c r="A2426" s="30">
        <v>46064</v>
      </c>
      <c r="B2426" s="28">
        <v>241</v>
      </c>
      <c r="C2426" s="28" t="s">
        <v>2162</v>
      </c>
      <c r="D2426" s="2" t="s">
        <v>2717</v>
      </c>
      <c r="E2426" s="7" t="s">
        <v>2718</v>
      </c>
      <c r="F2426" s="7" t="s">
        <v>2697</v>
      </c>
      <c r="G2426" s="2" t="s">
        <v>26</v>
      </c>
      <c r="H2426" s="2" t="s">
        <v>235</v>
      </c>
      <c r="I2426" s="5">
        <v>170000</v>
      </c>
      <c r="J2426" s="57">
        <v>0.04</v>
      </c>
      <c r="K2426" s="3">
        <v>2160</v>
      </c>
      <c r="L2426" s="2" t="s">
        <v>64</v>
      </c>
      <c r="M2426" s="2" t="s">
        <v>12</v>
      </c>
      <c r="N2426" s="2" t="s">
        <v>12</v>
      </c>
      <c r="O2426" s="2" t="s">
        <v>12</v>
      </c>
      <c r="P2426" s="21" t="s">
        <v>12</v>
      </c>
      <c r="Q2426" s="3" t="s">
        <v>2717</v>
      </c>
      <c r="R2426" s="3" t="s">
        <v>80</v>
      </c>
    </row>
    <row r="2427" spans="1:18" x14ac:dyDescent="0.25">
      <c r="A2427" s="30">
        <v>46064</v>
      </c>
      <c r="B2427" s="28">
        <v>242</v>
      </c>
      <c r="C2427" s="28"/>
      <c r="D2427" s="2" t="s">
        <v>41</v>
      </c>
      <c r="E2427" s="7" t="s">
        <v>2719</v>
      </c>
      <c r="F2427" s="7" t="s">
        <v>3002</v>
      </c>
      <c r="G2427" s="2" t="s">
        <v>43</v>
      </c>
      <c r="H2427" s="2" t="s">
        <v>417</v>
      </c>
      <c r="I2427" s="5">
        <v>346840.58</v>
      </c>
      <c r="J2427" s="57">
        <v>7.0000000000000007E-2</v>
      </c>
      <c r="K2427" s="3">
        <v>3096</v>
      </c>
      <c r="L2427" s="2" t="s">
        <v>226</v>
      </c>
      <c r="M2427" s="2" t="s">
        <v>12</v>
      </c>
      <c r="N2427" s="2" t="s">
        <v>12</v>
      </c>
      <c r="O2427" s="2" t="s">
        <v>12</v>
      </c>
      <c r="P2427" s="21" t="s">
        <v>12</v>
      </c>
      <c r="Q2427" s="3" t="s">
        <v>456</v>
      </c>
      <c r="R2427" s="3" t="s">
        <v>2712</v>
      </c>
    </row>
    <row r="2428" spans="1:18" x14ac:dyDescent="0.25">
      <c r="A2428" s="30">
        <v>46064</v>
      </c>
      <c r="B2428" s="28">
        <v>243</v>
      </c>
      <c r="C2428" s="28"/>
      <c r="D2428" s="2" t="s">
        <v>2720</v>
      </c>
      <c r="E2428" s="7" t="s">
        <v>12</v>
      </c>
      <c r="F2428" s="7" t="s">
        <v>2683</v>
      </c>
      <c r="G2428" s="2" t="s">
        <v>13</v>
      </c>
      <c r="H2428" s="2" t="s">
        <v>2721</v>
      </c>
      <c r="I2428" s="5">
        <v>30631.64</v>
      </c>
      <c r="J2428" s="57">
        <v>7.0000000000000007E-2</v>
      </c>
      <c r="K2428" s="3">
        <v>294</v>
      </c>
      <c r="L2428" s="2" t="s">
        <v>226</v>
      </c>
      <c r="M2428" s="2" t="s">
        <v>12</v>
      </c>
      <c r="N2428" s="2" t="s">
        <v>12</v>
      </c>
      <c r="O2428" s="2" t="s">
        <v>12</v>
      </c>
      <c r="P2428" s="21" t="s">
        <v>12</v>
      </c>
      <c r="Q2428" s="3" t="s">
        <v>12</v>
      </c>
      <c r="R2428" s="3" t="s">
        <v>12</v>
      </c>
    </row>
    <row r="2429" spans="1:18" x14ac:dyDescent="0.25">
      <c r="A2429" s="30">
        <v>46064</v>
      </c>
      <c r="B2429" s="28">
        <v>244</v>
      </c>
      <c r="C2429" s="28"/>
      <c r="D2429" s="2" t="s">
        <v>298</v>
      </c>
      <c r="E2429" s="7" t="s">
        <v>12</v>
      </c>
      <c r="F2429" s="7" t="s">
        <v>2683</v>
      </c>
      <c r="G2429" s="2" t="s">
        <v>13</v>
      </c>
      <c r="H2429" s="2" t="s">
        <v>13</v>
      </c>
      <c r="I2429" s="5">
        <v>11502.88</v>
      </c>
      <c r="J2429" s="57">
        <v>0.06</v>
      </c>
      <c r="K2429" s="3">
        <v>96</v>
      </c>
      <c r="L2429" s="2" t="s">
        <v>21</v>
      </c>
      <c r="M2429" s="2" t="s">
        <v>12</v>
      </c>
      <c r="N2429" s="2" t="s">
        <v>12</v>
      </c>
      <c r="O2429" s="2" t="s">
        <v>12</v>
      </c>
      <c r="P2429" s="21" t="s">
        <v>12</v>
      </c>
      <c r="Q2429" s="3" t="s">
        <v>12</v>
      </c>
      <c r="R2429" s="3" t="s">
        <v>12</v>
      </c>
    </row>
    <row r="2430" spans="1:18" x14ac:dyDescent="0.25">
      <c r="A2430" s="30">
        <v>46064</v>
      </c>
      <c r="B2430" s="28">
        <v>245</v>
      </c>
      <c r="C2430" s="28"/>
      <c r="D2430" s="2" t="s">
        <v>696</v>
      </c>
      <c r="E2430" s="7" t="s">
        <v>12</v>
      </c>
      <c r="F2430" s="7" t="s">
        <v>2683</v>
      </c>
      <c r="G2430" s="2" t="s">
        <v>97</v>
      </c>
      <c r="H2430" s="2" t="s">
        <v>108</v>
      </c>
      <c r="I2430" s="5">
        <v>2305.96</v>
      </c>
      <c r="J2430" s="57">
        <v>7.0000000000000007E-2</v>
      </c>
      <c r="K2430" s="3">
        <v>24</v>
      </c>
      <c r="L2430" s="2" t="s">
        <v>226</v>
      </c>
      <c r="M2430" s="2" t="s">
        <v>12</v>
      </c>
      <c r="N2430" s="2" t="s">
        <v>12</v>
      </c>
      <c r="O2430" s="2" t="s">
        <v>12</v>
      </c>
      <c r="P2430" s="21" t="s">
        <v>12</v>
      </c>
      <c r="Q2430" s="3" t="s">
        <v>12</v>
      </c>
      <c r="R2430" s="3" t="s">
        <v>12</v>
      </c>
    </row>
    <row r="2431" spans="1:18" x14ac:dyDescent="0.25">
      <c r="A2431" s="30">
        <v>46064</v>
      </c>
      <c r="B2431" s="28">
        <v>246</v>
      </c>
      <c r="C2431" s="28"/>
      <c r="D2431" s="2" t="s">
        <v>2592</v>
      </c>
      <c r="E2431" s="7" t="s">
        <v>2722</v>
      </c>
      <c r="F2431" s="7" t="s">
        <v>3001</v>
      </c>
      <c r="G2431" s="2" t="s">
        <v>97</v>
      </c>
      <c r="H2431" s="2" t="s">
        <v>1742</v>
      </c>
      <c r="I2431" s="5">
        <v>14246.99</v>
      </c>
      <c r="J2431" s="57">
        <v>7.0000000000000007E-2</v>
      </c>
      <c r="K2431" s="3">
        <v>168</v>
      </c>
      <c r="L2431" s="2" t="s">
        <v>226</v>
      </c>
      <c r="M2431" s="2" t="s">
        <v>2626</v>
      </c>
      <c r="N2431" s="2" t="s">
        <v>12</v>
      </c>
      <c r="O2431" s="2" t="s">
        <v>12</v>
      </c>
      <c r="P2431" s="21" t="s">
        <v>12</v>
      </c>
      <c r="Q2431" s="3" t="s">
        <v>12</v>
      </c>
      <c r="R2431" s="3" t="s">
        <v>12</v>
      </c>
    </row>
    <row r="2432" spans="1:18" x14ac:dyDescent="0.25">
      <c r="A2432" s="30">
        <v>46064</v>
      </c>
      <c r="B2432" s="28">
        <v>247</v>
      </c>
      <c r="C2432" s="28"/>
      <c r="D2432" s="2" t="s">
        <v>2723</v>
      </c>
      <c r="E2432" s="7" t="s">
        <v>2724</v>
      </c>
      <c r="F2432" s="7" t="s">
        <v>2733</v>
      </c>
      <c r="G2432" s="2" t="s">
        <v>26</v>
      </c>
      <c r="H2432" s="2" t="s">
        <v>2725</v>
      </c>
      <c r="I2432" s="5">
        <v>4908.3599999999997</v>
      </c>
      <c r="J2432" s="57">
        <v>0.03</v>
      </c>
      <c r="K2432" s="3">
        <v>48</v>
      </c>
      <c r="L2432" s="2" t="s">
        <v>134</v>
      </c>
      <c r="M2432" s="2" t="s">
        <v>2742</v>
      </c>
      <c r="N2432" s="2" t="s">
        <v>373</v>
      </c>
      <c r="O2432" s="2" t="s">
        <v>374</v>
      </c>
      <c r="P2432" s="21" t="s">
        <v>12</v>
      </c>
      <c r="Q2432" s="3" t="s">
        <v>12</v>
      </c>
      <c r="R2432" s="3" t="s">
        <v>12</v>
      </c>
    </row>
    <row r="2433" spans="1:18" x14ac:dyDescent="0.25">
      <c r="A2433" s="30">
        <v>46064</v>
      </c>
      <c r="B2433" s="28">
        <v>248</v>
      </c>
      <c r="C2433" s="28"/>
      <c r="D2433" s="2" t="s">
        <v>276</v>
      </c>
      <c r="E2433" s="7" t="s">
        <v>729</v>
      </c>
      <c r="F2433" s="7" t="s">
        <v>2697</v>
      </c>
      <c r="G2433" s="2" t="s">
        <v>43</v>
      </c>
      <c r="H2433" s="2" t="s">
        <v>108</v>
      </c>
      <c r="I2433" s="5">
        <v>12638.5</v>
      </c>
      <c r="J2433" s="57">
        <v>7.0000000000000007E-2</v>
      </c>
      <c r="K2433" s="3">
        <v>146.4</v>
      </c>
      <c r="L2433" s="2" t="s">
        <v>64</v>
      </c>
      <c r="M2433" s="2" t="s">
        <v>12</v>
      </c>
      <c r="N2433" s="2" t="s">
        <v>12</v>
      </c>
      <c r="O2433" s="2" t="s">
        <v>12</v>
      </c>
      <c r="P2433" s="21" t="s">
        <v>12</v>
      </c>
      <c r="Q2433" s="3" t="s">
        <v>2730</v>
      </c>
      <c r="R2433" s="3" t="s">
        <v>80</v>
      </c>
    </row>
    <row r="2434" spans="1:18" x14ac:dyDescent="0.25">
      <c r="A2434" s="30">
        <v>46064</v>
      </c>
      <c r="B2434" s="28">
        <v>249</v>
      </c>
      <c r="C2434" s="28"/>
      <c r="D2434" s="2" t="s">
        <v>212</v>
      </c>
      <c r="E2434" s="7" t="s">
        <v>2726</v>
      </c>
      <c r="F2434" s="7" t="s">
        <v>3001</v>
      </c>
      <c r="G2434" s="2" t="s">
        <v>20</v>
      </c>
      <c r="H2434" s="2" t="s">
        <v>320</v>
      </c>
      <c r="I2434" s="5">
        <v>46136.47</v>
      </c>
      <c r="J2434" s="57">
        <v>7.0000000000000007E-2</v>
      </c>
      <c r="K2434" s="3">
        <v>528</v>
      </c>
      <c r="L2434" s="2" t="s">
        <v>73</v>
      </c>
      <c r="M2434" s="2" t="s">
        <v>12</v>
      </c>
      <c r="N2434" s="2" t="s">
        <v>12</v>
      </c>
      <c r="O2434" s="2" t="s">
        <v>12</v>
      </c>
      <c r="P2434" s="21" t="s">
        <v>12</v>
      </c>
      <c r="Q2434" s="3" t="s">
        <v>12</v>
      </c>
      <c r="R2434" s="3" t="s">
        <v>12</v>
      </c>
    </row>
    <row r="2435" spans="1:18" x14ac:dyDescent="0.25">
      <c r="A2435" s="30">
        <v>46064</v>
      </c>
      <c r="B2435" s="28">
        <v>250</v>
      </c>
      <c r="C2435" s="28"/>
      <c r="D2435" s="2" t="s">
        <v>2594</v>
      </c>
      <c r="E2435" s="7" t="s">
        <v>1886</v>
      </c>
      <c r="F2435" s="7" t="s">
        <v>2694</v>
      </c>
      <c r="G2435" s="2" t="s">
        <v>13</v>
      </c>
      <c r="H2435" s="2"/>
      <c r="I2435" s="5">
        <v>3721.27</v>
      </c>
      <c r="J2435" s="57">
        <v>7.0000000000000007E-2</v>
      </c>
      <c r="K2435" s="3">
        <v>24</v>
      </c>
      <c r="L2435" s="2" t="s">
        <v>226</v>
      </c>
      <c r="M2435" s="2" t="s">
        <v>12</v>
      </c>
      <c r="N2435" s="2" t="s">
        <v>12</v>
      </c>
      <c r="O2435" s="2" t="s">
        <v>12</v>
      </c>
      <c r="P2435" s="21" t="s">
        <v>12</v>
      </c>
      <c r="Q2435" s="3" t="s">
        <v>74</v>
      </c>
      <c r="R2435" s="3" t="s">
        <v>222</v>
      </c>
    </row>
    <row r="2436" spans="1:18" x14ac:dyDescent="0.25">
      <c r="A2436" s="30">
        <v>46064</v>
      </c>
      <c r="B2436" s="28">
        <v>251</v>
      </c>
      <c r="C2436" s="28"/>
      <c r="D2436" s="2" t="s">
        <v>59</v>
      </c>
      <c r="E2436" s="7" t="s">
        <v>2727</v>
      </c>
      <c r="F2436" s="7" t="s">
        <v>2683</v>
      </c>
      <c r="G2436" s="2" t="s">
        <v>20</v>
      </c>
      <c r="H2436" s="2" t="s">
        <v>1373</v>
      </c>
      <c r="I2436" s="5">
        <v>150200</v>
      </c>
      <c r="J2436" s="57">
        <v>7.0000000000000007E-2</v>
      </c>
      <c r="K2436" s="3">
        <v>432</v>
      </c>
      <c r="L2436" s="2" t="s">
        <v>226</v>
      </c>
      <c r="M2436" s="2" t="s">
        <v>2578</v>
      </c>
      <c r="N2436" s="2" t="s">
        <v>12</v>
      </c>
      <c r="O2436" s="2" t="s">
        <v>12</v>
      </c>
      <c r="P2436" s="21" t="s">
        <v>12</v>
      </c>
      <c r="Q2436" s="3" t="s">
        <v>2731</v>
      </c>
      <c r="R2436" s="3" t="s">
        <v>75</v>
      </c>
    </row>
    <row r="2437" spans="1:18" x14ac:dyDescent="0.25">
      <c r="A2437" s="30">
        <v>46064</v>
      </c>
      <c r="B2437" s="28">
        <v>252</v>
      </c>
      <c r="C2437" s="28"/>
      <c r="D2437" s="2" t="s">
        <v>2723</v>
      </c>
      <c r="E2437" s="7" t="s">
        <v>12</v>
      </c>
      <c r="F2437" s="7" t="s">
        <v>2683</v>
      </c>
      <c r="G2437" s="2" t="s">
        <v>26</v>
      </c>
      <c r="H2437" s="2" t="s">
        <v>2725</v>
      </c>
      <c r="I2437" s="5">
        <v>5007.1899999999996</v>
      </c>
      <c r="J2437" s="57">
        <v>0.03</v>
      </c>
      <c r="K2437" s="3">
        <v>48</v>
      </c>
      <c r="L2437" s="2" t="s">
        <v>134</v>
      </c>
      <c r="M2437" s="2" t="s">
        <v>2742</v>
      </c>
      <c r="N2437" s="2" t="s">
        <v>373</v>
      </c>
      <c r="O2437" s="2" t="s">
        <v>374</v>
      </c>
      <c r="P2437" s="21" t="s">
        <v>12</v>
      </c>
      <c r="Q2437" s="3" t="s">
        <v>12</v>
      </c>
      <c r="R2437" s="3" t="s">
        <v>12</v>
      </c>
    </row>
    <row r="2438" spans="1:18" x14ac:dyDescent="0.25">
      <c r="A2438" s="30">
        <v>46065</v>
      </c>
      <c r="B2438" s="28">
        <v>253</v>
      </c>
      <c r="C2438" s="28"/>
      <c r="D2438" s="2" t="s">
        <v>1446</v>
      </c>
      <c r="E2438" s="7" t="s">
        <v>2748</v>
      </c>
      <c r="F2438" s="7" t="s">
        <v>2694</v>
      </c>
      <c r="G2438" s="2" t="s">
        <v>43</v>
      </c>
      <c r="H2438" s="2" t="s">
        <v>2007</v>
      </c>
      <c r="I2438" s="5">
        <v>72061.48</v>
      </c>
      <c r="J2438" s="57">
        <v>7.0000000000000007E-2</v>
      </c>
      <c r="K2438" s="3">
        <v>672</v>
      </c>
      <c r="L2438" s="2" t="s">
        <v>226</v>
      </c>
      <c r="M2438" s="2" t="s">
        <v>12</v>
      </c>
      <c r="N2438" s="2" t="s">
        <v>12</v>
      </c>
      <c r="O2438" s="2" t="s">
        <v>12</v>
      </c>
      <c r="P2438" s="21" t="s">
        <v>12</v>
      </c>
      <c r="Q2438" s="3" t="s">
        <v>12</v>
      </c>
      <c r="R2438" s="3" t="s">
        <v>12</v>
      </c>
    </row>
    <row r="2439" spans="1:18" x14ac:dyDescent="0.25">
      <c r="A2439" s="30">
        <v>46065</v>
      </c>
      <c r="B2439" s="28">
        <v>254</v>
      </c>
      <c r="C2439" s="28"/>
      <c r="D2439" s="2" t="s">
        <v>515</v>
      </c>
      <c r="E2439" s="7" t="s">
        <v>2667</v>
      </c>
      <c r="F2439" s="7"/>
      <c r="G2439" s="2" t="s">
        <v>111</v>
      </c>
      <c r="H2439" s="2" t="s">
        <v>1882</v>
      </c>
      <c r="I2439" s="5">
        <v>122014.18</v>
      </c>
      <c r="J2439" s="57">
        <v>7.0000000000000007E-2</v>
      </c>
      <c r="K2439" s="3">
        <v>1200</v>
      </c>
      <c r="L2439" s="2" t="s">
        <v>226</v>
      </c>
      <c r="M2439" s="2" t="s">
        <v>12</v>
      </c>
      <c r="N2439" s="2" t="s">
        <v>12</v>
      </c>
      <c r="O2439" s="2" t="s">
        <v>12</v>
      </c>
      <c r="P2439" s="21" t="s">
        <v>12</v>
      </c>
      <c r="Q2439" s="3"/>
      <c r="R2439" s="3"/>
    </row>
    <row r="2440" spans="1:18" x14ac:dyDescent="0.25">
      <c r="A2440" s="30">
        <v>46065</v>
      </c>
      <c r="B2440" s="28">
        <v>255</v>
      </c>
      <c r="C2440" s="28"/>
      <c r="D2440" s="2" t="s">
        <v>87</v>
      </c>
      <c r="E2440" s="7" t="s">
        <v>2749</v>
      </c>
      <c r="F2440" s="7" t="s">
        <v>3002</v>
      </c>
      <c r="G2440" s="2" t="s">
        <v>13</v>
      </c>
      <c r="H2440" s="2" t="s">
        <v>185</v>
      </c>
      <c r="I2440" s="5">
        <v>131211.34</v>
      </c>
      <c r="J2440" s="57">
        <v>7.0000000000000007E-2</v>
      </c>
      <c r="K2440" s="3">
        <v>1419.6</v>
      </c>
      <c r="L2440" s="2" t="s">
        <v>226</v>
      </c>
      <c r="M2440" s="2" t="s">
        <v>12</v>
      </c>
      <c r="N2440" s="2" t="s">
        <v>12</v>
      </c>
      <c r="O2440" s="2" t="s">
        <v>12</v>
      </c>
      <c r="P2440" s="21" t="s">
        <v>12</v>
      </c>
      <c r="Q2440" s="3" t="s">
        <v>87</v>
      </c>
      <c r="R2440" s="3" t="s">
        <v>80</v>
      </c>
    </row>
    <row r="2441" spans="1:18" x14ac:dyDescent="0.25">
      <c r="A2441" s="30">
        <v>46066</v>
      </c>
      <c r="B2441" s="28">
        <v>256</v>
      </c>
      <c r="C2441" s="28" t="s">
        <v>2162</v>
      </c>
      <c r="D2441" s="2" t="s">
        <v>54</v>
      </c>
      <c r="E2441" s="7" t="s">
        <v>12</v>
      </c>
      <c r="F2441" s="7" t="s">
        <v>2683</v>
      </c>
      <c r="G2441" s="2" t="s">
        <v>26</v>
      </c>
      <c r="H2441" s="2" t="s">
        <v>55</v>
      </c>
      <c r="I2441" s="5">
        <v>7588.04</v>
      </c>
      <c r="J2441" s="57">
        <v>0.05</v>
      </c>
      <c r="K2441" s="3">
        <v>48</v>
      </c>
      <c r="L2441" s="2" t="s">
        <v>64</v>
      </c>
      <c r="M2441" s="2" t="s">
        <v>12</v>
      </c>
      <c r="N2441" s="2" t="s">
        <v>12</v>
      </c>
      <c r="O2441" s="2" t="s">
        <v>12</v>
      </c>
      <c r="P2441" s="21" t="s">
        <v>12</v>
      </c>
      <c r="Q2441" s="3" t="s">
        <v>12</v>
      </c>
      <c r="R2441" s="3" t="s">
        <v>12</v>
      </c>
    </row>
    <row r="2442" spans="1:18" x14ac:dyDescent="0.25">
      <c r="A2442" s="30">
        <v>46065</v>
      </c>
      <c r="B2442" s="28">
        <v>257</v>
      </c>
      <c r="C2442" s="28"/>
      <c r="D2442" s="2" t="s">
        <v>87</v>
      </c>
      <c r="E2442" s="7" t="s">
        <v>2750</v>
      </c>
      <c r="F2442" s="7" t="s">
        <v>3002</v>
      </c>
      <c r="G2442" s="2" t="s">
        <v>13</v>
      </c>
      <c r="H2442" s="2" t="s">
        <v>185</v>
      </c>
      <c r="I2442" s="5">
        <v>129777.14</v>
      </c>
      <c r="J2442" s="57">
        <v>7.0000000000000007E-2</v>
      </c>
      <c r="K2442" s="3">
        <v>1344</v>
      </c>
      <c r="L2442" s="2" t="s">
        <v>21</v>
      </c>
      <c r="M2442" s="2" t="s">
        <v>12</v>
      </c>
      <c r="N2442" s="2" t="s">
        <v>12</v>
      </c>
      <c r="O2442" s="2" t="s">
        <v>12</v>
      </c>
      <c r="P2442" s="21" t="s">
        <v>12</v>
      </c>
      <c r="Q2442" s="3" t="s">
        <v>87</v>
      </c>
      <c r="R2442" s="3" t="s">
        <v>80</v>
      </c>
    </row>
    <row r="2443" spans="1:18" x14ac:dyDescent="0.25">
      <c r="A2443" s="30">
        <v>46065</v>
      </c>
      <c r="B2443" s="28">
        <v>258</v>
      </c>
      <c r="C2443" s="28"/>
      <c r="D2443" s="2" t="s">
        <v>87</v>
      </c>
      <c r="E2443" s="7" t="s">
        <v>2751</v>
      </c>
      <c r="F2443" s="7" t="s">
        <v>3002</v>
      </c>
      <c r="G2443" s="2" t="s">
        <v>13</v>
      </c>
      <c r="H2443" s="2" t="s">
        <v>185</v>
      </c>
      <c r="I2443" s="5">
        <v>118809.31</v>
      </c>
      <c r="J2443" s="57">
        <v>7.0000000000000007E-2</v>
      </c>
      <c r="K2443" s="3">
        <v>1245</v>
      </c>
      <c r="L2443" s="2" t="s">
        <v>21</v>
      </c>
      <c r="M2443" s="2" t="s">
        <v>12</v>
      </c>
      <c r="N2443" s="2" t="s">
        <v>12</v>
      </c>
      <c r="O2443" s="2" t="s">
        <v>12</v>
      </c>
      <c r="P2443" s="21" t="s">
        <v>12</v>
      </c>
      <c r="Q2443" s="3" t="s">
        <v>87</v>
      </c>
      <c r="R2443" s="3" t="s">
        <v>80</v>
      </c>
    </row>
    <row r="2444" spans="1:18" x14ac:dyDescent="0.25">
      <c r="A2444" s="30">
        <v>46065</v>
      </c>
      <c r="B2444" s="28">
        <v>259</v>
      </c>
      <c r="C2444" s="28"/>
      <c r="D2444" s="2" t="s">
        <v>41</v>
      </c>
      <c r="E2444" s="7" t="s">
        <v>2752</v>
      </c>
      <c r="F2444" s="7" t="s">
        <v>3002</v>
      </c>
      <c r="G2444" s="2" t="s">
        <v>43</v>
      </c>
      <c r="H2444" s="2" t="s">
        <v>417</v>
      </c>
      <c r="I2444" s="5">
        <v>140503.63</v>
      </c>
      <c r="J2444" s="57">
        <v>0.05</v>
      </c>
      <c r="K2444" s="3">
        <v>1972.8</v>
      </c>
      <c r="L2444" s="2" t="s">
        <v>226</v>
      </c>
      <c r="M2444" s="2" t="s">
        <v>12</v>
      </c>
      <c r="N2444" s="2" t="s">
        <v>12</v>
      </c>
      <c r="O2444" s="2" t="s">
        <v>12</v>
      </c>
      <c r="P2444" s="21" t="s">
        <v>12</v>
      </c>
      <c r="Q2444" s="3" t="s">
        <v>78</v>
      </c>
      <c r="R2444" s="3" t="s">
        <v>80</v>
      </c>
    </row>
    <row r="2445" spans="1:18" x14ac:dyDescent="0.25">
      <c r="A2445" s="30">
        <v>46071</v>
      </c>
      <c r="B2445" s="28">
        <v>260</v>
      </c>
      <c r="C2445" s="28" t="s">
        <v>2161</v>
      </c>
      <c r="D2445" s="2" t="s">
        <v>109</v>
      </c>
      <c r="E2445" s="7" t="s">
        <v>2753</v>
      </c>
      <c r="F2445" s="7" t="s">
        <v>3001</v>
      </c>
      <c r="G2445" s="2" t="s">
        <v>111</v>
      </c>
      <c r="H2445" s="2" t="s">
        <v>467</v>
      </c>
      <c r="I2445" s="5">
        <v>254628.97</v>
      </c>
      <c r="J2445" s="57">
        <v>0.05</v>
      </c>
      <c r="K2445" s="3">
        <v>2688</v>
      </c>
      <c r="L2445" s="2" t="s">
        <v>226</v>
      </c>
      <c r="M2445" s="2" t="s">
        <v>12</v>
      </c>
      <c r="N2445" s="2" t="s">
        <v>12</v>
      </c>
      <c r="O2445" s="2" t="s">
        <v>12</v>
      </c>
      <c r="P2445" s="21" t="s">
        <v>12</v>
      </c>
      <c r="Q2445" s="3" t="s">
        <v>12</v>
      </c>
      <c r="R2445" s="3" t="s">
        <v>12</v>
      </c>
    </row>
    <row r="2446" spans="1:18" x14ac:dyDescent="0.25">
      <c r="A2446" s="30">
        <v>46065</v>
      </c>
      <c r="B2446" s="28">
        <v>261</v>
      </c>
      <c r="C2446" s="28"/>
      <c r="D2446" s="2" t="s">
        <v>525</v>
      </c>
      <c r="E2446" s="7" t="s">
        <v>2754</v>
      </c>
      <c r="F2446" s="7" t="s">
        <v>3001</v>
      </c>
      <c r="G2446" s="2" t="s">
        <v>97</v>
      </c>
      <c r="H2446" s="2" t="s">
        <v>40</v>
      </c>
      <c r="I2446" s="5">
        <v>59742.04</v>
      </c>
      <c r="J2446" s="57">
        <v>7.0000000000000007E-2</v>
      </c>
      <c r="K2446" s="3">
        <v>696</v>
      </c>
      <c r="L2446" s="2" t="s">
        <v>73</v>
      </c>
      <c r="M2446" s="2" t="s">
        <v>12</v>
      </c>
      <c r="N2446" s="2" t="s">
        <v>12</v>
      </c>
      <c r="O2446" s="2" t="s">
        <v>12</v>
      </c>
      <c r="P2446" s="21" t="s">
        <v>12</v>
      </c>
      <c r="Q2446" s="3" t="s">
        <v>12</v>
      </c>
      <c r="R2446" s="3" t="s">
        <v>12</v>
      </c>
    </row>
    <row r="2447" spans="1:18" x14ac:dyDescent="0.25">
      <c r="A2447" s="30">
        <v>46066</v>
      </c>
      <c r="B2447" s="28">
        <v>262</v>
      </c>
      <c r="C2447" s="28"/>
      <c r="D2447" s="2" t="s">
        <v>2755</v>
      </c>
      <c r="E2447" s="7" t="s">
        <v>12</v>
      </c>
      <c r="F2447" s="7" t="s">
        <v>2683</v>
      </c>
      <c r="G2447" s="2" t="s">
        <v>13</v>
      </c>
      <c r="H2447" s="2" t="s">
        <v>1550</v>
      </c>
      <c r="I2447" s="5">
        <v>9045.73</v>
      </c>
      <c r="J2447" s="57">
        <v>7.0000000000000007E-2</v>
      </c>
      <c r="K2447" s="3">
        <v>120</v>
      </c>
      <c r="L2447" s="2" t="s">
        <v>226</v>
      </c>
      <c r="M2447" s="2" t="s">
        <v>12</v>
      </c>
      <c r="N2447" s="2" t="s">
        <v>12</v>
      </c>
      <c r="O2447" s="2" t="s">
        <v>12</v>
      </c>
      <c r="P2447" s="21" t="s">
        <v>12</v>
      </c>
      <c r="Q2447" s="3" t="s">
        <v>12</v>
      </c>
      <c r="R2447" s="3" t="s">
        <v>12</v>
      </c>
    </row>
    <row r="2448" spans="1:18" x14ac:dyDescent="0.25">
      <c r="A2448" s="30">
        <v>46066</v>
      </c>
      <c r="B2448" s="28">
        <v>263</v>
      </c>
      <c r="C2448" s="28"/>
      <c r="D2448" s="2" t="s">
        <v>1237</v>
      </c>
      <c r="E2448" s="7" t="s">
        <v>2756</v>
      </c>
      <c r="F2448" s="7" t="s">
        <v>2683</v>
      </c>
      <c r="G2448" s="2" t="s">
        <v>20</v>
      </c>
      <c r="H2448" s="2" t="s">
        <v>1239</v>
      </c>
      <c r="I2448" s="5">
        <v>3026.05</v>
      </c>
      <c r="J2448" s="57">
        <v>7.0000000000000007E-2</v>
      </c>
      <c r="K2448" s="3">
        <v>48</v>
      </c>
      <c r="L2448" s="2" t="s">
        <v>226</v>
      </c>
      <c r="M2448" s="2" t="s">
        <v>12</v>
      </c>
      <c r="N2448" s="2" t="s">
        <v>12</v>
      </c>
      <c r="O2448" s="2" t="s">
        <v>12</v>
      </c>
      <c r="P2448" s="21" t="s">
        <v>12</v>
      </c>
      <c r="Q2448" s="3" t="s">
        <v>12</v>
      </c>
      <c r="R2448" s="3" t="s">
        <v>12</v>
      </c>
    </row>
    <row r="2449" spans="1:18" x14ac:dyDescent="0.25">
      <c r="A2449" s="30">
        <v>46071</v>
      </c>
      <c r="B2449" s="28">
        <v>264</v>
      </c>
      <c r="C2449" s="28" t="s">
        <v>2161</v>
      </c>
      <c r="D2449" s="2" t="s">
        <v>2248</v>
      </c>
      <c r="E2449" s="7" t="s">
        <v>2756</v>
      </c>
      <c r="F2449" s="7" t="s">
        <v>2683</v>
      </c>
      <c r="G2449" s="2" t="s">
        <v>13</v>
      </c>
      <c r="H2449" s="2" t="s">
        <v>2249</v>
      </c>
      <c r="I2449" s="5">
        <v>12128.35</v>
      </c>
      <c r="J2449" s="57">
        <v>0.04</v>
      </c>
      <c r="K2449" s="3">
        <v>192</v>
      </c>
      <c r="L2449" s="2" t="s">
        <v>64</v>
      </c>
      <c r="M2449" s="2" t="s">
        <v>12</v>
      </c>
      <c r="N2449" s="2" t="s">
        <v>12</v>
      </c>
      <c r="O2449" s="2" t="s">
        <v>12</v>
      </c>
      <c r="P2449" s="21" t="s">
        <v>12</v>
      </c>
      <c r="Q2449" s="3" t="s">
        <v>12</v>
      </c>
      <c r="R2449" s="3" t="s">
        <v>12</v>
      </c>
    </row>
    <row r="2450" spans="1:18" x14ac:dyDescent="0.25">
      <c r="A2450" s="30">
        <v>46066</v>
      </c>
      <c r="B2450" s="28">
        <v>265</v>
      </c>
      <c r="C2450" s="28" t="s">
        <v>2161</v>
      </c>
      <c r="D2450" s="2" t="s">
        <v>124</v>
      </c>
      <c r="E2450" s="7" t="s">
        <v>2757</v>
      </c>
      <c r="F2450" s="7" t="s">
        <v>1844</v>
      </c>
      <c r="G2450" s="2" t="s">
        <v>20</v>
      </c>
      <c r="H2450" s="2" t="s">
        <v>154</v>
      </c>
      <c r="I2450" s="5">
        <v>13030.42</v>
      </c>
      <c r="J2450" s="57">
        <v>0.03</v>
      </c>
      <c r="K2450" s="3">
        <v>192</v>
      </c>
      <c r="L2450" s="2" t="s">
        <v>134</v>
      </c>
      <c r="M2450" s="2" t="s">
        <v>2860</v>
      </c>
      <c r="N2450" s="2" t="s">
        <v>135</v>
      </c>
      <c r="O2450" s="2" t="s">
        <v>595</v>
      </c>
      <c r="P2450" s="21" t="s">
        <v>12</v>
      </c>
      <c r="Q2450" s="3" t="s">
        <v>12</v>
      </c>
      <c r="R2450" s="3" t="s">
        <v>12</v>
      </c>
    </row>
    <row r="2451" spans="1:18" x14ac:dyDescent="0.25">
      <c r="A2451" s="30">
        <v>46066</v>
      </c>
      <c r="B2451" s="28">
        <v>266</v>
      </c>
      <c r="C2451" s="28"/>
      <c r="D2451" s="2" t="s">
        <v>1328</v>
      </c>
      <c r="E2451" s="7" t="s">
        <v>2758</v>
      </c>
      <c r="F2451" s="7" t="s">
        <v>2694</v>
      </c>
      <c r="G2451" s="2" t="s">
        <v>13</v>
      </c>
      <c r="H2451" s="2" t="s">
        <v>43</v>
      </c>
      <c r="I2451" s="5">
        <v>14246.22</v>
      </c>
      <c r="J2451" s="57">
        <v>7.0000000000000007E-2</v>
      </c>
      <c r="K2451" s="3">
        <v>120</v>
      </c>
      <c r="L2451" s="2" t="s">
        <v>226</v>
      </c>
      <c r="M2451" s="2" t="s">
        <v>12</v>
      </c>
      <c r="N2451" s="2" t="s">
        <v>12</v>
      </c>
      <c r="O2451" s="2" t="s">
        <v>12</v>
      </c>
      <c r="P2451" s="21" t="s">
        <v>12</v>
      </c>
      <c r="Q2451" s="3" t="s">
        <v>1750</v>
      </c>
      <c r="R2451" s="3" t="s">
        <v>75</v>
      </c>
    </row>
    <row r="2452" spans="1:18" x14ac:dyDescent="0.25">
      <c r="A2452" s="30">
        <v>46066</v>
      </c>
      <c r="B2452" s="28">
        <v>267</v>
      </c>
      <c r="C2452" s="28"/>
      <c r="D2452" s="2" t="s">
        <v>803</v>
      </c>
      <c r="E2452" s="7" t="s">
        <v>12</v>
      </c>
      <c r="F2452" s="7" t="s">
        <v>2683</v>
      </c>
      <c r="G2452" s="2" t="s">
        <v>13</v>
      </c>
      <c r="H2452" s="2" t="s">
        <v>1591</v>
      </c>
      <c r="I2452" s="5">
        <v>19740.169999999998</v>
      </c>
      <c r="J2452" s="57">
        <v>7.0000000000000007E-2</v>
      </c>
      <c r="K2452" s="3">
        <v>240</v>
      </c>
      <c r="L2452" s="2" t="s">
        <v>226</v>
      </c>
      <c r="M2452" s="2" t="s">
        <v>12</v>
      </c>
      <c r="N2452" s="2" t="s">
        <v>12</v>
      </c>
      <c r="O2452" s="2" t="s">
        <v>12</v>
      </c>
      <c r="P2452" s="21" t="s">
        <v>12</v>
      </c>
      <c r="Q2452" s="3" t="s">
        <v>12</v>
      </c>
      <c r="R2452" s="3" t="s">
        <v>12</v>
      </c>
    </row>
    <row r="2453" spans="1:18" x14ac:dyDescent="0.25">
      <c r="A2453" s="30">
        <v>46066</v>
      </c>
      <c r="B2453" s="28">
        <v>268</v>
      </c>
      <c r="C2453" s="28"/>
      <c r="D2453" s="2" t="s">
        <v>87</v>
      </c>
      <c r="E2453" s="7" t="s">
        <v>2759</v>
      </c>
      <c r="F2453" s="7" t="s">
        <v>3002</v>
      </c>
      <c r="G2453" s="2" t="s">
        <v>13</v>
      </c>
      <c r="H2453" s="2" t="s">
        <v>185</v>
      </c>
      <c r="I2453" s="5">
        <v>209843.02</v>
      </c>
      <c r="J2453" s="57">
        <v>7.0000000000000007E-2</v>
      </c>
      <c r="K2453" s="3">
        <v>2208</v>
      </c>
      <c r="L2453" s="2" t="s">
        <v>21</v>
      </c>
      <c r="M2453" s="2" t="s">
        <v>12</v>
      </c>
      <c r="N2453" s="2" t="s">
        <v>12</v>
      </c>
      <c r="O2453" s="2" t="s">
        <v>12</v>
      </c>
      <c r="P2453" s="21" t="s">
        <v>12</v>
      </c>
      <c r="Q2453" s="3" t="s">
        <v>78</v>
      </c>
      <c r="R2453" s="3" t="s">
        <v>80</v>
      </c>
    </row>
    <row r="2454" spans="1:18" x14ac:dyDescent="0.25">
      <c r="A2454" s="30">
        <v>46066</v>
      </c>
      <c r="B2454" s="28">
        <v>269</v>
      </c>
      <c r="C2454" s="28"/>
      <c r="D2454" s="2" t="s">
        <v>311</v>
      </c>
      <c r="E2454" s="7" t="s">
        <v>2760</v>
      </c>
      <c r="F2454" s="7" t="s">
        <v>3002</v>
      </c>
      <c r="G2454" s="2" t="s">
        <v>97</v>
      </c>
      <c r="H2454" s="2" t="s">
        <v>313</v>
      </c>
      <c r="I2454" s="5">
        <v>35609.53</v>
      </c>
      <c r="J2454" s="57">
        <v>7.0000000000000007E-2</v>
      </c>
      <c r="K2454" s="3">
        <v>384</v>
      </c>
      <c r="L2454" s="2" t="s">
        <v>226</v>
      </c>
      <c r="M2454" s="2" t="s">
        <v>12</v>
      </c>
      <c r="N2454" s="2" t="s">
        <v>12</v>
      </c>
      <c r="O2454" s="2" t="s">
        <v>12</v>
      </c>
      <c r="P2454" s="21" t="s">
        <v>12</v>
      </c>
      <c r="Q2454" s="3" t="s">
        <v>12</v>
      </c>
      <c r="R2454" s="3" t="s">
        <v>12</v>
      </c>
    </row>
    <row r="2455" spans="1:18" x14ac:dyDescent="0.25">
      <c r="A2455" s="30">
        <v>46066</v>
      </c>
      <c r="B2455" s="28">
        <v>270</v>
      </c>
      <c r="C2455" s="28"/>
      <c r="D2455" s="2" t="s">
        <v>2661</v>
      </c>
      <c r="E2455" s="7" t="s">
        <v>12</v>
      </c>
      <c r="F2455" s="7" t="s">
        <v>12</v>
      </c>
      <c r="G2455" s="2" t="s">
        <v>13</v>
      </c>
      <c r="H2455" s="2" t="s">
        <v>799</v>
      </c>
      <c r="I2455" s="5">
        <v>20565.29</v>
      </c>
      <c r="J2455" s="57">
        <v>0.05</v>
      </c>
      <c r="K2455" s="3">
        <v>216</v>
      </c>
      <c r="L2455" s="2" t="s">
        <v>226</v>
      </c>
      <c r="M2455" s="2" t="s">
        <v>12</v>
      </c>
      <c r="N2455" s="2" t="s">
        <v>12</v>
      </c>
      <c r="O2455" s="2" t="s">
        <v>12</v>
      </c>
      <c r="P2455" s="21" t="s">
        <v>12</v>
      </c>
      <c r="Q2455" s="3" t="s">
        <v>12</v>
      </c>
      <c r="R2455" s="3" t="s">
        <v>12</v>
      </c>
    </row>
    <row r="2456" spans="1:18" x14ac:dyDescent="0.25">
      <c r="A2456" s="30">
        <v>46066</v>
      </c>
      <c r="B2456" s="28">
        <v>271</v>
      </c>
      <c r="C2456" s="28"/>
      <c r="D2456" s="2" t="s">
        <v>557</v>
      </c>
      <c r="E2456" s="7" t="s">
        <v>2820</v>
      </c>
      <c r="F2456" s="7" t="s">
        <v>12</v>
      </c>
      <c r="G2456" s="2" t="s">
        <v>20</v>
      </c>
      <c r="H2456" s="2" t="s">
        <v>471</v>
      </c>
      <c r="I2456" s="5">
        <v>27008.85</v>
      </c>
      <c r="J2456" s="57">
        <v>7.0000000000000007E-2</v>
      </c>
      <c r="K2456" s="3">
        <v>264</v>
      </c>
      <c r="L2456" s="2" t="s">
        <v>73</v>
      </c>
      <c r="M2456" s="2" t="s">
        <v>3230</v>
      </c>
      <c r="N2456" s="2" t="s">
        <v>12</v>
      </c>
      <c r="O2456" s="2" t="s">
        <v>12</v>
      </c>
      <c r="P2456" s="21"/>
      <c r="Q2456" s="3" t="s">
        <v>12</v>
      </c>
      <c r="R2456" s="3" t="s">
        <v>12</v>
      </c>
    </row>
    <row r="2457" spans="1:18" x14ac:dyDescent="0.25">
      <c r="A2457" s="30">
        <v>46066</v>
      </c>
      <c r="B2457" s="28">
        <v>272</v>
      </c>
      <c r="C2457" s="28"/>
      <c r="D2457" s="2" t="s">
        <v>56</v>
      </c>
      <c r="E2457" s="7" t="s">
        <v>2761</v>
      </c>
      <c r="F2457" s="7" t="s">
        <v>2972</v>
      </c>
      <c r="G2457" s="2" t="s">
        <v>43</v>
      </c>
      <c r="H2457" s="2" t="s">
        <v>13</v>
      </c>
      <c r="I2457" s="5">
        <v>46212.13</v>
      </c>
      <c r="J2457" s="57">
        <v>7.0000000000000007E-2</v>
      </c>
      <c r="K2457" s="3">
        <v>456</v>
      </c>
      <c r="L2457" s="2" t="s">
        <v>226</v>
      </c>
      <c r="M2457" s="2" t="s">
        <v>12</v>
      </c>
      <c r="N2457" s="2" t="s">
        <v>12</v>
      </c>
      <c r="O2457" s="2" t="s">
        <v>12</v>
      </c>
      <c r="P2457" s="21" t="s">
        <v>12</v>
      </c>
      <c r="Q2457" s="3" t="s">
        <v>357</v>
      </c>
      <c r="R2457" s="3" t="s">
        <v>80</v>
      </c>
    </row>
    <row r="2458" spans="1:18" x14ac:dyDescent="0.25">
      <c r="A2458" s="30">
        <v>46071</v>
      </c>
      <c r="B2458" s="28">
        <v>273</v>
      </c>
      <c r="C2458" s="28"/>
      <c r="D2458" s="2" t="s">
        <v>206</v>
      </c>
      <c r="E2458" s="7" t="s">
        <v>2762</v>
      </c>
      <c r="F2458" s="7" t="s">
        <v>2697</v>
      </c>
      <c r="G2458" s="2" t="s">
        <v>97</v>
      </c>
      <c r="H2458" s="2" t="s">
        <v>368</v>
      </c>
      <c r="I2458" s="5">
        <v>36010.199999999997</v>
      </c>
      <c r="J2458" s="57">
        <v>7.0000000000000007E-2</v>
      </c>
      <c r="K2458" s="3">
        <v>408</v>
      </c>
      <c r="L2458" s="2" t="s">
        <v>226</v>
      </c>
      <c r="M2458" s="2" t="s">
        <v>12</v>
      </c>
      <c r="N2458" s="2" t="s">
        <v>12</v>
      </c>
      <c r="O2458" s="2" t="s">
        <v>12</v>
      </c>
      <c r="P2458" s="21" t="s">
        <v>12</v>
      </c>
      <c r="Q2458" s="3" t="s">
        <v>12</v>
      </c>
      <c r="R2458" s="3" t="s">
        <v>12</v>
      </c>
    </row>
    <row r="2459" spans="1:18" x14ac:dyDescent="0.25">
      <c r="A2459" s="30">
        <v>46071</v>
      </c>
      <c r="B2459" s="28">
        <v>274</v>
      </c>
      <c r="C2459" s="28"/>
      <c r="D2459" s="2" t="s">
        <v>1091</v>
      </c>
      <c r="E2459" s="7" t="s">
        <v>2763</v>
      </c>
      <c r="F2459" s="7" t="s">
        <v>2247</v>
      </c>
      <c r="G2459" s="2" t="s">
        <v>26</v>
      </c>
      <c r="H2459" s="2" t="s">
        <v>225</v>
      </c>
      <c r="I2459" s="5">
        <v>11844.78</v>
      </c>
      <c r="J2459" s="57">
        <v>7.0000000000000007E-2</v>
      </c>
      <c r="K2459" s="3" t="s">
        <v>12</v>
      </c>
      <c r="L2459" s="2" t="s">
        <v>64</v>
      </c>
      <c r="M2459" s="2" t="s">
        <v>12</v>
      </c>
      <c r="N2459" s="2" t="s">
        <v>12</v>
      </c>
      <c r="O2459" s="2" t="s">
        <v>12</v>
      </c>
      <c r="P2459" s="21" t="s">
        <v>12</v>
      </c>
      <c r="Q2459" s="3" t="s">
        <v>12</v>
      </c>
      <c r="R2459" s="3" t="s">
        <v>12</v>
      </c>
    </row>
    <row r="2460" spans="1:18" x14ac:dyDescent="0.25">
      <c r="A2460" s="30">
        <v>46071</v>
      </c>
      <c r="B2460" s="28">
        <v>275</v>
      </c>
      <c r="C2460" s="28" t="s">
        <v>2162</v>
      </c>
      <c r="D2460" s="2" t="s">
        <v>1091</v>
      </c>
      <c r="E2460" s="7" t="s">
        <v>2764</v>
      </c>
      <c r="F2460" s="7" t="s">
        <v>2247</v>
      </c>
      <c r="G2460" s="2" t="s">
        <v>26</v>
      </c>
      <c r="H2460" s="2" t="s">
        <v>15</v>
      </c>
      <c r="I2460" s="5">
        <v>35000</v>
      </c>
      <c r="J2460" s="57">
        <v>0.03</v>
      </c>
      <c r="K2460" s="3">
        <v>672</v>
      </c>
      <c r="L2460" s="2" t="s">
        <v>64</v>
      </c>
      <c r="M2460" s="2" t="s">
        <v>12</v>
      </c>
      <c r="N2460" s="2" t="s">
        <v>12</v>
      </c>
      <c r="O2460" s="2" t="s">
        <v>12</v>
      </c>
      <c r="P2460" s="21" t="s">
        <v>12</v>
      </c>
      <c r="Q2460" s="3" t="s">
        <v>12</v>
      </c>
      <c r="R2460" s="3" t="s">
        <v>12</v>
      </c>
    </row>
    <row r="2461" spans="1:18" x14ac:dyDescent="0.25">
      <c r="A2461" s="30">
        <v>46071</v>
      </c>
      <c r="B2461" s="28">
        <v>276</v>
      </c>
      <c r="C2461" s="28"/>
      <c r="D2461" s="2" t="s">
        <v>130</v>
      </c>
      <c r="E2461" s="7" t="s">
        <v>2765</v>
      </c>
      <c r="F2461" s="7" t="s">
        <v>3001</v>
      </c>
      <c r="G2461" s="2" t="s">
        <v>26</v>
      </c>
      <c r="H2461" s="2" t="s">
        <v>369</v>
      </c>
      <c r="I2461" s="5">
        <v>13589.56</v>
      </c>
      <c r="J2461" s="57">
        <v>7.0000000000000007E-2</v>
      </c>
      <c r="K2461" s="3">
        <v>144</v>
      </c>
      <c r="L2461" s="2" t="s">
        <v>226</v>
      </c>
      <c r="M2461" s="2" t="s">
        <v>12</v>
      </c>
      <c r="N2461" s="2" t="s">
        <v>12</v>
      </c>
      <c r="O2461" s="2" t="s">
        <v>12</v>
      </c>
      <c r="P2461" s="21" t="s">
        <v>12</v>
      </c>
      <c r="Q2461" s="3" t="s">
        <v>2771</v>
      </c>
      <c r="R2461" s="3" t="s">
        <v>2772</v>
      </c>
    </row>
    <row r="2462" spans="1:18" x14ac:dyDescent="0.25">
      <c r="A2462" s="30">
        <v>46071</v>
      </c>
      <c r="B2462" s="28">
        <v>277</v>
      </c>
      <c r="C2462" s="28"/>
      <c r="D2462" s="2" t="s">
        <v>41</v>
      </c>
      <c r="E2462" s="7" t="s">
        <v>2759</v>
      </c>
      <c r="F2462" s="7" t="s">
        <v>3002</v>
      </c>
      <c r="G2462" s="2" t="s">
        <v>43</v>
      </c>
      <c r="H2462" s="2" t="s">
        <v>417</v>
      </c>
      <c r="I2462" s="5">
        <v>188226.97</v>
      </c>
      <c r="J2462" s="57">
        <v>0.05</v>
      </c>
      <c r="K2462" s="3">
        <v>2208</v>
      </c>
      <c r="L2462" s="2" t="s">
        <v>226</v>
      </c>
      <c r="M2462" s="2" t="s">
        <v>12</v>
      </c>
      <c r="N2462" s="2" t="s">
        <v>12</v>
      </c>
      <c r="O2462" s="2" t="s">
        <v>12</v>
      </c>
      <c r="P2462" s="21" t="s">
        <v>12</v>
      </c>
      <c r="Q2462" s="3" t="s">
        <v>78</v>
      </c>
      <c r="R2462" s="3" t="s">
        <v>80</v>
      </c>
    </row>
    <row r="2463" spans="1:18" x14ac:dyDescent="0.25">
      <c r="A2463" s="30">
        <v>46071</v>
      </c>
      <c r="B2463" s="28">
        <v>278</v>
      </c>
      <c r="C2463" s="28"/>
      <c r="D2463" s="2" t="s">
        <v>2594</v>
      </c>
      <c r="E2463" s="7" t="s">
        <v>2766</v>
      </c>
      <c r="F2463" s="7" t="s">
        <v>2694</v>
      </c>
      <c r="G2463" s="2" t="s">
        <v>13</v>
      </c>
      <c r="H2463" s="2" t="s">
        <v>2767</v>
      </c>
      <c r="I2463" s="5">
        <v>14319.18</v>
      </c>
      <c r="J2463" s="57">
        <v>7.0000000000000007E-2</v>
      </c>
      <c r="K2463" s="3">
        <v>144</v>
      </c>
      <c r="L2463" s="2" t="s">
        <v>226</v>
      </c>
      <c r="M2463" s="2" t="s">
        <v>12</v>
      </c>
      <c r="N2463" s="2" t="s">
        <v>12</v>
      </c>
      <c r="O2463" s="2" t="s">
        <v>12</v>
      </c>
      <c r="P2463" s="21" t="s">
        <v>12</v>
      </c>
      <c r="Q2463" s="3" t="s">
        <v>74</v>
      </c>
      <c r="R2463" s="3" t="s">
        <v>76</v>
      </c>
    </row>
    <row r="2464" spans="1:18" x14ac:dyDescent="0.25">
      <c r="A2464" s="30">
        <v>46071</v>
      </c>
      <c r="B2464" s="28">
        <v>279</v>
      </c>
      <c r="C2464" s="28"/>
      <c r="D2464" s="2" t="s">
        <v>308</v>
      </c>
      <c r="E2464" s="7" t="s">
        <v>2768</v>
      </c>
      <c r="F2464" s="7" t="s">
        <v>3002</v>
      </c>
      <c r="G2464" s="2" t="s">
        <v>20</v>
      </c>
      <c r="H2464" s="2" t="s">
        <v>129</v>
      </c>
      <c r="I2464" s="5">
        <v>181938.33</v>
      </c>
      <c r="J2464" s="57">
        <v>0.03</v>
      </c>
      <c r="K2464" s="3">
        <v>2256</v>
      </c>
      <c r="L2464" s="2" t="s">
        <v>73</v>
      </c>
      <c r="M2464" s="2" t="s">
        <v>1179</v>
      </c>
      <c r="N2464" s="2" t="s">
        <v>12</v>
      </c>
      <c r="O2464" s="2" t="s">
        <v>12</v>
      </c>
      <c r="P2464" s="21" t="s">
        <v>12</v>
      </c>
      <c r="Q2464" s="3" t="s">
        <v>12</v>
      </c>
      <c r="R2464" s="3" t="s">
        <v>12</v>
      </c>
    </row>
    <row r="2465" spans="1:18" x14ac:dyDescent="0.25">
      <c r="A2465" s="30">
        <v>46071</v>
      </c>
      <c r="B2465" s="28">
        <v>280</v>
      </c>
      <c r="C2465" s="28"/>
      <c r="D2465" s="2" t="s">
        <v>2769</v>
      </c>
      <c r="E2465" s="7" t="s">
        <v>2770</v>
      </c>
      <c r="F2465" s="7" t="s">
        <v>3001</v>
      </c>
      <c r="G2465" s="2" t="s">
        <v>26</v>
      </c>
      <c r="H2465" s="2" t="s">
        <v>2269</v>
      </c>
      <c r="I2465" s="5">
        <v>65532.88</v>
      </c>
      <c r="J2465" s="57">
        <v>7.0000000000000007E-2</v>
      </c>
      <c r="K2465" s="3">
        <v>768</v>
      </c>
      <c r="L2465" s="2" t="s">
        <v>226</v>
      </c>
      <c r="M2465" s="2" t="s">
        <v>12</v>
      </c>
      <c r="N2465" s="2" t="s">
        <v>12</v>
      </c>
      <c r="O2465" s="2" t="s">
        <v>12</v>
      </c>
      <c r="P2465" s="21" t="s">
        <v>12</v>
      </c>
      <c r="Q2465" s="3" t="s">
        <v>12</v>
      </c>
      <c r="R2465" s="3" t="s">
        <v>12</v>
      </c>
    </row>
    <row r="2466" spans="1:18" x14ac:dyDescent="0.25">
      <c r="A2466" s="30">
        <v>46071</v>
      </c>
      <c r="B2466" s="28">
        <v>281</v>
      </c>
      <c r="C2466" s="28" t="s">
        <v>2161</v>
      </c>
      <c r="D2466" s="2" t="s">
        <v>256</v>
      </c>
      <c r="E2466" s="7" t="s">
        <v>12</v>
      </c>
      <c r="F2466" s="7" t="s">
        <v>2683</v>
      </c>
      <c r="G2466" s="2" t="s">
        <v>20</v>
      </c>
      <c r="H2466" s="2" t="s">
        <v>1000</v>
      </c>
      <c r="I2466" s="5">
        <v>1475.44</v>
      </c>
      <c r="J2466" s="57">
        <v>0.03</v>
      </c>
      <c r="K2466" s="3">
        <v>24</v>
      </c>
      <c r="L2466" s="2" t="s">
        <v>64</v>
      </c>
      <c r="M2466" s="2" t="s">
        <v>12</v>
      </c>
      <c r="N2466" s="2" t="s">
        <v>12</v>
      </c>
      <c r="O2466" s="2" t="s">
        <v>12</v>
      </c>
      <c r="P2466" s="21" t="s">
        <v>12</v>
      </c>
      <c r="Q2466" s="3" t="s">
        <v>12</v>
      </c>
      <c r="R2466" s="3" t="s">
        <v>12</v>
      </c>
    </row>
    <row r="2467" spans="1:18" x14ac:dyDescent="0.25">
      <c r="A2467" s="30">
        <v>46071</v>
      </c>
      <c r="B2467" s="28">
        <v>282</v>
      </c>
      <c r="C2467" s="28"/>
      <c r="D2467" s="2" t="s">
        <v>1395</v>
      </c>
      <c r="E2467" s="7" t="s">
        <v>12</v>
      </c>
      <c r="F2467" s="7" t="s">
        <v>2683</v>
      </c>
      <c r="G2467" s="2" t="s">
        <v>111</v>
      </c>
      <c r="H2467" s="2" t="s">
        <v>12</v>
      </c>
      <c r="I2467" s="5" t="s">
        <v>12</v>
      </c>
      <c r="J2467" s="57"/>
      <c r="K2467" s="3" t="s">
        <v>12</v>
      </c>
      <c r="L2467" s="2" t="s">
        <v>226</v>
      </c>
      <c r="M2467" s="2" t="s">
        <v>12</v>
      </c>
      <c r="N2467" s="2" t="s">
        <v>12</v>
      </c>
      <c r="O2467" s="2" t="s">
        <v>12</v>
      </c>
      <c r="P2467" s="21" t="s">
        <v>12</v>
      </c>
      <c r="Q2467" s="3" t="s">
        <v>12</v>
      </c>
      <c r="R2467" s="3" t="s">
        <v>12</v>
      </c>
    </row>
    <row r="2468" spans="1:18" x14ac:dyDescent="0.25">
      <c r="A2468" s="30">
        <v>46072</v>
      </c>
      <c r="B2468" s="28">
        <v>283</v>
      </c>
      <c r="C2468" s="28"/>
      <c r="D2468" s="2" t="s">
        <v>894</v>
      </c>
      <c r="E2468" s="7" t="s">
        <v>12</v>
      </c>
      <c r="F2468" s="7" t="s">
        <v>2683</v>
      </c>
      <c r="G2468" s="2" t="s">
        <v>13</v>
      </c>
      <c r="H2468" s="2" t="s">
        <v>119</v>
      </c>
      <c r="I2468" s="5">
        <v>15387.86</v>
      </c>
      <c r="J2468" s="57">
        <v>0.05</v>
      </c>
      <c r="K2468" s="3">
        <v>192</v>
      </c>
      <c r="L2468" s="2" t="s">
        <v>226</v>
      </c>
      <c r="M2468" s="2" t="s">
        <v>12</v>
      </c>
      <c r="N2468" s="2" t="s">
        <v>12</v>
      </c>
      <c r="O2468" s="2" t="s">
        <v>12</v>
      </c>
      <c r="P2468" s="21" t="s">
        <v>12</v>
      </c>
      <c r="Q2468" s="3" t="s">
        <v>12</v>
      </c>
      <c r="R2468" s="3" t="s">
        <v>12</v>
      </c>
    </row>
    <row r="2469" spans="1:18" x14ac:dyDescent="0.25">
      <c r="A2469" s="30">
        <v>46072</v>
      </c>
      <c r="B2469" s="28">
        <v>284</v>
      </c>
      <c r="C2469" s="28" t="s">
        <v>2161</v>
      </c>
      <c r="D2469" s="2" t="s">
        <v>2590</v>
      </c>
      <c r="E2469" s="7" t="s">
        <v>2775</v>
      </c>
      <c r="F2469" s="7" t="s">
        <v>2683</v>
      </c>
      <c r="G2469" s="2" t="s">
        <v>20</v>
      </c>
      <c r="H2469" s="2" t="s">
        <v>827</v>
      </c>
      <c r="I2469" s="5">
        <v>18883.009999999998</v>
      </c>
      <c r="J2469" s="57">
        <v>0.03</v>
      </c>
      <c r="K2469" s="3">
        <v>288</v>
      </c>
      <c r="L2469" s="2" t="s">
        <v>64</v>
      </c>
      <c r="M2469" s="2" t="s">
        <v>12</v>
      </c>
      <c r="N2469" s="2" t="s">
        <v>12</v>
      </c>
      <c r="O2469" s="2" t="s">
        <v>12</v>
      </c>
      <c r="P2469" s="21" t="s">
        <v>12</v>
      </c>
      <c r="Q2469" s="3" t="s">
        <v>12</v>
      </c>
      <c r="R2469" s="3" t="s">
        <v>12</v>
      </c>
    </row>
    <row r="2470" spans="1:18" x14ac:dyDescent="0.25">
      <c r="A2470" s="30">
        <v>46078</v>
      </c>
      <c r="B2470" s="28">
        <v>285</v>
      </c>
      <c r="C2470" s="28" t="s">
        <v>2161</v>
      </c>
      <c r="D2470" s="2" t="s">
        <v>273</v>
      </c>
      <c r="E2470" s="7" t="s">
        <v>12</v>
      </c>
      <c r="F2470" s="7" t="s">
        <v>2683</v>
      </c>
      <c r="G2470" s="2" t="s">
        <v>26</v>
      </c>
      <c r="H2470" s="2" t="s">
        <v>116</v>
      </c>
      <c r="I2470" s="5">
        <v>8667.74</v>
      </c>
      <c r="J2470" s="57">
        <v>0.05</v>
      </c>
      <c r="K2470" s="3">
        <v>120</v>
      </c>
      <c r="L2470" s="2" t="s">
        <v>64</v>
      </c>
      <c r="M2470" s="2" t="s">
        <v>12</v>
      </c>
      <c r="N2470" s="2" t="s">
        <v>12</v>
      </c>
      <c r="O2470" s="2" t="s">
        <v>12</v>
      </c>
      <c r="P2470" s="21" t="s">
        <v>12</v>
      </c>
      <c r="Q2470" s="3" t="s">
        <v>12</v>
      </c>
      <c r="R2470" s="3" t="s">
        <v>12</v>
      </c>
    </row>
    <row r="2471" spans="1:18" x14ac:dyDescent="0.25">
      <c r="A2471" s="30">
        <v>46072</v>
      </c>
      <c r="B2471" s="28">
        <v>286</v>
      </c>
      <c r="C2471" s="28"/>
      <c r="D2471" s="2" t="s">
        <v>803</v>
      </c>
      <c r="E2471" s="7" t="s">
        <v>12</v>
      </c>
      <c r="F2471" s="7" t="s">
        <v>2683</v>
      </c>
      <c r="G2471" s="2" t="s">
        <v>13</v>
      </c>
      <c r="H2471" s="2" t="s">
        <v>1591</v>
      </c>
      <c r="I2471" s="5">
        <v>24269.72</v>
      </c>
      <c r="J2471" s="57">
        <v>7.0000000000000007E-2</v>
      </c>
      <c r="K2471" s="3">
        <v>240</v>
      </c>
      <c r="L2471" s="2" t="s">
        <v>226</v>
      </c>
      <c r="M2471" s="2" t="s">
        <v>12</v>
      </c>
      <c r="N2471" s="2" t="s">
        <v>12</v>
      </c>
      <c r="O2471" s="2" t="s">
        <v>12</v>
      </c>
      <c r="P2471" s="21" t="s">
        <v>12</v>
      </c>
      <c r="Q2471" s="3" t="s">
        <v>12</v>
      </c>
      <c r="R2471" s="3" t="s">
        <v>12</v>
      </c>
    </row>
    <row r="2472" spans="1:18" x14ac:dyDescent="0.25">
      <c r="A2472" s="30">
        <v>46078</v>
      </c>
      <c r="B2472" s="28">
        <v>287</v>
      </c>
      <c r="C2472" s="28"/>
      <c r="D2472" s="2" t="s">
        <v>2717</v>
      </c>
      <c r="E2472" s="7" t="s">
        <v>12</v>
      </c>
      <c r="F2472" s="7" t="s">
        <v>2683</v>
      </c>
      <c r="G2472" s="2" t="s">
        <v>26</v>
      </c>
      <c r="H2472" s="2" t="s">
        <v>127</v>
      </c>
      <c r="I2472" s="5">
        <v>185000</v>
      </c>
      <c r="J2472" s="57">
        <v>0.03</v>
      </c>
      <c r="K2472" s="3">
        <v>2160</v>
      </c>
      <c r="L2472" s="2" t="s">
        <v>64</v>
      </c>
      <c r="M2472" s="2" t="s">
        <v>12</v>
      </c>
      <c r="N2472" s="2" t="s">
        <v>12</v>
      </c>
      <c r="O2472" s="2" t="s">
        <v>12</v>
      </c>
      <c r="P2472" s="21" t="s">
        <v>12</v>
      </c>
      <c r="Q2472" s="3" t="s">
        <v>12</v>
      </c>
      <c r="R2472" s="3" t="s">
        <v>12</v>
      </c>
    </row>
    <row r="2473" spans="1:18" x14ac:dyDescent="0.25">
      <c r="A2473" s="30">
        <v>46073</v>
      </c>
      <c r="B2473" s="28">
        <v>288</v>
      </c>
      <c r="C2473" s="28"/>
      <c r="D2473" s="2" t="s">
        <v>2610</v>
      </c>
      <c r="E2473" s="7" t="s">
        <v>12</v>
      </c>
      <c r="F2473" s="7" t="s">
        <v>2683</v>
      </c>
      <c r="G2473" s="2" t="s">
        <v>13</v>
      </c>
      <c r="H2473" s="2" t="s">
        <v>2776</v>
      </c>
      <c r="I2473" s="5">
        <v>22151.88</v>
      </c>
      <c r="J2473" s="57">
        <v>7.0000000000000007E-2</v>
      </c>
      <c r="K2473" s="3">
        <v>192</v>
      </c>
      <c r="L2473" s="2" t="s">
        <v>226</v>
      </c>
      <c r="M2473" s="2" t="s">
        <v>12</v>
      </c>
      <c r="N2473" s="2" t="s">
        <v>12</v>
      </c>
      <c r="O2473" s="2" t="s">
        <v>12</v>
      </c>
      <c r="P2473" s="21" t="s">
        <v>12</v>
      </c>
      <c r="Q2473" s="3" t="s">
        <v>12</v>
      </c>
      <c r="R2473" s="3" t="s">
        <v>12</v>
      </c>
    </row>
    <row r="2474" spans="1:18" x14ac:dyDescent="0.25">
      <c r="A2474" s="30">
        <v>46073</v>
      </c>
      <c r="B2474" s="28">
        <v>289</v>
      </c>
      <c r="C2474" s="28"/>
      <c r="D2474" s="2" t="s">
        <v>2530</v>
      </c>
      <c r="E2474" s="7" t="s">
        <v>12</v>
      </c>
      <c r="F2474" s="7" t="s">
        <v>2683</v>
      </c>
      <c r="G2474" s="2" t="s">
        <v>13</v>
      </c>
      <c r="H2474" s="2" t="s">
        <v>1080</v>
      </c>
      <c r="I2474" s="5">
        <v>2619.58</v>
      </c>
      <c r="J2474" s="57">
        <v>7.0000000000000007E-2</v>
      </c>
      <c r="K2474" s="3">
        <v>25.2</v>
      </c>
      <c r="L2474" s="2" t="s">
        <v>226</v>
      </c>
      <c r="M2474" s="2" t="s">
        <v>12</v>
      </c>
      <c r="N2474" s="2" t="s">
        <v>12</v>
      </c>
      <c r="O2474" s="2" t="s">
        <v>12</v>
      </c>
      <c r="P2474" s="21" t="s">
        <v>12</v>
      </c>
      <c r="Q2474" s="3" t="s">
        <v>12</v>
      </c>
      <c r="R2474" s="3" t="s">
        <v>12</v>
      </c>
    </row>
    <row r="2475" spans="1:18" x14ac:dyDescent="0.25">
      <c r="A2475" s="30">
        <v>46073</v>
      </c>
      <c r="B2475" s="28">
        <v>290</v>
      </c>
      <c r="C2475" s="28"/>
      <c r="D2475" s="2" t="s">
        <v>2777</v>
      </c>
      <c r="E2475" s="7" t="s">
        <v>12</v>
      </c>
      <c r="F2475" s="7" t="s">
        <v>2683</v>
      </c>
      <c r="G2475" s="2" t="s">
        <v>13</v>
      </c>
      <c r="H2475" s="2" t="s">
        <v>454</v>
      </c>
      <c r="I2475" s="5">
        <v>5502.29</v>
      </c>
      <c r="J2475" s="57">
        <v>0.06</v>
      </c>
      <c r="K2475" s="3">
        <v>72</v>
      </c>
      <c r="L2475" s="2" t="s">
        <v>64</v>
      </c>
      <c r="M2475" s="2" t="s">
        <v>12</v>
      </c>
      <c r="N2475" s="2" t="s">
        <v>12</v>
      </c>
      <c r="O2475" s="2" t="s">
        <v>12</v>
      </c>
      <c r="P2475" s="21" t="s">
        <v>12</v>
      </c>
      <c r="Q2475" s="3" t="s">
        <v>12</v>
      </c>
      <c r="R2475" s="3" t="s">
        <v>12</v>
      </c>
    </row>
    <row r="2476" spans="1:18" x14ac:dyDescent="0.25">
      <c r="A2476" s="30">
        <v>46073</v>
      </c>
      <c r="B2476" s="28">
        <v>291</v>
      </c>
      <c r="C2476" s="28"/>
      <c r="D2476" s="2" t="s">
        <v>130</v>
      </c>
      <c r="E2476" s="7" t="s">
        <v>2778</v>
      </c>
      <c r="F2476" s="7" t="s">
        <v>3001</v>
      </c>
      <c r="G2476" s="2" t="s">
        <v>26</v>
      </c>
      <c r="H2476" s="2" t="s">
        <v>369</v>
      </c>
      <c r="I2476" s="5">
        <v>191621.94</v>
      </c>
      <c r="J2476" s="57">
        <v>7.0000000000000007E-2</v>
      </c>
      <c r="K2476" s="3">
        <v>1944</v>
      </c>
      <c r="L2476" s="2" t="s">
        <v>226</v>
      </c>
      <c r="M2476" s="2" t="s">
        <v>12</v>
      </c>
      <c r="N2476" s="2" t="s">
        <v>12</v>
      </c>
      <c r="O2476" s="2" t="s">
        <v>12</v>
      </c>
      <c r="P2476" s="21" t="s">
        <v>12</v>
      </c>
      <c r="Q2476" s="3" t="s">
        <v>297</v>
      </c>
      <c r="R2476" s="3" t="s">
        <v>80</v>
      </c>
    </row>
    <row r="2477" spans="1:18" x14ac:dyDescent="0.25">
      <c r="A2477" s="30">
        <v>46073</v>
      </c>
      <c r="B2477" s="28">
        <v>292</v>
      </c>
      <c r="C2477" s="28"/>
      <c r="D2477" s="2" t="s">
        <v>2779</v>
      </c>
      <c r="E2477" s="7" t="s">
        <v>2780</v>
      </c>
      <c r="F2477" s="7" t="s">
        <v>2972</v>
      </c>
      <c r="G2477" s="2" t="s">
        <v>97</v>
      </c>
      <c r="H2477" s="2" t="s">
        <v>1442</v>
      </c>
      <c r="I2477" s="5">
        <v>61962.38</v>
      </c>
      <c r="J2477" s="57">
        <v>0.05</v>
      </c>
      <c r="K2477" s="3">
        <v>672</v>
      </c>
      <c r="L2477" s="2" t="s">
        <v>226</v>
      </c>
      <c r="M2477" s="2" t="s">
        <v>12</v>
      </c>
      <c r="N2477" s="2" t="s">
        <v>12</v>
      </c>
      <c r="O2477" s="2" t="s">
        <v>12</v>
      </c>
      <c r="P2477" s="21" t="s">
        <v>12</v>
      </c>
      <c r="Q2477" s="3" t="s">
        <v>2849</v>
      </c>
      <c r="R2477" s="3" t="s">
        <v>75</v>
      </c>
    </row>
    <row r="2478" spans="1:18" x14ac:dyDescent="0.25">
      <c r="A2478" s="30">
        <v>46073</v>
      </c>
      <c r="B2478" s="28">
        <v>293</v>
      </c>
      <c r="C2478" s="28"/>
      <c r="D2478" s="2" t="s">
        <v>637</v>
      </c>
      <c r="E2478" s="7" t="s">
        <v>2781</v>
      </c>
      <c r="F2478" s="7" t="s">
        <v>3002</v>
      </c>
      <c r="G2478" s="2" t="s">
        <v>13</v>
      </c>
      <c r="H2478" s="2" t="s">
        <v>15</v>
      </c>
      <c r="I2478" s="5">
        <v>264787.38</v>
      </c>
      <c r="J2478" s="57">
        <v>7.0000000000000007E-2</v>
      </c>
      <c r="K2478" s="3">
        <v>2263.1999999999998</v>
      </c>
      <c r="L2478" s="2" t="s">
        <v>226</v>
      </c>
      <c r="M2478" s="2" t="s">
        <v>12</v>
      </c>
      <c r="N2478" s="2" t="s">
        <v>12</v>
      </c>
      <c r="O2478" s="2" t="s">
        <v>12</v>
      </c>
      <c r="P2478" s="21" t="s">
        <v>12</v>
      </c>
      <c r="Q2478" s="3" t="s">
        <v>2850</v>
      </c>
      <c r="R2478" s="3" t="s">
        <v>80</v>
      </c>
    </row>
    <row r="2479" spans="1:18" x14ac:dyDescent="0.25">
      <c r="A2479" s="30">
        <v>46073</v>
      </c>
      <c r="B2479" s="28">
        <v>294</v>
      </c>
      <c r="C2479" s="28"/>
      <c r="D2479" s="2" t="s">
        <v>23</v>
      </c>
      <c r="E2479" s="7" t="s">
        <v>12</v>
      </c>
      <c r="F2479" s="7" t="s">
        <v>2683</v>
      </c>
      <c r="G2479" s="2" t="s">
        <v>20</v>
      </c>
      <c r="H2479" s="2" t="s">
        <v>24</v>
      </c>
      <c r="I2479" s="5">
        <v>303.31</v>
      </c>
      <c r="J2479" s="57">
        <v>7.0000000000000007E-2</v>
      </c>
      <c r="K2479" s="3" t="s">
        <v>12</v>
      </c>
      <c r="L2479" s="2" t="s">
        <v>64</v>
      </c>
      <c r="M2479" s="2" t="s">
        <v>12</v>
      </c>
      <c r="N2479" s="2" t="s">
        <v>12</v>
      </c>
      <c r="O2479" s="2" t="s">
        <v>12</v>
      </c>
      <c r="P2479" s="21" t="s">
        <v>12</v>
      </c>
      <c r="Q2479" s="3" t="s">
        <v>12</v>
      </c>
      <c r="R2479" s="3" t="s">
        <v>12</v>
      </c>
    </row>
    <row r="2480" spans="1:18" x14ac:dyDescent="0.25">
      <c r="A2480" s="30">
        <v>46073</v>
      </c>
      <c r="B2480" s="28">
        <v>295</v>
      </c>
      <c r="C2480" s="28"/>
      <c r="D2480" s="2" t="s">
        <v>2782</v>
      </c>
      <c r="E2480" s="7" t="s">
        <v>12</v>
      </c>
      <c r="F2480" s="7" t="s">
        <v>2683</v>
      </c>
      <c r="G2480" s="2" t="s">
        <v>26</v>
      </c>
      <c r="H2480" s="2" t="s">
        <v>2783</v>
      </c>
      <c r="I2480" s="5">
        <v>32421.599999999999</v>
      </c>
      <c r="J2480" s="57">
        <v>0.05</v>
      </c>
      <c r="K2480" s="3">
        <v>360</v>
      </c>
      <c r="L2480" s="2" t="s">
        <v>226</v>
      </c>
      <c r="M2480" s="2" t="s">
        <v>12</v>
      </c>
      <c r="N2480" s="2" t="s">
        <v>12</v>
      </c>
      <c r="O2480" s="2" t="s">
        <v>12</v>
      </c>
      <c r="P2480" s="21" t="s">
        <v>12</v>
      </c>
      <c r="Q2480" s="3" t="s">
        <v>12</v>
      </c>
      <c r="R2480" s="3" t="s">
        <v>12</v>
      </c>
    </row>
    <row r="2481" spans="1:18" x14ac:dyDescent="0.25">
      <c r="A2481" s="30">
        <v>46073</v>
      </c>
      <c r="B2481" s="28">
        <v>296</v>
      </c>
      <c r="C2481" s="28"/>
      <c r="D2481" s="2" t="s">
        <v>1547</v>
      </c>
      <c r="E2481" s="7" t="s">
        <v>2784</v>
      </c>
      <c r="F2481" s="7" t="s">
        <v>2785</v>
      </c>
      <c r="G2481" s="2" t="s">
        <v>13</v>
      </c>
      <c r="H2481" s="2" t="s">
        <v>395</v>
      </c>
      <c r="I2481" s="5">
        <v>21869.66</v>
      </c>
      <c r="J2481" s="57">
        <v>7.0000000000000007E-2</v>
      </c>
      <c r="K2481" s="3">
        <v>240</v>
      </c>
      <c r="L2481" s="2" t="s">
        <v>226</v>
      </c>
      <c r="M2481" s="2" t="s">
        <v>12</v>
      </c>
      <c r="N2481" s="2" t="s">
        <v>12</v>
      </c>
      <c r="O2481" s="2" t="s">
        <v>12</v>
      </c>
      <c r="P2481" s="21" t="s">
        <v>12</v>
      </c>
      <c r="Q2481" s="3" t="s">
        <v>2851</v>
      </c>
      <c r="R2481" s="3" t="s">
        <v>75</v>
      </c>
    </row>
    <row r="2482" spans="1:18" x14ac:dyDescent="0.25">
      <c r="A2482" s="30">
        <v>46073</v>
      </c>
      <c r="B2482" s="28">
        <v>297</v>
      </c>
      <c r="C2482" s="28"/>
      <c r="D2482" s="2" t="s">
        <v>176</v>
      </c>
      <c r="E2482" s="7" t="s">
        <v>2786</v>
      </c>
      <c r="F2482" s="7" t="s">
        <v>2787</v>
      </c>
      <c r="G2482" s="2" t="s">
        <v>13</v>
      </c>
      <c r="H2482" s="2" t="s">
        <v>177</v>
      </c>
      <c r="I2482" s="5">
        <v>15868.73</v>
      </c>
      <c r="J2482" s="57">
        <v>0.05</v>
      </c>
      <c r="K2482" s="3">
        <v>144</v>
      </c>
      <c r="L2482" s="2" t="s">
        <v>226</v>
      </c>
      <c r="M2482" s="2" t="s">
        <v>12</v>
      </c>
      <c r="N2482" s="2" t="s">
        <v>12</v>
      </c>
      <c r="O2482" s="2" t="s">
        <v>12</v>
      </c>
      <c r="P2482" s="21" t="s">
        <v>12</v>
      </c>
      <c r="Q2482" s="3" t="s">
        <v>12</v>
      </c>
      <c r="R2482" s="3" t="s">
        <v>12</v>
      </c>
    </row>
    <row r="2483" spans="1:18" x14ac:dyDescent="0.25">
      <c r="A2483" s="30">
        <v>46073</v>
      </c>
      <c r="B2483" s="28">
        <v>298</v>
      </c>
      <c r="C2483" s="28"/>
      <c r="D2483" s="2" t="s">
        <v>41</v>
      </c>
      <c r="E2483" s="7" t="s">
        <v>2788</v>
      </c>
      <c r="F2483" s="7" t="s">
        <v>3002</v>
      </c>
      <c r="G2483" s="2" t="s">
        <v>43</v>
      </c>
      <c r="H2483" s="2" t="s">
        <v>43</v>
      </c>
      <c r="I2483" s="5">
        <v>54188.98</v>
      </c>
      <c r="J2483" s="57">
        <v>0.05</v>
      </c>
      <c r="K2483" s="3">
        <v>626.4</v>
      </c>
      <c r="L2483" s="2" t="s">
        <v>226</v>
      </c>
      <c r="M2483" s="2" t="s">
        <v>12</v>
      </c>
      <c r="N2483" s="2" t="s">
        <v>12</v>
      </c>
      <c r="O2483" s="2" t="s">
        <v>12</v>
      </c>
      <c r="P2483" s="21" t="s">
        <v>12</v>
      </c>
      <c r="Q2483" s="3" t="s">
        <v>456</v>
      </c>
      <c r="R2483" s="3" t="s">
        <v>80</v>
      </c>
    </row>
    <row r="2484" spans="1:18" x14ac:dyDescent="0.25">
      <c r="A2484" s="30">
        <v>46073</v>
      </c>
      <c r="B2484" s="28">
        <v>299</v>
      </c>
      <c r="C2484" s="28"/>
      <c r="D2484" s="2" t="s">
        <v>41</v>
      </c>
      <c r="E2484" s="7" t="s">
        <v>2789</v>
      </c>
      <c r="F2484" s="7" t="s">
        <v>3002</v>
      </c>
      <c r="G2484" s="2" t="s">
        <v>43</v>
      </c>
      <c r="H2484" s="2" t="s">
        <v>417</v>
      </c>
      <c r="I2484" s="5">
        <v>71434</v>
      </c>
      <c r="J2484" s="57">
        <v>0.05</v>
      </c>
      <c r="K2484" s="3">
        <v>768</v>
      </c>
      <c r="L2484" s="2" t="s">
        <v>226</v>
      </c>
      <c r="M2484" s="2" t="s">
        <v>12</v>
      </c>
      <c r="N2484" s="2" t="s">
        <v>12</v>
      </c>
      <c r="O2484" s="2" t="s">
        <v>12</v>
      </c>
      <c r="P2484" s="21" t="s">
        <v>12</v>
      </c>
      <c r="Q2484" s="3" t="s">
        <v>456</v>
      </c>
      <c r="R2484" s="3" t="s">
        <v>80</v>
      </c>
    </row>
    <row r="2485" spans="1:18" x14ac:dyDescent="0.25">
      <c r="A2485" s="30">
        <v>46073</v>
      </c>
      <c r="B2485" s="28">
        <v>300</v>
      </c>
      <c r="C2485" s="28"/>
      <c r="D2485" s="2" t="s">
        <v>1547</v>
      </c>
      <c r="E2485" s="7" t="s">
        <v>2780</v>
      </c>
      <c r="F2485" s="7" t="s">
        <v>2972</v>
      </c>
      <c r="G2485" s="2" t="s">
        <v>13</v>
      </c>
      <c r="H2485" s="2" t="s">
        <v>395</v>
      </c>
      <c r="I2485" s="5">
        <v>69121.2</v>
      </c>
      <c r="J2485" s="57">
        <v>7.0000000000000007E-2</v>
      </c>
      <c r="K2485" s="3">
        <v>672</v>
      </c>
      <c r="L2485" s="2" t="s">
        <v>226</v>
      </c>
      <c r="M2485" s="2" t="s">
        <v>12</v>
      </c>
      <c r="N2485" s="2" t="s">
        <v>12</v>
      </c>
      <c r="O2485" s="2" t="s">
        <v>12</v>
      </c>
      <c r="P2485" s="21" t="s">
        <v>12</v>
      </c>
      <c r="Q2485" s="3" t="s">
        <v>2849</v>
      </c>
      <c r="R2485" s="3" t="s">
        <v>75</v>
      </c>
    </row>
    <row r="2486" spans="1:18" x14ac:dyDescent="0.25">
      <c r="A2486" s="30">
        <v>46073</v>
      </c>
      <c r="B2486" s="28">
        <v>301</v>
      </c>
      <c r="C2486" s="28"/>
      <c r="D2486" s="2" t="s">
        <v>70</v>
      </c>
      <c r="E2486" s="7" t="s">
        <v>2790</v>
      </c>
      <c r="F2486" s="7" t="s">
        <v>2972</v>
      </c>
      <c r="G2486" s="2" t="s">
        <v>13</v>
      </c>
      <c r="H2486" s="2" t="s">
        <v>72</v>
      </c>
      <c r="I2486" s="5">
        <v>64779.39</v>
      </c>
      <c r="J2486" s="57">
        <v>7.0000000000000007E-2</v>
      </c>
      <c r="K2486" s="3">
        <v>672</v>
      </c>
      <c r="L2486" s="2" t="s">
        <v>226</v>
      </c>
      <c r="M2486" s="2" t="s">
        <v>12</v>
      </c>
      <c r="N2486" s="2" t="s">
        <v>12</v>
      </c>
      <c r="O2486" s="2" t="s">
        <v>12</v>
      </c>
      <c r="P2486" s="21" t="s">
        <v>12</v>
      </c>
      <c r="Q2486" s="3" t="s">
        <v>2849</v>
      </c>
      <c r="R2486" s="3" t="s">
        <v>75</v>
      </c>
    </row>
    <row r="2487" spans="1:18" x14ac:dyDescent="0.25">
      <c r="A2487" s="30">
        <v>46073</v>
      </c>
      <c r="B2487" s="28">
        <v>302</v>
      </c>
      <c r="C2487" s="28"/>
      <c r="D2487" s="2" t="s">
        <v>1615</v>
      </c>
      <c r="E2487" s="7" t="s">
        <v>12</v>
      </c>
      <c r="F2487" s="7" t="s">
        <v>2683</v>
      </c>
      <c r="G2487" s="2" t="s">
        <v>13</v>
      </c>
      <c r="H2487" s="2" t="s">
        <v>467</v>
      </c>
      <c r="I2487" s="5">
        <v>133580.28</v>
      </c>
      <c r="J2487" s="57">
        <v>7.0000000000000007E-2</v>
      </c>
      <c r="K2487" s="3">
        <v>1980</v>
      </c>
      <c r="L2487" s="2" t="s">
        <v>226</v>
      </c>
      <c r="M2487" s="2" t="s">
        <v>12</v>
      </c>
      <c r="N2487" s="2" t="s">
        <v>12</v>
      </c>
      <c r="O2487" s="2" t="s">
        <v>12</v>
      </c>
      <c r="P2487" s="21" t="s">
        <v>12</v>
      </c>
      <c r="Q2487" s="3" t="s">
        <v>12</v>
      </c>
      <c r="R2487" s="3" t="s">
        <v>12</v>
      </c>
    </row>
    <row r="2488" spans="1:18" x14ac:dyDescent="0.25">
      <c r="A2488" s="30">
        <v>46073</v>
      </c>
      <c r="B2488" s="28">
        <v>303</v>
      </c>
      <c r="C2488" s="28"/>
      <c r="D2488" s="2" t="s">
        <v>388</v>
      </c>
      <c r="E2488" s="7" t="s">
        <v>2791</v>
      </c>
      <c r="F2488" s="7" t="s">
        <v>2972</v>
      </c>
      <c r="G2488" s="2" t="s">
        <v>26</v>
      </c>
      <c r="H2488" s="2" t="s">
        <v>928</v>
      </c>
      <c r="I2488" s="5">
        <v>8590.01</v>
      </c>
      <c r="J2488" s="57">
        <v>7.0000000000000007E-2</v>
      </c>
      <c r="K2488" s="3">
        <v>72</v>
      </c>
      <c r="L2488" s="2" t="s">
        <v>226</v>
      </c>
      <c r="M2488" s="2" t="s">
        <v>12</v>
      </c>
      <c r="N2488" s="2" t="s">
        <v>12</v>
      </c>
      <c r="O2488" s="2" t="s">
        <v>12</v>
      </c>
      <c r="P2488" s="21" t="s">
        <v>12</v>
      </c>
      <c r="Q2488" s="3" t="s">
        <v>1839</v>
      </c>
      <c r="R2488" s="3" t="s">
        <v>75</v>
      </c>
    </row>
    <row r="2489" spans="1:18" x14ac:dyDescent="0.25">
      <c r="A2489" s="30">
        <v>46076</v>
      </c>
      <c r="B2489" s="28">
        <v>304</v>
      </c>
      <c r="C2489" s="28"/>
      <c r="D2489" s="2" t="s">
        <v>1711</v>
      </c>
      <c r="E2489" s="7" t="s">
        <v>12</v>
      </c>
      <c r="F2489" s="7" t="s">
        <v>1844</v>
      </c>
      <c r="G2489" s="2" t="s">
        <v>13</v>
      </c>
      <c r="H2489" s="2" t="s">
        <v>1321</v>
      </c>
      <c r="I2489" s="5">
        <v>6198.48</v>
      </c>
      <c r="J2489" s="57">
        <v>0.04</v>
      </c>
      <c r="K2489" s="3">
        <v>72</v>
      </c>
      <c r="L2489" s="2" t="s">
        <v>64</v>
      </c>
      <c r="M2489" s="2" t="s">
        <v>12</v>
      </c>
      <c r="N2489" s="2" t="s">
        <v>12</v>
      </c>
      <c r="O2489" s="2" t="s">
        <v>12</v>
      </c>
      <c r="P2489" s="21" t="s">
        <v>12</v>
      </c>
      <c r="Q2489" s="3" t="s">
        <v>12</v>
      </c>
      <c r="R2489" s="3" t="s">
        <v>12</v>
      </c>
    </row>
    <row r="2490" spans="1:18" x14ac:dyDescent="0.25">
      <c r="A2490" s="30">
        <v>46076</v>
      </c>
      <c r="B2490" s="28">
        <v>305</v>
      </c>
      <c r="C2490" s="28"/>
      <c r="D2490" s="2" t="s">
        <v>130</v>
      </c>
      <c r="E2490" s="7" t="s">
        <v>2790</v>
      </c>
      <c r="F2490" s="7" t="s">
        <v>2972</v>
      </c>
      <c r="G2490" s="2" t="s">
        <v>26</v>
      </c>
      <c r="H2490" s="2" t="s">
        <v>369</v>
      </c>
      <c r="I2490" s="5">
        <v>69121.2</v>
      </c>
      <c r="J2490" s="57">
        <v>7.0000000000000007E-2</v>
      </c>
      <c r="K2490" s="3">
        <v>672</v>
      </c>
      <c r="L2490" s="2" t="s">
        <v>226</v>
      </c>
      <c r="M2490" s="2" t="s">
        <v>12</v>
      </c>
      <c r="N2490" s="2" t="s">
        <v>12</v>
      </c>
      <c r="O2490" s="2" t="s">
        <v>12</v>
      </c>
      <c r="P2490" s="21" t="s">
        <v>12</v>
      </c>
      <c r="Q2490" s="3" t="s">
        <v>2849</v>
      </c>
      <c r="R2490" s="3" t="s">
        <v>75</v>
      </c>
    </row>
    <row r="2491" spans="1:18" x14ac:dyDescent="0.25">
      <c r="A2491" s="30">
        <v>46076</v>
      </c>
      <c r="B2491" s="28">
        <v>306</v>
      </c>
      <c r="C2491" s="28"/>
      <c r="D2491" s="2" t="s">
        <v>56</v>
      </c>
      <c r="E2491" s="7" t="s">
        <v>2792</v>
      </c>
      <c r="F2491" s="7" t="s">
        <v>2972</v>
      </c>
      <c r="G2491" s="2" t="s">
        <v>43</v>
      </c>
      <c r="H2491" s="2" t="s">
        <v>13</v>
      </c>
      <c r="I2491" s="5">
        <v>40797.089999999997</v>
      </c>
      <c r="J2491" s="57">
        <v>7.0000000000000007E-2</v>
      </c>
      <c r="K2491" s="3">
        <v>432</v>
      </c>
      <c r="L2491" s="2" t="s">
        <v>73</v>
      </c>
      <c r="M2491" s="2" t="s">
        <v>12</v>
      </c>
      <c r="N2491" s="2" t="s">
        <v>12</v>
      </c>
      <c r="O2491" s="2" t="s">
        <v>12</v>
      </c>
      <c r="P2491" s="21" t="s">
        <v>12</v>
      </c>
      <c r="Q2491" s="3" t="s">
        <v>2681</v>
      </c>
      <c r="R2491" s="3" t="s">
        <v>80</v>
      </c>
    </row>
    <row r="2492" spans="1:18" x14ac:dyDescent="0.25">
      <c r="A2492" s="30">
        <v>46076</v>
      </c>
      <c r="B2492" s="28">
        <v>307</v>
      </c>
      <c r="C2492" s="28"/>
      <c r="D2492" s="2" t="s">
        <v>87</v>
      </c>
      <c r="E2492" s="7" t="s">
        <v>2793</v>
      </c>
      <c r="F2492" s="7" t="s">
        <v>3002</v>
      </c>
      <c r="G2492" s="2" t="s">
        <v>13</v>
      </c>
      <c r="H2492" s="2" t="s">
        <v>185</v>
      </c>
      <c r="I2492" s="5">
        <v>361196.63</v>
      </c>
      <c r="J2492" s="57">
        <v>7.0000000000000007E-2</v>
      </c>
      <c r="K2492" s="3">
        <v>3648</v>
      </c>
      <c r="L2492" s="2" t="s">
        <v>226</v>
      </c>
      <c r="M2492" s="2" t="s">
        <v>12</v>
      </c>
      <c r="N2492" s="2" t="s">
        <v>12</v>
      </c>
      <c r="O2492" s="2" t="s">
        <v>12</v>
      </c>
      <c r="P2492" s="21" t="s">
        <v>12</v>
      </c>
      <c r="Q2492" s="3" t="s">
        <v>1751</v>
      </c>
      <c r="R2492" s="3" t="s">
        <v>80</v>
      </c>
    </row>
    <row r="2493" spans="1:18" x14ac:dyDescent="0.25">
      <c r="A2493" s="30">
        <v>46076</v>
      </c>
      <c r="B2493" s="28">
        <v>308</v>
      </c>
      <c r="C2493" s="28"/>
      <c r="D2493" s="2" t="s">
        <v>1091</v>
      </c>
      <c r="E2493" s="7" t="s">
        <v>2794</v>
      </c>
      <c r="F2493" s="7" t="s">
        <v>2683</v>
      </c>
      <c r="G2493" s="2" t="s">
        <v>26</v>
      </c>
      <c r="H2493" s="2" t="s">
        <v>15</v>
      </c>
      <c r="I2493" s="5">
        <v>15941.96</v>
      </c>
      <c r="J2493" s="57">
        <v>0.03</v>
      </c>
      <c r="K2493" s="3">
        <v>192</v>
      </c>
      <c r="L2493" s="2" t="s">
        <v>64</v>
      </c>
      <c r="M2493" s="2" t="s">
        <v>12</v>
      </c>
      <c r="N2493" s="2" t="s">
        <v>12</v>
      </c>
      <c r="O2493" s="2" t="s">
        <v>12</v>
      </c>
      <c r="P2493" s="21" t="s">
        <v>12</v>
      </c>
      <c r="Q2493" s="3" t="s">
        <v>12</v>
      </c>
      <c r="R2493" s="3" t="s">
        <v>12</v>
      </c>
    </row>
    <row r="2494" spans="1:18" x14ac:dyDescent="0.25">
      <c r="A2494" s="30">
        <v>46076</v>
      </c>
      <c r="B2494" s="28">
        <v>309</v>
      </c>
      <c r="C2494" s="28"/>
      <c r="D2494" s="2" t="s">
        <v>723</v>
      </c>
      <c r="E2494" s="7" t="s">
        <v>12</v>
      </c>
      <c r="F2494" s="7" t="s">
        <v>2683</v>
      </c>
      <c r="G2494" s="2" t="s">
        <v>97</v>
      </c>
      <c r="H2494" s="2" t="s">
        <v>725</v>
      </c>
      <c r="I2494" s="5">
        <v>2523.4699999999998</v>
      </c>
      <c r="J2494" s="57">
        <v>7.0000000000000007E-2</v>
      </c>
      <c r="K2494" s="3">
        <v>24</v>
      </c>
      <c r="L2494" s="2" t="s">
        <v>64</v>
      </c>
      <c r="M2494" s="2" t="s">
        <v>12</v>
      </c>
      <c r="N2494" s="2" t="s">
        <v>12</v>
      </c>
      <c r="O2494" s="2" t="s">
        <v>12</v>
      </c>
      <c r="P2494" s="21" t="s">
        <v>12</v>
      </c>
      <c r="Q2494" s="3" t="s">
        <v>12</v>
      </c>
      <c r="R2494" s="3" t="s">
        <v>12</v>
      </c>
    </row>
    <row r="2495" spans="1:18" x14ac:dyDescent="0.25">
      <c r="A2495" s="30">
        <v>46076</v>
      </c>
      <c r="B2495" s="28">
        <v>310</v>
      </c>
      <c r="C2495" s="28"/>
      <c r="D2495" s="2" t="s">
        <v>2795</v>
      </c>
      <c r="E2495" s="7" t="s">
        <v>12</v>
      </c>
      <c r="F2495" s="7" t="s">
        <v>2683</v>
      </c>
      <c r="G2495" s="2" t="s">
        <v>13</v>
      </c>
      <c r="H2495" s="2" t="s">
        <v>863</v>
      </c>
      <c r="I2495" s="5">
        <v>2201.19</v>
      </c>
      <c r="J2495" s="57">
        <v>7.0000000000000007E-2</v>
      </c>
      <c r="K2495" s="3">
        <v>24</v>
      </c>
      <c r="L2495" s="2" t="s">
        <v>226</v>
      </c>
      <c r="M2495" s="2" t="s">
        <v>12</v>
      </c>
      <c r="N2495" s="2" t="s">
        <v>12</v>
      </c>
      <c r="O2495" s="2" t="s">
        <v>12</v>
      </c>
      <c r="P2495" s="21" t="s">
        <v>12</v>
      </c>
      <c r="Q2495" s="3" t="s">
        <v>12</v>
      </c>
      <c r="R2495" s="3" t="s">
        <v>12</v>
      </c>
    </row>
    <row r="2496" spans="1:18" x14ac:dyDescent="0.25">
      <c r="A2496" s="30">
        <v>46076</v>
      </c>
      <c r="B2496" s="28">
        <v>311</v>
      </c>
      <c r="C2496" s="28"/>
      <c r="D2496" s="2" t="s">
        <v>1446</v>
      </c>
      <c r="E2496" s="7" t="s">
        <v>2796</v>
      </c>
      <c r="F2496" s="7" t="s">
        <v>2694</v>
      </c>
      <c r="G2496" s="2" t="s">
        <v>43</v>
      </c>
      <c r="H2496" s="2" t="s">
        <v>2007</v>
      </c>
      <c r="I2496" s="5">
        <v>3968.07</v>
      </c>
      <c r="J2496" s="57">
        <v>7.0000000000000007E-2</v>
      </c>
      <c r="K2496" s="3">
        <v>24</v>
      </c>
      <c r="L2496" s="2" t="s">
        <v>226</v>
      </c>
      <c r="M2496" s="2" t="s">
        <v>12</v>
      </c>
      <c r="N2496" s="2" t="s">
        <v>12</v>
      </c>
      <c r="O2496" s="2" t="s">
        <v>12</v>
      </c>
      <c r="P2496" s="21" t="s">
        <v>12</v>
      </c>
      <c r="Q2496" s="3" t="s">
        <v>12</v>
      </c>
      <c r="R2496" s="3" t="s">
        <v>12</v>
      </c>
    </row>
    <row r="2497" spans="1:18" x14ac:dyDescent="0.25">
      <c r="A2497" s="30">
        <v>46076</v>
      </c>
      <c r="B2497" s="28">
        <v>312</v>
      </c>
      <c r="C2497" s="28"/>
      <c r="D2497" s="2" t="s">
        <v>202</v>
      </c>
      <c r="E2497" s="7" t="s">
        <v>2797</v>
      </c>
      <c r="F2497" s="7" t="s">
        <v>3001</v>
      </c>
      <c r="G2497" s="2" t="s">
        <v>97</v>
      </c>
      <c r="H2497" s="2" t="s">
        <v>119</v>
      </c>
      <c r="I2497" s="5">
        <v>7681.13</v>
      </c>
      <c r="J2497" s="57">
        <v>7.0000000000000007E-2</v>
      </c>
      <c r="K2497" s="3">
        <v>96</v>
      </c>
      <c r="L2497" s="2" t="s">
        <v>226</v>
      </c>
      <c r="M2497" s="2" t="s">
        <v>12</v>
      </c>
      <c r="N2497" s="2" t="s">
        <v>12</v>
      </c>
      <c r="O2497" s="2" t="s">
        <v>12</v>
      </c>
      <c r="P2497" s="21" t="s">
        <v>12</v>
      </c>
      <c r="Q2497" s="3" t="s">
        <v>12</v>
      </c>
      <c r="R2497" s="3" t="s">
        <v>12</v>
      </c>
    </row>
    <row r="2498" spans="1:18" x14ac:dyDescent="0.25">
      <c r="A2498" s="30">
        <v>46076</v>
      </c>
      <c r="B2498" s="28">
        <v>313</v>
      </c>
      <c r="C2498" s="28"/>
      <c r="D2498" s="2" t="s">
        <v>1596</v>
      </c>
      <c r="E2498" s="7" t="s">
        <v>2798</v>
      </c>
      <c r="F2498" s="7" t="s">
        <v>2972</v>
      </c>
      <c r="G2498" s="2" t="s">
        <v>43</v>
      </c>
      <c r="H2498" s="2" t="s">
        <v>319</v>
      </c>
      <c r="I2498" s="5">
        <v>13808.67</v>
      </c>
      <c r="J2498" s="57">
        <v>0.05</v>
      </c>
      <c r="K2498" s="3">
        <v>144</v>
      </c>
      <c r="L2498" s="2" t="s">
        <v>226</v>
      </c>
      <c r="M2498" s="2" t="s">
        <v>12</v>
      </c>
      <c r="N2498" s="2" t="s">
        <v>12</v>
      </c>
      <c r="O2498" s="2" t="s">
        <v>12</v>
      </c>
      <c r="P2498" s="21" t="s">
        <v>12</v>
      </c>
      <c r="Q2498" s="3" t="s">
        <v>12</v>
      </c>
      <c r="R2498" s="3" t="s">
        <v>12</v>
      </c>
    </row>
    <row r="2499" spans="1:18" x14ac:dyDescent="0.25">
      <c r="A2499" s="30">
        <v>46076</v>
      </c>
      <c r="B2499" s="28">
        <v>314</v>
      </c>
      <c r="C2499" s="28"/>
      <c r="D2499" s="2" t="s">
        <v>1328</v>
      </c>
      <c r="E2499" s="7" t="s">
        <v>2695</v>
      </c>
      <c r="F2499" s="7" t="s">
        <v>2683</v>
      </c>
      <c r="G2499" s="2" t="s">
        <v>13</v>
      </c>
      <c r="H2499" s="2" t="s">
        <v>101</v>
      </c>
      <c r="I2499" s="5">
        <v>20955.650000000001</v>
      </c>
      <c r="J2499" s="57">
        <v>0.05</v>
      </c>
      <c r="K2499" s="3">
        <v>216</v>
      </c>
      <c r="L2499" s="2" t="s">
        <v>226</v>
      </c>
      <c r="M2499" s="2" t="s">
        <v>12</v>
      </c>
      <c r="N2499" s="2" t="s">
        <v>12</v>
      </c>
      <c r="O2499" s="2" t="s">
        <v>12</v>
      </c>
      <c r="P2499" s="21" t="s">
        <v>12</v>
      </c>
      <c r="Q2499" s="3" t="s">
        <v>1328</v>
      </c>
      <c r="R2499" s="3" t="s">
        <v>80</v>
      </c>
    </row>
    <row r="2500" spans="1:18" x14ac:dyDescent="0.25">
      <c r="A2500" s="30">
        <v>46076</v>
      </c>
      <c r="B2500" s="28">
        <v>315</v>
      </c>
      <c r="C2500" s="28"/>
      <c r="D2500" s="2" t="s">
        <v>41</v>
      </c>
      <c r="E2500" s="7" t="s">
        <v>2799</v>
      </c>
      <c r="F2500" s="7" t="s">
        <v>3002</v>
      </c>
      <c r="G2500" s="2" t="s">
        <v>43</v>
      </c>
      <c r="H2500" s="2" t="s">
        <v>417</v>
      </c>
      <c r="I2500" s="5">
        <v>160040.01</v>
      </c>
      <c r="J2500" s="57">
        <v>0.05</v>
      </c>
      <c r="K2500" s="3">
        <v>1584</v>
      </c>
      <c r="L2500" s="2" t="s">
        <v>226</v>
      </c>
      <c r="M2500" s="2" t="s">
        <v>12</v>
      </c>
      <c r="N2500" s="2" t="s">
        <v>12</v>
      </c>
      <c r="O2500" s="2" t="s">
        <v>12</v>
      </c>
      <c r="P2500" s="21" t="s">
        <v>12</v>
      </c>
      <c r="Q2500" s="3" t="s">
        <v>456</v>
      </c>
      <c r="R2500" s="3" t="s">
        <v>80</v>
      </c>
    </row>
    <row r="2501" spans="1:18" x14ac:dyDescent="0.25">
      <c r="A2501" s="30" t="s">
        <v>2800</v>
      </c>
      <c r="B2501" s="28">
        <v>316</v>
      </c>
      <c r="C2501" s="28"/>
      <c r="D2501" s="2" t="s">
        <v>276</v>
      </c>
      <c r="E2501" s="7" t="s">
        <v>2801</v>
      </c>
      <c r="F2501" s="7" t="s">
        <v>1844</v>
      </c>
      <c r="G2501" s="2" t="s">
        <v>43</v>
      </c>
      <c r="H2501" s="2" t="s">
        <v>108</v>
      </c>
      <c r="I2501" s="5">
        <v>9783.42</v>
      </c>
      <c r="J2501" s="57">
        <v>7.0000000000000007E-2</v>
      </c>
      <c r="K2501" s="3">
        <v>96</v>
      </c>
      <c r="L2501" s="2" t="s">
        <v>73</v>
      </c>
      <c r="M2501" s="2" t="s">
        <v>12</v>
      </c>
      <c r="N2501" s="2" t="s">
        <v>12</v>
      </c>
      <c r="O2501" s="2" t="s">
        <v>12</v>
      </c>
      <c r="P2501" s="21" t="s">
        <v>12</v>
      </c>
      <c r="Q2501" s="3" t="s">
        <v>521</v>
      </c>
      <c r="R2501" s="3" t="s">
        <v>76</v>
      </c>
    </row>
    <row r="2502" spans="1:18" x14ac:dyDescent="0.25">
      <c r="A2502" s="30">
        <v>46076</v>
      </c>
      <c r="B2502" s="28">
        <v>317</v>
      </c>
      <c r="C2502" s="28"/>
      <c r="D2502" s="2" t="s">
        <v>1446</v>
      </c>
      <c r="E2502" s="7" t="s">
        <v>2802</v>
      </c>
      <c r="F2502" s="7" t="s">
        <v>2694</v>
      </c>
      <c r="G2502" s="2" t="s">
        <v>43</v>
      </c>
      <c r="H2502" s="2" t="s">
        <v>2007</v>
      </c>
      <c r="I2502" s="5">
        <v>23644.02</v>
      </c>
      <c r="J2502" s="57">
        <v>0.04</v>
      </c>
      <c r="K2502" s="3">
        <v>240</v>
      </c>
      <c r="L2502" s="2" t="s">
        <v>64</v>
      </c>
      <c r="M2502" s="2" t="s">
        <v>12</v>
      </c>
      <c r="N2502" s="2" t="s">
        <v>12</v>
      </c>
      <c r="O2502" s="2" t="s">
        <v>12</v>
      </c>
      <c r="P2502" s="21" t="s">
        <v>12</v>
      </c>
      <c r="Q2502" s="3" t="s">
        <v>12</v>
      </c>
      <c r="R2502" s="3" t="s">
        <v>12</v>
      </c>
    </row>
    <row r="2503" spans="1:18" x14ac:dyDescent="0.25">
      <c r="A2503" s="30">
        <v>46077</v>
      </c>
      <c r="B2503" s="28">
        <v>318</v>
      </c>
      <c r="C2503" s="28"/>
      <c r="D2503" s="2" t="s">
        <v>2803</v>
      </c>
      <c r="E2503" s="7" t="s">
        <v>12</v>
      </c>
      <c r="F2503" s="7" t="s">
        <v>2683</v>
      </c>
      <c r="G2503" s="2" t="s">
        <v>13</v>
      </c>
      <c r="H2503" s="2" t="s">
        <v>2804</v>
      </c>
      <c r="I2503" s="5">
        <v>1632.84</v>
      </c>
      <c r="J2503" s="57">
        <v>7.0000000000000007E-2</v>
      </c>
      <c r="K2503" s="3">
        <v>16.8</v>
      </c>
      <c r="L2503" s="2" t="s">
        <v>64</v>
      </c>
      <c r="M2503" s="2" t="s">
        <v>12</v>
      </c>
      <c r="N2503" s="2" t="s">
        <v>12</v>
      </c>
      <c r="O2503" s="2" t="s">
        <v>12</v>
      </c>
      <c r="P2503" s="21" t="s">
        <v>12</v>
      </c>
      <c r="Q2503" s="3" t="s">
        <v>12</v>
      </c>
      <c r="R2503" s="3" t="s">
        <v>12</v>
      </c>
    </row>
    <row r="2504" spans="1:18" x14ac:dyDescent="0.25">
      <c r="A2504" s="30">
        <v>46078</v>
      </c>
      <c r="B2504" s="28">
        <v>319</v>
      </c>
      <c r="C2504" s="28" t="s">
        <v>2161</v>
      </c>
      <c r="D2504" s="2" t="s">
        <v>103</v>
      </c>
      <c r="E2504" s="7" t="s">
        <v>2805</v>
      </c>
      <c r="F2504" s="7" t="s">
        <v>2972</v>
      </c>
      <c r="G2504" s="2" t="s">
        <v>13</v>
      </c>
      <c r="H2504" s="2" t="s">
        <v>491</v>
      </c>
      <c r="I2504" s="5">
        <v>125196.12</v>
      </c>
      <c r="J2504" s="57">
        <v>0.03</v>
      </c>
      <c r="K2504" s="3">
        <v>1680</v>
      </c>
      <c r="L2504" s="2" t="s">
        <v>134</v>
      </c>
      <c r="M2504" s="2" t="s">
        <v>2821</v>
      </c>
      <c r="N2504" s="2" t="s">
        <v>135</v>
      </c>
      <c r="O2504" s="2" t="s">
        <v>2822</v>
      </c>
      <c r="P2504" s="21" t="s">
        <v>12</v>
      </c>
      <c r="Q2504" s="3" t="s">
        <v>12</v>
      </c>
      <c r="R2504" s="3" t="s">
        <v>12</v>
      </c>
    </row>
    <row r="2505" spans="1:18" x14ac:dyDescent="0.25">
      <c r="A2505" s="30">
        <v>46077</v>
      </c>
      <c r="B2505" s="28">
        <v>320</v>
      </c>
      <c r="C2505" s="28"/>
      <c r="D2505" s="2" t="s">
        <v>41</v>
      </c>
      <c r="E2505" s="7" t="s">
        <v>2806</v>
      </c>
      <c r="F2505" s="7" t="s">
        <v>2972</v>
      </c>
      <c r="G2505" s="2" t="s">
        <v>43</v>
      </c>
      <c r="H2505" s="2" t="s">
        <v>43</v>
      </c>
      <c r="I2505" s="5">
        <v>17577.189999999999</v>
      </c>
      <c r="J2505" s="57">
        <v>0.05</v>
      </c>
      <c r="K2505" s="3">
        <v>192</v>
      </c>
      <c r="L2505" s="2" t="s">
        <v>226</v>
      </c>
      <c r="M2505" s="2" t="s">
        <v>12</v>
      </c>
      <c r="N2505" s="2" t="s">
        <v>12</v>
      </c>
      <c r="O2505" s="2" t="s">
        <v>12</v>
      </c>
      <c r="P2505" s="21" t="s">
        <v>12</v>
      </c>
      <c r="Q2505" s="3" t="s">
        <v>956</v>
      </c>
      <c r="R2505" s="3" t="s">
        <v>80</v>
      </c>
    </row>
    <row r="2506" spans="1:18" x14ac:dyDescent="0.25">
      <c r="A2506" s="30">
        <v>46077</v>
      </c>
      <c r="B2506" s="28">
        <v>321</v>
      </c>
      <c r="C2506" s="28"/>
      <c r="D2506" s="2" t="s">
        <v>1820</v>
      </c>
      <c r="E2506" s="7" t="s">
        <v>2807</v>
      </c>
      <c r="F2506" s="7" t="s">
        <v>2683</v>
      </c>
      <c r="G2506" s="2" t="s">
        <v>97</v>
      </c>
      <c r="H2506" s="2" t="s">
        <v>129</v>
      </c>
      <c r="I2506" s="5">
        <v>10074.459999999999</v>
      </c>
      <c r="J2506" s="57">
        <v>0.04</v>
      </c>
      <c r="K2506" s="3">
        <v>144</v>
      </c>
      <c r="L2506" s="2" t="s">
        <v>226</v>
      </c>
      <c r="M2506" s="2" t="s">
        <v>2855</v>
      </c>
      <c r="N2506" s="2" t="s">
        <v>12</v>
      </c>
      <c r="O2506" s="2" t="s">
        <v>12</v>
      </c>
      <c r="P2506" s="21" t="s">
        <v>12</v>
      </c>
      <c r="Q2506" s="3" t="s">
        <v>12</v>
      </c>
      <c r="R2506" s="3" t="s">
        <v>12</v>
      </c>
    </row>
    <row r="2507" spans="1:18" x14ac:dyDescent="0.25">
      <c r="A2507" s="30">
        <v>46078</v>
      </c>
      <c r="B2507" s="28">
        <v>322</v>
      </c>
      <c r="C2507" s="28"/>
      <c r="D2507" s="2" t="s">
        <v>59</v>
      </c>
      <c r="E2507" s="7" t="s">
        <v>2808</v>
      </c>
      <c r="F2507" s="7" t="s">
        <v>2683</v>
      </c>
      <c r="G2507" s="2" t="s">
        <v>20</v>
      </c>
      <c r="H2507" s="2" t="s">
        <v>1169</v>
      </c>
      <c r="I2507" s="5">
        <v>10365.58</v>
      </c>
      <c r="J2507" s="57">
        <v>7.0000000000000007E-2</v>
      </c>
      <c r="K2507" s="3">
        <v>120</v>
      </c>
      <c r="L2507" s="2" t="s">
        <v>73</v>
      </c>
      <c r="M2507" s="2" t="s">
        <v>12</v>
      </c>
      <c r="N2507" s="2" t="s">
        <v>12</v>
      </c>
      <c r="O2507" s="2" t="s">
        <v>12</v>
      </c>
      <c r="P2507" s="21" t="s">
        <v>12</v>
      </c>
      <c r="Q2507" s="3" t="s">
        <v>12</v>
      </c>
      <c r="R2507" s="3" t="s">
        <v>12</v>
      </c>
    </row>
    <row r="2508" spans="1:18" x14ac:dyDescent="0.25">
      <c r="A2508" s="30">
        <v>46078</v>
      </c>
      <c r="B2508" s="28">
        <v>323</v>
      </c>
      <c r="C2508" s="28" t="s">
        <v>2161</v>
      </c>
      <c r="D2508" s="2" t="s">
        <v>212</v>
      </c>
      <c r="E2508" s="7" t="s">
        <v>2781</v>
      </c>
      <c r="F2508" s="7" t="s">
        <v>3002</v>
      </c>
      <c r="G2508" s="2" t="s">
        <v>20</v>
      </c>
      <c r="H2508" s="2" t="s">
        <v>320</v>
      </c>
      <c r="I2508" s="5">
        <v>239486.93</v>
      </c>
      <c r="J2508" s="57">
        <v>0.05</v>
      </c>
      <c r="K2508" s="3">
        <v>2263.1999999999998</v>
      </c>
      <c r="L2508" s="2" t="s">
        <v>73</v>
      </c>
      <c r="M2508" s="2" t="s">
        <v>12</v>
      </c>
      <c r="N2508" s="2" t="s">
        <v>12</v>
      </c>
      <c r="O2508" s="2" t="s">
        <v>12</v>
      </c>
      <c r="P2508" s="21" t="s">
        <v>12</v>
      </c>
      <c r="Q2508" s="3" t="s">
        <v>2850</v>
      </c>
      <c r="R2508" s="3" t="s">
        <v>80</v>
      </c>
    </row>
    <row r="2509" spans="1:18" x14ac:dyDescent="0.25">
      <c r="A2509" s="30">
        <v>46078</v>
      </c>
      <c r="B2509" s="28">
        <v>324</v>
      </c>
      <c r="C2509" s="28"/>
      <c r="D2509" s="2" t="s">
        <v>45</v>
      </c>
      <c r="E2509" s="7" t="s">
        <v>3073</v>
      </c>
      <c r="F2509" s="7" t="s">
        <v>2683</v>
      </c>
      <c r="G2509" s="2" t="s">
        <v>20</v>
      </c>
      <c r="H2509" s="2" t="s">
        <v>121</v>
      </c>
      <c r="I2509" s="5">
        <v>98747.85</v>
      </c>
      <c r="J2509" s="57">
        <v>7.0000000000000007E-2</v>
      </c>
      <c r="K2509" s="3">
        <v>1032</v>
      </c>
      <c r="L2509" s="2" t="s">
        <v>73</v>
      </c>
      <c r="M2509" s="2" t="s">
        <v>12</v>
      </c>
      <c r="N2509" s="2" t="s">
        <v>12</v>
      </c>
      <c r="O2509" s="2" t="s">
        <v>12</v>
      </c>
      <c r="P2509" s="21" t="s">
        <v>12</v>
      </c>
      <c r="Q2509" s="3" t="s">
        <v>12</v>
      </c>
      <c r="R2509" s="3" t="s">
        <v>12</v>
      </c>
    </row>
    <row r="2510" spans="1:18" x14ac:dyDescent="0.25">
      <c r="A2510" s="30">
        <v>46078</v>
      </c>
      <c r="B2510" s="28">
        <v>325</v>
      </c>
      <c r="C2510" s="28"/>
      <c r="D2510" s="2" t="s">
        <v>909</v>
      </c>
      <c r="E2510" s="7" t="s">
        <v>2857</v>
      </c>
      <c r="F2510" s="7" t="s">
        <v>2683</v>
      </c>
      <c r="G2510" s="2" t="s">
        <v>111</v>
      </c>
      <c r="H2510" s="2" t="s">
        <v>454</v>
      </c>
      <c r="I2510" s="5">
        <v>197113.25</v>
      </c>
      <c r="J2510" s="57">
        <v>7.0000000000000007E-2</v>
      </c>
      <c r="K2510" s="3"/>
      <c r="L2510" s="2" t="s">
        <v>226</v>
      </c>
      <c r="M2510" s="2" t="s">
        <v>530</v>
      </c>
      <c r="N2510" s="2"/>
      <c r="O2510" s="2"/>
      <c r="P2510" s="21"/>
      <c r="Q2510" s="3" t="s">
        <v>12</v>
      </c>
      <c r="R2510" s="3" t="s">
        <v>12</v>
      </c>
    </row>
    <row r="2511" spans="1:18" x14ac:dyDescent="0.25">
      <c r="A2511" s="30">
        <v>46078</v>
      </c>
      <c r="B2511" s="28">
        <v>326</v>
      </c>
      <c r="C2511" s="28"/>
      <c r="D2511" s="2" t="s">
        <v>2447</v>
      </c>
      <c r="E2511" s="7" t="s">
        <v>12</v>
      </c>
      <c r="F2511" s="7" t="s">
        <v>2683</v>
      </c>
      <c r="G2511" s="2" t="s">
        <v>13</v>
      </c>
      <c r="H2511" s="2" t="s">
        <v>677</v>
      </c>
      <c r="I2511" s="5">
        <v>49904.44</v>
      </c>
      <c r="J2511" s="57">
        <v>7.0000000000000007E-2</v>
      </c>
      <c r="K2511" s="3">
        <v>986.4</v>
      </c>
      <c r="L2511" s="2" t="s">
        <v>64</v>
      </c>
      <c r="M2511" s="2" t="s">
        <v>12</v>
      </c>
      <c r="N2511" s="2" t="s">
        <v>12</v>
      </c>
      <c r="O2511" s="2" t="s">
        <v>12</v>
      </c>
      <c r="P2511" s="21" t="s">
        <v>12</v>
      </c>
      <c r="Q2511" s="3" t="s">
        <v>12</v>
      </c>
      <c r="R2511" s="3" t="s">
        <v>12</v>
      </c>
    </row>
    <row r="2512" spans="1:18" x14ac:dyDescent="0.25">
      <c r="A2512" s="30">
        <v>46100</v>
      </c>
      <c r="B2512" s="28">
        <v>327</v>
      </c>
      <c r="C2512" s="28"/>
      <c r="D2512" s="2" t="s">
        <v>256</v>
      </c>
      <c r="E2512" s="7" t="s">
        <v>2809</v>
      </c>
      <c r="F2512" s="7" t="s">
        <v>2694</v>
      </c>
      <c r="G2512" s="2" t="s">
        <v>20</v>
      </c>
      <c r="H2512" s="2" t="s">
        <v>1000</v>
      </c>
      <c r="I2512" s="5">
        <v>22003.16</v>
      </c>
      <c r="J2512" s="57">
        <v>7.0000000000000007E-2</v>
      </c>
      <c r="K2512" s="3">
        <v>192</v>
      </c>
      <c r="L2512" s="2" t="s">
        <v>134</v>
      </c>
      <c r="M2512" s="2" t="s">
        <v>2967</v>
      </c>
      <c r="N2512" s="2" t="s">
        <v>135</v>
      </c>
      <c r="O2512" s="2" t="s">
        <v>2968</v>
      </c>
      <c r="P2512" s="21" t="s">
        <v>12</v>
      </c>
      <c r="Q2512" s="3" t="s">
        <v>12</v>
      </c>
      <c r="R2512" s="3" t="s">
        <v>12</v>
      </c>
    </row>
    <row r="2513" spans="1:18" x14ac:dyDescent="0.25">
      <c r="A2513" s="30">
        <v>46078</v>
      </c>
      <c r="B2513" s="28">
        <v>328</v>
      </c>
      <c r="C2513" s="28"/>
      <c r="D2513" s="2" t="s">
        <v>308</v>
      </c>
      <c r="E2513" s="7" t="s">
        <v>2810</v>
      </c>
      <c r="F2513" s="7" t="s">
        <v>3002</v>
      </c>
      <c r="G2513" s="2" t="s">
        <v>20</v>
      </c>
      <c r="H2513" s="2" t="s">
        <v>129</v>
      </c>
      <c r="I2513" s="5">
        <v>122268.8</v>
      </c>
      <c r="J2513" s="57">
        <v>0.04</v>
      </c>
      <c r="K2513" s="3">
        <v>1920</v>
      </c>
      <c r="L2513" s="2" t="s">
        <v>226</v>
      </c>
      <c r="M2513" s="2" t="s">
        <v>12</v>
      </c>
      <c r="N2513" s="2" t="s">
        <v>12</v>
      </c>
      <c r="O2513" s="2" t="s">
        <v>12</v>
      </c>
      <c r="P2513" s="21" t="s">
        <v>12</v>
      </c>
      <c r="Q2513" s="3" t="s">
        <v>12</v>
      </c>
      <c r="R2513" s="3" t="s">
        <v>12</v>
      </c>
    </row>
    <row r="2514" spans="1:18" x14ac:dyDescent="0.25">
      <c r="A2514" s="30">
        <v>46078</v>
      </c>
      <c r="B2514" s="28">
        <v>329</v>
      </c>
      <c r="C2514" s="28"/>
      <c r="D2514" s="2" t="s">
        <v>56</v>
      </c>
      <c r="E2514" s="7" t="s">
        <v>2790</v>
      </c>
      <c r="F2514" s="7" t="s">
        <v>2972</v>
      </c>
      <c r="G2514" s="2" t="s">
        <v>43</v>
      </c>
      <c r="H2514" s="2" t="s">
        <v>13</v>
      </c>
      <c r="I2514" s="5">
        <v>69121.2</v>
      </c>
      <c r="J2514" s="57">
        <v>7.0000000000000007E-2</v>
      </c>
      <c r="K2514" s="3">
        <v>672</v>
      </c>
      <c r="L2514" s="2" t="s">
        <v>73</v>
      </c>
      <c r="M2514" s="2" t="s">
        <v>12</v>
      </c>
      <c r="N2514" s="2" t="s">
        <v>12</v>
      </c>
      <c r="O2514" s="2" t="s">
        <v>12</v>
      </c>
      <c r="P2514" s="21" t="s">
        <v>12</v>
      </c>
      <c r="Q2514" s="3" t="s">
        <v>2849</v>
      </c>
      <c r="R2514" s="3" t="s">
        <v>75</v>
      </c>
    </row>
    <row r="2515" spans="1:18" x14ac:dyDescent="0.25">
      <c r="A2515" s="30">
        <v>46078</v>
      </c>
      <c r="B2515" s="28">
        <v>330</v>
      </c>
      <c r="C2515" s="28" t="s">
        <v>2161</v>
      </c>
      <c r="D2515" s="2" t="s">
        <v>2590</v>
      </c>
      <c r="E2515" s="7" t="s">
        <v>2811</v>
      </c>
      <c r="F2515" s="7" t="s">
        <v>1844</v>
      </c>
      <c r="G2515" s="2" t="s">
        <v>20</v>
      </c>
      <c r="H2515" s="2" t="s">
        <v>827</v>
      </c>
      <c r="I2515" s="5">
        <v>73286.58</v>
      </c>
      <c r="J2515" s="57">
        <v>0.03</v>
      </c>
      <c r="K2515" s="3">
        <v>1128</v>
      </c>
      <c r="L2515" s="2" t="s">
        <v>64</v>
      </c>
      <c r="M2515" s="2" t="s">
        <v>2578</v>
      </c>
      <c r="N2515" s="2" t="s">
        <v>12</v>
      </c>
      <c r="O2515" s="2" t="s">
        <v>12</v>
      </c>
      <c r="P2515" s="21" t="s">
        <v>12</v>
      </c>
      <c r="Q2515" s="3" t="s">
        <v>12</v>
      </c>
      <c r="R2515" s="3" t="s">
        <v>12</v>
      </c>
    </row>
    <row r="2516" spans="1:18" x14ac:dyDescent="0.25">
      <c r="A2516" s="30">
        <v>46078</v>
      </c>
      <c r="B2516" s="28">
        <v>331</v>
      </c>
      <c r="C2516" s="28"/>
      <c r="D2516" s="2" t="s">
        <v>656</v>
      </c>
      <c r="E2516" s="7" t="s">
        <v>2812</v>
      </c>
      <c r="F2516" s="7" t="s">
        <v>3001</v>
      </c>
      <c r="G2516" s="2" t="s">
        <v>13</v>
      </c>
      <c r="H2516" s="2" t="s">
        <v>263</v>
      </c>
      <c r="I2516" s="5">
        <v>48680.34</v>
      </c>
      <c r="J2516" s="57">
        <v>7.0000000000000007E-2</v>
      </c>
      <c r="K2516" s="3">
        <v>504</v>
      </c>
      <c r="L2516" s="2" t="s">
        <v>226</v>
      </c>
      <c r="M2516" s="2" t="s">
        <v>12</v>
      </c>
      <c r="N2516" s="2" t="s">
        <v>12</v>
      </c>
      <c r="O2516" s="2" t="s">
        <v>12</v>
      </c>
      <c r="P2516" s="21" t="s">
        <v>12</v>
      </c>
      <c r="Q2516" s="3" t="s">
        <v>12</v>
      </c>
      <c r="R2516" s="3" t="s">
        <v>12</v>
      </c>
    </row>
    <row r="2517" spans="1:18" x14ac:dyDescent="0.25">
      <c r="A2517" s="30">
        <v>46078</v>
      </c>
      <c r="B2517" s="28">
        <v>332</v>
      </c>
      <c r="C2517" s="28"/>
      <c r="D2517" s="2" t="s">
        <v>1091</v>
      </c>
      <c r="E2517" s="7" t="s">
        <v>2764</v>
      </c>
      <c r="F2517" s="7" t="s">
        <v>2247</v>
      </c>
      <c r="G2517" s="2" t="s">
        <v>26</v>
      </c>
      <c r="H2517" s="2" t="s">
        <v>15</v>
      </c>
      <c r="I2517" s="5">
        <v>4764.91</v>
      </c>
      <c r="J2517" s="57">
        <v>7.0000000000000007E-2</v>
      </c>
      <c r="K2517" s="3" t="s">
        <v>12</v>
      </c>
      <c r="L2517" s="2" t="s">
        <v>64</v>
      </c>
      <c r="M2517" s="2" t="s">
        <v>12</v>
      </c>
      <c r="N2517" s="2" t="s">
        <v>12</v>
      </c>
      <c r="O2517" s="2" t="s">
        <v>12</v>
      </c>
      <c r="P2517" s="21" t="s">
        <v>12</v>
      </c>
      <c r="Q2517" s="3" t="s">
        <v>12</v>
      </c>
      <c r="R2517" s="3" t="s">
        <v>12</v>
      </c>
    </row>
    <row r="2518" spans="1:18" x14ac:dyDescent="0.25">
      <c r="A2518" s="30">
        <v>46078</v>
      </c>
      <c r="B2518" s="28">
        <v>333</v>
      </c>
      <c r="C2518" s="28"/>
      <c r="D2518" s="2" t="s">
        <v>1237</v>
      </c>
      <c r="E2518" s="7" t="s">
        <v>2813</v>
      </c>
      <c r="F2518" s="7" t="s">
        <v>2683</v>
      </c>
      <c r="G2518" s="2" t="s">
        <v>20</v>
      </c>
      <c r="H2518" s="2" t="s">
        <v>13</v>
      </c>
      <c r="I2518" s="5">
        <v>28308.78</v>
      </c>
      <c r="J2518" s="57">
        <v>7.0000000000000007E-2</v>
      </c>
      <c r="K2518" s="3">
        <v>312</v>
      </c>
      <c r="L2518" s="2" t="s">
        <v>226</v>
      </c>
      <c r="M2518" s="2" t="s">
        <v>12</v>
      </c>
      <c r="N2518" s="2" t="s">
        <v>12</v>
      </c>
      <c r="O2518" s="2" t="s">
        <v>12</v>
      </c>
      <c r="P2518" s="21" t="s">
        <v>12</v>
      </c>
      <c r="Q2518" s="3" t="s">
        <v>12</v>
      </c>
      <c r="R2518" s="3" t="s">
        <v>12</v>
      </c>
    </row>
    <row r="2519" spans="1:18" x14ac:dyDescent="0.25">
      <c r="A2519" s="30">
        <v>46078</v>
      </c>
      <c r="B2519" s="28">
        <v>334</v>
      </c>
      <c r="C2519" s="28"/>
      <c r="D2519" s="2" t="s">
        <v>557</v>
      </c>
      <c r="E2519" s="7" t="s">
        <v>2862</v>
      </c>
      <c r="F2519" s="7" t="s">
        <v>3001</v>
      </c>
      <c r="G2519" s="2" t="s">
        <v>20</v>
      </c>
      <c r="H2519" s="2" t="s">
        <v>471</v>
      </c>
      <c r="I2519" s="5">
        <v>56398.47</v>
      </c>
      <c r="J2519" s="57">
        <v>0.05</v>
      </c>
      <c r="K2519" s="3">
        <v>696</v>
      </c>
      <c r="L2519" s="2" t="s">
        <v>226</v>
      </c>
      <c r="M2519" s="2" t="s">
        <v>2969</v>
      </c>
      <c r="N2519" s="2" t="s">
        <v>12</v>
      </c>
      <c r="O2519" s="2" t="s">
        <v>12</v>
      </c>
      <c r="P2519" s="21" t="s">
        <v>12</v>
      </c>
      <c r="Q2519" s="3" t="s">
        <v>12</v>
      </c>
      <c r="R2519" s="3" t="s">
        <v>12</v>
      </c>
    </row>
    <row r="2520" spans="1:18" x14ac:dyDescent="0.25">
      <c r="A2520" s="30">
        <v>46078</v>
      </c>
      <c r="B2520" s="28">
        <v>335</v>
      </c>
      <c r="C2520" s="28"/>
      <c r="D2520" s="2" t="s">
        <v>1237</v>
      </c>
      <c r="E2520" s="7" t="s">
        <v>2814</v>
      </c>
      <c r="F2520" s="7" t="s">
        <v>3001</v>
      </c>
      <c r="G2520" s="2" t="s">
        <v>20</v>
      </c>
      <c r="H2520" s="2" t="s">
        <v>13</v>
      </c>
      <c r="I2520" s="5">
        <v>148708.81</v>
      </c>
      <c r="J2520" s="57">
        <v>7.0000000000000007E-2</v>
      </c>
      <c r="K2520" s="3">
        <v>1704</v>
      </c>
      <c r="L2520" s="2" t="s">
        <v>73</v>
      </c>
      <c r="M2520" s="2" t="s">
        <v>12</v>
      </c>
      <c r="N2520" s="2" t="s">
        <v>12</v>
      </c>
      <c r="O2520" s="2" t="s">
        <v>12</v>
      </c>
      <c r="P2520" s="21" t="s">
        <v>12</v>
      </c>
      <c r="Q2520" s="3" t="s">
        <v>12</v>
      </c>
      <c r="R2520" s="3" t="s">
        <v>12</v>
      </c>
    </row>
    <row r="2521" spans="1:18" x14ac:dyDescent="0.25">
      <c r="A2521" s="30">
        <v>46078</v>
      </c>
      <c r="B2521" s="28">
        <v>336</v>
      </c>
      <c r="C2521" s="28"/>
      <c r="D2521" s="2" t="s">
        <v>2590</v>
      </c>
      <c r="E2521" s="7" t="s">
        <v>2861</v>
      </c>
      <c r="F2521" s="7" t="s">
        <v>2683</v>
      </c>
      <c r="G2521" s="2" t="s">
        <v>20</v>
      </c>
      <c r="H2521" s="2" t="s">
        <v>827</v>
      </c>
      <c r="I2521" s="5">
        <v>16844.5</v>
      </c>
      <c r="J2521" s="57">
        <v>0.03</v>
      </c>
      <c r="K2521" s="3">
        <v>240</v>
      </c>
      <c r="L2521" s="2" t="s">
        <v>64</v>
      </c>
      <c r="M2521" s="2" t="s">
        <v>530</v>
      </c>
      <c r="N2521" s="2" t="s">
        <v>12</v>
      </c>
      <c r="O2521" s="2" t="s">
        <v>12</v>
      </c>
      <c r="P2521" s="21" t="s">
        <v>12</v>
      </c>
      <c r="Q2521" s="3" t="s">
        <v>12</v>
      </c>
      <c r="R2521" s="3" t="s">
        <v>12</v>
      </c>
    </row>
    <row r="2522" spans="1:18" x14ac:dyDescent="0.25">
      <c r="A2522" s="30">
        <v>46078</v>
      </c>
      <c r="B2522" s="28">
        <v>337</v>
      </c>
      <c r="C2522" s="28"/>
      <c r="D2522" s="2" t="s">
        <v>56</v>
      </c>
      <c r="E2522" s="7" t="s">
        <v>2815</v>
      </c>
      <c r="F2522" s="7" t="s">
        <v>2972</v>
      </c>
      <c r="G2522" s="2" t="s">
        <v>43</v>
      </c>
      <c r="H2522" s="2" t="s">
        <v>13</v>
      </c>
      <c r="I2522" s="5">
        <v>76091.14</v>
      </c>
      <c r="J2522" s="57">
        <v>7.0000000000000007E-2</v>
      </c>
      <c r="K2522" s="3">
        <v>792</v>
      </c>
      <c r="L2522" s="2" t="s">
        <v>73</v>
      </c>
      <c r="M2522" s="2" t="s">
        <v>12</v>
      </c>
      <c r="N2522" s="2" t="s">
        <v>12</v>
      </c>
      <c r="O2522" s="2" t="s">
        <v>12</v>
      </c>
      <c r="P2522" s="21" t="s">
        <v>12</v>
      </c>
      <c r="Q2522" s="3" t="s">
        <v>2681</v>
      </c>
      <c r="R2522" s="3" t="s">
        <v>80</v>
      </c>
    </row>
    <row r="2523" spans="1:18" x14ac:dyDescent="0.25">
      <c r="A2523" s="30">
        <v>46078</v>
      </c>
      <c r="B2523" s="28">
        <v>338</v>
      </c>
      <c r="C2523" s="28"/>
      <c r="D2523" s="2" t="s">
        <v>656</v>
      </c>
      <c r="E2523" s="7" t="s">
        <v>2816</v>
      </c>
      <c r="F2523" s="7" t="s">
        <v>3001</v>
      </c>
      <c r="G2523" s="2" t="s">
        <v>13</v>
      </c>
      <c r="H2523" s="2" t="s">
        <v>263</v>
      </c>
      <c r="I2523" s="5">
        <v>34193.54</v>
      </c>
      <c r="J2523" s="57">
        <v>7.0000000000000007E-2</v>
      </c>
      <c r="K2523" s="3">
        <v>384</v>
      </c>
      <c r="L2523" s="2" t="s">
        <v>226</v>
      </c>
      <c r="M2523" s="2" t="s">
        <v>12</v>
      </c>
      <c r="N2523" s="2" t="s">
        <v>12</v>
      </c>
      <c r="O2523" s="2" t="s">
        <v>12</v>
      </c>
      <c r="P2523" s="21" t="s">
        <v>12</v>
      </c>
      <c r="Q2523" s="3" t="s">
        <v>12</v>
      </c>
      <c r="R2523" s="3" t="s">
        <v>12</v>
      </c>
    </row>
    <row r="2524" spans="1:18" x14ac:dyDescent="0.25">
      <c r="A2524" s="30">
        <v>46078</v>
      </c>
      <c r="B2524" s="28">
        <v>339</v>
      </c>
      <c r="C2524" s="28"/>
      <c r="D2524" s="2" t="s">
        <v>202</v>
      </c>
      <c r="E2524" s="7" t="s">
        <v>2817</v>
      </c>
      <c r="F2524" s="7" t="s">
        <v>2972</v>
      </c>
      <c r="G2524" s="2" t="s">
        <v>97</v>
      </c>
      <c r="H2524" s="2" t="s">
        <v>1143</v>
      </c>
      <c r="I2524" s="5">
        <v>201964.05</v>
      </c>
      <c r="J2524" s="57">
        <v>0.03</v>
      </c>
      <c r="K2524" s="3">
        <v>2640</v>
      </c>
      <c r="L2524" s="2" t="s">
        <v>64</v>
      </c>
      <c r="M2524" s="2" t="s">
        <v>12</v>
      </c>
      <c r="N2524" s="2" t="s">
        <v>12</v>
      </c>
      <c r="O2524" s="2" t="s">
        <v>12</v>
      </c>
      <c r="P2524" s="21" t="s">
        <v>12</v>
      </c>
      <c r="Q2524" s="3" t="s">
        <v>2852</v>
      </c>
      <c r="R2524" s="3" t="s">
        <v>75</v>
      </c>
    </row>
    <row r="2525" spans="1:18" x14ac:dyDescent="0.25">
      <c r="A2525" s="30">
        <v>46079</v>
      </c>
      <c r="B2525" s="28">
        <v>340</v>
      </c>
      <c r="C2525" s="28" t="s">
        <v>2161</v>
      </c>
      <c r="D2525" s="2" t="s">
        <v>1076</v>
      </c>
      <c r="E2525" s="7" t="s">
        <v>2823</v>
      </c>
      <c r="F2525" s="7" t="s">
        <v>1844</v>
      </c>
      <c r="G2525" s="2" t="s">
        <v>13</v>
      </c>
      <c r="H2525" s="2" t="s">
        <v>1785</v>
      </c>
      <c r="I2525" s="5">
        <v>19970.93</v>
      </c>
      <c r="J2525" s="57">
        <v>7.0000000000000007E-2</v>
      </c>
      <c r="K2525" s="3">
        <v>288</v>
      </c>
      <c r="L2525" s="2" t="s">
        <v>226</v>
      </c>
      <c r="M2525" s="2" t="s">
        <v>12</v>
      </c>
      <c r="N2525" s="2" t="s">
        <v>12</v>
      </c>
      <c r="O2525" s="2" t="s">
        <v>12</v>
      </c>
      <c r="P2525" s="21" t="s">
        <v>12</v>
      </c>
      <c r="Q2525" s="3" t="s">
        <v>1839</v>
      </c>
      <c r="R2525" s="3" t="s">
        <v>75</v>
      </c>
    </row>
    <row r="2526" spans="1:18" x14ac:dyDescent="0.25">
      <c r="A2526" s="30">
        <v>46079</v>
      </c>
      <c r="B2526" s="28">
        <v>341</v>
      </c>
      <c r="C2526" s="28" t="s">
        <v>2162</v>
      </c>
      <c r="D2526" s="2" t="s">
        <v>1711</v>
      </c>
      <c r="E2526" s="7" t="s">
        <v>2824</v>
      </c>
      <c r="F2526" s="7" t="s">
        <v>1844</v>
      </c>
      <c r="G2526" s="2" t="s">
        <v>13</v>
      </c>
      <c r="H2526" s="2" t="s">
        <v>1321</v>
      </c>
      <c r="I2526" s="5">
        <v>16057.8</v>
      </c>
      <c r="J2526" s="57">
        <v>0.04</v>
      </c>
      <c r="K2526" s="3">
        <v>240</v>
      </c>
      <c r="L2526" s="2" t="s">
        <v>21</v>
      </c>
      <c r="M2526" s="2" t="s">
        <v>12</v>
      </c>
      <c r="N2526" s="2" t="s">
        <v>12</v>
      </c>
      <c r="O2526" s="2" t="s">
        <v>12</v>
      </c>
      <c r="P2526" s="21" t="s">
        <v>12</v>
      </c>
      <c r="Q2526" s="3" t="s">
        <v>12</v>
      </c>
      <c r="R2526" s="3" t="s">
        <v>12</v>
      </c>
    </row>
    <row r="2527" spans="1:18" x14ac:dyDescent="0.25">
      <c r="A2527" s="30">
        <v>46083</v>
      </c>
      <c r="B2527" s="28">
        <v>342</v>
      </c>
      <c r="C2527" s="28" t="s">
        <v>2162</v>
      </c>
      <c r="D2527" s="2" t="s">
        <v>353</v>
      </c>
      <c r="E2527" s="7" t="s">
        <v>12</v>
      </c>
      <c r="F2527" s="7" t="s">
        <v>2683</v>
      </c>
      <c r="G2527" s="2" t="s">
        <v>13</v>
      </c>
      <c r="H2527" s="2" t="s">
        <v>483</v>
      </c>
      <c r="I2527" s="5">
        <v>24981.29</v>
      </c>
      <c r="J2527" s="57">
        <v>0.05</v>
      </c>
      <c r="K2527" s="3">
        <v>168</v>
      </c>
      <c r="L2527" s="2" t="s">
        <v>226</v>
      </c>
      <c r="M2527" s="2" t="s">
        <v>12</v>
      </c>
      <c r="N2527" s="2" t="s">
        <v>12</v>
      </c>
      <c r="O2527" s="2" t="s">
        <v>12</v>
      </c>
      <c r="P2527" s="21" t="s">
        <v>12</v>
      </c>
      <c r="Q2527" s="3" t="s">
        <v>12</v>
      </c>
      <c r="R2527" s="3" t="s">
        <v>12</v>
      </c>
    </row>
    <row r="2528" spans="1:18" x14ac:dyDescent="0.25">
      <c r="A2528" s="30">
        <v>46080</v>
      </c>
      <c r="B2528" s="28">
        <v>343</v>
      </c>
      <c r="C2528" s="28" t="s">
        <v>2161</v>
      </c>
      <c r="D2528" s="2" t="s">
        <v>2590</v>
      </c>
      <c r="E2528" s="7" t="s">
        <v>2825</v>
      </c>
      <c r="F2528" s="7" t="s">
        <v>2683</v>
      </c>
      <c r="G2528" s="2" t="s">
        <v>20</v>
      </c>
      <c r="H2528" s="2" t="s">
        <v>827</v>
      </c>
      <c r="I2528" s="5">
        <v>16433.580000000002</v>
      </c>
      <c r="J2528" s="57">
        <v>0.03</v>
      </c>
      <c r="K2528" s="3">
        <v>240</v>
      </c>
      <c r="L2528" s="2" t="s">
        <v>64</v>
      </c>
      <c r="M2528" s="2" t="s">
        <v>12</v>
      </c>
      <c r="N2528" s="2" t="s">
        <v>12</v>
      </c>
      <c r="O2528" s="2" t="s">
        <v>12</v>
      </c>
      <c r="P2528" s="21" t="s">
        <v>12</v>
      </c>
      <c r="Q2528" s="3" t="s">
        <v>12</v>
      </c>
      <c r="R2528" s="3" t="s">
        <v>12</v>
      </c>
    </row>
    <row r="2529" spans="1:18" x14ac:dyDescent="0.25">
      <c r="A2529" s="30">
        <v>46079</v>
      </c>
      <c r="B2529" s="28">
        <v>344</v>
      </c>
      <c r="C2529" s="28"/>
      <c r="D2529" s="2" t="s">
        <v>56</v>
      </c>
      <c r="E2529" s="7" t="s">
        <v>2826</v>
      </c>
      <c r="F2529" s="7" t="s">
        <v>2972</v>
      </c>
      <c r="G2529" s="2" t="s">
        <v>43</v>
      </c>
      <c r="H2529" s="2" t="s">
        <v>13</v>
      </c>
      <c r="I2529" s="5">
        <v>82549.03</v>
      </c>
      <c r="J2529" s="57">
        <v>7.0000000000000007E-2</v>
      </c>
      <c r="K2529" s="3">
        <v>840</v>
      </c>
      <c r="L2529" s="2" t="s">
        <v>73</v>
      </c>
      <c r="M2529" s="2" t="s">
        <v>3379</v>
      </c>
      <c r="N2529" s="2" t="s">
        <v>12</v>
      </c>
      <c r="O2529" s="2" t="s">
        <v>12</v>
      </c>
      <c r="P2529" s="21" t="s">
        <v>12</v>
      </c>
      <c r="Q2529" s="3" t="s">
        <v>2224</v>
      </c>
      <c r="R2529" s="3" t="s">
        <v>80</v>
      </c>
    </row>
    <row r="2530" spans="1:18" x14ac:dyDescent="0.25">
      <c r="A2530" s="30">
        <v>46079</v>
      </c>
      <c r="B2530" s="28">
        <v>345</v>
      </c>
      <c r="C2530" s="28"/>
      <c r="D2530" s="2" t="s">
        <v>41</v>
      </c>
      <c r="E2530" s="7" t="s">
        <v>2827</v>
      </c>
      <c r="F2530" s="7" t="s">
        <v>2972</v>
      </c>
      <c r="G2530" s="2" t="s">
        <v>43</v>
      </c>
      <c r="H2530" s="2" t="s">
        <v>417</v>
      </c>
      <c r="I2530" s="5">
        <v>19544.669999999998</v>
      </c>
      <c r="J2530" s="57">
        <v>0.05</v>
      </c>
      <c r="K2530" s="3">
        <v>240</v>
      </c>
      <c r="L2530" s="2" t="s">
        <v>226</v>
      </c>
      <c r="M2530" s="2" t="s">
        <v>12</v>
      </c>
      <c r="N2530" s="2" t="s">
        <v>12</v>
      </c>
      <c r="O2530" s="2" t="s">
        <v>12</v>
      </c>
      <c r="P2530" s="21" t="s">
        <v>12</v>
      </c>
      <c r="Q2530" s="3" t="s">
        <v>956</v>
      </c>
      <c r="R2530" s="3" t="s">
        <v>80</v>
      </c>
    </row>
    <row r="2531" spans="1:18" x14ac:dyDescent="0.25">
      <c r="A2531" s="30">
        <v>46079</v>
      </c>
      <c r="B2531" s="28">
        <v>346</v>
      </c>
      <c r="C2531" s="28"/>
      <c r="D2531" s="2" t="s">
        <v>746</v>
      </c>
      <c r="E2531" s="7" t="s">
        <v>2828</v>
      </c>
      <c r="F2531" s="7" t="s">
        <v>2972</v>
      </c>
      <c r="G2531" s="2" t="s">
        <v>20</v>
      </c>
      <c r="H2531" s="2" t="s">
        <v>2829</v>
      </c>
      <c r="I2531" s="5">
        <v>57922.48</v>
      </c>
      <c r="J2531" s="57">
        <v>7.0000000000000007E-2</v>
      </c>
      <c r="K2531" s="3">
        <v>624</v>
      </c>
      <c r="L2531" s="2" t="s">
        <v>73</v>
      </c>
      <c r="M2531" s="2" t="s">
        <v>12</v>
      </c>
      <c r="N2531" s="2" t="s">
        <v>12</v>
      </c>
      <c r="O2531" s="2" t="s">
        <v>12</v>
      </c>
      <c r="P2531" s="21" t="s">
        <v>12</v>
      </c>
      <c r="Q2531" s="3" t="s">
        <v>12</v>
      </c>
      <c r="R2531" s="3" t="s">
        <v>12</v>
      </c>
    </row>
    <row r="2532" spans="1:18" x14ac:dyDescent="0.25">
      <c r="A2532" s="30">
        <v>46079</v>
      </c>
      <c r="B2532" s="28">
        <v>347</v>
      </c>
      <c r="C2532" s="28"/>
      <c r="D2532" s="2" t="s">
        <v>87</v>
      </c>
      <c r="E2532" s="7" t="s">
        <v>2830</v>
      </c>
      <c r="F2532" s="7" t="s">
        <v>2683</v>
      </c>
      <c r="G2532" s="2" t="s">
        <v>13</v>
      </c>
      <c r="H2532" s="2" t="s">
        <v>238</v>
      </c>
      <c r="I2532" s="5">
        <v>8001.54</v>
      </c>
      <c r="J2532" s="57">
        <v>0.04</v>
      </c>
      <c r="K2532" s="3">
        <v>96</v>
      </c>
      <c r="L2532" s="2" t="s">
        <v>64</v>
      </c>
      <c r="M2532" s="2" t="s">
        <v>12</v>
      </c>
      <c r="N2532" s="2" t="s">
        <v>12</v>
      </c>
      <c r="O2532" s="2" t="s">
        <v>12</v>
      </c>
      <c r="P2532" s="21" t="s">
        <v>12</v>
      </c>
      <c r="Q2532" s="3" t="s">
        <v>12</v>
      </c>
      <c r="R2532" s="3" t="s">
        <v>12</v>
      </c>
    </row>
    <row r="2533" spans="1:18" x14ac:dyDescent="0.25">
      <c r="A2533" s="30">
        <v>46080</v>
      </c>
      <c r="B2533" s="28">
        <v>348</v>
      </c>
      <c r="C2533" s="28" t="s">
        <v>2162</v>
      </c>
      <c r="D2533" s="2" t="s">
        <v>894</v>
      </c>
      <c r="E2533" s="7" t="s">
        <v>12</v>
      </c>
      <c r="F2533" s="7" t="s">
        <v>2683</v>
      </c>
      <c r="G2533" s="2" t="s">
        <v>13</v>
      </c>
      <c r="H2533" s="2" t="s">
        <v>119</v>
      </c>
      <c r="I2533" s="5">
        <v>14869.58</v>
      </c>
      <c r="J2533" s="57">
        <v>0.05</v>
      </c>
      <c r="K2533" s="3">
        <v>192</v>
      </c>
      <c r="L2533" s="2" t="s">
        <v>64</v>
      </c>
      <c r="M2533" s="2" t="s">
        <v>12</v>
      </c>
      <c r="N2533" s="2" t="s">
        <v>12</v>
      </c>
      <c r="O2533" s="2" t="s">
        <v>12</v>
      </c>
      <c r="P2533" s="21" t="s">
        <v>12</v>
      </c>
      <c r="Q2533" s="3" t="s">
        <v>12</v>
      </c>
      <c r="R2533" s="3" t="s">
        <v>12</v>
      </c>
    </row>
    <row r="2534" spans="1:18" x14ac:dyDescent="0.25">
      <c r="A2534" s="30">
        <v>46080</v>
      </c>
      <c r="B2534" s="28">
        <v>349</v>
      </c>
      <c r="C2534" s="28"/>
      <c r="D2534" s="2" t="s">
        <v>388</v>
      </c>
      <c r="E2534" s="7" t="s">
        <v>12</v>
      </c>
      <c r="F2534" s="7" t="s">
        <v>2683</v>
      </c>
      <c r="G2534" s="2" t="s">
        <v>26</v>
      </c>
      <c r="H2534" s="2" t="s">
        <v>2831</v>
      </c>
      <c r="I2534" s="5">
        <v>24883.33</v>
      </c>
      <c r="J2534" s="57">
        <v>7.0000000000000007E-2</v>
      </c>
      <c r="K2534" s="3">
        <v>288</v>
      </c>
      <c r="L2534" s="2" t="s">
        <v>226</v>
      </c>
      <c r="M2534" s="2" t="s">
        <v>12</v>
      </c>
      <c r="N2534" s="2" t="s">
        <v>12</v>
      </c>
      <c r="O2534" s="2" t="s">
        <v>12</v>
      </c>
      <c r="P2534" s="21" t="s">
        <v>12</v>
      </c>
      <c r="Q2534" s="3" t="s">
        <v>12</v>
      </c>
      <c r="R2534" s="3" t="s">
        <v>12</v>
      </c>
    </row>
    <row r="2535" spans="1:18" x14ac:dyDescent="0.25">
      <c r="A2535" s="30">
        <v>46080</v>
      </c>
      <c r="B2535" s="28">
        <v>350</v>
      </c>
      <c r="C2535" s="28"/>
      <c r="D2535" s="2" t="s">
        <v>41</v>
      </c>
      <c r="E2535" s="7" t="s">
        <v>2832</v>
      </c>
      <c r="F2535" s="7" t="s">
        <v>2972</v>
      </c>
      <c r="G2535" s="2" t="s">
        <v>43</v>
      </c>
      <c r="H2535" s="2" t="s">
        <v>43</v>
      </c>
      <c r="I2535" s="5">
        <v>19428.84</v>
      </c>
      <c r="J2535" s="57">
        <v>0.05</v>
      </c>
      <c r="K2535" s="3">
        <v>240</v>
      </c>
      <c r="L2535" s="2" t="s">
        <v>226</v>
      </c>
      <c r="M2535" s="2" t="s">
        <v>12</v>
      </c>
      <c r="N2535" s="2" t="s">
        <v>12</v>
      </c>
      <c r="O2535" s="2" t="s">
        <v>12</v>
      </c>
      <c r="P2535" s="21" t="s">
        <v>12</v>
      </c>
      <c r="Q2535" s="3" t="s">
        <v>75</v>
      </c>
      <c r="R2535" s="3" t="s">
        <v>80</v>
      </c>
    </row>
    <row r="2536" spans="1:18" x14ac:dyDescent="0.25">
      <c r="A2536" s="30">
        <v>46080</v>
      </c>
      <c r="B2536" s="28">
        <v>351</v>
      </c>
      <c r="C2536" s="28"/>
      <c r="D2536" s="2" t="s">
        <v>2833</v>
      </c>
      <c r="E2536" s="7" t="s">
        <v>394</v>
      </c>
      <c r="F2536" s="7" t="s">
        <v>2972</v>
      </c>
      <c r="G2536" s="2" t="s">
        <v>13</v>
      </c>
      <c r="H2536" s="2" t="s">
        <v>1169</v>
      </c>
      <c r="I2536" s="5">
        <v>17401.759999999998</v>
      </c>
      <c r="J2536" s="57">
        <v>7.0000000000000007E-2</v>
      </c>
      <c r="K2536" s="3">
        <v>168</v>
      </c>
      <c r="L2536" s="2" t="s">
        <v>226</v>
      </c>
      <c r="M2536" s="2" t="s">
        <v>12</v>
      </c>
      <c r="N2536" s="2" t="s">
        <v>12</v>
      </c>
      <c r="O2536" s="2" t="s">
        <v>12</v>
      </c>
      <c r="P2536" s="21" t="s">
        <v>12</v>
      </c>
      <c r="Q2536" s="3" t="s">
        <v>12</v>
      </c>
      <c r="R2536" s="3" t="s">
        <v>12</v>
      </c>
    </row>
    <row r="2537" spans="1:18" x14ac:dyDescent="0.25">
      <c r="A2537" s="30">
        <v>46080</v>
      </c>
      <c r="B2537" s="28">
        <v>352</v>
      </c>
      <c r="C2537" s="28"/>
      <c r="D2537" s="2" t="s">
        <v>41</v>
      </c>
      <c r="E2537" s="7" t="s">
        <v>2834</v>
      </c>
      <c r="F2537" s="7" t="s">
        <v>2972</v>
      </c>
      <c r="G2537" s="2" t="s">
        <v>43</v>
      </c>
      <c r="H2537" s="2" t="s">
        <v>43</v>
      </c>
      <c r="I2537" s="5">
        <v>16724.71</v>
      </c>
      <c r="J2537" s="57">
        <v>0.05</v>
      </c>
      <c r="K2537" s="3">
        <v>192</v>
      </c>
      <c r="L2537" s="2" t="s">
        <v>226</v>
      </c>
      <c r="M2537" s="2" t="s">
        <v>12</v>
      </c>
      <c r="N2537" s="2" t="s">
        <v>12</v>
      </c>
      <c r="O2537" s="2" t="s">
        <v>12</v>
      </c>
      <c r="P2537" s="21" t="s">
        <v>12</v>
      </c>
      <c r="Q2537" s="3" t="s">
        <v>956</v>
      </c>
      <c r="R2537" s="3" t="s">
        <v>80</v>
      </c>
    </row>
    <row r="2538" spans="1:18" x14ac:dyDescent="0.25">
      <c r="A2538" s="30">
        <v>46080</v>
      </c>
      <c r="B2538" s="28">
        <v>353</v>
      </c>
      <c r="C2538" s="28"/>
      <c r="D2538" s="2" t="s">
        <v>308</v>
      </c>
      <c r="E2538" s="7" t="s">
        <v>2835</v>
      </c>
      <c r="F2538" s="7" t="s">
        <v>3001</v>
      </c>
      <c r="G2538" s="2" t="s">
        <v>20</v>
      </c>
      <c r="H2538" s="2" t="s">
        <v>129</v>
      </c>
      <c r="I2538" s="5">
        <v>116796.69</v>
      </c>
      <c r="J2538" s="57">
        <v>0.04</v>
      </c>
      <c r="K2538" s="3">
        <v>1680</v>
      </c>
      <c r="L2538" s="2" t="s">
        <v>226</v>
      </c>
      <c r="M2538" s="2" t="s">
        <v>2908</v>
      </c>
      <c r="N2538" s="2" t="s">
        <v>12</v>
      </c>
      <c r="O2538" s="2" t="s">
        <v>12</v>
      </c>
      <c r="P2538" s="21" t="s">
        <v>12</v>
      </c>
      <c r="Q2538" s="3" t="s">
        <v>12</v>
      </c>
      <c r="R2538" s="3" t="s">
        <v>12</v>
      </c>
    </row>
    <row r="2539" spans="1:18" x14ac:dyDescent="0.25">
      <c r="A2539" s="30">
        <v>46083</v>
      </c>
      <c r="B2539" s="28">
        <v>354</v>
      </c>
      <c r="C2539" s="28" t="s">
        <v>2162</v>
      </c>
      <c r="D2539" s="2" t="s">
        <v>839</v>
      </c>
      <c r="E2539" s="7" t="s">
        <v>2836</v>
      </c>
      <c r="F2539" s="7" t="s">
        <v>2683</v>
      </c>
      <c r="G2539" s="2" t="s">
        <v>20</v>
      </c>
      <c r="H2539" s="2" t="s">
        <v>275</v>
      </c>
      <c r="I2539" s="5">
        <v>15675.1</v>
      </c>
      <c r="J2539" s="57">
        <v>7.0000000000000007E-2</v>
      </c>
      <c r="K2539" s="3" t="s">
        <v>12</v>
      </c>
      <c r="L2539" s="2" t="s">
        <v>64</v>
      </c>
      <c r="M2539" s="2" t="s">
        <v>12</v>
      </c>
      <c r="N2539" s="2" t="s">
        <v>12</v>
      </c>
      <c r="O2539" s="2" t="s">
        <v>12</v>
      </c>
      <c r="P2539" s="21" t="s">
        <v>12</v>
      </c>
      <c r="Q2539" s="3" t="s">
        <v>12</v>
      </c>
      <c r="R2539" s="3" t="s">
        <v>12</v>
      </c>
    </row>
    <row r="2540" spans="1:18" x14ac:dyDescent="0.25">
      <c r="A2540" s="30">
        <v>46080</v>
      </c>
      <c r="B2540" s="28">
        <v>355</v>
      </c>
      <c r="C2540" s="28"/>
      <c r="D2540" s="2" t="s">
        <v>353</v>
      </c>
      <c r="E2540" s="7" t="s">
        <v>12</v>
      </c>
      <c r="F2540" s="7" t="s">
        <v>2683</v>
      </c>
      <c r="G2540" s="2" t="s">
        <v>13</v>
      </c>
      <c r="H2540" s="2" t="s">
        <v>2837</v>
      </c>
      <c r="I2540" s="5">
        <v>1280.6600000000001</v>
      </c>
      <c r="J2540" s="57">
        <v>7.0000000000000007E-2</v>
      </c>
      <c r="K2540" s="3" t="s">
        <v>12</v>
      </c>
      <c r="L2540" s="2" t="s">
        <v>64</v>
      </c>
      <c r="M2540" s="2" t="s">
        <v>12</v>
      </c>
      <c r="N2540" s="2" t="s">
        <v>12</v>
      </c>
      <c r="O2540" s="2" t="s">
        <v>12</v>
      </c>
      <c r="P2540" s="21" t="s">
        <v>12</v>
      </c>
      <c r="Q2540" s="3" t="s">
        <v>12</v>
      </c>
      <c r="R2540" s="3" t="s">
        <v>12</v>
      </c>
    </row>
    <row r="2541" spans="1:18" x14ac:dyDescent="0.25">
      <c r="A2541" s="30">
        <v>46080</v>
      </c>
      <c r="B2541" s="28">
        <v>356</v>
      </c>
      <c r="C2541" s="28"/>
      <c r="D2541" s="2" t="s">
        <v>56</v>
      </c>
      <c r="E2541" s="7" t="s">
        <v>2832</v>
      </c>
      <c r="F2541" s="7" t="s">
        <v>2972</v>
      </c>
      <c r="G2541" s="2" t="s">
        <v>43</v>
      </c>
      <c r="H2541" s="2" t="s">
        <v>13</v>
      </c>
      <c r="I2541" s="5">
        <v>21635.29</v>
      </c>
      <c r="J2541" s="57">
        <v>7.0000000000000007E-2</v>
      </c>
      <c r="K2541" s="3">
        <v>240</v>
      </c>
      <c r="L2541" s="2" t="s">
        <v>226</v>
      </c>
      <c r="M2541" s="2" t="s">
        <v>12</v>
      </c>
      <c r="N2541" s="2" t="s">
        <v>12</v>
      </c>
      <c r="O2541" s="2" t="s">
        <v>12</v>
      </c>
      <c r="P2541" s="21" t="s">
        <v>12</v>
      </c>
      <c r="Q2541" s="3" t="s">
        <v>75</v>
      </c>
      <c r="R2541" s="3" t="s">
        <v>80</v>
      </c>
    </row>
    <row r="2542" spans="1:18" x14ac:dyDescent="0.25">
      <c r="A2542" s="30">
        <v>46080</v>
      </c>
      <c r="B2542" s="28">
        <v>357</v>
      </c>
      <c r="C2542" s="28"/>
      <c r="D2542" s="2" t="s">
        <v>41</v>
      </c>
      <c r="E2542" s="7" t="s">
        <v>2826</v>
      </c>
      <c r="F2542" s="7" t="s">
        <v>2972</v>
      </c>
      <c r="G2542" s="2" t="s">
        <v>43</v>
      </c>
      <c r="H2542" s="2" t="s">
        <v>417</v>
      </c>
      <c r="I2542" s="5">
        <v>74661.25</v>
      </c>
      <c r="J2542" s="57">
        <v>0.05</v>
      </c>
      <c r="K2542" s="3">
        <v>840</v>
      </c>
      <c r="L2542" s="2" t="s">
        <v>226</v>
      </c>
      <c r="M2542" s="2" t="s">
        <v>12</v>
      </c>
      <c r="N2542" s="2" t="s">
        <v>12</v>
      </c>
      <c r="O2542" s="2" t="s">
        <v>12</v>
      </c>
      <c r="P2542" s="21" t="s">
        <v>12</v>
      </c>
      <c r="Q2542" s="3" t="s">
        <v>2224</v>
      </c>
      <c r="R2542" s="3" t="s">
        <v>80</v>
      </c>
    </row>
    <row r="2543" spans="1:18" x14ac:dyDescent="0.25">
      <c r="A2543" s="30">
        <v>46080</v>
      </c>
      <c r="B2543" s="28">
        <v>358</v>
      </c>
      <c r="C2543" s="28"/>
      <c r="D2543" s="2" t="s">
        <v>308</v>
      </c>
      <c r="E2543" s="7" t="s">
        <v>2838</v>
      </c>
      <c r="F2543" s="7" t="s">
        <v>2972</v>
      </c>
      <c r="G2543" s="2" t="s">
        <v>20</v>
      </c>
      <c r="H2543" s="2" t="s">
        <v>129</v>
      </c>
      <c r="I2543" s="5">
        <v>133233.29999999999</v>
      </c>
      <c r="J2543" s="57">
        <v>0.04</v>
      </c>
      <c r="K2543" s="3">
        <v>1752</v>
      </c>
      <c r="L2543" s="2" t="s">
        <v>73</v>
      </c>
      <c r="M2543" s="2" t="s">
        <v>12</v>
      </c>
      <c r="N2543" s="2" t="s">
        <v>12</v>
      </c>
      <c r="O2543" s="2" t="s">
        <v>12</v>
      </c>
      <c r="P2543" s="21" t="s">
        <v>12</v>
      </c>
      <c r="Q2543" s="3" t="s">
        <v>959</v>
      </c>
      <c r="R2543" s="3" t="s">
        <v>76</v>
      </c>
    </row>
    <row r="2544" spans="1:18" x14ac:dyDescent="0.25">
      <c r="A2544" s="30">
        <v>46084</v>
      </c>
      <c r="B2544" s="28">
        <v>359</v>
      </c>
      <c r="C2544" s="28"/>
      <c r="D2544" s="2" t="s">
        <v>2447</v>
      </c>
      <c r="E2544" s="7" t="s">
        <v>12</v>
      </c>
      <c r="F2544" s="7" t="s">
        <v>2683</v>
      </c>
      <c r="G2544" s="2" t="s">
        <v>13</v>
      </c>
      <c r="H2544" s="2" t="s">
        <v>677</v>
      </c>
      <c r="I2544" s="5">
        <v>17783.400000000001</v>
      </c>
      <c r="J2544" s="57">
        <v>7.0000000000000007E-2</v>
      </c>
      <c r="K2544" s="3">
        <v>240</v>
      </c>
      <c r="L2544" s="2" t="s">
        <v>64</v>
      </c>
      <c r="M2544" s="2" t="s">
        <v>12</v>
      </c>
      <c r="N2544" s="2" t="s">
        <v>12</v>
      </c>
      <c r="O2544" s="2" t="s">
        <v>12</v>
      </c>
      <c r="P2544" s="21" t="s">
        <v>12</v>
      </c>
      <c r="Q2544" s="3" t="s">
        <v>12</v>
      </c>
      <c r="R2544" s="3" t="s">
        <v>12</v>
      </c>
    </row>
    <row r="2545" spans="1:18" x14ac:dyDescent="0.25">
      <c r="A2545" s="30">
        <v>46083</v>
      </c>
      <c r="B2545" s="28">
        <v>360</v>
      </c>
      <c r="C2545" s="28" t="s">
        <v>2229</v>
      </c>
      <c r="D2545" s="2" t="s">
        <v>41</v>
      </c>
      <c r="E2545" s="7" t="s">
        <v>2839</v>
      </c>
      <c r="F2545" s="7" t="s">
        <v>2683</v>
      </c>
      <c r="G2545" s="2" t="s">
        <v>43</v>
      </c>
      <c r="H2545" s="2" t="s">
        <v>158</v>
      </c>
      <c r="I2545" s="5">
        <v>9545.65</v>
      </c>
      <c r="J2545" s="57">
        <v>0.04</v>
      </c>
      <c r="K2545" s="3">
        <v>120</v>
      </c>
      <c r="L2545" s="2" t="s">
        <v>64</v>
      </c>
      <c r="M2545" s="2" t="s">
        <v>12</v>
      </c>
      <c r="N2545" s="2" t="s">
        <v>12</v>
      </c>
      <c r="O2545" s="2" t="s">
        <v>12</v>
      </c>
      <c r="P2545" s="21" t="s">
        <v>12</v>
      </c>
      <c r="Q2545" s="3" t="s">
        <v>12</v>
      </c>
      <c r="R2545" s="3" t="s">
        <v>12</v>
      </c>
    </row>
    <row r="2546" spans="1:18" x14ac:dyDescent="0.25">
      <c r="A2546" s="30">
        <v>46083</v>
      </c>
      <c r="B2546" s="28">
        <v>361</v>
      </c>
      <c r="C2546" s="28"/>
      <c r="D2546" s="2" t="s">
        <v>516</v>
      </c>
      <c r="E2546" s="7" t="s">
        <v>2905</v>
      </c>
      <c r="F2546" s="7" t="s">
        <v>2683</v>
      </c>
      <c r="G2546" s="2" t="s">
        <v>111</v>
      </c>
      <c r="H2546" s="2" t="s">
        <v>368</v>
      </c>
      <c r="I2546" s="5">
        <v>3558617.6</v>
      </c>
      <c r="J2546" s="57">
        <v>0.06</v>
      </c>
      <c r="K2546" s="3">
        <v>34821.599999999999</v>
      </c>
      <c r="L2546" s="2" t="s">
        <v>73</v>
      </c>
      <c r="M2546" s="2" t="s">
        <v>12</v>
      </c>
      <c r="N2546" s="2" t="s">
        <v>12</v>
      </c>
      <c r="O2546" s="2" t="s">
        <v>12</v>
      </c>
      <c r="P2546" s="21" t="s">
        <v>12</v>
      </c>
      <c r="Q2546" s="3" t="s">
        <v>12</v>
      </c>
      <c r="R2546" s="3" t="s">
        <v>12</v>
      </c>
    </row>
    <row r="2547" spans="1:18" x14ac:dyDescent="0.25">
      <c r="A2547" s="30">
        <v>46083</v>
      </c>
      <c r="B2547" s="28">
        <v>362</v>
      </c>
      <c r="C2547" s="28"/>
      <c r="D2547" s="2" t="s">
        <v>1894</v>
      </c>
      <c r="E2547" s="7" t="s">
        <v>12</v>
      </c>
      <c r="F2547" s="7" t="s">
        <v>2683</v>
      </c>
      <c r="G2547" s="2" t="s">
        <v>13</v>
      </c>
      <c r="H2547" s="2" t="s">
        <v>735</v>
      </c>
      <c r="I2547" s="5">
        <v>7744.21</v>
      </c>
      <c r="J2547" s="57">
        <v>7.0000000000000007E-2</v>
      </c>
      <c r="K2547" s="3" t="s">
        <v>12</v>
      </c>
      <c r="L2547" s="2" t="s">
        <v>226</v>
      </c>
      <c r="M2547" s="2" t="s">
        <v>12</v>
      </c>
      <c r="N2547" s="2" t="s">
        <v>12</v>
      </c>
      <c r="O2547" s="2" t="s">
        <v>12</v>
      </c>
      <c r="P2547" s="21" t="s">
        <v>12</v>
      </c>
      <c r="Q2547" s="3" t="s">
        <v>12</v>
      </c>
      <c r="R2547" s="3" t="s">
        <v>12</v>
      </c>
    </row>
    <row r="2548" spans="1:18" x14ac:dyDescent="0.25">
      <c r="A2548" s="30">
        <v>46083</v>
      </c>
      <c r="B2548" s="28">
        <v>363</v>
      </c>
      <c r="C2548" s="28"/>
      <c r="D2548" s="2" t="s">
        <v>825</v>
      </c>
      <c r="E2548" s="7" t="s">
        <v>2487</v>
      </c>
      <c r="F2548" s="7" t="s">
        <v>2902</v>
      </c>
      <c r="G2548" s="2" t="s">
        <v>111</v>
      </c>
      <c r="H2548" s="2" t="s">
        <v>827</v>
      </c>
      <c r="I2548" s="5">
        <v>16933.88</v>
      </c>
      <c r="J2548" s="57">
        <v>7.0000000000000007E-2</v>
      </c>
      <c r="K2548" s="3" t="s">
        <v>12</v>
      </c>
      <c r="L2548" s="2" t="s">
        <v>64</v>
      </c>
      <c r="M2548" s="2" t="s">
        <v>12</v>
      </c>
      <c r="N2548" s="2"/>
      <c r="O2548" s="2" t="s">
        <v>12</v>
      </c>
      <c r="P2548" s="21" t="s">
        <v>12</v>
      </c>
      <c r="Q2548" s="3" t="s">
        <v>12</v>
      </c>
      <c r="R2548" s="3" t="s">
        <v>12</v>
      </c>
    </row>
    <row r="2549" spans="1:18" x14ac:dyDescent="0.25">
      <c r="A2549" s="30">
        <v>46103</v>
      </c>
      <c r="B2549" s="28">
        <v>364</v>
      </c>
      <c r="C2549" s="28"/>
      <c r="D2549" s="2" t="s">
        <v>825</v>
      </c>
      <c r="E2549" s="7" t="s">
        <v>2906</v>
      </c>
      <c r="F2549" s="7" t="s">
        <v>2683</v>
      </c>
      <c r="G2549" s="2" t="s">
        <v>111</v>
      </c>
      <c r="H2549" s="2" t="s">
        <v>2907</v>
      </c>
      <c r="I2549" s="5">
        <v>594001.19999999995</v>
      </c>
      <c r="J2549" s="57">
        <v>7.0000000000000007E-2</v>
      </c>
      <c r="K2549" s="3" t="s">
        <v>12</v>
      </c>
      <c r="L2549" s="2" t="s">
        <v>73</v>
      </c>
      <c r="M2549" s="2" t="s">
        <v>12</v>
      </c>
      <c r="N2549" s="2" t="s">
        <v>12</v>
      </c>
      <c r="O2549" s="2" t="s">
        <v>12</v>
      </c>
      <c r="P2549" s="21" t="s">
        <v>12</v>
      </c>
      <c r="Q2549" s="3" t="s">
        <v>12</v>
      </c>
      <c r="R2549" s="3" t="s">
        <v>12</v>
      </c>
    </row>
    <row r="2550" spans="1:18" x14ac:dyDescent="0.25">
      <c r="A2550" s="30">
        <v>46083</v>
      </c>
      <c r="B2550" s="28">
        <v>365</v>
      </c>
      <c r="C2550" s="28"/>
      <c r="D2550" s="2" t="s">
        <v>1446</v>
      </c>
      <c r="E2550" s="7" t="s">
        <v>2840</v>
      </c>
      <c r="F2550" s="7" t="s">
        <v>2694</v>
      </c>
      <c r="G2550" s="2" t="s">
        <v>43</v>
      </c>
      <c r="H2550" s="2" t="s">
        <v>2007</v>
      </c>
      <c r="I2550" s="5">
        <v>8885.89</v>
      </c>
      <c r="J2550" s="57">
        <v>7.0000000000000007E-2</v>
      </c>
      <c r="K2550" s="3">
        <v>72</v>
      </c>
      <c r="L2550" s="2" t="s">
        <v>226</v>
      </c>
      <c r="M2550" s="2" t="s">
        <v>12</v>
      </c>
      <c r="N2550" s="2" t="s">
        <v>12</v>
      </c>
      <c r="O2550" s="2" t="s">
        <v>12</v>
      </c>
      <c r="P2550" s="21" t="s">
        <v>12</v>
      </c>
      <c r="Q2550" s="3" t="s">
        <v>12</v>
      </c>
      <c r="R2550" s="3" t="s">
        <v>12</v>
      </c>
    </row>
    <row r="2551" spans="1:18" x14ac:dyDescent="0.25">
      <c r="A2551" s="30">
        <v>46084</v>
      </c>
      <c r="B2551" s="28">
        <v>366</v>
      </c>
      <c r="C2551" s="28" t="s">
        <v>2161</v>
      </c>
      <c r="D2551" s="2" t="s">
        <v>255</v>
      </c>
      <c r="E2551" s="7" t="s">
        <v>12</v>
      </c>
      <c r="F2551" s="7" t="s">
        <v>2683</v>
      </c>
      <c r="G2551" s="2" t="s">
        <v>13</v>
      </c>
      <c r="H2551" s="2" t="s">
        <v>129</v>
      </c>
      <c r="I2551" s="5">
        <v>2059.66</v>
      </c>
      <c r="J2551" s="57">
        <v>7.0000000000000007E-2</v>
      </c>
      <c r="K2551" s="3">
        <v>24</v>
      </c>
      <c r="L2551" s="2" t="s">
        <v>134</v>
      </c>
      <c r="M2551" s="2" t="s">
        <v>2854</v>
      </c>
      <c r="N2551" s="2"/>
      <c r="O2551" s="2" t="s">
        <v>12</v>
      </c>
      <c r="P2551" s="21" t="s">
        <v>12</v>
      </c>
      <c r="Q2551" s="3" t="s">
        <v>12</v>
      </c>
      <c r="R2551" s="3" t="s">
        <v>12</v>
      </c>
    </row>
    <row r="2552" spans="1:18" x14ac:dyDescent="0.25">
      <c r="A2552" s="30">
        <v>46083</v>
      </c>
      <c r="B2552" s="28">
        <v>367</v>
      </c>
      <c r="C2552" s="28"/>
      <c r="D2552" s="2" t="s">
        <v>41</v>
      </c>
      <c r="E2552" s="7" t="s">
        <v>2841</v>
      </c>
      <c r="F2552" s="7" t="s">
        <v>2972</v>
      </c>
      <c r="G2552" s="2" t="s">
        <v>43</v>
      </c>
      <c r="H2552" s="2" t="s">
        <v>417</v>
      </c>
      <c r="I2552" s="5">
        <v>23568.82</v>
      </c>
      <c r="J2552" s="57">
        <v>0.05</v>
      </c>
      <c r="K2552" s="3">
        <v>288</v>
      </c>
      <c r="L2552" s="2" t="s">
        <v>226</v>
      </c>
      <c r="M2552" s="2" t="s">
        <v>12</v>
      </c>
      <c r="N2552" s="2" t="s">
        <v>12</v>
      </c>
      <c r="O2552" s="2" t="s">
        <v>12</v>
      </c>
      <c r="P2552" s="21" t="s">
        <v>12</v>
      </c>
      <c r="Q2552" s="3" t="s">
        <v>956</v>
      </c>
      <c r="R2552" s="3" t="s">
        <v>80</v>
      </c>
    </row>
    <row r="2553" spans="1:18" x14ac:dyDescent="0.25">
      <c r="A2553" s="30">
        <v>46083</v>
      </c>
      <c r="B2553" s="28">
        <v>368</v>
      </c>
      <c r="C2553" s="28"/>
      <c r="D2553" s="2" t="s">
        <v>56</v>
      </c>
      <c r="E2553" s="7" t="s">
        <v>2841</v>
      </c>
      <c r="F2553" s="7" t="s">
        <v>2972</v>
      </c>
      <c r="G2553" s="2" t="s">
        <v>43</v>
      </c>
      <c r="H2553" s="2" t="s">
        <v>13</v>
      </c>
      <c r="I2553" s="5">
        <v>25082.74</v>
      </c>
      <c r="J2553" s="57">
        <v>7.0000000000000007E-2</v>
      </c>
      <c r="K2553" s="3">
        <v>288</v>
      </c>
      <c r="L2553" s="2" t="s">
        <v>226</v>
      </c>
      <c r="M2553" s="2" t="s">
        <v>12</v>
      </c>
      <c r="N2553" s="2" t="s">
        <v>12</v>
      </c>
      <c r="O2553" s="2" t="s">
        <v>12</v>
      </c>
      <c r="P2553" s="21" t="s">
        <v>12</v>
      </c>
      <c r="Q2553" s="3" t="s">
        <v>956</v>
      </c>
      <c r="R2553" s="3" t="s">
        <v>80</v>
      </c>
    </row>
    <row r="2554" spans="1:18" x14ac:dyDescent="0.25">
      <c r="A2554" s="30">
        <v>46083</v>
      </c>
      <c r="B2554" s="28">
        <v>369</v>
      </c>
      <c r="C2554" s="28"/>
      <c r="D2554" s="2" t="s">
        <v>496</v>
      </c>
      <c r="E2554" s="7" t="s">
        <v>2842</v>
      </c>
      <c r="F2554" s="7" t="s">
        <v>3002</v>
      </c>
      <c r="G2554" s="2" t="s">
        <v>13</v>
      </c>
      <c r="H2554" s="2" t="s">
        <v>13</v>
      </c>
      <c r="I2554" s="5">
        <v>97949.36</v>
      </c>
      <c r="J2554" s="57">
        <v>7.0000000000000007E-2</v>
      </c>
      <c r="K2554" s="3">
        <v>888</v>
      </c>
      <c r="L2554" s="2" t="s">
        <v>226</v>
      </c>
      <c r="M2554" s="2" t="s">
        <v>12</v>
      </c>
      <c r="N2554" s="2" t="s">
        <v>12</v>
      </c>
      <c r="O2554" s="2" t="s">
        <v>12</v>
      </c>
      <c r="P2554" s="21" t="s">
        <v>12</v>
      </c>
      <c r="Q2554" s="3" t="s">
        <v>1266</v>
      </c>
      <c r="R2554" s="3" t="s">
        <v>75</v>
      </c>
    </row>
    <row r="2555" spans="1:18" x14ac:dyDescent="0.25">
      <c r="A2555" s="30">
        <v>46083</v>
      </c>
      <c r="B2555" s="28">
        <v>370</v>
      </c>
      <c r="C2555" s="28"/>
      <c r="D2555" s="2" t="s">
        <v>70</v>
      </c>
      <c r="E2555" s="7" t="s">
        <v>2843</v>
      </c>
      <c r="F2555" s="7" t="s">
        <v>2972</v>
      </c>
      <c r="G2555" s="2" t="s">
        <v>13</v>
      </c>
      <c r="H2555" s="2" t="s">
        <v>72</v>
      </c>
      <c r="I2555" s="5">
        <v>95000</v>
      </c>
      <c r="J2555" s="57">
        <v>0.04</v>
      </c>
      <c r="K2555" s="3">
        <v>1680</v>
      </c>
      <c r="L2555" s="2" t="s">
        <v>64</v>
      </c>
      <c r="M2555" s="2" t="s">
        <v>12</v>
      </c>
      <c r="N2555" s="2" t="s">
        <v>12</v>
      </c>
      <c r="O2555" s="2" t="s">
        <v>12</v>
      </c>
      <c r="P2555" s="21" t="s">
        <v>12</v>
      </c>
      <c r="Q2555" s="3" t="s">
        <v>12</v>
      </c>
      <c r="R2555" s="3" t="s">
        <v>12</v>
      </c>
    </row>
    <row r="2556" spans="1:18" x14ac:dyDescent="0.25">
      <c r="A2556" s="30">
        <v>46083</v>
      </c>
      <c r="B2556" s="28">
        <v>371</v>
      </c>
      <c r="C2556" s="28"/>
      <c r="D2556" s="2" t="s">
        <v>1711</v>
      </c>
      <c r="E2556" s="7" t="s">
        <v>2844</v>
      </c>
      <c r="F2556" s="7" t="s">
        <v>1844</v>
      </c>
      <c r="G2556" s="2" t="s">
        <v>13</v>
      </c>
      <c r="H2556" s="2" t="s">
        <v>1321</v>
      </c>
      <c r="I2556" s="5">
        <v>51096.639999999999</v>
      </c>
      <c r="J2556" s="57">
        <v>7.0000000000000007E-2</v>
      </c>
      <c r="K2556" s="3">
        <v>528</v>
      </c>
      <c r="L2556" s="2" t="s">
        <v>226</v>
      </c>
      <c r="M2556" s="2" t="s">
        <v>12</v>
      </c>
      <c r="N2556" s="2" t="s">
        <v>12</v>
      </c>
      <c r="O2556" s="2" t="s">
        <v>12</v>
      </c>
      <c r="P2556" s="21" t="s">
        <v>12</v>
      </c>
      <c r="Q2556" s="3" t="s">
        <v>1801</v>
      </c>
      <c r="R2556" s="3" t="s">
        <v>76</v>
      </c>
    </row>
    <row r="2557" spans="1:18" x14ac:dyDescent="0.25">
      <c r="A2557" s="30">
        <v>46084</v>
      </c>
      <c r="B2557" s="28">
        <v>372</v>
      </c>
      <c r="C2557" s="28"/>
      <c r="D2557" s="2" t="s">
        <v>87</v>
      </c>
      <c r="E2557" s="7" t="s">
        <v>2845</v>
      </c>
      <c r="F2557" s="7" t="s">
        <v>3002</v>
      </c>
      <c r="G2557" s="2" t="s">
        <v>13</v>
      </c>
      <c r="H2557" s="2" t="s">
        <v>238</v>
      </c>
      <c r="I2557" s="5">
        <v>80117.75</v>
      </c>
      <c r="J2557" s="57">
        <v>0.04</v>
      </c>
      <c r="K2557" s="3">
        <v>1344</v>
      </c>
      <c r="L2557" s="2" t="s">
        <v>64</v>
      </c>
      <c r="M2557" s="2" t="s">
        <v>12</v>
      </c>
      <c r="N2557" s="2" t="s">
        <v>12</v>
      </c>
      <c r="O2557" s="2" t="s">
        <v>12</v>
      </c>
      <c r="P2557" s="21" t="s">
        <v>12</v>
      </c>
      <c r="Q2557" s="3" t="s">
        <v>12</v>
      </c>
      <c r="R2557" s="3" t="s">
        <v>12</v>
      </c>
    </row>
    <row r="2558" spans="1:18" x14ac:dyDescent="0.25">
      <c r="A2558" s="30">
        <v>46084</v>
      </c>
      <c r="B2558" s="28">
        <v>373</v>
      </c>
      <c r="C2558" s="28"/>
      <c r="D2558" s="2" t="s">
        <v>103</v>
      </c>
      <c r="E2558" s="7" t="s">
        <v>2846</v>
      </c>
      <c r="F2558" s="7" t="s">
        <v>2972</v>
      </c>
      <c r="G2558" s="2" t="s">
        <v>13</v>
      </c>
      <c r="H2558" s="2" t="s">
        <v>491</v>
      </c>
      <c r="I2558" s="5">
        <v>50837.87</v>
      </c>
      <c r="J2558" s="57">
        <v>0.03</v>
      </c>
      <c r="K2558" s="3">
        <v>792</v>
      </c>
      <c r="L2558" s="2" t="s">
        <v>64</v>
      </c>
      <c r="M2558" s="2" t="s">
        <v>12</v>
      </c>
      <c r="N2558" s="2" t="s">
        <v>12</v>
      </c>
      <c r="O2558" s="2" t="s">
        <v>12</v>
      </c>
      <c r="P2558" s="21" t="s">
        <v>12</v>
      </c>
      <c r="Q2558" s="3" t="s">
        <v>12</v>
      </c>
      <c r="R2558" s="3" t="s">
        <v>12</v>
      </c>
    </row>
    <row r="2559" spans="1:18" x14ac:dyDescent="0.25">
      <c r="A2559" s="30">
        <v>46084</v>
      </c>
      <c r="B2559" s="28">
        <v>374</v>
      </c>
      <c r="C2559" s="28"/>
      <c r="D2559" s="2" t="s">
        <v>2561</v>
      </c>
      <c r="E2559" s="7" t="s">
        <v>12</v>
      </c>
      <c r="F2559" s="7" t="s">
        <v>2683</v>
      </c>
      <c r="G2559" s="2" t="s">
        <v>13</v>
      </c>
      <c r="H2559" s="2" t="s">
        <v>368</v>
      </c>
      <c r="I2559" s="5">
        <v>715.68</v>
      </c>
      <c r="J2559" s="57">
        <v>7.0000000000000007E-2</v>
      </c>
      <c r="K2559" s="3" t="s">
        <v>12</v>
      </c>
      <c r="L2559" s="2" t="s">
        <v>226</v>
      </c>
      <c r="M2559" s="2" t="s">
        <v>12</v>
      </c>
      <c r="N2559" s="2" t="s">
        <v>12</v>
      </c>
      <c r="O2559" s="2" t="s">
        <v>12</v>
      </c>
      <c r="P2559" s="21" t="s">
        <v>12</v>
      </c>
      <c r="Q2559" s="3" t="s">
        <v>12</v>
      </c>
      <c r="R2559" s="3" t="s">
        <v>12</v>
      </c>
    </row>
    <row r="2560" spans="1:18" x14ac:dyDescent="0.25">
      <c r="A2560" s="30">
        <v>46084</v>
      </c>
      <c r="B2560" s="28">
        <v>375</v>
      </c>
      <c r="C2560" s="28"/>
      <c r="D2560" s="2" t="s">
        <v>1194</v>
      </c>
      <c r="E2560" s="7" t="s">
        <v>2847</v>
      </c>
      <c r="F2560" s="7" t="s">
        <v>3001</v>
      </c>
      <c r="G2560" s="2" t="s">
        <v>26</v>
      </c>
      <c r="H2560" s="2" t="s">
        <v>2422</v>
      </c>
      <c r="I2560" s="5">
        <v>604777.46</v>
      </c>
      <c r="J2560" s="57">
        <v>7.0000000000000007E-2</v>
      </c>
      <c r="K2560" s="3">
        <v>7056</v>
      </c>
      <c r="L2560" s="2" t="s">
        <v>73</v>
      </c>
      <c r="M2560" s="2" t="s">
        <v>12</v>
      </c>
      <c r="N2560" s="2" t="s">
        <v>12</v>
      </c>
      <c r="O2560" s="2" t="s">
        <v>12</v>
      </c>
      <c r="P2560" s="21" t="s">
        <v>12</v>
      </c>
      <c r="Q2560" s="3" t="s">
        <v>133</v>
      </c>
      <c r="R2560" s="3" t="s">
        <v>75</v>
      </c>
    </row>
    <row r="2561" spans="1:18" x14ac:dyDescent="0.25">
      <c r="A2561" s="30">
        <v>46084</v>
      </c>
      <c r="B2561" s="28">
        <v>376</v>
      </c>
      <c r="C2561" s="28"/>
      <c r="D2561" s="2" t="s">
        <v>367</v>
      </c>
      <c r="E2561" s="7" t="s">
        <v>12</v>
      </c>
      <c r="F2561" s="7" t="s">
        <v>2683</v>
      </c>
      <c r="G2561" s="2" t="s">
        <v>13</v>
      </c>
      <c r="H2561" s="2" t="s">
        <v>368</v>
      </c>
      <c r="I2561" s="5">
        <v>5659.21</v>
      </c>
      <c r="J2561" s="57">
        <v>7.0000000000000007E-2</v>
      </c>
      <c r="K2561" s="3">
        <v>49.2</v>
      </c>
      <c r="L2561" s="2" t="s">
        <v>64</v>
      </c>
      <c r="M2561" s="2" t="s">
        <v>12</v>
      </c>
      <c r="N2561" s="2" t="s">
        <v>12</v>
      </c>
      <c r="O2561" s="2" t="s">
        <v>12</v>
      </c>
      <c r="P2561" s="21" t="s">
        <v>12</v>
      </c>
      <c r="Q2561" s="3" t="s">
        <v>12</v>
      </c>
      <c r="R2561" s="3" t="s">
        <v>12</v>
      </c>
    </row>
    <row r="2562" spans="1:18" x14ac:dyDescent="0.25">
      <c r="A2562" s="30">
        <v>46084</v>
      </c>
      <c r="B2562" s="28">
        <v>377</v>
      </c>
      <c r="C2562" s="28"/>
      <c r="D2562" s="2" t="s">
        <v>1673</v>
      </c>
      <c r="E2562" s="7" t="s">
        <v>2848</v>
      </c>
      <c r="F2562" s="7" t="s">
        <v>2972</v>
      </c>
      <c r="G2562" s="2" t="s">
        <v>26</v>
      </c>
      <c r="H2562" s="2" t="s">
        <v>1540</v>
      </c>
      <c r="I2562" s="5">
        <v>7953.92</v>
      </c>
      <c r="J2562" s="57">
        <v>7.0000000000000007E-2</v>
      </c>
      <c r="K2562" s="3">
        <v>72</v>
      </c>
      <c r="L2562" s="2" t="s">
        <v>226</v>
      </c>
      <c r="M2562" s="2" t="s">
        <v>12</v>
      </c>
      <c r="N2562" s="2" t="s">
        <v>12</v>
      </c>
      <c r="O2562" s="2" t="s">
        <v>12</v>
      </c>
      <c r="P2562" s="21" t="s">
        <v>12</v>
      </c>
      <c r="Q2562" s="3" t="s">
        <v>2853</v>
      </c>
      <c r="R2562" s="3" t="s">
        <v>75</v>
      </c>
    </row>
    <row r="2563" spans="1:18" x14ac:dyDescent="0.25">
      <c r="A2563" s="30">
        <v>46085</v>
      </c>
      <c r="B2563" s="28">
        <v>378</v>
      </c>
      <c r="C2563" s="28"/>
      <c r="D2563" s="2" t="s">
        <v>176</v>
      </c>
      <c r="E2563" s="7" t="s">
        <v>12</v>
      </c>
      <c r="F2563" s="7" t="s">
        <v>2683</v>
      </c>
      <c r="G2563" s="2" t="s">
        <v>13</v>
      </c>
      <c r="H2563" s="2" t="s">
        <v>177</v>
      </c>
      <c r="I2563" s="5">
        <v>33489.14</v>
      </c>
      <c r="J2563" s="57">
        <v>0.05</v>
      </c>
      <c r="K2563" s="3">
        <v>600</v>
      </c>
      <c r="L2563" s="2" t="s">
        <v>64</v>
      </c>
      <c r="M2563" s="2" t="s">
        <v>12</v>
      </c>
      <c r="N2563" s="2" t="s">
        <v>12</v>
      </c>
      <c r="O2563" s="2" t="s">
        <v>12</v>
      </c>
      <c r="P2563" s="21" t="s">
        <v>12</v>
      </c>
      <c r="Q2563" s="3" t="s">
        <v>12</v>
      </c>
      <c r="R2563" s="3" t="s">
        <v>12</v>
      </c>
    </row>
    <row r="2564" spans="1:18" x14ac:dyDescent="0.25">
      <c r="A2564" s="30">
        <v>46091</v>
      </c>
      <c r="B2564" s="28">
        <v>379</v>
      </c>
      <c r="C2564" s="28" t="s">
        <v>2161</v>
      </c>
      <c r="D2564" s="2" t="s">
        <v>1349</v>
      </c>
      <c r="E2564" s="7" t="s">
        <v>2863</v>
      </c>
      <c r="F2564" s="7" t="s">
        <v>1844</v>
      </c>
      <c r="G2564" s="2" t="s">
        <v>13</v>
      </c>
      <c r="H2564" s="2" t="s">
        <v>1351</v>
      </c>
      <c r="I2564" s="5">
        <v>117603.79</v>
      </c>
      <c r="J2564" s="57">
        <v>7.0000000000000007E-2</v>
      </c>
      <c r="K2564" s="3">
        <v>1224</v>
      </c>
      <c r="L2564" s="2" t="s">
        <v>226</v>
      </c>
      <c r="M2564" s="2" t="s">
        <v>12</v>
      </c>
      <c r="N2564" s="2" t="s">
        <v>12</v>
      </c>
      <c r="O2564" s="2" t="s">
        <v>12</v>
      </c>
      <c r="P2564" s="21" t="s">
        <v>12</v>
      </c>
      <c r="Q2564" s="3"/>
      <c r="R2564" s="3"/>
    </row>
    <row r="2565" spans="1:18" x14ac:dyDescent="0.25">
      <c r="A2565" s="30">
        <v>46085</v>
      </c>
      <c r="B2565" s="28">
        <v>380</v>
      </c>
      <c r="C2565" s="28"/>
      <c r="D2565" s="2" t="s">
        <v>106</v>
      </c>
      <c r="E2565" s="7" t="s">
        <v>12</v>
      </c>
      <c r="F2565" s="7" t="s">
        <v>2683</v>
      </c>
      <c r="G2565" s="2" t="s">
        <v>13</v>
      </c>
      <c r="H2565" s="2" t="s">
        <v>2864</v>
      </c>
      <c r="I2565" s="5">
        <v>4737</v>
      </c>
      <c r="J2565" s="57">
        <v>7.0000000000000007E-2</v>
      </c>
      <c r="K2565" s="3" t="s">
        <v>12</v>
      </c>
      <c r="L2565" s="2" t="s">
        <v>64</v>
      </c>
      <c r="M2565" s="2" t="s">
        <v>12</v>
      </c>
      <c r="N2565" s="2" t="s">
        <v>12</v>
      </c>
      <c r="O2565" s="2" t="s">
        <v>12</v>
      </c>
      <c r="P2565" s="21" t="s">
        <v>12</v>
      </c>
      <c r="Q2565" s="3" t="s">
        <v>12</v>
      </c>
      <c r="R2565" s="3" t="s">
        <v>12</v>
      </c>
    </row>
    <row r="2566" spans="1:18" x14ac:dyDescent="0.25">
      <c r="A2566" s="30">
        <v>46086</v>
      </c>
      <c r="B2566" s="28">
        <v>381</v>
      </c>
      <c r="C2566" s="28" t="s">
        <v>2161</v>
      </c>
      <c r="D2566" s="2" t="s">
        <v>2865</v>
      </c>
      <c r="E2566" s="7" t="s">
        <v>12</v>
      </c>
      <c r="F2566" s="7" t="s">
        <v>2683</v>
      </c>
      <c r="G2566" s="2" t="s">
        <v>13</v>
      </c>
      <c r="H2566" s="2" t="s">
        <v>2866</v>
      </c>
      <c r="I2566" s="5">
        <v>25554.38</v>
      </c>
      <c r="J2566" s="57">
        <v>0.06</v>
      </c>
      <c r="K2566" s="3">
        <v>360</v>
      </c>
      <c r="L2566" s="2" t="s">
        <v>226</v>
      </c>
      <c r="M2566" s="2" t="s">
        <v>12</v>
      </c>
      <c r="N2566" s="2" t="s">
        <v>12</v>
      </c>
      <c r="O2566" s="2" t="s">
        <v>12</v>
      </c>
      <c r="P2566" s="21" t="s">
        <v>12</v>
      </c>
      <c r="Q2566" s="3" t="s">
        <v>12</v>
      </c>
      <c r="R2566" s="3" t="s">
        <v>12</v>
      </c>
    </row>
    <row r="2567" spans="1:18" x14ac:dyDescent="0.25">
      <c r="A2567" s="30">
        <v>46090</v>
      </c>
      <c r="B2567" s="28">
        <v>382</v>
      </c>
      <c r="C2567" s="28" t="s">
        <v>2229</v>
      </c>
      <c r="D2567" s="2" t="s">
        <v>2581</v>
      </c>
      <c r="E2567" s="7" t="s">
        <v>12</v>
      </c>
      <c r="F2567" s="7" t="s">
        <v>2683</v>
      </c>
      <c r="G2567" s="2" t="s">
        <v>13</v>
      </c>
      <c r="H2567" s="2" t="s">
        <v>119</v>
      </c>
      <c r="I2567" s="5">
        <v>22278.53</v>
      </c>
      <c r="J2567" s="57">
        <v>0.04</v>
      </c>
      <c r="K2567" s="3">
        <v>192</v>
      </c>
      <c r="L2567" s="2" t="s">
        <v>64</v>
      </c>
      <c r="M2567" s="2" t="s">
        <v>12</v>
      </c>
      <c r="N2567" s="2" t="s">
        <v>12</v>
      </c>
      <c r="O2567" s="2" t="s">
        <v>12</v>
      </c>
      <c r="P2567" s="21" t="s">
        <v>12</v>
      </c>
      <c r="Q2567" s="3" t="s">
        <v>12</v>
      </c>
      <c r="R2567" s="3" t="s">
        <v>12</v>
      </c>
    </row>
    <row r="2568" spans="1:18" x14ac:dyDescent="0.25">
      <c r="A2568" s="30">
        <v>46085</v>
      </c>
      <c r="B2568" s="28">
        <v>383</v>
      </c>
      <c r="C2568" s="28"/>
      <c r="D2568" s="2" t="s">
        <v>54</v>
      </c>
      <c r="E2568" s="7" t="s">
        <v>12</v>
      </c>
      <c r="F2568" s="7" t="s">
        <v>2683</v>
      </c>
      <c r="G2568" s="2" t="s">
        <v>26</v>
      </c>
      <c r="H2568" s="2" t="s">
        <v>55</v>
      </c>
      <c r="I2568" s="5">
        <v>1569.4</v>
      </c>
      <c r="J2568" s="57">
        <v>0.24</v>
      </c>
      <c r="K2568" s="3">
        <v>5</v>
      </c>
      <c r="L2568" s="2" t="s">
        <v>64</v>
      </c>
      <c r="M2568" s="2" t="s">
        <v>12</v>
      </c>
      <c r="N2568" s="2" t="s">
        <v>12</v>
      </c>
      <c r="O2568" s="2" t="s">
        <v>12</v>
      </c>
      <c r="P2568" s="21" t="s">
        <v>12</v>
      </c>
      <c r="Q2568" s="3" t="s">
        <v>12</v>
      </c>
      <c r="R2568" s="3" t="s">
        <v>12</v>
      </c>
    </row>
    <row r="2569" spans="1:18" x14ac:dyDescent="0.25">
      <c r="A2569" s="30">
        <v>46085</v>
      </c>
      <c r="B2569" s="28">
        <v>384</v>
      </c>
      <c r="C2569" s="28" t="s">
        <v>2161</v>
      </c>
      <c r="D2569" s="2" t="s">
        <v>515</v>
      </c>
      <c r="E2569" s="7" t="s">
        <v>1994</v>
      </c>
      <c r="F2569" s="7" t="s">
        <v>2972</v>
      </c>
      <c r="G2569" s="2" t="s">
        <v>111</v>
      </c>
      <c r="H2569" s="2" t="s">
        <v>1168</v>
      </c>
      <c r="I2569" s="5">
        <v>1433859.02</v>
      </c>
      <c r="J2569" s="57">
        <v>0.04</v>
      </c>
      <c r="K2569" s="3">
        <v>16368</v>
      </c>
      <c r="L2569" s="2" t="s">
        <v>73</v>
      </c>
      <c r="M2569" s="2" t="s">
        <v>12</v>
      </c>
      <c r="N2569" s="2" t="s">
        <v>12</v>
      </c>
      <c r="O2569" s="2" t="s">
        <v>12</v>
      </c>
      <c r="P2569" s="21" t="s">
        <v>12</v>
      </c>
      <c r="Q2569" s="3" t="s">
        <v>12</v>
      </c>
      <c r="R2569" s="3" t="s">
        <v>12</v>
      </c>
    </row>
    <row r="2570" spans="1:18" x14ac:dyDescent="0.25">
      <c r="A2570" s="30">
        <v>46086</v>
      </c>
      <c r="B2570" s="28">
        <v>385</v>
      </c>
      <c r="C2570" s="28"/>
      <c r="D2570" s="2" t="s">
        <v>23</v>
      </c>
      <c r="E2570" s="7" t="s">
        <v>2867</v>
      </c>
      <c r="F2570" s="7" t="s">
        <v>3001</v>
      </c>
      <c r="G2570" s="2" t="s">
        <v>20</v>
      </c>
      <c r="H2570" s="2" t="s">
        <v>24</v>
      </c>
      <c r="I2570" s="5">
        <v>31782.01</v>
      </c>
      <c r="J2570" s="57">
        <v>0.04</v>
      </c>
      <c r="K2570" s="3">
        <v>432</v>
      </c>
      <c r="L2570" s="2" t="s">
        <v>134</v>
      </c>
      <c r="M2570" s="2" t="s">
        <v>2029</v>
      </c>
      <c r="N2570" s="2" t="s">
        <v>135</v>
      </c>
      <c r="O2570" s="2" t="s">
        <v>528</v>
      </c>
      <c r="P2570" s="21" t="s">
        <v>12</v>
      </c>
      <c r="Q2570" s="3" t="s">
        <v>12</v>
      </c>
      <c r="R2570" s="3" t="s">
        <v>12</v>
      </c>
    </row>
    <row r="2571" spans="1:18" x14ac:dyDescent="0.25">
      <c r="A2571" s="30">
        <v>46086</v>
      </c>
      <c r="B2571" s="28">
        <v>386</v>
      </c>
      <c r="C2571" s="28"/>
      <c r="D2571" s="2" t="s">
        <v>2594</v>
      </c>
      <c r="E2571" s="7" t="s">
        <v>2868</v>
      </c>
      <c r="F2571" s="7" t="s">
        <v>2694</v>
      </c>
      <c r="G2571" s="2" t="s">
        <v>13</v>
      </c>
      <c r="H2571" s="2" t="s">
        <v>2767</v>
      </c>
      <c r="I2571" s="5">
        <v>920.04</v>
      </c>
      <c r="J2571" s="57">
        <v>7.0000000000000007E-2</v>
      </c>
      <c r="K2571" s="3" t="s">
        <v>12</v>
      </c>
      <c r="L2571" s="2" t="s">
        <v>64</v>
      </c>
      <c r="M2571" s="2" t="s">
        <v>12</v>
      </c>
      <c r="N2571" s="2" t="s">
        <v>12</v>
      </c>
      <c r="O2571" s="2" t="s">
        <v>12</v>
      </c>
      <c r="P2571" s="21" t="s">
        <v>12</v>
      </c>
      <c r="Q2571" s="3"/>
      <c r="R2571" s="3"/>
    </row>
    <row r="2572" spans="1:18" x14ac:dyDescent="0.25">
      <c r="A2572" s="30">
        <v>46086</v>
      </c>
      <c r="B2572" s="28">
        <v>387</v>
      </c>
      <c r="C2572" s="28" t="s">
        <v>2161</v>
      </c>
      <c r="D2572" s="2" t="s">
        <v>2869</v>
      </c>
      <c r="E2572" s="7" t="s">
        <v>2966</v>
      </c>
      <c r="F2572" s="7" t="s">
        <v>2972</v>
      </c>
      <c r="G2572" s="2" t="s">
        <v>20</v>
      </c>
      <c r="H2572" s="2" t="s">
        <v>438</v>
      </c>
      <c r="I2572" s="5">
        <v>11191.37</v>
      </c>
      <c r="J2572" s="57">
        <v>0.04</v>
      </c>
      <c r="K2572" s="3">
        <v>144</v>
      </c>
      <c r="L2572" s="2" t="s">
        <v>64</v>
      </c>
      <c r="M2572" s="2" t="s">
        <v>12</v>
      </c>
      <c r="N2572" s="2" t="s">
        <v>12</v>
      </c>
      <c r="O2572" s="2" t="s">
        <v>12</v>
      </c>
      <c r="P2572" s="21" t="s">
        <v>12</v>
      </c>
      <c r="Q2572" s="3" t="s">
        <v>12</v>
      </c>
      <c r="R2572" s="3" t="s">
        <v>12</v>
      </c>
    </row>
    <row r="2573" spans="1:18" x14ac:dyDescent="0.25">
      <c r="A2573" s="30">
        <v>46141</v>
      </c>
      <c r="B2573" s="28">
        <v>388</v>
      </c>
      <c r="C2573" s="28"/>
      <c r="D2573" s="2" t="s">
        <v>23</v>
      </c>
      <c r="E2573" s="7" t="s">
        <v>2963</v>
      </c>
      <c r="F2573" s="7" t="s">
        <v>2683</v>
      </c>
      <c r="G2573" s="2" t="s">
        <v>20</v>
      </c>
      <c r="H2573" s="2" t="s">
        <v>32</v>
      </c>
      <c r="I2573" s="5">
        <v>11016.06</v>
      </c>
      <c r="J2573" s="57">
        <v>0.04</v>
      </c>
      <c r="K2573" s="3">
        <v>96</v>
      </c>
      <c r="L2573" s="2" t="s">
        <v>134</v>
      </c>
      <c r="M2573" s="2" t="s">
        <v>3231</v>
      </c>
      <c r="N2573" s="2" t="s">
        <v>135</v>
      </c>
      <c r="O2573" s="2" t="s">
        <v>443</v>
      </c>
      <c r="P2573" s="21" t="s">
        <v>12</v>
      </c>
      <c r="Q2573" s="3" t="s">
        <v>12</v>
      </c>
      <c r="R2573" s="3" t="s">
        <v>12</v>
      </c>
    </row>
    <row r="2574" spans="1:18" x14ac:dyDescent="0.25">
      <c r="A2574" s="30">
        <v>46086</v>
      </c>
      <c r="B2574" s="28">
        <v>389</v>
      </c>
      <c r="C2574" s="28"/>
      <c r="D2574" s="2" t="s">
        <v>415</v>
      </c>
      <c r="E2574" s="7" t="s">
        <v>12</v>
      </c>
      <c r="F2574" s="7" t="s">
        <v>2683</v>
      </c>
      <c r="G2574" s="2" t="s">
        <v>13</v>
      </c>
      <c r="H2574" s="2" t="s">
        <v>1442</v>
      </c>
      <c r="I2574" s="5">
        <v>6416.65</v>
      </c>
      <c r="J2574" s="57">
        <v>7.0000000000000007E-2</v>
      </c>
      <c r="K2574" s="3">
        <v>24</v>
      </c>
      <c r="L2574" s="2" t="s">
        <v>226</v>
      </c>
      <c r="M2574" s="2" t="s">
        <v>12</v>
      </c>
      <c r="N2574" s="2" t="s">
        <v>12</v>
      </c>
      <c r="O2574" s="2" t="s">
        <v>12</v>
      </c>
      <c r="P2574" s="21" t="s">
        <v>12</v>
      </c>
      <c r="Q2574" s="3" t="s">
        <v>12</v>
      </c>
      <c r="R2574" s="3" t="s">
        <v>12</v>
      </c>
    </row>
    <row r="2575" spans="1:18" x14ac:dyDescent="0.25">
      <c r="A2575" s="30">
        <v>46087</v>
      </c>
      <c r="B2575" s="28">
        <v>390</v>
      </c>
      <c r="C2575" s="28" t="s">
        <v>2162</v>
      </c>
      <c r="D2575" s="2" t="s">
        <v>336</v>
      </c>
      <c r="E2575" s="7" t="s">
        <v>2870</v>
      </c>
      <c r="F2575" s="7" t="s">
        <v>2683</v>
      </c>
      <c r="G2575" s="2" t="s">
        <v>20</v>
      </c>
      <c r="H2575" s="2" t="s">
        <v>1153</v>
      </c>
      <c r="I2575" s="5">
        <v>4161.49</v>
      </c>
      <c r="J2575" s="57">
        <v>0.04</v>
      </c>
      <c r="K2575" s="3">
        <v>72</v>
      </c>
      <c r="L2575" s="2" t="s">
        <v>226</v>
      </c>
      <c r="M2575" s="2" t="s">
        <v>1179</v>
      </c>
      <c r="N2575" s="2" t="s">
        <v>12</v>
      </c>
      <c r="O2575" s="2" t="s">
        <v>12</v>
      </c>
      <c r="P2575" s="21" t="s">
        <v>12</v>
      </c>
      <c r="Q2575" s="3" t="s">
        <v>12</v>
      </c>
      <c r="R2575" s="3" t="s">
        <v>12</v>
      </c>
    </row>
    <row r="2576" spans="1:18" x14ac:dyDescent="0.25">
      <c r="A2576" s="30">
        <v>46086</v>
      </c>
      <c r="B2576" s="28">
        <v>391</v>
      </c>
      <c r="C2576" s="28"/>
      <c r="D2576" s="2" t="s">
        <v>2871</v>
      </c>
      <c r="E2576" s="7" t="s">
        <v>2872</v>
      </c>
      <c r="F2576" s="7" t="s">
        <v>2683</v>
      </c>
      <c r="G2576" s="2" t="s">
        <v>13</v>
      </c>
      <c r="H2576" s="2" t="s">
        <v>1454</v>
      </c>
      <c r="I2576" s="5">
        <v>24244.61</v>
      </c>
      <c r="J2576" s="57">
        <v>7.0000000000000007E-2</v>
      </c>
      <c r="K2576" s="3">
        <v>264</v>
      </c>
      <c r="L2576" s="2" t="s">
        <v>226</v>
      </c>
      <c r="M2576" s="2" t="s">
        <v>12</v>
      </c>
      <c r="N2576" s="2" t="s">
        <v>12</v>
      </c>
      <c r="O2576" s="2" t="s">
        <v>12</v>
      </c>
      <c r="P2576" s="21" t="s">
        <v>12</v>
      </c>
      <c r="Q2576" s="3" t="s">
        <v>12</v>
      </c>
      <c r="R2576" s="3" t="s">
        <v>12</v>
      </c>
    </row>
    <row r="2577" spans="1:18" x14ac:dyDescent="0.25">
      <c r="A2577" s="30">
        <v>46086</v>
      </c>
      <c r="B2577" s="28">
        <v>392</v>
      </c>
      <c r="C2577" s="28"/>
      <c r="D2577" s="2" t="s">
        <v>109</v>
      </c>
      <c r="E2577" s="7" t="s">
        <v>2873</v>
      </c>
      <c r="F2577" s="7" t="s">
        <v>3001</v>
      </c>
      <c r="G2577" s="2" t="s">
        <v>111</v>
      </c>
      <c r="H2577" s="2" t="s">
        <v>61</v>
      </c>
      <c r="I2577" s="5">
        <v>142532.54</v>
      </c>
      <c r="J2577" s="57">
        <v>7.0000000000000007E-2</v>
      </c>
      <c r="K2577" s="3">
        <v>1800</v>
      </c>
      <c r="L2577" s="2" t="s">
        <v>73</v>
      </c>
      <c r="M2577" s="2" t="s">
        <v>12</v>
      </c>
      <c r="N2577" s="2" t="s">
        <v>12</v>
      </c>
      <c r="O2577" s="2" t="s">
        <v>12</v>
      </c>
      <c r="P2577" s="21" t="s">
        <v>12</v>
      </c>
      <c r="Q2577" s="3" t="s">
        <v>12</v>
      </c>
      <c r="R2577" s="3" t="s">
        <v>12</v>
      </c>
    </row>
    <row r="2578" spans="1:18" x14ac:dyDescent="0.25">
      <c r="A2578" s="30">
        <v>46086</v>
      </c>
      <c r="B2578" s="28">
        <v>393</v>
      </c>
      <c r="C2578" s="28" t="s">
        <v>2162</v>
      </c>
      <c r="D2578" s="2" t="s">
        <v>41</v>
      </c>
      <c r="E2578" s="7" t="s">
        <v>2874</v>
      </c>
      <c r="F2578" s="7" t="s">
        <v>2972</v>
      </c>
      <c r="G2578" s="2" t="s">
        <v>43</v>
      </c>
      <c r="H2578" s="2" t="s">
        <v>339</v>
      </c>
      <c r="I2578" s="5">
        <v>9817.36</v>
      </c>
      <c r="J2578" s="57">
        <v>7.0000000000000007E-2</v>
      </c>
      <c r="K2578" s="3" t="s">
        <v>12</v>
      </c>
      <c r="L2578" s="2" t="s">
        <v>64</v>
      </c>
      <c r="M2578" s="2" t="s">
        <v>12</v>
      </c>
      <c r="N2578" s="2" t="s">
        <v>12</v>
      </c>
      <c r="O2578" s="2" t="s">
        <v>12</v>
      </c>
      <c r="P2578" s="21" t="s">
        <v>12</v>
      </c>
      <c r="Q2578" s="3" t="s">
        <v>12</v>
      </c>
      <c r="R2578" s="3" t="s">
        <v>12</v>
      </c>
    </row>
    <row r="2579" spans="1:18" x14ac:dyDescent="0.25">
      <c r="A2579" s="30">
        <v>46086</v>
      </c>
      <c r="B2579" s="28">
        <v>394</v>
      </c>
      <c r="C2579" s="28"/>
      <c r="D2579" s="2" t="s">
        <v>106</v>
      </c>
      <c r="E2579" s="7" t="s">
        <v>2875</v>
      </c>
      <c r="F2579" s="7" t="s">
        <v>2683</v>
      </c>
      <c r="G2579" s="2" t="s">
        <v>13</v>
      </c>
      <c r="H2579" s="2" t="s">
        <v>2864</v>
      </c>
      <c r="I2579" s="5">
        <v>2431.9899999999998</v>
      </c>
      <c r="J2579" s="57">
        <v>7.0000000000000007E-2</v>
      </c>
      <c r="K2579" s="3">
        <v>24</v>
      </c>
      <c r="L2579" s="2" t="s">
        <v>64</v>
      </c>
      <c r="M2579" s="2" t="s">
        <v>12</v>
      </c>
      <c r="N2579" s="2" t="s">
        <v>12</v>
      </c>
      <c r="O2579" s="2" t="s">
        <v>12</v>
      </c>
      <c r="P2579" s="21" t="s">
        <v>12</v>
      </c>
      <c r="Q2579" s="3" t="s">
        <v>12</v>
      </c>
      <c r="R2579" s="3" t="s">
        <v>12</v>
      </c>
    </row>
    <row r="2580" spans="1:18" x14ac:dyDescent="0.25">
      <c r="A2580" s="30">
        <v>46091</v>
      </c>
      <c r="B2580" s="28">
        <v>395</v>
      </c>
      <c r="C2580" s="28" t="s">
        <v>2236</v>
      </c>
      <c r="D2580" s="2" t="s">
        <v>215</v>
      </c>
      <c r="E2580" s="7" t="s">
        <v>3025</v>
      </c>
      <c r="F2580" s="7" t="s">
        <v>2972</v>
      </c>
      <c r="G2580" s="2" t="s">
        <v>26</v>
      </c>
      <c r="H2580" s="2" t="s">
        <v>2536</v>
      </c>
      <c r="I2580" s="5">
        <v>35503.61</v>
      </c>
      <c r="J2580" s="57">
        <v>0.04</v>
      </c>
      <c r="K2580" s="3">
        <v>432</v>
      </c>
      <c r="L2580" s="2" t="s">
        <v>64</v>
      </c>
      <c r="M2580" s="2" t="s">
        <v>12</v>
      </c>
      <c r="N2580" s="2" t="s">
        <v>12</v>
      </c>
      <c r="O2580" s="2" t="s">
        <v>12</v>
      </c>
      <c r="P2580" s="21" t="s">
        <v>12</v>
      </c>
      <c r="Q2580" s="3" t="s">
        <v>12</v>
      </c>
      <c r="R2580" s="3" t="s">
        <v>12</v>
      </c>
    </row>
    <row r="2581" spans="1:18" x14ac:dyDescent="0.25">
      <c r="A2581" s="30">
        <v>46092</v>
      </c>
      <c r="B2581" s="28">
        <v>396</v>
      </c>
      <c r="C2581" s="28" t="s">
        <v>2229</v>
      </c>
      <c r="D2581" s="2" t="s">
        <v>95</v>
      </c>
      <c r="E2581" s="7" t="s">
        <v>2876</v>
      </c>
      <c r="F2581" s="7" t="s">
        <v>2902</v>
      </c>
      <c r="G2581" s="2" t="s">
        <v>97</v>
      </c>
      <c r="H2581" s="2" t="s">
        <v>948</v>
      </c>
      <c r="I2581" s="5">
        <v>1287000</v>
      </c>
      <c r="J2581" s="57">
        <v>0.04</v>
      </c>
      <c r="K2581" s="3">
        <v>14998.8</v>
      </c>
      <c r="L2581" s="2" t="s">
        <v>64</v>
      </c>
      <c r="M2581" s="2" t="s">
        <v>12</v>
      </c>
      <c r="N2581" s="2" t="s">
        <v>12</v>
      </c>
      <c r="O2581" s="2" t="s">
        <v>12</v>
      </c>
      <c r="P2581" s="21" t="s">
        <v>12</v>
      </c>
      <c r="Q2581" s="3" t="s">
        <v>12</v>
      </c>
      <c r="R2581" s="3" t="s">
        <v>12</v>
      </c>
    </row>
    <row r="2582" spans="1:18" x14ac:dyDescent="0.25">
      <c r="A2582" s="30">
        <v>46087</v>
      </c>
      <c r="B2582" s="28">
        <v>397</v>
      </c>
      <c r="C2582" s="28"/>
      <c r="D2582" s="2" t="s">
        <v>1446</v>
      </c>
      <c r="E2582" s="7" t="s">
        <v>2877</v>
      </c>
      <c r="F2582" s="7" t="s">
        <v>2694</v>
      </c>
      <c r="G2582" s="2" t="s">
        <v>43</v>
      </c>
      <c r="H2582" s="2" t="s">
        <v>2007</v>
      </c>
      <c r="I2582" s="5">
        <v>6874.96</v>
      </c>
      <c r="J2582" s="57">
        <v>7.0000000000000007E-2</v>
      </c>
      <c r="K2582" s="3">
        <v>48</v>
      </c>
      <c r="L2582" s="2" t="s">
        <v>73</v>
      </c>
      <c r="M2582" s="2" t="s">
        <v>12</v>
      </c>
      <c r="N2582" s="2" t="s">
        <v>12</v>
      </c>
      <c r="O2582" s="2" t="s">
        <v>12</v>
      </c>
      <c r="P2582" s="21" t="s">
        <v>12</v>
      </c>
      <c r="Q2582" s="3" t="s">
        <v>12</v>
      </c>
      <c r="R2582" s="3" t="s">
        <v>12</v>
      </c>
    </row>
    <row r="2583" spans="1:18" x14ac:dyDescent="0.25">
      <c r="A2583" s="30">
        <v>46087</v>
      </c>
      <c r="B2583" s="28">
        <v>398</v>
      </c>
      <c r="C2583" s="28"/>
      <c r="D2583" s="2" t="s">
        <v>2447</v>
      </c>
      <c r="E2583" s="7" t="s">
        <v>12</v>
      </c>
      <c r="F2583" s="7" t="s">
        <v>2683</v>
      </c>
      <c r="G2583" s="2" t="s">
        <v>13</v>
      </c>
      <c r="H2583" s="2" t="s">
        <v>677</v>
      </c>
      <c r="I2583" s="5">
        <v>33723.300000000003</v>
      </c>
      <c r="J2583" s="57">
        <v>7.0000000000000007E-2</v>
      </c>
      <c r="K2583" s="3">
        <v>600</v>
      </c>
      <c r="L2583" s="2" t="s">
        <v>64</v>
      </c>
      <c r="M2583" s="2" t="s">
        <v>12</v>
      </c>
      <c r="N2583" s="2" t="s">
        <v>12</v>
      </c>
      <c r="O2583" s="2" t="s">
        <v>12</v>
      </c>
      <c r="P2583" s="21" t="s">
        <v>12</v>
      </c>
      <c r="Q2583" s="3" t="s">
        <v>12</v>
      </c>
      <c r="R2583" s="3" t="s">
        <v>12</v>
      </c>
    </row>
    <row r="2584" spans="1:18" x14ac:dyDescent="0.25">
      <c r="A2584" s="30">
        <v>46087</v>
      </c>
      <c r="B2584" s="28">
        <v>399</v>
      </c>
      <c r="C2584" s="28"/>
      <c r="D2584" s="2" t="s">
        <v>2590</v>
      </c>
      <c r="E2584" s="7" t="s">
        <v>12</v>
      </c>
      <c r="F2584" s="7" t="s">
        <v>2683</v>
      </c>
      <c r="G2584" s="2" t="s">
        <v>20</v>
      </c>
      <c r="H2584" s="2" t="s">
        <v>827</v>
      </c>
      <c r="I2584" s="5">
        <v>2864.16</v>
      </c>
      <c r="J2584" s="57">
        <v>0.03</v>
      </c>
      <c r="K2584" s="3">
        <v>48</v>
      </c>
      <c r="L2584" s="2" t="s">
        <v>64</v>
      </c>
      <c r="M2584" s="2" t="s">
        <v>12</v>
      </c>
      <c r="N2584" s="2" t="s">
        <v>12</v>
      </c>
      <c r="O2584" s="2" t="s">
        <v>12</v>
      </c>
      <c r="P2584" s="21" t="s">
        <v>12</v>
      </c>
      <c r="Q2584" s="3" t="s">
        <v>12</v>
      </c>
      <c r="R2584" s="3" t="s">
        <v>12</v>
      </c>
    </row>
    <row r="2585" spans="1:18" x14ac:dyDescent="0.25">
      <c r="A2585" s="30">
        <v>46087</v>
      </c>
      <c r="B2585" s="28">
        <v>400</v>
      </c>
      <c r="C2585" s="28"/>
      <c r="D2585" s="2" t="s">
        <v>1446</v>
      </c>
      <c r="E2585" s="7" t="s">
        <v>2877</v>
      </c>
      <c r="F2585" s="7" t="s">
        <v>2694</v>
      </c>
      <c r="G2585" s="2" t="s">
        <v>43</v>
      </c>
      <c r="H2585" s="2" t="s">
        <v>2007</v>
      </c>
      <c r="I2585" s="5">
        <v>3760.87</v>
      </c>
      <c r="J2585" s="57">
        <v>7.0000000000000007E-2</v>
      </c>
      <c r="K2585" s="3">
        <v>48</v>
      </c>
      <c r="L2585" s="2" t="s">
        <v>73</v>
      </c>
      <c r="M2585" s="2" t="s">
        <v>12</v>
      </c>
      <c r="N2585" s="2" t="s">
        <v>12</v>
      </c>
      <c r="O2585" s="2" t="s">
        <v>12</v>
      </c>
      <c r="P2585" s="21" t="s">
        <v>12</v>
      </c>
      <c r="Q2585" s="3" t="s">
        <v>12</v>
      </c>
      <c r="R2585" s="3" t="s">
        <v>12</v>
      </c>
    </row>
    <row r="2586" spans="1:18" x14ac:dyDescent="0.25">
      <c r="A2586" s="30">
        <v>46087</v>
      </c>
      <c r="B2586" s="28">
        <v>401</v>
      </c>
      <c r="C2586" s="28"/>
      <c r="D2586" s="2" t="s">
        <v>59</v>
      </c>
      <c r="E2586" s="7" t="s">
        <v>2878</v>
      </c>
      <c r="F2586" s="7" t="s">
        <v>2879</v>
      </c>
      <c r="G2586" s="2" t="s">
        <v>20</v>
      </c>
      <c r="H2586" s="2" t="s">
        <v>61</v>
      </c>
      <c r="I2586" s="5">
        <v>35496.269999999997</v>
      </c>
      <c r="J2586" s="57">
        <v>7.0000000000000007E-2</v>
      </c>
      <c r="K2586" s="3">
        <v>277.2</v>
      </c>
      <c r="L2586" s="2" t="s">
        <v>226</v>
      </c>
      <c r="M2586" s="2" t="s">
        <v>12</v>
      </c>
      <c r="N2586" s="2" t="s">
        <v>12</v>
      </c>
      <c r="O2586" s="2" t="s">
        <v>12</v>
      </c>
      <c r="P2586" s="21" t="s">
        <v>12</v>
      </c>
      <c r="Q2586" s="3"/>
      <c r="R2586" s="3"/>
    </row>
    <row r="2587" spans="1:18" x14ac:dyDescent="0.25">
      <c r="A2587" s="30">
        <v>46087</v>
      </c>
      <c r="B2587" s="28">
        <v>402</v>
      </c>
      <c r="C2587" s="28"/>
      <c r="D2587" s="2" t="s">
        <v>23</v>
      </c>
      <c r="E2587" s="7" t="s">
        <v>2964</v>
      </c>
      <c r="F2587" s="7" t="s">
        <v>3001</v>
      </c>
      <c r="G2587" s="2" t="s">
        <v>20</v>
      </c>
      <c r="H2587" s="2" t="s">
        <v>24</v>
      </c>
      <c r="I2587" s="5">
        <v>5904.9</v>
      </c>
      <c r="J2587" s="57">
        <v>7.0000000000000007E-2</v>
      </c>
      <c r="K2587" s="3" t="s">
        <v>12</v>
      </c>
      <c r="L2587" s="2" t="s">
        <v>226</v>
      </c>
      <c r="M2587" s="2" t="s">
        <v>12</v>
      </c>
      <c r="N2587" s="2" t="s">
        <v>12</v>
      </c>
      <c r="O2587" s="2" t="s">
        <v>12</v>
      </c>
      <c r="P2587" s="21" t="s">
        <v>12</v>
      </c>
      <c r="Q2587" s="3" t="s">
        <v>12</v>
      </c>
      <c r="R2587" s="3" t="s">
        <v>12</v>
      </c>
    </row>
    <row r="2588" spans="1:18" x14ac:dyDescent="0.25">
      <c r="A2588" s="30">
        <v>46087</v>
      </c>
      <c r="B2588" s="28">
        <v>403</v>
      </c>
      <c r="C2588" s="28"/>
      <c r="D2588" s="2" t="s">
        <v>273</v>
      </c>
      <c r="E2588" s="7" t="s">
        <v>12</v>
      </c>
      <c r="F2588" s="7" t="s">
        <v>2683</v>
      </c>
      <c r="G2588" s="2" t="s">
        <v>26</v>
      </c>
      <c r="H2588" s="2" t="s">
        <v>116</v>
      </c>
      <c r="I2588" s="5">
        <v>9491.36</v>
      </c>
      <c r="J2588" s="57">
        <v>0.05</v>
      </c>
      <c r="K2588" s="3">
        <v>144</v>
      </c>
      <c r="L2588" s="2" t="s">
        <v>64</v>
      </c>
      <c r="M2588" s="2" t="s">
        <v>12</v>
      </c>
      <c r="N2588" s="2" t="s">
        <v>12</v>
      </c>
      <c r="O2588" s="2" t="s">
        <v>12</v>
      </c>
      <c r="P2588" s="21" t="s">
        <v>12</v>
      </c>
      <c r="Q2588" s="3" t="s">
        <v>12</v>
      </c>
      <c r="R2588" s="3" t="s">
        <v>12</v>
      </c>
    </row>
    <row r="2589" spans="1:18" x14ac:dyDescent="0.25">
      <c r="A2589" s="30">
        <v>46090</v>
      </c>
      <c r="B2589" s="28">
        <v>404</v>
      </c>
      <c r="C2589" s="28"/>
      <c r="D2589" s="2" t="s">
        <v>497</v>
      </c>
      <c r="E2589" s="7" t="s">
        <v>3006</v>
      </c>
      <c r="F2589" s="7" t="s">
        <v>2683</v>
      </c>
      <c r="G2589" s="2" t="s">
        <v>97</v>
      </c>
      <c r="H2589" s="2" t="s">
        <v>1882</v>
      </c>
      <c r="I2589" s="5">
        <v>7847.68</v>
      </c>
      <c r="J2589" s="57">
        <v>7.0000000000000007E-2</v>
      </c>
      <c r="K2589" s="3">
        <v>72</v>
      </c>
      <c r="L2589" s="2" t="s">
        <v>64</v>
      </c>
      <c r="M2589" s="2" t="s">
        <v>12</v>
      </c>
      <c r="N2589" s="2" t="s">
        <v>12</v>
      </c>
      <c r="O2589" s="2" t="s">
        <v>12</v>
      </c>
      <c r="P2589" s="21" t="s">
        <v>12</v>
      </c>
      <c r="Q2589" s="3" t="s">
        <v>12</v>
      </c>
      <c r="R2589" s="3" t="s">
        <v>12</v>
      </c>
    </row>
    <row r="2590" spans="1:18" x14ac:dyDescent="0.25">
      <c r="A2590" s="30">
        <v>46090</v>
      </c>
      <c r="B2590" s="28">
        <v>405</v>
      </c>
      <c r="C2590" s="28" t="s">
        <v>2162</v>
      </c>
      <c r="D2590" s="2" t="s">
        <v>243</v>
      </c>
      <c r="E2590" s="7" t="s">
        <v>12</v>
      </c>
      <c r="F2590" s="7" t="s">
        <v>2683</v>
      </c>
      <c r="G2590" s="2" t="s">
        <v>20</v>
      </c>
      <c r="H2590" s="2" t="s">
        <v>244</v>
      </c>
      <c r="I2590" s="5">
        <v>2564.87</v>
      </c>
      <c r="J2590" s="57">
        <v>0.06</v>
      </c>
      <c r="K2590" s="3">
        <v>24</v>
      </c>
      <c r="L2590" s="2" t="s">
        <v>64</v>
      </c>
      <c r="M2590" s="2" t="s">
        <v>12</v>
      </c>
      <c r="N2590" s="2" t="s">
        <v>12</v>
      </c>
      <c r="O2590" s="2" t="s">
        <v>12</v>
      </c>
      <c r="P2590" s="21" t="s">
        <v>12</v>
      </c>
      <c r="Q2590" s="3" t="s">
        <v>12</v>
      </c>
      <c r="R2590" s="3" t="s">
        <v>12</v>
      </c>
    </row>
    <row r="2591" spans="1:18" x14ac:dyDescent="0.25">
      <c r="A2591" s="30">
        <v>46090</v>
      </c>
      <c r="B2591" s="28">
        <v>406</v>
      </c>
      <c r="C2591" s="28"/>
      <c r="D2591" s="2" t="s">
        <v>2661</v>
      </c>
      <c r="E2591" s="7" t="s">
        <v>12</v>
      </c>
      <c r="F2591" s="7" t="s">
        <v>2683</v>
      </c>
      <c r="G2591" s="2" t="s">
        <v>13</v>
      </c>
      <c r="H2591" s="2" t="s">
        <v>438</v>
      </c>
      <c r="I2591" s="5">
        <v>70576.2</v>
      </c>
      <c r="J2591" s="57">
        <v>0.04</v>
      </c>
      <c r="K2591" s="3">
        <v>792</v>
      </c>
      <c r="L2591" s="2" t="s">
        <v>73</v>
      </c>
      <c r="M2591" s="2" t="s">
        <v>12</v>
      </c>
      <c r="N2591" s="2" t="s">
        <v>12</v>
      </c>
      <c r="O2591" s="2" t="s">
        <v>12</v>
      </c>
      <c r="P2591" s="21" t="s">
        <v>12</v>
      </c>
      <c r="Q2591" s="3" t="s">
        <v>12</v>
      </c>
      <c r="R2591" s="3" t="s">
        <v>12</v>
      </c>
    </row>
    <row r="2592" spans="1:18" x14ac:dyDescent="0.25">
      <c r="A2592" s="30">
        <v>46090</v>
      </c>
      <c r="B2592" s="28">
        <v>407</v>
      </c>
      <c r="C2592" s="28" t="s">
        <v>2161</v>
      </c>
      <c r="D2592" s="2" t="s">
        <v>87</v>
      </c>
      <c r="E2592" s="7" t="s">
        <v>2880</v>
      </c>
      <c r="F2592" s="7" t="s">
        <v>3002</v>
      </c>
      <c r="G2592" s="2" t="s">
        <v>13</v>
      </c>
      <c r="H2592" s="2" t="s">
        <v>185</v>
      </c>
      <c r="I2592" s="5">
        <v>231077.03</v>
      </c>
      <c r="J2592" s="57">
        <v>7.0000000000000007E-2</v>
      </c>
      <c r="K2592" s="3">
        <v>2425.1999999999998</v>
      </c>
      <c r="L2592" s="2" t="s">
        <v>73</v>
      </c>
      <c r="M2592" s="2" t="s">
        <v>12</v>
      </c>
      <c r="N2592" s="2" t="s">
        <v>12</v>
      </c>
      <c r="O2592" s="2" t="s">
        <v>12</v>
      </c>
      <c r="P2592" s="21" t="s">
        <v>12</v>
      </c>
      <c r="Q2592" s="3" t="s">
        <v>78</v>
      </c>
      <c r="R2592" s="3" t="s">
        <v>80</v>
      </c>
    </row>
    <row r="2593" spans="1:18" x14ac:dyDescent="0.25">
      <c r="A2593" s="30">
        <v>46090</v>
      </c>
      <c r="B2593" s="28">
        <v>408</v>
      </c>
      <c r="C2593" s="28"/>
      <c r="D2593" s="2" t="s">
        <v>56</v>
      </c>
      <c r="E2593" s="7" t="s">
        <v>2881</v>
      </c>
      <c r="F2593" s="7" t="s">
        <v>2972</v>
      </c>
      <c r="G2593" s="2" t="s">
        <v>43</v>
      </c>
      <c r="H2593" s="2" t="s">
        <v>275</v>
      </c>
      <c r="I2593" s="5">
        <v>24519.8</v>
      </c>
      <c r="J2593" s="57">
        <v>7.0000000000000007E-2</v>
      </c>
      <c r="K2593" s="3">
        <v>240</v>
      </c>
      <c r="L2593" s="2" t="s">
        <v>226</v>
      </c>
      <c r="M2593" s="2" t="s">
        <v>12</v>
      </c>
      <c r="N2593" s="2" t="s">
        <v>12</v>
      </c>
      <c r="O2593" s="2" t="s">
        <v>12</v>
      </c>
      <c r="P2593" s="21" t="s">
        <v>12</v>
      </c>
      <c r="Q2593" s="3" t="s">
        <v>12</v>
      </c>
      <c r="R2593" s="3"/>
    </row>
    <row r="2594" spans="1:18" x14ac:dyDescent="0.25">
      <c r="A2594" s="30">
        <v>46090</v>
      </c>
      <c r="B2594" s="28">
        <v>409</v>
      </c>
      <c r="C2594" s="28"/>
      <c r="D2594" s="2" t="s">
        <v>637</v>
      </c>
      <c r="E2594" s="7" t="s">
        <v>2882</v>
      </c>
      <c r="F2594" s="7" t="s">
        <v>3002</v>
      </c>
      <c r="G2594" s="2" t="s">
        <v>13</v>
      </c>
      <c r="H2594" s="2" t="s">
        <v>15</v>
      </c>
      <c r="I2594" s="5">
        <v>10965.5</v>
      </c>
      <c r="J2594" s="57">
        <v>7.0000000000000007E-2</v>
      </c>
      <c r="K2594" s="3">
        <v>72</v>
      </c>
      <c r="L2594" s="2" t="s">
        <v>73</v>
      </c>
      <c r="M2594" s="2" t="s">
        <v>12</v>
      </c>
      <c r="N2594" s="2" t="s">
        <v>12</v>
      </c>
      <c r="O2594" s="2" t="s">
        <v>12</v>
      </c>
      <c r="P2594" s="21" t="s">
        <v>12</v>
      </c>
      <c r="Q2594" s="3"/>
      <c r="R2594" s="3"/>
    </row>
    <row r="2595" spans="1:18" x14ac:dyDescent="0.25">
      <c r="A2595" s="30">
        <v>46092</v>
      </c>
      <c r="B2595" s="28">
        <v>410</v>
      </c>
      <c r="C2595" s="28"/>
      <c r="D2595" s="2" t="s">
        <v>41</v>
      </c>
      <c r="E2595" s="7" t="s">
        <v>3068</v>
      </c>
      <c r="F2595" s="7" t="s">
        <v>3002</v>
      </c>
      <c r="G2595" s="2" t="s">
        <v>43</v>
      </c>
      <c r="H2595" s="2" t="s">
        <v>417</v>
      </c>
      <c r="I2595" s="5">
        <v>134775.60999999999</v>
      </c>
      <c r="J2595" s="57">
        <v>0.03</v>
      </c>
      <c r="K2595" s="3">
        <v>2016</v>
      </c>
      <c r="L2595" s="2" t="s">
        <v>64</v>
      </c>
      <c r="M2595" s="2" t="s">
        <v>12</v>
      </c>
      <c r="N2595" s="2" t="s">
        <v>12</v>
      </c>
      <c r="O2595" s="2" t="s">
        <v>12</v>
      </c>
      <c r="P2595" s="21" t="s">
        <v>12</v>
      </c>
      <c r="Q2595" s="3"/>
      <c r="R2595" s="3"/>
    </row>
    <row r="2596" spans="1:18" x14ac:dyDescent="0.25">
      <c r="A2596" s="30">
        <v>46090</v>
      </c>
      <c r="B2596" s="28">
        <v>411</v>
      </c>
      <c r="C2596" s="28"/>
      <c r="D2596" s="2" t="s">
        <v>41</v>
      </c>
      <c r="E2596" s="7" t="s">
        <v>12</v>
      </c>
      <c r="F2596" s="7" t="s">
        <v>2683</v>
      </c>
      <c r="G2596" s="2" t="s">
        <v>43</v>
      </c>
      <c r="H2596" s="2" t="s">
        <v>417</v>
      </c>
      <c r="I2596" s="5">
        <v>106997.87</v>
      </c>
      <c r="J2596" s="57">
        <v>0.05</v>
      </c>
      <c r="K2596" s="3">
        <v>1416</v>
      </c>
      <c r="L2596" s="2" t="s">
        <v>226</v>
      </c>
      <c r="M2596" s="2" t="s">
        <v>12</v>
      </c>
      <c r="N2596" s="2" t="s">
        <v>12</v>
      </c>
      <c r="O2596" s="2" t="s">
        <v>12</v>
      </c>
      <c r="P2596" s="21" t="s">
        <v>12</v>
      </c>
      <c r="Q2596" s="3" t="s">
        <v>12</v>
      </c>
      <c r="R2596" s="3" t="s">
        <v>12</v>
      </c>
    </row>
    <row r="2597" spans="1:18" x14ac:dyDescent="0.25">
      <c r="A2597" s="30">
        <v>46092</v>
      </c>
      <c r="B2597" s="28">
        <v>412</v>
      </c>
      <c r="C2597" s="28" t="s">
        <v>2161</v>
      </c>
      <c r="D2597" s="2" t="s">
        <v>212</v>
      </c>
      <c r="E2597" s="7" t="s">
        <v>2883</v>
      </c>
      <c r="F2597" s="7" t="s">
        <v>3001</v>
      </c>
      <c r="G2597" s="2" t="s">
        <v>20</v>
      </c>
      <c r="H2597" s="2" t="s">
        <v>350</v>
      </c>
      <c r="I2597" s="5">
        <v>16086.19</v>
      </c>
      <c r="J2597" s="57">
        <v>0.03</v>
      </c>
      <c r="K2597" s="3">
        <v>192</v>
      </c>
      <c r="L2597" s="2" t="s">
        <v>64</v>
      </c>
      <c r="M2597" s="2" t="s">
        <v>530</v>
      </c>
      <c r="N2597" s="2" t="s">
        <v>12</v>
      </c>
      <c r="O2597" s="2" t="s">
        <v>12</v>
      </c>
      <c r="P2597" s="21" t="s">
        <v>12</v>
      </c>
      <c r="Q2597" s="3"/>
      <c r="R2597" s="3"/>
    </row>
    <row r="2598" spans="1:18" x14ac:dyDescent="0.25">
      <c r="A2598" s="30">
        <v>46091</v>
      </c>
      <c r="B2598" s="28">
        <v>413</v>
      </c>
      <c r="C2598" s="28"/>
      <c r="D2598" s="2" t="s">
        <v>311</v>
      </c>
      <c r="E2598" s="7" t="s">
        <v>2884</v>
      </c>
      <c r="F2598" s="7" t="s">
        <v>2972</v>
      </c>
      <c r="G2598" s="2" t="s">
        <v>97</v>
      </c>
      <c r="H2598" s="2" t="s">
        <v>611</v>
      </c>
      <c r="I2598" s="5">
        <v>129438.47</v>
      </c>
      <c r="J2598" s="57">
        <v>7.0000000000000007E-2</v>
      </c>
      <c r="K2598" s="3">
        <v>1248</v>
      </c>
      <c r="L2598" s="2" t="s">
        <v>73</v>
      </c>
      <c r="M2598" s="2" t="s">
        <v>12</v>
      </c>
      <c r="N2598" s="2" t="s">
        <v>12</v>
      </c>
      <c r="O2598" s="2" t="s">
        <v>12</v>
      </c>
      <c r="P2598" s="21" t="s">
        <v>12</v>
      </c>
      <c r="Q2598" s="3"/>
      <c r="R2598" s="3"/>
    </row>
    <row r="2599" spans="1:18" x14ac:dyDescent="0.25">
      <c r="A2599" s="30">
        <v>46091</v>
      </c>
      <c r="B2599" s="28">
        <v>414</v>
      </c>
      <c r="C2599" s="28"/>
      <c r="D2599" s="2" t="s">
        <v>23</v>
      </c>
      <c r="E2599" s="7" t="s">
        <v>2885</v>
      </c>
      <c r="F2599" s="7" t="s">
        <v>3001</v>
      </c>
      <c r="G2599" s="2" t="s">
        <v>20</v>
      </c>
      <c r="H2599" s="2" t="s">
        <v>24</v>
      </c>
      <c r="I2599" s="5">
        <v>3869.19</v>
      </c>
      <c r="J2599" s="57">
        <v>0.04</v>
      </c>
      <c r="K2599" s="3">
        <v>48</v>
      </c>
      <c r="L2599" s="2" t="s">
        <v>134</v>
      </c>
      <c r="M2599" s="2" t="s">
        <v>2029</v>
      </c>
      <c r="N2599" s="2" t="s">
        <v>12</v>
      </c>
      <c r="O2599" s="2" t="s">
        <v>12</v>
      </c>
      <c r="P2599" s="21" t="s">
        <v>12</v>
      </c>
      <c r="Q2599" s="3" t="s">
        <v>12</v>
      </c>
      <c r="R2599" s="3" t="s">
        <v>12</v>
      </c>
    </row>
    <row r="2600" spans="1:18" x14ac:dyDescent="0.25">
      <c r="A2600" s="30">
        <v>46091</v>
      </c>
      <c r="B2600" s="28">
        <v>415</v>
      </c>
      <c r="C2600" s="28"/>
      <c r="D2600" s="2" t="s">
        <v>45</v>
      </c>
      <c r="E2600" s="7" t="s">
        <v>2863</v>
      </c>
      <c r="F2600" s="7" t="s">
        <v>1844</v>
      </c>
      <c r="G2600" s="2" t="s">
        <v>20</v>
      </c>
      <c r="H2600" s="2" t="s">
        <v>121</v>
      </c>
      <c r="I2600" s="5">
        <v>117603.79</v>
      </c>
      <c r="J2600" s="57">
        <v>7.0000000000000007E-2</v>
      </c>
      <c r="K2600" s="3">
        <v>1224</v>
      </c>
      <c r="L2600" s="2" t="s">
        <v>226</v>
      </c>
      <c r="M2600" s="2" t="s">
        <v>12</v>
      </c>
      <c r="N2600" s="2" t="s">
        <v>12</v>
      </c>
      <c r="O2600" s="2" t="s">
        <v>12</v>
      </c>
      <c r="P2600" s="21" t="s">
        <v>12</v>
      </c>
      <c r="Q2600" s="3"/>
      <c r="R2600" s="3"/>
    </row>
    <row r="2601" spans="1:18" x14ac:dyDescent="0.25">
      <c r="A2601" s="30">
        <v>46091</v>
      </c>
      <c r="B2601" s="28">
        <v>416</v>
      </c>
      <c r="C2601" s="28"/>
      <c r="D2601" s="2" t="s">
        <v>130</v>
      </c>
      <c r="E2601" s="7" t="s">
        <v>2886</v>
      </c>
      <c r="F2601" s="7" t="s">
        <v>1844</v>
      </c>
      <c r="G2601" s="2" t="s">
        <v>26</v>
      </c>
      <c r="H2601" s="2" t="s">
        <v>438</v>
      </c>
      <c r="I2601" s="5">
        <v>69225.63</v>
      </c>
      <c r="J2601" s="57">
        <v>7.0000000000000007E-2</v>
      </c>
      <c r="K2601" s="3">
        <v>720</v>
      </c>
      <c r="L2601" s="2" t="s">
        <v>73</v>
      </c>
      <c r="M2601" s="2" t="s">
        <v>12</v>
      </c>
      <c r="N2601" s="2" t="s">
        <v>12</v>
      </c>
      <c r="O2601" s="2" t="s">
        <v>12</v>
      </c>
      <c r="P2601" s="21" t="s">
        <v>12</v>
      </c>
      <c r="Q2601" s="3"/>
      <c r="R2601" s="3"/>
    </row>
    <row r="2602" spans="1:18" x14ac:dyDescent="0.25">
      <c r="A2602" s="30">
        <v>46091</v>
      </c>
      <c r="B2602" s="28">
        <v>417</v>
      </c>
      <c r="C2602" s="28"/>
      <c r="D2602" s="2" t="s">
        <v>87</v>
      </c>
      <c r="E2602" s="7" t="s">
        <v>2887</v>
      </c>
      <c r="F2602" s="7" t="s">
        <v>3002</v>
      </c>
      <c r="G2602" s="2" t="s">
        <v>13</v>
      </c>
      <c r="H2602" s="2" t="s">
        <v>185</v>
      </c>
      <c r="I2602" s="5">
        <v>174853.79</v>
      </c>
      <c r="J2602" s="57">
        <v>7.0000000000000007E-2</v>
      </c>
      <c r="K2602" s="3">
        <v>1803.6</v>
      </c>
      <c r="L2602" s="2" t="s">
        <v>73</v>
      </c>
      <c r="M2602" s="2" t="s">
        <v>12</v>
      </c>
      <c r="N2602" s="2" t="s">
        <v>12</v>
      </c>
      <c r="O2602" s="2" t="s">
        <v>12</v>
      </c>
      <c r="P2602" s="21" t="s">
        <v>12</v>
      </c>
      <c r="Q2602" s="3" t="s">
        <v>78</v>
      </c>
      <c r="R2602" s="3" t="s">
        <v>80</v>
      </c>
    </row>
    <row r="2603" spans="1:18" x14ac:dyDescent="0.25">
      <c r="A2603" s="30">
        <v>46091</v>
      </c>
      <c r="B2603" s="28">
        <v>418</v>
      </c>
      <c r="C2603" s="28"/>
      <c r="D2603" s="2" t="s">
        <v>308</v>
      </c>
      <c r="E2603" s="7" t="s">
        <v>2888</v>
      </c>
      <c r="F2603" s="7" t="s">
        <v>3002</v>
      </c>
      <c r="G2603" s="2" t="s">
        <v>20</v>
      </c>
      <c r="H2603" s="2" t="s">
        <v>129</v>
      </c>
      <c r="I2603" s="5">
        <v>180376.78</v>
      </c>
      <c r="J2603" s="57">
        <v>0.04</v>
      </c>
      <c r="K2603" s="3">
        <v>2136</v>
      </c>
      <c r="L2603" s="2" t="s">
        <v>73</v>
      </c>
      <c r="M2603" s="2" t="s">
        <v>1179</v>
      </c>
      <c r="N2603" s="2"/>
      <c r="O2603" s="2" t="s">
        <v>12</v>
      </c>
      <c r="P2603" s="21" t="s">
        <v>12</v>
      </c>
      <c r="Q2603" s="3" t="s">
        <v>12</v>
      </c>
      <c r="R2603" s="3" t="s">
        <v>12</v>
      </c>
    </row>
    <row r="2604" spans="1:18" x14ac:dyDescent="0.25">
      <c r="A2604" s="30">
        <v>46092</v>
      </c>
      <c r="B2604" s="28">
        <v>419</v>
      </c>
      <c r="C2604" s="28" t="s">
        <v>2161</v>
      </c>
      <c r="D2604" s="2" t="s">
        <v>2098</v>
      </c>
      <c r="E2604" s="7" t="s">
        <v>12</v>
      </c>
      <c r="F2604" s="7" t="s">
        <v>2683</v>
      </c>
      <c r="G2604" s="2" t="s">
        <v>13</v>
      </c>
      <c r="H2604" s="2" t="s">
        <v>928</v>
      </c>
      <c r="I2604" s="5">
        <v>6980.41</v>
      </c>
      <c r="J2604" s="57">
        <v>7.0000000000000007E-2</v>
      </c>
      <c r="K2604" s="3">
        <v>50.4</v>
      </c>
      <c r="L2604" s="2" t="s">
        <v>64</v>
      </c>
      <c r="M2604" s="2" t="s">
        <v>12</v>
      </c>
      <c r="N2604" s="2" t="s">
        <v>12</v>
      </c>
      <c r="O2604" s="2" t="s">
        <v>12</v>
      </c>
      <c r="P2604" s="21" t="s">
        <v>12</v>
      </c>
      <c r="Q2604" s="3" t="s">
        <v>12</v>
      </c>
      <c r="R2604" s="3" t="s">
        <v>12</v>
      </c>
    </row>
    <row r="2605" spans="1:18" x14ac:dyDescent="0.25">
      <c r="A2605" s="30">
        <v>46091</v>
      </c>
      <c r="B2605" s="28">
        <v>420</v>
      </c>
      <c r="C2605" s="28"/>
      <c r="D2605" s="2" t="s">
        <v>41</v>
      </c>
      <c r="E2605" s="7" t="s">
        <v>2889</v>
      </c>
      <c r="F2605" s="7" t="s">
        <v>2879</v>
      </c>
      <c r="G2605" s="2" t="s">
        <v>43</v>
      </c>
      <c r="H2605" s="2" t="s">
        <v>43</v>
      </c>
      <c r="I2605" s="5">
        <v>70331.820000000007</v>
      </c>
      <c r="J2605" s="57">
        <v>0.05</v>
      </c>
      <c r="K2605" s="3">
        <v>604.79999999999995</v>
      </c>
      <c r="L2605" s="2" t="s">
        <v>226</v>
      </c>
      <c r="M2605" s="2" t="s">
        <v>12</v>
      </c>
      <c r="N2605" s="2" t="s">
        <v>12</v>
      </c>
      <c r="O2605" s="2" t="s">
        <v>12</v>
      </c>
      <c r="P2605" s="21" t="s">
        <v>12</v>
      </c>
      <c r="Q2605" s="3"/>
      <c r="R2605" s="3"/>
    </row>
    <row r="2606" spans="1:18" x14ac:dyDescent="0.25">
      <c r="A2606" s="30">
        <v>46091</v>
      </c>
      <c r="B2606" s="28">
        <v>421</v>
      </c>
      <c r="C2606" s="28"/>
      <c r="D2606" s="2" t="s">
        <v>87</v>
      </c>
      <c r="E2606" s="7" t="s">
        <v>2890</v>
      </c>
      <c r="F2606" s="7" t="s">
        <v>3002</v>
      </c>
      <c r="G2606" s="2" t="s">
        <v>13</v>
      </c>
      <c r="H2606" s="2" t="s">
        <v>185</v>
      </c>
      <c r="I2606" s="5">
        <v>185811.49</v>
      </c>
      <c r="J2606" s="57">
        <v>7.0000000000000007E-2</v>
      </c>
      <c r="K2606" s="3">
        <v>960</v>
      </c>
      <c r="L2606" s="2" t="s">
        <v>73</v>
      </c>
      <c r="M2606" s="2" t="s">
        <v>12</v>
      </c>
      <c r="N2606" s="2" t="s">
        <v>12</v>
      </c>
      <c r="O2606" s="2" t="s">
        <v>12</v>
      </c>
      <c r="P2606" s="21" t="s">
        <v>12</v>
      </c>
      <c r="Q2606" s="3" t="s">
        <v>78</v>
      </c>
      <c r="R2606" s="3" t="s">
        <v>80</v>
      </c>
    </row>
    <row r="2607" spans="1:18" x14ac:dyDescent="0.25">
      <c r="A2607" s="30">
        <v>46092</v>
      </c>
      <c r="B2607" s="28">
        <v>422</v>
      </c>
      <c r="C2607" s="28"/>
      <c r="D2607" s="2" t="s">
        <v>168</v>
      </c>
      <c r="E2607" s="7" t="s">
        <v>2891</v>
      </c>
      <c r="F2607" s="7" t="s">
        <v>1844</v>
      </c>
      <c r="G2607" s="2" t="s">
        <v>43</v>
      </c>
      <c r="H2607" s="2" t="s">
        <v>170</v>
      </c>
      <c r="I2607" s="5">
        <v>61188.17</v>
      </c>
      <c r="J2607" s="57">
        <v>0.04</v>
      </c>
      <c r="K2607" s="3">
        <v>864</v>
      </c>
      <c r="L2607" s="2" t="s">
        <v>64</v>
      </c>
      <c r="M2607" s="2" t="s">
        <v>12</v>
      </c>
      <c r="N2607" s="2" t="s">
        <v>12</v>
      </c>
      <c r="O2607" s="2" t="s">
        <v>12</v>
      </c>
      <c r="P2607" s="21" t="s">
        <v>12</v>
      </c>
      <c r="Q2607" s="3"/>
      <c r="R2607" s="3"/>
    </row>
    <row r="2608" spans="1:18" x14ac:dyDescent="0.25">
      <c r="A2608" s="30">
        <v>1003</v>
      </c>
      <c r="B2608" s="28">
        <v>423</v>
      </c>
      <c r="C2608" s="28"/>
      <c r="D2608" s="2" t="s">
        <v>1652</v>
      </c>
      <c r="E2608" s="7" t="s">
        <v>2892</v>
      </c>
      <c r="F2608" s="7" t="s">
        <v>2247</v>
      </c>
      <c r="G2608" s="2" t="s">
        <v>97</v>
      </c>
      <c r="H2608" s="2" t="s">
        <v>1653</v>
      </c>
      <c r="I2608" s="5">
        <v>18955.939999999999</v>
      </c>
      <c r="J2608" s="57">
        <v>7.0000000000000007E-2</v>
      </c>
      <c r="K2608" s="3">
        <v>192</v>
      </c>
      <c r="L2608" s="2" t="s">
        <v>226</v>
      </c>
      <c r="M2608" s="2" t="s">
        <v>12</v>
      </c>
      <c r="N2608" s="2" t="s">
        <v>12</v>
      </c>
      <c r="O2608" s="2" t="s">
        <v>12</v>
      </c>
      <c r="P2608" s="21" t="s">
        <v>12</v>
      </c>
      <c r="Q2608" s="3" t="s">
        <v>12</v>
      </c>
      <c r="R2608" s="3" t="s">
        <v>12</v>
      </c>
    </row>
    <row r="2609" spans="1:19" x14ac:dyDescent="0.25">
      <c r="A2609" s="30">
        <v>46091</v>
      </c>
      <c r="B2609" s="28">
        <v>424</v>
      </c>
      <c r="C2609" s="28"/>
      <c r="D2609" s="2" t="s">
        <v>109</v>
      </c>
      <c r="E2609" s="7" t="s">
        <v>2893</v>
      </c>
      <c r="F2609" s="7" t="s">
        <v>2683</v>
      </c>
      <c r="G2609" s="2" t="s">
        <v>111</v>
      </c>
      <c r="H2609" s="2" t="s">
        <v>395</v>
      </c>
      <c r="I2609" s="5">
        <v>102010.08</v>
      </c>
      <c r="J2609" s="57">
        <v>7.0000000000000007E-2</v>
      </c>
      <c r="K2609" s="3">
        <v>932.4</v>
      </c>
      <c r="L2609" s="2" t="s">
        <v>73</v>
      </c>
      <c r="M2609" s="2" t="s">
        <v>12</v>
      </c>
      <c r="N2609" s="2" t="s">
        <v>12</v>
      </c>
      <c r="O2609" s="2" t="s">
        <v>12</v>
      </c>
      <c r="P2609" s="21" t="s">
        <v>12</v>
      </c>
      <c r="Q2609" s="3" t="s">
        <v>12</v>
      </c>
      <c r="R2609" s="3" t="s">
        <v>12</v>
      </c>
    </row>
    <row r="2610" spans="1:19" x14ac:dyDescent="0.25">
      <c r="A2610" s="30">
        <v>46091</v>
      </c>
      <c r="B2610" s="28">
        <v>425</v>
      </c>
      <c r="C2610" s="28"/>
      <c r="D2610" s="2" t="s">
        <v>45</v>
      </c>
      <c r="E2610" s="7" t="s">
        <v>2895</v>
      </c>
      <c r="F2610" s="7" t="s">
        <v>2902</v>
      </c>
      <c r="G2610" s="2" t="s">
        <v>20</v>
      </c>
      <c r="H2610" s="2" t="s">
        <v>121</v>
      </c>
      <c r="I2610" s="5">
        <v>126720.39</v>
      </c>
      <c r="J2610" s="57">
        <v>7.0000000000000007E-2</v>
      </c>
      <c r="K2610" s="3">
        <v>1224</v>
      </c>
      <c r="L2610" s="2" t="s">
        <v>73</v>
      </c>
      <c r="M2610" s="2" t="s">
        <v>2908</v>
      </c>
      <c r="N2610" s="2" t="s">
        <v>12</v>
      </c>
      <c r="O2610" s="2" t="s">
        <v>12</v>
      </c>
      <c r="P2610" s="21" t="s">
        <v>12</v>
      </c>
      <c r="Q2610" s="3" t="s">
        <v>12</v>
      </c>
      <c r="R2610" s="3" t="s">
        <v>12</v>
      </c>
    </row>
    <row r="2611" spans="1:19" x14ac:dyDescent="0.25">
      <c r="A2611" s="30">
        <v>46091</v>
      </c>
      <c r="B2611" s="28">
        <v>426</v>
      </c>
      <c r="C2611" s="28"/>
      <c r="D2611" s="2" t="s">
        <v>87</v>
      </c>
      <c r="E2611" s="7" t="s">
        <v>2894</v>
      </c>
      <c r="F2611" s="7" t="s">
        <v>3002</v>
      </c>
      <c r="G2611" s="2" t="s">
        <v>13</v>
      </c>
      <c r="H2611" s="2" t="s">
        <v>185</v>
      </c>
      <c r="I2611" s="5">
        <v>227808.57</v>
      </c>
      <c r="J2611" s="57">
        <v>7.0000000000000007E-2</v>
      </c>
      <c r="K2611" s="3">
        <v>2354.4</v>
      </c>
      <c r="L2611" s="2" t="s">
        <v>73</v>
      </c>
      <c r="M2611" s="2" t="s">
        <v>12</v>
      </c>
      <c r="N2611" s="2" t="s">
        <v>12</v>
      </c>
      <c r="O2611" s="2" t="s">
        <v>12</v>
      </c>
      <c r="P2611" s="21" t="s">
        <v>12</v>
      </c>
      <c r="Q2611" s="3" t="s">
        <v>78</v>
      </c>
      <c r="R2611" s="3" t="s">
        <v>80</v>
      </c>
    </row>
    <row r="2612" spans="1:19" x14ac:dyDescent="0.25">
      <c r="A2612" s="30">
        <v>46091</v>
      </c>
      <c r="B2612" s="28">
        <v>427</v>
      </c>
      <c r="C2612" s="28"/>
      <c r="D2612" s="2" t="s">
        <v>2896</v>
      </c>
      <c r="E2612" s="7" t="s">
        <v>12</v>
      </c>
      <c r="F2612" s="7" t="s">
        <v>2683</v>
      </c>
      <c r="G2612" s="2" t="s">
        <v>13</v>
      </c>
      <c r="H2612" s="2" t="s">
        <v>1576</v>
      </c>
      <c r="I2612" s="5">
        <v>70556.710000000006</v>
      </c>
      <c r="J2612" s="57">
        <v>7.0000000000000007E-2</v>
      </c>
      <c r="K2612" s="3">
        <v>936</v>
      </c>
      <c r="L2612" s="2" t="s">
        <v>73</v>
      </c>
      <c r="M2612" s="2" t="s">
        <v>12</v>
      </c>
      <c r="N2612" s="2" t="s">
        <v>12</v>
      </c>
      <c r="O2612" s="2" t="s">
        <v>12</v>
      </c>
      <c r="P2612" s="21" t="s">
        <v>12</v>
      </c>
      <c r="Q2612" s="3" t="s">
        <v>12</v>
      </c>
      <c r="R2612" s="3" t="s">
        <v>12</v>
      </c>
    </row>
    <row r="2613" spans="1:19" x14ac:dyDescent="0.25">
      <c r="A2613" s="30">
        <v>46091</v>
      </c>
      <c r="B2613" s="28">
        <v>428</v>
      </c>
      <c r="C2613" s="28"/>
      <c r="D2613" s="2" t="s">
        <v>444</v>
      </c>
      <c r="E2613" s="7" t="s">
        <v>595</v>
      </c>
      <c r="F2613" s="7" t="s">
        <v>2683</v>
      </c>
      <c r="G2613" s="2" t="s">
        <v>20</v>
      </c>
      <c r="H2613" s="2" t="s">
        <v>2897</v>
      </c>
      <c r="I2613" s="5">
        <v>7442.78</v>
      </c>
      <c r="J2613" s="57">
        <v>0.04</v>
      </c>
      <c r="K2613" s="3">
        <v>120</v>
      </c>
      <c r="L2613" s="2" t="s">
        <v>64</v>
      </c>
      <c r="M2613" s="2" t="s">
        <v>2578</v>
      </c>
      <c r="N2613" s="2" t="s">
        <v>12</v>
      </c>
      <c r="O2613" s="2" t="s">
        <v>12</v>
      </c>
      <c r="P2613" s="21" t="s">
        <v>12</v>
      </c>
      <c r="Q2613" s="3" t="s">
        <v>12</v>
      </c>
      <c r="R2613" s="3" t="s">
        <v>12</v>
      </c>
    </row>
    <row r="2614" spans="1:19" x14ac:dyDescent="0.25">
      <c r="A2614" s="30">
        <v>46092</v>
      </c>
      <c r="B2614" s="28">
        <v>429</v>
      </c>
      <c r="C2614" s="28"/>
      <c r="D2614" s="2" t="s">
        <v>338</v>
      </c>
      <c r="E2614" s="7" t="s">
        <v>2898</v>
      </c>
      <c r="F2614" s="7" t="s">
        <v>3001</v>
      </c>
      <c r="G2614" s="2" t="s">
        <v>97</v>
      </c>
      <c r="H2614" s="2" t="s">
        <v>339</v>
      </c>
      <c r="I2614" s="5">
        <v>3787.68</v>
      </c>
      <c r="J2614" s="57">
        <v>7.0000000000000007E-2</v>
      </c>
      <c r="K2614" s="3" t="s">
        <v>12</v>
      </c>
      <c r="L2614" s="2" t="s">
        <v>134</v>
      </c>
      <c r="M2614" s="2" t="s">
        <v>2962</v>
      </c>
      <c r="N2614" s="2" t="s">
        <v>373</v>
      </c>
      <c r="O2614" s="2" t="s">
        <v>528</v>
      </c>
      <c r="P2614" s="21" t="s">
        <v>12</v>
      </c>
      <c r="Q2614" s="3" t="s">
        <v>12</v>
      </c>
      <c r="R2614" s="3" t="s">
        <v>12</v>
      </c>
    </row>
    <row r="2615" spans="1:19" x14ac:dyDescent="0.25">
      <c r="A2615" s="30">
        <v>46092</v>
      </c>
      <c r="B2615" s="28">
        <v>430</v>
      </c>
      <c r="C2615" s="28"/>
      <c r="D2615" s="2" t="s">
        <v>130</v>
      </c>
      <c r="E2615" s="7" t="s">
        <v>3026</v>
      </c>
      <c r="F2615" s="7" t="s">
        <v>2683</v>
      </c>
      <c r="G2615" s="2" t="s">
        <v>26</v>
      </c>
      <c r="H2615" s="2" t="s">
        <v>129</v>
      </c>
      <c r="I2615" s="5">
        <v>11191.89</v>
      </c>
      <c r="J2615" s="57">
        <v>0.04</v>
      </c>
      <c r="K2615" s="3">
        <v>144</v>
      </c>
      <c r="L2615" s="2" t="s">
        <v>64</v>
      </c>
      <c r="M2615" s="2" t="s">
        <v>12</v>
      </c>
      <c r="N2615" s="2" t="s">
        <v>12</v>
      </c>
      <c r="O2615" s="2" t="s">
        <v>12</v>
      </c>
      <c r="P2615" s="21" t="s">
        <v>12</v>
      </c>
      <c r="Q2615" s="3" t="s">
        <v>12</v>
      </c>
      <c r="R2615" s="3" t="s">
        <v>12</v>
      </c>
    </row>
    <row r="2616" spans="1:19" x14ac:dyDescent="0.25">
      <c r="A2616" s="30">
        <v>46092</v>
      </c>
      <c r="B2616" s="28">
        <v>431</v>
      </c>
      <c r="C2616" s="28"/>
      <c r="D2616" s="2" t="s">
        <v>411</v>
      </c>
      <c r="E2616" s="7" t="s">
        <v>2899</v>
      </c>
      <c r="F2616" s="7" t="s">
        <v>2683</v>
      </c>
      <c r="G2616" s="2" t="s">
        <v>26</v>
      </c>
      <c r="H2616" s="2" t="s">
        <v>413</v>
      </c>
      <c r="I2616" s="5">
        <v>16472.900000000001</v>
      </c>
      <c r="J2616" s="57">
        <v>7.0000000000000007E-2</v>
      </c>
      <c r="K2616" s="3">
        <v>126</v>
      </c>
      <c r="L2616" s="2" t="s">
        <v>226</v>
      </c>
      <c r="M2616" s="2" t="s">
        <v>3347</v>
      </c>
      <c r="N2616" s="2" t="s">
        <v>12</v>
      </c>
      <c r="O2616" s="2" t="s">
        <v>12</v>
      </c>
      <c r="P2616" s="21" t="s">
        <v>12</v>
      </c>
      <c r="Q2616" s="3" t="s">
        <v>2951</v>
      </c>
      <c r="R2616" s="3" t="s">
        <v>80</v>
      </c>
    </row>
    <row r="2617" spans="1:19" x14ac:dyDescent="0.25">
      <c r="A2617" s="30">
        <v>46092</v>
      </c>
      <c r="B2617" s="28">
        <v>432</v>
      </c>
      <c r="C2617" s="28"/>
      <c r="D2617" s="2" t="s">
        <v>403</v>
      </c>
      <c r="E2617" s="7" t="s">
        <v>2958</v>
      </c>
      <c r="F2617" s="7" t="s">
        <v>2959</v>
      </c>
      <c r="G2617" s="2" t="s">
        <v>43</v>
      </c>
      <c r="H2617" s="2" t="s">
        <v>1292</v>
      </c>
      <c r="I2617" s="5">
        <v>86007.18</v>
      </c>
      <c r="J2617" s="57">
        <v>7.0000000000000007E-2</v>
      </c>
      <c r="K2617" s="3">
        <v>1008</v>
      </c>
      <c r="L2617" s="2" t="s">
        <v>73</v>
      </c>
      <c r="M2617" s="2" t="s">
        <v>12</v>
      </c>
      <c r="N2617" s="2" t="s">
        <v>12</v>
      </c>
      <c r="O2617" s="2" t="s">
        <v>12</v>
      </c>
      <c r="P2617" s="21" t="s">
        <v>12</v>
      </c>
      <c r="Q2617" s="3" t="s">
        <v>12</v>
      </c>
      <c r="R2617" s="3" t="s">
        <v>12</v>
      </c>
    </row>
    <row r="2618" spans="1:19" x14ac:dyDescent="0.25">
      <c r="A2618" s="30">
        <v>46093</v>
      </c>
      <c r="B2618" s="28">
        <v>433</v>
      </c>
      <c r="C2618" s="28" t="s">
        <v>2162</v>
      </c>
      <c r="D2618" s="2" t="s">
        <v>137</v>
      </c>
      <c r="E2618" s="7" t="s">
        <v>2900</v>
      </c>
      <c r="F2618" s="7" t="s">
        <v>3001</v>
      </c>
      <c r="G2618" s="2" t="s">
        <v>26</v>
      </c>
      <c r="H2618" s="2" t="s">
        <v>98</v>
      </c>
      <c r="I2618" s="5">
        <v>45643.86</v>
      </c>
      <c r="J2618" s="57">
        <v>0.04</v>
      </c>
      <c r="K2618" s="3">
        <v>528</v>
      </c>
      <c r="L2618" s="2" t="s">
        <v>64</v>
      </c>
      <c r="M2618" s="2" t="s">
        <v>12</v>
      </c>
      <c r="N2618" s="2" t="s">
        <v>12</v>
      </c>
      <c r="O2618" s="2" t="s">
        <v>12</v>
      </c>
      <c r="P2618" s="21" t="s">
        <v>12</v>
      </c>
      <c r="Q2618" s="3" t="s">
        <v>2952</v>
      </c>
      <c r="R2618" s="3" t="s">
        <v>222</v>
      </c>
    </row>
    <row r="2619" spans="1:19" x14ac:dyDescent="0.25">
      <c r="A2619" s="30">
        <v>46092</v>
      </c>
      <c r="B2619" s="28">
        <v>434</v>
      </c>
      <c r="C2619" s="28" t="s">
        <v>2161</v>
      </c>
      <c r="D2619" s="2" t="s">
        <v>348</v>
      </c>
      <c r="E2619" s="7" t="s">
        <v>12</v>
      </c>
      <c r="F2619" s="7" t="s">
        <v>2683</v>
      </c>
      <c r="G2619" s="2" t="s">
        <v>26</v>
      </c>
      <c r="H2619" s="2" t="s">
        <v>2858</v>
      </c>
      <c r="I2619" s="5">
        <v>20037.73</v>
      </c>
      <c r="J2619" s="57">
        <v>0.03</v>
      </c>
      <c r="K2619" s="3">
        <v>360</v>
      </c>
      <c r="L2619" s="2" t="s">
        <v>134</v>
      </c>
      <c r="M2619" s="2" t="s">
        <v>1166</v>
      </c>
      <c r="N2619" s="2" t="s">
        <v>373</v>
      </c>
      <c r="O2619" s="2" t="s">
        <v>443</v>
      </c>
      <c r="P2619" s="21" t="s">
        <v>12</v>
      </c>
      <c r="Q2619" s="3" t="s">
        <v>12</v>
      </c>
      <c r="R2619" s="3" t="s">
        <v>12</v>
      </c>
    </row>
    <row r="2620" spans="1:19" x14ac:dyDescent="0.25">
      <c r="A2620" s="30">
        <v>46092</v>
      </c>
      <c r="B2620" s="28">
        <v>435</v>
      </c>
      <c r="C2620" s="28"/>
      <c r="D2620" s="2" t="s">
        <v>1237</v>
      </c>
      <c r="E2620" s="7" t="s">
        <v>2901</v>
      </c>
      <c r="F2620" s="7" t="s">
        <v>2902</v>
      </c>
      <c r="G2620" s="2" t="s">
        <v>20</v>
      </c>
      <c r="H2620" s="2" t="s">
        <v>1239</v>
      </c>
      <c r="I2620" s="5">
        <v>159084.95000000001</v>
      </c>
      <c r="J2620" s="57">
        <v>7.0000000000000007E-2</v>
      </c>
      <c r="K2620" s="3">
        <v>1680</v>
      </c>
      <c r="L2620" s="2" t="s">
        <v>134</v>
      </c>
      <c r="M2620" s="2" t="s">
        <v>2965</v>
      </c>
      <c r="N2620" s="2" t="s">
        <v>135</v>
      </c>
      <c r="O2620" s="2" t="s">
        <v>1482</v>
      </c>
      <c r="P2620" s="21" t="s">
        <v>12</v>
      </c>
      <c r="Q2620" s="3" t="s">
        <v>1237</v>
      </c>
      <c r="R2620" s="3" t="s">
        <v>80</v>
      </c>
    </row>
    <row r="2621" spans="1:19" x14ac:dyDescent="0.25">
      <c r="A2621" s="30">
        <v>46092</v>
      </c>
      <c r="B2621" s="28">
        <v>436</v>
      </c>
      <c r="C2621" s="28"/>
      <c r="D2621" s="2" t="s">
        <v>353</v>
      </c>
      <c r="E2621" s="7">
        <v>64622</v>
      </c>
      <c r="F2621" s="7" t="s">
        <v>2683</v>
      </c>
      <c r="G2621" s="2" t="s">
        <v>13</v>
      </c>
      <c r="H2621" s="2" t="s">
        <v>483</v>
      </c>
      <c r="I2621" s="5">
        <v>38705.230000000003</v>
      </c>
      <c r="J2621" s="57">
        <v>7.0000000000000007E-2</v>
      </c>
      <c r="K2621" s="3">
        <v>432</v>
      </c>
      <c r="L2621" s="2" t="s">
        <v>73</v>
      </c>
      <c r="M2621" s="2" t="s">
        <v>12</v>
      </c>
      <c r="N2621" s="2" t="s">
        <v>12</v>
      </c>
      <c r="O2621" s="2" t="s">
        <v>12</v>
      </c>
      <c r="P2621" s="21" t="s">
        <v>12</v>
      </c>
      <c r="Q2621" s="3" t="s">
        <v>12</v>
      </c>
      <c r="R2621" s="3" t="s">
        <v>12</v>
      </c>
    </row>
    <row r="2622" spans="1:19" x14ac:dyDescent="0.25">
      <c r="A2622" s="30">
        <v>46094</v>
      </c>
      <c r="B2622" s="28">
        <v>437</v>
      </c>
      <c r="C2622" s="28"/>
      <c r="D2622" s="2" t="s">
        <v>1183</v>
      </c>
      <c r="E2622" s="7" t="s">
        <v>2909</v>
      </c>
      <c r="F2622" s="7" t="s">
        <v>3001</v>
      </c>
      <c r="G2622" s="2" t="s">
        <v>13</v>
      </c>
      <c r="H2622" s="2" t="s">
        <v>1498</v>
      </c>
      <c r="I2622" s="5">
        <v>260585.59</v>
      </c>
      <c r="J2622" s="57">
        <v>7.0000000000000007E-2</v>
      </c>
      <c r="K2622" s="3">
        <v>2856</v>
      </c>
      <c r="L2622" s="2" t="s">
        <v>73</v>
      </c>
      <c r="M2622" s="2" t="s">
        <v>12</v>
      </c>
      <c r="N2622" s="2" t="s">
        <v>12</v>
      </c>
      <c r="O2622" s="2" t="s">
        <v>12</v>
      </c>
      <c r="P2622" s="21" t="s">
        <v>12</v>
      </c>
      <c r="Q2622" s="3" t="s">
        <v>12</v>
      </c>
      <c r="R2622" s="3" t="s">
        <v>12</v>
      </c>
      <c r="S2622" t="s">
        <v>12</v>
      </c>
    </row>
    <row r="2623" spans="1:19" x14ac:dyDescent="0.25">
      <c r="A2623" s="30">
        <v>46092</v>
      </c>
      <c r="B2623" s="28">
        <v>438</v>
      </c>
      <c r="C2623" s="28"/>
      <c r="D2623" s="2" t="s">
        <v>1183</v>
      </c>
      <c r="E2623" s="7" t="s">
        <v>2909</v>
      </c>
      <c r="F2623" s="7" t="s">
        <v>3001</v>
      </c>
      <c r="G2623" s="2" t="s">
        <v>13</v>
      </c>
      <c r="H2623" s="2" t="s">
        <v>1498</v>
      </c>
      <c r="I2623" s="5">
        <v>277779.84000000003</v>
      </c>
      <c r="J2623" s="57">
        <v>7.0000000000000007E-2</v>
      </c>
      <c r="K2623" s="3">
        <v>2856</v>
      </c>
      <c r="L2623" s="2" t="s">
        <v>73</v>
      </c>
      <c r="M2623" s="2" t="s">
        <v>12</v>
      </c>
      <c r="N2623" s="2" t="s">
        <v>12</v>
      </c>
      <c r="O2623" s="2" t="s">
        <v>12</v>
      </c>
      <c r="P2623" s="21" t="s">
        <v>12</v>
      </c>
      <c r="Q2623" s="3" t="s">
        <v>12</v>
      </c>
      <c r="R2623" s="3" t="s">
        <v>12</v>
      </c>
    </row>
    <row r="2624" spans="1:19" x14ac:dyDescent="0.25">
      <c r="A2624" s="30">
        <v>46093</v>
      </c>
      <c r="B2624" s="28">
        <v>439</v>
      </c>
      <c r="C2624" s="28"/>
      <c r="D2624" s="2" t="s">
        <v>1395</v>
      </c>
      <c r="E2624" s="7" t="s">
        <v>2912</v>
      </c>
      <c r="F2624" s="7" t="s">
        <v>2972</v>
      </c>
      <c r="G2624" s="2" t="s">
        <v>111</v>
      </c>
      <c r="H2624" s="2" t="s">
        <v>1017</v>
      </c>
      <c r="I2624" s="5">
        <v>226908.43</v>
      </c>
      <c r="J2624" s="57">
        <v>7.0000000000000007E-2</v>
      </c>
      <c r="K2624" s="3" t="s">
        <v>12</v>
      </c>
      <c r="L2624" s="2" t="s">
        <v>73</v>
      </c>
      <c r="M2624" s="2" t="s">
        <v>12</v>
      </c>
      <c r="N2624" s="2" t="s">
        <v>12</v>
      </c>
      <c r="O2624" s="2" t="s">
        <v>12</v>
      </c>
      <c r="P2624" s="21" t="s">
        <v>12</v>
      </c>
      <c r="Q2624" s="3" t="s">
        <v>12</v>
      </c>
      <c r="R2624" s="3" t="s">
        <v>12</v>
      </c>
    </row>
    <row r="2625" spans="1:18" x14ac:dyDescent="0.25">
      <c r="A2625" s="30">
        <v>46093</v>
      </c>
      <c r="B2625" s="28">
        <v>440</v>
      </c>
      <c r="C2625" s="28"/>
      <c r="D2625" s="2" t="s">
        <v>41</v>
      </c>
      <c r="E2625" s="7" t="s">
        <v>2910</v>
      </c>
      <c r="F2625" s="7" t="s">
        <v>3002</v>
      </c>
      <c r="G2625" s="2" t="s">
        <v>43</v>
      </c>
      <c r="H2625" s="2" t="s">
        <v>43</v>
      </c>
      <c r="I2625" s="5">
        <v>257397.55</v>
      </c>
      <c r="J2625" s="57">
        <v>0.05</v>
      </c>
      <c r="K2625" s="3">
        <v>2373.6</v>
      </c>
      <c r="L2625" s="2" t="s">
        <v>226</v>
      </c>
      <c r="M2625" s="2" t="s">
        <v>12</v>
      </c>
      <c r="N2625" s="2" t="s">
        <v>12</v>
      </c>
      <c r="O2625" s="2"/>
      <c r="P2625" s="21"/>
      <c r="Q2625" s="3" t="s">
        <v>12</v>
      </c>
      <c r="R2625" s="3" t="s">
        <v>12</v>
      </c>
    </row>
    <row r="2626" spans="1:18" x14ac:dyDescent="0.25">
      <c r="A2626" s="30">
        <v>46093</v>
      </c>
      <c r="B2626" s="28">
        <v>441</v>
      </c>
      <c r="C2626" s="28"/>
      <c r="D2626" s="2" t="s">
        <v>124</v>
      </c>
      <c r="E2626" s="7" t="s">
        <v>2911</v>
      </c>
      <c r="F2626" s="7" t="s">
        <v>1844</v>
      </c>
      <c r="G2626" s="2" t="s">
        <v>20</v>
      </c>
      <c r="H2626" s="2" t="s">
        <v>154</v>
      </c>
      <c r="I2626" s="5">
        <v>57199.19</v>
      </c>
      <c r="J2626" s="57">
        <v>0.03</v>
      </c>
      <c r="K2626" s="3">
        <v>744</v>
      </c>
      <c r="L2626" s="2" t="s">
        <v>64</v>
      </c>
      <c r="M2626" s="2" t="s">
        <v>12</v>
      </c>
      <c r="N2626" s="2" t="s">
        <v>12</v>
      </c>
      <c r="O2626" s="2" t="s">
        <v>12</v>
      </c>
      <c r="P2626" s="21" t="s">
        <v>12</v>
      </c>
      <c r="Q2626" s="3" t="s">
        <v>12</v>
      </c>
      <c r="R2626" s="3" t="s">
        <v>12</v>
      </c>
    </row>
    <row r="2627" spans="1:18" x14ac:dyDescent="0.25">
      <c r="A2627" s="30">
        <v>46093</v>
      </c>
      <c r="B2627" s="28">
        <v>442</v>
      </c>
      <c r="C2627" s="28"/>
      <c r="D2627" s="2" t="s">
        <v>2913</v>
      </c>
      <c r="E2627" s="7" t="s">
        <v>2914</v>
      </c>
      <c r="F2627" s="7" t="s">
        <v>2683</v>
      </c>
      <c r="G2627" s="2" t="s">
        <v>111</v>
      </c>
      <c r="H2627" s="2" t="s">
        <v>769</v>
      </c>
      <c r="I2627" s="5">
        <v>81220.97</v>
      </c>
      <c r="J2627" s="57">
        <v>7.0000000000000007E-2</v>
      </c>
      <c r="K2627" s="3" t="s">
        <v>12</v>
      </c>
      <c r="L2627" s="2" t="s">
        <v>226</v>
      </c>
      <c r="M2627" s="2" t="s">
        <v>12</v>
      </c>
      <c r="N2627" s="2" t="s">
        <v>12</v>
      </c>
      <c r="O2627" s="2" t="s">
        <v>12</v>
      </c>
      <c r="P2627" s="21" t="s">
        <v>12</v>
      </c>
      <c r="Q2627" s="3" t="s">
        <v>12</v>
      </c>
      <c r="R2627" s="3" t="s">
        <v>12</v>
      </c>
    </row>
    <row r="2628" spans="1:18" x14ac:dyDescent="0.25">
      <c r="A2628" s="30">
        <v>46093</v>
      </c>
      <c r="B2628" s="28">
        <v>443</v>
      </c>
      <c r="C2628" s="28"/>
      <c r="D2628" s="2" t="s">
        <v>2913</v>
      </c>
      <c r="E2628" s="7" t="s">
        <v>3072</v>
      </c>
      <c r="F2628" s="7" t="s">
        <v>2683</v>
      </c>
      <c r="G2628" s="2" t="s">
        <v>111</v>
      </c>
      <c r="H2628" s="2" t="s">
        <v>769</v>
      </c>
      <c r="I2628" s="5">
        <v>83026.97</v>
      </c>
      <c r="J2628" s="57">
        <v>7.0000000000000007E-2</v>
      </c>
      <c r="K2628" s="3" t="s">
        <v>12</v>
      </c>
      <c r="L2628" s="2" t="s">
        <v>226</v>
      </c>
      <c r="M2628" s="2" t="s">
        <v>12</v>
      </c>
      <c r="N2628" s="2" t="s">
        <v>12</v>
      </c>
      <c r="O2628" s="2" t="s">
        <v>12</v>
      </c>
      <c r="P2628" s="21" t="s">
        <v>12</v>
      </c>
      <c r="Q2628" s="3" t="s">
        <v>12</v>
      </c>
      <c r="R2628" s="3" t="s">
        <v>12</v>
      </c>
    </row>
    <row r="2629" spans="1:18" x14ac:dyDescent="0.25">
      <c r="A2629" s="30">
        <v>46093</v>
      </c>
      <c r="B2629" s="28">
        <v>444</v>
      </c>
      <c r="C2629" s="28"/>
      <c r="D2629" s="2" t="s">
        <v>388</v>
      </c>
      <c r="E2629" s="7" t="s">
        <v>2915</v>
      </c>
      <c r="F2629" s="7" t="s">
        <v>2683</v>
      </c>
      <c r="G2629" s="2" t="s">
        <v>26</v>
      </c>
      <c r="H2629" s="2" t="s">
        <v>2079</v>
      </c>
      <c r="I2629" s="5">
        <v>61464.95</v>
      </c>
      <c r="J2629" s="57">
        <v>7.0000000000000007E-2</v>
      </c>
      <c r="K2629" s="3">
        <v>720</v>
      </c>
      <c r="L2629" s="2" t="s">
        <v>226</v>
      </c>
      <c r="M2629" s="2" t="s">
        <v>12</v>
      </c>
      <c r="N2629" s="2" t="s">
        <v>12</v>
      </c>
      <c r="O2629" s="2" t="s">
        <v>12</v>
      </c>
      <c r="P2629" s="21" t="s">
        <v>12</v>
      </c>
      <c r="Q2629" s="3" t="s">
        <v>12</v>
      </c>
      <c r="R2629" s="3" t="s">
        <v>12</v>
      </c>
    </row>
    <row r="2630" spans="1:18" x14ac:dyDescent="0.25">
      <c r="A2630" s="30">
        <v>46093</v>
      </c>
      <c r="B2630" s="28">
        <v>445</v>
      </c>
      <c r="C2630" s="28"/>
      <c r="D2630" s="2" t="s">
        <v>273</v>
      </c>
      <c r="E2630" s="7" t="s">
        <v>12</v>
      </c>
      <c r="F2630" s="7" t="s">
        <v>2683</v>
      </c>
      <c r="G2630" s="2" t="s">
        <v>26</v>
      </c>
      <c r="H2630" s="2" t="s">
        <v>116</v>
      </c>
      <c r="I2630" s="5">
        <v>7909.47</v>
      </c>
      <c r="J2630" s="57">
        <v>0.05</v>
      </c>
      <c r="K2630" s="3">
        <v>120</v>
      </c>
      <c r="L2630" s="2" t="s">
        <v>64</v>
      </c>
      <c r="M2630" s="2" t="s">
        <v>12</v>
      </c>
      <c r="N2630" s="2" t="s">
        <v>12</v>
      </c>
      <c r="O2630" s="2" t="s">
        <v>12</v>
      </c>
      <c r="P2630" s="21" t="s">
        <v>12</v>
      </c>
      <c r="Q2630" s="3" t="s">
        <v>12</v>
      </c>
      <c r="R2630" s="3" t="s">
        <v>12</v>
      </c>
    </row>
    <row r="2631" spans="1:18" x14ac:dyDescent="0.25">
      <c r="A2631" s="30">
        <v>46094</v>
      </c>
      <c r="B2631" s="28">
        <v>446</v>
      </c>
      <c r="C2631" s="28"/>
      <c r="D2631" s="2" t="s">
        <v>696</v>
      </c>
      <c r="E2631" s="7" t="s">
        <v>12</v>
      </c>
      <c r="F2631" s="7" t="s">
        <v>2683</v>
      </c>
      <c r="G2631" s="2" t="s">
        <v>97</v>
      </c>
      <c r="H2631" s="2" t="s">
        <v>119</v>
      </c>
      <c r="I2631" s="5">
        <v>306223.06</v>
      </c>
      <c r="J2631" s="57">
        <v>7.0000000000000007E-2</v>
      </c>
      <c r="K2631" s="3">
        <v>2215.1999999999998</v>
      </c>
      <c r="L2631" s="2" t="s">
        <v>73</v>
      </c>
      <c r="M2631" s="2" t="s">
        <v>12</v>
      </c>
      <c r="N2631" s="2" t="s">
        <v>12</v>
      </c>
      <c r="O2631" s="2" t="s">
        <v>12</v>
      </c>
      <c r="P2631" s="21" t="s">
        <v>12</v>
      </c>
      <c r="Q2631" s="3" t="s">
        <v>12</v>
      </c>
      <c r="R2631" s="3" t="s">
        <v>12</v>
      </c>
    </row>
    <row r="2632" spans="1:18" x14ac:dyDescent="0.25">
      <c r="A2632" s="30">
        <v>46093</v>
      </c>
      <c r="B2632" s="28">
        <v>447</v>
      </c>
      <c r="C2632" s="28"/>
      <c r="D2632" s="2" t="s">
        <v>1711</v>
      </c>
      <c r="E2632" s="7" t="s">
        <v>2916</v>
      </c>
      <c r="F2632" s="7" t="s">
        <v>1844</v>
      </c>
      <c r="G2632" s="2" t="s">
        <v>13</v>
      </c>
      <c r="H2632" s="2" t="s">
        <v>1321</v>
      </c>
      <c r="I2632" s="5">
        <v>48659.77</v>
      </c>
      <c r="J2632" s="57">
        <v>7.0000000000000007E-2</v>
      </c>
      <c r="K2632" s="3">
        <v>528</v>
      </c>
      <c r="L2632" s="2" t="s">
        <v>73</v>
      </c>
      <c r="M2632" s="2" t="s">
        <v>12</v>
      </c>
      <c r="N2632" s="2" t="s">
        <v>12</v>
      </c>
      <c r="O2632" s="2" t="s">
        <v>12</v>
      </c>
      <c r="P2632" s="21" t="s">
        <v>12</v>
      </c>
      <c r="Q2632" s="3" t="s">
        <v>12</v>
      </c>
      <c r="R2632" s="3" t="s">
        <v>12</v>
      </c>
    </row>
    <row r="2633" spans="1:18" x14ac:dyDescent="0.25">
      <c r="A2633" s="30">
        <v>46093</v>
      </c>
      <c r="B2633" s="28">
        <v>448</v>
      </c>
      <c r="C2633" s="28"/>
      <c r="D2633" s="2" t="s">
        <v>206</v>
      </c>
      <c r="E2633" s="7" t="s">
        <v>2917</v>
      </c>
      <c r="F2633" s="7" t="s">
        <v>2733</v>
      </c>
      <c r="G2633" s="2" t="s">
        <v>97</v>
      </c>
      <c r="H2633" s="2" t="s">
        <v>473</v>
      </c>
      <c r="I2633" s="5">
        <v>3995.31</v>
      </c>
      <c r="J2633" s="57">
        <v>7.0000000000000007E-2</v>
      </c>
      <c r="K2633" s="3">
        <v>48</v>
      </c>
      <c r="L2633" s="2" t="s">
        <v>73</v>
      </c>
      <c r="M2633" s="2" t="s">
        <v>12</v>
      </c>
      <c r="N2633" s="2" t="s">
        <v>12</v>
      </c>
      <c r="O2633" s="2" t="s">
        <v>12</v>
      </c>
      <c r="P2633" s="21" t="s">
        <v>12</v>
      </c>
      <c r="Q2633" s="3" t="s">
        <v>12</v>
      </c>
      <c r="R2633" s="3" t="s">
        <v>12</v>
      </c>
    </row>
    <row r="2634" spans="1:18" x14ac:dyDescent="0.25">
      <c r="A2634" s="30">
        <v>46093</v>
      </c>
      <c r="B2634" s="28">
        <v>449</v>
      </c>
      <c r="C2634" s="28"/>
      <c r="D2634" s="2" t="s">
        <v>2259</v>
      </c>
      <c r="E2634" s="7" t="s">
        <v>12</v>
      </c>
      <c r="F2634" s="7" t="s">
        <v>2683</v>
      </c>
      <c r="G2634" s="2" t="s">
        <v>13</v>
      </c>
      <c r="H2634" s="2" t="s">
        <v>953</v>
      </c>
      <c r="I2634" s="5">
        <v>79094.66</v>
      </c>
      <c r="J2634" s="57">
        <v>0.05</v>
      </c>
      <c r="K2634" s="3">
        <v>1200</v>
      </c>
      <c r="L2634" s="2" t="s">
        <v>73</v>
      </c>
      <c r="M2634" s="2" t="s">
        <v>12</v>
      </c>
      <c r="N2634" s="2" t="s">
        <v>12</v>
      </c>
      <c r="O2634" s="2" t="s">
        <v>12</v>
      </c>
      <c r="P2634" s="21" t="s">
        <v>12</v>
      </c>
      <c r="Q2634" s="3" t="s">
        <v>12</v>
      </c>
      <c r="R2634" s="3" t="s">
        <v>12</v>
      </c>
    </row>
    <row r="2635" spans="1:18" x14ac:dyDescent="0.25">
      <c r="A2635" s="30">
        <v>46093</v>
      </c>
      <c r="B2635" s="28">
        <v>450</v>
      </c>
      <c r="C2635" s="28"/>
      <c r="D2635" s="2" t="s">
        <v>2918</v>
      </c>
      <c r="E2635" s="7" t="s">
        <v>12</v>
      </c>
      <c r="F2635" s="7" t="s">
        <v>2683</v>
      </c>
      <c r="G2635" s="2" t="s">
        <v>13</v>
      </c>
      <c r="H2635" s="2" t="s">
        <v>2919</v>
      </c>
      <c r="I2635" s="5">
        <v>32623.26</v>
      </c>
      <c r="J2635" s="57">
        <v>7.0000000000000007E-2</v>
      </c>
      <c r="K2635" s="3">
        <v>384</v>
      </c>
      <c r="L2635" s="2" t="s">
        <v>73</v>
      </c>
      <c r="M2635" s="2" t="s">
        <v>12</v>
      </c>
      <c r="N2635" s="2" t="s">
        <v>12</v>
      </c>
      <c r="O2635" s="2" t="s">
        <v>12</v>
      </c>
      <c r="P2635" s="21" t="s">
        <v>12</v>
      </c>
      <c r="Q2635" s="3" t="s">
        <v>12</v>
      </c>
      <c r="R2635" s="3" t="s">
        <v>12</v>
      </c>
    </row>
    <row r="2636" spans="1:18" x14ac:dyDescent="0.25">
      <c r="A2636" s="30">
        <v>46094</v>
      </c>
      <c r="B2636" s="28">
        <v>451</v>
      </c>
      <c r="C2636" s="28" t="s">
        <v>2162</v>
      </c>
      <c r="D2636" s="2" t="s">
        <v>601</v>
      </c>
      <c r="E2636" s="7" t="s">
        <v>12</v>
      </c>
      <c r="F2636" s="7" t="s">
        <v>2683</v>
      </c>
      <c r="G2636" s="2" t="s">
        <v>13</v>
      </c>
      <c r="H2636" s="2" t="s">
        <v>827</v>
      </c>
      <c r="I2636" s="5">
        <v>4997.08</v>
      </c>
      <c r="J2636" s="57">
        <v>7.0000000000000007E-2</v>
      </c>
      <c r="K2636" s="3" t="s">
        <v>12</v>
      </c>
      <c r="L2636" s="2" t="s">
        <v>64</v>
      </c>
      <c r="M2636" s="2" t="s">
        <v>12</v>
      </c>
      <c r="N2636" s="2" t="s">
        <v>12</v>
      </c>
      <c r="O2636" s="2" t="s">
        <v>12</v>
      </c>
      <c r="P2636" s="21" t="s">
        <v>12</v>
      </c>
      <c r="Q2636" s="3" t="s">
        <v>12</v>
      </c>
      <c r="R2636" s="3" t="s">
        <v>12</v>
      </c>
    </row>
    <row r="2637" spans="1:18" x14ac:dyDescent="0.25">
      <c r="A2637" s="30">
        <v>46094</v>
      </c>
      <c r="B2637" s="28">
        <v>452</v>
      </c>
      <c r="C2637" s="28" t="s">
        <v>2162</v>
      </c>
      <c r="D2637" s="2" t="s">
        <v>202</v>
      </c>
      <c r="E2637" s="7" t="s">
        <v>2920</v>
      </c>
      <c r="F2637" s="7" t="s">
        <v>2972</v>
      </c>
      <c r="G2637" s="2" t="s">
        <v>97</v>
      </c>
      <c r="H2637" s="2" t="s">
        <v>1143</v>
      </c>
      <c r="I2637" s="5">
        <v>69175.45</v>
      </c>
      <c r="J2637" s="57">
        <v>0.03</v>
      </c>
      <c r="K2637" s="3">
        <v>864</v>
      </c>
      <c r="L2637" s="2" t="s">
        <v>64</v>
      </c>
      <c r="M2637" s="2" t="s">
        <v>12</v>
      </c>
      <c r="N2637" s="2" t="s">
        <v>12</v>
      </c>
      <c r="O2637" s="2" t="s">
        <v>12</v>
      </c>
      <c r="P2637" s="21" t="s">
        <v>12</v>
      </c>
      <c r="Q2637" s="3" t="s">
        <v>1748</v>
      </c>
      <c r="R2637" s="3" t="s">
        <v>80</v>
      </c>
    </row>
    <row r="2638" spans="1:18" x14ac:dyDescent="0.25">
      <c r="A2638" s="30">
        <v>46094</v>
      </c>
      <c r="B2638" s="28">
        <v>453</v>
      </c>
      <c r="C2638" s="28"/>
      <c r="D2638" s="2" t="s">
        <v>109</v>
      </c>
      <c r="E2638" s="7" t="s">
        <v>2921</v>
      </c>
      <c r="F2638" s="7" t="s">
        <v>3001</v>
      </c>
      <c r="G2638" s="2" t="s">
        <v>111</v>
      </c>
      <c r="H2638" s="2" t="s">
        <v>346</v>
      </c>
      <c r="I2638" s="5">
        <v>5483.5</v>
      </c>
      <c r="J2638" s="57">
        <v>7.0000000000000007E-2</v>
      </c>
      <c r="K2638" s="3" t="s">
        <v>12</v>
      </c>
      <c r="L2638" s="2" t="s">
        <v>64</v>
      </c>
      <c r="M2638" s="2" t="s">
        <v>12</v>
      </c>
      <c r="N2638" s="2" t="s">
        <v>12</v>
      </c>
      <c r="O2638" s="2" t="s">
        <v>12</v>
      </c>
      <c r="P2638" s="21" t="s">
        <v>12</v>
      </c>
      <c r="Q2638" s="3" t="s">
        <v>12</v>
      </c>
      <c r="R2638" s="3" t="s">
        <v>12</v>
      </c>
    </row>
    <row r="2639" spans="1:18" x14ac:dyDescent="0.25">
      <c r="A2639" s="30">
        <v>46094</v>
      </c>
      <c r="B2639" s="28">
        <v>454</v>
      </c>
      <c r="C2639" s="28"/>
      <c r="D2639" s="2" t="s">
        <v>109</v>
      </c>
      <c r="E2639" s="7" t="s">
        <v>2922</v>
      </c>
      <c r="F2639" s="7" t="s">
        <v>3001</v>
      </c>
      <c r="G2639" s="2" t="s">
        <v>111</v>
      </c>
      <c r="H2639" s="2" t="s">
        <v>346</v>
      </c>
      <c r="I2639" s="5">
        <v>5934.4</v>
      </c>
      <c r="J2639" s="57">
        <v>7.0000000000000007E-2</v>
      </c>
      <c r="K2639" s="3" t="s">
        <v>12</v>
      </c>
      <c r="L2639" s="2" t="s">
        <v>64</v>
      </c>
      <c r="M2639" s="2" t="s">
        <v>12</v>
      </c>
      <c r="N2639" s="2" t="s">
        <v>12</v>
      </c>
      <c r="O2639" s="2" t="s">
        <v>12</v>
      </c>
      <c r="P2639" s="21" t="s">
        <v>12</v>
      </c>
      <c r="Q2639" s="3" t="s">
        <v>12</v>
      </c>
      <c r="R2639" s="3"/>
    </row>
    <row r="2640" spans="1:18" x14ac:dyDescent="0.25">
      <c r="A2640" s="30">
        <v>46094</v>
      </c>
      <c r="B2640" s="28">
        <v>455</v>
      </c>
      <c r="C2640" s="28"/>
      <c r="D2640" s="2" t="s">
        <v>1547</v>
      </c>
      <c r="E2640" s="7" t="s">
        <v>2923</v>
      </c>
      <c r="F2640" s="7" t="s">
        <v>2694</v>
      </c>
      <c r="G2640" s="2" t="s">
        <v>13</v>
      </c>
      <c r="H2640" s="2" t="s">
        <v>395</v>
      </c>
      <c r="I2640" s="5">
        <v>11785.22</v>
      </c>
      <c r="J2640" s="57">
        <v>7.0000000000000007E-2</v>
      </c>
      <c r="K2640" s="3">
        <v>120</v>
      </c>
      <c r="L2640" s="2" t="s">
        <v>73</v>
      </c>
      <c r="M2640" s="2" t="s">
        <v>12</v>
      </c>
      <c r="N2640" s="2" t="s">
        <v>12</v>
      </c>
      <c r="O2640" s="2" t="s">
        <v>12</v>
      </c>
      <c r="P2640" s="21" t="s">
        <v>12</v>
      </c>
      <c r="Q2640" s="3" t="s">
        <v>12</v>
      </c>
      <c r="R2640" s="3"/>
    </row>
    <row r="2641" spans="1:18" x14ac:dyDescent="0.25">
      <c r="A2641" s="30">
        <v>46094</v>
      </c>
      <c r="B2641" s="28">
        <v>456</v>
      </c>
      <c r="C2641" s="28"/>
      <c r="D2641" s="2" t="s">
        <v>260</v>
      </c>
      <c r="E2641" s="7" t="s">
        <v>2909</v>
      </c>
      <c r="F2641" s="7" t="s">
        <v>3001</v>
      </c>
      <c r="G2641" s="2" t="s">
        <v>13</v>
      </c>
      <c r="H2641" s="2" t="s">
        <v>1061</v>
      </c>
      <c r="I2641" s="5">
        <v>277779.84000000003</v>
      </c>
      <c r="J2641" s="57">
        <v>7.0000000000000007E-2</v>
      </c>
      <c r="K2641" s="3">
        <v>2856</v>
      </c>
      <c r="L2641" s="2" t="s">
        <v>73</v>
      </c>
      <c r="M2641" s="2" t="s">
        <v>12</v>
      </c>
      <c r="N2641" s="2" t="s">
        <v>12</v>
      </c>
      <c r="O2641" s="2" t="s">
        <v>12</v>
      </c>
      <c r="P2641" s="21" t="s">
        <v>12</v>
      </c>
      <c r="Q2641" s="3" t="s">
        <v>2953</v>
      </c>
      <c r="R2641" s="3" t="s">
        <v>80</v>
      </c>
    </row>
    <row r="2642" spans="1:18" x14ac:dyDescent="0.25">
      <c r="A2642" s="30">
        <v>46094</v>
      </c>
      <c r="B2642" s="28">
        <v>457</v>
      </c>
      <c r="C2642" s="28"/>
      <c r="D2642" s="2" t="s">
        <v>41</v>
      </c>
      <c r="E2642" s="7" t="s">
        <v>2887</v>
      </c>
      <c r="F2642" s="7" t="s">
        <v>3002</v>
      </c>
      <c r="G2642" s="2" t="s">
        <v>43</v>
      </c>
      <c r="H2642" s="2" t="s">
        <v>43</v>
      </c>
      <c r="I2642" s="5">
        <v>156924.20000000001</v>
      </c>
      <c r="J2642" s="57">
        <v>7.0000000000000007E-2</v>
      </c>
      <c r="K2642" s="3">
        <v>1803.6</v>
      </c>
      <c r="L2642" s="2" t="s">
        <v>73</v>
      </c>
      <c r="M2642" s="2" t="s">
        <v>12</v>
      </c>
      <c r="N2642" s="2" t="s">
        <v>12</v>
      </c>
      <c r="O2642" s="2" t="s">
        <v>12</v>
      </c>
      <c r="P2642" s="21" t="s">
        <v>12</v>
      </c>
      <c r="Q2642" s="3" t="s">
        <v>78</v>
      </c>
      <c r="R2642" s="3" t="s">
        <v>80</v>
      </c>
    </row>
    <row r="2643" spans="1:18" x14ac:dyDescent="0.25">
      <c r="A2643" s="30">
        <v>46094</v>
      </c>
      <c r="B2643" s="28">
        <v>458</v>
      </c>
      <c r="C2643" s="28"/>
      <c r="D2643" s="2" t="s">
        <v>2924</v>
      </c>
      <c r="E2643" s="7" t="s">
        <v>2925</v>
      </c>
      <c r="F2643" s="7" t="s">
        <v>2972</v>
      </c>
      <c r="G2643" s="2" t="s">
        <v>20</v>
      </c>
      <c r="H2643" s="2" t="s">
        <v>532</v>
      </c>
      <c r="I2643" s="5">
        <v>39076.959999999999</v>
      </c>
      <c r="J2643" s="57">
        <v>7.0000000000000007E-2</v>
      </c>
      <c r="K2643" s="3">
        <v>408</v>
      </c>
      <c r="L2643" s="2" t="s">
        <v>73</v>
      </c>
      <c r="M2643" s="2" t="s">
        <v>12</v>
      </c>
      <c r="N2643" s="2" t="s">
        <v>12</v>
      </c>
      <c r="O2643" s="2" t="s">
        <v>12</v>
      </c>
      <c r="P2643" s="21" t="s">
        <v>12</v>
      </c>
      <c r="Q2643" s="3" t="s">
        <v>1748</v>
      </c>
      <c r="R2643" s="3" t="s">
        <v>80</v>
      </c>
    </row>
    <row r="2644" spans="1:18" x14ac:dyDescent="0.25">
      <c r="A2644" s="30">
        <v>46094</v>
      </c>
      <c r="B2644" s="28">
        <v>459</v>
      </c>
      <c r="C2644" s="28"/>
      <c r="D2644" s="2" t="s">
        <v>109</v>
      </c>
      <c r="E2644" s="7" t="s">
        <v>2926</v>
      </c>
      <c r="F2644" s="7" t="s">
        <v>3001</v>
      </c>
      <c r="G2644" s="2" t="s">
        <v>111</v>
      </c>
      <c r="H2644" s="2" t="s">
        <v>467</v>
      </c>
      <c r="I2644" s="5">
        <v>20431.7</v>
      </c>
      <c r="J2644" s="57">
        <v>7.0000000000000007E-2</v>
      </c>
      <c r="K2644" s="3" t="s">
        <v>12</v>
      </c>
      <c r="L2644" s="2" t="s">
        <v>64</v>
      </c>
      <c r="M2644" s="2" t="s">
        <v>12</v>
      </c>
      <c r="N2644" s="2" t="s">
        <v>12</v>
      </c>
      <c r="O2644" s="2" t="s">
        <v>12</v>
      </c>
      <c r="P2644" s="21"/>
      <c r="Q2644" s="3" t="s">
        <v>12</v>
      </c>
      <c r="R2644" s="3" t="s">
        <v>12</v>
      </c>
    </row>
    <row r="2645" spans="1:18" x14ac:dyDescent="0.25">
      <c r="A2645" s="30">
        <v>46098</v>
      </c>
      <c r="B2645" s="28">
        <v>460</v>
      </c>
      <c r="C2645" s="28" t="s">
        <v>2161</v>
      </c>
      <c r="D2645" s="2" t="s">
        <v>1893</v>
      </c>
      <c r="E2645" s="7" t="s">
        <v>2927</v>
      </c>
      <c r="F2645" s="7" t="s">
        <v>3001</v>
      </c>
      <c r="G2645" s="2" t="s">
        <v>26</v>
      </c>
      <c r="H2645" s="2" t="s">
        <v>1000</v>
      </c>
      <c r="I2645" s="5">
        <v>1131.21</v>
      </c>
      <c r="J2645" s="57">
        <v>7.0000000000000007E-2</v>
      </c>
      <c r="K2645" s="3" t="s">
        <v>12</v>
      </c>
      <c r="L2645" s="2" t="s">
        <v>64</v>
      </c>
      <c r="M2645" s="2" t="s">
        <v>12</v>
      </c>
      <c r="N2645" s="2" t="s">
        <v>12</v>
      </c>
      <c r="O2645" s="2" t="s">
        <v>12</v>
      </c>
      <c r="P2645" s="21" t="s">
        <v>12</v>
      </c>
      <c r="Q2645" s="3" t="s">
        <v>12</v>
      </c>
      <c r="R2645" s="3" t="s">
        <v>12</v>
      </c>
    </row>
    <row r="2646" spans="1:18" x14ac:dyDescent="0.25">
      <c r="A2646" s="30">
        <v>46098</v>
      </c>
      <c r="B2646" s="28">
        <v>461</v>
      </c>
      <c r="C2646" s="28" t="s">
        <v>2229</v>
      </c>
      <c r="D2646" s="2" t="s">
        <v>2928</v>
      </c>
      <c r="E2646" s="7" t="s">
        <v>2929</v>
      </c>
      <c r="F2646" s="7" t="s">
        <v>2902</v>
      </c>
      <c r="G2646" s="2" t="s">
        <v>13</v>
      </c>
      <c r="H2646" s="2" t="s">
        <v>2930</v>
      </c>
      <c r="I2646" s="5">
        <v>78774.95</v>
      </c>
      <c r="J2646" s="57">
        <v>0.05</v>
      </c>
      <c r="K2646" s="3">
        <v>705.6</v>
      </c>
      <c r="L2646" s="2" t="s">
        <v>64</v>
      </c>
      <c r="M2646" s="2" t="s">
        <v>12</v>
      </c>
      <c r="N2646" s="2" t="s">
        <v>12</v>
      </c>
      <c r="O2646" s="2" t="s">
        <v>12</v>
      </c>
      <c r="P2646" s="21" t="s">
        <v>12</v>
      </c>
      <c r="Q2646" s="3" t="s">
        <v>12</v>
      </c>
      <c r="R2646" s="3" t="s">
        <v>12</v>
      </c>
    </row>
    <row r="2647" spans="1:18" x14ac:dyDescent="0.25">
      <c r="A2647" s="30">
        <v>46097</v>
      </c>
      <c r="B2647" s="28">
        <v>462</v>
      </c>
      <c r="C2647" s="28"/>
      <c r="D2647" s="2" t="s">
        <v>508</v>
      </c>
      <c r="E2647" s="7" t="s">
        <v>12</v>
      </c>
      <c r="F2647" s="7" t="s">
        <v>2683</v>
      </c>
      <c r="G2647" s="2" t="s">
        <v>20</v>
      </c>
      <c r="H2647" s="2" t="s">
        <v>596</v>
      </c>
      <c r="I2647" s="5">
        <v>45378.68</v>
      </c>
      <c r="J2647" s="57">
        <v>0.03</v>
      </c>
      <c r="K2647" s="3">
        <v>768</v>
      </c>
      <c r="L2647" s="2" t="s">
        <v>64</v>
      </c>
      <c r="M2647" s="2" t="s">
        <v>12</v>
      </c>
      <c r="N2647" s="2" t="s">
        <v>12</v>
      </c>
      <c r="O2647" s="2" t="s">
        <v>12</v>
      </c>
      <c r="P2647" s="21" t="s">
        <v>12</v>
      </c>
      <c r="Q2647" s="3" t="s">
        <v>12</v>
      </c>
      <c r="R2647" s="3"/>
    </row>
    <row r="2648" spans="1:18" x14ac:dyDescent="0.25">
      <c r="A2648" s="30">
        <v>46094</v>
      </c>
      <c r="B2648" s="28">
        <v>463</v>
      </c>
      <c r="C2648" s="28"/>
      <c r="D2648" s="2" t="s">
        <v>308</v>
      </c>
      <c r="E2648" s="7" t="s">
        <v>2931</v>
      </c>
      <c r="F2648" s="7" t="s">
        <v>3002</v>
      </c>
      <c r="G2648" s="2" t="s">
        <v>20</v>
      </c>
      <c r="H2648" s="2" t="s">
        <v>129</v>
      </c>
      <c r="I2648" s="5">
        <v>169870.07</v>
      </c>
      <c r="J2648" s="57">
        <v>0.04</v>
      </c>
      <c r="K2648" s="3">
        <v>1944</v>
      </c>
      <c r="L2648" s="2" t="s">
        <v>73</v>
      </c>
      <c r="M2648" s="2" t="s">
        <v>12</v>
      </c>
      <c r="N2648" s="2" t="s">
        <v>12</v>
      </c>
      <c r="O2648" s="2" t="s">
        <v>12</v>
      </c>
      <c r="P2648" s="21" t="s">
        <v>12</v>
      </c>
      <c r="Q2648" s="3" t="s">
        <v>12</v>
      </c>
      <c r="R2648" s="3" t="s">
        <v>12</v>
      </c>
    </row>
    <row r="2649" spans="1:18" x14ac:dyDescent="0.25">
      <c r="A2649" s="30">
        <v>46097</v>
      </c>
      <c r="B2649" s="28">
        <v>464</v>
      </c>
      <c r="C2649" s="28" t="s">
        <v>2162</v>
      </c>
      <c r="D2649" s="2" t="s">
        <v>411</v>
      </c>
      <c r="E2649" s="7" t="s">
        <v>2932</v>
      </c>
      <c r="F2649" s="7" t="s">
        <v>2683</v>
      </c>
      <c r="G2649" s="2" t="s">
        <v>26</v>
      </c>
      <c r="H2649" s="2" t="s">
        <v>98</v>
      </c>
      <c r="I2649" s="5">
        <v>2977.11</v>
      </c>
      <c r="J2649" s="57">
        <v>0.04</v>
      </c>
      <c r="K2649" s="3">
        <v>48</v>
      </c>
      <c r="L2649" s="2" t="s">
        <v>64</v>
      </c>
      <c r="M2649" s="2" t="s">
        <v>12</v>
      </c>
      <c r="N2649" s="2" t="s">
        <v>12</v>
      </c>
      <c r="O2649" s="2" t="s">
        <v>12</v>
      </c>
      <c r="P2649" s="21" t="s">
        <v>12</v>
      </c>
      <c r="Q2649" s="3" t="s">
        <v>12</v>
      </c>
      <c r="R2649" s="3" t="s">
        <v>12</v>
      </c>
    </row>
    <row r="2650" spans="1:18" x14ac:dyDescent="0.25">
      <c r="A2650" s="30">
        <v>46097</v>
      </c>
      <c r="B2650" s="28">
        <v>465</v>
      </c>
      <c r="C2650" s="28"/>
      <c r="D2650" s="2" t="s">
        <v>41</v>
      </c>
      <c r="E2650" s="7" t="s">
        <v>2880</v>
      </c>
      <c r="F2650" s="7" t="s">
        <v>3002</v>
      </c>
      <c r="G2650" s="2" t="s">
        <v>43</v>
      </c>
      <c r="H2650" s="2" t="s">
        <v>43</v>
      </c>
      <c r="I2650" s="5">
        <v>207229.89</v>
      </c>
      <c r="J2650" s="57">
        <v>0.05</v>
      </c>
      <c r="K2650" s="3">
        <v>2425.1999999999998</v>
      </c>
      <c r="L2650" s="2" t="s">
        <v>73</v>
      </c>
      <c r="M2650" s="2" t="s">
        <v>12</v>
      </c>
      <c r="N2650" s="2" t="s">
        <v>12</v>
      </c>
      <c r="O2650" s="2" t="s">
        <v>12</v>
      </c>
      <c r="P2650" s="21" t="s">
        <v>12</v>
      </c>
      <c r="Q2650" s="3" t="s">
        <v>78</v>
      </c>
      <c r="R2650" s="3" t="s">
        <v>80</v>
      </c>
    </row>
    <row r="2651" spans="1:18" x14ac:dyDescent="0.25">
      <c r="A2651" s="30">
        <v>46097</v>
      </c>
      <c r="B2651" s="28">
        <v>466</v>
      </c>
      <c r="C2651" s="28"/>
      <c r="D2651" s="2" t="s">
        <v>1885</v>
      </c>
      <c r="E2651" s="7" t="s">
        <v>12</v>
      </c>
      <c r="F2651" s="7" t="s">
        <v>2683</v>
      </c>
      <c r="G2651" s="2" t="s">
        <v>13</v>
      </c>
      <c r="H2651" s="2" t="s">
        <v>35</v>
      </c>
      <c r="I2651" s="5">
        <v>3450</v>
      </c>
      <c r="J2651" s="57">
        <v>7.0000000000000007E-2</v>
      </c>
      <c r="K2651" s="3">
        <v>24</v>
      </c>
      <c r="L2651" s="2" t="s">
        <v>73</v>
      </c>
      <c r="M2651" s="2" t="s">
        <v>12</v>
      </c>
      <c r="N2651" s="2" t="s">
        <v>12</v>
      </c>
      <c r="O2651" s="2" t="s">
        <v>12</v>
      </c>
      <c r="P2651" s="21" t="s">
        <v>12</v>
      </c>
      <c r="Q2651" s="3" t="s">
        <v>12</v>
      </c>
      <c r="R2651" s="3" t="s">
        <v>12</v>
      </c>
    </row>
    <row r="2652" spans="1:18" x14ac:dyDescent="0.25">
      <c r="A2652" s="30">
        <v>46097</v>
      </c>
      <c r="B2652" s="28">
        <v>467</v>
      </c>
      <c r="C2652" s="28"/>
      <c r="D2652" s="2" t="s">
        <v>137</v>
      </c>
      <c r="E2652" s="7" t="s">
        <v>2933</v>
      </c>
      <c r="F2652" s="7" t="s">
        <v>2683</v>
      </c>
      <c r="G2652" s="2" t="s">
        <v>26</v>
      </c>
      <c r="H2652" s="2" t="s">
        <v>98</v>
      </c>
      <c r="I2652" s="5">
        <v>18211.77</v>
      </c>
      <c r="J2652" s="57">
        <v>7.0000000000000007E-2</v>
      </c>
      <c r="K2652" s="3">
        <v>192</v>
      </c>
      <c r="L2652" s="2" t="s">
        <v>226</v>
      </c>
      <c r="M2652" s="2" t="s">
        <v>12</v>
      </c>
      <c r="N2652" s="2" t="s">
        <v>12</v>
      </c>
      <c r="O2652" s="2" t="s">
        <v>12</v>
      </c>
      <c r="P2652" s="21" t="s">
        <v>12</v>
      </c>
      <c r="Q2652" s="3" t="s">
        <v>459</v>
      </c>
      <c r="R2652" s="3" t="s">
        <v>75</v>
      </c>
    </row>
    <row r="2653" spans="1:18" x14ac:dyDescent="0.25">
      <c r="A2653" s="30">
        <v>46097</v>
      </c>
      <c r="B2653" s="28">
        <v>468</v>
      </c>
      <c r="C2653" s="28"/>
      <c r="D2653" s="2" t="s">
        <v>109</v>
      </c>
      <c r="E2653" s="7" t="s">
        <v>2934</v>
      </c>
      <c r="F2653" s="7" t="s">
        <v>3001</v>
      </c>
      <c r="G2653" s="2" t="s">
        <v>111</v>
      </c>
      <c r="H2653" s="2" t="s">
        <v>112</v>
      </c>
      <c r="I2653" s="5">
        <v>693607.18</v>
      </c>
      <c r="J2653" s="57">
        <v>7.0000000000000007E-2</v>
      </c>
      <c r="K2653" s="3">
        <v>7944</v>
      </c>
      <c r="L2653" s="2" t="s">
        <v>73</v>
      </c>
      <c r="M2653" s="2" t="s">
        <v>12</v>
      </c>
      <c r="N2653" s="2" t="s">
        <v>12</v>
      </c>
      <c r="O2653" s="2" t="s">
        <v>12</v>
      </c>
      <c r="P2653" s="21" t="s">
        <v>12</v>
      </c>
      <c r="Q2653" s="3" t="s">
        <v>12</v>
      </c>
      <c r="R2653" s="3" t="s">
        <v>12</v>
      </c>
    </row>
    <row r="2654" spans="1:18" x14ac:dyDescent="0.25">
      <c r="A2654" s="30">
        <v>46097</v>
      </c>
      <c r="B2654" s="28">
        <v>469</v>
      </c>
      <c r="C2654" s="28"/>
      <c r="D2654" s="2" t="s">
        <v>601</v>
      </c>
      <c r="E2654" s="7" t="s">
        <v>12</v>
      </c>
      <c r="F2654" s="7" t="s">
        <v>2683</v>
      </c>
      <c r="G2654" s="2" t="s">
        <v>13</v>
      </c>
      <c r="H2654" s="2" t="s">
        <v>2340</v>
      </c>
      <c r="I2654" s="5">
        <v>70592.72</v>
      </c>
      <c r="J2654" s="57">
        <v>7.0000000000000007E-2</v>
      </c>
      <c r="K2654" s="3">
        <v>720</v>
      </c>
      <c r="L2654" s="2" t="s">
        <v>73</v>
      </c>
      <c r="M2654" s="2" t="s">
        <v>12</v>
      </c>
      <c r="N2654" s="2" t="s">
        <v>12</v>
      </c>
      <c r="O2654" s="2" t="s">
        <v>12</v>
      </c>
      <c r="P2654" s="21" t="s">
        <v>12</v>
      </c>
      <c r="Q2654" s="3" t="s">
        <v>12</v>
      </c>
      <c r="R2654" s="3" t="s">
        <v>12</v>
      </c>
    </row>
    <row r="2655" spans="1:18" x14ac:dyDescent="0.25">
      <c r="A2655" s="30">
        <v>46097</v>
      </c>
      <c r="B2655" s="28">
        <v>470</v>
      </c>
      <c r="C2655" s="28" t="s">
        <v>2161</v>
      </c>
      <c r="D2655" s="2" t="s">
        <v>1615</v>
      </c>
      <c r="E2655" s="7" t="s">
        <v>12</v>
      </c>
      <c r="F2655" s="7" t="s">
        <v>2683</v>
      </c>
      <c r="G2655" s="2" t="s">
        <v>13</v>
      </c>
      <c r="H2655" s="2" t="s">
        <v>467</v>
      </c>
      <c r="I2655" s="5">
        <v>529.94000000000005</v>
      </c>
      <c r="J2655" s="57">
        <v>7.0000000000000007E-2</v>
      </c>
      <c r="K2655" s="3" t="s">
        <v>12</v>
      </c>
      <c r="L2655" s="2" t="s">
        <v>64</v>
      </c>
      <c r="M2655" s="2" t="s">
        <v>12</v>
      </c>
      <c r="N2655" s="2" t="s">
        <v>12</v>
      </c>
      <c r="O2655" s="2" t="s">
        <v>12</v>
      </c>
      <c r="P2655" s="21" t="s">
        <v>12</v>
      </c>
      <c r="Q2655" s="3" t="s">
        <v>12</v>
      </c>
      <c r="R2655" s="3" t="s">
        <v>12</v>
      </c>
    </row>
    <row r="2656" spans="1:18" x14ac:dyDescent="0.25">
      <c r="A2656" s="30">
        <v>46097</v>
      </c>
      <c r="B2656" s="28">
        <v>471</v>
      </c>
      <c r="C2656" s="28"/>
      <c r="D2656" s="2" t="s">
        <v>1446</v>
      </c>
      <c r="E2656" s="7" t="s">
        <v>1789</v>
      </c>
      <c r="F2656" s="7" t="s">
        <v>2694</v>
      </c>
      <c r="G2656" s="2" t="s">
        <v>43</v>
      </c>
      <c r="H2656" s="2" t="s">
        <v>2007</v>
      </c>
      <c r="I2656" s="5">
        <v>17373.759999999998</v>
      </c>
      <c r="J2656" s="57">
        <v>7.0000000000000007E-2</v>
      </c>
      <c r="K2656" s="3">
        <v>144</v>
      </c>
      <c r="L2656" s="2" t="s">
        <v>226</v>
      </c>
      <c r="M2656" s="2" t="s">
        <v>12</v>
      </c>
      <c r="N2656" s="2" t="s">
        <v>12</v>
      </c>
      <c r="O2656" s="2" t="s">
        <v>12</v>
      </c>
      <c r="P2656" s="21" t="s">
        <v>12</v>
      </c>
      <c r="Q2656" s="3" t="s">
        <v>12</v>
      </c>
      <c r="R2656" s="3" t="s">
        <v>12</v>
      </c>
    </row>
    <row r="2657" spans="1:18" x14ac:dyDescent="0.25">
      <c r="A2657" s="30">
        <v>46098</v>
      </c>
      <c r="B2657" s="28">
        <v>472</v>
      </c>
      <c r="C2657" s="28"/>
      <c r="D2657" s="2" t="s">
        <v>637</v>
      </c>
      <c r="E2657" s="7" t="s">
        <v>2935</v>
      </c>
      <c r="F2657" s="7" t="s">
        <v>3002</v>
      </c>
      <c r="G2657" s="2" t="s">
        <v>13</v>
      </c>
      <c r="H2657" s="2" t="s">
        <v>15</v>
      </c>
      <c r="I2657" s="5">
        <v>243072.4</v>
      </c>
      <c r="J2657" s="57">
        <v>7.0000000000000007E-2</v>
      </c>
      <c r="K2657" s="3">
        <v>2544</v>
      </c>
      <c r="L2657" s="2" t="s">
        <v>73</v>
      </c>
      <c r="M2657" s="2" t="s">
        <v>12</v>
      </c>
      <c r="N2657" s="2" t="s">
        <v>12</v>
      </c>
      <c r="O2657" s="2" t="s">
        <v>12</v>
      </c>
      <c r="P2657" s="21"/>
      <c r="Q2657" s="3" t="s">
        <v>1751</v>
      </c>
      <c r="R2657" s="3" t="s">
        <v>80</v>
      </c>
    </row>
    <row r="2658" spans="1:18" x14ac:dyDescent="0.25">
      <c r="A2658" s="30">
        <v>46098</v>
      </c>
      <c r="B2658" s="28">
        <v>473</v>
      </c>
      <c r="C2658" s="28"/>
      <c r="D2658" s="2" t="s">
        <v>2098</v>
      </c>
      <c r="E2658" s="7" t="s">
        <v>12</v>
      </c>
      <c r="F2658" s="7" t="s">
        <v>2683</v>
      </c>
      <c r="G2658" s="2" t="s">
        <v>13</v>
      </c>
      <c r="H2658" s="2" t="s">
        <v>928</v>
      </c>
      <c r="I2658" s="5">
        <v>1049.32</v>
      </c>
      <c r="J2658" s="57">
        <v>7.0000000000000007E-2</v>
      </c>
      <c r="K2658" s="3" t="s">
        <v>12</v>
      </c>
      <c r="L2658" s="2" t="s">
        <v>64</v>
      </c>
      <c r="M2658" s="2" t="s">
        <v>12</v>
      </c>
      <c r="N2658" s="2" t="s">
        <v>12</v>
      </c>
      <c r="O2658" s="2" t="s">
        <v>12</v>
      </c>
      <c r="P2658" s="21" t="s">
        <v>12</v>
      </c>
      <c r="Q2658" s="3" t="s">
        <v>12</v>
      </c>
      <c r="R2658" s="3" t="s">
        <v>12</v>
      </c>
    </row>
    <row r="2659" spans="1:18" x14ac:dyDescent="0.25">
      <c r="A2659" s="30">
        <v>46098</v>
      </c>
      <c r="B2659" s="28">
        <v>474</v>
      </c>
      <c r="C2659" s="28"/>
      <c r="D2659" s="2" t="s">
        <v>87</v>
      </c>
      <c r="E2659" s="7" t="s">
        <v>2935</v>
      </c>
      <c r="F2659" s="7" t="s">
        <v>3002</v>
      </c>
      <c r="G2659" s="2" t="s">
        <v>13</v>
      </c>
      <c r="H2659" s="2" t="s">
        <v>185</v>
      </c>
      <c r="I2659" s="5">
        <v>243072.4</v>
      </c>
      <c r="J2659" s="57">
        <v>7.0000000000000007E-2</v>
      </c>
      <c r="K2659" s="3">
        <v>2544</v>
      </c>
      <c r="L2659" s="2" t="s">
        <v>73</v>
      </c>
      <c r="M2659" s="2" t="s">
        <v>12</v>
      </c>
      <c r="N2659" s="2" t="s">
        <v>12</v>
      </c>
      <c r="O2659" s="2" t="s">
        <v>12</v>
      </c>
      <c r="P2659" s="21" t="s">
        <v>12</v>
      </c>
      <c r="Q2659" s="3" t="s">
        <v>1751</v>
      </c>
      <c r="R2659" s="3" t="s">
        <v>80</v>
      </c>
    </row>
    <row r="2660" spans="1:18" x14ac:dyDescent="0.25">
      <c r="A2660" s="30">
        <v>46098</v>
      </c>
      <c r="B2660" s="28">
        <v>475</v>
      </c>
      <c r="C2660" s="28"/>
      <c r="D2660" s="2" t="s">
        <v>1446</v>
      </c>
      <c r="E2660" s="7" t="s">
        <v>3184</v>
      </c>
      <c r="F2660" s="7" t="s">
        <v>2694</v>
      </c>
      <c r="G2660" s="2" t="s">
        <v>43</v>
      </c>
      <c r="H2660" s="2" t="s">
        <v>2007</v>
      </c>
      <c r="I2660" s="5">
        <v>15609.83</v>
      </c>
      <c r="J2660" s="57">
        <v>7.0000000000000007E-2</v>
      </c>
      <c r="K2660" s="3">
        <v>144</v>
      </c>
      <c r="L2660" s="2" t="s">
        <v>21</v>
      </c>
      <c r="M2660" s="2" t="s">
        <v>12</v>
      </c>
      <c r="N2660" s="2" t="s">
        <v>12</v>
      </c>
      <c r="O2660" s="2" t="s">
        <v>12</v>
      </c>
      <c r="P2660" s="21" t="s">
        <v>12</v>
      </c>
      <c r="Q2660" s="3" t="s">
        <v>12</v>
      </c>
      <c r="R2660" s="3" t="s">
        <v>12</v>
      </c>
    </row>
    <row r="2661" spans="1:18" x14ac:dyDescent="0.25">
      <c r="A2661" s="30">
        <v>46098</v>
      </c>
      <c r="B2661" s="28">
        <v>476</v>
      </c>
      <c r="C2661" s="28"/>
      <c r="D2661" s="2" t="s">
        <v>130</v>
      </c>
      <c r="E2661" s="7" t="s">
        <v>2936</v>
      </c>
      <c r="F2661" s="7" t="s">
        <v>3001</v>
      </c>
      <c r="G2661" s="2" t="s">
        <v>26</v>
      </c>
      <c r="H2661" s="2" t="s">
        <v>369</v>
      </c>
      <c r="I2661" s="5">
        <v>73516.61</v>
      </c>
      <c r="J2661" s="57">
        <v>7.0000000000000007E-2</v>
      </c>
      <c r="K2661" s="3">
        <v>810</v>
      </c>
      <c r="L2661" s="2" t="s">
        <v>73</v>
      </c>
      <c r="M2661" s="2" t="s">
        <v>12</v>
      </c>
      <c r="N2661" s="2" t="s">
        <v>12</v>
      </c>
      <c r="O2661" s="2" t="s">
        <v>12</v>
      </c>
      <c r="P2661" s="21" t="s">
        <v>12</v>
      </c>
      <c r="Q2661" s="3" t="s">
        <v>2954</v>
      </c>
      <c r="R2661" s="3" t="s">
        <v>80</v>
      </c>
    </row>
    <row r="2662" spans="1:18" x14ac:dyDescent="0.25">
      <c r="A2662" s="30">
        <v>46098</v>
      </c>
      <c r="B2662" s="28">
        <v>477</v>
      </c>
      <c r="C2662" s="28"/>
      <c r="D2662" s="2" t="s">
        <v>525</v>
      </c>
      <c r="E2662" s="7" t="s">
        <v>2937</v>
      </c>
      <c r="F2662" s="7" t="s">
        <v>2972</v>
      </c>
      <c r="G2662" s="2" t="s">
        <v>97</v>
      </c>
      <c r="H2662" s="2" t="s">
        <v>40</v>
      </c>
      <c r="I2662" s="5">
        <v>100673.12</v>
      </c>
      <c r="J2662" s="57">
        <v>7.0000000000000007E-2</v>
      </c>
      <c r="K2662" s="3">
        <v>1056</v>
      </c>
      <c r="L2662" s="2" t="s">
        <v>226</v>
      </c>
      <c r="M2662" s="2" t="s">
        <v>12</v>
      </c>
      <c r="N2662" s="2" t="s">
        <v>12</v>
      </c>
      <c r="O2662" s="2" t="s">
        <v>12</v>
      </c>
      <c r="P2662" s="21" t="s">
        <v>12</v>
      </c>
      <c r="Q2662" s="3" t="s">
        <v>2955</v>
      </c>
      <c r="R2662" s="3" t="s">
        <v>80</v>
      </c>
    </row>
    <row r="2663" spans="1:18" x14ac:dyDescent="0.25">
      <c r="A2663" s="30">
        <v>46098</v>
      </c>
      <c r="B2663" s="28">
        <v>478</v>
      </c>
      <c r="C2663" s="28"/>
      <c r="D2663" s="2" t="s">
        <v>640</v>
      </c>
      <c r="E2663" s="7" t="s">
        <v>2938</v>
      </c>
      <c r="F2663" s="7" t="s">
        <v>2787</v>
      </c>
      <c r="G2663" s="2" t="s">
        <v>26</v>
      </c>
      <c r="H2663" s="2" t="s">
        <v>642</v>
      </c>
      <c r="I2663" s="5">
        <v>23866.06</v>
      </c>
      <c r="J2663" s="57">
        <v>0.06</v>
      </c>
      <c r="K2663" s="3">
        <v>264</v>
      </c>
      <c r="L2663" s="2" t="s">
        <v>64</v>
      </c>
      <c r="M2663" s="2" t="s">
        <v>12</v>
      </c>
      <c r="N2663" s="2" t="s">
        <v>12</v>
      </c>
      <c r="O2663" s="2" t="s">
        <v>12</v>
      </c>
      <c r="P2663" s="21" t="s">
        <v>12</v>
      </c>
      <c r="Q2663" s="3" t="s">
        <v>12</v>
      </c>
      <c r="R2663" s="3" t="s">
        <v>12</v>
      </c>
    </row>
    <row r="2664" spans="1:18" x14ac:dyDescent="0.25">
      <c r="A2664" s="30">
        <v>46098</v>
      </c>
      <c r="B2664" s="28">
        <v>479</v>
      </c>
      <c r="C2664" s="28"/>
      <c r="D2664" s="2" t="s">
        <v>601</v>
      </c>
      <c r="E2664" s="7" t="s">
        <v>2939</v>
      </c>
      <c r="F2664" s="7" t="s">
        <v>2683</v>
      </c>
      <c r="G2664" s="2" t="s">
        <v>13</v>
      </c>
      <c r="H2664" s="2" t="s">
        <v>182</v>
      </c>
      <c r="I2664" s="5">
        <v>74991.360000000001</v>
      </c>
      <c r="J2664" s="57">
        <v>7.0000000000000007E-2</v>
      </c>
      <c r="K2664" s="3">
        <v>720</v>
      </c>
      <c r="L2664" s="2" t="s">
        <v>73</v>
      </c>
      <c r="M2664" s="2" t="s">
        <v>12</v>
      </c>
      <c r="N2664" s="2" t="s">
        <v>12</v>
      </c>
      <c r="O2664" s="2" t="s">
        <v>12</v>
      </c>
      <c r="P2664" s="21" t="s">
        <v>12</v>
      </c>
      <c r="Q2664" s="3" t="s">
        <v>12</v>
      </c>
      <c r="R2664" s="3" t="s">
        <v>12</v>
      </c>
    </row>
    <row r="2665" spans="1:18" x14ac:dyDescent="0.25">
      <c r="A2665" s="30">
        <v>46098</v>
      </c>
      <c r="B2665" s="28">
        <v>480</v>
      </c>
      <c r="C2665" s="28"/>
      <c r="D2665" s="2" t="s">
        <v>601</v>
      </c>
      <c r="E2665" s="7" t="s">
        <v>2940</v>
      </c>
      <c r="F2665" s="7" t="s">
        <v>2683</v>
      </c>
      <c r="G2665" s="2" t="s">
        <v>13</v>
      </c>
      <c r="H2665" s="2" t="s">
        <v>182</v>
      </c>
      <c r="I2665" s="5">
        <v>42043.88</v>
      </c>
      <c r="J2665" s="57">
        <v>7.0000000000000007E-2</v>
      </c>
      <c r="K2665" s="3">
        <v>408</v>
      </c>
      <c r="L2665" s="2" t="s">
        <v>73</v>
      </c>
      <c r="M2665" s="2" t="s">
        <v>12</v>
      </c>
      <c r="N2665" s="2" t="s">
        <v>12</v>
      </c>
      <c r="O2665" s="2" t="s">
        <v>12</v>
      </c>
      <c r="P2665" s="21" t="s">
        <v>12</v>
      </c>
      <c r="Q2665" s="3" t="s">
        <v>12</v>
      </c>
      <c r="R2665" s="3" t="s">
        <v>12</v>
      </c>
    </row>
    <row r="2666" spans="1:18" x14ac:dyDescent="0.25">
      <c r="A2666" s="30">
        <v>46098</v>
      </c>
      <c r="B2666" s="28">
        <v>481</v>
      </c>
      <c r="C2666" s="28"/>
      <c r="D2666" s="2" t="s">
        <v>109</v>
      </c>
      <c r="E2666" s="7" t="s">
        <v>2961</v>
      </c>
      <c r="F2666" s="7" t="s">
        <v>3001</v>
      </c>
      <c r="G2666" s="2" t="s">
        <v>111</v>
      </c>
      <c r="H2666" s="2" t="s">
        <v>950</v>
      </c>
      <c r="I2666" s="5">
        <v>5784.1</v>
      </c>
      <c r="J2666" s="57">
        <v>7.0000000000000007E-2</v>
      </c>
      <c r="K2666" s="3" t="s">
        <v>12</v>
      </c>
      <c r="L2666" s="2" t="s">
        <v>64</v>
      </c>
      <c r="M2666" s="2" t="s">
        <v>12</v>
      </c>
      <c r="N2666" s="2" t="s">
        <v>12</v>
      </c>
      <c r="O2666" s="2" t="s">
        <v>12</v>
      </c>
      <c r="P2666" s="21" t="s">
        <v>12</v>
      </c>
      <c r="Q2666" s="3" t="s">
        <v>12</v>
      </c>
      <c r="R2666" s="3"/>
    </row>
    <row r="2667" spans="1:18" x14ac:dyDescent="0.25">
      <c r="A2667" s="30">
        <v>46099</v>
      </c>
      <c r="B2667" s="28">
        <v>482</v>
      </c>
      <c r="C2667" s="28"/>
      <c r="D2667" s="2" t="s">
        <v>1767</v>
      </c>
      <c r="E2667" s="7" t="s">
        <v>12</v>
      </c>
      <c r="F2667" s="7" t="s">
        <v>2683</v>
      </c>
      <c r="G2667" s="2" t="s">
        <v>97</v>
      </c>
      <c r="H2667" s="2" t="s">
        <v>596</v>
      </c>
      <c r="I2667" s="5">
        <v>9026.68</v>
      </c>
      <c r="J2667" s="57">
        <v>7.0000000000000007E-2</v>
      </c>
      <c r="K2667" s="3">
        <v>72</v>
      </c>
      <c r="L2667" s="2" t="s">
        <v>73</v>
      </c>
      <c r="M2667" s="2" t="s">
        <v>12</v>
      </c>
      <c r="N2667" s="2" t="s">
        <v>12</v>
      </c>
      <c r="O2667" s="2" t="s">
        <v>12</v>
      </c>
      <c r="P2667" s="21" t="s">
        <v>12</v>
      </c>
      <c r="Q2667" s="3" t="s">
        <v>12</v>
      </c>
      <c r="R2667" s="3" t="s">
        <v>12</v>
      </c>
    </row>
    <row r="2668" spans="1:18" x14ac:dyDescent="0.25">
      <c r="A2668" s="30">
        <v>46099</v>
      </c>
      <c r="B2668" s="28">
        <v>483</v>
      </c>
      <c r="C2668" s="28"/>
      <c r="D2668" s="2" t="s">
        <v>109</v>
      </c>
      <c r="E2668" s="7" t="s">
        <v>3124</v>
      </c>
      <c r="F2668" s="7" t="s">
        <v>2683</v>
      </c>
      <c r="G2668" s="2" t="s">
        <v>111</v>
      </c>
      <c r="H2668" s="2" t="s">
        <v>950</v>
      </c>
      <c r="I2668" s="5">
        <v>5784.1</v>
      </c>
      <c r="J2668" s="57">
        <v>7.0000000000000007E-2</v>
      </c>
      <c r="K2668" s="3" t="s">
        <v>12</v>
      </c>
      <c r="L2668" s="2" t="s">
        <v>64</v>
      </c>
      <c r="M2668" s="2" t="s">
        <v>12</v>
      </c>
      <c r="N2668" s="2" t="s">
        <v>12</v>
      </c>
      <c r="O2668" s="2" t="s">
        <v>12</v>
      </c>
      <c r="P2668" s="21" t="s">
        <v>12</v>
      </c>
      <c r="Q2668" s="3" t="s">
        <v>12</v>
      </c>
      <c r="R2668" s="3" t="s">
        <v>12</v>
      </c>
    </row>
    <row r="2669" spans="1:18" x14ac:dyDescent="0.25">
      <c r="A2669" s="30">
        <v>46099</v>
      </c>
      <c r="B2669" s="28">
        <v>484</v>
      </c>
      <c r="C2669" s="28"/>
      <c r="D2669" s="2" t="s">
        <v>1446</v>
      </c>
      <c r="E2669" s="7" t="s">
        <v>2941</v>
      </c>
      <c r="F2669" s="7" t="s">
        <v>2694</v>
      </c>
      <c r="G2669" s="2" t="s">
        <v>43</v>
      </c>
      <c r="H2669" s="2" t="s">
        <v>2007</v>
      </c>
      <c r="I2669" s="5">
        <v>14298</v>
      </c>
      <c r="J2669" s="57">
        <v>7.0000000000000007E-2</v>
      </c>
      <c r="K2669" s="3">
        <v>144</v>
      </c>
      <c r="L2669" s="2" t="s">
        <v>64</v>
      </c>
      <c r="M2669" s="2" t="s">
        <v>12</v>
      </c>
      <c r="N2669" s="2" t="s">
        <v>12</v>
      </c>
      <c r="O2669" s="2" t="s">
        <v>12</v>
      </c>
      <c r="P2669" s="21" t="s">
        <v>12</v>
      </c>
      <c r="Q2669" s="3" t="s">
        <v>12</v>
      </c>
      <c r="R2669" s="3" t="s">
        <v>12</v>
      </c>
    </row>
    <row r="2670" spans="1:18" x14ac:dyDescent="0.25">
      <c r="A2670" s="30">
        <v>46099</v>
      </c>
      <c r="B2670" s="28">
        <v>485</v>
      </c>
      <c r="C2670" s="28"/>
      <c r="D2670" s="2" t="s">
        <v>415</v>
      </c>
      <c r="E2670" s="7" t="s">
        <v>2942</v>
      </c>
      <c r="F2670" s="7" t="s">
        <v>2972</v>
      </c>
      <c r="G2670" s="2" t="s">
        <v>13</v>
      </c>
      <c r="H2670" s="2" t="s">
        <v>390</v>
      </c>
      <c r="I2670" s="5">
        <v>11744.58</v>
      </c>
      <c r="J2670" s="57">
        <v>7.0000000000000007E-2</v>
      </c>
      <c r="K2670" s="3">
        <v>120</v>
      </c>
      <c r="L2670" s="2" t="s">
        <v>73</v>
      </c>
      <c r="M2670" s="2" t="s">
        <v>12</v>
      </c>
      <c r="N2670" s="2" t="s">
        <v>12</v>
      </c>
      <c r="O2670" s="2" t="s">
        <v>12</v>
      </c>
      <c r="P2670" s="21" t="s">
        <v>12</v>
      </c>
      <c r="Q2670" s="3" t="s">
        <v>1839</v>
      </c>
      <c r="R2670" s="3" t="s">
        <v>80</v>
      </c>
    </row>
    <row r="2671" spans="1:18" x14ac:dyDescent="0.25">
      <c r="A2671" s="30">
        <v>46099</v>
      </c>
      <c r="B2671" s="28">
        <v>486</v>
      </c>
      <c r="C2671" s="28"/>
      <c r="D2671" s="2" t="s">
        <v>415</v>
      </c>
      <c r="E2671" s="7" t="s">
        <v>2943</v>
      </c>
      <c r="F2671" s="7" t="s">
        <v>2972</v>
      </c>
      <c r="G2671" s="2" t="s">
        <v>13</v>
      </c>
      <c r="H2671" s="2" t="s">
        <v>390</v>
      </c>
      <c r="I2671" s="5">
        <v>7683.29</v>
      </c>
      <c r="J2671" s="57">
        <v>7.0000000000000007E-2</v>
      </c>
      <c r="K2671" s="3">
        <v>72</v>
      </c>
      <c r="L2671" s="2" t="s">
        <v>73</v>
      </c>
      <c r="M2671" s="2" t="s">
        <v>12</v>
      </c>
      <c r="N2671" s="2" t="s">
        <v>12</v>
      </c>
      <c r="O2671" s="2" t="s">
        <v>12</v>
      </c>
      <c r="P2671" s="21" t="s">
        <v>12</v>
      </c>
      <c r="Q2671" s="3" t="s">
        <v>1839</v>
      </c>
      <c r="R2671" s="3" t="s">
        <v>80</v>
      </c>
    </row>
    <row r="2672" spans="1:18" x14ac:dyDescent="0.25">
      <c r="A2672" s="30">
        <v>46099</v>
      </c>
      <c r="B2672" s="28">
        <v>487</v>
      </c>
      <c r="C2672" s="28"/>
      <c r="D2672" s="2" t="s">
        <v>743</v>
      </c>
      <c r="E2672" s="7" t="s">
        <v>2944</v>
      </c>
      <c r="F2672" s="7" t="s">
        <v>2241</v>
      </c>
      <c r="G2672" s="2" t="s">
        <v>13</v>
      </c>
      <c r="H2672" s="2" t="s">
        <v>24</v>
      </c>
      <c r="I2672" s="5">
        <v>138164.35</v>
      </c>
      <c r="J2672" s="57">
        <v>7.0000000000000007E-2</v>
      </c>
      <c r="K2672" s="3">
        <v>1248</v>
      </c>
      <c r="L2672" s="2" t="s">
        <v>73</v>
      </c>
      <c r="M2672" s="2" t="s">
        <v>12</v>
      </c>
      <c r="N2672" s="2" t="s">
        <v>12</v>
      </c>
      <c r="O2672" s="2" t="s">
        <v>12</v>
      </c>
      <c r="P2672" s="21" t="s">
        <v>12</v>
      </c>
      <c r="Q2672" s="3" t="s">
        <v>12</v>
      </c>
      <c r="R2672" s="3" t="s">
        <v>12</v>
      </c>
    </row>
    <row r="2673" spans="1:18" x14ac:dyDescent="0.25">
      <c r="A2673" s="30">
        <v>46099</v>
      </c>
      <c r="B2673" s="28">
        <v>488</v>
      </c>
      <c r="C2673" s="28"/>
      <c r="D2673" s="2" t="s">
        <v>601</v>
      </c>
      <c r="E2673" s="7" t="s">
        <v>2945</v>
      </c>
      <c r="F2673" s="7" t="s">
        <v>2683</v>
      </c>
      <c r="G2673" s="2" t="s">
        <v>13</v>
      </c>
      <c r="H2673" s="2" t="s">
        <v>225</v>
      </c>
      <c r="I2673" s="5">
        <v>73674.41</v>
      </c>
      <c r="J2673" s="57">
        <v>7.0000000000000007E-2</v>
      </c>
      <c r="K2673" s="3">
        <v>720</v>
      </c>
      <c r="L2673" s="2" t="s">
        <v>73</v>
      </c>
      <c r="M2673" s="2" t="s">
        <v>12</v>
      </c>
      <c r="N2673" s="2" t="s">
        <v>12</v>
      </c>
      <c r="O2673" s="2" t="s">
        <v>12</v>
      </c>
      <c r="P2673" s="21" t="s">
        <v>12</v>
      </c>
      <c r="Q2673" s="3" t="s">
        <v>12</v>
      </c>
      <c r="R2673" s="3" t="s">
        <v>12</v>
      </c>
    </row>
    <row r="2674" spans="1:18" x14ac:dyDescent="0.25">
      <c r="A2674" s="30">
        <v>46099</v>
      </c>
      <c r="B2674" s="28">
        <v>489</v>
      </c>
      <c r="C2674" s="28" t="s">
        <v>2161</v>
      </c>
      <c r="D2674" s="2" t="s">
        <v>1328</v>
      </c>
      <c r="E2674" s="7" t="s">
        <v>12</v>
      </c>
      <c r="F2674" s="7" t="s">
        <v>2683</v>
      </c>
      <c r="G2674" s="2" t="s">
        <v>13</v>
      </c>
      <c r="H2674" s="2" t="s">
        <v>43</v>
      </c>
      <c r="I2674" s="5">
        <v>4591.58</v>
      </c>
      <c r="J2674" s="57">
        <v>7.0000000000000007E-2</v>
      </c>
      <c r="K2674" s="3">
        <v>48</v>
      </c>
      <c r="L2674" s="2" t="s">
        <v>73</v>
      </c>
      <c r="M2674" s="2" t="s">
        <v>12</v>
      </c>
      <c r="N2674" s="2" t="s">
        <v>12</v>
      </c>
      <c r="O2674" s="2" t="s">
        <v>12</v>
      </c>
      <c r="P2674" s="21" t="s">
        <v>12</v>
      </c>
      <c r="Q2674" s="3" t="s">
        <v>12</v>
      </c>
      <c r="R2674" s="3" t="s">
        <v>12</v>
      </c>
    </row>
    <row r="2675" spans="1:18" x14ac:dyDescent="0.25">
      <c r="A2675" s="30">
        <v>46099</v>
      </c>
      <c r="B2675" s="28">
        <v>490</v>
      </c>
      <c r="C2675" s="28"/>
      <c r="D2675" s="2" t="s">
        <v>163</v>
      </c>
      <c r="E2675" s="7" t="s">
        <v>2946</v>
      </c>
      <c r="F2675" s="7" t="s">
        <v>3001</v>
      </c>
      <c r="G2675" s="2" t="s">
        <v>97</v>
      </c>
      <c r="H2675" s="2" t="s">
        <v>189</v>
      </c>
      <c r="I2675" s="5">
        <v>118676.18</v>
      </c>
      <c r="J2675" s="57">
        <v>7.0000000000000007E-2</v>
      </c>
      <c r="K2675" s="3">
        <v>1392</v>
      </c>
      <c r="L2675" s="2" t="s">
        <v>226</v>
      </c>
      <c r="M2675" s="2" t="s">
        <v>12</v>
      </c>
      <c r="N2675" s="2" t="s">
        <v>12</v>
      </c>
      <c r="O2675" s="2" t="s">
        <v>12</v>
      </c>
      <c r="P2675" s="21" t="s">
        <v>12</v>
      </c>
      <c r="Q2675" s="3" t="s">
        <v>12</v>
      </c>
      <c r="R2675" s="3"/>
    </row>
    <row r="2676" spans="1:18" x14ac:dyDescent="0.25">
      <c r="A2676" s="30">
        <v>46099</v>
      </c>
      <c r="B2676" s="28">
        <v>491</v>
      </c>
      <c r="C2676" s="28" t="s">
        <v>2161</v>
      </c>
      <c r="D2676" s="2" t="s">
        <v>165</v>
      </c>
      <c r="E2676" s="7" t="s">
        <v>3007</v>
      </c>
      <c r="F2676" s="7" t="s">
        <v>3001</v>
      </c>
      <c r="G2676" s="2" t="s">
        <v>97</v>
      </c>
      <c r="H2676" s="2" t="s">
        <v>167</v>
      </c>
      <c r="I2676" s="5">
        <v>16515.599999999999</v>
      </c>
      <c r="J2676" s="57">
        <v>0.03</v>
      </c>
      <c r="K2676" s="3">
        <v>1680</v>
      </c>
      <c r="L2676" s="2" t="s">
        <v>64</v>
      </c>
      <c r="M2676" s="2" t="s">
        <v>12</v>
      </c>
      <c r="N2676" s="2" t="s">
        <v>12</v>
      </c>
      <c r="O2676" s="2" t="s">
        <v>12</v>
      </c>
      <c r="P2676" s="21" t="s">
        <v>12</v>
      </c>
      <c r="Q2676" s="3" t="s">
        <v>12</v>
      </c>
      <c r="R2676" s="3" t="s">
        <v>12</v>
      </c>
    </row>
    <row r="2677" spans="1:18" x14ac:dyDescent="0.25">
      <c r="A2677" s="30">
        <v>46099</v>
      </c>
      <c r="B2677" s="28">
        <v>492</v>
      </c>
      <c r="C2677" s="28"/>
      <c r="D2677" s="2" t="s">
        <v>2717</v>
      </c>
      <c r="E2677" s="7" t="s">
        <v>2947</v>
      </c>
      <c r="F2677" s="7" t="s">
        <v>2683</v>
      </c>
      <c r="G2677" s="2" t="s">
        <v>26</v>
      </c>
      <c r="H2677" s="2" t="s">
        <v>127</v>
      </c>
      <c r="I2677" s="5">
        <v>1895.67</v>
      </c>
      <c r="J2677" s="57">
        <v>7.0000000000000007E-2</v>
      </c>
      <c r="K2677" s="3" t="s">
        <v>12</v>
      </c>
      <c r="L2677" s="2" t="s">
        <v>134</v>
      </c>
      <c r="M2677" s="2" t="s">
        <v>528</v>
      </c>
      <c r="N2677" s="2" t="s">
        <v>12</v>
      </c>
      <c r="O2677" s="2" t="s">
        <v>12</v>
      </c>
      <c r="P2677" s="21" t="s">
        <v>12</v>
      </c>
      <c r="Q2677" s="3" t="s">
        <v>12</v>
      </c>
      <c r="R2677" s="3" t="s">
        <v>12</v>
      </c>
    </row>
    <row r="2678" spans="1:18" x14ac:dyDescent="0.25">
      <c r="A2678" s="30">
        <v>46099</v>
      </c>
      <c r="B2678" s="28">
        <v>493</v>
      </c>
      <c r="C2678" s="28"/>
      <c r="D2678" s="2" t="s">
        <v>2948</v>
      </c>
      <c r="E2678" s="7" t="s">
        <v>3027</v>
      </c>
      <c r="F2678" s="7" t="s">
        <v>2694</v>
      </c>
      <c r="G2678" s="2" t="s">
        <v>43</v>
      </c>
      <c r="H2678" s="2" t="s">
        <v>2949</v>
      </c>
      <c r="I2678" s="5">
        <v>12749.4</v>
      </c>
      <c r="J2678" s="57">
        <v>7.0000000000000007E-2</v>
      </c>
      <c r="K2678" s="3">
        <v>120</v>
      </c>
      <c r="L2678" s="2" t="s">
        <v>226</v>
      </c>
      <c r="M2678" s="2" t="s">
        <v>12</v>
      </c>
      <c r="N2678" s="2" t="s">
        <v>12</v>
      </c>
      <c r="O2678" s="2" t="s">
        <v>12</v>
      </c>
      <c r="P2678" s="21" t="s">
        <v>12</v>
      </c>
      <c r="Q2678" s="3" t="s">
        <v>12</v>
      </c>
      <c r="R2678" s="3" t="s">
        <v>12</v>
      </c>
    </row>
    <row r="2679" spans="1:18" x14ac:dyDescent="0.25">
      <c r="A2679" s="30">
        <v>46099</v>
      </c>
      <c r="B2679" s="28">
        <v>494</v>
      </c>
      <c r="C2679" s="28"/>
      <c r="D2679" s="2" t="s">
        <v>601</v>
      </c>
      <c r="E2679" s="7" t="s">
        <v>2950</v>
      </c>
      <c r="F2679" s="7" t="s">
        <v>2683</v>
      </c>
      <c r="G2679" s="2" t="s">
        <v>13</v>
      </c>
      <c r="H2679" s="2" t="s">
        <v>1341</v>
      </c>
      <c r="I2679" s="5">
        <v>674647.26</v>
      </c>
      <c r="J2679" s="57">
        <v>0.05</v>
      </c>
      <c r="K2679" s="3">
        <v>7152</v>
      </c>
      <c r="L2679" s="2" t="s">
        <v>73</v>
      </c>
      <c r="M2679" s="2" t="s">
        <v>12</v>
      </c>
      <c r="N2679" s="2" t="s">
        <v>12</v>
      </c>
      <c r="O2679" s="2" t="s">
        <v>12</v>
      </c>
      <c r="P2679" s="21" t="s">
        <v>12</v>
      </c>
      <c r="Q2679" s="3" t="s">
        <v>12</v>
      </c>
      <c r="R2679" s="3" t="s">
        <v>12</v>
      </c>
    </row>
    <row r="2680" spans="1:18" x14ac:dyDescent="0.25">
      <c r="A2680" s="30">
        <v>46100</v>
      </c>
      <c r="B2680" s="28">
        <v>495</v>
      </c>
      <c r="C2680" s="28"/>
      <c r="D2680" s="2" t="s">
        <v>516</v>
      </c>
      <c r="E2680" s="7" t="s">
        <v>2970</v>
      </c>
      <c r="F2680" s="7" t="s">
        <v>2683</v>
      </c>
      <c r="G2680" s="2" t="s">
        <v>111</v>
      </c>
      <c r="H2680" s="2" t="s">
        <v>368</v>
      </c>
      <c r="I2680" s="5">
        <v>153964.88</v>
      </c>
      <c r="J2680" s="57">
        <v>7.0000000000000007E-2</v>
      </c>
      <c r="K2680" s="3">
        <v>1411.2</v>
      </c>
      <c r="L2680" s="2" t="s">
        <v>226</v>
      </c>
      <c r="M2680" s="2" t="s">
        <v>12</v>
      </c>
      <c r="N2680" s="2" t="s">
        <v>12</v>
      </c>
      <c r="O2680" s="2" t="s">
        <v>12</v>
      </c>
      <c r="P2680" s="21" t="s">
        <v>12</v>
      </c>
      <c r="Q2680" s="3" t="s">
        <v>12</v>
      </c>
      <c r="R2680" s="3" t="s">
        <v>12</v>
      </c>
    </row>
    <row r="2681" spans="1:18" x14ac:dyDescent="0.25">
      <c r="A2681" s="30">
        <v>46100</v>
      </c>
      <c r="B2681" s="28">
        <v>496</v>
      </c>
      <c r="C2681" s="28"/>
      <c r="D2681" s="2" t="s">
        <v>1767</v>
      </c>
      <c r="E2681" s="7" t="s">
        <v>12</v>
      </c>
      <c r="F2681" s="7" t="s">
        <v>2683</v>
      </c>
      <c r="G2681" s="2" t="s">
        <v>13</v>
      </c>
      <c r="H2681" s="2" t="s">
        <v>596</v>
      </c>
      <c r="I2681" s="5">
        <v>70024.25</v>
      </c>
      <c r="J2681" s="57">
        <v>7.0000000000000007E-2</v>
      </c>
      <c r="K2681" s="3">
        <v>600</v>
      </c>
      <c r="L2681" s="2" t="s">
        <v>73</v>
      </c>
      <c r="M2681" s="2" t="s">
        <v>12</v>
      </c>
      <c r="N2681" s="2" t="s">
        <v>12</v>
      </c>
      <c r="O2681" s="2" t="s">
        <v>12</v>
      </c>
      <c r="P2681" s="21" t="s">
        <v>12</v>
      </c>
      <c r="Q2681" s="3" t="s">
        <v>12</v>
      </c>
      <c r="R2681" s="3" t="s">
        <v>12</v>
      </c>
    </row>
    <row r="2682" spans="1:18" x14ac:dyDescent="0.25">
      <c r="A2682" s="30">
        <v>46100</v>
      </c>
      <c r="B2682" s="28">
        <v>497</v>
      </c>
      <c r="C2682" s="28"/>
      <c r="D2682" s="2" t="s">
        <v>308</v>
      </c>
      <c r="E2682" s="7" t="s">
        <v>2835</v>
      </c>
      <c r="F2682" s="7" t="s">
        <v>3001</v>
      </c>
      <c r="G2682" s="2" t="s">
        <v>20</v>
      </c>
      <c r="H2682" s="2" t="s">
        <v>129</v>
      </c>
      <c r="I2682" s="5">
        <v>95728.63</v>
      </c>
      <c r="J2682" s="57">
        <v>0.04</v>
      </c>
      <c r="K2682" s="3">
        <v>1272</v>
      </c>
      <c r="L2682" s="2" t="s">
        <v>73</v>
      </c>
      <c r="M2682" s="2" t="s">
        <v>3123</v>
      </c>
      <c r="N2682" s="2" t="s">
        <v>12</v>
      </c>
      <c r="O2682" s="2" t="s">
        <v>12</v>
      </c>
      <c r="P2682" s="21" t="s">
        <v>12</v>
      </c>
      <c r="Q2682" s="3" t="s">
        <v>12</v>
      </c>
      <c r="R2682" s="3" t="s">
        <v>12</v>
      </c>
    </row>
    <row r="2683" spans="1:18" x14ac:dyDescent="0.25">
      <c r="A2683" s="30">
        <v>46100</v>
      </c>
      <c r="B2683" s="28">
        <v>498</v>
      </c>
      <c r="C2683" s="28"/>
      <c r="D2683" s="2" t="s">
        <v>109</v>
      </c>
      <c r="E2683" s="7" t="s">
        <v>2971</v>
      </c>
      <c r="F2683" s="7" t="s">
        <v>2972</v>
      </c>
      <c r="G2683" s="2" t="s">
        <v>111</v>
      </c>
      <c r="H2683" s="2" t="s">
        <v>395</v>
      </c>
      <c r="I2683" s="5">
        <v>7126.85</v>
      </c>
      <c r="J2683" s="57">
        <v>7.0000000000000007E-2</v>
      </c>
      <c r="K2683" s="3">
        <v>96</v>
      </c>
      <c r="L2683" s="2" t="s">
        <v>73</v>
      </c>
      <c r="M2683" s="2" t="s">
        <v>12</v>
      </c>
      <c r="N2683" s="2" t="s">
        <v>12</v>
      </c>
      <c r="O2683" s="2" t="s">
        <v>12</v>
      </c>
      <c r="P2683" s="21" t="s">
        <v>12</v>
      </c>
      <c r="Q2683" s="3" t="s">
        <v>12</v>
      </c>
      <c r="R2683" s="3"/>
    </row>
    <row r="2684" spans="1:18" x14ac:dyDescent="0.25">
      <c r="A2684" s="30">
        <v>46100</v>
      </c>
      <c r="B2684" s="28">
        <v>499</v>
      </c>
      <c r="C2684" s="28"/>
      <c r="D2684" s="2" t="s">
        <v>403</v>
      </c>
      <c r="E2684" s="7" t="s">
        <v>2973</v>
      </c>
      <c r="F2684" s="7" t="s">
        <v>2733</v>
      </c>
      <c r="G2684" s="2" t="s">
        <v>43</v>
      </c>
      <c r="H2684" s="2" t="s">
        <v>405</v>
      </c>
      <c r="I2684" s="5">
        <v>559308.92000000004</v>
      </c>
      <c r="J2684" s="57">
        <v>7.0000000000000007E-2</v>
      </c>
      <c r="K2684" s="3">
        <v>5400</v>
      </c>
      <c r="L2684" s="2" t="s">
        <v>73</v>
      </c>
      <c r="M2684" s="2" t="s">
        <v>12</v>
      </c>
      <c r="N2684" s="2" t="s">
        <v>12</v>
      </c>
      <c r="O2684" s="2" t="s">
        <v>12</v>
      </c>
      <c r="P2684" s="21" t="s">
        <v>12</v>
      </c>
      <c r="Q2684" s="3" t="s">
        <v>1356</v>
      </c>
      <c r="R2684" s="3" t="s">
        <v>2994</v>
      </c>
    </row>
    <row r="2685" spans="1:18" x14ac:dyDescent="0.25">
      <c r="A2685" s="30">
        <v>46101</v>
      </c>
      <c r="B2685" s="28">
        <v>500</v>
      </c>
      <c r="C2685" s="28" t="s">
        <v>2161</v>
      </c>
      <c r="D2685" s="2" t="s">
        <v>124</v>
      </c>
      <c r="E2685" s="7" t="s">
        <v>2974</v>
      </c>
      <c r="F2685" s="7" t="s">
        <v>1844</v>
      </c>
      <c r="G2685" s="2" t="s">
        <v>20</v>
      </c>
      <c r="H2685" s="2" t="s">
        <v>119</v>
      </c>
      <c r="I2685" s="5">
        <v>43172.67</v>
      </c>
      <c r="J2685" s="57">
        <v>0.03</v>
      </c>
      <c r="K2685" s="3">
        <v>672</v>
      </c>
      <c r="L2685" s="2" t="s">
        <v>226</v>
      </c>
      <c r="M2685" s="2" t="s">
        <v>530</v>
      </c>
      <c r="N2685" s="2" t="s">
        <v>12</v>
      </c>
      <c r="O2685" s="2" t="s">
        <v>12</v>
      </c>
      <c r="P2685" s="21" t="s">
        <v>12</v>
      </c>
      <c r="Q2685" s="3" t="s">
        <v>12</v>
      </c>
      <c r="R2685" s="3" t="s">
        <v>12</v>
      </c>
    </row>
    <row r="2686" spans="1:18" x14ac:dyDescent="0.25">
      <c r="A2686" s="30">
        <v>46100</v>
      </c>
      <c r="B2686" s="28">
        <v>501</v>
      </c>
      <c r="C2686" s="28" t="s">
        <v>2229</v>
      </c>
      <c r="D2686" s="2" t="s">
        <v>168</v>
      </c>
      <c r="E2686" s="7" t="s">
        <v>2975</v>
      </c>
      <c r="F2686" s="7" t="s">
        <v>3003</v>
      </c>
      <c r="G2686" s="2" t="s">
        <v>43</v>
      </c>
      <c r="H2686" s="2" t="s">
        <v>381</v>
      </c>
      <c r="I2686" s="5">
        <f>430000-177137.14</f>
        <v>252862.86</v>
      </c>
      <c r="J2686" s="57">
        <v>0.05</v>
      </c>
      <c r="K2686" s="3">
        <v>5509.2</v>
      </c>
      <c r="L2686" s="2" t="s">
        <v>21</v>
      </c>
      <c r="M2686" s="2" t="s">
        <v>530</v>
      </c>
      <c r="N2686" s="2" t="s">
        <v>12</v>
      </c>
      <c r="O2686" s="2" t="s">
        <v>12</v>
      </c>
      <c r="P2686" s="21" t="s">
        <v>12</v>
      </c>
      <c r="Q2686" s="3" t="s">
        <v>957</v>
      </c>
      <c r="R2686" s="3" t="s">
        <v>80</v>
      </c>
    </row>
    <row r="2687" spans="1:18" x14ac:dyDescent="0.25">
      <c r="A2687" s="30">
        <v>46135</v>
      </c>
      <c r="B2687" s="28">
        <v>502</v>
      </c>
      <c r="C2687" s="28" t="s">
        <v>2162</v>
      </c>
      <c r="D2687" s="2" t="s">
        <v>2592</v>
      </c>
      <c r="E2687" s="7" t="s">
        <v>12</v>
      </c>
      <c r="F2687" s="7" t="s">
        <v>2683</v>
      </c>
      <c r="G2687" s="2" t="s">
        <v>97</v>
      </c>
      <c r="H2687" s="2" t="s">
        <v>1742</v>
      </c>
      <c r="I2687" s="5">
        <v>6764.52</v>
      </c>
      <c r="J2687" s="57">
        <v>0.03</v>
      </c>
      <c r="K2687" s="3">
        <v>96</v>
      </c>
      <c r="L2687" s="2" t="s">
        <v>134</v>
      </c>
      <c r="M2687" s="2" t="s">
        <v>2029</v>
      </c>
      <c r="N2687" s="2" t="s">
        <v>135</v>
      </c>
      <c r="O2687" s="2" t="s">
        <v>528</v>
      </c>
      <c r="P2687" s="21" t="s">
        <v>12</v>
      </c>
      <c r="Q2687" s="3" t="s">
        <v>12</v>
      </c>
      <c r="R2687" s="3" t="s">
        <v>12</v>
      </c>
    </row>
    <row r="2688" spans="1:18" x14ac:dyDescent="0.25">
      <c r="A2688" s="30">
        <v>46101</v>
      </c>
      <c r="B2688" s="28">
        <v>503</v>
      </c>
      <c r="C2688" s="28"/>
      <c r="D2688" s="2" t="s">
        <v>56</v>
      </c>
      <c r="E2688" s="7" t="s">
        <v>2976</v>
      </c>
      <c r="F2688" s="7" t="s">
        <v>3002</v>
      </c>
      <c r="G2688" s="2" t="s">
        <v>43</v>
      </c>
      <c r="H2688" s="2" t="s">
        <v>58</v>
      </c>
      <c r="I2688" s="5">
        <v>98949.06</v>
      </c>
      <c r="J2688" s="57">
        <v>7.0000000000000007E-2</v>
      </c>
      <c r="K2688" s="3">
        <v>1032</v>
      </c>
      <c r="L2688" s="2" t="s">
        <v>226</v>
      </c>
      <c r="M2688" s="2" t="s">
        <v>12</v>
      </c>
      <c r="N2688" s="2" t="s">
        <v>12</v>
      </c>
      <c r="O2688" s="2" t="s">
        <v>12</v>
      </c>
      <c r="P2688" s="21" t="s">
        <v>12</v>
      </c>
      <c r="Q2688" s="3" t="s">
        <v>2995</v>
      </c>
      <c r="R2688" s="3" t="s">
        <v>1065</v>
      </c>
    </row>
    <row r="2689" spans="1:18" x14ac:dyDescent="0.25">
      <c r="A2689" s="30">
        <v>46101</v>
      </c>
      <c r="B2689" s="28">
        <v>504</v>
      </c>
      <c r="C2689" s="28"/>
      <c r="D2689" s="2" t="s">
        <v>558</v>
      </c>
      <c r="E2689" s="7" t="s">
        <v>2977</v>
      </c>
      <c r="F2689" s="7" t="s">
        <v>2972</v>
      </c>
      <c r="G2689" s="2" t="s">
        <v>20</v>
      </c>
      <c r="H2689" s="2" t="s">
        <v>532</v>
      </c>
      <c r="I2689" s="5">
        <v>15530.32</v>
      </c>
      <c r="J2689" s="57">
        <v>7.0000000000000007E-2</v>
      </c>
      <c r="K2689" s="3">
        <v>168</v>
      </c>
      <c r="L2689" s="2" t="s">
        <v>73</v>
      </c>
      <c r="M2689" s="2" t="s">
        <v>12</v>
      </c>
      <c r="N2689" s="2" t="s">
        <v>12</v>
      </c>
      <c r="O2689" s="2" t="s">
        <v>12</v>
      </c>
      <c r="P2689" s="21" t="s">
        <v>12</v>
      </c>
      <c r="Q2689" s="3" t="s">
        <v>2996</v>
      </c>
      <c r="R2689" s="3" t="s">
        <v>75</v>
      </c>
    </row>
    <row r="2690" spans="1:18" x14ac:dyDescent="0.25">
      <c r="A2690" s="30">
        <v>46101</v>
      </c>
      <c r="B2690" s="28">
        <v>505</v>
      </c>
      <c r="C2690" s="28"/>
      <c r="D2690" s="2" t="s">
        <v>212</v>
      </c>
      <c r="E2690" s="7" t="s">
        <v>2978</v>
      </c>
      <c r="F2690" s="7" t="s">
        <v>3001</v>
      </c>
      <c r="G2690" s="2" t="s">
        <v>20</v>
      </c>
      <c r="H2690" s="2" t="s">
        <v>350</v>
      </c>
      <c r="I2690" s="5">
        <v>7458.57</v>
      </c>
      <c r="J2690" s="57">
        <v>0.04</v>
      </c>
      <c r="K2690" s="3">
        <v>75.599999999999994</v>
      </c>
      <c r="L2690" s="2" t="s">
        <v>64</v>
      </c>
      <c r="M2690" s="2" t="s">
        <v>12</v>
      </c>
      <c r="N2690" s="2" t="s">
        <v>12</v>
      </c>
      <c r="O2690" s="2" t="s">
        <v>12</v>
      </c>
      <c r="P2690" s="21" t="s">
        <v>12</v>
      </c>
      <c r="Q2690" s="3" t="s">
        <v>12</v>
      </c>
      <c r="R2690" s="3" t="s">
        <v>12</v>
      </c>
    </row>
    <row r="2691" spans="1:18" x14ac:dyDescent="0.25">
      <c r="A2691" s="30">
        <v>46101</v>
      </c>
      <c r="B2691" s="28">
        <v>506</v>
      </c>
      <c r="C2691" s="28"/>
      <c r="D2691" s="2" t="s">
        <v>2979</v>
      </c>
      <c r="E2691" s="7" t="s">
        <v>2980</v>
      </c>
      <c r="F2691" s="7" t="s">
        <v>3004</v>
      </c>
      <c r="G2691" s="2" t="s">
        <v>20</v>
      </c>
      <c r="H2691" s="2" t="s">
        <v>2981</v>
      </c>
      <c r="I2691" s="5">
        <v>48646.080000000002</v>
      </c>
      <c r="J2691" s="57">
        <v>0.04</v>
      </c>
      <c r="K2691" s="3">
        <v>480</v>
      </c>
      <c r="L2691" s="2" t="s">
        <v>64</v>
      </c>
      <c r="M2691" s="2" t="s">
        <v>12</v>
      </c>
      <c r="N2691" s="2" t="s">
        <v>12</v>
      </c>
      <c r="O2691" s="2" t="s">
        <v>12</v>
      </c>
      <c r="P2691" s="21" t="s">
        <v>12</v>
      </c>
      <c r="Q2691" s="3" t="s">
        <v>12</v>
      </c>
      <c r="R2691" s="3" t="s">
        <v>12</v>
      </c>
    </row>
    <row r="2692" spans="1:18" x14ac:dyDescent="0.25">
      <c r="A2692" s="30">
        <v>46101</v>
      </c>
      <c r="B2692" s="28">
        <v>507</v>
      </c>
      <c r="C2692" s="28"/>
      <c r="D2692" s="2" t="s">
        <v>276</v>
      </c>
      <c r="E2692" s="7" t="s">
        <v>12</v>
      </c>
      <c r="F2692" s="7" t="s">
        <v>2683</v>
      </c>
      <c r="G2692" s="2" t="s">
        <v>43</v>
      </c>
      <c r="H2692" s="2" t="s">
        <v>108</v>
      </c>
      <c r="I2692" s="5">
        <v>10093.23</v>
      </c>
      <c r="J2692" s="57">
        <v>7.0000000000000007E-2</v>
      </c>
      <c r="K2692" s="3">
        <v>74.400000000000006</v>
      </c>
      <c r="L2692" s="2" t="s">
        <v>226</v>
      </c>
      <c r="M2692" s="2" t="s">
        <v>12</v>
      </c>
      <c r="N2692" s="2" t="s">
        <v>12</v>
      </c>
      <c r="O2692" s="2" t="s">
        <v>12</v>
      </c>
      <c r="P2692" s="21" t="s">
        <v>12</v>
      </c>
      <c r="Q2692" s="3" t="s">
        <v>12</v>
      </c>
      <c r="R2692" s="3" t="s">
        <v>12</v>
      </c>
    </row>
    <row r="2693" spans="1:18" x14ac:dyDescent="0.25">
      <c r="A2693" s="30">
        <v>46101</v>
      </c>
      <c r="B2693" s="28">
        <v>508</v>
      </c>
      <c r="C2693" s="28"/>
      <c r="D2693" s="2" t="s">
        <v>2833</v>
      </c>
      <c r="E2693" s="7" t="s">
        <v>2982</v>
      </c>
      <c r="F2693" s="7" t="s">
        <v>2972</v>
      </c>
      <c r="G2693" s="2" t="s">
        <v>13</v>
      </c>
      <c r="H2693" s="2" t="s">
        <v>1169</v>
      </c>
      <c r="I2693" s="5">
        <v>6558.51</v>
      </c>
      <c r="J2693" s="57">
        <v>0.05</v>
      </c>
      <c r="K2693" s="3">
        <v>72</v>
      </c>
      <c r="L2693" s="2" t="s">
        <v>64</v>
      </c>
      <c r="M2693" s="2" t="s">
        <v>12</v>
      </c>
      <c r="N2693" s="2" t="s">
        <v>12</v>
      </c>
      <c r="O2693" s="2" t="s">
        <v>12</v>
      </c>
      <c r="P2693" s="21" t="s">
        <v>12</v>
      </c>
      <c r="Q2693" s="3" t="s">
        <v>12</v>
      </c>
      <c r="R2693" s="3" t="s">
        <v>12</v>
      </c>
    </row>
    <row r="2694" spans="1:18" x14ac:dyDescent="0.25">
      <c r="A2694" s="30">
        <v>46101</v>
      </c>
      <c r="B2694" s="28">
        <v>509</v>
      </c>
      <c r="C2694" s="28" t="s">
        <v>2161</v>
      </c>
      <c r="D2694" s="2" t="s">
        <v>2803</v>
      </c>
      <c r="E2694" s="7" t="s">
        <v>12</v>
      </c>
      <c r="F2694" s="7" t="s">
        <v>2683</v>
      </c>
      <c r="G2694" s="2" t="s">
        <v>13</v>
      </c>
      <c r="H2694" s="2" t="s">
        <v>2983</v>
      </c>
      <c r="I2694" s="5">
        <v>12457.32</v>
      </c>
      <c r="J2694" s="57">
        <v>7.0000000000000007E-2</v>
      </c>
      <c r="K2694" s="3">
        <v>144</v>
      </c>
      <c r="L2694" s="2" t="s">
        <v>73</v>
      </c>
      <c r="M2694" s="2" t="s">
        <v>12</v>
      </c>
      <c r="N2694" s="2" t="s">
        <v>12</v>
      </c>
      <c r="O2694" s="2" t="s">
        <v>12</v>
      </c>
      <c r="P2694" s="21" t="s">
        <v>12</v>
      </c>
      <c r="Q2694" s="3" t="s">
        <v>12</v>
      </c>
      <c r="R2694" s="3" t="s">
        <v>12</v>
      </c>
    </row>
    <row r="2695" spans="1:18" x14ac:dyDescent="0.25">
      <c r="A2695" s="30">
        <v>46104</v>
      </c>
      <c r="B2695" s="28">
        <v>510</v>
      </c>
      <c r="C2695" s="28" t="s">
        <v>2229</v>
      </c>
      <c r="D2695" s="2" t="s">
        <v>256</v>
      </c>
      <c r="E2695" s="7" t="s">
        <v>12</v>
      </c>
      <c r="F2695" s="7" t="s">
        <v>2683</v>
      </c>
      <c r="G2695" s="2" t="s">
        <v>20</v>
      </c>
      <c r="H2695" s="2" t="s">
        <v>1000</v>
      </c>
      <c r="I2695" s="5">
        <v>1688.69</v>
      </c>
      <c r="J2695" s="57">
        <v>7.0000000000000007E-2</v>
      </c>
      <c r="K2695" s="3" t="s">
        <v>12</v>
      </c>
      <c r="L2695" s="2" t="s">
        <v>64</v>
      </c>
      <c r="M2695" s="2" t="s">
        <v>12</v>
      </c>
      <c r="N2695" s="2" t="s">
        <v>12</v>
      </c>
      <c r="O2695" s="2" t="s">
        <v>12</v>
      </c>
      <c r="P2695" s="21" t="s">
        <v>12</v>
      </c>
      <c r="Q2695" s="3" t="s">
        <v>12</v>
      </c>
      <c r="R2695" s="3" t="s">
        <v>12</v>
      </c>
    </row>
    <row r="2696" spans="1:18" x14ac:dyDescent="0.25">
      <c r="A2696" s="30">
        <v>46104</v>
      </c>
      <c r="B2696" s="28">
        <v>511</v>
      </c>
      <c r="C2696" s="28"/>
      <c r="D2696" s="2" t="s">
        <v>2984</v>
      </c>
      <c r="E2696" s="7" t="s">
        <v>3005</v>
      </c>
      <c r="F2696" s="7" t="s">
        <v>3001</v>
      </c>
      <c r="G2696" s="2" t="s">
        <v>111</v>
      </c>
      <c r="H2696" s="2" t="s">
        <v>2078</v>
      </c>
      <c r="I2696" s="5">
        <v>9297.93</v>
      </c>
      <c r="J2696" s="57">
        <v>0.04</v>
      </c>
      <c r="K2696" s="3">
        <v>120</v>
      </c>
      <c r="L2696" s="2" t="s">
        <v>64</v>
      </c>
      <c r="M2696" s="2" t="s">
        <v>12</v>
      </c>
      <c r="N2696" s="2" t="s">
        <v>12</v>
      </c>
      <c r="O2696" s="2" t="s">
        <v>12</v>
      </c>
      <c r="P2696" s="21" t="s">
        <v>12</v>
      </c>
      <c r="Q2696" s="3" t="s">
        <v>12</v>
      </c>
      <c r="R2696" s="3" t="s">
        <v>12</v>
      </c>
    </row>
    <row r="2697" spans="1:18" x14ac:dyDescent="0.25">
      <c r="A2697" s="30">
        <v>46104</v>
      </c>
      <c r="B2697" s="28">
        <v>512</v>
      </c>
      <c r="C2697" s="28"/>
      <c r="D2697" s="2" t="s">
        <v>273</v>
      </c>
      <c r="E2697" s="7" t="s">
        <v>12</v>
      </c>
      <c r="F2697" s="7" t="s">
        <v>2683</v>
      </c>
      <c r="G2697" s="2" t="s">
        <v>26</v>
      </c>
      <c r="H2697" s="2" t="s">
        <v>116</v>
      </c>
      <c r="I2697" s="5">
        <v>3395.89</v>
      </c>
      <c r="J2697" s="57">
        <v>0.05</v>
      </c>
      <c r="K2697" s="3">
        <v>48</v>
      </c>
      <c r="L2697" s="2" t="s">
        <v>64</v>
      </c>
      <c r="M2697" s="2" t="s">
        <v>12</v>
      </c>
      <c r="N2697" s="2" t="s">
        <v>12</v>
      </c>
      <c r="O2697" s="2" t="s">
        <v>12</v>
      </c>
      <c r="P2697" s="21" t="s">
        <v>12</v>
      </c>
      <c r="Q2697" s="3" t="s">
        <v>12</v>
      </c>
      <c r="R2697" s="3" t="s">
        <v>12</v>
      </c>
    </row>
    <row r="2698" spans="1:18" x14ac:dyDescent="0.25">
      <c r="A2698" s="30">
        <v>46105</v>
      </c>
      <c r="B2698" s="28">
        <v>513</v>
      </c>
      <c r="C2698" s="28" t="s">
        <v>2162</v>
      </c>
      <c r="D2698" s="2" t="s">
        <v>557</v>
      </c>
      <c r="E2698" s="7" t="s">
        <v>2985</v>
      </c>
      <c r="F2698" s="7" t="s">
        <v>2972</v>
      </c>
      <c r="G2698" s="2" t="s">
        <v>20</v>
      </c>
      <c r="H2698" s="2" t="s">
        <v>471</v>
      </c>
      <c r="I2698" s="5">
        <v>163598.29</v>
      </c>
      <c r="J2698" s="57">
        <v>0.05</v>
      </c>
      <c r="K2698" s="3">
        <v>1536</v>
      </c>
      <c r="L2698" s="2" t="s">
        <v>64</v>
      </c>
      <c r="M2698" s="2" t="s">
        <v>12</v>
      </c>
      <c r="N2698" s="2" t="s">
        <v>12</v>
      </c>
      <c r="O2698" s="2" t="s">
        <v>12</v>
      </c>
      <c r="P2698" s="21" t="s">
        <v>12</v>
      </c>
      <c r="Q2698" s="3" t="s">
        <v>2997</v>
      </c>
      <c r="R2698" s="3" t="s">
        <v>1836</v>
      </c>
    </row>
    <row r="2699" spans="1:18" x14ac:dyDescent="0.25">
      <c r="A2699" s="30">
        <v>46104</v>
      </c>
      <c r="B2699" s="28">
        <v>514</v>
      </c>
      <c r="C2699" s="28"/>
      <c r="D2699" s="2" t="s">
        <v>2561</v>
      </c>
      <c r="E2699" s="7" t="s">
        <v>12</v>
      </c>
      <c r="F2699" s="7" t="s">
        <v>2683</v>
      </c>
      <c r="G2699" s="2" t="s">
        <v>13</v>
      </c>
      <c r="H2699" s="2" t="s">
        <v>368</v>
      </c>
      <c r="I2699" s="5">
        <v>1101.27</v>
      </c>
      <c r="J2699" s="57">
        <v>7.0000000000000007E-2</v>
      </c>
      <c r="K2699" s="3" t="s">
        <v>12</v>
      </c>
      <c r="L2699" s="2" t="s">
        <v>64</v>
      </c>
      <c r="M2699" s="2" t="s">
        <v>12</v>
      </c>
      <c r="N2699" s="2" t="s">
        <v>12</v>
      </c>
      <c r="O2699" s="2" t="s">
        <v>12</v>
      </c>
      <c r="P2699" s="21" t="s">
        <v>12</v>
      </c>
      <c r="Q2699" s="3" t="s">
        <v>12</v>
      </c>
      <c r="R2699" s="3" t="s">
        <v>12</v>
      </c>
    </row>
    <row r="2700" spans="1:18" x14ac:dyDescent="0.25">
      <c r="A2700" s="30">
        <v>46104</v>
      </c>
      <c r="B2700" s="28">
        <v>515</v>
      </c>
      <c r="C2700" s="28"/>
      <c r="D2700" s="2" t="s">
        <v>130</v>
      </c>
      <c r="E2700" s="7" t="s">
        <v>2986</v>
      </c>
      <c r="F2700" s="7" t="s">
        <v>3001</v>
      </c>
      <c r="G2700" s="2" t="s">
        <v>26</v>
      </c>
      <c r="H2700" s="2" t="s">
        <v>369</v>
      </c>
      <c r="I2700" s="5">
        <v>35800.29</v>
      </c>
      <c r="J2700" s="57">
        <v>7.0000000000000007E-2</v>
      </c>
      <c r="K2700" s="3">
        <v>384</v>
      </c>
      <c r="L2700" s="2" t="s">
        <v>73</v>
      </c>
      <c r="M2700" s="2" t="s">
        <v>12</v>
      </c>
      <c r="N2700" s="2" t="s">
        <v>12</v>
      </c>
      <c r="O2700" s="2" t="s">
        <v>12</v>
      </c>
      <c r="P2700" s="21" t="s">
        <v>12</v>
      </c>
      <c r="Q2700" s="3" t="s">
        <v>133</v>
      </c>
      <c r="R2700" s="3" t="s">
        <v>75</v>
      </c>
    </row>
    <row r="2701" spans="1:18" x14ac:dyDescent="0.25">
      <c r="A2701" s="30">
        <v>46104</v>
      </c>
      <c r="B2701" s="28">
        <v>516</v>
      </c>
      <c r="C2701" s="28"/>
      <c r="D2701" s="2" t="s">
        <v>41</v>
      </c>
      <c r="E2701" s="7" t="s">
        <v>2894</v>
      </c>
      <c r="F2701" s="7" t="s">
        <v>3002</v>
      </c>
      <c r="G2701" s="2" t="s">
        <v>43</v>
      </c>
      <c r="H2701" s="2" t="s">
        <v>43</v>
      </c>
      <c r="I2701" s="5">
        <v>204447.81</v>
      </c>
      <c r="J2701" s="57">
        <v>0.05</v>
      </c>
      <c r="K2701" s="3">
        <v>2354.4</v>
      </c>
      <c r="L2701" s="2" t="s">
        <v>73</v>
      </c>
      <c r="M2701" s="2" t="s">
        <v>12</v>
      </c>
      <c r="N2701" s="2" t="s">
        <v>12</v>
      </c>
      <c r="O2701" s="2" t="s">
        <v>12</v>
      </c>
      <c r="P2701" s="21" t="s">
        <v>12</v>
      </c>
      <c r="Q2701" s="3" t="s">
        <v>78</v>
      </c>
      <c r="R2701" s="3" t="s">
        <v>80</v>
      </c>
    </row>
    <row r="2702" spans="1:18" x14ac:dyDescent="0.25">
      <c r="A2702" s="30">
        <v>46104</v>
      </c>
      <c r="B2702" s="28">
        <v>517</v>
      </c>
      <c r="C2702" s="28"/>
      <c r="D2702" s="2" t="s">
        <v>41</v>
      </c>
      <c r="E2702" s="7" t="s">
        <v>2987</v>
      </c>
      <c r="F2702" s="7" t="s">
        <v>3002</v>
      </c>
      <c r="G2702" s="2" t="s">
        <v>43</v>
      </c>
      <c r="H2702" s="2" t="s">
        <v>158</v>
      </c>
      <c r="I2702" s="5">
        <v>42101.37</v>
      </c>
      <c r="J2702" s="57">
        <v>0.03</v>
      </c>
      <c r="K2702" s="3">
        <v>643.20000000000005</v>
      </c>
      <c r="L2702" s="2" t="s">
        <v>64</v>
      </c>
      <c r="M2702" s="2" t="s">
        <v>12</v>
      </c>
      <c r="N2702" s="2" t="s">
        <v>12</v>
      </c>
      <c r="O2702" s="2" t="s">
        <v>12</v>
      </c>
      <c r="P2702" s="21" t="s">
        <v>12</v>
      </c>
      <c r="Q2702" s="3" t="s">
        <v>12</v>
      </c>
      <c r="R2702" s="3" t="s">
        <v>12</v>
      </c>
    </row>
    <row r="2703" spans="1:18" x14ac:dyDescent="0.25">
      <c r="A2703" s="30">
        <v>46104</v>
      </c>
      <c r="B2703" s="28">
        <v>518</v>
      </c>
      <c r="C2703" s="28"/>
      <c r="D2703" s="2" t="s">
        <v>70</v>
      </c>
      <c r="E2703" s="7" t="s">
        <v>12</v>
      </c>
      <c r="F2703" s="7" t="s">
        <v>2683</v>
      </c>
      <c r="G2703" s="2" t="s">
        <v>13</v>
      </c>
      <c r="H2703" s="2" t="s">
        <v>72</v>
      </c>
      <c r="I2703" s="5">
        <v>609.4</v>
      </c>
      <c r="J2703" s="57">
        <v>7.0000000000000007E-2</v>
      </c>
      <c r="K2703" s="3" t="s">
        <v>12</v>
      </c>
      <c r="L2703" s="2" t="s">
        <v>64</v>
      </c>
      <c r="M2703" s="2" t="s">
        <v>12</v>
      </c>
      <c r="N2703" s="2" t="s">
        <v>12</v>
      </c>
      <c r="O2703" s="2" t="s">
        <v>12</v>
      </c>
      <c r="P2703" s="21" t="s">
        <v>12</v>
      </c>
      <c r="Q2703" s="3" t="s">
        <v>12</v>
      </c>
      <c r="R2703" s="3" t="s">
        <v>12</v>
      </c>
    </row>
    <row r="2704" spans="1:18" x14ac:dyDescent="0.25">
      <c r="A2704" s="30">
        <v>46105</v>
      </c>
      <c r="B2704" s="28">
        <v>519</v>
      </c>
      <c r="C2704" s="28"/>
      <c r="D2704" s="2" t="s">
        <v>414</v>
      </c>
      <c r="E2704" s="7" t="s">
        <v>2988</v>
      </c>
      <c r="F2704" s="7" t="s">
        <v>3001</v>
      </c>
      <c r="G2704" s="2" t="s">
        <v>26</v>
      </c>
      <c r="H2704" s="2" t="s">
        <v>2989</v>
      </c>
      <c r="I2704" s="5">
        <v>92677.56</v>
      </c>
      <c r="J2704" s="57">
        <v>7.0000000000000007E-2</v>
      </c>
      <c r="K2704" s="3">
        <v>1080</v>
      </c>
      <c r="L2704" s="2" t="s">
        <v>73</v>
      </c>
      <c r="M2704" s="2" t="s">
        <v>12</v>
      </c>
      <c r="N2704" s="2" t="s">
        <v>12</v>
      </c>
      <c r="O2704" s="2" t="s">
        <v>12</v>
      </c>
      <c r="P2704" s="21" t="s">
        <v>12</v>
      </c>
      <c r="Q2704" s="3" t="s">
        <v>2998</v>
      </c>
      <c r="R2704" s="3" t="s">
        <v>75</v>
      </c>
    </row>
    <row r="2705" spans="1:18" x14ac:dyDescent="0.25">
      <c r="A2705" s="30">
        <v>46105</v>
      </c>
      <c r="B2705" s="28">
        <v>520</v>
      </c>
      <c r="C2705" s="28"/>
      <c r="D2705" s="2" t="s">
        <v>425</v>
      </c>
      <c r="E2705" s="7" t="s">
        <v>2990</v>
      </c>
      <c r="F2705" s="7" t="s">
        <v>2972</v>
      </c>
      <c r="G2705" s="2" t="s">
        <v>26</v>
      </c>
      <c r="H2705" s="2" t="s">
        <v>535</v>
      </c>
      <c r="I2705" s="5">
        <v>22967.85</v>
      </c>
      <c r="J2705" s="57">
        <v>7.0000000000000007E-2</v>
      </c>
      <c r="K2705" s="3">
        <v>240</v>
      </c>
      <c r="L2705" s="2" t="s">
        <v>73</v>
      </c>
      <c r="M2705" s="2" t="s">
        <v>12</v>
      </c>
      <c r="N2705" s="2" t="s">
        <v>12</v>
      </c>
      <c r="O2705" s="2" t="s">
        <v>12</v>
      </c>
      <c r="P2705" s="21" t="s">
        <v>12</v>
      </c>
      <c r="Q2705" s="3" t="s">
        <v>12</v>
      </c>
      <c r="R2705" s="3" t="s">
        <v>12</v>
      </c>
    </row>
    <row r="2706" spans="1:18" x14ac:dyDescent="0.25">
      <c r="A2706" s="30">
        <v>46105</v>
      </c>
      <c r="B2706" s="28">
        <v>521</v>
      </c>
      <c r="C2706" s="28"/>
      <c r="D2706" s="2" t="s">
        <v>41</v>
      </c>
      <c r="E2706" s="7" t="s">
        <v>2991</v>
      </c>
      <c r="F2706" s="7" t="s">
        <v>2972</v>
      </c>
      <c r="G2706" s="2" t="s">
        <v>43</v>
      </c>
      <c r="H2706" s="2" t="s">
        <v>43</v>
      </c>
      <c r="I2706" s="5">
        <v>77838.34</v>
      </c>
      <c r="J2706" s="57">
        <v>0.05</v>
      </c>
      <c r="K2706" s="3">
        <v>864</v>
      </c>
      <c r="L2706" s="2" t="s">
        <v>73</v>
      </c>
      <c r="M2706" s="2" t="s">
        <v>12</v>
      </c>
      <c r="N2706" s="2" t="s">
        <v>12</v>
      </c>
      <c r="O2706" s="2" t="s">
        <v>12</v>
      </c>
      <c r="P2706" s="21" t="s">
        <v>12</v>
      </c>
      <c r="Q2706" s="3" t="s">
        <v>461</v>
      </c>
      <c r="R2706" s="3" t="s">
        <v>75</v>
      </c>
    </row>
    <row r="2707" spans="1:18" x14ac:dyDescent="0.25">
      <c r="A2707" s="30">
        <v>46105</v>
      </c>
      <c r="B2707" s="28">
        <v>522</v>
      </c>
      <c r="C2707" s="28"/>
      <c r="D2707" s="2" t="s">
        <v>41</v>
      </c>
      <c r="E2707" s="7" t="s">
        <v>2975</v>
      </c>
      <c r="F2707" s="7" t="s">
        <v>3003</v>
      </c>
      <c r="G2707" s="2" t="s">
        <v>43</v>
      </c>
      <c r="H2707" s="2" t="s">
        <v>319</v>
      </c>
      <c r="I2707" s="5">
        <v>600641.68999999994</v>
      </c>
      <c r="J2707" s="57">
        <v>0.05</v>
      </c>
      <c r="K2707" s="3">
        <v>5509.2</v>
      </c>
      <c r="L2707" s="2" t="s">
        <v>226</v>
      </c>
      <c r="M2707" s="2" t="s">
        <v>12</v>
      </c>
      <c r="N2707" s="2" t="s">
        <v>12</v>
      </c>
      <c r="O2707" s="2" t="s">
        <v>12</v>
      </c>
      <c r="P2707" s="21" t="s">
        <v>12</v>
      </c>
      <c r="Q2707" s="3" t="s">
        <v>957</v>
      </c>
      <c r="R2707" s="3" t="s">
        <v>80</v>
      </c>
    </row>
    <row r="2708" spans="1:18" x14ac:dyDescent="0.25">
      <c r="A2708" s="30">
        <v>46105</v>
      </c>
      <c r="B2708" s="28">
        <v>523</v>
      </c>
      <c r="C2708" s="28"/>
      <c r="D2708" s="2" t="s">
        <v>517</v>
      </c>
      <c r="E2708" s="7" t="s">
        <v>2992</v>
      </c>
      <c r="F2708" s="7" t="s">
        <v>3001</v>
      </c>
      <c r="G2708" s="2" t="s">
        <v>111</v>
      </c>
      <c r="H2708" s="2" t="s">
        <v>302</v>
      </c>
      <c r="I2708" s="5">
        <v>39824.18</v>
      </c>
      <c r="J2708" s="57">
        <v>7.0000000000000007E-2</v>
      </c>
      <c r="K2708" s="3">
        <v>456</v>
      </c>
      <c r="L2708" s="2" t="s">
        <v>73</v>
      </c>
      <c r="M2708" s="2" t="s">
        <v>12</v>
      </c>
      <c r="N2708" s="2" t="s">
        <v>12</v>
      </c>
      <c r="O2708" s="2" t="s">
        <v>12</v>
      </c>
      <c r="P2708" s="21" t="s">
        <v>12</v>
      </c>
      <c r="Q2708" s="3" t="s">
        <v>2999</v>
      </c>
      <c r="R2708" s="3" t="s">
        <v>3000</v>
      </c>
    </row>
    <row r="2709" spans="1:18" x14ac:dyDescent="0.25">
      <c r="A2709" s="30">
        <v>46105</v>
      </c>
      <c r="B2709" s="28">
        <v>524</v>
      </c>
      <c r="C2709" s="28"/>
      <c r="D2709" s="2" t="s">
        <v>102</v>
      </c>
      <c r="E2709" s="7" t="s">
        <v>12</v>
      </c>
      <c r="F2709" s="7" t="s">
        <v>2683</v>
      </c>
      <c r="G2709" s="2" t="s">
        <v>13</v>
      </c>
      <c r="H2709" s="2" t="s">
        <v>94</v>
      </c>
      <c r="I2709" s="5">
        <v>7207.3</v>
      </c>
      <c r="J2709" s="57">
        <v>7.0000000000000007E-2</v>
      </c>
      <c r="K2709" s="3">
        <v>72</v>
      </c>
      <c r="L2709" s="2" t="s">
        <v>21</v>
      </c>
      <c r="M2709" s="2" t="s">
        <v>12</v>
      </c>
      <c r="N2709" s="2" t="s">
        <v>12</v>
      </c>
      <c r="O2709" s="2" t="s">
        <v>12</v>
      </c>
      <c r="P2709" s="21" t="s">
        <v>12</v>
      </c>
      <c r="Q2709" s="3" t="s">
        <v>12</v>
      </c>
      <c r="R2709" s="3" t="s">
        <v>12</v>
      </c>
    </row>
    <row r="2710" spans="1:18" x14ac:dyDescent="0.25">
      <c r="A2710" s="30">
        <v>46105</v>
      </c>
      <c r="B2710" s="28">
        <v>525</v>
      </c>
      <c r="C2710" s="28"/>
      <c r="D2710" s="2" t="s">
        <v>41</v>
      </c>
      <c r="E2710" s="7" t="s">
        <v>2993</v>
      </c>
      <c r="F2710" s="7" t="s">
        <v>3002</v>
      </c>
      <c r="G2710" s="2" t="s">
        <v>43</v>
      </c>
      <c r="H2710" s="2" t="s">
        <v>339</v>
      </c>
      <c r="I2710" s="5">
        <v>145872.71</v>
      </c>
      <c r="J2710" s="57">
        <v>0.05</v>
      </c>
      <c r="K2710" s="3">
        <v>2016</v>
      </c>
      <c r="L2710" s="2" t="s">
        <v>226</v>
      </c>
      <c r="M2710" s="2" t="s">
        <v>12</v>
      </c>
      <c r="N2710" s="2" t="s">
        <v>12</v>
      </c>
      <c r="O2710" s="2" t="s">
        <v>12</v>
      </c>
      <c r="P2710" s="21" t="s">
        <v>12</v>
      </c>
      <c r="Q2710" s="3" t="s">
        <v>12</v>
      </c>
      <c r="R2710" s="3" t="s">
        <v>12</v>
      </c>
    </row>
    <row r="2711" spans="1:18" x14ac:dyDescent="0.25">
      <c r="A2711" s="30">
        <v>46105</v>
      </c>
      <c r="B2711" s="28">
        <v>526</v>
      </c>
      <c r="C2711" s="28"/>
      <c r="D2711" s="2" t="s">
        <v>41</v>
      </c>
      <c r="E2711" s="7" t="s">
        <v>2890</v>
      </c>
      <c r="F2711" s="7" t="s">
        <v>3002</v>
      </c>
      <c r="G2711" s="2" t="s">
        <v>43</v>
      </c>
      <c r="H2711" s="2" t="s">
        <v>43</v>
      </c>
      <c r="I2711" s="5">
        <v>166799.53</v>
      </c>
      <c r="J2711" s="57">
        <v>0.05</v>
      </c>
      <c r="K2711" s="3">
        <v>1920</v>
      </c>
      <c r="L2711" s="2" t="s">
        <v>73</v>
      </c>
      <c r="M2711" s="2" t="s">
        <v>12</v>
      </c>
      <c r="N2711" s="2" t="s">
        <v>12</v>
      </c>
      <c r="O2711" s="2" t="s">
        <v>12</v>
      </c>
      <c r="P2711" s="21" t="s">
        <v>12</v>
      </c>
      <c r="Q2711" s="3" t="s">
        <v>78</v>
      </c>
      <c r="R2711" s="3" t="s">
        <v>80</v>
      </c>
    </row>
    <row r="2712" spans="1:18" x14ac:dyDescent="0.25">
      <c r="A2712" s="30">
        <v>46105</v>
      </c>
      <c r="B2712" s="28">
        <v>527</v>
      </c>
      <c r="C2712" s="28"/>
      <c r="D2712" s="2" t="s">
        <v>62</v>
      </c>
      <c r="E2712" s="7" t="s">
        <v>12</v>
      </c>
      <c r="F2712" s="7" t="s">
        <v>2683</v>
      </c>
      <c r="G2712" s="2" t="s">
        <v>26</v>
      </c>
      <c r="H2712" s="2" t="s">
        <v>63</v>
      </c>
      <c r="I2712" s="5">
        <v>7266.3</v>
      </c>
      <c r="J2712" s="57">
        <v>0.06</v>
      </c>
      <c r="K2712" s="3">
        <v>96</v>
      </c>
      <c r="L2712" s="2" t="s">
        <v>64</v>
      </c>
      <c r="M2712" s="2" t="s">
        <v>12</v>
      </c>
      <c r="N2712" s="2" t="s">
        <v>12</v>
      </c>
      <c r="O2712" s="2" t="s">
        <v>12</v>
      </c>
      <c r="P2712" s="21" t="s">
        <v>12</v>
      </c>
      <c r="Q2712" s="3" t="s">
        <v>12</v>
      </c>
      <c r="R2712" s="3" t="s">
        <v>12</v>
      </c>
    </row>
    <row r="2713" spans="1:18" x14ac:dyDescent="0.25">
      <c r="A2713" s="30">
        <v>46105</v>
      </c>
      <c r="B2713" s="28">
        <v>528</v>
      </c>
      <c r="C2713" s="28"/>
      <c r="D2713" s="2" t="s">
        <v>1998</v>
      </c>
      <c r="E2713" s="7" t="s">
        <v>3008</v>
      </c>
      <c r="F2713" s="7" t="s">
        <v>2733</v>
      </c>
      <c r="G2713" s="2" t="s">
        <v>43</v>
      </c>
      <c r="H2713" s="2" t="s">
        <v>1726</v>
      </c>
      <c r="I2713" s="5">
        <v>4361.76</v>
      </c>
      <c r="J2713" s="57">
        <v>7.0000000000000007E-2</v>
      </c>
      <c r="K2713" s="3">
        <v>48</v>
      </c>
      <c r="L2713" s="2" t="s">
        <v>226</v>
      </c>
      <c r="M2713" s="2" t="s">
        <v>12</v>
      </c>
      <c r="N2713" s="2" t="s">
        <v>12</v>
      </c>
      <c r="O2713" s="2" t="s">
        <v>12</v>
      </c>
      <c r="P2713" s="21" t="s">
        <v>12</v>
      </c>
      <c r="Q2713" s="3" t="s">
        <v>12</v>
      </c>
      <c r="R2713" s="3" t="s">
        <v>12</v>
      </c>
    </row>
    <row r="2714" spans="1:18" x14ac:dyDescent="0.25">
      <c r="A2714" s="30">
        <v>46105</v>
      </c>
      <c r="B2714" s="28">
        <v>529</v>
      </c>
      <c r="C2714" s="28"/>
      <c r="D2714" s="2" t="s">
        <v>130</v>
      </c>
      <c r="E2714" s="7" t="s">
        <v>3009</v>
      </c>
      <c r="F2714" s="7" t="s">
        <v>3002</v>
      </c>
      <c r="G2714" s="2" t="s">
        <v>26</v>
      </c>
      <c r="H2714" s="2" t="s">
        <v>827</v>
      </c>
      <c r="I2714" s="5">
        <v>43028.47</v>
      </c>
      <c r="J2714" s="57">
        <v>7.0000000000000007E-2</v>
      </c>
      <c r="K2714" s="3">
        <v>504</v>
      </c>
      <c r="L2714" s="2" t="s">
        <v>73</v>
      </c>
      <c r="M2714" s="2" t="s">
        <v>12</v>
      </c>
      <c r="N2714" s="2" t="s">
        <v>12</v>
      </c>
      <c r="O2714" s="2" t="s">
        <v>12</v>
      </c>
      <c r="P2714" s="21" t="s">
        <v>12</v>
      </c>
      <c r="Q2714" s="3" t="s">
        <v>12</v>
      </c>
      <c r="R2714" s="3" t="s">
        <v>12</v>
      </c>
    </row>
    <row r="2715" spans="1:18" x14ac:dyDescent="0.25">
      <c r="A2715" s="30">
        <v>46105</v>
      </c>
      <c r="B2715" s="28">
        <v>530</v>
      </c>
      <c r="C2715" s="28"/>
      <c r="D2715" s="2" t="s">
        <v>2334</v>
      </c>
      <c r="E2715" s="7" t="s">
        <v>3010</v>
      </c>
      <c r="F2715" s="7" t="s">
        <v>2972</v>
      </c>
      <c r="G2715" s="2" t="s">
        <v>20</v>
      </c>
      <c r="H2715" s="2" t="s">
        <v>722</v>
      </c>
      <c r="I2715" s="5">
        <v>49358.8</v>
      </c>
      <c r="J2715" s="57">
        <v>7.0000000000000007E-2</v>
      </c>
      <c r="K2715" s="3">
        <v>504</v>
      </c>
      <c r="L2715" s="2" t="s">
        <v>226</v>
      </c>
      <c r="M2715" s="2" t="s">
        <v>12</v>
      </c>
      <c r="N2715" s="2" t="s">
        <v>12</v>
      </c>
      <c r="O2715" s="2" t="s">
        <v>12</v>
      </c>
      <c r="P2715" s="21" t="s">
        <v>12</v>
      </c>
      <c r="Q2715" s="3" t="s">
        <v>3022</v>
      </c>
      <c r="R2715" s="3" t="s">
        <v>3023</v>
      </c>
    </row>
    <row r="2716" spans="1:18" x14ac:dyDescent="0.25">
      <c r="A2716" s="30">
        <v>46106</v>
      </c>
      <c r="B2716" s="28">
        <v>531</v>
      </c>
      <c r="C2716" s="28"/>
      <c r="D2716" s="2" t="s">
        <v>3011</v>
      </c>
      <c r="E2716" s="7" t="s">
        <v>12</v>
      </c>
      <c r="F2716" s="7" t="s">
        <v>2683</v>
      </c>
      <c r="G2716" s="2" t="s">
        <v>13</v>
      </c>
      <c r="H2716" s="2" t="s">
        <v>438</v>
      </c>
      <c r="I2716" s="5">
        <v>15109.49</v>
      </c>
      <c r="J2716" s="57">
        <v>0.05</v>
      </c>
      <c r="K2716" s="3">
        <v>168</v>
      </c>
      <c r="L2716" s="2" t="s">
        <v>226</v>
      </c>
      <c r="M2716" s="2" t="s">
        <v>12</v>
      </c>
      <c r="N2716" s="2" t="s">
        <v>12</v>
      </c>
      <c r="O2716" s="2" t="s">
        <v>12</v>
      </c>
      <c r="P2716" s="21" t="s">
        <v>12</v>
      </c>
      <c r="Q2716" s="3" t="s">
        <v>12</v>
      </c>
      <c r="R2716" s="3" t="s">
        <v>12</v>
      </c>
    </row>
    <row r="2717" spans="1:18" x14ac:dyDescent="0.25">
      <c r="A2717" s="30">
        <v>46106</v>
      </c>
      <c r="B2717" s="28">
        <v>532</v>
      </c>
      <c r="C2717" s="28" t="s">
        <v>2161</v>
      </c>
      <c r="D2717" s="2" t="s">
        <v>348</v>
      </c>
      <c r="E2717" s="7" t="s">
        <v>3012</v>
      </c>
      <c r="F2717" s="7" t="s">
        <v>2683</v>
      </c>
      <c r="G2717" s="2" t="s">
        <v>26</v>
      </c>
      <c r="H2717" s="2" t="s">
        <v>2079</v>
      </c>
      <c r="I2717" s="5">
        <v>61546.26</v>
      </c>
      <c r="J2717" s="57">
        <v>0.03</v>
      </c>
      <c r="K2717" s="3">
        <v>874.8</v>
      </c>
      <c r="L2717" s="2" t="s">
        <v>64</v>
      </c>
      <c r="M2717" s="2" t="s">
        <v>12</v>
      </c>
      <c r="N2717" s="2" t="s">
        <v>12</v>
      </c>
      <c r="O2717" s="2" t="s">
        <v>12</v>
      </c>
      <c r="P2717" s="21" t="s">
        <v>12</v>
      </c>
      <c r="Q2717" s="3" t="s">
        <v>12</v>
      </c>
      <c r="R2717" s="3" t="s">
        <v>12</v>
      </c>
    </row>
    <row r="2718" spans="1:18" x14ac:dyDescent="0.25">
      <c r="A2718" s="30">
        <v>46106</v>
      </c>
      <c r="B2718" s="28">
        <v>533</v>
      </c>
      <c r="C2718" s="28"/>
      <c r="D2718" s="2" t="s">
        <v>3013</v>
      </c>
      <c r="E2718" s="7" t="s">
        <v>3014</v>
      </c>
      <c r="F2718" s="7" t="s">
        <v>2902</v>
      </c>
      <c r="G2718" s="2" t="s">
        <v>13</v>
      </c>
      <c r="H2718" s="2" t="s">
        <v>2079</v>
      </c>
      <c r="I2718" s="5">
        <v>103432.76</v>
      </c>
      <c r="J2718" s="57">
        <v>7.0000000000000007E-2</v>
      </c>
      <c r="K2718" s="3">
        <v>1104</v>
      </c>
      <c r="L2718" s="2" t="s">
        <v>73</v>
      </c>
      <c r="M2718" s="2" t="s">
        <v>12</v>
      </c>
      <c r="N2718" s="2" t="s">
        <v>12</v>
      </c>
      <c r="O2718" s="2" t="s">
        <v>12</v>
      </c>
      <c r="P2718" s="21" t="s">
        <v>12</v>
      </c>
      <c r="Q2718" s="3" t="s">
        <v>3024</v>
      </c>
      <c r="R2718" s="3" t="s">
        <v>1065</v>
      </c>
    </row>
    <row r="2719" spans="1:18" x14ac:dyDescent="0.25">
      <c r="A2719" s="30">
        <v>46106</v>
      </c>
      <c r="B2719" s="28">
        <v>534</v>
      </c>
      <c r="C2719" s="28"/>
      <c r="D2719" s="2" t="s">
        <v>1262</v>
      </c>
      <c r="E2719" s="7" t="s">
        <v>3015</v>
      </c>
      <c r="F2719" s="7" t="s">
        <v>2683</v>
      </c>
      <c r="G2719" s="2" t="s">
        <v>13</v>
      </c>
      <c r="H2719" s="2" t="s">
        <v>317</v>
      </c>
      <c r="I2719" s="5">
        <v>200.1</v>
      </c>
      <c r="J2719" s="57">
        <v>7.0000000000000007E-2</v>
      </c>
      <c r="K2719" s="3" t="s">
        <v>12</v>
      </c>
      <c r="L2719" s="2" t="s">
        <v>73</v>
      </c>
      <c r="M2719" s="2" t="s">
        <v>12</v>
      </c>
      <c r="N2719" s="2" t="s">
        <v>12</v>
      </c>
      <c r="O2719" s="2" t="s">
        <v>12</v>
      </c>
      <c r="P2719" s="21" t="s">
        <v>12</v>
      </c>
      <c r="Q2719" s="3" t="s">
        <v>12</v>
      </c>
      <c r="R2719" s="3" t="s">
        <v>12</v>
      </c>
    </row>
    <row r="2720" spans="1:18" x14ac:dyDescent="0.25">
      <c r="A2720" s="30">
        <v>46106</v>
      </c>
      <c r="B2720" s="28">
        <v>535</v>
      </c>
      <c r="C2720" s="28"/>
      <c r="D2720" s="2" t="s">
        <v>308</v>
      </c>
      <c r="E2720" s="7" t="s">
        <v>3016</v>
      </c>
      <c r="F2720" s="7" t="s">
        <v>2972</v>
      </c>
      <c r="G2720" s="2" t="s">
        <v>20</v>
      </c>
      <c r="H2720" s="2" t="s">
        <v>108</v>
      </c>
      <c r="I2720" s="5">
        <v>6643.54</v>
      </c>
      <c r="J2720" s="57">
        <v>0.04</v>
      </c>
      <c r="K2720" s="3">
        <v>96</v>
      </c>
      <c r="L2720" s="2" t="s">
        <v>226</v>
      </c>
      <c r="M2720" s="2" t="s">
        <v>12</v>
      </c>
      <c r="N2720" s="2" t="s">
        <v>12</v>
      </c>
      <c r="O2720" s="2" t="s">
        <v>12</v>
      </c>
      <c r="P2720" s="21" t="s">
        <v>12</v>
      </c>
      <c r="Q2720" s="3" t="s">
        <v>12</v>
      </c>
      <c r="R2720" s="3" t="s">
        <v>12</v>
      </c>
    </row>
    <row r="2721" spans="1:18" x14ac:dyDescent="0.25">
      <c r="A2721" s="30">
        <v>46106</v>
      </c>
      <c r="B2721" s="28">
        <v>536</v>
      </c>
      <c r="C2721" s="28" t="s">
        <v>2162</v>
      </c>
      <c r="D2721" s="2" t="s">
        <v>3017</v>
      </c>
      <c r="E2721" s="7" t="s">
        <v>3069</v>
      </c>
      <c r="F2721" s="7" t="s">
        <v>2785</v>
      </c>
      <c r="G2721" s="2" t="s">
        <v>13</v>
      </c>
      <c r="H2721" s="2" t="s">
        <v>127</v>
      </c>
      <c r="I2721" s="5">
        <v>18337.2</v>
      </c>
      <c r="J2721" s="57">
        <v>0.04</v>
      </c>
      <c r="K2721" s="3">
        <v>288</v>
      </c>
      <c r="L2721" s="2" t="s">
        <v>64</v>
      </c>
      <c r="M2721" s="2" t="s">
        <v>12</v>
      </c>
      <c r="N2721" s="2" t="s">
        <v>12</v>
      </c>
      <c r="O2721" s="2" t="s">
        <v>12</v>
      </c>
      <c r="P2721" s="21" t="s">
        <v>12</v>
      </c>
      <c r="Q2721" s="3" t="s">
        <v>12</v>
      </c>
      <c r="R2721" s="3" t="s">
        <v>12</v>
      </c>
    </row>
    <row r="2722" spans="1:18" x14ac:dyDescent="0.25">
      <c r="A2722" s="30">
        <v>46106</v>
      </c>
      <c r="B2722" s="28">
        <v>537</v>
      </c>
      <c r="C2722" s="28"/>
      <c r="D2722" s="2" t="s">
        <v>3017</v>
      </c>
      <c r="E2722" s="7" t="s">
        <v>3070</v>
      </c>
      <c r="F2722" s="7" t="s">
        <v>2785</v>
      </c>
      <c r="G2722" s="2" t="s">
        <v>13</v>
      </c>
      <c r="H2722" s="2" t="s">
        <v>127</v>
      </c>
      <c r="I2722" s="5"/>
      <c r="J2722" s="57">
        <v>0.04</v>
      </c>
      <c r="K2722" s="3"/>
      <c r="L2722" s="2" t="s">
        <v>73</v>
      </c>
      <c r="M2722" s="2"/>
      <c r="N2722" s="2"/>
      <c r="O2722" s="2"/>
      <c r="P2722" s="21"/>
      <c r="Q2722" s="3" t="s">
        <v>12</v>
      </c>
      <c r="R2722" s="3" t="s">
        <v>12</v>
      </c>
    </row>
    <row r="2723" spans="1:18" x14ac:dyDescent="0.25">
      <c r="A2723" s="30">
        <v>46121</v>
      </c>
      <c r="B2723" s="28">
        <v>538</v>
      </c>
      <c r="C2723" s="28"/>
      <c r="D2723" s="2" t="s">
        <v>109</v>
      </c>
      <c r="E2723" s="7" t="s">
        <v>3071</v>
      </c>
      <c r="F2723" s="7" t="s">
        <v>3001</v>
      </c>
      <c r="G2723" s="2" t="s">
        <v>111</v>
      </c>
      <c r="H2723" s="2" t="s">
        <v>950</v>
      </c>
      <c r="I2723" s="5">
        <v>76601.100000000006</v>
      </c>
      <c r="J2723" s="57">
        <v>0.06</v>
      </c>
      <c r="K2723" s="3" t="s">
        <v>12</v>
      </c>
      <c r="L2723" s="2" t="s">
        <v>134</v>
      </c>
      <c r="M2723" s="2" t="s">
        <v>2029</v>
      </c>
      <c r="N2723" s="2" t="s">
        <v>135</v>
      </c>
      <c r="O2723" s="2" t="s">
        <v>528</v>
      </c>
      <c r="P2723" s="21" t="s">
        <v>12</v>
      </c>
      <c r="Q2723" s="3" t="s">
        <v>12</v>
      </c>
      <c r="R2723" s="3" t="s">
        <v>12</v>
      </c>
    </row>
    <row r="2724" spans="1:18" x14ac:dyDescent="0.25">
      <c r="A2724" s="30">
        <v>46104</v>
      </c>
      <c r="B2724" s="28">
        <v>539</v>
      </c>
      <c r="C2724" s="28"/>
      <c r="D2724" s="2" t="s">
        <v>168</v>
      </c>
      <c r="E2724" s="7" t="s">
        <v>3019</v>
      </c>
      <c r="F2724" s="7" t="s">
        <v>2972</v>
      </c>
      <c r="G2724" s="2" t="s">
        <v>43</v>
      </c>
      <c r="H2724" s="2" t="s">
        <v>375</v>
      </c>
      <c r="I2724" s="5">
        <v>3163.79</v>
      </c>
      <c r="J2724" s="57">
        <v>0.05</v>
      </c>
      <c r="K2724" s="3">
        <v>48</v>
      </c>
      <c r="L2724" s="2" t="s">
        <v>226</v>
      </c>
      <c r="M2724" s="2" t="s">
        <v>12</v>
      </c>
      <c r="N2724" s="2" t="s">
        <v>12</v>
      </c>
      <c r="O2724" s="2" t="s">
        <v>12</v>
      </c>
      <c r="P2724" s="21" t="s">
        <v>12</v>
      </c>
      <c r="Q2724" s="3" t="s">
        <v>12</v>
      </c>
      <c r="R2724" s="3" t="s">
        <v>12</v>
      </c>
    </row>
    <row r="2725" spans="1:18" x14ac:dyDescent="0.25">
      <c r="A2725" s="30">
        <v>46104</v>
      </c>
      <c r="B2725" s="28">
        <v>540</v>
      </c>
      <c r="C2725" s="28" t="s">
        <v>2161</v>
      </c>
      <c r="D2725" s="2" t="s">
        <v>124</v>
      </c>
      <c r="E2725" s="7" t="s">
        <v>3018</v>
      </c>
      <c r="F2725" s="7" t="s">
        <v>1844</v>
      </c>
      <c r="G2725" s="2" t="s">
        <v>20</v>
      </c>
      <c r="H2725" s="2" t="s">
        <v>119</v>
      </c>
      <c r="I2725" s="5">
        <v>96658.38</v>
      </c>
      <c r="J2725" s="57">
        <v>0.03</v>
      </c>
      <c r="K2725" s="3">
        <v>1440</v>
      </c>
      <c r="L2725" s="2" t="s">
        <v>64</v>
      </c>
      <c r="M2725" s="2"/>
      <c r="N2725" s="2"/>
      <c r="O2725" s="2"/>
      <c r="P2725" s="21"/>
      <c r="Q2725" s="3" t="s">
        <v>12</v>
      </c>
      <c r="R2725" s="3" t="s">
        <v>12</v>
      </c>
    </row>
    <row r="2726" spans="1:18" x14ac:dyDescent="0.25">
      <c r="A2726" s="30">
        <v>46106</v>
      </c>
      <c r="B2726" s="28">
        <v>541</v>
      </c>
      <c r="C2726" s="28" t="s">
        <v>2161</v>
      </c>
      <c r="D2726" s="2" t="s">
        <v>1091</v>
      </c>
      <c r="E2726" s="7" t="s">
        <v>3020</v>
      </c>
      <c r="F2726" s="7" t="s">
        <v>2694</v>
      </c>
      <c r="G2726" s="2" t="s">
        <v>26</v>
      </c>
      <c r="H2726" s="2" t="s">
        <v>15</v>
      </c>
      <c r="I2726" s="5">
        <v>30028.3</v>
      </c>
      <c r="J2726" s="57">
        <v>0.03</v>
      </c>
      <c r="K2726" s="3">
        <v>192</v>
      </c>
      <c r="L2726" s="2" t="s">
        <v>64</v>
      </c>
      <c r="M2726" s="2" t="s">
        <v>12</v>
      </c>
      <c r="N2726" s="2" t="s">
        <v>12</v>
      </c>
      <c r="O2726" s="2" t="s">
        <v>12</v>
      </c>
      <c r="P2726" s="21" t="s">
        <v>12</v>
      </c>
      <c r="Q2726" s="3" t="s">
        <v>12</v>
      </c>
      <c r="R2726" s="3" t="s">
        <v>12</v>
      </c>
    </row>
    <row r="2727" spans="1:18" x14ac:dyDescent="0.25">
      <c r="A2727" s="30">
        <v>46106</v>
      </c>
      <c r="B2727" s="28">
        <v>542</v>
      </c>
      <c r="C2727" s="28"/>
      <c r="D2727" s="2" t="s">
        <v>41</v>
      </c>
      <c r="E2727" s="7" t="s">
        <v>3021</v>
      </c>
      <c r="F2727" s="7" t="s">
        <v>3002</v>
      </c>
      <c r="G2727" s="2" t="s">
        <v>43</v>
      </c>
      <c r="H2727" s="2" t="s">
        <v>158</v>
      </c>
      <c r="I2727" s="5">
        <v>16591.03</v>
      </c>
      <c r="J2727" s="57">
        <v>0.05</v>
      </c>
      <c r="K2727" s="3">
        <v>240</v>
      </c>
      <c r="L2727" s="2" t="s">
        <v>21</v>
      </c>
      <c r="M2727" s="2" t="s">
        <v>530</v>
      </c>
      <c r="N2727" s="2" t="s">
        <v>12</v>
      </c>
      <c r="O2727" s="2" t="s">
        <v>12</v>
      </c>
      <c r="P2727" s="21" t="s">
        <v>12</v>
      </c>
      <c r="Q2727" s="3" t="s">
        <v>12</v>
      </c>
      <c r="R2727" s="3" t="s">
        <v>12</v>
      </c>
    </row>
    <row r="2728" spans="1:18" x14ac:dyDescent="0.25">
      <c r="A2728" s="30">
        <v>46106</v>
      </c>
      <c r="B2728" s="28">
        <v>543</v>
      </c>
      <c r="C2728" s="28"/>
      <c r="D2728" s="2" t="s">
        <v>1395</v>
      </c>
      <c r="E2728" s="38" t="s">
        <v>2454</v>
      </c>
      <c r="F2728" s="7" t="s">
        <v>3001</v>
      </c>
      <c r="G2728" s="2" t="s">
        <v>111</v>
      </c>
      <c r="H2728" s="2" t="s">
        <v>2455</v>
      </c>
      <c r="I2728" s="5">
        <v>49886.75</v>
      </c>
      <c r="J2728" s="57">
        <v>0.05</v>
      </c>
      <c r="K2728" s="3" t="s">
        <v>12</v>
      </c>
      <c r="L2728" s="2" t="s">
        <v>64</v>
      </c>
      <c r="M2728" s="2" t="s">
        <v>12</v>
      </c>
      <c r="N2728" s="2" t="s">
        <v>12</v>
      </c>
      <c r="O2728" s="2" t="s">
        <v>12</v>
      </c>
      <c r="P2728" s="21" t="s">
        <v>12</v>
      </c>
      <c r="Q2728" s="3" t="s">
        <v>12</v>
      </c>
      <c r="R2728" s="3" t="s">
        <v>12</v>
      </c>
    </row>
    <row r="2729" spans="1:18" x14ac:dyDescent="0.25">
      <c r="A2729" s="30">
        <v>46107</v>
      </c>
      <c r="B2729" s="28">
        <v>544</v>
      </c>
      <c r="C2729" s="28"/>
      <c r="D2729" s="2" t="s">
        <v>2248</v>
      </c>
      <c r="E2729" s="7" t="s">
        <v>12</v>
      </c>
      <c r="F2729" s="7" t="s">
        <v>2683</v>
      </c>
      <c r="G2729" s="2" t="s">
        <v>13</v>
      </c>
      <c r="H2729" s="2" t="s">
        <v>3031</v>
      </c>
      <c r="I2729" s="5">
        <v>10232.58</v>
      </c>
      <c r="J2729" s="57">
        <v>0.04</v>
      </c>
      <c r="K2729" s="3">
        <v>192</v>
      </c>
      <c r="L2729" s="2" t="s">
        <v>73</v>
      </c>
      <c r="M2729" s="2" t="s">
        <v>12</v>
      </c>
      <c r="N2729" s="2" t="s">
        <v>12</v>
      </c>
      <c r="O2729" s="2" t="s">
        <v>12</v>
      </c>
      <c r="P2729" s="21" t="s">
        <v>12</v>
      </c>
      <c r="Q2729" s="3" t="s">
        <v>12</v>
      </c>
      <c r="R2729" s="3" t="s">
        <v>12</v>
      </c>
    </row>
    <row r="2730" spans="1:18" x14ac:dyDescent="0.25">
      <c r="A2730" s="30">
        <v>46108</v>
      </c>
      <c r="B2730" s="28">
        <v>545</v>
      </c>
      <c r="C2730" s="28" t="s">
        <v>2162</v>
      </c>
      <c r="D2730" s="2" t="s">
        <v>1564</v>
      </c>
      <c r="E2730" s="7" t="s">
        <v>12</v>
      </c>
      <c r="F2730" s="7" t="s">
        <v>2683</v>
      </c>
      <c r="G2730" s="2" t="s">
        <v>97</v>
      </c>
      <c r="H2730" s="2" t="s">
        <v>3032</v>
      </c>
      <c r="I2730" s="5">
        <v>22024.29</v>
      </c>
      <c r="J2730" s="57">
        <v>0.05</v>
      </c>
      <c r="K2730" s="3">
        <v>264</v>
      </c>
      <c r="L2730" s="2" t="s">
        <v>64</v>
      </c>
      <c r="M2730" s="2" t="s">
        <v>12</v>
      </c>
      <c r="N2730" s="2" t="s">
        <v>12</v>
      </c>
      <c r="O2730" s="2" t="s">
        <v>12</v>
      </c>
      <c r="P2730" s="21" t="s">
        <v>12</v>
      </c>
      <c r="Q2730" s="3" t="s">
        <v>12</v>
      </c>
      <c r="R2730" s="3" t="s">
        <v>12</v>
      </c>
    </row>
    <row r="2731" spans="1:18" x14ac:dyDescent="0.25">
      <c r="A2731" s="30">
        <v>46107</v>
      </c>
      <c r="B2731" s="28">
        <v>546</v>
      </c>
      <c r="C2731" s="28"/>
      <c r="D2731" s="2" t="s">
        <v>3033</v>
      </c>
      <c r="E2731" s="7" t="s">
        <v>12</v>
      </c>
      <c r="F2731" s="7" t="s">
        <v>2683</v>
      </c>
      <c r="G2731" s="2" t="s">
        <v>13</v>
      </c>
      <c r="H2731" s="2" t="s">
        <v>101</v>
      </c>
      <c r="I2731" s="5">
        <v>2037.65</v>
      </c>
      <c r="J2731" s="57">
        <v>7.0000000000000007E-2</v>
      </c>
      <c r="K2731" s="3">
        <v>24</v>
      </c>
      <c r="L2731" s="2" t="s">
        <v>73</v>
      </c>
      <c r="M2731" s="2" t="s">
        <v>12</v>
      </c>
      <c r="N2731" s="2" t="s">
        <v>12</v>
      </c>
      <c r="O2731" s="2" t="s">
        <v>12</v>
      </c>
      <c r="P2731" s="21" t="s">
        <v>12</v>
      </c>
      <c r="Q2731" s="3" t="s">
        <v>12</v>
      </c>
      <c r="R2731" s="3" t="s">
        <v>12</v>
      </c>
    </row>
    <row r="2732" spans="1:18" x14ac:dyDescent="0.25">
      <c r="A2732" s="30">
        <v>46107</v>
      </c>
      <c r="B2732" s="28">
        <v>547</v>
      </c>
      <c r="C2732" s="28"/>
      <c r="D2732" s="2" t="s">
        <v>1446</v>
      </c>
      <c r="E2732" s="7" t="s">
        <v>3034</v>
      </c>
      <c r="F2732" s="7" t="s">
        <v>2694</v>
      </c>
      <c r="G2732" s="2" t="s">
        <v>43</v>
      </c>
      <c r="H2732" s="2" t="s">
        <v>2007</v>
      </c>
      <c r="I2732" s="5">
        <v>12085.16</v>
      </c>
      <c r="J2732" s="57">
        <v>7.0000000000000007E-2</v>
      </c>
      <c r="K2732" s="3">
        <v>96</v>
      </c>
      <c r="L2732" s="2" t="s">
        <v>73</v>
      </c>
      <c r="M2732" s="2" t="s">
        <v>12</v>
      </c>
      <c r="N2732" s="2" t="s">
        <v>12</v>
      </c>
      <c r="O2732" s="2" t="s">
        <v>12</v>
      </c>
      <c r="P2732" s="21" t="s">
        <v>12</v>
      </c>
      <c r="Q2732" s="3" t="s">
        <v>12</v>
      </c>
      <c r="R2732" s="3" t="s">
        <v>12</v>
      </c>
    </row>
    <row r="2733" spans="1:18" x14ac:dyDescent="0.25">
      <c r="A2733" s="30">
        <v>46111</v>
      </c>
      <c r="B2733" s="28">
        <v>548</v>
      </c>
      <c r="C2733" s="28" t="s">
        <v>3035</v>
      </c>
      <c r="D2733" s="2" t="s">
        <v>212</v>
      </c>
      <c r="E2733" s="7" t="s">
        <v>3036</v>
      </c>
      <c r="F2733" s="7" t="s">
        <v>3002</v>
      </c>
      <c r="G2733" s="2" t="s">
        <v>20</v>
      </c>
      <c r="H2733" s="2" t="s">
        <v>350</v>
      </c>
      <c r="I2733" s="5">
        <v>263000</v>
      </c>
      <c r="J2733" s="57">
        <v>0.04</v>
      </c>
      <c r="K2733" s="3">
        <v>3984</v>
      </c>
      <c r="L2733" s="2" t="s">
        <v>64</v>
      </c>
      <c r="M2733" s="2" t="s">
        <v>12</v>
      </c>
      <c r="N2733" s="2" t="s">
        <v>12</v>
      </c>
      <c r="O2733" s="2" t="s">
        <v>12</v>
      </c>
      <c r="P2733" s="21" t="s">
        <v>12</v>
      </c>
      <c r="Q2733" s="3" t="s">
        <v>3067</v>
      </c>
      <c r="R2733" s="3" t="s">
        <v>80</v>
      </c>
    </row>
    <row r="2734" spans="1:18" x14ac:dyDescent="0.25">
      <c r="A2734" s="30">
        <v>46108</v>
      </c>
      <c r="B2734" s="28">
        <v>549</v>
      </c>
      <c r="C2734" s="28"/>
      <c r="D2734" s="2" t="s">
        <v>212</v>
      </c>
      <c r="E2734" s="7" t="s">
        <v>3037</v>
      </c>
      <c r="F2734" s="7" t="s">
        <v>3002</v>
      </c>
      <c r="G2734" s="2" t="s">
        <v>20</v>
      </c>
      <c r="H2734" s="2" t="s">
        <v>320</v>
      </c>
      <c r="I2734" s="5">
        <v>59759.839999999997</v>
      </c>
      <c r="J2734" s="57">
        <v>0.05</v>
      </c>
      <c r="K2734" s="3">
        <v>576</v>
      </c>
      <c r="L2734" s="2" t="s">
        <v>226</v>
      </c>
      <c r="M2734" s="2" t="s">
        <v>12</v>
      </c>
      <c r="N2734" s="2" t="s">
        <v>12</v>
      </c>
      <c r="O2734" s="2" t="s">
        <v>12</v>
      </c>
      <c r="P2734" s="21" t="s">
        <v>12</v>
      </c>
      <c r="Q2734" s="3" t="s">
        <v>12</v>
      </c>
      <c r="R2734" s="3"/>
    </row>
    <row r="2735" spans="1:18" x14ac:dyDescent="0.25">
      <c r="A2735" s="30">
        <v>46108</v>
      </c>
      <c r="B2735" s="28">
        <v>550</v>
      </c>
      <c r="C2735" s="28"/>
      <c r="D2735" s="2" t="s">
        <v>212</v>
      </c>
      <c r="E2735" s="7" t="s">
        <v>3038</v>
      </c>
      <c r="F2735" s="7" t="s">
        <v>3002</v>
      </c>
      <c r="G2735" s="2" t="s">
        <v>20</v>
      </c>
      <c r="H2735" s="2" t="s">
        <v>320</v>
      </c>
      <c r="I2735" s="5">
        <v>32633.3</v>
      </c>
      <c r="J2735" s="57">
        <v>0.05</v>
      </c>
      <c r="K2735" s="3">
        <v>408</v>
      </c>
      <c r="L2735" s="2" t="s">
        <v>226</v>
      </c>
      <c r="M2735" s="2" t="s">
        <v>12</v>
      </c>
      <c r="N2735" s="2" t="s">
        <v>12</v>
      </c>
      <c r="O2735" s="2" t="s">
        <v>12</v>
      </c>
      <c r="P2735" s="21" t="s">
        <v>12</v>
      </c>
      <c r="Q2735" s="3" t="s">
        <v>12</v>
      </c>
      <c r="R2735" s="3"/>
    </row>
    <row r="2736" spans="1:18" x14ac:dyDescent="0.25">
      <c r="A2736" s="30">
        <v>46108</v>
      </c>
      <c r="B2736" s="28">
        <v>551</v>
      </c>
      <c r="C2736" s="28"/>
      <c r="D2736" s="2" t="s">
        <v>87</v>
      </c>
      <c r="E2736" s="7" t="s">
        <v>2482</v>
      </c>
      <c r="F2736" s="7" t="s">
        <v>3002</v>
      </c>
      <c r="G2736" s="2" t="s">
        <v>13</v>
      </c>
      <c r="H2736" s="2" t="s">
        <v>185</v>
      </c>
      <c r="I2736" s="5">
        <v>172609.47</v>
      </c>
      <c r="J2736" s="57">
        <v>7.0000000000000007E-2</v>
      </c>
      <c r="K2736" s="3">
        <v>1755.6</v>
      </c>
      <c r="L2736" s="2" t="s">
        <v>73</v>
      </c>
      <c r="M2736" s="2" t="s">
        <v>12</v>
      </c>
      <c r="N2736" s="2" t="s">
        <v>12</v>
      </c>
      <c r="O2736" s="2" t="s">
        <v>12</v>
      </c>
      <c r="P2736" s="21" t="s">
        <v>12</v>
      </c>
      <c r="Q2736" s="3" t="s">
        <v>78</v>
      </c>
      <c r="R2736" s="3" t="s">
        <v>80</v>
      </c>
    </row>
    <row r="2737" spans="1:18" x14ac:dyDescent="0.25">
      <c r="A2737" s="30">
        <v>46121</v>
      </c>
      <c r="B2737" s="28">
        <v>552</v>
      </c>
      <c r="C2737" s="28" t="s">
        <v>2161</v>
      </c>
      <c r="D2737" s="2" t="s">
        <v>765</v>
      </c>
      <c r="E2737" s="7" t="s">
        <v>12</v>
      </c>
      <c r="F2737" s="7" t="s">
        <v>2683</v>
      </c>
      <c r="G2737" s="2" t="s">
        <v>97</v>
      </c>
      <c r="H2737" s="2" t="s">
        <v>167</v>
      </c>
      <c r="I2737" s="5">
        <v>816.71</v>
      </c>
      <c r="J2737" s="57">
        <v>7.0000000000000007E-2</v>
      </c>
      <c r="K2737" s="3">
        <v>12</v>
      </c>
      <c r="L2737" s="2" t="s">
        <v>134</v>
      </c>
      <c r="M2737" s="2" t="s">
        <v>2962</v>
      </c>
      <c r="N2737" s="2" t="s">
        <v>373</v>
      </c>
      <c r="O2737" s="2" t="s">
        <v>3119</v>
      </c>
      <c r="P2737" s="21" t="s">
        <v>12</v>
      </c>
      <c r="Q2737" s="3" t="s">
        <v>12</v>
      </c>
      <c r="R2737" s="3" t="s">
        <v>12</v>
      </c>
    </row>
    <row r="2738" spans="1:18" x14ac:dyDescent="0.25">
      <c r="A2738" s="30">
        <v>46107</v>
      </c>
      <c r="B2738" s="28">
        <v>533</v>
      </c>
      <c r="C2738" s="28"/>
      <c r="D2738" s="2" t="s">
        <v>1615</v>
      </c>
      <c r="E2738" s="7" t="s">
        <v>12</v>
      </c>
      <c r="F2738" s="7" t="s">
        <v>2683</v>
      </c>
      <c r="G2738" s="2" t="s">
        <v>13</v>
      </c>
      <c r="H2738" s="2" t="s">
        <v>467</v>
      </c>
      <c r="I2738" s="5">
        <v>7772.47</v>
      </c>
      <c r="J2738" s="57">
        <v>7.0000000000000007E-2</v>
      </c>
      <c r="K2738" s="3" t="s">
        <v>12</v>
      </c>
      <c r="L2738" s="2" t="s">
        <v>64</v>
      </c>
      <c r="M2738" s="2" t="s">
        <v>12</v>
      </c>
      <c r="N2738" s="2" t="s">
        <v>12</v>
      </c>
      <c r="O2738" s="2" t="s">
        <v>12</v>
      </c>
      <c r="P2738" s="21" t="s">
        <v>12</v>
      </c>
      <c r="Q2738" s="3" t="s">
        <v>12</v>
      </c>
      <c r="R2738" s="3" t="s">
        <v>12</v>
      </c>
    </row>
    <row r="2739" spans="1:18" x14ac:dyDescent="0.25">
      <c r="A2739" s="30">
        <v>46107</v>
      </c>
      <c r="B2739" s="28">
        <v>554</v>
      </c>
      <c r="C2739" s="28"/>
      <c r="D2739" s="2" t="s">
        <v>212</v>
      </c>
      <c r="E2739" s="7" t="s">
        <v>12</v>
      </c>
      <c r="F2739" s="7" t="s">
        <v>2683</v>
      </c>
      <c r="G2739" s="2" t="s">
        <v>20</v>
      </c>
      <c r="H2739" s="2" t="s">
        <v>1000</v>
      </c>
      <c r="I2739" s="5">
        <v>1696.6</v>
      </c>
      <c r="J2739" s="57">
        <v>7.0000000000000007E-2</v>
      </c>
      <c r="K2739" s="3" t="s">
        <v>12</v>
      </c>
      <c r="L2739" s="2" t="s">
        <v>226</v>
      </c>
      <c r="M2739" s="2" t="s">
        <v>12</v>
      </c>
      <c r="N2739" s="2" t="s">
        <v>12</v>
      </c>
      <c r="O2739" s="2" t="s">
        <v>12</v>
      </c>
      <c r="P2739" s="21" t="s">
        <v>12</v>
      </c>
      <c r="Q2739" s="3" t="s">
        <v>12</v>
      </c>
      <c r="R2739" s="3" t="s">
        <v>12</v>
      </c>
    </row>
    <row r="2740" spans="1:18" x14ac:dyDescent="0.25">
      <c r="A2740" s="30">
        <v>46112</v>
      </c>
      <c r="B2740" s="28">
        <v>555</v>
      </c>
      <c r="C2740" s="28" t="s">
        <v>2161</v>
      </c>
      <c r="D2740" s="2" t="s">
        <v>3039</v>
      </c>
      <c r="E2740" s="7" t="s">
        <v>12</v>
      </c>
      <c r="F2740" s="7" t="s">
        <v>2683</v>
      </c>
      <c r="G2740" s="2" t="s">
        <v>13</v>
      </c>
      <c r="H2740" s="2" t="s">
        <v>677</v>
      </c>
      <c r="I2740" s="5">
        <v>21241.42</v>
      </c>
      <c r="J2740" s="57">
        <v>7.0000000000000007E-2</v>
      </c>
      <c r="K2740" s="3">
        <v>240</v>
      </c>
      <c r="L2740" s="2" t="s">
        <v>73</v>
      </c>
      <c r="M2740" s="2" t="s">
        <v>12</v>
      </c>
      <c r="N2740" s="2" t="s">
        <v>12</v>
      </c>
      <c r="O2740" s="2" t="s">
        <v>12</v>
      </c>
      <c r="P2740" s="21" t="s">
        <v>12</v>
      </c>
      <c r="Q2740" s="3" t="s">
        <v>12</v>
      </c>
      <c r="R2740" s="3" t="s">
        <v>12</v>
      </c>
    </row>
    <row r="2741" spans="1:18" x14ac:dyDescent="0.25">
      <c r="A2741" s="30">
        <v>46107</v>
      </c>
      <c r="B2741" s="28">
        <v>556</v>
      </c>
      <c r="C2741" s="28"/>
      <c r="D2741" s="2" t="s">
        <v>1564</v>
      </c>
      <c r="E2741" s="7" t="s">
        <v>3040</v>
      </c>
      <c r="F2741" s="7" t="s">
        <v>2683</v>
      </c>
      <c r="G2741" s="2" t="s">
        <v>97</v>
      </c>
      <c r="H2741" s="2" t="s">
        <v>938</v>
      </c>
      <c r="I2741" s="5">
        <v>62756.15</v>
      </c>
      <c r="J2741" s="57">
        <v>7.0000000000000007E-2</v>
      </c>
      <c r="K2741" s="3">
        <v>552</v>
      </c>
      <c r="L2741" s="2" t="s">
        <v>226</v>
      </c>
      <c r="M2741" s="2" t="s">
        <v>12</v>
      </c>
      <c r="N2741" s="2" t="s">
        <v>12</v>
      </c>
      <c r="O2741" s="2" t="s">
        <v>12</v>
      </c>
      <c r="P2741" s="21" t="s">
        <v>12</v>
      </c>
      <c r="Q2741" s="3" t="s">
        <v>12</v>
      </c>
      <c r="R2741" s="3" t="s">
        <v>12</v>
      </c>
    </row>
    <row r="2742" spans="1:18" x14ac:dyDescent="0.25">
      <c r="A2742" s="30">
        <v>46107</v>
      </c>
      <c r="B2742" s="28">
        <v>557</v>
      </c>
      <c r="C2742" s="28" t="s">
        <v>2161</v>
      </c>
      <c r="D2742" s="2" t="s">
        <v>202</v>
      </c>
      <c r="E2742" s="7" t="s">
        <v>3188</v>
      </c>
      <c r="F2742" s="7" t="s">
        <v>2972</v>
      </c>
      <c r="G2742" s="2" t="s">
        <v>97</v>
      </c>
      <c r="H2742" s="2" t="s">
        <v>1303</v>
      </c>
      <c r="I2742" s="5">
        <v>21955.63</v>
      </c>
      <c r="J2742" s="57">
        <v>0.05</v>
      </c>
      <c r="K2742" s="3">
        <v>216</v>
      </c>
      <c r="L2742" s="2" t="s">
        <v>226</v>
      </c>
      <c r="M2742" s="2" t="s">
        <v>12</v>
      </c>
      <c r="N2742" s="2" t="s">
        <v>12</v>
      </c>
      <c r="O2742" s="2" t="s">
        <v>12</v>
      </c>
      <c r="P2742" s="21" t="s">
        <v>12</v>
      </c>
      <c r="Q2742" s="3" t="s">
        <v>12</v>
      </c>
      <c r="R2742" s="3" t="s">
        <v>12</v>
      </c>
    </row>
    <row r="2743" spans="1:18" x14ac:dyDescent="0.25">
      <c r="A2743" s="30">
        <v>46107</v>
      </c>
      <c r="B2743" s="28">
        <v>558</v>
      </c>
      <c r="C2743" s="28"/>
      <c r="D2743" s="2" t="s">
        <v>1998</v>
      </c>
      <c r="E2743" s="7" t="s">
        <v>12</v>
      </c>
      <c r="F2743" s="7" t="s">
        <v>2683</v>
      </c>
      <c r="G2743" s="2" t="s">
        <v>43</v>
      </c>
      <c r="H2743" s="2" t="s">
        <v>438</v>
      </c>
      <c r="I2743" s="5">
        <v>208818.13</v>
      </c>
      <c r="J2743" s="57">
        <v>7.0000000000000007E-2</v>
      </c>
      <c r="K2743" s="3">
        <v>2448</v>
      </c>
      <c r="L2743" s="2" t="s">
        <v>226</v>
      </c>
      <c r="M2743" s="2" t="s">
        <v>12</v>
      </c>
      <c r="N2743" s="2" t="s">
        <v>12</v>
      </c>
      <c r="O2743" s="2" t="s">
        <v>12</v>
      </c>
      <c r="P2743" s="21" t="s">
        <v>12</v>
      </c>
      <c r="Q2743" s="3" t="s">
        <v>12</v>
      </c>
      <c r="R2743" s="3" t="s">
        <v>12</v>
      </c>
    </row>
    <row r="2744" spans="1:18" x14ac:dyDescent="0.25">
      <c r="A2744" s="30">
        <v>46121</v>
      </c>
      <c r="B2744" s="28">
        <v>559</v>
      </c>
      <c r="C2744" s="28"/>
      <c r="D2744" s="2" t="s">
        <v>41</v>
      </c>
      <c r="E2744" s="7" t="s">
        <v>2707</v>
      </c>
      <c r="F2744" s="7" t="s">
        <v>2683</v>
      </c>
      <c r="G2744" s="2" t="s">
        <v>43</v>
      </c>
      <c r="H2744" s="2" t="s">
        <v>158</v>
      </c>
      <c r="I2744" s="5">
        <v>9027.07</v>
      </c>
      <c r="J2744" s="57">
        <v>0.05</v>
      </c>
      <c r="K2744" s="3">
        <v>144</v>
      </c>
      <c r="L2744" s="2" t="s">
        <v>134</v>
      </c>
      <c r="M2744" s="2" t="s">
        <v>3120</v>
      </c>
      <c r="N2744" s="2" t="s">
        <v>135</v>
      </c>
      <c r="O2744" s="2" t="s">
        <v>3121</v>
      </c>
      <c r="P2744" s="21" t="s">
        <v>12</v>
      </c>
      <c r="Q2744" s="3" t="s">
        <v>12</v>
      </c>
      <c r="R2744" s="3" t="s">
        <v>12</v>
      </c>
    </row>
    <row r="2745" spans="1:18" x14ac:dyDescent="0.25">
      <c r="A2745" s="30">
        <v>46107</v>
      </c>
      <c r="B2745" s="28">
        <v>560</v>
      </c>
      <c r="C2745" s="28"/>
      <c r="D2745" s="2" t="s">
        <v>3041</v>
      </c>
      <c r="E2745" s="7" t="s">
        <v>12</v>
      </c>
      <c r="F2745" s="7" t="s">
        <v>2683</v>
      </c>
      <c r="G2745" s="2" t="s">
        <v>13</v>
      </c>
      <c r="H2745" s="2" t="s">
        <v>453</v>
      </c>
      <c r="I2745" s="5">
        <v>9105.5400000000009</v>
      </c>
      <c r="J2745" s="57">
        <v>7.0000000000000007E-2</v>
      </c>
      <c r="K2745" s="3">
        <v>72</v>
      </c>
      <c r="L2745" s="2" t="s">
        <v>73</v>
      </c>
      <c r="M2745" s="2" t="s">
        <v>12</v>
      </c>
      <c r="N2745" s="2" t="s">
        <v>12</v>
      </c>
      <c r="O2745" s="2" t="s">
        <v>12</v>
      </c>
      <c r="P2745" s="21" t="s">
        <v>12</v>
      </c>
      <c r="Q2745" s="3" t="s">
        <v>12</v>
      </c>
      <c r="R2745" s="3" t="s">
        <v>12</v>
      </c>
    </row>
    <row r="2746" spans="1:18" x14ac:dyDescent="0.25">
      <c r="A2746" s="30">
        <v>46107</v>
      </c>
      <c r="B2746" s="28">
        <v>561</v>
      </c>
      <c r="C2746" s="28" t="s">
        <v>2161</v>
      </c>
      <c r="D2746" s="2" t="s">
        <v>411</v>
      </c>
      <c r="E2746" s="7" t="s">
        <v>2932</v>
      </c>
      <c r="F2746" s="7" t="s">
        <v>2683</v>
      </c>
      <c r="G2746" s="2" t="s">
        <v>26</v>
      </c>
      <c r="H2746" s="2" t="s">
        <v>98</v>
      </c>
      <c r="I2746" s="5">
        <v>5261.15</v>
      </c>
      <c r="J2746" s="57">
        <v>0.04</v>
      </c>
      <c r="K2746" s="3">
        <v>72</v>
      </c>
      <c r="L2746" s="2" t="s">
        <v>64</v>
      </c>
      <c r="M2746" s="2" t="s">
        <v>12</v>
      </c>
      <c r="N2746" s="2" t="s">
        <v>12</v>
      </c>
      <c r="O2746" s="2" t="s">
        <v>12</v>
      </c>
      <c r="P2746" s="21" t="s">
        <v>12</v>
      </c>
      <c r="Q2746" s="3" t="s">
        <v>12</v>
      </c>
      <c r="R2746" s="3" t="s">
        <v>12</v>
      </c>
    </row>
    <row r="2747" spans="1:18" x14ac:dyDescent="0.25">
      <c r="A2747" s="30">
        <v>46107</v>
      </c>
      <c r="B2747" s="28">
        <v>562</v>
      </c>
      <c r="C2747" s="28"/>
      <c r="D2747" s="2" t="s">
        <v>646</v>
      </c>
      <c r="E2747" s="38" t="s">
        <v>3125</v>
      </c>
      <c r="F2747" s="7" t="s">
        <v>2683</v>
      </c>
      <c r="G2747" s="2" t="s">
        <v>111</v>
      </c>
      <c r="H2747" s="2" t="s">
        <v>3126</v>
      </c>
      <c r="I2747" s="5">
        <v>36923.93</v>
      </c>
      <c r="J2747" s="57">
        <v>0.04</v>
      </c>
      <c r="K2747" s="3" t="s">
        <v>12</v>
      </c>
      <c r="L2747" s="2" t="s">
        <v>64</v>
      </c>
      <c r="M2747" s="2" t="s">
        <v>12</v>
      </c>
      <c r="N2747" s="2" t="s">
        <v>12</v>
      </c>
      <c r="O2747" s="2" t="s">
        <v>12</v>
      </c>
      <c r="P2747" s="21"/>
      <c r="Q2747" s="3" t="s">
        <v>12</v>
      </c>
      <c r="R2747" s="3" t="s">
        <v>12</v>
      </c>
    </row>
    <row r="2748" spans="1:18" x14ac:dyDescent="0.25">
      <c r="A2748" s="30">
        <v>46108</v>
      </c>
      <c r="B2748" s="28">
        <v>563</v>
      </c>
      <c r="C2748" s="28" t="s">
        <v>2161</v>
      </c>
      <c r="D2748" s="2" t="s">
        <v>894</v>
      </c>
      <c r="E2748" s="7" t="s">
        <v>12</v>
      </c>
      <c r="F2748" s="7" t="s">
        <v>2683</v>
      </c>
      <c r="G2748" s="2" t="s">
        <v>13</v>
      </c>
      <c r="H2748" s="2" t="s">
        <v>119</v>
      </c>
      <c r="I2748" s="5">
        <v>22000</v>
      </c>
      <c r="J2748" s="57">
        <v>0.05</v>
      </c>
      <c r="K2748" s="3">
        <v>288</v>
      </c>
      <c r="L2748" s="2" t="s">
        <v>64</v>
      </c>
      <c r="M2748" s="2" t="s">
        <v>12</v>
      </c>
      <c r="N2748" s="2" t="s">
        <v>12</v>
      </c>
      <c r="O2748" s="2" t="s">
        <v>12</v>
      </c>
      <c r="P2748" s="21" t="s">
        <v>12</v>
      </c>
      <c r="Q2748" s="3" t="s">
        <v>12</v>
      </c>
      <c r="R2748" s="3" t="s">
        <v>12</v>
      </c>
    </row>
    <row r="2749" spans="1:18" x14ac:dyDescent="0.25">
      <c r="A2749" s="30">
        <v>46108</v>
      </c>
      <c r="B2749" s="28">
        <v>564</v>
      </c>
      <c r="C2749" s="28"/>
      <c r="D2749" s="2" t="s">
        <v>1711</v>
      </c>
      <c r="E2749" s="7" t="s">
        <v>3042</v>
      </c>
      <c r="F2749" s="7" t="s">
        <v>2683</v>
      </c>
      <c r="G2749" s="2" t="s">
        <v>13</v>
      </c>
      <c r="H2749" s="2" t="s">
        <v>1321</v>
      </c>
      <c r="I2749" s="5">
        <v>6462.24</v>
      </c>
      <c r="J2749" s="57">
        <v>7.0000000000000007E-2</v>
      </c>
      <c r="K2749" s="3">
        <v>72</v>
      </c>
      <c r="L2749" s="2" t="s">
        <v>73</v>
      </c>
      <c r="M2749" s="2" t="s">
        <v>12</v>
      </c>
      <c r="N2749" s="2" t="s">
        <v>12</v>
      </c>
      <c r="O2749" s="2" t="s">
        <v>12</v>
      </c>
      <c r="P2749" s="21" t="s">
        <v>12</v>
      </c>
      <c r="Q2749" s="3" t="s">
        <v>12</v>
      </c>
      <c r="R2749" s="3" t="s">
        <v>12</v>
      </c>
    </row>
    <row r="2750" spans="1:18" x14ac:dyDescent="0.25">
      <c r="A2750" s="30">
        <v>46111</v>
      </c>
      <c r="B2750" s="28">
        <v>565</v>
      </c>
      <c r="C2750" s="28" t="s">
        <v>2161</v>
      </c>
      <c r="D2750" s="2" t="s">
        <v>3043</v>
      </c>
      <c r="E2750" s="7">
        <v>1485939</v>
      </c>
      <c r="F2750" s="7" t="s">
        <v>2683</v>
      </c>
      <c r="G2750" s="2" t="s">
        <v>13</v>
      </c>
      <c r="H2750" s="2" t="s">
        <v>1003</v>
      </c>
      <c r="I2750" s="5">
        <v>9045.73</v>
      </c>
      <c r="J2750" s="57">
        <v>7.0000000000000007E-2</v>
      </c>
      <c r="K2750" s="3">
        <v>120</v>
      </c>
      <c r="L2750" s="2" t="s">
        <v>64</v>
      </c>
      <c r="M2750" s="2" t="s">
        <v>12</v>
      </c>
      <c r="N2750" s="2" t="s">
        <v>12</v>
      </c>
      <c r="O2750" s="2" t="s">
        <v>12</v>
      </c>
      <c r="P2750" s="21" t="s">
        <v>12</v>
      </c>
      <c r="Q2750" s="3" t="s">
        <v>12</v>
      </c>
      <c r="R2750" s="3" t="s">
        <v>12</v>
      </c>
    </row>
    <row r="2751" spans="1:18" x14ac:dyDescent="0.25">
      <c r="A2751" s="30">
        <v>46108</v>
      </c>
      <c r="B2751" s="28">
        <v>566</v>
      </c>
      <c r="C2751" s="28"/>
      <c r="D2751" s="2" t="s">
        <v>415</v>
      </c>
      <c r="E2751" s="7" t="s">
        <v>2863</v>
      </c>
      <c r="F2751" s="7" t="s">
        <v>1844</v>
      </c>
      <c r="G2751" s="2" t="s">
        <v>13</v>
      </c>
      <c r="H2751" s="2" t="s">
        <v>390</v>
      </c>
      <c r="I2751" s="5">
        <v>117603.79</v>
      </c>
      <c r="J2751" s="57">
        <v>7.0000000000000007E-2</v>
      </c>
      <c r="K2751" s="3">
        <v>1224</v>
      </c>
      <c r="L2751" s="2" t="s">
        <v>73</v>
      </c>
      <c r="M2751" s="2" t="s">
        <v>12</v>
      </c>
      <c r="N2751" s="2" t="s">
        <v>12</v>
      </c>
      <c r="O2751" s="2" t="s">
        <v>12</v>
      </c>
      <c r="P2751" s="21" t="s">
        <v>12</v>
      </c>
      <c r="Q2751" s="3" t="s">
        <v>1839</v>
      </c>
      <c r="R2751" s="3" t="s">
        <v>75</v>
      </c>
    </row>
    <row r="2752" spans="1:18" x14ac:dyDescent="0.25">
      <c r="A2752" s="30">
        <v>46108</v>
      </c>
      <c r="B2752" s="28">
        <v>567</v>
      </c>
      <c r="C2752" s="28"/>
      <c r="D2752" s="2" t="s">
        <v>684</v>
      </c>
      <c r="E2752" s="7" t="s">
        <v>12</v>
      </c>
      <c r="F2752" s="7" t="s">
        <v>2683</v>
      </c>
      <c r="G2752" s="2" t="s">
        <v>43</v>
      </c>
      <c r="H2752" s="2" t="s">
        <v>407</v>
      </c>
      <c r="I2752" s="5">
        <v>266165.64</v>
      </c>
      <c r="J2752" s="57">
        <v>7.0000000000000007E-2</v>
      </c>
      <c r="K2752" s="3">
        <v>3120</v>
      </c>
      <c r="L2752" s="2" t="s">
        <v>226</v>
      </c>
      <c r="M2752" s="2" t="s">
        <v>12</v>
      </c>
      <c r="N2752" s="2" t="s">
        <v>12</v>
      </c>
      <c r="O2752" s="2" t="s">
        <v>12</v>
      </c>
      <c r="P2752" s="21" t="s">
        <v>12</v>
      </c>
      <c r="Q2752" s="3" t="s">
        <v>12</v>
      </c>
      <c r="R2752" s="3" t="s">
        <v>12</v>
      </c>
    </row>
    <row r="2753" spans="1:18" x14ac:dyDescent="0.25">
      <c r="A2753" s="30">
        <v>46108</v>
      </c>
      <c r="B2753" s="28">
        <v>568</v>
      </c>
      <c r="C2753" s="28"/>
      <c r="D2753" s="2" t="s">
        <v>206</v>
      </c>
      <c r="E2753" s="7" t="s">
        <v>2992</v>
      </c>
      <c r="F2753" s="7" t="s">
        <v>3001</v>
      </c>
      <c r="G2753" s="2" t="s">
        <v>97</v>
      </c>
      <c r="H2753" s="2" t="s">
        <v>616</v>
      </c>
      <c r="I2753" s="5">
        <v>39824.18</v>
      </c>
      <c r="J2753" s="57">
        <v>7.0000000000000007E-2</v>
      </c>
      <c r="K2753" s="3">
        <v>456</v>
      </c>
      <c r="L2753" s="2" t="s">
        <v>226</v>
      </c>
      <c r="M2753" s="2" t="s">
        <v>12</v>
      </c>
      <c r="N2753" s="2" t="s">
        <v>12</v>
      </c>
      <c r="O2753" s="2" t="s">
        <v>12</v>
      </c>
      <c r="P2753" s="21" t="s">
        <v>12</v>
      </c>
      <c r="Q2753" s="3" t="s">
        <v>2999</v>
      </c>
      <c r="R2753" s="3" t="s">
        <v>3000</v>
      </c>
    </row>
    <row r="2754" spans="1:18" x14ac:dyDescent="0.25">
      <c r="A2754" s="30">
        <v>46112</v>
      </c>
      <c r="B2754" s="28">
        <v>569</v>
      </c>
      <c r="C2754" s="28" t="s">
        <v>2161</v>
      </c>
      <c r="D2754" s="2" t="s">
        <v>3044</v>
      </c>
      <c r="E2754" s="7" t="s">
        <v>12</v>
      </c>
      <c r="F2754" s="7" t="s">
        <v>2683</v>
      </c>
      <c r="G2754" s="2" t="s">
        <v>13</v>
      </c>
      <c r="H2754" s="2" t="s">
        <v>119</v>
      </c>
      <c r="I2754" s="5">
        <v>4207.9399999999996</v>
      </c>
      <c r="J2754" s="57">
        <v>7.0000000000000007E-2</v>
      </c>
      <c r="K2754" s="3">
        <v>48</v>
      </c>
      <c r="L2754" s="2" t="s">
        <v>64</v>
      </c>
      <c r="M2754" s="2" t="s">
        <v>12</v>
      </c>
      <c r="N2754" s="2" t="s">
        <v>12</v>
      </c>
      <c r="O2754" s="2" t="s">
        <v>12</v>
      </c>
      <c r="P2754" s="21" t="s">
        <v>12</v>
      </c>
      <c r="Q2754" s="3" t="s">
        <v>12</v>
      </c>
      <c r="R2754" s="3" t="s">
        <v>12</v>
      </c>
    </row>
    <row r="2755" spans="1:18" x14ac:dyDescent="0.25">
      <c r="A2755" s="30">
        <v>46111</v>
      </c>
      <c r="B2755" s="28">
        <v>570</v>
      </c>
      <c r="C2755" s="28" t="s">
        <v>2161</v>
      </c>
      <c r="D2755" s="2" t="s">
        <v>23</v>
      </c>
      <c r="E2755" s="7" t="s">
        <v>3045</v>
      </c>
      <c r="F2755" s="7" t="s">
        <v>3001</v>
      </c>
      <c r="G2755" s="2" t="s">
        <v>20</v>
      </c>
      <c r="H2755" s="2" t="s">
        <v>24</v>
      </c>
      <c r="I2755" s="5">
        <v>18238.41</v>
      </c>
      <c r="J2755" s="57">
        <v>0.04</v>
      </c>
      <c r="K2755" s="3">
        <v>288</v>
      </c>
      <c r="L2755" s="2" t="s">
        <v>64</v>
      </c>
      <c r="M2755" s="2" t="s">
        <v>12</v>
      </c>
      <c r="N2755" s="2" t="s">
        <v>12</v>
      </c>
      <c r="O2755" s="2" t="s">
        <v>12</v>
      </c>
      <c r="P2755" s="21" t="s">
        <v>12</v>
      </c>
      <c r="Q2755" s="3" t="s">
        <v>12</v>
      </c>
      <c r="R2755" s="3" t="s">
        <v>12</v>
      </c>
    </row>
    <row r="2756" spans="1:18" x14ac:dyDescent="0.25">
      <c r="A2756" s="30">
        <v>46108</v>
      </c>
      <c r="B2756" s="28">
        <v>571</v>
      </c>
      <c r="C2756" s="28"/>
      <c r="D2756" s="2" t="s">
        <v>340</v>
      </c>
      <c r="E2756" s="7" t="s">
        <v>12</v>
      </c>
      <c r="F2756" s="7" t="s">
        <v>2683</v>
      </c>
      <c r="G2756" s="2" t="s">
        <v>13</v>
      </c>
      <c r="H2756" s="2" t="s">
        <v>15</v>
      </c>
      <c r="I2756" s="5">
        <v>389.97</v>
      </c>
      <c r="J2756" s="57">
        <v>7.0000000000000007E-2</v>
      </c>
      <c r="K2756" s="3">
        <v>4.8</v>
      </c>
      <c r="L2756" s="2" t="s">
        <v>64</v>
      </c>
      <c r="M2756" s="2" t="s">
        <v>12</v>
      </c>
      <c r="N2756" s="2" t="s">
        <v>12</v>
      </c>
      <c r="O2756" s="2" t="s">
        <v>12</v>
      </c>
      <c r="P2756" s="21" t="s">
        <v>12</v>
      </c>
      <c r="Q2756" s="3" t="s">
        <v>12</v>
      </c>
      <c r="R2756" s="3" t="s">
        <v>12</v>
      </c>
    </row>
    <row r="2757" spans="1:18" x14ac:dyDescent="0.25">
      <c r="A2757" s="30">
        <v>46108</v>
      </c>
      <c r="B2757" s="28">
        <v>572</v>
      </c>
      <c r="C2757" s="28"/>
      <c r="D2757" s="2" t="s">
        <v>3046</v>
      </c>
      <c r="E2757" s="7" t="s">
        <v>12</v>
      </c>
      <c r="F2757" s="7" t="s">
        <v>2683</v>
      </c>
      <c r="G2757" s="2" t="s">
        <v>13</v>
      </c>
      <c r="H2757" s="2" t="s">
        <v>261</v>
      </c>
      <c r="I2757" s="5">
        <v>52454.25</v>
      </c>
      <c r="J2757" s="57">
        <v>7.0000000000000007E-2</v>
      </c>
      <c r="K2757" s="3">
        <v>480</v>
      </c>
      <c r="L2757" s="2" t="s">
        <v>73</v>
      </c>
      <c r="M2757" s="2" t="s">
        <v>12</v>
      </c>
      <c r="N2757" s="2" t="s">
        <v>12</v>
      </c>
      <c r="O2757" s="2" t="s">
        <v>12</v>
      </c>
      <c r="P2757" s="21" t="s">
        <v>12</v>
      </c>
      <c r="Q2757" s="3" t="s">
        <v>12</v>
      </c>
      <c r="R2757" s="3" t="s">
        <v>12</v>
      </c>
    </row>
    <row r="2758" spans="1:18" x14ac:dyDescent="0.25">
      <c r="A2758" s="30">
        <v>46111</v>
      </c>
      <c r="B2758" s="28">
        <v>573</v>
      </c>
      <c r="C2758" s="28"/>
      <c r="D2758" s="2" t="s">
        <v>23</v>
      </c>
      <c r="E2758" s="7" t="s">
        <v>3047</v>
      </c>
      <c r="F2758" s="7" t="s">
        <v>3001</v>
      </c>
      <c r="G2758" s="2" t="s">
        <v>20</v>
      </c>
      <c r="H2758" s="2" t="s">
        <v>24</v>
      </c>
      <c r="I2758" s="5">
        <v>7998.98</v>
      </c>
      <c r="J2758" s="57">
        <v>0.04</v>
      </c>
      <c r="K2758" s="3">
        <v>120</v>
      </c>
      <c r="L2758" s="2" t="s">
        <v>64</v>
      </c>
      <c r="M2758" s="2" t="s">
        <v>12</v>
      </c>
      <c r="N2758" s="2" t="s">
        <v>12</v>
      </c>
      <c r="O2758" s="2" t="s">
        <v>12</v>
      </c>
      <c r="P2758" s="21" t="s">
        <v>12</v>
      </c>
      <c r="Q2758" s="3" t="s">
        <v>12</v>
      </c>
      <c r="R2758" s="3" t="s">
        <v>12</v>
      </c>
    </row>
    <row r="2759" spans="1:18" x14ac:dyDescent="0.25">
      <c r="A2759" s="30">
        <v>46111</v>
      </c>
      <c r="B2759" s="28">
        <v>574</v>
      </c>
      <c r="C2759" s="28"/>
      <c r="D2759" s="2" t="s">
        <v>2561</v>
      </c>
      <c r="E2759" s="7" t="s">
        <v>12</v>
      </c>
      <c r="F2759" s="7" t="s">
        <v>2683</v>
      </c>
      <c r="G2759" s="2" t="s">
        <v>13</v>
      </c>
      <c r="H2759" s="2" t="s">
        <v>368</v>
      </c>
      <c r="I2759" s="5">
        <v>1780.77</v>
      </c>
      <c r="J2759" s="57">
        <v>7.0000000000000007E-2</v>
      </c>
      <c r="K2759" s="3" t="s">
        <v>12</v>
      </c>
      <c r="L2759" s="2" t="s">
        <v>64</v>
      </c>
      <c r="M2759" s="2" t="s">
        <v>12</v>
      </c>
      <c r="N2759" s="2" t="s">
        <v>12</v>
      </c>
      <c r="O2759" s="2" t="s">
        <v>12</v>
      </c>
      <c r="P2759" s="21" t="s">
        <v>12</v>
      </c>
      <c r="Q2759" s="3" t="s">
        <v>12</v>
      </c>
      <c r="R2759" s="3" t="s">
        <v>12</v>
      </c>
    </row>
    <row r="2760" spans="1:18" x14ac:dyDescent="0.25">
      <c r="A2760" s="30">
        <v>46141</v>
      </c>
      <c r="B2760" s="28">
        <v>575</v>
      </c>
      <c r="C2760" s="28"/>
      <c r="D2760" s="2" t="s">
        <v>23</v>
      </c>
      <c r="E2760" s="67">
        <v>2026000214</v>
      </c>
      <c r="F2760" s="7" t="s">
        <v>3001</v>
      </c>
      <c r="G2760" s="2" t="s">
        <v>20</v>
      </c>
      <c r="H2760" s="2" t="s">
        <v>32</v>
      </c>
      <c r="I2760" s="5">
        <v>16515.47</v>
      </c>
      <c r="J2760" s="57">
        <v>0.04</v>
      </c>
      <c r="K2760" s="3">
        <v>216</v>
      </c>
      <c r="L2760" s="2" t="s">
        <v>134</v>
      </c>
      <c r="M2760" s="2" t="s">
        <v>3231</v>
      </c>
      <c r="N2760" s="2" t="s">
        <v>135</v>
      </c>
      <c r="O2760" s="2" t="s">
        <v>443</v>
      </c>
      <c r="P2760" s="21" t="s">
        <v>12</v>
      </c>
      <c r="Q2760" s="3" t="s">
        <v>12</v>
      </c>
      <c r="R2760" s="3" t="s">
        <v>12</v>
      </c>
    </row>
    <row r="2761" spans="1:18" x14ac:dyDescent="0.25">
      <c r="A2761" s="30">
        <v>46111</v>
      </c>
      <c r="B2761" s="28">
        <v>576</v>
      </c>
      <c r="C2761" s="28"/>
      <c r="D2761" s="2" t="s">
        <v>723</v>
      </c>
      <c r="E2761" s="7" t="s">
        <v>3048</v>
      </c>
      <c r="F2761" s="7" t="s">
        <v>3001</v>
      </c>
      <c r="G2761" s="2" t="s">
        <v>97</v>
      </c>
      <c r="H2761" s="2" t="s">
        <v>725</v>
      </c>
      <c r="I2761" s="5">
        <v>2528.88</v>
      </c>
      <c r="J2761" s="57">
        <v>7.0000000000000007E-2</v>
      </c>
      <c r="K2761" s="3">
        <v>27</v>
      </c>
      <c r="L2761" s="2" t="s">
        <v>64</v>
      </c>
      <c r="M2761" s="2" t="s">
        <v>12</v>
      </c>
      <c r="N2761" s="2" t="s">
        <v>12</v>
      </c>
      <c r="O2761" s="2" t="s">
        <v>12</v>
      </c>
      <c r="P2761" s="21" t="s">
        <v>12</v>
      </c>
      <c r="Q2761" s="3" t="s">
        <v>12</v>
      </c>
      <c r="R2761" s="3" t="s">
        <v>12</v>
      </c>
    </row>
    <row r="2762" spans="1:18" x14ac:dyDescent="0.25">
      <c r="A2762" s="30">
        <v>46111</v>
      </c>
      <c r="B2762" s="28">
        <v>577</v>
      </c>
      <c r="C2762" s="28" t="s">
        <v>2161</v>
      </c>
      <c r="D2762" s="2" t="s">
        <v>23</v>
      </c>
      <c r="E2762" s="7" t="s">
        <v>3049</v>
      </c>
      <c r="F2762" s="7" t="s">
        <v>3001</v>
      </c>
      <c r="G2762" s="2" t="s">
        <v>20</v>
      </c>
      <c r="H2762" s="2" t="s">
        <v>32</v>
      </c>
      <c r="I2762" s="5">
        <v>72668.81</v>
      </c>
      <c r="J2762" s="57">
        <v>0.04</v>
      </c>
      <c r="K2762" s="3">
        <v>120</v>
      </c>
      <c r="L2762" s="2" t="s">
        <v>64</v>
      </c>
      <c r="M2762" s="2" t="s">
        <v>12</v>
      </c>
      <c r="N2762" s="2" t="s">
        <v>12</v>
      </c>
      <c r="O2762" s="2" t="s">
        <v>12</v>
      </c>
      <c r="P2762" s="21" t="s">
        <v>12</v>
      </c>
      <c r="Q2762" s="3" t="s">
        <v>12</v>
      </c>
      <c r="R2762" s="3" t="s">
        <v>12</v>
      </c>
    </row>
    <row r="2763" spans="1:18" x14ac:dyDescent="0.25">
      <c r="A2763" s="30">
        <v>46111</v>
      </c>
      <c r="B2763" s="28">
        <v>578</v>
      </c>
      <c r="C2763" s="28"/>
      <c r="D2763" s="2" t="s">
        <v>2297</v>
      </c>
      <c r="E2763" s="7" t="s">
        <v>3050</v>
      </c>
      <c r="F2763" s="7" t="s">
        <v>3001</v>
      </c>
      <c r="G2763" s="2" t="s">
        <v>13</v>
      </c>
      <c r="H2763" s="2" t="s">
        <v>235</v>
      </c>
      <c r="I2763" s="5">
        <v>26528.73</v>
      </c>
      <c r="J2763" s="57">
        <v>7.0000000000000007E-2</v>
      </c>
      <c r="K2763" s="3">
        <v>264</v>
      </c>
      <c r="L2763" s="2" t="s">
        <v>73</v>
      </c>
      <c r="M2763" s="2" t="s">
        <v>12</v>
      </c>
      <c r="N2763" s="2" t="s">
        <v>12</v>
      </c>
      <c r="O2763" s="2" t="s">
        <v>12</v>
      </c>
      <c r="P2763" s="21" t="s">
        <v>12</v>
      </c>
      <c r="Q2763" s="3" t="s">
        <v>2297</v>
      </c>
      <c r="R2763" s="3" t="s">
        <v>194</v>
      </c>
    </row>
    <row r="2764" spans="1:18" x14ac:dyDescent="0.25">
      <c r="A2764" s="30">
        <v>46112</v>
      </c>
      <c r="B2764" s="28">
        <v>579</v>
      </c>
      <c r="C2764" s="28" t="s">
        <v>2161</v>
      </c>
      <c r="D2764" s="2" t="s">
        <v>103</v>
      </c>
      <c r="E2764" s="7" t="s">
        <v>3051</v>
      </c>
      <c r="F2764" s="7" t="s">
        <v>2972</v>
      </c>
      <c r="G2764" s="2" t="s">
        <v>13</v>
      </c>
      <c r="H2764" s="2" t="s">
        <v>491</v>
      </c>
      <c r="I2764" s="5">
        <v>54835.8</v>
      </c>
      <c r="J2764" s="57">
        <v>7.0000000000000007E-2</v>
      </c>
      <c r="K2764" s="3">
        <v>816</v>
      </c>
      <c r="L2764" s="2" t="s">
        <v>134</v>
      </c>
      <c r="M2764" s="2" t="s">
        <v>1160</v>
      </c>
      <c r="N2764" s="2" t="s">
        <v>135</v>
      </c>
      <c r="O2764" s="2" t="s">
        <v>374</v>
      </c>
      <c r="P2764" s="21">
        <v>53000</v>
      </c>
      <c r="Q2764" s="3" t="s">
        <v>12</v>
      </c>
      <c r="R2764" s="3" t="s">
        <v>12</v>
      </c>
    </row>
    <row r="2765" spans="1:18" x14ac:dyDescent="0.25">
      <c r="A2765" s="30">
        <v>46112</v>
      </c>
      <c r="B2765" s="28">
        <v>580</v>
      </c>
      <c r="C2765" s="28"/>
      <c r="D2765" s="2" t="s">
        <v>601</v>
      </c>
      <c r="E2765" s="7" t="s">
        <v>3052</v>
      </c>
      <c r="F2765" s="7" t="s">
        <v>3002</v>
      </c>
      <c r="G2765" s="2" t="s">
        <v>13</v>
      </c>
      <c r="H2765" s="2" t="s">
        <v>182</v>
      </c>
      <c r="I2765" s="5">
        <v>228734.74</v>
      </c>
      <c r="J2765" s="57">
        <v>7.0000000000000007E-2</v>
      </c>
      <c r="K2765" s="3">
        <v>1990.8</v>
      </c>
      <c r="L2765" s="2" t="s">
        <v>73</v>
      </c>
      <c r="M2765" s="2" t="s">
        <v>12</v>
      </c>
      <c r="N2765" s="2" t="s">
        <v>12</v>
      </c>
      <c r="O2765" s="2" t="s">
        <v>12</v>
      </c>
      <c r="P2765" s="21" t="s">
        <v>12</v>
      </c>
      <c r="Q2765" s="3" t="s">
        <v>12</v>
      </c>
      <c r="R2765" s="3" t="s">
        <v>12</v>
      </c>
    </row>
    <row r="2766" spans="1:18" x14ac:dyDescent="0.25">
      <c r="A2766" s="30">
        <v>46112</v>
      </c>
      <c r="B2766" s="28">
        <v>581</v>
      </c>
      <c r="C2766" s="28"/>
      <c r="D2766" s="2" t="s">
        <v>1885</v>
      </c>
      <c r="E2766" s="7" t="s">
        <v>12</v>
      </c>
      <c r="F2766" s="7" t="s">
        <v>2683</v>
      </c>
      <c r="G2766" s="2" t="s">
        <v>13</v>
      </c>
      <c r="H2766" s="2" t="s">
        <v>35</v>
      </c>
      <c r="I2766" s="5">
        <v>2475.11</v>
      </c>
      <c r="J2766" s="57">
        <v>7.0000000000000007E-2</v>
      </c>
      <c r="K2766" s="3">
        <v>24</v>
      </c>
      <c r="L2766" s="2" t="s">
        <v>73</v>
      </c>
      <c r="M2766" s="2" t="s">
        <v>12</v>
      </c>
      <c r="N2766" s="2" t="s">
        <v>12</v>
      </c>
      <c r="O2766" s="2" t="s">
        <v>12</v>
      </c>
      <c r="P2766" s="21" t="s">
        <v>12</v>
      </c>
      <c r="Q2766" s="3" t="s">
        <v>12</v>
      </c>
      <c r="R2766" s="3" t="s">
        <v>12</v>
      </c>
    </row>
    <row r="2767" spans="1:18" x14ac:dyDescent="0.25">
      <c r="A2767" s="30">
        <v>46112</v>
      </c>
      <c r="B2767" s="28">
        <v>582</v>
      </c>
      <c r="C2767" s="28"/>
      <c r="D2767" s="2" t="s">
        <v>601</v>
      </c>
      <c r="E2767" s="7" t="s">
        <v>3053</v>
      </c>
      <c r="F2767" s="7" t="s">
        <v>3003</v>
      </c>
      <c r="G2767" s="2" t="s">
        <v>13</v>
      </c>
      <c r="H2767" s="2" t="s">
        <v>2351</v>
      </c>
      <c r="I2767" s="5">
        <v>24463.49</v>
      </c>
      <c r="J2767" s="57">
        <v>7.0000000000000007E-2</v>
      </c>
      <c r="K2767" s="3" t="s">
        <v>12</v>
      </c>
      <c r="L2767" s="2" t="s">
        <v>73</v>
      </c>
      <c r="M2767" s="2" t="s">
        <v>12</v>
      </c>
      <c r="N2767" s="2" t="s">
        <v>12</v>
      </c>
      <c r="O2767" s="2" t="s">
        <v>12</v>
      </c>
      <c r="P2767" s="21" t="s">
        <v>12</v>
      </c>
      <c r="Q2767" s="3" t="s">
        <v>12</v>
      </c>
      <c r="R2767" s="3" t="s">
        <v>12</v>
      </c>
    </row>
    <row r="2768" spans="1:18" x14ac:dyDescent="0.25">
      <c r="A2768" s="30">
        <v>46112</v>
      </c>
      <c r="B2768" s="28">
        <v>583</v>
      </c>
      <c r="C2768" s="28"/>
      <c r="D2768" s="2" t="s">
        <v>1076</v>
      </c>
      <c r="E2768" s="7" t="s">
        <v>3054</v>
      </c>
      <c r="F2768" s="7" t="s">
        <v>2694</v>
      </c>
      <c r="G2768" s="2" t="s">
        <v>13</v>
      </c>
      <c r="H2768" s="2" t="s">
        <v>1785</v>
      </c>
      <c r="I2768" s="5">
        <v>12142.2</v>
      </c>
      <c r="J2768" s="57">
        <v>7.0000000000000007E-2</v>
      </c>
      <c r="K2768" s="3">
        <v>240</v>
      </c>
      <c r="L2768" s="2" t="s">
        <v>64</v>
      </c>
      <c r="M2768" s="2" t="s">
        <v>12</v>
      </c>
      <c r="N2768" s="2" t="s">
        <v>12</v>
      </c>
      <c r="O2768" s="2" t="s">
        <v>12</v>
      </c>
      <c r="P2768" s="21" t="s">
        <v>12</v>
      </c>
      <c r="Q2768" s="3" t="s">
        <v>12</v>
      </c>
      <c r="R2768" s="3" t="s">
        <v>12</v>
      </c>
    </row>
    <row r="2769" spans="1:18" x14ac:dyDescent="0.25">
      <c r="A2769" s="30">
        <v>46112</v>
      </c>
      <c r="B2769" s="28">
        <v>584</v>
      </c>
      <c r="C2769" s="28"/>
      <c r="D2769" s="2" t="s">
        <v>41</v>
      </c>
      <c r="E2769" s="7" t="s">
        <v>3055</v>
      </c>
      <c r="F2769" s="7" t="s">
        <v>2972</v>
      </c>
      <c r="G2769" s="2" t="s">
        <v>43</v>
      </c>
      <c r="H2769" s="2" t="s">
        <v>43</v>
      </c>
      <c r="I2769" s="5">
        <v>47595.5</v>
      </c>
      <c r="J2769" s="57">
        <v>0.05</v>
      </c>
      <c r="K2769" s="3">
        <v>528</v>
      </c>
      <c r="L2769" s="2" t="s">
        <v>226</v>
      </c>
      <c r="M2769" s="2" t="s">
        <v>12</v>
      </c>
      <c r="N2769" s="2" t="s">
        <v>12</v>
      </c>
      <c r="O2769" s="2" t="s">
        <v>12</v>
      </c>
      <c r="P2769" s="21" t="s">
        <v>12</v>
      </c>
      <c r="Q2769" s="3" t="s">
        <v>1748</v>
      </c>
      <c r="R2769" s="3" t="s">
        <v>80</v>
      </c>
    </row>
    <row r="2770" spans="1:18" x14ac:dyDescent="0.25">
      <c r="A2770" s="30">
        <v>46112</v>
      </c>
      <c r="B2770" s="28">
        <v>585</v>
      </c>
      <c r="C2770" s="28"/>
      <c r="D2770" s="2" t="s">
        <v>41</v>
      </c>
      <c r="E2770" s="7" t="s">
        <v>3056</v>
      </c>
      <c r="F2770" s="7" t="s">
        <v>2683</v>
      </c>
      <c r="G2770" s="2" t="s">
        <v>43</v>
      </c>
      <c r="H2770" s="2" t="s">
        <v>319</v>
      </c>
      <c r="I2770" s="5">
        <v>231611.79</v>
      </c>
      <c r="J2770" s="57">
        <v>0.03</v>
      </c>
      <c r="K2770" s="3">
        <v>2472</v>
      </c>
      <c r="L2770" s="2" t="s">
        <v>226</v>
      </c>
      <c r="M2770" s="2" t="s">
        <v>12</v>
      </c>
      <c r="N2770" s="2" t="s">
        <v>12</v>
      </c>
      <c r="O2770" s="2" t="s">
        <v>12</v>
      </c>
      <c r="P2770" s="21" t="s">
        <v>12</v>
      </c>
      <c r="Q2770" s="3" t="s">
        <v>12</v>
      </c>
      <c r="R2770" s="3" t="s">
        <v>12</v>
      </c>
    </row>
    <row r="2771" spans="1:18" x14ac:dyDescent="0.25">
      <c r="A2771" s="30">
        <v>46112</v>
      </c>
      <c r="B2771" s="28">
        <v>586</v>
      </c>
      <c r="C2771" s="28"/>
      <c r="D2771" s="2" t="s">
        <v>601</v>
      </c>
      <c r="E2771" s="7" t="s">
        <v>3057</v>
      </c>
      <c r="F2771" s="7" t="s">
        <v>2902</v>
      </c>
      <c r="G2771" s="2" t="s">
        <v>13</v>
      </c>
      <c r="H2771" s="2" t="s">
        <v>182</v>
      </c>
      <c r="I2771" s="5">
        <v>5042.75</v>
      </c>
      <c r="J2771" s="57">
        <v>7.0000000000000007E-2</v>
      </c>
      <c r="K2771" s="3">
        <v>48</v>
      </c>
      <c r="L2771" s="2" t="s">
        <v>73</v>
      </c>
      <c r="M2771" s="2" t="s">
        <v>12</v>
      </c>
      <c r="N2771" s="2"/>
      <c r="O2771" s="2" t="s">
        <v>12</v>
      </c>
      <c r="P2771" s="21" t="s">
        <v>12</v>
      </c>
      <c r="Q2771" s="3" t="s">
        <v>12</v>
      </c>
      <c r="R2771" s="3" t="s">
        <v>12</v>
      </c>
    </row>
    <row r="2772" spans="1:18" x14ac:dyDescent="0.25">
      <c r="A2772" s="30">
        <v>46112</v>
      </c>
      <c r="B2772" s="28">
        <v>587</v>
      </c>
      <c r="C2772" s="28"/>
      <c r="D2772" s="2" t="s">
        <v>298</v>
      </c>
      <c r="E2772" s="7" t="s">
        <v>12</v>
      </c>
      <c r="F2772" s="7" t="s">
        <v>2683</v>
      </c>
      <c r="G2772" s="2" t="s">
        <v>13</v>
      </c>
      <c r="H2772" s="2" t="s">
        <v>13</v>
      </c>
      <c r="I2772" s="5">
        <v>7954.54</v>
      </c>
      <c r="J2772" s="57">
        <v>0.06</v>
      </c>
      <c r="K2772" s="3">
        <v>96</v>
      </c>
      <c r="L2772" s="2" t="s">
        <v>73</v>
      </c>
      <c r="M2772" s="2" t="s">
        <v>12</v>
      </c>
      <c r="N2772" s="2" t="s">
        <v>12</v>
      </c>
      <c r="O2772" s="2" t="s">
        <v>12</v>
      </c>
      <c r="P2772" s="21" t="s">
        <v>12</v>
      </c>
      <c r="Q2772" s="3" t="s">
        <v>12</v>
      </c>
      <c r="R2772" s="3" t="s">
        <v>12</v>
      </c>
    </row>
    <row r="2773" spans="1:18" x14ac:dyDescent="0.25">
      <c r="A2773" s="30">
        <v>46112</v>
      </c>
      <c r="B2773" s="28">
        <v>588</v>
      </c>
      <c r="C2773" s="28"/>
      <c r="D2773" s="2" t="s">
        <v>1446</v>
      </c>
      <c r="E2773" s="7" t="s">
        <v>3058</v>
      </c>
      <c r="F2773" s="7" t="s">
        <v>2694</v>
      </c>
      <c r="G2773" s="2" t="s">
        <v>43</v>
      </c>
      <c r="H2773" s="2" t="s">
        <v>2007</v>
      </c>
      <c r="I2773" s="5">
        <v>4179.63</v>
      </c>
      <c r="J2773" s="57">
        <v>7.0000000000000007E-2</v>
      </c>
      <c r="K2773" s="3">
        <v>24</v>
      </c>
      <c r="L2773" s="2" t="s">
        <v>73</v>
      </c>
      <c r="M2773" s="2" t="s">
        <v>3372</v>
      </c>
      <c r="N2773" s="2" t="s">
        <v>12</v>
      </c>
      <c r="O2773" s="2" t="s">
        <v>12</v>
      </c>
      <c r="P2773" s="21" t="s">
        <v>12</v>
      </c>
      <c r="Q2773" s="3" t="s">
        <v>12</v>
      </c>
      <c r="R2773" s="3" t="s">
        <v>12</v>
      </c>
    </row>
    <row r="2774" spans="1:18" x14ac:dyDescent="0.25">
      <c r="A2774" s="30">
        <v>46112</v>
      </c>
      <c r="B2774" s="28">
        <v>589</v>
      </c>
      <c r="C2774" s="28"/>
      <c r="D2774" s="2" t="s">
        <v>1446</v>
      </c>
      <c r="E2774" s="7" t="s">
        <v>3059</v>
      </c>
      <c r="F2774" s="7" t="s">
        <v>2694</v>
      </c>
      <c r="G2774" s="2" t="s">
        <v>43</v>
      </c>
      <c r="H2774" s="2" t="s">
        <v>2007</v>
      </c>
      <c r="I2774" s="5">
        <v>3833.99</v>
      </c>
      <c r="J2774" s="57">
        <v>7.0000000000000007E-2</v>
      </c>
      <c r="K2774" s="3">
        <v>24</v>
      </c>
      <c r="L2774" s="2" t="s">
        <v>226</v>
      </c>
      <c r="M2774" s="2" t="s">
        <v>12</v>
      </c>
      <c r="N2774" s="2" t="s">
        <v>12</v>
      </c>
      <c r="O2774" s="2" t="s">
        <v>12</v>
      </c>
      <c r="P2774" s="21" t="s">
        <v>12</v>
      </c>
      <c r="Q2774" s="3" t="s">
        <v>12</v>
      </c>
      <c r="R2774" s="3" t="s">
        <v>12</v>
      </c>
    </row>
    <row r="2775" spans="1:18" x14ac:dyDescent="0.25">
      <c r="A2775" s="30">
        <v>46112</v>
      </c>
      <c r="B2775" s="28">
        <v>590</v>
      </c>
      <c r="C2775" s="28"/>
      <c r="D2775" s="2" t="s">
        <v>1091</v>
      </c>
      <c r="E2775" s="7" t="s">
        <v>3060</v>
      </c>
      <c r="F2775" s="7" t="s">
        <v>2733</v>
      </c>
      <c r="G2775" s="2" t="s">
        <v>26</v>
      </c>
      <c r="H2775" s="2" t="s">
        <v>15</v>
      </c>
      <c r="I2775" s="5">
        <v>14547.12</v>
      </c>
      <c r="J2775" s="57">
        <v>0.03</v>
      </c>
      <c r="K2775" s="3">
        <v>72</v>
      </c>
      <c r="L2775" s="2" t="s">
        <v>64</v>
      </c>
      <c r="M2775" s="2" t="s">
        <v>12</v>
      </c>
      <c r="N2775" s="2" t="s">
        <v>12</v>
      </c>
      <c r="O2775" s="2" t="s">
        <v>12</v>
      </c>
      <c r="P2775" s="21" t="s">
        <v>12</v>
      </c>
      <c r="Q2775" s="3" t="s">
        <v>12</v>
      </c>
      <c r="R2775" s="3" t="s">
        <v>12</v>
      </c>
    </row>
    <row r="2776" spans="1:18" x14ac:dyDescent="0.25">
      <c r="A2776" s="30">
        <v>46112</v>
      </c>
      <c r="B2776" s="28">
        <v>591</v>
      </c>
      <c r="C2776" s="28"/>
      <c r="D2776" s="2" t="s">
        <v>3061</v>
      </c>
      <c r="E2776" s="7" t="s">
        <v>3062</v>
      </c>
      <c r="F2776" s="7" t="s">
        <v>2715</v>
      </c>
      <c r="G2776" s="2" t="s">
        <v>13</v>
      </c>
      <c r="H2776" s="2" t="s">
        <v>3063</v>
      </c>
      <c r="I2776" s="5">
        <v>23749.09</v>
      </c>
      <c r="J2776" s="57">
        <v>7.0000000000000007E-2</v>
      </c>
      <c r="K2776" s="3">
        <v>288</v>
      </c>
      <c r="L2776" s="2" t="s">
        <v>21</v>
      </c>
      <c r="M2776" s="2" t="s">
        <v>3122</v>
      </c>
      <c r="N2776" s="2" t="s">
        <v>12</v>
      </c>
      <c r="O2776" s="2" t="s">
        <v>12</v>
      </c>
      <c r="P2776" s="21" t="s">
        <v>12</v>
      </c>
      <c r="Q2776" s="3" t="s">
        <v>12</v>
      </c>
      <c r="R2776" s="3" t="s">
        <v>12</v>
      </c>
    </row>
    <row r="2777" spans="1:18" x14ac:dyDescent="0.25">
      <c r="A2777" s="30">
        <v>46112</v>
      </c>
      <c r="B2777" s="28">
        <v>592</v>
      </c>
      <c r="C2777" s="28"/>
      <c r="D2777" s="2" t="s">
        <v>3065</v>
      </c>
      <c r="E2777" s="7" t="s">
        <v>3064</v>
      </c>
      <c r="F2777" s="7" t="s">
        <v>2241</v>
      </c>
      <c r="G2777" s="2" t="s">
        <v>13</v>
      </c>
      <c r="H2777" s="2" t="s">
        <v>596</v>
      </c>
      <c r="I2777" s="5">
        <v>35300.92</v>
      </c>
      <c r="J2777" s="57">
        <v>7.0000000000000007E-2</v>
      </c>
      <c r="K2777" s="3">
        <v>336</v>
      </c>
      <c r="L2777" s="2" t="s">
        <v>73</v>
      </c>
      <c r="M2777" s="2" t="s">
        <v>12</v>
      </c>
      <c r="N2777" s="2" t="s">
        <v>12</v>
      </c>
      <c r="O2777" s="2" t="s">
        <v>12</v>
      </c>
      <c r="P2777" s="21" t="s">
        <v>12</v>
      </c>
      <c r="Q2777" s="3" t="s">
        <v>12</v>
      </c>
      <c r="R2777" s="3" t="s">
        <v>12</v>
      </c>
    </row>
    <row r="2778" spans="1:18" x14ac:dyDescent="0.25">
      <c r="A2778" s="30">
        <v>46112</v>
      </c>
      <c r="B2778" s="28">
        <v>593</v>
      </c>
      <c r="C2778" s="28"/>
      <c r="D2778" s="2" t="s">
        <v>41</v>
      </c>
      <c r="E2778" s="7" t="s">
        <v>3066</v>
      </c>
      <c r="F2778" s="7" t="s">
        <v>2972</v>
      </c>
      <c r="G2778" s="2" t="s">
        <v>43</v>
      </c>
      <c r="H2778" s="2" t="s">
        <v>417</v>
      </c>
      <c r="I2778" s="5">
        <v>49021.25</v>
      </c>
      <c r="J2778" s="57">
        <v>0.05</v>
      </c>
      <c r="K2778" s="3">
        <v>600</v>
      </c>
      <c r="L2778" s="2" t="s">
        <v>73</v>
      </c>
      <c r="M2778" s="2" t="s">
        <v>3302</v>
      </c>
      <c r="N2778" s="2" t="s">
        <v>12</v>
      </c>
      <c r="O2778" s="2" t="s">
        <v>12</v>
      </c>
      <c r="P2778" s="21" t="s">
        <v>12</v>
      </c>
      <c r="Q2778" s="3" t="s">
        <v>1748</v>
      </c>
      <c r="R2778" s="3" t="s">
        <v>80</v>
      </c>
    </row>
    <row r="2779" spans="1:18" x14ac:dyDescent="0.25">
      <c r="A2779" s="30">
        <v>46113</v>
      </c>
      <c r="B2779" s="28">
        <v>594</v>
      </c>
      <c r="C2779" s="28"/>
      <c r="D2779" s="2" t="s">
        <v>516</v>
      </c>
      <c r="E2779" s="38" t="s">
        <v>3127</v>
      </c>
      <c r="F2779" s="7" t="s">
        <v>2683</v>
      </c>
      <c r="G2779" s="2" t="s">
        <v>111</v>
      </c>
      <c r="H2779" s="2" t="s">
        <v>1171</v>
      </c>
      <c r="I2779" s="5">
        <v>15303.41</v>
      </c>
      <c r="J2779" s="57">
        <v>0.04</v>
      </c>
      <c r="K2779" s="3" t="s">
        <v>12</v>
      </c>
      <c r="L2779" s="2" t="s">
        <v>64</v>
      </c>
      <c r="M2779" s="2" t="s">
        <v>530</v>
      </c>
      <c r="N2779" s="2" t="s">
        <v>12</v>
      </c>
      <c r="O2779" s="2" t="s">
        <v>12</v>
      </c>
      <c r="P2779" s="21" t="s">
        <v>12</v>
      </c>
      <c r="Q2779" s="3" t="s">
        <v>12</v>
      </c>
      <c r="R2779" s="3" t="s">
        <v>12</v>
      </c>
    </row>
    <row r="2780" spans="1:18" x14ac:dyDescent="0.25">
      <c r="A2780" s="30">
        <v>46113</v>
      </c>
      <c r="B2780" s="28">
        <v>595</v>
      </c>
      <c r="C2780" s="28"/>
      <c r="D2780" s="2" t="s">
        <v>23</v>
      </c>
      <c r="E2780" s="7" t="s">
        <v>3074</v>
      </c>
      <c r="F2780" s="7" t="s">
        <v>3001</v>
      </c>
      <c r="G2780" s="2" t="s">
        <v>20</v>
      </c>
      <c r="H2780" s="2" t="s">
        <v>24</v>
      </c>
      <c r="I2780" s="5">
        <v>47534.080000000002</v>
      </c>
      <c r="J2780" s="57">
        <v>7.0000000000000007E-2</v>
      </c>
      <c r="K2780" s="3">
        <v>648</v>
      </c>
      <c r="L2780" s="2" t="s">
        <v>64</v>
      </c>
      <c r="M2780" s="2" t="s">
        <v>12</v>
      </c>
      <c r="N2780" s="2" t="s">
        <v>12</v>
      </c>
      <c r="O2780" s="2" t="s">
        <v>12</v>
      </c>
      <c r="P2780" s="21" t="s">
        <v>12</v>
      </c>
      <c r="Q2780" s="3" t="s">
        <v>12</v>
      </c>
      <c r="R2780" s="3" t="s">
        <v>12</v>
      </c>
    </row>
    <row r="2781" spans="1:18" x14ac:dyDescent="0.25">
      <c r="A2781" s="30">
        <v>46113</v>
      </c>
      <c r="B2781" s="28">
        <v>596</v>
      </c>
      <c r="C2781" s="28"/>
      <c r="D2781" s="2" t="s">
        <v>3075</v>
      </c>
      <c r="E2781" s="7" t="s">
        <v>12</v>
      </c>
      <c r="F2781" s="7" t="s">
        <v>2683</v>
      </c>
      <c r="G2781" s="2" t="s">
        <v>13</v>
      </c>
      <c r="H2781" s="2" t="s">
        <v>3076</v>
      </c>
      <c r="I2781" s="5">
        <v>3451.14</v>
      </c>
      <c r="J2781" s="57">
        <v>7.0000000000000007E-2</v>
      </c>
      <c r="K2781" s="3" t="s">
        <v>12</v>
      </c>
      <c r="L2781" s="2" t="s">
        <v>73</v>
      </c>
      <c r="M2781" s="2" t="s">
        <v>12</v>
      </c>
      <c r="N2781" s="2" t="s">
        <v>12</v>
      </c>
      <c r="O2781" s="2" t="s">
        <v>12</v>
      </c>
      <c r="P2781" s="21" t="s">
        <v>12</v>
      </c>
      <c r="Q2781" s="3" t="s">
        <v>12</v>
      </c>
      <c r="R2781" s="3" t="s">
        <v>12</v>
      </c>
    </row>
    <row r="2782" spans="1:18" x14ac:dyDescent="0.25">
      <c r="A2782" s="30">
        <v>46113</v>
      </c>
      <c r="B2782" s="28">
        <v>597</v>
      </c>
      <c r="C2782" s="28"/>
      <c r="D2782" s="2" t="s">
        <v>601</v>
      </c>
      <c r="E2782" s="7" t="s">
        <v>3077</v>
      </c>
      <c r="F2782" s="7" t="s">
        <v>3001</v>
      </c>
      <c r="G2782" s="2" t="s">
        <v>13</v>
      </c>
      <c r="H2782" s="2" t="s">
        <v>182</v>
      </c>
      <c r="I2782" s="5">
        <v>99372.5</v>
      </c>
      <c r="J2782" s="57">
        <v>7.0000000000000007E-2</v>
      </c>
      <c r="K2782" s="3">
        <v>1008</v>
      </c>
      <c r="L2782" s="2" t="s">
        <v>73</v>
      </c>
      <c r="M2782" s="2" t="s">
        <v>12</v>
      </c>
      <c r="N2782" s="2" t="s">
        <v>12</v>
      </c>
      <c r="O2782" s="2" t="s">
        <v>12</v>
      </c>
      <c r="P2782" s="21" t="s">
        <v>12</v>
      </c>
      <c r="Q2782" s="3" t="s">
        <v>12</v>
      </c>
      <c r="R2782" s="3" t="s">
        <v>12</v>
      </c>
    </row>
    <row r="2783" spans="1:18" x14ac:dyDescent="0.25">
      <c r="A2783" s="30">
        <v>46118</v>
      </c>
      <c r="B2783" s="28">
        <v>598</v>
      </c>
      <c r="C2783" s="28" t="s">
        <v>2161</v>
      </c>
      <c r="D2783" s="2" t="s">
        <v>173</v>
      </c>
      <c r="E2783" s="7" t="s">
        <v>12</v>
      </c>
      <c r="F2783" s="7" t="s">
        <v>2683</v>
      </c>
      <c r="G2783" s="2" t="s">
        <v>97</v>
      </c>
      <c r="H2783" s="2" t="s">
        <v>175</v>
      </c>
      <c r="I2783" s="5">
        <v>122249.36</v>
      </c>
      <c r="J2783" s="57">
        <v>7.0000000000000007E-2</v>
      </c>
      <c r="K2783" s="3">
        <v>1632</v>
      </c>
      <c r="L2783" s="2" t="s">
        <v>73</v>
      </c>
      <c r="M2783" s="2" t="s">
        <v>12</v>
      </c>
      <c r="N2783" s="2" t="s">
        <v>12</v>
      </c>
      <c r="O2783" s="2" t="s">
        <v>12</v>
      </c>
      <c r="P2783" s="21" t="s">
        <v>12</v>
      </c>
      <c r="Q2783" s="3" t="s">
        <v>12</v>
      </c>
      <c r="R2783" s="3" t="s">
        <v>12</v>
      </c>
    </row>
    <row r="2784" spans="1:18" x14ac:dyDescent="0.25">
      <c r="A2784" s="30">
        <v>46113</v>
      </c>
      <c r="B2784" s="28">
        <v>599</v>
      </c>
      <c r="C2784" s="28"/>
      <c r="D2784" s="2" t="s">
        <v>308</v>
      </c>
      <c r="E2784" s="7" t="s">
        <v>3078</v>
      </c>
      <c r="F2784" s="7" t="s">
        <v>2683</v>
      </c>
      <c r="G2784" s="2" t="s">
        <v>20</v>
      </c>
      <c r="H2784" s="2" t="s">
        <v>108</v>
      </c>
      <c r="I2784" s="5">
        <v>13245.53</v>
      </c>
      <c r="J2784" s="57">
        <v>0.04</v>
      </c>
      <c r="K2784" s="3">
        <v>168</v>
      </c>
      <c r="L2784" s="2" t="s">
        <v>226</v>
      </c>
      <c r="M2784" s="2" t="s">
        <v>12</v>
      </c>
      <c r="N2784" s="2" t="s">
        <v>12</v>
      </c>
      <c r="O2784" s="2" t="s">
        <v>12</v>
      </c>
      <c r="P2784" s="21" t="s">
        <v>12</v>
      </c>
      <c r="Q2784" s="3" t="s">
        <v>12</v>
      </c>
      <c r="R2784" s="3" t="s">
        <v>12</v>
      </c>
    </row>
    <row r="2785" spans="1:18" x14ac:dyDescent="0.25">
      <c r="A2785" s="30">
        <v>46113</v>
      </c>
      <c r="B2785" s="28">
        <v>600</v>
      </c>
      <c r="C2785" s="28"/>
      <c r="D2785" s="2" t="s">
        <v>425</v>
      </c>
      <c r="E2785" s="7" t="s">
        <v>3079</v>
      </c>
      <c r="F2785" s="7" t="s">
        <v>2902</v>
      </c>
      <c r="G2785" s="2" t="s">
        <v>26</v>
      </c>
      <c r="H2785" s="2" t="s">
        <v>170</v>
      </c>
      <c r="I2785" s="5">
        <v>8680.9</v>
      </c>
      <c r="J2785" s="57">
        <v>7.0000000000000007E-2</v>
      </c>
      <c r="K2785" s="3" t="s">
        <v>12</v>
      </c>
      <c r="L2785" s="2" t="s">
        <v>64</v>
      </c>
      <c r="M2785" s="2" t="s">
        <v>12</v>
      </c>
      <c r="N2785" s="2" t="s">
        <v>12</v>
      </c>
      <c r="O2785" s="2" t="s">
        <v>12</v>
      </c>
      <c r="P2785" s="21" t="s">
        <v>12</v>
      </c>
      <c r="Q2785" s="3" t="s">
        <v>12</v>
      </c>
      <c r="R2785" s="3"/>
    </row>
    <row r="2786" spans="1:18" x14ac:dyDescent="0.25">
      <c r="A2786" s="30">
        <v>46113</v>
      </c>
      <c r="B2786" s="28">
        <v>601</v>
      </c>
      <c r="C2786" s="28"/>
      <c r="D2786" s="2" t="s">
        <v>308</v>
      </c>
      <c r="E2786" s="7" t="s">
        <v>3080</v>
      </c>
      <c r="F2786" s="7" t="s">
        <v>3003</v>
      </c>
      <c r="G2786" s="2" t="s">
        <v>20</v>
      </c>
      <c r="H2786" s="2" t="s">
        <v>129</v>
      </c>
      <c r="I2786" s="5">
        <v>85316.52</v>
      </c>
      <c r="J2786" s="57">
        <v>0.04</v>
      </c>
      <c r="K2786" s="3">
        <v>1008</v>
      </c>
      <c r="L2786" s="2" t="s">
        <v>226</v>
      </c>
      <c r="M2786" s="2" t="s">
        <v>12</v>
      </c>
      <c r="N2786" s="2" t="s">
        <v>12</v>
      </c>
      <c r="O2786" s="2" t="s">
        <v>12</v>
      </c>
      <c r="P2786" s="21" t="s">
        <v>12</v>
      </c>
      <c r="Q2786" s="3" t="s">
        <v>12</v>
      </c>
      <c r="R2786" s="3" t="s">
        <v>12</v>
      </c>
    </row>
    <row r="2787" spans="1:18" x14ac:dyDescent="0.25">
      <c r="A2787" s="30">
        <v>46113</v>
      </c>
      <c r="B2787" s="28">
        <v>602</v>
      </c>
      <c r="C2787" s="28"/>
      <c r="D2787" s="2" t="s">
        <v>1446</v>
      </c>
      <c r="E2787" s="7" t="s">
        <v>1833</v>
      </c>
      <c r="F2787" s="7" t="s">
        <v>2694</v>
      </c>
      <c r="G2787" s="2" t="s">
        <v>43</v>
      </c>
      <c r="H2787" s="2" t="s">
        <v>2007</v>
      </c>
      <c r="I2787" s="5">
        <v>5266.13</v>
      </c>
      <c r="J2787" s="57">
        <v>0.04</v>
      </c>
      <c r="K2787" s="3">
        <v>48</v>
      </c>
      <c r="L2787" s="2" t="s">
        <v>64</v>
      </c>
      <c r="M2787" s="2" t="s">
        <v>12</v>
      </c>
      <c r="N2787" s="2" t="s">
        <v>12</v>
      </c>
      <c r="O2787" s="2" t="s">
        <v>12</v>
      </c>
      <c r="P2787" s="21" t="s">
        <v>12</v>
      </c>
      <c r="Q2787" s="3" t="s">
        <v>12</v>
      </c>
      <c r="R2787" s="3" t="s">
        <v>12</v>
      </c>
    </row>
    <row r="2788" spans="1:18" x14ac:dyDescent="0.25">
      <c r="A2788" s="30">
        <v>46135</v>
      </c>
      <c r="B2788" s="28">
        <v>603</v>
      </c>
      <c r="C2788" s="28"/>
      <c r="D2788" s="2" t="s">
        <v>3081</v>
      </c>
      <c r="E2788" s="7" t="s">
        <v>12</v>
      </c>
      <c r="F2788" s="7" t="s">
        <v>2683</v>
      </c>
      <c r="G2788" s="2" t="s">
        <v>97</v>
      </c>
      <c r="H2788" s="2" t="s">
        <v>119</v>
      </c>
      <c r="I2788" s="5">
        <v>2652.21</v>
      </c>
      <c r="J2788" s="57">
        <v>7.0000000000000007E-2</v>
      </c>
      <c r="K2788" s="3">
        <v>24</v>
      </c>
      <c r="L2788" s="2" t="s">
        <v>134</v>
      </c>
      <c r="M2788" s="2" t="s">
        <v>3189</v>
      </c>
      <c r="N2788" s="2" t="s">
        <v>3190</v>
      </c>
      <c r="O2788" s="2" t="s">
        <v>443</v>
      </c>
      <c r="P2788" s="21" t="s">
        <v>12</v>
      </c>
      <c r="Q2788" s="3" t="s">
        <v>12</v>
      </c>
      <c r="R2788" s="3" t="s">
        <v>12</v>
      </c>
    </row>
    <row r="2789" spans="1:18" x14ac:dyDescent="0.25">
      <c r="A2789" s="30">
        <v>46114</v>
      </c>
      <c r="B2789" s="28">
        <v>604</v>
      </c>
      <c r="C2789" s="28"/>
      <c r="D2789" s="2" t="s">
        <v>3082</v>
      </c>
      <c r="E2789" s="7" t="s">
        <v>12</v>
      </c>
      <c r="F2789" s="7" t="s">
        <v>2683</v>
      </c>
      <c r="G2789" s="2" t="s">
        <v>13</v>
      </c>
      <c r="H2789" s="2" t="s">
        <v>20</v>
      </c>
      <c r="I2789" s="5">
        <v>3977.04</v>
      </c>
      <c r="J2789" s="57">
        <v>7.0000000000000007E-2</v>
      </c>
      <c r="K2789" s="3">
        <v>48</v>
      </c>
      <c r="L2789" s="2" t="s">
        <v>64</v>
      </c>
      <c r="M2789" s="2" t="s">
        <v>12</v>
      </c>
      <c r="N2789" s="2" t="s">
        <v>12</v>
      </c>
      <c r="O2789" s="2" t="s">
        <v>12</v>
      </c>
      <c r="P2789" s="21" t="s">
        <v>12</v>
      </c>
      <c r="Q2789" s="3" t="s">
        <v>12</v>
      </c>
      <c r="R2789" s="3" t="s">
        <v>12</v>
      </c>
    </row>
    <row r="2790" spans="1:18" x14ac:dyDescent="0.25">
      <c r="A2790" s="30">
        <v>46114</v>
      </c>
      <c r="B2790" s="28">
        <v>605</v>
      </c>
      <c r="C2790" s="28"/>
      <c r="D2790" s="2" t="s">
        <v>190</v>
      </c>
      <c r="E2790" s="7" t="s">
        <v>3348</v>
      </c>
      <c r="F2790" s="7" t="s">
        <v>3001</v>
      </c>
      <c r="G2790" s="2" t="s">
        <v>111</v>
      </c>
      <c r="H2790" s="2" t="s">
        <v>1013</v>
      </c>
      <c r="I2790" s="5">
        <v>2230000</v>
      </c>
      <c r="J2790" s="57">
        <v>0.05</v>
      </c>
      <c r="K2790" s="3" t="s">
        <v>12</v>
      </c>
      <c r="L2790" s="2" t="s">
        <v>21</v>
      </c>
      <c r="M2790" s="2" t="s">
        <v>12</v>
      </c>
      <c r="N2790" s="2" t="s">
        <v>12</v>
      </c>
      <c r="O2790" s="2" t="s">
        <v>12</v>
      </c>
      <c r="P2790" s="21" t="s">
        <v>12</v>
      </c>
      <c r="Q2790" s="3" t="s">
        <v>12</v>
      </c>
      <c r="R2790" s="3" t="s">
        <v>12</v>
      </c>
    </row>
    <row r="2791" spans="1:18" x14ac:dyDescent="0.25">
      <c r="A2791" s="30">
        <v>46114</v>
      </c>
      <c r="B2791" s="28">
        <v>606</v>
      </c>
      <c r="C2791" s="28"/>
      <c r="D2791" s="2" t="s">
        <v>1446</v>
      </c>
      <c r="E2791" s="7" t="s">
        <v>3083</v>
      </c>
      <c r="F2791" s="7" t="s">
        <v>2683</v>
      </c>
      <c r="G2791" s="2" t="s">
        <v>43</v>
      </c>
      <c r="H2791" s="2" t="s">
        <v>2007</v>
      </c>
      <c r="I2791" s="5">
        <v>8097.06</v>
      </c>
      <c r="J2791" s="57">
        <v>0.04</v>
      </c>
      <c r="K2791" s="3">
        <v>96</v>
      </c>
      <c r="L2791" s="2" t="s">
        <v>64</v>
      </c>
      <c r="M2791" s="2" t="s">
        <v>12</v>
      </c>
      <c r="N2791" s="2" t="s">
        <v>12</v>
      </c>
      <c r="O2791" s="2" t="s">
        <v>12</v>
      </c>
      <c r="P2791" s="21" t="s">
        <v>12</v>
      </c>
      <c r="Q2791" s="3" t="s">
        <v>12</v>
      </c>
      <c r="R2791" s="3" t="s">
        <v>12</v>
      </c>
    </row>
    <row r="2792" spans="1:18" x14ac:dyDescent="0.25">
      <c r="A2792" s="30">
        <v>46114</v>
      </c>
      <c r="B2792" s="28">
        <v>607</v>
      </c>
      <c r="C2792" s="28"/>
      <c r="D2792" s="2" t="s">
        <v>470</v>
      </c>
      <c r="E2792" s="7" t="s">
        <v>3084</v>
      </c>
      <c r="F2792" s="7" t="s">
        <v>3001</v>
      </c>
      <c r="G2792" s="2" t="s">
        <v>97</v>
      </c>
      <c r="H2792" s="2" t="s">
        <v>471</v>
      </c>
      <c r="I2792" s="5">
        <v>537227.67000000004</v>
      </c>
      <c r="J2792" s="57">
        <v>7.0000000000000007E-2</v>
      </c>
      <c r="K2792" s="3">
        <v>5641.2</v>
      </c>
      <c r="L2792" s="2" t="s">
        <v>73</v>
      </c>
      <c r="M2792" s="2" t="s">
        <v>3229</v>
      </c>
      <c r="N2792" s="2" t="s">
        <v>12</v>
      </c>
      <c r="O2792" s="2" t="s">
        <v>12</v>
      </c>
      <c r="P2792" s="21" t="s">
        <v>12</v>
      </c>
      <c r="Q2792" s="3" t="s">
        <v>3115</v>
      </c>
      <c r="R2792" s="3" t="s">
        <v>80</v>
      </c>
    </row>
    <row r="2793" spans="1:18" x14ac:dyDescent="0.25">
      <c r="A2793" s="30">
        <v>46114</v>
      </c>
      <c r="B2793" s="28">
        <v>608</v>
      </c>
      <c r="C2793" s="28"/>
      <c r="D2793" s="2" t="s">
        <v>255</v>
      </c>
      <c r="E2793" s="7" t="s">
        <v>3085</v>
      </c>
      <c r="F2793" s="7" t="s">
        <v>2683</v>
      </c>
      <c r="G2793" s="2" t="s">
        <v>13</v>
      </c>
      <c r="H2793" s="2" t="s">
        <v>129</v>
      </c>
      <c r="I2793" s="5">
        <v>2030.08</v>
      </c>
      <c r="J2793" s="57">
        <v>0.06</v>
      </c>
      <c r="K2793" s="3">
        <v>24</v>
      </c>
      <c r="L2793" s="2" t="s">
        <v>73</v>
      </c>
      <c r="M2793" s="2" t="s">
        <v>12</v>
      </c>
      <c r="N2793" s="2" t="s">
        <v>12</v>
      </c>
      <c r="O2793" s="2" t="s">
        <v>12</v>
      </c>
      <c r="P2793" s="21" t="s">
        <v>12</v>
      </c>
      <c r="Q2793" s="3" t="s">
        <v>12</v>
      </c>
      <c r="R2793" s="3" t="s">
        <v>12</v>
      </c>
    </row>
    <row r="2794" spans="1:18" x14ac:dyDescent="0.25">
      <c r="A2794" s="30">
        <v>46114</v>
      </c>
      <c r="B2794" s="28">
        <v>609</v>
      </c>
      <c r="C2794" s="28"/>
      <c r="D2794" s="2" t="s">
        <v>355</v>
      </c>
      <c r="E2794" s="7" t="s">
        <v>3349</v>
      </c>
      <c r="F2794" s="7" t="s">
        <v>2972</v>
      </c>
      <c r="G2794" s="2" t="s">
        <v>111</v>
      </c>
      <c r="H2794" s="2" t="s">
        <v>15</v>
      </c>
      <c r="I2794" s="5">
        <v>17188.259999999998</v>
      </c>
      <c r="J2794" s="57">
        <v>7.0000000000000007E-2</v>
      </c>
      <c r="K2794" s="3" t="s">
        <v>12</v>
      </c>
      <c r="L2794" s="2" t="s">
        <v>226</v>
      </c>
      <c r="M2794" s="2" t="s">
        <v>12</v>
      </c>
      <c r="N2794" s="2" t="s">
        <v>12</v>
      </c>
      <c r="O2794" s="2" t="s">
        <v>12</v>
      </c>
      <c r="P2794" s="21"/>
      <c r="Q2794" s="3" t="s">
        <v>12</v>
      </c>
      <c r="R2794" s="3" t="s">
        <v>12</v>
      </c>
    </row>
    <row r="2795" spans="1:18" x14ac:dyDescent="0.25">
      <c r="A2795" s="30">
        <v>46114</v>
      </c>
      <c r="B2795" s="28">
        <v>610</v>
      </c>
      <c r="C2795" s="28"/>
      <c r="D2795" s="2" t="s">
        <v>2604</v>
      </c>
      <c r="E2795" s="7" t="s">
        <v>3086</v>
      </c>
      <c r="F2795" s="7" t="s">
        <v>2733</v>
      </c>
      <c r="G2795" s="2" t="s">
        <v>13</v>
      </c>
      <c r="H2795" s="2" t="s">
        <v>2606</v>
      </c>
      <c r="I2795" s="5">
        <v>17132.189999999999</v>
      </c>
      <c r="J2795" s="57">
        <v>7.0000000000000007E-2</v>
      </c>
      <c r="K2795" s="3">
        <v>144</v>
      </c>
      <c r="L2795" s="2" t="s">
        <v>73</v>
      </c>
      <c r="M2795" s="2" t="s">
        <v>12</v>
      </c>
      <c r="N2795" s="2" t="s">
        <v>12</v>
      </c>
      <c r="O2795" s="2" t="s">
        <v>12</v>
      </c>
      <c r="P2795" s="21" t="s">
        <v>12</v>
      </c>
      <c r="Q2795" s="3" t="s">
        <v>2222</v>
      </c>
      <c r="R2795" s="3" t="s">
        <v>75</v>
      </c>
    </row>
    <row r="2796" spans="1:18" x14ac:dyDescent="0.25">
      <c r="A2796" s="30">
        <v>46114</v>
      </c>
      <c r="B2796" s="28">
        <v>611</v>
      </c>
      <c r="C2796" s="28"/>
      <c r="D2796" s="2" t="s">
        <v>2570</v>
      </c>
      <c r="E2796" s="7" t="s">
        <v>12</v>
      </c>
      <c r="F2796" s="7" t="s">
        <v>2683</v>
      </c>
      <c r="G2796" s="2" t="s">
        <v>26</v>
      </c>
      <c r="H2796" s="2" t="s">
        <v>162</v>
      </c>
      <c r="I2796" s="5">
        <v>21149.93</v>
      </c>
      <c r="J2796" s="57">
        <v>7.0000000000000007E-2</v>
      </c>
      <c r="K2796" s="3">
        <v>312</v>
      </c>
      <c r="L2796" s="2" t="s">
        <v>134</v>
      </c>
      <c r="M2796" s="2" t="s">
        <v>3120</v>
      </c>
      <c r="N2796" s="2" t="s">
        <v>135</v>
      </c>
      <c r="O2796" s="2" t="s">
        <v>3121</v>
      </c>
      <c r="P2796" s="21" t="s">
        <v>12</v>
      </c>
      <c r="Q2796" s="3" t="s">
        <v>12</v>
      </c>
      <c r="R2796" s="3" t="s">
        <v>12</v>
      </c>
    </row>
    <row r="2797" spans="1:18" x14ac:dyDescent="0.25">
      <c r="A2797" s="30">
        <v>46114</v>
      </c>
      <c r="B2797" s="28">
        <v>612</v>
      </c>
      <c r="C2797" s="28"/>
      <c r="D2797" s="2" t="s">
        <v>2803</v>
      </c>
      <c r="E2797" s="7" t="s">
        <v>12</v>
      </c>
      <c r="F2797" s="7" t="s">
        <v>2683</v>
      </c>
      <c r="G2797" s="2" t="s">
        <v>13</v>
      </c>
      <c r="H2797" s="2" t="s">
        <v>2804</v>
      </c>
      <c r="I2797" s="5">
        <v>3026.05</v>
      </c>
      <c r="J2797" s="57">
        <v>7.0000000000000007E-2</v>
      </c>
      <c r="K2797" s="3">
        <v>48</v>
      </c>
      <c r="L2797" s="2" t="s">
        <v>73</v>
      </c>
      <c r="M2797" s="2" t="s">
        <v>12</v>
      </c>
      <c r="N2797" s="2" t="s">
        <v>12</v>
      </c>
      <c r="O2797" s="2" t="s">
        <v>12</v>
      </c>
      <c r="P2797" s="21" t="s">
        <v>12</v>
      </c>
      <c r="Q2797" s="3" t="s">
        <v>12</v>
      </c>
      <c r="R2797" s="3" t="s">
        <v>12</v>
      </c>
    </row>
    <row r="2798" spans="1:18" x14ac:dyDescent="0.25">
      <c r="A2798" s="30">
        <v>46118</v>
      </c>
      <c r="B2798" s="28">
        <v>613</v>
      </c>
      <c r="C2798" s="28" t="s">
        <v>2162</v>
      </c>
      <c r="D2798" s="2" t="s">
        <v>601</v>
      </c>
      <c r="E2798" s="7" t="s">
        <v>12</v>
      </c>
      <c r="F2798" s="7" t="s">
        <v>2683</v>
      </c>
      <c r="G2798" s="2" t="s">
        <v>13</v>
      </c>
      <c r="H2798" s="2" t="s">
        <v>1920</v>
      </c>
      <c r="I2798" s="5">
        <v>569028.09</v>
      </c>
      <c r="J2798" s="57">
        <v>0.05</v>
      </c>
      <c r="K2798" s="3">
        <v>8544</v>
      </c>
      <c r="L2798" s="2" t="s">
        <v>73</v>
      </c>
      <c r="M2798" s="2" t="s">
        <v>12</v>
      </c>
      <c r="N2798" s="2" t="s">
        <v>12</v>
      </c>
      <c r="O2798" s="2" t="s">
        <v>12</v>
      </c>
      <c r="P2798" s="21" t="s">
        <v>12</v>
      </c>
      <c r="Q2798" s="3" t="s">
        <v>12</v>
      </c>
      <c r="R2798" s="3" t="s">
        <v>12</v>
      </c>
    </row>
    <row r="2799" spans="1:18" x14ac:dyDescent="0.25">
      <c r="A2799" s="30">
        <v>46118</v>
      </c>
      <c r="B2799" s="28">
        <v>614</v>
      </c>
      <c r="C2799" s="28"/>
      <c r="D2799" s="2" t="s">
        <v>243</v>
      </c>
      <c r="E2799" s="7" t="s">
        <v>3163</v>
      </c>
      <c r="F2799" s="7" t="s">
        <v>2683</v>
      </c>
      <c r="G2799" s="2" t="s">
        <v>20</v>
      </c>
      <c r="H2799" s="2" t="s">
        <v>244</v>
      </c>
      <c r="I2799" s="5">
        <v>4301.47</v>
      </c>
      <c r="J2799" s="57">
        <v>0.06</v>
      </c>
      <c r="K2799" s="3">
        <v>48</v>
      </c>
      <c r="L2799" s="2" t="s">
        <v>226</v>
      </c>
      <c r="M2799" s="2" t="s">
        <v>3230</v>
      </c>
      <c r="N2799" s="2" t="s">
        <v>12</v>
      </c>
      <c r="O2799" s="2" t="s">
        <v>12</v>
      </c>
      <c r="P2799" s="21" t="s">
        <v>12</v>
      </c>
      <c r="Q2799" s="3" t="s">
        <v>12</v>
      </c>
      <c r="R2799" s="3" t="s">
        <v>12</v>
      </c>
    </row>
    <row r="2800" spans="1:18" x14ac:dyDescent="0.25">
      <c r="A2800" s="30">
        <v>46118</v>
      </c>
      <c r="B2800" s="28">
        <v>615</v>
      </c>
      <c r="C2800" s="28" t="s">
        <v>2161</v>
      </c>
      <c r="D2800" s="2" t="s">
        <v>433</v>
      </c>
      <c r="E2800" s="7" t="s">
        <v>3087</v>
      </c>
      <c r="F2800" s="7" t="s">
        <v>1844</v>
      </c>
      <c r="G2800" s="2" t="s">
        <v>97</v>
      </c>
      <c r="H2800" s="2" t="s">
        <v>395</v>
      </c>
      <c r="I2800" s="5">
        <v>63884.92</v>
      </c>
      <c r="J2800" s="57">
        <v>0.04</v>
      </c>
      <c r="K2800" s="3">
        <v>792</v>
      </c>
      <c r="L2800" s="2" t="s">
        <v>64</v>
      </c>
      <c r="M2800" s="2" t="s">
        <v>12</v>
      </c>
      <c r="N2800" s="2" t="s">
        <v>12</v>
      </c>
      <c r="O2800" s="2" t="s">
        <v>12</v>
      </c>
      <c r="P2800" s="21" t="s">
        <v>12</v>
      </c>
      <c r="Q2800" s="3" t="s">
        <v>12</v>
      </c>
      <c r="R2800" s="3" t="s">
        <v>12</v>
      </c>
    </row>
    <row r="2801" spans="1:18" x14ac:dyDescent="0.25">
      <c r="A2801" s="30">
        <v>46120</v>
      </c>
      <c r="B2801" s="28">
        <v>616</v>
      </c>
      <c r="C2801" s="28" t="s">
        <v>2162</v>
      </c>
      <c r="D2801" s="2" t="s">
        <v>415</v>
      </c>
      <c r="E2801" s="7" t="s">
        <v>3088</v>
      </c>
      <c r="F2801" s="7" t="s">
        <v>2683</v>
      </c>
      <c r="G2801" s="2" t="s">
        <v>13</v>
      </c>
      <c r="H2801" s="2" t="s">
        <v>390</v>
      </c>
      <c r="I2801" s="5">
        <v>49784.3</v>
      </c>
      <c r="J2801" s="57">
        <v>0.05</v>
      </c>
      <c r="K2801" s="3">
        <v>564</v>
      </c>
      <c r="L2801" s="2" t="s">
        <v>64</v>
      </c>
      <c r="M2801" s="2" t="s">
        <v>12</v>
      </c>
      <c r="N2801" s="2" t="s">
        <v>12</v>
      </c>
      <c r="O2801" s="2" t="s">
        <v>12</v>
      </c>
      <c r="P2801" s="21" t="s">
        <v>12</v>
      </c>
      <c r="Q2801" s="3" t="s">
        <v>3116</v>
      </c>
      <c r="R2801" s="3" t="s">
        <v>80</v>
      </c>
    </row>
    <row r="2802" spans="1:18" x14ac:dyDescent="0.25">
      <c r="A2802" s="30">
        <v>46118</v>
      </c>
      <c r="B2802" s="28">
        <v>617</v>
      </c>
      <c r="C2802" s="28"/>
      <c r="D2802" s="2" t="s">
        <v>41</v>
      </c>
      <c r="E2802" s="7" t="s">
        <v>3089</v>
      </c>
      <c r="F2802" s="7" t="s">
        <v>2972</v>
      </c>
      <c r="G2802" s="2" t="s">
        <v>43</v>
      </c>
      <c r="H2802" s="2" t="s">
        <v>43</v>
      </c>
      <c r="I2802" s="5">
        <v>72110.11</v>
      </c>
      <c r="J2802" s="57">
        <v>0.05</v>
      </c>
      <c r="K2802" s="3">
        <v>840</v>
      </c>
      <c r="L2802" s="2" t="s">
        <v>73</v>
      </c>
      <c r="M2802" s="2" t="s">
        <v>3302</v>
      </c>
      <c r="N2802" s="2" t="s">
        <v>12</v>
      </c>
      <c r="O2802" s="2" t="s">
        <v>12</v>
      </c>
      <c r="P2802" s="21" t="s">
        <v>12</v>
      </c>
      <c r="Q2802" s="3" t="s">
        <v>2999</v>
      </c>
      <c r="R2802" s="3" t="s">
        <v>80</v>
      </c>
    </row>
    <row r="2803" spans="1:18" x14ac:dyDescent="0.25">
      <c r="A2803" s="30">
        <v>46118</v>
      </c>
      <c r="B2803" s="28">
        <v>618</v>
      </c>
      <c r="C2803" s="28"/>
      <c r="D2803" s="2" t="s">
        <v>41</v>
      </c>
      <c r="E2803" s="7" t="s">
        <v>3090</v>
      </c>
      <c r="F2803" s="7" t="s">
        <v>2972</v>
      </c>
      <c r="G2803" s="2" t="s">
        <v>43</v>
      </c>
      <c r="H2803" s="2" t="s">
        <v>43</v>
      </c>
      <c r="I2803" s="5">
        <v>75026.59</v>
      </c>
      <c r="J2803" s="57">
        <v>0.05</v>
      </c>
      <c r="K2803" s="3">
        <v>840</v>
      </c>
      <c r="L2803" s="2" t="s">
        <v>73</v>
      </c>
      <c r="M2803" s="2" t="s">
        <v>3302</v>
      </c>
      <c r="N2803" s="2" t="s">
        <v>12</v>
      </c>
      <c r="O2803" s="2" t="s">
        <v>12</v>
      </c>
      <c r="P2803" s="21" t="s">
        <v>12</v>
      </c>
      <c r="Q2803" s="3" t="s">
        <v>1748</v>
      </c>
      <c r="R2803" s="3" t="s">
        <v>80</v>
      </c>
    </row>
    <row r="2804" spans="1:18" x14ac:dyDescent="0.25">
      <c r="A2804" s="30">
        <v>46118</v>
      </c>
      <c r="B2804" s="28">
        <v>619</v>
      </c>
      <c r="C2804" s="28" t="s">
        <v>2161</v>
      </c>
      <c r="D2804" s="2" t="s">
        <v>524</v>
      </c>
      <c r="E2804" s="7" t="s">
        <v>3091</v>
      </c>
      <c r="F2804" s="7" t="s">
        <v>2785</v>
      </c>
      <c r="G2804" s="2" t="s">
        <v>13</v>
      </c>
      <c r="H2804" s="2" t="s">
        <v>842</v>
      </c>
      <c r="I2804" s="5">
        <v>18959.14</v>
      </c>
      <c r="J2804" s="57">
        <v>7.0000000000000007E-2</v>
      </c>
      <c r="K2804" s="3" t="s">
        <v>12</v>
      </c>
      <c r="L2804" s="2" t="s">
        <v>64</v>
      </c>
      <c r="M2804" s="2" t="s">
        <v>12</v>
      </c>
      <c r="N2804" s="2" t="s">
        <v>12</v>
      </c>
      <c r="O2804" s="2" t="s">
        <v>12</v>
      </c>
      <c r="P2804" s="21" t="s">
        <v>12</v>
      </c>
      <c r="Q2804" s="3" t="s">
        <v>12</v>
      </c>
      <c r="R2804" s="3" t="s">
        <v>12</v>
      </c>
    </row>
    <row r="2805" spans="1:18" x14ac:dyDescent="0.25">
      <c r="A2805" s="30">
        <v>46118</v>
      </c>
      <c r="B2805" s="28">
        <v>620</v>
      </c>
      <c r="C2805" s="28"/>
      <c r="D2805" s="2" t="s">
        <v>311</v>
      </c>
      <c r="E2805" s="7" t="s">
        <v>3092</v>
      </c>
      <c r="F2805" s="7" t="s">
        <v>3003</v>
      </c>
      <c r="G2805" s="2" t="s">
        <v>97</v>
      </c>
      <c r="H2805" s="2" t="s">
        <v>611</v>
      </c>
      <c r="I2805" s="5">
        <v>171509.68</v>
      </c>
      <c r="J2805" s="57">
        <v>7.0000000000000007E-2</v>
      </c>
      <c r="K2805" s="3">
        <v>1632</v>
      </c>
      <c r="L2805" s="2" t="s">
        <v>226</v>
      </c>
      <c r="M2805" s="2" t="s">
        <v>12</v>
      </c>
      <c r="N2805" s="2" t="s">
        <v>12</v>
      </c>
      <c r="O2805" s="2" t="s">
        <v>12</v>
      </c>
      <c r="P2805" s="21" t="s">
        <v>12</v>
      </c>
      <c r="Q2805" s="3" t="s">
        <v>522</v>
      </c>
      <c r="R2805" s="3" t="s">
        <v>80</v>
      </c>
    </row>
    <row r="2806" spans="1:18" x14ac:dyDescent="0.25">
      <c r="A2806" s="30">
        <v>46119</v>
      </c>
      <c r="B2806" s="28">
        <v>621</v>
      </c>
      <c r="C2806" s="28" t="s">
        <v>2161</v>
      </c>
      <c r="D2806" s="2" t="s">
        <v>403</v>
      </c>
      <c r="E2806" s="7" t="s">
        <v>1731</v>
      </c>
      <c r="F2806" s="7" t="s">
        <v>2972</v>
      </c>
      <c r="G2806" s="2" t="s">
        <v>43</v>
      </c>
      <c r="H2806" s="2" t="s">
        <v>1732</v>
      </c>
      <c r="I2806" s="5">
        <v>9988.14</v>
      </c>
      <c r="J2806" s="57">
        <v>0.05</v>
      </c>
      <c r="K2806" s="3">
        <v>96</v>
      </c>
      <c r="L2806" s="2" t="s">
        <v>64</v>
      </c>
      <c r="M2806" s="2" t="s">
        <v>3183</v>
      </c>
      <c r="N2806" s="2" t="s">
        <v>12</v>
      </c>
      <c r="O2806" s="2" t="s">
        <v>12</v>
      </c>
      <c r="P2806" s="21" t="s">
        <v>12</v>
      </c>
      <c r="Q2806" s="3" t="s">
        <v>3117</v>
      </c>
      <c r="R2806" s="3" t="s">
        <v>76</v>
      </c>
    </row>
    <row r="2807" spans="1:18" x14ac:dyDescent="0.25">
      <c r="A2807" s="30">
        <v>46119</v>
      </c>
      <c r="B2807" s="28">
        <v>622</v>
      </c>
      <c r="C2807" s="28"/>
      <c r="D2807" s="2" t="s">
        <v>353</v>
      </c>
      <c r="E2807" s="7">
        <v>65024</v>
      </c>
      <c r="F2807" s="7" t="s">
        <v>2683</v>
      </c>
      <c r="G2807" s="2" t="s">
        <v>13</v>
      </c>
      <c r="H2807" s="2" t="s">
        <v>483</v>
      </c>
      <c r="I2807" s="5">
        <v>2717.19</v>
      </c>
      <c r="J2807" s="57">
        <v>7.0000000000000007E-2</v>
      </c>
      <c r="K2807" s="3" t="s">
        <v>12</v>
      </c>
      <c r="L2807" s="2" t="s">
        <v>73</v>
      </c>
      <c r="M2807" s="2" t="s">
        <v>12</v>
      </c>
      <c r="N2807" s="2" t="s">
        <v>12</v>
      </c>
      <c r="O2807" s="2" t="s">
        <v>12</v>
      </c>
      <c r="P2807" s="21" t="s">
        <v>12</v>
      </c>
      <c r="Q2807" s="3" t="s">
        <v>12</v>
      </c>
      <c r="R2807" s="3" t="s">
        <v>12</v>
      </c>
    </row>
    <row r="2808" spans="1:18" x14ac:dyDescent="0.25">
      <c r="A2808" s="30">
        <v>46119</v>
      </c>
      <c r="B2808" s="28">
        <v>623</v>
      </c>
      <c r="C2808" s="28" t="s">
        <v>2161</v>
      </c>
      <c r="D2808" s="2" t="s">
        <v>202</v>
      </c>
      <c r="E2808" s="7" t="s">
        <v>3093</v>
      </c>
      <c r="F2808" s="7" t="s">
        <v>2683</v>
      </c>
      <c r="G2808" s="2" t="s">
        <v>97</v>
      </c>
      <c r="H2808" s="2" t="s">
        <v>1143</v>
      </c>
      <c r="I2808" s="5">
        <v>1829.51</v>
      </c>
      <c r="J2808" s="57">
        <v>7.0000000000000007E-2</v>
      </c>
      <c r="K2808" s="3" t="s">
        <v>12</v>
      </c>
      <c r="L2808" s="2" t="s">
        <v>64</v>
      </c>
      <c r="M2808" s="2" t="s">
        <v>12</v>
      </c>
      <c r="N2808" s="2" t="s">
        <v>12</v>
      </c>
      <c r="O2808" s="2" t="s">
        <v>12</v>
      </c>
      <c r="P2808" s="21" t="s">
        <v>12</v>
      </c>
      <c r="Q2808" s="3" t="s">
        <v>12</v>
      </c>
      <c r="R2808" s="3" t="s">
        <v>12</v>
      </c>
    </row>
    <row r="2809" spans="1:18" x14ac:dyDescent="0.25">
      <c r="A2809" s="30">
        <v>46119</v>
      </c>
      <c r="B2809" s="28">
        <v>624</v>
      </c>
      <c r="C2809" s="28"/>
      <c r="D2809" s="2" t="s">
        <v>202</v>
      </c>
      <c r="E2809" s="7" t="s">
        <v>3094</v>
      </c>
      <c r="F2809" s="7" t="s">
        <v>2972</v>
      </c>
      <c r="G2809" s="2" t="s">
        <v>97</v>
      </c>
      <c r="H2809" s="2" t="s">
        <v>1303</v>
      </c>
      <c r="I2809" s="5">
        <v>42704.76</v>
      </c>
      <c r="J2809" s="57">
        <v>0.05</v>
      </c>
      <c r="K2809" s="3">
        <v>528</v>
      </c>
      <c r="L2809" s="2" t="s">
        <v>226</v>
      </c>
      <c r="M2809" s="2" t="s">
        <v>12</v>
      </c>
      <c r="N2809" s="2" t="s">
        <v>12</v>
      </c>
      <c r="O2809" s="2" t="s">
        <v>12</v>
      </c>
      <c r="P2809" s="21" t="s">
        <v>12</v>
      </c>
      <c r="Q2809" s="3" t="s">
        <v>3118</v>
      </c>
      <c r="R2809" s="3" t="s">
        <v>80</v>
      </c>
    </row>
    <row r="2810" spans="1:18" x14ac:dyDescent="0.25">
      <c r="A2810" s="30">
        <v>46116</v>
      </c>
      <c r="B2810" s="28">
        <v>625</v>
      </c>
      <c r="C2810" s="28"/>
      <c r="D2810" s="2" t="s">
        <v>1446</v>
      </c>
      <c r="E2810" s="7" t="s">
        <v>3095</v>
      </c>
      <c r="F2810" s="7" t="s">
        <v>2694</v>
      </c>
      <c r="G2810" s="2" t="s">
        <v>43</v>
      </c>
      <c r="H2810" s="2" t="s">
        <v>2007</v>
      </c>
      <c r="I2810" s="5">
        <v>6800.43</v>
      </c>
      <c r="J2810" s="57">
        <v>7.0000000000000007E-2</v>
      </c>
      <c r="K2810" s="3">
        <v>48</v>
      </c>
      <c r="L2810" s="2" t="s">
        <v>73</v>
      </c>
      <c r="M2810" s="2" t="s">
        <v>12</v>
      </c>
      <c r="N2810" s="2" t="s">
        <v>12</v>
      </c>
      <c r="O2810" s="2" t="s">
        <v>12</v>
      </c>
      <c r="P2810" s="21" t="s">
        <v>12</v>
      </c>
      <c r="Q2810" s="3" t="s">
        <v>12</v>
      </c>
      <c r="R2810" s="3" t="s">
        <v>12</v>
      </c>
    </row>
    <row r="2811" spans="1:18" x14ac:dyDescent="0.25">
      <c r="A2811" s="30">
        <v>46119</v>
      </c>
      <c r="B2811" s="28">
        <v>626</v>
      </c>
      <c r="C2811" s="28"/>
      <c r="D2811" s="2" t="s">
        <v>355</v>
      </c>
      <c r="E2811" s="7" t="s">
        <v>3096</v>
      </c>
      <c r="F2811" s="7" t="s">
        <v>3001</v>
      </c>
      <c r="G2811" s="2" t="s">
        <v>111</v>
      </c>
      <c r="H2811" s="2" t="s">
        <v>15</v>
      </c>
      <c r="I2811" s="5">
        <v>3189.68</v>
      </c>
      <c r="J2811" s="57">
        <v>7.0000000000000007E-2</v>
      </c>
      <c r="K2811" s="3">
        <v>24</v>
      </c>
      <c r="L2811" s="2" t="s">
        <v>73</v>
      </c>
      <c r="M2811" s="2" t="s">
        <v>12</v>
      </c>
      <c r="N2811" s="2" t="s">
        <v>12</v>
      </c>
      <c r="O2811" s="2" t="s">
        <v>12</v>
      </c>
      <c r="P2811" s="21" t="s">
        <v>12</v>
      </c>
      <c r="Q2811" s="3" t="s">
        <v>2265</v>
      </c>
      <c r="R2811" s="3" t="s">
        <v>80</v>
      </c>
    </row>
    <row r="2812" spans="1:18" x14ac:dyDescent="0.25">
      <c r="A2812" s="30">
        <v>46119</v>
      </c>
      <c r="B2812" s="28">
        <v>627</v>
      </c>
      <c r="C2812" s="28" t="s">
        <v>2161</v>
      </c>
      <c r="D2812" s="2" t="s">
        <v>256</v>
      </c>
      <c r="E2812" s="7" t="s">
        <v>3097</v>
      </c>
      <c r="F2812" s="7" t="s">
        <v>2694</v>
      </c>
      <c r="G2812" s="2" t="s">
        <v>20</v>
      </c>
      <c r="H2812" s="2" t="s">
        <v>1000</v>
      </c>
      <c r="I2812" s="5">
        <v>10518.04</v>
      </c>
      <c r="J2812" s="57">
        <v>0.04</v>
      </c>
      <c r="K2812" s="3">
        <v>144</v>
      </c>
      <c r="L2812" s="2" t="s">
        <v>64</v>
      </c>
      <c r="M2812" s="2" t="s">
        <v>12</v>
      </c>
      <c r="N2812" s="2" t="s">
        <v>12</v>
      </c>
      <c r="O2812" s="2" t="s">
        <v>12</v>
      </c>
      <c r="P2812" s="21" t="s">
        <v>12</v>
      </c>
      <c r="Q2812" s="3" t="s">
        <v>12</v>
      </c>
      <c r="R2812" s="3" t="s">
        <v>12</v>
      </c>
    </row>
    <row r="2813" spans="1:18" x14ac:dyDescent="0.25">
      <c r="A2813" s="30">
        <v>46119</v>
      </c>
      <c r="B2813" s="28">
        <v>628</v>
      </c>
      <c r="C2813" s="28"/>
      <c r="D2813" s="2" t="s">
        <v>87</v>
      </c>
      <c r="E2813" s="7" t="s">
        <v>3098</v>
      </c>
      <c r="F2813" s="7" t="s">
        <v>3002</v>
      </c>
      <c r="G2813" s="2" t="s">
        <v>13</v>
      </c>
      <c r="H2813" s="2" t="s">
        <v>185</v>
      </c>
      <c r="I2813" s="5">
        <v>139823.03</v>
      </c>
      <c r="J2813" s="57">
        <v>7.0000000000000007E-2</v>
      </c>
      <c r="K2813" s="3">
        <v>1248</v>
      </c>
      <c r="L2813" s="2" t="s">
        <v>73</v>
      </c>
      <c r="M2813" s="2" t="s">
        <v>12</v>
      </c>
      <c r="N2813" s="2" t="s">
        <v>12</v>
      </c>
      <c r="O2813" s="2" t="s">
        <v>12</v>
      </c>
      <c r="P2813" s="21" t="s">
        <v>12</v>
      </c>
      <c r="Q2813" s="3" t="s">
        <v>659</v>
      </c>
      <c r="R2813" s="3" t="s">
        <v>80</v>
      </c>
    </row>
    <row r="2814" spans="1:18" x14ac:dyDescent="0.25">
      <c r="A2814" s="30">
        <v>46135</v>
      </c>
      <c r="B2814" s="28">
        <v>629</v>
      </c>
      <c r="C2814" s="28"/>
      <c r="D2814" s="2" t="s">
        <v>165</v>
      </c>
      <c r="E2814" s="7" t="s">
        <v>3099</v>
      </c>
      <c r="F2814" s="7" t="s">
        <v>3001</v>
      </c>
      <c r="G2814" s="2" t="s">
        <v>97</v>
      </c>
      <c r="H2814" s="2" t="s">
        <v>3100</v>
      </c>
      <c r="I2814" s="5">
        <v>2388.8000000000002</v>
      </c>
      <c r="J2814" s="57">
        <v>7.0000000000000007E-2</v>
      </c>
      <c r="K2814" s="3" t="s">
        <v>12</v>
      </c>
      <c r="L2814" s="2" t="s">
        <v>134</v>
      </c>
      <c r="M2814" s="2" t="s">
        <v>2962</v>
      </c>
      <c r="N2814" s="2" t="s">
        <v>373</v>
      </c>
      <c r="O2814" s="2" t="s">
        <v>528</v>
      </c>
      <c r="P2814" s="21" t="s">
        <v>12</v>
      </c>
      <c r="Q2814" s="3" t="s">
        <v>12</v>
      </c>
      <c r="R2814" s="3" t="s">
        <v>12</v>
      </c>
    </row>
    <row r="2815" spans="1:18" x14ac:dyDescent="0.25">
      <c r="A2815" s="30">
        <v>46119</v>
      </c>
      <c r="B2815" s="28">
        <v>630</v>
      </c>
      <c r="C2815" s="28"/>
      <c r="D2815" s="2" t="s">
        <v>23</v>
      </c>
      <c r="E2815" s="7" t="s">
        <v>3101</v>
      </c>
      <c r="F2815" s="7" t="s">
        <v>3001</v>
      </c>
      <c r="G2815" s="2" t="s">
        <v>20</v>
      </c>
      <c r="H2815" s="2" t="s">
        <v>24</v>
      </c>
      <c r="I2815" s="5">
        <v>4465.67</v>
      </c>
      <c r="J2815" s="57">
        <v>0.04</v>
      </c>
      <c r="K2815" s="3">
        <v>72</v>
      </c>
      <c r="L2815" s="2" t="s">
        <v>64</v>
      </c>
      <c r="M2815" s="2" t="s">
        <v>12</v>
      </c>
      <c r="N2815" s="2" t="s">
        <v>12</v>
      </c>
      <c r="O2815" s="2" t="s">
        <v>12</v>
      </c>
      <c r="P2815" s="21" t="s">
        <v>12</v>
      </c>
      <c r="Q2815" s="3" t="s">
        <v>12</v>
      </c>
      <c r="R2815" s="3" t="s">
        <v>12</v>
      </c>
    </row>
    <row r="2816" spans="1:18" x14ac:dyDescent="0.25">
      <c r="A2816" s="30" t="s">
        <v>3102</v>
      </c>
      <c r="B2816" s="28">
        <v>631</v>
      </c>
      <c r="C2816" s="28"/>
      <c r="D2816" s="2" t="s">
        <v>415</v>
      </c>
      <c r="E2816" s="7" t="s">
        <v>3103</v>
      </c>
      <c r="F2816" s="7" t="s">
        <v>2972</v>
      </c>
      <c r="G2816" s="2" t="s">
        <v>13</v>
      </c>
      <c r="H2816" s="2" t="s">
        <v>43</v>
      </c>
      <c r="I2816" s="5">
        <v>19640.43</v>
      </c>
      <c r="J2816" s="57">
        <v>7.0000000000000007E-2</v>
      </c>
      <c r="K2816" s="3">
        <v>168</v>
      </c>
      <c r="L2816" s="2" t="s">
        <v>73</v>
      </c>
      <c r="M2816" s="2" t="s">
        <v>12</v>
      </c>
      <c r="N2816" s="2" t="s">
        <v>12</v>
      </c>
      <c r="O2816" s="2" t="s">
        <v>12</v>
      </c>
      <c r="P2816" s="21" t="s">
        <v>12</v>
      </c>
      <c r="Q2816" s="3" t="s">
        <v>1839</v>
      </c>
      <c r="R2816" s="3" t="s">
        <v>80</v>
      </c>
    </row>
    <row r="2817" spans="1:18" x14ac:dyDescent="0.25">
      <c r="A2817" s="30">
        <v>46119</v>
      </c>
      <c r="B2817" s="28">
        <v>632</v>
      </c>
      <c r="C2817" s="28"/>
      <c r="D2817" s="2" t="s">
        <v>3104</v>
      </c>
      <c r="E2817" s="7" t="s">
        <v>3105</v>
      </c>
      <c r="F2817" s="7" t="s">
        <v>2683</v>
      </c>
      <c r="G2817" s="2" t="s">
        <v>26</v>
      </c>
      <c r="H2817" s="2" t="s">
        <v>225</v>
      </c>
      <c r="I2817" s="5">
        <v>9337.8799999999992</v>
      </c>
      <c r="J2817" s="57">
        <v>7.0000000000000007E-2</v>
      </c>
      <c r="K2817" s="3" t="s">
        <v>12</v>
      </c>
      <c r="L2817" s="2" t="s">
        <v>64</v>
      </c>
      <c r="M2817" s="2" t="s">
        <v>12</v>
      </c>
      <c r="N2817" s="2" t="s">
        <v>12</v>
      </c>
      <c r="O2817" s="2" t="s">
        <v>12</v>
      </c>
      <c r="P2817" s="21" t="s">
        <v>12</v>
      </c>
      <c r="Q2817" s="3" t="s">
        <v>12</v>
      </c>
      <c r="R2817" s="3" t="s">
        <v>12</v>
      </c>
    </row>
    <row r="2818" spans="1:18" x14ac:dyDescent="0.25">
      <c r="A2818" s="30">
        <v>46120</v>
      </c>
      <c r="B2818" s="28">
        <v>633</v>
      </c>
      <c r="C2818" s="28"/>
      <c r="D2818" s="2" t="s">
        <v>3106</v>
      </c>
      <c r="E2818" s="7" t="s">
        <v>12</v>
      </c>
      <c r="F2818" s="7" t="s">
        <v>2683</v>
      </c>
      <c r="G2818" s="2" t="s">
        <v>13</v>
      </c>
      <c r="H2818" s="2" t="s">
        <v>3107</v>
      </c>
      <c r="I2818" s="5">
        <v>15457.28</v>
      </c>
      <c r="J2818" s="57">
        <v>7.0000000000000007E-2</v>
      </c>
      <c r="K2818" s="3">
        <v>96</v>
      </c>
      <c r="L2818" s="2" t="s">
        <v>21</v>
      </c>
      <c r="M2818" s="2" t="s">
        <v>12</v>
      </c>
      <c r="N2818" s="2" t="s">
        <v>12</v>
      </c>
      <c r="O2818" s="2" t="s">
        <v>12</v>
      </c>
      <c r="P2818" s="21" t="s">
        <v>12</v>
      </c>
      <c r="Q2818" s="3" t="s">
        <v>12</v>
      </c>
      <c r="R2818" s="3" t="s">
        <v>12</v>
      </c>
    </row>
    <row r="2819" spans="1:18" x14ac:dyDescent="0.25">
      <c r="A2819" s="30">
        <v>46120</v>
      </c>
      <c r="B2819" s="28">
        <v>634</v>
      </c>
      <c r="C2819" s="28" t="s">
        <v>2161</v>
      </c>
      <c r="D2819" s="2" t="s">
        <v>807</v>
      </c>
      <c r="E2819" s="7" t="s">
        <v>3088</v>
      </c>
      <c r="F2819" s="7" t="s">
        <v>2683</v>
      </c>
      <c r="G2819" s="2" t="s">
        <v>26</v>
      </c>
      <c r="H2819" s="2" t="s">
        <v>809</v>
      </c>
      <c r="I2819" s="5">
        <v>50689.62</v>
      </c>
      <c r="J2819" s="57">
        <v>0.05</v>
      </c>
      <c r="K2819" s="3">
        <v>576</v>
      </c>
      <c r="L2819" s="2" t="s">
        <v>226</v>
      </c>
      <c r="M2819" s="2" t="s">
        <v>12</v>
      </c>
      <c r="N2819" s="2" t="s">
        <v>12</v>
      </c>
      <c r="O2819" s="2" t="s">
        <v>12</v>
      </c>
      <c r="P2819" s="21" t="s">
        <v>12</v>
      </c>
      <c r="Q2819" s="3" t="s">
        <v>12</v>
      </c>
      <c r="R2819" s="3"/>
    </row>
    <row r="2820" spans="1:18" x14ac:dyDescent="0.25">
      <c r="A2820" s="30">
        <v>46120</v>
      </c>
      <c r="B2820" s="28">
        <v>635</v>
      </c>
      <c r="C2820" s="28" t="s">
        <v>2161</v>
      </c>
      <c r="D2820" s="2" t="s">
        <v>839</v>
      </c>
      <c r="E2820" s="7" t="s">
        <v>3108</v>
      </c>
      <c r="F2820" s="7" t="s">
        <v>2683</v>
      </c>
      <c r="G2820" s="2" t="s">
        <v>20</v>
      </c>
      <c r="H2820" s="2" t="s">
        <v>275</v>
      </c>
      <c r="I2820" s="5">
        <v>7938</v>
      </c>
      <c r="J2820" s="57">
        <v>0.05</v>
      </c>
      <c r="K2820" s="3">
        <v>72</v>
      </c>
      <c r="L2820" s="2" t="s">
        <v>64</v>
      </c>
      <c r="M2820" s="2" t="s">
        <v>12</v>
      </c>
      <c r="N2820" s="2" t="s">
        <v>12</v>
      </c>
      <c r="O2820" s="2" t="s">
        <v>12</v>
      </c>
      <c r="P2820" s="21" t="s">
        <v>12</v>
      </c>
      <c r="Q2820" s="3" t="s">
        <v>12</v>
      </c>
      <c r="R2820" s="3" t="s">
        <v>12</v>
      </c>
    </row>
    <row r="2821" spans="1:18" x14ac:dyDescent="0.25">
      <c r="A2821" s="30">
        <v>46120</v>
      </c>
      <c r="B2821" s="28">
        <v>636</v>
      </c>
      <c r="C2821" s="28"/>
      <c r="D2821" s="2" t="s">
        <v>2334</v>
      </c>
      <c r="E2821" s="7" t="s">
        <v>3109</v>
      </c>
      <c r="F2821" s="7" t="s">
        <v>2972</v>
      </c>
      <c r="G2821" s="2" t="s">
        <v>20</v>
      </c>
      <c r="H2821" s="2" t="s">
        <v>722</v>
      </c>
      <c r="I2821" s="5">
        <v>14501.1</v>
      </c>
      <c r="J2821" s="57">
        <v>7.0000000000000007E-2</v>
      </c>
      <c r="K2821" s="3">
        <v>144</v>
      </c>
      <c r="L2821" s="2" t="s">
        <v>73</v>
      </c>
      <c r="M2821" s="2" t="s">
        <v>12</v>
      </c>
      <c r="N2821" s="2" t="s">
        <v>12</v>
      </c>
      <c r="O2821" s="2" t="s">
        <v>12</v>
      </c>
      <c r="P2821" s="21" t="s">
        <v>12</v>
      </c>
      <c r="Q2821" s="3" t="s">
        <v>357</v>
      </c>
      <c r="R2821" s="3" t="s">
        <v>75</v>
      </c>
    </row>
    <row r="2822" spans="1:18" x14ac:dyDescent="0.25">
      <c r="A2822" s="30">
        <v>46120</v>
      </c>
      <c r="B2822" s="28">
        <v>637</v>
      </c>
      <c r="C2822" s="28"/>
      <c r="D2822" s="2" t="s">
        <v>753</v>
      </c>
      <c r="E2822" s="7" t="s">
        <v>3109</v>
      </c>
      <c r="F2822" s="7" t="s">
        <v>2972</v>
      </c>
      <c r="G2822" s="2" t="s">
        <v>26</v>
      </c>
      <c r="H2822" s="2" t="s">
        <v>987</v>
      </c>
      <c r="I2822" s="5">
        <v>14501.1</v>
      </c>
      <c r="J2822" s="57">
        <v>7.0000000000000007E-2</v>
      </c>
      <c r="K2822" s="3">
        <v>144</v>
      </c>
      <c r="L2822" s="2" t="s">
        <v>226</v>
      </c>
      <c r="M2822" s="2" t="s">
        <v>12</v>
      </c>
      <c r="N2822" s="2" t="s">
        <v>12</v>
      </c>
      <c r="O2822" s="2" t="s">
        <v>12</v>
      </c>
      <c r="P2822" s="21" t="s">
        <v>12</v>
      </c>
      <c r="Q2822" s="3" t="s">
        <v>357</v>
      </c>
      <c r="R2822" s="3" t="s">
        <v>75</v>
      </c>
    </row>
    <row r="2823" spans="1:18" x14ac:dyDescent="0.25">
      <c r="A2823" s="30">
        <v>46120</v>
      </c>
      <c r="B2823" s="28">
        <v>638</v>
      </c>
      <c r="C2823" s="28"/>
      <c r="D2823" s="2" t="s">
        <v>171</v>
      </c>
      <c r="E2823" s="7" t="s">
        <v>3110</v>
      </c>
      <c r="F2823" s="7" t="s">
        <v>3003</v>
      </c>
      <c r="G2823" s="2" t="s">
        <v>26</v>
      </c>
      <c r="H2823" s="2" t="s">
        <v>948</v>
      </c>
      <c r="I2823" s="5">
        <v>87391.92</v>
      </c>
      <c r="J2823" s="57">
        <v>7.0000000000000007E-2</v>
      </c>
      <c r="K2823" s="3">
        <v>840</v>
      </c>
      <c r="L2823" s="2" t="s">
        <v>73</v>
      </c>
      <c r="M2823" s="2" t="s">
        <v>12</v>
      </c>
      <c r="N2823" s="2" t="s">
        <v>12</v>
      </c>
      <c r="O2823" s="2" t="s">
        <v>12</v>
      </c>
      <c r="P2823" s="21" t="s">
        <v>12</v>
      </c>
      <c r="Q2823" s="3" t="s">
        <v>12</v>
      </c>
      <c r="R2823" s="3" t="s">
        <v>12</v>
      </c>
    </row>
    <row r="2824" spans="1:18" x14ac:dyDescent="0.25">
      <c r="A2824" s="30">
        <v>46120</v>
      </c>
      <c r="B2824" s="28">
        <v>639</v>
      </c>
      <c r="C2824" s="28"/>
      <c r="D2824" s="2" t="s">
        <v>171</v>
      </c>
      <c r="E2824" s="7" t="s">
        <v>3111</v>
      </c>
      <c r="F2824" s="7" t="s">
        <v>3003</v>
      </c>
      <c r="G2824" s="2" t="s">
        <v>26</v>
      </c>
      <c r="H2824" s="2" t="s">
        <v>948</v>
      </c>
      <c r="I2824" s="5">
        <v>80985.33</v>
      </c>
      <c r="J2824" s="57">
        <v>7.0000000000000007E-2</v>
      </c>
      <c r="K2824" s="3">
        <v>792</v>
      </c>
      <c r="L2824" s="2" t="s">
        <v>73</v>
      </c>
      <c r="M2824" s="2" t="s">
        <v>12</v>
      </c>
      <c r="N2824" s="2" t="s">
        <v>12</v>
      </c>
      <c r="O2824" s="2" t="s">
        <v>12</v>
      </c>
      <c r="P2824" s="21" t="s">
        <v>12</v>
      </c>
      <c r="Q2824" s="3" t="s">
        <v>12</v>
      </c>
      <c r="R2824" s="3" t="s">
        <v>12</v>
      </c>
    </row>
    <row r="2825" spans="1:18" x14ac:dyDescent="0.25">
      <c r="A2825" s="30">
        <v>46120</v>
      </c>
      <c r="B2825" s="28">
        <v>640</v>
      </c>
      <c r="C2825" s="28"/>
      <c r="D2825" s="2" t="s">
        <v>3112</v>
      </c>
      <c r="E2825" s="7" t="s">
        <v>12</v>
      </c>
      <c r="F2825" s="7" t="s">
        <v>2683</v>
      </c>
      <c r="G2825" s="2" t="s">
        <v>43</v>
      </c>
      <c r="H2825" s="2" t="s">
        <v>454</v>
      </c>
      <c r="I2825" s="5">
        <v>41051.129999999997</v>
      </c>
      <c r="J2825" s="57">
        <v>7.0000000000000007E-2</v>
      </c>
      <c r="K2825" s="3">
        <v>504</v>
      </c>
      <c r="L2825" s="2" t="s">
        <v>226</v>
      </c>
      <c r="M2825" s="2" t="s">
        <v>12</v>
      </c>
      <c r="N2825" s="2" t="s">
        <v>12</v>
      </c>
      <c r="O2825" s="2" t="s">
        <v>12</v>
      </c>
      <c r="P2825" s="21" t="s">
        <v>12</v>
      </c>
      <c r="Q2825" s="3" t="s">
        <v>12</v>
      </c>
      <c r="R2825" s="3" t="s">
        <v>12</v>
      </c>
    </row>
    <row r="2826" spans="1:18" x14ac:dyDescent="0.25">
      <c r="A2826" s="30">
        <v>46120</v>
      </c>
      <c r="B2826" s="28">
        <v>641</v>
      </c>
      <c r="C2826" s="28"/>
      <c r="D2826" s="2" t="s">
        <v>165</v>
      </c>
      <c r="E2826" s="7" t="s">
        <v>3113</v>
      </c>
      <c r="F2826" s="7" t="s">
        <v>3001</v>
      </c>
      <c r="G2826" s="2" t="s">
        <v>97</v>
      </c>
      <c r="H2826" s="2" t="s">
        <v>167</v>
      </c>
      <c r="I2826" s="5">
        <v>158189.32999999999</v>
      </c>
      <c r="J2826" s="57">
        <v>0.05</v>
      </c>
      <c r="K2826" s="3">
        <v>2400</v>
      </c>
      <c r="L2826" s="2" t="s">
        <v>134</v>
      </c>
      <c r="M2826" s="2" t="s">
        <v>1160</v>
      </c>
      <c r="N2826" s="2" t="s">
        <v>135</v>
      </c>
      <c r="O2826" s="2" t="s">
        <v>374</v>
      </c>
      <c r="P2826" s="21" t="s">
        <v>12</v>
      </c>
      <c r="Q2826" s="3" t="s">
        <v>12</v>
      </c>
      <c r="R2826" s="3" t="s">
        <v>12</v>
      </c>
    </row>
    <row r="2827" spans="1:18" x14ac:dyDescent="0.25">
      <c r="A2827" s="30">
        <v>46120</v>
      </c>
      <c r="B2827" s="28">
        <v>642</v>
      </c>
      <c r="C2827" s="28" t="s">
        <v>2161</v>
      </c>
      <c r="D2827" s="2" t="s">
        <v>87</v>
      </c>
      <c r="E2827" s="7" t="s">
        <v>3114</v>
      </c>
      <c r="F2827" s="7" t="s">
        <v>3002</v>
      </c>
      <c r="G2827" s="2" t="s">
        <v>13</v>
      </c>
      <c r="H2827" s="2" t="s">
        <v>185</v>
      </c>
      <c r="I2827" s="5">
        <v>97694.15</v>
      </c>
      <c r="J2827" s="57">
        <v>7.0000000000000007E-2</v>
      </c>
      <c r="K2827" s="3">
        <v>1008</v>
      </c>
      <c r="L2827" s="2" t="s">
        <v>73</v>
      </c>
      <c r="M2827" s="2" t="s">
        <v>12</v>
      </c>
      <c r="N2827" s="2" t="s">
        <v>12</v>
      </c>
      <c r="O2827" s="2" t="s">
        <v>12</v>
      </c>
      <c r="P2827" s="21" t="s">
        <v>12</v>
      </c>
      <c r="Q2827" s="3" t="s">
        <v>87</v>
      </c>
      <c r="R2827" s="3" t="s">
        <v>80</v>
      </c>
    </row>
    <row r="2828" spans="1:18" x14ac:dyDescent="0.25">
      <c r="A2828" s="30">
        <v>46120</v>
      </c>
      <c r="B2828" s="28">
        <v>643</v>
      </c>
      <c r="C2828" s="28"/>
      <c r="D2828" s="2" t="s">
        <v>637</v>
      </c>
      <c r="E2828" s="7" t="s">
        <v>1138</v>
      </c>
      <c r="F2828" s="7" t="s">
        <v>3002</v>
      </c>
      <c r="G2828" s="2" t="s">
        <v>13</v>
      </c>
      <c r="H2828" s="2" t="s">
        <v>15</v>
      </c>
      <c r="I2828" s="5">
        <v>51965.5</v>
      </c>
      <c r="J2828" s="57">
        <v>7.0000000000000007E-2</v>
      </c>
      <c r="K2828" s="3">
        <v>528</v>
      </c>
      <c r="L2828" s="2" t="s">
        <v>73</v>
      </c>
      <c r="M2828" s="2" t="s">
        <v>12</v>
      </c>
      <c r="N2828" s="2" t="s">
        <v>12</v>
      </c>
      <c r="O2828" s="2" t="s">
        <v>12</v>
      </c>
      <c r="P2828" s="21" t="s">
        <v>12</v>
      </c>
      <c r="Q2828" s="3" t="s">
        <v>78</v>
      </c>
      <c r="R2828" s="3" t="s">
        <v>80</v>
      </c>
    </row>
    <row r="2829" spans="1:18" x14ac:dyDescent="0.25">
      <c r="A2829" s="30">
        <v>46121</v>
      </c>
      <c r="B2829" s="28">
        <v>644</v>
      </c>
      <c r="C2829" s="28"/>
      <c r="D2829" s="2" t="s">
        <v>3128</v>
      </c>
      <c r="E2829" s="7" t="s">
        <v>12</v>
      </c>
      <c r="F2829" s="7" t="s">
        <v>2683</v>
      </c>
      <c r="G2829" s="2" t="s">
        <v>13</v>
      </c>
      <c r="H2829" s="2" t="s">
        <v>3129</v>
      </c>
      <c r="I2829" s="5">
        <v>11356.82</v>
      </c>
      <c r="J2829" s="57">
        <v>7.0000000000000007E-2</v>
      </c>
      <c r="K2829" s="3">
        <v>120</v>
      </c>
      <c r="L2829" s="2" t="s">
        <v>73</v>
      </c>
      <c r="M2829" s="2" t="s">
        <v>12</v>
      </c>
      <c r="N2829" s="2" t="s">
        <v>12</v>
      </c>
      <c r="O2829" s="2" t="s">
        <v>12</v>
      </c>
      <c r="P2829" s="21" t="s">
        <v>12</v>
      </c>
      <c r="Q2829" s="3" t="s">
        <v>12</v>
      </c>
      <c r="R2829" s="3" t="s">
        <v>12</v>
      </c>
    </row>
    <row r="2830" spans="1:18" x14ac:dyDescent="0.25">
      <c r="A2830" s="30">
        <v>46163</v>
      </c>
      <c r="B2830" s="28">
        <v>645</v>
      </c>
      <c r="C2830" s="28"/>
      <c r="D2830" s="2" t="s">
        <v>124</v>
      </c>
      <c r="E2830" s="7" t="s">
        <v>3130</v>
      </c>
      <c r="F2830" s="7" t="s">
        <v>2972</v>
      </c>
      <c r="G2830" s="2" t="s">
        <v>20</v>
      </c>
      <c r="H2830" s="2" t="s">
        <v>119</v>
      </c>
      <c r="I2830" s="5">
        <v>3163.58</v>
      </c>
      <c r="J2830" s="57">
        <v>0.04</v>
      </c>
      <c r="K2830" s="3">
        <v>48</v>
      </c>
      <c r="L2830" s="2" t="s">
        <v>134</v>
      </c>
      <c r="M2830" s="2" t="s">
        <v>135</v>
      </c>
      <c r="N2830" s="2" t="s">
        <v>135</v>
      </c>
      <c r="O2830" s="2" t="s">
        <v>374</v>
      </c>
      <c r="P2830" s="21" t="s">
        <v>12</v>
      </c>
      <c r="Q2830" s="3" t="s">
        <v>12</v>
      </c>
      <c r="R2830" s="3" t="s">
        <v>12</v>
      </c>
    </row>
    <row r="2831" spans="1:18" x14ac:dyDescent="0.25">
      <c r="A2831" s="30">
        <v>46121</v>
      </c>
      <c r="B2831" s="28">
        <v>646</v>
      </c>
      <c r="C2831" s="28"/>
      <c r="D2831" s="2" t="s">
        <v>1091</v>
      </c>
      <c r="E2831" s="7" t="s">
        <v>2642</v>
      </c>
      <c r="F2831" s="7" t="s">
        <v>2972</v>
      </c>
      <c r="G2831" s="2" t="s">
        <v>26</v>
      </c>
      <c r="H2831" s="2" t="s">
        <v>225</v>
      </c>
      <c r="I2831" s="5">
        <v>12104.2</v>
      </c>
      <c r="J2831" s="57">
        <v>7.0000000000000007E-2</v>
      </c>
      <c r="K2831" s="3">
        <v>192</v>
      </c>
      <c r="L2831" s="2" t="s">
        <v>226</v>
      </c>
      <c r="M2831" s="2" t="s">
        <v>12</v>
      </c>
      <c r="N2831" s="2" t="s">
        <v>12</v>
      </c>
      <c r="O2831" s="2" t="s">
        <v>12</v>
      </c>
      <c r="P2831" s="21" t="s">
        <v>12</v>
      </c>
      <c r="Q2831" s="3" t="s">
        <v>12</v>
      </c>
      <c r="R2831" s="3" t="s">
        <v>12</v>
      </c>
    </row>
    <row r="2832" spans="1:18" x14ac:dyDescent="0.25">
      <c r="A2832" s="30">
        <v>46121</v>
      </c>
      <c r="B2832" s="28">
        <v>647</v>
      </c>
      <c r="C2832" s="28"/>
      <c r="D2832" s="2" t="s">
        <v>1446</v>
      </c>
      <c r="E2832" s="7" t="s">
        <v>3131</v>
      </c>
      <c r="F2832" s="7" t="s">
        <v>2694</v>
      </c>
      <c r="G2832" s="2" t="s">
        <v>43</v>
      </c>
      <c r="H2832" s="2" t="s">
        <v>2007</v>
      </c>
      <c r="I2832" s="5">
        <v>5630.2</v>
      </c>
      <c r="J2832" s="57">
        <v>7.0000000000000007E-2</v>
      </c>
      <c r="K2832" s="3">
        <v>48</v>
      </c>
      <c r="L2832" s="2" t="s">
        <v>73</v>
      </c>
      <c r="M2832" s="2" t="s">
        <v>12</v>
      </c>
      <c r="N2832" s="2" t="s">
        <v>12</v>
      </c>
      <c r="O2832" s="2" t="s">
        <v>12</v>
      </c>
      <c r="P2832" s="21" t="s">
        <v>12</v>
      </c>
      <c r="Q2832" s="3" t="s">
        <v>12</v>
      </c>
      <c r="R2832" s="3" t="s">
        <v>12</v>
      </c>
    </row>
    <row r="2833" spans="1:18" x14ac:dyDescent="0.25">
      <c r="A2833" s="30">
        <v>46121</v>
      </c>
      <c r="B2833" s="28">
        <v>648</v>
      </c>
      <c r="C2833" s="28"/>
      <c r="D2833" s="2" t="s">
        <v>70</v>
      </c>
      <c r="E2833" s="7" t="s">
        <v>2843</v>
      </c>
      <c r="F2833" s="7"/>
      <c r="G2833" s="2" t="s">
        <v>13</v>
      </c>
      <c r="H2833" s="2" t="s">
        <v>127</v>
      </c>
      <c r="I2833" s="5">
        <v>11520</v>
      </c>
      <c r="J2833" s="57">
        <v>0.04</v>
      </c>
      <c r="K2833" s="3">
        <v>206.4</v>
      </c>
      <c r="L2833" s="2" t="s">
        <v>21</v>
      </c>
      <c r="M2833" s="2" t="s">
        <v>12</v>
      </c>
      <c r="N2833" s="2" t="s">
        <v>12</v>
      </c>
      <c r="O2833" s="2" t="s">
        <v>12</v>
      </c>
      <c r="P2833" s="21" t="s">
        <v>12</v>
      </c>
      <c r="Q2833" s="3" t="s">
        <v>12</v>
      </c>
      <c r="R2833" s="3" t="s">
        <v>12</v>
      </c>
    </row>
    <row r="2834" spans="1:18" x14ac:dyDescent="0.25">
      <c r="A2834" s="30">
        <v>46121</v>
      </c>
      <c r="B2834" s="28">
        <v>649</v>
      </c>
      <c r="C2834" s="28" t="s">
        <v>2161</v>
      </c>
      <c r="D2834" s="2" t="s">
        <v>1091</v>
      </c>
      <c r="E2834" s="7" t="s">
        <v>12</v>
      </c>
      <c r="F2834" s="7" t="s">
        <v>2683</v>
      </c>
      <c r="G2834" s="2" t="s">
        <v>26</v>
      </c>
      <c r="H2834" s="2" t="s">
        <v>225</v>
      </c>
      <c r="I2834" s="5">
        <v>14665.86</v>
      </c>
      <c r="J2834" s="57">
        <v>0.03</v>
      </c>
      <c r="K2834" s="3">
        <v>288</v>
      </c>
      <c r="L2834" s="2" t="s">
        <v>64</v>
      </c>
      <c r="M2834" s="2" t="s">
        <v>12</v>
      </c>
      <c r="N2834" s="2" t="s">
        <v>12</v>
      </c>
      <c r="O2834" s="2" t="s">
        <v>12</v>
      </c>
      <c r="P2834" s="21" t="s">
        <v>12</v>
      </c>
      <c r="Q2834" s="3" t="s">
        <v>12</v>
      </c>
      <c r="R2834" s="3" t="s">
        <v>12</v>
      </c>
    </row>
    <row r="2835" spans="1:18" x14ac:dyDescent="0.25">
      <c r="A2835" s="30">
        <v>46121</v>
      </c>
      <c r="B2835" s="28">
        <v>650</v>
      </c>
      <c r="C2835" s="28"/>
      <c r="D2835" s="2" t="s">
        <v>557</v>
      </c>
      <c r="E2835" s="7" t="s">
        <v>3132</v>
      </c>
      <c r="F2835" s="7" t="s">
        <v>3003</v>
      </c>
      <c r="G2835" s="2" t="s">
        <v>20</v>
      </c>
      <c r="H2835" s="2" t="s">
        <v>471</v>
      </c>
      <c r="I2835" s="5">
        <v>4938.66</v>
      </c>
      <c r="J2835" s="57">
        <v>7.0000000000000007E-2</v>
      </c>
      <c r="K2835" s="3">
        <v>48</v>
      </c>
      <c r="L2835" s="2" t="s">
        <v>73</v>
      </c>
      <c r="M2835" s="2" t="s">
        <v>12</v>
      </c>
      <c r="N2835" s="2" t="s">
        <v>12</v>
      </c>
      <c r="O2835" s="2" t="s">
        <v>12</v>
      </c>
      <c r="P2835" s="21" t="s">
        <v>12</v>
      </c>
      <c r="Q2835" s="3" t="s">
        <v>2997</v>
      </c>
      <c r="R2835" s="3" t="s">
        <v>1838</v>
      </c>
    </row>
    <row r="2836" spans="1:18" x14ac:dyDescent="0.25">
      <c r="A2836" s="30">
        <v>46122</v>
      </c>
      <c r="B2836" s="28">
        <v>651</v>
      </c>
      <c r="C2836" s="28" t="s">
        <v>2161</v>
      </c>
      <c r="D2836" s="2" t="s">
        <v>1091</v>
      </c>
      <c r="E2836" s="7" t="s">
        <v>3133</v>
      </c>
      <c r="F2836" s="7" t="s">
        <v>2972</v>
      </c>
      <c r="G2836" s="2" t="s">
        <v>26</v>
      </c>
      <c r="H2836" s="2" t="s">
        <v>225</v>
      </c>
      <c r="I2836" s="5">
        <v>32801.440000000002</v>
      </c>
      <c r="J2836" s="57">
        <v>0.04</v>
      </c>
      <c r="K2836" s="3">
        <v>264</v>
      </c>
      <c r="L2836" s="2" t="s">
        <v>64</v>
      </c>
      <c r="M2836" s="2" t="s">
        <v>12</v>
      </c>
      <c r="N2836" s="2" t="s">
        <v>12</v>
      </c>
      <c r="O2836" s="2" t="s">
        <v>12</v>
      </c>
      <c r="P2836" s="21" t="s">
        <v>12</v>
      </c>
      <c r="Q2836" s="3" t="s">
        <v>12</v>
      </c>
      <c r="R2836" s="3" t="s">
        <v>12</v>
      </c>
    </row>
    <row r="2837" spans="1:18" x14ac:dyDescent="0.25">
      <c r="A2837" s="30">
        <v>46126</v>
      </c>
      <c r="B2837" s="28">
        <v>652</v>
      </c>
      <c r="C2837" s="28" t="s">
        <v>2236</v>
      </c>
      <c r="D2837" s="2" t="s">
        <v>3134</v>
      </c>
      <c r="E2837" s="7" t="s">
        <v>2863</v>
      </c>
      <c r="F2837" s="7" t="s">
        <v>1844</v>
      </c>
      <c r="G2837" s="2" t="s">
        <v>13</v>
      </c>
      <c r="H2837" s="2" t="s">
        <v>390</v>
      </c>
      <c r="I2837" s="5">
        <v>81672.22</v>
      </c>
      <c r="J2837" s="57">
        <v>0.04</v>
      </c>
      <c r="K2837" s="3">
        <v>1080</v>
      </c>
      <c r="L2837" s="2" t="s">
        <v>64</v>
      </c>
      <c r="M2837" s="2" t="s">
        <v>12</v>
      </c>
      <c r="N2837" s="2" t="s">
        <v>12</v>
      </c>
      <c r="O2837" s="2" t="s">
        <v>12</v>
      </c>
      <c r="P2837" s="21" t="s">
        <v>12</v>
      </c>
      <c r="Q2837" s="3" t="s">
        <v>1839</v>
      </c>
      <c r="R2837" s="3" t="s">
        <v>75</v>
      </c>
    </row>
    <row r="2838" spans="1:18" x14ac:dyDescent="0.25">
      <c r="A2838" s="30">
        <v>46121</v>
      </c>
      <c r="B2838" s="28">
        <v>653</v>
      </c>
      <c r="C2838" s="28"/>
      <c r="D2838" s="2" t="s">
        <v>3135</v>
      </c>
      <c r="E2838" s="7" t="s">
        <v>12</v>
      </c>
      <c r="F2838" s="7" t="s">
        <v>2683</v>
      </c>
      <c r="G2838" s="2" t="s">
        <v>26</v>
      </c>
      <c r="H2838" s="2" t="s">
        <v>20</v>
      </c>
      <c r="I2838" s="5">
        <v>173658.83</v>
      </c>
      <c r="J2838" s="57">
        <v>7.0000000000000007E-2</v>
      </c>
      <c r="K2838" s="3">
        <v>2136</v>
      </c>
      <c r="L2838" s="2" t="s">
        <v>226</v>
      </c>
      <c r="M2838" s="2" t="s">
        <v>12</v>
      </c>
      <c r="N2838" s="2" t="s">
        <v>12</v>
      </c>
      <c r="O2838" s="2" t="s">
        <v>12</v>
      </c>
      <c r="P2838" s="21" t="s">
        <v>12</v>
      </c>
      <c r="Q2838" s="3" t="s">
        <v>12</v>
      </c>
      <c r="R2838" s="3" t="s">
        <v>12</v>
      </c>
    </row>
    <row r="2839" spans="1:18" x14ac:dyDescent="0.25">
      <c r="A2839" s="30">
        <v>46122</v>
      </c>
      <c r="B2839" s="28">
        <v>654</v>
      </c>
      <c r="C2839" s="28"/>
      <c r="D2839" s="2" t="s">
        <v>601</v>
      </c>
      <c r="E2839" s="7" t="s">
        <v>12</v>
      </c>
      <c r="F2839" s="7" t="s">
        <v>2683</v>
      </c>
      <c r="G2839" s="2" t="s">
        <v>13</v>
      </c>
      <c r="H2839" s="2" t="s">
        <v>2351</v>
      </c>
      <c r="I2839" s="5">
        <v>1809.15</v>
      </c>
      <c r="J2839" s="57">
        <v>7.0000000000000007E-2</v>
      </c>
      <c r="K2839" s="3">
        <v>24</v>
      </c>
      <c r="L2839" s="2" t="s">
        <v>73</v>
      </c>
      <c r="M2839" s="2" t="s">
        <v>12</v>
      </c>
      <c r="N2839" s="2" t="s">
        <v>12</v>
      </c>
      <c r="O2839" s="2" t="s">
        <v>12</v>
      </c>
      <c r="P2839" s="21" t="s">
        <v>12</v>
      </c>
      <c r="Q2839" s="3" t="s">
        <v>12</v>
      </c>
      <c r="R2839" s="3" t="s">
        <v>12</v>
      </c>
    </row>
    <row r="2840" spans="1:18" x14ac:dyDescent="0.25">
      <c r="A2840" s="30">
        <v>46122</v>
      </c>
      <c r="B2840" s="28">
        <v>655</v>
      </c>
      <c r="C2840" s="28"/>
      <c r="D2840" s="2" t="s">
        <v>2717</v>
      </c>
      <c r="E2840" s="7" t="s">
        <v>12</v>
      </c>
      <c r="F2840" s="7" t="s">
        <v>2683</v>
      </c>
      <c r="G2840" s="2" t="s">
        <v>26</v>
      </c>
      <c r="H2840" s="2" t="s">
        <v>127</v>
      </c>
      <c r="I2840" s="5">
        <v>994</v>
      </c>
      <c r="J2840" s="57">
        <v>7.0000000000000007E-2</v>
      </c>
      <c r="K2840" s="3" t="s">
        <v>12</v>
      </c>
      <c r="L2840" s="2" t="s">
        <v>134</v>
      </c>
      <c r="M2840" s="2" t="s">
        <v>2962</v>
      </c>
      <c r="N2840" s="2" t="s">
        <v>373</v>
      </c>
      <c r="O2840" s="2" t="s">
        <v>528</v>
      </c>
      <c r="P2840" s="21" t="s">
        <v>12</v>
      </c>
      <c r="Q2840" s="3" t="s">
        <v>12</v>
      </c>
      <c r="R2840" s="3" t="s">
        <v>12</v>
      </c>
    </row>
    <row r="2841" spans="1:18" x14ac:dyDescent="0.25">
      <c r="A2841" s="30">
        <v>46122</v>
      </c>
      <c r="B2841" s="28">
        <v>656</v>
      </c>
      <c r="C2841" s="28"/>
      <c r="D2841" s="2" t="s">
        <v>2869</v>
      </c>
      <c r="E2841" s="7" t="s">
        <v>3136</v>
      </c>
      <c r="F2841" s="7" t="s">
        <v>2683</v>
      </c>
      <c r="G2841" s="2" t="s">
        <v>20</v>
      </c>
      <c r="H2841" s="2" t="s">
        <v>438</v>
      </c>
      <c r="I2841" s="5">
        <v>2977.11</v>
      </c>
      <c r="J2841" s="57">
        <v>0.04</v>
      </c>
      <c r="K2841" s="3">
        <v>48</v>
      </c>
      <c r="L2841" s="2" t="s">
        <v>134</v>
      </c>
      <c r="M2841" s="2" t="s">
        <v>12</v>
      </c>
      <c r="N2841" s="2" t="s">
        <v>12</v>
      </c>
      <c r="O2841" s="2" t="s">
        <v>12</v>
      </c>
      <c r="P2841" s="21" t="s">
        <v>12</v>
      </c>
      <c r="Q2841" s="3" t="s">
        <v>12</v>
      </c>
      <c r="R2841" s="3" t="s">
        <v>12</v>
      </c>
    </row>
    <row r="2842" spans="1:18" x14ac:dyDescent="0.25">
      <c r="A2842" s="30">
        <v>46125</v>
      </c>
      <c r="B2842" s="28">
        <v>657</v>
      </c>
      <c r="C2842" s="28"/>
      <c r="D2842" s="2" t="s">
        <v>1880</v>
      </c>
      <c r="E2842" s="7" t="s">
        <v>3137</v>
      </c>
      <c r="F2842" s="7" t="s">
        <v>2972</v>
      </c>
      <c r="G2842" s="2" t="s">
        <v>20</v>
      </c>
      <c r="H2842" s="2" t="s">
        <v>1882</v>
      </c>
      <c r="I2842" s="5">
        <v>22482.27</v>
      </c>
      <c r="J2842" s="57">
        <v>7.0000000000000007E-2</v>
      </c>
      <c r="K2842" s="3">
        <v>264</v>
      </c>
      <c r="L2842" s="2" t="s">
        <v>21</v>
      </c>
      <c r="M2842" s="2" t="s">
        <v>1031</v>
      </c>
      <c r="N2842" s="2" t="s">
        <v>12</v>
      </c>
      <c r="O2842" s="2" t="s">
        <v>12</v>
      </c>
      <c r="P2842" s="21" t="s">
        <v>12</v>
      </c>
      <c r="Q2842" s="3" t="s">
        <v>12</v>
      </c>
      <c r="R2842" s="3" t="s">
        <v>12</v>
      </c>
    </row>
    <row r="2843" spans="1:18" x14ac:dyDescent="0.25">
      <c r="A2843" s="30">
        <v>46125</v>
      </c>
      <c r="B2843" s="28">
        <v>658</v>
      </c>
      <c r="C2843" s="28"/>
      <c r="D2843" s="2" t="s">
        <v>95</v>
      </c>
      <c r="E2843" s="7" t="s">
        <v>3138</v>
      </c>
      <c r="F2843" s="7" t="s">
        <v>3003</v>
      </c>
      <c r="G2843" s="2" t="s">
        <v>97</v>
      </c>
      <c r="H2843" s="2" t="s">
        <v>98</v>
      </c>
      <c r="I2843" s="5">
        <v>3000.03</v>
      </c>
      <c r="J2843" s="57">
        <v>0.04</v>
      </c>
      <c r="K2843" s="3">
        <v>48</v>
      </c>
      <c r="L2843" s="2" t="s">
        <v>64</v>
      </c>
      <c r="M2843" s="2" t="s">
        <v>12</v>
      </c>
      <c r="N2843" s="2" t="s">
        <v>12</v>
      </c>
      <c r="O2843" s="2" t="s">
        <v>12</v>
      </c>
      <c r="P2843" s="21" t="s">
        <v>12</v>
      </c>
      <c r="Q2843" s="3" t="s">
        <v>12</v>
      </c>
      <c r="R2843" s="3" t="s">
        <v>12</v>
      </c>
    </row>
    <row r="2844" spans="1:18" x14ac:dyDescent="0.25">
      <c r="A2844" s="30">
        <v>46125</v>
      </c>
      <c r="B2844" s="28">
        <v>659</v>
      </c>
      <c r="C2844" s="28" t="s">
        <v>2162</v>
      </c>
      <c r="D2844" s="2" t="s">
        <v>3139</v>
      </c>
      <c r="E2844" s="7" t="s">
        <v>12</v>
      </c>
      <c r="F2844" s="7" t="s">
        <v>2683</v>
      </c>
      <c r="G2844" s="2" t="s">
        <v>97</v>
      </c>
      <c r="H2844" s="2" t="s">
        <v>3140</v>
      </c>
      <c r="I2844" s="5">
        <v>13233.44</v>
      </c>
      <c r="J2844" s="57">
        <v>0.05</v>
      </c>
      <c r="K2844" s="3">
        <v>192</v>
      </c>
      <c r="L2844" s="2" t="s">
        <v>64</v>
      </c>
      <c r="M2844" s="2" t="s">
        <v>12</v>
      </c>
      <c r="N2844" s="2" t="s">
        <v>12</v>
      </c>
      <c r="O2844" s="2" t="s">
        <v>12</v>
      </c>
      <c r="P2844" s="21" t="s">
        <v>12</v>
      </c>
      <c r="Q2844" s="3" t="s">
        <v>12</v>
      </c>
      <c r="R2844" s="3" t="s">
        <v>12</v>
      </c>
    </row>
    <row r="2845" spans="1:18" x14ac:dyDescent="0.25">
      <c r="A2845" s="30">
        <v>46125</v>
      </c>
      <c r="B2845" s="28">
        <v>660</v>
      </c>
      <c r="C2845" s="28"/>
      <c r="D2845" s="2" t="s">
        <v>23</v>
      </c>
      <c r="E2845" s="7" t="s">
        <v>3141</v>
      </c>
      <c r="F2845" s="7" t="s">
        <v>3001</v>
      </c>
      <c r="G2845" s="2" t="s">
        <v>20</v>
      </c>
      <c r="H2845" s="2" t="s">
        <v>24</v>
      </c>
      <c r="I2845" s="5">
        <v>15992.34</v>
      </c>
      <c r="J2845" s="57">
        <v>0.04</v>
      </c>
      <c r="K2845" s="3">
        <v>240</v>
      </c>
      <c r="L2845" s="2" t="s">
        <v>64</v>
      </c>
      <c r="M2845" s="2" t="s">
        <v>12</v>
      </c>
      <c r="N2845" s="2" t="s">
        <v>12</v>
      </c>
      <c r="O2845" s="2" t="s">
        <v>12</v>
      </c>
      <c r="P2845" s="21" t="s">
        <v>12</v>
      </c>
      <c r="Q2845" s="3" t="s">
        <v>12</v>
      </c>
      <c r="R2845" s="3" t="s">
        <v>12</v>
      </c>
    </row>
    <row r="2846" spans="1:18" x14ac:dyDescent="0.25">
      <c r="A2846" s="30">
        <v>46126</v>
      </c>
      <c r="B2846" s="28">
        <v>661</v>
      </c>
      <c r="C2846" s="28" t="s">
        <v>2162</v>
      </c>
      <c r="D2846" s="2" t="s">
        <v>3142</v>
      </c>
      <c r="E2846" s="7" t="s">
        <v>12</v>
      </c>
      <c r="F2846" s="7" t="s">
        <v>2683</v>
      </c>
      <c r="G2846" s="2" t="s">
        <v>13</v>
      </c>
      <c r="H2846" s="2" t="s">
        <v>2048</v>
      </c>
      <c r="I2846" s="5">
        <v>79094.66</v>
      </c>
      <c r="J2846" s="57">
        <v>0.05</v>
      </c>
      <c r="K2846" s="3">
        <v>1200</v>
      </c>
      <c r="L2846" s="2" t="s">
        <v>64</v>
      </c>
      <c r="M2846" s="2" t="s">
        <v>12</v>
      </c>
      <c r="N2846" s="2" t="s">
        <v>12</v>
      </c>
      <c r="O2846" s="2" t="s">
        <v>12</v>
      </c>
      <c r="P2846" s="21" t="s">
        <v>12</v>
      </c>
      <c r="Q2846" s="3" t="s">
        <v>12</v>
      </c>
      <c r="R2846" s="3" t="s">
        <v>12</v>
      </c>
    </row>
    <row r="2847" spans="1:18" x14ac:dyDescent="0.25">
      <c r="A2847" s="30">
        <v>46125</v>
      </c>
      <c r="B2847" s="28">
        <v>662</v>
      </c>
      <c r="C2847" s="28"/>
      <c r="D2847" s="2" t="s">
        <v>56</v>
      </c>
      <c r="E2847" s="7" t="s">
        <v>3143</v>
      </c>
      <c r="F2847" s="7" t="s">
        <v>2972</v>
      </c>
      <c r="G2847" s="2" t="s">
        <v>43</v>
      </c>
      <c r="H2847" s="2" t="s">
        <v>13</v>
      </c>
      <c r="I2847" s="5">
        <v>50194.17</v>
      </c>
      <c r="J2847" s="57">
        <v>7.0000000000000007E-2</v>
      </c>
      <c r="K2847" s="3">
        <v>552</v>
      </c>
      <c r="L2847" s="2" t="s">
        <v>73</v>
      </c>
      <c r="M2847" s="2" t="s">
        <v>3380</v>
      </c>
      <c r="N2847" s="2" t="s">
        <v>12</v>
      </c>
      <c r="O2847" s="2" t="s">
        <v>12</v>
      </c>
      <c r="P2847" s="21" t="s">
        <v>12</v>
      </c>
      <c r="Q2847" s="3" t="s">
        <v>2494</v>
      </c>
      <c r="R2847" s="3" t="s">
        <v>80</v>
      </c>
    </row>
    <row r="2848" spans="1:18" x14ac:dyDescent="0.25">
      <c r="A2848" s="30">
        <v>46125</v>
      </c>
      <c r="B2848" s="28">
        <v>663</v>
      </c>
      <c r="C2848" s="28"/>
      <c r="D2848" s="2" t="s">
        <v>41</v>
      </c>
      <c r="E2848" s="7" t="s">
        <v>3143</v>
      </c>
      <c r="F2848" s="7" t="s">
        <v>2972</v>
      </c>
      <c r="G2848" s="2" t="s">
        <v>43</v>
      </c>
      <c r="H2848" s="2" t="s">
        <v>43</v>
      </c>
      <c r="I2848" s="5">
        <v>44787.16</v>
      </c>
      <c r="J2848" s="57">
        <v>0.05</v>
      </c>
      <c r="K2848" s="3">
        <v>552</v>
      </c>
      <c r="L2848" s="2" t="s">
        <v>73</v>
      </c>
      <c r="M2848" s="2" t="s">
        <v>12</v>
      </c>
      <c r="N2848" s="2" t="s">
        <v>12</v>
      </c>
      <c r="O2848" s="2" t="s">
        <v>12</v>
      </c>
      <c r="P2848" s="21" t="s">
        <v>12</v>
      </c>
      <c r="Q2848" s="3" t="s">
        <v>2494</v>
      </c>
      <c r="R2848" s="3" t="s">
        <v>80</v>
      </c>
    </row>
    <row r="2849" spans="1:18" x14ac:dyDescent="0.25">
      <c r="A2849" s="30">
        <v>46125</v>
      </c>
      <c r="B2849" s="28">
        <v>664</v>
      </c>
      <c r="C2849" s="28"/>
      <c r="D2849" s="2" t="s">
        <v>168</v>
      </c>
      <c r="E2849" s="7" t="s">
        <v>3092</v>
      </c>
      <c r="F2849" s="7" t="s">
        <v>2972</v>
      </c>
      <c r="G2849" s="2" t="s">
        <v>43</v>
      </c>
      <c r="H2849" s="2" t="s">
        <v>381</v>
      </c>
      <c r="I2849" s="5">
        <v>242278.69</v>
      </c>
      <c r="J2849" s="57">
        <v>0.05</v>
      </c>
      <c r="K2849" s="3">
        <v>2492.4</v>
      </c>
      <c r="L2849" s="2" t="s">
        <v>226</v>
      </c>
      <c r="M2849" s="2" t="s">
        <v>3302</v>
      </c>
      <c r="N2849" s="2" t="s">
        <v>12</v>
      </c>
      <c r="O2849" s="2" t="s">
        <v>12</v>
      </c>
      <c r="P2849" s="21" t="s">
        <v>12</v>
      </c>
      <c r="Q2849" s="3" t="s">
        <v>522</v>
      </c>
      <c r="R2849" s="3" t="s">
        <v>80</v>
      </c>
    </row>
    <row r="2850" spans="1:18" x14ac:dyDescent="0.25">
      <c r="A2850" s="30">
        <v>46125</v>
      </c>
      <c r="B2850" s="28">
        <v>665</v>
      </c>
      <c r="C2850" s="28"/>
      <c r="D2850" s="2" t="s">
        <v>3144</v>
      </c>
      <c r="E2850" s="7" t="s">
        <v>12</v>
      </c>
      <c r="F2850" s="7" t="s">
        <v>2683</v>
      </c>
      <c r="G2850" s="2" t="s">
        <v>13</v>
      </c>
      <c r="H2850" s="2" t="s">
        <v>127</v>
      </c>
      <c r="I2850" s="5">
        <v>13248.92</v>
      </c>
      <c r="J2850" s="57">
        <v>7.0000000000000007E-2</v>
      </c>
      <c r="K2850" s="3">
        <v>144</v>
      </c>
      <c r="L2850" s="2" t="s">
        <v>73</v>
      </c>
      <c r="M2850" s="2" t="s">
        <v>12</v>
      </c>
      <c r="N2850" s="2" t="s">
        <v>12</v>
      </c>
      <c r="O2850" s="2" t="s">
        <v>12</v>
      </c>
      <c r="P2850" s="21" t="s">
        <v>12</v>
      </c>
      <c r="Q2850" s="3" t="s">
        <v>12</v>
      </c>
      <c r="R2850" s="3" t="s">
        <v>12</v>
      </c>
    </row>
    <row r="2851" spans="1:18" x14ac:dyDescent="0.25">
      <c r="A2851" s="30">
        <v>46125</v>
      </c>
      <c r="B2851" s="28">
        <v>666</v>
      </c>
      <c r="C2851" s="28"/>
      <c r="D2851" s="2" t="s">
        <v>3145</v>
      </c>
      <c r="E2851" s="7" t="s">
        <v>3146</v>
      </c>
      <c r="F2851" s="7" t="s">
        <v>2715</v>
      </c>
      <c r="G2851" s="2" t="s">
        <v>13</v>
      </c>
      <c r="H2851" s="2" t="s">
        <v>112</v>
      </c>
      <c r="I2851" s="5">
        <v>10505.47</v>
      </c>
      <c r="J2851" s="57">
        <v>7.0000000000000007E-2</v>
      </c>
      <c r="K2851" s="3">
        <v>120</v>
      </c>
      <c r="L2851" s="2" t="s">
        <v>73</v>
      </c>
      <c r="M2851" s="2" t="s">
        <v>12</v>
      </c>
      <c r="N2851" s="2" t="s">
        <v>12</v>
      </c>
      <c r="O2851" s="2" t="s">
        <v>12</v>
      </c>
      <c r="P2851" s="21" t="s">
        <v>12</v>
      </c>
      <c r="Q2851" s="3" t="s">
        <v>12</v>
      </c>
      <c r="R2851" s="3" t="s">
        <v>12</v>
      </c>
    </row>
    <row r="2852" spans="1:18" x14ac:dyDescent="0.25">
      <c r="A2852" s="30">
        <v>46125</v>
      </c>
      <c r="B2852" s="28">
        <v>667</v>
      </c>
      <c r="C2852" s="28" t="s">
        <v>2161</v>
      </c>
      <c r="D2852" s="2" t="s">
        <v>839</v>
      </c>
      <c r="E2852" s="7" t="s">
        <v>3108</v>
      </c>
      <c r="F2852" s="7" t="s">
        <v>3001</v>
      </c>
      <c r="G2852" s="2" t="s">
        <v>20</v>
      </c>
      <c r="H2852" s="2" t="s">
        <v>275</v>
      </c>
      <c r="I2852" s="5">
        <v>5790.09</v>
      </c>
      <c r="J2852" s="57">
        <v>0.04</v>
      </c>
      <c r="K2852" s="3">
        <v>72</v>
      </c>
      <c r="L2852" s="2" t="s">
        <v>64</v>
      </c>
      <c r="M2852" s="2" t="s">
        <v>12</v>
      </c>
      <c r="N2852" s="2" t="s">
        <v>12</v>
      </c>
      <c r="O2852" s="2" t="s">
        <v>12</v>
      </c>
      <c r="P2852" s="21" t="s">
        <v>12</v>
      </c>
      <c r="Q2852" s="3" t="s">
        <v>12</v>
      </c>
      <c r="R2852" s="3" t="s">
        <v>12</v>
      </c>
    </row>
    <row r="2853" spans="1:18" x14ac:dyDescent="0.25">
      <c r="A2853" s="30">
        <v>46125</v>
      </c>
      <c r="B2853" s="28">
        <v>668</v>
      </c>
      <c r="C2853" s="28"/>
      <c r="D2853" s="2" t="s">
        <v>41</v>
      </c>
      <c r="E2853" s="7" t="s">
        <v>2993</v>
      </c>
      <c r="F2853" s="7" t="s">
        <v>3002</v>
      </c>
      <c r="G2853" s="2" t="s">
        <v>43</v>
      </c>
      <c r="H2853" s="2" t="s">
        <v>339</v>
      </c>
      <c r="I2853" s="5">
        <v>4257.4399999999996</v>
      </c>
      <c r="J2853" s="57">
        <v>7.0000000000000007E-2</v>
      </c>
      <c r="K2853" s="3" t="s">
        <v>12</v>
      </c>
      <c r="L2853" s="2" t="s">
        <v>64</v>
      </c>
      <c r="M2853" s="2" t="s">
        <v>12</v>
      </c>
      <c r="N2853" s="2" t="s">
        <v>12</v>
      </c>
      <c r="O2853" s="2" t="s">
        <v>12</v>
      </c>
      <c r="P2853" s="21" t="s">
        <v>12</v>
      </c>
      <c r="Q2853" s="3" t="s">
        <v>12</v>
      </c>
      <c r="R2853" s="3" t="s">
        <v>12</v>
      </c>
    </row>
    <row r="2854" spans="1:18" x14ac:dyDescent="0.25">
      <c r="A2854" s="30">
        <v>46125</v>
      </c>
      <c r="B2854" s="28">
        <v>669</v>
      </c>
      <c r="C2854" s="28"/>
      <c r="D2854" s="2" t="s">
        <v>41</v>
      </c>
      <c r="E2854" s="7" t="s">
        <v>2987</v>
      </c>
      <c r="F2854" s="7" t="s">
        <v>3002</v>
      </c>
      <c r="G2854" s="2" t="s">
        <v>43</v>
      </c>
      <c r="H2854" s="2" t="s">
        <v>339</v>
      </c>
      <c r="I2854" s="5">
        <v>1389.4</v>
      </c>
      <c r="J2854" s="57">
        <v>7.0000000000000007E-2</v>
      </c>
      <c r="K2854" s="3" t="s">
        <v>12</v>
      </c>
      <c r="L2854" s="2" t="s">
        <v>64</v>
      </c>
      <c r="M2854" s="2" t="s">
        <v>12</v>
      </c>
      <c r="N2854" s="2" t="s">
        <v>12</v>
      </c>
      <c r="O2854" s="2" t="s">
        <v>12</v>
      </c>
      <c r="P2854" s="21" t="s">
        <v>12</v>
      </c>
      <c r="Q2854" s="3" t="s">
        <v>12</v>
      </c>
      <c r="R2854" s="3" t="s">
        <v>12</v>
      </c>
    </row>
    <row r="2855" spans="1:18" x14ac:dyDescent="0.25">
      <c r="A2855" s="30">
        <v>46125</v>
      </c>
      <c r="B2855" s="28">
        <v>670</v>
      </c>
      <c r="C2855" s="28"/>
      <c r="D2855" s="2" t="s">
        <v>62</v>
      </c>
      <c r="E2855" s="7" t="s">
        <v>12</v>
      </c>
      <c r="F2855" s="7" t="s">
        <v>2683</v>
      </c>
      <c r="G2855" s="2" t="s">
        <v>26</v>
      </c>
      <c r="H2855" s="2" t="s">
        <v>63</v>
      </c>
      <c r="I2855" s="5">
        <v>2442.2600000000002</v>
      </c>
      <c r="J2855" s="57">
        <v>7.0000000000000007E-2</v>
      </c>
      <c r="K2855" s="3" t="s">
        <v>12</v>
      </c>
      <c r="L2855" s="2" t="s">
        <v>64</v>
      </c>
      <c r="M2855" s="2" t="s">
        <v>12</v>
      </c>
      <c r="N2855" s="2" t="s">
        <v>12</v>
      </c>
      <c r="O2855" s="2" t="s">
        <v>12</v>
      </c>
      <c r="P2855" s="21" t="s">
        <v>12</v>
      </c>
      <c r="Q2855" s="3" t="s">
        <v>12</v>
      </c>
      <c r="R2855" s="3" t="s">
        <v>12</v>
      </c>
    </row>
    <row r="2856" spans="1:18" x14ac:dyDescent="0.25">
      <c r="A2856" s="30">
        <v>46126</v>
      </c>
      <c r="B2856" s="28">
        <v>671</v>
      </c>
      <c r="C2856" s="28" t="s">
        <v>2162</v>
      </c>
      <c r="D2856" s="2" t="s">
        <v>3147</v>
      </c>
      <c r="E2856" s="7" t="s">
        <v>12</v>
      </c>
      <c r="F2856" s="7" t="s">
        <v>2683</v>
      </c>
      <c r="G2856" s="2" t="s">
        <v>13</v>
      </c>
      <c r="H2856" s="2" t="s">
        <v>170</v>
      </c>
      <c r="I2856" s="5">
        <v>29000</v>
      </c>
      <c r="J2856" s="57">
        <v>0.04</v>
      </c>
      <c r="K2856" s="3">
        <v>384</v>
      </c>
      <c r="L2856" s="2" t="s">
        <v>64</v>
      </c>
      <c r="M2856" s="2" t="s">
        <v>12</v>
      </c>
      <c r="N2856" s="2" t="s">
        <v>12</v>
      </c>
      <c r="O2856" s="2" t="s">
        <v>12</v>
      </c>
      <c r="P2856" s="21" t="s">
        <v>12</v>
      </c>
      <c r="Q2856" s="3" t="s">
        <v>12</v>
      </c>
      <c r="R2856" s="3" t="s">
        <v>12</v>
      </c>
    </row>
    <row r="2857" spans="1:18" x14ac:dyDescent="0.25">
      <c r="A2857" s="30">
        <v>46126</v>
      </c>
      <c r="B2857" s="28">
        <v>672</v>
      </c>
      <c r="C2857" s="28" t="s">
        <v>2162</v>
      </c>
      <c r="D2857" s="2" t="s">
        <v>3148</v>
      </c>
      <c r="E2857" s="7" t="s">
        <v>3149</v>
      </c>
      <c r="F2857" s="7" t="s">
        <v>2902</v>
      </c>
      <c r="G2857" s="2" t="s">
        <v>20</v>
      </c>
      <c r="H2857" s="2"/>
      <c r="I2857" s="5">
        <v>21045.040000000001</v>
      </c>
      <c r="J2857" s="57">
        <v>0.04</v>
      </c>
      <c r="K2857" s="3">
        <v>168</v>
      </c>
      <c r="L2857" s="2" t="s">
        <v>64</v>
      </c>
      <c r="M2857" s="2" t="s">
        <v>12</v>
      </c>
      <c r="N2857" s="2" t="s">
        <v>12</v>
      </c>
      <c r="O2857" s="2" t="s">
        <v>12</v>
      </c>
      <c r="P2857" s="21" t="s">
        <v>12</v>
      </c>
      <c r="Q2857" s="3" t="s">
        <v>12</v>
      </c>
      <c r="R2857" s="3" t="s">
        <v>12</v>
      </c>
    </row>
    <row r="2858" spans="1:18" x14ac:dyDescent="0.25">
      <c r="A2858" s="30">
        <v>46126</v>
      </c>
      <c r="B2858" s="28">
        <v>673</v>
      </c>
      <c r="C2858" s="28"/>
      <c r="D2858" s="2" t="s">
        <v>215</v>
      </c>
      <c r="E2858" s="7" t="s">
        <v>3150</v>
      </c>
      <c r="F2858" s="7" t="s">
        <v>2972</v>
      </c>
      <c r="G2858" s="2" t="s">
        <v>26</v>
      </c>
      <c r="H2858" s="2" t="s">
        <v>2536</v>
      </c>
      <c r="I2858" s="5">
        <v>24094.560000000001</v>
      </c>
      <c r="J2858" s="57">
        <v>7.0000000000000007E-2</v>
      </c>
      <c r="K2858" s="3" t="s">
        <v>12</v>
      </c>
      <c r="L2858" s="2" t="s">
        <v>64</v>
      </c>
      <c r="M2858" s="2" t="s">
        <v>12</v>
      </c>
      <c r="N2858" s="2" t="s">
        <v>12</v>
      </c>
      <c r="O2858" s="2" t="s">
        <v>12</v>
      </c>
      <c r="P2858" s="21" t="s">
        <v>12</v>
      </c>
      <c r="Q2858" s="3" t="s">
        <v>12</v>
      </c>
      <c r="R2858" s="3" t="s">
        <v>12</v>
      </c>
    </row>
    <row r="2859" spans="1:18" x14ac:dyDescent="0.25">
      <c r="A2859" s="30">
        <v>46126</v>
      </c>
      <c r="B2859" s="28">
        <v>674</v>
      </c>
      <c r="C2859" s="28"/>
      <c r="D2859" s="2" t="s">
        <v>3139</v>
      </c>
      <c r="E2859" s="7" t="s">
        <v>12</v>
      </c>
      <c r="F2859" s="7" t="s">
        <v>2683</v>
      </c>
      <c r="G2859" s="2" t="s">
        <v>97</v>
      </c>
      <c r="H2859" s="2" t="s">
        <v>3140</v>
      </c>
      <c r="I2859" s="5">
        <v>1477.92</v>
      </c>
      <c r="J2859" s="57">
        <v>7.0000000000000007E-2</v>
      </c>
      <c r="K2859" s="3" t="s">
        <v>12</v>
      </c>
      <c r="L2859" s="2" t="s">
        <v>64</v>
      </c>
      <c r="M2859" s="2" t="s">
        <v>12</v>
      </c>
      <c r="N2859" s="2" t="s">
        <v>12</v>
      </c>
      <c r="O2859" s="2" t="s">
        <v>12</v>
      </c>
      <c r="P2859" s="21" t="s">
        <v>12</v>
      </c>
      <c r="Q2859" s="3" t="s">
        <v>12</v>
      </c>
      <c r="R2859" s="3" t="s">
        <v>12</v>
      </c>
    </row>
    <row r="2860" spans="1:18" x14ac:dyDescent="0.25">
      <c r="A2860" s="30">
        <v>46126</v>
      </c>
      <c r="B2860" s="28">
        <v>675</v>
      </c>
      <c r="C2860" s="28"/>
      <c r="D2860" s="2" t="s">
        <v>41</v>
      </c>
      <c r="E2860" s="7" t="s">
        <v>3092</v>
      </c>
      <c r="F2860" s="7" t="s">
        <v>2972</v>
      </c>
      <c r="G2860" s="2" t="s">
        <v>43</v>
      </c>
      <c r="H2860" s="2" t="s">
        <v>43</v>
      </c>
      <c r="I2860" s="5">
        <v>242278.69</v>
      </c>
      <c r="J2860" s="57">
        <v>0.05</v>
      </c>
      <c r="K2860" s="3">
        <v>2492.4</v>
      </c>
      <c r="L2860" s="2" t="s">
        <v>21</v>
      </c>
      <c r="M2860" s="2" t="s">
        <v>12</v>
      </c>
      <c r="N2860" s="2" t="s">
        <v>12</v>
      </c>
      <c r="O2860" s="2" t="s">
        <v>12</v>
      </c>
      <c r="P2860" s="21" t="s">
        <v>12</v>
      </c>
      <c r="Q2860" s="3" t="s">
        <v>522</v>
      </c>
      <c r="R2860" s="3" t="s">
        <v>80</v>
      </c>
    </row>
    <row r="2861" spans="1:18" x14ac:dyDescent="0.25">
      <c r="A2861" s="30">
        <v>46126</v>
      </c>
      <c r="B2861" s="28">
        <v>676</v>
      </c>
      <c r="C2861" s="28"/>
      <c r="D2861" s="2" t="s">
        <v>433</v>
      </c>
      <c r="E2861" s="7" t="s">
        <v>3151</v>
      </c>
      <c r="F2861" s="7" t="s">
        <v>1844</v>
      </c>
      <c r="G2861" s="2" t="s">
        <v>97</v>
      </c>
      <c r="H2861" s="2" t="s">
        <v>395</v>
      </c>
      <c r="I2861" s="5">
        <v>45718.9</v>
      </c>
      <c r="J2861" s="57">
        <v>0.05</v>
      </c>
      <c r="K2861" s="3">
        <v>480</v>
      </c>
      <c r="L2861" s="2" t="s">
        <v>64</v>
      </c>
      <c r="M2861" s="2" t="s">
        <v>12</v>
      </c>
      <c r="N2861" s="2" t="s">
        <v>12</v>
      </c>
      <c r="O2861" s="2" t="s">
        <v>12</v>
      </c>
      <c r="P2861" s="21" t="s">
        <v>12</v>
      </c>
      <c r="Q2861" s="3" t="s">
        <v>12</v>
      </c>
      <c r="R2861" s="3" t="s">
        <v>12</v>
      </c>
    </row>
    <row r="2862" spans="1:18" x14ac:dyDescent="0.25">
      <c r="A2862" s="30">
        <v>46126</v>
      </c>
      <c r="B2862" s="28">
        <v>677</v>
      </c>
      <c r="C2862" s="28"/>
      <c r="D2862" s="2" t="s">
        <v>3152</v>
      </c>
      <c r="E2862" s="7" t="s">
        <v>12</v>
      </c>
      <c r="F2862" s="7" t="s">
        <v>2683</v>
      </c>
      <c r="G2862" s="2" t="s">
        <v>13</v>
      </c>
      <c r="H2862" s="2" t="s">
        <v>653</v>
      </c>
      <c r="I2862" s="5">
        <v>14546.82</v>
      </c>
      <c r="J2862" s="57">
        <v>7.0000000000000007E-2</v>
      </c>
      <c r="K2862" s="3">
        <v>144</v>
      </c>
      <c r="L2862" s="2" t="s">
        <v>73</v>
      </c>
      <c r="M2862" s="2" t="s">
        <v>12</v>
      </c>
      <c r="N2862" s="2" t="s">
        <v>12</v>
      </c>
      <c r="O2862" s="2" t="s">
        <v>12</v>
      </c>
      <c r="P2862" s="21" t="s">
        <v>12</v>
      </c>
      <c r="Q2862" s="3" t="s">
        <v>12</v>
      </c>
      <c r="R2862" s="3" t="s">
        <v>12</v>
      </c>
    </row>
    <row r="2863" spans="1:18" x14ac:dyDescent="0.25">
      <c r="A2863" s="30">
        <v>46126</v>
      </c>
      <c r="B2863" s="28">
        <v>678</v>
      </c>
      <c r="C2863" s="28"/>
      <c r="D2863" s="2" t="s">
        <v>109</v>
      </c>
      <c r="E2863" s="7" t="s">
        <v>3186</v>
      </c>
      <c r="F2863" s="7" t="s">
        <v>3001</v>
      </c>
      <c r="G2863" s="2" t="s">
        <v>111</v>
      </c>
      <c r="H2863" s="2" t="s">
        <v>758</v>
      </c>
      <c r="I2863" s="5">
        <v>114316.38</v>
      </c>
      <c r="J2863" s="57" t="s">
        <v>12</v>
      </c>
      <c r="K2863" s="3" t="s">
        <v>12</v>
      </c>
      <c r="L2863" s="2" t="s">
        <v>21</v>
      </c>
      <c r="M2863" s="2" t="s">
        <v>12</v>
      </c>
      <c r="N2863" s="2" t="s">
        <v>12</v>
      </c>
      <c r="O2863" s="2" t="s">
        <v>12</v>
      </c>
      <c r="P2863" s="21" t="s">
        <v>12</v>
      </c>
      <c r="Q2863" s="3" t="s">
        <v>12</v>
      </c>
      <c r="R2863" s="3" t="s">
        <v>12</v>
      </c>
    </row>
    <row r="2864" spans="1:18" x14ac:dyDescent="0.25">
      <c r="A2864" s="30">
        <v>46126</v>
      </c>
      <c r="B2864" s="28">
        <v>679</v>
      </c>
      <c r="C2864" s="28"/>
      <c r="D2864" s="2" t="s">
        <v>1395</v>
      </c>
      <c r="E2864" s="7" t="s">
        <v>3187</v>
      </c>
      <c r="F2864" s="7" t="s">
        <v>3001</v>
      </c>
      <c r="G2864" s="2" t="s">
        <v>111</v>
      </c>
      <c r="H2864" s="2" t="s">
        <v>1017</v>
      </c>
      <c r="I2864" s="5">
        <v>21097.48</v>
      </c>
      <c r="J2864" s="57" t="s">
        <v>12</v>
      </c>
      <c r="K2864" s="3" t="s">
        <v>12</v>
      </c>
      <c r="L2864" s="2" t="s">
        <v>64</v>
      </c>
      <c r="M2864" s="2" t="s">
        <v>12</v>
      </c>
      <c r="N2864" s="2" t="s">
        <v>12</v>
      </c>
      <c r="O2864" s="2" t="s">
        <v>12</v>
      </c>
      <c r="P2864" s="21" t="s">
        <v>12</v>
      </c>
      <c r="Q2864" s="3" t="s">
        <v>12</v>
      </c>
      <c r="R2864" s="3" t="s">
        <v>12</v>
      </c>
    </row>
    <row r="2865" spans="1:18" x14ac:dyDescent="0.25">
      <c r="A2865" s="30">
        <v>46126</v>
      </c>
      <c r="B2865" s="28">
        <v>680</v>
      </c>
      <c r="C2865" s="28"/>
      <c r="D2865" s="2" t="s">
        <v>3153</v>
      </c>
      <c r="E2865" s="7" t="s">
        <v>12</v>
      </c>
      <c r="F2865" s="7" t="s">
        <v>2683</v>
      </c>
      <c r="G2865" s="2" t="s">
        <v>13</v>
      </c>
      <c r="H2865" s="2" t="s">
        <v>20</v>
      </c>
      <c r="I2865" s="5">
        <v>1809.15</v>
      </c>
      <c r="J2865" s="57">
        <v>7.0000000000000007E-2</v>
      </c>
      <c r="K2865" s="3">
        <v>24</v>
      </c>
      <c r="L2865" s="2" t="s">
        <v>73</v>
      </c>
      <c r="M2865" s="2" t="s">
        <v>12</v>
      </c>
      <c r="N2865" s="2" t="s">
        <v>12</v>
      </c>
      <c r="O2865" s="2" t="s">
        <v>12</v>
      </c>
      <c r="P2865" s="21" t="s">
        <v>12</v>
      </c>
      <c r="Q2865" s="3" t="s">
        <v>12</v>
      </c>
      <c r="R2865" s="3" t="s">
        <v>12</v>
      </c>
    </row>
    <row r="2866" spans="1:18" x14ac:dyDescent="0.25">
      <c r="A2866" s="30">
        <v>46126</v>
      </c>
      <c r="B2866" s="28">
        <v>681</v>
      </c>
      <c r="C2866" s="28"/>
      <c r="D2866" s="2" t="s">
        <v>726</v>
      </c>
      <c r="E2866" s="7" t="s">
        <v>3155</v>
      </c>
      <c r="F2866" s="7" t="s">
        <v>3001</v>
      </c>
      <c r="G2866" s="2" t="s">
        <v>111</v>
      </c>
      <c r="H2866" s="2" t="s">
        <v>727</v>
      </c>
      <c r="I2866" s="5">
        <v>70000</v>
      </c>
      <c r="J2866" s="57">
        <v>7.0000000000000007E-2</v>
      </c>
      <c r="K2866" s="3">
        <v>864</v>
      </c>
      <c r="L2866" s="2" t="s">
        <v>64</v>
      </c>
      <c r="M2866" s="2" t="s">
        <v>12</v>
      </c>
      <c r="N2866" s="2" t="s">
        <v>12</v>
      </c>
      <c r="O2866" s="2" t="s">
        <v>12</v>
      </c>
      <c r="P2866" s="21" t="s">
        <v>12</v>
      </c>
      <c r="Q2866" s="3" t="s">
        <v>3157</v>
      </c>
      <c r="R2866" s="3" t="s">
        <v>80</v>
      </c>
    </row>
    <row r="2867" spans="1:18" x14ac:dyDescent="0.25">
      <c r="A2867" s="30">
        <v>46126</v>
      </c>
      <c r="B2867" s="28">
        <v>682</v>
      </c>
      <c r="C2867" s="28"/>
      <c r="D2867" s="2" t="s">
        <v>255</v>
      </c>
      <c r="E2867" s="7" t="s">
        <v>3154</v>
      </c>
      <c r="F2867" s="7" t="s">
        <v>1844</v>
      </c>
      <c r="G2867" s="2" t="s">
        <v>13</v>
      </c>
      <c r="H2867" s="2" t="s">
        <v>129</v>
      </c>
      <c r="I2867" s="5">
        <v>62964.09</v>
      </c>
      <c r="J2867" s="57">
        <v>7.0000000000000007E-2</v>
      </c>
      <c r="K2867" s="3">
        <v>624</v>
      </c>
      <c r="L2867" s="2" t="s">
        <v>73</v>
      </c>
      <c r="M2867" s="2" t="s">
        <v>12</v>
      </c>
      <c r="N2867" s="2" t="s">
        <v>12</v>
      </c>
      <c r="O2867" s="2" t="s">
        <v>12</v>
      </c>
      <c r="P2867" s="21" t="s">
        <v>12</v>
      </c>
      <c r="Q2867" s="3" t="s">
        <v>457</v>
      </c>
      <c r="R2867" s="3" t="s">
        <v>80</v>
      </c>
    </row>
    <row r="2868" spans="1:18" x14ac:dyDescent="0.25">
      <c r="A2868" s="30">
        <v>46126</v>
      </c>
      <c r="B2868" s="28">
        <v>683</v>
      </c>
      <c r="C2868" s="28"/>
      <c r="D2868" s="2" t="s">
        <v>273</v>
      </c>
      <c r="E2868" s="7" t="s">
        <v>12</v>
      </c>
      <c r="F2868" s="7" t="s">
        <v>2683</v>
      </c>
      <c r="G2868" s="2" t="s">
        <v>26</v>
      </c>
      <c r="H2868" s="2" t="s">
        <v>116</v>
      </c>
      <c r="I2868" s="5">
        <v>7909.47</v>
      </c>
      <c r="J2868" s="57">
        <v>0.05</v>
      </c>
      <c r="K2868" s="3">
        <v>120</v>
      </c>
      <c r="L2868" s="2" t="s">
        <v>64</v>
      </c>
      <c r="M2868" s="2" t="s">
        <v>12</v>
      </c>
      <c r="N2868" s="2" t="s">
        <v>12</v>
      </c>
      <c r="O2868" s="2" t="s">
        <v>12</v>
      </c>
      <c r="P2868" s="21" t="s">
        <v>12</v>
      </c>
      <c r="Q2868" s="3" t="s">
        <v>12</v>
      </c>
      <c r="R2868" s="3" t="s">
        <v>12</v>
      </c>
    </row>
    <row r="2869" spans="1:18" x14ac:dyDescent="0.25">
      <c r="A2869" s="30">
        <v>46126</v>
      </c>
      <c r="B2869" s="28">
        <v>684</v>
      </c>
      <c r="C2869" s="28"/>
      <c r="D2869" s="2" t="s">
        <v>692</v>
      </c>
      <c r="E2869" s="7" t="s">
        <v>3156</v>
      </c>
      <c r="F2869" s="7" t="s">
        <v>3003</v>
      </c>
      <c r="G2869" s="2" t="s">
        <v>97</v>
      </c>
      <c r="H2869" s="2" t="s">
        <v>1454</v>
      </c>
      <c r="I2869" s="5">
        <v>319447.74</v>
      </c>
      <c r="J2869" s="57">
        <v>7.0000000000000007E-2</v>
      </c>
      <c r="K2869" s="3">
        <v>3192</v>
      </c>
      <c r="L2869" s="2" t="s">
        <v>73</v>
      </c>
      <c r="M2869" s="2" t="s">
        <v>12</v>
      </c>
      <c r="N2869" s="2" t="s">
        <v>12</v>
      </c>
      <c r="O2869" s="2" t="s">
        <v>12</v>
      </c>
      <c r="P2869" s="21" t="s">
        <v>12</v>
      </c>
      <c r="Q2869" s="3" t="s">
        <v>3158</v>
      </c>
      <c r="R2869" s="3" t="s">
        <v>75</v>
      </c>
    </row>
    <row r="2870" spans="1:18" x14ac:dyDescent="0.25">
      <c r="A2870" s="30">
        <v>46126</v>
      </c>
      <c r="B2870" s="28">
        <v>685</v>
      </c>
      <c r="C2870" s="28"/>
      <c r="D2870" s="2" t="s">
        <v>1713</v>
      </c>
      <c r="E2870" s="7" t="s">
        <v>3159</v>
      </c>
      <c r="F2870" s="7" t="s">
        <v>2694</v>
      </c>
      <c r="G2870" s="2" t="s">
        <v>20</v>
      </c>
      <c r="H2870" s="2" t="s">
        <v>43</v>
      </c>
      <c r="I2870" s="5">
        <v>10000</v>
      </c>
      <c r="J2870" s="57">
        <v>7.0000000000000007E-2</v>
      </c>
      <c r="K2870" s="3">
        <v>72</v>
      </c>
      <c r="L2870" s="2" t="s">
        <v>64</v>
      </c>
      <c r="M2870" s="2" t="s">
        <v>12</v>
      </c>
      <c r="N2870" s="2" t="s">
        <v>12</v>
      </c>
      <c r="O2870" s="2" t="s">
        <v>12</v>
      </c>
      <c r="P2870" s="21" t="s">
        <v>12</v>
      </c>
      <c r="Q2870" s="3" t="s">
        <v>12</v>
      </c>
      <c r="R2870" s="3" t="s">
        <v>12</v>
      </c>
    </row>
    <row r="2871" spans="1:18" x14ac:dyDescent="0.25">
      <c r="A2871" s="30">
        <v>46127</v>
      </c>
      <c r="B2871" s="28">
        <v>686</v>
      </c>
      <c r="C2871" s="28" t="s">
        <v>2161</v>
      </c>
      <c r="D2871" s="2" t="s">
        <v>109</v>
      </c>
      <c r="E2871" s="7" t="s">
        <v>3160</v>
      </c>
      <c r="F2871" s="7" t="s">
        <v>2683</v>
      </c>
      <c r="G2871" s="2" t="s">
        <v>111</v>
      </c>
      <c r="H2871" s="2" t="s">
        <v>395</v>
      </c>
      <c r="I2871" s="5">
        <v>45730.25</v>
      </c>
      <c r="J2871" s="57">
        <v>7.0000000000000007E-2</v>
      </c>
      <c r="K2871" s="3">
        <v>552</v>
      </c>
      <c r="L2871" s="2" t="s">
        <v>73</v>
      </c>
      <c r="M2871" s="2" t="s">
        <v>12</v>
      </c>
      <c r="N2871" s="2" t="s">
        <v>12</v>
      </c>
      <c r="O2871" s="2" t="s">
        <v>12</v>
      </c>
      <c r="P2871" s="21" t="s">
        <v>12</v>
      </c>
      <c r="Q2871" s="3" t="s">
        <v>12</v>
      </c>
      <c r="R2871" s="3" t="s">
        <v>12</v>
      </c>
    </row>
    <row r="2872" spans="1:18" x14ac:dyDescent="0.25">
      <c r="A2872" s="30">
        <v>46127</v>
      </c>
      <c r="B2872" s="28">
        <v>687</v>
      </c>
      <c r="C2872" s="28"/>
      <c r="D2872" s="2" t="s">
        <v>87</v>
      </c>
      <c r="E2872" s="7" t="s">
        <v>12</v>
      </c>
      <c r="F2872" s="7" t="s">
        <v>2683</v>
      </c>
      <c r="G2872" s="2" t="s">
        <v>13</v>
      </c>
      <c r="H2872" s="2" t="s">
        <v>1442</v>
      </c>
      <c r="I2872" s="5">
        <v>31888.44</v>
      </c>
      <c r="J2872" s="57">
        <v>7.0000000000000007E-2</v>
      </c>
      <c r="K2872" s="3">
        <v>336</v>
      </c>
      <c r="L2872" s="2" t="s">
        <v>226</v>
      </c>
      <c r="M2872" s="2" t="s">
        <v>12</v>
      </c>
      <c r="N2872" s="2" t="s">
        <v>12</v>
      </c>
      <c r="O2872" s="2" t="s">
        <v>12</v>
      </c>
      <c r="P2872" s="21" t="s">
        <v>12</v>
      </c>
      <c r="Q2872" s="3" t="s">
        <v>12</v>
      </c>
      <c r="R2872" s="3" t="s">
        <v>12</v>
      </c>
    </row>
    <row r="2873" spans="1:18" x14ac:dyDescent="0.25">
      <c r="A2873" s="30">
        <v>46127</v>
      </c>
      <c r="B2873" s="28">
        <v>688</v>
      </c>
      <c r="C2873" s="28"/>
      <c r="D2873" s="2" t="s">
        <v>3161</v>
      </c>
      <c r="E2873" s="7" t="s">
        <v>3162</v>
      </c>
      <c r="F2873" s="7" t="s">
        <v>2683</v>
      </c>
      <c r="G2873" s="2" t="s">
        <v>20</v>
      </c>
      <c r="H2873" s="2" t="s">
        <v>13</v>
      </c>
      <c r="I2873" s="5">
        <v>31467.27</v>
      </c>
      <c r="J2873" s="57">
        <v>7.0000000000000007E-2</v>
      </c>
      <c r="K2873" s="3">
        <v>384</v>
      </c>
      <c r="L2873" s="2" t="s">
        <v>73</v>
      </c>
      <c r="M2873" s="2" t="s">
        <v>12</v>
      </c>
      <c r="N2873" s="2" t="s">
        <v>12</v>
      </c>
      <c r="O2873" s="2" t="s">
        <v>12</v>
      </c>
      <c r="P2873" s="21" t="s">
        <v>12</v>
      </c>
      <c r="Q2873" s="3" t="s">
        <v>12</v>
      </c>
      <c r="R2873" s="3" t="s">
        <v>12</v>
      </c>
    </row>
    <row r="2874" spans="1:18" x14ac:dyDescent="0.25">
      <c r="A2874" s="30">
        <v>46127</v>
      </c>
      <c r="B2874" s="28">
        <v>689</v>
      </c>
      <c r="C2874" s="28" t="s">
        <v>2161</v>
      </c>
      <c r="D2874" s="2" t="s">
        <v>2782</v>
      </c>
      <c r="E2874" s="7" t="s">
        <v>12</v>
      </c>
      <c r="F2874" s="7" t="s">
        <v>2683</v>
      </c>
      <c r="G2874" s="2" t="s">
        <v>26</v>
      </c>
      <c r="H2874" s="2" t="s">
        <v>2783</v>
      </c>
      <c r="I2874" s="5">
        <v>36326.870000000003</v>
      </c>
      <c r="J2874" s="57">
        <v>0.05</v>
      </c>
      <c r="K2874" s="3">
        <v>480</v>
      </c>
      <c r="L2874" s="2" t="s">
        <v>64</v>
      </c>
      <c r="M2874" s="2" t="s">
        <v>12</v>
      </c>
      <c r="N2874" s="2" t="s">
        <v>12</v>
      </c>
      <c r="O2874" s="2" t="s">
        <v>12</v>
      </c>
      <c r="P2874" s="21" t="s">
        <v>12</v>
      </c>
      <c r="Q2874" s="3" t="s">
        <v>12</v>
      </c>
      <c r="R2874" s="3" t="s">
        <v>12</v>
      </c>
    </row>
    <row r="2875" spans="1:18" x14ac:dyDescent="0.25">
      <c r="A2875" s="30">
        <v>46128</v>
      </c>
      <c r="B2875" s="28">
        <v>690</v>
      </c>
      <c r="C2875" s="28"/>
      <c r="D2875" s="2" t="s">
        <v>87</v>
      </c>
      <c r="E2875" s="7" t="s">
        <v>3164</v>
      </c>
      <c r="F2875" s="7" t="s">
        <v>3002</v>
      </c>
      <c r="G2875" s="2" t="s">
        <v>13</v>
      </c>
      <c r="H2875" s="2" t="s">
        <v>185</v>
      </c>
      <c r="I2875" s="5">
        <v>436058.59</v>
      </c>
      <c r="J2875" s="57">
        <v>7.0000000000000007E-2</v>
      </c>
      <c r="K2875" s="3">
        <v>4560</v>
      </c>
      <c r="L2875" s="2" t="s">
        <v>73</v>
      </c>
      <c r="M2875" s="2" t="s">
        <v>12</v>
      </c>
      <c r="N2875" s="2" t="s">
        <v>12</v>
      </c>
      <c r="O2875" s="2" t="s">
        <v>12</v>
      </c>
      <c r="P2875" s="21" t="s">
        <v>12</v>
      </c>
      <c r="Q2875" s="3" t="s">
        <v>78</v>
      </c>
      <c r="R2875" s="3" t="s">
        <v>80</v>
      </c>
    </row>
    <row r="2876" spans="1:18" x14ac:dyDescent="0.25">
      <c r="A2876" s="30">
        <v>46128</v>
      </c>
      <c r="B2876" s="28">
        <v>691</v>
      </c>
      <c r="C2876" s="28"/>
      <c r="D2876" s="2" t="s">
        <v>2248</v>
      </c>
      <c r="E2876" s="7" t="s">
        <v>12</v>
      </c>
      <c r="F2876" s="7" t="s">
        <v>2683</v>
      </c>
      <c r="G2876" s="2" t="s">
        <v>13</v>
      </c>
      <c r="H2876" s="2" t="s">
        <v>2249</v>
      </c>
      <c r="I2876" s="5">
        <v>4365</v>
      </c>
      <c r="J2876" s="57">
        <v>7.0000000000000007E-2</v>
      </c>
      <c r="K2876" s="3" t="s">
        <v>12</v>
      </c>
      <c r="L2876" s="2" t="s">
        <v>21</v>
      </c>
      <c r="M2876" s="2" t="s">
        <v>12</v>
      </c>
      <c r="N2876" s="2" t="s">
        <v>12</v>
      </c>
      <c r="O2876" s="2" t="s">
        <v>12</v>
      </c>
      <c r="P2876" s="21" t="s">
        <v>12</v>
      </c>
      <c r="Q2876" s="3" t="s">
        <v>12</v>
      </c>
      <c r="R2876" s="3" t="s">
        <v>12</v>
      </c>
    </row>
    <row r="2877" spans="1:18" x14ac:dyDescent="0.25">
      <c r="A2877" s="30">
        <v>46128</v>
      </c>
      <c r="B2877" s="28">
        <v>692</v>
      </c>
      <c r="C2877" s="28" t="s">
        <v>2161</v>
      </c>
      <c r="D2877" s="2" t="s">
        <v>137</v>
      </c>
      <c r="E2877" s="7" t="s">
        <v>3092</v>
      </c>
      <c r="F2877" s="7" t="s">
        <v>2972</v>
      </c>
      <c r="G2877" s="2" t="s">
        <v>26</v>
      </c>
      <c r="H2877" s="2" t="s">
        <v>317</v>
      </c>
      <c r="I2877" s="5">
        <v>266476.69</v>
      </c>
      <c r="J2877" s="57">
        <v>7.0000000000000007E-2</v>
      </c>
      <c r="K2877" s="3">
        <v>2492.4</v>
      </c>
      <c r="L2877" s="2" t="s">
        <v>226</v>
      </c>
      <c r="M2877" s="2" t="s">
        <v>12</v>
      </c>
      <c r="N2877" s="2" t="s">
        <v>12</v>
      </c>
      <c r="O2877" s="2" t="s">
        <v>12</v>
      </c>
      <c r="P2877" s="21" t="s">
        <v>12</v>
      </c>
      <c r="Q2877" s="3" t="s">
        <v>522</v>
      </c>
      <c r="R2877" s="3" t="s">
        <v>80</v>
      </c>
    </row>
    <row r="2878" spans="1:18" x14ac:dyDescent="0.25">
      <c r="A2878" s="30">
        <v>46128</v>
      </c>
      <c r="B2878" s="28">
        <v>693</v>
      </c>
      <c r="C2878" s="28"/>
      <c r="D2878" s="2" t="s">
        <v>1713</v>
      </c>
      <c r="E2878" s="7" t="s">
        <v>3165</v>
      </c>
      <c r="F2878" s="7" t="s">
        <v>2694</v>
      </c>
      <c r="G2878" s="2" t="s">
        <v>20</v>
      </c>
      <c r="H2878" s="2" t="s">
        <v>43</v>
      </c>
      <c r="I2878" s="5">
        <v>10500</v>
      </c>
      <c r="J2878" s="57">
        <v>0.06</v>
      </c>
      <c r="K2878" s="3">
        <v>96</v>
      </c>
      <c r="L2878" s="2" t="s">
        <v>64</v>
      </c>
      <c r="M2878" s="2" t="s">
        <v>12</v>
      </c>
      <c r="N2878" s="2" t="s">
        <v>12</v>
      </c>
      <c r="O2878" s="2" t="s">
        <v>12</v>
      </c>
      <c r="P2878" s="21" t="s">
        <v>12</v>
      </c>
      <c r="Q2878" s="3" t="s">
        <v>12</v>
      </c>
      <c r="R2878" s="3" t="s">
        <v>12</v>
      </c>
    </row>
    <row r="2879" spans="1:18" x14ac:dyDescent="0.25">
      <c r="A2879" s="30">
        <v>46129</v>
      </c>
      <c r="B2879" s="28">
        <v>694</v>
      </c>
      <c r="C2879" s="28"/>
      <c r="D2879" s="2" t="s">
        <v>558</v>
      </c>
      <c r="E2879" s="7" t="s">
        <v>3166</v>
      </c>
      <c r="F2879" s="7" t="s">
        <v>3180</v>
      </c>
      <c r="G2879" s="2" t="s">
        <v>20</v>
      </c>
      <c r="H2879" s="2" t="s">
        <v>532</v>
      </c>
      <c r="I2879" s="5">
        <v>13678.34</v>
      </c>
      <c r="J2879" s="57">
        <v>7.0000000000000007E-2</v>
      </c>
      <c r="K2879" s="3">
        <v>144</v>
      </c>
      <c r="L2879" s="2" t="s">
        <v>73</v>
      </c>
      <c r="M2879" s="2" t="s">
        <v>12</v>
      </c>
      <c r="N2879" s="2" t="s">
        <v>12</v>
      </c>
      <c r="O2879" s="2" t="s">
        <v>12</v>
      </c>
      <c r="P2879" s="21" t="s">
        <v>12</v>
      </c>
      <c r="Q2879" s="3" t="s">
        <v>3181</v>
      </c>
      <c r="R2879" s="3" t="s">
        <v>75</v>
      </c>
    </row>
    <row r="2880" spans="1:18" x14ac:dyDescent="0.25">
      <c r="A2880" s="30">
        <v>46129</v>
      </c>
      <c r="B2880" s="28">
        <v>695</v>
      </c>
      <c r="C2880" s="28" t="s">
        <v>2162</v>
      </c>
      <c r="D2880" s="2" t="s">
        <v>1091</v>
      </c>
      <c r="E2880" s="7" t="s">
        <v>3105</v>
      </c>
      <c r="F2880" s="7" t="s">
        <v>3003</v>
      </c>
      <c r="G2880" s="2" t="s">
        <v>26</v>
      </c>
      <c r="H2880" s="2" t="s">
        <v>225</v>
      </c>
      <c r="I2880" s="5">
        <v>7149.03</v>
      </c>
      <c r="J2880" s="57">
        <v>0.03</v>
      </c>
      <c r="K2880" s="3">
        <v>144</v>
      </c>
      <c r="L2880" s="2" t="s">
        <v>64</v>
      </c>
      <c r="M2880" s="2" t="s">
        <v>12</v>
      </c>
      <c r="N2880" s="2" t="s">
        <v>12</v>
      </c>
      <c r="O2880" s="2" t="s">
        <v>12</v>
      </c>
      <c r="P2880" s="21" t="s">
        <v>12</v>
      </c>
      <c r="Q2880" s="3" t="s">
        <v>12</v>
      </c>
      <c r="R2880" s="3" t="s">
        <v>12</v>
      </c>
    </row>
    <row r="2881" spans="1:18" x14ac:dyDescent="0.25">
      <c r="A2881" s="30">
        <v>46129</v>
      </c>
      <c r="B2881" s="28">
        <v>696</v>
      </c>
      <c r="C2881" s="28"/>
      <c r="D2881" s="2" t="s">
        <v>87</v>
      </c>
      <c r="E2881" s="7" t="s">
        <v>3167</v>
      </c>
      <c r="F2881" s="7" t="s">
        <v>3002</v>
      </c>
      <c r="G2881" s="2" t="s">
        <v>13</v>
      </c>
      <c r="H2881" s="2" t="s">
        <v>185</v>
      </c>
      <c r="I2881" s="5">
        <v>13414.78</v>
      </c>
      <c r="J2881" s="57">
        <v>7.0000000000000007E-2</v>
      </c>
      <c r="K2881" s="3">
        <v>144</v>
      </c>
      <c r="L2881" s="2" t="s">
        <v>73</v>
      </c>
      <c r="M2881" s="2" t="s">
        <v>12</v>
      </c>
      <c r="N2881" s="2" t="s">
        <v>12</v>
      </c>
      <c r="O2881" s="2" t="s">
        <v>12</v>
      </c>
      <c r="P2881" s="21" t="s">
        <v>12</v>
      </c>
      <c r="Q2881" s="3" t="s">
        <v>87</v>
      </c>
      <c r="R2881" s="3" t="s">
        <v>80</v>
      </c>
    </row>
    <row r="2882" spans="1:18" x14ac:dyDescent="0.25">
      <c r="A2882" s="30">
        <v>46129</v>
      </c>
      <c r="B2882" s="28">
        <v>697</v>
      </c>
      <c r="C2882" s="28"/>
      <c r="D2882" s="2" t="s">
        <v>202</v>
      </c>
      <c r="E2882" s="7" t="s">
        <v>3168</v>
      </c>
      <c r="F2882" s="7" t="s">
        <v>2972</v>
      </c>
      <c r="G2882" s="2" t="s">
        <v>97</v>
      </c>
      <c r="H2882" s="2" t="s">
        <v>1303</v>
      </c>
      <c r="I2882" s="5">
        <v>110643.28</v>
      </c>
      <c r="J2882" s="57">
        <v>0.05</v>
      </c>
      <c r="K2882" s="3">
        <v>1344</v>
      </c>
      <c r="L2882" s="2" t="s">
        <v>73</v>
      </c>
      <c r="M2882" s="2" t="s">
        <v>12</v>
      </c>
      <c r="N2882" s="2" t="s">
        <v>12</v>
      </c>
      <c r="O2882" s="2" t="s">
        <v>12</v>
      </c>
      <c r="P2882" s="21" t="s">
        <v>12</v>
      </c>
      <c r="Q2882" s="3" t="s">
        <v>1748</v>
      </c>
      <c r="R2882" s="3" t="s">
        <v>80</v>
      </c>
    </row>
    <row r="2883" spans="1:18" x14ac:dyDescent="0.25">
      <c r="A2883" s="30">
        <v>46129</v>
      </c>
      <c r="B2883" s="28">
        <v>698</v>
      </c>
      <c r="C2883" s="28"/>
      <c r="D2883" s="2" t="s">
        <v>308</v>
      </c>
      <c r="E2883" s="7" t="s">
        <v>3169</v>
      </c>
      <c r="F2883" s="7" t="s">
        <v>3003</v>
      </c>
      <c r="G2883" s="2" t="s">
        <v>20</v>
      </c>
      <c r="H2883" s="2" t="s">
        <v>129</v>
      </c>
      <c r="I2883" s="5">
        <v>641847.25</v>
      </c>
      <c r="J2883" s="57">
        <v>0.05</v>
      </c>
      <c r="K2883" s="3">
        <v>5912.4</v>
      </c>
      <c r="L2883" s="2" t="s">
        <v>226</v>
      </c>
      <c r="M2883" s="2" t="s">
        <v>1179</v>
      </c>
      <c r="N2883" s="2" t="s">
        <v>12</v>
      </c>
      <c r="O2883" s="2" t="s">
        <v>12</v>
      </c>
      <c r="P2883" s="21" t="s">
        <v>12</v>
      </c>
      <c r="Q2883" s="3" t="s">
        <v>12</v>
      </c>
      <c r="R2883" s="3" t="s">
        <v>12</v>
      </c>
    </row>
    <row r="2884" spans="1:18" x14ac:dyDescent="0.25">
      <c r="A2884" s="30">
        <v>46129</v>
      </c>
      <c r="B2884" s="28">
        <v>699</v>
      </c>
      <c r="C2884" s="28"/>
      <c r="D2884" s="2" t="s">
        <v>1446</v>
      </c>
      <c r="E2884" s="7" t="s">
        <v>3170</v>
      </c>
      <c r="F2884" s="7" t="s">
        <v>2694</v>
      </c>
      <c r="G2884" s="2" t="s">
        <v>43</v>
      </c>
      <c r="H2884" s="2" t="s">
        <v>2007</v>
      </c>
      <c r="I2884" s="5">
        <v>17575.25</v>
      </c>
      <c r="J2884" s="57">
        <v>7.0000000000000007E-2</v>
      </c>
      <c r="K2884" s="3">
        <v>168</v>
      </c>
      <c r="L2884" s="2" t="s">
        <v>226</v>
      </c>
      <c r="M2884" s="2" t="s">
        <v>12</v>
      </c>
      <c r="N2884" s="2" t="s">
        <v>12</v>
      </c>
      <c r="O2884" s="2" t="s">
        <v>12</v>
      </c>
      <c r="P2884" s="21" t="s">
        <v>12</v>
      </c>
      <c r="Q2884" s="3" t="s">
        <v>12</v>
      </c>
      <c r="R2884" s="3" t="s">
        <v>12</v>
      </c>
    </row>
    <row r="2885" spans="1:18" x14ac:dyDescent="0.25">
      <c r="A2885" s="30">
        <v>46129</v>
      </c>
      <c r="B2885" s="28">
        <v>700</v>
      </c>
      <c r="C2885" s="28"/>
      <c r="D2885" s="2" t="s">
        <v>941</v>
      </c>
      <c r="E2885" s="7" t="s">
        <v>3171</v>
      </c>
      <c r="F2885" s="7" t="s">
        <v>2683</v>
      </c>
      <c r="G2885" s="2" t="s">
        <v>13</v>
      </c>
      <c r="H2885" s="2" t="s">
        <v>943</v>
      </c>
      <c r="I2885" s="5">
        <v>12126.06</v>
      </c>
      <c r="J2885" s="57">
        <v>7.0000000000000007E-2</v>
      </c>
      <c r="K2885" s="3">
        <v>120</v>
      </c>
      <c r="L2885" s="2" t="s">
        <v>73</v>
      </c>
      <c r="M2885" s="2" t="s">
        <v>12</v>
      </c>
      <c r="N2885" s="2" t="s">
        <v>12</v>
      </c>
      <c r="O2885" s="2" t="s">
        <v>12</v>
      </c>
      <c r="P2885" s="21" t="s">
        <v>12</v>
      </c>
      <c r="Q2885" s="3" t="s">
        <v>3182</v>
      </c>
      <c r="R2885" s="3" t="s">
        <v>75</v>
      </c>
    </row>
    <row r="2886" spans="1:18" x14ac:dyDescent="0.25">
      <c r="A2886" s="30">
        <v>46129</v>
      </c>
      <c r="B2886" s="28">
        <v>701</v>
      </c>
      <c r="C2886" s="28"/>
      <c r="D2886" s="2" t="s">
        <v>3172</v>
      </c>
      <c r="E2886" s="7" t="s">
        <v>3171</v>
      </c>
      <c r="F2886" s="7" t="s">
        <v>2683</v>
      </c>
      <c r="G2886" s="2" t="s">
        <v>97</v>
      </c>
      <c r="H2886" s="2" t="s">
        <v>3173</v>
      </c>
      <c r="I2886" s="5">
        <v>12126.06</v>
      </c>
      <c r="J2886" s="57">
        <v>7.0000000000000007E-2</v>
      </c>
      <c r="K2886" s="3">
        <v>120</v>
      </c>
      <c r="L2886" s="2" t="s">
        <v>226</v>
      </c>
      <c r="M2886" s="2" t="s">
        <v>12</v>
      </c>
      <c r="N2886" s="2" t="s">
        <v>12</v>
      </c>
      <c r="O2886" s="2" t="s">
        <v>12</v>
      </c>
      <c r="P2886" s="21" t="s">
        <v>12</v>
      </c>
      <c r="Q2886" s="3" t="s">
        <v>3182</v>
      </c>
      <c r="R2886" s="3" t="s">
        <v>75</v>
      </c>
    </row>
    <row r="2887" spans="1:18" x14ac:dyDescent="0.25">
      <c r="A2887" s="30">
        <v>46129</v>
      </c>
      <c r="B2887" s="28">
        <v>702</v>
      </c>
      <c r="C2887" s="28"/>
      <c r="D2887" s="2" t="s">
        <v>862</v>
      </c>
      <c r="E2887" s="7" t="s">
        <v>12</v>
      </c>
      <c r="F2887" s="7" t="s">
        <v>2683</v>
      </c>
      <c r="G2887" s="2" t="s">
        <v>13</v>
      </c>
      <c r="H2887" s="2" t="s">
        <v>863</v>
      </c>
      <c r="I2887" s="5">
        <v>7743.75</v>
      </c>
      <c r="J2887" s="57">
        <v>0.04</v>
      </c>
      <c r="K2887" s="3">
        <v>120</v>
      </c>
      <c r="L2887" s="2" t="s">
        <v>73</v>
      </c>
      <c r="M2887" s="2" t="s">
        <v>12</v>
      </c>
      <c r="N2887" s="2" t="s">
        <v>12</v>
      </c>
      <c r="O2887" s="2" t="s">
        <v>12</v>
      </c>
      <c r="P2887" s="21" t="s">
        <v>12</v>
      </c>
      <c r="Q2887" s="3" t="s">
        <v>12</v>
      </c>
      <c r="R2887" s="3" t="s">
        <v>12</v>
      </c>
    </row>
    <row r="2888" spans="1:18" x14ac:dyDescent="0.25">
      <c r="A2888" s="30">
        <v>46129</v>
      </c>
      <c r="B2888" s="28">
        <v>703</v>
      </c>
      <c r="C2888" s="28"/>
      <c r="D2888" s="2" t="s">
        <v>353</v>
      </c>
      <c r="E2888" s="7">
        <v>65278</v>
      </c>
      <c r="F2888" s="7" t="s">
        <v>2683</v>
      </c>
      <c r="G2888" s="2" t="s">
        <v>13</v>
      </c>
      <c r="H2888" s="2" t="s">
        <v>2837</v>
      </c>
      <c r="I2888" s="5">
        <v>758.27</v>
      </c>
      <c r="J2888" s="57">
        <v>7.0000000000000007E-2</v>
      </c>
      <c r="K2888" s="3" t="s">
        <v>12</v>
      </c>
      <c r="L2888" s="2" t="s">
        <v>73</v>
      </c>
      <c r="M2888" s="2" t="s">
        <v>12</v>
      </c>
      <c r="N2888" s="2" t="s">
        <v>12</v>
      </c>
      <c r="O2888" s="2" t="s">
        <v>12</v>
      </c>
      <c r="P2888" s="21" t="s">
        <v>12</v>
      </c>
      <c r="Q2888" s="3" t="s">
        <v>12</v>
      </c>
      <c r="R2888" s="3" t="s">
        <v>12</v>
      </c>
    </row>
    <row r="2889" spans="1:18" x14ac:dyDescent="0.25">
      <c r="A2889" s="30">
        <v>46134</v>
      </c>
      <c r="B2889" s="28">
        <v>704</v>
      </c>
      <c r="C2889" s="28"/>
      <c r="D2889" s="2" t="s">
        <v>440</v>
      </c>
      <c r="E2889" s="7" t="s">
        <v>911</v>
      </c>
      <c r="F2889" s="7" t="s">
        <v>2683</v>
      </c>
      <c r="G2889" s="2" t="s">
        <v>111</v>
      </c>
      <c r="H2889" s="2" t="s">
        <v>319</v>
      </c>
      <c r="I2889" s="5">
        <v>6000</v>
      </c>
      <c r="J2889" s="57">
        <v>7.0000000000000007E-2</v>
      </c>
      <c r="K2889" s="3" t="s">
        <v>12</v>
      </c>
      <c r="L2889" s="2" t="s">
        <v>64</v>
      </c>
      <c r="M2889" s="2" t="s">
        <v>12</v>
      </c>
      <c r="N2889" s="2" t="s">
        <v>12</v>
      </c>
      <c r="O2889" s="2" t="s">
        <v>12</v>
      </c>
      <c r="P2889" s="21" t="s">
        <v>12</v>
      </c>
      <c r="Q2889" s="3" t="s">
        <v>12</v>
      </c>
      <c r="R2889" s="3"/>
    </row>
    <row r="2890" spans="1:18" x14ac:dyDescent="0.25">
      <c r="A2890" s="30">
        <v>46134</v>
      </c>
      <c r="B2890" s="28">
        <v>705</v>
      </c>
      <c r="C2890" s="28"/>
      <c r="D2890" s="2" t="s">
        <v>905</v>
      </c>
      <c r="E2890" s="7" t="s">
        <v>3227</v>
      </c>
      <c r="F2890" s="7" t="s">
        <v>2683</v>
      </c>
      <c r="G2890" s="2" t="s">
        <v>111</v>
      </c>
      <c r="H2890" s="2" t="s">
        <v>1672</v>
      </c>
      <c r="I2890" s="5">
        <v>490203.55</v>
      </c>
      <c r="J2890" s="57">
        <v>7.0000000000000007E-2</v>
      </c>
      <c r="K2890" s="3" t="s">
        <v>12</v>
      </c>
      <c r="L2890" s="2" t="s">
        <v>73</v>
      </c>
      <c r="M2890" s="2" t="s">
        <v>12</v>
      </c>
      <c r="N2890" s="2"/>
      <c r="O2890" s="2" t="s">
        <v>12</v>
      </c>
      <c r="P2890" s="21" t="s">
        <v>12</v>
      </c>
      <c r="Q2890" s="3" t="s">
        <v>12</v>
      </c>
      <c r="R2890" s="3" t="s">
        <v>12</v>
      </c>
    </row>
    <row r="2891" spans="1:18" x14ac:dyDescent="0.25">
      <c r="A2891" s="30">
        <v>46134</v>
      </c>
      <c r="B2891" s="28">
        <v>706</v>
      </c>
      <c r="C2891" s="28"/>
      <c r="D2891" s="2" t="s">
        <v>646</v>
      </c>
      <c r="E2891" s="7" t="s">
        <v>3225</v>
      </c>
      <c r="F2891" s="7" t="s">
        <v>2683</v>
      </c>
      <c r="G2891" s="2" t="s">
        <v>111</v>
      </c>
      <c r="H2891" s="2" t="s">
        <v>874</v>
      </c>
      <c r="I2891" s="5">
        <v>87404.08</v>
      </c>
      <c r="J2891" s="57">
        <v>7.0000000000000007E-2</v>
      </c>
      <c r="K2891" s="3" t="s">
        <v>12</v>
      </c>
      <c r="L2891" s="2" t="s">
        <v>226</v>
      </c>
      <c r="M2891" s="2" t="s">
        <v>667</v>
      </c>
      <c r="N2891" s="2" t="s">
        <v>12</v>
      </c>
      <c r="O2891" s="2" t="s">
        <v>12</v>
      </c>
      <c r="P2891" s="21" t="s">
        <v>12</v>
      </c>
      <c r="Q2891" s="3" t="s">
        <v>12</v>
      </c>
      <c r="R2891" s="3" t="s">
        <v>12</v>
      </c>
    </row>
    <row r="2892" spans="1:18" x14ac:dyDescent="0.25">
      <c r="A2892" s="30">
        <v>46134</v>
      </c>
      <c r="B2892" s="28">
        <v>707</v>
      </c>
      <c r="C2892" s="28" t="s">
        <v>2161</v>
      </c>
      <c r="D2892" s="2" t="s">
        <v>95</v>
      </c>
      <c r="E2892" s="7" t="s">
        <v>3138</v>
      </c>
      <c r="F2892" s="7" t="s">
        <v>3003</v>
      </c>
      <c r="G2892" s="2" t="s">
        <v>97</v>
      </c>
      <c r="H2892" s="2" t="s">
        <v>98</v>
      </c>
      <c r="I2892" s="5">
        <v>5970.82</v>
      </c>
      <c r="J2892" s="57">
        <v>0.04</v>
      </c>
      <c r="K2892" s="3">
        <v>48</v>
      </c>
      <c r="L2892" s="2" t="s">
        <v>64</v>
      </c>
      <c r="M2892" s="2" t="s">
        <v>12</v>
      </c>
      <c r="N2892" s="2" t="s">
        <v>12</v>
      </c>
      <c r="O2892" s="2" t="s">
        <v>12</v>
      </c>
      <c r="P2892" s="21" t="s">
        <v>12</v>
      </c>
      <c r="Q2892" s="3" t="s">
        <v>12</v>
      </c>
      <c r="R2892" s="3" t="s">
        <v>12</v>
      </c>
    </row>
    <row r="2893" spans="1:18" x14ac:dyDescent="0.25">
      <c r="A2893" s="30">
        <v>46134</v>
      </c>
      <c r="B2893" s="28">
        <v>708</v>
      </c>
      <c r="C2893" s="28" t="s">
        <v>2161</v>
      </c>
      <c r="D2893" s="2" t="s">
        <v>411</v>
      </c>
      <c r="E2893" s="7" t="s">
        <v>3174</v>
      </c>
      <c r="F2893" s="7" t="s">
        <v>2683</v>
      </c>
      <c r="G2893" s="2" t="s">
        <v>26</v>
      </c>
      <c r="H2893" s="2" t="s">
        <v>98</v>
      </c>
      <c r="I2893" s="5">
        <v>2977.11</v>
      </c>
      <c r="J2893" s="57">
        <v>0.04</v>
      </c>
      <c r="K2893" s="3">
        <v>48</v>
      </c>
      <c r="L2893" s="2" t="s">
        <v>64</v>
      </c>
      <c r="M2893" s="2" t="s">
        <v>12</v>
      </c>
      <c r="N2893" s="2" t="s">
        <v>12</v>
      </c>
      <c r="O2893" s="2" t="s">
        <v>12</v>
      </c>
      <c r="P2893" s="21" t="s">
        <v>12</v>
      </c>
      <c r="Q2893" s="3" t="s">
        <v>12</v>
      </c>
      <c r="R2893" s="3" t="s">
        <v>12</v>
      </c>
    </row>
    <row r="2894" spans="1:18" x14ac:dyDescent="0.25">
      <c r="A2894" s="30">
        <v>46134</v>
      </c>
      <c r="B2894" s="28">
        <v>709</v>
      </c>
      <c r="C2894" s="28" t="s">
        <v>2161</v>
      </c>
      <c r="D2894" s="2" t="s">
        <v>1596</v>
      </c>
      <c r="E2894" s="7" t="s">
        <v>12</v>
      </c>
      <c r="F2894" s="7" t="s">
        <v>2683</v>
      </c>
      <c r="G2894" s="2" t="s">
        <v>43</v>
      </c>
      <c r="H2894" s="2" t="s">
        <v>751</v>
      </c>
      <c r="I2894" s="5">
        <v>4510.67</v>
      </c>
      <c r="J2894" s="57">
        <v>0.05</v>
      </c>
      <c r="K2894" s="3">
        <v>48</v>
      </c>
      <c r="L2894" s="2" t="s">
        <v>21</v>
      </c>
      <c r="M2894" s="2" t="s">
        <v>12</v>
      </c>
      <c r="N2894" s="2" t="s">
        <v>12</v>
      </c>
      <c r="O2894" s="2" t="s">
        <v>12</v>
      </c>
      <c r="P2894" s="21" t="s">
        <v>12</v>
      </c>
      <c r="Q2894" s="3" t="s">
        <v>12</v>
      </c>
      <c r="R2894" s="3" t="s">
        <v>12</v>
      </c>
    </row>
    <row r="2895" spans="1:18" x14ac:dyDescent="0.25">
      <c r="A2895" s="30">
        <v>46134</v>
      </c>
      <c r="B2895" s="28">
        <v>710</v>
      </c>
      <c r="C2895" s="28"/>
      <c r="D2895" s="2" t="s">
        <v>440</v>
      </c>
      <c r="E2895" s="7" t="s">
        <v>3226</v>
      </c>
      <c r="F2895" s="7" t="s">
        <v>2683</v>
      </c>
      <c r="G2895" s="2" t="s">
        <v>111</v>
      </c>
      <c r="H2895" s="2" t="s">
        <v>119</v>
      </c>
      <c r="I2895" s="5">
        <v>25594.2</v>
      </c>
      <c r="J2895" s="57">
        <v>0.05</v>
      </c>
      <c r="K2895" s="3" t="s">
        <v>12</v>
      </c>
      <c r="L2895" s="2" t="s">
        <v>64</v>
      </c>
      <c r="M2895" s="2" t="s">
        <v>12</v>
      </c>
      <c r="N2895" s="2" t="s">
        <v>12</v>
      </c>
      <c r="O2895" s="2" t="s">
        <v>12</v>
      </c>
      <c r="P2895" s="21" t="s">
        <v>12</v>
      </c>
      <c r="Q2895" s="3" t="s">
        <v>12</v>
      </c>
      <c r="R2895" s="3" t="s">
        <v>12</v>
      </c>
    </row>
    <row r="2896" spans="1:18" x14ac:dyDescent="0.25">
      <c r="A2896" s="30">
        <v>46134</v>
      </c>
      <c r="B2896" s="28">
        <v>711</v>
      </c>
      <c r="C2896" s="28"/>
      <c r="D2896" s="2" t="s">
        <v>355</v>
      </c>
      <c r="E2896" s="7" t="s">
        <v>3175</v>
      </c>
      <c r="F2896" s="7" t="s">
        <v>2683</v>
      </c>
      <c r="G2896" s="2" t="s">
        <v>111</v>
      </c>
      <c r="H2896" s="2" t="s">
        <v>15</v>
      </c>
      <c r="I2896" s="5">
        <v>45737.25</v>
      </c>
      <c r="J2896" s="57">
        <v>7.0000000000000007E-2</v>
      </c>
      <c r="K2896" s="3">
        <v>576</v>
      </c>
      <c r="L2896" s="2" t="s">
        <v>73</v>
      </c>
      <c r="M2896" s="2" t="s">
        <v>12</v>
      </c>
      <c r="N2896" s="2" t="s">
        <v>12</v>
      </c>
      <c r="O2896" s="2" t="s">
        <v>12</v>
      </c>
      <c r="P2896" s="21" t="s">
        <v>12</v>
      </c>
      <c r="Q2896" s="3" t="s">
        <v>3176</v>
      </c>
      <c r="R2896" s="3" t="s">
        <v>75</v>
      </c>
    </row>
    <row r="2897" spans="1:19" x14ac:dyDescent="0.25">
      <c r="A2897" s="30">
        <v>46134</v>
      </c>
      <c r="B2897" s="28">
        <v>712</v>
      </c>
      <c r="C2897" s="28"/>
      <c r="D2897" s="2" t="s">
        <v>3152</v>
      </c>
      <c r="E2897" s="7" t="s">
        <v>3257</v>
      </c>
      <c r="F2897" s="7" t="s">
        <v>3001</v>
      </c>
      <c r="G2897" s="2" t="s">
        <v>13</v>
      </c>
      <c r="H2897" s="2" t="s">
        <v>653</v>
      </c>
      <c r="I2897" s="5">
        <v>19593.03</v>
      </c>
      <c r="J2897" s="57">
        <v>0.05</v>
      </c>
      <c r="K2897" s="3">
        <v>216</v>
      </c>
      <c r="L2897" s="2" t="s">
        <v>64</v>
      </c>
      <c r="M2897" s="2" t="s">
        <v>12</v>
      </c>
      <c r="N2897" s="2" t="s">
        <v>12</v>
      </c>
      <c r="O2897" s="2" t="s">
        <v>12</v>
      </c>
      <c r="P2897" s="21" t="s">
        <v>12</v>
      </c>
      <c r="Q2897" s="3" t="s">
        <v>12</v>
      </c>
      <c r="R2897" s="3" t="s">
        <v>12</v>
      </c>
    </row>
    <row r="2898" spans="1:19" x14ac:dyDescent="0.25">
      <c r="A2898" s="30">
        <v>46134</v>
      </c>
      <c r="B2898" s="28">
        <v>713</v>
      </c>
      <c r="C2898" s="28"/>
      <c r="D2898" s="2" t="s">
        <v>2610</v>
      </c>
      <c r="E2898" s="7" t="s">
        <v>3177</v>
      </c>
      <c r="F2898" s="7" t="s">
        <v>3001</v>
      </c>
      <c r="G2898" s="2" t="s">
        <v>13</v>
      </c>
      <c r="H2898" s="2" t="s">
        <v>3178</v>
      </c>
      <c r="I2898" s="5">
        <v>9326.9</v>
      </c>
      <c r="J2898" s="57">
        <v>7.0000000000000007E-2</v>
      </c>
      <c r="K2898" s="3">
        <v>120</v>
      </c>
      <c r="L2898" s="2" t="s">
        <v>64</v>
      </c>
      <c r="M2898" s="2" t="s">
        <v>12</v>
      </c>
      <c r="N2898" s="2" t="s">
        <v>12</v>
      </c>
      <c r="O2898" s="2" t="s">
        <v>12</v>
      </c>
      <c r="P2898" s="21" t="s">
        <v>12</v>
      </c>
      <c r="Q2898" s="3" t="s">
        <v>12</v>
      </c>
      <c r="R2898" s="3" t="s">
        <v>12</v>
      </c>
    </row>
    <row r="2899" spans="1:19" x14ac:dyDescent="0.25">
      <c r="A2899" s="30">
        <v>46134</v>
      </c>
      <c r="B2899" s="28">
        <v>714</v>
      </c>
      <c r="C2899" s="28"/>
      <c r="D2899" s="2" t="s">
        <v>3139</v>
      </c>
      <c r="E2899" s="7" t="s">
        <v>12</v>
      </c>
      <c r="F2899" s="7" t="s">
        <v>2683</v>
      </c>
      <c r="G2899" s="2" t="s">
        <v>97</v>
      </c>
      <c r="H2899" s="2" t="s">
        <v>3140</v>
      </c>
      <c r="I2899" s="5">
        <v>1784.12</v>
      </c>
      <c r="J2899" s="57">
        <v>7.0000000000000007E-2</v>
      </c>
      <c r="K2899" s="3" t="s">
        <v>12</v>
      </c>
      <c r="L2899" s="2" t="s">
        <v>64</v>
      </c>
      <c r="M2899" s="2" t="s">
        <v>12</v>
      </c>
      <c r="N2899" s="2" t="s">
        <v>12</v>
      </c>
      <c r="O2899" s="2" t="s">
        <v>12</v>
      </c>
      <c r="P2899" s="21" t="s">
        <v>12</v>
      </c>
      <c r="Q2899" s="3" t="s">
        <v>12</v>
      </c>
      <c r="R2899" s="3" t="s">
        <v>12</v>
      </c>
    </row>
    <row r="2900" spans="1:19" x14ac:dyDescent="0.25">
      <c r="A2900" s="30">
        <v>46134</v>
      </c>
      <c r="B2900" s="28">
        <v>715</v>
      </c>
      <c r="C2900" s="28"/>
      <c r="D2900" s="2" t="s">
        <v>59</v>
      </c>
      <c r="E2900" s="7" t="s">
        <v>3179</v>
      </c>
      <c r="F2900" s="7" t="s">
        <v>2683</v>
      </c>
      <c r="G2900" s="2" t="s">
        <v>20</v>
      </c>
      <c r="H2900" s="2" t="s">
        <v>15</v>
      </c>
      <c r="I2900" s="5">
        <v>7212.92</v>
      </c>
      <c r="J2900" s="57">
        <v>7.0000000000000007E-2</v>
      </c>
      <c r="K2900" s="3">
        <v>72</v>
      </c>
      <c r="L2900" s="2" t="s">
        <v>73</v>
      </c>
      <c r="M2900" s="2" t="s">
        <v>12</v>
      </c>
      <c r="N2900" s="2" t="s">
        <v>12</v>
      </c>
      <c r="O2900" s="2" t="s">
        <v>12</v>
      </c>
      <c r="P2900" s="21" t="s">
        <v>12</v>
      </c>
      <c r="Q2900" s="3" t="s">
        <v>12</v>
      </c>
      <c r="R2900" s="3" t="s">
        <v>12</v>
      </c>
    </row>
    <row r="2901" spans="1:19" x14ac:dyDescent="0.25">
      <c r="A2901" s="30">
        <v>46134</v>
      </c>
      <c r="B2901" s="28">
        <v>716</v>
      </c>
      <c r="C2901" s="28"/>
      <c r="D2901" s="2" t="s">
        <v>243</v>
      </c>
      <c r="E2901" s="7" t="s">
        <v>12</v>
      </c>
      <c r="F2901" s="7" t="s">
        <v>2683</v>
      </c>
      <c r="G2901" s="2" t="s">
        <v>20</v>
      </c>
      <c r="H2901" s="2" t="s">
        <v>244</v>
      </c>
      <c r="I2901" s="5">
        <v>1767.55</v>
      </c>
      <c r="J2901" s="57">
        <v>0.06</v>
      </c>
      <c r="K2901" s="3">
        <v>24</v>
      </c>
      <c r="L2901" s="2" t="s">
        <v>64</v>
      </c>
      <c r="M2901" s="2" t="s">
        <v>12</v>
      </c>
      <c r="N2901" s="2" t="s">
        <v>12</v>
      </c>
      <c r="O2901" s="2" t="s">
        <v>12</v>
      </c>
      <c r="P2901" s="21" t="s">
        <v>12</v>
      </c>
      <c r="Q2901" s="3" t="s">
        <v>12</v>
      </c>
      <c r="R2901" s="3" t="s">
        <v>12</v>
      </c>
    </row>
    <row r="2902" spans="1:19" x14ac:dyDescent="0.25">
      <c r="A2902" s="30">
        <v>46135</v>
      </c>
      <c r="B2902" s="28">
        <v>717</v>
      </c>
      <c r="C2902" s="28"/>
      <c r="D2902" s="2" t="s">
        <v>109</v>
      </c>
      <c r="E2902" s="7" t="s">
        <v>3191</v>
      </c>
      <c r="F2902" s="7" t="s">
        <v>3001</v>
      </c>
      <c r="G2902" s="2" t="s">
        <v>111</v>
      </c>
      <c r="H2902" s="2" t="s">
        <v>346</v>
      </c>
      <c r="I2902" s="5">
        <v>64178.74</v>
      </c>
      <c r="J2902" s="57">
        <v>7.0000000000000007E-2</v>
      </c>
      <c r="K2902" s="3">
        <v>720</v>
      </c>
      <c r="L2902" s="2" t="s">
        <v>21</v>
      </c>
      <c r="M2902" s="2" t="s">
        <v>12</v>
      </c>
      <c r="N2902" s="2" t="s">
        <v>12</v>
      </c>
      <c r="O2902" s="2" t="s">
        <v>12</v>
      </c>
      <c r="P2902" s="21" t="s">
        <v>12</v>
      </c>
      <c r="Q2902" s="3" t="s">
        <v>12</v>
      </c>
      <c r="R2902" s="3" t="s">
        <v>12</v>
      </c>
    </row>
    <row r="2903" spans="1:19" x14ac:dyDescent="0.25">
      <c r="A2903" s="30">
        <v>46135</v>
      </c>
      <c r="B2903" s="28">
        <v>718</v>
      </c>
      <c r="C2903" s="28"/>
      <c r="D2903" s="2" t="s">
        <v>1395</v>
      </c>
      <c r="E2903" s="7" t="s">
        <v>3258</v>
      </c>
      <c r="F2903" s="7" t="s">
        <v>3001</v>
      </c>
      <c r="G2903" s="2" t="s">
        <v>111</v>
      </c>
      <c r="H2903" s="2" t="s">
        <v>3259</v>
      </c>
      <c r="I2903" s="5">
        <v>11816.63</v>
      </c>
      <c r="J2903" s="57">
        <v>0.06</v>
      </c>
      <c r="K2903" s="3">
        <v>144</v>
      </c>
      <c r="L2903" s="2" t="s">
        <v>64</v>
      </c>
      <c r="M2903" s="2" t="s">
        <v>12</v>
      </c>
      <c r="N2903" s="2" t="s">
        <v>12</v>
      </c>
      <c r="O2903" s="2" t="s">
        <v>12</v>
      </c>
      <c r="P2903" s="21" t="s">
        <v>12</v>
      </c>
      <c r="Q2903" s="3" t="s">
        <v>12</v>
      </c>
      <c r="R2903" s="3" t="s">
        <v>12</v>
      </c>
    </row>
    <row r="2904" spans="1:19" x14ac:dyDescent="0.25">
      <c r="A2904" s="30">
        <v>46135</v>
      </c>
      <c r="B2904" s="28">
        <v>719</v>
      </c>
      <c r="C2904" s="28"/>
      <c r="D2904" s="2" t="s">
        <v>3192</v>
      </c>
      <c r="E2904" s="7" t="s">
        <v>3193</v>
      </c>
      <c r="F2904" s="7" t="s">
        <v>2683</v>
      </c>
      <c r="G2904" s="2" t="s">
        <v>97</v>
      </c>
      <c r="H2904" s="2" t="s">
        <v>3194</v>
      </c>
      <c r="I2904" s="5">
        <v>18679.439999999999</v>
      </c>
      <c r="J2904" s="57">
        <v>7.0000000000000007E-2</v>
      </c>
      <c r="K2904" s="3">
        <v>192</v>
      </c>
      <c r="L2904" s="2" t="s">
        <v>73</v>
      </c>
      <c r="M2904" s="2" t="s">
        <v>12</v>
      </c>
      <c r="N2904" s="2" t="s">
        <v>12</v>
      </c>
      <c r="O2904" s="2" t="s">
        <v>12</v>
      </c>
      <c r="P2904" s="21" t="s">
        <v>12</v>
      </c>
      <c r="Q2904" s="3" t="s">
        <v>12</v>
      </c>
      <c r="R2904" s="3" t="s">
        <v>12</v>
      </c>
    </row>
    <row r="2905" spans="1:19" x14ac:dyDescent="0.25">
      <c r="A2905" s="30">
        <v>46045</v>
      </c>
      <c r="B2905" s="28">
        <v>720</v>
      </c>
      <c r="C2905" s="28"/>
      <c r="D2905" s="2" t="s">
        <v>1395</v>
      </c>
      <c r="E2905" s="7" t="s">
        <v>3260</v>
      </c>
      <c r="F2905" s="7" t="s">
        <v>3001</v>
      </c>
      <c r="G2905" s="2" t="s">
        <v>111</v>
      </c>
      <c r="H2905" s="2" t="s">
        <v>3259</v>
      </c>
      <c r="I2905" s="5">
        <v>64422.85</v>
      </c>
      <c r="J2905" s="57">
        <v>0.05</v>
      </c>
      <c r="K2905" s="3">
        <v>744</v>
      </c>
      <c r="L2905" s="2" t="s">
        <v>64</v>
      </c>
      <c r="M2905" s="2" t="s">
        <v>12</v>
      </c>
      <c r="N2905" s="2" t="s">
        <v>12</v>
      </c>
      <c r="O2905" s="2" t="s">
        <v>12</v>
      </c>
      <c r="P2905" s="21" t="s">
        <v>12</v>
      </c>
      <c r="Q2905" s="3" t="s">
        <v>12</v>
      </c>
      <c r="R2905" s="3" t="s">
        <v>12</v>
      </c>
    </row>
    <row r="2906" spans="1:19" x14ac:dyDescent="0.25">
      <c r="A2906" s="30">
        <v>46135</v>
      </c>
      <c r="B2906" s="28">
        <v>721</v>
      </c>
      <c r="C2906" s="28"/>
      <c r="D2906" s="2" t="s">
        <v>206</v>
      </c>
      <c r="E2906" s="7" t="s">
        <v>3195</v>
      </c>
      <c r="F2906" s="7" t="s">
        <v>2683</v>
      </c>
      <c r="G2906" s="2" t="s">
        <v>97</v>
      </c>
      <c r="H2906" s="2" t="s">
        <v>473</v>
      </c>
      <c r="I2906" s="5">
        <v>150.30000000000001</v>
      </c>
      <c r="J2906" s="57">
        <v>7.0000000000000007E-2</v>
      </c>
      <c r="K2906" s="3" t="s">
        <v>12</v>
      </c>
      <c r="L2906" s="2" t="s">
        <v>226</v>
      </c>
      <c r="M2906" s="2" t="s">
        <v>12</v>
      </c>
      <c r="N2906" s="2" t="s">
        <v>12</v>
      </c>
      <c r="O2906" s="2" t="s">
        <v>12</v>
      </c>
      <c r="P2906" s="21" t="s">
        <v>12</v>
      </c>
      <c r="Q2906" s="3" t="s">
        <v>12</v>
      </c>
      <c r="R2906" s="3" t="s">
        <v>12</v>
      </c>
    </row>
    <row r="2907" spans="1:19" x14ac:dyDescent="0.25">
      <c r="A2907" s="30">
        <v>46135</v>
      </c>
      <c r="B2907" s="28">
        <v>722</v>
      </c>
      <c r="C2907" s="28" t="s">
        <v>2161</v>
      </c>
      <c r="D2907" s="2" t="s">
        <v>3196</v>
      </c>
      <c r="E2907" s="7" t="s">
        <v>12</v>
      </c>
      <c r="F2907" s="7" t="s">
        <v>2683</v>
      </c>
      <c r="G2907" s="2" t="s">
        <v>13</v>
      </c>
      <c r="H2907" s="2" t="s">
        <v>502</v>
      </c>
      <c r="I2907" s="5">
        <v>20242.79</v>
      </c>
      <c r="J2907" s="57">
        <v>7.0000000000000007E-2</v>
      </c>
      <c r="K2907" s="3">
        <v>216</v>
      </c>
      <c r="L2907" s="2" t="s">
        <v>73</v>
      </c>
      <c r="M2907" s="2" t="s">
        <v>12</v>
      </c>
      <c r="N2907" s="2" t="s">
        <v>12</v>
      </c>
      <c r="O2907" s="2" t="s">
        <v>12</v>
      </c>
      <c r="P2907" s="21" t="s">
        <v>12</v>
      </c>
      <c r="Q2907" s="3" t="s">
        <v>12</v>
      </c>
      <c r="R2907" s="3" t="s">
        <v>12</v>
      </c>
    </row>
    <row r="2908" spans="1:19" x14ac:dyDescent="0.25">
      <c r="A2908" s="30">
        <v>46136</v>
      </c>
      <c r="B2908" s="28">
        <v>723</v>
      </c>
      <c r="C2908" s="28" t="s">
        <v>2161</v>
      </c>
      <c r="D2908" s="2" t="s">
        <v>256</v>
      </c>
      <c r="E2908" s="7" t="s">
        <v>12</v>
      </c>
      <c r="F2908" s="7" t="s">
        <v>2683</v>
      </c>
      <c r="G2908" s="2" t="s">
        <v>20</v>
      </c>
      <c r="H2908" s="2" t="s">
        <v>1000</v>
      </c>
      <c r="I2908" s="5">
        <v>1569.19</v>
      </c>
      <c r="J2908" s="57">
        <v>7.0000000000000007E-2</v>
      </c>
      <c r="K2908" s="3" t="s">
        <v>12</v>
      </c>
      <c r="L2908" s="2" t="s">
        <v>64</v>
      </c>
      <c r="M2908" s="2" t="s">
        <v>12</v>
      </c>
      <c r="N2908" s="2" t="s">
        <v>12</v>
      </c>
      <c r="O2908" s="2" t="s">
        <v>12</v>
      </c>
      <c r="P2908" s="21" t="s">
        <v>12</v>
      </c>
      <c r="Q2908" s="3" t="s">
        <v>12</v>
      </c>
      <c r="R2908" s="3" t="s">
        <v>12</v>
      </c>
    </row>
    <row r="2909" spans="1:19" x14ac:dyDescent="0.25">
      <c r="A2909" s="30">
        <v>46136</v>
      </c>
      <c r="B2909" s="28">
        <v>724</v>
      </c>
      <c r="C2909" s="28"/>
      <c r="D2909" s="2" t="s">
        <v>1091</v>
      </c>
      <c r="E2909" s="7" t="s">
        <v>3197</v>
      </c>
      <c r="F2909" s="7" t="s">
        <v>2683</v>
      </c>
      <c r="G2909" s="2" t="s">
        <v>26</v>
      </c>
      <c r="H2909" s="2" t="s">
        <v>3198</v>
      </c>
      <c r="I2909" s="5">
        <v>1809.15</v>
      </c>
      <c r="J2909" s="57">
        <v>7.0000000000000007E-2</v>
      </c>
      <c r="K2909" s="3">
        <v>24</v>
      </c>
      <c r="L2909" s="2" t="s">
        <v>134</v>
      </c>
      <c r="M2909" s="2" t="s">
        <v>2962</v>
      </c>
      <c r="N2909" s="2" t="s">
        <v>373</v>
      </c>
      <c r="O2909" s="2" t="s">
        <v>528</v>
      </c>
      <c r="P2909" s="21" t="s">
        <v>12</v>
      </c>
      <c r="Q2909" s="3" t="s">
        <v>12</v>
      </c>
      <c r="R2909" s="3" t="s">
        <v>12</v>
      </c>
    </row>
    <row r="2910" spans="1:19" x14ac:dyDescent="0.25">
      <c r="A2910" s="30">
        <v>46136</v>
      </c>
      <c r="B2910" s="28">
        <v>725</v>
      </c>
      <c r="C2910" s="28"/>
      <c r="D2910" s="2" t="s">
        <v>2447</v>
      </c>
      <c r="E2910" s="7" t="s">
        <v>12</v>
      </c>
      <c r="F2910" s="7" t="s">
        <v>2683</v>
      </c>
      <c r="G2910" s="2" t="s">
        <v>13</v>
      </c>
      <c r="H2910" s="2" t="s">
        <v>677</v>
      </c>
      <c r="I2910" s="5">
        <v>50620.58</v>
      </c>
      <c r="J2910" s="57">
        <v>0.05</v>
      </c>
      <c r="K2910" s="3">
        <v>768</v>
      </c>
      <c r="L2910" s="2" t="s">
        <v>21</v>
      </c>
      <c r="M2910" s="2" t="s">
        <v>12</v>
      </c>
      <c r="N2910" s="2" t="s">
        <v>12</v>
      </c>
      <c r="O2910" s="2" t="s">
        <v>12</v>
      </c>
      <c r="P2910" s="21" t="s">
        <v>12</v>
      </c>
      <c r="Q2910" s="3" t="s">
        <v>12</v>
      </c>
      <c r="R2910" s="3" t="s">
        <v>12</v>
      </c>
    </row>
    <row r="2911" spans="1:19" x14ac:dyDescent="0.25">
      <c r="A2911" s="30">
        <v>46140</v>
      </c>
      <c r="B2911" s="28">
        <v>726</v>
      </c>
      <c r="C2911" s="28" t="s">
        <v>2162</v>
      </c>
      <c r="D2911" s="2" t="s">
        <v>496</v>
      </c>
      <c r="E2911" s="7" t="s">
        <v>3199</v>
      </c>
      <c r="F2911" s="7" t="s">
        <v>3002</v>
      </c>
      <c r="G2911" s="2" t="s">
        <v>13</v>
      </c>
      <c r="H2911" s="2" t="s">
        <v>13</v>
      </c>
      <c r="I2911" s="5">
        <v>76585.179999999993</v>
      </c>
      <c r="J2911" s="57">
        <v>0.05</v>
      </c>
      <c r="K2911" s="3">
        <v>840</v>
      </c>
      <c r="L2911" s="2" t="s">
        <v>64</v>
      </c>
      <c r="M2911" s="2" t="s">
        <v>12</v>
      </c>
      <c r="N2911" s="2" t="s">
        <v>12</v>
      </c>
      <c r="O2911" s="2" t="s">
        <v>12</v>
      </c>
      <c r="P2911" s="21" t="s">
        <v>12</v>
      </c>
      <c r="Q2911" s="3" t="s">
        <v>12</v>
      </c>
      <c r="R2911" s="3" t="s">
        <v>12</v>
      </c>
    </row>
    <row r="2912" spans="1:19" x14ac:dyDescent="0.25">
      <c r="A2912" s="30">
        <v>46136</v>
      </c>
      <c r="B2912" s="28">
        <v>727</v>
      </c>
      <c r="C2912" s="28"/>
      <c r="D2912" s="2" t="s">
        <v>2259</v>
      </c>
      <c r="E2912" s="7" t="s">
        <v>12</v>
      </c>
      <c r="F2912" s="7" t="s">
        <v>2683</v>
      </c>
      <c r="G2912" s="2" t="s">
        <v>13</v>
      </c>
      <c r="H2912" s="2" t="s">
        <v>953</v>
      </c>
      <c r="I2912" s="5">
        <v>15818.93</v>
      </c>
      <c r="J2912" s="57">
        <v>0.05</v>
      </c>
      <c r="K2912" s="3">
        <v>240</v>
      </c>
      <c r="L2912" s="2" t="s">
        <v>21</v>
      </c>
      <c r="M2912" s="2" t="s">
        <v>3200</v>
      </c>
      <c r="N2912" s="2" t="s">
        <v>12</v>
      </c>
      <c r="O2912" s="2" t="s">
        <v>12</v>
      </c>
      <c r="P2912" s="21" t="s">
        <v>12</v>
      </c>
      <c r="Q2912" s="3" t="s">
        <v>12</v>
      </c>
      <c r="R2912" s="3" t="s">
        <v>12</v>
      </c>
      <c r="S2912" t="s">
        <v>12</v>
      </c>
    </row>
    <row r="2913" spans="1:18" x14ac:dyDescent="0.25">
      <c r="A2913" s="30">
        <v>46136</v>
      </c>
      <c r="B2913" s="28">
        <v>728</v>
      </c>
      <c r="C2913" s="28"/>
      <c r="D2913" s="2" t="s">
        <v>92</v>
      </c>
      <c r="E2913" s="7" t="s">
        <v>3201</v>
      </c>
      <c r="F2913" s="7" t="s">
        <v>3001</v>
      </c>
      <c r="G2913" s="2" t="s">
        <v>26</v>
      </c>
      <c r="H2913" s="2" t="s">
        <v>238</v>
      </c>
      <c r="I2913" s="5">
        <v>77802.13</v>
      </c>
      <c r="J2913" s="57">
        <v>7.0000000000000007E-2</v>
      </c>
      <c r="K2913" s="3">
        <v>912</v>
      </c>
      <c r="L2913" s="2" t="s">
        <v>73</v>
      </c>
      <c r="M2913" s="2" t="s">
        <v>12</v>
      </c>
      <c r="N2913" s="2" t="s">
        <v>12</v>
      </c>
      <c r="O2913" s="2" t="s">
        <v>12</v>
      </c>
      <c r="P2913" s="21" t="s">
        <v>12</v>
      </c>
      <c r="Q2913" s="3" t="s">
        <v>12</v>
      </c>
      <c r="R2913" s="3" t="s">
        <v>12</v>
      </c>
    </row>
    <row r="2914" spans="1:18" x14ac:dyDescent="0.25">
      <c r="A2914" s="30">
        <v>46139</v>
      </c>
      <c r="B2914" s="28">
        <v>729</v>
      </c>
      <c r="C2914" s="28"/>
      <c r="D2914" s="2" t="s">
        <v>23</v>
      </c>
      <c r="E2914" s="7" t="s">
        <v>3141</v>
      </c>
      <c r="F2914" s="7" t="s">
        <v>3001</v>
      </c>
      <c r="G2914" s="2" t="s">
        <v>20</v>
      </c>
      <c r="H2914" s="2" t="s">
        <v>24</v>
      </c>
      <c r="I2914" s="5">
        <v>3681.23</v>
      </c>
      <c r="J2914" s="57">
        <v>0.04</v>
      </c>
      <c r="K2914" s="3">
        <v>48</v>
      </c>
      <c r="L2914" s="2" t="s">
        <v>64</v>
      </c>
      <c r="M2914" s="2" t="s">
        <v>12</v>
      </c>
      <c r="N2914" s="2" t="s">
        <v>12</v>
      </c>
      <c r="O2914" s="2" t="s">
        <v>12</v>
      </c>
      <c r="P2914" s="21" t="s">
        <v>12</v>
      </c>
      <c r="Q2914" s="3" t="s">
        <v>12</v>
      </c>
      <c r="R2914" s="3" t="s">
        <v>12</v>
      </c>
    </row>
    <row r="2915" spans="1:18" x14ac:dyDescent="0.25">
      <c r="A2915" s="30">
        <v>46139</v>
      </c>
      <c r="B2915" s="28">
        <v>730</v>
      </c>
      <c r="C2915" s="28"/>
      <c r="D2915" s="2" t="s">
        <v>23</v>
      </c>
      <c r="E2915" s="7" t="s">
        <v>3202</v>
      </c>
      <c r="F2915" s="7" t="s">
        <v>3001</v>
      </c>
      <c r="G2915" s="2" t="s">
        <v>20</v>
      </c>
      <c r="H2915" s="2" t="s">
        <v>24</v>
      </c>
      <c r="I2915" s="5">
        <v>1194.75</v>
      </c>
      <c r="J2915" s="57">
        <v>7.0000000000000007E-2</v>
      </c>
      <c r="K2915" s="3" t="s">
        <v>12</v>
      </c>
      <c r="L2915" s="2" t="s">
        <v>134</v>
      </c>
      <c r="M2915" s="2" t="s">
        <v>373</v>
      </c>
      <c r="N2915" s="2" t="s">
        <v>373</v>
      </c>
      <c r="O2915" s="2" t="s">
        <v>528</v>
      </c>
      <c r="P2915" s="21" t="s">
        <v>12</v>
      </c>
      <c r="Q2915" s="3" t="s">
        <v>12</v>
      </c>
      <c r="R2915" s="3" t="s">
        <v>12</v>
      </c>
    </row>
    <row r="2916" spans="1:18" x14ac:dyDescent="0.25">
      <c r="A2916" s="30">
        <v>46139</v>
      </c>
      <c r="B2916" s="28">
        <v>731</v>
      </c>
      <c r="C2916" s="28"/>
      <c r="D2916" s="2" t="s">
        <v>1446</v>
      </c>
      <c r="E2916" s="7" t="s">
        <v>3203</v>
      </c>
      <c r="F2916" s="7" t="s">
        <v>2694</v>
      </c>
      <c r="G2916" s="2" t="s">
        <v>43</v>
      </c>
      <c r="H2916" s="2" t="s">
        <v>2007</v>
      </c>
      <c r="I2916" s="5">
        <v>10100.76</v>
      </c>
      <c r="J2916" s="57">
        <v>0.05</v>
      </c>
      <c r="K2916" s="3">
        <v>144</v>
      </c>
      <c r="L2916" s="2" t="s">
        <v>64</v>
      </c>
      <c r="M2916" s="2" t="s">
        <v>12</v>
      </c>
      <c r="N2916" s="2" t="s">
        <v>12</v>
      </c>
      <c r="O2916" s="2" t="s">
        <v>12</v>
      </c>
      <c r="P2916" s="21" t="s">
        <v>12</v>
      </c>
      <c r="Q2916" s="3" t="s">
        <v>12</v>
      </c>
      <c r="R2916" s="3" t="s">
        <v>12</v>
      </c>
    </row>
    <row r="2917" spans="1:18" x14ac:dyDescent="0.25">
      <c r="A2917" s="30">
        <v>46139</v>
      </c>
      <c r="B2917" s="28">
        <v>732</v>
      </c>
      <c r="C2917" s="28"/>
      <c r="D2917" s="2" t="s">
        <v>2334</v>
      </c>
      <c r="E2917" s="7" t="s">
        <v>3204</v>
      </c>
      <c r="F2917" s="7" t="s">
        <v>2683</v>
      </c>
      <c r="G2917" s="2" t="s">
        <v>20</v>
      </c>
      <c r="H2917" s="2" t="s">
        <v>722</v>
      </c>
      <c r="I2917" s="5">
        <v>83890.71</v>
      </c>
      <c r="J2917" s="57">
        <v>7.0000000000000007E-2</v>
      </c>
      <c r="K2917" s="3">
        <v>768</v>
      </c>
      <c r="L2917" s="2" t="s">
        <v>73</v>
      </c>
      <c r="M2917" s="2" t="s">
        <v>12</v>
      </c>
      <c r="N2917" s="2" t="s">
        <v>12</v>
      </c>
      <c r="O2917" s="2" t="s">
        <v>12</v>
      </c>
      <c r="P2917" s="21" t="s">
        <v>12</v>
      </c>
      <c r="Q2917" s="3" t="s">
        <v>12</v>
      </c>
      <c r="R2917" s="3" t="s">
        <v>12</v>
      </c>
    </row>
    <row r="2918" spans="1:18" x14ac:dyDescent="0.25">
      <c r="A2918" s="30">
        <v>46139</v>
      </c>
      <c r="B2918" s="28">
        <v>733</v>
      </c>
      <c r="C2918" s="28"/>
      <c r="D2918" s="2" t="s">
        <v>41</v>
      </c>
      <c r="E2918" s="7" t="s">
        <v>12</v>
      </c>
      <c r="F2918" s="7" t="s">
        <v>2683</v>
      </c>
      <c r="G2918" s="2" t="s">
        <v>43</v>
      </c>
      <c r="H2918" s="2" t="s">
        <v>417</v>
      </c>
      <c r="I2918" s="5">
        <v>2500</v>
      </c>
      <c r="J2918" s="57">
        <v>7.0000000000000007E-2</v>
      </c>
      <c r="K2918" s="3" t="s">
        <v>12</v>
      </c>
      <c r="L2918" s="2" t="s">
        <v>64</v>
      </c>
      <c r="M2918" s="2" t="s">
        <v>12</v>
      </c>
      <c r="N2918" s="2" t="s">
        <v>12</v>
      </c>
      <c r="O2918" s="2" t="s">
        <v>12</v>
      </c>
      <c r="P2918" s="21" t="s">
        <v>12</v>
      </c>
      <c r="Q2918" s="3" t="s">
        <v>12</v>
      </c>
      <c r="R2918" s="3" t="s">
        <v>12</v>
      </c>
    </row>
    <row r="2919" spans="1:18" x14ac:dyDescent="0.25">
      <c r="A2919" s="30">
        <v>46139</v>
      </c>
      <c r="B2919" s="28">
        <v>734</v>
      </c>
      <c r="C2919" s="28"/>
      <c r="D2919" s="2" t="s">
        <v>348</v>
      </c>
      <c r="E2919" s="7" t="s">
        <v>12</v>
      </c>
      <c r="F2919" s="7" t="s">
        <v>2683</v>
      </c>
      <c r="G2919" s="2" t="s">
        <v>26</v>
      </c>
      <c r="H2919" s="2" t="s">
        <v>2858</v>
      </c>
      <c r="I2919" s="5">
        <v>3006</v>
      </c>
      <c r="J2919" s="57">
        <v>7.0000000000000007E-2</v>
      </c>
      <c r="K2919" s="3" t="s">
        <v>12</v>
      </c>
      <c r="L2919" s="2" t="s">
        <v>134</v>
      </c>
      <c r="M2919" s="2" t="s">
        <v>373</v>
      </c>
      <c r="N2919" s="2" t="s">
        <v>373</v>
      </c>
      <c r="O2919" s="2" t="s">
        <v>528</v>
      </c>
      <c r="P2919" s="21" t="s">
        <v>12</v>
      </c>
      <c r="Q2919" s="3" t="s">
        <v>12</v>
      </c>
      <c r="R2919" s="3" t="s">
        <v>12</v>
      </c>
    </row>
    <row r="2920" spans="1:18" x14ac:dyDescent="0.25">
      <c r="A2920" s="30">
        <v>46139</v>
      </c>
      <c r="B2920" s="28">
        <v>735</v>
      </c>
      <c r="C2920" s="28"/>
      <c r="D2920" s="2" t="s">
        <v>308</v>
      </c>
      <c r="E2920" s="7" t="s">
        <v>3205</v>
      </c>
      <c r="F2920" s="7" t="s">
        <v>3002</v>
      </c>
      <c r="G2920" s="2" t="s">
        <v>20</v>
      </c>
      <c r="H2920" s="2" t="s">
        <v>129</v>
      </c>
      <c r="I2920" s="5">
        <v>434678.5</v>
      </c>
      <c r="J2920" s="57">
        <v>0.04</v>
      </c>
      <c r="K2920" s="3">
        <v>4920</v>
      </c>
      <c r="L2920" s="2" t="s">
        <v>73</v>
      </c>
      <c r="M2920" s="2" t="s">
        <v>12</v>
      </c>
      <c r="N2920" s="2" t="s">
        <v>12</v>
      </c>
      <c r="O2920" s="2" t="s">
        <v>12</v>
      </c>
      <c r="P2920" s="21" t="s">
        <v>12</v>
      </c>
      <c r="Q2920" s="3" t="s">
        <v>12</v>
      </c>
      <c r="R2920" s="3" t="s">
        <v>12</v>
      </c>
    </row>
    <row r="2921" spans="1:18" x14ac:dyDescent="0.25">
      <c r="A2921" s="30">
        <v>46139</v>
      </c>
      <c r="B2921" s="28">
        <v>736</v>
      </c>
      <c r="C2921" s="28"/>
      <c r="D2921" s="2" t="s">
        <v>1523</v>
      </c>
      <c r="E2921" s="7" t="s">
        <v>12</v>
      </c>
      <c r="F2921" s="7" t="s">
        <v>2683</v>
      </c>
      <c r="G2921" s="2" t="s">
        <v>111</v>
      </c>
      <c r="H2921" s="2" t="s">
        <v>112</v>
      </c>
      <c r="I2921" s="5">
        <v>19102.03</v>
      </c>
      <c r="J2921" s="57">
        <v>7.0000000000000007E-2</v>
      </c>
      <c r="K2921" s="3">
        <v>120</v>
      </c>
      <c r="L2921" s="2" t="s">
        <v>73</v>
      </c>
      <c r="M2921" s="2" t="s">
        <v>12</v>
      </c>
      <c r="N2921" s="2" t="s">
        <v>12</v>
      </c>
      <c r="O2921" s="2" t="s">
        <v>12</v>
      </c>
      <c r="P2921" s="21" t="s">
        <v>12</v>
      </c>
      <c r="Q2921" s="3" t="s">
        <v>12</v>
      </c>
      <c r="R2921" s="3" t="s">
        <v>12</v>
      </c>
    </row>
    <row r="2922" spans="1:18" x14ac:dyDescent="0.25">
      <c r="A2922" s="30">
        <v>46140</v>
      </c>
      <c r="B2922" s="28">
        <v>737</v>
      </c>
      <c r="C2922" s="28"/>
      <c r="D2922" s="2" t="s">
        <v>1767</v>
      </c>
      <c r="E2922" s="7" t="s">
        <v>3206</v>
      </c>
      <c r="F2922" s="7" t="s">
        <v>3001</v>
      </c>
      <c r="G2922" s="2" t="s">
        <v>97</v>
      </c>
      <c r="H2922" s="2" t="s">
        <v>288</v>
      </c>
      <c r="I2922" s="5">
        <v>229700.01</v>
      </c>
      <c r="J2922" s="57">
        <v>7.0000000000000007E-2</v>
      </c>
      <c r="K2922" s="3">
        <v>2568</v>
      </c>
      <c r="L2922" s="2" t="s">
        <v>73</v>
      </c>
      <c r="M2922" s="2" t="s">
        <v>12</v>
      </c>
      <c r="N2922" s="2" t="s">
        <v>12</v>
      </c>
      <c r="O2922" s="2" t="s">
        <v>12</v>
      </c>
      <c r="P2922" s="21" t="s">
        <v>12</v>
      </c>
      <c r="Q2922" s="3" t="s">
        <v>3222</v>
      </c>
      <c r="R2922" s="3" t="s">
        <v>76</v>
      </c>
    </row>
    <row r="2923" spans="1:18" x14ac:dyDescent="0.25">
      <c r="A2923" s="30">
        <v>46140</v>
      </c>
      <c r="B2923" s="28">
        <v>738</v>
      </c>
      <c r="C2923" s="28"/>
      <c r="D2923" s="2" t="s">
        <v>3207</v>
      </c>
      <c r="E2923" s="7" t="s">
        <v>3208</v>
      </c>
      <c r="F2923" s="7" t="s">
        <v>2683</v>
      </c>
      <c r="G2923" s="2" t="s">
        <v>26</v>
      </c>
      <c r="H2923" s="2" t="s">
        <v>43</v>
      </c>
      <c r="I2923" s="5">
        <v>11355.64</v>
      </c>
      <c r="J2923" s="57">
        <v>7.0000000000000007E-2</v>
      </c>
      <c r="K2923" s="3">
        <v>120</v>
      </c>
      <c r="L2923" s="2" t="s">
        <v>21</v>
      </c>
      <c r="M2923" s="2" t="s">
        <v>3380</v>
      </c>
      <c r="N2923" s="2" t="s">
        <v>12</v>
      </c>
      <c r="O2923" s="2" t="s">
        <v>12</v>
      </c>
      <c r="P2923" s="21" t="s">
        <v>12</v>
      </c>
      <c r="Q2923" s="3" t="s">
        <v>3223</v>
      </c>
      <c r="R2923" s="3" t="s">
        <v>76</v>
      </c>
    </row>
    <row r="2924" spans="1:18" x14ac:dyDescent="0.25">
      <c r="A2924" s="30">
        <v>46140</v>
      </c>
      <c r="B2924" s="28">
        <v>739</v>
      </c>
      <c r="C2924" s="28"/>
      <c r="D2924" s="2" t="s">
        <v>684</v>
      </c>
      <c r="E2924" s="7" t="s">
        <v>3209</v>
      </c>
      <c r="F2924" s="7" t="s">
        <v>2683</v>
      </c>
      <c r="G2924" s="2" t="s">
        <v>43</v>
      </c>
      <c r="H2924" s="2" t="s">
        <v>854</v>
      </c>
      <c r="I2924" s="5">
        <v>381959.48</v>
      </c>
      <c r="J2924" s="57">
        <v>7.0000000000000007E-2</v>
      </c>
      <c r="K2924" s="3">
        <v>4440</v>
      </c>
      <c r="L2924" s="2" t="s">
        <v>73</v>
      </c>
      <c r="M2924" s="2" t="s">
        <v>12</v>
      </c>
      <c r="N2924" s="2" t="s">
        <v>12</v>
      </c>
      <c r="O2924" s="2" t="s">
        <v>12</v>
      </c>
      <c r="P2924" s="21" t="s">
        <v>12</v>
      </c>
      <c r="Q2924" s="3" t="s">
        <v>12</v>
      </c>
      <c r="R2924" s="3" t="s">
        <v>12</v>
      </c>
    </row>
    <row r="2925" spans="1:18" x14ac:dyDescent="0.25">
      <c r="A2925" s="30">
        <v>46140</v>
      </c>
      <c r="B2925" s="28">
        <v>740</v>
      </c>
      <c r="C2925" s="28" t="s">
        <v>2161</v>
      </c>
      <c r="D2925" s="2" t="s">
        <v>2114</v>
      </c>
      <c r="E2925" s="7" t="s">
        <v>3210</v>
      </c>
      <c r="F2925" s="7" t="s">
        <v>3211</v>
      </c>
      <c r="G2925" s="2" t="s">
        <v>97</v>
      </c>
      <c r="H2925" s="2" t="s">
        <v>948</v>
      </c>
      <c r="I2925" s="5">
        <v>59222.82</v>
      </c>
      <c r="J2925" s="57">
        <v>7.0000000000000007E-2</v>
      </c>
      <c r="K2925" s="3">
        <v>576</v>
      </c>
      <c r="L2925" s="2" t="s">
        <v>73</v>
      </c>
      <c r="M2925" s="2" t="s">
        <v>12</v>
      </c>
      <c r="N2925" s="2" t="s">
        <v>12</v>
      </c>
      <c r="O2925" s="2" t="s">
        <v>12</v>
      </c>
      <c r="P2925" s="21" t="s">
        <v>12</v>
      </c>
      <c r="Q2925" s="3" t="s">
        <v>12</v>
      </c>
      <c r="R2925" s="3" t="s">
        <v>12</v>
      </c>
    </row>
    <row r="2926" spans="1:18" x14ac:dyDescent="0.25">
      <c r="A2926" s="30">
        <v>46140</v>
      </c>
      <c r="B2926" s="28">
        <v>741</v>
      </c>
      <c r="C2926" s="28"/>
      <c r="D2926" s="2" t="s">
        <v>276</v>
      </c>
      <c r="E2926" s="7" t="s">
        <v>3212</v>
      </c>
      <c r="F2926" s="7" t="s">
        <v>2694</v>
      </c>
      <c r="G2926" s="2" t="s">
        <v>43</v>
      </c>
      <c r="H2926" s="2" t="s">
        <v>108</v>
      </c>
      <c r="I2926" s="5">
        <v>6166.91</v>
      </c>
      <c r="J2926" s="57">
        <v>7.0000000000000007E-2</v>
      </c>
      <c r="K2926" s="3">
        <v>48</v>
      </c>
      <c r="L2926" s="2" t="s">
        <v>73</v>
      </c>
      <c r="M2926" s="2" t="s">
        <v>12</v>
      </c>
      <c r="N2926" s="2" t="s">
        <v>12</v>
      </c>
      <c r="O2926" s="2" t="s">
        <v>12</v>
      </c>
      <c r="P2926" s="21" t="s">
        <v>12</v>
      </c>
      <c r="Q2926" s="3" t="s">
        <v>2730</v>
      </c>
      <c r="R2926" s="3" t="s">
        <v>75</v>
      </c>
    </row>
    <row r="2927" spans="1:18" x14ac:dyDescent="0.25">
      <c r="A2927" s="30">
        <v>46140</v>
      </c>
      <c r="B2927" s="28">
        <v>742</v>
      </c>
      <c r="C2927" s="28"/>
      <c r="D2927" s="2" t="s">
        <v>558</v>
      </c>
      <c r="E2927" s="7" t="s">
        <v>3213</v>
      </c>
      <c r="F2927" s="7" t="s">
        <v>3180</v>
      </c>
      <c r="G2927" s="2" t="s">
        <v>20</v>
      </c>
      <c r="H2927" s="2" t="s">
        <v>532</v>
      </c>
      <c r="I2927" s="5">
        <v>62932.57</v>
      </c>
      <c r="J2927" s="57">
        <v>7.0000000000000007E-2</v>
      </c>
      <c r="K2927" s="3">
        <v>648</v>
      </c>
      <c r="L2927" s="2" t="s">
        <v>73</v>
      </c>
      <c r="M2927" s="2" t="s">
        <v>12</v>
      </c>
      <c r="N2927" s="2" t="s">
        <v>12</v>
      </c>
      <c r="O2927" s="2" t="s">
        <v>12</v>
      </c>
      <c r="P2927" s="21" t="s">
        <v>12</v>
      </c>
      <c r="Q2927" s="3" t="s">
        <v>3224</v>
      </c>
      <c r="R2927" s="3" t="s">
        <v>75</v>
      </c>
    </row>
    <row r="2928" spans="1:18" x14ac:dyDescent="0.25">
      <c r="A2928" s="30">
        <v>46141</v>
      </c>
      <c r="B2928" s="28">
        <v>743</v>
      </c>
      <c r="C2928" s="28" t="s">
        <v>2161</v>
      </c>
      <c r="D2928" s="2" t="s">
        <v>2098</v>
      </c>
      <c r="E2928" s="7" t="s">
        <v>12</v>
      </c>
      <c r="F2928" s="7" t="s">
        <v>2683</v>
      </c>
      <c r="G2928" s="2" t="s">
        <v>13</v>
      </c>
      <c r="H2928" s="2" t="s">
        <v>928</v>
      </c>
      <c r="I2928" s="5">
        <v>7772.47</v>
      </c>
      <c r="J2928" s="57">
        <v>7.0000000000000007E-2</v>
      </c>
      <c r="K2928" s="3" t="s">
        <v>12</v>
      </c>
      <c r="L2928" s="2" t="s">
        <v>21</v>
      </c>
      <c r="M2928" s="2" t="s">
        <v>12</v>
      </c>
      <c r="N2928" s="2" t="s">
        <v>12</v>
      </c>
      <c r="O2928" s="2" t="s">
        <v>12</v>
      </c>
      <c r="P2928" s="21" t="s">
        <v>12</v>
      </c>
      <c r="Q2928" s="3" t="s">
        <v>12</v>
      </c>
      <c r="R2928" s="3" t="s">
        <v>12</v>
      </c>
    </row>
    <row r="2929" spans="1:18" x14ac:dyDescent="0.25">
      <c r="A2929" s="30">
        <v>46140</v>
      </c>
      <c r="B2929" s="28">
        <v>744</v>
      </c>
      <c r="C2929" s="28"/>
      <c r="D2929" s="2" t="s">
        <v>3214</v>
      </c>
      <c r="E2929" s="7" t="s">
        <v>3215</v>
      </c>
      <c r="F2929" s="7" t="s">
        <v>2241</v>
      </c>
      <c r="G2929" s="2" t="s">
        <v>13</v>
      </c>
      <c r="H2929" s="2" t="s">
        <v>390</v>
      </c>
      <c r="I2929" s="5">
        <v>36722.17</v>
      </c>
      <c r="J2929" s="57">
        <v>7.0000000000000007E-2</v>
      </c>
      <c r="K2929" s="3">
        <v>336</v>
      </c>
      <c r="L2929" s="2" t="s">
        <v>73</v>
      </c>
      <c r="M2929" s="2" t="s">
        <v>12</v>
      </c>
      <c r="N2929" s="2" t="s">
        <v>12</v>
      </c>
      <c r="O2929" s="2" t="s">
        <v>12</v>
      </c>
      <c r="P2929" s="21" t="s">
        <v>12</v>
      </c>
      <c r="Q2929" s="3" t="s">
        <v>12</v>
      </c>
      <c r="R2929" s="3" t="s">
        <v>12</v>
      </c>
    </row>
    <row r="2930" spans="1:18" x14ac:dyDescent="0.25">
      <c r="A2930" s="30">
        <v>46141</v>
      </c>
      <c r="B2930" s="28">
        <v>745</v>
      </c>
      <c r="C2930" s="28"/>
      <c r="D2930" s="2" t="s">
        <v>3216</v>
      </c>
      <c r="E2930" s="7" t="s">
        <v>12</v>
      </c>
      <c r="F2930" s="7" t="s">
        <v>2683</v>
      </c>
      <c r="G2930" s="2" t="s">
        <v>13</v>
      </c>
      <c r="H2930" s="2" t="s">
        <v>148</v>
      </c>
      <c r="I2930" s="5">
        <v>18091.47</v>
      </c>
      <c r="J2930" s="57">
        <v>7.0000000000000007E-2</v>
      </c>
      <c r="K2930" s="3">
        <v>240</v>
      </c>
      <c r="L2930" s="2" t="s">
        <v>73</v>
      </c>
      <c r="M2930" s="2" t="s">
        <v>12</v>
      </c>
      <c r="N2930" s="2" t="s">
        <v>12</v>
      </c>
      <c r="O2930" s="2" t="s">
        <v>12</v>
      </c>
      <c r="P2930" s="21" t="s">
        <v>12</v>
      </c>
      <c r="Q2930" s="3" t="s">
        <v>12</v>
      </c>
      <c r="R2930" s="3" t="s">
        <v>12</v>
      </c>
    </row>
    <row r="2931" spans="1:18" x14ac:dyDescent="0.25">
      <c r="A2931" s="30">
        <v>46141</v>
      </c>
      <c r="B2931" s="28">
        <v>746</v>
      </c>
      <c r="C2931" s="28"/>
      <c r="D2931" s="2" t="s">
        <v>2594</v>
      </c>
      <c r="E2931" s="7" t="s">
        <v>3217</v>
      </c>
      <c r="F2931" s="7" t="s">
        <v>2694</v>
      </c>
      <c r="G2931" s="2" t="s">
        <v>13</v>
      </c>
      <c r="H2931" s="2" t="s">
        <v>2767</v>
      </c>
      <c r="I2931" s="5">
        <v>29101.96</v>
      </c>
      <c r="J2931" s="57">
        <v>7.0000000000000007E-2</v>
      </c>
      <c r="K2931" s="3">
        <v>264</v>
      </c>
      <c r="L2931" s="2" t="s">
        <v>73</v>
      </c>
      <c r="M2931" s="2" t="s">
        <v>12</v>
      </c>
      <c r="N2931" s="2" t="s">
        <v>12</v>
      </c>
      <c r="O2931" s="2" t="s">
        <v>12</v>
      </c>
      <c r="P2931" s="21" t="s">
        <v>12</v>
      </c>
      <c r="Q2931" s="3" t="s">
        <v>74</v>
      </c>
      <c r="R2931" s="3" t="s">
        <v>76</v>
      </c>
    </row>
    <row r="2932" spans="1:18" x14ac:dyDescent="0.25">
      <c r="A2932" s="30">
        <v>46141</v>
      </c>
      <c r="B2932" s="28">
        <v>747</v>
      </c>
      <c r="C2932" s="28"/>
      <c r="D2932" s="2" t="s">
        <v>3218</v>
      </c>
      <c r="E2932" s="7" t="s">
        <v>12</v>
      </c>
      <c r="F2932" s="7" t="s">
        <v>2683</v>
      </c>
      <c r="G2932" s="2" t="s">
        <v>13</v>
      </c>
      <c r="H2932" s="2" t="s">
        <v>2192</v>
      </c>
      <c r="I2932" s="5">
        <v>6718.99</v>
      </c>
      <c r="J2932" s="57">
        <v>0.05</v>
      </c>
      <c r="K2932" s="3">
        <v>24</v>
      </c>
      <c r="L2932" s="2" t="s">
        <v>64</v>
      </c>
      <c r="M2932" s="2" t="s">
        <v>12</v>
      </c>
      <c r="N2932" s="2" t="s">
        <v>12</v>
      </c>
      <c r="O2932" s="2" t="s">
        <v>12</v>
      </c>
      <c r="P2932" s="21" t="s">
        <v>12</v>
      </c>
      <c r="Q2932" s="3" t="s">
        <v>12</v>
      </c>
      <c r="R2932" s="3" t="s">
        <v>12</v>
      </c>
    </row>
    <row r="2933" spans="1:18" x14ac:dyDescent="0.25">
      <c r="A2933" s="30">
        <v>46141</v>
      </c>
      <c r="B2933" s="28">
        <v>748</v>
      </c>
      <c r="C2933" s="28"/>
      <c r="D2933" s="2" t="s">
        <v>163</v>
      </c>
      <c r="E2933" s="7" t="s">
        <v>12</v>
      </c>
      <c r="F2933" s="7" t="s">
        <v>2683</v>
      </c>
      <c r="G2933" s="2" t="s">
        <v>97</v>
      </c>
      <c r="H2933" s="2" t="s">
        <v>189</v>
      </c>
      <c r="I2933" s="5">
        <v>4071.33</v>
      </c>
      <c r="J2933" s="57">
        <v>7.0000000000000007E-2</v>
      </c>
      <c r="K2933" s="3">
        <v>48</v>
      </c>
      <c r="L2933" s="2" t="s">
        <v>226</v>
      </c>
      <c r="M2933" s="2" t="s">
        <v>12</v>
      </c>
      <c r="N2933" s="2" t="s">
        <v>12</v>
      </c>
      <c r="O2933" s="2" t="s">
        <v>12</v>
      </c>
      <c r="P2933" s="21" t="s">
        <v>12</v>
      </c>
      <c r="Q2933" s="3" t="s">
        <v>12</v>
      </c>
      <c r="R2933" s="3" t="s">
        <v>12</v>
      </c>
    </row>
    <row r="2934" spans="1:18" x14ac:dyDescent="0.25">
      <c r="A2934" s="30">
        <v>46141</v>
      </c>
      <c r="B2934" s="28">
        <v>749</v>
      </c>
      <c r="C2934" s="28"/>
      <c r="D2934" s="2" t="s">
        <v>202</v>
      </c>
      <c r="E2934" s="7" t="s">
        <v>3219</v>
      </c>
      <c r="F2934" s="7" t="s">
        <v>2972</v>
      </c>
      <c r="G2934" s="2" t="s">
        <v>97</v>
      </c>
      <c r="H2934" s="2" t="s">
        <v>1303</v>
      </c>
      <c r="I2934" s="5">
        <v>37190.18</v>
      </c>
      <c r="J2934" s="57">
        <v>0.05</v>
      </c>
      <c r="K2934" s="3">
        <v>432</v>
      </c>
      <c r="L2934" s="2" t="s">
        <v>73</v>
      </c>
      <c r="M2934" s="2" t="s">
        <v>12</v>
      </c>
      <c r="N2934" s="2" t="s">
        <v>12</v>
      </c>
      <c r="O2934" s="2" t="s">
        <v>12</v>
      </c>
      <c r="P2934" s="21" t="s">
        <v>12</v>
      </c>
      <c r="Q2934" s="3" t="s">
        <v>1748</v>
      </c>
      <c r="R2934" s="3" t="s">
        <v>80</v>
      </c>
    </row>
    <row r="2935" spans="1:18" x14ac:dyDescent="0.25">
      <c r="A2935" s="30">
        <v>46141</v>
      </c>
      <c r="B2935" s="28">
        <v>750</v>
      </c>
      <c r="C2935" s="28"/>
      <c r="D2935" s="2" t="s">
        <v>3220</v>
      </c>
      <c r="E2935" s="7" t="s">
        <v>12</v>
      </c>
      <c r="F2935" s="7" t="s">
        <v>2683</v>
      </c>
      <c r="G2935" s="2" t="s">
        <v>13</v>
      </c>
      <c r="H2935" s="2" t="s">
        <v>3221</v>
      </c>
      <c r="I2935" s="5">
        <v>466256.35</v>
      </c>
      <c r="J2935" s="57">
        <v>0.03</v>
      </c>
      <c r="K2935" s="3">
        <v>8040</v>
      </c>
      <c r="L2935" s="2" t="s">
        <v>73</v>
      </c>
      <c r="M2935" s="2" t="s">
        <v>3200</v>
      </c>
      <c r="N2935" s="2" t="s">
        <v>12</v>
      </c>
      <c r="O2935" s="2" t="s">
        <v>12</v>
      </c>
      <c r="P2935" s="21" t="s">
        <v>12</v>
      </c>
      <c r="Q2935" s="3" t="s">
        <v>12</v>
      </c>
      <c r="R2935" s="3" t="s">
        <v>12</v>
      </c>
    </row>
    <row r="2936" spans="1:18" x14ac:dyDescent="0.25">
      <c r="A2936" s="30">
        <v>46146</v>
      </c>
      <c r="B2936" s="28">
        <v>751</v>
      </c>
      <c r="C2936" s="28" t="s">
        <v>2161</v>
      </c>
      <c r="D2936" s="2" t="s">
        <v>109</v>
      </c>
      <c r="E2936" s="7" t="s">
        <v>3303</v>
      </c>
      <c r="F2936" s="7" t="s">
        <v>3003</v>
      </c>
      <c r="G2936" s="2" t="s">
        <v>111</v>
      </c>
      <c r="H2936" s="2" t="s">
        <v>346</v>
      </c>
      <c r="I2936" s="5">
        <v>22061</v>
      </c>
      <c r="J2936" s="57">
        <v>7.0000000000000007E-2</v>
      </c>
      <c r="K2936" s="3">
        <v>48</v>
      </c>
      <c r="L2936" s="2" t="s">
        <v>64</v>
      </c>
      <c r="M2936" s="2" t="s">
        <v>12</v>
      </c>
      <c r="N2936" s="2" t="s">
        <v>12</v>
      </c>
      <c r="O2936" s="2" t="s">
        <v>12</v>
      </c>
      <c r="P2936" s="21" t="s">
        <v>12</v>
      </c>
      <c r="Q2936" s="3" t="s">
        <v>12</v>
      </c>
      <c r="R2936" s="3" t="s">
        <v>12</v>
      </c>
    </row>
    <row r="2937" spans="1:18" x14ac:dyDescent="0.25">
      <c r="A2937" s="30">
        <v>46142</v>
      </c>
      <c r="B2937" s="28">
        <v>752</v>
      </c>
      <c r="C2937" s="28"/>
      <c r="D2937" s="2" t="s">
        <v>41</v>
      </c>
      <c r="E2937" s="7" t="s">
        <v>3164</v>
      </c>
      <c r="F2937" s="7" t="s">
        <v>3002</v>
      </c>
      <c r="G2937" s="2" t="s">
        <v>43</v>
      </c>
      <c r="H2937" s="2" t="s">
        <v>417</v>
      </c>
      <c r="I2937" s="5">
        <v>439254.89</v>
      </c>
      <c r="J2937" s="57">
        <v>0.05</v>
      </c>
      <c r="K2937" s="3">
        <v>4320</v>
      </c>
      <c r="L2937" s="2" t="s">
        <v>73</v>
      </c>
      <c r="M2937" s="2" t="s">
        <v>12</v>
      </c>
      <c r="N2937" s="2" t="s">
        <v>12</v>
      </c>
      <c r="O2937" s="2" t="s">
        <v>12</v>
      </c>
      <c r="P2937" s="21" t="s">
        <v>12</v>
      </c>
      <c r="Q2937" s="3" t="s">
        <v>1751</v>
      </c>
      <c r="R2937" s="3" t="s">
        <v>80</v>
      </c>
    </row>
    <row r="2938" spans="1:18" x14ac:dyDescent="0.25">
      <c r="A2938" s="30">
        <v>46142</v>
      </c>
      <c r="B2938" s="28">
        <v>753</v>
      </c>
      <c r="C2938" s="28"/>
      <c r="D2938" s="2" t="s">
        <v>137</v>
      </c>
      <c r="E2938" s="7" t="s">
        <v>3164</v>
      </c>
      <c r="F2938" s="7" t="s">
        <v>3002</v>
      </c>
      <c r="G2938" s="2" t="s">
        <v>26</v>
      </c>
      <c r="H2938" s="2" t="s">
        <v>317</v>
      </c>
      <c r="I2938" s="5">
        <v>486183.58</v>
      </c>
      <c r="J2938" s="57">
        <v>7.0000000000000007E-2</v>
      </c>
      <c r="K2938" s="3">
        <v>4320</v>
      </c>
      <c r="L2938" s="2" t="s">
        <v>73</v>
      </c>
      <c r="M2938" s="2" t="s">
        <v>12</v>
      </c>
      <c r="N2938" s="2" t="s">
        <v>12</v>
      </c>
      <c r="O2938" s="2" t="s">
        <v>12</v>
      </c>
      <c r="P2938" s="21" t="s">
        <v>12</v>
      </c>
      <c r="Q2938" s="3" t="s">
        <v>1751</v>
      </c>
      <c r="R2938" s="3" t="s">
        <v>80</v>
      </c>
    </row>
    <row r="2939" spans="1:18" x14ac:dyDescent="0.25">
      <c r="A2939" s="30">
        <v>46142</v>
      </c>
      <c r="B2939" s="28">
        <v>754</v>
      </c>
      <c r="C2939" s="28"/>
      <c r="D2939" s="2" t="s">
        <v>62</v>
      </c>
      <c r="E2939" s="7" t="s">
        <v>12</v>
      </c>
      <c r="F2939" s="7" t="s">
        <v>2683</v>
      </c>
      <c r="G2939" s="2" t="s">
        <v>26</v>
      </c>
      <c r="H2939" s="2" t="s">
        <v>63</v>
      </c>
      <c r="I2939" s="5">
        <v>5621.04</v>
      </c>
      <c r="J2939" s="57">
        <v>7.0000000000000007E-2</v>
      </c>
      <c r="K2939" s="3" t="s">
        <v>12</v>
      </c>
      <c r="L2939" s="2" t="s">
        <v>64</v>
      </c>
      <c r="M2939" s="2" t="s">
        <v>12</v>
      </c>
      <c r="N2939" s="2" t="s">
        <v>12</v>
      </c>
      <c r="O2939" s="2" t="s">
        <v>12</v>
      </c>
      <c r="P2939" s="21" t="s">
        <v>12</v>
      </c>
      <c r="Q2939" s="3" t="s">
        <v>12</v>
      </c>
      <c r="R2939" s="3" t="s">
        <v>12</v>
      </c>
    </row>
    <row r="2940" spans="1:18" x14ac:dyDescent="0.25">
      <c r="A2940" s="30">
        <v>46142</v>
      </c>
      <c r="B2940" s="28">
        <v>755</v>
      </c>
      <c r="C2940" s="28"/>
      <c r="D2940" s="2" t="s">
        <v>1998</v>
      </c>
      <c r="E2940" s="7" t="s">
        <v>3232</v>
      </c>
      <c r="F2940" s="7" t="s">
        <v>2733</v>
      </c>
      <c r="G2940" s="2" t="s">
        <v>43</v>
      </c>
      <c r="H2940" s="2" t="s">
        <v>98</v>
      </c>
      <c r="I2940" s="5">
        <v>6345.17</v>
      </c>
      <c r="J2940" s="57">
        <v>7.0000000000000007E-2</v>
      </c>
      <c r="K2940" s="3">
        <v>48</v>
      </c>
      <c r="L2940" s="2" t="s">
        <v>226</v>
      </c>
      <c r="M2940" s="2" t="s">
        <v>12</v>
      </c>
      <c r="N2940" s="2" t="s">
        <v>12</v>
      </c>
      <c r="O2940" s="2" t="s">
        <v>12</v>
      </c>
      <c r="P2940" s="21" t="s">
        <v>12</v>
      </c>
      <c r="Q2940" s="3" t="s">
        <v>12</v>
      </c>
      <c r="R2940" s="3"/>
    </row>
    <row r="2941" spans="1:18" x14ac:dyDescent="0.25">
      <c r="A2941" s="30">
        <v>46142</v>
      </c>
      <c r="B2941" s="28">
        <v>756</v>
      </c>
      <c r="C2941" s="28"/>
      <c r="D2941" s="2" t="s">
        <v>1863</v>
      </c>
      <c r="E2941" s="7" t="s">
        <v>3233</v>
      </c>
      <c r="F2941" s="7" t="s">
        <v>2683</v>
      </c>
      <c r="G2941" s="2" t="s">
        <v>43</v>
      </c>
      <c r="H2941" s="2" t="s">
        <v>769</v>
      </c>
      <c r="I2941" s="5">
        <v>81764.009999999995</v>
      </c>
      <c r="J2941" s="57">
        <v>7.0000000000000007E-2</v>
      </c>
      <c r="K2941" s="3">
        <v>960</v>
      </c>
      <c r="L2941" s="2" t="s">
        <v>73</v>
      </c>
      <c r="M2941" s="2" t="s">
        <v>12</v>
      </c>
      <c r="N2941" s="2" t="s">
        <v>12</v>
      </c>
      <c r="O2941" s="2" t="s">
        <v>12</v>
      </c>
      <c r="P2941" s="21" t="s">
        <v>12</v>
      </c>
      <c r="Q2941" s="3" t="s">
        <v>12</v>
      </c>
      <c r="R2941" s="3" t="s">
        <v>12</v>
      </c>
    </row>
    <row r="2942" spans="1:18" x14ac:dyDescent="0.25">
      <c r="A2942" s="30">
        <v>46142</v>
      </c>
      <c r="B2942" s="28">
        <v>757</v>
      </c>
      <c r="C2942" s="28"/>
      <c r="D2942" s="2" t="s">
        <v>1863</v>
      </c>
      <c r="E2942" s="7" t="s">
        <v>3234</v>
      </c>
      <c r="F2942" s="7" t="s">
        <v>2683</v>
      </c>
      <c r="G2942" s="2" t="s">
        <v>43</v>
      </c>
      <c r="H2942" s="2" t="s">
        <v>769</v>
      </c>
      <c r="I2942" s="5">
        <v>223137.16</v>
      </c>
      <c r="J2942" s="57">
        <v>7.0000000000000007E-2</v>
      </c>
      <c r="K2942" s="3">
        <v>2616</v>
      </c>
      <c r="L2942" s="2" t="s">
        <v>73</v>
      </c>
      <c r="M2942" s="2" t="s">
        <v>12</v>
      </c>
      <c r="N2942" s="2" t="s">
        <v>12</v>
      </c>
      <c r="O2942" s="2" t="s">
        <v>12</v>
      </c>
      <c r="P2942" s="21" t="s">
        <v>12</v>
      </c>
      <c r="Q2942" s="3" t="s">
        <v>12</v>
      </c>
      <c r="R2942" s="3" t="s">
        <v>12</v>
      </c>
    </row>
    <row r="2943" spans="1:18" x14ac:dyDescent="0.25">
      <c r="A2943" s="30">
        <v>46142</v>
      </c>
      <c r="B2943" s="28">
        <v>758</v>
      </c>
      <c r="C2943" s="28"/>
      <c r="D2943" s="2" t="s">
        <v>1194</v>
      </c>
      <c r="E2943" s="7" t="s">
        <v>3235</v>
      </c>
      <c r="F2943" s="7" t="s">
        <v>2694</v>
      </c>
      <c r="G2943" s="2" t="s">
        <v>26</v>
      </c>
      <c r="H2943" s="2" t="s">
        <v>2422</v>
      </c>
      <c r="I2943" s="5">
        <v>18606.77</v>
      </c>
      <c r="J2943" s="57">
        <v>7.0000000000000007E-2</v>
      </c>
      <c r="K2943" s="3">
        <v>192</v>
      </c>
      <c r="L2943" s="2" t="s">
        <v>73</v>
      </c>
      <c r="M2943" s="2" t="s">
        <v>12</v>
      </c>
      <c r="N2943" s="2" t="s">
        <v>12</v>
      </c>
      <c r="O2943" s="2" t="s">
        <v>12</v>
      </c>
      <c r="P2943" s="21" t="s">
        <v>12</v>
      </c>
      <c r="Q2943" s="3" t="s">
        <v>3253</v>
      </c>
      <c r="R2943" s="3" t="s">
        <v>3254</v>
      </c>
    </row>
    <row r="2944" spans="1:18" x14ac:dyDescent="0.25">
      <c r="A2944" s="30">
        <v>46146</v>
      </c>
      <c r="B2944" s="28">
        <v>759</v>
      </c>
      <c r="C2944" s="28"/>
      <c r="D2944" s="2" t="s">
        <v>23</v>
      </c>
      <c r="E2944" s="7" t="s">
        <v>3256</v>
      </c>
      <c r="F2944" s="7" t="s">
        <v>3001</v>
      </c>
      <c r="G2944" s="2" t="s">
        <v>20</v>
      </c>
      <c r="H2944" s="2" t="s">
        <v>32</v>
      </c>
      <c r="I2944" s="5">
        <v>34693.589999999997</v>
      </c>
      <c r="J2944" s="57">
        <v>0.04</v>
      </c>
      <c r="K2944" s="3">
        <v>480</v>
      </c>
      <c r="L2944" s="2" t="s">
        <v>64</v>
      </c>
      <c r="M2944" s="2" t="s">
        <v>12</v>
      </c>
      <c r="N2944" s="2" t="s">
        <v>12</v>
      </c>
      <c r="O2944" s="2" t="s">
        <v>12</v>
      </c>
      <c r="P2944" s="21" t="s">
        <v>12</v>
      </c>
      <c r="Q2944" s="3" t="s">
        <v>12</v>
      </c>
      <c r="R2944" s="3" t="s">
        <v>12</v>
      </c>
    </row>
    <row r="2945" spans="1:19" x14ac:dyDescent="0.25">
      <c r="A2945" s="30">
        <v>46146</v>
      </c>
      <c r="B2945" s="28">
        <v>760</v>
      </c>
      <c r="C2945" s="28" t="s">
        <v>2162</v>
      </c>
      <c r="D2945" s="2" t="s">
        <v>348</v>
      </c>
      <c r="E2945" s="7">
        <v>2465</v>
      </c>
      <c r="F2945" s="7" t="s">
        <v>2683</v>
      </c>
      <c r="G2945" s="2" t="s">
        <v>26</v>
      </c>
      <c r="H2945" s="2"/>
      <c r="I2945" s="5">
        <v>5550.97</v>
      </c>
      <c r="J2945" s="57">
        <v>0.03</v>
      </c>
      <c r="K2945" s="3">
        <v>96</v>
      </c>
      <c r="L2945" s="2" t="s">
        <v>134</v>
      </c>
      <c r="M2945" s="2" t="s">
        <v>373</v>
      </c>
      <c r="N2945" s="2" t="s">
        <v>373</v>
      </c>
      <c r="O2945" s="2" t="s">
        <v>528</v>
      </c>
      <c r="P2945" s="21" t="s">
        <v>12</v>
      </c>
      <c r="Q2945" s="3" t="s">
        <v>12</v>
      </c>
      <c r="R2945" s="3" t="s">
        <v>12</v>
      </c>
    </row>
    <row r="2946" spans="1:19" x14ac:dyDescent="0.25">
      <c r="A2946" s="30">
        <v>46146</v>
      </c>
      <c r="B2946" s="28">
        <v>761</v>
      </c>
      <c r="C2946" s="28" t="s">
        <v>2162</v>
      </c>
      <c r="D2946" s="2" t="s">
        <v>3161</v>
      </c>
      <c r="E2946" s="7" t="s">
        <v>3236</v>
      </c>
      <c r="F2946" s="7" t="s">
        <v>2683</v>
      </c>
      <c r="G2946" s="2" t="s">
        <v>20</v>
      </c>
      <c r="H2946" s="2" t="s">
        <v>1239</v>
      </c>
      <c r="I2946" s="5">
        <v>11555.37</v>
      </c>
      <c r="J2946" s="57">
        <v>0.04</v>
      </c>
      <c r="K2946" s="3">
        <v>168</v>
      </c>
      <c r="L2946" s="2" t="s">
        <v>134</v>
      </c>
      <c r="M2946" s="2" t="s">
        <v>135</v>
      </c>
      <c r="N2946" s="2" t="s">
        <v>135</v>
      </c>
      <c r="O2946" s="2" t="s">
        <v>528</v>
      </c>
      <c r="P2946" s="21" t="s">
        <v>12</v>
      </c>
      <c r="Q2946" s="3" t="s">
        <v>12</v>
      </c>
      <c r="R2946" s="3" t="s">
        <v>12</v>
      </c>
    </row>
    <row r="2947" spans="1:19" x14ac:dyDescent="0.25">
      <c r="A2947" s="30">
        <v>46146</v>
      </c>
      <c r="B2947" s="28">
        <v>762</v>
      </c>
      <c r="C2947" s="28" t="s">
        <v>2161</v>
      </c>
      <c r="D2947" s="2" t="s">
        <v>276</v>
      </c>
      <c r="E2947" s="7" t="s">
        <v>2337</v>
      </c>
      <c r="F2947" s="7" t="s">
        <v>2694</v>
      </c>
      <c r="G2947" s="2" t="s">
        <v>43</v>
      </c>
      <c r="H2947" s="2" t="s">
        <v>108</v>
      </c>
      <c r="I2947" s="5">
        <v>3968.07</v>
      </c>
      <c r="J2947" s="57">
        <v>7.0000000000000007E-2</v>
      </c>
      <c r="K2947" s="3">
        <v>48</v>
      </c>
      <c r="L2947" s="2" t="s">
        <v>64</v>
      </c>
      <c r="M2947" s="2" t="s">
        <v>12</v>
      </c>
      <c r="N2947" s="2" t="s">
        <v>12</v>
      </c>
      <c r="O2947" s="2" t="s">
        <v>12</v>
      </c>
      <c r="P2947" s="21" t="s">
        <v>12</v>
      </c>
      <c r="Q2947" s="3" t="s">
        <v>12</v>
      </c>
      <c r="R2947" s="3" t="s">
        <v>12</v>
      </c>
      <c r="S2947" t="s">
        <v>12</v>
      </c>
    </row>
    <row r="2948" spans="1:19" x14ac:dyDescent="0.25">
      <c r="A2948" s="30">
        <v>46146</v>
      </c>
      <c r="B2948" s="28">
        <v>763</v>
      </c>
      <c r="C2948" s="28" t="s">
        <v>2161</v>
      </c>
      <c r="D2948" s="2" t="s">
        <v>557</v>
      </c>
      <c r="E2948" s="7" t="s">
        <v>2985</v>
      </c>
      <c r="F2948" s="7" t="s">
        <v>2683</v>
      </c>
      <c r="G2948" s="2" t="s">
        <v>20</v>
      </c>
      <c r="H2948" s="2" t="s">
        <v>471</v>
      </c>
      <c r="I2948" s="5">
        <v>1516.54</v>
      </c>
      <c r="J2948" s="57">
        <v>7.0000000000000007E-2</v>
      </c>
      <c r="K2948" s="3" t="s">
        <v>12</v>
      </c>
      <c r="L2948" s="2" t="s">
        <v>64</v>
      </c>
      <c r="M2948" s="2" t="s">
        <v>12</v>
      </c>
      <c r="N2948" s="2" t="s">
        <v>12</v>
      </c>
      <c r="O2948" s="2" t="s">
        <v>12</v>
      </c>
      <c r="P2948" s="21" t="s">
        <v>12</v>
      </c>
      <c r="Q2948" s="3" t="s">
        <v>12</v>
      </c>
      <c r="R2948" s="3" t="s">
        <v>12</v>
      </c>
    </row>
    <row r="2949" spans="1:19" x14ac:dyDescent="0.25">
      <c r="A2949" s="30">
        <v>46151</v>
      </c>
      <c r="B2949" s="28">
        <v>764</v>
      </c>
      <c r="C2949" s="28"/>
      <c r="D2949" s="2" t="s">
        <v>41</v>
      </c>
      <c r="E2949" s="7" t="s">
        <v>1072</v>
      </c>
      <c r="F2949" s="7" t="s">
        <v>2972</v>
      </c>
      <c r="G2949" s="2" t="s">
        <v>43</v>
      </c>
      <c r="H2949" s="2" t="s">
        <v>43</v>
      </c>
      <c r="I2949" s="5">
        <v>143240.6</v>
      </c>
      <c r="J2949" s="57">
        <v>7.0000000000000007E-2</v>
      </c>
      <c r="K2949" s="3">
        <v>1344</v>
      </c>
      <c r="L2949" s="2" t="s">
        <v>226</v>
      </c>
      <c r="M2949" s="2" t="s">
        <v>3302</v>
      </c>
      <c r="N2949" s="2" t="s">
        <v>12</v>
      </c>
      <c r="O2949" s="2" t="s">
        <v>12</v>
      </c>
      <c r="P2949" s="21" t="s">
        <v>12</v>
      </c>
      <c r="Q2949" s="3" t="s">
        <v>12</v>
      </c>
      <c r="R2949" s="3" t="s">
        <v>12</v>
      </c>
    </row>
    <row r="2950" spans="1:19" x14ac:dyDescent="0.25">
      <c r="A2950" s="30">
        <v>46151</v>
      </c>
      <c r="B2950" s="28">
        <v>765</v>
      </c>
      <c r="C2950" s="28"/>
      <c r="D2950" s="2" t="s">
        <v>87</v>
      </c>
      <c r="E2950" s="7" t="s">
        <v>1073</v>
      </c>
      <c r="F2950" s="7" t="s">
        <v>3002</v>
      </c>
      <c r="G2950" s="2" t="s">
        <v>13</v>
      </c>
      <c r="H2950" s="2" t="s">
        <v>185</v>
      </c>
      <c r="I2950" s="5">
        <v>270214.89</v>
      </c>
      <c r="J2950" s="57">
        <v>7.0000000000000007E-2</v>
      </c>
      <c r="K2950" s="3">
        <v>2864.4</v>
      </c>
      <c r="L2950" s="2" t="s">
        <v>73</v>
      </c>
      <c r="M2950" s="2" t="s">
        <v>12</v>
      </c>
      <c r="N2950" s="2" t="s">
        <v>12</v>
      </c>
      <c r="O2950" s="2" t="s">
        <v>12</v>
      </c>
      <c r="P2950" s="21" t="s">
        <v>12</v>
      </c>
      <c r="Q2950" s="3" t="s">
        <v>12</v>
      </c>
      <c r="R2950" s="3" t="s">
        <v>12</v>
      </c>
    </row>
    <row r="2951" spans="1:19" x14ac:dyDescent="0.25">
      <c r="A2951" s="30">
        <v>46146</v>
      </c>
      <c r="B2951" s="28">
        <v>766</v>
      </c>
      <c r="C2951" s="28" t="s">
        <v>2161</v>
      </c>
      <c r="D2951" s="2" t="s">
        <v>411</v>
      </c>
      <c r="E2951" s="7" t="s">
        <v>2932</v>
      </c>
      <c r="F2951" s="7" t="s">
        <v>2683</v>
      </c>
      <c r="G2951" s="2" t="s">
        <v>26</v>
      </c>
      <c r="H2951" s="2" t="s">
        <v>98</v>
      </c>
      <c r="I2951" s="5">
        <v>6555.42</v>
      </c>
      <c r="J2951" s="57">
        <v>0.05</v>
      </c>
      <c r="K2951" s="3">
        <v>96</v>
      </c>
      <c r="L2951" s="2" t="s">
        <v>64</v>
      </c>
      <c r="M2951" s="2" t="s">
        <v>3200</v>
      </c>
      <c r="N2951" s="2" t="s">
        <v>12</v>
      </c>
      <c r="O2951" s="2" t="s">
        <v>12</v>
      </c>
      <c r="P2951" s="21" t="s">
        <v>12</v>
      </c>
      <c r="Q2951" s="3" t="s">
        <v>12</v>
      </c>
      <c r="R2951" s="3" t="s">
        <v>12</v>
      </c>
    </row>
    <row r="2952" spans="1:19" x14ac:dyDescent="0.25">
      <c r="A2952" s="30">
        <v>46146</v>
      </c>
      <c r="B2952" s="28">
        <v>767</v>
      </c>
      <c r="C2952" s="28"/>
      <c r="D2952" s="2" t="s">
        <v>3237</v>
      </c>
      <c r="E2952" s="7" t="s">
        <v>2863</v>
      </c>
      <c r="F2952" s="7" t="s">
        <v>1844</v>
      </c>
      <c r="G2952" s="2" t="s">
        <v>13</v>
      </c>
      <c r="H2952" s="2" t="s">
        <v>390</v>
      </c>
      <c r="I2952" s="5">
        <v>9645.5</v>
      </c>
      <c r="J2952" s="57">
        <v>0.04</v>
      </c>
      <c r="K2952" s="3">
        <v>120</v>
      </c>
      <c r="L2952" s="2" t="s">
        <v>64</v>
      </c>
      <c r="M2952" s="2" t="s">
        <v>12</v>
      </c>
      <c r="N2952" s="2" t="s">
        <v>12</v>
      </c>
      <c r="O2952" s="2" t="s">
        <v>12</v>
      </c>
      <c r="P2952" s="21" t="s">
        <v>12</v>
      </c>
      <c r="Q2952" s="3"/>
      <c r="R2952" s="3"/>
    </row>
    <row r="2953" spans="1:19" x14ac:dyDescent="0.25">
      <c r="A2953" s="30">
        <v>46151</v>
      </c>
      <c r="B2953" s="28">
        <v>768</v>
      </c>
      <c r="C2953" s="28"/>
      <c r="D2953" s="2" t="s">
        <v>41</v>
      </c>
      <c r="E2953" s="7" t="s">
        <v>970</v>
      </c>
      <c r="F2953" s="7" t="s">
        <v>3002</v>
      </c>
      <c r="G2953" s="2" t="s">
        <v>43</v>
      </c>
      <c r="H2953" s="2" t="s">
        <v>158</v>
      </c>
      <c r="I2953" s="5">
        <v>80000</v>
      </c>
      <c r="J2953" s="57">
        <v>7.0000000000000007E-2</v>
      </c>
      <c r="K2953" s="3">
        <v>1008</v>
      </c>
      <c r="L2953" s="2" t="s">
        <v>73</v>
      </c>
      <c r="M2953" s="2" t="s">
        <v>12</v>
      </c>
      <c r="N2953" s="2" t="s">
        <v>12</v>
      </c>
      <c r="O2953" s="2" t="s">
        <v>12</v>
      </c>
      <c r="P2953" s="21" t="s">
        <v>12</v>
      </c>
      <c r="Q2953" s="3" t="s">
        <v>12</v>
      </c>
      <c r="R2953" s="3" t="s">
        <v>12</v>
      </c>
    </row>
    <row r="2954" spans="1:19" x14ac:dyDescent="0.25">
      <c r="A2954" s="30">
        <v>46146</v>
      </c>
      <c r="B2954" s="28">
        <v>769</v>
      </c>
      <c r="C2954" s="28"/>
      <c r="D2954" s="2" t="s">
        <v>1091</v>
      </c>
      <c r="E2954" s="7" t="s">
        <v>3238</v>
      </c>
      <c r="F2954" s="7" t="s">
        <v>2972</v>
      </c>
      <c r="G2954" s="2" t="s">
        <v>26</v>
      </c>
      <c r="H2954" s="2" t="s">
        <v>225</v>
      </c>
      <c r="I2954" s="5">
        <v>38597.58</v>
      </c>
      <c r="J2954" s="57">
        <v>0.04</v>
      </c>
      <c r="K2954" s="3">
        <v>480</v>
      </c>
      <c r="L2954" s="2" t="s">
        <v>64</v>
      </c>
      <c r="M2954" s="2" t="s">
        <v>12</v>
      </c>
      <c r="N2954" s="2" t="s">
        <v>12</v>
      </c>
      <c r="O2954" s="2" t="s">
        <v>12</v>
      </c>
      <c r="P2954" s="21" t="s">
        <v>12</v>
      </c>
      <c r="Q2954" s="3" t="s">
        <v>12</v>
      </c>
      <c r="R2954" s="3" t="s">
        <v>12</v>
      </c>
    </row>
    <row r="2955" spans="1:19" x14ac:dyDescent="0.25">
      <c r="A2955" s="30">
        <v>46146</v>
      </c>
      <c r="B2955" s="28">
        <v>770</v>
      </c>
      <c r="C2955" s="28" t="s">
        <v>2161</v>
      </c>
      <c r="D2955" s="2" t="s">
        <v>839</v>
      </c>
      <c r="E2955" s="7" t="s">
        <v>3239</v>
      </c>
      <c r="F2955" s="7" t="s">
        <v>2683</v>
      </c>
      <c r="G2955" s="2" t="s">
        <v>20</v>
      </c>
      <c r="H2955" s="2" t="s">
        <v>275</v>
      </c>
      <c r="I2955" s="5">
        <v>10202.870000000001</v>
      </c>
      <c r="J2955" s="57">
        <v>0.05</v>
      </c>
      <c r="K2955" s="3">
        <v>120</v>
      </c>
      <c r="L2955" s="2" t="s">
        <v>64</v>
      </c>
      <c r="M2955" s="2" t="s">
        <v>12</v>
      </c>
      <c r="N2955" s="2" t="s">
        <v>12</v>
      </c>
      <c r="O2955" s="2" t="s">
        <v>12</v>
      </c>
      <c r="P2955" s="21" t="s">
        <v>12</v>
      </c>
      <c r="Q2955" s="3" t="s">
        <v>12</v>
      </c>
      <c r="R2955" s="3" t="s">
        <v>12</v>
      </c>
    </row>
    <row r="2956" spans="1:19" x14ac:dyDescent="0.25">
      <c r="A2956" s="30">
        <v>46146</v>
      </c>
      <c r="B2956" s="28">
        <v>771</v>
      </c>
      <c r="C2956" s="28"/>
      <c r="D2956" s="2" t="s">
        <v>3240</v>
      </c>
      <c r="E2956" s="7" t="s">
        <v>3241</v>
      </c>
      <c r="F2956" s="7" t="s">
        <v>2879</v>
      </c>
      <c r="G2956" s="2" t="s">
        <v>13</v>
      </c>
      <c r="H2956" s="2" t="s">
        <v>3242</v>
      </c>
      <c r="I2956" s="5">
        <v>188361</v>
      </c>
      <c r="J2956" s="57">
        <v>7.0000000000000007E-2</v>
      </c>
      <c r="K2956" s="3">
        <v>2064</v>
      </c>
      <c r="L2956" s="2" t="s">
        <v>73</v>
      </c>
      <c r="M2956" s="2" t="s">
        <v>12</v>
      </c>
      <c r="N2956" s="2" t="s">
        <v>12</v>
      </c>
      <c r="O2956" s="2" t="s">
        <v>12</v>
      </c>
      <c r="P2956" s="21" t="s">
        <v>12</v>
      </c>
      <c r="Q2956" s="3" t="s">
        <v>12</v>
      </c>
      <c r="R2956" s="3" t="s">
        <v>12</v>
      </c>
    </row>
    <row r="2957" spans="1:19" x14ac:dyDescent="0.25">
      <c r="A2957" s="30">
        <v>46146</v>
      </c>
      <c r="B2957" s="28">
        <v>772</v>
      </c>
      <c r="C2957" s="28"/>
      <c r="D2957" s="2" t="s">
        <v>3240</v>
      </c>
      <c r="E2957" s="7" t="s">
        <v>3243</v>
      </c>
      <c r="F2957" s="7" t="s">
        <v>2879</v>
      </c>
      <c r="G2957" s="2" t="s">
        <v>13</v>
      </c>
      <c r="H2957" s="2" t="s">
        <v>3242</v>
      </c>
      <c r="I2957" s="5">
        <v>28715.1</v>
      </c>
      <c r="J2957" s="57">
        <v>7.0000000000000007E-2</v>
      </c>
      <c r="K2957" s="3">
        <v>312</v>
      </c>
      <c r="L2957" s="2" t="s">
        <v>73</v>
      </c>
      <c r="M2957" s="2" t="s">
        <v>12</v>
      </c>
      <c r="N2957" s="2" t="s">
        <v>12</v>
      </c>
      <c r="O2957" s="2" t="s">
        <v>12</v>
      </c>
      <c r="P2957" s="21" t="s">
        <v>12</v>
      </c>
      <c r="Q2957" s="3" t="s">
        <v>3255</v>
      </c>
      <c r="R2957" s="3" t="s">
        <v>80</v>
      </c>
    </row>
    <row r="2958" spans="1:19" x14ac:dyDescent="0.25">
      <c r="A2958" s="30">
        <v>46146</v>
      </c>
      <c r="B2958" s="28">
        <v>773</v>
      </c>
      <c r="C2958" s="28"/>
      <c r="D2958" s="2" t="s">
        <v>3240</v>
      </c>
      <c r="E2958" s="7" t="s">
        <v>3244</v>
      </c>
      <c r="F2958" s="7" t="s">
        <v>2879</v>
      </c>
      <c r="G2958" s="2" t="s">
        <v>13</v>
      </c>
      <c r="H2958" s="2" t="s">
        <v>3242</v>
      </c>
      <c r="I2958" s="5">
        <v>35149.050000000003</v>
      </c>
      <c r="J2958" s="57">
        <v>7.0000000000000007E-2</v>
      </c>
      <c r="K2958" s="3">
        <v>384</v>
      </c>
      <c r="L2958" s="2" t="s">
        <v>73</v>
      </c>
      <c r="M2958" s="2" t="s">
        <v>12</v>
      </c>
      <c r="N2958" s="2" t="s">
        <v>12</v>
      </c>
      <c r="O2958" s="2" t="s">
        <v>12</v>
      </c>
      <c r="P2958" s="21" t="s">
        <v>12</v>
      </c>
      <c r="Q2958" s="3" t="s">
        <v>3255</v>
      </c>
      <c r="R2958" s="3" t="s">
        <v>80</v>
      </c>
    </row>
    <row r="2959" spans="1:19" x14ac:dyDescent="0.25">
      <c r="A2959" s="30">
        <v>46146</v>
      </c>
      <c r="B2959" s="28">
        <v>774</v>
      </c>
      <c r="C2959" s="28"/>
      <c r="D2959" s="2" t="s">
        <v>3240</v>
      </c>
      <c r="E2959" s="7" t="s">
        <v>3245</v>
      </c>
      <c r="F2959" s="7" t="s">
        <v>2879</v>
      </c>
      <c r="G2959" s="2" t="s">
        <v>13</v>
      </c>
      <c r="H2959" s="2" t="s">
        <v>3242</v>
      </c>
      <c r="I2959" s="5">
        <v>18861.189999999999</v>
      </c>
      <c r="J2959" s="57">
        <v>7.0000000000000007E-2</v>
      </c>
      <c r="K2959" s="3">
        <v>192</v>
      </c>
      <c r="L2959" s="2" t="s">
        <v>73</v>
      </c>
      <c r="M2959" s="2" t="s">
        <v>12</v>
      </c>
      <c r="N2959" s="2" t="s">
        <v>12</v>
      </c>
      <c r="O2959" s="2" t="s">
        <v>12</v>
      </c>
      <c r="P2959" s="21" t="s">
        <v>12</v>
      </c>
      <c r="Q2959" s="3" t="s">
        <v>3255</v>
      </c>
      <c r="R2959" s="3" t="s">
        <v>80</v>
      </c>
    </row>
    <row r="2960" spans="1:19" x14ac:dyDescent="0.25">
      <c r="A2960" s="30">
        <v>46146</v>
      </c>
      <c r="B2960" s="28">
        <v>775</v>
      </c>
      <c r="C2960" s="28"/>
      <c r="D2960" s="2" t="s">
        <v>3240</v>
      </c>
      <c r="E2960" s="7" t="s">
        <v>3246</v>
      </c>
      <c r="F2960" s="7" t="s">
        <v>2879</v>
      </c>
      <c r="G2960" s="2" t="s">
        <v>13</v>
      </c>
      <c r="H2960" s="2" t="s">
        <v>3242</v>
      </c>
      <c r="I2960" s="5">
        <v>49528.86</v>
      </c>
      <c r="J2960" s="57">
        <v>7.0000000000000007E-2</v>
      </c>
      <c r="K2960" s="3">
        <v>552</v>
      </c>
      <c r="L2960" s="2" t="s">
        <v>73</v>
      </c>
      <c r="M2960" s="2" t="s">
        <v>12</v>
      </c>
      <c r="N2960" s="2" t="s">
        <v>12</v>
      </c>
      <c r="O2960" s="2" t="s">
        <v>12</v>
      </c>
      <c r="P2960" s="21" t="s">
        <v>12</v>
      </c>
      <c r="Q2960" s="3" t="s">
        <v>3255</v>
      </c>
      <c r="R2960" s="3" t="s">
        <v>80</v>
      </c>
    </row>
    <row r="2961" spans="1:18" x14ac:dyDescent="0.25">
      <c r="A2961" s="30">
        <v>46146</v>
      </c>
      <c r="B2961" s="28">
        <v>776</v>
      </c>
      <c r="C2961" s="28"/>
      <c r="D2961" s="2" t="s">
        <v>3240</v>
      </c>
      <c r="E2961" s="7" t="s">
        <v>3247</v>
      </c>
      <c r="F2961" s="7" t="s">
        <v>2879</v>
      </c>
      <c r="G2961" s="2" t="s">
        <v>13</v>
      </c>
      <c r="H2961" s="2" t="s">
        <v>3242</v>
      </c>
      <c r="I2961" s="5">
        <v>25084.3</v>
      </c>
      <c r="J2961" s="57">
        <v>7.0000000000000007E-2</v>
      </c>
      <c r="K2961" s="3">
        <v>264</v>
      </c>
      <c r="L2961" s="2" t="s">
        <v>73</v>
      </c>
      <c r="M2961" s="2" t="s">
        <v>12</v>
      </c>
      <c r="N2961" s="2" t="s">
        <v>12</v>
      </c>
      <c r="O2961" s="2" t="s">
        <v>12</v>
      </c>
      <c r="P2961" s="21" t="s">
        <v>12</v>
      </c>
      <c r="Q2961" s="3" t="s">
        <v>3255</v>
      </c>
      <c r="R2961" s="3" t="s">
        <v>80</v>
      </c>
    </row>
    <row r="2962" spans="1:18" x14ac:dyDescent="0.25">
      <c r="A2962" s="30">
        <v>46146</v>
      </c>
      <c r="B2962" s="28">
        <v>777</v>
      </c>
      <c r="C2962" s="28"/>
      <c r="D2962" s="2" t="s">
        <v>3248</v>
      </c>
      <c r="E2962" s="7" t="s">
        <v>12</v>
      </c>
      <c r="F2962" s="7" t="s">
        <v>2683</v>
      </c>
      <c r="G2962" s="2" t="s">
        <v>13</v>
      </c>
      <c r="H2962" s="2" t="s">
        <v>827</v>
      </c>
      <c r="I2962" s="5">
        <v>5312.23</v>
      </c>
      <c r="J2962" s="57">
        <v>7.0000000000000007E-2</v>
      </c>
      <c r="K2962" s="3">
        <v>48</v>
      </c>
      <c r="L2962" s="2" t="s">
        <v>73</v>
      </c>
      <c r="M2962" s="2" t="s">
        <v>12</v>
      </c>
      <c r="N2962" s="2" t="s">
        <v>12</v>
      </c>
      <c r="O2962" s="2" t="s">
        <v>12</v>
      </c>
      <c r="P2962" s="21" t="s">
        <v>12</v>
      </c>
      <c r="Q2962" s="3" t="s">
        <v>12</v>
      </c>
      <c r="R2962" s="3" t="s">
        <v>12</v>
      </c>
    </row>
    <row r="2963" spans="1:18" x14ac:dyDescent="0.25">
      <c r="A2963" s="30">
        <v>46147</v>
      </c>
      <c r="B2963" s="28">
        <v>778</v>
      </c>
      <c r="C2963" s="28" t="s">
        <v>2161</v>
      </c>
      <c r="D2963" s="2" t="s">
        <v>508</v>
      </c>
      <c r="E2963" s="7" t="s">
        <v>3249</v>
      </c>
      <c r="F2963" s="7" t="s">
        <v>2694</v>
      </c>
      <c r="G2963" s="2" t="s">
        <v>20</v>
      </c>
      <c r="H2963" s="2" t="s">
        <v>596</v>
      </c>
      <c r="I2963" s="5">
        <v>23728.1</v>
      </c>
      <c r="J2963" s="57">
        <v>0.05</v>
      </c>
      <c r="K2963" s="3">
        <v>360</v>
      </c>
      <c r="L2963" s="2" t="s">
        <v>64</v>
      </c>
      <c r="M2963" s="2" t="s">
        <v>12</v>
      </c>
      <c r="N2963" s="2" t="s">
        <v>12</v>
      </c>
      <c r="O2963" s="2" t="s">
        <v>12</v>
      </c>
      <c r="P2963" s="21" t="s">
        <v>12</v>
      </c>
      <c r="Q2963" s="3" t="s">
        <v>12</v>
      </c>
      <c r="R2963" s="3" t="s">
        <v>12</v>
      </c>
    </row>
    <row r="2964" spans="1:18" x14ac:dyDescent="0.25">
      <c r="A2964" s="30">
        <v>46147</v>
      </c>
      <c r="B2964" s="28">
        <v>779</v>
      </c>
      <c r="C2964" s="28" t="s">
        <v>2161</v>
      </c>
      <c r="D2964" s="2" t="s">
        <v>273</v>
      </c>
      <c r="E2964" s="7" t="s">
        <v>12</v>
      </c>
      <c r="F2964" s="7" t="s">
        <v>2683</v>
      </c>
      <c r="G2964" s="2" t="s">
        <v>26</v>
      </c>
      <c r="H2964" s="2" t="s">
        <v>116</v>
      </c>
      <c r="I2964" s="5">
        <v>9491.36</v>
      </c>
      <c r="J2964" s="57">
        <v>0.05</v>
      </c>
      <c r="K2964" s="3">
        <v>144</v>
      </c>
      <c r="L2964" s="2" t="s">
        <v>64</v>
      </c>
      <c r="M2964" s="2" t="s">
        <v>12</v>
      </c>
      <c r="N2964" s="2" t="s">
        <v>12</v>
      </c>
      <c r="O2964" s="2" t="s">
        <v>12</v>
      </c>
      <c r="P2964" s="21" t="s">
        <v>12</v>
      </c>
      <c r="Q2964" s="3" t="s">
        <v>12</v>
      </c>
      <c r="R2964" s="3" t="s">
        <v>12</v>
      </c>
    </row>
    <row r="2965" spans="1:18" x14ac:dyDescent="0.25">
      <c r="A2965" s="30">
        <v>46147</v>
      </c>
      <c r="B2965" s="28">
        <v>780</v>
      </c>
      <c r="C2965" s="28"/>
      <c r="D2965" s="2" t="s">
        <v>440</v>
      </c>
      <c r="E2965" s="7" t="s">
        <v>3304</v>
      </c>
      <c r="F2965" s="7" t="s">
        <v>2683</v>
      </c>
      <c r="G2965" s="2" t="s">
        <v>111</v>
      </c>
      <c r="H2965" s="2" t="s">
        <v>119</v>
      </c>
      <c r="I2965" s="5">
        <v>1421.78</v>
      </c>
      <c r="J2965" s="57">
        <v>0.05</v>
      </c>
      <c r="K2965" s="3" t="s">
        <v>12</v>
      </c>
      <c r="L2965" s="2" t="s">
        <v>64</v>
      </c>
      <c r="M2965" s="2" t="s">
        <v>12</v>
      </c>
      <c r="N2965" s="2" t="s">
        <v>12</v>
      </c>
      <c r="O2965" s="2" t="s">
        <v>12</v>
      </c>
      <c r="P2965" s="21" t="s">
        <v>12</v>
      </c>
      <c r="Q2965" s="3" t="s">
        <v>12</v>
      </c>
      <c r="R2965" s="3" t="s">
        <v>12</v>
      </c>
    </row>
    <row r="2966" spans="1:18" x14ac:dyDescent="0.25">
      <c r="A2966" s="30">
        <v>46147</v>
      </c>
      <c r="B2966" s="28">
        <v>781</v>
      </c>
      <c r="C2966" s="28"/>
      <c r="D2966" s="2" t="s">
        <v>56</v>
      </c>
      <c r="E2966" s="7" t="s">
        <v>3250</v>
      </c>
      <c r="F2966" s="7" t="s">
        <v>2972</v>
      </c>
      <c r="G2966" s="2" t="s">
        <v>43</v>
      </c>
      <c r="H2966" s="2" t="s">
        <v>13</v>
      </c>
      <c r="I2966" s="5">
        <v>39231.51</v>
      </c>
      <c r="J2966" s="57">
        <v>7.0000000000000007E-2</v>
      </c>
      <c r="K2966" s="3">
        <v>408</v>
      </c>
      <c r="L2966" s="2" t="s">
        <v>73</v>
      </c>
      <c r="M2966" s="2" t="s">
        <v>12</v>
      </c>
      <c r="N2966" s="2" t="s">
        <v>12</v>
      </c>
      <c r="O2966" s="2" t="s">
        <v>12</v>
      </c>
      <c r="P2966" s="21" t="s">
        <v>12</v>
      </c>
      <c r="Q2966" s="3" t="s">
        <v>461</v>
      </c>
      <c r="R2966" s="3" t="s">
        <v>80</v>
      </c>
    </row>
    <row r="2967" spans="1:18" x14ac:dyDescent="0.25">
      <c r="A2967" s="30">
        <v>46147</v>
      </c>
      <c r="B2967" s="28">
        <v>782</v>
      </c>
      <c r="C2967" s="28"/>
      <c r="D2967" s="2" t="s">
        <v>353</v>
      </c>
      <c r="E2967" s="7" t="s">
        <v>3251</v>
      </c>
      <c r="F2967" s="7" t="s">
        <v>3001</v>
      </c>
      <c r="G2967" s="2" t="s">
        <v>13</v>
      </c>
      <c r="H2967" s="2" t="s">
        <v>1892</v>
      </c>
      <c r="I2967" s="5">
        <v>1427628.5</v>
      </c>
      <c r="J2967" s="57">
        <v>0.05</v>
      </c>
      <c r="K2967" s="3">
        <v>18888</v>
      </c>
      <c r="L2967" s="2" t="s">
        <v>73</v>
      </c>
      <c r="M2967" s="2" t="s">
        <v>12</v>
      </c>
      <c r="N2967" s="2" t="s">
        <v>12</v>
      </c>
      <c r="O2967" s="2" t="s">
        <v>12</v>
      </c>
      <c r="P2967" s="21" t="s">
        <v>12</v>
      </c>
      <c r="Q2967" s="3" t="s">
        <v>12</v>
      </c>
      <c r="R2967" s="3" t="s">
        <v>12</v>
      </c>
    </row>
    <row r="2968" spans="1:18" x14ac:dyDescent="0.25">
      <c r="A2968" s="30">
        <v>46147</v>
      </c>
      <c r="B2968" s="28">
        <v>783</v>
      </c>
      <c r="C2968" s="28"/>
      <c r="D2968" s="2" t="s">
        <v>56</v>
      </c>
      <c r="E2968" s="7" t="s">
        <v>3252</v>
      </c>
      <c r="F2968" s="7" t="s">
        <v>2972</v>
      </c>
      <c r="G2968" s="2" t="s">
        <v>43</v>
      </c>
      <c r="H2968" s="2" t="s">
        <v>13</v>
      </c>
      <c r="I2968" s="5">
        <v>82417.52</v>
      </c>
      <c r="J2968" s="57">
        <v>7.0000000000000007E-2</v>
      </c>
      <c r="K2968" s="3">
        <v>864</v>
      </c>
      <c r="L2968" s="2" t="s">
        <v>73</v>
      </c>
      <c r="M2968" s="2" t="s">
        <v>12</v>
      </c>
      <c r="N2968" s="2" t="s">
        <v>12</v>
      </c>
      <c r="O2968" s="2" t="s">
        <v>12</v>
      </c>
      <c r="P2968" s="21" t="s">
        <v>12</v>
      </c>
      <c r="Q2968" s="3" t="s">
        <v>1748</v>
      </c>
      <c r="R2968" s="3" t="s">
        <v>80</v>
      </c>
    </row>
    <row r="2969" spans="1:18" x14ac:dyDescent="0.25">
      <c r="A2969" s="30">
        <v>46147</v>
      </c>
      <c r="B2969" s="28">
        <v>784</v>
      </c>
      <c r="C2969" s="28"/>
      <c r="D2969" s="2" t="s">
        <v>41</v>
      </c>
      <c r="E2969" s="7" t="s">
        <v>3252</v>
      </c>
      <c r="F2969" s="7" t="s">
        <v>2972</v>
      </c>
      <c r="G2969" s="2" t="s">
        <v>43</v>
      </c>
      <c r="H2969" s="2" t="s">
        <v>43</v>
      </c>
      <c r="I2969" s="5">
        <v>74236.41</v>
      </c>
      <c r="J2969" s="57">
        <v>0.05</v>
      </c>
      <c r="K2969" s="3">
        <v>864</v>
      </c>
      <c r="L2969" s="2" t="s">
        <v>73</v>
      </c>
      <c r="M2969" s="2" t="s">
        <v>12</v>
      </c>
      <c r="N2969" s="2" t="s">
        <v>12</v>
      </c>
      <c r="O2969" s="2" t="s">
        <v>12</v>
      </c>
      <c r="P2969" s="21" t="s">
        <v>12</v>
      </c>
      <c r="Q2969" s="3" t="s">
        <v>1748</v>
      </c>
      <c r="R2969" s="3" t="s">
        <v>80</v>
      </c>
    </row>
    <row r="2970" spans="1:18" x14ac:dyDescent="0.25">
      <c r="A2970" s="30">
        <v>46147</v>
      </c>
      <c r="B2970" s="28">
        <v>785</v>
      </c>
      <c r="C2970" s="28"/>
      <c r="D2970" s="2" t="s">
        <v>130</v>
      </c>
      <c r="E2970" s="7" t="s">
        <v>12</v>
      </c>
      <c r="F2970" s="7" t="s">
        <v>2683</v>
      </c>
      <c r="G2970" s="2" t="s">
        <v>26</v>
      </c>
      <c r="H2970" s="2" t="s">
        <v>101</v>
      </c>
      <c r="I2970" s="5">
        <v>4946.34</v>
      </c>
      <c r="J2970" s="57">
        <v>7.0000000000000007E-2</v>
      </c>
      <c r="K2970" s="3" t="s">
        <v>12</v>
      </c>
      <c r="L2970" s="2" t="s">
        <v>64</v>
      </c>
      <c r="M2970" s="2" t="s">
        <v>12</v>
      </c>
      <c r="N2970" s="2" t="s">
        <v>12</v>
      </c>
      <c r="O2970" s="2" t="s">
        <v>12</v>
      </c>
      <c r="P2970" s="21" t="s">
        <v>12</v>
      </c>
      <c r="Q2970" s="3" t="s">
        <v>12</v>
      </c>
      <c r="R2970" s="3" t="s">
        <v>12</v>
      </c>
    </row>
    <row r="2971" spans="1:18" x14ac:dyDescent="0.25">
      <c r="A2971" s="30">
        <v>46147</v>
      </c>
      <c r="B2971" s="28">
        <v>786</v>
      </c>
      <c r="C2971" s="28"/>
      <c r="D2971" s="2" t="s">
        <v>3106</v>
      </c>
      <c r="E2971" s="7" t="s">
        <v>3261</v>
      </c>
      <c r="F2971" s="7" t="s">
        <v>3001</v>
      </c>
      <c r="G2971" s="2" t="s">
        <v>13</v>
      </c>
      <c r="H2971" s="2" t="s">
        <v>3107</v>
      </c>
      <c r="I2971" s="5">
        <v>10628.85</v>
      </c>
      <c r="J2971" s="57">
        <v>7.0000000000000007E-2</v>
      </c>
      <c r="K2971" s="3">
        <v>96</v>
      </c>
      <c r="L2971" s="2" t="s">
        <v>73</v>
      </c>
      <c r="M2971" s="2" t="s">
        <v>12</v>
      </c>
      <c r="N2971" s="2" t="s">
        <v>12</v>
      </c>
      <c r="O2971" s="2" t="s">
        <v>12</v>
      </c>
      <c r="P2971" s="21" t="s">
        <v>12</v>
      </c>
      <c r="Q2971" s="3" t="s">
        <v>12</v>
      </c>
      <c r="R2971" s="3" t="s">
        <v>12</v>
      </c>
    </row>
    <row r="2972" spans="1:18" x14ac:dyDescent="0.25">
      <c r="A2972" s="30">
        <v>46147</v>
      </c>
      <c r="B2972" s="28">
        <v>787</v>
      </c>
      <c r="C2972" s="28"/>
      <c r="D2972" s="2" t="s">
        <v>355</v>
      </c>
      <c r="E2972" s="7" t="s">
        <v>3262</v>
      </c>
      <c r="F2972" s="7" t="s">
        <v>2733</v>
      </c>
      <c r="G2972" s="2" t="s">
        <v>111</v>
      </c>
      <c r="H2972" s="2" t="s">
        <v>15</v>
      </c>
      <c r="I2972" s="5">
        <v>19456.580000000002</v>
      </c>
      <c r="J2972" s="57">
        <v>7.0000000000000007E-2</v>
      </c>
      <c r="K2972" s="3">
        <v>192</v>
      </c>
      <c r="L2972" s="2" t="s">
        <v>73</v>
      </c>
      <c r="M2972" s="2" t="s">
        <v>12</v>
      </c>
      <c r="N2972" s="2" t="s">
        <v>12</v>
      </c>
      <c r="O2972" s="2" t="s">
        <v>12</v>
      </c>
      <c r="P2972" s="21" t="s">
        <v>12</v>
      </c>
      <c r="Q2972" s="3" t="s">
        <v>321</v>
      </c>
      <c r="R2972" s="3" t="s">
        <v>75</v>
      </c>
    </row>
    <row r="2973" spans="1:18" x14ac:dyDescent="0.25">
      <c r="A2973" s="30">
        <v>46147</v>
      </c>
      <c r="B2973" s="28">
        <v>788</v>
      </c>
      <c r="C2973" s="28"/>
      <c r="D2973" s="2" t="s">
        <v>355</v>
      </c>
      <c r="E2973" s="7" t="s">
        <v>3263</v>
      </c>
      <c r="F2973" s="7" t="s">
        <v>2733</v>
      </c>
      <c r="G2973" s="2" t="s">
        <v>111</v>
      </c>
      <c r="H2973" s="2" t="s">
        <v>15</v>
      </c>
      <c r="I2973" s="5">
        <v>6271.51</v>
      </c>
      <c r="J2973" s="57">
        <v>7.0000000000000007E-2</v>
      </c>
      <c r="K2973" s="3">
        <v>48</v>
      </c>
      <c r="L2973" s="2" t="s">
        <v>73</v>
      </c>
      <c r="M2973" s="2" t="s">
        <v>12</v>
      </c>
      <c r="N2973" s="2" t="s">
        <v>12</v>
      </c>
      <c r="O2973" s="2" t="s">
        <v>12</v>
      </c>
      <c r="P2973" s="21" t="s">
        <v>12</v>
      </c>
      <c r="Q2973" s="3" t="s">
        <v>321</v>
      </c>
      <c r="R2973" s="3" t="s">
        <v>75</v>
      </c>
    </row>
    <row r="2974" spans="1:18" x14ac:dyDescent="0.25">
      <c r="A2974" s="30">
        <v>46147</v>
      </c>
      <c r="B2974" s="28">
        <v>789</v>
      </c>
      <c r="C2974" s="28"/>
      <c r="D2974" s="2" t="s">
        <v>355</v>
      </c>
      <c r="E2974" s="7" t="s">
        <v>3264</v>
      </c>
      <c r="F2974" s="7" t="s">
        <v>2733</v>
      </c>
      <c r="G2974" s="2" t="s">
        <v>111</v>
      </c>
      <c r="H2974" s="2" t="s">
        <v>15</v>
      </c>
      <c r="I2974" s="5">
        <v>328664.08</v>
      </c>
      <c r="J2974" s="57">
        <v>7.0000000000000007E-2</v>
      </c>
      <c r="K2974" s="3">
        <v>3264</v>
      </c>
      <c r="L2974" s="2" t="s">
        <v>73</v>
      </c>
      <c r="M2974" s="2" t="s">
        <v>12</v>
      </c>
      <c r="N2974" s="2" t="s">
        <v>12</v>
      </c>
      <c r="O2974" s="2" t="s">
        <v>12</v>
      </c>
      <c r="P2974" s="21" t="s">
        <v>12</v>
      </c>
      <c r="Q2974" s="3" t="s">
        <v>321</v>
      </c>
      <c r="R2974" s="3" t="s">
        <v>75</v>
      </c>
    </row>
    <row r="2975" spans="1:18" x14ac:dyDescent="0.25">
      <c r="A2975" s="30">
        <v>46147</v>
      </c>
      <c r="B2975" s="28">
        <v>790</v>
      </c>
      <c r="C2975" s="28"/>
      <c r="D2975" s="2" t="s">
        <v>355</v>
      </c>
      <c r="E2975" s="7" t="s">
        <v>3265</v>
      </c>
      <c r="F2975" s="7" t="s">
        <v>2733</v>
      </c>
      <c r="G2975" s="2" t="s">
        <v>111</v>
      </c>
      <c r="H2975" s="2" t="s">
        <v>15</v>
      </c>
      <c r="I2975" s="5">
        <v>34297.589999999997</v>
      </c>
      <c r="J2975" s="57">
        <v>7.0000000000000007E-2</v>
      </c>
      <c r="K2975" s="3">
        <v>336</v>
      </c>
      <c r="L2975" s="2" t="s">
        <v>73</v>
      </c>
      <c r="M2975" s="2" t="s">
        <v>12</v>
      </c>
      <c r="N2975" s="2" t="s">
        <v>12</v>
      </c>
      <c r="O2975" s="2" t="s">
        <v>12</v>
      </c>
      <c r="P2975" s="21" t="s">
        <v>12</v>
      </c>
      <c r="Q2975" s="3" t="s">
        <v>321</v>
      </c>
      <c r="R2975" s="3" t="s">
        <v>75</v>
      </c>
    </row>
    <row r="2976" spans="1:18" x14ac:dyDescent="0.25">
      <c r="A2976" s="30">
        <v>46147</v>
      </c>
      <c r="B2976" s="28">
        <v>791</v>
      </c>
      <c r="C2976" s="28"/>
      <c r="D2976" s="2" t="s">
        <v>425</v>
      </c>
      <c r="E2976" s="7" t="s">
        <v>12</v>
      </c>
      <c r="F2976" s="7" t="s">
        <v>2683</v>
      </c>
      <c r="G2976" s="2" t="s">
        <v>26</v>
      </c>
      <c r="H2976" s="2" t="s">
        <v>170</v>
      </c>
      <c r="I2976" s="5">
        <v>35368.68</v>
      </c>
      <c r="J2976" s="57">
        <v>0.04</v>
      </c>
      <c r="K2976" s="3">
        <v>384</v>
      </c>
      <c r="L2976" s="2" t="s">
        <v>64</v>
      </c>
      <c r="M2976" s="2" t="s">
        <v>12</v>
      </c>
      <c r="N2976" s="2" t="s">
        <v>12</v>
      </c>
      <c r="O2976" s="2" t="s">
        <v>12</v>
      </c>
      <c r="P2976" s="21" t="s">
        <v>12</v>
      </c>
      <c r="Q2976" s="3" t="s">
        <v>12</v>
      </c>
      <c r="R2976" s="3" t="s">
        <v>12</v>
      </c>
    </row>
    <row r="2977" spans="1:18" x14ac:dyDescent="0.25">
      <c r="A2977" s="30">
        <v>46147</v>
      </c>
      <c r="B2977" s="28">
        <v>792</v>
      </c>
      <c r="C2977" s="28"/>
      <c r="D2977" s="2" t="s">
        <v>106</v>
      </c>
      <c r="E2977" s="7" t="s">
        <v>12</v>
      </c>
      <c r="F2977" s="7" t="s">
        <v>2683</v>
      </c>
      <c r="G2977" s="2" t="s">
        <v>13</v>
      </c>
      <c r="H2977" s="2" t="s">
        <v>40</v>
      </c>
      <c r="I2977" s="5">
        <v>6253.29</v>
      </c>
      <c r="J2977" s="57">
        <v>7.0000000000000007E-2</v>
      </c>
      <c r="K2977" s="3">
        <v>72</v>
      </c>
      <c r="L2977" s="2" t="s">
        <v>73</v>
      </c>
      <c r="M2977" s="2" t="s">
        <v>12</v>
      </c>
      <c r="N2977" s="2" t="s">
        <v>12</v>
      </c>
      <c r="O2977" s="2" t="s">
        <v>12</v>
      </c>
      <c r="P2977" s="21" t="s">
        <v>12</v>
      </c>
      <c r="Q2977" s="3" t="s">
        <v>12</v>
      </c>
      <c r="R2977" s="3" t="s">
        <v>12</v>
      </c>
    </row>
    <row r="2978" spans="1:18" x14ac:dyDescent="0.25">
      <c r="A2978" s="30">
        <v>46147</v>
      </c>
      <c r="B2978" s="28">
        <v>793</v>
      </c>
      <c r="C2978" s="28"/>
      <c r="D2978" s="2" t="s">
        <v>2405</v>
      </c>
      <c r="E2978" s="7" t="s">
        <v>12</v>
      </c>
      <c r="F2978" s="7" t="s">
        <v>2683</v>
      </c>
      <c r="G2978" s="2" t="s">
        <v>43</v>
      </c>
      <c r="H2978" s="2" t="s">
        <v>2407</v>
      </c>
      <c r="I2978" s="5">
        <v>2119.21</v>
      </c>
      <c r="J2978" s="57">
        <v>7.0000000000000007E-2</v>
      </c>
      <c r="K2978" s="3">
        <v>24</v>
      </c>
      <c r="L2978" s="2" t="s">
        <v>226</v>
      </c>
      <c r="M2978" s="2" t="s">
        <v>12</v>
      </c>
      <c r="N2978" s="2" t="s">
        <v>12</v>
      </c>
      <c r="O2978" s="2" t="s">
        <v>12</v>
      </c>
      <c r="P2978" s="21" t="s">
        <v>12</v>
      </c>
      <c r="Q2978" s="3" t="s">
        <v>12</v>
      </c>
      <c r="R2978" s="3" t="s">
        <v>12</v>
      </c>
    </row>
    <row r="2979" spans="1:18" x14ac:dyDescent="0.25">
      <c r="A2979" s="30">
        <v>46148</v>
      </c>
      <c r="B2979" s="28">
        <v>794</v>
      </c>
      <c r="C2979" s="28"/>
      <c r="D2979" s="2" t="s">
        <v>601</v>
      </c>
      <c r="E2979" s="7" t="s">
        <v>2975</v>
      </c>
      <c r="F2979" s="7" t="s">
        <v>3003</v>
      </c>
      <c r="G2979" s="2" t="s">
        <v>43</v>
      </c>
      <c r="H2979" s="2" t="s">
        <v>225</v>
      </c>
      <c r="I2979" s="5">
        <v>600641.68999999994</v>
      </c>
      <c r="J2979" s="57">
        <v>0.05</v>
      </c>
      <c r="K2979" s="3">
        <v>5509.2</v>
      </c>
      <c r="L2979" s="2" t="s">
        <v>226</v>
      </c>
      <c r="M2979" s="2" t="s">
        <v>12</v>
      </c>
      <c r="N2979" s="2" t="s">
        <v>12</v>
      </c>
      <c r="O2979" s="2" t="s">
        <v>12</v>
      </c>
      <c r="P2979" s="21" t="s">
        <v>12</v>
      </c>
      <c r="Q2979" s="3" t="s">
        <v>957</v>
      </c>
      <c r="R2979" s="3" t="s">
        <v>80</v>
      </c>
    </row>
    <row r="2980" spans="1:18" x14ac:dyDescent="0.25">
      <c r="A2980" s="30">
        <v>46148</v>
      </c>
      <c r="B2980" s="28">
        <v>795</v>
      </c>
      <c r="C2980" s="28" t="s">
        <v>2162</v>
      </c>
      <c r="D2980" s="2" t="s">
        <v>601</v>
      </c>
      <c r="E2980" s="7" t="s">
        <v>12</v>
      </c>
      <c r="F2980" s="7" t="s">
        <v>2683</v>
      </c>
      <c r="G2980" s="2" t="s">
        <v>43</v>
      </c>
      <c r="H2980" s="2" t="s">
        <v>225</v>
      </c>
      <c r="I2980" s="5">
        <v>26091.68</v>
      </c>
      <c r="J2980" s="57">
        <v>0.04</v>
      </c>
      <c r="K2980" s="3">
        <v>384</v>
      </c>
      <c r="L2980" s="2" t="s">
        <v>64</v>
      </c>
      <c r="M2980" s="2" t="s">
        <v>12</v>
      </c>
      <c r="N2980" s="2" t="s">
        <v>12</v>
      </c>
      <c r="O2980" s="2" t="s">
        <v>12</v>
      </c>
      <c r="P2980" s="21" t="s">
        <v>12</v>
      </c>
      <c r="Q2980" s="3" t="s">
        <v>12</v>
      </c>
      <c r="R2980" s="3" t="s">
        <v>12</v>
      </c>
    </row>
    <row r="2981" spans="1:18" x14ac:dyDescent="0.25">
      <c r="A2981" s="30">
        <v>46148</v>
      </c>
      <c r="B2981" s="28">
        <v>796</v>
      </c>
      <c r="C2981" s="28"/>
      <c r="D2981" s="2" t="s">
        <v>1091</v>
      </c>
      <c r="E2981" s="7" t="s">
        <v>3266</v>
      </c>
      <c r="F2981" s="7" t="s">
        <v>2683</v>
      </c>
      <c r="G2981" s="2" t="s">
        <v>26</v>
      </c>
      <c r="H2981" s="2" t="s">
        <v>225</v>
      </c>
      <c r="I2981" s="5">
        <v>22333.59</v>
      </c>
      <c r="J2981" s="57">
        <v>0.04</v>
      </c>
      <c r="K2981" s="3">
        <v>216</v>
      </c>
      <c r="L2981" s="2" t="s">
        <v>134</v>
      </c>
      <c r="M2981" s="2" t="s">
        <v>373</v>
      </c>
      <c r="N2981" s="2" t="s">
        <v>373</v>
      </c>
      <c r="O2981" s="2" t="s">
        <v>528</v>
      </c>
      <c r="P2981" s="21" t="s">
        <v>12</v>
      </c>
      <c r="Q2981" s="3" t="s">
        <v>12</v>
      </c>
      <c r="R2981" s="3" t="s">
        <v>12</v>
      </c>
    </row>
    <row r="2982" spans="1:18" x14ac:dyDescent="0.25">
      <c r="A2982" s="30">
        <v>46148</v>
      </c>
      <c r="B2982" s="28">
        <v>797</v>
      </c>
      <c r="C2982" s="28" t="s">
        <v>2161</v>
      </c>
      <c r="D2982" s="2" t="s">
        <v>23</v>
      </c>
      <c r="E2982" s="7" t="s">
        <v>3267</v>
      </c>
      <c r="F2982" s="7" t="s">
        <v>3001</v>
      </c>
      <c r="G2982" s="2" t="s">
        <v>20</v>
      </c>
      <c r="H2982" s="2" t="s">
        <v>24</v>
      </c>
      <c r="I2982" s="5">
        <v>11706.08</v>
      </c>
      <c r="J2982" s="57">
        <v>0.04</v>
      </c>
      <c r="K2982" s="3">
        <v>120</v>
      </c>
      <c r="L2982" s="2" t="s">
        <v>64</v>
      </c>
      <c r="M2982" s="2" t="s">
        <v>12</v>
      </c>
      <c r="N2982" s="2" t="s">
        <v>12</v>
      </c>
      <c r="O2982" s="2" t="s">
        <v>12</v>
      </c>
      <c r="P2982" s="21" t="s">
        <v>12</v>
      </c>
      <c r="Q2982" s="3" t="s">
        <v>12</v>
      </c>
      <c r="R2982" s="3" t="s">
        <v>12</v>
      </c>
    </row>
    <row r="2983" spans="1:18" x14ac:dyDescent="0.25">
      <c r="A2983" s="30">
        <v>46148</v>
      </c>
      <c r="B2983" s="28">
        <v>798</v>
      </c>
      <c r="C2983" s="28"/>
      <c r="D2983" s="2" t="s">
        <v>3268</v>
      </c>
      <c r="E2983" s="7" t="s">
        <v>3269</v>
      </c>
      <c r="F2983" s="7" t="s">
        <v>3001</v>
      </c>
      <c r="G2983" s="2" t="s">
        <v>97</v>
      </c>
      <c r="H2983" s="2" t="s">
        <v>953</v>
      </c>
      <c r="I2983" s="5">
        <v>59289.68</v>
      </c>
      <c r="J2983" s="57">
        <v>7.0000000000000007E-2</v>
      </c>
      <c r="K2983" s="3">
        <v>648</v>
      </c>
      <c r="L2983" s="2" t="s">
        <v>73</v>
      </c>
      <c r="M2983" s="2" t="s">
        <v>12</v>
      </c>
      <c r="N2983" s="2" t="s">
        <v>12</v>
      </c>
      <c r="O2983" s="2" t="s">
        <v>12</v>
      </c>
      <c r="P2983" s="21" t="s">
        <v>12</v>
      </c>
      <c r="Q2983" s="3" t="s">
        <v>1316</v>
      </c>
      <c r="R2983" s="3" t="s">
        <v>3270</v>
      </c>
    </row>
    <row r="2984" spans="1:18" x14ac:dyDescent="0.25">
      <c r="A2984" s="30">
        <v>46148</v>
      </c>
      <c r="B2984" s="28">
        <v>799</v>
      </c>
      <c r="C2984" s="28"/>
      <c r="D2984" s="2" t="s">
        <v>45</v>
      </c>
      <c r="E2984" s="7" t="s">
        <v>3261</v>
      </c>
      <c r="F2984" s="7" t="s">
        <v>3001</v>
      </c>
      <c r="G2984" s="2" t="s">
        <v>20</v>
      </c>
      <c r="H2984" s="2" t="s">
        <v>121</v>
      </c>
      <c r="I2984" s="5">
        <v>2236377</v>
      </c>
      <c r="J2984" s="57">
        <v>0.05</v>
      </c>
      <c r="K2984" s="3">
        <v>24424.080000000002</v>
      </c>
      <c r="L2984" s="2" t="s">
        <v>73</v>
      </c>
      <c r="M2984" s="2" t="s">
        <v>12</v>
      </c>
      <c r="N2984" s="2" t="s">
        <v>12</v>
      </c>
      <c r="O2984" s="2" t="s">
        <v>12</v>
      </c>
      <c r="P2984" s="21" t="s">
        <v>12</v>
      </c>
      <c r="Q2984" s="3" t="s">
        <v>12</v>
      </c>
      <c r="R2984" s="3" t="s">
        <v>12</v>
      </c>
    </row>
    <row r="2985" spans="1:18" x14ac:dyDescent="0.25">
      <c r="A2985" s="30">
        <v>46150</v>
      </c>
      <c r="B2985" s="28">
        <v>800</v>
      </c>
      <c r="C2985" s="28" t="s">
        <v>2161</v>
      </c>
      <c r="D2985" s="2" t="s">
        <v>2299</v>
      </c>
      <c r="E2985" s="7" t="s">
        <v>3346</v>
      </c>
      <c r="F2985" s="7" t="s">
        <v>3001</v>
      </c>
      <c r="G2985" s="2" t="s">
        <v>26</v>
      </c>
      <c r="H2985" s="2" t="s">
        <v>148</v>
      </c>
      <c r="I2985" s="5">
        <v>46160.480000000003</v>
      </c>
      <c r="J2985" s="57">
        <v>0.04</v>
      </c>
      <c r="K2985" s="3">
        <v>696</v>
      </c>
      <c r="L2985" s="2" t="s">
        <v>64</v>
      </c>
      <c r="M2985" s="2" t="s">
        <v>12</v>
      </c>
      <c r="N2985" s="2" t="s">
        <v>12</v>
      </c>
      <c r="O2985" s="2" t="s">
        <v>12</v>
      </c>
      <c r="P2985" s="21" t="s">
        <v>12</v>
      </c>
      <c r="Q2985" s="3" t="s">
        <v>12</v>
      </c>
      <c r="R2985" s="3" t="s">
        <v>12</v>
      </c>
    </row>
    <row r="2986" spans="1:18" x14ac:dyDescent="0.25">
      <c r="A2986" s="30">
        <v>46150</v>
      </c>
      <c r="B2986" s="28">
        <v>801</v>
      </c>
      <c r="C2986" s="28" t="s">
        <v>2161</v>
      </c>
      <c r="D2986" s="2" t="s">
        <v>165</v>
      </c>
      <c r="E2986" s="7" t="s">
        <v>3271</v>
      </c>
      <c r="F2986" s="7" t="s">
        <v>3001</v>
      </c>
      <c r="G2986" s="2" t="s">
        <v>97</v>
      </c>
      <c r="H2986" s="2" t="s">
        <v>3100</v>
      </c>
      <c r="I2986" s="5">
        <v>107706.43</v>
      </c>
      <c r="J2986" s="57">
        <v>0.03</v>
      </c>
      <c r="K2986" s="3">
        <v>1680</v>
      </c>
      <c r="L2986" s="2" t="s">
        <v>134</v>
      </c>
      <c r="M2986" s="2" t="s">
        <v>135</v>
      </c>
      <c r="N2986" s="2" t="s">
        <v>135</v>
      </c>
      <c r="O2986" s="2" t="s">
        <v>2822</v>
      </c>
      <c r="P2986" s="21" t="s">
        <v>12</v>
      </c>
      <c r="Q2986" s="3" t="s">
        <v>12</v>
      </c>
      <c r="R2986" s="3" t="s">
        <v>12</v>
      </c>
    </row>
    <row r="2987" spans="1:18" x14ac:dyDescent="0.25">
      <c r="A2987" s="30">
        <v>46150</v>
      </c>
      <c r="B2987" s="28">
        <v>802</v>
      </c>
      <c r="C2987" s="28" t="s">
        <v>2162</v>
      </c>
      <c r="D2987" s="2" t="s">
        <v>2782</v>
      </c>
      <c r="E2987" s="7" t="s">
        <v>12</v>
      </c>
      <c r="F2987" s="7" t="s">
        <v>2683</v>
      </c>
      <c r="G2987" s="2" t="s">
        <v>26</v>
      </c>
      <c r="H2987" s="2" t="s">
        <v>2783</v>
      </c>
      <c r="I2987" s="5">
        <v>484.97</v>
      </c>
      <c r="J2987" s="57">
        <v>7.0000000000000007E-2</v>
      </c>
      <c r="K2987" s="3" t="s">
        <v>12</v>
      </c>
      <c r="L2987" s="2" t="s">
        <v>73</v>
      </c>
      <c r="M2987" s="2" t="s">
        <v>12</v>
      </c>
      <c r="N2987" s="2" t="s">
        <v>12</v>
      </c>
      <c r="O2987" s="2" t="s">
        <v>12</v>
      </c>
      <c r="P2987" s="21" t="s">
        <v>12</v>
      </c>
      <c r="Q2987" s="3" t="s">
        <v>12</v>
      </c>
      <c r="R2987" s="3" t="s">
        <v>12</v>
      </c>
    </row>
    <row r="2988" spans="1:18" x14ac:dyDescent="0.25">
      <c r="A2988" s="30">
        <v>46150</v>
      </c>
      <c r="B2988" s="28">
        <v>803</v>
      </c>
      <c r="C2988" s="28" t="s">
        <v>2161</v>
      </c>
      <c r="D2988" s="2" t="s">
        <v>62</v>
      </c>
      <c r="E2988" s="7" t="s">
        <v>12</v>
      </c>
      <c r="F2988" s="7" t="s">
        <v>2683</v>
      </c>
      <c r="G2988" s="2" t="s">
        <v>26</v>
      </c>
      <c r="H2988" s="2" t="s">
        <v>63</v>
      </c>
      <c r="I2988" s="5">
        <v>8314.2099999999991</v>
      </c>
      <c r="J2988" s="57">
        <v>0.05</v>
      </c>
      <c r="K2988" s="3">
        <v>96</v>
      </c>
      <c r="L2988" s="2" t="s">
        <v>64</v>
      </c>
      <c r="M2988" s="2" t="s">
        <v>12</v>
      </c>
      <c r="N2988" s="2" t="s">
        <v>12</v>
      </c>
      <c r="O2988" s="2" t="s">
        <v>12</v>
      </c>
      <c r="P2988" s="21" t="s">
        <v>12</v>
      </c>
      <c r="Q2988" s="3" t="s">
        <v>12</v>
      </c>
      <c r="R2988" s="3" t="s">
        <v>12</v>
      </c>
    </row>
    <row r="2989" spans="1:18" x14ac:dyDescent="0.25">
      <c r="A2989" s="30">
        <v>46150</v>
      </c>
      <c r="B2989" s="28">
        <v>804</v>
      </c>
      <c r="C2989" s="28" t="s">
        <v>2161</v>
      </c>
      <c r="D2989" s="2" t="s">
        <v>165</v>
      </c>
      <c r="E2989" s="7" t="s">
        <v>3272</v>
      </c>
      <c r="F2989" s="7" t="s">
        <v>2683</v>
      </c>
      <c r="G2989" s="2" t="s">
        <v>97</v>
      </c>
      <c r="H2989" s="2" t="s">
        <v>167</v>
      </c>
      <c r="I2989" s="5">
        <v>151484.75</v>
      </c>
      <c r="J2989" s="57">
        <v>0.03</v>
      </c>
      <c r="K2989" s="3">
        <v>2400</v>
      </c>
      <c r="L2989" s="2" t="s">
        <v>134</v>
      </c>
      <c r="M2989" s="2" t="s">
        <v>135</v>
      </c>
      <c r="N2989" s="2" t="s">
        <v>135</v>
      </c>
      <c r="O2989" s="2" t="s">
        <v>2822</v>
      </c>
      <c r="P2989" s="21" t="s">
        <v>12</v>
      </c>
      <c r="Q2989" s="3" t="s">
        <v>12</v>
      </c>
      <c r="R2989" s="3" t="s">
        <v>12</v>
      </c>
    </row>
    <row r="2990" spans="1:18" x14ac:dyDescent="0.25">
      <c r="A2990" s="30">
        <v>46154</v>
      </c>
      <c r="B2990" s="28">
        <v>805</v>
      </c>
      <c r="C2990" s="28" t="s">
        <v>2161</v>
      </c>
      <c r="D2990" s="2" t="s">
        <v>696</v>
      </c>
      <c r="E2990" s="7" t="s">
        <v>12</v>
      </c>
      <c r="F2990" s="7" t="s">
        <v>2683</v>
      </c>
      <c r="G2990" s="2" t="s">
        <v>97</v>
      </c>
      <c r="H2990" s="2" t="s">
        <v>3273</v>
      </c>
      <c r="I2990" s="5">
        <v>6386.67</v>
      </c>
      <c r="J2990" s="57">
        <v>0.04</v>
      </c>
      <c r="K2990" s="3">
        <v>96</v>
      </c>
      <c r="L2990" s="2" t="s">
        <v>73</v>
      </c>
      <c r="M2990" s="2" t="s">
        <v>12</v>
      </c>
      <c r="N2990" s="2" t="s">
        <v>12</v>
      </c>
      <c r="O2990" s="2" t="s">
        <v>12</v>
      </c>
      <c r="P2990" s="21" t="s">
        <v>12</v>
      </c>
      <c r="Q2990" s="3" t="s">
        <v>12</v>
      </c>
      <c r="R2990" s="3" t="s">
        <v>12</v>
      </c>
    </row>
    <row r="2991" spans="1:18" x14ac:dyDescent="0.25">
      <c r="A2991" s="30">
        <v>46150</v>
      </c>
      <c r="B2991" s="28">
        <v>806</v>
      </c>
      <c r="C2991" s="28"/>
      <c r="D2991" s="2" t="s">
        <v>1998</v>
      </c>
      <c r="E2991" s="7" t="s">
        <v>3274</v>
      </c>
      <c r="F2991" s="7" t="s">
        <v>2694</v>
      </c>
      <c r="G2991" s="2" t="s">
        <v>43</v>
      </c>
      <c r="H2991" s="2" t="s">
        <v>566</v>
      </c>
      <c r="I2991" s="5">
        <v>12813.37</v>
      </c>
      <c r="J2991" s="57">
        <v>7.0000000000000007E-2</v>
      </c>
      <c r="K2991" s="3">
        <v>144</v>
      </c>
      <c r="L2991" s="2" t="s">
        <v>73</v>
      </c>
      <c r="M2991" s="2" t="s">
        <v>12</v>
      </c>
      <c r="N2991" s="2" t="s">
        <v>12</v>
      </c>
      <c r="O2991" s="2" t="s">
        <v>12</v>
      </c>
      <c r="P2991" s="21" t="s">
        <v>12</v>
      </c>
      <c r="Q2991" s="3"/>
      <c r="R2991" s="3"/>
    </row>
    <row r="2992" spans="1:18" x14ac:dyDescent="0.25">
      <c r="A2992" s="30">
        <v>46150</v>
      </c>
      <c r="B2992" s="28">
        <v>807</v>
      </c>
      <c r="C2992" s="28"/>
      <c r="D2992" s="2" t="s">
        <v>163</v>
      </c>
      <c r="E2992" s="7" t="s">
        <v>3342</v>
      </c>
      <c r="F2992" s="7" t="s">
        <v>3001</v>
      </c>
      <c r="G2992" s="2" t="s">
        <v>97</v>
      </c>
      <c r="H2992" s="2" t="s">
        <v>189</v>
      </c>
      <c r="I2992" s="5">
        <v>92747.95</v>
      </c>
      <c r="J2992" s="57">
        <v>0.05</v>
      </c>
      <c r="K2992" s="3">
        <v>1200</v>
      </c>
      <c r="L2992" s="2" t="s">
        <v>64</v>
      </c>
      <c r="M2992" s="2" t="s">
        <v>12</v>
      </c>
      <c r="N2992" s="2" t="s">
        <v>12</v>
      </c>
      <c r="O2992" s="2" t="s">
        <v>12</v>
      </c>
      <c r="P2992" s="21" t="s">
        <v>12</v>
      </c>
      <c r="Q2992" s="3" t="s">
        <v>12</v>
      </c>
      <c r="R2992" s="3" t="s">
        <v>12</v>
      </c>
    </row>
    <row r="2993" spans="1:19" x14ac:dyDescent="0.25">
      <c r="A2993" s="30">
        <v>46150</v>
      </c>
      <c r="B2993" s="28">
        <v>808</v>
      </c>
      <c r="C2993" s="28"/>
      <c r="D2993" s="2" t="s">
        <v>644</v>
      </c>
      <c r="E2993" s="7" t="s">
        <v>3275</v>
      </c>
      <c r="F2993" s="7" t="s">
        <v>2972</v>
      </c>
      <c r="G2993" s="2" t="s">
        <v>13</v>
      </c>
      <c r="H2993" s="2" t="s">
        <v>251</v>
      </c>
      <c r="I2993" s="5">
        <v>219704.31</v>
      </c>
      <c r="J2993" s="57">
        <v>7.0000000000000007E-2</v>
      </c>
      <c r="K2993" s="3">
        <v>2232</v>
      </c>
      <c r="L2993" s="2" t="s">
        <v>73</v>
      </c>
      <c r="M2993" s="2" t="s">
        <v>12</v>
      </c>
      <c r="N2993" s="2" t="s">
        <v>12</v>
      </c>
      <c r="O2993" s="2" t="s">
        <v>12</v>
      </c>
      <c r="P2993" s="21" t="s">
        <v>12</v>
      </c>
      <c r="Q2993" s="3"/>
      <c r="R2993" s="3"/>
    </row>
    <row r="2994" spans="1:19" x14ac:dyDescent="0.25">
      <c r="A2994" s="30">
        <v>46150</v>
      </c>
      <c r="B2994" s="28">
        <v>809</v>
      </c>
      <c r="C2994" s="28"/>
      <c r="D2994" s="2" t="s">
        <v>1446</v>
      </c>
      <c r="E2994" s="7" t="s">
        <v>3276</v>
      </c>
      <c r="F2994" s="7" t="s">
        <v>2694</v>
      </c>
      <c r="G2994" s="2" t="s">
        <v>43</v>
      </c>
      <c r="H2994" s="2" t="s">
        <v>2007</v>
      </c>
      <c r="I2994" s="5">
        <v>14398.4</v>
      </c>
      <c r="J2994" s="57">
        <v>7.0000000000000007E-2</v>
      </c>
      <c r="K2994" s="3">
        <v>144</v>
      </c>
      <c r="L2994" s="2" t="s">
        <v>73</v>
      </c>
      <c r="M2994" s="2" t="s">
        <v>12</v>
      </c>
      <c r="N2994" s="2" t="s">
        <v>12</v>
      </c>
      <c r="O2994" s="2" t="s">
        <v>12</v>
      </c>
      <c r="P2994" s="21" t="s">
        <v>12</v>
      </c>
      <c r="Q2994" s="3" t="s">
        <v>12</v>
      </c>
      <c r="R2994" s="3" t="s">
        <v>12</v>
      </c>
    </row>
    <row r="2995" spans="1:19" x14ac:dyDescent="0.25">
      <c r="A2995" s="30">
        <v>46150</v>
      </c>
      <c r="B2995" s="28">
        <v>810</v>
      </c>
      <c r="C2995" s="28"/>
      <c r="D2995" s="2" t="s">
        <v>128</v>
      </c>
      <c r="E2995" s="7" t="s">
        <v>3277</v>
      </c>
      <c r="F2995" s="7" t="s">
        <v>2694</v>
      </c>
      <c r="G2995" s="2" t="s">
        <v>97</v>
      </c>
      <c r="H2995" s="2" t="s">
        <v>129</v>
      </c>
      <c r="I2995" s="5">
        <v>29194.81</v>
      </c>
      <c r="J2995" s="57">
        <v>0.04</v>
      </c>
      <c r="K2995" s="3">
        <v>288</v>
      </c>
      <c r="L2995" s="2" t="s">
        <v>64</v>
      </c>
      <c r="M2995" s="2" t="s">
        <v>530</v>
      </c>
      <c r="N2995" s="2" t="s">
        <v>12</v>
      </c>
      <c r="O2995" s="2" t="s">
        <v>12</v>
      </c>
      <c r="P2995" s="21" t="s">
        <v>12</v>
      </c>
      <c r="Q2995" s="3" t="s">
        <v>12</v>
      </c>
      <c r="R2995" s="3" t="s">
        <v>12</v>
      </c>
    </row>
    <row r="2996" spans="1:19" x14ac:dyDescent="0.25">
      <c r="A2996" s="30">
        <v>46150</v>
      </c>
      <c r="B2996" s="28">
        <v>811</v>
      </c>
      <c r="C2996" s="28"/>
      <c r="D2996" s="2" t="s">
        <v>3278</v>
      </c>
      <c r="E2996" s="7" t="s">
        <v>3279</v>
      </c>
      <c r="F2996" s="7" t="s">
        <v>2683</v>
      </c>
      <c r="G2996" s="2" t="s">
        <v>13</v>
      </c>
      <c r="H2996" s="2" t="s">
        <v>251</v>
      </c>
      <c r="I2996" s="5">
        <v>147783.4</v>
      </c>
      <c r="J2996" s="57">
        <v>7.0000000000000007E-2</v>
      </c>
      <c r="K2996" s="3">
        <v>1536</v>
      </c>
      <c r="L2996" s="2" t="s">
        <v>73</v>
      </c>
      <c r="M2996" s="2" t="s">
        <v>12</v>
      </c>
      <c r="N2996" s="2" t="s">
        <v>12</v>
      </c>
      <c r="O2996" s="2" t="s">
        <v>12</v>
      </c>
      <c r="P2996" s="21" t="s">
        <v>12</v>
      </c>
      <c r="Q2996" s="3" t="s">
        <v>646</v>
      </c>
      <c r="R2996" s="3" t="s">
        <v>75</v>
      </c>
    </row>
    <row r="2997" spans="1:19" x14ac:dyDescent="0.25">
      <c r="A2997" s="30">
        <v>46150</v>
      </c>
      <c r="B2997" s="28">
        <v>812</v>
      </c>
      <c r="C2997" s="28"/>
      <c r="D2997" s="2" t="s">
        <v>3280</v>
      </c>
      <c r="E2997" s="7" t="s">
        <v>12</v>
      </c>
      <c r="F2997" s="7" t="s">
        <v>2683</v>
      </c>
      <c r="G2997" s="2" t="s">
        <v>13</v>
      </c>
      <c r="H2997" s="2" t="s">
        <v>1413</v>
      </c>
      <c r="I2997" s="5">
        <v>18642.16</v>
      </c>
      <c r="J2997" s="57">
        <v>7.0000000000000007E-2</v>
      </c>
      <c r="K2997" s="3">
        <v>192</v>
      </c>
      <c r="L2997" s="2" t="s">
        <v>73</v>
      </c>
      <c r="M2997" s="2" t="s">
        <v>12</v>
      </c>
      <c r="N2997" s="2" t="s">
        <v>12</v>
      </c>
      <c r="O2997" s="2" t="s">
        <v>12</v>
      </c>
      <c r="P2997" s="21" t="s">
        <v>12</v>
      </c>
      <c r="Q2997" s="3" t="s">
        <v>12</v>
      </c>
      <c r="R2997" s="3" t="s">
        <v>12</v>
      </c>
    </row>
    <row r="2998" spans="1:19" x14ac:dyDescent="0.25">
      <c r="A2998" s="30">
        <v>46150</v>
      </c>
      <c r="B2998" s="28">
        <v>813</v>
      </c>
      <c r="C2998" s="28"/>
      <c r="D2998" s="2" t="s">
        <v>202</v>
      </c>
      <c r="E2998" s="7" t="s">
        <v>12</v>
      </c>
      <c r="F2998" s="7" t="s">
        <v>2683</v>
      </c>
      <c r="G2998" s="2" t="s">
        <v>97</v>
      </c>
      <c r="H2998" s="2" t="s">
        <v>1143</v>
      </c>
      <c r="I2998" s="5">
        <v>28474.080000000002</v>
      </c>
      <c r="J2998" s="57">
        <v>0.05</v>
      </c>
      <c r="K2998" s="3">
        <v>432</v>
      </c>
      <c r="L2998" s="2" t="s">
        <v>226</v>
      </c>
      <c r="M2998" s="2" t="s">
        <v>12</v>
      </c>
      <c r="N2998" s="2" t="s">
        <v>12</v>
      </c>
      <c r="O2998" s="2" t="s">
        <v>12</v>
      </c>
      <c r="P2998" s="21" t="s">
        <v>12</v>
      </c>
      <c r="Q2998" s="3" t="s">
        <v>12</v>
      </c>
      <c r="R2998" s="3" t="s">
        <v>12</v>
      </c>
    </row>
    <row r="2999" spans="1:19" x14ac:dyDescent="0.25">
      <c r="A2999" s="30">
        <v>46154</v>
      </c>
      <c r="B2999" s="28">
        <v>814</v>
      </c>
      <c r="C2999" s="28" t="s">
        <v>2162</v>
      </c>
      <c r="D2999" s="2" t="s">
        <v>1328</v>
      </c>
      <c r="E2999" s="7" t="s">
        <v>12</v>
      </c>
      <c r="F2999" s="7" t="s">
        <v>2683</v>
      </c>
      <c r="G2999" s="2" t="s">
        <v>13</v>
      </c>
      <c r="H2999" s="2" t="s">
        <v>2395</v>
      </c>
      <c r="I2999" s="5">
        <v>3144.82</v>
      </c>
      <c r="J2999" s="57">
        <v>0.05</v>
      </c>
      <c r="K2999" s="3">
        <v>24</v>
      </c>
      <c r="L2999" s="2" t="s">
        <v>73</v>
      </c>
      <c r="M2999" s="2" t="s">
        <v>12</v>
      </c>
      <c r="N2999" s="2" t="s">
        <v>12</v>
      </c>
      <c r="O2999" s="2" t="s">
        <v>12</v>
      </c>
      <c r="P2999" s="21" t="s">
        <v>12</v>
      </c>
      <c r="Q2999" s="3" t="s">
        <v>12</v>
      </c>
      <c r="R2999" s="3" t="s">
        <v>12</v>
      </c>
    </row>
    <row r="3000" spans="1:19" x14ac:dyDescent="0.25">
      <c r="A3000" s="30">
        <v>46150</v>
      </c>
      <c r="B3000" s="28">
        <v>815</v>
      </c>
      <c r="C3000" s="28"/>
      <c r="D3000" s="2" t="s">
        <v>23</v>
      </c>
      <c r="E3000" s="67">
        <v>2026000333</v>
      </c>
      <c r="F3000" s="7" t="s">
        <v>2683</v>
      </c>
      <c r="G3000" s="2" t="s">
        <v>20</v>
      </c>
      <c r="H3000" s="2" t="s">
        <v>32</v>
      </c>
      <c r="I3000" s="5">
        <v>24343.84</v>
      </c>
      <c r="J3000" s="57">
        <v>0.04</v>
      </c>
      <c r="K3000" s="3">
        <v>336</v>
      </c>
      <c r="L3000" s="2" t="s">
        <v>64</v>
      </c>
      <c r="M3000" s="2" t="s">
        <v>12</v>
      </c>
      <c r="N3000" s="2" t="s">
        <v>12</v>
      </c>
      <c r="O3000" s="2" t="s">
        <v>12</v>
      </c>
      <c r="P3000" s="21" t="s">
        <v>12</v>
      </c>
      <c r="Q3000" s="3" t="s">
        <v>12</v>
      </c>
      <c r="R3000" s="3" t="s">
        <v>12</v>
      </c>
    </row>
    <row r="3001" spans="1:19" x14ac:dyDescent="0.25">
      <c r="A3001" s="30">
        <v>46153</v>
      </c>
      <c r="B3001" s="28">
        <v>816</v>
      </c>
      <c r="C3001" s="28" t="s">
        <v>2161</v>
      </c>
      <c r="D3001" s="2" t="s">
        <v>411</v>
      </c>
      <c r="E3001" s="7" t="s">
        <v>2932</v>
      </c>
      <c r="F3001" s="7" t="s">
        <v>2683</v>
      </c>
      <c r="G3001" s="2" t="s">
        <v>26</v>
      </c>
      <c r="H3001" s="2" t="s">
        <v>98</v>
      </c>
      <c r="I3001" s="5">
        <v>3277.71</v>
      </c>
      <c r="J3001" s="57">
        <v>0.04</v>
      </c>
      <c r="K3001" s="3">
        <v>48</v>
      </c>
      <c r="L3001" s="2" t="s">
        <v>64</v>
      </c>
      <c r="M3001" s="2" t="s">
        <v>3200</v>
      </c>
      <c r="N3001" s="2" t="s">
        <v>12</v>
      </c>
      <c r="O3001" s="2" t="s">
        <v>12</v>
      </c>
      <c r="P3001" s="21" t="s">
        <v>12</v>
      </c>
      <c r="Q3001" s="3" t="s">
        <v>12</v>
      </c>
      <c r="R3001" s="3" t="s">
        <v>12</v>
      </c>
      <c r="S3001" t="s">
        <v>12</v>
      </c>
    </row>
    <row r="3002" spans="1:19" x14ac:dyDescent="0.25">
      <c r="A3002" s="30">
        <v>46153</v>
      </c>
      <c r="B3002" s="28">
        <v>817</v>
      </c>
      <c r="C3002" s="28"/>
      <c r="D3002" s="2" t="s">
        <v>367</v>
      </c>
      <c r="E3002" s="7" t="s">
        <v>12</v>
      </c>
      <c r="F3002" s="7" t="s">
        <v>2683</v>
      </c>
      <c r="G3002" s="2" t="s">
        <v>13</v>
      </c>
      <c r="H3002" s="2" t="s">
        <v>368</v>
      </c>
      <c r="I3002" s="5">
        <v>5814.96</v>
      </c>
      <c r="J3002" s="57">
        <v>7.0000000000000007E-2</v>
      </c>
      <c r="K3002" s="3">
        <v>72</v>
      </c>
      <c r="L3002" s="2" t="s">
        <v>73</v>
      </c>
      <c r="M3002" s="2" t="s">
        <v>12</v>
      </c>
      <c r="N3002" s="2" t="s">
        <v>12</v>
      </c>
      <c r="O3002" s="2" t="s">
        <v>12</v>
      </c>
      <c r="P3002" s="21" t="s">
        <v>12</v>
      </c>
      <c r="Q3002" s="3" t="s">
        <v>12</v>
      </c>
      <c r="R3002" s="3" t="s">
        <v>12</v>
      </c>
    </row>
    <row r="3003" spans="1:19" x14ac:dyDescent="0.25">
      <c r="A3003" s="30">
        <v>46153</v>
      </c>
      <c r="B3003" s="28">
        <v>818</v>
      </c>
      <c r="C3003" s="28"/>
      <c r="D3003" s="2" t="s">
        <v>128</v>
      </c>
      <c r="E3003" s="7" t="s">
        <v>3281</v>
      </c>
      <c r="F3003" s="7" t="s">
        <v>2879</v>
      </c>
      <c r="G3003" s="2" t="s">
        <v>97</v>
      </c>
      <c r="H3003" s="2" t="s">
        <v>129</v>
      </c>
      <c r="I3003" s="5">
        <v>69475.88</v>
      </c>
      <c r="J3003" s="57">
        <v>0.04</v>
      </c>
      <c r="K3003" s="3">
        <v>781.2</v>
      </c>
      <c r="L3003" s="2" t="s">
        <v>73</v>
      </c>
      <c r="M3003" s="2" t="s">
        <v>12</v>
      </c>
      <c r="N3003" s="2" t="s">
        <v>12</v>
      </c>
      <c r="O3003" s="2" t="s">
        <v>12</v>
      </c>
      <c r="P3003" s="21" t="s">
        <v>12</v>
      </c>
      <c r="Q3003" s="3" t="s">
        <v>3299</v>
      </c>
      <c r="R3003" s="3" t="s">
        <v>76</v>
      </c>
    </row>
    <row r="3004" spans="1:19" x14ac:dyDescent="0.25">
      <c r="A3004" s="30">
        <v>46153</v>
      </c>
      <c r="B3004" s="28">
        <v>819</v>
      </c>
      <c r="C3004" s="28"/>
      <c r="D3004" s="2" t="s">
        <v>95</v>
      </c>
      <c r="E3004" s="7" t="s">
        <v>12</v>
      </c>
      <c r="F3004" s="7" t="s">
        <v>2683</v>
      </c>
      <c r="G3004" s="2" t="s">
        <v>97</v>
      </c>
      <c r="H3004" s="2" t="s">
        <v>852</v>
      </c>
      <c r="I3004" s="5">
        <v>10803.91</v>
      </c>
      <c r="J3004" s="57">
        <v>7.0000000000000007E-2</v>
      </c>
      <c r="K3004" s="3">
        <v>120</v>
      </c>
      <c r="L3004" s="2" t="s">
        <v>73</v>
      </c>
      <c r="M3004" s="2" t="s">
        <v>12</v>
      </c>
      <c r="N3004" s="2" t="s">
        <v>12</v>
      </c>
      <c r="O3004" s="2" t="s">
        <v>12</v>
      </c>
      <c r="P3004" s="21" t="s">
        <v>12</v>
      </c>
      <c r="Q3004" s="3" t="s">
        <v>12</v>
      </c>
      <c r="R3004" s="3" t="s">
        <v>12</v>
      </c>
    </row>
    <row r="3005" spans="1:19" x14ac:dyDescent="0.25">
      <c r="A3005" s="30">
        <v>46153</v>
      </c>
      <c r="B3005" s="28">
        <v>820</v>
      </c>
      <c r="C3005" s="28"/>
      <c r="D3005" s="2" t="s">
        <v>206</v>
      </c>
      <c r="E3005" s="7" t="s">
        <v>3282</v>
      </c>
      <c r="F3005" s="7" t="s">
        <v>2787</v>
      </c>
      <c r="G3005" s="2" t="s">
        <v>97</v>
      </c>
      <c r="H3005" s="2" t="s">
        <v>368</v>
      </c>
      <c r="I3005" s="5">
        <v>35668.019999999997</v>
      </c>
      <c r="J3005" s="57">
        <v>7.0000000000000007E-2</v>
      </c>
      <c r="K3005" s="3">
        <v>336</v>
      </c>
      <c r="L3005" s="2" t="s">
        <v>73</v>
      </c>
      <c r="M3005" s="2" t="s">
        <v>12</v>
      </c>
      <c r="N3005" s="2" t="s">
        <v>12</v>
      </c>
      <c r="O3005" s="2" t="s">
        <v>12</v>
      </c>
      <c r="P3005" s="21" t="s">
        <v>12</v>
      </c>
      <c r="Q3005" s="3" t="s">
        <v>3300</v>
      </c>
      <c r="R3005" s="3" t="s">
        <v>80</v>
      </c>
    </row>
    <row r="3006" spans="1:19" x14ac:dyDescent="0.25">
      <c r="A3006" s="30">
        <v>46154</v>
      </c>
      <c r="B3006" s="28">
        <v>821</v>
      </c>
      <c r="C3006" s="28" t="s">
        <v>2162</v>
      </c>
      <c r="D3006" s="2" t="s">
        <v>103</v>
      </c>
      <c r="E3006" s="7" t="s">
        <v>3283</v>
      </c>
      <c r="F3006" s="7" t="s">
        <v>2972</v>
      </c>
      <c r="G3006" s="2" t="s">
        <v>13</v>
      </c>
      <c r="H3006" s="2" t="s">
        <v>3284</v>
      </c>
      <c r="I3006" s="5">
        <v>45865.86</v>
      </c>
      <c r="J3006" s="57">
        <v>0.03</v>
      </c>
      <c r="K3006" s="3">
        <v>624</v>
      </c>
      <c r="L3006" s="2" t="s">
        <v>64</v>
      </c>
      <c r="M3006" s="2" t="s">
        <v>12</v>
      </c>
      <c r="N3006" s="2" t="s">
        <v>12</v>
      </c>
      <c r="O3006" s="2" t="s">
        <v>12</v>
      </c>
      <c r="P3006" s="21" t="s">
        <v>12</v>
      </c>
      <c r="Q3006" s="3" t="s">
        <v>12</v>
      </c>
      <c r="R3006" s="3" t="s">
        <v>12</v>
      </c>
    </row>
    <row r="3007" spans="1:19" x14ac:dyDescent="0.25">
      <c r="A3007" s="30">
        <v>46154</v>
      </c>
      <c r="B3007" s="28">
        <v>822</v>
      </c>
      <c r="C3007" s="28"/>
      <c r="D3007" s="2" t="s">
        <v>3285</v>
      </c>
      <c r="E3007" s="7" t="s">
        <v>3286</v>
      </c>
      <c r="F3007" s="7" t="s">
        <v>2683</v>
      </c>
      <c r="G3007" s="2" t="s">
        <v>13</v>
      </c>
      <c r="H3007" s="2" t="s">
        <v>302</v>
      </c>
      <c r="I3007" s="5">
        <v>10062.33</v>
      </c>
      <c r="J3007" s="57">
        <v>7.0000000000000007E-2</v>
      </c>
      <c r="K3007" s="3">
        <v>120</v>
      </c>
      <c r="L3007" s="2" t="s">
        <v>73</v>
      </c>
      <c r="M3007" s="2" t="s">
        <v>12</v>
      </c>
      <c r="N3007" s="2" t="s">
        <v>12</v>
      </c>
      <c r="O3007" s="2" t="s">
        <v>12</v>
      </c>
      <c r="P3007" s="21" t="s">
        <v>12</v>
      </c>
      <c r="Q3007" s="3" t="s">
        <v>12</v>
      </c>
      <c r="R3007" s="3" t="s">
        <v>12</v>
      </c>
    </row>
    <row r="3008" spans="1:19" x14ac:dyDescent="0.25">
      <c r="A3008" s="30">
        <v>46154</v>
      </c>
      <c r="B3008" s="28">
        <v>823</v>
      </c>
      <c r="C3008" s="28"/>
      <c r="D3008" s="2" t="s">
        <v>3287</v>
      </c>
      <c r="E3008" s="7" t="s">
        <v>3288</v>
      </c>
      <c r="F3008" s="7" t="s">
        <v>3002</v>
      </c>
      <c r="G3008" s="2" t="s">
        <v>13</v>
      </c>
      <c r="H3008" s="2" t="s">
        <v>2569</v>
      </c>
      <c r="I3008" s="5">
        <v>59718.71</v>
      </c>
      <c r="J3008" s="57">
        <v>7.0000000000000007E-2</v>
      </c>
      <c r="K3008" s="3">
        <v>576</v>
      </c>
      <c r="L3008" s="2" t="s">
        <v>73</v>
      </c>
      <c r="M3008" s="2" t="s">
        <v>12</v>
      </c>
      <c r="N3008" s="2" t="s">
        <v>12</v>
      </c>
      <c r="O3008" s="2" t="s">
        <v>12</v>
      </c>
      <c r="P3008" s="21" t="s">
        <v>12</v>
      </c>
      <c r="Q3008" s="3" t="s">
        <v>3301</v>
      </c>
      <c r="R3008" s="3" t="s">
        <v>80</v>
      </c>
    </row>
    <row r="3009" spans="1:18" x14ac:dyDescent="0.25">
      <c r="A3009" s="30">
        <v>46154</v>
      </c>
      <c r="B3009" s="28">
        <v>824</v>
      </c>
      <c r="C3009" s="28"/>
      <c r="D3009" s="2" t="s">
        <v>3081</v>
      </c>
      <c r="E3009" s="7" t="s">
        <v>12</v>
      </c>
      <c r="F3009" s="7" t="s">
        <v>2683</v>
      </c>
      <c r="G3009" s="2" t="s">
        <v>97</v>
      </c>
      <c r="H3009" s="2" t="s">
        <v>119</v>
      </c>
      <c r="I3009" s="5">
        <v>8364.82</v>
      </c>
      <c r="J3009" s="57">
        <v>0.04</v>
      </c>
      <c r="K3009" s="3">
        <v>96</v>
      </c>
      <c r="L3009" s="2" t="s">
        <v>73</v>
      </c>
      <c r="M3009" s="2" t="s">
        <v>12</v>
      </c>
      <c r="N3009" s="2" t="s">
        <v>12</v>
      </c>
      <c r="O3009" s="2" t="s">
        <v>12</v>
      </c>
      <c r="P3009" s="21" t="s">
        <v>12</v>
      </c>
      <c r="Q3009" s="3" t="s">
        <v>12</v>
      </c>
      <c r="R3009" s="3" t="s">
        <v>12</v>
      </c>
    </row>
    <row r="3010" spans="1:18" x14ac:dyDescent="0.25">
      <c r="A3010" s="30">
        <v>46154</v>
      </c>
      <c r="B3010" s="28">
        <v>825</v>
      </c>
      <c r="C3010" s="28" t="s">
        <v>2161</v>
      </c>
      <c r="D3010" s="2" t="s">
        <v>87</v>
      </c>
      <c r="E3010" s="7" t="s">
        <v>3289</v>
      </c>
      <c r="F3010" s="7" t="s">
        <v>3002</v>
      </c>
      <c r="G3010" s="2" t="s">
        <v>13</v>
      </c>
      <c r="H3010" s="2" t="s">
        <v>185</v>
      </c>
      <c r="I3010" s="5">
        <v>242788.2</v>
      </c>
      <c r="J3010" s="57">
        <v>7.0000000000000007E-2</v>
      </c>
      <c r="K3010" s="3">
        <v>2360.4</v>
      </c>
      <c r="L3010" s="2" t="s">
        <v>73</v>
      </c>
      <c r="M3010" s="2" t="s">
        <v>12</v>
      </c>
      <c r="N3010" s="2" t="s">
        <v>12</v>
      </c>
      <c r="O3010" s="2" t="s">
        <v>12</v>
      </c>
      <c r="P3010" s="21" t="s">
        <v>12</v>
      </c>
      <c r="Q3010" s="3" t="s">
        <v>12</v>
      </c>
      <c r="R3010" s="3" t="s">
        <v>12</v>
      </c>
    </row>
    <row r="3011" spans="1:18" x14ac:dyDescent="0.25">
      <c r="A3011" s="30">
        <v>46154</v>
      </c>
      <c r="B3011" s="28">
        <v>826</v>
      </c>
      <c r="C3011" s="28"/>
      <c r="D3011" s="2" t="s">
        <v>353</v>
      </c>
      <c r="E3011" s="7" t="s">
        <v>12</v>
      </c>
      <c r="F3011" s="7" t="s">
        <v>2683</v>
      </c>
      <c r="G3011" s="2" t="s">
        <v>13</v>
      </c>
      <c r="H3011" s="2" t="s">
        <v>483</v>
      </c>
      <c r="I3011" s="5">
        <v>6554.94</v>
      </c>
      <c r="J3011" s="57">
        <v>7.0000000000000007E-2</v>
      </c>
      <c r="K3011" s="3">
        <v>48</v>
      </c>
      <c r="L3011" s="2" t="s">
        <v>73</v>
      </c>
      <c r="M3011" s="2" t="s">
        <v>12</v>
      </c>
      <c r="N3011" s="2" t="s">
        <v>12</v>
      </c>
      <c r="O3011" s="2" t="s">
        <v>12</v>
      </c>
      <c r="P3011" s="21" t="s">
        <v>12</v>
      </c>
      <c r="Q3011" s="3" t="s">
        <v>12</v>
      </c>
      <c r="R3011" s="3" t="s">
        <v>12</v>
      </c>
    </row>
    <row r="3012" spans="1:18" x14ac:dyDescent="0.25">
      <c r="A3012" s="30">
        <v>46155</v>
      </c>
      <c r="B3012" s="28">
        <v>827</v>
      </c>
      <c r="C3012" s="28"/>
      <c r="D3012" s="2" t="s">
        <v>386</v>
      </c>
      <c r="E3012" s="7" t="s">
        <v>12</v>
      </c>
      <c r="F3012" s="7" t="s">
        <v>2683</v>
      </c>
      <c r="G3012" s="2" t="s">
        <v>13</v>
      </c>
      <c r="H3012" s="2" t="s">
        <v>950</v>
      </c>
      <c r="I3012" s="5">
        <v>503.52</v>
      </c>
      <c r="J3012" s="57">
        <v>7.0000000000000007E-2</v>
      </c>
      <c r="K3012" s="3" t="s">
        <v>12</v>
      </c>
      <c r="L3012" s="2" t="s">
        <v>73</v>
      </c>
      <c r="M3012" s="2" t="s">
        <v>12</v>
      </c>
      <c r="N3012" s="2" t="s">
        <v>12</v>
      </c>
      <c r="O3012" s="2" t="s">
        <v>12</v>
      </c>
      <c r="P3012" s="21" t="s">
        <v>12</v>
      </c>
      <c r="Q3012" s="3" t="s">
        <v>12</v>
      </c>
      <c r="R3012" s="3" t="s">
        <v>12</v>
      </c>
    </row>
    <row r="3013" spans="1:18" x14ac:dyDescent="0.25">
      <c r="A3013" s="30">
        <v>46155</v>
      </c>
      <c r="B3013" s="28">
        <v>828</v>
      </c>
      <c r="C3013" s="28"/>
      <c r="D3013" s="2" t="s">
        <v>601</v>
      </c>
      <c r="E3013" s="7" t="s">
        <v>3381</v>
      </c>
      <c r="F3013" s="7" t="s">
        <v>2683</v>
      </c>
      <c r="G3013" s="2" t="s">
        <v>43</v>
      </c>
      <c r="H3013" s="2" t="s">
        <v>2340</v>
      </c>
      <c r="I3013" s="5">
        <v>30060</v>
      </c>
      <c r="J3013" s="57">
        <v>7.0000000000000007E-2</v>
      </c>
      <c r="K3013" s="3" t="s">
        <v>12</v>
      </c>
      <c r="L3013" s="2" t="s">
        <v>21</v>
      </c>
      <c r="M3013" s="2" t="s">
        <v>12</v>
      </c>
      <c r="N3013" s="2" t="s">
        <v>12</v>
      </c>
      <c r="O3013" s="2" t="s">
        <v>12</v>
      </c>
      <c r="P3013" s="21" t="s">
        <v>12</v>
      </c>
      <c r="Q3013" s="3" t="s">
        <v>12</v>
      </c>
      <c r="R3013" s="3" t="s">
        <v>12</v>
      </c>
    </row>
    <row r="3014" spans="1:18" x14ac:dyDescent="0.25">
      <c r="A3014" s="30">
        <v>46155</v>
      </c>
      <c r="B3014" s="28">
        <v>829</v>
      </c>
      <c r="C3014" s="28" t="s">
        <v>2161</v>
      </c>
      <c r="D3014" s="2" t="s">
        <v>23</v>
      </c>
      <c r="E3014" s="67" t="s">
        <v>3343</v>
      </c>
      <c r="F3014" s="7" t="s">
        <v>3001</v>
      </c>
      <c r="G3014" s="2" t="s">
        <v>20</v>
      </c>
      <c r="H3014" s="2" t="s">
        <v>32</v>
      </c>
      <c r="I3014" s="5">
        <v>45141.85</v>
      </c>
      <c r="J3014" s="57">
        <v>0.04</v>
      </c>
      <c r="K3014" s="3">
        <v>624</v>
      </c>
      <c r="L3014" s="2" t="s">
        <v>64</v>
      </c>
      <c r="M3014" s="2" t="s">
        <v>12</v>
      </c>
      <c r="N3014" s="2" t="s">
        <v>12</v>
      </c>
      <c r="O3014" s="2" t="s">
        <v>12</v>
      </c>
      <c r="P3014" s="21" t="s">
        <v>12</v>
      </c>
      <c r="Q3014" s="3" t="s">
        <v>12</v>
      </c>
      <c r="R3014" s="3" t="s">
        <v>12</v>
      </c>
    </row>
    <row r="3015" spans="1:18" x14ac:dyDescent="0.25">
      <c r="A3015" s="30">
        <v>46155</v>
      </c>
      <c r="B3015" s="28">
        <v>830</v>
      </c>
      <c r="C3015" s="28"/>
      <c r="D3015" s="2" t="s">
        <v>212</v>
      </c>
      <c r="E3015" s="7" t="s">
        <v>2085</v>
      </c>
      <c r="F3015" s="7" t="s">
        <v>3002</v>
      </c>
      <c r="G3015" s="2" t="s">
        <v>20</v>
      </c>
      <c r="H3015" s="2" t="s">
        <v>350</v>
      </c>
      <c r="I3015" s="5">
        <v>1471.19</v>
      </c>
      <c r="J3015" s="57">
        <v>7.0000000000000007E-2</v>
      </c>
      <c r="K3015" s="3" t="s">
        <v>12</v>
      </c>
      <c r="L3015" s="2" t="s">
        <v>226</v>
      </c>
      <c r="M3015" s="2" t="s">
        <v>12</v>
      </c>
      <c r="N3015" s="2" t="s">
        <v>12</v>
      </c>
      <c r="O3015" s="2" t="s">
        <v>12</v>
      </c>
      <c r="P3015" s="21" t="s">
        <v>12</v>
      </c>
      <c r="Q3015" s="3" t="s">
        <v>12</v>
      </c>
      <c r="R3015" s="3" t="s">
        <v>12</v>
      </c>
    </row>
    <row r="3016" spans="1:18" x14ac:dyDescent="0.25">
      <c r="A3016" s="30">
        <v>46155</v>
      </c>
      <c r="B3016" s="28">
        <v>831</v>
      </c>
      <c r="C3016" s="28"/>
      <c r="D3016" s="2" t="s">
        <v>3061</v>
      </c>
      <c r="E3016" s="7" t="s">
        <v>3290</v>
      </c>
      <c r="F3016" s="7" t="s">
        <v>2715</v>
      </c>
      <c r="G3016" s="2" t="s">
        <v>43</v>
      </c>
      <c r="H3016" s="2" t="s">
        <v>317</v>
      </c>
      <c r="I3016" s="5">
        <v>9133.0499999999993</v>
      </c>
      <c r="J3016" s="57">
        <v>7.0000000000000007E-2</v>
      </c>
      <c r="K3016" s="3">
        <v>96</v>
      </c>
      <c r="L3016" s="2" t="s">
        <v>73</v>
      </c>
      <c r="M3016" s="2" t="s">
        <v>12</v>
      </c>
      <c r="N3016" s="2" t="s">
        <v>12</v>
      </c>
      <c r="O3016" s="2" t="s">
        <v>12</v>
      </c>
      <c r="P3016" s="21" t="s">
        <v>12</v>
      </c>
      <c r="Q3016" s="3" t="s">
        <v>12</v>
      </c>
      <c r="R3016" s="3" t="s">
        <v>12</v>
      </c>
    </row>
    <row r="3017" spans="1:18" x14ac:dyDescent="0.25">
      <c r="A3017" s="30">
        <v>46155</v>
      </c>
      <c r="B3017" s="28">
        <v>832</v>
      </c>
      <c r="C3017" s="28"/>
      <c r="D3017" s="2" t="s">
        <v>3291</v>
      </c>
      <c r="E3017" s="7" t="s">
        <v>12</v>
      </c>
      <c r="F3017" s="7" t="s">
        <v>2683</v>
      </c>
      <c r="G3017" s="2" t="s">
        <v>13</v>
      </c>
      <c r="H3017" s="2" t="s">
        <v>3292</v>
      </c>
      <c r="I3017" s="5">
        <v>3838.44</v>
      </c>
      <c r="J3017" s="57">
        <v>0.05</v>
      </c>
      <c r="K3017" s="3">
        <v>48</v>
      </c>
      <c r="L3017" s="2" t="s">
        <v>73</v>
      </c>
      <c r="M3017" s="2" t="s">
        <v>12</v>
      </c>
      <c r="N3017" s="2" t="s">
        <v>12</v>
      </c>
      <c r="O3017" s="2" t="s">
        <v>12</v>
      </c>
      <c r="P3017" s="21" t="s">
        <v>12</v>
      </c>
      <c r="Q3017" s="3" t="s">
        <v>12</v>
      </c>
      <c r="R3017" s="3" t="s">
        <v>12</v>
      </c>
    </row>
    <row r="3018" spans="1:18" x14ac:dyDescent="0.25">
      <c r="A3018" s="30">
        <v>46155</v>
      </c>
      <c r="B3018" s="28">
        <v>833</v>
      </c>
      <c r="C3018" s="28"/>
      <c r="D3018" s="2" t="s">
        <v>87</v>
      </c>
      <c r="E3018" s="7" t="s">
        <v>3293</v>
      </c>
      <c r="F3018" s="7" t="s">
        <v>2972</v>
      </c>
      <c r="G3018" s="2" t="s">
        <v>13</v>
      </c>
      <c r="H3018" s="2" t="s">
        <v>238</v>
      </c>
      <c r="I3018" s="5">
        <v>81969.679999999993</v>
      </c>
      <c r="J3018" s="57">
        <v>7.0000000000000007E-2</v>
      </c>
      <c r="K3018" s="3">
        <v>864</v>
      </c>
      <c r="L3018" s="2" t="s">
        <v>73</v>
      </c>
      <c r="M3018" s="2" t="s">
        <v>12</v>
      </c>
      <c r="N3018" s="2" t="s">
        <v>12</v>
      </c>
      <c r="O3018" s="2" t="s">
        <v>12</v>
      </c>
      <c r="P3018" s="21" t="s">
        <v>12</v>
      </c>
      <c r="Q3018" s="3" t="s">
        <v>461</v>
      </c>
      <c r="R3018" s="3" t="s">
        <v>80</v>
      </c>
    </row>
    <row r="3019" spans="1:18" x14ac:dyDescent="0.25">
      <c r="A3019" s="30">
        <v>46155</v>
      </c>
      <c r="B3019" s="28">
        <v>834</v>
      </c>
      <c r="C3019" s="28"/>
      <c r="D3019" s="2" t="s">
        <v>41</v>
      </c>
      <c r="E3019" s="7" t="s">
        <v>3294</v>
      </c>
      <c r="F3019" s="7" t="s">
        <v>2972</v>
      </c>
      <c r="G3019" s="2" t="s">
        <v>43</v>
      </c>
      <c r="H3019" s="2" t="s">
        <v>319</v>
      </c>
      <c r="I3019" s="5">
        <v>271735.28999999998</v>
      </c>
      <c r="J3019" s="57">
        <v>0.05</v>
      </c>
      <c r="K3019" s="3">
        <v>3336</v>
      </c>
      <c r="L3019" s="2" t="s">
        <v>73</v>
      </c>
      <c r="M3019" s="2" t="s">
        <v>667</v>
      </c>
      <c r="N3019" s="2" t="s">
        <v>12</v>
      </c>
      <c r="O3019" s="2" t="s">
        <v>12</v>
      </c>
      <c r="P3019" s="21" t="s">
        <v>12</v>
      </c>
      <c r="Q3019" s="3" t="s">
        <v>12</v>
      </c>
      <c r="R3019" s="3" t="s">
        <v>12</v>
      </c>
    </row>
    <row r="3020" spans="1:18" x14ac:dyDescent="0.25">
      <c r="A3020" s="30">
        <v>46155</v>
      </c>
      <c r="B3020" s="28">
        <v>835</v>
      </c>
      <c r="C3020" s="28" t="s">
        <v>2161</v>
      </c>
      <c r="D3020" s="2" t="s">
        <v>3295</v>
      </c>
      <c r="E3020" s="7" t="s">
        <v>12</v>
      </c>
      <c r="F3020" s="7" t="s">
        <v>2683</v>
      </c>
      <c r="G3020" s="2" t="s">
        <v>13</v>
      </c>
      <c r="H3020" s="2" t="s">
        <v>471</v>
      </c>
      <c r="I3020" s="5">
        <v>921.6</v>
      </c>
      <c r="J3020" s="57">
        <v>7.0000000000000007E-2</v>
      </c>
      <c r="K3020" s="3" t="s">
        <v>12</v>
      </c>
      <c r="L3020" s="2" t="s">
        <v>64</v>
      </c>
      <c r="M3020" s="2" t="s">
        <v>12</v>
      </c>
      <c r="N3020" s="2" t="s">
        <v>12</v>
      </c>
      <c r="O3020" s="2" t="s">
        <v>12</v>
      </c>
      <c r="P3020" s="21" t="s">
        <v>12</v>
      </c>
      <c r="Q3020" s="3" t="s">
        <v>12</v>
      </c>
      <c r="R3020" s="3" t="s">
        <v>12</v>
      </c>
    </row>
    <row r="3021" spans="1:18" x14ac:dyDescent="0.25">
      <c r="A3021" s="30">
        <v>46155</v>
      </c>
      <c r="B3021" s="28">
        <v>836</v>
      </c>
      <c r="C3021" s="28"/>
      <c r="D3021" s="2" t="s">
        <v>825</v>
      </c>
      <c r="E3021" s="7" t="s">
        <v>3296</v>
      </c>
      <c r="F3021" s="7" t="s">
        <v>2902</v>
      </c>
      <c r="G3021" s="2" t="s">
        <v>111</v>
      </c>
      <c r="H3021" s="2" t="s">
        <v>368</v>
      </c>
      <c r="I3021" s="5">
        <v>9917.2800000000007</v>
      </c>
      <c r="J3021" s="57">
        <v>7.0000000000000007E-2</v>
      </c>
      <c r="K3021" s="3" t="s">
        <v>12</v>
      </c>
      <c r="L3021" s="2" t="s">
        <v>64</v>
      </c>
      <c r="M3021" s="2" t="s">
        <v>12</v>
      </c>
      <c r="N3021" s="2" t="s">
        <v>12</v>
      </c>
      <c r="O3021" s="2" t="s">
        <v>12</v>
      </c>
      <c r="P3021" s="21" t="s">
        <v>12</v>
      </c>
      <c r="Q3021" s="3" t="s">
        <v>12</v>
      </c>
      <c r="R3021" s="3" t="s">
        <v>12</v>
      </c>
    </row>
    <row r="3022" spans="1:18" x14ac:dyDescent="0.25">
      <c r="A3022" s="30">
        <v>46155</v>
      </c>
      <c r="B3022" s="28">
        <v>837</v>
      </c>
      <c r="C3022" s="28" t="s">
        <v>2161</v>
      </c>
      <c r="D3022" s="2" t="s">
        <v>3297</v>
      </c>
      <c r="E3022" s="7" t="s">
        <v>3298</v>
      </c>
      <c r="F3022" s="7" t="s">
        <v>3001</v>
      </c>
      <c r="G3022" s="2" t="s">
        <v>20</v>
      </c>
      <c r="H3022" s="2" t="s">
        <v>948</v>
      </c>
      <c r="I3022" s="5">
        <v>15110.23</v>
      </c>
      <c r="J3022" s="57">
        <v>0.04</v>
      </c>
      <c r="K3022" s="3">
        <v>180</v>
      </c>
      <c r="L3022" s="2" t="s">
        <v>73</v>
      </c>
      <c r="M3022" s="2" t="s">
        <v>12</v>
      </c>
      <c r="N3022" s="2" t="s">
        <v>12</v>
      </c>
      <c r="O3022" s="2" t="s">
        <v>12</v>
      </c>
      <c r="P3022" s="21" t="s">
        <v>12</v>
      </c>
      <c r="Q3022" s="3" t="s">
        <v>12</v>
      </c>
      <c r="R3022" s="3" t="s">
        <v>12</v>
      </c>
    </row>
    <row r="3023" spans="1:18" x14ac:dyDescent="0.25">
      <c r="A3023" s="30">
        <v>46156</v>
      </c>
      <c r="B3023" s="28">
        <v>838</v>
      </c>
      <c r="C3023" s="28"/>
      <c r="D3023" s="2" t="s">
        <v>3305</v>
      </c>
      <c r="E3023" s="7" t="s">
        <v>3306</v>
      </c>
      <c r="F3023" s="7" t="s">
        <v>2683</v>
      </c>
      <c r="G3023" s="2" t="s">
        <v>13</v>
      </c>
      <c r="H3023" s="2"/>
      <c r="I3023" s="5">
        <v>306535.57</v>
      </c>
      <c r="J3023" s="57">
        <v>0.06</v>
      </c>
      <c r="K3023" s="3">
        <v>4248</v>
      </c>
      <c r="L3023" s="2" t="s">
        <v>226</v>
      </c>
      <c r="M3023" s="2" t="s">
        <v>12</v>
      </c>
      <c r="N3023" s="2" t="s">
        <v>12</v>
      </c>
      <c r="O3023" s="2" t="s">
        <v>12</v>
      </c>
      <c r="P3023" s="21" t="s">
        <v>12</v>
      </c>
      <c r="Q3023" s="3" t="s">
        <v>12</v>
      </c>
      <c r="R3023" s="3" t="s">
        <v>12</v>
      </c>
    </row>
    <row r="3024" spans="1:18" x14ac:dyDescent="0.25">
      <c r="A3024" s="30">
        <v>46156</v>
      </c>
      <c r="B3024" s="28">
        <v>839</v>
      </c>
      <c r="C3024" s="28"/>
      <c r="D3024" s="2" t="s">
        <v>803</v>
      </c>
      <c r="E3024" s="7" t="s">
        <v>12</v>
      </c>
      <c r="F3024" s="7" t="s">
        <v>2683</v>
      </c>
      <c r="G3024" s="2" t="s">
        <v>13</v>
      </c>
      <c r="H3024" s="2" t="s">
        <v>1591</v>
      </c>
      <c r="I3024" s="5">
        <v>1477.92</v>
      </c>
      <c r="J3024" s="57">
        <v>7.0000000000000007E-2</v>
      </c>
      <c r="K3024" s="3" t="s">
        <v>12</v>
      </c>
      <c r="L3024" s="2" t="s">
        <v>73</v>
      </c>
      <c r="M3024" s="2" t="s">
        <v>12</v>
      </c>
      <c r="N3024" s="2" t="s">
        <v>12</v>
      </c>
      <c r="O3024" s="2" t="s">
        <v>12</v>
      </c>
      <c r="P3024" s="21" t="s">
        <v>12</v>
      </c>
      <c r="Q3024" s="3" t="s">
        <v>12</v>
      </c>
      <c r="R3024" s="3" t="s">
        <v>12</v>
      </c>
    </row>
    <row r="3025" spans="1:18" x14ac:dyDescent="0.25">
      <c r="A3025" s="30">
        <v>46156</v>
      </c>
      <c r="B3025" s="28">
        <v>840</v>
      </c>
      <c r="C3025" s="28"/>
      <c r="D3025" s="2" t="s">
        <v>41</v>
      </c>
      <c r="E3025" s="7" t="s">
        <v>3289</v>
      </c>
      <c r="F3025" s="7" t="s">
        <v>3002</v>
      </c>
      <c r="G3025" s="2" t="s">
        <v>43</v>
      </c>
      <c r="H3025" s="2" t="s">
        <v>43</v>
      </c>
      <c r="I3025" s="5">
        <v>219488.47</v>
      </c>
      <c r="J3025" s="57">
        <v>0.05</v>
      </c>
      <c r="K3025" s="3">
        <v>2449.44</v>
      </c>
      <c r="L3025" s="2" t="s">
        <v>73</v>
      </c>
      <c r="M3025" s="2" t="s">
        <v>12</v>
      </c>
      <c r="N3025" s="2" t="s">
        <v>12</v>
      </c>
      <c r="O3025" s="2" t="s">
        <v>12</v>
      </c>
      <c r="P3025" s="21" t="s">
        <v>12</v>
      </c>
      <c r="Q3025" s="3" t="s">
        <v>12</v>
      </c>
      <c r="R3025" s="3" t="s">
        <v>12</v>
      </c>
    </row>
    <row r="3026" spans="1:18" x14ac:dyDescent="0.25">
      <c r="A3026" s="30">
        <v>46157</v>
      </c>
      <c r="B3026" s="28">
        <v>841</v>
      </c>
      <c r="C3026" s="28" t="s">
        <v>2161</v>
      </c>
      <c r="D3026" s="2" t="s">
        <v>3307</v>
      </c>
      <c r="E3026" s="7" t="s">
        <v>3308</v>
      </c>
      <c r="F3026" s="7" t="s">
        <v>2879</v>
      </c>
      <c r="G3026" s="2" t="s">
        <v>97</v>
      </c>
      <c r="H3026" s="2" t="s">
        <v>3309</v>
      </c>
      <c r="I3026" s="5">
        <v>18791.689999999999</v>
      </c>
      <c r="J3026" s="57">
        <v>7.0000000000000007E-2</v>
      </c>
      <c r="K3026" s="3">
        <v>216</v>
      </c>
      <c r="L3026" s="2" t="s">
        <v>73</v>
      </c>
      <c r="M3026" s="2" t="s">
        <v>12</v>
      </c>
      <c r="N3026" s="2" t="s">
        <v>12</v>
      </c>
      <c r="O3026" s="2" t="s">
        <v>12</v>
      </c>
      <c r="P3026" s="21" t="s">
        <v>12</v>
      </c>
      <c r="Q3026" s="3" t="s">
        <v>12</v>
      </c>
      <c r="R3026" s="3" t="s">
        <v>12</v>
      </c>
    </row>
    <row r="3027" spans="1:18" x14ac:dyDescent="0.25">
      <c r="A3027" s="30">
        <v>46156</v>
      </c>
      <c r="B3027" s="28">
        <v>842</v>
      </c>
      <c r="C3027" s="28"/>
      <c r="D3027" s="2" t="s">
        <v>1349</v>
      </c>
      <c r="E3027" s="7" t="s">
        <v>3310</v>
      </c>
      <c r="F3027" s="7" t="s">
        <v>3311</v>
      </c>
      <c r="G3027" s="2" t="s">
        <v>13</v>
      </c>
      <c r="H3027" s="2" t="s">
        <v>1351</v>
      </c>
      <c r="I3027" s="5">
        <v>10939.41</v>
      </c>
      <c r="J3027" s="57">
        <v>7.0000000000000007E-2</v>
      </c>
      <c r="K3027" s="3">
        <v>120</v>
      </c>
      <c r="L3027" s="2" t="s">
        <v>73</v>
      </c>
      <c r="M3027" s="2" t="s">
        <v>12</v>
      </c>
      <c r="N3027" s="2" t="s">
        <v>12</v>
      </c>
      <c r="O3027" s="2" t="s">
        <v>12</v>
      </c>
      <c r="P3027" s="21" t="s">
        <v>12</v>
      </c>
      <c r="Q3027" s="3" t="s">
        <v>12</v>
      </c>
      <c r="R3027" s="3" t="s">
        <v>12</v>
      </c>
    </row>
    <row r="3028" spans="1:18" x14ac:dyDescent="0.25">
      <c r="A3028" s="30">
        <v>46156</v>
      </c>
      <c r="B3028" s="28">
        <v>843</v>
      </c>
      <c r="C3028" s="28"/>
      <c r="D3028" s="2" t="s">
        <v>3305</v>
      </c>
      <c r="E3028" s="7" t="s">
        <v>3306</v>
      </c>
      <c r="F3028" s="7" t="s">
        <v>2683</v>
      </c>
      <c r="G3028" s="2" t="s">
        <v>13</v>
      </c>
      <c r="H3028" s="2" t="s">
        <v>3312</v>
      </c>
      <c r="I3028" s="5">
        <v>381877.5</v>
      </c>
      <c r="J3028" s="57">
        <v>7.0000000000000007E-2</v>
      </c>
      <c r="K3028" s="3">
        <v>4440</v>
      </c>
      <c r="L3028" s="2" t="s">
        <v>73</v>
      </c>
      <c r="M3028" s="2" t="s">
        <v>12</v>
      </c>
      <c r="N3028" s="2" t="s">
        <v>12</v>
      </c>
      <c r="O3028" s="2" t="s">
        <v>12</v>
      </c>
      <c r="P3028" s="21" t="s">
        <v>12</v>
      </c>
      <c r="Q3028" s="3" t="s">
        <v>12</v>
      </c>
      <c r="R3028" s="3" t="s">
        <v>12</v>
      </c>
    </row>
    <row r="3029" spans="1:18" x14ac:dyDescent="0.25">
      <c r="A3029" s="30">
        <v>46156</v>
      </c>
      <c r="B3029" s="28">
        <v>844</v>
      </c>
      <c r="C3029" s="28"/>
      <c r="D3029" s="2" t="s">
        <v>411</v>
      </c>
      <c r="E3029" s="7" t="s">
        <v>3174</v>
      </c>
      <c r="F3029" s="7" t="s">
        <v>2683</v>
      </c>
      <c r="G3029" s="2" t="s">
        <v>26</v>
      </c>
      <c r="H3029" s="2" t="s">
        <v>98</v>
      </c>
      <c r="I3029" s="5">
        <v>6467.53</v>
      </c>
      <c r="J3029" s="57">
        <v>0.04</v>
      </c>
      <c r="K3029" s="3">
        <v>72</v>
      </c>
      <c r="L3029" s="2" t="s">
        <v>64</v>
      </c>
      <c r="M3029" s="2" t="s">
        <v>12</v>
      </c>
      <c r="N3029" s="2" t="s">
        <v>12</v>
      </c>
      <c r="O3029" s="2" t="s">
        <v>12</v>
      </c>
      <c r="P3029" s="21" t="s">
        <v>12</v>
      </c>
      <c r="Q3029" s="3" t="s">
        <v>12</v>
      </c>
      <c r="R3029" s="3" t="s">
        <v>12</v>
      </c>
    </row>
    <row r="3030" spans="1:18" x14ac:dyDescent="0.25">
      <c r="A3030" s="30">
        <v>46157</v>
      </c>
      <c r="B3030" s="28">
        <v>845</v>
      </c>
      <c r="C3030" s="28" t="s">
        <v>2162</v>
      </c>
      <c r="D3030" s="2" t="s">
        <v>3313</v>
      </c>
      <c r="E3030" s="7" t="s">
        <v>3314</v>
      </c>
      <c r="F3030" s="7" t="s">
        <v>2241</v>
      </c>
      <c r="G3030" s="2" t="s">
        <v>13</v>
      </c>
      <c r="H3030" s="2" t="s">
        <v>263</v>
      </c>
      <c r="I3030" s="5">
        <v>54158.61</v>
      </c>
      <c r="J3030" s="57">
        <v>7.0000000000000007E-2</v>
      </c>
      <c r="K3030" s="3">
        <v>528</v>
      </c>
      <c r="L3030" s="2" t="s">
        <v>73</v>
      </c>
      <c r="M3030" s="2" t="s">
        <v>12</v>
      </c>
      <c r="N3030" s="2" t="s">
        <v>12</v>
      </c>
      <c r="O3030" s="2" t="s">
        <v>12</v>
      </c>
      <c r="P3030" s="21" t="s">
        <v>12</v>
      </c>
      <c r="Q3030" s="3" t="s">
        <v>12</v>
      </c>
      <c r="R3030" s="3" t="s">
        <v>12</v>
      </c>
    </row>
    <row r="3031" spans="1:18" x14ac:dyDescent="0.25">
      <c r="A3031" s="30">
        <v>46157</v>
      </c>
      <c r="B3031" s="28">
        <v>846</v>
      </c>
      <c r="C3031" s="28" t="s">
        <v>2161</v>
      </c>
      <c r="D3031" s="2" t="s">
        <v>23</v>
      </c>
      <c r="E3031" s="67">
        <v>2026000319</v>
      </c>
      <c r="F3031" s="7" t="s">
        <v>2683</v>
      </c>
      <c r="G3031" s="2" t="s">
        <v>20</v>
      </c>
      <c r="H3031" s="2" t="s">
        <v>32</v>
      </c>
      <c r="I3031" s="5">
        <v>106291.48</v>
      </c>
      <c r="J3031" s="57">
        <v>0.04</v>
      </c>
      <c r="K3031" s="3">
        <v>1200</v>
      </c>
      <c r="L3031" s="2" t="s">
        <v>64</v>
      </c>
      <c r="M3031" s="2" t="s">
        <v>12</v>
      </c>
      <c r="N3031" s="2" t="s">
        <v>12</v>
      </c>
      <c r="O3031" s="2" t="s">
        <v>12</v>
      </c>
      <c r="P3031" s="21" t="s">
        <v>12</v>
      </c>
      <c r="Q3031" s="3" t="s">
        <v>12</v>
      </c>
      <c r="R3031" s="3" t="s">
        <v>12</v>
      </c>
    </row>
    <row r="3032" spans="1:18" x14ac:dyDescent="0.25">
      <c r="A3032" s="30">
        <v>46157</v>
      </c>
      <c r="B3032" s="28">
        <v>847</v>
      </c>
      <c r="C3032" s="28"/>
      <c r="D3032" s="2" t="s">
        <v>1395</v>
      </c>
      <c r="E3032" s="7" t="s">
        <v>3260</v>
      </c>
      <c r="F3032" s="7" t="s">
        <v>3001</v>
      </c>
      <c r="G3032" s="2" t="s">
        <v>111</v>
      </c>
      <c r="H3032" s="2" t="s">
        <v>12</v>
      </c>
      <c r="I3032" s="5">
        <v>1507.2</v>
      </c>
      <c r="J3032" s="57">
        <v>0.05</v>
      </c>
      <c r="K3032" s="3" t="s">
        <v>12</v>
      </c>
      <c r="L3032" s="2" t="s">
        <v>64</v>
      </c>
      <c r="M3032" s="2" t="s">
        <v>12</v>
      </c>
      <c r="N3032" s="2" t="s">
        <v>12</v>
      </c>
      <c r="O3032" s="2" t="s">
        <v>12</v>
      </c>
      <c r="P3032" s="21"/>
      <c r="Q3032" s="3" t="s">
        <v>12</v>
      </c>
      <c r="R3032" s="3" t="s">
        <v>12</v>
      </c>
    </row>
    <row r="3033" spans="1:18" x14ac:dyDescent="0.25">
      <c r="A3033" s="30">
        <v>46157</v>
      </c>
      <c r="B3033" s="28">
        <v>848</v>
      </c>
      <c r="C3033" s="28"/>
      <c r="D3033" s="2" t="s">
        <v>109</v>
      </c>
      <c r="E3033" s="7" t="s">
        <v>3350</v>
      </c>
      <c r="F3033" s="7" t="s">
        <v>2683</v>
      </c>
      <c r="G3033" s="2" t="s">
        <v>111</v>
      </c>
      <c r="H3033" s="2" t="s">
        <v>12</v>
      </c>
      <c r="I3033" s="5">
        <v>18741.509999999998</v>
      </c>
      <c r="J3033" s="57">
        <v>7.0000000000000007E-2</v>
      </c>
      <c r="K3033" s="3" t="s">
        <v>12</v>
      </c>
      <c r="L3033" s="2" t="s">
        <v>64</v>
      </c>
      <c r="M3033" s="2" t="s">
        <v>12</v>
      </c>
      <c r="N3033" s="2"/>
      <c r="O3033" s="2" t="s">
        <v>12</v>
      </c>
      <c r="P3033" s="21" t="s">
        <v>12</v>
      </c>
      <c r="Q3033" s="3" t="s">
        <v>12</v>
      </c>
      <c r="R3033" s="3" t="s">
        <v>12</v>
      </c>
    </row>
    <row r="3034" spans="1:18" x14ac:dyDescent="0.25">
      <c r="A3034" s="30">
        <v>46162</v>
      </c>
      <c r="B3034" s="28">
        <v>849</v>
      </c>
      <c r="C3034" s="28" t="s">
        <v>2161</v>
      </c>
      <c r="D3034" s="2" t="s">
        <v>1224</v>
      </c>
      <c r="E3034" s="7" t="s">
        <v>3315</v>
      </c>
      <c r="F3034" s="7" t="s">
        <v>2683</v>
      </c>
      <c r="G3034" s="2" t="s">
        <v>26</v>
      </c>
      <c r="H3034" s="2" t="s">
        <v>596</v>
      </c>
      <c r="I3034" s="5">
        <v>15828.71</v>
      </c>
      <c r="J3034" s="57">
        <v>0.06</v>
      </c>
      <c r="K3034" s="3">
        <v>192</v>
      </c>
      <c r="L3034" s="2" t="s">
        <v>73</v>
      </c>
      <c r="M3034" s="2" t="s">
        <v>12</v>
      </c>
      <c r="N3034" s="2" t="s">
        <v>12</v>
      </c>
      <c r="O3034" s="2" t="s">
        <v>12</v>
      </c>
      <c r="P3034" s="21" t="s">
        <v>12</v>
      </c>
      <c r="Q3034" s="3" t="s">
        <v>3344</v>
      </c>
      <c r="R3034" s="3" t="s">
        <v>76</v>
      </c>
    </row>
    <row r="3035" spans="1:18" x14ac:dyDescent="0.25">
      <c r="A3035" s="30">
        <v>46156</v>
      </c>
      <c r="B3035" s="28">
        <v>850</v>
      </c>
      <c r="C3035" s="28"/>
      <c r="D3035" s="2" t="s">
        <v>640</v>
      </c>
      <c r="E3035" s="7" t="s">
        <v>3316</v>
      </c>
      <c r="F3035" s="7" t="s">
        <v>2787</v>
      </c>
      <c r="G3035" s="2" t="s">
        <v>26</v>
      </c>
      <c r="H3035" s="2" t="s">
        <v>642</v>
      </c>
      <c r="I3035" s="5">
        <v>5248.25</v>
      </c>
      <c r="J3035" s="57">
        <v>7.0000000000000007E-2</v>
      </c>
      <c r="K3035" s="3">
        <v>48</v>
      </c>
      <c r="L3035" s="2" t="s">
        <v>73</v>
      </c>
      <c r="M3035" s="2" t="s">
        <v>12</v>
      </c>
      <c r="N3035" s="2" t="s">
        <v>12</v>
      </c>
      <c r="O3035" s="2" t="s">
        <v>12</v>
      </c>
      <c r="P3035" s="21" t="s">
        <v>12</v>
      </c>
      <c r="Q3035" s="3" t="s">
        <v>12</v>
      </c>
      <c r="R3035" s="3" t="s">
        <v>12</v>
      </c>
    </row>
    <row r="3036" spans="1:18" x14ac:dyDescent="0.25">
      <c r="A3036" s="30">
        <v>46156</v>
      </c>
      <c r="B3036" s="28">
        <v>851</v>
      </c>
      <c r="C3036" s="28"/>
      <c r="D3036" s="2" t="s">
        <v>3240</v>
      </c>
      <c r="E3036" s="7" t="s">
        <v>12</v>
      </c>
      <c r="F3036" s="7" t="s">
        <v>2683</v>
      </c>
      <c r="G3036" s="2" t="s">
        <v>13</v>
      </c>
      <c r="H3036" s="2" t="s">
        <v>3242</v>
      </c>
      <c r="I3036" s="5">
        <v>13074.28</v>
      </c>
      <c r="J3036" s="57">
        <v>7.0000000000000007E-2</v>
      </c>
      <c r="K3036" s="3" t="s">
        <v>12</v>
      </c>
      <c r="L3036" s="2" t="s">
        <v>73</v>
      </c>
      <c r="M3036" s="2" t="s">
        <v>12</v>
      </c>
      <c r="N3036" s="2" t="s">
        <v>12</v>
      </c>
      <c r="O3036" s="2" t="s">
        <v>12</v>
      </c>
      <c r="P3036" s="21" t="s">
        <v>12</v>
      </c>
      <c r="Q3036" s="3" t="s">
        <v>12</v>
      </c>
      <c r="R3036" s="3" t="s">
        <v>12</v>
      </c>
    </row>
    <row r="3037" spans="1:18" x14ac:dyDescent="0.25">
      <c r="A3037" s="30">
        <v>46157</v>
      </c>
      <c r="B3037" s="28">
        <v>852</v>
      </c>
      <c r="C3037" s="28"/>
      <c r="D3037" s="2" t="s">
        <v>202</v>
      </c>
      <c r="E3037" s="7" t="s">
        <v>3317</v>
      </c>
      <c r="F3037" s="7" t="s">
        <v>2972</v>
      </c>
      <c r="G3037" s="2" t="s">
        <v>97</v>
      </c>
      <c r="H3037" s="2" t="s">
        <v>1143</v>
      </c>
      <c r="I3037" s="5">
        <v>24128.17</v>
      </c>
      <c r="J3037" s="57">
        <v>0.05</v>
      </c>
      <c r="K3037" s="3">
        <v>288</v>
      </c>
      <c r="L3037" s="2" t="s">
        <v>21</v>
      </c>
      <c r="M3037" s="2" t="s">
        <v>12</v>
      </c>
      <c r="N3037" s="2" t="s">
        <v>12</v>
      </c>
      <c r="O3037" s="2" t="s">
        <v>12</v>
      </c>
      <c r="P3037" s="21" t="s">
        <v>12</v>
      </c>
      <c r="Q3037" s="3" t="s">
        <v>3118</v>
      </c>
      <c r="R3037" s="3" t="s">
        <v>80</v>
      </c>
    </row>
    <row r="3038" spans="1:18" x14ac:dyDescent="0.25">
      <c r="A3038" s="30">
        <v>46157</v>
      </c>
      <c r="B3038" s="28">
        <v>853</v>
      </c>
      <c r="C3038" s="28"/>
      <c r="D3038" s="2" t="s">
        <v>256</v>
      </c>
      <c r="E3038" s="7" t="s">
        <v>3318</v>
      </c>
      <c r="F3038" s="7" t="s">
        <v>2694</v>
      </c>
      <c r="G3038" s="2" t="s">
        <v>20</v>
      </c>
      <c r="H3038" s="2" t="s">
        <v>1000</v>
      </c>
      <c r="I3038" s="5">
        <v>881.27</v>
      </c>
      <c r="J3038" s="57">
        <v>7.0000000000000007E-2</v>
      </c>
      <c r="K3038" s="3" t="s">
        <v>12</v>
      </c>
      <c r="L3038" s="2" t="s">
        <v>64</v>
      </c>
      <c r="M3038" s="2" t="s">
        <v>12</v>
      </c>
      <c r="N3038" s="2" t="s">
        <v>12</v>
      </c>
      <c r="O3038" s="2" t="s">
        <v>12</v>
      </c>
      <c r="P3038" s="21" t="s">
        <v>12</v>
      </c>
      <c r="Q3038" s="3" t="s">
        <v>12</v>
      </c>
      <c r="R3038" s="3" t="s">
        <v>12</v>
      </c>
    </row>
    <row r="3039" spans="1:18" x14ac:dyDescent="0.25">
      <c r="A3039" s="30">
        <v>46157</v>
      </c>
      <c r="B3039" s="28">
        <v>854</v>
      </c>
      <c r="C3039" s="28"/>
      <c r="D3039" s="2" t="s">
        <v>56</v>
      </c>
      <c r="E3039" s="7" t="s">
        <v>3293</v>
      </c>
      <c r="F3039" s="7" t="s">
        <v>2972</v>
      </c>
      <c r="G3039" s="2" t="s">
        <v>43</v>
      </c>
      <c r="H3039" s="2" t="s">
        <v>13</v>
      </c>
      <c r="I3039" s="5">
        <v>85842.8</v>
      </c>
      <c r="J3039" s="57">
        <v>7.0000000000000007E-2</v>
      </c>
      <c r="K3039" s="3">
        <v>864</v>
      </c>
      <c r="L3039" s="2" t="s">
        <v>73</v>
      </c>
      <c r="M3039" s="2" t="s">
        <v>12</v>
      </c>
      <c r="N3039" s="2" t="s">
        <v>12</v>
      </c>
      <c r="O3039" s="2" t="s">
        <v>12</v>
      </c>
      <c r="P3039" s="21" t="s">
        <v>12</v>
      </c>
      <c r="Q3039" s="3" t="s">
        <v>461</v>
      </c>
      <c r="R3039" s="3" t="s">
        <v>80</v>
      </c>
    </row>
    <row r="3040" spans="1:18" x14ac:dyDescent="0.25">
      <c r="A3040" s="30">
        <v>46160</v>
      </c>
      <c r="B3040" s="28">
        <v>855</v>
      </c>
      <c r="C3040" s="28" t="s">
        <v>2162</v>
      </c>
      <c r="D3040" s="2" t="s">
        <v>1820</v>
      </c>
      <c r="E3040" s="7" t="s">
        <v>2807</v>
      </c>
      <c r="F3040" s="7" t="s">
        <v>2683</v>
      </c>
      <c r="G3040" s="2" t="s">
        <v>97</v>
      </c>
      <c r="H3040" s="2" t="s">
        <v>129</v>
      </c>
      <c r="I3040" s="5">
        <v>4800.0200000000004</v>
      </c>
      <c r="J3040" s="57">
        <v>7.0000000000000007E-2</v>
      </c>
      <c r="K3040" s="3" t="s">
        <v>12</v>
      </c>
      <c r="L3040" s="2" t="s">
        <v>64</v>
      </c>
      <c r="M3040" s="2" t="s">
        <v>12</v>
      </c>
      <c r="N3040" s="2" t="s">
        <v>12</v>
      </c>
      <c r="O3040" s="2" t="s">
        <v>12</v>
      </c>
      <c r="P3040" s="21" t="s">
        <v>12</v>
      </c>
      <c r="Q3040" s="3" t="s">
        <v>12</v>
      </c>
      <c r="R3040" s="3" t="s">
        <v>12</v>
      </c>
    </row>
    <row r="3041" spans="1:18" x14ac:dyDescent="0.25">
      <c r="A3041" s="30">
        <v>46157</v>
      </c>
      <c r="B3041" s="28">
        <v>856</v>
      </c>
      <c r="C3041" s="28"/>
      <c r="D3041" s="2" t="s">
        <v>1038</v>
      </c>
      <c r="E3041" s="7" t="s">
        <v>12</v>
      </c>
      <c r="F3041" s="7" t="s">
        <v>2683</v>
      </c>
      <c r="G3041" s="2" t="s">
        <v>26</v>
      </c>
      <c r="H3041" s="2" t="s">
        <v>15</v>
      </c>
      <c r="I3041" s="5">
        <v>14506.59</v>
      </c>
      <c r="J3041" s="57">
        <v>7.0000000000000007E-2</v>
      </c>
      <c r="K3041" s="3">
        <v>168</v>
      </c>
      <c r="L3041" s="2" t="s">
        <v>73</v>
      </c>
      <c r="M3041" s="2" t="s">
        <v>12</v>
      </c>
      <c r="N3041" s="2" t="s">
        <v>12</v>
      </c>
      <c r="O3041" s="2" t="s">
        <v>12</v>
      </c>
      <c r="P3041" s="21" t="s">
        <v>12</v>
      </c>
      <c r="Q3041" s="3" t="s">
        <v>12</v>
      </c>
      <c r="R3041" s="3" t="s">
        <v>12</v>
      </c>
    </row>
    <row r="3042" spans="1:18" x14ac:dyDescent="0.25">
      <c r="A3042" s="30">
        <v>46160</v>
      </c>
      <c r="B3042" s="28">
        <v>857</v>
      </c>
      <c r="C3042" s="28" t="s">
        <v>2161</v>
      </c>
      <c r="D3042" s="2" t="s">
        <v>391</v>
      </c>
      <c r="E3042" s="7" t="s">
        <v>12</v>
      </c>
      <c r="F3042" s="7" t="s">
        <v>2683</v>
      </c>
      <c r="G3042" s="2" t="s">
        <v>13</v>
      </c>
      <c r="H3042" s="2" t="s">
        <v>392</v>
      </c>
      <c r="I3042" s="5">
        <v>6377.44</v>
      </c>
      <c r="J3042" s="57">
        <v>7.0000000000000007E-2</v>
      </c>
      <c r="K3042" s="3">
        <v>72</v>
      </c>
      <c r="L3042" s="2" t="s">
        <v>73</v>
      </c>
      <c r="M3042" s="2" t="s">
        <v>12</v>
      </c>
      <c r="N3042" s="2" t="s">
        <v>12</v>
      </c>
      <c r="O3042" s="2" t="s">
        <v>12</v>
      </c>
      <c r="P3042" s="21" t="s">
        <v>12</v>
      </c>
      <c r="Q3042" s="3" t="s">
        <v>12</v>
      </c>
      <c r="R3042" s="3" t="s">
        <v>12</v>
      </c>
    </row>
    <row r="3043" spans="1:18" x14ac:dyDescent="0.25">
      <c r="A3043" s="30">
        <v>46157</v>
      </c>
      <c r="B3043" s="28">
        <v>858</v>
      </c>
      <c r="C3043" s="28"/>
      <c r="D3043" s="2" t="s">
        <v>56</v>
      </c>
      <c r="E3043" s="7" t="s">
        <v>3319</v>
      </c>
      <c r="F3043" s="7" t="s">
        <v>2972</v>
      </c>
      <c r="G3043" s="2" t="s">
        <v>43</v>
      </c>
      <c r="H3043" s="2" t="s">
        <v>13</v>
      </c>
      <c r="I3043" s="5">
        <v>42145.75</v>
      </c>
      <c r="J3043" s="57">
        <v>7.0000000000000007E-2</v>
      </c>
      <c r="K3043" s="3">
        <v>432</v>
      </c>
      <c r="L3043" s="2" t="s">
        <v>73</v>
      </c>
      <c r="M3043" s="2" t="s">
        <v>12</v>
      </c>
      <c r="N3043" s="2" t="s">
        <v>12</v>
      </c>
      <c r="O3043" s="2" t="s">
        <v>12</v>
      </c>
      <c r="P3043" s="21" t="s">
        <v>12</v>
      </c>
      <c r="Q3043" s="3" t="s">
        <v>2494</v>
      </c>
      <c r="R3043" s="3" t="s">
        <v>80</v>
      </c>
    </row>
    <row r="3044" spans="1:18" x14ac:dyDescent="0.25">
      <c r="A3044" s="30">
        <v>46162</v>
      </c>
      <c r="B3044" s="28">
        <v>859</v>
      </c>
      <c r="C3044" s="28" t="s">
        <v>2161</v>
      </c>
      <c r="D3044" s="2" t="s">
        <v>2803</v>
      </c>
      <c r="E3044" s="7" t="s">
        <v>12</v>
      </c>
      <c r="F3044" s="7" t="s">
        <v>2683</v>
      </c>
      <c r="G3044" s="2" t="s">
        <v>13</v>
      </c>
      <c r="H3044" s="2" t="s">
        <v>2804</v>
      </c>
      <c r="I3044" s="5">
        <v>3026.05</v>
      </c>
      <c r="J3044" s="57">
        <v>7.0000000000000007E-2</v>
      </c>
      <c r="K3044" s="3">
        <v>48</v>
      </c>
      <c r="L3044" s="2" t="s">
        <v>64</v>
      </c>
      <c r="M3044" s="2" t="s">
        <v>12</v>
      </c>
      <c r="N3044" s="2" t="s">
        <v>12</v>
      </c>
      <c r="O3044" s="2" t="s">
        <v>12</v>
      </c>
      <c r="P3044" s="21" t="s">
        <v>12</v>
      </c>
      <c r="Q3044" s="3" t="s">
        <v>12</v>
      </c>
      <c r="R3044" s="3" t="s">
        <v>12</v>
      </c>
    </row>
    <row r="3045" spans="1:18" x14ac:dyDescent="0.25">
      <c r="A3045" s="30">
        <v>46160</v>
      </c>
      <c r="B3045" s="28">
        <v>860</v>
      </c>
      <c r="C3045" s="28"/>
      <c r="D3045" s="2" t="s">
        <v>276</v>
      </c>
      <c r="E3045" s="7" t="s">
        <v>3320</v>
      </c>
      <c r="F3045" s="7" t="s">
        <v>3180</v>
      </c>
      <c r="G3045" s="2" t="s">
        <v>43</v>
      </c>
      <c r="H3045" s="2" t="s">
        <v>108</v>
      </c>
      <c r="I3045" s="5">
        <v>137971.79</v>
      </c>
      <c r="J3045" s="57">
        <v>7.0000000000000007E-2</v>
      </c>
      <c r="K3045" s="3">
        <v>1344</v>
      </c>
      <c r="L3045" s="2" t="s">
        <v>73</v>
      </c>
      <c r="M3045" s="2" t="s">
        <v>12</v>
      </c>
      <c r="N3045" s="2" t="s">
        <v>12</v>
      </c>
      <c r="O3045" s="2" t="s">
        <v>12</v>
      </c>
      <c r="P3045" s="21" t="s">
        <v>12</v>
      </c>
      <c r="Q3045" s="3" t="s">
        <v>2730</v>
      </c>
      <c r="R3045" s="3" t="s">
        <v>80</v>
      </c>
    </row>
    <row r="3046" spans="1:18" x14ac:dyDescent="0.25">
      <c r="A3046" s="30">
        <v>46160</v>
      </c>
      <c r="B3046" s="28">
        <v>861</v>
      </c>
      <c r="C3046" s="28"/>
      <c r="D3046" s="2" t="s">
        <v>637</v>
      </c>
      <c r="E3046" s="7" t="s">
        <v>1127</v>
      </c>
      <c r="F3046" s="7" t="s">
        <v>3002</v>
      </c>
      <c r="G3046" s="2" t="s">
        <v>13</v>
      </c>
      <c r="H3046" s="2" t="s">
        <v>15</v>
      </c>
      <c r="I3046" s="5">
        <v>28407.71</v>
      </c>
      <c r="J3046" s="57">
        <v>7.0000000000000007E-2</v>
      </c>
      <c r="K3046" s="3">
        <v>264</v>
      </c>
      <c r="L3046" s="2" t="s">
        <v>73</v>
      </c>
      <c r="M3046" s="2" t="s">
        <v>12</v>
      </c>
      <c r="N3046" s="2" t="s">
        <v>12</v>
      </c>
      <c r="O3046" s="2" t="s">
        <v>12</v>
      </c>
      <c r="P3046" s="21" t="s">
        <v>12</v>
      </c>
      <c r="Q3046" s="3" t="s">
        <v>12</v>
      </c>
      <c r="R3046" s="3" t="s">
        <v>12</v>
      </c>
    </row>
    <row r="3047" spans="1:18" x14ac:dyDescent="0.25">
      <c r="A3047" s="30">
        <v>46160</v>
      </c>
      <c r="B3047" s="28">
        <v>862</v>
      </c>
      <c r="C3047" s="28"/>
      <c r="D3047" s="2" t="s">
        <v>637</v>
      </c>
      <c r="E3047" s="7" t="s">
        <v>1136</v>
      </c>
      <c r="F3047" s="7" t="s">
        <v>3002</v>
      </c>
      <c r="G3047" s="2" t="s">
        <v>13</v>
      </c>
      <c r="H3047" s="2" t="s">
        <v>15</v>
      </c>
      <c r="I3047" s="5">
        <v>28376.35</v>
      </c>
      <c r="J3047" s="57">
        <v>7.0000000000000007E-2</v>
      </c>
      <c r="K3047" s="3">
        <v>288</v>
      </c>
      <c r="L3047" s="2" t="s">
        <v>73</v>
      </c>
      <c r="M3047" s="2" t="s">
        <v>12</v>
      </c>
      <c r="N3047" s="2" t="s">
        <v>12</v>
      </c>
      <c r="O3047" s="2" t="s">
        <v>12</v>
      </c>
      <c r="P3047" s="21" t="s">
        <v>12</v>
      </c>
      <c r="Q3047" s="3" t="s">
        <v>12</v>
      </c>
      <c r="R3047" s="3" t="s">
        <v>12</v>
      </c>
    </row>
    <row r="3048" spans="1:18" x14ac:dyDescent="0.25">
      <c r="A3048" s="30">
        <v>46160</v>
      </c>
      <c r="B3048" s="28">
        <v>863</v>
      </c>
      <c r="C3048" s="28"/>
      <c r="D3048" s="2" t="s">
        <v>637</v>
      </c>
      <c r="E3048" s="7" t="s">
        <v>1141</v>
      </c>
      <c r="F3048" s="7" t="s">
        <v>3002</v>
      </c>
      <c r="G3048" s="2" t="s">
        <v>13</v>
      </c>
      <c r="H3048" s="2" t="s">
        <v>15</v>
      </c>
      <c r="I3048" s="5">
        <v>35601.53</v>
      </c>
      <c r="J3048" s="57">
        <v>7.0000000000000007E-2</v>
      </c>
      <c r="K3048" s="3">
        <v>360</v>
      </c>
      <c r="L3048" s="2" t="s">
        <v>73</v>
      </c>
      <c r="M3048" s="2" t="s">
        <v>12</v>
      </c>
      <c r="N3048" s="2" t="s">
        <v>12</v>
      </c>
      <c r="O3048" s="2" t="s">
        <v>12</v>
      </c>
      <c r="P3048" s="21" t="s">
        <v>12</v>
      </c>
      <c r="Q3048" s="3" t="s">
        <v>12</v>
      </c>
      <c r="R3048" s="3" t="s">
        <v>12</v>
      </c>
    </row>
    <row r="3049" spans="1:18" x14ac:dyDescent="0.25">
      <c r="A3049" s="30">
        <v>46160</v>
      </c>
      <c r="B3049" s="28">
        <v>864</v>
      </c>
      <c r="C3049" s="28"/>
      <c r="D3049" s="2" t="s">
        <v>637</v>
      </c>
      <c r="E3049" s="7" t="s">
        <v>1137</v>
      </c>
      <c r="F3049" s="7" t="s">
        <v>3002</v>
      </c>
      <c r="G3049" s="2" t="s">
        <v>13</v>
      </c>
      <c r="H3049" s="2" t="s">
        <v>15</v>
      </c>
      <c r="I3049" s="5">
        <v>23391.45</v>
      </c>
      <c r="J3049" s="57">
        <v>7.0000000000000007E-2</v>
      </c>
      <c r="K3049" s="3">
        <v>240</v>
      </c>
      <c r="L3049" s="2" t="s">
        <v>73</v>
      </c>
      <c r="M3049" s="2" t="s">
        <v>12</v>
      </c>
      <c r="N3049" s="2" t="s">
        <v>12</v>
      </c>
      <c r="O3049" s="2" t="s">
        <v>12</v>
      </c>
      <c r="P3049" s="21" t="s">
        <v>12</v>
      </c>
      <c r="Q3049" s="3" t="s">
        <v>12</v>
      </c>
      <c r="R3049" s="3" t="s">
        <v>12</v>
      </c>
    </row>
    <row r="3050" spans="1:18" x14ac:dyDescent="0.25">
      <c r="A3050" s="30">
        <v>46160</v>
      </c>
      <c r="B3050" s="28">
        <v>865</v>
      </c>
      <c r="C3050" s="28"/>
      <c r="D3050" s="2" t="s">
        <v>637</v>
      </c>
      <c r="E3050" s="7" t="s">
        <v>1227</v>
      </c>
      <c r="F3050" s="7" t="s">
        <v>3002</v>
      </c>
      <c r="G3050" s="2" t="s">
        <v>13</v>
      </c>
      <c r="H3050" s="2" t="s">
        <v>15</v>
      </c>
      <c r="I3050" s="5">
        <v>49081.61</v>
      </c>
      <c r="J3050" s="57">
        <v>7.0000000000000007E-2</v>
      </c>
      <c r="K3050" s="3">
        <v>504</v>
      </c>
      <c r="L3050" s="2" t="s">
        <v>73</v>
      </c>
      <c r="M3050" s="2" t="s">
        <v>12</v>
      </c>
      <c r="N3050" s="2" t="s">
        <v>12</v>
      </c>
      <c r="O3050" s="2" t="s">
        <v>12</v>
      </c>
      <c r="P3050" s="21" t="s">
        <v>12</v>
      </c>
      <c r="Q3050" s="3" t="s">
        <v>12</v>
      </c>
      <c r="R3050" s="3" t="s">
        <v>12</v>
      </c>
    </row>
    <row r="3051" spans="1:18" x14ac:dyDescent="0.25">
      <c r="A3051" s="30">
        <v>46160</v>
      </c>
      <c r="B3051" s="28">
        <v>866</v>
      </c>
      <c r="C3051" s="28"/>
      <c r="D3051" s="2" t="s">
        <v>415</v>
      </c>
      <c r="E3051" s="7" t="s">
        <v>12</v>
      </c>
      <c r="F3051" s="7" t="s">
        <v>2683</v>
      </c>
      <c r="G3051" s="2" t="s">
        <v>13</v>
      </c>
      <c r="H3051" s="2" t="s">
        <v>43</v>
      </c>
      <c r="I3051" s="5">
        <v>601.20000000000005</v>
      </c>
      <c r="J3051" s="57">
        <v>7.0000000000000007E-2</v>
      </c>
      <c r="K3051" s="3" t="s">
        <v>12</v>
      </c>
      <c r="L3051" s="2" t="s">
        <v>73</v>
      </c>
      <c r="M3051" s="2" t="s">
        <v>12</v>
      </c>
      <c r="N3051" s="2" t="s">
        <v>12</v>
      </c>
      <c r="O3051" s="2" t="s">
        <v>12</v>
      </c>
      <c r="P3051" s="21" t="s">
        <v>12</v>
      </c>
      <c r="Q3051" s="3" t="s">
        <v>12</v>
      </c>
      <c r="R3051" s="3" t="s">
        <v>12</v>
      </c>
    </row>
    <row r="3052" spans="1:18" x14ac:dyDescent="0.25">
      <c r="A3052" s="30">
        <v>46160</v>
      </c>
      <c r="B3052" s="28">
        <v>867</v>
      </c>
      <c r="C3052" s="28"/>
      <c r="D3052" s="2" t="s">
        <v>2484</v>
      </c>
      <c r="E3052" s="7" t="s">
        <v>3321</v>
      </c>
      <c r="F3052" s="7" t="s">
        <v>3322</v>
      </c>
      <c r="G3052" s="2" t="s">
        <v>97</v>
      </c>
      <c r="H3052" s="2" t="s">
        <v>596</v>
      </c>
      <c r="I3052" s="5">
        <v>12289.32</v>
      </c>
      <c r="J3052" s="57">
        <v>7.0000000000000007E-2</v>
      </c>
      <c r="K3052" s="3">
        <v>120</v>
      </c>
      <c r="L3052" s="2" t="s">
        <v>73</v>
      </c>
      <c r="M3052" s="2" t="s">
        <v>12</v>
      </c>
      <c r="N3052" s="2" t="s">
        <v>12</v>
      </c>
      <c r="O3052" s="2" t="s">
        <v>12</v>
      </c>
      <c r="P3052" s="21" t="s">
        <v>12</v>
      </c>
      <c r="Q3052" s="3" t="s">
        <v>12</v>
      </c>
      <c r="R3052" s="3" t="s">
        <v>12</v>
      </c>
    </row>
    <row r="3053" spans="1:18" x14ac:dyDescent="0.25">
      <c r="A3053" s="30">
        <v>46160</v>
      </c>
      <c r="B3053" s="28">
        <v>868</v>
      </c>
      <c r="C3053" s="28"/>
      <c r="D3053" s="2" t="s">
        <v>2782</v>
      </c>
      <c r="E3053" s="7" t="s">
        <v>3323</v>
      </c>
      <c r="F3053" s="7" t="s">
        <v>1844</v>
      </c>
      <c r="G3053" s="2" t="s">
        <v>26</v>
      </c>
      <c r="H3053" s="2" t="s">
        <v>2783</v>
      </c>
      <c r="I3053" s="5">
        <v>97336.12</v>
      </c>
      <c r="J3053" s="57">
        <v>7.0000000000000007E-2</v>
      </c>
      <c r="K3053" s="3">
        <v>1008</v>
      </c>
      <c r="L3053" s="2" t="s">
        <v>73</v>
      </c>
      <c r="M3053" s="2" t="s">
        <v>12</v>
      </c>
      <c r="N3053" s="2" t="s">
        <v>12</v>
      </c>
      <c r="O3053" s="2" t="s">
        <v>12</v>
      </c>
      <c r="P3053" s="21" t="s">
        <v>12</v>
      </c>
      <c r="Q3053" s="3" t="s">
        <v>457</v>
      </c>
      <c r="R3053" s="3" t="s">
        <v>80</v>
      </c>
    </row>
    <row r="3054" spans="1:18" x14ac:dyDescent="0.25">
      <c r="A3054" s="30">
        <v>46160</v>
      </c>
      <c r="B3054" s="28">
        <v>869</v>
      </c>
      <c r="C3054" s="28"/>
      <c r="D3054" s="2" t="s">
        <v>3324</v>
      </c>
      <c r="E3054" s="7" t="s">
        <v>12</v>
      </c>
      <c r="F3054" s="7" t="s">
        <v>2683</v>
      </c>
      <c r="G3054" s="2" t="s">
        <v>13</v>
      </c>
      <c r="H3054" s="2" t="s">
        <v>438</v>
      </c>
      <c r="I3054" s="5">
        <v>3924.83</v>
      </c>
      <c r="J3054" s="57">
        <v>7.0000000000000007E-2</v>
      </c>
      <c r="K3054" s="3">
        <v>48</v>
      </c>
      <c r="L3054" s="2" t="s">
        <v>73</v>
      </c>
      <c r="M3054" s="2" t="s">
        <v>12</v>
      </c>
      <c r="N3054" s="2" t="s">
        <v>12</v>
      </c>
      <c r="O3054" s="2" t="s">
        <v>12</v>
      </c>
      <c r="P3054" s="21" t="s">
        <v>12</v>
      </c>
      <c r="Q3054" s="3" t="s">
        <v>12</v>
      </c>
      <c r="R3054" s="3" t="s">
        <v>12</v>
      </c>
    </row>
    <row r="3055" spans="1:18" x14ac:dyDescent="0.25">
      <c r="A3055" s="30">
        <v>46160</v>
      </c>
      <c r="B3055" s="28">
        <v>870</v>
      </c>
      <c r="C3055" s="28"/>
      <c r="D3055" s="2" t="s">
        <v>109</v>
      </c>
      <c r="E3055" s="7" t="s">
        <v>3425</v>
      </c>
      <c r="F3055" s="7" t="s">
        <v>2683</v>
      </c>
      <c r="G3055" s="2" t="s">
        <v>111</v>
      </c>
      <c r="H3055" s="2" t="s">
        <v>346</v>
      </c>
      <c r="I3055" s="5">
        <v>1821.83</v>
      </c>
      <c r="J3055" s="57">
        <v>0.06</v>
      </c>
      <c r="K3055" s="3">
        <v>24</v>
      </c>
      <c r="L3055" s="2" t="s">
        <v>64</v>
      </c>
      <c r="M3055" s="2" t="s">
        <v>12</v>
      </c>
      <c r="N3055" s="2" t="s">
        <v>12</v>
      </c>
      <c r="O3055" s="2" t="s">
        <v>12</v>
      </c>
      <c r="P3055" s="21" t="s">
        <v>12</v>
      </c>
      <c r="Q3055" s="3" t="s">
        <v>12</v>
      </c>
      <c r="R3055" s="3" t="s">
        <v>12</v>
      </c>
    </row>
    <row r="3056" spans="1:18" x14ac:dyDescent="0.25">
      <c r="A3056" s="30">
        <v>46160</v>
      </c>
      <c r="B3056" s="28">
        <v>871</v>
      </c>
      <c r="C3056" s="28"/>
      <c r="D3056" s="2" t="s">
        <v>2248</v>
      </c>
      <c r="E3056" s="7" t="s">
        <v>12</v>
      </c>
      <c r="F3056" s="7" t="s">
        <v>2683</v>
      </c>
      <c r="G3056" s="2" t="s">
        <v>13</v>
      </c>
      <c r="H3056" s="2" t="s">
        <v>3325</v>
      </c>
      <c r="I3056" s="5">
        <v>9915.2999999999993</v>
      </c>
      <c r="J3056" s="57">
        <v>0.03</v>
      </c>
      <c r="K3056" s="3">
        <v>192</v>
      </c>
      <c r="L3056" s="2" t="s">
        <v>64</v>
      </c>
      <c r="M3056" s="2" t="s">
        <v>12</v>
      </c>
      <c r="N3056" s="2" t="s">
        <v>12</v>
      </c>
      <c r="O3056" s="2" t="s">
        <v>12</v>
      </c>
      <c r="P3056" s="21" t="s">
        <v>12</v>
      </c>
      <c r="Q3056" s="3" t="s">
        <v>12</v>
      </c>
      <c r="R3056" s="3" t="s">
        <v>12</v>
      </c>
    </row>
    <row r="3057" spans="1:18" x14ac:dyDescent="0.25">
      <c r="A3057" s="30">
        <v>46160</v>
      </c>
      <c r="B3057" s="28">
        <v>872</v>
      </c>
      <c r="C3057" s="28" t="s">
        <v>2161</v>
      </c>
      <c r="D3057" s="2" t="s">
        <v>171</v>
      </c>
      <c r="E3057" s="7" t="s">
        <v>12</v>
      </c>
      <c r="F3057" s="7" t="s">
        <v>2683</v>
      </c>
      <c r="G3057" s="2" t="s">
        <v>26</v>
      </c>
      <c r="H3057" s="2" t="s">
        <v>244</v>
      </c>
      <c r="I3057" s="5">
        <v>10030.33</v>
      </c>
      <c r="J3057" s="57">
        <v>0.04</v>
      </c>
      <c r="K3057" s="3">
        <v>72</v>
      </c>
      <c r="L3057" s="2" t="s">
        <v>64</v>
      </c>
      <c r="M3057" s="2" t="s">
        <v>12</v>
      </c>
      <c r="N3057" s="2" t="s">
        <v>12</v>
      </c>
      <c r="O3057" s="2" t="s">
        <v>12</v>
      </c>
      <c r="P3057" s="21" t="s">
        <v>12</v>
      </c>
      <c r="Q3057" s="3" t="s">
        <v>12</v>
      </c>
      <c r="R3057" s="3" t="s">
        <v>12</v>
      </c>
    </row>
    <row r="3058" spans="1:18" x14ac:dyDescent="0.25">
      <c r="A3058" s="30">
        <v>46161</v>
      </c>
      <c r="B3058" s="28">
        <v>873</v>
      </c>
      <c r="C3058" s="28" t="s">
        <v>2229</v>
      </c>
      <c r="D3058" s="2" t="s">
        <v>1879</v>
      </c>
      <c r="E3058" s="7" t="s">
        <v>3378</v>
      </c>
      <c r="F3058" s="7" t="s">
        <v>2683</v>
      </c>
      <c r="G3058" s="2" t="s">
        <v>20</v>
      </c>
      <c r="H3058" s="2"/>
      <c r="I3058" s="5">
        <v>75788.679999999993</v>
      </c>
      <c r="J3058" s="57">
        <v>0.03</v>
      </c>
      <c r="K3058" s="3">
        <v>720</v>
      </c>
      <c r="L3058" s="2" t="s">
        <v>64</v>
      </c>
      <c r="M3058" s="2" t="s">
        <v>12</v>
      </c>
      <c r="N3058" s="2" t="s">
        <v>12</v>
      </c>
      <c r="O3058" s="2" t="s">
        <v>12</v>
      </c>
      <c r="P3058" s="21" t="s">
        <v>12</v>
      </c>
      <c r="Q3058" s="3" t="s">
        <v>12</v>
      </c>
      <c r="R3058" s="3" t="s">
        <v>12</v>
      </c>
    </row>
    <row r="3059" spans="1:18" x14ac:dyDescent="0.25">
      <c r="A3059" s="30">
        <v>46160</v>
      </c>
      <c r="B3059" s="28">
        <v>874</v>
      </c>
      <c r="C3059" s="28"/>
      <c r="D3059" s="2" t="s">
        <v>353</v>
      </c>
      <c r="E3059" s="7" t="s">
        <v>3326</v>
      </c>
      <c r="F3059" s="7" t="s">
        <v>3001</v>
      </c>
      <c r="G3059" s="2" t="s">
        <v>13</v>
      </c>
      <c r="H3059" s="2" t="s">
        <v>2603</v>
      </c>
      <c r="I3059" s="5">
        <v>11584.66</v>
      </c>
      <c r="J3059" s="57">
        <v>7.0000000000000007E-2</v>
      </c>
      <c r="K3059" s="3">
        <v>122.4</v>
      </c>
      <c r="L3059" s="2" t="s">
        <v>73</v>
      </c>
      <c r="M3059" s="2" t="s">
        <v>12</v>
      </c>
      <c r="N3059" s="2" t="s">
        <v>12</v>
      </c>
      <c r="O3059" s="2" t="s">
        <v>12</v>
      </c>
      <c r="P3059" s="21" t="s">
        <v>12</v>
      </c>
      <c r="Q3059" s="3" t="s">
        <v>12</v>
      </c>
      <c r="R3059" s="3" t="s">
        <v>12</v>
      </c>
    </row>
    <row r="3060" spans="1:18" x14ac:dyDescent="0.25">
      <c r="A3060" s="30">
        <v>46162</v>
      </c>
      <c r="B3060" s="28">
        <v>875</v>
      </c>
      <c r="C3060" s="28" t="s">
        <v>2161</v>
      </c>
      <c r="D3060" s="2" t="s">
        <v>2299</v>
      </c>
      <c r="E3060" s="7" t="s">
        <v>12</v>
      </c>
      <c r="F3060" s="7" t="s">
        <v>2683</v>
      </c>
      <c r="G3060" s="2" t="s">
        <v>26</v>
      </c>
      <c r="H3060" s="2" t="s">
        <v>148</v>
      </c>
      <c r="I3060" s="5">
        <v>36744.71</v>
      </c>
      <c r="J3060" s="57">
        <v>0.04</v>
      </c>
      <c r="K3060" s="3">
        <v>480</v>
      </c>
      <c r="L3060" s="2" t="s">
        <v>21</v>
      </c>
      <c r="M3060" s="2" t="s">
        <v>12</v>
      </c>
      <c r="N3060" s="2" t="s">
        <v>12</v>
      </c>
      <c r="O3060" s="2" t="s">
        <v>12</v>
      </c>
      <c r="P3060" s="21" t="s">
        <v>12</v>
      </c>
      <c r="Q3060" s="3" t="s">
        <v>12</v>
      </c>
      <c r="R3060" s="3" t="s">
        <v>12</v>
      </c>
    </row>
    <row r="3061" spans="1:18" x14ac:dyDescent="0.25">
      <c r="A3061" s="30">
        <v>46161</v>
      </c>
      <c r="B3061" s="28">
        <v>876</v>
      </c>
      <c r="C3061" s="28" t="s">
        <v>2161</v>
      </c>
      <c r="D3061" s="2" t="s">
        <v>298</v>
      </c>
      <c r="E3061" s="7" t="s">
        <v>12</v>
      </c>
      <c r="F3061" s="7" t="s">
        <v>2683</v>
      </c>
      <c r="G3061" s="2" t="s">
        <v>13</v>
      </c>
      <c r="H3061" s="2" t="s">
        <v>13</v>
      </c>
      <c r="I3061" s="5">
        <v>2981.46</v>
      </c>
      <c r="J3061" s="57">
        <v>0.05</v>
      </c>
      <c r="K3061" s="3">
        <v>24</v>
      </c>
      <c r="L3061" s="2" t="s">
        <v>64</v>
      </c>
      <c r="M3061" s="2" t="s">
        <v>12</v>
      </c>
      <c r="N3061" s="2" t="s">
        <v>12</v>
      </c>
      <c r="O3061" s="2" t="s">
        <v>12</v>
      </c>
      <c r="P3061" s="21" t="s">
        <v>12</v>
      </c>
      <c r="Q3061" s="3" t="s">
        <v>12</v>
      </c>
      <c r="R3061" s="3" t="s">
        <v>12</v>
      </c>
    </row>
    <row r="3062" spans="1:18" x14ac:dyDescent="0.25">
      <c r="A3062" s="30">
        <v>46161</v>
      </c>
      <c r="B3062" s="28">
        <v>877</v>
      </c>
      <c r="C3062" s="28"/>
      <c r="D3062" s="2" t="s">
        <v>102</v>
      </c>
      <c r="E3062" s="7" t="s">
        <v>12</v>
      </c>
      <c r="F3062" s="7" t="s">
        <v>2683</v>
      </c>
      <c r="G3062" s="2" t="s">
        <v>13</v>
      </c>
      <c r="H3062" s="2" t="s">
        <v>94</v>
      </c>
      <c r="I3062" s="5">
        <v>3618.29</v>
      </c>
      <c r="J3062" s="57">
        <v>7.0000000000000007E-2</v>
      </c>
      <c r="K3062" s="3">
        <v>48</v>
      </c>
      <c r="L3062" s="2" t="s">
        <v>73</v>
      </c>
      <c r="M3062" s="2" t="s">
        <v>12</v>
      </c>
      <c r="N3062" s="2" t="s">
        <v>12</v>
      </c>
      <c r="O3062" s="2" t="s">
        <v>12</v>
      </c>
      <c r="P3062" s="21" t="s">
        <v>12</v>
      </c>
      <c r="Q3062" s="3" t="s">
        <v>12</v>
      </c>
      <c r="R3062" s="3" t="s">
        <v>12</v>
      </c>
    </row>
    <row r="3063" spans="1:18" x14ac:dyDescent="0.25">
      <c r="A3063" s="30">
        <v>46162</v>
      </c>
      <c r="B3063" s="28">
        <v>878</v>
      </c>
      <c r="C3063" s="28"/>
      <c r="D3063" s="2" t="s">
        <v>952</v>
      </c>
      <c r="E3063" s="7" t="s">
        <v>12</v>
      </c>
      <c r="F3063" s="7" t="s">
        <v>2683</v>
      </c>
      <c r="G3063" s="2" t="s">
        <v>13</v>
      </c>
      <c r="H3063" s="2" t="s">
        <v>275</v>
      </c>
      <c r="I3063" s="5">
        <v>16167.36</v>
      </c>
      <c r="J3063" s="57">
        <v>0.05</v>
      </c>
      <c r="K3063" s="3">
        <v>97.2</v>
      </c>
      <c r="L3063" s="2" t="s">
        <v>73</v>
      </c>
      <c r="M3063" s="2" t="s">
        <v>12</v>
      </c>
      <c r="N3063" s="2" t="s">
        <v>12</v>
      </c>
      <c r="O3063" s="2" t="s">
        <v>12</v>
      </c>
      <c r="P3063" s="21" t="s">
        <v>12</v>
      </c>
      <c r="Q3063" s="3" t="s">
        <v>12</v>
      </c>
      <c r="R3063" s="3" t="s">
        <v>12</v>
      </c>
    </row>
    <row r="3064" spans="1:18" x14ac:dyDescent="0.25">
      <c r="A3064" s="30">
        <v>46161</v>
      </c>
      <c r="B3064" s="28">
        <v>879</v>
      </c>
      <c r="C3064" s="28"/>
      <c r="D3064" s="2" t="s">
        <v>746</v>
      </c>
      <c r="E3064" s="7" t="s">
        <v>3327</v>
      </c>
      <c r="F3064" s="7" t="s">
        <v>2972</v>
      </c>
      <c r="G3064" s="2" t="s">
        <v>20</v>
      </c>
      <c r="H3064" s="2" t="s">
        <v>43</v>
      </c>
      <c r="I3064" s="5">
        <v>3020.85</v>
      </c>
      <c r="J3064" s="57">
        <v>7.0000000000000007E-2</v>
      </c>
      <c r="K3064" s="3">
        <v>25.2</v>
      </c>
      <c r="L3064" s="2" t="s">
        <v>73</v>
      </c>
      <c r="M3064" s="2" t="s">
        <v>12</v>
      </c>
      <c r="N3064" s="2" t="s">
        <v>12</v>
      </c>
      <c r="O3064" s="2" t="s">
        <v>12</v>
      </c>
      <c r="P3064" s="21" t="s">
        <v>12</v>
      </c>
      <c r="Q3064" s="3" t="s">
        <v>12</v>
      </c>
      <c r="R3064" s="3" t="s">
        <v>12</v>
      </c>
    </row>
    <row r="3065" spans="1:18" x14ac:dyDescent="0.25">
      <c r="A3065" s="30">
        <v>46161</v>
      </c>
      <c r="B3065" s="28">
        <v>880</v>
      </c>
      <c r="C3065" s="28" t="s">
        <v>2161</v>
      </c>
      <c r="D3065" s="2" t="s">
        <v>444</v>
      </c>
      <c r="E3065" s="7" t="s">
        <v>12</v>
      </c>
      <c r="F3065" s="7" t="s">
        <v>2683</v>
      </c>
      <c r="G3065" s="2" t="s">
        <v>20</v>
      </c>
      <c r="H3065" s="2" t="s">
        <v>2897</v>
      </c>
      <c r="I3065" s="5">
        <v>11048.6</v>
      </c>
      <c r="J3065" s="57">
        <v>0.04</v>
      </c>
      <c r="K3065" s="3">
        <v>120</v>
      </c>
      <c r="L3065" s="2" t="s">
        <v>64</v>
      </c>
      <c r="M3065" s="2" t="s">
        <v>12</v>
      </c>
      <c r="N3065" s="2" t="s">
        <v>12</v>
      </c>
      <c r="O3065" s="2" t="s">
        <v>12</v>
      </c>
      <c r="P3065" s="21" t="s">
        <v>12</v>
      </c>
      <c r="Q3065" s="3" t="s">
        <v>12</v>
      </c>
      <c r="R3065" s="3" t="s">
        <v>12</v>
      </c>
    </row>
    <row r="3066" spans="1:18" x14ac:dyDescent="0.25">
      <c r="A3066" s="30">
        <v>46161</v>
      </c>
      <c r="B3066" s="28">
        <v>881</v>
      </c>
      <c r="C3066" s="28"/>
      <c r="D3066" s="2" t="s">
        <v>1998</v>
      </c>
      <c r="E3066" s="7" t="s">
        <v>3328</v>
      </c>
      <c r="F3066" s="7" t="s">
        <v>2683</v>
      </c>
      <c r="G3066" s="2" t="s">
        <v>43</v>
      </c>
      <c r="H3066" s="2" t="s">
        <v>1726</v>
      </c>
      <c r="I3066" s="5">
        <v>12717.98</v>
      </c>
      <c r="J3066" s="57">
        <v>7.0000000000000007E-2</v>
      </c>
      <c r="K3066" s="3">
        <v>120</v>
      </c>
      <c r="L3066" s="2" t="s">
        <v>73</v>
      </c>
      <c r="M3066" s="2" t="s">
        <v>12</v>
      </c>
      <c r="N3066" s="2" t="s">
        <v>12</v>
      </c>
      <c r="O3066" s="2" t="s">
        <v>12</v>
      </c>
      <c r="P3066" s="21" t="s">
        <v>12</v>
      </c>
      <c r="Q3066" s="3" t="s">
        <v>12</v>
      </c>
      <c r="R3066" s="3" t="s">
        <v>12</v>
      </c>
    </row>
    <row r="3067" spans="1:18" x14ac:dyDescent="0.25">
      <c r="A3067" s="30">
        <v>46161</v>
      </c>
      <c r="B3067" s="28">
        <v>882</v>
      </c>
      <c r="C3067" s="28"/>
      <c r="D3067" s="2" t="s">
        <v>3329</v>
      </c>
      <c r="E3067" s="7" t="s">
        <v>12</v>
      </c>
      <c r="F3067" s="7" t="s">
        <v>2683</v>
      </c>
      <c r="G3067" s="2" t="s">
        <v>26</v>
      </c>
      <c r="H3067" s="2" t="s">
        <v>3330</v>
      </c>
      <c r="I3067" s="5">
        <v>6483.65</v>
      </c>
      <c r="J3067" s="57">
        <v>0.04</v>
      </c>
      <c r="K3067" s="3">
        <v>96</v>
      </c>
      <c r="L3067" s="2" t="s">
        <v>64</v>
      </c>
      <c r="M3067" s="2" t="s">
        <v>12</v>
      </c>
      <c r="N3067" s="2" t="s">
        <v>12</v>
      </c>
      <c r="O3067" s="2" t="s">
        <v>12</v>
      </c>
      <c r="P3067" s="21" t="s">
        <v>12</v>
      </c>
      <c r="Q3067" s="3" t="s">
        <v>12</v>
      </c>
      <c r="R3067" s="3" t="s">
        <v>12</v>
      </c>
    </row>
    <row r="3068" spans="1:18" x14ac:dyDescent="0.25">
      <c r="A3068" s="30">
        <v>46162</v>
      </c>
      <c r="B3068" s="28">
        <v>883</v>
      </c>
      <c r="C3068" s="28"/>
      <c r="D3068" s="2" t="s">
        <v>202</v>
      </c>
      <c r="E3068" s="7" t="s">
        <v>3331</v>
      </c>
      <c r="F3068" s="7" t="s">
        <v>2972</v>
      </c>
      <c r="G3068" s="2" t="s">
        <v>97</v>
      </c>
      <c r="H3068" s="2" t="s">
        <v>1303</v>
      </c>
      <c r="I3068" s="5">
        <v>49162.73</v>
      </c>
      <c r="J3068" s="57">
        <v>0.05</v>
      </c>
      <c r="K3068" s="3">
        <v>552</v>
      </c>
      <c r="L3068" s="2" t="s">
        <v>73</v>
      </c>
      <c r="M3068" s="2" t="s">
        <v>12</v>
      </c>
      <c r="N3068" s="2" t="s">
        <v>12</v>
      </c>
      <c r="O3068" s="2" t="s">
        <v>12</v>
      </c>
      <c r="P3068" s="21" t="s">
        <v>12</v>
      </c>
      <c r="Q3068" s="3" t="s">
        <v>12</v>
      </c>
      <c r="R3068" s="3"/>
    </row>
    <row r="3069" spans="1:18" x14ac:dyDescent="0.25">
      <c r="A3069" s="30">
        <v>46162</v>
      </c>
      <c r="B3069" s="28">
        <v>884</v>
      </c>
      <c r="C3069" s="28"/>
      <c r="D3069" s="2" t="s">
        <v>70</v>
      </c>
      <c r="E3069" s="7" t="s">
        <v>3332</v>
      </c>
      <c r="F3069" s="7" t="s">
        <v>2683</v>
      </c>
      <c r="G3069" s="2" t="s">
        <v>13</v>
      </c>
      <c r="H3069" s="2" t="s">
        <v>72</v>
      </c>
      <c r="I3069" s="5">
        <v>72257.52</v>
      </c>
      <c r="J3069" s="57">
        <v>0.06</v>
      </c>
      <c r="K3069" s="3">
        <v>912</v>
      </c>
      <c r="L3069" s="2" t="s">
        <v>73</v>
      </c>
      <c r="M3069" s="2" t="s">
        <v>12</v>
      </c>
      <c r="N3069" s="2" t="s">
        <v>12</v>
      </c>
      <c r="O3069" s="2" t="s">
        <v>12</v>
      </c>
      <c r="P3069" s="21" t="s">
        <v>12</v>
      </c>
      <c r="Q3069" s="3" t="s">
        <v>3345</v>
      </c>
      <c r="R3069" s="3" t="s">
        <v>75</v>
      </c>
    </row>
    <row r="3070" spans="1:18" x14ac:dyDescent="0.25">
      <c r="A3070" s="30">
        <v>46162</v>
      </c>
      <c r="B3070" s="28">
        <v>885</v>
      </c>
      <c r="C3070" s="28"/>
      <c r="D3070" s="2" t="s">
        <v>168</v>
      </c>
      <c r="E3070" s="7" t="s">
        <v>3373</v>
      </c>
      <c r="F3070" s="7" t="s">
        <v>2683</v>
      </c>
      <c r="G3070" s="2" t="s">
        <v>43</v>
      </c>
      <c r="H3070" s="2" t="s">
        <v>3333</v>
      </c>
      <c r="I3070" s="5">
        <v>32516.95</v>
      </c>
      <c r="J3070" s="57">
        <v>0.05</v>
      </c>
      <c r="K3070" s="3">
        <v>432</v>
      </c>
      <c r="L3070" s="2" t="s">
        <v>73</v>
      </c>
      <c r="M3070" s="2" t="s">
        <v>12</v>
      </c>
      <c r="N3070" s="2" t="s">
        <v>12</v>
      </c>
      <c r="O3070" s="2" t="s">
        <v>12</v>
      </c>
      <c r="P3070" s="21" t="s">
        <v>12</v>
      </c>
      <c r="Q3070" s="3" t="s">
        <v>12</v>
      </c>
      <c r="R3070" s="3" t="s">
        <v>12</v>
      </c>
    </row>
    <row r="3071" spans="1:18" x14ac:dyDescent="0.25">
      <c r="A3071" s="30">
        <v>46162</v>
      </c>
      <c r="B3071" s="28">
        <v>886</v>
      </c>
      <c r="C3071" s="28"/>
      <c r="D3071" s="2" t="s">
        <v>353</v>
      </c>
      <c r="E3071" s="7" t="s">
        <v>3334</v>
      </c>
      <c r="F3071" s="7" t="s">
        <v>3001</v>
      </c>
      <c r="G3071" s="2" t="s">
        <v>13</v>
      </c>
      <c r="H3071" s="2" t="s">
        <v>1341</v>
      </c>
      <c r="I3071" s="5">
        <v>50415.76</v>
      </c>
      <c r="J3071" s="57">
        <v>7.0000000000000007E-2</v>
      </c>
      <c r="K3071" s="3">
        <v>453.6</v>
      </c>
      <c r="L3071" s="2" t="s">
        <v>73</v>
      </c>
      <c r="M3071" s="2" t="s">
        <v>12</v>
      </c>
      <c r="N3071" s="2" t="s">
        <v>12</v>
      </c>
      <c r="O3071" s="2" t="s">
        <v>12</v>
      </c>
      <c r="P3071" s="21" t="s">
        <v>12</v>
      </c>
      <c r="Q3071" s="3" t="s">
        <v>12</v>
      </c>
      <c r="R3071" s="3" t="s">
        <v>12</v>
      </c>
    </row>
    <row r="3072" spans="1:18" x14ac:dyDescent="0.25">
      <c r="A3072" s="30">
        <v>46162</v>
      </c>
      <c r="B3072" s="28">
        <v>887</v>
      </c>
      <c r="C3072" s="28"/>
      <c r="D3072" s="2" t="s">
        <v>256</v>
      </c>
      <c r="E3072" s="7" t="s">
        <v>3335</v>
      </c>
      <c r="F3072" s="7" t="s">
        <v>2694</v>
      </c>
      <c r="G3072" s="2" t="s">
        <v>20</v>
      </c>
      <c r="H3072" s="2" t="s">
        <v>1000</v>
      </c>
      <c r="I3072" s="5">
        <v>6310.95</v>
      </c>
      <c r="J3072" s="57">
        <v>7.0000000000000007E-2</v>
      </c>
      <c r="K3072" s="3">
        <v>96</v>
      </c>
      <c r="L3072" s="2" t="s">
        <v>134</v>
      </c>
      <c r="M3072" s="2" t="s">
        <v>3377</v>
      </c>
      <c r="N3072" s="2" t="s">
        <v>12</v>
      </c>
      <c r="O3072" s="2" t="s">
        <v>12</v>
      </c>
      <c r="P3072" s="21" t="s">
        <v>12</v>
      </c>
      <c r="Q3072" s="3" t="s">
        <v>12</v>
      </c>
      <c r="R3072" s="3" t="s">
        <v>12</v>
      </c>
    </row>
    <row r="3073" spans="1:18" x14ac:dyDescent="0.25">
      <c r="A3073" s="30">
        <v>46162</v>
      </c>
      <c r="B3073" s="28">
        <v>888</v>
      </c>
      <c r="C3073" s="28"/>
      <c r="D3073" s="2" t="s">
        <v>1523</v>
      </c>
      <c r="E3073" s="7" t="s">
        <v>3336</v>
      </c>
      <c r="F3073" s="7" t="s">
        <v>3337</v>
      </c>
      <c r="G3073" s="2" t="s">
        <v>111</v>
      </c>
      <c r="H3073" s="2" t="s">
        <v>3338</v>
      </c>
      <c r="I3073" s="5">
        <v>164341.95000000001</v>
      </c>
      <c r="J3073" s="57">
        <v>7.0000000000000007E-2</v>
      </c>
      <c r="K3073" s="3">
        <v>1632</v>
      </c>
      <c r="L3073" s="2" t="s">
        <v>73</v>
      </c>
      <c r="M3073" s="2" t="s">
        <v>12</v>
      </c>
      <c r="N3073" s="2" t="s">
        <v>12</v>
      </c>
      <c r="O3073" s="2" t="s">
        <v>12</v>
      </c>
      <c r="P3073" s="21" t="s">
        <v>12</v>
      </c>
      <c r="Q3073" s="3" t="s">
        <v>906</v>
      </c>
      <c r="R3073" s="3" t="s">
        <v>75</v>
      </c>
    </row>
    <row r="3074" spans="1:18" x14ac:dyDescent="0.25">
      <c r="A3074" s="30">
        <v>46162</v>
      </c>
      <c r="B3074" s="28">
        <v>889</v>
      </c>
      <c r="C3074" s="28"/>
      <c r="D3074" s="2" t="s">
        <v>726</v>
      </c>
      <c r="E3074" s="7" t="s">
        <v>12</v>
      </c>
      <c r="F3074" s="7" t="s">
        <v>2683</v>
      </c>
      <c r="G3074" s="2" t="s">
        <v>111</v>
      </c>
      <c r="H3074" s="2" t="s">
        <v>727</v>
      </c>
      <c r="I3074" s="5">
        <v>551.70000000000005</v>
      </c>
      <c r="J3074" s="57">
        <v>7.0000000000000007E-2</v>
      </c>
      <c r="K3074" s="3" t="s">
        <v>12</v>
      </c>
      <c r="L3074" s="2" t="s">
        <v>226</v>
      </c>
      <c r="M3074" s="2" t="s">
        <v>12</v>
      </c>
      <c r="N3074" s="2" t="s">
        <v>12</v>
      </c>
      <c r="O3074" s="2" t="s">
        <v>12</v>
      </c>
      <c r="P3074" s="21" t="s">
        <v>12</v>
      </c>
      <c r="Q3074" s="3" t="s">
        <v>12</v>
      </c>
      <c r="R3074" s="3" t="s">
        <v>12</v>
      </c>
    </row>
    <row r="3075" spans="1:18" x14ac:dyDescent="0.25">
      <c r="A3075" s="30">
        <v>46162</v>
      </c>
      <c r="B3075" s="28">
        <v>890</v>
      </c>
      <c r="C3075" s="28"/>
      <c r="D3075" s="2" t="s">
        <v>3339</v>
      </c>
      <c r="E3075" s="7" t="s">
        <v>12</v>
      </c>
      <c r="F3075" s="7" t="s">
        <v>2683</v>
      </c>
      <c r="G3075" s="2" t="s">
        <v>13</v>
      </c>
      <c r="H3075" s="2" t="s">
        <v>148</v>
      </c>
      <c r="I3075" s="5">
        <v>1269.2</v>
      </c>
      <c r="J3075" s="57">
        <v>7.0000000000000007E-2</v>
      </c>
      <c r="K3075" s="3" t="s">
        <v>12</v>
      </c>
      <c r="L3075" s="2" t="s">
        <v>73</v>
      </c>
      <c r="M3075" s="2" t="s">
        <v>12</v>
      </c>
      <c r="N3075" s="2" t="s">
        <v>12</v>
      </c>
      <c r="O3075" s="2" t="s">
        <v>12</v>
      </c>
      <c r="P3075" s="21" t="s">
        <v>12</v>
      </c>
      <c r="Q3075" s="3" t="s">
        <v>12</v>
      </c>
      <c r="R3075" s="3" t="s">
        <v>12</v>
      </c>
    </row>
    <row r="3076" spans="1:18" x14ac:dyDescent="0.25">
      <c r="A3076" s="30">
        <v>46162</v>
      </c>
      <c r="B3076" s="28">
        <v>891</v>
      </c>
      <c r="C3076" s="28"/>
      <c r="D3076" s="2" t="s">
        <v>336</v>
      </c>
      <c r="E3076" s="7" t="s">
        <v>3340</v>
      </c>
      <c r="F3076" s="7" t="s">
        <v>1844</v>
      </c>
      <c r="G3076" s="2" t="s">
        <v>20</v>
      </c>
      <c r="H3076" s="2" t="s">
        <v>3341</v>
      </c>
      <c r="I3076" s="5">
        <v>28756.04</v>
      </c>
      <c r="J3076" s="57">
        <v>7.0000000000000007E-2</v>
      </c>
      <c r="K3076" s="3">
        <v>384</v>
      </c>
      <c r="L3076" s="2" t="s">
        <v>64</v>
      </c>
      <c r="M3076" s="2" t="s">
        <v>12</v>
      </c>
      <c r="N3076" s="2" t="s">
        <v>12</v>
      </c>
      <c r="O3076" s="2" t="s">
        <v>12</v>
      </c>
      <c r="P3076" s="21" t="s">
        <v>12</v>
      </c>
      <c r="Q3076" s="3"/>
      <c r="R3076" s="3"/>
    </row>
    <row r="3077" spans="1:18" x14ac:dyDescent="0.25">
      <c r="A3077" s="30">
        <v>46164</v>
      </c>
      <c r="B3077" s="28">
        <v>892</v>
      </c>
      <c r="C3077" s="28" t="s">
        <v>2162</v>
      </c>
      <c r="D3077" s="2" t="s">
        <v>433</v>
      </c>
      <c r="E3077" s="7" t="s">
        <v>3351</v>
      </c>
      <c r="F3077" s="7" t="s">
        <v>2972</v>
      </c>
      <c r="G3077" s="2" t="s">
        <v>97</v>
      </c>
      <c r="H3077" s="2" t="s">
        <v>390</v>
      </c>
      <c r="I3077" s="5">
        <v>22718.57</v>
      </c>
      <c r="J3077" s="57">
        <v>0.04</v>
      </c>
      <c r="K3077" s="3">
        <v>264</v>
      </c>
      <c r="L3077" s="2" t="s">
        <v>64</v>
      </c>
      <c r="M3077" s="2" t="s">
        <v>12</v>
      </c>
      <c r="N3077" s="2" t="s">
        <v>12</v>
      </c>
      <c r="O3077" s="2" t="s">
        <v>12</v>
      </c>
      <c r="P3077" s="21" t="s">
        <v>12</v>
      </c>
      <c r="Q3077" s="3" t="s">
        <v>12</v>
      </c>
      <c r="R3077" s="3" t="s">
        <v>12</v>
      </c>
    </row>
    <row r="3078" spans="1:18" x14ac:dyDescent="0.25">
      <c r="A3078" s="30">
        <v>46163</v>
      </c>
      <c r="B3078" s="28">
        <v>893</v>
      </c>
      <c r="C3078" s="28"/>
      <c r="D3078" s="2" t="s">
        <v>1091</v>
      </c>
      <c r="E3078" s="7" t="s">
        <v>2642</v>
      </c>
      <c r="F3078" s="7" t="s">
        <v>2683</v>
      </c>
      <c r="G3078" s="2" t="s">
        <v>26</v>
      </c>
      <c r="H3078" s="2" t="s">
        <v>225</v>
      </c>
      <c r="I3078" s="5">
        <v>10419.89</v>
      </c>
      <c r="J3078" s="57">
        <v>0.04</v>
      </c>
      <c r="K3078" s="3">
        <v>168</v>
      </c>
      <c r="L3078" s="2" t="s">
        <v>64</v>
      </c>
      <c r="M3078" s="2" t="s">
        <v>12</v>
      </c>
      <c r="N3078" s="2" t="s">
        <v>12</v>
      </c>
      <c r="O3078" s="2" t="s">
        <v>12</v>
      </c>
      <c r="P3078" s="21" t="s">
        <v>12</v>
      </c>
      <c r="Q3078" s="3" t="s">
        <v>12</v>
      </c>
      <c r="R3078" s="3" t="s">
        <v>12</v>
      </c>
    </row>
    <row r="3079" spans="1:18" x14ac:dyDescent="0.25">
      <c r="A3079" s="30">
        <v>46163</v>
      </c>
      <c r="B3079" s="28">
        <v>894</v>
      </c>
      <c r="C3079" s="28" t="s">
        <v>2161</v>
      </c>
      <c r="D3079" s="2" t="s">
        <v>168</v>
      </c>
      <c r="E3079" s="7" t="s">
        <v>2975</v>
      </c>
      <c r="F3079" s="7" t="s">
        <v>3337</v>
      </c>
      <c r="G3079" s="2" t="s">
        <v>43</v>
      </c>
      <c r="H3079" s="2" t="s">
        <v>381</v>
      </c>
      <c r="I3079" s="5">
        <v>88568.57</v>
      </c>
      <c r="J3079" s="57">
        <v>0.04</v>
      </c>
      <c r="K3079" s="3">
        <v>1008</v>
      </c>
      <c r="L3079" s="2" t="s">
        <v>73</v>
      </c>
      <c r="M3079" s="2" t="s">
        <v>12</v>
      </c>
      <c r="N3079" s="2" t="s">
        <v>12</v>
      </c>
      <c r="O3079" s="2" t="s">
        <v>12</v>
      </c>
      <c r="P3079" s="21" t="s">
        <v>12</v>
      </c>
      <c r="Q3079" s="3" t="s">
        <v>12</v>
      </c>
      <c r="R3079" s="3" t="s">
        <v>12</v>
      </c>
    </row>
    <row r="3080" spans="1:18" x14ac:dyDescent="0.25">
      <c r="A3080" s="30">
        <v>46163</v>
      </c>
      <c r="B3080" s="28">
        <v>895</v>
      </c>
      <c r="C3080" s="28"/>
      <c r="D3080" s="2" t="s">
        <v>276</v>
      </c>
      <c r="E3080" s="7" t="s">
        <v>3352</v>
      </c>
      <c r="F3080" s="7" t="s">
        <v>2683</v>
      </c>
      <c r="G3080" s="2" t="s">
        <v>43</v>
      </c>
      <c r="H3080" s="2" t="s">
        <v>108</v>
      </c>
      <c r="I3080" s="5">
        <v>21584.05</v>
      </c>
      <c r="J3080" s="57">
        <v>7.0000000000000007E-2</v>
      </c>
      <c r="K3080" s="3">
        <v>192</v>
      </c>
      <c r="L3080" s="2" t="s">
        <v>73</v>
      </c>
      <c r="M3080" s="2" t="s">
        <v>12</v>
      </c>
      <c r="N3080" s="2" t="s">
        <v>12</v>
      </c>
      <c r="O3080" s="2" t="s">
        <v>12</v>
      </c>
      <c r="P3080" s="21" t="s">
        <v>12</v>
      </c>
      <c r="Q3080" s="3"/>
      <c r="R3080" s="3"/>
    </row>
    <row r="3081" spans="1:18" x14ac:dyDescent="0.25">
      <c r="A3081" s="30">
        <v>46163</v>
      </c>
      <c r="B3081" s="28">
        <v>896</v>
      </c>
      <c r="C3081" s="28" t="s">
        <v>2161</v>
      </c>
      <c r="D3081" s="2" t="s">
        <v>87</v>
      </c>
      <c r="E3081" s="7" t="s">
        <v>3353</v>
      </c>
      <c r="F3081" s="7" t="s">
        <v>3002</v>
      </c>
      <c r="G3081" s="2" t="s">
        <v>13</v>
      </c>
      <c r="H3081" s="2" t="s">
        <v>185</v>
      </c>
      <c r="I3081" s="5">
        <v>129446.2</v>
      </c>
      <c r="J3081" s="57">
        <v>7.0000000000000007E-2</v>
      </c>
      <c r="K3081" s="3">
        <v>1328.4</v>
      </c>
      <c r="L3081" s="2" t="s">
        <v>73</v>
      </c>
      <c r="M3081" s="2" t="s">
        <v>12</v>
      </c>
      <c r="N3081" s="2" t="s">
        <v>12</v>
      </c>
      <c r="O3081" s="2" t="s">
        <v>12</v>
      </c>
      <c r="P3081" s="21" t="s">
        <v>12</v>
      </c>
      <c r="Q3081" s="3"/>
      <c r="R3081" s="3"/>
    </row>
    <row r="3082" spans="1:18" x14ac:dyDescent="0.25">
      <c r="A3082" s="30">
        <v>46163</v>
      </c>
      <c r="B3082" s="28">
        <v>897</v>
      </c>
      <c r="C3082" s="28" t="s">
        <v>2161</v>
      </c>
      <c r="D3082" s="2" t="s">
        <v>1206</v>
      </c>
      <c r="E3082" s="7" t="s">
        <v>3354</v>
      </c>
      <c r="F3082" s="7" t="s">
        <v>2683</v>
      </c>
      <c r="G3082" s="2" t="s">
        <v>26</v>
      </c>
      <c r="H3082" s="2" t="s">
        <v>432</v>
      </c>
      <c r="I3082" s="5">
        <v>2250.89</v>
      </c>
      <c r="J3082" s="57">
        <v>0.04</v>
      </c>
      <c r="K3082" s="3">
        <v>24</v>
      </c>
      <c r="L3082" s="2" t="s">
        <v>64</v>
      </c>
      <c r="M3082" s="2" t="s">
        <v>12</v>
      </c>
      <c r="N3082" s="2" t="s">
        <v>12</v>
      </c>
      <c r="O3082" s="2" t="s">
        <v>12</v>
      </c>
      <c r="P3082" s="21" t="s">
        <v>12</v>
      </c>
      <c r="Q3082" s="3" t="s">
        <v>12</v>
      </c>
      <c r="R3082" s="3" t="s">
        <v>12</v>
      </c>
    </row>
    <row r="3083" spans="1:18" x14ac:dyDescent="0.25">
      <c r="A3083" s="30">
        <v>46163</v>
      </c>
      <c r="B3083" s="28">
        <v>898</v>
      </c>
      <c r="C3083" s="28"/>
      <c r="D3083" s="2" t="s">
        <v>353</v>
      </c>
      <c r="E3083" s="7">
        <v>65808</v>
      </c>
      <c r="F3083" s="7" t="s">
        <v>2683</v>
      </c>
      <c r="G3083" s="2" t="s">
        <v>13</v>
      </c>
      <c r="H3083" s="2" t="s">
        <v>2837</v>
      </c>
      <c r="I3083" s="5">
        <v>619.70000000000005</v>
      </c>
      <c r="J3083" s="57">
        <v>7.0000000000000007E-2</v>
      </c>
      <c r="K3083" s="3" t="s">
        <v>12</v>
      </c>
      <c r="L3083" s="2" t="s">
        <v>73</v>
      </c>
      <c r="M3083" s="2" t="s">
        <v>12</v>
      </c>
      <c r="N3083" s="2" t="s">
        <v>12</v>
      </c>
      <c r="O3083" s="2" t="s">
        <v>12</v>
      </c>
      <c r="P3083" s="21" t="s">
        <v>12</v>
      </c>
      <c r="Q3083" s="3" t="s">
        <v>12</v>
      </c>
      <c r="R3083" s="3" t="s">
        <v>12</v>
      </c>
    </row>
    <row r="3084" spans="1:18" x14ac:dyDescent="0.25">
      <c r="A3084" s="30">
        <v>46163</v>
      </c>
      <c r="B3084" s="28">
        <v>899</v>
      </c>
      <c r="C3084" s="28"/>
      <c r="D3084" s="2" t="s">
        <v>1194</v>
      </c>
      <c r="E3084" s="7" t="s">
        <v>3355</v>
      </c>
      <c r="F3084" s="7" t="s">
        <v>2683</v>
      </c>
      <c r="G3084" s="2" t="s">
        <v>26</v>
      </c>
      <c r="H3084" s="2" t="s">
        <v>454</v>
      </c>
      <c r="I3084" s="5">
        <v>19758.38</v>
      </c>
      <c r="J3084" s="57">
        <v>7.0000000000000007E-2</v>
      </c>
      <c r="K3084" s="3">
        <v>216</v>
      </c>
      <c r="L3084" s="2" t="s">
        <v>73</v>
      </c>
      <c r="M3084" s="2" t="s">
        <v>12</v>
      </c>
      <c r="N3084" s="2" t="s">
        <v>12</v>
      </c>
      <c r="O3084" s="2" t="s">
        <v>12</v>
      </c>
      <c r="P3084" s="21" t="s">
        <v>12</v>
      </c>
      <c r="Q3084" s="3"/>
      <c r="R3084" s="3"/>
    </row>
    <row r="3085" spans="1:18" x14ac:dyDescent="0.25">
      <c r="A3085" s="30">
        <v>46163</v>
      </c>
      <c r="B3085" s="28">
        <v>900</v>
      </c>
      <c r="C3085" s="28"/>
      <c r="D3085" s="2" t="s">
        <v>3374</v>
      </c>
      <c r="E3085" s="7" t="s">
        <v>3375</v>
      </c>
      <c r="F3085" s="7" t="s">
        <v>2683</v>
      </c>
      <c r="G3085" s="2" t="s">
        <v>111</v>
      </c>
      <c r="H3085" s="2" t="s">
        <v>3376</v>
      </c>
      <c r="I3085" s="5">
        <v>43192.160000000003</v>
      </c>
      <c r="J3085" s="57">
        <v>7.0000000000000007E-2</v>
      </c>
      <c r="K3085" s="3"/>
      <c r="L3085" s="2" t="s">
        <v>73</v>
      </c>
      <c r="M3085" s="2"/>
      <c r="N3085" s="2"/>
      <c r="O3085" s="2"/>
      <c r="P3085" s="21"/>
      <c r="Q3085" s="3"/>
      <c r="R3085" s="3"/>
    </row>
    <row r="3086" spans="1:18" x14ac:dyDescent="0.25">
      <c r="A3086" s="30">
        <v>46163</v>
      </c>
      <c r="B3086" s="28">
        <v>901</v>
      </c>
      <c r="C3086" s="28" t="s">
        <v>2161</v>
      </c>
      <c r="D3086" s="2" t="s">
        <v>23</v>
      </c>
      <c r="E3086" s="7" t="s">
        <v>3356</v>
      </c>
      <c r="F3086" s="7" t="s">
        <v>3001</v>
      </c>
      <c r="G3086" s="2" t="s">
        <v>20</v>
      </c>
      <c r="H3086" s="2" t="s">
        <v>24</v>
      </c>
      <c r="I3086" s="5">
        <v>852.32</v>
      </c>
      <c r="J3086" s="57">
        <v>7.0000000000000007E-2</v>
      </c>
      <c r="K3086" s="3" t="s">
        <v>12</v>
      </c>
      <c r="L3086" s="2" t="s">
        <v>64</v>
      </c>
      <c r="M3086" s="2" t="s">
        <v>12</v>
      </c>
      <c r="N3086" s="2" t="s">
        <v>12</v>
      </c>
      <c r="O3086" s="2" t="s">
        <v>12</v>
      </c>
      <c r="P3086" s="21" t="s">
        <v>12</v>
      </c>
      <c r="Q3086" s="3" t="s">
        <v>12</v>
      </c>
      <c r="R3086" s="3" t="s">
        <v>12</v>
      </c>
    </row>
    <row r="3087" spans="1:18" x14ac:dyDescent="0.25">
      <c r="A3087" s="30">
        <v>46164</v>
      </c>
      <c r="B3087" s="28">
        <v>902</v>
      </c>
      <c r="C3087" s="28"/>
      <c r="D3087" s="2" t="s">
        <v>825</v>
      </c>
      <c r="E3087" s="7" t="s">
        <v>3357</v>
      </c>
      <c r="F3087" s="7" t="s">
        <v>2683</v>
      </c>
      <c r="G3087" s="2" t="s">
        <v>111</v>
      </c>
      <c r="H3087" s="2" t="s">
        <v>368</v>
      </c>
      <c r="I3087" s="5">
        <v>5230.1400000000003</v>
      </c>
      <c r="J3087" s="57">
        <v>7.0000000000000007E-2</v>
      </c>
      <c r="K3087" s="3" t="s">
        <v>12</v>
      </c>
      <c r="L3087" s="2" t="s">
        <v>64</v>
      </c>
      <c r="M3087" s="2" t="s">
        <v>12</v>
      </c>
      <c r="N3087" s="2" t="s">
        <v>12</v>
      </c>
      <c r="O3087" s="2" t="s">
        <v>12</v>
      </c>
      <c r="P3087" s="21" t="s">
        <v>12</v>
      </c>
      <c r="Q3087" s="3" t="s">
        <v>12</v>
      </c>
      <c r="R3087" s="3" t="s">
        <v>12</v>
      </c>
    </row>
    <row r="3088" spans="1:18" x14ac:dyDescent="0.25">
      <c r="A3088" s="30">
        <v>46168</v>
      </c>
      <c r="B3088" s="28">
        <v>903</v>
      </c>
      <c r="C3088" s="28" t="s">
        <v>2161</v>
      </c>
      <c r="D3088" s="2" t="s">
        <v>1091</v>
      </c>
      <c r="E3088" s="7" t="s">
        <v>3358</v>
      </c>
      <c r="F3088" s="7" t="s">
        <v>2972</v>
      </c>
      <c r="G3088" s="2" t="s">
        <v>26</v>
      </c>
      <c r="H3088" s="2" t="s">
        <v>15</v>
      </c>
      <c r="I3088" s="5">
        <v>6907.41</v>
      </c>
      <c r="J3088" s="57">
        <v>0.04</v>
      </c>
      <c r="K3088" s="3">
        <v>48</v>
      </c>
      <c r="L3088" s="2" t="s">
        <v>64</v>
      </c>
      <c r="M3088" s="2" t="s">
        <v>12</v>
      </c>
      <c r="N3088" s="2" t="s">
        <v>12</v>
      </c>
      <c r="O3088" s="2" t="s">
        <v>12</v>
      </c>
      <c r="P3088" s="21" t="s">
        <v>12</v>
      </c>
      <c r="Q3088" s="3" t="s">
        <v>12</v>
      </c>
      <c r="R3088" s="3" t="s">
        <v>12</v>
      </c>
    </row>
    <row r="3089" spans="1:18" x14ac:dyDescent="0.25">
      <c r="A3089" s="30">
        <v>46167</v>
      </c>
      <c r="B3089" s="28">
        <v>904</v>
      </c>
      <c r="C3089" s="28"/>
      <c r="D3089" s="2" t="s">
        <v>637</v>
      </c>
      <c r="E3089" s="7" t="s">
        <v>1139</v>
      </c>
      <c r="F3089" s="7" t="s">
        <v>3002</v>
      </c>
      <c r="G3089" s="2" t="s">
        <v>13</v>
      </c>
      <c r="H3089" s="2" t="s">
        <v>15</v>
      </c>
      <c r="I3089" s="5">
        <v>30798.18</v>
      </c>
      <c r="J3089" s="57">
        <v>7.0000000000000007E-2</v>
      </c>
      <c r="K3089" s="3">
        <v>312</v>
      </c>
      <c r="L3089" s="2" t="s">
        <v>73</v>
      </c>
      <c r="M3089" s="2" t="s">
        <v>12</v>
      </c>
      <c r="N3089" s="2" t="s">
        <v>12</v>
      </c>
      <c r="O3089" s="2" t="s">
        <v>12</v>
      </c>
      <c r="P3089" s="21"/>
      <c r="Q3089" s="3" t="s">
        <v>12</v>
      </c>
      <c r="R3089" s="3" t="s">
        <v>12</v>
      </c>
    </row>
    <row r="3090" spans="1:18" x14ac:dyDescent="0.25">
      <c r="A3090" s="30">
        <v>46167</v>
      </c>
      <c r="B3090" s="28">
        <v>905</v>
      </c>
      <c r="C3090" s="28"/>
      <c r="D3090" s="2" t="s">
        <v>637</v>
      </c>
      <c r="E3090" s="7" t="s">
        <v>1125</v>
      </c>
      <c r="F3090" s="7" t="s">
        <v>3002</v>
      </c>
      <c r="G3090" s="2" t="s">
        <v>13</v>
      </c>
      <c r="H3090" s="2" t="s">
        <v>15</v>
      </c>
      <c r="I3090" s="5">
        <v>37226.51</v>
      </c>
      <c r="J3090" s="57">
        <v>7.0000000000000007E-2</v>
      </c>
      <c r="K3090" s="3">
        <v>360</v>
      </c>
      <c r="L3090" s="2" t="s">
        <v>73</v>
      </c>
      <c r="M3090" s="2" t="s">
        <v>12</v>
      </c>
      <c r="N3090" s="2" t="s">
        <v>12</v>
      </c>
      <c r="O3090" s="2" t="s">
        <v>12</v>
      </c>
      <c r="P3090" s="21" t="s">
        <v>12</v>
      </c>
      <c r="Q3090" s="3" t="s">
        <v>12</v>
      </c>
      <c r="R3090" s="3" t="s">
        <v>12</v>
      </c>
    </row>
    <row r="3091" spans="1:18" x14ac:dyDescent="0.25">
      <c r="A3091" s="30">
        <v>46167</v>
      </c>
      <c r="B3091" s="28">
        <v>906</v>
      </c>
      <c r="C3091" s="28"/>
      <c r="D3091" s="2" t="s">
        <v>637</v>
      </c>
      <c r="E3091" s="7" t="s">
        <v>1124</v>
      </c>
      <c r="F3091" s="7" t="s">
        <v>3002</v>
      </c>
      <c r="G3091" s="2" t="s">
        <v>13</v>
      </c>
      <c r="H3091" s="2" t="s">
        <v>15</v>
      </c>
      <c r="I3091" s="5">
        <v>61039.17</v>
      </c>
      <c r="J3091" s="57">
        <v>7.0000000000000007E-2</v>
      </c>
      <c r="K3091" s="3">
        <v>600</v>
      </c>
      <c r="L3091" s="2" t="s">
        <v>73</v>
      </c>
      <c r="M3091" s="2" t="s">
        <v>12</v>
      </c>
      <c r="N3091" s="2" t="s">
        <v>12</v>
      </c>
      <c r="O3091" s="2" t="s">
        <v>12</v>
      </c>
      <c r="P3091" s="21" t="s">
        <v>12</v>
      </c>
      <c r="Q3091" s="3" t="s">
        <v>12</v>
      </c>
      <c r="R3091" s="3" t="s">
        <v>12</v>
      </c>
    </row>
    <row r="3092" spans="1:18" x14ac:dyDescent="0.25">
      <c r="A3092" s="30">
        <v>46167</v>
      </c>
      <c r="B3092" s="28">
        <v>907</v>
      </c>
      <c r="C3092" s="28"/>
      <c r="D3092" s="2" t="s">
        <v>637</v>
      </c>
      <c r="E3092" s="7" t="s">
        <v>1140</v>
      </c>
      <c r="F3092" s="7" t="s">
        <v>3002</v>
      </c>
      <c r="G3092" s="2" t="s">
        <v>13</v>
      </c>
      <c r="H3092" s="2" t="s">
        <v>15</v>
      </c>
      <c r="I3092" s="5">
        <v>30916.81</v>
      </c>
      <c r="J3092" s="57">
        <v>7.0000000000000007E-2</v>
      </c>
      <c r="K3092" s="3">
        <v>312</v>
      </c>
      <c r="L3092" s="2" t="s">
        <v>73</v>
      </c>
      <c r="M3092" s="2" t="s">
        <v>12</v>
      </c>
      <c r="N3092" s="2" t="s">
        <v>12</v>
      </c>
      <c r="O3092" s="2" t="s">
        <v>12</v>
      </c>
      <c r="P3092" s="21" t="s">
        <v>12</v>
      </c>
      <c r="Q3092" s="3" t="s">
        <v>12</v>
      </c>
      <c r="R3092" s="3" t="s">
        <v>12</v>
      </c>
    </row>
    <row r="3093" spans="1:18" x14ac:dyDescent="0.25">
      <c r="A3093" s="30">
        <v>46167</v>
      </c>
      <c r="B3093" s="28">
        <v>908</v>
      </c>
      <c r="C3093" s="28"/>
      <c r="D3093" s="2" t="s">
        <v>637</v>
      </c>
      <c r="E3093" s="7" t="s">
        <v>1126</v>
      </c>
      <c r="F3093" s="7" t="s">
        <v>3002</v>
      </c>
      <c r="G3093" s="2" t="s">
        <v>13</v>
      </c>
      <c r="H3093" s="2" t="s">
        <v>15</v>
      </c>
      <c r="I3093" s="5">
        <v>28491.33</v>
      </c>
      <c r="J3093" s="57">
        <v>7.0000000000000007E-2</v>
      </c>
      <c r="K3093" s="3">
        <v>288</v>
      </c>
      <c r="L3093" s="2" t="s">
        <v>73</v>
      </c>
      <c r="M3093" s="2" t="s">
        <v>12</v>
      </c>
      <c r="N3093" s="2" t="s">
        <v>12</v>
      </c>
      <c r="O3093" s="2" t="s">
        <v>12</v>
      </c>
      <c r="P3093" s="21" t="s">
        <v>12</v>
      </c>
      <c r="Q3093" s="3" t="s">
        <v>12</v>
      </c>
      <c r="R3093" s="3" t="s">
        <v>12</v>
      </c>
    </row>
    <row r="3094" spans="1:18" x14ac:dyDescent="0.25">
      <c r="A3094" s="30">
        <v>46167</v>
      </c>
      <c r="B3094" s="28">
        <v>909</v>
      </c>
      <c r="C3094" s="28"/>
      <c r="D3094" s="2" t="s">
        <v>2248</v>
      </c>
      <c r="E3094" s="7" t="s">
        <v>12</v>
      </c>
      <c r="F3094" s="7" t="s">
        <v>2683</v>
      </c>
      <c r="G3094" s="2" t="s">
        <v>13</v>
      </c>
      <c r="H3094" s="2" t="s">
        <v>3325</v>
      </c>
      <c r="I3094" s="5">
        <v>379.13</v>
      </c>
      <c r="J3094" s="57">
        <v>7.0000000000000007E-2</v>
      </c>
      <c r="K3094" s="3" t="s">
        <v>12</v>
      </c>
      <c r="L3094" s="2" t="s">
        <v>64</v>
      </c>
      <c r="M3094" s="2" t="s">
        <v>12</v>
      </c>
      <c r="N3094" s="2" t="s">
        <v>12</v>
      </c>
      <c r="O3094" s="2" t="s">
        <v>12</v>
      </c>
      <c r="P3094" s="21" t="s">
        <v>12</v>
      </c>
      <c r="Q3094" s="3" t="s">
        <v>12</v>
      </c>
      <c r="R3094" s="3" t="s">
        <v>12</v>
      </c>
    </row>
    <row r="3095" spans="1:18" x14ac:dyDescent="0.25">
      <c r="A3095" s="30">
        <v>46167</v>
      </c>
      <c r="B3095" s="28">
        <v>910</v>
      </c>
      <c r="C3095" s="28"/>
      <c r="D3095" s="2" t="s">
        <v>2717</v>
      </c>
      <c r="E3095" s="7" t="s">
        <v>3359</v>
      </c>
      <c r="F3095" s="7" t="s">
        <v>2683</v>
      </c>
      <c r="G3095" s="2" t="s">
        <v>26</v>
      </c>
      <c r="H3095" s="2" t="s">
        <v>235</v>
      </c>
      <c r="I3095" s="5">
        <v>11339.69</v>
      </c>
      <c r="J3095" s="57">
        <v>0.04</v>
      </c>
      <c r="K3095" s="3">
        <v>144</v>
      </c>
      <c r="L3095" s="2" t="s">
        <v>73</v>
      </c>
      <c r="M3095" s="2" t="s">
        <v>12</v>
      </c>
      <c r="N3095" s="2" t="s">
        <v>12</v>
      </c>
      <c r="O3095" s="2" t="s">
        <v>12</v>
      </c>
      <c r="P3095" s="21" t="s">
        <v>12</v>
      </c>
      <c r="Q3095" s="3"/>
      <c r="R3095" s="3"/>
    </row>
    <row r="3096" spans="1:18" x14ac:dyDescent="0.25">
      <c r="A3096" s="30">
        <v>46167</v>
      </c>
      <c r="B3096" s="28">
        <v>911</v>
      </c>
      <c r="C3096" s="28"/>
      <c r="D3096" s="2" t="s">
        <v>95</v>
      </c>
      <c r="E3096" s="7" t="s">
        <v>12</v>
      </c>
      <c r="F3096" s="7" t="s">
        <v>2683</v>
      </c>
      <c r="G3096" s="2" t="s">
        <v>97</v>
      </c>
      <c r="H3096" s="2" t="s">
        <v>852</v>
      </c>
      <c r="I3096" s="5">
        <v>57661.74</v>
      </c>
      <c r="J3096" s="57">
        <v>7.0000000000000007E-2</v>
      </c>
      <c r="K3096" s="3">
        <v>528</v>
      </c>
      <c r="L3096" s="2" t="s">
        <v>73</v>
      </c>
      <c r="M3096" s="2" t="s">
        <v>12</v>
      </c>
      <c r="N3096" s="2" t="s">
        <v>12</v>
      </c>
      <c r="O3096" s="2" t="s">
        <v>12</v>
      </c>
      <c r="P3096" s="21" t="s">
        <v>12</v>
      </c>
      <c r="Q3096" s="3" t="s">
        <v>12</v>
      </c>
      <c r="R3096" s="3" t="s">
        <v>12</v>
      </c>
    </row>
    <row r="3097" spans="1:18" x14ac:dyDescent="0.25">
      <c r="A3097" s="30">
        <v>46167</v>
      </c>
      <c r="B3097" s="28">
        <v>912</v>
      </c>
      <c r="C3097" s="28"/>
      <c r="D3097" s="2" t="s">
        <v>212</v>
      </c>
      <c r="E3097" s="7" t="s">
        <v>3360</v>
      </c>
      <c r="F3097" s="7" t="s">
        <v>3002</v>
      </c>
      <c r="G3097" s="2" t="s">
        <v>20</v>
      </c>
      <c r="H3097" s="2" t="s">
        <v>350</v>
      </c>
      <c r="I3097" s="5">
        <v>7287.37</v>
      </c>
      <c r="J3097" s="57">
        <v>7.0000000000000007E-2</v>
      </c>
      <c r="K3097" s="3" t="s">
        <v>12</v>
      </c>
      <c r="L3097" s="2" t="s">
        <v>21</v>
      </c>
      <c r="M3097" s="2" t="s">
        <v>12</v>
      </c>
      <c r="N3097" s="2" t="s">
        <v>12</v>
      </c>
      <c r="O3097" s="2" t="s">
        <v>12</v>
      </c>
      <c r="P3097" s="21" t="s">
        <v>12</v>
      </c>
      <c r="Q3097" s="3" t="s">
        <v>12</v>
      </c>
      <c r="R3097" s="3" t="s">
        <v>12</v>
      </c>
    </row>
    <row r="3098" spans="1:18" x14ac:dyDescent="0.25">
      <c r="A3098" s="30">
        <v>46167</v>
      </c>
      <c r="B3098" s="28">
        <v>913</v>
      </c>
      <c r="C3098" s="28"/>
      <c r="D3098" s="2" t="s">
        <v>137</v>
      </c>
      <c r="E3098" s="7" t="s">
        <v>12</v>
      </c>
      <c r="F3098" s="7" t="s">
        <v>2683</v>
      </c>
      <c r="G3098" s="2" t="s">
        <v>26</v>
      </c>
      <c r="H3098" s="2" t="s">
        <v>98</v>
      </c>
      <c r="I3098" s="5">
        <v>6379.34</v>
      </c>
      <c r="J3098" s="57">
        <v>7.0000000000000007E-2</v>
      </c>
      <c r="K3098" s="3">
        <v>72</v>
      </c>
      <c r="L3098" s="2" t="s">
        <v>73</v>
      </c>
      <c r="M3098" s="2" t="s">
        <v>12</v>
      </c>
      <c r="N3098" s="2" t="s">
        <v>12</v>
      </c>
      <c r="O3098" s="2" t="s">
        <v>12</v>
      </c>
      <c r="P3098" s="21" t="s">
        <v>12</v>
      </c>
      <c r="Q3098" s="3" t="s">
        <v>12</v>
      </c>
      <c r="R3098" s="3" t="s">
        <v>12</v>
      </c>
    </row>
    <row r="3099" spans="1:18" x14ac:dyDescent="0.25">
      <c r="A3099" s="30">
        <v>46167</v>
      </c>
      <c r="B3099" s="28">
        <v>914</v>
      </c>
      <c r="C3099" s="28"/>
      <c r="D3099" s="2" t="s">
        <v>403</v>
      </c>
      <c r="E3099" s="7" t="s">
        <v>3361</v>
      </c>
      <c r="F3099" s="7" t="s">
        <v>2683</v>
      </c>
      <c r="G3099" s="2" t="s">
        <v>43</v>
      </c>
      <c r="H3099" s="2" t="s">
        <v>1732</v>
      </c>
      <c r="I3099" s="5">
        <v>178649.62</v>
      </c>
      <c r="J3099" s="57">
        <v>7.0000000000000007E-2</v>
      </c>
      <c r="K3099" s="3">
        <v>1920</v>
      </c>
      <c r="L3099" s="2" t="s">
        <v>73</v>
      </c>
      <c r="M3099" s="2" t="s">
        <v>12</v>
      </c>
      <c r="N3099" s="2" t="s">
        <v>12</v>
      </c>
      <c r="O3099" s="2" t="s">
        <v>12</v>
      </c>
      <c r="P3099" s="21" t="s">
        <v>12</v>
      </c>
      <c r="Q3099" s="3" t="s">
        <v>12</v>
      </c>
      <c r="R3099" s="3" t="s">
        <v>12</v>
      </c>
    </row>
    <row r="3100" spans="1:18" x14ac:dyDescent="0.25">
      <c r="A3100" s="30">
        <v>46167</v>
      </c>
      <c r="B3100" s="28">
        <v>915</v>
      </c>
      <c r="C3100" s="28"/>
      <c r="D3100" s="2" t="s">
        <v>23</v>
      </c>
      <c r="E3100" s="7" t="s">
        <v>12</v>
      </c>
      <c r="F3100" s="7" t="s">
        <v>2683</v>
      </c>
      <c r="G3100" s="2" t="s">
        <v>20</v>
      </c>
      <c r="H3100" s="2" t="s">
        <v>32</v>
      </c>
      <c r="I3100" s="5">
        <v>12221.64</v>
      </c>
      <c r="J3100" s="57">
        <v>0.04</v>
      </c>
      <c r="K3100" s="3">
        <v>192</v>
      </c>
      <c r="L3100" s="2" t="s">
        <v>64</v>
      </c>
      <c r="M3100" s="2" t="s">
        <v>12</v>
      </c>
      <c r="N3100" s="2" t="s">
        <v>12</v>
      </c>
      <c r="O3100" s="2" t="s">
        <v>12</v>
      </c>
      <c r="P3100" s="21" t="s">
        <v>12</v>
      </c>
      <c r="Q3100" s="3" t="s">
        <v>12</v>
      </c>
      <c r="R3100" s="3" t="s">
        <v>12</v>
      </c>
    </row>
    <row r="3101" spans="1:18" x14ac:dyDescent="0.25">
      <c r="A3101" s="30">
        <v>46167</v>
      </c>
      <c r="B3101" s="28">
        <v>916</v>
      </c>
      <c r="C3101" s="28"/>
      <c r="D3101" s="2" t="s">
        <v>3134</v>
      </c>
      <c r="E3101" s="7" t="s">
        <v>3362</v>
      </c>
      <c r="F3101" s="7" t="s">
        <v>2733</v>
      </c>
      <c r="G3101" s="2" t="s">
        <v>13</v>
      </c>
      <c r="H3101" s="2" t="s">
        <v>390</v>
      </c>
      <c r="I3101" s="5">
        <v>59626.52</v>
      </c>
      <c r="J3101" s="57">
        <v>7.0000000000000007E-2</v>
      </c>
      <c r="K3101" s="3">
        <v>624</v>
      </c>
      <c r="L3101" s="2" t="s">
        <v>73</v>
      </c>
      <c r="M3101" s="2" t="s">
        <v>12</v>
      </c>
      <c r="N3101" s="2" t="s">
        <v>12</v>
      </c>
      <c r="O3101" s="2" t="s">
        <v>12</v>
      </c>
      <c r="P3101" s="21" t="s">
        <v>12</v>
      </c>
      <c r="Q3101" s="3" t="s">
        <v>3414</v>
      </c>
      <c r="R3101" s="3" t="s">
        <v>75</v>
      </c>
    </row>
    <row r="3102" spans="1:18" x14ac:dyDescent="0.25">
      <c r="A3102" s="30">
        <v>46168</v>
      </c>
      <c r="B3102" s="28">
        <v>917</v>
      </c>
      <c r="C3102" s="28"/>
      <c r="D3102" s="2" t="s">
        <v>95</v>
      </c>
      <c r="E3102" s="7" t="s">
        <v>3363</v>
      </c>
      <c r="F3102" s="7" t="s">
        <v>3003</v>
      </c>
      <c r="G3102" s="2" t="s">
        <v>97</v>
      </c>
      <c r="H3102" s="2" t="s">
        <v>98</v>
      </c>
      <c r="I3102" s="5">
        <v>7588.1</v>
      </c>
      <c r="J3102" s="57">
        <v>7.0000000000000007E-2</v>
      </c>
      <c r="K3102" s="3" t="s">
        <v>12</v>
      </c>
      <c r="L3102" s="2" t="s">
        <v>64</v>
      </c>
      <c r="M3102" s="2" t="s">
        <v>12</v>
      </c>
      <c r="N3102" s="2" t="s">
        <v>12</v>
      </c>
      <c r="O3102" s="2" t="s">
        <v>12</v>
      </c>
      <c r="P3102" s="21" t="s">
        <v>12</v>
      </c>
      <c r="Q3102" s="3" t="s">
        <v>12</v>
      </c>
      <c r="R3102" s="3" t="s">
        <v>12</v>
      </c>
    </row>
    <row r="3103" spans="1:18" x14ac:dyDescent="0.25">
      <c r="A3103" s="30">
        <v>46169</v>
      </c>
      <c r="B3103" s="28">
        <v>918</v>
      </c>
      <c r="C3103" s="28" t="s">
        <v>2162</v>
      </c>
      <c r="D3103" s="2" t="s">
        <v>256</v>
      </c>
      <c r="E3103" s="7" t="s">
        <v>12</v>
      </c>
      <c r="F3103" s="7" t="s">
        <v>2683</v>
      </c>
      <c r="G3103" s="2" t="s">
        <v>20</v>
      </c>
      <c r="H3103" s="2" t="s">
        <v>1000</v>
      </c>
      <c r="I3103" s="5">
        <v>2789.58</v>
      </c>
      <c r="J3103" s="57">
        <v>0.04</v>
      </c>
      <c r="K3103" s="3">
        <v>24</v>
      </c>
      <c r="L3103" s="2" t="s">
        <v>64</v>
      </c>
      <c r="M3103" s="2"/>
      <c r="N3103" s="2"/>
      <c r="O3103" s="2"/>
      <c r="P3103" s="21"/>
      <c r="Q3103" s="3" t="s">
        <v>12</v>
      </c>
      <c r="R3103" s="3" t="s">
        <v>12</v>
      </c>
    </row>
    <row r="3104" spans="1:18" x14ac:dyDescent="0.25">
      <c r="A3104" s="30">
        <v>46168</v>
      </c>
      <c r="B3104" s="28">
        <v>919</v>
      </c>
      <c r="C3104" s="28"/>
      <c r="D3104" s="2" t="s">
        <v>3307</v>
      </c>
      <c r="E3104" s="7" t="s">
        <v>3308</v>
      </c>
      <c r="F3104" s="7" t="s">
        <v>2879</v>
      </c>
      <c r="G3104" s="2" t="s">
        <v>97</v>
      </c>
      <c r="H3104" s="2" t="s">
        <v>438</v>
      </c>
      <c r="I3104" s="5">
        <v>89097.61</v>
      </c>
      <c r="J3104" s="57">
        <v>7.0000000000000007E-2</v>
      </c>
      <c r="K3104" s="3">
        <v>936</v>
      </c>
      <c r="L3104" s="2" t="s">
        <v>73</v>
      </c>
      <c r="M3104" s="2" t="s">
        <v>12</v>
      </c>
      <c r="N3104" s="2" t="s">
        <v>12</v>
      </c>
      <c r="O3104" s="2" t="s">
        <v>12</v>
      </c>
      <c r="P3104" s="21"/>
      <c r="Q3104" s="3" t="s">
        <v>12</v>
      </c>
      <c r="R3104" s="3"/>
    </row>
    <row r="3105" spans="1:18" x14ac:dyDescent="0.25">
      <c r="A3105" s="30">
        <v>46168</v>
      </c>
      <c r="B3105" s="28">
        <v>920</v>
      </c>
      <c r="C3105" s="28"/>
      <c r="D3105" s="2" t="s">
        <v>87</v>
      </c>
      <c r="E3105" s="7" t="s">
        <v>3364</v>
      </c>
      <c r="F3105" s="7" t="s">
        <v>2683</v>
      </c>
      <c r="G3105" s="2" t="s">
        <v>13</v>
      </c>
      <c r="H3105" s="2" t="s">
        <v>185</v>
      </c>
      <c r="I3105" s="5">
        <v>61128.54</v>
      </c>
      <c r="J3105" s="57">
        <v>7.0000000000000007E-2</v>
      </c>
      <c r="K3105" s="3">
        <v>624</v>
      </c>
      <c r="L3105" s="2" t="s">
        <v>73</v>
      </c>
      <c r="M3105" s="2" t="s">
        <v>12</v>
      </c>
      <c r="N3105" s="2" t="s">
        <v>12</v>
      </c>
      <c r="O3105" s="2" t="s">
        <v>12</v>
      </c>
      <c r="P3105" s="21" t="s">
        <v>12</v>
      </c>
      <c r="Q3105" s="3" t="s">
        <v>311</v>
      </c>
      <c r="R3105" s="3" t="s">
        <v>80</v>
      </c>
    </row>
    <row r="3106" spans="1:18" x14ac:dyDescent="0.25">
      <c r="A3106" s="30">
        <v>46169</v>
      </c>
      <c r="B3106" s="28">
        <v>921</v>
      </c>
      <c r="C3106" s="28"/>
      <c r="D3106" s="2" t="s">
        <v>130</v>
      </c>
      <c r="E3106" s="7" t="s">
        <v>3365</v>
      </c>
      <c r="F3106" s="7" t="s">
        <v>2683</v>
      </c>
      <c r="G3106" s="2" t="s">
        <v>26</v>
      </c>
      <c r="H3106" s="2" t="s">
        <v>129</v>
      </c>
      <c r="I3106" s="5">
        <v>32521.07</v>
      </c>
      <c r="J3106" s="57">
        <v>0.04</v>
      </c>
      <c r="K3106" s="3">
        <v>432</v>
      </c>
      <c r="L3106" s="2" t="s">
        <v>73</v>
      </c>
      <c r="M3106" s="2" t="s">
        <v>12</v>
      </c>
      <c r="N3106" s="2" t="s">
        <v>12</v>
      </c>
      <c r="O3106" s="2" t="s">
        <v>12</v>
      </c>
      <c r="P3106" s="21" t="s">
        <v>12</v>
      </c>
      <c r="Q3106" s="3" t="s">
        <v>12</v>
      </c>
      <c r="R3106" s="3" t="s">
        <v>12</v>
      </c>
    </row>
    <row r="3107" spans="1:18" x14ac:dyDescent="0.25">
      <c r="A3107" s="30">
        <v>46169</v>
      </c>
      <c r="B3107" s="28">
        <v>922</v>
      </c>
      <c r="C3107" s="28"/>
      <c r="D3107" s="2" t="s">
        <v>1711</v>
      </c>
      <c r="E3107" s="7" t="s">
        <v>3366</v>
      </c>
      <c r="F3107" s="7" t="s">
        <v>1844</v>
      </c>
      <c r="G3107" s="2" t="s">
        <v>13</v>
      </c>
      <c r="H3107" s="2" t="s">
        <v>1321</v>
      </c>
      <c r="I3107" s="5">
        <v>112827.74</v>
      </c>
      <c r="J3107" s="57">
        <v>7.0000000000000007E-2</v>
      </c>
      <c r="K3107" s="3">
        <v>1128</v>
      </c>
      <c r="L3107" s="2" t="s">
        <v>73</v>
      </c>
      <c r="M3107" s="2" t="s">
        <v>12</v>
      </c>
      <c r="N3107" s="2" t="s">
        <v>12</v>
      </c>
      <c r="O3107" s="2" t="s">
        <v>12</v>
      </c>
      <c r="P3107" s="21" t="s">
        <v>12</v>
      </c>
      <c r="Q3107" s="3" t="s">
        <v>457</v>
      </c>
      <c r="R3107" s="3" t="s">
        <v>80</v>
      </c>
    </row>
    <row r="3108" spans="1:18" x14ac:dyDescent="0.25">
      <c r="A3108" s="30">
        <v>46169</v>
      </c>
      <c r="B3108" s="28">
        <v>923</v>
      </c>
      <c r="C3108" s="28"/>
      <c r="D3108" s="2" t="s">
        <v>171</v>
      </c>
      <c r="E3108" s="7" t="s">
        <v>12</v>
      </c>
      <c r="F3108" s="7" t="s">
        <v>2683</v>
      </c>
      <c r="G3108" s="2" t="s">
        <v>26</v>
      </c>
      <c r="H3108" s="2" t="s">
        <v>244</v>
      </c>
      <c r="I3108" s="5">
        <v>10030.33</v>
      </c>
      <c r="J3108" s="57">
        <v>0.04</v>
      </c>
      <c r="K3108" s="3">
        <v>72</v>
      </c>
      <c r="L3108" s="2" t="s">
        <v>64</v>
      </c>
      <c r="M3108" s="2" t="s">
        <v>12</v>
      </c>
      <c r="N3108" s="2" t="s">
        <v>12</v>
      </c>
      <c r="O3108" s="2" t="s">
        <v>12</v>
      </c>
      <c r="P3108" s="21" t="s">
        <v>12</v>
      </c>
      <c r="Q3108" s="3" t="s">
        <v>12</v>
      </c>
      <c r="R3108" s="3" t="s">
        <v>12</v>
      </c>
    </row>
    <row r="3109" spans="1:18" x14ac:dyDescent="0.25">
      <c r="A3109" s="30">
        <v>46169</v>
      </c>
      <c r="B3109" s="28">
        <v>924</v>
      </c>
      <c r="C3109" s="28"/>
      <c r="D3109" s="2" t="s">
        <v>124</v>
      </c>
      <c r="E3109" s="7" t="s">
        <v>3367</v>
      </c>
      <c r="F3109" s="7" t="s">
        <v>2683</v>
      </c>
      <c r="G3109" s="2" t="s">
        <v>20</v>
      </c>
      <c r="H3109" s="2" t="s">
        <v>119</v>
      </c>
      <c r="I3109" s="5">
        <v>7908.95</v>
      </c>
      <c r="J3109" s="57">
        <v>0.04</v>
      </c>
      <c r="K3109" s="3">
        <v>120</v>
      </c>
      <c r="L3109" s="2" t="s">
        <v>73</v>
      </c>
      <c r="M3109" s="2" t="s">
        <v>12</v>
      </c>
      <c r="N3109" s="2" t="s">
        <v>12</v>
      </c>
      <c r="O3109" s="2" t="s">
        <v>12</v>
      </c>
      <c r="P3109" s="21" t="s">
        <v>12</v>
      </c>
      <c r="Q3109" s="3" t="s">
        <v>12</v>
      </c>
      <c r="R3109" s="3" t="s">
        <v>12</v>
      </c>
    </row>
    <row r="3110" spans="1:18" x14ac:dyDescent="0.25">
      <c r="A3110" s="30">
        <v>46169</v>
      </c>
      <c r="B3110" s="28">
        <v>925</v>
      </c>
      <c r="C3110" s="28"/>
      <c r="D3110" s="2" t="s">
        <v>321</v>
      </c>
      <c r="E3110" s="7" t="s">
        <v>12</v>
      </c>
      <c r="F3110" s="7" t="s">
        <v>2683</v>
      </c>
      <c r="G3110" s="2" t="s">
        <v>111</v>
      </c>
      <c r="H3110" s="2" t="s">
        <v>322</v>
      </c>
      <c r="I3110" s="5">
        <v>7362.38</v>
      </c>
      <c r="J3110" s="57">
        <v>7.0000000000000007E-2</v>
      </c>
      <c r="K3110" s="3" t="s">
        <v>12</v>
      </c>
      <c r="L3110" s="2" t="s">
        <v>64</v>
      </c>
      <c r="M3110" s="2" t="s">
        <v>12</v>
      </c>
      <c r="N3110" s="2" t="s">
        <v>12</v>
      </c>
      <c r="O3110" s="2" t="s">
        <v>12</v>
      </c>
      <c r="P3110" s="21" t="s">
        <v>12</v>
      </c>
      <c r="Q3110" s="3" t="s">
        <v>12</v>
      </c>
      <c r="R3110" s="3" t="s">
        <v>12</v>
      </c>
    </row>
    <row r="3111" spans="1:18" x14ac:dyDescent="0.25">
      <c r="A3111" s="30">
        <v>46169</v>
      </c>
      <c r="B3111" s="28">
        <v>926</v>
      </c>
      <c r="C3111" s="28" t="s">
        <v>2161</v>
      </c>
      <c r="D3111" s="2" t="s">
        <v>433</v>
      </c>
      <c r="E3111" s="7" t="s">
        <v>3424</v>
      </c>
      <c r="F3111" s="7" t="s">
        <v>1844</v>
      </c>
      <c r="G3111" s="2" t="s">
        <v>97</v>
      </c>
      <c r="H3111" s="2" t="s">
        <v>275</v>
      </c>
      <c r="I3111" s="5">
        <v>39228.019999999997</v>
      </c>
      <c r="J3111" s="57">
        <v>0.04</v>
      </c>
      <c r="K3111" s="3">
        <v>384</v>
      </c>
      <c r="L3111" s="2" t="s">
        <v>64</v>
      </c>
      <c r="M3111" s="2" t="s">
        <v>12</v>
      </c>
      <c r="N3111" s="2" t="s">
        <v>12</v>
      </c>
      <c r="O3111" s="2" t="s">
        <v>12</v>
      </c>
      <c r="P3111" s="21" t="s">
        <v>12</v>
      </c>
      <c r="Q3111" s="3" t="s">
        <v>12</v>
      </c>
      <c r="R3111" s="3" t="s">
        <v>12</v>
      </c>
    </row>
    <row r="3112" spans="1:18" x14ac:dyDescent="0.25">
      <c r="A3112" s="30">
        <v>46169</v>
      </c>
      <c r="B3112" s="28">
        <v>927</v>
      </c>
      <c r="C3112" s="28"/>
      <c r="D3112" s="2" t="s">
        <v>342</v>
      </c>
      <c r="E3112" s="7" t="s">
        <v>3368</v>
      </c>
      <c r="F3112" s="7" t="s">
        <v>2683</v>
      </c>
      <c r="G3112" s="2" t="s">
        <v>13</v>
      </c>
      <c r="H3112" s="2" t="s">
        <v>344</v>
      </c>
      <c r="I3112" s="5">
        <v>8332.91</v>
      </c>
      <c r="J3112" s="57">
        <v>7.0000000000000007E-2</v>
      </c>
      <c r="K3112" s="3">
        <v>96</v>
      </c>
      <c r="L3112" s="2" t="s">
        <v>73</v>
      </c>
      <c r="M3112" s="2" t="s">
        <v>12</v>
      </c>
      <c r="N3112" s="2" t="s">
        <v>12</v>
      </c>
      <c r="O3112" s="2" t="s">
        <v>12</v>
      </c>
      <c r="P3112" s="21" t="s">
        <v>12</v>
      </c>
      <c r="Q3112" s="3" t="s">
        <v>12</v>
      </c>
      <c r="R3112" s="3" t="s">
        <v>12</v>
      </c>
    </row>
    <row r="3113" spans="1:18" x14ac:dyDescent="0.25">
      <c r="A3113" s="30">
        <v>46169</v>
      </c>
      <c r="B3113" s="28">
        <v>928</v>
      </c>
      <c r="C3113" s="28"/>
      <c r="D3113" s="2" t="s">
        <v>109</v>
      </c>
      <c r="E3113" s="7" t="s">
        <v>699</v>
      </c>
      <c r="F3113" s="7" t="s">
        <v>3003</v>
      </c>
      <c r="G3113" s="2" t="s">
        <v>111</v>
      </c>
      <c r="H3113" s="2" t="s">
        <v>346</v>
      </c>
      <c r="I3113" s="5">
        <v>38472.54</v>
      </c>
      <c r="J3113" s="57">
        <v>7.0000000000000007E-2</v>
      </c>
      <c r="K3113" s="3" t="s">
        <v>12</v>
      </c>
      <c r="L3113" s="2" t="s">
        <v>21</v>
      </c>
      <c r="M3113" s="2" t="s">
        <v>12</v>
      </c>
      <c r="N3113" s="2" t="s">
        <v>12</v>
      </c>
      <c r="O3113" s="2" t="s">
        <v>12</v>
      </c>
      <c r="P3113" s="21" t="s">
        <v>12</v>
      </c>
      <c r="Q3113" s="3" t="s">
        <v>12</v>
      </c>
      <c r="R3113" s="3" t="s">
        <v>12</v>
      </c>
    </row>
    <row r="3114" spans="1:18" x14ac:dyDescent="0.25">
      <c r="A3114" s="30">
        <v>46169</v>
      </c>
      <c r="B3114" s="28">
        <v>929</v>
      </c>
      <c r="C3114" s="28"/>
      <c r="D3114" s="2" t="s">
        <v>41</v>
      </c>
      <c r="E3114" s="7" t="s">
        <v>3369</v>
      </c>
      <c r="F3114" s="7" t="s">
        <v>2972</v>
      </c>
      <c r="G3114" s="2" t="s">
        <v>13</v>
      </c>
      <c r="H3114" s="2" t="s">
        <v>319</v>
      </c>
      <c r="I3114" s="5">
        <v>148800.35999999999</v>
      </c>
      <c r="J3114" s="57">
        <v>0.05</v>
      </c>
      <c r="K3114" s="3">
        <v>1608</v>
      </c>
      <c r="L3114" s="2" t="s">
        <v>73</v>
      </c>
      <c r="M3114" s="2" t="s">
        <v>12</v>
      </c>
      <c r="N3114" s="2" t="s">
        <v>12</v>
      </c>
      <c r="O3114" s="2" t="s">
        <v>12</v>
      </c>
      <c r="P3114" s="21" t="s">
        <v>12</v>
      </c>
      <c r="Q3114" s="3" t="s">
        <v>3415</v>
      </c>
      <c r="R3114" s="3" t="s">
        <v>75</v>
      </c>
    </row>
    <row r="3115" spans="1:18" x14ac:dyDescent="0.25">
      <c r="A3115" s="30">
        <v>46169</v>
      </c>
      <c r="B3115" s="28">
        <v>930</v>
      </c>
      <c r="C3115" s="28"/>
      <c r="D3115" s="2" t="s">
        <v>276</v>
      </c>
      <c r="E3115" s="7" t="s">
        <v>1324</v>
      </c>
      <c r="F3115" s="7" t="s">
        <v>1844</v>
      </c>
      <c r="G3115" s="2" t="s">
        <v>43</v>
      </c>
      <c r="H3115" s="2" t="s">
        <v>108</v>
      </c>
      <c r="I3115" s="5">
        <v>3440.45</v>
      </c>
      <c r="J3115" s="57">
        <v>7.0000000000000007E-2</v>
      </c>
      <c r="K3115" s="3">
        <v>48</v>
      </c>
      <c r="L3115" s="2" t="s">
        <v>73</v>
      </c>
      <c r="M3115" s="2" t="s">
        <v>12</v>
      </c>
      <c r="N3115" s="2" t="s">
        <v>12</v>
      </c>
      <c r="O3115" s="2" t="s">
        <v>12</v>
      </c>
      <c r="P3115" s="21" t="s">
        <v>12</v>
      </c>
      <c r="Q3115" s="3" t="s">
        <v>12</v>
      </c>
      <c r="R3115" s="3" t="s">
        <v>12</v>
      </c>
    </row>
    <row r="3116" spans="1:18" x14ac:dyDescent="0.25">
      <c r="A3116" s="30">
        <v>46169</v>
      </c>
      <c r="B3116" s="28">
        <v>931</v>
      </c>
      <c r="C3116" s="28"/>
      <c r="D3116" s="2" t="s">
        <v>276</v>
      </c>
      <c r="E3116" s="7" t="s">
        <v>1325</v>
      </c>
      <c r="F3116" s="7" t="s">
        <v>1844</v>
      </c>
      <c r="G3116" s="2" t="s">
        <v>43</v>
      </c>
      <c r="H3116" s="2" t="s">
        <v>108</v>
      </c>
      <c r="I3116" s="5">
        <v>6198.52</v>
      </c>
      <c r="J3116" s="57">
        <v>7.0000000000000007E-2</v>
      </c>
      <c r="K3116" s="3">
        <v>72</v>
      </c>
      <c r="L3116" s="2" t="s">
        <v>73</v>
      </c>
      <c r="M3116" s="2" t="s">
        <v>12</v>
      </c>
      <c r="N3116" s="2" t="s">
        <v>12</v>
      </c>
      <c r="O3116" s="2" t="s">
        <v>12</v>
      </c>
      <c r="P3116" s="21" t="s">
        <v>12</v>
      </c>
      <c r="Q3116" s="3" t="s">
        <v>12</v>
      </c>
      <c r="R3116" s="3" t="s">
        <v>12</v>
      </c>
    </row>
    <row r="3117" spans="1:18" x14ac:dyDescent="0.25">
      <c r="A3117" s="30">
        <v>46169</v>
      </c>
      <c r="B3117" s="28">
        <v>932</v>
      </c>
      <c r="C3117" s="28"/>
      <c r="D3117" s="2" t="s">
        <v>276</v>
      </c>
      <c r="E3117" s="7" t="s">
        <v>1326</v>
      </c>
      <c r="F3117" s="7" t="s">
        <v>1844</v>
      </c>
      <c r="G3117" s="2" t="s">
        <v>43</v>
      </c>
      <c r="H3117" s="2" t="s">
        <v>108</v>
      </c>
      <c r="I3117" s="5">
        <v>3618.37</v>
      </c>
      <c r="J3117" s="57">
        <v>7.0000000000000007E-2</v>
      </c>
      <c r="K3117" s="3">
        <v>48</v>
      </c>
      <c r="L3117" s="2" t="s">
        <v>73</v>
      </c>
      <c r="M3117" s="2" t="s">
        <v>12</v>
      </c>
      <c r="N3117" s="2" t="s">
        <v>12</v>
      </c>
      <c r="O3117" s="2" t="s">
        <v>12</v>
      </c>
      <c r="P3117" s="21" t="s">
        <v>12</v>
      </c>
      <c r="Q3117" s="3" t="s">
        <v>12</v>
      </c>
      <c r="R3117" s="3" t="s">
        <v>12</v>
      </c>
    </row>
    <row r="3118" spans="1:18" x14ac:dyDescent="0.25">
      <c r="A3118" s="30">
        <v>46169</v>
      </c>
      <c r="B3118" s="28">
        <v>933</v>
      </c>
      <c r="C3118" s="28"/>
      <c r="D3118" s="2" t="s">
        <v>3370</v>
      </c>
      <c r="E3118" s="7" t="s">
        <v>3371</v>
      </c>
      <c r="F3118" s="7" t="s">
        <v>2683</v>
      </c>
      <c r="G3118" s="2" t="s">
        <v>43</v>
      </c>
      <c r="H3118" s="2" t="s">
        <v>1037</v>
      </c>
      <c r="I3118" s="5">
        <v>110306.21</v>
      </c>
      <c r="J3118" s="57">
        <v>7.0000000000000007E-2</v>
      </c>
      <c r="K3118" s="3">
        <v>982.8</v>
      </c>
      <c r="L3118" s="2" t="s">
        <v>73</v>
      </c>
      <c r="M3118" s="2" t="s">
        <v>12</v>
      </c>
      <c r="N3118" s="2" t="s">
        <v>12</v>
      </c>
      <c r="O3118" s="2" t="s">
        <v>12</v>
      </c>
      <c r="P3118" s="21" t="s">
        <v>12</v>
      </c>
      <c r="Q3118" s="3" t="s">
        <v>12</v>
      </c>
      <c r="R3118" s="3" t="s">
        <v>12</v>
      </c>
    </row>
    <row r="3119" spans="1:18" x14ac:dyDescent="0.25">
      <c r="A3119" s="30">
        <v>46169</v>
      </c>
      <c r="B3119" s="28">
        <v>934</v>
      </c>
      <c r="C3119" s="28"/>
      <c r="D3119" s="2" t="s">
        <v>434</v>
      </c>
      <c r="E3119" s="7" t="s">
        <v>3282</v>
      </c>
      <c r="F3119" s="7" t="s">
        <v>2787</v>
      </c>
      <c r="G3119" s="2" t="s">
        <v>97</v>
      </c>
      <c r="H3119" s="2" t="s">
        <v>242</v>
      </c>
      <c r="I3119" s="5">
        <v>35668.019999999997</v>
      </c>
      <c r="J3119" s="57">
        <v>7.0000000000000007E-2</v>
      </c>
      <c r="K3119" s="3">
        <v>336</v>
      </c>
      <c r="L3119" s="2" t="s">
        <v>73</v>
      </c>
      <c r="M3119" s="2" t="s">
        <v>12</v>
      </c>
      <c r="N3119" s="2" t="s">
        <v>12</v>
      </c>
      <c r="O3119" s="2" t="s">
        <v>12</v>
      </c>
      <c r="P3119" s="21" t="s">
        <v>12</v>
      </c>
      <c r="Q3119" s="3" t="s">
        <v>3300</v>
      </c>
      <c r="R3119" s="3" t="s">
        <v>80</v>
      </c>
    </row>
    <row r="3120" spans="1:18" x14ac:dyDescent="0.25">
      <c r="A3120" s="30">
        <v>46169</v>
      </c>
      <c r="B3120" s="28">
        <v>935</v>
      </c>
      <c r="C3120" s="28"/>
      <c r="D3120" s="2" t="s">
        <v>353</v>
      </c>
      <c r="E3120" s="7">
        <v>65930</v>
      </c>
      <c r="F3120" s="7" t="s">
        <v>2683</v>
      </c>
      <c r="G3120" s="2" t="s">
        <v>13</v>
      </c>
      <c r="H3120" s="2" t="s">
        <v>483</v>
      </c>
      <c r="I3120" s="5">
        <v>43462.35</v>
      </c>
      <c r="J3120" s="57">
        <v>7.0000000000000007E-2</v>
      </c>
      <c r="K3120" s="3">
        <v>432</v>
      </c>
      <c r="L3120" s="2" t="s">
        <v>73</v>
      </c>
      <c r="M3120" s="2" t="s">
        <v>12</v>
      </c>
      <c r="N3120" s="2" t="s">
        <v>12</v>
      </c>
      <c r="O3120" s="2" t="s">
        <v>12</v>
      </c>
      <c r="P3120" s="21" t="s">
        <v>12</v>
      </c>
      <c r="Q3120" s="3" t="s">
        <v>12</v>
      </c>
      <c r="R3120" s="3" t="s">
        <v>12</v>
      </c>
    </row>
    <row r="3121" spans="1:18" x14ac:dyDescent="0.25">
      <c r="A3121" s="30">
        <v>46169</v>
      </c>
      <c r="B3121" s="28">
        <v>936</v>
      </c>
      <c r="C3121" s="28"/>
      <c r="D3121" s="2" t="s">
        <v>115</v>
      </c>
      <c r="E3121" s="7" t="s">
        <v>12</v>
      </c>
      <c r="F3121" s="7" t="s">
        <v>2683</v>
      </c>
      <c r="G3121" s="2" t="s">
        <v>20</v>
      </c>
      <c r="H3121" s="2" t="s">
        <v>116</v>
      </c>
      <c r="I3121" s="5">
        <v>2424.04</v>
      </c>
      <c r="J3121" s="57">
        <v>7.0000000000000007E-2</v>
      </c>
      <c r="K3121" s="3" t="s">
        <v>12</v>
      </c>
      <c r="L3121" s="2" t="s">
        <v>64</v>
      </c>
      <c r="M3121" s="2" t="s">
        <v>12</v>
      </c>
      <c r="N3121" s="2" t="s">
        <v>12</v>
      </c>
      <c r="O3121" s="2" t="s">
        <v>12</v>
      </c>
      <c r="P3121" s="21" t="s">
        <v>12</v>
      </c>
      <c r="Q3121" s="3" t="s">
        <v>12</v>
      </c>
      <c r="R3121" s="3" t="s">
        <v>12</v>
      </c>
    </row>
    <row r="3122" spans="1:18" x14ac:dyDescent="0.25">
      <c r="A3122" s="30">
        <v>46166</v>
      </c>
      <c r="B3122" s="28">
        <v>937</v>
      </c>
      <c r="C3122" s="28"/>
      <c r="D3122" s="2" t="s">
        <v>3370</v>
      </c>
      <c r="E3122" s="7" t="s">
        <v>2785</v>
      </c>
      <c r="F3122" s="7" t="s">
        <v>2683</v>
      </c>
      <c r="G3122" s="2" t="s">
        <v>43</v>
      </c>
      <c r="H3122" s="2" t="s">
        <v>294</v>
      </c>
      <c r="I3122" s="5">
        <v>25089.45</v>
      </c>
      <c r="J3122" s="57">
        <v>0.04</v>
      </c>
      <c r="K3122" s="3">
        <v>360</v>
      </c>
      <c r="L3122" s="2" t="s">
        <v>64</v>
      </c>
      <c r="M3122" s="2" t="s">
        <v>12</v>
      </c>
      <c r="N3122" s="2" t="s">
        <v>12</v>
      </c>
      <c r="O3122" s="2" t="s">
        <v>12</v>
      </c>
      <c r="P3122" s="21" t="s">
        <v>12</v>
      </c>
      <c r="Q3122" s="3" t="s">
        <v>12</v>
      </c>
      <c r="R3122" s="3" t="s">
        <v>12</v>
      </c>
    </row>
    <row r="3123" spans="1:18" x14ac:dyDescent="0.25">
      <c r="A3123" s="30">
        <v>46175</v>
      </c>
      <c r="B3123" s="28">
        <v>938</v>
      </c>
      <c r="C3123" s="28" t="s">
        <v>2161</v>
      </c>
      <c r="D3123" s="2" t="s">
        <v>23</v>
      </c>
      <c r="E3123" s="7" t="s">
        <v>3382</v>
      </c>
      <c r="F3123" s="7" t="s">
        <v>3001</v>
      </c>
      <c r="G3123" s="2" t="s">
        <v>20</v>
      </c>
      <c r="H3123" s="2" t="s">
        <v>32</v>
      </c>
      <c r="I3123" s="5">
        <v>26249.13</v>
      </c>
      <c r="J3123" s="57">
        <v>0.04</v>
      </c>
      <c r="K3123" s="3">
        <v>384</v>
      </c>
      <c r="L3123" s="2" t="s">
        <v>21</v>
      </c>
      <c r="M3123" s="2" t="s">
        <v>12</v>
      </c>
      <c r="N3123" s="2" t="s">
        <v>12</v>
      </c>
      <c r="O3123" s="2" t="s">
        <v>12</v>
      </c>
      <c r="P3123" s="21" t="s">
        <v>12</v>
      </c>
      <c r="Q3123" s="3" t="s">
        <v>12</v>
      </c>
      <c r="R3123" s="3" t="s">
        <v>12</v>
      </c>
    </row>
    <row r="3124" spans="1:18" x14ac:dyDescent="0.25">
      <c r="A3124" s="30">
        <v>46170</v>
      </c>
      <c r="B3124" s="28">
        <v>939</v>
      </c>
      <c r="C3124" s="28"/>
      <c r="D3124" s="2" t="s">
        <v>56</v>
      </c>
      <c r="E3124" s="7" t="s">
        <v>3383</v>
      </c>
      <c r="F3124" s="7" t="s">
        <v>2972</v>
      </c>
      <c r="G3124" s="2" t="s">
        <v>43</v>
      </c>
      <c r="H3124" s="2" t="s">
        <v>13</v>
      </c>
      <c r="I3124" s="5">
        <v>76228.22</v>
      </c>
      <c r="J3124" s="57">
        <v>7.0000000000000007E-2</v>
      </c>
      <c r="K3124" s="3">
        <v>768</v>
      </c>
      <c r="L3124" s="2" t="s">
        <v>73</v>
      </c>
      <c r="M3124" s="2" t="s">
        <v>12</v>
      </c>
      <c r="N3124" s="2" t="s">
        <v>12</v>
      </c>
      <c r="O3124" s="2" t="s">
        <v>12</v>
      </c>
      <c r="P3124" s="21" t="s">
        <v>12</v>
      </c>
      <c r="Q3124" s="3" t="s">
        <v>2494</v>
      </c>
      <c r="R3124" s="3" t="s">
        <v>80</v>
      </c>
    </row>
    <row r="3125" spans="1:18" x14ac:dyDescent="0.25">
      <c r="A3125" s="30">
        <v>46175</v>
      </c>
      <c r="B3125" s="28">
        <v>940</v>
      </c>
      <c r="C3125" s="28" t="s">
        <v>2161</v>
      </c>
      <c r="D3125" s="2" t="s">
        <v>644</v>
      </c>
      <c r="E3125" s="7" t="s">
        <v>12</v>
      </c>
      <c r="F3125" s="7" t="s">
        <v>2683</v>
      </c>
      <c r="G3125" s="2" t="s">
        <v>13</v>
      </c>
      <c r="H3125" s="2" t="s">
        <v>2831</v>
      </c>
      <c r="I3125" s="5">
        <v>2059.6999999999998</v>
      </c>
      <c r="J3125" s="57">
        <v>7.0000000000000007E-2</v>
      </c>
      <c r="K3125" s="3" t="s">
        <v>12</v>
      </c>
      <c r="L3125" s="2" t="s">
        <v>64</v>
      </c>
      <c r="M3125" s="2" t="s">
        <v>12</v>
      </c>
      <c r="N3125" s="2" t="s">
        <v>12</v>
      </c>
      <c r="O3125" s="2" t="s">
        <v>12</v>
      </c>
      <c r="P3125" s="21" t="s">
        <v>12</v>
      </c>
      <c r="Q3125" s="3" t="s">
        <v>12</v>
      </c>
      <c r="R3125" s="3" t="s">
        <v>12</v>
      </c>
    </row>
    <row r="3126" spans="1:18" x14ac:dyDescent="0.25">
      <c r="A3126" s="30">
        <v>46170</v>
      </c>
      <c r="B3126" s="28">
        <v>941</v>
      </c>
      <c r="C3126" s="28"/>
      <c r="D3126" s="2" t="s">
        <v>276</v>
      </c>
      <c r="E3126" s="7" t="s">
        <v>3384</v>
      </c>
      <c r="F3126" s="7" t="s">
        <v>3001</v>
      </c>
      <c r="G3126" s="2" t="s">
        <v>43</v>
      </c>
      <c r="H3126" s="2" t="s">
        <v>108</v>
      </c>
      <c r="I3126" s="5">
        <v>95757.77</v>
      </c>
      <c r="J3126" s="57">
        <v>7.0000000000000007E-2</v>
      </c>
      <c r="K3126" s="3">
        <v>984</v>
      </c>
      <c r="L3126" s="2" t="s">
        <v>73</v>
      </c>
      <c r="M3126" s="2" t="s">
        <v>12</v>
      </c>
      <c r="N3126" s="2" t="s">
        <v>12</v>
      </c>
      <c r="O3126" s="2" t="s">
        <v>12</v>
      </c>
      <c r="P3126" s="21" t="s">
        <v>12</v>
      </c>
      <c r="Q3126" s="3" t="s">
        <v>12</v>
      </c>
      <c r="R3126" s="3" t="s">
        <v>12</v>
      </c>
    </row>
    <row r="3127" spans="1:18" x14ac:dyDescent="0.25">
      <c r="A3127" s="30">
        <v>46171</v>
      </c>
      <c r="B3127" s="28">
        <v>942</v>
      </c>
      <c r="C3127" s="28" t="s">
        <v>2161</v>
      </c>
      <c r="D3127" s="2" t="s">
        <v>103</v>
      </c>
      <c r="E3127" s="7" t="s">
        <v>3385</v>
      </c>
      <c r="F3127" s="7" t="s">
        <v>2972</v>
      </c>
      <c r="G3127" s="2" t="s">
        <v>13</v>
      </c>
      <c r="H3127" s="2" t="s">
        <v>3284</v>
      </c>
      <c r="I3127" s="5">
        <v>50853</v>
      </c>
      <c r="J3127" s="57">
        <v>7.0000000000000007E-2</v>
      </c>
      <c r="K3127" s="3">
        <v>672</v>
      </c>
      <c r="L3127" s="2" t="s">
        <v>21</v>
      </c>
      <c r="M3127" s="2" t="s">
        <v>12</v>
      </c>
      <c r="N3127" s="2" t="s">
        <v>12</v>
      </c>
      <c r="O3127" s="2" t="s">
        <v>12</v>
      </c>
      <c r="P3127" s="21" t="s">
        <v>12</v>
      </c>
      <c r="Q3127" s="3" t="s">
        <v>12</v>
      </c>
      <c r="R3127" s="3" t="s">
        <v>12</v>
      </c>
    </row>
    <row r="3128" spans="1:18" x14ac:dyDescent="0.25">
      <c r="A3128" s="30">
        <v>46171</v>
      </c>
      <c r="B3128" s="28">
        <v>943</v>
      </c>
      <c r="C3128" s="28" t="s">
        <v>2161</v>
      </c>
      <c r="D3128" s="2" t="s">
        <v>301</v>
      </c>
      <c r="E3128" s="7" t="s">
        <v>12</v>
      </c>
      <c r="F3128" s="7" t="s">
        <v>2683</v>
      </c>
      <c r="G3128" s="2" t="s">
        <v>26</v>
      </c>
      <c r="H3128" s="2" t="s">
        <v>302</v>
      </c>
      <c r="I3128" s="5">
        <v>8340.57</v>
      </c>
      <c r="J3128" s="57">
        <v>0.04</v>
      </c>
      <c r="K3128" s="3">
        <v>120</v>
      </c>
      <c r="L3128" s="2" t="s">
        <v>21</v>
      </c>
      <c r="M3128" s="2" t="s">
        <v>12</v>
      </c>
      <c r="N3128" s="2" t="s">
        <v>12</v>
      </c>
      <c r="O3128" s="2" t="s">
        <v>12</v>
      </c>
      <c r="P3128" s="21" t="s">
        <v>12</v>
      </c>
      <c r="Q3128" s="3" t="s">
        <v>12</v>
      </c>
      <c r="R3128" s="3" t="s">
        <v>12</v>
      </c>
    </row>
    <row r="3129" spans="1:18" x14ac:dyDescent="0.25">
      <c r="A3129" s="30">
        <v>46170</v>
      </c>
      <c r="B3129" s="28">
        <v>944</v>
      </c>
      <c r="C3129" s="28"/>
      <c r="D3129" s="2" t="s">
        <v>311</v>
      </c>
      <c r="E3129" s="7" t="s">
        <v>3386</v>
      </c>
      <c r="F3129" s="7" t="s">
        <v>2972</v>
      </c>
      <c r="G3129" s="2" t="s">
        <v>97</v>
      </c>
      <c r="H3129" s="2" t="s">
        <v>313</v>
      </c>
      <c r="I3129" s="5">
        <v>47838.17</v>
      </c>
      <c r="J3129" s="57">
        <v>7.0000000000000007E-2</v>
      </c>
      <c r="K3129" s="3">
        <v>480</v>
      </c>
      <c r="L3129" s="2" t="s">
        <v>73</v>
      </c>
      <c r="M3129" s="2" t="s">
        <v>12</v>
      </c>
      <c r="N3129" s="2" t="s">
        <v>12</v>
      </c>
      <c r="O3129" s="2" t="s">
        <v>12</v>
      </c>
      <c r="P3129" s="21" t="s">
        <v>12</v>
      </c>
      <c r="Q3129" s="3" t="s">
        <v>3416</v>
      </c>
      <c r="R3129" s="3" t="s">
        <v>80</v>
      </c>
    </row>
    <row r="3130" spans="1:18" x14ac:dyDescent="0.25">
      <c r="A3130" s="30">
        <v>46170</v>
      </c>
      <c r="B3130" s="28">
        <v>945</v>
      </c>
      <c r="C3130" s="28" t="s">
        <v>2161</v>
      </c>
      <c r="D3130" s="2" t="s">
        <v>106</v>
      </c>
      <c r="E3130" s="7" t="s">
        <v>12</v>
      </c>
      <c r="F3130" s="7" t="s">
        <v>2683</v>
      </c>
      <c r="G3130" s="2" t="s">
        <v>13</v>
      </c>
      <c r="H3130" s="2" t="s">
        <v>40</v>
      </c>
      <c r="I3130" s="5">
        <v>11541.27</v>
      </c>
      <c r="J3130" s="57">
        <v>7.0000000000000007E-2</v>
      </c>
      <c r="K3130" s="3">
        <v>120</v>
      </c>
      <c r="L3130" s="2" t="s">
        <v>73</v>
      </c>
      <c r="M3130" s="2" t="s">
        <v>12</v>
      </c>
      <c r="N3130" s="2" t="s">
        <v>12</v>
      </c>
      <c r="O3130" s="2" t="s">
        <v>12</v>
      </c>
      <c r="P3130" s="21" t="s">
        <v>12</v>
      </c>
      <c r="Q3130" s="3" t="s">
        <v>12</v>
      </c>
      <c r="R3130" s="3" t="s">
        <v>12</v>
      </c>
    </row>
    <row r="3131" spans="1:18" x14ac:dyDescent="0.25">
      <c r="A3131" s="30">
        <v>46171</v>
      </c>
      <c r="B3131" s="28">
        <v>946</v>
      </c>
      <c r="C3131" s="28" t="s">
        <v>2229</v>
      </c>
      <c r="D3131" s="2" t="s">
        <v>273</v>
      </c>
      <c r="E3131" s="7" t="s">
        <v>12</v>
      </c>
      <c r="F3131" s="7" t="s">
        <v>2683</v>
      </c>
      <c r="G3131" s="2" t="s">
        <v>26</v>
      </c>
      <c r="H3131" s="2" t="s">
        <v>116</v>
      </c>
      <c r="I3131" s="5">
        <v>21234.23</v>
      </c>
      <c r="J3131" s="57">
        <v>0.05</v>
      </c>
      <c r="K3131" s="3">
        <v>264</v>
      </c>
      <c r="L3131" s="2" t="s">
        <v>64</v>
      </c>
      <c r="M3131" s="2" t="s">
        <v>12</v>
      </c>
      <c r="N3131" s="2" t="s">
        <v>12</v>
      </c>
      <c r="O3131" s="2" t="s">
        <v>12</v>
      </c>
      <c r="P3131" s="21" t="s">
        <v>12</v>
      </c>
      <c r="Q3131" s="3" t="s">
        <v>12</v>
      </c>
      <c r="R3131" s="3" t="s">
        <v>12</v>
      </c>
    </row>
    <row r="3132" spans="1:18" x14ac:dyDescent="0.25">
      <c r="A3132" s="30">
        <v>46171</v>
      </c>
      <c r="B3132" s="28">
        <v>947</v>
      </c>
      <c r="C3132" s="28"/>
      <c r="D3132" s="2" t="s">
        <v>273</v>
      </c>
      <c r="E3132" s="7" t="s">
        <v>12</v>
      </c>
      <c r="F3132" s="7" t="s">
        <v>2683</v>
      </c>
      <c r="G3132" s="2" t="s">
        <v>26</v>
      </c>
      <c r="H3132" s="2" t="s">
        <v>116</v>
      </c>
      <c r="I3132" s="5">
        <v>4510.5</v>
      </c>
      <c r="J3132" s="57">
        <v>7.0000000000000007E-2</v>
      </c>
      <c r="K3132" s="3" t="s">
        <v>12</v>
      </c>
      <c r="L3132" s="2" t="s">
        <v>73</v>
      </c>
      <c r="M3132" s="2" t="s">
        <v>12</v>
      </c>
      <c r="N3132" s="2" t="s">
        <v>12</v>
      </c>
      <c r="O3132" s="2" t="s">
        <v>12</v>
      </c>
      <c r="P3132" s="21" t="s">
        <v>12</v>
      </c>
      <c r="Q3132" s="3" t="s">
        <v>12</v>
      </c>
      <c r="R3132" s="3" t="s">
        <v>12</v>
      </c>
    </row>
    <row r="3133" spans="1:18" x14ac:dyDescent="0.25">
      <c r="A3133" s="30">
        <v>46171</v>
      </c>
      <c r="B3133" s="28">
        <v>948</v>
      </c>
      <c r="C3133" s="28"/>
      <c r="D3133" s="2" t="s">
        <v>558</v>
      </c>
      <c r="E3133" s="7" t="s">
        <v>12</v>
      </c>
      <c r="F3133" s="7" t="s">
        <v>2683</v>
      </c>
      <c r="G3133" s="2" t="s">
        <v>20</v>
      </c>
      <c r="H3133" s="2" t="s">
        <v>532</v>
      </c>
      <c r="I3133" s="5">
        <v>37485.57</v>
      </c>
      <c r="J3133" s="57">
        <v>7.0000000000000007E-2</v>
      </c>
      <c r="K3133" s="3">
        <v>384</v>
      </c>
      <c r="L3133" s="2" t="s">
        <v>73</v>
      </c>
      <c r="M3133" s="2" t="s">
        <v>12</v>
      </c>
      <c r="N3133" s="2" t="s">
        <v>12</v>
      </c>
      <c r="O3133" s="2" t="s">
        <v>12</v>
      </c>
      <c r="P3133" s="21" t="s">
        <v>12</v>
      </c>
      <c r="Q3133" s="3" t="s">
        <v>12</v>
      </c>
      <c r="R3133" s="3" t="s">
        <v>12</v>
      </c>
    </row>
    <row r="3134" spans="1:18" x14ac:dyDescent="0.25">
      <c r="A3134" s="30">
        <v>46171</v>
      </c>
      <c r="B3134" s="28">
        <v>949</v>
      </c>
      <c r="C3134" s="28"/>
      <c r="D3134" s="2" t="s">
        <v>1547</v>
      </c>
      <c r="E3134" s="7" t="s">
        <v>3387</v>
      </c>
      <c r="F3134" s="7" t="s">
        <v>2683</v>
      </c>
      <c r="G3134" s="2" t="s">
        <v>13</v>
      </c>
      <c r="H3134" s="2" t="s">
        <v>395</v>
      </c>
      <c r="I3134" s="5">
        <v>31382</v>
      </c>
      <c r="J3134" s="57">
        <v>7.0000000000000007E-2</v>
      </c>
      <c r="K3134" s="3">
        <v>384</v>
      </c>
      <c r="L3134" s="2" t="s">
        <v>73</v>
      </c>
      <c r="M3134" s="2" t="s">
        <v>12</v>
      </c>
      <c r="N3134" s="2" t="s">
        <v>12</v>
      </c>
      <c r="O3134" s="2" t="s">
        <v>12</v>
      </c>
      <c r="P3134" s="21" t="s">
        <v>12</v>
      </c>
      <c r="Q3134" s="3" t="s">
        <v>3417</v>
      </c>
      <c r="R3134" s="3" t="s">
        <v>75</v>
      </c>
    </row>
    <row r="3135" spans="1:18" x14ac:dyDescent="0.25">
      <c r="A3135" s="30">
        <v>46171</v>
      </c>
      <c r="B3135" s="28">
        <v>950</v>
      </c>
      <c r="C3135" s="28"/>
      <c r="D3135" s="2" t="s">
        <v>70</v>
      </c>
      <c r="E3135" s="7" t="s">
        <v>3281</v>
      </c>
      <c r="F3135" s="7" t="s">
        <v>2879</v>
      </c>
      <c r="G3135" s="2" t="s">
        <v>13</v>
      </c>
      <c r="H3135" s="2" t="s">
        <v>72</v>
      </c>
      <c r="I3135" s="5">
        <v>77663.08</v>
      </c>
      <c r="J3135" s="57">
        <v>7.0000000000000007E-2</v>
      </c>
      <c r="K3135" s="3">
        <v>805.2</v>
      </c>
      <c r="L3135" s="2" t="s">
        <v>73</v>
      </c>
      <c r="M3135" s="2" t="s">
        <v>12</v>
      </c>
      <c r="N3135" s="2" t="s">
        <v>12</v>
      </c>
      <c r="O3135" s="2" t="s">
        <v>12</v>
      </c>
      <c r="P3135" s="21" t="s">
        <v>12</v>
      </c>
      <c r="Q3135" s="3" t="s">
        <v>3418</v>
      </c>
      <c r="R3135" s="3" t="s">
        <v>76</v>
      </c>
    </row>
    <row r="3136" spans="1:18" x14ac:dyDescent="0.25">
      <c r="A3136" s="30">
        <v>46171</v>
      </c>
      <c r="B3136" s="28">
        <v>951</v>
      </c>
      <c r="C3136" s="28"/>
      <c r="D3136" s="2" t="s">
        <v>1194</v>
      </c>
      <c r="E3136" s="7" t="s">
        <v>3359</v>
      </c>
      <c r="F3136" s="7" t="s">
        <v>2683</v>
      </c>
      <c r="G3136" s="2" t="s">
        <v>26</v>
      </c>
      <c r="H3136" s="2" t="s">
        <v>454</v>
      </c>
      <c r="I3136" s="5">
        <v>13297.21</v>
      </c>
      <c r="J3136" s="57">
        <v>7.0000000000000007E-2</v>
      </c>
      <c r="K3136" s="3">
        <v>144</v>
      </c>
      <c r="L3136" s="2" t="s">
        <v>73</v>
      </c>
      <c r="M3136" s="2" t="s">
        <v>12</v>
      </c>
      <c r="N3136" s="2" t="s">
        <v>12</v>
      </c>
      <c r="O3136" s="2" t="s">
        <v>12</v>
      </c>
      <c r="P3136" s="21" t="s">
        <v>12</v>
      </c>
      <c r="Q3136" s="3" t="s">
        <v>12</v>
      </c>
      <c r="R3136" s="3" t="s">
        <v>12</v>
      </c>
    </row>
    <row r="3137" spans="1:18" x14ac:dyDescent="0.25">
      <c r="A3137" s="30">
        <v>46175</v>
      </c>
      <c r="B3137" s="28">
        <v>952</v>
      </c>
      <c r="C3137" s="28" t="s">
        <v>2161</v>
      </c>
      <c r="D3137" s="2" t="s">
        <v>3043</v>
      </c>
      <c r="E3137" s="7" t="s">
        <v>12</v>
      </c>
      <c r="F3137" s="7" t="s">
        <v>2683</v>
      </c>
      <c r="G3137" s="2" t="s">
        <v>13</v>
      </c>
      <c r="H3137" s="2" t="s">
        <v>198</v>
      </c>
      <c r="I3137" s="5">
        <v>12595.97</v>
      </c>
      <c r="J3137" s="57">
        <v>0.05</v>
      </c>
      <c r="K3137" s="3">
        <v>120</v>
      </c>
      <c r="L3137" s="2" t="s">
        <v>73</v>
      </c>
      <c r="M3137" s="2" t="s">
        <v>12</v>
      </c>
      <c r="N3137" s="2" t="s">
        <v>12</v>
      </c>
      <c r="O3137" s="2" t="s">
        <v>12</v>
      </c>
      <c r="P3137" s="21" t="s">
        <v>12</v>
      </c>
      <c r="Q3137" s="3" t="s">
        <v>12</v>
      </c>
      <c r="R3137" s="3" t="s">
        <v>12</v>
      </c>
    </row>
    <row r="3138" spans="1:18" x14ac:dyDescent="0.25">
      <c r="A3138" s="30">
        <v>46171</v>
      </c>
      <c r="B3138" s="28">
        <v>953</v>
      </c>
      <c r="C3138" s="28"/>
      <c r="D3138" s="2" t="s">
        <v>433</v>
      </c>
      <c r="E3138" s="7" t="s">
        <v>3388</v>
      </c>
      <c r="F3138" s="7" t="s">
        <v>1844</v>
      </c>
      <c r="G3138" s="2" t="s">
        <v>97</v>
      </c>
      <c r="H3138" s="2" t="s">
        <v>275</v>
      </c>
      <c r="I3138" s="5">
        <v>31166.959999999999</v>
      </c>
      <c r="J3138" s="57">
        <v>0.04</v>
      </c>
      <c r="K3138" s="3">
        <v>312</v>
      </c>
      <c r="L3138" s="2" t="s">
        <v>64</v>
      </c>
      <c r="M3138" s="2" t="s">
        <v>12</v>
      </c>
      <c r="N3138" s="2" t="s">
        <v>12</v>
      </c>
      <c r="O3138" s="2" t="s">
        <v>12</v>
      </c>
      <c r="P3138" s="21" t="s">
        <v>12</v>
      </c>
      <c r="Q3138" s="3" t="s">
        <v>12</v>
      </c>
      <c r="R3138" s="3" t="s">
        <v>12</v>
      </c>
    </row>
    <row r="3139" spans="1:18" x14ac:dyDescent="0.25">
      <c r="A3139" s="30">
        <v>46174</v>
      </c>
      <c r="B3139" s="28">
        <v>954</v>
      </c>
      <c r="C3139" s="28" t="s">
        <v>2161</v>
      </c>
      <c r="D3139" s="2" t="s">
        <v>301</v>
      </c>
      <c r="E3139" s="7" t="s">
        <v>12</v>
      </c>
      <c r="F3139" s="7" t="s">
        <v>2683</v>
      </c>
      <c r="G3139" s="2" t="s">
        <v>26</v>
      </c>
      <c r="H3139" s="2" t="s">
        <v>302</v>
      </c>
      <c r="I3139" s="5">
        <v>114618.75</v>
      </c>
      <c r="J3139" s="57">
        <v>0.04</v>
      </c>
      <c r="K3139" s="3">
        <v>1848</v>
      </c>
      <c r="L3139" s="2" t="s">
        <v>21</v>
      </c>
      <c r="M3139" s="2" t="s">
        <v>12</v>
      </c>
      <c r="N3139" s="2" t="s">
        <v>12</v>
      </c>
      <c r="O3139" s="2" t="s">
        <v>12</v>
      </c>
      <c r="P3139" s="21" t="s">
        <v>12</v>
      </c>
      <c r="Q3139" s="3" t="s">
        <v>12</v>
      </c>
      <c r="R3139" s="3" t="s">
        <v>12</v>
      </c>
    </row>
    <row r="3140" spans="1:18" x14ac:dyDescent="0.25">
      <c r="A3140" s="30">
        <v>46174</v>
      </c>
      <c r="B3140" s="28">
        <v>955</v>
      </c>
      <c r="C3140" s="28"/>
      <c r="D3140" s="2" t="s">
        <v>124</v>
      </c>
      <c r="E3140" s="7" t="s">
        <v>3389</v>
      </c>
      <c r="F3140" s="7" t="s">
        <v>3001</v>
      </c>
      <c r="G3140" s="2" t="s">
        <v>20</v>
      </c>
      <c r="H3140" s="2" t="s">
        <v>112</v>
      </c>
      <c r="I3140" s="5">
        <v>274976.90999999997</v>
      </c>
      <c r="J3140" s="57">
        <v>0.04</v>
      </c>
      <c r="K3140" s="3">
        <v>3672</v>
      </c>
      <c r="L3140" s="2" t="s">
        <v>73</v>
      </c>
      <c r="M3140" s="2" t="s">
        <v>12</v>
      </c>
      <c r="N3140" s="2" t="s">
        <v>12</v>
      </c>
      <c r="O3140" s="2" t="s">
        <v>12</v>
      </c>
      <c r="P3140" s="21" t="s">
        <v>12</v>
      </c>
      <c r="Q3140" s="3" t="s">
        <v>12</v>
      </c>
      <c r="R3140" s="3" t="s">
        <v>12</v>
      </c>
    </row>
    <row r="3141" spans="1:18" x14ac:dyDescent="0.25">
      <c r="A3141" s="30">
        <v>46175</v>
      </c>
      <c r="B3141" s="28">
        <v>956</v>
      </c>
      <c r="C3141" s="28" t="s">
        <v>2161</v>
      </c>
      <c r="D3141" s="2" t="s">
        <v>215</v>
      </c>
      <c r="E3141" s="7" t="s">
        <v>3390</v>
      </c>
      <c r="F3141" s="7" t="s">
        <v>2972</v>
      </c>
      <c r="G3141" s="2" t="s">
        <v>26</v>
      </c>
      <c r="H3141" s="2" t="s">
        <v>2536</v>
      </c>
      <c r="I3141" s="5">
        <v>8931.33</v>
      </c>
      <c r="J3141" s="57">
        <v>0.04</v>
      </c>
      <c r="K3141" s="3">
        <v>144</v>
      </c>
      <c r="L3141" s="2" t="s">
        <v>64</v>
      </c>
      <c r="M3141" s="2" t="s">
        <v>12</v>
      </c>
      <c r="N3141" s="2" t="s">
        <v>12</v>
      </c>
      <c r="O3141" s="2" t="s">
        <v>12</v>
      </c>
      <c r="P3141" s="21" t="s">
        <v>12</v>
      </c>
      <c r="Q3141" s="3" t="s">
        <v>12</v>
      </c>
      <c r="R3141" s="3" t="s">
        <v>12</v>
      </c>
    </row>
    <row r="3142" spans="1:18" x14ac:dyDescent="0.25">
      <c r="A3142" s="30">
        <v>46174</v>
      </c>
      <c r="B3142" s="28">
        <v>957</v>
      </c>
      <c r="C3142" s="28" t="s">
        <v>2161</v>
      </c>
      <c r="D3142" s="2" t="s">
        <v>894</v>
      </c>
      <c r="E3142" s="7" t="s">
        <v>3390</v>
      </c>
      <c r="F3142" s="7" t="s">
        <v>2972</v>
      </c>
      <c r="G3142" s="2" t="s">
        <v>13</v>
      </c>
      <c r="H3142" s="2" t="s">
        <v>119</v>
      </c>
      <c r="I3142" s="5">
        <v>9331.3799999999992</v>
      </c>
      <c r="J3142" s="57">
        <v>7.0000000000000007E-2</v>
      </c>
      <c r="K3142" s="3">
        <v>72</v>
      </c>
      <c r="L3142" s="2" t="s">
        <v>73</v>
      </c>
      <c r="M3142" s="2" t="s">
        <v>12</v>
      </c>
      <c r="N3142" s="2" t="s">
        <v>12</v>
      </c>
      <c r="O3142" s="2" t="s">
        <v>12</v>
      </c>
      <c r="P3142" s="21" t="s">
        <v>12</v>
      </c>
      <c r="Q3142" s="3" t="s">
        <v>12</v>
      </c>
      <c r="R3142" s="3"/>
    </row>
    <row r="3143" spans="1:18" x14ac:dyDescent="0.25">
      <c r="A3143" s="30">
        <v>46174</v>
      </c>
      <c r="B3143" s="28">
        <v>958</v>
      </c>
      <c r="C3143" s="28"/>
      <c r="D3143" s="2" t="s">
        <v>41</v>
      </c>
      <c r="E3143" s="7" t="s">
        <v>3391</v>
      </c>
      <c r="F3143" s="7" t="s">
        <v>3001</v>
      </c>
      <c r="G3143" s="2" t="s">
        <v>43</v>
      </c>
      <c r="H3143" s="2" t="s">
        <v>43</v>
      </c>
      <c r="I3143" s="5">
        <v>3736.08</v>
      </c>
      <c r="J3143" s="57">
        <v>0.05</v>
      </c>
      <c r="K3143" s="3">
        <v>48</v>
      </c>
      <c r="L3143" s="2" t="s">
        <v>73</v>
      </c>
      <c r="M3143" s="2" t="s">
        <v>12</v>
      </c>
      <c r="N3143" s="2" t="s">
        <v>12</v>
      </c>
      <c r="O3143" s="2" t="s">
        <v>12</v>
      </c>
      <c r="P3143" s="21" t="s">
        <v>12</v>
      </c>
      <c r="Q3143" s="3" t="s">
        <v>1315</v>
      </c>
      <c r="R3143" s="3" t="s">
        <v>80</v>
      </c>
    </row>
    <row r="3144" spans="1:18" x14ac:dyDescent="0.25">
      <c r="A3144" s="30">
        <v>46174</v>
      </c>
      <c r="B3144" s="28">
        <v>959</v>
      </c>
      <c r="C3144" s="28"/>
      <c r="D3144" s="2" t="s">
        <v>1446</v>
      </c>
      <c r="E3144" s="7" t="s">
        <v>3392</v>
      </c>
      <c r="F3144" s="7" t="s">
        <v>2694</v>
      </c>
      <c r="G3144" s="2" t="s">
        <v>43</v>
      </c>
      <c r="H3144" s="2" t="s">
        <v>2007</v>
      </c>
      <c r="I3144" s="5">
        <v>8210.15</v>
      </c>
      <c r="J3144" s="57">
        <v>7.0000000000000007E-2</v>
      </c>
      <c r="K3144" s="3">
        <v>72</v>
      </c>
      <c r="L3144" s="2" t="s">
        <v>73</v>
      </c>
      <c r="M3144" s="2" t="s">
        <v>12</v>
      </c>
      <c r="N3144" s="2" t="s">
        <v>12</v>
      </c>
      <c r="O3144" s="2" t="s">
        <v>12</v>
      </c>
      <c r="P3144" s="21" t="s">
        <v>12</v>
      </c>
      <c r="Q3144" s="3" t="s">
        <v>12</v>
      </c>
      <c r="R3144" s="3" t="s">
        <v>12</v>
      </c>
    </row>
    <row r="3145" spans="1:18" x14ac:dyDescent="0.25">
      <c r="A3145" s="30">
        <v>46174</v>
      </c>
      <c r="B3145" s="28">
        <v>960</v>
      </c>
      <c r="C3145" s="28"/>
      <c r="D3145" s="2" t="s">
        <v>3393</v>
      </c>
      <c r="E3145" s="7" t="s">
        <v>12</v>
      </c>
      <c r="F3145" s="7" t="s">
        <v>2683</v>
      </c>
      <c r="G3145" s="2" t="s">
        <v>13</v>
      </c>
      <c r="H3145" s="2" t="s">
        <v>2150</v>
      </c>
      <c r="I3145" s="5">
        <v>1889.19</v>
      </c>
      <c r="J3145" s="57">
        <v>7.0000000000000007E-2</v>
      </c>
      <c r="K3145" s="3">
        <v>24</v>
      </c>
      <c r="L3145" s="2" t="s">
        <v>64</v>
      </c>
      <c r="M3145" s="2" t="s">
        <v>12</v>
      </c>
      <c r="N3145" s="2" t="s">
        <v>12</v>
      </c>
      <c r="O3145" s="2" t="s">
        <v>12</v>
      </c>
      <c r="P3145" s="21" t="s">
        <v>12</v>
      </c>
      <c r="Q3145" s="3" t="s">
        <v>12</v>
      </c>
      <c r="R3145" s="3" t="s">
        <v>12</v>
      </c>
    </row>
    <row r="3146" spans="1:18" x14ac:dyDescent="0.25">
      <c r="A3146" s="30">
        <v>46175</v>
      </c>
      <c r="B3146" s="28">
        <v>961</v>
      </c>
      <c r="C3146" s="28" t="s">
        <v>2161</v>
      </c>
      <c r="D3146" s="2" t="s">
        <v>433</v>
      </c>
      <c r="E3146" s="7" t="s">
        <v>3394</v>
      </c>
      <c r="F3146" s="7" t="s">
        <v>2972</v>
      </c>
      <c r="G3146" s="2" t="s">
        <v>97</v>
      </c>
      <c r="H3146" s="2" t="s">
        <v>275</v>
      </c>
      <c r="I3146" s="5">
        <v>5325.44</v>
      </c>
      <c r="J3146" s="57">
        <v>0.05</v>
      </c>
      <c r="K3146" s="3">
        <v>48</v>
      </c>
      <c r="L3146" s="2" t="s">
        <v>64</v>
      </c>
      <c r="M3146" s="2" t="s">
        <v>12</v>
      </c>
      <c r="N3146" s="2" t="s">
        <v>12</v>
      </c>
      <c r="O3146" s="2" t="s">
        <v>12</v>
      </c>
      <c r="P3146" s="21" t="s">
        <v>12</v>
      </c>
      <c r="Q3146" s="3" t="s">
        <v>12</v>
      </c>
      <c r="R3146" s="3" t="s">
        <v>12</v>
      </c>
    </row>
    <row r="3147" spans="1:18" x14ac:dyDescent="0.25">
      <c r="A3147" s="30">
        <v>46175</v>
      </c>
      <c r="B3147" s="28">
        <v>962</v>
      </c>
      <c r="C3147" s="28"/>
      <c r="D3147" s="2" t="s">
        <v>3395</v>
      </c>
      <c r="E3147" s="7" t="s">
        <v>12</v>
      </c>
      <c r="F3147" s="7" t="s">
        <v>2683</v>
      </c>
      <c r="G3147" s="2" t="s">
        <v>13</v>
      </c>
      <c r="H3147" s="2" t="s">
        <v>948</v>
      </c>
      <c r="I3147" s="5">
        <v>21409.26</v>
      </c>
      <c r="J3147" s="57">
        <v>7.0000000000000007E-2</v>
      </c>
      <c r="K3147" s="3">
        <v>168</v>
      </c>
      <c r="L3147" s="2" t="s">
        <v>73</v>
      </c>
      <c r="M3147" s="2" t="s">
        <v>12</v>
      </c>
      <c r="N3147" s="2" t="s">
        <v>12</v>
      </c>
      <c r="O3147" s="2" t="s">
        <v>12</v>
      </c>
      <c r="P3147" s="21" t="s">
        <v>12</v>
      </c>
      <c r="Q3147" s="3" t="s">
        <v>12</v>
      </c>
      <c r="R3147" s="3" t="s">
        <v>12</v>
      </c>
    </row>
    <row r="3148" spans="1:18" x14ac:dyDescent="0.25">
      <c r="A3148" s="30">
        <v>46174</v>
      </c>
      <c r="B3148" s="28">
        <v>963</v>
      </c>
      <c r="C3148" s="28"/>
      <c r="D3148" s="2" t="s">
        <v>41</v>
      </c>
      <c r="E3148" s="7" t="s">
        <v>3396</v>
      </c>
      <c r="F3148" s="7" t="s">
        <v>2972</v>
      </c>
      <c r="G3148" s="2" t="s">
        <v>43</v>
      </c>
      <c r="H3148" s="2" t="s">
        <v>43</v>
      </c>
      <c r="I3148" s="5">
        <v>57895.28</v>
      </c>
      <c r="J3148" s="57">
        <v>0.05</v>
      </c>
      <c r="K3148" s="3">
        <v>696</v>
      </c>
      <c r="L3148" s="2" t="s">
        <v>73</v>
      </c>
      <c r="M3148" s="2" t="s">
        <v>12</v>
      </c>
      <c r="N3148" s="2" t="s">
        <v>12</v>
      </c>
      <c r="O3148" s="2" t="s">
        <v>12</v>
      </c>
      <c r="P3148" s="21" t="s">
        <v>12</v>
      </c>
      <c r="Q3148" s="3" t="s">
        <v>3419</v>
      </c>
      <c r="R3148" s="3" t="s">
        <v>80</v>
      </c>
    </row>
    <row r="3149" spans="1:18" x14ac:dyDescent="0.25">
      <c r="A3149" s="30">
        <v>46174</v>
      </c>
      <c r="B3149" s="28">
        <v>694</v>
      </c>
      <c r="C3149" s="28"/>
      <c r="D3149" s="2" t="s">
        <v>41</v>
      </c>
      <c r="E3149" s="7" t="s">
        <v>3397</v>
      </c>
      <c r="F3149" s="7" t="s">
        <v>2972</v>
      </c>
      <c r="G3149" s="2" t="s">
        <v>43</v>
      </c>
      <c r="H3149" s="2" t="s">
        <v>43</v>
      </c>
      <c r="I3149" s="5">
        <v>103421.56</v>
      </c>
      <c r="J3149" s="57">
        <v>0.05</v>
      </c>
      <c r="K3149" s="3">
        <v>1128</v>
      </c>
      <c r="L3149" s="2" t="s">
        <v>73</v>
      </c>
      <c r="M3149" s="2" t="s">
        <v>12</v>
      </c>
      <c r="N3149" s="2" t="s">
        <v>12</v>
      </c>
      <c r="O3149" s="2" t="s">
        <v>12</v>
      </c>
      <c r="P3149" s="21" t="s">
        <v>12</v>
      </c>
      <c r="Q3149" s="3" t="s">
        <v>1748</v>
      </c>
      <c r="R3149" s="3" t="s">
        <v>80</v>
      </c>
    </row>
    <row r="3150" spans="1:18" x14ac:dyDescent="0.25">
      <c r="A3150" s="30">
        <v>46175</v>
      </c>
      <c r="B3150" s="28">
        <v>965</v>
      </c>
      <c r="C3150" s="28"/>
      <c r="D3150" s="2" t="s">
        <v>2334</v>
      </c>
      <c r="E3150" s="7" t="s">
        <v>3398</v>
      </c>
      <c r="F3150" s="7"/>
      <c r="G3150" s="2" t="s">
        <v>20</v>
      </c>
      <c r="H3150" s="2" t="s">
        <v>722</v>
      </c>
      <c r="I3150" s="5">
        <v>15701.51</v>
      </c>
      <c r="J3150" s="57">
        <v>7.0000000000000007E-2</v>
      </c>
      <c r="K3150" s="3">
        <v>168</v>
      </c>
      <c r="L3150" s="2" t="s">
        <v>73</v>
      </c>
      <c r="M3150" s="2" t="s">
        <v>12</v>
      </c>
      <c r="N3150" s="2" t="s">
        <v>12</v>
      </c>
      <c r="O3150" s="2" t="s">
        <v>12</v>
      </c>
      <c r="P3150" s="21" t="s">
        <v>12</v>
      </c>
      <c r="Q3150" s="3" t="s">
        <v>12</v>
      </c>
      <c r="R3150" s="3" t="s">
        <v>12</v>
      </c>
    </row>
    <row r="3151" spans="1:18" x14ac:dyDescent="0.25">
      <c r="A3151" s="30">
        <v>46175</v>
      </c>
      <c r="B3151" s="28">
        <v>966</v>
      </c>
      <c r="C3151" s="28" t="s">
        <v>2161</v>
      </c>
      <c r="D3151" s="2" t="s">
        <v>640</v>
      </c>
      <c r="E3151" s="7" t="s">
        <v>3399</v>
      </c>
      <c r="F3151" s="7" t="s">
        <v>2787</v>
      </c>
      <c r="G3151" s="2" t="s">
        <v>26</v>
      </c>
      <c r="H3151" s="2" t="s">
        <v>642</v>
      </c>
      <c r="I3151" s="5">
        <v>30215.24</v>
      </c>
      <c r="J3151" s="57">
        <v>7.0000000000000007E-2</v>
      </c>
      <c r="K3151" s="3">
        <v>288</v>
      </c>
      <c r="L3151" s="2" t="s">
        <v>73</v>
      </c>
      <c r="M3151" s="2" t="s">
        <v>12</v>
      </c>
      <c r="N3151" s="2" t="s">
        <v>12</v>
      </c>
      <c r="O3151" s="2" t="s">
        <v>12</v>
      </c>
      <c r="P3151" s="21" t="s">
        <v>12</v>
      </c>
      <c r="Q3151" s="3" t="s">
        <v>3420</v>
      </c>
      <c r="R3151" s="3" t="s">
        <v>75</v>
      </c>
    </row>
    <row r="3152" spans="1:18" x14ac:dyDescent="0.25">
      <c r="A3152" s="30">
        <v>46175</v>
      </c>
      <c r="B3152" s="28">
        <v>967</v>
      </c>
      <c r="C3152" s="28"/>
      <c r="D3152" s="2" t="s">
        <v>2425</v>
      </c>
      <c r="E3152" s="7" t="s">
        <v>3400</v>
      </c>
      <c r="F3152" s="7" t="s">
        <v>3001</v>
      </c>
      <c r="G3152" s="2" t="s">
        <v>43</v>
      </c>
      <c r="H3152" s="2" t="s">
        <v>263</v>
      </c>
      <c r="I3152" s="5">
        <v>70508.009999999995</v>
      </c>
      <c r="J3152" s="57">
        <v>7.0000000000000007E-2</v>
      </c>
      <c r="K3152" s="3">
        <v>792</v>
      </c>
      <c r="L3152" s="2" t="s">
        <v>73</v>
      </c>
      <c r="M3152" s="2" t="s">
        <v>12</v>
      </c>
      <c r="N3152" s="2" t="s">
        <v>12</v>
      </c>
      <c r="O3152" s="2" t="s">
        <v>12</v>
      </c>
      <c r="P3152" s="21" t="s">
        <v>12</v>
      </c>
      <c r="Q3152" s="3" t="s">
        <v>12</v>
      </c>
      <c r="R3152" s="3"/>
    </row>
    <row r="3153" spans="1:18" x14ac:dyDescent="0.25">
      <c r="A3153" s="30">
        <v>46175</v>
      </c>
      <c r="B3153" s="28">
        <v>968</v>
      </c>
      <c r="C3153" s="28" t="s">
        <v>2161</v>
      </c>
      <c r="D3153" s="2" t="s">
        <v>1596</v>
      </c>
      <c r="E3153" s="7" t="s">
        <v>12</v>
      </c>
      <c r="F3153" s="7" t="s">
        <v>2683</v>
      </c>
      <c r="G3153" s="2" t="s">
        <v>43</v>
      </c>
      <c r="H3153" s="2" t="s">
        <v>1597</v>
      </c>
      <c r="I3153" s="5">
        <v>5551.3</v>
      </c>
      <c r="J3153" s="57">
        <v>0.04</v>
      </c>
      <c r="K3153" s="3">
        <v>72</v>
      </c>
      <c r="L3153" s="2" t="s">
        <v>21</v>
      </c>
      <c r="M3153" s="2" t="s">
        <v>12</v>
      </c>
      <c r="N3153" s="2" t="s">
        <v>12</v>
      </c>
      <c r="O3153" s="2" t="s">
        <v>12</v>
      </c>
      <c r="P3153" s="21" t="s">
        <v>12</v>
      </c>
      <c r="Q3153" s="3" t="s">
        <v>12</v>
      </c>
      <c r="R3153" s="3" t="s">
        <v>12</v>
      </c>
    </row>
    <row r="3154" spans="1:18" x14ac:dyDescent="0.25">
      <c r="A3154" s="30">
        <v>46175</v>
      </c>
      <c r="B3154" s="28">
        <v>969</v>
      </c>
      <c r="C3154" s="28"/>
      <c r="D3154" s="2" t="s">
        <v>2782</v>
      </c>
      <c r="E3154" s="7" t="s">
        <v>3401</v>
      </c>
      <c r="F3154" s="7" t="s">
        <v>2683</v>
      </c>
      <c r="G3154" s="2" t="s">
        <v>26</v>
      </c>
      <c r="H3154" s="2" t="s">
        <v>2783</v>
      </c>
      <c r="I3154" s="5">
        <v>63797.279999999999</v>
      </c>
      <c r="J3154" s="57">
        <v>7.0000000000000007E-2</v>
      </c>
      <c r="K3154" s="3">
        <v>648</v>
      </c>
      <c r="L3154" s="2" t="s">
        <v>73</v>
      </c>
      <c r="M3154" s="2" t="s">
        <v>12</v>
      </c>
      <c r="N3154" s="2" t="s">
        <v>12</v>
      </c>
      <c r="O3154" s="2" t="s">
        <v>12</v>
      </c>
      <c r="P3154" s="21" t="s">
        <v>12</v>
      </c>
      <c r="Q3154" s="3" t="s">
        <v>12</v>
      </c>
      <c r="R3154" s="3" t="s">
        <v>12</v>
      </c>
    </row>
    <row r="3155" spans="1:18" x14ac:dyDescent="0.25">
      <c r="A3155" s="30">
        <v>46175</v>
      </c>
      <c r="B3155" s="28">
        <v>970</v>
      </c>
      <c r="C3155" s="28"/>
      <c r="D3155" s="2" t="s">
        <v>3402</v>
      </c>
      <c r="E3155" s="7" t="s">
        <v>3403</v>
      </c>
      <c r="F3155" s="7" t="s">
        <v>3001</v>
      </c>
      <c r="G3155" s="2" t="s">
        <v>13</v>
      </c>
      <c r="H3155" s="2" t="s">
        <v>3404</v>
      </c>
      <c r="I3155" s="5">
        <v>11955.61</v>
      </c>
      <c r="J3155" s="57">
        <v>7.0000000000000007E-2</v>
      </c>
      <c r="K3155" s="3">
        <v>120</v>
      </c>
      <c r="L3155" s="2" t="s">
        <v>73</v>
      </c>
      <c r="M3155" s="2" t="s">
        <v>12</v>
      </c>
      <c r="N3155" s="2" t="s">
        <v>12</v>
      </c>
      <c r="O3155" s="2" t="s">
        <v>12</v>
      </c>
      <c r="P3155" s="21" t="s">
        <v>12</v>
      </c>
      <c r="Q3155" s="3" t="s">
        <v>3421</v>
      </c>
      <c r="R3155" s="3" t="s">
        <v>75</v>
      </c>
    </row>
    <row r="3156" spans="1:18" x14ac:dyDescent="0.25">
      <c r="A3156" s="30">
        <v>46175</v>
      </c>
      <c r="B3156" s="28">
        <v>971</v>
      </c>
      <c r="C3156" s="28"/>
      <c r="D3156" s="2" t="s">
        <v>3405</v>
      </c>
      <c r="E3156" s="7" t="s">
        <v>3406</v>
      </c>
      <c r="F3156" s="7" t="s">
        <v>2972</v>
      </c>
      <c r="G3156" s="2" t="s">
        <v>13</v>
      </c>
      <c r="H3156" s="2" t="s">
        <v>46</v>
      </c>
      <c r="I3156" s="5">
        <v>9113.25</v>
      </c>
      <c r="J3156" s="57">
        <v>7.0000000000000007E-2</v>
      </c>
      <c r="K3156" s="3">
        <v>96</v>
      </c>
      <c r="L3156" s="2" t="s">
        <v>73</v>
      </c>
      <c r="M3156" s="2" t="s">
        <v>12</v>
      </c>
      <c r="N3156" s="2" t="s">
        <v>12</v>
      </c>
      <c r="O3156" s="2" t="s">
        <v>12</v>
      </c>
      <c r="P3156" s="21" t="s">
        <v>12</v>
      </c>
      <c r="Q3156" s="3" t="s">
        <v>3422</v>
      </c>
      <c r="R3156" s="3" t="s">
        <v>80</v>
      </c>
    </row>
    <row r="3157" spans="1:18" x14ac:dyDescent="0.25">
      <c r="A3157" s="30">
        <v>46175</v>
      </c>
      <c r="B3157" s="28">
        <v>972</v>
      </c>
      <c r="C3157" s="28"/>
      <c r="D3157" s="2" t="s">
        <v>3220</v>
      </c>
      <c r="E3157" s="7" t="s">
        <v>12</v>
      </c>
      <c r="F3157" s="7" t="s">
        <v>2683</v>
      </c>
      <c r="G3157" s="2" t="s">
        <v>13</v>
      </c>
      <c r="H3157" s="2" t="s">
        <v>438</v>
      </c>
      <c r="I3157" s="5">
        <v>13082.2</v>
      </c>
      <c r="J3157" s="57">
        <v>7.0000000000000007E-2</v>
      </c>
      <c r="K3157" s="3" t="s">
        <v>12</v>
      </c>
      <c r="L3157" s="2" t="s">
        <v>73</v>
      </c>
      <c r="M3157" s="2" t="s">
        <v>12</v>
      </c>
      <c r="N3157" s="2" t="s">
        <v>12</v>
      </c>
      <c r="O3157" s="2" t="s">
        <v>12</v>
      </c>
      <c r="P3157" s="21" t="s">
        <v>12</v>
      </c>
      <c r="Q3157" s="3" t="s">
        <v>12</v>
      </c>
      <c r="R3157" s="3" t="s">
        <v>12</v>
      </c>
    </row>
    <row r="3158" spans="1:18" x14ac:dyDescent="0.25">
      <c r="A3158" s="30">
        <v>46175</v>
      </c>
      <c r="B3158" s="28">
        <v>973</v>
      </c>
      <c r="C3158" s="28"/>
      <c r="D3158" s="2" t="s">
        <v>3407</v>
      </c>
      <c r="E3158" s="7" t="s">
        <v>3408</v>
      </c>
      <c r="F3158" s="7" t="s">
        <v>2787</v>
      </c>
      <c r="G3158" s="2" t="s">
        <v>13</v>
      </c>
      <c r="H3158" s="2" t="s">
        <v>3409</v>
      </c>
      <c r="I3158" s="5">
        <v>28568.44</v>
      </c>
      <c r="J3158" s="57">
        <v>7.0000000000000007E-2</v>
      </c>
      <c r="K3158" s="3">
        <v>288</v>
      </c>
      <c r="L3158" s="2" t="s">
        <v>73</v>
      </c>
      <c r="M3158" s="2" t="s">
        <v>12</v>
      </c>
      <c r="N3158" s="2" t="s">
        <v>12</v>
      </c>
      <c r="O3158" s="2" t="s">
        <v>12</v>
      </c>
      <c r="P3158" s="21" t="s">
        <v>12</v>
      </c>
      <c r="Q3158" s="3" t="s">
        <v>3420</v>
      </c>
      <c r="R3158" s="3" t="s">
        <v>75</v>
      </c>
    </row>
    <row r="3159" spans="1:18" x14ac:dyDescent="0.25">
      <c r="A3159" s="30">
        <v>46175</v>
      </c>
      <c r="B3159" s="28">
        <v>974</v>
      </c>
      <c r="C3159" s="28"/>
      <c r="D3159" s="2" t="s">
        <v>128</v>
      </c>
      <c r="E3159" s="7" t="s">
        <v>12</v>
      </c>
      <c r="F3159" s="7" t="s">
        <v>2683</v>
      </c>
      <c r="G3159" s="2" t="s">
        <v>97</v>
      </c>
      <c r="H3159" s="2" t="s">
        <v>101</v>
      </c>
      <c r="I3159" s="5">
        <v>5954.22</v>
      </c>
      <c r="J3159" s="57">
        <v>0.04</v>
      </c>
      <c r="K3159" s="3">
        <v>96</v>
      </c>
      <c r="L3159" s="2" t="s">
        <v>73</v>
      </c>
      <c r="M3159" s="2" t="s">
        <v>12</v>
      </c>
      <c r="N3159" s="2" t="s">
        <v>12</v>
      </c>
      <c r="O3159" s="2" t="s">
        <v>12</v>
      </c>
      <c r="P3159" s="21" t="s">
        <v>12</v>
      </c>
      <c r="Q3159" s="3" t="s">
        <v>12</v>
      </c>
      <c r="R3159" s="3" t="s">
        <v>12</v>
      </c>
    </row>
    <row r="3160" spans="1:18" x14ac:dyDescent="0.25">
      <c r="A3160" s="30">
        <v>46175</v>
      </c>
      <c r="B3160" s="28">
        <v>975</v>
      </c>
      <c r="C3160" s="28"/>
      <c r="D3160" s="2" t="s">
        <v>1446</v>
      </c>
      <c r="E3160" s="7" t="s">
        <v>3410</v>
      </c>
      <c r="F3160" s="7" t="s">
        <v>2241</v>
      </c>
      <c r="G3160" s="2" t="s">
        <v>43</v>
      </c>
      <c r="H3160" s="2" t="s">
        <v>2007</v>
      </c>
      <c r="I3160" s="5">
        <v>12257.34</v>
      </c>
      <c r="J3160" s="57">
        <v>7.0000000000000007E-2</v>
      </c>
      <c r="K3160" s="3">
        <v>44</v>
      </c>
      <c r="L3160" s="2" t="s">
        <v>73</v>
      </c>
      <c r="M3160" s="2" t="s">
        <v>12</v>
      </c>
      <c r="N3160" s="2" t="s">
        <v>12</v>
      </c>
      <c r="O3160" s="2" t="s">
        <v>12</v>
      </c>
      <c r="P3160" s="21" t="s">
        <v>12</v>
      </c>
      <c r="Q3160" s="3" t="s">
        <v>3423</v>
      </c>
      <c r="R3160" s="3" t="s">
        <v>75</v>
      </c>
    </row>
    <row r="3161" spans="1:18" x14ac:dyDescent="0.25">
      <c r="A3161" s="30">
        <v>46175</v>
      </c>
      <c r="B3161" s="28">
        <v>976</v>
      </c>
      <c r="C3161" s="28"/>
      <c r="D3161" s="2" t="s">
        <v>3220</v>
      </c>
      <c r="E3161" s="7" t="s">
        <v>12</v>
      </c>
      <c r="F3161" s="7" t="s">
        <v>2683</v>
      </c>
      <c r="G3161" s="2" t="s">
        <v>13</v>
      </c>
      <c r="H3161" s="2" t="s">
        <v>438</v>
      </c>
      <c r="I3161" s="5">
        <v>25640</v>
      </c>
      <c r="J3161" s="57">
        <v>0.03</v>
      </c>
      <c r="K3161" s="3" t="s">
        <v>12</v>
      </c>
      <c r="L3161" s="2" t="s">
        <v>64</v>
      </c>
      <c r="M3161" s="2" t="s">
        <v>3200</v>
      </c>
      <c r="N3161" s="2" t="s">
        <v>12</v>
      </c>
      <c r="O3161" s="2" t="s">
        <v>12</v>
      </c>
      <c r="P3161" s="21" t="s">
        <v>12</v>
      </c>
      <c r="Q3161" s="3" t="s">
        <v>12</v>
      </c>
      <c r="R3161" s="3" t="s">
        <v>12</v>
      </c>
    </row>
    <row r="3162" spans="1:18" x14ac:dyDescent="0.25">
      <c r="A3162" s="30">
        <v>46175</v>
      </c>
      <c r="B3162" s="28">
        <v>977</v>
      </c>
      <c r="C3162" s="28"/>
      <c r="D3162" s="2" t="s">
        <v>41</v>
      </c>
      <c r="E3162" s="7" t="s">
        <v>3411</v>
      </c>
      <c r="F3162" s="7" t="s">
        <v>2972</v>
      </c>
      <c r="G3162" s="2" t="s">
        <v>43</v>
      </c>
      <c r="H3162" s="2" t="s">
        <v>43</v>
      </c>
      <c r="I3162" s="5">
        <v>60153.56</v>
      </c>
      <c r="J3162" s="57">
        <v>0.05</v>
      </c>
      <c r="K3162" s="3">
        <v>696</v>
      </c>
      <c r="L3162" s="2" t="s">
        <v>73</v>
      </c>
      <c r="M3162" s="2" t="s">
        <v>12</v>
      </c>
      <c r="N3162" s="2" t="s">
        <v>12</v>
      </c>
      <c r="O3162" s="2" t="s">
        <v>12</v>
      </c>
      <c r="P3162" s="21" t="s">
        <v>12</v>
      </c>
      <c r="Q3162" s="3" t="s">
        <v>1839</v>
      </c>
      <c r="R3162" s="3" t="s">
        <v>80</v>
      </c>
    </row>
    <row r="3163" spans="1:18" x14ac:dyDescent="0.25">
      <c r="A3163" s="30">
        <v>46175</v>
      </c>
      <c r="B3163" s="28">
        <v>978</v>
      </c>
      <c r="C3163" s="28"/>
      <c r="D3163" s="2" t="s">
        <v>165</v>
      </c>
      <c r="E3163" s="7" t="s">
        <v>3412</v>
      </c>
      <c r="F3163" s="7" t="s">
        <v>3001</v>
      </c>
      <c r="G3163" s="2" t="s">
        <v>97</v>
      </c>
      <c r="H3163" s="2" t="s">
        <v>3100</v>
      </c>
      <c r="I3163" s="5">
        <v>107008.93</v>
      </c>
      <c r="J3163" s="57">
        <v>0.03</v>
      </c>
      <c r="K3163" s="3">
        <v>1890</v>
      </c>
      <c r="L3163" s="2" t="s">
        <v>21</v>
      </c>
      <c r="M3163" s="2" t="s">
        <v>12</v>
      </c>
      <c r="N3163" s="2" t="s">
        <v>12</v>
      </c>
      <c r="O3163" s="2" t="s">
        <v>12</v>
      </c>
      <c r="P3163" s="21" t="s">
        <v>12</v>
      </c>
      <c r="Q3163" s="3" t="s">
        <v>12</v>
      </c>
      <c r="R3163" s="3" t="s">
        <v>12</v>
      </c>
    </row>
    <row r="3164" spans="1:18" x14ac:dyDescent="0.25">
      <c r="A3164" s="30">
        <v>46175</v>
      </c>
      <c r="B3164" s="28">
        <v>979</v>
      </c>
      <c r="C3164" s="28"/>
      <c r="D3164" s="2" t="s">
        <v>3220</v>
      </c>
      <c r="E3164" s="7" t="s">
        <v>12</v>
      </c>
      <c r="F3164" s="7" t="s">
        <v>2683</v>
      </c>
      <c r="G3164" s="2" t="s">
        <v>13</v>
      </c>
      <c r="H3164" s="2" t="s">
        <v>438</v>
      </c>
      <c r="I3164" s="5">
        <v>1148.99</v>
      </c>
      <c r="J3164" s="57">
        <v>7.0000000000000007E-2</v>
      </c>
      <c r="K3164" s="3" t="s">
        <v>12</v>
      </c>
      <c r="L3164" s="2" t="s">
        <v>73</v>
      </c>
      <c r="M3164" s="2" t="s">
        <v>12</v>
      </c>
      <c r="N3164" s="2" t="s">
        <v>12</v>
      </c>
      <c r="O3164" s="2" t="s">
        <v>12</v>
      </c>
      <c r="P3164" s="21" t="s">
        <v>12</v>
      </c>
      <c r="Q3164" s="3" t="s">
        <v>12</v>
      </c>
      <c r="R3164" s="3" t="s">
        <v>12</v>
      </c>
    </row>
    <row r="3165" spans="1:18" x14ac:dyDescent="0.25">
      <c r="A3165" s="30">
        <v>46175</v>
      </c>
      <c r="B3165" s="28">
        <v>980</v>
      </c>
      <c r="C3165" s="28"/>
      <c r="D3165" s="2" t="s">
        <v>2248</v>
      </c>
      <c r="E3165" s="7" t="s">
        <v>12</v>
      </c>
      <c r="F3165" s="7" t="s">
        <v>2683</v>
      </c>
      <c r="G3165" s="2" t="s">
        <v>13</v>
      </c>
      <c r="H3165" s="2" t="s">
        <v>3325</v>
      </c>
      <c r="I3165" s="5">
        <v>12711.29</v>
      </c>
      <c r="J3165" s="57">
        <v>0.04</v>
      </c>
      <c r="K3165" s="3">
        <v>216</v>
      </c>
      <c r="L3165" s="2" t="s">
        <v>21</v>
      </c>
      <c r="M3165" s="2" t="s">
        <v>12</v>
      </c>
      <c r="N3165" s="2" t="s">
        <v>12</v>
      </c>
      <c r="O3165" s="2" t="s">
        <v>12</v>
      </c>
      <c r="P3165" s="21" t="s">
        <v>12</v>
      </c>
      <c r="Q3165" s="3" t="s">
        <v>12</v>
      </c>
      <c r="R3165" s="3" t="s">
        <v>12</v>
      </c>
    </row>
    <row r="3166" spans="1:18" x14ac:dyDescent="0.25">
      <c r="A3166" s="30">
        <v>46176</v>
      </c>
      <c r="B3166" s="28">
        <v>981</v>
      </c>
      <c r="C3166" s="28"/>
      <c r="D3166" s="2" t="s">
        <v>3413</v>
      </c>
      <c r="E3166" s="7" t="s">
        <v>12</v>
      </c>
      <c r="F3166" s="7" t="s">
        <v>2683</v>
      </c>
      <c r="G3166" s="2" t="s">
        <v>13</v>
      </c>
      <c r="H3166" s="2" t="s">
        <v>1059</v>
      </c>
      <c r="I3166" s="5">
        <v>3684.89</v>
      </c>
      <c r="J3166" s="57">
        <v>0.05</v>
      </c>
      <c r="K3166" s="3">
        <v>48</v>
      </c>
      <c r="L3166" s="2" t="s">
        <v>64</v>
      </c>
      <c r="M3166" s="2" t="s">
        <v>12</v>
      </c>
      <c r="N3166" s="2" t="s">
        <v>12</v>
      </c>
      <c r="O3166" s="2" t="s">
        <v>12</v>
      </c>
      <c r="P3166" s="21" t="s">
        <v>12</v>
      </c>
      <c r="Q3166" s="3" t="s">
        <v>12</v>
      </c>
      <c r="R3166" s="3" t="s">
        <v>12</v>
      </c>
    </row>
    <row r="3167" spans="1:18" x14ac:dyDescent="0.25">
      <c r="A3167" s="30"/>
      <c r="B3167" s="28"/>
      <c r="C3167" s="28"/>
      <c r="D3167" s="2"/>
      <c r="E3167" s="7"/>
      <c r="F3167" s="7"/>
      <c r="G3167" s="2"/>
      <c r="H3167" s="2"/>
      <c r="I3167" s="5"/>
      <c r="J3167" s="57"/>
      <c r="K3167" s="3"/>
      <c r="L3167" s="2"/>
      <c r="M3167" s="2"/>
      <c r="N3167" s="2"/>
      <c r="O3167" s="2"/>
      <c r="P3167" s="21"/>
      <c r="Q3167" s="3"/>
      <c r="R3167" s="3"/>
    </row>
    <row r="3168" spans="1:18" x14ac:dyDescent="0.25">
      <c r="A3168" s="30"/>
      <c r="B3168" s="28"/>
      <c r="C3168" s="28"/>
      <c r="D3168" s="2"/>
      <c r="E3168" s="7"/>
      <c r="F3168" s="7"/>
      <c r="G3168" s="2"/>
      <c r="H3168" s="2"/>
      <c r="I3168" s="5"/>
      <c r="J3168" s="57"/>
      <c r="K3168" s="3"/>
      <c r="L3168" s="2"/>
      <c r="M3168" s="2"/>
      <c r="N3168" s="2"/>
      <c r="O3168" s="2"/>
      <c r="P3168" s="21"/>
      <c r="Q3168" s="3"/>
      <c r="R3168" s="3"/>
    </row>
    <row r="3169" spans="1:18" x14ac:dyDescent="0.25">
      <c r="A3169" s="30"/>
      <c r="B3169" s="28"/>
      <c r="C3169" s="28"/>
      <c r="D3169" s="2"/>
      <c r="E3169" s="7"/>
      <c r="F3169" s="7"/>
      <c r="G3169" s="2"/>
      <c r="H3169" s="2"/>
      <c r="I3169" s="5"/>
      <c r="J3169" s="57"/>
      <c r="K3169" s="3"/>
      <c r="L3169" s="2"/>
      <c r="M3169" s="2"/>
      <c r="N3169" s="2"/>
      <c r="O3169" s="2"/>
      <c r="P3169" s="21"/>
      <c r="Q3169" s="3"/>
      <c r="R3169" s="3"/>
    </row>
    <row r="3170" spans="1:18" x14ac:dyDescent="0.25">
      <c r="A3170" s="30"/>
      <c r="B3170" s="28"/>
      <c r="C3170" s="28"/>
      <c r="D3170" s="2"/>
      <c r="E3170" s="7"/>
      <c r="F3170" s="7"/>
      <c r="G3170" s="2"/>
      <c r="H3170" s="2"/>
      <c r="I3170" s="5"/>
      <c r="J3170" s="57"/>
      <c r="K3170" s="3"/>
      <c r="L3170" s="2"/>
      <c r="M3170" s="2"/>
      <c r="N3170" s="2"/>
      <c r="O3170" s="2"/>
      <c r="P3170" s="21"/>
      <c r="Q3170" s="3"/>
      <c r="R3170" s="3"/>
    </row>
    <row r="3171" spans="1:18" x14ac:dyDescent="0.25">
      <c r="A3171" s="30"/>
      <c r="B3171" s="28"/>
      <c r="C3171" s="28"/>
      <c r="D3171" s="2"/>
      <c r="E3171" s="7"/>
      <c r="F3171" s="7"/>
      <c r="G3171" s="2"/>
      <c r="H3171" s="2"/>
      <c r="I3171" s="5"/>
      <c r="J3171" s="57"/>
      <c r="K3171" s="3"/>
      <c r="L3171" s="2"/>
      <c r="M3171" s="2"/>
      <c r="N3171" s="2"/>
      <c r="O3171" s="2"/>
      <c r="P3171" s="21"/>
      <c r="Q3171" s="3"/>
      <c r="R3171" s="3"/>
    </row>
    <row r="3172" spans="1:18" x14ac:dyDescent="0.25">
      <c r="A3172" s="30"/>
      <c r="B3172" s="28"/>
      <c r="C3172" s="28"/>
      <c r="D3172" s="2"/>
      <c r="E3172" s="7"/>
      <c r="F3172" s="7"/>
      <c r="G3172" s="2"/>
      <c r="H3172" s="2"/>
      <c r="I3172" s="5"/>
      <c r="J3172" s="57"/>
      <c r="K3172" s="3"/>
      <c r="L3172" s="2"/>
      <c r="M3172" s="2"/>
      <c r="N3172" s="2"/>
      <c r="O3172" s="2"/>
      <c r="P3172" s="21"/>
      <c r="Q3172" s="3"/>
      <c r="R3172" s="3"/>
    </row>
    <row r="3173" spans="1:18" x14ac:dyDescent="0.25">
      <c r="A3173" s="30"/>
      <c r="B3173" s="28"/>
      <c r="C3173" s="28"/>
      <c r="D3173" s="2"/>
      <c r="E3173" s="7"/>
      <c r="F3173" s="7"/>
      <c r="G3173" s="2"/>
      <c r="H3173" s="2"/>
      <c r="I3173" s="5"/>
      <c r="J3173" s="57"/>
      <c r="K3173" s="3"/>
      <c r="L3173" s="2"/>
      <c r="M3173" s="2"/>
      <c r="N3173" s="2"/>
      <c r="O3173" s="2"/>
      <c r="P3173" s="21"/>
      <c r="Q3173" s="3"/>
      <c r="R3173" s="3"/>
    </row>
    <row r="3174" spans="1:18" x14ac:dyDescent="0.25">
      <c r="A3174" s="30"/>
      <c r="B3174" s="28"/>
      <c r="C3174" s="28"/>
      <c r="D3174" s="2"/>
      <c r="E3174" s="7"/>
      <c r="F3174" s="7"/>
      <c r="G3174" s="2"/>
      <c r="H3174" s="2"/>
      <c r="I3174" s="5"/>
      <c r="J3174" s="57"/>
      <c r="K3174" s="3"/>
      <c r="L3174" s="2"/>
      <c r="M3174" s="2"/>
      <c r="N3174" s="2"/>
      <c r="O3174" s="2"/>
      <c r="P3174" s="21"/>
      <c r="Q3174" s="3"/>
      <c r="R3174" s="3"/>
    </row>
    <row r="3175" spans="1:18" x14ac:dyDescent="0.25">
      <c r="A3175" s="30"/>
      <c r="B3175" s="28"/>
      <c r="C3175" s="28"/>
      <c r="D3175" s="2"/>
      <c r="E3175" s="7"/>
      <c r="F3175" s="7"/>
      <c r="G3175" s="2"/>
      <c r="H3175" s="2"/>
      <c r="I3175" s="5"/>
      <c r="J3175" s="57"/>
      <c r="K3175" s="3"/>
      <c r="L3175" s="2"/>
      <c r="M3175" s="2"/>
      <c r="N3175" s="2"/>
      <c r="O3175" s="2"/>
      <c r="P3175" s="21"/>
      <c r="Q3175" s="3"/>
      <c r="R3175" s="3"/>
    </row>
    <row r="3176" spans="1:18" x14ac:dyDescent="0.25">
      <c r="A3176" s="30"/>
      <c r="B3176" s="28"/>
      <c r="C3176" s="28"/>
      <c r="D3176" s="2"/>
      <c r="E3176" s="7"/>
      <c r="F3176" s="7"/>
      <c r="G3176" s="2"/>
      <c r="H3176" s="2"/>
      <c r="I3176" s="5"/>
      <c r="J3176" s="57"/>
      <c r="K3176" s="3"/>
      <c r="L3176" s="2"/>
      <c r="M3176" s="2"/>
      <c r="N3176" s="2"/>
      <c r="O3176" s="2"/>
      <c r="P3176" s="21"/>
      <c r="Q3176" s="3"/>
      <c r="R3176" s="3"/>
    </row>
    <row r="3177" spans="1:18" x14ac:dyDescent="0.25">
      <c r="A3177" s="30"/>
      <c r="B3177" s="28"/>
      <c r="C3177" s="28"/>
      <c r="D3177" s="2"/>
      <c r="E3177" s="7"/>
      <c r="F3177" s="7"/>
      <c r="G3177" s="2"/>
      <c r="H3177" s="2"/>
      <c r="I3177" s="5"/>
      <c r="J3177" s="57"/>
      <c r="K3177" s="3"/>
      <c r="L3177" s="2"/>
      <c r="M3177" s="2"/>
      <c r="N3177" s="2"/>
      <c r="O3177" s="2"/>
      <c r="P3177" s="21"/>
      <c r="Q3177" s="3"/>
      <c r="R3177" s="3"/>
    </row>
  </sheetData>
  <sheetProtection sheet="1" objects="1" scenarios="1"/>
  <autoFilter ref="A10:R3166" xr:uid="{4C8F2A78-D8CF-4E71-AB09-00FA474DF92F}">
    <sortState xmlns:xlrd2="http://schemas.microsoft.com/office/spreadsheetml/2017/richdata2" ref="A1078:R1080">
      <sortCondition ref="D10:D1658"/>
    </sortState>
  </autoFilter>
  <sortState xmlns:xlrd2="http://schemas.microsoft.com/office/spreadsheetml/2017/richdata2" ref="A11:S1658">
    <sortCondition ref="B11:B1658"/>
  </sortState>
  <mergeCells count="7">
    <mergeCell ref="A1:R1"/>
    <mergeCell ref="U10:V10"/>
    <mergeCell ref="U19:V19"/>
    <mergeCell ref="U28:V28"/>
    <mergeCell ref="W10:Y10"/>
    <mergeCell ref="W28:Y28"/>
    <mergeCell ref="W19:Y19"/>
  </mergeCells>
  <phoneticPr fontId="3" type="noConversion"/>
  <conditionalFormatting sqref="E2728">
    <cfRule type="expression" dxfId="17" priority="5" stopIfTrue="1">
      <formula>SEARCH("ALUPIR",$L2728)&gt;0</formula>
    </cfRule>
    <cfRule type="expression" dxfId="16" priority="6" stopIfTrue="1">
      <formula>SEARCH("MPU",$L2728)&gt;0</formula>
    </cfRule>
  </conditionalFormatting>
  <conditionalFormatting sqref="E2747">
    <cfRule type="expression" dxfId="15" priority="3" stopIfTrue="1">
      <formula>SEARCH("ALUPIR",$L2747)&gt;0</formula>
    </cfRule>
    <cfRule type="expression" dxfId="14" priority="4" stopIfTrue="1">
      <formula>SEARCH("MPU",$L2747)&gt;0</formula>
    </cfRule>
  </conditionalFormatting>
  <conditionalFormatting sqref="E2779">
    <cfRule type="expression" dxfId="13" priority="1" stopIfTrue="1">
      <formula>SEARCH("ALUPIR",$L2779)&gt;0</formula>
    </cfRule>
    <cfRule type="expression" dxfId="12" priority="2" stopIfTrue="1">
      <formula>SEARCH("MPU",$L2779)&gt;0</formula>
    </cfRule>
  </conditionalFormatting>
  <conditionalFormatting sqref="E1935:I1935">
    <cfRule type="expression" dxfId="11" priority="9" stopIfTrue="1">
      <formula>SEARCH("ALUPIR",$M1935)&gt;0</formula>
    </cfRule>
    <cfRule type="expression" dxfId="10" priority="10" stopIfTrue="1">
      <formula>SEARCH("MPU",$M1935)&gt;0</formula>
    </cfRule>
  </conditionalFormatting>
  <conditionalFormatting sqref="L1:L1048576">
    <cfRule type="containsText" dxfId="9" priority="11" operator="containsText" text="Cancelado">
      <formula>NOT(ISERROR(SEARCH("Cancelado",L1)))</formula>
    </cfRule>
    <cfRule type="containsText" dxfId="8" priority="12" operator="containsText" text="CACELADO">
      <formula>NOT(ISERROR(SEARCH("CACELADO",L1)))</formula>
    </cfRule>
    <cfRule type="containsText" dxfId="7" priority="13" operator="containsText" text="PERDIDO">
      <formula>NOT(ISERROR(SEARCH("PERDIDO",L1)))</formula>
    </cfRule>
  </conditionalFormatting>
  <conditionalFormatting sqref="L10">
    <cfRule type="containsText" dxfId="6" priority="14" operator="containsText" text="PERDIDO">
      <formula>NOT(ISERROR(SEARCH("PERDIDO",L10)))</formula>
    </cfRule>
  </conditionalFormatting>
  <conditionalFormatting sqref="L2:M13 L14:L92 L93:M1048576">
    <cfRule type="cellIs" dxfId="5" priority="16" operator="equal">
      <formula>"Fechado"</formula>
    </cfRule>
    <cfRule type="containsText" dxfId="4" priority="17" operator="containsText" text="Orçament">
      <formula>NOT(ISERROR(SEARCH("Orçament",L2)))</formula>
    </cfRule>
    <cfRule type="containsText" dxfId="3" priority="18" operator="containsText" text="COMPRA">
      <formula>NOT(ISERROR(SEARCH("COMPRA",L2)))</formula>
    </cfRule>
  </conditionalFormatting>
  <conditionalFormatting sqref="M10">
    <cfRule type="cellIs" dxfId="2" priority="15" operator="equal">
      <formula>"PERDIDO"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D405-430B-47F6-B172-72135D7039B2}">
  <sheetPr filterMode="1"/>
  <dimension ref="A1:L3190"/>
  <sheetViews>
    <sheetView tabSelected="1" zoomScale="94" zoomScaleNormal="100" workbookViewId="0">
      <pane ySplit="2" topLeftCell="A3187" activePane="bottomLeft" state="frozen"/>
      <selection pane="bottomLeft" sqref="A1:K3190"/>
    </sheetView>
  </sheetViews>
  <sheetFormatPr defaultRowHeight="15" x14ac:dyDescent="0.25"/>
  <cols>
    <col min="1" max="1" width="10.7109375" bestFit="1" customWidth="1"/>
    <col min="4" max="4" width="23.5703125" bestFit="1" customWidth="1"/>
    <col min="5" max="5" width="61.85546875" bestFit="1" customWidth="1"/>
    <col min="6" max="6" width="14.42578125" bestFit="1" customWidth="1"/>
    <col min="7" max="7" width="12.5703125" bestFit="1" customWidth="1"/>
    <col min="8" max="8" width="15.85546875" bestFit="1" customWidth="1"/>
    <col min="9" max="9" width="10.7109375" style="63" customWidth="1"/>
    <col min="10" max="10" width="12.28515625" bestFit="1" customWidth="1"/>
    <col min="11" max="11" width="29.140625" bestFit="1" customWidth="1"/>
    <col min="12" max="12" width="14.85546875" bestFit="1" customWidth="1"/>
  </cols>
  <sheetData>
    <row r="1" spans="1:12" ht="21.75" thickBot="1" x14ac:dyDescent="0.3">
      <c r="A1" s="45">
        <f ca="1">TODAY()</f>
        <v>46176</v>
      </c>
      <c r="B1" s="86" t="s">
        <v>138</v>
      </c>
      <c r="C1" s="87"/>
      <c r="D1" s="87"/>
      <c r="E1" s="87"/>
      <c r="F1" s="87"/>
      <c r="G1" s="87"/>
      <c r="H1" s="87"/>
      <c r="I1" s="87"/>
      <c r="J1" s="88"/>
      <c r="K1" s="34"/>
    </row>
    <row r="2" spans="1:12" ht="15.75" customHeight="1" thickBot="1" x14ac:dyDescent="0.3">
      <c r="A2" s="41" t="s">
        <v>139</v>
      </c>
      <c r="B2" s="42" t="s">
        <v>140</v>
      </c>
      <c r="C2" s="42" t="s">
        <v>2167</v>
      </c>
      <c r="D2" s="42" t="s">
        <v>141</v>
      </c>
      <c r="E2" s="42" t="s">
        <v>142</v>
      </c>
      <c r="F2" s="42" t="s">
        <v>143</v>
      </c>
      <c r="G2" s="42" t="s">
        <v>144</v>
      </c>
      <c r="H2" s="43" t="s">
        <v>145</v>
      </c>
      <c r="I2" s="61" t="s">
        <v>2168</v>
      </c>
      <c r="J2" s="44" t="s">
        <v>85</v>
      </c>
      <c r="K2" s="35" t="s">
        <v>146</v>
      </c>
      <c r="L2" s="35" t="s">
        <v>227</v>
      </c>
    </row>
    <row r="3" spans="1:12" ht="15.75" hidden="1" customHeight="1" x14ac:dyDescent="0.25">
      <c r="A3" s="36">
        <f>IF(ORCAMENTOS!A11="","",ORCAMENTOS!A11)</f>
        <v>45660</v>
      </c>
      <c r="B3" s="46">
        <f>IF(ORCAMENTOS!B11="","",ORCAMENTOS!B11)</f>
        <v>1</v>
      </c>
      <c r="C3" s="46" t="str">
        <f>IF(ORCAMENTOS!C11="","",ORCAMENTOS!C11)</f>
        <v/>
      </c>
      <c r="D3" s="37" t="str">
        <f>IF(ORCAMENTOS!D11="","",ORCAMENTOS!D11)</f>
        <v>KEEVA TEIC</v>
      </c>
      <c r="E3" s="38" t="str">
        <f>IF(ORCAMENTOS!E11="","",ORCAMENTOS!E11)</f>
        <v>-</v>
      </c>
      <c r="F3" s="37" t="str">
        <f>IF(ORCAMENTOS!G11="","",ORCAMENTOS!G11)</f>
        <v>Michel</v>
      </c>
      <c r="G3" s="37" t="str">
        <f>IF(ORCAMENTOS!H11="","",ORCAMENTOS!H11)</f>
        <v>Rachel</v>
      </c>
      <c r="H3" s="39">
        <f>IF(ORCAMENTOS!I11="","",ORCAMENTOS!I11)</f>
        <v>3411.11</v>
      </c>
      <c r="I3" s="60" t="str">
        <f>IF(ORCAMENTOS!J11="","",ORCAMENTOS!J11)</f>
        <v/>
      </c>
      <c r="J3" s="40" t="str">
        <f>IF(ORCAMENTOS!L11="","",ORCAMENTOS!L11)</f>
        <v>FECHADO</v>
      </c>
      <c r="K3" s="34" t="str">
        <f>IF(ORCAMENTOS!M11="","",ORCAMENTOS!M11)</f>
        <v/>
      </c>
      <c r="L3" t="str">
        <f>IF(ORCAMENTOS!R11="","",ORCAMENTOS!R11)</f>
        <v>-</v>
      </c>
    </row>
    <row r="4" spans="1:12" ht="15.75" hidden="1" customHeight="1" x14ac:dyDescent="0.25">
      <c r="A4" s="36">
        <f>IF(ORCAMENTOS!A12="","",ORCAMENTOS!A12)</f>
        <v>45663</v>
      </c>
      <c r="B4" s="46">
        <f>IF(ORCAMENTOS!B12="","",ORCAMENTOS!B12)</f>
        <v>2</v>
      </c>
      <c r="C4" s="46" t="str">
        <f>IF(ORCAMENTOS!C12="","",ORCAMENTOS!C12)</f>
        <v/>
      </c>
      <c r="D4" s="37" t="str">
        <f>IF(ORCAMENTOS!D12="","",ORCAMENTOS!D12)</f>
        <v>SOLAR AR</v>
      </c>
      <c r="E4" s="38" t="str">
        <f>IF(ORCAMENTOS!E12="","",ORCAMENTOS!E12)</f>
        <v>HOSPITAL DE REGISTRO - SIRIO LIBANES - DUTOS CENTRO CIRURGICO</v>
      </c>
      <c r="F4" s="37" t="str">
        <f>IF(ORCAMENTOS!G12="","",ORCAMENTOS!G12)</f>
        <v>Michel</v>
      </c>
      <c r="G4" s="37" t="str">
        <f>IF(ORCAMENTOS!H12="","",ORCAMENTOS!H12)</f>
        <v>Claudenir</v>
      </c>
      <c r="H4" s="39">
        <f>IF(ORCAMENTOS!I12="","",ORCAMENTOS!I12)</f>
        <v>8092.7</v>
      </c>
      <c r="I4" s="60" t="str">
        <f>IF(ORCAMENTOS!J12="","",ORCAMENTOS!J12)</f>
        <v/>
      </c>
      <c r="J4" s="40" t="str">
        <f>IF(ORCAMENTOS!L12="","",ORCAMENTOS!L12)</f>
        <v>FECHADO</v>
      </c>
      <c r="K4" s="34" t="str">
        <f>IF(ORCAMENTOS!M12="","",ORCAMENTOS!M12)</f>
        <v/>
      </c>
      <c r="L4" t="str">
        <f>IF(ORCAMENTOS!R12="","",ORCAMENTOS!R12)</f>
        <v>-</v>
      </c>
    </row>
    <row r="5" spans="1:12" ht="15.75" hidden="1" customHeight="1" x14ac:dyDescent="0.25">
      <c r="A5" s="36">
        <f>IF(ORCAMENTOS!A13="","",ORCAMENTOS!A13)</f>
        <v>45663</v>
      </c>
      <c r="B5" s="46">
        <f>IF(ORCAMENTOS!B13="","",ORCAMENTOS!B13)</f>
        <v>3</v>
      </c>
      <c r="C5" s="46" t="str">
        <f>IF(ORCAMENTOS!C13="","",ORCAMENTOS!C13)</f>
        <v/>
      </c>
      <c r="D5" s="37" t="str">
        <f>IF(ORCAMENTOS!D13="","",ORCAMENTOS!D13)</f>
        <v>INOVECTOR</v>
      </c>
      <c r="E5" s="38" t="str">
        <f>IF(ORCAMENTOS!E13="","",ORCAMENTOS!E13)</f>
        <v>HOSP. MORUMBI_SADT</v>
      </c>
      <c r="F5" s="37" t="str">
        <f>IF(ORCAMENTOS!G13="","",ORCAMENTOS!G13)</f>
        <v>Fernando</v>
      </c>
      <c r="G5" s="37" t="str">
        <f>IF(ORCAMENTOS!H13="","",ORCAMENTOS!H13)</f>
        <v>Eliete</v>
      </c>
      <c r="H5" s="39">
        <f>IF(ORCAMENTOS!I13="","",ORCAMENTOS!I13)</f>
        <v>14294.94</v>
      </c>
      <c r="I5" s="60" t="str">
        <f>IF(ORCAMENTOS!J13="","",ORCAMENTOS!J13)</f>
        <v/>
      </c>
      <c r="J5" s="40" t="str">
        <f>IF(ORCAMENTOS!L13="","",ORCAMENTOS!L13)</f>
        <v>FECHADO</v>
      </c>
      <c r="K5" s="34" t="str">
        <f>IF(ORCAMENTOS!M13="","",ORCAMENTOS!M13)</f>
        <v/>
      </c>
      <c r="L5" t="str">
        <f>IF(ORCAMENTOS!R13="","",ORCAMENTOS!R13)</f>
        <v>-</v>
      </c>
    </row>
    <row r="6" spans="1:12" ht="15.75" hidden="1" customHeight="1" x14ac:dyDescent="0.25">
      <c r="A6" s="36">
        <f>IF(ORCAMENTOS!A14="","",ORCAMENTOS!A14)</f>
        <v>45663</v>
      </c>
      <c r="B6" s="46">
        <f>IF(ORCAMENTOS!B14="","",ORCAMENTOS!B14)</f>
        <v>4</v>
      </c>
      <c r="C6" s="46" t="str">
        <f>IF(ORCAMENTOS!C14="","",ORCAMENTOS!C14)</f>
        <v/>
      </c>
      <c r="D6" s="37" t="str">
        <f>IF(ORCAMENTOS!D14="","",ORCAMENTOS!D14)</f>
        <v>REWELL OTAVIO</v>
      </c>
      <c r="E6" s="38" t="str">
        <f>IF(ORCAMENTOS!E14="","",ORCAMENTOS!E14)</f>
        <v>ENG BRUNO NY TOWER</v>
      </c>
      <c r="F6" s="37" t="str">
        <f>IF(ORCAMENTOS!G14="","",ORCAMENTOS!G14)</f>
        <v>Gabriel</v>
      </c>
      <c r="G6" s="37" t="str">
        <f>IF(ORCAMENTOS!H14="","",ORCAMENTOS!H14)</f>
        <v>Rewell</v>
      </c>
      <c r="H6" s="39">
        <f>IF(ORCAMENTOS!I14="","",ORCAMENTOS!I14)</f>
        <v>2259.2600000000002</v>
      </c>
      <c r="I6" s="60" t="str">
        <f>IF(ORCAMENTOS!J14="","",ORCAMENTOS!J14)</f>
        <v/>
      </c>
      <c r="J6" s="40" t="str">
        <f>IF(ORCAMENTOS!L14="","",ORCAMENTOS!L14)</f>
        <v>CANCELADO</v>
      </c>
      <c r="K6" s="34" t="str">
        <f>IF(ORCAMENTOS!M14="","",ORCAMENTOS!M14)</f>
        <v/>
      </c>
      <c r="L6" t="str">
        <f>IF(ORCAMENTOS!R14="","",ORCAMENTOS!R14)</f>
        <v>-</v>
      </c>
    </row>
    <row r="7" spans="1:12" ht="15.75" hidden="1" customHeight="1" x14ac:dyDescent="0.25">
      <c r="A7" s="36">
        <f>IF(ORCAMENTOS!A15="","",ORCAMENTOS!A15)</f>
        <v>45663</v>
      </c>
      <c r="B7" s="46">
        <f>IF(ORCAMENTOS!B15="","",ORCAMENTOS!B15)</f>
        <v>5</v>
      </c>
      <c r="C7" s="46" t="str">
        <f>IF(ORCAMENTOS!C15="","",ORCAMENTOS!C15)</f>
        <v/>
      </c>
      <c r="D7" s="37" t="str">
        <f>IF(ORCAMENTOS!D15="","",ORCAMENTOS!D15)</f>
        <v>INOVECTOR</v>
      </c>
      <c r="E7" s="38" t="str">
        <f>IF(ORCAMENTOS!E15="","",ORCAMENTOS!E15)</f>
        <v>VILLA LOBOS - REQ 2.04</v>
      </c>
      <c r="F7" s="37" t="str">
        <f>IF(ORCAMENTOS!G15="","",ORCAMENTOS!G15)</f>
        <v>Fernando</v>
      </c>
      <c r="G7" s="37" t="str">
        <f>IF(ORCAMENTOS!H15="","",ORCAMENTOS!H15)</f>
        <v>Cristina</v>
      </c>
      <c r="H7" s="39">
        <f>IF(ORCAMENTOS!I15="","",ORCAMENTOS!I15)</f>
        <v>6933.2</v>
      </c>
      <c r="I7" s="60" t="str">
        <f>IF(ORCAMENTOS!J15="","",ORCAMENTOS!J15)</f>
        <v/>
      </c>
      <c r="J7" s="40" t="str">
        <f>IF(ORCAMENTOS!L15="","",ORCAMENTOS!L15)</f>
        <v>FECHADO</v>
      </c>
      <c r="K7" s="34" t="str">
        <f>IF(ORCAMENTOS!M15="","",ORCAMENTOS!M15)</f>
        <v/>
      </c>
      <c r="L7" t="str">
        <f>IF(ORCAMENTOS!R15="","",ORCAMENTOS!R15)</f>
        <v>-</v>
      </c>
    </row>
    <row r="8" spans="1:12" ht="15.75" hidden="1" customHeight="1" x14ac:dyDescent="0.25">
      <c r="A8" s="36">
        <f>IF(ORCAMENTOS!A16="","",ORCAMENTOS!A16)</f>
        <v>45663</v>
      </c>
      <c r="B8" s="46">
        <f>IF(ORCAMENTOS!B16="","",ORCAMENTOS!B16)</f>
        <v>6</v>
      </c>
      <c r="C8" s="46" t="str">
        <f>IF(ORCAMENTOS!C16="","",ORCAMENTOS!C16)</f>
        <v/>
      </c>
      <c r="D8" s="37" t="str">
        <f>IF(ORCAMENTOS!D16="","",ORCAMENTOS!D16)</f>
        <v>REWELL OTAVIO</v>
      </c>
      <c r="E8" s="38" t="str">
        <f>IF(ORCAMENTOS!E16="","",ORCAMENTOS!E16)</f>
        <v>RESIDENCIA UNIFAMILIAR - FERNANDO PORTOLANI DE ANDRADE</v>
      </c>
      <c r="F8" s="37" t="str">
        <f>IF(ORCAMENTOS!G16="","",ORCAMENTOS!G16)</f>
        <v>Gabriel</v>
      </c>
      <c r="G8" s="37" t="str">
        <f>IF(ORCAMENTOS!H16="","",ORCAMENTOS!H16)</f>
        <v>Rewell</v>
      </c>
      <c r="H8" s="39">
        <f>IF(ORCAMENTOS!I16="","",ORCAMENTOS!I16)</f>
        <v>9106.66</v>
      </c>
      <c r="I8" s="60" t="str">
        <f>IF(ORCAMENTOS!J16="","",ORCAMENTOS!J16)</f>
        <v/>
      </c>
      <c r="J8" s="40" t="str">
        <f>IF(ORCAMENTOS!L16="","",ORCAMENTOS!L16)</f>
        <v>CANCELADO</v>
      </c>
      <c r="K8" s="34" t="str">
        <f>IF(ORCAMENTOS!M16="","",ORCAMENTOS!M16)</f>
        <v/>
      </c>
      <c r="L8" t="str">
        <f>IF(ORCAMENTOS!R16="","",ORCAMENTOS!R16)</f>
        <v>CHAPA DE ACO GALVANIZADO</v>
      </c>
    </row>
    <row r="9" spans="1:12" ht="15.75" hidden="1" customHeight="1" x14ac:dyDescent="0.25">
      <c r="A9" s="36">
        <f>IF(ORCAMENTOS!A17="","",ORCAMENTOS!A17)</f>
        <v>45663</v>
      </c>
      <c r="B9" s="46">
        <f>IF(ORCAMENTOS!B17="","",ORCAMENTOS!B17)</f>
        <v>7</v>
      </c>
      <c r="C9" s="46" t="str">
        <f>IF(ORCAMENTOS!C17="","",ORCAMENTOS!C17)</f>
        <v/>
      </c>
      <c r="D9" s="37" t="str">
        <f>IF(ORCAMENTOS!D17="","",ORCAMENTOS!D17)</f>
        <v>REWELL OTAVIO</v>
      </c>
      <c r="E9" s="38" t="str">
        <f>IF(ORCAMENTOS!E17="","",ORCAMENTOS!E17)</f>
        <v>SALA 104 - NY TOWER - ARACATUBA - SP</v>
      </c>
      <c r="F9" s="37" t="str">
        <f>IF(ORCAMENTOS!G17="","",ORCAMENTOS!G17)</f>
        <v>Gabriel</v>
      </c>
      <c r="G9" s="37" t="str">
        <f>IF(ORCAMENTOS!H17="","",ORCAMENTOS!H17)</f>
        <v>Rewell</v>
      </c>
      <c r="H9" s="39">
        <f>IF(ORCAMENTOS!I17="","",ORCAMENTOS!I17)</f>
        <v>26029.3</v>
      </c>
      <c r="I9" s="60" t="str">
        <f>IF(ORCAMENTOS!J17="","",ORCAMENTOS!J17)</f>
        <v/>
      </c>
      <c r="J9" s="40" t="str">
        <f>IF(ORCAMENTOS!L17="","",ORCAMENTOS!L17)</f>
        <v>CANCELADO</v>
      </c>
      <c r="K9" s="34" t="str">
        <f>IF(ORCAMENTOS!M17="","",ORCAMENTOS!M17)</f>
        <v/>
      </c>
      <c r="L9" t="str">
        <f>IF(ORCAMENTOS!R17="","",ORCAMENTOS!R17)</f>
        <v>CHAPA DE ACO GALVANIZADO</v>
      </c>
    </row>
    <row r="10" spans="1:12" ht="15.75" hidden="1" customHeight="1" x14ac:dyDescent="0.25">
      <c r="A10" s="36">
        <f>IF(ORCAMENTOS!A18="","",ORCAMENTOS!A18)</f>
        <v>45663</v>
      </c>
      <c r="B10" s="46">
        <f>IF(ORCAMENTOS!B18="","",ORCAMENTOS!B18)</f>
        <v>8</v>
      </c>
      <c r="C10" s="46" t="str">
        <f>IF(ORCAMENTOS!C18="","",ORCAMENTOS!C18)</f>
        <v/>
      </c>
      <c r="D10" s="37" t="str">
        <f>IF(ORCAMENTOS!D18="","",ORCAMENTOS!D18)</f>
        <v>GRUPO R1</v>
      </c>
      <c r="E10" s="38" t="str">
        <f>IF(ORCAMENTOS!E18="","",ORCAMENTOS!E18)</f>
        <v>-</v>
      </c>
      <c r="F10" s="37" t="str">
        <f>IF(ORCAMENTOS!G18="","",ORCAMENTOS!G18)</f>
        <v>Gabriel</v>
      </c>
      <c r="G10" s="37" t="str">
        <f>IF(ORCAMENTOS!H18="","",ORCAMENTOS!H18)</f>
        <v>Janaina</v>
      </c>
      <c r="H10" s="39">
        <f>IF(ORCAMENTOS!I18="","",ORCAMENTOS!I18)</f>
        <v>3232.69</v>
      </c>
      <c r="I10" s="60" t="str">
        <f>IF(ORCAMENTOS!J18="","",ORCAMENTOS!J18)</f>
        <v/>
      </c>
      <c r="J10" s="40" t="str">
        <f>IF(ORCAMENTOS!L18="","",ORCAMENTOS!L18)</f>
        <v>CANCELADO</v>
      </c>
      <c r="K10" s="34" t="str">
        <f>IF(ORCAMENTOS!M18="","",ORCAMENTOS!M18)</f>
        <v>Negociando</v>
      </c>
      <c r="L10" t="str">
        <f>IF(ORCAMENTOS!R18="","",ORCAMENTOS!R18)</f>
        <v>-</v>
      </c>
    </row>
    <row r="11" spans="1:12" ht="15.75" hidden="1" customHeight="1" x14ac:dyDescent="0.25">
      <c r="A11" s="36">
        <f>IF(ORCAMENTOS!A19="","",ORCAMENTOS!A19)</f>
        <v>45663</v>
      </c>
      <c r="B11" s="46">
        <f>IF(ORCAMENTOS!B19="","",ORCAMENTOS!B19)</f>
        <v>9</v>
      </c>
      <c r="C11" s="46" t="str">
        <f>IF(ORCAMENTOS!C19="","",ORCAMENTOS!C19)</f>
        <v/>
      </c>
      <c r="D11" s="37" t="str">
        <f>IF(ORCAMENTOS!D19="","",ORCAMENTOS!D19)</f>
        <v>AWA AR CONDICIONADO</v>
      </c>
      <c r="E11" s="38" t="str">
        <f>IF(ORCAMENTOS!E19="","",ORCAMENTOS!E19)</f>
        <v>ATACADAO - LAURO DE FREITAS CAJI - BA</v>
      </c>
      <c r="F11" s="37" t="str">
        <f>IF(ORCAMENTOS!G19="","",ORCAMENTOS!G19)</f>
        <v>Guilherme</v>
      </c>
      <c r="G11" s="37" t="str">
        <f>IF(ORCAMENTOS!H19="","",ORCAMENTOS!H19)</f>
        <v>Maria Julia</v>
      </c>
      <c r="H11" s="39">
        <f>IF(ORCAMENTOS!I19="","",ORCAMENTOS!I19)</f>
        <v>175342.6</v>
      </c>
      <c r="I11" s="60" t="str">
        <f>IF(ORCAMENTOS!J19="","",ORCAMENTOS!J19)</f>
        <v/>
      </c>
      <c r="J11" s="40" t="str">
        <f>IF(ORCAMENTOS!L19="","",ORCAMENTOS!L19)</f>
        <v>CANCELADO</v>
      </c>
      <c r="K11" s="34" t="str">
        <f>IF(ORCAMENTOS!M19="","",ORCAMENTOS!M19)</f>
        <v/>
      </c>
      <c r="L11" t="str">
        <f>IF(ORCAMENTOS!R19="","",ORCAMENTOS!R19)</f>
        <v>N/E</v>
      </c>
    </row>
    <row r="12" spans="1:12" ht="15.75" hidden="1" customHeight="1" x14ac:dyDescent="0.25">
      <c r="A12" s="36">
        <f>IF(ORCAMENTOS!A20="","",ORCAMENTOS!A20)</f>
        <v>45663</v>
      </c>
      <c r="B12" s="46">
        <f>IF(ORCAMENTOS!B20="","",ORCAMENTOS!B20)</f>
        <v>10</v>
      </c>
      <c r="C12" s="46" t="str">
        <f>IF(ORCAMENTOS!C20="","",ORCAMENTOS!C20)</f>
        <v/>
      </c>
      <c r="D12" s="37" t="str">
        <f>IF(ORCAMENTOS!D20="","",ORCAMENTOS!D20)</f>
        <v>CONSTARCO</v>
      </c>
      <c r="E12" s="38" t="str">
        <f>IF(ORCAMENTOS!E20="","",ORCAMENTOS!E20)</f>
        <v>-</v>
      </c>
      <c r="F12" s="37" t="str">
        <f>IF(ORCAMENTOS!G20="","",ORCAMENTOS!G20)</f>
        <v>Fernando</v>
      </c>
      <c r="G12" s="37" t="str">
        <f>IF(ORCAMENTOS!H20="","",ORCAMENTOS!H20)</f>
        <v>Fabricio</v>
      </c>
      <c r="H12" s="39">
        <f>IF(ORCAMENTOS!I20="","",ORCAMENTOS!I20)</f>
        <v>297411.92</v>
      </c>
      <c r="I12" s="60" t="str">
        <f>IF(ORCAMENTOS!J20="","",ORCAMENTOS!J20)</f>
        <v/>
      </c>
      <c r="J12" s="40" t="str">
        <f>IF(ORCAMENTOS!L20="","",ORCAMENTOS!L20)</f>
        <v>CANCELADO</v>
      </c>
      <c r="K12" s="34" t="str">
        <f>IF(ORCAMENTOS!M20="","",ORCAMENTOS!M20)</f>
        <v>PERDERAM A OBRA</v>
      </c>
      <c r="L12" t="str">
        <f>IF(ORCAMENTOS!R20="","",ORCAMENTOS!R20)</f>
        <v>-</v>
      </c>
    </row>
    <row r="13" spans="1:12" ht="15.75" hidden="1" customHeight="1" x14ac:dyDescent="0.25">
      <c r="A13" s="36">
        <f>IF(ORCAMENTOS!A21="","",ORCAMENTOS!A21)</f>
        <v>45663</v>
      </c>
      <c r="B13" s="46">
        <f>IF(ORCAMENTOS!B21="","",ORCAMENTOS!B21)</f>
        <v>11</v>
      </c>
      <c r="C13" s="46" t="str">
        <f>IF(ORCAMENTOS!C21="","",ORCAMENTOS!C21)</f>
        <v/>
      </c>
      <c r="D13" s="37" t="str">
        <f>IF(ORCAMENTOS!D21="","",ORCAMENTOS!D21)</f>
        <v>INOVECTOR</v>
      </c>
      <c r="E13" s="38" t="str">
        <f>IF(ORCAMENTOS!E21="","",ORCAMENTOS!E21)</f>
        <v>ANALIA FRANCO - REQ 2.03</v>
      </c>
      <c r="F13" s="37" t="str">
        <f>IF(ORCAMENTOS!G21="","",ORCAMENTOS!G21)</f>
        <v>Fernando</v>
      </c>
      <c r="G13" s="37" t="str">
        <f>IF(ORCAMENTOS!H21="","",ORCAMENTOS!H21)</f>
        <v>Eliete</v>
      </c>
      <c r="H13" s="39">
        <f>IF(ORCAMENTOS!I21="","",ORCAMENTOS!I21)</f>
        <v>9352.59</v>
      </c>
      <c r="I13" s="60" t="str">
        <f>IF(ORCAMENTOS!J21="","",ORCAMENTOS!J21)</f>
        <v/>
      </c>
      <c r="J13" s="40" t="str">
        <f>IF(ORCAMENTOS!L21="","",ORCAMENTOS!L21)</f>
        <v>FECHADO</v>
      </c>
      <c r="K13" s="34" t="str">
        <f>IF(ORCAMENTOS!M21="","",ORCAMENTOS!M21)</f>
        <v/>
      </c>
      <c r="L13" t="str">
        <f>IF(ORCAMENTOS!R21="","",ORCAMENTOS!R21)</f>
        <v>-</v>
      </c>
    </row>
    <row r="14" spans="1:12" ht="15.75" hidden="1" customHeight="1" x14ac:dyDescent="0.25">
      <c r="A14" s="36">
        <f>IF(ORCAMENTOS!A22="","",ORCAMENTOS!A22)</f>
        <v>45663</v>
      </c>
      <c r="B14" s="46">
        <f>IF(ORCAMENTOS!B22="","",ORCAMENTOS!B22)</f>
        <v>12</v>
      </c>
      <c r="C14" s="46" t="str">
        <f>IF(ORCAMENTOS!C22="","",ORCAMENTOS!C22)</f>
        <v/>
      </c>
      <c r="D14" s="37" t="str">
        <f>IF(ORCAMENTOS!D22="","",ORCAMENTOS!D22)</f>
        <v>INOVECTOR</v>
      </c>
      <c r="E14" s="38" t="str">
        <f>IF(ORCAMENTOS!E22="","",ORCAMENTOS!E22)</f>
        <v>HOSP.OSASCO - REQ 2.04</v>
      </c>
      <c r="F14" s="37" t="str">
        <f>IF(ORCAMENTOS!G22="","",ORCAMENTOS!G22)</f>
        <v>Fernando</v>
      </c>
      <c r="G14" s="37" t="str">
        <f>IF(ORCAMENTOS!H22="","",ORCAMENTOS!H22)</f>
        <v>Cristina</v>
      </c>
      <c r="H14" s="39">
        <f>IF(ORCAMENTOS!I22="","",ORCAMENTOS!I22)</f>
        <v>169.83</v>
      </c>
      <c r="I14" s="60" t="str">
        <f>IF(ORCAMENTOS!J22="","",ORCAMENTOS!J22)</f>
        <v/>
      </c>
      <c r="J14" s="40" t="str">
        <f>IF(ORCAMENTOS!L22="","",ORCAMENTOS!L22)</f>
        <v>CANCELADO</v>
      </c>
      <c r="K14" s="34" t="str">
        <f>IF(ORCAMENTOS!M22="","",ORCAMENTOS!M22)</f>
        <v/>
      </c>
      <c r="L14" t="str">
        <f>IF(ORCAMENTOS!R22="","",ORCAMENTOS!R22)</f>
        <v>-</v>
      </c>
    </row>
    <row r="15" spans="1:12" ht="15.75" hidden="1" customHeight="1" x14ac:dyDescent="0.25">
      <c r="A15" s="36">
        <f>IF(ORCAMENTOS!A23="","",ORCAMENTOS!A23)</f>
        <v>45663</v>
      </c>
      <c r="B15" s="46">
        <f>IF(ORCAMENTOS!B23="","",ORCAMENTOS!B23)</f>
        <v>13</v>
      </c>
      <c r="C15" s="46" t="str">
        <f>IF(ORCAMENTOS!C23="","",ORCAMENTOS!C23)</f>
        <v/>
      </c>
      <c r="D15" s="37" t="str">
        <f>IF(ORCAMENTOS!D23="","",ORCAMENTOS!D23)</f>
        <v>AIR SUPPLY</v>
      </c>
      <c r="E15" s="38" t="str">
        <f>IF(ORCAMENTOS!E23="","",ORCAMENTOS!E23)</f>
        <v>ASSAI ATACADISTA - SJRP PALESTRA - RENOVACAO</v>
      </c>
      <c r="F15" s="37" t="str">
        <f>IF(ORCAMENTOS!G23="","",ORCAMENTOS!G23)</f>
        <v>Gabriel</v>
      </c>
      <c r="G15" s="37" t="str">
        <f>IF(ORCAMENTOS!H23="","",ORCAMENTOS!H23)</f>
        <v>Pedro</v>
      </c>
      <c r="H15" s="39">
        <f>IF(ORCAMENTOS!I23="","",ORCAMENTOS!I23)</f>
        <v>51413.93</v>
      </c>
      <c r="I15" s="60" t="str">
        <f>IF(ORCAMENTOS!J23="","",ORCAMENTOS!J23)</f>
        <v/>
      </c>
      <c r="J15" s="40" t="str">
        <f>IF(ORCAMENTOS!L23="","",ORCAMENTOS!L23)</f>
        <v>CANCELADO</v>
      </c>
      <c r="K15" s="34" t="str">
        <f>IF(ORCAMENTOS!M23="","",ORCAMENTOS!M23)</f>
        <v/>
      </c>
      <c r="L15" t="str">
        <f>IF(ORCAMENTOS!R23="","",ORCAMENTOS!R23)</f>
        <v>N/E</v>
      </c>
    </row>
    <row r="16" spans="1:12" ht="15.75" hidden="1" customHeight="1" x14ac:dyDescent="0.25">
      <c r="A16" s="36">
        <f>IF(ORCAMENTOS!A24="","",ORCAMENTOS!A24)</f>
        <v>45664</v>
      </c>
      <c r="B16" s="46">
        <f>IF(ORCAMENTOS!B24="","",ORCAMENTOS!B24)</f>
        <v>14</v>
      </c>
      <c r="C16" s="46" t="str">
        <f>IF(ORCAMENTOS!C24="","",ORCAMENTOS!C24)</f>
        <v/>
      </c>
      <c r="D16" s="37" t="str">
        <f>IF(ORCAMENTOS!D24="","",ORCAMENTOS!D24)</f>
        <v>GSA DUTOS</v>
      </c>
      <c r="E16" s="38" t="str">
        <f>IF(ORCAMENTOS!E24="","",ORCAMENTOS!E24)</f>
        <v>-</v>
      </c>
      <c r="F16" s="37" t="str">
        <f>IF(ORCAMENTOS!G24="","",ORCAMENTOS!G24)</f>
        <v>Gabriel</v>
      </c>
      <c r="G16" s="37" t="str">
        <f>IF(ORCAMENTOS!H24="","",ORCAMENTOS!H24)</f>
        <v>Geraldo</v>
      </c>
      <c r="H16" s="39">
        <f>IF(ORCAMENTOS!I24="","",ORCAMENTOS!I24)</f>
        <v>835.52</v>
      </c>
      <c r="I16" s="60" t="str">
        <f>IF(ORCAMENTOS!J24="","",ORCAMENTOS!J24)</f>
        <v/>
      </c>
      <c r="J16" s="40" t="str">
        <f>IF(ORCAMENTOS!L24="","",ORCAMENTOS!L24)</f>
        <v>CANCELADO</v>
      </c>
      <c r="K16" s="34" t="str">
        <f>IF(ORCAMENTOS!M24="","",ORCAMENTOS!M24)</f>
        <v/>
      </c>
      <c r="L16" t="str">
        <f>IF(ORCAMENTOS!R24="","",ORCAMENTOS!R24)</f>
        <v>-</v>
      </c>
    </row>
    <row r="17" spans="1:12" ht="15.75" hidden="1" customHeight="1" x14ac:dyDescent="0.25">
      <c r="A17" s="36">
        <f>IF(ORCAMENTOS!A25="","",ORCAMENTOS!A25)</f>
        <v>45664</v>
      </c>
      <c r="B17" s="46">
        <f>IF(ORCAMENTOS!B25="","",ORCAMENTOS!B25)</f>
        <v>15</v>
      </c>
      <c r="C17" s="46" t="str">
        <f>IF(ORCAMENTOS!C25="","",ORCAMENTOS!C25)</f>
        <v/>
      </c>
      <c r="D17" s="37" t="str">
        <f>IF(ORCAMENTOS!D25="","",ORCAMENTOS!D25)</f>
        <v>CATELAN</v>
      </c>
      <c r="E17" s="38" t="str">
        <f>IF(ORCAMENTOS!E25="","",ORCAMENTOS!E25)</f>
        <v>-</v>
      </c>
      <c r="F17" s="37" t="str">
        <f>IF(ORCAMENTOS!G25="","",ORCAMENTOS!G25)</f>
        <v>Gabriel</v>
      </c>
      <c r="G17" s="37" t="str">
        <f>IF(ORCAMENTOS!H25="","",ORCAMENTOS!H25)</f>
        <v>Priscila</v>
      </c>
      <c r="H17" s="39">
        <f>IF(ORCAMENTOS!I25="","",ORCAMENTOS!I25)</f>
        <v>2024.86</v>
      </c>
      <c r="I17" s="60" t="str">
        <f>IF(ORCAMENTOS!J25="","",ORCAMENTOS!J25)</f>
        <v/>
      </c>
      <c r="J17" s="40" t="str">
        <f>IF(ORCAMENTOS!L25="","",ORCAMENTOS!L25)</f>
        <v>CANCELADO</v>
      </c>
      <c r="K17" s="34" t="str">
        <f>IF(ORCAMENTOS!M25="","",ORCAMENTOS!M25)</f>
        <v>Apenas consulta</v>
      </c>
      <c r="L17" t="str">
        <f>IF(ORCAMENTOS!R25="","",ORCAMENTOS!R25)</f>
        <v>-</v>
      </c>
    </row>
    <row r="18" spans="1:12" ht="15.75" hidden="1" customHeight="1" x14ac:dyDescent="0.25">
      <c r="A18" s="36">
        <f>IF(ORCAMENTOS!A26="","",ORCAMENTOS!A26)</f>
        <v>45664</v>
      </c>
      <c r="B18" s="46">
        <f>IF(ORCAMENTOS!B26="","",ORCAMENTOS!B26)</f>
        <v>16</v>
      </c>
      <c r="C18" s="46" t="str">
        <f>IF(ORCAMENTOS!C26="","",ORCAMENTOS!C26)</f>
        <v/>
      </c>
      <c r="D18" s="37" t="str">
        <f>IF(ORCAMENTOS!D26="","",ORCAMENTOS!D26)</f>
        <v>DUCTBUSTERS</v>
      </c>
      <c r="E18" s="38" t="str">
        <f>IF(ORCAMENTOS!E26="","",ORCAMENTOS!E26)</f>
        <v>-</v>
      </c>
      <c r="F18" s="37" t="str">
        <f>IF(ORCAMENTOS!G26="","",ORCAMENTOS!G26)</f>
        <v>Michel</v>
      </c>
      <c r="G18" s="37" t="str">
        <f>IF(ORCAMENTOS!H26="","",ORCAMENTOS!H26)</f>
        <v>Camila</v>
      </c>
      <c r="H18" s="39">
        <f>IF(ORCAMENTOS!I26="","",ORCAMENTOS!I26)</f>
        <v>947.84</v>
      </c>
      <c r="I18" s="60" t="str">
        <f>IF(ORCAMENTOS!J26="","",ORCAMENTOS!J26)</f>
        <v/>
      </c>
      <c r="J18" s="40" t="str">
        <f>IF(ORCAMENTOS!L26="","",ORCAMENTOS!L26)</f>
        <v>FECHADO</v>
      </c>
      <c r="K18" s="34" t="str">
        <f>IF(ORCAMENTOS!M26="","",ORCAMENTOS!M26)</f>
        <v/>
      </c>
      <c r="L18" t="str">
        <f>IF(ORCAMENTOS!R26="","",ORCAMENTOS!R26)</f>
        <v>-</v>
      </c>
    </row>
    <row r="19" spans="1:12" ht="15.75" hidden="1" customHeight="1" x14ac:dyDescent="0.25">
      <c r="A19" s="36">
        <f>IF(ORCAMENTOS!A27="","",ORCAMENTOS!A27)</f>
        <v>45664</v>
      </c>
      <c r="B19" s="46">
        <f>IF(ORCAMENTOS!B27="","",ORCAMENTOS!B27)</f>
        <v>17</v>
      </c>
      <c r="C19" s="46" t="str">
        <f>IF(ORCAMENTOS!C27="","",ORCAMENTOS!C27)</f>
        <v/>
      </c>
      <c r="D19" s="37" t="str">
        <f>IF(ORCAMENTOS!D27="","",ORCAMENTOS!D27)</f>
        <v>AIRPLAN</v>
      </c>
      <c r="E19" s="38" t="str">
        <f>IF(ORCAMENTOS!E27="","",ORCAMENTOS!E27)</f>
        <v>SHOPPING CENTER - MISTRAL - JK IGUATEMI</v>
      </c>
      <c r="F19" s="37" t="str">
        <f>IF(ORCAMENTOS!G27="","",ORCAMENTOS!G27)</f>
        <v>Gabriel</v>
      </c>
      <c r="G19" s="37" t="str">
        <f>IF(ORCAMENTOS!H27="","",ORCAMENTOS!H27)</f>
        <v>Laercio</v>
      </c>
      <c r="H19" s="39">
        <f>IF(ORCAMENTOS!I27="","",ORCAMENTOS!I27)</f>
        <v>8557.66</v>
      </c>
      <c r="I19" s="60" t="str">
        <f>IF(ORCAMENTOS!J27="","",ORCAMENTOS!J27)</f>
        <v/>
      </c>
      <c r="J19" s="40" t="str">
        <f>IF(ORCAMENTOS!L27="","",ORCAMENTOS!L27)</f>
        <v>CANCELADO</v>
      </c>
      <c r="K19" s="34" t="str">
        <f>IF(ORCAMENTOS!M27="","",ORCAMENTOS!M27)</f>
        <v/>
      </c>
      <c r="L19" t="str">
        <f>IF(ORCAMENTOS!R27="","",ORCAMENTOS!R27)</f>
        <v>MPU</v>
      </c>
    </row>
    <row r="20" spans="1:12" ht="15.75" hidden="1" customHeight="1" x14ac:dyDescent="0.25">
      <c r="A20" s="36">
        <f>IF(ORCAMENTOS!A28="","",ORCAMENTOS!A28)</f>
        <v>45664</v>
      </c>
      <c r="B20" s="46">
        <f>IF(ORCAMENTOS!B28="","",ORCAMENTOS!B28)</f>
        <v>18</v>
      </c>
      <c r="C20" s="46" t="str">
        <f>IF(ORCAMENTOS!C28="","",ORCAMENTOS!C28)</f>
        <v/>
      </c>
      <c r="D20" s="37" t="str">
        <f>IF(ORCAMENTOS!D28="","",ORCAMENTOS!D28)</f>
        <v>CIVIL AR</v>
      </c>
      <c r="E20" s="38" t="str">
        <f>IF(ORCAMENTOS!E28="","",ORCAMENTOS!E28)</f>
        <v>THYSSENKRUPP - POÇOS DE CALDAS - MG</v>
      </c>
      <c r="F20" s="37" t="str">
        <f>IF(ORCAMENTOS!G28="","",ORCAMENTOS!G28)</f>
        <v>Fernando</v>
      </c>
      <c r="G20" s="37" t="str">
        <f>IF(ORCAMENTOS!H28="","",ORCAMENTOS!H28)</f>
        <v>Atila</v>
      </c>
      <c r="H20" s="39">
        <f>IF(ORCAMENTOS!I28="","",ORCAMENTOS!I28)</f>
        <v>12090.52</v>
      </c>
      <c r="I20" s="60" t="str">
        <f>IF(ORCAMENTOS!J28="","",ORCAMENTOS!J28)</f>
        <v/>
      </c>
      <c r="J20" s="40" t="str">
        <f>IF(ORCAMENTOS!L28="","",ORCAMENTOS!L28)</f>
        <v>FECHADO</v>
      </c>
      <c r="K20" s="34" t="str">
        <f>IF(ORCAMENTOS!M28="","",ORCAMENTOS!M28)</f>
        <v>Aguardando aprovação</v>
      </c>
      <c r="L20" t="str">
        <f>IF(ORCAMENTOS!R28="","",ORCAMENTOS!R28)</f>
        <v>MPU</v>
      </c>
    </row>
    <row r="21" spans="1:12" ht="15.75" hidden="1" customHeight="1" x14ac:dyDescent="0.25">
      <c r="A21" s="36">
        <f>IF(ORCAMENTOS!A29="","",ORCAMENTOS!A29)</f>
        <v>45664</v>
      </c>
      <c r="B21" s="46">
        <f>IF(ORCAMENTOS!B29="","",ORCAMENTOS!B29)</f>
        <v>19</v>
      </c>
      <c r="C21" s="46" t="str">
        <f>IF(ORCAMENTOS!C29="","",ORCAMENTOS!C29)</f>
        <v/>
      </c>
      <c r="D21" s="37" t="str">
        <f>IF(ORCAMENTOS!D29="","",ORCAMENTOS!D29)</f>
        <v>EKO CLIMAX</v>
      </c>
      <c r="E21" s="38" t="str">
        <f>IF(ORCAMENTOS!E29="","",ORCAMENTOS!E29)</f>
        <v>-</v>
      </c>
      <c r="F21" s="37" t="str">
        <f>IF(ORCAMENTOS!G29="","",ORCAMENTOS!G29)</f>
        <v>Michel</v>
      </c>
      <c r="G21" s="37" t="str">
        <f>IF(ORCAMENTOS!H29="","",ORCAMENTOS!H29)</f>
        <v>Rogerio</v>
      </c>
      <c r="H21" s="39">
        <f>IF(ORCAMENTOS!I29="","",ORCAMENTOS!I29)</f>
        <v>8569.14</v>
      </c>
      <c r="I21" s="60" t="str">
        <f>IF(ORCAMENTOS!J29="","",ORCAMENTOS!J29)</f>
        <v/>
      </c>
      <c r="J21" s="40" t="str">
        <f>IF(ORCAMENTOS!L29="","",ORCAMENTOS!L29)</f>
        <v>FECHADO</v>
      </c>
      <c r="K21" s="34" t="str">
        <f>IF(ORCAMENTOS!M29="","",ORCAMENTOS!M29)</f>
        <v/>
      </c>
      <c r="L21" t="str">
        <f>IF(ORCAMENTOS!R29="","",ORCAMENTOS!R29)</f>
        <v>-</v>
      </c>
    </row>
    <row r="22" spans="1:12" ht="15.75" hidden="1" customHeight="1" x14ac:dyDescent="0.25">
      <c r="A22" s="36">
        <f>IF(ORCAMENTOS!A30="","",ORCAMENTOS!A30)</f>
        <v>45664</v>
      </c>
      <c r="B22" s="46">
        <f>IF(ORCAMENTOS!B30="","",ORCAMENTOS!B30)</f>
        <v>20</v>
      </c>
      <c r="C22" s="46" t="str">
        <f>IF(ORCAMENTOS!C30="","",ORCAMENTOS!C30)</f>
        <v/>
      </c>
      <c r="D22" s="37" t="str">
        <f>IF(ORCAMENTOS!D30="","",ORCAMENTOS!D30)</f>
        <v>FAZENG</v>
      </c>
      <c r="E22" s="38" t="str">
        <f>IF(ORCAMENTOS!E30="","",ORCAMENTOS!E30)</f>
        <v>CLÍNICA PAULISTA - 13º ANDAR - BELA VISTA - SP</v>
      </c>
      <c r="F22" s="37" t="str">
        <f>IF(ORCAMENTOS!G30="","",ORCAMENTOS!G30)</f>
        <v>Gabriel</v>
      </c>
      <c r="G22" s="37" t="str">
        <f>IF(ORCAMENTOS!H30="","",ORCAMENTOS!H30)</f>
        <v>Andrey</v>
      </c>
      <c r="H22" s="39">
        <f>IF(ORCAMENTOS!I30="","",ORCAMENTOS!I30)</f>
        <v>15600.04</v>
      </c>
      <c r="I22" s="60" t="str">
        <f>IF(ORCAMENTOS!J30="","",ORCAMENTOS!J30)</f>
        <v/>
      </c>
      <c r="J22" s="40" t="str">
        <f>IF(ORCAMENTOS!L30="","",ORCAMENTOS!L30)</f>
        <v>CANCELADO</v>
      </c>
      <c r="K22" s="34" t="str">
        <f>IF(ORCAMENTOS!M30="","",ORCAMENTOS!M30)</f>
        <v>Aguardando aprovação</v>
      </c>
      <c r="L22" t="str">
        <f>IF(ORCAMENTOS!R30="","",ORCAMENTOS!R30)</f>
        <v>N/E</v>
      </c>
    </row>
    <row r="23" spans="1:12" ht="15.75" hidden="1" customHeight="1" x14ac:dyDescent="0.25">
      <c r="A23" s="36">
        <f>IF(ORCAMENTOS!A31="","",ORCAMENTOS!A31)</f>
        <v>45664</v>
      </c>
      <c r="B23" s="46">
        <f>IF(ORCAMENTOS!B31="","",ORCAMENTOS!B31)</f>
        <v>21</v>
      </c>
      <c r="C23" s="46" t="str">
        <f>IF(ORCAMENTOS!C31="","",ORCAMENTOS!C31)</f>
        <v/>
      </c>
      <c r="D23" s="37" t="str">
        <f>IF(ORCAMENTOS!D31="","",ORCAMENTOS!D31)</f>
        <v>HELP AIR</v>
      </c>
      <c r="E23" s="38" t="str">
        <f>IF(ORCAMENTOS!E31="","",ORCAMENTOS!E31)</f>
        <v>-</v>
      </c>
      <c r="F23" s="37" t="str">
        <f>IF(ORCAMENTOS!G31="","",ORCAMENTOS!G31)</f>
        <v>Gabriel</v>
      </c>
      <c r="G23" s="37" t="str">
        <f>IF(ORCAMENTOS!H31="","",ORCAMENTOS!H31)</f>
        <v>Joyce</v>
      </c>
      <c r="H23" s="39">
        <f>IF(ORCAMENTOS!I31="","",ORCAMENTOS!I31)</f>
        <v>2288.37</v>
      </c>
      <c r="I23" s="60" t="str">
        <f>IF(ORCAMENTOS!J31="","",ORCAMENTOS!J31)</f>
        <v/>
      </c>
      <c r="J23" s="40" t="str">
        <f>IF(ORCAMENTOS!L31="","",ORCAMENTOS!L31)</f>
        <v>CANCELADO</v>
      </c>
      <c r="K23" s="34" t="str">
        <f>IF(ORCAMENTOS!M31="","",ORCAMENTOS!M31)</f>
        <v/>
      </c>
      <c r="L23" t="str">
        <f>IF(ORCAMENTOS!R31="","",ORCAMENTOS!R31)</f>
        <v>-</v>
      </c>
    </row>
    <row r="24" spans="1:12" ht="15.75" hidden="1" customHeight="1" x14ac:dyDescent="0.25">
      <c r="A24" s="36">
        <f>IF(ORCAMENTOS!A32="","",ORCAMENTOS!A32)</f>
        <v>45664</v>
      </c>
      <c r="B24" s="46">
        <f>IF(ORCAMENTOS!B32="","",ORCAMENTOS!B32)</f>
        <v>22</v>
      </c>
      <c r="C24" s="46" t="str">
        <f>IF(ORCAMENTOS!C32="","",ORCAMENTOS!C32)</f>
        <v/>
      </c>
      <c r="D24" s="37" t="str">
        <f>IF(ORCAMENTOS!D32="","",ORCAMENTOS!D32)</f>
        <v>DUTOLEVE</v>
      </c>
      <c r="E24" s="38" t="str">
        <f>IF(ORCAMENTOS!E32="","",ORCAMENTOS!E32)</f>
        <v>GESTAMP - TATUAPE - SP</v>
      </c>
      <c r="F24" s="37" t="str">
        <f>IF(ORCAMENTOS!G32="","",ORCAMENTOS!G32)</f>
        <v>Gabriel</v>
      </c>
      <c r="G24" s="37" t="str">
        <f>IF(ORCAMENTOS!H32="","",ORCAMENTOS!H32)</f>
        <v>Newton</v>
      </c>
      <c r="H24" s="39">
        <f>IF(ORCAMENTOS!I32="","",ORCAMENTOS!I32)</f>
        <v>4668.8500000000004</v>
      </c>
      <c r="I24" s="60" t="str">
        <f>IF(ORCAMENTOS!J32="","",ORCAMENTOS!J32)</f>
        <v/>
      </c>
      <c r="J24" s="40" t="str">
        <f>IF(ORCAMENTOS!L32="","",ORCAMENTOS!L32)</f>
        <v>CANCELADO</v>
      </c>
      <c r="K24" s="34" t="str">
        <f>IF(ORCAMENTOS!M32="","",ORCAMENTOS!M32)</f>
        <v/>
      </c>
      <c r="L24" t="str">
        <f>IF(ORCAMENTOS!R32="","",ORCAMENTOS!R32)</f>
        <v>N/E</v>
      </c>
    </row>
    <row r="25" spans="1:12" ht="15.75" hidden="1" customHeight="1" x14ac:dyDescent="0.25">
      <c r="A25" s="36">
        <f>IF(ORCAMENTOS!A33="","",ORCAMENTOS!A33)</f>
        <v>45664</v>
      </c>
      <c r="B25" s="46">
        <f>IF(ORCAMENTOS!B33="","",ORCAMENTOS!B33)</f>
        <v>23</v>
      </c>
      <c r="C25" s="46" t="str">
        <f>IF(ORCAMENTOS!C33="","",ORCAMENTOS!C33)</f>
        <v/>
      </c>
      <c r="D25" s="37" t="str">
        <f>IF(ORCAMENTOS!D33="","",ORCAMENTOS!D33)</f>
        <v>AMS INSTALACOES</v>
      </c>
      <c r="E25" s="38" t="str">
        <f>IF(ORCAMENTOS!E33="","",ORCAMENTOS!E33)</f>
        <v>COMPER - BELVEDERE</v>
      </c>
      <c r="F25" s="37" t="str">
        <f>IF(ORCAMENTOS!G33="","",ORCAMENTOS!G33)</f>
        <v>Gabriel</v>
      </c>
      <c r="G25" s="37" t="str">
        <f>IF(ORCAMENTOS!H33="","",ORCAMENTOS!H33)</f>
        <v>Almir</v>
      </c>
      <c r="H25" s="39">
        <f>IF(ORCAMENTOS!I33="","",ORCAMENTOS!I33)</f>
        <v>86323.42</v>
      </c>
      <c r="I25" s="60" t="str">
        <f>IF(ORCAMENTOS!J33="","",ORCAMENTOS!J33)</f>
        <v/>
      </c>
      <c r="J25" s="40" t="str">
        <f>IF(ORCAMENTOS!L33="","",ORCAMENTOS!L33)</f>
        <v>FECHADO</v>
      </c>
      <c r="K25" s="34" t="str">
        <f>IF(ORCAMENTOS!M33="","",ORCAMENTOS!M33)</f>
        <v>-</v>
      </c>
      <c r="L25" t="str">
        <f>IF(ORCAMENTOS!R33="","",ORCAMENTOS!R33)</f>
        <v>-</v>
      </c>
    </row>
    <row r="26" spans="1:12" ht="15.75" hidden="1" customHeight="1" x14ac:dyDescent="0.25">
      <c r="A26" s="36">
        <f>IF(ORCAMENTOS!A34="","",ORCAMENTOS!A34)</f>
        <v>45665</v>
      </c>
      <c r="B26" s="46">
        <f>IF(ORCAMENTOS!B34="","",ORCAMENTOS!B34)</f>
        <v>24</v>
      </c>
      <c r="C26" s="46" t="str">
        <f>IF(ORCAMENTOS!C34="","",ORCAMENTOS!C34)</f>
        <v/>
      </c>
      <c r="D26" s="37" t="str">
        <f>IF(ORCAMENTOS!D34="","",ORCAMENTOS!D34)</f>
        <v>INTEG ENGENHARIA</v>
      </c>
      <c r="E26" s="38" t="str">
        <f>IF(ORCAMENTOS!E34="","",ORCAMENTOS!E34)</f>
        <v>-</v>
      </c>
      <c r="F26" s="37" t="str">
        <f>IF(ORCAMENTOS!G34="","",ORCAMENTOS!G34)</f>
        <v>Fernando</v>
      </c>
      <c r="G26" s="37" t="str">
        <f>IF(ORCAMENTOS!H34="","",ORCAMENTOS!H34)</f>
        <v>Angela</v>
      </c>
      <c r="H26" s="39">
        <f>IF(ORCAMENTOS!I34="","",ORCAMENTOS!I34)</f>
        <v>16406.46</v>
      </c>
      <c r="I26" s="60" t="str">
        <f>IF(ORCAMENTOS!J34="","",ORCAMENTOS!J34)</f>
        <v/>
      </c>
      <c r="J26" s="40" t="str">
        <f>IF(ORCAMENTOS!L34="","",ORCAMENTOS!L34)</f>
        <v>PERDIDO</v>
      </c>
      <c r="K26" s="34" t="str">
        <f>IF(ORCAMENTOS!M34="","",ORCAMENTOS!M34)</f>
        <v>MULTIVAC - COND PGTO</v>
      </c>
      <c r="L26" t="str">
        <f>IF(ORCAMENTOS!R34="","",ORCAMENTOS!R34)</f>
        <v>-</v>
      </c>
    </row>
    <row r="27" spans="1:12" ht="15.75" hidden="1" customHeight="1" x14ac:dyDescent="0.25">
      <c r="A27" s="36">
        <f>IF(ORCAMENTOS!A35="","",ORCAMENTOS!A35)</f>
        <v>45665</v>
      </c>
      <c r="B27" s="46">
        <f>IF(ORCAMENTOS!B35="","",ORCAMENTOS!B35)</f>
        <v>25</v>
      </c>
      <c r="C27" s="46" t="str">
        <f>IF(ORCAMENTOS!C35="","",ORCAMENTOS!C35)</f>
        <v/>
      </c>
      <c r="D27" s="37" t="str">
        <f>IF(ORCAMENTOS!D35="","",ORCAMENTOS!D35)</f>
        <v>ENEBRAS</v>
      </c>
      <c r="E27" s="38" t="str">
        <f>IF(ORCAMENTOS!E35="","",ORCAMENTOS!E35)</f>
        <v>3671_GRAAC - 3671-24 - GRAAC - 1° E 7° ANDAR</v>
      </c>
      <c r="F27" s="37" t="str">
        <f>IF(ORCAMENTOS!G35="","",ORCAMENTOS!G35)</f>
        <v>Michel</v>
      </c>
      <c r="G27" s="37" t="str">
        <f>IF(ORCAMENTOS!H35="","",ORCAMENTOS!H35)</f>
        <v>Bruna</v>
      </c>
      <c r="H27" s="39">
        <f>IF(ORCAMENTOS!I35="","",ORCAMENTOS!I35)</f>
        <v>17023.2</v>
      </c>
      <c r="I27" s="60" t="str">
        <f>IF(ORCAMENTOS!J35="","",ORCAMENTOS!J35)</f>
        <v/>
      </c>
      <c r="J27" s="40" t="str">
        <f>IF(ORCAMENTOS!L35="","",ORCAMENTOS!L35)</f>
        <v>FECHADO</v>
      </c>
      <c r="K27" s="34" t="str">
        <f>IF(ORCAMENTOS!M35="","",ORCAMENTOS!M35)</f>
        <v>Aguardando aprovação</v>
      </c>
      <c r="L27" t="str">
        <f>IF(ORCAMENTOS!R35="","",ORCAMENTOS!R35)</f>
        <v>-</v>
      </c>
    </row>
    <row r="28" spans="1:12" ht="15.75" hidden="1" customHeight="1" x14ac:dyDescent="0.25">
      <c r="A28" s="36">
        <f>IF(ORCAMENTOS!A36="","",ORCAMENTOS!A36)</f>
        <v>45664</v>
      </c>
      <c r="B28" s="46">
        <f>IF(ORCAMENTOS!B36="","",ORCAMENTOS!B36)</f>
        <v>26</v>
      </c>
      <c r="C28" s="46" t="str">
        <f>IF(ORCAMENTOS!C36="","",ORCAMENTOS!C36)</f>
        <v/>
      </c>
      <c r="D28" s="37" t="str">
        <f>IF(ORCAMENTOS!D36="","",ORCAMENTOS!D36)</f>
        <v>UNION RHAC</v>
      </c>
      <c r="E28" s="38" t="str">
        <f>IF(ORCAMENTOS!E36="","",ORCAMENTOS!E36)</f>
        <v>NISSIN CHOCOLATE</v>
      </c>
      <c r="F28" s="37" t="str">
        <f>IF(ORCAMENTOS!G36="","",ORCAMENTOS!G36)</f>
        <v>Emanuel</v>
      </c>
      <c r="G28" s="37" t="str">
        <f>IF(ORCAMENTOS!H36="","",ORCAMENTOS!H36)</f>
        <v>Vinicius</v>
      </c>
      <c r="H28" s="39">
        <f>IF(ORCAMENTOS!I36="","",ORCAMENTOS!I36)</f>
        <v>76571.13</v>
      </c>
      <c r="I28" s="60" t="str">
        <f>IF(ORCAMENTOS!J36="","",ORCAMENTOS!J36)</f>
        <v/>
      </c>
      <c r="J28" s="40" t="str">
        <f>IF(ORCAMENTOS!L36="","",ORCAMENTOS!L36)</f>
        <v>FECHADO</v>
      </c>
      <c r="K28" s="34" t="str">
        <f>IF(ORCAMENTOS!M36="","",ORCAMENTOS!M36)</f>
        <v>-</v>
      </c>
      <c r="L28" t="str">
        <f>IF(ORCAMENTOS!R36="","",ORCAMENTOS!R36)</f>
        <v>-</v>
      </c>
    </row>
    <row r="29" spans="1:12" ht="15.75" hidden="1" customHeight="1" x14ac:dyDescent="0.25">
      <c r="A29" s="36">
        <f>IF(ORCAMENTOS!A37="","",ORCAMENTOS!A37)</f>
        <v>45665</v>
      </c>
      <c r="B29" s="46">
        <f>IF(ORCAMENTOS!B37="","",ORCAMENTOS!B37)</f>
        <v>27</v>
      </c>
      <c r="C29" s="46" t="str">
        <f>IF(ORCAMENTOS!C37="","",ORCAMENTOS!C37)</f>
        <v/>
      </c>
      <c r="D29" s="37" t="str">
        <f>IF(ORCAMENTOS!D37="","",ORCAMENTOS!D37)</f>
        <v>ADALTA ENGENHARIA</v>
      </c>
      <c r="E29" s="38" t="str">
        <f>IF(ORCAMENTOS!E37="","",ORCAMENTOS!E37)</f>
        <v>COPERMED - POUSO ALGRE - MG</v>
      </c>
      <c r="F29" s="37" t="str">
        <f>IF(ORCAMENTOS!G37="","",ORCAMENTOS!G37)</f>
        <v>Fernando</v>
      </c>
      <c r="G29" s="37" t="str">
        <f>IF(ORCAMENTOS!H37="","",ORCAMENTOS!H37)</f>
        <v>Joao</v>
      </c>
      <c r="H29" s="39">
        <f>IF(ORCAMENTOS!I37="","",ORCAMENTOS!I37)</f>
        <v>70206.27</v>
      </c>
      <c r="I29" s="60" t="str">
        <f>IF(ORCAMENTOS!J37="","",ORCAMENTOS!J37)</f>
        <v/>
      </c>
      <c r="J29" s="40" t="str">
        <f>IF(ORCAMENTOS!L37="","",ORCAMENTOS!L37)</f>
        <v>FECHADO</v>
      </c>
      <c r="K29" s="34" t="str">
        <f>IF(ORCAMENTOS!M37="","",ORCAMENTOS!M37)</f>
        <v>-</v>
      </c>
      <c r="L29" t="str">
        <f>IF(ORCAMENTOS!R37="","",ORCAMENTOS!R37)</f>
        <v>-</v>
      </c>
    </row>
    <row r="30" spans="1:12" ht="15.75" hidden="1" customHeight="1" x14ac:dyDescent="0.25">
      <c r="A30" s="36">
        <f>IF(ORCAMENTOS!A38="","",ORCAMENTOS!A38)</f>
        <v>45665</v>
      </c>
      <c r="B30" s="46">
        <f>IF(ORCAMENTOS!B38="","",ORCAMENTOS!B38)</f>
        <v>28</v>
      </c>
      <c r="C30" s="46" t="str">
        <f>IF(ORCAMENTOS!C38="","",ORCAMENTOS!C38)</f>
        <v/>
      </c>
      <c r="D30" s="37" t="str">
        <f>IF(ORCAMENTOS!D38="","",ORCAMENTOS!D38)</f>
        <v>K SET</v>
      </c>
      <c r="E30" s="38" t="str">
        <f>IF(ORCAMENTOS!E38="","",ORCAMENTOS!E38)</f>
        <v>-</v>
      </c>
      <c r="F30" s="37" t="str">
        <f>IF(ORCAMENTOS!G38="","",ORCAMENTOS!G38)</f>
        <v>Gabriel</v>
      </c>
      <c r="G30" s="37" t="str">
        <f>IF(ORCAMENTOS!H38="","",ORCAMENTOS!H38)</f>
        <v>Bruna</v>
      </c>
      <c r="H30" s="39">
        <f>IF(ORCAMENTOS!I38="","",ORCAMENTOS!I38)</f>
        <v>1595.63</v>
      </c>
      <c r="I30" s="60" t="str">
        <f>IF(ORCAMENTOS!J38="","",ORCAMENTOS!J38)</f>
        <v/>
      </c>
      <c r="J30" s="40" t="str">
        <f>IF(ORCAMENTOS!L38="","",ORCAMENTOS!L38)</f>
        <v>FECHADO</v>
      </c>
      <c r="K30" s="34" t="str">
        <f>IF(ORCAMENTOS!M38="","",ORCAMENTOS!M38)</f>
        <v>-</v>
      </c>
      <c r="L30" t="str">
        <f>IF(ORCAMENTOS!R38="","",ORCAMENTOS!R38)</f>
        <v>-</v>
      </c>
    </row>
    <row r="31" spans="1:12" ht="15.75" hidden="1" customHeight="1" x14ac:dyDescent="0.25">
      <c r="A31" s="36">
        <f>IF(ORCAMENTOS!A39="","",ORCAMENTOS!A39)</f>
        <v>45665</v>
      </c>
      <c r="B31" s="46">
        <f>IF(ORCAMENTOS!B39="","",ORCAMENTOS!B39)</f>
        <v>29</v>
      </c>
      <c r="C31" s="46" t="str">
        <f>IF(ORCAMENTOS!C39="","",ORCAMENTOS!C39)</f>
        <v/>
      </c>
      <c r="D31" s="37" t="str">
        <f>IF(ORCAMENTOS!D39="","",ORCAMENTOS!D39)</f>
        <v>COLDTERMICA</v>
      </c>
      <c r="E31" s="38" t="str">
        <f>IF(ORCAMENTOS!E39="","",ORCAMENTOS!E39)</f>
        <v>RNR - FLAMBOYANT - GO</v>
      </c>
      <c r="F31" s="37" t="str">
        <f>IF(ORCAMENTOS!G39="","",ORCAMENTOS!G39)</f>
        <v>Gabriel</v>
      </c>
      <c r="G31" s="37" t="str">
        <f>IF(ORCAMENTOS!H39="","",ORCAMENTOS!H39)</f>
        <v>Gabriella</v>
      </c>
      <c r="H31" s="39">
        <f>IF(ORCAMENTOS!I39="","",ORCAMENTOS!I39)</f>
        <v>6177.05</v>
      </c>
      <c r="I31" s="60" t="str">
        <f>IF(ORCAMENTOS!J39="","",ORCAMENTOS!J39)</f>
        <v/>
      </c>
      <c r="J31" s="40" t="str">
        <f>IF(ORCAMENTOS!L39="","",ORCAMENTOS!L39)</f>
        <v>CANCELADO</v>
      </c>
      <c r="K31" s="34" t="str">
        <f>IF(ORCAMENTOS!M39="","",ORCAMENTOS!M39)</f>
        <v>-</v>
      </c>
      <c r="L31" t="str">
        <f>IF(ORCAMENTOS!R39="","",ORCAMENTOS!R39)</f>
        <v>-</v>
      </c>
    </row>
    <row r="32" spans="1:12" ht="15.75" hidden="1" customHeight="1" x14ac:dyDescent="0.25">
      <c r="A32" s="36">
        <f>IF(ORCAMENTOS!A40="","",ORCAMENTOS!A40)</f>
        <v>45665</v>
      </c>
      <c r="B32" s="46">
        <f>IF(ORCAMENTOS!B40="","",ORCAMENTOS!B40)</f>
        <v>30</v>
      </c>
      <c r="C32" s="46" t="str">
        <f>IF(ORCAMENTOS!C40="","",ORCAMENTOS!C40)</f>
        <v/>
      </c>
      <c r="D32" s="37" t="str">
        <f>IF(ORCAMENTOS!D40="","",ORCAMENTOS!D40)</f>
        <v>R1 SOLUCOES</v>
      </c>
      <c r="E32" s="38" t="str">
        <f>IF(ORCAMENTOS!E40="","",ORCAMENTOS!E40)</f>
        <v>-</v>
      </c>
      <c r="F32" s="37" t="str">
        <f>IF(ORCAMENTOS!G40="","",ORCAMENTOS!G40)</f>
        <v>Gabriel</v>
      </c>
      <c r="G32" s="37" t="str">
        <f>IF(ORCAMENTOS!H40="","",ORCAMENTOS!H40)</f>
        <v>Janaina</v>
      </c>
      <c r="H32" s="39">
        <f>IF(ORCAMENTOS!I40="","",ORCAMENTOS!I40)</f>
        <v>3975.32</v>
      </c>
      <c r="I32" s="60" t="str">
        <f>IF(ORCAMENTOS!J40="","",ORCAMENTOS!J40)</f>
        <v/>
      </c>
      <c r="J32" s="40" t="str">
        <f>IF(ORCAMENTOS!L40="","",ORCAMENTOS!L40)</f>
        <v>CANCELADO</v>
      </c>
      <c r="K32" s="34" t="str">
        <f>IF(ORCAMENTOS!M40="","",ORCAMENTOS!M40)</f>
        <v>Negociando</v>
      </c>
      <c r="L32" t="str">
        <f>IF(ORCAMENTOS!R40="","",ORCAMENTOS!R40)</f>
        <v>-</v>
      </c>
    </row>
    <row r="33" spans="1:12" ht="15.75" hidden="1" customHeight="1" x14ac:dyDescent="0.25">
      <c r="A33" s="36">
        <f>IF(ORCAMENTOS!A41="","",ORCAMENTOS!A41)</f>
        <v>45665</v>
      </c>
      <c r="B33" s="46">
        <f>IF(ORCAMENTOS!B41="","",ORCAMENTOS!B41)</f>
        <v>31</v>
      </c>
      <c r="C33" s="46" t="str">
        <f>IF(ORCAMENTOS!C41="","",ORCAMENTOS!C41)</f>
        <v/>
      </c>
      <c r="D33" s="37" t="str">
        <f>IF(ORCAMENTOS!D41="","",ORCAMENTOS!D41)</f>
        <v>GF ENGENHARIA</v>
      </c>
      <c r="E33" s="38" t="str">
        <f>IF(ORCAMENTOS!E41="","",ORCAMENTOS!E41)</f>
        <v>-</v>
      </c>
      <c r="F33" s="37" t="str">
        <f>IF(ORCAMENTOS!G41="","",ORCAMENTOS!G41)</f>
        <v>Gabriel</v>
      </c>
      <c r="G33" s="37" t="str">
        <f>IF(ORCAMENTOS!H41="","",ORCAMENTOS!H41)</f>
        <v>Ricardo</v>
      </c>
      <c r="H33" s="39">
        <f>IF(ORCAMENTOS!I41="","",ORCAMENTOS!I41)</f>
        <v>728.5</v>
      </c>
      <c r="I33" s="60" t="str">
        <f>IF(ORCAMENTOS!J41="","",ORCAMENTOS!J41)</f>
        <v/>
      </c>
      <c r="J33" s="40" t="str">
        <f>IF(ORCAMENTOS!L41="","",ORCAMENTOS!L41)</f>
        <v>CANCELADO</v>
      </c>
      <c r="K33" s="34" t="str">
        <f>IF(ORCAMENTOS!M41="","",ORCAMENTOS!M41)</f>
        <v>-</v>
      </c>
      <c r="L33" t="str">
        <f>IF(ORCAMENTOS!R41="","",ORCAMENTOS!R41)</f>
        <v>-</v>
      </c>
    </row>
    <row r="34" spans="1:12" ht="15.75" hidden="1" customHeight="1" x14ac:dyDescent="0.25">
      <c r="A34" s="36">
        <f>IF(ORCAMENTOS!A42="","",ORCAMENTOS!A42)</f>
        <v>45665</v>
      </c>
      <c r="B34" s="46">
        <f>IF(ORCAMENTOS!B42="","",ORCAMENTOS!B42)</f>
        <v>32</v>
      </c>
      <c r="C34" s="46" t="str">
        <f>IF(ORCAMENTOS!C42="","",ORCAMENTOS!C42)</f>
        <v/>
      </c>
      <c r="D34" s="37" t="str">
        <f>IF(ORCAMENTOS!D42="","",ORCAMENTOS!D42)</f>
        <v>NEWSET</v>
      </c>
      <c r="E34" s="38" t="str">
        <f>IF(ORCAMENTOS!E42="","",ORCAMENTOS!E42)</f>
        <v>HOSPITAL SABARA</v>
      </c>
      <c r="F34" s="37" t="str">
        <f>IF(ORCAMENTOS!G42="","",ORCAMENTOS!G42)</f>
        <v xml:space="preserve">Aldavir </v>
      </c>
      <c r="G34" s="37" t="str">
        <f>IF(ORCAMENTOS!H42="","",ORCAMENTOS!H42)</f>
        <v>Rodrigo</v>
      </c>
      <c r="H34" s="39">
        <f>IF(ORCAMENTOS!I42="","",ORCAMENTOS!I42)</f>
        <v>1207781.3400000001</v>
      </c>
      <c r="I34" s="60" t="str">
        <f>IF(ORCAMENTOS!J42="","",ORCAMENTOS!J42)</f>
        <v/>
      </c>
      <c r="J34" s="40" t="str">
        <f>IF(ORCAMENTOS!L42="","",ORCAMENTOS!L42)</f>
        <v>CANCELADO</v>
      </c>
      <c r="K34" s="34" t="str">
        <f>IF(ORCAMENTOS!M42="","",ORCAMENTOS!M42)</f>
        <v>FECHADO PELA ARPOL</v>
      </c>
      <c r="L34" t="str">
        <f>IF(ORCAMENTOS!R42="","",ORCAMENTOS!R42)</f>
        <v>-</v>
      </c>
    </row>
    <row r="35" spans="1:12" ht="15.75" hidden="1" customHeight="1" x14ac:dyDescent="0.25">
      <c r="A35" s="36">
        <f>IF(ORCAMENTOS!A43="","",ORCAMENTOS!A43)</f>
        <v>45665</v>
      </c>
      <c r="B35" s="46">
        <f>IF(ORCAMENTOS!B43="","",ORCAMENTOS!B43)</f>
        <v>33</v>
      </c>
      <c r="C35" s="46" t="str">
        <f>IF(ORCAMENTOS!C43="","",ORCAMENTOS!C43)</f>
        <v/>
      </c>
      <c r="D35" s="37" t="str">
        <f>IF(ORCAMENTOS!D43="","",ORCAMENTOS!D43)</f>
        <v>NEWSET</v>
      </c>
      <c r="E35" s="38" t="str">
        <f>IF(ORCAMENTOS!E43="","",ORCAMENTOS!E43)</f>
        <v>HOSPITAL SÃO LUIZ - OSASCO</v>
      </c>
      <c r="F35" s="37" t="str">
        <f>IF(ORCAMENTOS!G43="","",ORCAMENTOS!G43)</f>
        <v xml:space="preserve">Aldavir </v>
      </c>
      <c r="G35" s="37" t="str">
        <f>IF(ORCAMENTOS!H43="","",ORCAMENTOS!H43)</f>
        <v>Felipe</v>
      </c>
      <c r="H35" s="39">
        <f>IF(ORCAMENTOS!I43="","",ORCAMENTOS!I43)</f>
        <v>48379.54</v>
      </c>
      <c r="I35" s="60" t="str">
        <f>IF(ORCAMENTOS!J43="","",ORCAMENTOS!J43)</f>
        <v/>
      </c>
      <c r="J35" s="40" t="str">
        <f>IF(ORCAMENTOS!L43="","",ORCAMENTOS!L43)</f>
        <v>CANCELADO</v>
      </c>
      <c r="K35" s="34" t="str">
        <f>IF(ORCAMENTOS!M43="","",ORCAMENTOS!M43)</f>
        <v>-</v>
      </c>
      <c r="L35" t="str">
        <f>IF(ORCAMENTOS!R43="","",ORCAMENTOS!R43)</f>
        <v>-</v>
      </c>
    </row>
    <row r="36" spans="1:12" ht="15.75" hidden="1" customHeight="1" x14ac:dyDescent="0.25">
      <c r="A36" s="36">
        <f>IF(ORCAMENTOS!A44="","",ORCAMENTOS!A44)</f>
        <v>45665</v>
      </c>
      <c r="B36" s="46">
        <f>IF(ORCAMENTOS!B44="","",ORCAMENTOS!B44)</f>
        <v>34</v>
      </c>
      <c r="C36" s="46" t="str">
        <f>IF(ORCAMENTOS!C44="","",ORCAMENTOS!C44)</f>
        <v/>
      </c>
      <c r="D36" s="37" t="str">
        <f>IF(ORCAMENTOS!D44="","",ORCAMENTOS!D44)</f>
        <v>AIR GREEN</v>
      </c>
      <c r="E36" s="38" t="str">
        <f>IF(ORCAMENTOS!E44="","",ORCAMENTOS!E44)</f>
        <v>-</v>
      </c>
      <c r="F36" s="37" t="str">
        <f>IF(ORCAMENTOS!G44="","",ORCAMENTOS!G44)</f>
        <v>Fernando</v>
      </c>
      <c r="G36" s="37" t="str">
        <f>IF(ORCAMENTOS!H44="","",ORCAMENTOS!H44)</f>
        <v>Renata</v>
      </c>
      <c r="H36" s="39">
        <f>IF(ORCAMENTOS!I44="","",ORCAMENTOS!I44)</f>
        <v>3110.21</v>
      </c>
      <c r="I36" s="60" t="str">
        <f>IF(ORCAMENTOS!J44="","",ORCAMENTOS!J44)</f>
        <v/>
      </c>
      <c r="J36" s="40" t="str">
        <f>IF(ORCAMENTOS!L44="","",ORCAMENTOS!L44)</f>
        <v>FECHADO</v>
      </c>
      <c r="K36" s="34" t="str">
        <f>IF(ORCAMENTOS!M44="","",ORCAMENTOS!M44)</f>
        <v>-</v>
      </c>
      <c r="L36" t="str">
        <f>IF(ORCAMENTOS!R44="","",ORCAMENTOS!R44)</f>
        <v>-</v>
      </c>
    </row>
    <row r="37" spans="1:12" ht="15.75" hidden="1" customHeight="1" x14ac:dyDescent="0.25">
      <c r="A37" s="36">
        <f>IF(ORCAMENTOS!A45="","",ORCAMENTOS!A45)</f>
        <v>45665</v>
      </c>
      <c r="B37" s="46">
        <f>IF(ORCAMENTOS!B45="","",ORCAMENTOS!B45)</f>
        <v>35</v>
      </c>
      <c r="C37" s="46" t="str">
        <f>IF(ORCAMENTOS!C45="","",ORCAMENTOS!C45)</f>
        <v/>
      </c>
      <c r="D37" s="37" t="str">
        <f>IF(ORCAMENTOS!D45="","",ORCAMENTOS!D45)</f>
        <v>CARLOS ANTONIO</v>
      </c>
      <c r="E37" s="38" t="str">
        <f>IF(ORCAMENTOS!E45="","",ORCAMENTOS!E45)</f>
        <v>LABORATÓRIO QUÍMICO FARMACÊUTICO DA AERONÁUTICA - LAQFA</v>
      </c>
      <c r="F37" s="37" t="str">
        <f>IF(ORCAMENTOS!G45="","",ORCAMENTOS!G45)</f>
        <v>Emanuel</v>
      </c>
      <c r="G37" s="37" t="str">
        <f>IF(ORCAMENTOS!H45="","",ORCAMENTOS!H45)</f>
        <v>Carlos</v>
      </c>
      <c r="H37" s="39">
        <f>IF(ORCAMENTOS!I45="","",ORCAMENTOS!I45)</f>
        <v>61538.58</v>
      </c>
      <c r="I37" s="60" t="str">
        <f>IF(ORCAMENTOS!J45="","",ORCAMENTOS!J45)</f>
        <v/>
      </c>
      <c r="J37" s="40" t="str">
        <f>IF(ORCAMENTOS!L45="","",ORCAMENTOS!L45)</f>
        <v>CANCELADO</v>
      </c>
      <c r="K37" s="34" t="str">
        <f>IF(ORCAMENTOS!M45="","",ORCAMENTOS!M45)</f>
        <v>Em vias de fechar, mas cliente final está tentando compraar pelo Rio</v>
      </c>
      <c r="L37" t="str">
        <f>IF(ORCAMENTOS!R45="","",ORCAMENTOS!R45)</f>
        <v>N/E</v>
      </c>
    </row>
    <row r="38" spans="1:12" ht="15.75" hidden="1" customHeight="1" x14ac:dyDescent="0.25">
      <c r="A38" s="36">
        <f>IF(ORCAMENTOS!A46="","",ORCAMENTOS!A46)</f>
        <v>45665</v>
      </c>
      <c r="B38" s="46">
        <f>IF(ORCAMENTOS!B46="","",ORCAMENTOS!B46)</f>
        <v>36</v>
      </c>
      <c r="C38" s="46" t="str">
        <f>IF(ORCAMENTOS!C46="","",ORCAMENTOS!C46)</f>
        <v/>
      </c>
      <c r="D38" s="37" t="str">
        <f>IF(ORCAMENTOS!D46="","",ORCAMENTOS!D46)</f>
        <v>ECOLOGIC AIR</v>
      </c>
      <c r="E38" s="38" t="str">
        <f>IF(ORCAMENTOS!E46="","",ORCAMENTOS!E46)</f>
        <v>ATACADAO - PALMAS III - TO</v>
      </c>
      <c r="F38" s="37" t="str">
        <f>IF(ORCAMENTOS!G46="","",ORCAMENTOS!G46)</f>
        <v>Michel</v>
      </c>
      <c r="G38" s="37" t="str">
        <f>IF(ORCAMENTOS!H46="","",ORCAMENTOS!H46)</f>
        <v>Genilson</v>
      </c>
      <c r="H38" s="39">
        <f>IF(ORCAMENTOS!I46="","",ORCAMENTOS!I46)</f>
        <v>257079.26</v>
      </c>
      <c r="I38" s="60" t="str">
        <f>IF(ORCAMENTOS!J46="","",ORCAMENTOS!J46)</f>
        <v/>
      </c>
      <c r="J38" s="40" t="str">
        <f>IF(ORCAMENTOS!L46="","",ORCAMENTOS!L46)</f>
        <v>CANCELADO</v>
      </c>
      <c r="K38" s="34" t="str">
        <f>IF(ORCAMENTOS!M46="","",ORCAMENTOS!M46)</f>
        <v>-</v>
      </c>
      <c r="L38" t="str">
        <f>IF(ORCAMENTOS!R46="","",ORCAMENTOS!R46)</f>
        <v>N/E</v>
      </c>
    </row>
    <row r="39" spans="1:12" ht="15.75" hidden="1" customHeight="1" x14ac:dyDescent="0.25">
      <c r="A39" s="36">
        <f>IF(ORCAMENTOS!A47="","",ORCAMENTOS!A47)</f>
        <v>45665</v>
      </c>
      <c r="B39" s="46">
        <f>IF(ORCAMENTOS!B47="","",ORCAMENTOS!B47)</f>
        <v>37</v>
      </c>
      <c r="C39" s="46" t="str">
        <f>IF(ORCAMENTOS!C47="","",ORCAMENTOS!C47)</f>
        <v/>
      </c>
      <c r="D39" s="37" t="str">
        <f>IF(ORCAMENTOS!D47="","",ORCAMENTOS!D47)</f>
        <v>ECOLOGIC AIR</v>
      </c>
      <c r="E39" s="38" t="str">
        <f>IF(ORCAMENTOS!E47="","",ORCAMENTOS!E47)</f>
        <v>ATACADAO - LOJA OSASCO PANORAMICA II - SP</v>
      </c>
      <c r="F39" s="37" t="str">
        <f>IF(ORCAMENTOS!G47="","",ORCAMENTOS!G47)</f>
        <v>Michel</v>
      </c>
      <c r="G39" s="37" t="str">
        <f>IF(ORCAMENTOS!H47="","",ORCAMENTOS!H47)</f>
        <v>Genilson</v>
      </c>
      <c r="H39" s="39">
        <f>IF(ORCAMENTOS!I47="","",ORCAMENTOS!I47)</f>
        <v>238482.66</v>
      </c>
      <c r="I39" s="60" t="str">
        <f>IF(ORCAMENTOS!J47="","",ORCAMENTOS!J47)</f>
        <v/>
      </c>
      <c r="J39" s="40" t="str">
        <f>IF(ORCAMENTOS!L47="","",ORCAMENTOS!L47)</f>
        <v>CANCELADO</v>
      </c>
      <c r="K39" s="34" t="str">
        <f>IF(ORCAMENTOS!M47="","",ORCAMENTOS!M47)</f>
        <v>-</v>
      </c>
      <c r="L39" t="str">
        <f>IF(ORCAMENTOS!R47="","",ORCAMENTOS!R47)</f>
        <v>N/E</v>
      </c>
    </row>
    <row r="40" spans="1:12" ht="15.75" hidden="1" customHeight="1" x14ac:dyDescent="0.25">
      <c r="A40" s="36">
        <f>IF(ORCAMENTOS!A48="","",ORCAMENTOS!A48)</f>
        <v>45665</v>
      </c>
      <c r="B40" s="46">
        <f>IF(ORCAMENTOS!B48="","",ORCAMENTOS!B48)</f>
        <v>38</v>
      </c>
      <c r="C40" s="46" t="str">
        <f>IF(ORCAMENTOS!C48="","",ORCAMENTOS!C48)</f>
        <v/>
      </c>
      <c r="D40" s="37" t="str">
        <f>IF(ORCAMENTOS!D48="","",ORCAMENTOS!D48)</f>
        <v>ECOLOGIC AIR</v>
      </c>
      <c r="E40" s="38" t="str">
        <f>IF(ORCAMENTOS!E48="","",ORCAMENTOS!E48)</f>
        <v>ATACADAO - REDENCAO - PA</v>
      </c>
      <c r="F40" s="37" t="str">
        <f>IF(ORCAMENTOS!G48="","",ORCAMENTOS!G48)</f>
        <v>Michel</v>
      </c>
      <c r="G40" s="37" t="str">
        <f>IF(ORCAMENTOS!H48="","",ORCAMENTOS!H48)</f>
        <v>Genilson</v>
      </c>
      <c r="H40" s="39">
        <f>IF(ORCAMENTOS!I48="","",ORCAMENTOS!I48)</f>
        <v>170730.37</v>
      </c>
      <c r="I40" s="60" t="str">
        <f>IF(ORCAMENTOS!J48="","",ORCAMENTOS!J48)</f>
        <v/>
      </c>
      <c r="J40" s="40" t="str">
        <f>IF(ORCAMENTOS!L48="","",ORCAMENTOS!L48)</f>
        <v>CANCELADO</v>
      </c>
      <c r="K40" s="34" t="str">
        <f>IF(ORCAMENTOS!M48="","",ORCAMENTOS!M48)</f>
        <v>-</v>
      </c>
      <c r="L40" t="str">
        <f>IF(ORCAMENTOS!R48="","",ORCAMENTOS!R48)</f>
        <v>N/E</v>
      </c>
    </row>
    <row r="41" spans="1:12" ht="15.75" hidden="1" customHeight="1" x14ac:dyDescent="0.25">
      <c r="A41" s="36">
        <f>IF(ORCAMENTOS!A49="","",ORCAMENTOS!A49)</f>
        <v>45665</v>
      </c>
      <c r="B41" s="46">
        <f>IF(ORCAMENTOS!B49="","",ORCAMENTOS!B49)</f>
        <v>39</v>
      </c>
      <c r="C41" s="46" t="str">
        <f>IF(ORCAMENTOS!C49="","",ORCAMENTOS!C49)</f>
        <v/>
      </c>
      <c r="D41" s="37" t="str">
        <f>IF(ORCAMENTOS!D49="","",ORCAMENTOS!D49)</f>
        <v>ENGEMAC</v>
      </c>
      <c r="E41" s="38" t="str">
        <f>IF(ORCAMENTOS!E49="","",ORCAMENTOS!E49)</f>
        <v>HOSPITAL UNIMED - BLOCO 2 - SÃO CARLOS - SP</v>
      </c>
      <c r="F41" s="37" t="str">
        <f>IF(ORCAMENTOS!G49="","",ORCAMENTOS!G49)</f>
        <v>Fernando</v>
      </c>
      <c r="G41" s="37" t="str">
        <f>IF(ORCAMENTOS!H49="","",ORCAMENTOS!H49)</f>
        <v>Rodrigo</v>
      </c>
      <c r="H41" s="39">
        <f>IF(ORCAMENTOS!I49="","",ORCAMENTOS!I49)</f>
        <v>170134.38</v>
      </c>
      <c r="I41" s="60" t="str">
        <f>IF(ORCAMENTOS!J49="","",ORCAMENTOS!J49)</f>
        <v/>
      </c>
      <c r="J41" s="40" t="str">
        <f>IF(ORCAMENTOS!L49="","",ORCAMENTOS!L49)</f>
        <v>CANCELADO</v>
      </c>
      <c r="K41" s="34" t="str">
        <f>IF(ORCAMENTOS!M49="","",ORCAMENTOS!M49)</f>
        <v>PREVISAO ABRIL</v>
      </c>
      <c r="L41" t="str">
        <f>IF(ORCAMENTOS!R49="","",ORCAMENTOS!R49)</f>
        <v>N/E</v>
      </c>
    </row>
    <row r="42" spans="1:12" ht="15.75" hidden="1" customHeight="1" x14ac:dyDescent="0.25">
      <c r="A42" s="36">
        <f>IF(ORCAMENTOS!A50="","",ORCAMENTOS!A50)</f>
        <v>45665</v>
      </c>
      <c r="B42" s="46">
        <f>IF(ORCAMENTOS!B50="","",ORCAMENTOS!B50)</f>
        <v>40</v>
      </c>
      <c r="C42" s="46" t="str">
        <f>IF(ORCAMENTOS!C50="","",ORCAMENTOS!C50)</f>
        <v/>
      </c>
      <c r="D42" s="37" t="str">
        <f>IF(ORCAMENTOS!D50="","",ORCAMENTOS!D50)</f>
        <v>BOM CLIMA</v>
      </c>
      <c r="E42" s="38" t="str">
        <f>IF(ORCAMENTOS!E50="","",ORCAMENTOS!E50)</f>
        <v>-</v>
      </c>
      <c r="F42" s="37" t="str">
        <f>IF(ORCAMENTOS!G50="","",ORCAMENTOS!G50)</f>
        <v>Gabriel</v>
      </c>
      <c r="G42" s="37" t="str">
        <f>IF(ORCAMENTOS!H50="","",ORCAMENTOS!H50)</f>
        <v>Roberto</v>
      </c>
      <c r="H42" s="39">
        <f>IF(ORCAMENTOS!I50="","",ORCAMENTOS!I50)</f>
        <v>9206.41</v>
      </c>
      <c r="I42" s="60" t="str">
        <f>IF(ORCAMENTOS!J50="","",ORCAMENTOS!J50)</f>
        <v/>
      </c>
      <c r="J42" s="40" t="str">
        <f>IF(ORCAMENTOS!L50="","",ORCAMENTOS!L50)</f>
        <v>FECHADO</v>
      </c>
      <c r="K42" s="34" t="str">
        <f>IF(ORCAMENTOS!M50="","",ORCAMENTOS!M50)</f>
        <v>-</v>
      </c>
      <c r="L42" t="str">
        <f>IF(ORCAMENTOS!R50="","",ORCAMENTOS!R50)</f>
        <v>-</v>
      </c>
    </row>
    <row r="43" spans="1:12" ht="15.75" hidden="1" customHeight="1" x14ac:dyDescent="0.25">
      <c r="A43" s="36">
        <f>IF(ORCAMENTOS!A51="","",ORCAMENTOS!A51)</f>
        <v>45665</v>
      </c>
      <c r="B43" s="46">
        <f>IF(ORCAMENTOS!B51="","",ORCAMENTOS!B51)</f>
        <v>41</v>
      </c>
      <c r="C43" s="46" t="str">
        <f>IF(ORCAMENTOS!C51="","",ORCAMENTOS!C51)</f>
        <v/>
      </c>
      <c r="D43" s="37" t="str">
        <f>IF(ORCAMENTOS!D51="","",ORCAMENTOS!D51)</f>
        <v>HARCO ENGENHARIA</v>
      </c>
      <c r="E43" s="38" t="str">
        <f>IF(ORCAMENTOS!E51="","",ORCAMENTOS!E51)</f>
        <v>-</v>
      </c>
      <c r="F43" s="37" t="str">
        <f>IF(ORCAMENTOS!G51="","",ORCAMENTOS!G51)</f>
        <v>Emanuel</v>
      </c>
      <c r="G43" s="37" t="str">
        <f>IF(ORCAMENTOS!H51="","",ORCAMENTOS!H51)</f>
        <v>Andre</v>
      </c>
      <c r="H43" s="39">
        <f>IF(ORCAMENTOS!I51="","",ORCAMENTOS!I51)</f>
        <v>9333.2900000000009</v>
      </c>
      <c r="I43" s="60" t="str">
        <f>IF(ORCAMENTOS!J51="","",ORCAMENTOS!J51)</f>
        <v/>
      </c>
      <c r="J43" s="40" t="str">
        <f>IF(ORCAMENTOS!L51="","",ORCAMENTOS!L51)</f>
        <v>CANCELADO</v>
      </c>
      <c r="K43" s="34" t="str">
        <f>IF(ORCAMENTOS!M51="","",ORCAMENTOS!M51)</f>
        <v>-</v>
      </c>
      <c r="L43" t="str">
        <f>IF(ORCAMENTOS!R51="","",ORCAMENTOS!R51)</f>
        <v>-</v>
      </c>
    </row>
    <row r="44" spans="1:12" ht="15.75" hidden="1" customHeight="1" x14ac:dyDescent="0.25">
      <c r="A44" s="36">
        <f>IF(ORCAMENTOS!A52="","",ORCAMENTOS!A52)</f>
        <v>45665</v>
      </c>
      <c r="B44" s="46">
        <f>IF(ORCAMENTOS!B52="","",ORCAMENTOS!B52)</f>
        <v>42</v>
      </c>
      <c r="C44" s="46" t="str">
        <f>IF(ORCAMENTOS!C52="","",ORCAMENTOS!C52)</f>
        <v/>
      </c>
      <c r="D44" s="37" t="str">
        <f>IF(ORCAMENTOS!D52="","",ORCAMENTOS!D52)</f>
        <v>AR SISTEMAS</v>
      </c>
      <c r="E44" s="38" t="str">
        <f>IF(ORCAMENTOS!E52="","",ORCAMENTOS!E52)</f>
        <v>-</v>
      </c>
      <c r="F44" s="37" t="str">
        <f>IF(ORCAMENTOS!G52="","",ORCAMENTOS!G52)</f>
        <v>Michel</v>
      </c>
      <c r="G44" s="37" t="str">
        <f>IF(ORCAMENTOS!H52="","",ORCAMENTOS!H52)</f>
        <v>Thatila</v>
      </c>
      <c r="H44" s="39">
        <f>IF(ORCAMENTOS!I52="","",ORCAMENTOS!I52)</f>
        <v>3936.47</v>
      </c>
      <c r="I44" s="60" t="str">
        <f>IF(ORCAMENTOS!J52="","",ORCAMENTOS!J52)</f>
        <v/>
      </c>
      <c r="J44" s="40" t="str">
        <f>IF(ORCAMENTOS!L52="","",ORCAMENTOS!L52)</f>
        <v>FECHADO</v>
      </c>
      <c r="K44" s="34" t="str">
        <f>IF(ORCAMENTOS!M52="","",ORCAMENTOS!M52)</f>
        <v>-</v>
      </c>
      <c r="L44" t="str">
        <f>IF(ORCAMENTOS!R52="","",ORCAMENTOS!R52)</f>
        <v>-</v>
      </c>
    </row>
    <row r="45" spans="1:12" ht="15.75" hidden="1" customHeight="1" x14ac:dyDescent="0.25">
      <c r="A45" s="36">
        <f>IF(ORCAMENTOS!A53="","",ORCAMENTOS!A53)</f>
        <v>45666</v>
      </c>
      <c r="B45" s="46">
        <f>IF(ORCAMENTOS!B53="","",ORCAMENTOS!B53)</f>
        <v>43</v>
      </c>
      <c r="C45" s="46" t="str">
        <f>IF(ORCAMENTOS!C53="","",ORCAMENTOS!C53)</f>
        <v/>
      </c>
      <c r="D45" s="37" t="str">
        <f>IF(ORCAMENTOS!D53="","",ORCAMENTOS!D53)</f>
        <v>MASSER REFRIGERACAO</v>
      </c>
      <c r="E45" s="38" t="str">
        <f>IF(ORCAMENTOS!E53="","",ORCAMENTOS!E53)</f>
        <v>-</v>
      </c>
      <c r="F45" s="37" t="str">
        <f>IF(ORCAMENTOS!G53="","",ORCAMENTOS!G53)</f>
        <v>Gabriel</v>
      </c>
      <c r="G45" s="37" t="str">
        <f>IF(ORCAMENTOS!H53="","",ORCAMENTOS!H53)</f>
        <v>Joao</v>
      </c>
      <c r="H45" s="39">
        <f>IF(ORCAMENTOS!I53="","",ORCAMENTOS!I53)</f>
        <v>1789.27</v>
      </c>
      <c r="I45" s="60" t="str">
        <f>IF(ORCAMENTOS!J53="","",ORCAMENTOS!J53)</f>
        <v/>
      </c>
      <c r="J45" s="40" t="str">
        <f>IF(ORCAMENTOS!L53="","",ORCAMENTOS!L53)</f>
        <v>CANCELADO</v>
      </c>
      <c r="K45" s="34" t="str">
        <f>IF(ORCAMENTOS!M53="","",ORCAMENTOS!M53)</f>
        <v>Proposta reenviada</v>
      </c>
      <c r="L45" t="str">
        <f>IF(ORCAMENTOS!R53="","",ORCAMENTOS!R53)</f>
        <v>-</v>
      </c>
    </row>
    <row r="46" spans="1:12" ht="15.75" hidden="1" customHeight="1" x14ac:dyDescent="0.25">
      <c r="A46" s="36">
        <f>IF(ORCAMENTOS!A54="","",ORCAMENTOS!A54)</f>
        <v>45666</v>
      </c>
      <c r="B46" s="46">
        <f>IF(ORCAMENTOS!B54="","",ORCAMENTOS!B54)</f>
        <v>44</v>
      </c>
      <c r="C46" s="46" t="str">
        <f>IF(ORCAMENTOS!C54="","",ORCAMENTOS!C54)</f>
        <v/>
      </c>
      <c r="D46" s="37" t="str">
        <f>IF(ORCAMENTOS!D54="","",ORCAMENTOS!D54)</f>
        <v>CLIMAPALA</v>
      </c>
      <c r="E46" s="38" t="str">
        <f>IF(ORCAMENTOS!E54="","",ORCAMENTOS!E54)</f>
        <v>GRANDVISION - SHOPPING PAULISTA</v>
      </c>
      <c r="F46" s="37" t="str">
        <f>IF(ORCAMENTOS!G54="","",ORCAMENTOS!G54)</f>
        <v>Michel</v>
      </c>
      <c r="G46" s="37" t="str">
        <f>IF(ORCAMENTOS!H54="","",ORCAMENTOS!H54)</f>
        <v>Marcio</v>
      </c>
      <c r="H46" s="39">
        <f>IF(ORCAMENTOS!I54="","",ORCAMENTOS!I54)</f>
        <v>13466.98</v>
      </c>
      <c r="I46" s="60" t="str">
        <f>IF(ORCAMENTOS!J54="","",ORCAMENTOS!J54)</f>
        <v/>
      </c>
      <c r="J46" s="40" t="str">
        <f>IF(ORCAMENTOS!L54="","",ORCAMENTOS!L54)</f>
        <v>CANCELADO</v>
      </c>
      <c r="K46" s="34" t="str">
        <f>IF(ORCAMENTOS!M54="","",ORCAMENTOS!M54)</f>
        <v>FEITO EM CHAPA</v>
      </c>
      <c r="L46" t="str">
        <f>IF(ORCAMENTOS!R54="","",ORCAMENTOS!R54)</f>
        <v>N/E</v>
      </c>
    </row>
    <row r="47" spans="1:12" ht="15.75" hidden="1" customHeight="1" x14ac:dyDescent="0.25">
      <c r="A47" s="36">
        <f>IF(ORCAMENTOS!A55="","",ORCAMENTOS!A55)</f>
        <v>45666</v>
      </c>
      <c r="B47" s="46">
        <f>IF(ORCAMENTOS!B55="","",ORCAMENTOS!B55)</f>
        <v>45</v>
      </c>
      <c r="C47" s="46" t="str">
        <f>IF(ORCAMENTOS!C55="","",ORCAMENTOS!C55)</f>
        <v/>
      </c>
      <c r="D47" s="37" t="str">
        <f>IF(ORCAMENTOS!D55="","",ORCAMENTOS!D55)</f>
        <v>GENILSON GERALDO</v>
      </c>
      <c r="E47" s="38" t="str">
        <f>IF(ORCAMENTOS!E55="","",ORCAMENTOS!E55)</f>
        <v>ATACADAO - LAURO DE FREITAS - BA</v>
      </c>
      <c r="F47" s="37" t="str">
        <f>IF(ORCAMENTOS!G55="","",ORCAMENTOS!G55)</f>
        <v>Michel</v>
      </c>
      <c r="G47" s="37" t="str">
        <f>IF(ORCAMENTOS!H55="","",ORCAMENTOS!H55)</f>
        <v>Genilson</v>
      </c>
      <c r="H47" s="39">
        <f>IF(ORCAMENTOS!I55="","",ORCAMENTOS!I55)</f>
        <v>177912.42</v>
      </c>
      <c r="I47" s="60" t="str">
        <f>IF(ORCAMENTOS!J55="","",ORCAMENTOS!J55)</f>
        <v/>
      </c>
      <c r="J47" s="40" t="str">
        <f>IF(ORCAMENTOS!L55="","",ORCAMENTOS!L55)</f>
        <v>CANCELADO</v>
      </c>
      <c r="K47" s="34" t="str">
        <f>IF(ORCAMENTOS!M55="","",ORCAMENTOS!M55)</f>
        <v>-</v>
      </c>
      <c r="L47" t="str">
        <f>IF(ORCAMENTOS!R55="","",ORCAMENTOS!R55)</f>
        <v>N/E</v>
      </c>
    </row>
    <row r="48" spans="1:12" ht="15.75" hidden="1" customHeight="1" x14ac:dyDescent="0.25">
      <c r="A48" s="36">
        <f>IF(ORCAMENTOS!A56="","",ORCAMENTOS!A56)</f>
        <v>45667</v>
      </c>
      <c r="B48" s="46">
        <f>IF(ORCAMENTOS!B56="","",ORCAMENTOS!B56)</f>
        <v>46</v>
      </c>
      <c r="C48" s="46" t="str">
        <f>IF(ORCAMENTOS!C56="","",ORCAMENTOS!C56)</f>
        <v/>
      </c>
      <c r="D48" s="37" t="str">
        <f>IF(ORCAMENTOS!D56="","",ORCAMENTOS!D56)</f>
        <v>SCS ENGENHARIA</v>
      </c>
      <c r="E48" s="38" t="str">
        <f>IF(ORCAMENTOS!E56="","",ORCAMENTOS!E56)</f>
        <v>-</v>
      </c>
      <c r="F48" s="37" t="str">
        <f>IF(ORCAMENTOS!G56="","",ORCAMENTOS!G56)</f>
        <v>Gabriel</v>
      </c>
      <c r="G48" s="37" t="str">
        <f>IF(ORCAMENTOS!H56="","",ORCAMENTOS!H56)</f>
        <v>Christopher</v>
      </c>
      <c r="H48" s="39">
        <f>IF(ORCAMENTOS!I56="","",ORCAMENTOS!I56)</f>
        <v>4417.5</v>
      </c>
      <c r="I48" s="60" t="str">
        <f>IF(ORCAMENTOS!J56="","",ORCAMENTOS!J56)</f>
        <v/>
      </c>
      <c r="J48" s="40" t="str">
        <f>IF(ORCAMENTOS!L56="","",ORCAMENTOS!L56)</f>
        <v>FECHADO</v>
      </c>
      <c r="K48" s="34" t="str">
        <f>IF(ORCAMENTOS!M56="","",ORCAMENTOS!M56)</f>
        <v>-</v>
      </c>
      <c r="L48" t="str">
        <f>IF(ORCAMENTOS!R56="","",ORCAMENTOS!R56)</f>
        <v>-</v>
      </c>
    </row>
    <row r="49" spans="1:12" ht="15.75" hidden="1" customHeight="1" x14ac:dyDescent="0.25">
      <c r="A49" s="36">
        <f>IF(ORCAMENTOS!A57="","",ORCAMENTOS!A57)</f>
        <v>45667</v>
      </c>
      <c r="B49" s="46">
        <f>IF(ORCAMENTOS!B57="","",ORCAMENTOS!B57)</f>
        <v>47</v>
      </c>
      <c r="C49" s="46" t="str">
        <f>IF(ORCAMENTOS!C57="","",ORCAMENTOS!C57)</f>
        <v/>
      </c>
      <c r="D49" s="37" t="str">
        <f>IF(ORCAMENTOS!D57="","",ORCAMENTOS!D57)</f>
        <v>ENGEMAC</v>
      </c>
      <c r="E49" s="38" t="str">
        <f>IF(ORCAMENTOS!E57="","",ORCAMENTOS!E57)</f>
        <v>LEGIAO DA BOA VONTADE - BOM RETIRO - SP</v>
      </c>
      <c r="F49" s="37" t="str">
        <f>IF(ORCAMENTOS!G57="","",ORCAMENTOS!G57)</f>
        <v>Fernando</v>
      </c>
      <c r="G49" s="37" t="str">
        <f>IF(ORCAMENTOS!H57="","",ORCAMENTOS!H57)</f>
        <v>Edmilson</v>
      </c>
      <c r="H49" s="39">
        <f>IF(ORCAMENTOS!I57="","",ORCAMENTOS!I57)</f>
        <v>4198.0200000000004</v>
      </c>
      <c r="I49" s="60" t="str">
        <f>IF(ORCAMENTOS!J57="","",ORCAMENTOS!J57)</f>
        <v/>
      </c>
      <c r="J49" s="40" t="str">
        <f>IF(ORCAMENTOS!L57="","",ORCAMENTOS!L57)</f>
        <v>CANCELADO</v>
      </c>
      <c r="K49" s="34" t="str">
        <f>IF(ORCAMENTOS!M57="","",ORCAMENTOS!M57)</f>
        <v>-</v>
      </c>
      <c r="L49" t="str">
        <f>IF(ORCAMENTOS!R57="","",ORCAMENTOS!R57)</f>
        <v>ALUPIR</v>
      </c>
    </row>
    <row r="50" spans="1:12" ht="15.75" hidden="1" customHeight="1" x14ac:dyDescent="0.25">
      <c r="A50" s="36">
        <f>IF(ORCAMENTOS!A58="","",ORCAMENTOS!A58)</f>
        <v>45667</v>
      </c>
      <c r="B50" s="46">
        <f>IF(ORCAMENTOS!B58="","",ORCAMENTOS!B58)</f>
        <v>48</v>
      </c>
      <c r="C50" s="46" t="str">
        <f>IF(ORCAMENTOS!C58="","",ORCAMENTOS!C58)</f>
        <v/>
      </c>
      <c r="D50" s="37" t="str">
        <f>IF(ORCAMENTOS!D58="","",ORCAMENTOS!D58)</f>
        <v>QUALITY AIR</v>
      </c>
      <c r="E50" s="38" t="str">
        <f>IF(ORCAMENTOS!E58="","",ORCAMENTOS!E58)</f>
        <v>WHITE &amp; CASE - FARIA LIMA - SP</v>
      </c>
      <c r="F50" s="37" t="str">
        <f>IF(ORCAMENTOS!G58="","",ORCAMENTOS!G58)</f>
        <v>Michel</v>
      </c>
      <c r="G50" s="37" t="str">
        <f>IF(ORCAMENTOS!H58="","",ORCAMENTOS!H58)</f>
        <v>Rodrigo</v>
      </c>
      <c r="H50" s="39">
        <f>IF(ORCAMENTOS!I58="","",ORCAMENTOS!I58)</f>
        <v>52358.28</v>
      </c>
      <c r="I50" s="60" t="str">
        <f>IF(ORCAMENTOS!J58="","",ORCAMENTOS!J58)</f>
        <v/>
      </c>
      <c r="J50" s="40" t="str">
        <f>IF(ORCAMENTOS!L58="","",ORCAMENTOS!L58)</f>
        <v>CANCELADO</v>
      </c>
      <c r="K50" s="34" t="str">
        <f>IF(ORCAMENTOS!M58="","",ORCAMENTOS!M58)</f>
        <v>-</v>
      </c>
      <c r="L50" t="str">
        <f>IF(ORCAMENTOS!R58="","",ORCAMENTOS!R58)</f>
        <v>-</v>
      </c>
    </row>
    <row r="51" spans="1:12" ht="15.75" hidden="1" customHeight="1" x14ac:dyDescent="0.25">
      <c r="A51" s="36">
        <f>IF(ORCAMENTOS!A59="","",ORCAMENTOS!A59)</f>
        <v>45667</v>
      </c>
      <c r="B51" s="46">
        <f>IF(ORCAMENTOS!B59="","",ORCAMENTOS!B59)</f>
        <v>49</v>
      </c>
      <c r="C51" s="46" t="str">
        <f>IF(ORCAMENTOS!C59="","",ORCAMENTOS!C59)</f>
        <v/>
      </c>
      <c r="D51" s="37" t="str">
        <f>IF(ORCAMENTOS!D59="","",ORCAMENTOS!D59)</f>
        <v>AWA AR CONDICIONADO</v>
      </c>
      <c r="E51" s="38" t="str">
        <f>IF(ORCAMENTOS!E59="","",ORCAMENTOS!E59)</f>
        <v>MIX - BOA VIAGEM - PE</v>
      </c>
      <c r="F51" s="37" t="str">
        <f>IF(ORCAMENTOS!G59="","",ORCAMENTOS!G59)</f>
        <v>Guilherme</v>
      </c>
      <c r="G51" s="37" t="str">
        <f>IF(ORCAMENTOS!H59="","",ORCAMENTOS!H59)</f>
        <v>Marcela</v>
      </c>
      <c r="H51" s="39">
        <f>IF(ORCAMENTOS!I59="","",ORCAMENTOS!I59)</f>
        <v>8086.95</v>
      </c>
      <c r="I51" s="60" t="str">
        <f>IF(ORCAMENTOS!J59="","",ORCAMENTOS!J59)</f>
        <v/>
      </c>
      <c r="J51" s="40" t="str">
        <f>IF(ORCAMENTOS!L59="","",ORCAMENTOS!L59)</f>
        <v>FECHADO</v>
      </c>
      <c r="K51" s="34" t="str">
        <f>IF(ORCAMENTOS!M59="","",ORCAMENTOS!M59)</f>
        <v>-</v>
      </c>
      <c r="L51" t="str">
        <f>IF(ORCAMENTOS!R59="","",ORCAMENTOS!R59)</f>
        <v>-</v>
      </c>
    </row>
    <row r="52" spans="1:12" ht="15.75" hidden="1" customHeight="1" x14ac:dyDescent="0.25">
      <c r="A52" s="36">
        <f>IF(ORCAMENTOS!A60="","",ORCAMENTOS!A60)</f>
        <v>45667</v>
      </c>
      <c r="B52" s="46">
        <f>IF(ORCAMENTOS!B60="","",ORCAMENTOS!B60)</f>
        <v>50</v>
      </c>
      <c r="C52" s="46" t="str">
        <f>IF(ORCAMENTOS!C60="","",ORCAMENTOS!C60)</f>
        <v/>
      </c>
      <c r="D52" s="37" t="str">
        <f>IF(ORCAMENTOS!D60="","",ORCAMENTOS!D60)</f>
        <v>GENILSON GERALDO</v>
      </c>
      <c r="E52" s="38" t="str">
        <f>IF(ORCAMENTOS!E60="","",ORCAMENTOS!E60)</f>
        <v>CBS SIDER SHOPPING - VOLTA REDONDA - RJ</v>
      </c>
      <c r="F52" s="37" t="str">
        <f>IF(ORCAMENTOS!G60="","",ORCAMENTOS!G60)</f>
        <v>Gabriel</v>
      </c>
      <c r="G52" s="37" t="str">
        <f>IF(ORCAMENTOS!H60="","",ORCAMENTOS!H60)</f>
        <v>Genilson</v>
      </c>
      <c r="H52" s="39">
        <f>IF(ORCAMENTOS!I60="","",ORCAMENTOS!I60)</f>
        <v>88793.64</v>
      </c>
      <c r="I52" s="60" t="str">
        <f>IF(ORCAMENTOS!J60="","",ORCAMENTOS!J60)</f>
        <v/>
      </c>
      <c r="J52" s="40" t="str">
        <f>IF(ORCAMENTOS!L60="","",ORCAMENTOS!L60)</f>
        <v>CANCELADO</v>
      </c>
      <c r="K52" s="34" t="str">
        <f>IF(ORCAMENTOS!M60="","",ORCAMENTOS!M60)</f>
        <v>-</v>
      </c>
      <c r="L52" t="str">
        <f>IF(ORCAMENTOS!R60="","",ORCAMENTOS!R60)</f>
        <v>-</v>
      </c>
    </row>
    <row r="53" spans="1:12" ht="15.75" hidden="1" customHeight="1" x14ac:dyDescent="0.25">
      <c r="A53" s="36">
        <f>IF(ORCAMENTOS!A61="","",ORCAMENTOS!A61)</f>
        <v>45667</v>
      </c>
      <c r="B53" s="46">
        <f>IF(ORCAMENTOS!B61="","",ORCAMENTOS!B61)</f>
        <v>51</v>
      </c>
      <c r="C53" s="46" t="str">
        <f>IF(ORCAMENTOS!C61="","",ORCAMENTOS!C61)</f>
        <v/>
      </c>
      <c r="D53" s="37" t="str">
        <f>IF(ORCAMENTOS!D61="","",ORCAMENTOS!D61)</f>
        <v>TEKNOAR</v>
      </c>
      <c r="E53" s="38" t="str">
        <f>IF(ORCAMENTOS!E61="","",ORCAMENTOS!E61)</f>
        <v>HOSPITAL BENEFICIENTE - DONA ELMIRIA SILVEIRO BARBOSA</v>
      </c>
      <c r="F53" s="37" t="str">
        <f>IF(ORCAMENTOS!G61="","",ORCAMENTOS!G61)</f>
        <v>Gabriel</v>
      </c>
      <c r="G53" s="37" t="str">
        <f>IF(ORCAMENTOS!H61="","",ORCAMENTOS!H61)</f>
        <v>Mario</v>
      </c>
      <c r="H53" s="39">
        <f>IF(ORCAMENTOS!I61="","",ORCAMENTOS!I61)</f>
        <v>34000</v>
      </c>
      <c r="I53" s="60" t="str">
        <f>IF(ORCAMENTOS!J61="","",ORCAMENTOS!J61)</f>
        <v/>
      </c>
      <c r="J53" s="40" t="str">
        <f>IF(ORCAMENTOS!L61="","",ORCAMENTOS!L61)</f>
        <v>FECHADO</v>
      </c>
      <c r="K53" s="34" t="str">
        <f>IF(ORCAMENTOS!M61="","",ORCAMENTOS!M61)</f>
        <v>-</v>
      </c>
      <c r="L53" t="str">
        <f>IF(ORCAMENTOS!R61="","",ORCAMENTOS!R61)</f>
        <v>-</v>
      </c>
    </row>
    <row r="54" spans="1:12" ht="15.75" hidden="1" customHeight="1" x14ac:dyDescent="0.25">
      <c r="A54" s="36">
        <f>IF(ORCAMENTOS!A62="","",ORCAMENTOS!A62)</f>
        <v>45667</v>
      </c>
      <c r="B54" s="46">
        <f>IF(ORCAMENTOS!B62="","",ORCAMENTOS!B62)</f>
        <v>52</v>
      </c>
      <c r="C54" s="46" t="str">
        <f>IF(ORCAMENTOS!C62="","",ORCAMENTOS!C62)</f>
        <v/>
      </c>
      <c r="D54" s="37" t="str">
        <f>IF(ORCAMENTOS!D62="","",ORCAMENTOS!D62)</f>
        <v>RDS ENGENHARIA</v>
      </c>
      <c r="E54" s="38" t="str">
        <f>IF(ORCAMENTOS!E62="","",ORCAMENTOS!E62)</f>
        <v>MAXI SHOPPING</v>
      </c>
      <c r="F54" s="37" t="str">
        <f>IF(ORCAMENTOS!G62="","",ORCAMENTOS!G62)</f>
        <v xml:space="preserve">Aldavir </v>
      </c>
      <c r="G54" s="37" t="str">
        <f>IF(ORCAMENTOS!H62="","",ORCAMENTOS!H62)</f>
        <v>Clevison</v>
      </c>
      <c r="H54" s="39">
        <f>IF(ORCAMENTOS!I62="","",ORCAMENTOS!I62)</f>
        <v>123973.35</v>
      </c>
      <c r="I54" s="60" t="str">
        <f>IF(ORCAMENTOS!J62="","",ORCAMENTOS!J62)</f>
        <v/>
      </c>
      <c r="J54" s="40" t="str">
        <f>IF(ORCAMENTOS!L62="","",ORCAMENTOS!L62)</f>
        <v>CANCELADO</v>
      </c>
      <c r="K54" s="34" t="str">
        <f>IF(ORCAMENTOS!M62="","",ORCAMENTOS!M62)</f>
        <v/>
      </c>
      <c r="L54" t="str">
        <f>IF(ORCAMENTOS!R62="","",ORCAMENTOS!R62)</f>
        <v/>
      </c>
    </row>
    <row r="55" spans="1:12" ht="15.75" hidden="1" customHeight="1" x14ac:dyDescent="0.25">
      <c r="A55" s="36">
        <f>IF(ORCAMENTOS!A63="","",ORCAMENTOS!A63)</f>
        <v>45667</v>
      </c>
      <c r="B55" s="46">
        <f>IF(ORCAMENTOS!B63="","",ORCAMENTOS!B63)</f>
        <v>53</v>
      </c>
      <c r="C55" s="46" t="str">
        <f>IF(ORCAMENTOS!C63="","",ORCAMENTOS!C63)</f>
        <v/>
      </c>
      <c r="D55" s="37" t="str">
        <f>IF(ORCAMENTOS!D63="","",ORCAMENTOS!D63)</f>
        <v>RDS ENGENHARIA</v>
      </c>
      <c r="E55" s="38" t="str">
        <f>IF(ORCAMENTOS!E63="","",ORCAMENTOS!E63)</f>
        <v>SUPERMERCADO TAUSTE</v>
      </c>
      <c r="F55" s="37" t="str">
        <f>IF(ORCAMENTOS!G63="","",ORCAMENTOS!G63)</f>
        <v xml:space="preserve">Aldavir </v>
      </c>
      <c r="G55" s="37" t="str">
        <f>IF(ORCAMENTOS!H63="","",ORCAMENTOS!H63)</f>
        <v>Clevison</v>
      </c>
      <c r="H55" s="39">
        <f>IF(ORCAMENTOS!I63="","",ORCAMENTOS!I63)</f>
        <v>154829.39000000001</v>
      </c>
      <c r="I55" s="60" t="str">
        <f>IF(ORCAMENTOS!J63="","",ORCAMENTOS!J63)</f>
        <v/>
      </c>
      <c r="J55" s="40" t="str">
        <f>IF(ORCAMENTOS!L63="","",ORCAMENTOS!L63)</f>
        <v>CANCELADO</v>
      </c>
      <c r="K55" s="34" t="str">
        <f>IF(ORCAMENTOS!M63="","",ORCAMENTOS!M63)</f>
        <v/>
      </c>
      <c r="L55" t="str">
        <f>IF(ORCAMENTOS!R63="","",ORCAMENTOS!R63)</f>
        <v/>
      </c>
    </row>
    <row r="56" spans="1:12" ht="15.75" hidden="1" customHeight="1" x14ac:dyDescent="0.25">
      <c r="A56" s="36">
        <f>IF(ORCAMENTOS!A64="","",ORCAMENTOS!A64)</f>
        <v>45667</v>
      </c>
      <c r="B56" s="46">
        <f>IF(ORCAMENTOS!B64="","",ORCAMENTOS!B64)</f>
        <v>54</v>
      </c>
      <c r="C56" s="46" t="str">
        <f>IF(ORCAMENTOS!C64="","",ORCAMENTOS!C64)</f>
        <v/>
      </c>
      <c r="D56" s="37" t="str">
        <f>IF(ORCAMENTOS!D64="","",ORCAMENTOS!D64)</f>
        <v>GLOBAL AR CONDICIONADO</v>
      </c>
      <c r="E56" s="38" t="str">
        <f>IF(ORCAMENTOS!E64="","",ORCAMENTOS!E64)</f>
        <v>PROMEDON - SOROCABA - SP</v>
      </c>
      <c r="F56" s="37" t="str">
        <f>IF(ORCAMENTOS!G64="","",ORCAMENTOS!G64)</f>
        <v>Emanuel</v>
      </c>
      <c r="G56" s="37" t="str">
        <f>IF(ORCAMENTOS!H64="","",ORCAMENTOS!H64)</f>
        <v>Claudemir</v>
      </c>
      <c r="H56" s="39">
        <f>IF(ORCAMENTOS!I64="","",ORCAMENTOS!I64)</f>
        <v>73497.59</v>
      </c>
      <c r="I56" s="60" t="str">
        <f>IF(ORCAMENTOS!J64="","",ORCAMENTOS!J64)</f>
        <v/>
      </c>
      <c r="J56" s="40" t="str">
        <f>IF(ORCAMENTOS!L64="","",ORCAMENTOS!L64)</f>
        <v>CANCELADO</v>
      </c>
      <c r="K56" s="34" t="str">
        <f>IF(ORCAMENTOS!M64="","",ORCAMENTOS!M64)</f>
        <v>OBRA INOVACAO AR</v>
      </c>
      <c r="L56" t="str">
        <f>IF(ORCAMENTOS!R64="","",ORCAMENTOS!R64)</f>
        <v>-</v>
      </c>
    </row>
    <row r="57" spans="1:12" ht="15.75" hidden="1" customHeight="1" x14ac:dyDescent="0.25">
      <c r="A57" s="36">
        <f>IF(ORCAMENTOS!A65="","",ORCAMENTOS!A65)</f>
        <v>45667</v>
      </c>
      <c r="B57" s="46">
        <f>IF(ORCAMENTOS!B65="","",ORCAMENTOS!B65)</f>
        <v>55</v>
      </c>
      <c r="C57" s="46" t="str">
        <f>IF(ORCAMENTOS!C65="","",ORCAMENTOS!C65)</f>
        <v/>
      </c>
      <c r="D57" s="37" t="str">
        <f>IF(ORCAMENTOS!D65="","",ORCAMENTOS!D65)</f>
        <v>ECOTHERM</v>
      </c>
      <c r="E57" s="38" t="str">
        <f>IF(ORCAMENTOS!E65="","",ORCAMENTOS!E65)</f>
        <v>HOSPITAL DE FRANCA</v>
      </c>
      <c r="F57" s="37" t="str">
        <f>IF(ORCAMENTOS!G65="","",ORCAMENTOS!G65)</f>
        <v>Emanuel</v>
      </c>
      <c r="G57" s="37" t="str">
        <f>IF(ORCAMENTOS!H65="","",ORCAMENTOS!H65)</f>
        <v>Selma</v>
      </c>
      <c r="H57" s="39">
        <f>IF(ORCAMENTOS!I65="","",ORCAMENTOS!I65)</f>
        <v>275605.01</v>
      </c>
      <c r="I57" s="60" t="str">
        <f>IF(ORCAMENTOS!J65="","",ORCAMENTOS!J65)</f>
        <v/>
      </c>
      <c r="J57" s="40" t="str">
        <f>IF(ORCAMENTOS!L65="","",ORCAMENTOS!L65)</f>
        <v>CANCELADO</v>
      </c>
      <c r="K57" s="34" t="str">
        <f>IF(ORCAMENTOS!M65="","",ORCAMENTOS!M65)</f>
        <v>Aberto, estou marcando no cliente para proxima semana</v>
      </c>
      <c r="L57" t="str">
        <f>IF(ORCAMENTOS!R65="","",ORCAMENTOS!R65)</f>
        <v>-</v>
      </c>
    </row>
    <row r="58" spans="1:12" ht="15.75" hidden="1" customHeight="1" x14ac:dyDescent="0.25">
      <c r="A58" s="36">
        <f>IF(ORCAMENTOS!A66="","",ORCAMENTOS!A66)</f>
        <v>45667</v>
      </c>
      <c r="B58" s="46">
        <f>IF(ORCAMENTOS!B66="","",ORCAMENTOS!B66)</f>
        <v>56</v>
      </c>
      <c r="C58" s="46" t="str">
        <f>IF(ORCAMENTOS!C66="","",ORCAMENTOS!C66)</f>
        <v/>
      </c>
      <c r="D58" s="37" t="str">
        <f>IF(ORCAMENTOS!D66="","",ORCAMENTOS!D66)</f>
        <v>RM3 ENGENHARIA</v>
      </c>
      <c r="E58" s="38" t="str">
        <f>IF(ORCAMENTOS!E66="","",ORCAMENTOS!E66)</f>
        <v>MERCADÃO ATACADISTA ENSEADA - GUARUJA - SP</v>
      </c>
      <c r="F58" s="37" t="str">
        <f>IF(ORCAMENTOS!G66="","",ORCAMENTOS!G66)</f>
        <v>Guilherme</v>
      </c>
      <c r="G58" s="37" t="str">
        <f>IF(ORCAMENTOS!H66="","",ORCAMENTOS!H66)</f>
        <v>Diego</v>
      </c>
      <c r="H58" s="39">
        <f>IF(ORCAMENTOS!I66="","",ORCAMENTOS!I66)</f>
        <v>124316.04</v>
      </c>
      <c r="I58" s="60" t="str">
        <f>IF(ORCAMENTOS!J66="","",ORCAMENTOS!J66)</f>
        <v/>
      </c>
      <c r="J58" s="40" t="str">
        <f>IF(ORCAMENTOS!L66="","",ORCAMENTOS!L66)</f>
        <v>FECHADO</v>
      </c>
      <c r="K58" s="34" t="str">
        <f>IF(ORCAMENTOS!M66="","",ORCAMENTOS!M66)</f>
        <v>SERA FECHADO ATRAVES DO NEWTON</v>
      </c>
      <c r="L58" t="str">
        <f>IF(ORCAMENTOS!R66="","",ORCAMENTOS!R66)</f>
        <v>MPU</v>
      </c>
    </row>
    <row r="59" spans="1:12" ht="15.75" hidden="1" customHeight="1" x14ac:dyDescent="0.25">
      <c r="A59" s="36">
        <f>IF(ORCAMENTOS!A67="","",ORCAMENTOS!A67)</f>
        <v>45670</v>
      </c>
      <c r="B59" s="46">
        <f>IF(ORCAMENTOS!B67="","",ORCAMENTOS!B67)</f>
        <v>57</v>
      </c>
      <c r="C59" s="46" t="str">
        <f>IF(ORCAMENTOS!C67="","",ORCAMENTOS!C67)</f>
        <v/>
      </c>
      <c r="D59" s="37" t="str">
        <f>IF(ORCAMENTOS!D67="","",ORCAMENTOS!D67)</f>
        <v>TARKAT REFRIGERACAO</v>
      </c>
      <c r="E59" s="38" t="str">
        <f>IF(ORCAMENTOS!E67="","",ORCAMENTOS!E67)</f>
        <v>-</v>
      </c>
      <c r="F59" s="37" t="str">
        <f>IF(ORCAMENTOS!G67="","",ORCAMENTOS!G67)</f>
        <v>Michel</v>
      </c>
      <c r="G59" s="37" t="str">
        <f>IF(ORCAMENTOS!H67="","",ORCAMENTOS!H67)</f>
        <v>Artur</v>
      </c>
      <c r="H59" s="39">
        <f>IF(ORCAMENTOS!I67="","",ORCAMENTOS!I67)</f>
        <v>5091.99</v>
      </c>
      <c r="I59" s="60" t="str">
        <f>IF(ORCAMENTOS!J67="","",ORCAMENTOS!J67)</f>
        <v/>
      </c>
      <c r="J59" s="40" t="str">
        <f>IF(ORCAMENTOS!L67="","",ORCAMENTOS!L67)</f>
        <v>FECHADO</v>
      </c>
      <c r="K59" s="34" t="str">
        <f>IF(ORCAMENTOS!M67="","",ORCAMENTOS!M67)</f>
        <v>-</v>
      </c>
      <c r="L59" t="str">
        <f>IF(ORCAMENTOS!R67="","",ORCAMENTOS!R67)</f>
        <v>-</v>
      </c>
    </row>
    <row r="60" spans="1:12" ht="15.75" hidden="1" customHeight="1" x14ac:dyDescent="0.25">
      <c r="A60" s="36">
        <f>IF(ORCAMENTOS!A68="","",ORCAMENTOS!A68)</f>
        <v>45670</v>
      </c>
      <c r="B60" s="46">
        <f>IF(ORCAMENTOS!B68="","",ORCAMENTOS!B68)</f>
        <v>58</v>
      </c>
      <c r="C60" s="46" t="str">
        <f>IF(ORCAMENTOS!C68="","",ORCAMENTOS!C68)</f>
        <v/>
      </c>
      <c r="D60" s="37" t="str">
        <f>IF(ORCAMENTOS!D68="","",ORCAMENTOS!D68)</f>
        <v>BOM CLIMA</v>
      </c>
      <c r="E60" s="38" t="str">
        <f>IF(ORCAMENTOS!E68="","",ORCAMENTOS!E68)</f>
        <v>-</v>
      </c>
      <c r="F60" s="37" t="str">
        <f>IF(ORCAMENTOS!G68="","",ORCAMENTOS!G68)</f>
        <v>Gabriel</v>
      </c>
      <c r="G60" s="37" t="str">
        <f>IF(ORCAMENTOS!H68="","",ORCAMENTOS!H68)</f>
        <v>Roberto</v>
      </c>
      <c r="H60" s="39">
        <f>IF(ORCAMENTOS!I68="","",ORCAMENTOS!I68)</f>
        <v>17563.669999999998</v>
      </c>
      <c r="I60" s="60" t="str">
        <f>IF(ORCAMENTOS!J68="","",ORCAMENTOS!J68)</f>
        <v/>
      </c>
      <c r="J60" s="40" t="str">
        <f>IF(ORCAMENTOS!L68="","",ORCAMENTOS!L68)</f>
        <v>CANCELADO</v>
      </c>
      <c r="K60" s="34" t="str">
        <f>IF(ORCAMENTOS!M68="","",ORCAMENTOS!M68)</f>
        <v>-</v>
      </c>
      <c r="L60" t="str">
        <f>IF(ORCAMENTOS!R68="","",ORCAMENTOS!R68)</f>
        <v>-</v>
      </c>
    </row>
    <row r="61" spans="1:12" ht="15.75" hidden="1" customHeight="1" x14ac:dyDescent="0.25">
      <c r="A61" s="36">
        <f>IF(ORCAMENTOS!A69="","",ORCAMENTOS!A69)</f>
        <v>45670</v>
      </c>
      <c r="B61" s="46">
        <f>IF(ORCAMENTOS!B69="","",ORCAMENTOS!B69)</f>
        <v>59</v>
      </c>
      <c r="C61" s="46" t="str">
        <f>IF(ORCAMENTOS!C69="","",ORCAMENTOS!C69)</f>
        <v/>
      </c>
      <c r="D61" s="37" t="str">
        <f>IF(ORCAMENTOS!D69="","",ORCAMENTOS!D69)</f>
        <v>EBM ENGENHARIA</v>
      </c>
      <c r="E61" s="38" t="str">
        <f>IF(ORCAMENTOS!E69="","",ORCAMENTOS!E69)</f>
        <v>BANDEIRAS CENTRO EMPRESARIAL - PROTESTANTES -VOTORANTIM</v>
      </c>
      <c r="F61" s="37" t="str">
        <f>IF(ORCAMENTOS!G69="","",ORCAMENTOS!G69)</f>
        <v>Emanuel</v>
      </c>
      <c r="G61" s="37" t="str">
        <f>IF(ORCAMENTOS!H69="","",ORCAMENTOS!H69)</f>
        <v>Laelda</v>
      </c>
      <c r="H61" s="39">
        <f>IF(ORCAMENTOS!I69="","",ORCAMENTOS!I69)</f>
        <v>22219.21</v>
      </c>
      <c r="I61" s="60" t="str">
        <f>IF(ORCAMENTOS!J69="","",ORCAMENTOS!J69)</f>
        <v/>
      </c>
      <c r="J61" s="40" t="str">
        <f>IF(ORCAMENTOS!L69="","",ORCAMENTOS!L69)</f>
        <v>CANCELADO</v>
      </c>
      <c r="K61" s="34" t="str">
        <f>IF(ORCAMENTOS!M69="","",ORCAMENTOS!M69)</f>
        <v>-</v>
      </c>
      <c r="L61" t="str">
        <f>IF(ORCAMENTOS!R69="","",ORCAMENTOS!R69)</f>
        <v>MPU</v>
      </c>
    </row>
    <row r="62" spans="1:12" ht="15.75" hidden="1" customHeight="1" x14ac:dyDescent="0.25">
      <c r="A62" s="36">
        <f>IF(ORCAMENTOS!A70="","",ORCAMENTOS!A70)</f>
        <v>45670</v>
      </c>
      <c r="B62" s="46">
        <f>IF(ORCAMENTOS!B70="","",ORCAMENTOS!B70)</f>
        <v>60</v>
      </c>
      <c r="C62" s="46" t="str">
        <f>IF(ORCAMENTOS!C70="","",ORCAMENTOS!C70)</f>
        <v/>
      </c>
      <c r="D62" s="37" t="str">
        <f>IF(ORCAMENTOS!D70="","",ORCAMENTOS!D70)</f>
        <v>WELLNESS</v>
      </c>
      <c r="E62" s="38" t="str">
        <f>IF(ORCAMENTOS!E70="","",ORCAMENTOS!E70)</f>
        <v>-</v>
      </c>
      <c r="F62" s="37" t="str">
        <f>IF(ORCAMENTOS!G70="","",ORCAMENTOS!G70)</f>
        <v>Gabriel</v>
      </c>
      <c r="G62" s="37" t="str">
        <f>IF(ORCAMENTOS!H70="","",ORCAMENTOS!H70)</f>
        <v>Ivanise</v>
      </c>
      <c r="H62" s="39">
        <f>IF(ORCAMENTOS!I70="","",ORCAMENTOS!I70)</f>
        <v>33405.5</v>
      </c>
      <c r="I62" s="60" t="str">
        <f>IF(ORCAMENTOS!J70="","",ORCAMENTOS!J70)</f>
        <v/>
      </c>
      <c r="J62" s="40" t="str">
        <f>IF(ORCAMENTOS!L70="","",ORCAMENTOS!L70)</f>
        <v>FECHADO</v>
      </c>
      <c r="K62" s="34" t="str">
        <f>IF(ORCAMENTOS!M70="","",ORCAMENTOS!M70)</f>
        <v>-</v>
      </c>
      <c r="L62" t="str">
        <f>IF(ORCAMENTOS!R70="","",ORCAMENTOS!R70)</f>
        <v>-</v>
      </c>
    </row>
    <row r="63" spans="1:12" ht="15.75" hidden="1" customHeight="1" x14ac:dyDescent="0.25">
      <c r="A63" s="36">
        <f>IF(ORCAMENTOS!A71="","",ORCAMENTOS!A71)</f>
        <v>45670</v>
      </c>
      <c r="B63" s="46">
        <f>IF(ORCAMENTOS!B71="","",ORCAMENTOS!B71)</f>
        <v>61</v>
      </c>
      <c r="C63" s="46" t="str">
        <f>IF(ORCAMENTOS!C71="","",ORCAMENTOS!C71)</f>
        <v/>
      </c>
      <c r="D63" s="37" t="str">
        <f>IF(ORCAMENTOS!D71="","",ORCAMENTOS!D71)</f>
        <v>FIDELISAR</v>
      </c>
      <c r="E63" s="38" t="str">
        <f>IF(ORCAMENTOS!E71="","",ORCAMENTOS!E71)</f>
        <v>HAPVIDA - CLINICA SOROCABA - SP</v>
      </c>
      <c r="F63" s="37" t="str">
        <f>IF(ORCAMENTOS!G71="","",ORCAMENTOS!G71)</f>
        <v>Gabriel</v>
      </c>
      <c r="G63" s="37" t="str">
        <f>IF(ORCAMENTOS!H71="","",ORCAMENTOS!H71)</f>
        <v>Edson</v>
      </c>
      <c r="H63" s="39">
        <f>IF(ORCAMENTOS!I71="","",ORCAMENTOS!I71)</f>
        <v>37894.17</v>
      </c>
      <c r="I63" s="60" t="str">
        <f>IF(ORCAMENTOS!J71="","",ORCAMENTOS!J71)</f>
        <v/>
      </c>
      <c r="J63" s="40" t="str">
        <f>IF(ORCAMENTOS!L71="","",ORCAMENTOS!L71)</f>
        <v>CANCELADO</v>
      </c>
      <c r="K63" s="34" t="str">
        <f>IF(ORCAMENTOS!M71="","",ORCAMENTOS!M71)</f>
        <v>-</v>
      </c>
      <c r="L63" t="str">
        <f>IF(ORCAMENTOS!R71="","",ORCAMENTOS!R71)</f>
        <v>-</v>
      </c>
    </row>
    <row r="64" spans="1:12" ht="15.75" hidden="1" customHeight="1" x14ac:dyDescent="0.25">
      <c r="A64" s="36">
        <f>IF(ORCAMENTOS!A72="","",ORCAMENTOS!A72)</f>
        <v>45670</v>
      </c>
      <c r="B64" s="46">
        <f>IF(ORCAMENTOS!B72="","",ORCAMENTOS!B72)</f>
        <v>62</v>
      </c>
      <c r="C64" s="46" t="str">
        <f>IF(ORCAMENTOS!C72="","",ORCAMENTOS!C72)</f>
        <v/>
      </c>
      <c r="D64" s="37" t="str">
        <f>IF(ORCAMENTOS!D72="","",ORCAMENTOS!D72)</f>
        <v>RM3 ENGENHARIA</v>
      </c>
      <c r="E64" s="38" t="str">
        <f>IF(ORCAMENTOS!E72="","",ORCAMENTOS!E72)</f>
        <v>NIKE UNITE - SANTA MARIA OUTLET</v>
      </c>
      <c r="F64" s="37" t="str">
        <f>IF(ORCAMENTOS!G72="","",ORCAMENTOS!G72)</f>
        <v>Guilherme</v>
      </c>
      <c r="G64" s="37" t="str">
        <f>IF(ORCAMENTOS!H72="","",ORCAMENTOS!H72)</f>
        <v>Lenah</v>
      </c>
      <c r="H64" s="39">
        <f>IF(ORCAMENTOS!I72="","",ORCAMENTOS!I72)</f>
        <v>104137.26</v>
      </c>
      <c r="I64" s="60" t="str">
        <f>IF(ORCAMENTOS!J72="","",ORCAMENTOS!J72)</f>
        <v/>
      </c>
      <c r="J64" s="40" t="str">
        <f>IF(ORCAMENTOS!L72="","",ORCAMENTOS!L72)</f>
        <v>CANCELADO</v>
      </c>
      <c r="K64" s="34" t="str">
        <f>IF(ORCAMENTOS!M72="","",ORCAMENTOS!M72)</f>
        <v>CLIENTE PERDEU A OBRA</v>
      </c>
      <c r="L64" t="str">
        <f>IF(ORCAMENTOS!R72="","",ORCAMENTOS!R72)</f>
        <v>MPU</v>
      </c>
    </row>
    <row r="65" spans="1:12" ht="15.75" hidden="1" customHeight="1" x14ac:dyDescent="0.25">
      <c r="A65" s="36">
        <f>IF(ORCAMENTOS!A73="","",ORCAMENTOS!A73)</f>
        <v>45670</v>
      </c>
      <c r="B65" s="46">
        <f>IF(ORCAMENTOS!B73="","",ORCAMENTOS!B73)</f>
        <v>63</v>
      </c>
      <c r="C65" s="46" t="str">
        <f>IF(ORCAMENTOS!C73="","",ORCAMENTOS!C73)</f>
        <v/>
      </c>
      <c r="D65" s="37" t="str">
        <f>IF(ORCAMENTOS!D73="","",ORCAMENTOS!D73)</f>
        <v>AWA AR CONDICIONADO</v>
      </c>
      <c r="E65" s="38" t="str">
        <f>IF(ORCAMENTOS!E73="","",ORCAMENTOS!E73)</f>
        <v>D'FAMY EMPREENDIMENTOS - OSASCO - SÃO PAULO - SP</v>
      </c>
      <c r="F65" s="37" t="str">
        <f>IF(ORCAMENTOS!G73="","",ORCAMENTOS!G73)</f>
        <v>Guilherme</v>
      </c>
      <c r="G65" s="37" t="str">
        <f>IF(ORCAMENTOS!H73="","",ORCAMENTOS!H73)</f>
        <v>Maria Julia</v>
      </c>
      <c r="H65" s="39">
        <f>IF(ORCAMENTOS!I73="","",ORCAMENTOS!I73)</f>
        <v>73128</v>
      </c>
      <c r="I65" s="60" t="str">
        <f>IF(ORCAMENTOS!J73="","",ORCAMENTOS!J73)</f>
        <v/>
      </c>
      <c r="J65" s="40" t="str">
        <f>IF(ORCAMENTOS!L73="","",ORCAMENTOS!L73)</f>
        <v>CANCELADO</v>
      </c>
      <c r="K65" s="34" t="str">
        <f>IF(ORCAMENTOS!M73="","",ORCAMENTOS!M73)</f>
        <v>CLIENTE PERDEU A OBRA</v>
      </c>
      <c r="L65" t="str">
        <f>IF(ORCAMENTOS!R73="","",ORCAMENTOS!R73)</f>
        <v>-</v>
      </c>
    </row>
    <row r="66" spans="1:12" ht="15.75" hidden="1" customHeight="1" x14ac:dyDescent="0.25">
      <c r="A66" s="36">
        <f>IF(ORCAMENTOS!A74="","",ORCAMENTOS!A74)</f>
        <v>45670</v>
      </c>
      <c r="B66" s="46">
        <f>IF(ORCAMENTOS!B74="","",ORCAMENTOS!B74)</f>
        <v>64</v>
      </c>
      <c r="C66" s="46" t="str">
        <f>IF(ORCAMENTOS!C74="","",ORCAMENTOS!C74)</f>
        <v/>
      </c>
      <c r="D66" s="37" t="str">
        <f>IF(ORCAMENTOS!D74="","",ORCAMENTOS!D74)</f>
        <v>COLDTERMICA</v>
      </c>
      <c r="E66" s="38" t="str">
        <f>IF(ORCAMENTOS!E74="","",ORCAMENTOS!E74)</f>
        <v>RNR - SHOP MORUMBI - SP</v>
      </c>
      <c r="F66" s="37" t="str">
        <f>IF(ORCAMENTOS!G74="","",ORCAMENTOS!G74)</f>
        <v>Gabriel</v>
      </c>
      <c r="G66" s="37" t="str">
        <f>IF(ORCAMENTOS!H74="","",ORCAMENTOS!H74)</f>
        <v>Gabriella</v>
      </c>
      <c r="H66" s="39">
        <f>IF(ORCAMENTOS!I74="","",ORCAMENTOS!I74)</f>
        <v>166827.46</v>
      </c>
      <c r="I66" s="60" t="str">
        <f>IF(ORCAMENTOS!J74="","",ORCAMENTOS!J74)</f>
        <v/>
      </c>
      <c r="J66" s="40" t="str">
        <f>IF(ORCAMENTOS!L74="","",ORCAMENTOS!L74)</f>
        <v>CANCELADO</v>
      </c>
      <c r="K66" s="34" t="str">
        <f>IF(ORCAMENTOS!M74="","",ORCAMENTOS!M74)</f>
        <v>-</v>
      </c>
      <c r="L66" t="str">
        <f>IF(ORCAMENTOS!R74="","",ORCAMENTOS!R74)</f>
        <v>-</v>
      </c>
    </row>
    <row r="67" spans="1:12" ht="15.75" hidden="1" customHeight="1" x14ac:dyDescent="0.25">
      <c r="A67" s="36">
        <f>IF(ORCAMENTOS!A75="","",ORCAMENTOS!A75)</f>
        <v>45670</v>
      </c>
      <c r="B67" s="46">
        <f>IF(ORCAMENTOS!B75="","",ORCAMENTOS!B75)</f>
        <v>65</v>
      </c>
      <c r="C67" s="46" t="str">
        <f>IF(ORCAMENTOS!C75="","",ORCAMENTOS!C75)</f>
        <v/>
      </c>
      <c r="D67" s="37" t="str">
        <f>IF(ORCAMENTOS!D75="","",ORCAMENTOS!D75)</f>
        <v>AMS INSTALACOES</v>
      </c>
      <c r="E67" s="38" t="str">
        <f>IF(ORCAMENTOS!E75="","",ORCAMENTOS!E75)</f>
        <v>ATACADAO - LAURO DE FREITAS - BA</v>
      </c>
      <c r="F67" s="37" t="str">
        <f>IF(ORCAMENTOS!G75="","",ORCAMENTOS!G75)</f>
        <v>Gabriel</v>
      </c>
      <c r="G67" s="37" t="str">
        <f>IF(ORCAMENTOS!H75="","",ORCAMENTOS!H75)</f>
        <v>Albertino</v>
      </c>
      <c r="H67" s="39">
        <f>IF(ORCAMENTOS!I75="","",ORCAMENTOS!I75)</f>
        <v>177912.42</v>
      </c>
      <c r="I67" s="60" t="str">
        <f>IF(ORCAMENTOS!J75="","",ORCAMENTOS!J75)</f>
        <v/>
      </c>
      <c r="J67" s="40" t="str">
        <f>IF(ORCAMENTOS!L75="","",ORCAMENTOS!L75)</f>
        <v>CANCELADO</v>
      </c>
      <c r="K67" s="34" t="str">
        <f>IF(ORCAMENTOS!M75="","",ORCAMENTOS!M75)</f>
        <v>-</v>
      </c>
      <c r="L67" t="str">
        <f>IF(ORCAMENTOS!R75="","",ORCAMENTOS!R75)</f>
        <v>N/E</v>
      </c>
    </row>
    <row r="68" spans="1:12" ht="15.75" hidden="1" customHeight="1" x14ac:dyDescent="0.25">
      <c r="A68" s="36">
        <f>IF(ORCAMENTOS!A76="","",ORCAMENTOS!A76)</f>
        <v>45670</v>
      </c>
      <c r="B68" s="46">
        <f>IF(ORCAMENTOS!B76="","",ORCAMENTOS!B76)</f>
        <v>66</v>
      </c>
      <c r="C68" s="46" t="str">
        <f>IF(ORCAMENTOS!C76="","",ORCAMENTOS!C76)</f>
        <v/>
      </c>
      <c r="D68" s="37" t="str">
        <f>IF(ORCAMENTOS!D76="","",ORCAMENTOS!D76)</f>
        <v>VOAR AVIATION</v>
      </c>
      <c r="E68" s="38" t="str">
        <f>IF(ORCAMENTOS!E76="","",ORCAMENTOS!E76)</f>
        <v>-</v>
      </c>
      <c r="F68" s="37" t="str">
        <f>IF(ORCAMENTOS!G76="","",ORCAMENTOS!G76)</f>
        <v>Gabriel</v>
      </c>
      <c r="G68" s="37" t="str">
        <f>IF(ORCAMENTOS!H76="","",ORCAMENTOS!H76)</f>
        <v>Roniel</v>
      </c>
      <c r="H68" s="39">
        <f>IF(ORCAMENTOS!I76="","",ORCAMENTOS!I76)</f>
        <v>4126.3100000000004</v>
      </c>
      <c r="I68" s="60" t="str">
        <f>IF(ORCAMENTOS!J76="","",ORCAMENTOS!J76)</f>
        <v/>
      </c>
      <c r="J68" s="40" t="str">
        <f>IF(ORCAMENTOS!L76="","",ORCAMENTOS!L76)</f>
        <v>CANCELADO</v>
      </c>
      <c r="K68" s="34" t="str">
        <f>IF(ORCAMENTOS!M76="","",ORCAMENTOS!M76)</f>
        <v>-</v>
      </c>
      <c r="L68" t="str">
        <f>IF(ORCAMENTOS!R76="","",ORCAMENTOS!R76)</f>
        <v>-</v>
      </c>
    </row>
    <row r="69" spans="1:12" ht="15.75" hidden="1" customHeight="1" x14ac:dyDescent="0.25">
      <c r="A69" s="36">
        <f>IF(ORCAMENTOS!A77="","",ORCAMENTOS!A77)</f>
        <v>45670</v>
      </c>
      <c r="B69" s="46">
        <f>IF(ORCAMENTOS!B77="","",ORCAMENTOS!B77)</f>
        <v>67</v>
      </c>
      <c r="C69" s="46" t="str">
        <f>IF(ORCAMENTOS!C77="","",ORCAMENTOS!C77)</f>
        <v/>
      </c>
      <c r="D69" s="37" t="str">
        <f>IF(ORCAMENTOS!D77="","",ORCAMENTOS!D77)</f>
        <v>LEONE ENGENHARIA</v>
      </c>
      <c r="E69" s="38" t="str">
        <f>IF(ORCAMENTOS!E77="","",ORCAMENTOS!E77)</f>
        <v>ORFEU CAFÉ - FAZENDA SERTÃOZINHO - BOTELHOS - MG</v>
      </c>
      <c r="F69" s="37" t="str">
        <f>IF(ORCAMENTOS!G77="","",ORCAMENTOS!G77)</f>
        <v>Gabriel</v>
      </c>
      <c r="G69" s="37" t="str">
        <f>IF(ORCAMENTOS!H77="","",ORCAMENTOS!H77)</f>
        <v>Adriano</v>
      </c>
      <c r="H69" s="39">
        <f>IF(ORCAMENTOS!I77="","",ORCAMENTOS!I77)</f>
        <v>69294.289999999994</v>
      </c>
      <c r="I69" s="60" t="str">
        <f>IF(ORCAMENTOS!J77="","",ORCAMENTOS!J77)</f>
        <v/>
      </c>
      <c r="J69" s="40" t="str">
        <f>IF(ORCAMENTOS!L77="","",ORCAMENTOS!L77)</f>
        <v>CANCELADO</v>
      </c>
      <c r="K69" s="34" t="str">
        <f>IF(ORCAMENTOS!M77="","",ORCAMENTOS!M77)</f>
        <v>-</v>
      </c>
      <c r="L69" t="str">
        <f>IF(ORCAMENTOS!R77="","",ORCAMENTOS!R77)</f>
        <v>MPU</v>
      </c>
    </row>
    <row r="70" spans="1:12" ht="15.75" hidden="1" customHeight="1" x14ac:dyDescent="0.25">
      <c r="A70" s="36">
        <f>IF(ORCAMENTOS!A78="","",ORCAMENTOS!A78)</f>
        <v>45670</v>
      </c>
      <c r="B70" s="46">
        <f>IF(ORCAMENTOS!B78="","",ORCAMENTOS!B78)</f>
        <v>68</v>
      </c>
      <c r="C70" s="46" t="str">
        <f>IF(ORCAMENTOS!C78="","",ORCAMENTOS!C78)</f>
        <v/>
      </c>
      <c r="D70" s="37" t="str">
        <f>IF(ORCAMENTOS!D78="","",ORCAMENTOS!D78)</f>
        <v>INOVECTOR</v>
      </c>
      <c r="E70" s="38" t="str">
        <f>IF(ORCAMENTOS!E78="","",ORCAMENTOS!E78)</f>
        <v>BARTIRA - REQ 2.04</v>
      </c>
      <c r="F70" s="37" t="str">
        <f>IF(ORCAMENTOS!G78="","",ORCAMENTOS!G78)</f>
        <v>Fernando</v>
      </c>
      <c r="G70" s="37" t="str">
        <f>IF(ORCAMENTOS!H78="","",ORCAMENTOS!H78)</f>
        <v>Cristina</v>
      </c>
      <c r="H70" s="39">
        <f>IF(ORCAMENTOS!I78="","",ORCAMENTOS!I78)</f>
        <v>2907.6</v>
      </c>
      <c r="I70" s="60" t="str">
        <f>IF(ORCAMENTOS!J78="","",ORCAMENTOS!J78)</f>
        <v/>
      </c>
      <c r="J70" s="40" t="str">
        <f>IF(ORCAMENTOS!L78="","",ORCAMENTOS!L78)</f>
        <v>FECHADO</v>
      </c>
      <c r="K70" s="34" t="str">
        <f>IF(ORCAMENTOS!M78="","",ORCAMENTOS!M78)</f>
        <v>-</v>
      </c>
      <c r="L70" t="str">
        <f>IF(ORCAMENTOS!R78="","",ORCAMENTOS!R78)</f>
        <v>-</v>
      </c>
    </row>
    <row r="71" spans="1:12" ht="15.75" hidden="1" customHeight="1" x14ac:dyDescent="0.25">
      <c r="A71" s="36">
        <f>IF(ORCAMENTOS!A79="","",ORCAMENTOS!A79)</f>
        <v>45671</v>
      </c>
      <c r="B71" s="46">
        <f>IF(ORCAMENTOS!B79="","",ORCAMENTOS!B79)</f>
        <v>69</v>
      </c>
      <c r="C71" s="46" t="str">
        <f>IF(ORCAMENTOS!C79="","",ORCAMENTOS!C79)</f>
        <v/>
      </c>
      <c r="D71" s="37" t="str">
        <f>IF(ORCAMENTOS!D79="","",ORCAMENTOS!D79)</f>
        <v>ENGEMAC</v>
      </c>
      <c r="E71" s="38" t="str">
        <f>IF(ORCAMENTOS!E79="","",ORCAMENTOS!E79)</f>
        <v>UNIMED JAÚ - AMPLIAÇÃO UTI</v>
      </c>
      <c r="F71" s="37" t="str">
        <f>IF(ORCAMENTOS!G79="","",ORCAMENTOS!G79)</f>
        <v>Fernando</v>
      </c>
      <c r="G71" s="37" t="str">
        <f>IF(ORCAMENTOS!H79="","",ORCAMENTOS!H79)</f>
        <v>Sandro</v>
      </c>
      <c r="H71" s="39">
        <f>IF(ORCAMENTOS!I79="","",ORCAMENTOS!I79)</f>
        <v>17943.009999999998</v>
      </c>
      <c r="I71" s="60" t="str">
        <f>IF(ORCAMENTOS!J79="","",ORCAMENTOS!J79)</f>
        <v/>
      </c>
      <c r="J71" s="40" t="str">
        <f>IF(ORCAMENTOS!L79="","",ORCAMENTOS!L79)</f>
        <v>FECHADO</v>
      </c>
      <c r="K71" s="34" t="str">
        <f>IF(ORCAMENTOS!M79="","",ORCAMENTOS!M79)</f>
        <v>-</v>
      </c>
      <c r="L71" t="str">
        <f>IF(ORCAMENTOS!R79="","",ORCAMENTOS!R79)</f>
        <v>-</v>
      </c>
    </row>
    <row r="72" spans="1:12" ht="15.75" hidden="1" customHeight="1" x14ac:dyDescent="0.25">
      <c r="A72" s="36">
        <f>IF(ORCAMENTOS!A80="","",ORCAMENTOS!A80)</f>
        <v>45671</v>
      </c>
      <c r="B72" s="46">
        <f>IF(ORCAMENTOS!B80="","",ORCAMENTOS!B80)</f>
        <v>70</v>
      </c>
      <c r="C72" s="46" t="str">
        <f>IF(ORCAMENTOS!C80="","",ORCAMENTOS!C80)</f>
        <v/>
      </c>
      <c r="D72" s="37" t="str">
        <f>IF(ORCAMENTOS!D80="","",ORCAMENTOS!D80)</f>
        <v>ADRIATIC</v>
      </c>
      <c r="E72" s="38" t="str">
        <f>IF(ORCAMENTOS!E80="","",ORCAMENTOS!E80)</f>
        <v>C&amp;A - SHOPPING VALINHOS - SP</v>
      </c>
      <c r="F72" s="37" t="str">
        <f>IF(ORCAMENTOS!G80="","",ORCAMENTOS!G80)</f>
        <v>Emanuel</v>
      </c>
      <c r="G72" s="37" t="str">
        <f>IF(ORCAMENTOS!H80="","",ORCAMENTOS!H80)</f>
        <v>Carlos</v>
      </c>
      <c r="H72" s="39">
        <f>IF(ORCAMENTOS!I80="","",ORCAMENTOS!I80)</f>
        <v>107779.99</v>
      </c>
      <c r="I72" s="60" t="str">
        <f>IF(ORCAMENTOS!J80="","",ORCAMENTOS!J80)</f>
        <v/>
      </c>
      <c r="J72" s="40" t="str">
        <f>IF(ORCAMENTOS!L80="","",ORCAMENTOS!L80)</f>
        <v>FECHADO</v>
      </c>
      <c r="K72" s="34" t="str">
        <f>IF(ORCAMENTOS!M80="","",ORCAMENTOS!M80)</f>
        <v>-</v>
      </c>
      <c r="L72" t="str">
        <f>IF(ORCAMENTOS!R80="","",ORCAMENTOS!R80)</f>
        <v>MPU</v>
      </c>
    </row>
    <row r="73" spans="1:12" ht="15.75" hidden="1" customHeight="1" x14ac:dyDescent="0.25">
      <c r="A73" s="36">
        <f>IF(ORCAMENTOS!A81="","",ORCAMENTOS!A81)</f>
        <v>45671</v>
      </c>
      <c r="B73" s="46">
        <f>IF(ORCAMENTOS!B81="","",ORCAMENTOS!B81)</f>
        <v>71</v>
      </c>
      <c r="C73" s="46" t="str">
        <f>IF(ORCAMENTOS!C81="","",ORCAMENTOS!C81)</f>
        <v/>
      </c>
      <c r="D73" s="37" t="str">
        <f>IF(ORCAMENTOS!D81="","",ORCAMENTOS!D81)</f>
        <v>CONFORTO ENGENHARIA</v>
      </c>
      <c r="E73" s="38" t="str">
        <f>IF(ORCAMENTOS!E81="","",ORCAMENTOS!E81)</f>
        <v>HOSPITAL MUNICIPAL - DOUTOR FERNANDO MAURO PIRES DA ROCHA - VILA MARACANA</v>
      </c>
      <c r="F73" s="37" t="str">
        <f>IF(ORCAMENTOS!G81="","",ORCAMENTOS!G81)</f>
        <v>Michel</v>
      </c>
      <c r="G73" s="37" t="str">
        <f>IF(ORCAMENTOS!H81="","",ORCAMENTOS!H81)</f>
        <v>Pedro</v>
      </c>
      <c r="H73" s="39">
        <f>IF(ORCAMENTOS!I81="","",ORCAMENTOS!I81)</f>
        <v>34696.35</v>
      </c>
      <c r="I73" s="60" t="str">
        <f>IF(ORCAMENTOS!J81="","",ORCAMENTOS!J81)</f>
        <v/>
      </c>
      <c r="J73" s="40" t="str">
        <f>IF(ORCAMENTOS!L81="","",ORCAMENTOS!L81)</f>
        <v>CANCELADO</v>
      </c>
      <c r="K73" s="34" t="str">
        <f>IF(ORCAMENTOS!M81="","",ORCAMENTOS!M81)</f>
        <v>-</v>
      </c>
      <c r="L73" t="str">
        <f>IF(ORCAMENTOS!R81="","",ORCAMENTOS!R81)</f>
        <v>-</v>
      </c>
    </row>
    <row r="74" spans="1:12" ht="15.75" hidden="1" customHeight="1" x14ac:dyDescent="0.25">
      <c r="A74" s="36">
        <f>IF(ORCAMENTOS!A82="","",ORCAMENTOS!A82)</f>
        <v>45671</v>
      </c>
      <c r="B74" s="46">
        <f>IF(ORCAMENTOS!B82="","",ORCAMENTOS!B82)</f>
        <v>72</v>
      </c>
      <c r="C74" s="46" t="str">
        <f>IF(ORCAMENTOS!C82="","",ORCAMENTOS!C82)</f>
        <v/>
      </c>
      <c r="D74" s="37" t="str">
        <f>IF(ORCAMENTOS!D82="","",ORCAMENTOS!D82)</f>
        <v>COLD CONTROL</v>
      </c>
      <c r="E74" s="38" t="str">
        <f>IF(ORCAMENTOS!E82="","",ORCAMENTOS!E82)</f>
        <v>WHITE &amp; CASE - FARIA LIMA - SP</v>
      </c>
      <c r="F74" s="37" t="str">
        <f>IF(ORCAMENTOS!G82="","",ORCAMENTOS!G82)</f>
        <v>Emanuel</v>
      </c>
      <c r="G74" s="37" t="str">
        <f>IF(ORCAMENTOS!H82="","",ORCAMENTOS!H82)</f>
        <v>Guilherme</v>
      </c>
      <c r="H74" s="39">
        <f>IF(ORCAMENTOS!I82="","",ORCAMENTOS!I82)</f>
        <v>52358.28</v>
      </c>
      <c r="I74" s="60" t="str">
        <f>IF(ORCAMENTOS!J82="","",ORCAMENTOS!J82)</f>
        <v/>
      </c>
      <c r="J74" s="40" t="str">
        <f>IF(ORCAMENTOS!L82="","",ORCAMENTOS!L82)</f>
        <v>CANCELADO</v>
      </c>
      <c r="K74" s="34" t="str">
        <f>IF(ORCAMENTOS!M82="","",ORCAMENTOS!M82)</f>
        <v>-</v>
      </c>
      <c r="L74" t="str">
        <f>IF(ORCAMENTOS!R82="","",ORCAMENTOS!R82)</f>
        <v>-</v>
      </c>
    </row>
    <row r="75" spans="1:12" ht="15.75" hidden="1" customHeight="1" x14ac:dyDescent="0.25">
      <c r="A75" s="36">
        <f>IF(ORCAMENTOS!A83="","",ORCAMENTOS!A83)</f>
        <v>45671</v>
      </c>
      <c r="B75" s="46">
        <f>IF(ORCAMENTOS!B83="","",ORCAMENTOS!B83)</f>
        <v>73</v>
      </c>
      <c r="C75" s="46" t="str">
        <f>IF(ORCAMENTOS!C83="","",ORCAMENTOS!C83)</f>
        <v/>
      </c>
      <c r="D75" s="37" t="str">
        <f>IF(ORCAMENTOS!D83="","",ORCAMENTOS!D83)</f>
        <v>AIR SUPPLY</v>
      </c>
      <c r="E75" s="38" t="str">
        <f>IF(ORCAMENTOS!E83="","",ORCAMENTOS!E83)</f>
        <v>SUPERMERCADOS PIERIM - LOJA 07 - SÃO JOSE DO RIO PARDO</v>
      </c>
      <c r="F75" s="37" t="str">
        <f>IF(ORCAMENTOS!G83="","",ORCAMENTOS!G83)</f>
        <v>Gabriel</v>
      </c>
      <c r="G75" s="37" t="str">
        <f>IF(ORCAMENTOS!H83="","",ORCAMENTOS!H83)</f>
        <v>Pedro</v>
      </c>
      <c r="H75" s="39">
        <f>IF(ORCAMENTOS!I83="","",ORCAMENTOS!I83)</f>
        <v>58484.3</v>
      </c>
      <c r="I75" s="60" t="str">
        <f>IF(ORCAMENTOS!J83="","",ORCAMENTOS!J83)</f>
        <v/>
      </c>
      <c r="J75" s="40" t="str">
        <f>IF(ORCAMENTOS!L83="","",ORCAMENTOS!L83)</f>
        <v>CANCELADO</v>
      </c>
      <c r="K75" s="34" t="str">
        <f>IF(ORCAMENTOS!M83="","",ORCAMENTOS!M83)</f>
        <v>-</v>
      </c>
      <c r="L75" t="str">
        <f>IF(ORCAMENTOS!R83="","",ORCAMENTOS!R83)</f>
        <v>ACO GALVANIZADO</v>
      </c>
    </row>
    <row r="76" spans="1:12" ht="15.75" hidden="1" customHeight="1" x14ac:dyDescent="0.25">
      <c r="A76" s="36">
        <f>IF(ORCAMENTOS!A84="","",ORCAMENTOS!A84)</f>
        <v>45671</v>
      </c>
      <c r="B76" s="46">
        <f>IF(ORCAMENTOS!B84="","",ORCAMENTOS!B84)</f>
        <v>74</v>
      </c>
      <c r="C76" s="46" t="str">
        <f>IF(ORCAMENTOS!C84="","",ORCAMENTOS!C84)</f>
        <v/>
      </c>
      <c r="D76" s="37" t="str">
        <f>IF(ORCAMENTOS!D84="","",ORCAMENTOS!D84)</f>
        <v>AR SISTEMAS</v>
      </c>
      <c r="E76" s="38" t="str">
        <f>IF(ORCAMENTOS!E84="","",ORCAMENTOS!E84)</f>
        <v>-</v>
      </c>
      <c r="F76" s="37" t="str">
        <f>IF(ORCAMENTOS!G84="","",ORCAMENTOS!G84)</f>
        <v>Michel</v>
      </c>
      <c r="G76" s="37" t="str">
        <f>IF(ORCAMENTOS!H84="","",ORCAMENTOS!H84)</f>
        <v>Thatila</v>
      </c>
      <c r="H76" s="39">
        <f>IF(ORCAMENTOS!I84="","",ORCAMENTOS!I84)</f>
        <v>4256</v>
      </c>
      <c r="I76" s="60" t="str">
        <f>IF(ORCAMENTOS!J84="","",ORCAMENTOS!J84)</f>
        <v/>
      </c>
      <c r="J76" s="40" t="str">
        <f>IF(ORCAMENTOS!L84="","",ORCAMENTOS!L84)</f>
        <v>FECHADO</v>
      </c>
      <c r="K76" s="34" t="str">
        <f>IF(ORCAMENTOS!M84="","",ORCAMENTOS!M84)</f>
        <v>-</v>
      </c>
      <c r="L76" t="str">
        <f>IF(ORCAMENTOS!R84="","",ORCAMENTOS!R84)</f>
        <v>-</v>
      </c>
    </row>
    <row r="77" spans="1:12" ht="15.75" hidden="1" customHeight="1" x14ac:dyDescent="0.25">
      <c r="A77" s="36">
        <f>IF(ORCAMENTOS!A85="","",ORCAMENTOS!A85)</f>
        <v>45671</v>
      </c>
      <c r="B77" s="46">
        <f>IF(ORCAMENTOS!B85="","",ORCAMENTOS!B85)</f>
        <v>75</v>
      </c>
      <c r="C77" s="46" t="str">
        <f>IF(ORCAMENTOS!C85="","",ORCAMENTOS!C85)</f>
        <v/>
      </c>
      <c r="D77" s="37" t="str">
        <f>IF(ORCAMENTOS!D85="","",ORCAMENTOS!D85)</f>
        <v>FL HVAC</v>
      </c>
      <c r="E77" s="38" t="str">
        <f>IF(ORCAMENTOS!E85="","",ORCAMENTOS!E85)</f>
        <v>SMART FIT - BUCAREIN - JOINVILLE - SC</v>
      </c>
      <c r="F77" s="37" t="str">
        <f>IF(ORCAMENTOS!G85="","",ORCAMENTOS!G85)</f>
        <v>Guilherme</v>
      </c>
      <c r="G77" s="37" t="str">
        <f>IF(ORCAMENTOS!H85="","",ORCAMENTOS!H85)</f>
        <v>Ynnaie</v>
      </c>
      <c r="H77" s="39">
        <f>IF(ORCAMENTOS!I85="","",ORCAMENTOS!I85)</f>
        <v>52518.879999999997</v>
      </c>
      <c r="I77" s="60" t="str">
        <f>IF(ORCAMENTOS!J85="","",ORCAMENTOS!J85)</f>
        <v/>
      </c>
      <c r="J77" s="40" t="str">
        <f>IF(ORCAMENTOS!L85="","",ORCAMENTOS!L85)</f>
        <v>CANCELADO</v>
      </c>
      <c r="K77" s="34" t="str">
        <f>IF(ORCAMENTOS!M85="","",ORCAMENTOS!M85)</f>
        <v>CLIENTE PERDEU A OBRA</v>
      </c>
      <c r="L77" t="str">
        <f>IF(ORCAMENTOS!R85="","",ORCAMENTOS!R85)</f>
        <v>MPU</v>
      </c>
    </row>
    <row r="78" spans="1:12" ht="15.75" hidden="1" customHeight="1" x14ac:dyDescent="0.25">
      <c r="A78" s="36">
        <f>IF(ORCAMENTOS!A86="","",ORCAMENTOS!A86)</f>
        <v>45671</v>
      </c>
      <c r="B78" s="46">
        <f>IF(ORCAMENTOS!B86="","",ORCAMENTOS!B86)</f>
        <v>76</v>
      </c>
      <c r="C78" s="46" t="str">
        <f>IF(ORCAMENTOS!C86="","",ORCAMENTOS!C86)</f>
        <v/>
      </c>
      <c r="D78" s="37" t="str">
        <f>IF(ORCAMENTOS!D86="","",ORCAMENTOS!D86)</f>
        <v>FL HVAC</v>
      </c>
      <c r="E78" s="38" t="str">
        <f>IF(ORCAMENTOS!E86="","",ORCAMENTOS!E86)</f>
        <v>SMART FIT - SÃO MIGUEL PAULISTA 3 - SP</v>
      </c>
      <c r="F78" s="37" t="str">
        <f>IF(ORCAMENTOS!G86="","",ORCAMENTOS!G86)</f>
        <v>Guilherme</v>
      </c>
      <c r="G78" s="37" t="str">
        <f>IF(ORCAMENTOS!H86="","",ORCAMENTOS!H86)</f>
        <v>Ynnaie</v>
      </c>
      <c r="H78" s="39">
        <f>IF(ORCAMENTOS!I86="","",ORCAMENTOS!I86)</f>
        <v>101845.23</v>
      </c>
      <c r="I78" s="60" t="str">
        <f>IF(ORCAMENTOS!J86="","",ORCAMENTOS!J86)</f>
        <v/>
      </c>
      <c r="J78" s="40" t="str">
        <f>IF(ORCAMENTOS!L86="","",ORCAMENTOS!L86)</f>
        <v>CANCELADO</v>
      </c>
      <c r="K78" s="34" t="str">
        <f>IF(ORCAMENTOS!M86="","",ORCAMENTOS!M86)</f>
        <v>CLIENTE PERDEU A OBRA</v>
      </c>
      <c r="L78" t="str">
        <f>IF(ORCAMENTOS!R86="","",ORCAMENTOS!R86)</f>
        <v>MPU</v>
      </c>
    </row>
    <row r="79" spans="1:12" ht="15.75" hidden="1" customHeight="1" x14ac:dyDescent="0.25">
      <c r="A79" s="36">
        <f>IF(ORCAMENTOS!A87="","",ORCAMENTOS!A87)</f>
        <v>45671</v>
      </c>
      <c r="B79" s="46">
        <f>IF(ORCAMENTOS!B87="","",ORCAMENTOS!B87)</f>
        <v>77</v>
      </c>
      <c r="C79" s="46" t="str">
        <f>IF(ORCAMENTOS!C87="","",ORCAMENTOS!C87)</f>
        <v/>
      </c>
      <c r="D79" s="37" t="str">
        <f>IF(ORCAMENTOS!D87="","",ORCAMENTOS!D87)</f>
        <v>AIR NET</v>
      </c>
      <c r="E79" s="38" t="str">
        <f>IF(ORCAMENTOS!E87="","",ORCAMENTOS!E87)</f>
        <v>Santa Casa - RM13</v>
      </c>
      <c r="F79" s="37" t="str">
        <f>IF(ORCAMENTOS!G87="","",ORCAMENTOS!G87)</f>
        <v>Fernando</v>
      </c>
      <c r="G79" s="37" t="str">
        <f>IF(ORCAMENTOS!H87="","",ORCAMENTOS!H87)</f>
        <v>Ricardo</v>
      </c>
      <c r="H79" s="39">
        <f>IF(ORCAMENTOS!I87="","",ORCAMENTOS!I87)</f>
        <v>16883.54</v>
      </c>
      <c r="I79" s="60" t="str">
        <f>IF(ORCAMENTOS!J87="","",ORCAMENTOS!J87)</f>
        <v/>
      </c>
      <c r="J79" s="40" t="str">
        <f>IF(ORCAMENTOS!L87="","",ORCAMENTOS!L87)</f>
        <v>PERDIDO</v>
      </c>
      <c r="K79" s="34" t="str">
        <f>IF(ORCAMENTOS!M87="","",ORCAMENTOS!M87)</f>
        <v>-</v>
      </c>
      <c r="L79" t="str">
        <f>IF(ORCAMENTOS!R87="","",ORCAMENTOS!R87)</f>
        <v>-</v>
      </c>
    </row>
    <row r="80" spans="1:12" ht="15.75" hidden="1" customHeight="1" x14ac:dyDescent="0.25">
      <c r="A80" s="36">
        <f>IF(ORCAMENTOS!A88="","",ORCAMENTOS!A88)</f>
        <v>45671</v>
      </c>
      <c r="B80" s="46">
        <f>IF(ORCAMENTOS!B88="","",ORCAMENTOS!B88)</f>
        <v>78</v>
      </c>
      <c r="C80" s="46" t="str">
        <f>IF(ORCAMENTOS!C88="","",ORCAMENTOS!C88)</f>
        <v/>
      </c>
      <c r="D80" s="37" t="str">
        <f>IF(ORCAMENTOS!D88="","",ORCAMENTOS!D88)</f>
        <v>AR SISTEMAS</v>
      </c>
      <c r="E80" s="38" t="str">
        <f>IF(ORCAMENTOS!E88="","",ORCAMENTOS!E88)</f>
        <v>-</v>
      </c>
      <c r="F80" s="37" t="str">
        <f>IF(ORCAMENTOS!G88="","",ORCAMENTOS!G88)</f>
        <v>Michel</v>
      </c>
      <c r="G80" s="37" t="str">
        <f>IF(ORCAMENTOS!H88="","",ORCAMENTOS!H88)</f>
        <v>Thatila</v>
      </c>
      <c r="H80" s="39">
        <f>IF(ORCAMENTOS!I88="","",ORCAMENTOS!I88)</f>
        <v>9663.01</v>
      </c>
      <c r="I80" s="60" t="str">
        <f>IF(ORCAMENTOS!J88="","",ORCAMENTOS!J88)</f>
        <v/>
      </c>
      <c r="J80" s="40" t="str">
        <f>IF(ORCAMENTOS!L88="","",ORCAMENTOS!L88)</f>
        <v>FECHADO</v>
      </c>
      <c r="K80" s="34" t="str">
        <f>IF(ORCAMENTOS!M88="","",ORCAMENTOS!M88)</f>
        <v>-</v>
      </c>
      <c r="L80" t="str">
        <f>IF(ORCAMENTOS!R88="","",ORCAMENTOS!R88)</f>
        <v>-</v>
      </c>
    </row>
    <row r="81" spans="1:12" ht="15.75" hidden="1" customHeight="1" x14ac:dyDescent="0.25">
      <c r="A81" s="36">
        <f>IF(ORCAMENTOS!A89="","",ORCAMENTOS!A89)</f>
        <v>45671</v>
      </c>
      <c r="B81" s="46">
        <f>IF(ORCAMENTOS!B89="","",ORCAMENTOS!B89)</f>
        <v>79</v>
      </c>
      <c r="C81" s="46" t="str">
        <f>IF(ORCAMENTOS!C89="","",ORCAMENTOS!C89)</f>
        <v/>
      </c>
      <c r="D81" s="37" t="str">
        <f>IF(ORCAMENTOS!D89="","",ORCAMENTOS!D89)</f>
        <v>FL HVAC</v>
      </c>
      <c r="E81" s="38" t="str">
        <f>IF(ORCAMENTOS!E89="","",ORCAMENTOS!E89)</f>
        <v>SMART FIT - SÃO GONCALO BARCELOS - VISTA ALEGE - RJ</v>
      </c>
      <c r="F81" s="37" t="str">
        <f>IF(ORCAMENTOS!G89="","",ORCAMENTOS!G89)</f>
        <v>Guilherme</v>
      </c>
      <c r="G81" s="37" t="str">
        <f>IF(ORCAMENTOS!H89="","",ORCAMENTOS!H89)</f>
        <v>Ynnaie</v>
      </c>
      <c r="H81" s="39">
        <f>IF(ORCAMENTOS!I89="","",ORCAMENTOS!I89)</f>
        <v>52586.080000000002</v>
      </c>
      <c r="I81" s="60" t="str">
        <f>IF(ORCAMENTOS!J89="","",ORCAMENTOS!J89)</f>
        <v/>
      </c>
      <c r="J81" s="40" t="str">
        <f>IF(ORCAMENTOS!L89="","",ORCAMENTOS!L89)</f>
        <v>CANCELADO</v>
      </c>
      <c r="K81" s="34" t="str">
        <f>IF(ORCAMENTOS!M89="","",ORCAMENTOS!M89)</f>
        <v>CLIENTE PERDEU A OBRA</v>
      </c>
      <c r="L81" t="str">
        <f>IF(ORCAMENTOS!R89="","",ORCAMENTOS!R89)</f>
        <v>MPU</v>
      </c>
    </row>
    <row r="82" spans="1:12" ht="15.75" hidden="1" customHeight="1" x14ac:dyDescent="0.25">
      <c r="A82" s="36">
        <f>IF(ORCAMENTOS!A90="","",ORCAMENTOS!A90)</f>
        <v>45672</v>
      </c>
      <c r="B82" s="46">
        <f>IF(ORCAMENTOS!B90="","",ORCAMENTOS!B90)</f>
        <v>80</v>
      </c>
      <c r="C82" s="46" t="str">
        <f>IF(ORCAMENTOS!C90="","",ORCAMENTOS!C90)</f>
        <v/>
      </c>
      <c r="D82" s="37" t="str">
        <f>IF(ORCAMENTOS!D90="","",ORCAMENTOS!D90)</f>
        <v>HVAC ENGENHARIA</v>
      </c>
      <c r="E82" s="38" t="str">
        <f>IF(ORCAMENTOS!E90="","",ORCAMENTOS!E90)</f>
        <v>-</v>
      </c>
      <c r="F82" s="37" t="str">
        <f>IF(ORCAMENTOS!G90="","",ORCAMENTOS!G90)</f>
        <v>Michel</v>
      </c>
      <c r="G82" s="37" t="str">
        <f>IF(ORCAMENTOS!H90="","",ORCAMENTOS!H90)</f>
        <v>Alvaro</v>
      </c>
      <c r="H82" s="39">
        <f>IF(ORCAMENTOS!I90="","",ORCAMENTOS!I90)</f>
        <v>303.31</v>
      </c>
      <c r="I82" s="60" t="str">
        <f>IF(ORCAMENTOS!J90="","",ORCAMENTOS!J90)</f>
        <v/>
      </c>
      <c r="J82" s="40" t="str">
        <f>IF(ORCAMENTOS!L90="","",ORCAMENTOS!L90)</f>
        <v>CANCELADO</v>
      </c>
      <c r="K82" s="34" t="str">
        <f>IF(ORCAMENTOS!M90="","",ORCAMENTOS!M90)</f>
        <v>-</v>
      </c>
      <c r="L82" t="str">
        <f>IF(ORCAMENTOS!R90="","",ORCAMENTOS!R90)</f>
        <v>-</v>
      </c>
    </row>
    <row r="83" spans="1:12" ht="15.75" hidden="1" customHeight="1" x14ac:dyDescent="0.25">
      <c r="A83" s="36">
        <f>IF(ORCAMENTOS!A91="","",ORCAMENTOS!A91)</f>
        <v>45672</v>
      </c>
      <c r="B83" s="46">
        <f>IF(ORCAMENTOS!B91="","",ORCAMENTOS!B91)</f>
        <v>81</v>
      </c>
      <c r="C83" s="46" t="str">
        <f>IF(ORCAMENTOS!C91="","",ORCAMENTOS!C91)</f>
        <v/>
      </c>
      <c r="D83" s="37" t="str">
        <f>IF(ORCAMENTOS!D91="","",ORCAMENTOS!D91)</f>
        <v>THERMOMATIC</v>
      </c>
      <c r="E83" s="38" t="str">
        <f>IF(ORCAMENTOS!E91="","",ORCAMENTOS!E91)</f>
        <v>-</v>
      </c>
      <c r="F83" s="37" t="str">
        <f>IF(ORCAMENTOS!G91="","",ORCAMENTOS!G91)</f>
        <v>Gabriel</v>
      </c>
      <c r="G83" s="37" t="str">
        <f>IF(ORCAMENTOS!H91="","",ORCAMENTOS!H91)</f>
        <v>Calil</v>
      </c>
      <c r="H83" s="39">
        <f>IF(ORCAMENTOS!I91="","",ORCAMENTOS!I91)</f>
        <v>2079.5700000000002</v>
      </c>
      <c r="I83" s="60" t="str">
        <f>IF(ORCAMENTOS!J91="","",ORCAMENTOS!J91)</f>
        <v/>
      </c>
      <c r="J83" s="40" t="str">
        <f>IF(ORCAMENTOS!L91="","",ORCAMENTOS!L91)</f>
        <v>FECHADO</v>
      </c>
      <c r="K83" s="34" t="str">
        <f>IF(ORCAMENTOS!M91="","",ORCAMENTOS!M91)</f>
        <v>-</v>
      </c>
      <c r="L83" t="str">
        <f>IF(ORCAMENTOS!R91="","",ORCAMENTOS!R91)</f>
        <v>-</v>
      </c>
    </row>
    <row r="84" spans="1:12" ht="15.75" hidden="1" customHeight="1" x14ac:dyDescent="0.25">
      <c r="A84" s="36">
        <f>IF(ORCAMENTOS!A92="","",ORCAMENTOS!A92)</f>
        <v>45672</v>
      </c>
      <c r="B84" s="46">
        <f>IF(ORCAMENTOS!B92="","",ORCAMENTOS!B92)</f>
        <v>82</v>
      </c>
      <c r="C84" s="46" t="str">
        <f>IF(ORCAMENTOS!C92="","",ORCAMENTOS!C92)</f>
        <v/>
      </c>
      <c r="D84" s="37" t="str">
        <f>IF(ORCAMENTOS!D92="","",ORCAMENTOS!D92)</f>
        <v>SCS ENGENHARIA</v>
      </c>
      <c r="E84" s="38" t="str">
        <f>IF(ORCAMENTOS!E92="","",ORCAMENTOS!E92)</f>
        <v>-</v>
      </c>
      <c r="F84" s="37" t="str">
        <f>IF(ORCAMENTOS!G92="","",ORCAMENTOS!G92)</f>
        <v>Gabriel</v>
      </c>
      <c r="G84" s="37" t="str">
        <f>IF(ORCAMENTOS!H92="","",ORCAMENTOS!H92)</f>
        <v>Christopher</v>
      </c>
      <c r="H84" s="39">
        <f>IF(ORCAMENTOS!I92="","",ORCAMENTOS!I92)</f>
        <v>4305.8500000000004</v>
      </c>
      <c r="I84" s="60" t="str">
        <f>IF(ORCAMENTOS!J92="","",ORCAMENTOS!J92)</f>
        <v/>
      </c>
      <c r="J84" s="40" t="str">
        <f>IF(ORCAMENTOS!L92="","",ORCAMENTOS!L92)</f>
        <v>FECHADO</v>
      </c>
      <c r="K84" s="34" t="str">
        <f>IF(ORCAMENTOS!M92="","",ORCAMENTOS!M92)</f>
        <v>-</v>
      </c>
      <c r="L84" t="str">
        <f>IF(ORCAMENTOS!R92="","",ORCAMENTOS!R92)</f>
        <v>-</v>
      </c>
    </row>
    <row r="85" spans="1:12" ht="15.75" hidden="1" customHeight="1" x14ac:dyDescent="0.25">
      <c r="A85" s="36">
        <f>IF(ORCAMENTOS!A93="","",ORCAMENTOS!A93)</f>
        <v>45672</v>
      </c>
      <c r="B85" s="46">
        <f>IF(ORCAMENTOS!B93="","",ORCAMENTOS!B93)</f>
        <v>83</v>
      </c>
      <c r="C85" s="46" t="str">
        <f>IF(ORCAMENTOS!C93="","",ORCAMENTOS!C93)</f>
        <v/>
      </c>
      <c r="D85" s="37" t="str">
        <f>IF(ORCAMENTOS!D93="","",ORCAMENTOS!D93)</f>
        <v>KONAR</v>
      </c>
      <c r="E85" s="38" t="str">
        <f>IF(ORCAMENTOS!E93="","",ORCAMENTOS!E93)</f>
        <v>422-24 - JHSF -Usina - Adt</v>
      </c>
      <c r="F85" s="37" t="str">
        <f>IF(ORCAMENTOS!G93="","",ORCAMENTOS!G93)</f>
        <v>Michel</v>
      </c>
      <c r="G85" s="37" t="str">
        <f>IF(ORCAMENTOS!H93="","",ORCAMENTOS!H93)</f>
        <v>Fabio</v>
      </c>
      <c r="H85" s="39">
        <f>IF(ORCAMENTOS!I93="","",ORCAMENTOS!I93)</f>
        <v>25170.68</v>
      </c>
      <c r="I85" s="60" t="str">
        <f>IF(ORCAMENTOS!J93="","",ORCAMENTOS!J93)</f>
        <v/>
      </c>
      <c r="J85" s="40" t="str">
        <f>IF(ORCAMENTOS!L93="","",ORCAMENTOS!L93)</f>
        <v>PERDIDO</v>
      </c>
      <c r="K85" s="34" t="str">
        <f>IF(ORCAMENTOS!M93="","",ORCAMENTOS!M93)</f>
        <v>PACOTE</v>
      </c>
      <c r="L85" t="str">
        <f>IF(ORCAMENTOS!R93="","",ORCAMENTOS!R93)</f>
        <v>-</v>
      </c>
    </row>
    <row r="86" spans="1:12" ht="15.75" hidden="1" customHeight="1" x14ac:dyDescent="0.25">
      <c r="A86" s="36">
        <f>IF(ORCAMENTOS!A94="","",ORCAMENTOS!A94)</f>
        <v>45673</v>
      </c>
      <c r="B86" s="46">
        <f>IF(ORCAMENTOS!B94="","",ORCAMENTOS!B94)</f>
        <v>84</v>
      </c>
      <c r="C86" s="46" t="str">
        <f>IF(ORCAMENTOS!C94="","",ORCAMENTOS!C94)</f>
        <v/>
      </c>
      <c r="D86" s="37" t="str">
        <f>IF(ORCAMENTOS!D94="","",ORCAMENTOS!D94)</f>
        <v>AMS INSTALACOES</v>
      </c>
      <c r="E86" s="38" t="str">
        <f>IF(ORCAMENTOS!E94="","",ORCAMENTOS!E94)</f>
        <v>NOVA SEDE - SICOOB AGROCREDI - GUAXUPE - MG</v>
      </c>
      <c r="F86" s="37" t="str">
        <f>IF(ORCAMENTOS!G94="","",ORCAMENTOS!G94)</f>
        <v>Gabriel</v>
      </c>
      <c r="G86" s="37" t="str">
        <f>IF(ORCAMENTOS!H94="","",ORCAMENTOS!H94)</f>
        <v>Albertino</v>
      </c>
      <c r="H86" s="39">
        <f>IF(ORCAMENTOS!I94="","",ORCAMENTOS!I94)</f>
        <v>194099.96</v>
      </c>
      <c r="I86" s="60" t="str">
        <f>IF(ORCAMENTOS!J94="","",ORCAMENTOS!J94)</f>
        <v/>
      </c>
      <c r="J86" s="40" t="str">
        <f>IF(ORCAMENTOS!L94="","",ORCAMENTOS!L94)</f>
        <v>CANCELADO</v>
      </c>
      <c r="K86" s="34" t="str">
        <f>IF(ORCAMENTOS!M94="","",ORCAMENTOS!M94)</f>
        <v>-</v>
      </c>
      <c r="L86" t="str">
        <f>IF(ORCAMENTOS!R94="","",ORCAMENTOS!R94)</f>
        <v/>
      </c>
    </row>
    <row r="87" spans="1:12" ht="15.75" hidden="1" customHeight="1" x14ac:dyDescent="0.25">
      <c r="A87" s="36">
        <f>IF(ORCAMENTOS!A95="","",ORCAMENTOS!A95)</f>
        <v>45674</v>
      </c>
      <c r="B87" s="46">
        <f>IF(ORCAMENTOS!B95="","",ORCAMENTOS!B95)</f>
        <v>85</v>
      </c>
      <c r="C87" s="46" t="str">
        <f>IF(ORCAMENTOS!C95="","",ORCAMENTOS!C95)</f>
        <v/>
      </c>
      <c r="D87" s="37" t="str">
        <f>IF(ORCAMENTOS!D95="","",ORCAMENTOS!D95)</f>
        <v>PU DUTOS</v>
      </c>
      <c r="E87" s="38" t="str">
        <f>IF(ORCAMENTOS!E95="","",ORCAMENTOS!E95)</f>
        <v>DM SERVICOS EM GERAL - AREA DE MOAGEM</v>
      </c>
      <c r="F87" s="37" t="str">
        <f>IF(ORCAMENTOS!G95="","",ORCAMENTOS!G95)</f>
        <v>Gabriel</v>
      </c>
      <c r="G87" s="37" t="str">
        <f>IF(ORCAMENTOS!H95="","",ORCAMENTOS!H95)</f>
        <v>Thiago</v>
      </c>
      <c r="H87" s="39">
        <f>IF(ORCAMENTOS!I95="","",ORCAMENTOS!I95)</f>
        <v>23984.880000000001</v>
      </c>
      <c r="I87" s="60" t="str">
        <f>IF(ORCAMENTOS!J95="","",ORCAMENTOS!J95)</f>
        <v/>
      </c>
      <c r="J87" s="40" t="str">
        <f>IF(ORCAMENTOS!L95="","",ORCAMENTOS!L95)</f>
        <v>CANCELADO</v>
      </c>
      <c r="K87" s="34" t="str">
        <f>IF(ORCAMENTOS!M95="","",ORCAMENTOS!M95)</f>
        <v>-</v>
      </c>
      <c r="L87" t="str">
        <f>IF(ORCAMENTOS!R95="","",ORCAMENTOS!R95)</f>
        <v>-</v>
      </c>
    </row>
    <row r="88" spans="1:12" ht="15.75" hidden="1" customHeight="1" x14ac:dyDescent="0.25">
      <c r="A88" s="36">
        <f>IF(ORCAMENTOS!A96="","",ORCAMENTOS!A96)</f>
        <v>45674</v>
      </c>
      <c r="B88" s="46">
        <f>IF(ORCAMENTOS!B96="","",ORCAMENTOS!B96)</f>
        <v>86</v>
      </c>
      <c r="C88" s="46" t="str">
        <f>IF(ORCAMENTOS!C96="","",ORCAMENTOS!C96)</f>
        <v/>
      </c>
      <c r="D88" s="37" t="str">
        <f>IF(ORCAMENTOS!D96="","",ORCAMENTOS!D96)</f>
        <v>AIR TIME</v>
      </c>
      <c r="E88" s="38" t="str">
        <f>IF(ORCAMENTOS!E96="","",ORCAMENTOS!E96)</f>
        <v>CAISM - CENTRO DE ATENÇÃO INTEGRADA A SAÚDE DA MULHER - JUNDIAI - SP</v>
      </c>
      <c r="F88" s="37" t="str">
        <f>IF(ORCAMENTOS!G96="","",ORCAMENTOS!G96)</f>
        <v>Emanuel</v>
      </c>
      <c r="G88" s="37" t="str">
        <f>IF(ORCAMENTOS!H96="","",ORCAMENTOS!H96)</f>
        <v>Renan</v>
      </c>
      <c r="H88" s="39">
        <f>IF(ORCAMENTOS!I96="","",ORCAMENTOS!I96)</f>
        <v>65374.74</v>
      </c>
      <c r="I88" s="60" t="str">
        <f>IF(ORCAMENTOS!J96="","",ORCAMENTOS!J96)</f>
        <v/>
      </c>
      <c r="J88" s="40" t="str">
        <f>IF(ORCAMENTOS!L96="","",ORCAMENTOS!L96)</f>
        <v>FECHADO</v>
      </c>
      <c r="K88" s="34" t="str">
        <f>IF(ORCAMENTOS!M96="","",ORCAMENTOS!M96)</f>
        <v>-</v>
      </c>
      <c r="L88" t="str">
        <f>IF(ORCAMENTOS!R96="","",ORCAMENTOS!R96)</f>
        <v>-</v>
      </c>
    </row>
    <row r="89" spans="1:12" ht="15.75" hidden="1" customHeight="1" x14ac:dyDescent="0.25">
      <c r="A89" s="36">
        <f>IF(ORCAMENTOS!A97="","",ORCAMENTOS!A97)</f>
        <v>45677</v>
      </c>
      <c r="B89" s="46">
        <f>IF(ORCAMENTOS!B97="","",ORCAMENTOS!B97)</f>
        <v>87</v>
      </c>
      <c r="C89" s="46" t="str">
        <f>IF(ORCAMENTOS!C97="","",ORCAMENTOS!C97)</f>
        <v/>
      </c>
      <c r="D89" s="37" t="str">
        <f>IF(ORCAMENTOS!D97="","",ORCAMENTOS!D97)</f>
        <v>MONTES CLIMA</v>
      </c>
      <c r="E89" s="38" t="str">
        <f>IF(ORCAMENTOS!E97="","",ORCAMENTOS!E97)</f>
        <v>-</v>
      </c>
      <c r="F89" s="37" t="str">
        <f>IF(ORCAMENTOS!G97="","",ORCAMENTOS!G97)</f>
        <v>Gabriel</v>
      </c>
      <c r="G89" s="37" t="str">
        <f>IF(ORCAMENTOS!H97="","",ORCAMENTOS!H97)</f>
        <v>Roberto</v>
      </c>
      <c r="H89" s="39">
        <f>IF(ORCAMENTOS!I97="","",ORCAMENTOS!I97)</f>
        <v>2442.7199999999998</v>
      </c>
      <c r="I89" s="60" t="str">
        <f>IF(ORCAMENTOS!J97="","",ORCAMENTOS!J97)</f>
        <v/>
      </c>
      <c r="J89" s="40" t="str">
        <f>IF(ORCAMENTOS!L97="","",ORCAMENTOS!L97)</f>
        <v>FECHADO</v>
      </c>
      <c r="K89" s="34" t="str">
        <f>IF(ORCAMENTOS!M97="","",ORCAMENTOS!M97)</f>
        <v>-</v>
      </c>
      <c r="L89" t="str">
        <f>IF(ORCAMENTOS!R97="","",ORCAMENTOS!R97)</f>
        <v>-</v>
      </c>
    </row>
    <row r="90" spans="1:12" ht="15.75" hidden="1" customHeight="1" x14ac:dyDescent="0.25">
      <c r="A90" s="36">
        <f>IF(ORCAMENTOS!A98="","",ORCAMENTOS!A98)</f>
        <v>45673</v>
      </c>
      <c r="B90" s="46">
        <f>IF(ORCAMENTOS!B98="","",ORCAMENTOS!B98)</f>
        <v>88</v>
      </c>
      <c r="C90" s="46" t="str">
        <f>IF(ORCAMENTOS!C98="","",ORCAMENTOS!C98)</f>
        <v/>
      </c>
      <c r="D90" s="37" t="str">
        <f>IF(ORCAMENTOS!D98="","",ORCAMENTOS!D98)</f>
        <v>BRISA AR CONDICIONADO</v>
      </c>
      <c r="E90" s="38" t="str">
        <f>IF(ORCAMENTOS!E98="","",ORCAMENTOS!E98)</f>
        <v>VALGROUP LTDA - LORENA - SP</v>
      </c>
      <c r="F90" s="37" t="str">
        <f>IF(ORCAMENTOS!G98="","",ORCAMENTOS!G98)</f>
        <v>Michel</v>
      </c>
      <c r="G90" s="37" t="str">
        <f>IF(ORCAMENTOS!H98="","",ORCAMENTOS!H98)</f>
        <v>Sidnei</v>
      </c>
      <c r="H90" s="39">
        <f>IF(ORCAMENTOS!I98="","",ORCAMENTOS!I98)</f>
        <v>230102.64</v>
      </c>
      <c r="I90" s="60" t="str">
        <f>IF(ORCAMENTOS!J98="","",ORCAMENTOS!J98)</f>
        <v/>
      </c>
      <c r="J90" s="40" t="str">
        <f>IF(ORCAMENTOS!L98="","",ORCAMENTOS!L98)</f>
        <v>CANCELADO</v>
      </c>
      <c r="K90" s="34" t="str">
        <f>IF(ORCAMENTOS!M98="","",ORCAMENTOS!M98)</f>
        <v>-</v>
      </c>
      <c r="L90" t="str">
        <f>IF(ORCAMENTOS!R98="","",ORCAMENTOS!R98)</f>
        <v>N/E</v>
      </c>
    </row>
    <row r="91" spans="1:12" ht="15.75" hidden="1" customHeight="1" x14ac:dyDescent="0.25">
      <c r="A91" s="36">
        <f>IF(ORCAMENTOS!A99="","",ORCAMENTOS!A99)</f>
        <v>45673</v>
      </c>
      <c r="B91" s="46">
        <f>IF(ORCAMENTOS!B99="","",ORCAMENTOS!B99)</f>
        <v>89</v>
      </c>
      <c r="C91" s="46" t="str">
        <f>IF(ORCAMENTOS!C99="","",ORCAMENTOS!C99)</f>
        <v/>
      </c>
      <c r="D91" s="37" t="str">
        <f>IF(ORCAMENTOS!D99="","",ORCAMENTOS!D99)</f>
        <v>AIR GREEN</v>
      </c>
      <c r="E91" s="38" t="str">
        <f>IF(ORCAMENTOS!E99="","",ORCAMENTOS!E99)</f>
        <v>-</v>
      </c>
      <c r="F91" s="37" t="str">
        <f>IF(ORCAMENTOS!G99="","",ORCAMENTOS!G99)</f>
        <v>Fernando</v>
      </c>
      <c r="G91" s="37" t="str">
        <f>IF(ORCAMENTOS!H99="","",ORCAMENTOS!H99)</f>
        <v>Renata</v>
      </c>
      <c r="H91" s="39">
        <f>IF(ORCAMENTOS!I99="","",ORCAMENTOS!I99)</f>
        <v>11342.42</v>
      </c>
      <c r="I91" s="60" t="str">
        <f>IF(ORCAMENTOS!J99="","",ORCAMENTOS!J99)</f>
        <v/>
      </c>
      <c r="J91" s="40" t="str">
        <f>IF(ORCAMENTOS!L99="","",ORCAMENTOS!L99)</f>
        <v>FECHADO</v>
      </c>
      <c r="K91" s="34" t="str">
        <f>IF(ORCAMENTOS!M99="","",ORCAMENTOS!M99)</f>
        <v>-</v>
      </c>
      <c r="L91" t="str">
        <f>IF(ORCAMENTOS!R99="","",ORCAMENTOS!R99)</f>
        <v>-</v>
      </c>
    </row>
    <row r="92" spans="1:12" ht="15.75" hidden="1" customHeight="1" x14ac:dyDescent="0.25">
      <c r="A92" s="36">
        <f>IF(ORCAMENTOS!A100="","",ORCAMENTOS!A100)</f>
        <v>45674</v>
      </c>
      <c r="B92" s="46">
        <f>IF(ORCAMENTOS!B100="","",ORCAMENTOS!B100)</f>
        <v>90</v>
      </c>
      <c r="C92" s="46" t="str">
        <f>IF(ORCAMENTOS!C100="","",ORCAMENTOS!C100)</f>
        <v/>
      </c>
      <c r="D92" s="37" t="str">
        <f>IF(ORCAMENTOS!D100="","",ORCAMENTOS!D100)</f>
        <v>NEW AIR</v>
      </c>
      <c r="E92" s="38" t="str">
        <f>IF(ORCAMENTOS!E100="","",ORCAMENTOS!E100)</f>
        <v>-</v>
      </c>
      <c r="F92" s="37" t="str">
        <f>IF(ORCAMENTOS!G100="","",ORCAMENTOS!G100)</f>
        <v>Fernando</v>
      </c>
      <c r="G92" s="37" t="str">
        <f>IF(ORCAMENTOS!H100="","",ORCAMENTOS!H100)</f>
        <v>Igor</v>
      </c>
      <c r="H92" s="39">
        <f>IF(ORCAMENTOS!I100="","",ORCAMENTOS!I100)</f>
        <v>9682.07</v>
      </c>
      <c r="I92" s="60" t="str">
        <f>IF(ORCAMENTOS!J100="","",ORCAMENTOS!J100)</f>
        <v/>
      </c>
      <c r="J92" s="40" t="str">
        <f>IF(ORCAMENTOS!L100="","",ORCAMENTOS!L100)</f>
        <v>FECHADO</v>
      </c>
      <c r="K92" s="34" t="str">
        <f>IF(ORCAMENTOS!M100="","",ORCAMENTOS!M100)</f>
        <v>-</v>
      </c>
      <c r="L92" t="str">
        <f>IF(ORCAMENTOS!R100="","",ORCAMENTOS!R100)</f>
        <v>-</v>
      </c>
    </row>
    <row r="93" spans="1:12" ht="15.75" hidden="1" customHeight="1" x14ac:dyDescent="0.25">
      <c r="A93" s="36">
        <f>IF(ORCAMENTOS!A101="","",ORCAMENTOS!A101)</f>
        <v>45673</v>
      </c>
      <c r="B93" s="46">
        <f>IF(ORCAMENTOS!B101="","",ORCAMENTOS!B101)</f>
        <v>91</v>
      </c>
      <c r="C93" s="46" t="str">
        <f>IF(ORCAMENTOS!C101="","",ORCAMENTOS!C101)</f>
        <v/>
      </c>
      <c r="D93" s="37" t="str">
        <f>IF(ORCAMENTOS!D101="","",ORCAMENTOS!D101)</f>
        <v>HITECH INSTALACOES</v>
      </c>
      <c r="E93" s="38" t="str">
        <f>IF(ORCAMENTOS!E101="","",ORCAMENTOS!E101)</f>
        <v>STUDIO VILA ANDRADE - SP</v>
      </c>
      <c r="F93" s="37" t="str">
        <f>IF(ORCAMENTOS!G101="","",ORCAMENTOS!G101)</f>
        <v>Gabriel</v>
      </c>
      <c r="G93" s="37" t="str">
        <f>IF(ORCAMENTOS!H101="","",ORCAMENTOS!H101)</f>
        <v>Edmundo</v>
      </c>
      <c r="H93" s="39">
        <f>IF(ORCAMENTOS!I101="","",ORCAMENTOS!I101)</f>
        <v>18830.189999999999</v>
      </c>
      <c r="I93" s="60" t="str">
        <f>IF(ORCAMENTOS!J101="","",ORCAMENTOS!J101)</f>
        <v/>
      </c>
      <c r="J93" s="40" t="str">
        <f>IF(ORCAMENTOS!L101="","",ORCAMENTOS!L101)</f>
        <v>CANCELADO</v>
      </c>
      <c r="K93" s="34" t="str">
        <f>IF(ORCAMENTOS!M101="","",ORCAMENTOS!M101)</f>
        <v>-</v>
      </c>
      <c r="L93" t="str">
        <f>IF(ORCAMENTOS!R101="","",ORCAMENTOS!R101)</f>
        <v>-</v>
      </c>
    </row>
    <row r="94" spans="1:12" ht="15.75" hidden="1" customHeight="1" x14ac:dyDescent="0.25">
      <c r="A94" s="36">
        <f>IF(ORCAMENTOS!A102="","",ORCAMENTOS!A102)</f>
        <v>45674</v>
      </c>
      <c r="B94" s="46">
        <f>IF(ORCAMENTOS!B102="","",ORCAMENTOS!B102)</f>
        <v>92</v>
      </c>
      <c r="C94" s="46" t="str">
        <f>IF(ORCAMENTOS!C102="","",ORCAMENTOS!C102)</f>
        <v/>
      </c>
      <c r="D94" s="37" t="str">
        <f>IF(ORCAMENTOS!D102="","",ORCAMENTOS!D102)</f>
        <v>THERMOMATIC</v>
      </c>
      <c r="E94" s="38" t="str">
        <f>IF(ORCAMENTOS!E102="","",ORCAMENTOS!E102)</f>
        <v>-</v>
      </c>
      <c r="F94" s="37" t="str">
        <f>IF(ORCAMENTOS!G102="","",ORCAMENTOS!G102)</f>
        <v>Gabriel</v>
      </c>
      <c r="G94" s="37" t="str">
        <f>IF(ORCAMENTOS!H102="","",ORCAMENTOS!H102)</f>
        <v>Michel</v>
      </c>
      <c r="H94" s="39">
        <f>IF(ORCAMENTOS!I102="","",ORCAMENTOS!I102)</f>
        <v>4328.8</v>
      </c>
      <c r="I94" s="60" t="str">
        <f>IF(ORCAMENTOS!J102="","",ORCAMENTOS!J102)</f>
        <v/>
      </c>
      <c r="J94" s="40" t="str">
        <f>IF(ORCAMENTOS!L102="","",ORCAMENTOS!L102)</f>
        <v>FECHADO</v>
      </c>
      <c r="K94" s="34" t="str">
        <f>IF(ORCAMENTOS!M102="","",ORCAMENTOS!M102)</f>
        <v>-</v>
      </c>
      <c r="L94" t="str">
        <f>IF(ORCAMENTOS!R102="","",ORCAMENTOS!R102)</f>
        <v>-</v>
      </c>
    </row>
    <row r="95" spans="1:12" ht="15.75" hidden="1" customHeight="1" x14ac:dyDescent="0.25">
      <c r="A95" s="36">
        <f>IF(ORCAMENTOS!A103="","",ORCAMENTOS!A103)</f>
        <v>45674</v>
      </c>
      <c r="B95" s="46">
        <f>IF(ORCAMENTOS!B103="","",ORCAMENTOS!B103)</f>
        <v>93</v>
      </c>
      <c r="C95" s="46" t="str">
        <f>IF(ORCAMENTOS!C103="","",ORCAMENTOS!C103)</f>
        <v/>
      </c>
      <c r="D95" s="37" t="str">
        <f>IF(ORCAMENTOS!D103="","",ORCAMENTOS!D103)</f>
        <v>AWA AR CONDICIONADO</v>
      </c>
      <c r="E95" s="38" t="str">
        <f>IF(ORCAMENTOS!E103="","",ORCAMENTOS!E103)</f>
        <v>ATACADAO - BANGU SHOPPING - RJ</v>
      </c>
      <c r="F95" s="37" t="str">
        <f>IF(ORCAMENTOS!G103="","",ORCAMENTOS!G103)</f>
        <v>Guilherme</v>
      </c>
      <c r="G95" s="37" t="str">
        <f>IF(ORCAMENTOS!H103="","",ORCAMENTOS!H103)</f>
        <v>Maria Julia</v>
      </c>
      <c r="H95" s="39">
        <f>IF(ORCAMENTOS!I103="","",ORCAMENTOS!I103)</f>
        <v>125238.88</v>
      </c>
      <c r="I95" s="60" t="str">
        <f>IF(ORCAMENTOS!J103="","",ORCAMENTOS!J103)</f>
        <v/>
      </c>
      <c r="J95" s="40" t="str">
        <f>IF(ORCAMENTOS!L103="","",ORCAMENTOS!L103)</f>
        <v>CANCELADO</v>
      </c>
      <c r="K95" s="34" t="str">
        <f>IF(ORCAMENTOS!M103="","",ORCAMENTOS!M103)</f>
        <v>-</v>
      </c>
      <c r="L95" t="str">
        <f>IF(ORCAMENTOS!R103="","",ORCAMENTOS!R103)</f>
        <v>N/E</v>
      </c>
    </row>
    <row r="96" spans="1:12" ht="15.75" hidden="1" customHeight="1" x14ac:dyDescent="0.25">
      <c r="A96" s="36">
        <f>IF(ORCAMENTOS!A104="","",ORCAMENTOS!A104)</f>
        <v>45674</v>
      </c>
      <c r="B96" s="46">
        <f>IF(ORCAMENTOS!B104="","",ORCAMENTOS!B104)</f>
        <v>94</v>
      </c>
      <c r="C96" s="46" t="str">
        <f>IF(ORCAMENTOS!C104="","",ORCAMENTOS!C104)</f>
        <v/>
      </c>
      <c r="D96" s="37" t="str">
        <f>IF(ORCAMENTOS!D104="","",ORCAMENTOS!D104)</f>
        <v>AIRPLAN</v>
      </c>
      <c r="E96" s="38" t="str">
        <f>IF(ORCAMENTOS!E104="","",ORCAMENTOS!E104)</f>
        <v>RENNER SHOPPING MORUMBI - SÃO PAULO - SP</v>
      </c>
      <c r="F96" s="37" t="str">
        <f>IF(ORCAMENTOS!G104="","",ORCAMENTOS!G104)</f>
        <v>Gabriel</v>
      </c>
      <c r="G96" s="37" t="str">
        <f>IF(ORCAMENTOS!H104="","",ORCAMENTOS!H104)</f>
        <v>Laercio</v>
      </c>
      <c r="H96" s="39">
        <f>IF(ORCAMENTOS!I104="","",ORCAMENTOS!I104)</f>
        <v>205337.59</v>
      </c>
      <c r="I96" s="60" t="str">
        <f>IF(ORCAMENTOS!J104="","",ORCAMENTOS!J104)</f>
        <v/>
      </c>
      <c r="J96" s="40" t="str">
        <f>IF(ORCAMENTOS!L104="","",ORCAMENTOS!L104)</f>
        <v>CANCELADO</v>
      </c>
      <c r="K96" s="34" t="str">
        <f>IF(ORCAMENTOS!M104="","",ORCAMENTOS!M104)</f>
        <v>-</v>
      </c>
      <c r="L96" t="str">
        <f>IF(ORCAMENTOS!R104="","",ORCAMENTOS!R104)</f>
        <v>MPU</v>
      </c>
    </row>
    <row r="97" spans="1:12" ht="15.75" hidden="1" customHeight="1" x14ac:dyDescent="0.25">
      <c r="A97" s="36">
        <f>IF(ORCAMENTOS!A105="","",ORCAMENTOS!A105)</f>
        <v>45674</v>
      </c>
      <c r="B97" s="46">
        <f>IF(ORCAMENTOS!B105="","",ORCAMENTOS!B105)</f>
        <v>95</v>
      </c>
      <c r="C97" s="46" t="str">
        <f>IF(ORCAMENTOS!C105="","",ORCAMENTOS!C105)</f>
        <v/>
      </c>
      <c r="D97" s="37" t="str">
        <f>IF(ORCAMENTOS!D105="","",ORCAMENTOS!D105)</f>
        <v>LKT AR CONDICIONADO</v>
      </c>
      <c r="E97" s="38" t="str">
        <f>IF(ORCAMENTOS!E105="","",ORCAMENTOS!E105)</f>
        <v>WHITE &amp; CASE</v>
      </c>
      <c r="F97" s="37" t="str">
        <f>IF(ORCAMENTOS!G105="","",ORCAMENTOS!G105)</f>
        <v>Fernando</v>
      </c>
      <c r="G97" s="37" t="str">
        <f>IF(ORCAMENTOS!H105="","",ORCAMENTOS!H105)</f>
        <v>Rafael</v>
      </c>
      <c r="H97" s="39">
        <f>IF(ORCAMENTOS!I105="","",ORCAMENTOS!I105)</f>
        <v>46570.57</v>
      </c>
      <c r="I97" s="60" t="str">
        <f>IF(ORCAMENTOS!J105="","",ORCAMENTOS!J105)</f>
        <v/>
      </c>
      <c r="J97" s="40" t="str">
        <f>IF(ORCAMENTOS!L105="","",ORCAMENTOS!L105)</f>
        <v>CANCELADO</v>
      </c>
      <c r="K97" s="34" t="str">
        <f>IF(ORCAMENTOS!M105="","",ORCAMENTOS!M105)</f>
        <v>BOAS CHANCES</v>
      </c>
      <c r="L97" t="str">
        <f>IF(ORCAMENTOS!R105="","",ORCAMENTOS!R105)</f>
        <v>-</v>
      </c>
    </row>
    <row r="98" spans="1:12" ht="15.75" hidden="1" customHeight="1" x14ac:dyDescent="0.25">
      <c r="A98" s="36">
        <f>IF(ORCAMENTOS!A106="","",ORCAMENTOS!A106)</f>
        <v>45674</v>
      </c>
      <c r="B98" s="46">
        <f>IF(ORCAMENTOS!B106="","",ORCAMENTOS!B106)</f>
        <v>96</v>
      </c>
      <c r="C98" s="46" t="str">
        <f>IF(ORCAMENTOS!C106="","",ORCAMENTOS!C106)</f>
        <v/>
      </c>
      <c r="D98" s="37" t="str">
        <f>IF(ORCAMENTOS!D106="","",ORCAMENTOS!D106)</f>
        <v>K SET</v>
      </c>
      <c r="E98" s="38" t="str">
        <f>IF(ORCAMENTOS!E106="","",ORCAMENTOS!E106)</f>
        <v>-</v>
      </c>
      <c r="F98" s="37" t="str">
        <f>IF(ORCAMENTOS!G106="","",ORCAMENTOS!G106)</f>
        <v>Gabriel</v>
      </c>
      <c r="G98" s="37" t="str">
        <f>IF(ORCAMENTOS!H106="","",ORCAMENTOS!H106)</f>
        <v>Bruna</v>
      </c>
      <c r="H98" s="39">
        <f>IF(ORCAMENTOS!I106="","",ORCAMENTOS!I106)</f>
        <v>1707.65</v>
      </c>
      <c r="I98" s="60" t="str">
        <f>IF(ORCAMENTOS!J106="","",ORCAMENTOS!J106)</f>
        <v/>
      </c>
      <c r="J98" s="40" t="str">
        <f>IF(ORCAMENTOS!L106="","",ORCAMENTOS!L106)</f>
        <v>FECHADO</v>
      </c>
      <c r="K98" s="34" t="str">
        <f>IF(ORCAMENTOS!M106="","",ORCAMENTOS!M106)</f>
        <v>-</v>
      </c>
      <c r="L98" t="str">
        <f>IF(ORCAMENTOS!R106="","",ORCAMENTOS!R106)</f>
        <v>-</v>
      </c>
    </row>
    <row r="99" spans="1:12" ht="15.75" hidden="1" customHeight="1" x14ac:dyDescent="0.25">
      <c r="A99" s="36">
        <f>IF(ORCAMENTOS!A107="","",ORCAMENTOS!A107)</f>
        <v>45674</v>
      </c>
      <c r="B99" s="46">
        <f>IF(ORCAMENTOS!B107="","",ORCAMENTOS!B107)</f>
        <v>97</v>
      </c>
      <c r="C99" s="46" t="str">
        <f>IF(ORCAMENTOS!C107="","",ORCAMENTOS!C107)</f>
        <v/>
      </c>
      <c r="D99" s="37" t="str">
        <f>IF(ORCAMENTOS!D107="","",ORCAMENTOS!D107)</f>
        <v>COLD SERVICE</v>
      </c>
      <c r="E99" s="38" t="str">
        <f>IF(ORCAMENTOS!E107="","",ORCAMENTOS!E107)</f>
        <v>-</v>
      </c>
      <c r="F99" s="37" t="str">
        <f>IF(ORCAMENTOS!G107="","",ORCAMENTOS!G107)</f>
        <v>Gabriel</v>
      </c>
      <c r="G99" s="37" t="str">
        <f>IF(ORCAMENTOS!H107="","",ORCAMENTOS!H107)</f>
        <v>Rogerio</v>
      </c>
      <c r="H99" s="39">
        <f>IF(ORCAMENTOS!I107="","",ORCAMENTOS!I107)</f>
        <v>1242.8</v>
      </c>
      <c r="I99" s="60" t="str">
        <f>IF(ORCAMENTOS!J107="","",ORCAMENTOS!J107)</f>
        <v/>
      </c>
      <c r="J99" s="40" t="str">
        <f>IF(ORCAMENTOS!L107="","",ORCAMENTOS!L107)</f>
        <v>CANCELADO</v>
      </c>
      <c r="K99" s="34" t="str">
        <f>IF(ORCAMENTOS!M107="","",ORCAMENTOS!M107)</f>
        <v>-</v>
      </c>
      <c r="L99" t="str">
        <f>IF(ORCAMENTOS!R107="","",ORCAMENTOS!R107)</f>
        <v>-</v>
      </c>
    </row>
    <row r="100" spans="1:12" ht="15.75" hidden="1" customHeight="1" x14ac:dyDescent="0.25">
      <c r="A100" s="36">
        <f>IF(ORCAMENTOS!A108="","",ORCAMENTOS!A108)</f>
        <v>45674</v>
      </c>
      <c r="B100" s="46">
        <f>IF(ORCAMENTOS!B108="","",ORCAMENTOS!B108)</f>
        <v>98</v>
      </c>
      <c r="C100" s="46" t="str">
        <f>IF(ORCAMENTOS!C108="","",ORCAMENTOS!C108)</f>
        <v/>
      </c>
      <c r="D100" s="37" t="str">
        <f>IF(ORCAMENTOS!D108="","",ORCAMENTOS!D108)</f>
        <v>AMS INSTALACOES</v>
      </c>
      <c r="E100" s="38" t="str">
        <f>IF(ORCAMENTOS!E108="","",ORCAMENTOS!E108)</f>
        <v>ATACADAO - BANGU SHOPPING - RJ</v>
      </c>
      <c r="F100" s="37" t="str">
        <f>IF(ORCAMENTOS!G108="","",ORCAMENTOS!G108)</f>
        <v>Gabriel</v>
      </c>
      <c r="G100" s="37" t="str">
        <f>IF(ORCAMENTOS!H108="","",ORCAMENTOS!H108)</f>
        <v>Albertino</v>
      </c>
      <c r="H100" s="39">
        <f>IF(ORCAMENTOS!I108="","",ORCAMENTOS!I108)</f>
        <v>103725.05</v>
      </c>
      <c r="I100" s="60" t="str">
        <f>IF(ORCAMENTOS!J108="","",ORCAMENTOS!J108)</f>
        <v/>
      </c>
      <c r="J100" s="40" t="str">
        <f>IF(ORCAMENTOS!L108="","",ORCAMENTOS!L108)</f>
        <v>FECHADO</v>
      </c>
      <c r="K100" s="34" t="str">
        <f>IF(ORCAMENTOS!M108="","",ORCAMENTOS!M108)</f>
        <v>-</v>
      </c>
      <c r="L100" t="str">
        <f>IF(ORCAMENTOS!R108="","",ORCAMENTOS!R108)</f>
        <v>N/E</v>
      </c>
    </row>
    <row r="101" spans="1:12" ht="15.75" hidden="1" customHeight="1" x14ac:dyDescent="0.25">
      <c r="A101" s="36">
        <f>IF(ORCAMENTOS!A109="","",ORCAMENTOS!A109)</f>
        <v>45677</v>
      </c>
      <c r="B101" s="46">
        <f>IF(ORCAMENTOS!B109="","",ORCAMENTOS!B109)</f>
        <v>99</v>
      </c>
      <c r="C101" s="46" t="str">
        <f>IF(ORCAMENTOS!C109="","",ORCAMENTOS!C109)</f>
        <v/>
      </c>
      <c r="D101" s="37" t="str">
        <f>IF(ORCAMENTOS!D109="","",ORCAMENTOS!D109)</f>
        <v>ADRIATIC</v>
      </c>
      <c r="E101" s="38" t="str">
        <f>IF(ORCAMENTOS!E109="","",ORCAMENTOS!E109)</f>
        <v>C&amp;A MODAS - PARTAGE SHOPPING JARAGUA SUL - SC</v>
      </c>
      <c r="F101" s="37" t="str">
        <f>IF(ORCAMENTOS!G109="","",ORCAMENTOS!G109)</f>
        <v>Emanuel</v>
      </c>
      <c r="G101" s="37" t="str">
        <f>IF(ORCAMENTOS!H109="","",ORCAMENTOS!H109)</f>
        <v>Walyson</v>
      </c>
      <c r="H101" s="39">
        <f>IF(ORCAMENTOS!I109="","",ORCAMENTOS!I109)</f>
        <v>13533.77</v>
      </c>
      <c r="I101" s="60" t="str">
        <f>IF(ORCAMENTOS!J109="","",ORCAMENTOS!J109)</f>
        <v/>
      </c>
      <c r="J101" s="40" t="str">
        <f>IF(ORCAMENTOS!L109="","",ORCAMENTOS!L109)</f>
        <v>FECHADO</v>
      </c>
      <c r="K101" s="34" t="str">
        <f>IF(ORCAMENTOS!M109="","",ORCAMENTOS!M109)</f>
        <v>-</v>
      </c>
      <c r="L101" t="str">
        <f>IF(ORCAMENTOS!R109="","",ORCAMENTOS!R109)</f>
        <v>N/E</v>
      </c>
    </row>
    <row r="102" spans="1:12" ht="15.75" hidden="1" customHeight="1" x14ac:dyDescent="0.25">
      <c r="A102" s="36">
        <f>IF(ORCAMENTOS!A110="","",ORCAMENTOS!A110)</f>
        <v>45674</v>
      </c>
      <c r="B102" s="46">
        <f>IF(ORCAMENTOS!B110="","",ORCAMENTOS!B110)</f>
        <v>100</v>
      </c>
      <c r="C102" s="46" t="str">
        <f>IF(ORCAMENTOS!C110="","",ORCAMENTOS!C110)</f>
        <v/>
      </c>
      <c r="D102" s="37" t="str">
        <f>IF(ORCAMENTOS!D110="","",ORCAMENTOS!D110)</f>
        <v>ADL DUTOS</v>
      </c>
      <c r="E102" s="38" t="str">
        <f>IF(ORCAMENTOS!E110="","",ORCAMENTOS!E110)</f>
        <v>-</v>
      </c>
      <c r="F102" s="37" t="str">
        <f>IF(ORCAMENTOS!G110="","",ORCAMENTOS!G110)</f>
        <v>Gabriel</v>
      </c>
      <c r="G102" s="37" t="str">
        <f>IF(ORCAMENTOS!H110="","",ORCAMENTOS!H110)</f>
        <v>Andre</v>
      </c>
      <c r="H102" s="39">
        <f>IF(ORCAMENTOS!I110="","",ORCAMENTOS!I110)</f>
        <v>5655.17</v>
      </c>
      <c r="I102" s="60" t="str">
        <f>IF(ORCAMENTOS!J110="","",ORCAMENTOS!J110)</f>
        <v/>
      </c>
      <c r="J102" s="40" t="str">
        <f>IF(ORCAMENTOS!L110="","",ORCAMENTOS!L110)</f>
        <v>CANCELADO</v>
      </c>
      <c r="K102" s="34" t="str">
        <f>IF(ORCAMENTOS!M110="","",ORCAMENTOS!M110)</f>
        <v>-</v>
      </c>
      <c r="L102" t="str">
        <f>IF(ORCAMENTOS!R110="","",ORCAMENTOS!R110)</f>
        <v>-</v>
      </c>
    </row>
    <row r="103" spans="1:12" ht="15.75" hidden="1" customHeight="1" x14ac:dyDescent="0.25">
      <c r="A103" s="36">
        <f>IF(ORCAMENTOS!A111="","",ORCAMENTOS!A111)</f>
        <v>45674</v>
      </c>
      <c r="B103" s="46">
        <f>IF(ORCAMENTOS!B111="","",ORCAMENTOS!B111)</f>
        <v>101</v>
      </c>
      <c r="C103" s="46" t="str">
        <f>IF(ORCAMENTOS!C111="","",ORCAMENTOS!C111)</f>
        <v/>
      </c>
      <c r="D103" s="37" t="str">
        <f>IF(ORCAMENTOS!D111="","",ORCAMENTOS!D111)</f>
        <v>AR SET</v>
      </c>
      <c r="E103" s="38" t="str">
        <f>IF(ORCAMENTOS!E111="","",ORCAMENTOS!E111)</f>
        <v>-</v>
      </c>
      <c r="F103" s="37" t="str">
        <f>IF(ORCAMENTOS!G111="","",ORCAMENTOS!G111)</f>
        <v>Fernando</v>
      </c>
      <c r="G103" s="37" t="str">
        <f>IF(ORCAMENTOS!H111="","",ORCAMENTOS!H111)</f>
        <v>Lais</v>
      </c>
      <c r="H103" s="39">
        <f>IF(ORCAMENTOS!I111="","",ORCAMENTOS!I111)</f>
        <v>1385.5</v>
      </c>
      <c r="I103" s="60" t="str">
        <f>IF(ORCAMENTOS!J111="","",ORCAMENTOS!J111)</f>
        <v/>
      </c>
      <c r="J103" s="40" t="str">
        <f>IF(ORCAMENTOS!L111="","",ORCAMENTOS!L111)</f>
        <v>FECHADO</v>
      </c>
      <c r="K103" s="34" t="str">
        <f>IF(ORCAMENTOS!M111="","",ORCAMENTOS!M111)</f>
        <v>-</v>
      </c>
      <c r="L103" t="str">
        <f>IF(ORCAMENTOS!R111="","",ORCAMENTOS!R111)</f>
        <v>-</v>
      </c>
    </row>
    <row r="104" spans="1:12" ht="15.75" hidden="1" customHeight="1" x14ac:dyDescent="0.25">
      <c r="A104" s="36">
        <f>IF(ORCAMENTOS!A112="","",ORCAMENTOS!A112)</f>
        <v>45674</v>
      </c>
      <c r="B104" s="46">
        <f>IF(ORCAMENTOS!B112="","",ORCAMENTOS!B112)</f>
        <v>102</v>
      </c>
      <c r="C104" s="46" t="str">
        <f>IF(ORCAMENTOS!C112="","",ORCAMENTOS!C112)</f>
        <v/>
      </c>
      <c r="D104" s="37" t="str">
        <f>IF(ORCAMENTOS!D112="","",ORCAMENTOS!D112)</f>
        <v>R1 SOLUCOES</v>
      </c>
      <c r="E104" s="38" t="str">
        <f>IF(ORCAMENTOS!E112="","",ORCAMENTOS!E112)</f>
        <v>-</v>
      </c>
      <c r="F104" s="37" t="str">
        <f>IF(ORCAMENTOS!G112="","",ORCAMENTOS!G112)</f>
        <v>Gabriel</v>
      </c>
      <c r="G104" s="37" t="str">
        <f>IF(ORCAMENTOS!H112="","",ORCAMENTOS!H112)</f>
        <v>Janaina</v>
      </c>
      <c r="H104" s="39">
        <f>IF(ORCAMENTOS!I112="","",ORCAMENTOS!I112)</f>
        <v>5200.1400000000003</v>
      </c>
      <c r="I104" s="60" t="str">
        <f>IF(ORCAMENTOS!J112="","",ORCAMENTOS!J112)</f>
        <v/>
      </c>
      <c r="J104" s="40" t="str">
        <f>IF(ORCAMENTOS!L112="","",ORCAMENTOS!L112)</f>
        <v>FECHADO</v>
      </c>
      <c r="K104" s="34" t="str">
        <f>IF(ORCAMENTOS!M112="","",ORCAMENTOS!M112)</f>
        <v>PREVISÃO FEV/25</v>
      </c>
      <c r="L104" t="str">
        <f>IF(ORCAMENTOS!R112="","",ORCAMENTOS!R112)</f>
        <v>-</v>
      </c>
    </row>
    <row r="105" spans="1:12" ht="15.75" hidden="1" customHeight="1" x14ac:dyDescent="0.25">
      <c r="A105" s="36">
        <f>IF(ORCAMENTOS!A113="","",ORCAMENTOS!A113)</f>
        <v>45677</v>
      </c>
      <c r="B105" s="46">
        <f>IF(ORCAMENTOS!B113="","",ORCAMENTOS!B113)</f>
        <v>103</v>
      </c>
      <c r="C105" s="46" t="str">
        <f>IF(ORCAMENTOS!C113="","",ORCAMENTOS!C113)</f>
        <v/>
      </c>
      <c r="D105" s="37" t="str">
        <f>IF(ORCAMENTOS!D113="","",ORCAMENTOS!D113)</f>
        <v>REFRISAT</v>
      </c>
      <c r="E105" s="38" t="str">
        <f>IF(ORCAMENTOS!E113="","",ORCAMENTOS!E113)</f>
        <v>-</v>
      </c>
      <c r="F105" s="37" t="str">
        <f>IF(ORCAMENTOS!G113="","",ORCAMENTOS!G113)</f>
        <v>Gabriel</v>
      </c>
      <c r="G105" s="37" t="str">
        <f>IF(ORCAMENTOS!H113="","",ORCAMENTOS!H113)</f>
        <v>Amaro</v>
      </c>
      <c r="H105" s="39">
        <f>IF(ORCAMENTOS!I113="","",ORCAMENTOS!I113)</f>
        <v>15641.49</v>
      </c>
      <c r="I105" s="60" t="str">
        <f>IF(ORCAMENTOS!J113="","",ORCAMENTOS!J113)</f>
        <v/>
      </c>
      <c r="J105" s="40" t="str">
        <f>IF(ORCAMENTOS!L113="","",ORCAMENTOS!L113)</f>
        <v>FECHADO</v>
      </c>
      <c r="K105" s="34" t="str">
        <f>IF(ORCAMENTOS!M113="","",ORCAMENTOS!M113)</f>
        <v>-</v>
      </c>
      <c r="L105" t="str">
        <f>IF(ORCAMENTOS!R113="","",ORCAMENTOS!R113)</f>
        <v>-</v>
      </c>
    </row>
    <row r="106" spans="1:12" ht="15.75" hidden="1" customHeight="1" x14ac:dyDescent="0.25">
      <c r="A106" s="36">
        <f>IF(ORCAMENTOS!A114="","",ORCAMENTOS!A114)</f>
        <v>45677</v>
      </c>
      <c r="B106" s="46">
        <f>IF(ORCAMENTOS!B114="","",ORCAMENTOS!B114)</f>
        <v>104</v>
      </c>
      <c r="C106" s="46" t="str">
        <f>IF(ORCAMENTOS!C114="","",ORCAMENTOS!C114)</f>
        <v/>
      </c>
      <c r="D106" s="37" t="str">
        <f>IF(ORCAMENTOS!D114="","",ORCAMENTOS!D114)</f>
        <v>AWA AR CONDICIONADO</v>
      </c>
      <c r="E106" s="38" t="str">
        <f>IF(ORCAMENTOS!E114="","",ORCAMENTOS!E114)</f>
        <v>HIPER TEREZINA JOÃO XXIII - GRUPO MATEUS</v>
      </c>
      <c r="F106" s="37" t="str">
        <f>IF(ORCAMENTOS!G114="","",ORCAMENTOS!G114)</f>
        <v>Guilherme</v>
      </c>
      <c r="G106" s="37" t="str">
        <f>IF(ORCAMENTOS!H114="","",ORCAMENTOS!H114)</f>
        <v>Marcela</v>
      </c>
      <c r="H106" s="39">
        <f>IF(ORCAMENTOS!I114="","",ORCAMENTOS!I114)</f>
        <v>217103.15</v>
      </c>
      <c r="I106" s="60" t="str">
        <f>IF(ORCAMENTOS!J114="","",ORCAMENTOS!J114)</f>
        <v/>
      </c>
      <c r="J106" s="40" t="str">
        <f>IF(ORCAMENTOS!L114="","",ORCAMENTOS!L114)</f>
        <v>FECHADO</v>
      </c>
      <c r="K106" s="34" t="str">
        <f>IF(ORCAMENTOS!M114="","",ORCAMENTOS!M114)</f>
        <v>-</v>
      </c>
      <c r="L106" t="str">
        <f>IF(ORCAMENTOS!R114="","",ORCAMENTOS!R114)</f>
        <v>-</v>
      </c>
    </row>
    <row r="107" spans="1:12" ht="15.75" hidden="1" customHeight="1" x14ac:dyDescent="0.25">
      <c r="A107" s="36">
        <f>IF(ORCAMENTOS!A115="","",ORCAMENTOS!A115)</f>
        <v>45677</v>
      </c>
      <c r="B107" s="46">
        <f>IF(ORCAMENTOS!B115="","",ORCAMENTOS!B115)</f>
        <v>105</v>
      </c>
      <c r="C107" s="46" t="str">
        <f>IF(ORCAMENTOS!C115="","",ORCAMENTOS!C115)</f>
        <v/>
      </c>
      <c r="D107" s="37" t="str">
        <f>IF(ORCAMENTOS!D115="","",ORCAMENTOS!D115)</f>
        <v>AIR GREEN</v>
      </c>
      <c r="E107" s="38" t="str">
        <f>IF(ORCAMENTOS!E115="","",ORCAMENTOS!E115)</f>
        <v>-</v>
      </c>
      <c r="F107" s="37" t="str">
        <f>IF(ORCAMENTOS!G115="","",ORCAMENTOS!G115)</f>
        <v>Fernando</v>
      </c>
      <c r="G107" s="37" t="str">
        <f>IF(ORCAMENTOS!H115="","",ORCAMENTOS!H115)</f>
        <v>Renata</v>
      </c>
      <c r="H107" s="39">
        <f>IF(ORCAMENTOS!I115="","",ORCAMENTOS!I115)</f>
        <v>1209.93</v>
      </c>
      <c r="I107" s="60" t="str">
        <f>IF(ORCAMENTOS!J115="","",ORCAMENTOS!J115)</f>
        <v/>
      </c>
      <c r="J107" s="40" t="str">
        <f>IF(ORCAMENTOS!L115="","",ORCAMENTOS!L115)</f>
        <v>FECHADO</v>
      </c>
      <c r="K107" s="34" t="str">
        <f>IF(ORCAMENTOS!M115="","",ORCAMENTOS!M115)</f>
        <v>-</v>
      </c>
      <c r="L107" t="str">
        <f>IF(ORCAMENTOS!R115="","",ORCAMENTOS!R115)</f>
        <v>-</v>
      </c>
    </row>
    <row r="108" spans="1:12" ht="15.75" hidden="1" customHeight="1" x14ac:dyDescent="0.25">
      <c r="A108" s="36">
        <f>IF(ORCAMENTOS!A116="","",ORCAMENTOS!A116)</f>
        <v>45677</v>
      </c>
      <c r="B108" s="46">
        <f>IF(ORCAMENTOS!B116="","",ORCAMENTOS!B116)</f>
        <v>106</v>
      </c>
      <c r="C108" s="46" t="str">
        <f>IF(ORCAMENTOS!C116="","",ORCAMENTOS!C116)</f>
        <v/>
      </c>
      <c r="D108" s="37" t="str">
        <f>IF(ORCAMENTOS!D116="","",ORCAMENTOS!D116)</f>
        <v>SCS ENGENHARIA</v>
      </c>
      <c r="E108" s="38" t="str">
        <f>IF(ORCAMENTOS!E116="","",ORCAMENTOS!E116)</f>
        <v>-</v>
      </c>
      <c r="F108" s="37" t="str">
        <f>IF(ORCAMENTOS!G116="","",ORCAMENTOS!G116)</f>
        <v>Gabriel</v>
      </c>
      <c r="G108" s="37" t="str">
        <f>IF(ORCAMENTOS!H116="","",ORCAMENTOS!H116)</f>
        <v>Christopher</v>
      </c>
      <c r="H108" s="39">
        <f>IF(ORCAMENTOS!I116="","",ORCAMENTOS!I116)</f>
        <v>633.6</v>
      </c>
      <c r="I108" s="60" t="str">
        <f>IF(ORCAMENTOS!J116="","",ORCAMENTOS!J116)</f>
        <v/>
      </c>
      <c r="J108" s="40" t="str">
        <f>IF(ORCAMENTOS!L116="","",ORCAMENTOS!L116)</f>
        <v>FECHADO</v>
      </c>
      <c r="K108" s="34" t="str">
        <f>IF(ORCAMENTOS!M116="","",ORCAMENTOS!M116)</f>
        <v>-</v>
      </c>
      <c r="L108" t="str">
        <f>IF(ORCAMENTOS!R116="","",ORCAMENTOS!R116)</f>
        <v>-</v>
      </c>
    </row>
    <row r="109" spans="1:12" ht="15.75" hidden="1" customHeight="1" x14ac:dyDescent="0.25">
      <c r="A109" s="36">
        <f>IF(ORCAMENTOS!A117="","",ORCAMENTOS!A117)</f>
        <v>45677</v>
      </c>
      <c r="B109" s="46">
        <f>IF(ORCAMENTOS!B117="","",ORCAMENTOS!B117)</f>
        <v>107</v>
      </c>
      <c r="C109" s="46" t="str">
        <f>IF(ORCAMENTOS!C117="","",ORCAMENTOS!C117)</f>
        <v/>
      </c>
      <c r="D109" s="37" t="str">
        <f>IF(ORCAMENTOS!D117="","",ORCAMENTOS!D117)</f>
        <v>INOVACAO AR</v>
      </c>
      <c r="E109" s="38" t="str">
        <f>IF(ORCAMENTOS!E117="","",ORCAMENTOS!E117)</f>
        <v>-</v>
      </c>
      <c r="F109" s="37" t="str">
        <f>IF(ORCAMENTOS!G117="","",ORCAMENTOS!G117)</f>
        <v>Gabriel</v>
      </c>
      <c r="G109" s="37" t="str">
        <f>IF(ORCAMENTOS!H117="","",ORCAMENTOS!H117)</f>
        <v>Maycon</v>
      </c>
      <c r="H109" s="39">
        <f>IF(ORCAMENTOS!I117="","",ORCAMENTOS!I117)</f>
        <v>59934.3</v>
      </c>
      <c r="I109" s="60" t="str">
        <f>IF(ORCAMENTOS!J117="","",ORCAMENTOS!J117)</f>
        <v/>
      </c>
      <c r="J109" s="40" t="str">
        <f>IF(ORCAMENTOS!L117="","",ORCAMENTOS!L117)</f>
        <v>FECHADO</v>
      </c>
      <c r="K109" s="34" t="str">
        <f>IF(ORCAMENTOS!M117="","",ORCAMENTOS!M117)</f>
        <v>-</v>
      </c>
      <c r="L109" t="str">
        <f>IF(ORCAMENTOS!R117="","",ORCAMENTOS!R117)</f>
        <v>-</v>
      </c>
    </row>
    <row r="110" spans="1:12" ht="15.75" hidden="1" customHeight="1" x14ac:dyDescent="0.25">
      <c r="A110" s="36">
        <f>IF(ORCAMENTOS!A118="","",ORCAMENTOS!A118)</f>
        <v>45677</v>
      </c>
      <c r="B110" s="46">
        <f>IF(ORCAMENTOS!B118="","",ORCAMENTOS!B118)</f>
        <v>108</v>
      </c>
      <c r="C110" s="46" t="str">
        <f>IF(ORCAMENTOS!C118="","",ORCAMENTOS!C118)</f>
        <v/>
      </c>
      <c r="D110" s="37" t="str">
        <f>IF(ORCAMENTOS!D118="","",ORCAMENTOS!D118)</f>
        <v>VENETO</v>
      </c>
      <c r="E110" s="38" t="str">
        <f>IF(ORCAMENTOS!E118="","",ORCAMENTOS!E118)</f>
        <v>-</v>
      </c>
      <c r="F110" s="37" t="str">
        <f>IF(ORCAMENTOS!G118="","",ORCAMENTOS!G118)</f>
        <v>Gabriel</v>
      </c>
      <c r="G110" s="37" t="str">
        <f>IF(ORCAMENTOS!H118="","",ORCAMENTOS!H118)</f>
        <v>Daniel</v>
      </c>
      <c r="H110" s="39">
        <f>IF(ORCAMENTOS!I118="","",ORCAMENTOS!I118)</f>
        <v>7605.4</v>
      </c>
      <c r="I110" s="60" t="str">
        <f>IF(ORCAMENTOS!J118="","",ORCAMENTOS!J118)</f>
        <v/>
      </c>
      <c r="J110" s="40" t="str">
        <f>IF(ORCAMENTOS!L118="","",ORCAMENTOS!L118)</f>
        <v>CANCELADO</v>
      </c>
      <c r="K110" s="34" t="str">
        <f>IF(ORCAMENTOS!M118="","",ORCAMENTOS!M118)</f>
        <v>-</v>
      </c>
      <c r="L110" t="str">
        <f>IF(ORCAMENTOS!R118="","",ORCAMENTOS!R118)</f>
        <v>-</v>
      </c>
    </row>
    <row r="111" spans="1:12" ht="15.75" hidden="1" customHeight="1" x14ac:dyDescent="0.25">
      <c r="A111" s="36">
        <f>IF(ORCAMENTOS!A119="","",ORCAMENTOS!A119)</f>
        <v>45677</v>
      </c>
      <c r="B111" s="46">
        <f>IF(ORCAMENTOS!B119="","",ORCAMENTOS!B119)</f>
        <v>109</v>
      </c>
      <c r="C111" s="46" t="str">
        <f>IF(ORCAMENTOS!C119="","",ORCAMENTOS!C119)</f>
        <v/>
      </c>
      <c r="D111" s="37" t="str">
        <f>IF(ORCAMENTOS!D119="","",ORCAMENTOS!D119)</f>
        <v>AIR NET</v>
      </c>
      <c r="E111" s="38" t="str">
        <f>IF(ORCAMENTOS!E119="","",ORCAMENTOS!E119)</f>
        <v>COFCO SANTOS</v>
      </c>
      <c r="F111" s="37" t="str">
        <f>IF(ORCAMENTOS!G119="","",ORCAMENTOS!G119)</f>
        <v>Fernando</v>
      </c>
      <c r="G111" s="37" t="str">
        <f>IF(ORCAMENTOS!H119="","",ORCAMENTOS!H119)</f>
        <v>Ricardo</v>
      </c>
      <c r="H111" s="39">
        <f>IF(ORCAMENTOS!I119="","",ORCAMENTOS!I119)</f>
        <v>2934.35</v>
      </c>
      <c r="I111" s="60" t="str">
        <f>IF(ORCAMENTOS!J119="","",ORCAMENTOS!J119)</f>
        <v/>
      </c>
      <c r="J111" s="40" t="str">
        <f>IF(ORCAMENTOS!L119="","",ORCAMENTOS!L119)</f>
        <v>PERDIDO</v>
      </c>
      <c r="K111" s="34" t="str">
        <f>IF(ORCAMENTOS!M119="","",ORCAMENTOS!M119)</f>
        <v>-</v>
      </c>
      <c r="L111" t="str">
        <f>IF(ORCAMENTOS!R119="","",ORCAMENTOS!R119)</f>
        <v>-</v>
      </c>
    </row>
    <row r="112" spans="1:12" ht="15.75" hidden="1" customHeight="1" x14ac:dyDescent="0.25">
      <c r="A112" s="36">
        <f>IF(ORCAMENTOS!A120="","",ORCAMENTOS!A120)</f>
        <v>45677</v>
      </c>
      <c r="B112" s="46">
        <f>IF(ORCAMENTOS!B120="","",ORCAMENTOS!B120)</f>
        <v>110</v>
      </c>
      <c r="C112" s="46" t="str">
        <f>IF(ORCAMENTOS!C120="","",ORCAMENTOS!C120)</f>
        <v/>
      </c>
      <c r="D112" s="37" t="str">
        <f>IF(ORCAMENTOS!D120="","",ORCAMENTOS!D120)</f>
        <v>AWA AR CONDICIONADO</v>
      </c>
      <c r="E112" s="38" t="str">
        <f>IF(ORCAMENTOS!E120="","",ORCAMENTOS!E120)</f>
        <v>RESIDENCIA - 3º PAVIMENTO - SÃO GOTARGO - MG</v>
      </c>
      <c r="F112" s="37" t="str">
        <f>IF(ORCAMENTOS!G120="","",ORCAMENTOS!G120)</f>
        <v>Guilherme</v>
      </c>
      <c r="G112" s="37" t="str">
        <f>IF(ORCAMENTOS!H120="","",ORCAMENTOS!H120)</f>
        <v>Maria Julia</v>
      </c>
      <c r="H112" s="39">
        <f>IF(ORCAMENTOS!I120="","",ORCAMENTOS!I120)</f>
        <v>12909.06</v>
      </c>
      <c r="I112" s="60" t="str">
        <f>IF(ORCAMENTOS!J120="","",ORCAMENTOS!J120)</f>
        <v/>
      </c>
      <c r="J112" s="40" t="str">
        <f>IF(ORCAMENTOS!L120="","",ORCAMENTOS!L120)</f>
        <v>CANCELADO</v>
      </c>
      <c r="K112" s="34" t="str">
        <f>IF(ORCAMENTOS!M120="","",ORCAMENTOS!M120)</f>
        <v>CLIENTE PERDEU A OBRA</v>
      </c>
      <c r="L112" t="str">
        <f>IF(ORCAMENTOS!R120="","",ORCAMENTOS!R120)</f>
        <v>N/E</v>
      </c>
    </row>
    <row r="113" spans="1:12" ht="15.75" hidden="1" customHeight="1" x14ac:dyDescent="0.25">
      <c r="A113" s="36">
        <f>IF(ORCAMENTOS!A121="","",ORCAMENTOS!A121)</f>
        <v>45677</v>
      </c>
      <c r="B113" s="46">
        <f>IF(ORCAMENTOS!B121="","",ORCAMENTOS!B121)</f>
        <v>111</v>
      </c>
      <c r="C113" s="46" t="str">
        <f>IF(ORCAMENTOS!C121="","",ORCAMENTOS!C121)</f>
        <v/>
      </c>
      <c r="D113" s="37" t="str">
        <f>IF(ORCAMENTOS!D121="","",ORCAMENTOS!D121)</f>
        <v>ALVE AR</v>
      </c>
      <c r="E113" s="38" t="str">
        <f>IF(ORCAMENTOS!E121="","",ORCAMENTOS!E121)</f>
        <v>CLINICA DR DIORIVANO</v>
      </c>
      <c r="F113" s="37" t="str">
        <f>IF(ORCAMENTOS!G121="","",ORCAMENTOS!G121)</f>
        <v>Michel</v>
      </c>
      <c r="G113" s="37" t="str">
        <f>IF(ORCAMENTOS!H121="","",ORCAMENTOS!H121)</f>
        <v>Jose</v>
      </c>
      <c r="H113" s="39">
        <f>IF(ORCAMENTOS!I121="","",ORCAMENTOS!I121)</f>
        <v>21460.3</v>
      </c>
      <c r="I113" s="60" t="str">
        <f>IF(ORCAMENTOS!J121="","",ORCAMENTOS!J121)</f>
        <v/>
      </c>
      <c r="J113" s="40" t="str">
        <f>IF(ORCAMENTOS!L121="","",ORCAMENTOS!L121)</f>
        <v>CANCELADO</v>
      </c>
      <c r="K113" s="34" t="str">
        <f>IF(ORCAMENTOS!M121="","",ORCAMENTOS!M121)</f>
        <v>-</v>
      </c>
      <c r="L113" t="str">
        <f>IF(ORCAMENTOS!R121="","",ORCAMENTOS!R121)</f>
        <v>-</v>
      </c>
    </row>
    <row r="114" spans="1:12" ht="15.75" hidden="1" customHeight="1" x14ac:dyDescent="0.25">
      <c r="A114" s="36">
        <f>IF(ORCAMENTOS!A122="","",ORCAMENTOS!A122)</f>
        <v>45677</v>
      </c>
      <c r="B114" s="46">
        <f>IF(ORCAMENTOS!B122="","",ORCAMENTOS!B122)</f>
        <v>112</v>
      </c>
      <c r="C114" s="46" t="str">
        <f>IF(ORCAMENTOS!C122="","",ORCAMENTOS!C122)</f>
        <v/>
      </c>
      <c r="D114" s="37" t="str">
        <f>IF(ORCAMENTOS!D122="","",ORCAMENTOS!D122)</f>
        <v>AMS INSTALACOES</v>
      </c>
      <c r="E114" s="38" t="str">
        <f>IF(ORCAMENTOS!E122="","",ORCAMENTOS!E122)</f>
        <v>ATACADAO - PAU DA LIMA - SALVADOR - BA</v>
      </c>
      <c r="F114" s="37" t="str">
        <f>IF(ORCAMENTOS!G122="","",ORCAMENTOS!G122)</f>
        <v>Gabriel</v>
      </c>
      <c r="G114" s="37" t="str">
        <f>IF(ORCAMENTOS!H122="","",ORCAMENTOS!H122)</f>
        <v>Albertino</v>
      </c>
      <c r="H114" s="39">
        <f>IF(ORCAMENTOS!I122="","",ORCAMENTOS!I122)</f>
        <v>153968.97</v>
      </c>
      <c r="I114" s="60" t="str">
        <f>IF(ORCAMENTOS!J122="","",ORCAMENTOS!J122)</f>
        <v/>
      </c>
      <c r="J114" s="40" t="str">
        <f>IF(ORCAMENTOS!L122="","",ORCAMENTOS!L122)</f>
        <v>CANCELADO</v>
      </c>
      <c r="K114" s="34" t="str">
        <f>IF(ORCAMENTOS!M122="","",ORCAMENTOS!M122)</f>
        <v>-</v>
      </c>
      <c r="L114" t="str">
        <f>IF(ORCAMENTOS!R122="","",ORCAMENTOS!R122)</f>
        <v>N/E</v>
      </c>
    </row>
    <row r="115" spans="1:12" ht="15.75" hidden="1" customHeight="1" x14ac:dyDescent="0.25">
      <c r="A115" s="36">
        <f>IF(ORCAMENTOS!A123="","",ORCAMENTOS!A123)</f>
        <v>45677</v>
      </c>
      <c r="B115" s="46">
        <f>IF(ORCAMENTOS!B123="","",ORCAMENTOS!B123)</f>
        <v>113</v>
      </c>
      <c r="C115" s="46" t="str">
        <f>IF(ORCAMENTOS!C123="","",ORCAMENTOS!C123)</f>
        <v/>
      </c>
      <c r="D115" s="37" t="str">
        <f>IF(ORCAMENTOS!D123="","",ORCAMENTOS!D123)</f>
        <v>AWA AR CONDICIONADO</v>
      </c>
      <c r="E115" s="38" t="str">
        <f>IF(ORCAMENTOS!E123="","",ORCAMENTOS!E123)</f>
        <v>ATACADAO - PAU DA LIMA - SALVADOR - BA</v>
      </c>
      <c r="F115" s="37" t="str">
        <f>IF(ORCAMENTOS!G123="","",ORCAMENTOS!G123)</f>
        <v>Guilherme</v>
      </c>
      <c r="G115" s="37" t="str">
        <f>IF(ORCAMENTOS!H123="","",ORCAMENTOS!H123)</f>
        <v>Alexandre</v>
      </c>
      <c r="H115" s="39">
        <f>IF(ORCAMENTOS!I123="","",ORCAMENTOS!I123)</f>
        <v>153698.97</v>
      </c>
      <c r="I115" s="60" t="str">
        <f>IF(ORCAMENTOS!J123="","",ORCAMENTOS!J123)</f>
        <v/>
      </c>
      <c r="J115" s="40" t="str">
        <f>IF(ORCAMENTOS!L123="","",ORCAMENTOS!L123)</f>
        <v>CANCELADO</v>
      </c>
      <c r="K115" s="34" t="str">
        <f>IF(ORCAMENTOS!M123="","",ORCAMENTOS!M123)</f>
        <v>-</v>
      </c>
      <c r="L115" t="str">
        <f>IF(ORCAMENTOS!R123="","",ORCAMENTOS!R123)</f>
        <v>N/E</v>
      </c>
    </row>
    <row r="116" spans="1:12" ht="15.75" hidden="1" customHeight="1" x14ac:dyDescent="0.25">
      <c r="A116" s="36">
        <f>IF(ORCAMENTOS!A124="","",ORCAMENTOS!A124)</f>
        <v>45677</v>
      </c>
      <c r="B116" s="46">
        <f>IF(ORCAMENTOS!B124="","",ORCAMENTOS!B124)</f>
        <v>114</v>
      </c>
      <c r="C116" s="46" t="str">
        <f>IF(ORCAMENTOS!C124="","",ORCAMENTOS!C124)</f>
        <v/>
      </c>
      <c r="D116" s="37" t="str">
        <f>IF(ORCAMENTOS!D124="","",ORCAMENTOS!D124)</f>
        <v>QUALI AR CONDICIONADO</v>
      </c>
      <c r="E116" s="38" t="str">
        <f>IF(ORCAMENTOS!E124="","",ORCAMENTOS!E124)</f>
        <v>STUDIO MARILIA - MARILIA - SP</v>
      </c>
      <c r="F116" s="37" t="str">
        <f>IF(ORCAMENTOS!G124="","",ORCAMENTOS!G124)</f>
        <v>Gabriel</v>
      </c>
      <c r="G116" s="37" t="str">
        <f>IF(ORCAMENTOS!H124="","",ORCAMENTOS!H124)</f>
        <v>Andre</v>
      </c>
      <c r="H116" s="39">
        <f>IF(ORCAMENTOS!I124="","",ORCAMENTOS!I124)</f>
        <v>24186.5</v>
      </c>
      <c r="I116" s="60" t="str">
        <f>IF(ORCAMENTOS!J124="","",ORCAMENTOS!J124)</f>
        <v/>
      </c>
      <c r="J116" s="40" t="str">
        <f>IF(ORCAMENTOS!L124="","",ORCAMENTOS!L124)</f>
        <v>FECHADO</v>
      </c>
      <c r="K116" s="34" t="str">
        <f>IF(ORCAMENTOS!M124="","",ORCAMENTOS!M124)</f>
        <v>-</v>
      </c>
      <c r="L116" t="str">
        <f>IF(ORCAMENTOS!R124="","",ORCAMENTOS!R124)</f>
        <v>-</v>
      </c>
    </row>
    <row r="117" spans="1:12" ht="15.75" hidden="1" customHeight="1" x14ac:dyDescent="0.25">
      <c r="A117" s="36">
        <f>IF(ORCAMENTOS!A125="","",ORCAMENTOS!A125)</f>
        <v>45677</v>
      </c>
      <c r="B117" s="46">
        <f>IF(ORCAMENTOS!B125="","",ORCAMENTOS!B125)</f>
        <v>115</v>
      </c>
      <c r="C117" s="46" t="str">
        <f>IF(ORCAMENTOS!C125="","",ORCAMENTOS!C125)</f>
        <v/>
      </c>
      <c r="D117" s="37" t="str">
        <f>IF(ORCAMENTOS!D125="","",ORCAMENTOS!D125)</f>
        <v>RECLIMA</v>
      </c>
      <c r="E117" s="38" t="str">
        <f>IF(ORCAMENTOS!E125="","",ORCAMENTOS!E125)</f>
        <v>-</v>
      </c>
      <c r="F117" s="37" t="str">
        <f>IF(ORCAMENTOS!G125="","",ORCAMENTOS!G125)</f>
        <v>Michel</v>
      </c>
      <c r="G117" s="37" t="str">
        <f>IF(ORCAMENTOS!H125="","",ORCAMENTOS!H125)</f>
        <v>Renata</v>
      </c>
      <c r="H117" s="39">
        <f>IF(ORCAMENTOS!I125="","",ORCAMENTOS!I125)</f>
        <v>9296.5300000000007</v>
      </c>
      <c r="I117" s="60" t="str">
        <f>IF(ORCAMENTOS!J125="","",ORCAMENTOS!J125)</f>
        <v/>
      </c>
      <c r="J117" s="40" t="str">
        <f>IF(ORCAMENTOS!L125="","",ORCAMENTOS!L125)</f>
        <v>FECHADO</v>
      </c>
      <c r="K117" s="34" t="str">
        <f>IF(ORCAMENTOS!M125="","",ORCAMENTOS!M125)</f>
        <v>-</v>
      </c>
      <c r="L117" t="str">
        <f>IF(ORCAMENTOS!R125="","",ORCAMENTOS!R125)</f>
        <v>-</v>
      </c>
    </row>
    <row r="118" spans="1:12" ht="15.75" hidden="1" customHeight="1" x14ac:dyDescent="0.25">
      <c r="A118" s="36">
        <f>IF(ORCAMENTOS!A126="","",ORCAMENTOS!A126)</f>
        <v>45677</v>
      </c>
      <c r="B118" s="46">
        <f>IF(ORCAMENTOS!B126="","",ORCAMENTOS!B126)</f>
        <v>116</v>
      </c>
      <c r="C118" s="46" t="str">
        <f>IF(ORCAMENTOS!C126="","",ORCAMENTOS!C126)</f>
        <v/>
      </c>
      <c r="D118" s="37" t="str">
        <f>IF(ORCAMENTOS!D126="","",ORCAMENTOS!D126)</f>
        <v>SOLAR AR</v>
      </c>
      <c r="E118" s="38" t="str">
        <f>IF(ORCAMENTOS!E126="","",ORCAMENTOS!E126)</f>
        <v>-</v>
      </c>
      <c r="F118" s="37" t="str">
        <f>IF(ORCAMENTOS!G126="","",ORCAMENTOS!G126)</f>
        <v>Michel</v>
      </c>
      <c r="G118" s="37" t="str">
        <f>IF(ORCAMENTOS!H126="","",ORCAMENTOS!H126)</f>
        <v>Claudenir</v>
      </c>
      <c r="H118" s="39">
        <f>IF(ORCAMENTOS!I126="","",ORCAMENTOS!I126)</f>
        <v>209.8</v>
      </c>
      <c r="I118" s="60" t="str">
        <f>IF(ORCAMENTOS!J126="","",ORCAMENTOS!J126)</f>
        <v/>
      </c>
      <c r="J118" s="40" t="str">
        <f>IF(ORCAMENTOS!L126="","",ORCAMENTOS!L126)</f>
        <v>FECHADO</v>
      </c>
      <c r="K118" s="34" t="str">
        <f>IF(ORCAMENTOS!M126="","",ORCAMENTOS!M126)</f>
        <v>-</v>
      </c>
      <c r="L118" t="str">
        <f>IF(ORCAMENTOS!R126="","",ORCAMENTOS!R126)</f>
        <v>-</v>
      </c>
    </row>
    <row r="119" spans="1:12" ht="15.75" hidden="1" customHeight="1" x14ac:dyDescent="0.25">
      <c r="A119" s="36">
        <f>IF(ORCAMENTOS!A127="","",ORCAMENTOS!A127)</f>
        <v>45677</v>
      </c>
      <c r="B119" s="46">
        <f>IF(ORCAMENTOS!B127="","",ORCAMENTOS!B127)</f>
        <v>117</v>
      </c>
      <c r="C119" s="46" t="str">
        <f>IF(ORCAMENTOS!C127="","",ORCAMENTOS!C127)</f>
        <v/>
      </c>
      <c r="D119" s="37" t="str">
        <f>IF(ORCAMENTOS!D127="","",ORCAMENTOS!D127)</f>
        <v>AIRPLAN</v>
      </c>
      <c r="E119" s="38" t="str">
        <f>IF(ORCAMENTOS!E127="","",ORCAMENTOS!E127)</f>
        <v>GAVIOES - ARACATI - CE</v>
      </c>
      <c r="F119" s="37" t="str">
        <f>IF(ORCAMENTOS!G127="","",ORCAMENTOS!G127)</f>
        <v>Gabriel</v>
      </c>
      <c r="G119" s="37" t="str">
        <f>IF(ORCAMENTOS!H127="","",ORCAMENTOS!H127)</f>
        <v>Henrique</v>
      </c>
      <c r="H119" s="39">
        <f>IF(ORCAMENTOS!I127="","",ORCAMENTOS!I127)</f>
        <v>12302.84</v>
      </c>
      <c r="I119" s="60" t="str">
        <f>IF(ORCAMENTOS!J127="","",ORCAMENTOS!J127)</f>
        <v/>
      </c>
      <c r="J119" s="40" t="str">
        <f>IF(ORCAMENTOS!L127="","",ORCAMENTOS!L127)</f>
        <v>FECHADO</v>
      </c>
      <c r="K119" s="34" t="str">
        <f>IF(ORCAMENTOS!M127="","",ORCAMENTOS!M127)</f>
        <v>-</v>
      </c>
      <c r="L119" t="str">
        <f>IF(ORCAMENTOS!R127="","",ORCAMENTOS!R127)</f>
        <v>MPU</v>
      </c>
    </row>
    <row r="120" spans="1:12" ht="15.75" hidden="1" customHeight="1" x14ac:dyDescent="0.25">
      <c r="A120" s="36">
        <f>IF(ORCAMENTOS!A128="","",ORCAMENTOS!A128)</f>
        <v>45677</v>
      </c>
      <c r="B120" s="46">
        <f>IF(ORCAMENTOS!B128="","",ORCAMENTOS!B128)</f>
        <v>118</v>
      </c>
      <c r="C120" s="46" t="str">
        <f>IF(ORCAMENTOS!C128="","",ORCAMENTOS!C128)</f>
        <v/>
      </c>
      <c r="D120" s="37" t="str">
        <f>IF(ORCAMENTOS!D128="","",ORCAMENTOS!D128)</f>
        <v>RICH ENGENHARIA</v>
      </c>
      <c r="E120" s="38" t="str">
        <f>IF(ORCAMENTOS!E128="","",ORCAMENTOS!E128)</f>
        <v>RESIDENCIA UNIFAMILIAR - CONDOMINIO VILA REAL - ITU - SP</v>
      </c>
      <c r="F120" s="37" t="str">
        <f>IF(ORCAMENTOS!G128="","",ORCAMENTOS!G128)</f>
        <v>Guilherme</v>
      </c>
      <c r="G120" s="37" t="str">
        <f>IF(ORCAMENTOS!H128="","",ORCAMENTOS!H128)</f>
        <v>Ricardo</v>
      </c>
      <c r="H120" s="39">
        <f>IF(ORCAMENTOS!I128="","",ORCAMENTOS!I128)</f>
        <v>11951.67</v>
      </c>
      <c r="I120" s="60" t="str">
        <f>IF(ORCAMENTOS!J128="","",ORCAMENTOS!J128)</f>
        <v/>
      </c>
      <c r="J120" s="40" t="str">
        <f>IF(ORCAMENTOS!L128="","",ORCAMENTOS!L128)</f>
        <v>CANCELADO</v>
      </c>
      <c r="K120" s="34" t="str">
        <f>IF(ORCAMENTOS!M128="","",ORCAMENTOS!M128)</f>
        <v>PREV. MARÇO/25</v>
      </c>
      <c r="L120" t="str">
        <f>IF(ORCAMENTOS!R128="","",ORCAMENTOS!R128)</f>
        <v>CHAPA DE ACO GALVANIZADO</v>
      </c>
    </row>
    <row r="121" spans="1:12" ht="15.75" hidden="1" customHeight="1" x14ac:dyDescent="0.25">
      <c r="A121" s="36">
        <f>IF(ORCAMENTOS!A129="","",ORCAMENTOS!A129)</f>
        <v>45678</v>
      </c>
      <c r="B121" s="46">
        <f>IF(ORCAMENTOS!B129="","",ORCAMENTOS!B129)</f>
        <v>119</v>
      </c>
      <c r="C121" s="46" t="str">
        <f>IF(ORCAMENTOS!C129="","",ORCAMENTOS!C129)</f>
        <v/>
      </c>
      <c r="D121" s="37" t="str">
        <f>IF(ORCAMENTOS!D129="","",ORCAMENTOS!D129)</f>
        <v>INOVECTOR</v>
      </c>
      <c r="E121" s="38" t="str">
        <f>IF(ORCAMENTOS!E129="","",ORCAMENTOS!E129)</f>
        <v>BARTIRA - REQ 2.05</v>
      </c>
      <c r="F121" s="37" t="str">
        <f>IF(ORCAMENTOS!G129="","",ORCAMENTOS!G129)</f>
        <v>Fernando</v>
      </c>
      <c r="G121" s="37" t="str">
        <f>IF(ORCAMENTOS!H129="","",ORCAMENTOS!H129)</f>
        <v>Cristina</v>
      </c>
      <c r="H121" s="39">
        <f>IF(ORCAMENTOS!I129="","",ORCAMENTOS!I129)</f>
        <v>6709.14</v>
      </c>
      <c r="I121" s="60" t="str">
        <f>IF(ORCAMENTOS!J129="","",ORCAMENTOS!J129)</f>
        <v/>
      </c>
      <c r="J121" s="40" t="str">
        <f>IF(ORCAMENTOS!L129="","",ORCAMENTOS!L129)</f>
        <v>FECHADO</v>
      </c>
      <c r="K121" s="34" t="str">
        <f>IF(ORCAMENTOS!M129="","",ORCAMENTOS!M129)</f>
        <v>-</v>
      </c>
      <c r="L121" t="str">
        <f>IF(ORCAMENTOS!R129="","",ORCAMENTOS!R129)</f>
        <v>-</v>
      </c>
    </row>
    <row r="122" spans="1:12" ht="15.75" hidden="1" customHeight="1" x14ac:dyDescent="0.25">
      <c r="A122" s="36">
        <f>IF(ORCAMENTOS!A130="","",ORCAMENTOS!A130)</f>
        <v>45678</v>
      </c>
      <c r="B122" s="46">
        <f>IF(ORCAMENTOS!B130="","",ORCAMENTOS!B130)</f>
        <v>120</v>
      </c>
      <c r="C122" s="46" t="str">
        <f>IF(ORCAMENTOS!C130="","",ORCAMENTOS!C130)</f>
        <v/>
      </c>
      <c r="D122" s="37" t="str">
        <f>IF(ORCAMENTOS!D130="","",ORCAMENTOS!D130)</f>
        <v>GLOBAL AR CONDICIONADO</v>
      </c>
      <c r="E122" s="38" t="str">
        <f>IF(ORCAMENTOS!E130="","",ORCAMENTOS!E130)</f>
        <v>MULTICLINICAS - JOAQUIM FLORIANO - SÃO PAULO - SP</v>
      </c>
      <c r="F122" s="37" t="str">
        <f>IF(ORCAMENTOS!G130="","",ORCAMENTOS!G130)</f>
        <v>Emanuel</v>
      </c>
      <c r="G122" s="37" t="str">
        <f>IF(ORCAMENTOS!H130="","",ORCAMENTOS!H130)</f>
        <v>Claudemir</v>
      </c>
      <c r="H122" s="39">
        <f>IF(ORCAMENTOS!I130="","",ORCAMENTOS!I130)</f>
        <v>18097.28</v>
      </c>
      <c r="I122" s="60" t="str">
        <f>IF(ORCAMENTOS!J130="","",ORCAMENTOS!J130)</f>
        <v/>
      </c>
      <c r="J122" s="40" t="str">
        <f>IF(ORCAMENTOS!L130="","",ORCAMENTOS!L130)</f>
        <v>CANCELADO</v>
      </c>
      <c r="K122" s="34" t="str">
        <f>IF(ORCAMENTOS!M130="","",ORCAMENTOS!M130)</f>
        <v>-</v>
      </c>
      <c r="L122" t="str">
        <f>IF(ORCAMENTOS!R130="","",ORCAMENTOS!R130)</f>
        <v>MPU</v>
      </c>
    </row>
    <row r="123" spans="1:12" ht="15.75" hidden="1" customHeight="1" x14ac:dyDescent="0.25">
      <c r="A123" s="36">
        <f>IF(ORCAMENTOS!A131="","",ORCAMENTOS!A131)</f>
        <v>45678</v>
      </c>
      <c r="B123" s="46">
        <f>IF(ORCAMENTOS!B131="","",ORCAMENTOS!B131)</f>
        <v>121</v>
      </c>
      <c r="C123" s="46" t="str">
        <f>IF(ORCAMENTOS!C131="","",ORCAMENTOS!C131)</f>
        <v/>
      </c>
      <c r="D123" s="37" t="str">
        <f>IF(ORCAMENTOS!D131="","",ORCAMENTOS!D131)</f>
        <v>PU DUTOS</v>
      </c>
      <c r="E123" s="38" t="str">
        <f>IF(ORCAMENTOS!E131="","",ORCAMENTOS!E131)</f>
        <v>-</v>
      </c>
      <c r="F123" s="37" t="str">
        <f>IF(ORCAMENTOS!G131="","",ORCAMENTOS!G131)</f>
        <v>Gabriel</v>
      </c>
      <c r="G123" s="37" t="str">
        <f>IF(ORCAMENTOS!H131="","",ORCAMENTOS!H131)</f>
        <v>Thiago</v>
      </c>
      <c r="H123" s="39">
        <f>IF(ORCAMENTOS!I131="","",ORCAMENTOS!I131)</f>
        <v>26699.3</v>
      </c>
      <c r="I123" s="60" t="str">
        <f>IF(ORCAMENTOS!J131="","",ORCAMENTOS!J131)</f>
        <v/>
      </c>
      <c r="J123" s="40" t="str">
        <f>IF(ORCAMENTOS!L131="","",ORCAMENTOS!L131)</f>
        <v>CANCELADO</v>
      </c>
      <c r="K123" s="34" t="str">
        <f>IF(ORCAMENTOS!M131="","",ORCAMENTOS!M131)</f>
        <v>-</v>
      </c>
      <c r="L123" t="str">
        <f>IF(ORCAMENTOS!R131="","",ORCAMENTOS!R131)</f>
        <v>-</v>
      </c>
    </row>
    <row r="124" spans="1:12" ht="15.75" hidden="1" customHeight="1" x14ac:dyDescent="0.25">
      <c r="A124" s="36">
        <f>IF(ORCAMENTOS!A132="","",ORCAMENTOS!A132)</f>
        <v>45678</v>
      </c>
      <c r="B124" s="46">
        <f>IF(ORCAMENTOS!B132="","",ORCAMENTOS!B132)</f>
        <v>122</v>
      </c>
      <c r="C124" s="46" t="str">
        <f>IF(ORCAMENTOS!C132="","",ORCAMENTOS!C132)</f>
        <v/>
      </c>
      <c r="D124" s="37" t="str">
        <f>IF(ORCAMENTOS!D132="","",ORCAMENTOS!D132)</f>
        <v>ECOLOGIC AIR</v>
      </c>
      <c r="E124" s="38" t="str">
        <f>IF(ORCAMENTOS!E132="","",ORCAMENTOS!E132)</f>
        <v>ATACADAO - BANGU SHOPPING - RIO DE JANEIRO - RJ</v>
      </c>
      <c r="F124" s="37" t="str">
        <f>IF(ORCAMENTOS!G132="","",ORCAMENTOS!G132)</f>
        <v>Michel</v>
      </c>
      <c r="G124" s="37" t="str">
        <f>IF(ORCAMENTOS!H132="","",ORCAMENTOS!H132)</f>
        <v>Vinicius</v>
      </c>
      <c r="H124" s="39">
        <f>IF(ORCAMENTOS!I132="","",ORCAMENTOS!I132)</f>
        <v>166485.04</v>
      </c>
      <c r="I124" s="60" t="str">
        <f>IF(ORCAMENTOS!J132="","",ORCAMENTOS!J132)</f>
        <v/>
      </c>
      <c r="J124" s="40" t="str">
        <f>IF(ORCAMENTOS!L132="","",ORCAMENTOS!L132)</f>
        <v>CANCELADO</v>
      </c>
      <c r="K124" s="34" t="str">
        <f>IF(ORCAMENTOS!M132="","",ORCAMENTOS!M132)</f>
        <v>-</v>
      </c>
      <c r="L124" t="str">
        <f>IF(ORCAMENTOS!R132="","",ORCAMENTOS!R132)</f>
        <v>N/E</v>
      </c>
    </row>
    <row r="125" spans="1:12" ht="15.75" hidden="1" customHeight="1" x14ac:dyDescent="0.25">
      <c r="A125" s="36">
        <f>IF(ORCAMENTOS!A133="","",ORCAMENTOS!A133)</f>
        <v>45678</v>
      </c>
      <c r="B125" s="46">
        <f>IF(ORCAMENTOS!B133="","",ORCAMENTOS!B133)</f>
        <v>123</v>
      </c>
      <c r="C125" s="46" t="str">
        <f>IF(ORCAMENTOS!C133="","",ORCAMENTOS!C133)</f>
        <v/>
      </c>
      <c r="D125" s="37" t="str">
        <f>IF(ORCAMENTOS!D133="","",ORCAMENTOS!D133)</f>
        <v>COLD CONTROL</v>
      </c>
      <c r="E125" s="38" t="str">
        <f>IF(ORCAMENTOS!E133="","",ORCAMENTOS!E133)</f>
        <v>ABPF - UNIDADE MORUMBI - SÃO PAULO - SP</v>
      </c>
      <c r="F125" s="37" t="str">
        <f>IF(ORCAMENTOS!G133="","",ORCAMENTOS!G133)</f>
        <v>Emanuel</v>
      </c>
      <c r="G125" s="37" t="str">
        <f>IF(ORCAMENTOS!H133="","",ORCAMENTOS!H133)</f>
        <v>Jandilson</v>
      </c>
      <c r="H125" s="39">
        <f>IF(ORCAMENTOS!I133="","",ORCAMENTOS!I133)</f>
        <v>72135</v>
      </c>
      <c r="I125" s="60" t="str">
        <f>IF(ORCAMENTOS!J133="","",ORCAMENTOS!J133)</f>
        <v/>
      </c>
      <c r="J125" s="40" t="str">
        <f>IF(ORCAMENTOS!L133="","",ORCAMENTOS!L133)</f>
        <v>CANCELADO</v>
      </c>
      <c r="K125" s="34" t="str">
        <f>IF(ORCAMENTOS!M133="","",ORCAMENTOS!M133)</f>
        <v>-</v>
      </c>
      <c r="L125" t="str">
        <f>IF(ORCAMENTOS!R133="","",ORCAMENTOS!R133)</f>
        <v>MPU</v>
      </c>
    </row>
    <row r="126" spans="1:12" ht="15.75" hidden="1" customHeight="1" x14ac:dyDescent="0.25">
      <c r="A126" s="36">
        <f>IF(ORCAMENTOS!A134="","",ORCAMENTOS!A134)</f>
        <v>45678</v>
      </c>
      <c r="B126" s="46">
        <f>IF(ORCAMENTOS!B134="","",ORCAMENTOS!B134)</f>
        <v>124</v>
      </c>
      <c r="C126" s="46" t="str">
        <f>IF(ORCAMENTOS!C134="","",ORCAMENTOS!C134)</f>
        <v/>
      </c>
      <c r="D126" s="37" t="str">
        <f>IF(ORCAMENTOS!D134="","",ORCAMENTOS!D134)</f>
        <v>COLD CONTROL</v>
      </c>
      <c r="E126" s="38" t="str">
        <f>IF(ORCAMENTOS!E134="","",ORCAMENTOS!E134)</f>
        <v>ABPF - UNIDADE MORUMBI - SÃO PAULO - SP</v>
      </c>
      <c r="F126" s="37" t="str">
        <f>IF(ORCAMENTOS!G134="","",ORCAMENTOS!G134)</f>
        <v>Emanuel</v>
      </c>
      <c r="G126" s="37" t="str">
        <f>IF(ORCAMENTOS!H134="","",ORCAMENTOS!H134)</f>
        <v>Jandilson</v>
      </c>
      <c r="H126" s="39">
        <f>IF(ORCAMENTOS!I134="","",ORCAMENTOS!I134)</f>
        <v>15902.78</v>
      </c>
      <c r="I126" s="60" t="str">
        <f>IF(ORCAMENTOS!J134="","",ORCAMENTOS!J134)</f>
        <v/>
      </c>
      <c r="J126" s="40" t="str">
        <f>IF(ORCAMENTOS!L134="","",ORCAMENTOS!L134)</f>
        <v>CANCELADO</v>
      </c>
      <c r="K126" s="34" t="str">
        <f>IF(ORCAMENTOS!M134="","",ORCAMENTOS!M134)</f>
        <v>-</v>
      </c>
      <c r="L126" t="str">
        <f>IF(ORCAMENTOS!R134="","",ORCAMENTOS!R134)</f>
        <v>MPU</v>
      </c>
    </row>
    <row r="127" spans="1:12" ht="15.75" hidden="1" customHeight="1" x14ac:dyDescent="0.25">
      <c r="A127" s="36">
        <f>IF(ORCAMENTOS!A135="","",ORCAMENTOS!A135)</f>
        <v>45678</v>
      </c>
      <c r="B127" s="46">
        <f>IF(ORCAMENTOS!B135="","",ORCAMENTOS!B135)</f>
        <v>125</v>
      </c>
      <c r="C127" s="46" t="str">
        <f>IF(ORCAMENTOS!C135="","",ORCAMENTOS!C135)</f>
        <v/>
      </c>
      <c r="D127" s="37" t="str">
        <f>IF(ORCAMENTOS!D135="","",ORCAMENTOS!D135)</f>
        <v>ECOWORK</v>
      </c>
      <c r="E127" s="38" t="str">
        <f>IF(ORCAMENTOS!E135="","",ORCAMENTOS!E135)</f>
        <v>COTACAO: SOMT 66</v>
      </c>
      <c r="F127" s="37" t="str">
        <f>IF(ORCAMENTOS!G135="","",ORCAMENTOS!G135)</f>
        <v>Emanuel</v>
      </c>
      <c r="G127" s="37" t="str">
        <f>IF(ORCAMENTOS!H135="","",ORCAMENTOS!H135)</f>
        <v>Julyane</v>
      </c>
      <c r="H127" s="39">
        <f>IF(ORCAMENTOS!I135="","",ORCAMENTOS!I135)</f>
        <v>3503.69</v>
      </c>
      <c r="I127" s="60" t="str">
        <f>IF(ORCAMENTOS!J135="","",ORCAMENTOS!J135)</f>
        <v/>
      </c>
      <c r="J127" s="40" t="str">
        <f>IF(ORCAMENTOS!L135="","",ORCAMENTOS!L135)</f>
        <v>CANCELADO</v>
      </c>
      <c r="K127" s="34" t="str">
        <f>IF(ORCAMENTOS!M135="","",ORCAMENTOS!M135)</f>
        <v>-</v>
      </c>
      <c r="L127" t="str">
        <f>IF(ORCAMENTOS!R135="","",ORCAMENTOS!R135)</f>
        <v>-</v>
      </c>
    </row>
    <row r="128" spans="1:12" ht="15.75" hidden="1" customHeight="1" x14ac:dyDescent="0.25">
      <c r="A128" s="36">
        <f>IF(ORCAMENTOS!A136="","",ORCAMENTOS!A136)</f>
        <v>45678</v>
      </c>
      <c r="B128" s="46">
        <f>IF(ORCAMENTOS!B136="","",ORCAMENTOS!B136)</f>
        <v>126</v>
      </c>
      <c r="C128" s="46" t="str">
        <f>IF(ORCAMENTOS!C136="","",ORCAMENTOS!C136)</f>
        <v/>
      </c>
      <c r="D128" s="37" t="str">
        <f>IF(ORCAMENTOS!D136="","",ORCAMENTOS!D136)</f>
        <v>SP1 ENGENHARIA</v>
      </c>
      <c r="E128" s="38" t="str">
        <f>IF(ORCAMENTOS!E136="","",ORCAMENTOS!E136)</f>
        <v>CLINICA VETERINARIA - UNITAU - TAUBATE - SP</v>
      </c>
      <c r="F128" s="37" t="str">
        <f>IF(ORCAMENTOS!G136="","",ORCAMENTOS!G136)</f>
        <v>Gabriel</v>
      </c>
      <c r="G128" s="37" t="str">
        <f>IF(ORCAMENTOS!H136="","",ORCAMENTOS!H136)</f>
        <v>Silvio</v>
      </c>
      <c r="H128" s="39">
        <f>IF(ORCAMENTOS!I136="","",ORCAMENTOS!I136)</f>
        <v>18540.07</v>
      </c>
      <c r="I128" s="60" t="str">
        <f>IF(ORCAMENTOS!J136="","",ORCAMENTOS!J136)</f>
        <v/>
      </c>
      <c r="J128" s="40" t="str">
        <f>IF(ORCAMENTOS!L136="","",ORCAMENTOS!L136)</f>
        <v>FECHADO</v>
      </c>
      <c r="K128" s="34" t="str">
        <f>IF(ORCAMENTOS!M136="","",ORCAMENTOS!M136)</f>
        <v>-</v>
      </c>
      <c r="L128" t="str">
        <f>IF(ORCAMENTOS!R136="","",ORCAMENTOS!R136)</f>
        <v>-</v>
      </c>
    </row>
    <row r="129" spans="1:12" ht="15.75" hidden="1" customHeight="1" x14ac:dyDescent="0.25">
      <c r="A129" s="36">
        <f>IF(ORCAMENTOS!A137="","",ORCAMENTOS!A137)</f>
        <v>45679</v>
      </c>
      <c r="B129" s="46">
        <f>IF(ORCAMENTOS!B137="","",ORCAMENTOS!B137)</f>
        <v>127</v>
      </c>
      <c r="C129" s="46" t="str">
        <f>IF(ORCAMENTOS!C137="","",ORCAMENTOS!C137)</f>
        <v/>
      </c>
      <c r="D129" s="37" t="str">
        <f>IF(ORCAMENTOS!D137="","",ORCAMENTOS!D137)</f>
        <v>EKO CLIMAX</v>
      </c>
      <c r="E129" s="38" t="str">
        <f>IF(ORCAMENTOS!E137="","",ORCAMENTOS!E137)</f>
        <v>-</v>
      </c>
      <c r="F129" s="37" t="str">
        <f>IF(ORCAMENTOS!G137="","",ORCAMENTOS!G137)</f>
        <v>Michel</v>
      </c>
      <c r="G129" s="37" t="str">
        <f>IF(ORCAMENTOS!H137="","",ORCAMENTOS!H137)</f>
        <v>Rogerio</v>
      </c>
      <c r="H129" s="39">
        <f>IF(ORCAMENTOS!I137="","",ORCAMENTOS!I137)</f>
        <v>11064.99</v>
      </c>
      <c r="I129" s="60" t="str">
        <f>IF(ORCAMENTOS!J137="","",ORCAMENTOS!J137)</f>
        <v/>
      </c>
      <c r="J129" s="40" t="str">
        <f>IF(ORCAMENTOS!L137="","",ORCAMENTOS!L137)</f>
        <v>CANCELADO</v>
      </c>
      <c r="K129" s="34" t="str">
        <f>IF(ORCAMENTOS!M137="","",ORCAMENTOS!M137)</f>
        <v>Apenas consulta</v>
      </c>
      <c r="L129" t="str">
        <f>IF(ORCAMENTOS!R137="","",ORCAMENTOS!R137)</f>
        <v>-</v>
      </c>
    </row>
    <row r="130" spans="1:12" ht="15.75" hidden="1" customHeight="1" x14ac:dyDescent="0.25">
      <c r="A130" s="36">
        <f>IF(ORCAMENTOS!A138="","",ORCAMENTOS!A138)</f>
        <v>45679</v>
      </c>
      <c r="B130" s="46">
        <f>IF(ORCAMENTOS!B138="","",ORCAMENTOS!B138)</f>
        <v>128</v>
      </c>
      <c r="C130" s="46" t="str">
        <f>IF(ORCAMENTOS!C138="","",ORCAMENTOS!C138)</f>
        <v/>
      </c>
      <c r="D130" s="37" t="str">
        <f>IF(ORCAMENTOS!D138="","",ORCAMENTOS!D138)</f>
        <v>CATELAN</v>
      </c>
      <c r="E130" s="38" t="str">
        <f>IF(ORCAMENTOS!E138="","",ORCAMENTOS!E138)</f>
        <v>-</v>
      </c>
      <c r="F130" s="37" t="str">
        <f>IF(ORCAMENTOS!G138="","",ORCAMENTOS!G138)</f>
        <v>Gabriel</v>
      </c>
      <c r="G130" s="37" t="str">
        <f>IF(ORCAMENTOS!H138="","",ORCAMENTOS!H138)</f>
        <v>Priscila</v>
      </c>
      <c r="H130" s="39">
        <f>IF(ORCAMENTOS!I138="","",ORCAMENTOS!I138)</f>
        <v>170765.18</v>
      </c>
      <c r="I130" s="60" t="str">
        <f>IF(ORCAMENTOS!J138="","",ORCAMENTOS!J138)</f>
        <v/>
      </c>
      <c r="J130" s="40" t="str">
        <f>IF(ORCAMENTOS!L138="","",ORCAMENTOS!L138)</f>
        <v>CANCELADO</v>
      </c>
      <c r="K130" s="34" t="str">
        <f>IF(ORCAMENTOS!M138="","",ORCAMENTOS!M138)</f>
        <v>-</v>
      </c>
      <c r="L130" t="str">
        <f>IF(ORCAMENTOS!R138="","",ORCAMENTOS!R138)</f>
        <v>-</v>
      </c>
    </row>
    <row r="131" spans="1:12" ht="15.75" hidden="1" customHeight="1" x14ac:dyDescent="0.25">
      <c r="A131" s="36">
        <f>IF(ORCAMENTOS!A139="","",ORCAMENTOS!A139)</f>
        <v>45679</v>
      </c>
      <c r="B131" s="46">
        <f>IF(ORCAMENTOS!B139="","",ORCAMENTOS!B139)</f>
        <v>129</v>
      </c>
      <c r="C131" s="46" t="str">
        <f>IF(ORCAMENTOS!C139="","",ORCAMENTOS!C139)</f>
        <v/>
      </c>
      <c r="D131" s="37" t="str">
        <f>IF(ORCAMENTOS!D139="","",ORCAMENTOS!D139)</f>
        <v>MARCIA AUGUSTO</v>
      </c>
      <c r="E131" s="38" t="str">
        <f>IF(ORCAMENTOS!E139="","",ORCAMENTOS!E139)</f>
        <v>Lojão Filhos do Rei</v>
      </c>
      <c r="F131" s="37" t="str">
        <f>IF(ORCAMENTOS!G139="","",ORCAMENTOS!G139)</f>
        <v>Gabriel</v>
      </c>
      <c r="G131" s="37" t="str">
        <f>IF(ORCAMENTOS!H139="","",ORCAMENTOS!H139)</f>
        <v>Marcia</v>
      </c>
      <c r="H131" s="39">
        <f>IF(ORCAMENTOS!I139="","",ORCAMENTOS!I139)</f>
        <v>104103.37</v>
      </c>
      <c r="I131" s="60" t="str">
        <f>IF(ORCAMENTOS!J139="","",ORCAMENTOS!J139)</f>
        <v/>
      </c>
      <c r="J131" s="40" t="str">
        <f>IF(ORCAMENTOS!L139="","",ORCAMENTOS!L139)</f>
        <v>CANCELADO</v>
      </c>
      <c r="K131" s="34" t="str">
        <f>IF(ORCAMENTOS!M139="","",ORCAMENTOS!M139)</f>
        <v>-</v>
      </c>
      <c r="L131" t="str">
        <f>IF(ORCAMENTOS!R139="","",ORCAMENTOS!R139)</f>
        <v>-</v>
      </c>
    </row>
    <row r="132" spans="1:12" ht="15.75" hidden="1" customHeight="1" x14ac:dyDescent="0.25">
      <c r="A132" s="36">
        <f>IF(ORCAMENTOS!A140="","",ORCAMENTOS!A140)</f>
        <v>45679</v>
      </c>
      <c r="B132" s="46">
        <f>IF(ORCAMENTOS!B140="","",ORCAMENTOS!B140)</f>
        <v>130</v>
      </c>
      <c r="C132" s="46" t="str">
        <f>IF(ORCAMENTOS!C140="","",ORCAMENTOS!C140)</f>
        <v/>
      </c>
      <c r="D132" s="37" t="str">
        <f>IF(ORCAMENTOS!D140="","",ORCAMENTOS!D140)</f>
        <v>NEWSET</v>
      </c>
      <c r="E132" s="38" t="str">
        <f>IF(ORCAMENTOS!E140="","",ORCAMENTOS!E140)</f>
        <v>NISSIN - PR</v>
      </c>
      <c r="F132" s="37" t="str">
        <f>IF(ORCAMENTOS!G140="","",ORCAMENTOS!G140)</f>
        <v xml:space="preserve">Aldavir </v>
      </c>
      <c r="G132" s="37" t="str">
        <f>IF(ORCAMENTOS!H140="","",ORCAMENTOS!H140)</f>
        <v>Rodrigo</v>
      </c>
      <c r="H132" s="39">
        <f>IF(ORCAMENTOS!I140="","",ORCAMENTOS!I140)</f>
        <v>1867811.8</v>
      </c>
      <c r="I132" s="60" t="str">
        <f>IF(ORCAMENTOS!J140="","",ORCAMENTOS!J140)</f>
        <v/>
      </c>
      <c r="J132" s="40" t="str">
        <f>IF(ORCAMENTOS!L140="","",ORCAMENTOS!L140)</f>
        <v xml:space="preserve">COMPRA </v>
      </c>
      <c r="K132" s="34" t="str">
        <f>IF(ORCAMENTOS!M140="","",ORCAMENTOS!M140)</f>
        <v>AGUARDANDO PEDIDO</v>
      </c>
      <c r="L132" t="str">
        <f>IF(ORCAMENTOS!R140="","",ORCAMENTOS!R140)</f>
        <v>-</v>
      </c>
    </row>
    <row r="133" spans="1:12" ht="15.75" hidden="1" customHeight="1" x14ac:dyDescent="0.25">
      <c r="A133" s="36">
        <f>IF(ORCAMENTOS!A141="","",ORCAMENTOS!A141)</f>
        <v>45679</v>
      </c>
      <c r="B133" s="46">
        <f>IF(ORCAMENTOS!B141="","",ORCAMENTOS!B141)</f>
        <v>131</v>
      </c>
      <c r="C133" s="46" t="str">
        <f>IF(ORCAMENTOS!C141="","",ORCAMENTOS!C141)</f>
        <v/>
      </c>
      <c r="D133" s="37" t="str">
        <f>IF(ORCAMENTOS!D141="","",ORCAMENTOS!D141)</f>
        <v>ADALTA ENGENHARIA</v>
      </c>
      <c r="E133" s="38" t="str">
        <f>IF(ORCAMENTOS!E141="","",ORCAMENTOS!E141)</f>
        <v>-</v>
      </c>
      <c r="F133" s="37" t="str">
        <f>IF(ORCAMENTOS!G141="","",ORCAMENTOS!G141)</f>
        <v>Fernando</v>
      </c>
      <c r="G133" s="37" t="str">
        <f>IF(ORCAMENTOS!H141="","",ORCAMENTOS!H141)</f>
        <v>Joao</v>
      </c>
      <c r="H133" s="39">
        <f>IF(ORCAMENTOS!I141="","",ORCAMENTOS!I141)</f>
        <v>1455.48</v>
      </c>
      <c r="I133" s="60" t="str">
        <f>IF(ORCAMENTOS!J141="","",ORCAMENTOS!J141)</f>
        <v/>
      </c>
      <c r="J133" s="40" t="str">
        <f>IF(ORCAMENTOS!L141="","",ORCAMENTOS!L141)</f>
        <v>FECHADO</v>
      </c>
      <c r="K133" s="34" t="str">
        <f>IF(ORCAMENTOS!M141="","",ORCAMENTOS!M141)</f>
        <v>-</v>
      </c>
      <c r="L133" t="str">
        <f>IF(ORCAMENTOS!R141="","",ORCAMENTOS!R141)</f>
        <v>-</v>
      </c>
    </row>
    <row r="134" spans="1:12" ht="15.75" hidden="1" customHeight="1" x14ac:dyDescent="0.25">
      <c r="A134" s="36">
        <f>IF(ORCAMENTOS!A142="","",ORCAMENTOS!A142)</f>
        <v>45679</v>
      </c>
      <c r="B134" s="46">
        <f>IF(ORCAMENTOS!B142="","",ORCAMENTOS!B142)</f>
        <v>132</v>
      </c>
      <c r="C134" s="46" t="str">
        <f>IF(ORCAMENTOS!C142="","",ORCAMENTOS!C142)</f>
        <v/>
      </c>
      <c r="D134" s="37" t="str">
        <f>IF(ORCAMENTOS!D142="","",ORCAMENTOS!D142)</f>
        <v>AR SISTEMAS</v>
      </c>
      <c r="E134" s="38" t="str">
        <f>IF(ORCAMENTOS!E142="","",ORCAMENTOS!E142)</f>
        <v>HOSPITAL ITAIM - SÃO PAULO - SP</v>
      </c>
      <c r="F134" s="37" t="str">
        <f>IF(ORCAMENTOS!G142="","",ORCAMENTOS!G142)</f>
        <v>Michel</v>
      </c>
      <c r="G134" s="37" t="str">
        <f>IF(ORCAMENTOS!H142="","",ORCAMENTOS!H142)</f>
        <v>Silvia</v>
      </c>
      <c r="H134" s="39">
        <f>IF(ORCAMENTOS!I142="","",ORCAMENTOS!I142)</f>
        <v>20609.55</v>
      </c>
      <c r="I134" s="60" t="str">
        <f>IF(ORCAMENTOS!J142="","",ORCAMENTOS!J142)</f>
        <v/>
      </c>
      <c r="J134" s="40" t="str">
        <f>IF(ORCAMENTOS!L142="","",ORCAMENTOS!L142)</f>
        <v>CANCELADO</v>
      </c>
      <c r="K134" s="34" t="str">
        <f>IF(ORCAMENTOS!M142="","",ORCAMENTOS!M142)</f>
        <v>-</v>
      </c>
      <c r="L134" t="str">
        <f>IF(ORCAMENTOS!R142="","",ORCAMENTOS!R142)</f>
        <v>N/E</v>
      </c>
    </row>
    <row r="135" spans="1:12" ht="15.75" hidden="1" customHeight="1" x14ac:dyDescent="0.25">
      <c r="A135" s="36">
        <f>IF(ORCAMENTOS!A143="","",ORCAMENTOS!A143)</f>
        <v>45680</v>
      </c>
      <c r="B135" s="46">
        <f>IF(ORCAMENTOS!B143="","",ORCAMENTOS!B143)</f>
        <v>133</v>
      </c>
      <c r="C135" s="46" t="str">
        <f>IF(ORCAMENTOS!C143="","",ORCAMENTOS!C143)</f>
        <v/>
      </c>
      <c r="D135" s="37" t="str">
        <f>IF(ORCAMENTOS!D143="","",ORCAMENTOS!D143)</f>
        <v>SO AR CLIMATIZACAO</v>
      </c>
      <c r="E135" s="38" t="str">
        <f>IF(ORCAMENTOS!E143="","",ORCAMENTOS!E143)</f>
        <v>-</v>
      </c>
      <c r="F135" s="37" t="str">
        <f>IF(ORCAMENTOS!G143="","",ORCAMENTOS!G143)</f>
        <v>Gabriel</v>
      </c>
      <c r="G135" s="37" t="str">
        <f>IF(ORCAMENTOS!H143="","",ORCAMENTOS!H143)</f>
        <v>Gabriel</v>
      </c>
      <c r="H135" s="39">
        <f>IF(ORCAMENTOS!I143="","",ORCAMENTOS!I143)</f>
        <v>12815.94</v>
      </c>
      <c r="I135" s="60" t="str">
        <f>IF(ORCAMENTOS!J143="","",ORCAMENTOS!J143)</f>
        <v/>
      </c>
      <c r="J135" s="40" t="str">
        <f>IF(ORCAMENTOS!L143="","",ORCAMENTOS!L143)</f>
        <v>FECHADO</v>
      </c>
      <c r="K135" s="34" t="str">
        <f>IF(ORCAMENTOS!M143="","",ORCAMENTOS!M143)</f>
        <v>-</v>
      </c>
      <c r="L135" t="str">
        <f>IF(ORCAMENTOS!R143="","",ORCAMENTOS!R143)</f>
        <v>-</v>
      </c>
    </row>
    <row r="136" spans="1:12" ht="15.75" hidden="1" customHeight="1" x14ac:dyDescent="0.25">
      <c r="A136" s="36">
        <f>IF(ORCAMENTOS!A144="","",ORCAMENTOS!A144)</f>
        <v>45679</v>
      </c>
      <c r="B136" s="46">
        <f>IF(ORCAMENTOS!B144="","",ORCAMENTOS!B144)</f>
        <v>134</v>
      </c>
      <c r="C136" s="46" t="str">
        <f>IF(ORCAMENTOS!C144="","",ORCAMENTOS!C144)</f>
        <v/>
      </c>
      <c r="D136" s="37" t="str">
        <f>IF(ORCAMENTOS!D144="","",ORCAMENTOS!D144)</f>
        <v>AIR SUPPLY</v>
      </c>
      <c r="E136" s="38" t="str">
        <f>IF(ORCAMENTOS!E144="","",ORCAMENTOS!E144)</f>
        <v>SUPERMERCADO PIERIM - LOJA 07 - SÃO JOSE DO RIO PARDO - SP</v>
      </c>
      <c r="F136" s="37" t="str">
        <f>IF(ORCAMENTOS!G144="","",ORCAMENTOS!G144)</f>
        <v>Gabriel</v>
      </c>
      <c r="G136" s="37" t="str">
        <f>IF(ORCAMENTOS!H144="","",ORCAMENTOS!H144)</f>
        <v>Pedro</v>
      </c>
      <c r="H136" s="39">
        <f>IF(ORCAMENTOS!I144="","",ORCAMENTOS!I144)</f>
        <v>53838.47</v>
      </c>
      <c r="I136" s="60" t="str">
        <f>IF(ORCAMENTOS!J144="","",ORCAMENTOS!J144)</f>
        <v/>
      </c>
      <c r="J136" s="40" t="str">
        <f>IF(ORCAMENTOS!L144="","",ORCAMENTOS!L144)</f>
        <v>FECHADO</v>
      </c>
      <c r="K136" s="34" t="str">
        <f>IF(ORCAMENTOS!M144="","",ORCAMENTOS!M144)</f>
        <v>-</v>
      </c>
      <c r="L136" t="str">
        <f>IF(ORCAMENTOS!R144="","",ORCAMENTOS!R144)</f>
        <v>ACO GALVANIZADO</v>
      </c>
    </row>
    <row r="137" spans="1:12" ht="15.75" hidden="1" customHeight="1" x14ac:dyDescent="0.25">
      <c r="A137" s="36">
        <f>IF(ORCAMENTOS!A145="","",ORCAMENTOS!A145)</f>
        <v>45680</v>
      </c>
      <c r="B137" s="46">
        <f>IF(ORCAMENTOS!B145="","",ORCAMENTOS!B145)</f>
        <v>135</v>
      </c>
      <c r="C137" s="46" t="str">
        <f>IF(ORCAMENTOS!C145="","",ORCAMENTOS!C145)</f>
        <v/>
      </c>
      <c r="D137" s="37" t="str">
        <f>IF(ORCAMENTOS!D145="","",ORCAMENTOS!D145)</f>
        <v>CESTAC</v>
      </c>
      <c r="E137" s="38" t="str">
        <f>IF(ORCAMENTOS!E145="","",ORCAMENTOS!E145)</f>
        <v>-</v>
      </c>
      <c r="F137" s="37" t="str">
        <f>IF(ORCAMENTOS!G145="","",ORCAMENTOS!G145)</f>
        <v>Michel</v>
      </c>
      <c r="G137" s="37" t="str">
        <f>IF(ORCAMENTOS!H145="","",ORCAMENTOS!H145)</f>
        <v>Eduardo</v>
      </c>
      <c r="H137" s="39">
        <f>IF(ORCAMENTOS!I145="","",ORCAMENTOS!I145)</f>
        <v>14578.2</v>
      </c>
      <c r="I137" s="60" t="str">
        <f>IF(ORCAMENTOS!J145="","",ORCAMENTOS!J145)</f>
        <v/>
      </c>
      <c r="J137" s="40" t="str">
        <f>IF(ORCAMENTOS!L145="","",ORCAMENTOS!L145)</f>
        <v>CANCELADO</v>
      </c>
      <c r="K137" s="34" t="str">
        <f>IF(ORCAMENTOS!M145="","",ORCAMENTOS!M145)</f>
        <v>-</v>
      </c>
      <c r="L137" t="str">
        <f>IF(ORCAMENTOS!R145="","",ORCAMENTOS!R145)</f>
        <v>-</v>
      </c>
    </row>
    <row r="138" spans="1:12" ht="15.75" hidden="1" customHeight="1" x14ac:dyDescent="0.25">
      <c r="A138" s="36">
        <f>IF(ORCAMENTOS!A146="","",ORCAMENTOS!A146)</f>
        <v>45680</v>
      </c>
      <c r="B138" s="46">
        <f>IF(ORCAMENTOS!B146="","",ORCAMENTOS!B146)</f>
        <v>136</v>
      </c>
      <c r="C138" s="46" t="str">
        <f>IF(ORCAMENTOS!C146="","",ORCAMENTOS!C146)</f>
        <v/>
      </c>
      <c r="D138" s="37" t="str">
        <f>IF(ORCAMENTOS!D146="","",ORCAMENTOS!D146)</f>
        <v>SOLAR AR</v>
      </c>
      <c r="E138" s="38" t="str">
        <f>IF(ORCAMENTOS!E146="","",ORCAMENTOS!E146)</f>
        <v>HOSPITAL DE REGISTRO - SIRIO LIBANES - DUTOS CENTRO CIRURGICO</v>
      </c>
      <c r="F138" s="37" t="str">
        <f>IF(ORCAMENTOS!G146="","",ORCAMENTOS!G146)</f>
        <v>Michel</v>
      </c>
      <c r="G138" s="37" t="str">
        <f>IF(ORCAMENTOS!H146="","",ORCAMENTOS!H146)</f>
        <v>Claudenir</v>
      </c>
      <c r="H138" s="39">
        <f>IF(ORCAMENTOS!I146="","",ORCAMENTOS!I146)</f>
        <v>209.8</v>
      </c>
      <c r="I138" s="60" t="str">
        <f>IF(ORCAMENTOS!J146="","",ORCAMENTOS!J146)</f>
        <v/>
      </c>
      <c r="J138" s="40" t="str">
        <f>IF(ORCAMENTOS!L146="","",ORCAMENTOS!L146)</f>
        <v>FECHADO</v>
      </c>
      <c r="K138" s="34" t="str">
        <f>IF(ORCAMENTOS!M146="","",ORCAMENTOS!M146)</f>
        <v>-</v>
      </c>
      <c r="L138" t="str">
        <f>IF(ORCAMENTOS!R146="","",ORCAMENTOS!R146)</f>
        <v>-</v>
      </c>
    </row>
    <row r="139" spans="1:12" ht="15.75" hidden="1" customHeight="1" x14ac:dyDescent="0.25">
      <c r="A139" s="36">
        <f>IF(ORCAMENTOS!A147="","",ORCAMENTOS!A147)</f>
        <v>45680</v>
      </c>
      <c r="B139" s="46">
        <f>IF(ORCAMENTOS!B147="","",ORCAMENTOS!B147)</f>
        <v>137</v>
      </c>
      <c r="C139" s="46" t="str">
        <f>IF(ORCAMENTOS!C147="","",ORCAMENTOS!C147)</f>
        <v/>
      </c>
      <c r="D139" s="37" t="str">
        <f>IF(ORCAMENTOS!D147="","",ORCAMENTOS!D147)</f>
        <v>M&amp;L SOLUCOES</v>
      </c>
      <c r="E139" s="38" t="str">
        <f>IF(ORCAMENTOS!E147="","",ORCAMENTOS!E147)</f>
        <v>-</v>
      </c>
      <c r="F139" s="37" t="str">
        <f>IF(ORCAMENTOS!G147="","",ORCAMENTOS!G147)</f>
        <v>Gabriel</v>
      </c>
      <c r="G139" s="37" t="str">
        <f>IF(ORCAMENTOS!H147="","",ORCAMENTOS!H147)</f>
        <v>Marcio</v>
      </c>
      <c r="H139" s="39">
        <f>IF(ORCAMENTOS!I147="","",ORCAMENTOS!I147)</f>
        <v>2205.52</v>
      </c>
      <c r="I139" s="60" t="str">
        <f>IF(ORCAMENTOS!J147="","",ORCAMENTOS!J147)</f>
        <v/>
      </c>
      <c r="J139" s="40" t="str">
        <f>IF(ORCAMENTOS!L147="","",ORCAMENTOS!L147)</f>
        <v>FECHADO</v>
      </c>
      <c r="K139" s="34" t="str">
        <f>IF(ORCAMENTOS!M147="","",ORCAMENTOS!M147)</f>
        <v>-</v>
      </c>
      <c r="L139" t="str">
        <f>IF(ORCAMENTOS!R147="","",ORCAMENTOS!R147)</f>
        <v>-</v>
      </c>
    </row>
    <row r="140" spans="1:12" ht="15.75" hidden="1" customHeight="1" x14ac:dyDescent="0.25">
      <c r="A140" s="36">
        <f>IF(ORCAMENTOS!A148="","",ORCAMENTOS!A148)</f>
        <v>45680</v>
      </c>
      <c r="B140" s="46">
        <f>IF(ORCAMENTOS!B148="","",ORCAMENTOS!B148)</f>
        <v>138</v>
      </c>
      <c r="C140" s="46" t="str">
        <f>IF(ORCAMENTOS!C148="","",ORCAMENTOS!C148)</f>
        <v/>
      </c>
      <c r="D140" s="37" t="str">
        <f>IF(ORCAMENTOS!D148="","",ORCAMENTOS!D148)</f>
        <v>SOLAR AR</v>
      </c>
      <c r="E140" s="38" t="str">
        <f>IF(ORCAMENTOS!E148="","",ORCAMENTOS!E148)</f>
        <v>HOSPITAL DE REGISTRO - SIRIO LIBANES - DUTOS CENTRO CIRURGICO</v>
      </c>
      <c r="F140" s="37" t="str">
        <f>IF(ORCAMENTOS!G148="","",ORCAMENTOS!G148)</f>
        <v>Michel</v>
      </c>
      <c r="G140" s="37" t="str">
        <f>IF(ORCAMENTOS!H148="","",ORCAMENTOS!H148)</f>
        <v>Claudenir</v>
      </c>
      <c r="H140" s="39">
        <f>IF(ORCAMENTOS!I148="","",ORCAMENTOS!I148)</f>
        <v>3810.34</v>
      </c>
      <c r="I140" s="60" t="str">
        <f>IF(ORCAMENTOS!J148="","",ORCAMENTOS!J148)</f>
        <v/>
      </c>
      <c r="J140" s="40" t="str">
        <f>IF(ORCAMENTOS!L148="","",ORCAMENTOS!L148)</f>
        <v>FECHADO</v>
      </c>
      <c r="K140" s="34" t="str">
        <f>IF(ORCAMENTOS!M148="","",ORCAMENTOS!M148)</f>
        <v>-</v>
      </c>
      <c r="L140" t="str">
        <f>IF(ORCAMENTOS!R148="","",ORCAMENTOS!R148)</f>
        <v>-</v>
      </c>
    </row>
    <row r="141" spans="1:12" ht="15.75" hidden="1" customHeight="1" x14ac:dyDescent="0.25">
      <c r="A141" s="36">
        <f>IF(ORCAMENTOS!A149="","",ORCAMENTOS!A149)</f>
        <v>45680</v>
      </c>
      <c r="B141" s="46">
        <f>IF(ORCAMENTOS!B149="","",ORCAMENTOS!B149)</f>
        <v>139</v>
      </c>
      <c r="C141" s="46" t="str">
        <f>IF(ORCAMENTOS!C149="","",ORCAMENTOS!C149)</f>
        <v/>
      </c>
      <c r="D141" s="37" t="str">
        <f>IF(ORCAMENTOS!D149="","",ORCAMENTOS!D149)</f>
        <v>AIR SUPPLY</v>
      </c>
      <c r="E141" s="38" t="str">
        <f>IF(ORCAMENTOS!E149="","",ORCAMENTOS!E149)</f>
        <v>ASSAÍ ADÉLIA FRANCO - ARACAJU-SE</v>
      </c>
      <c r="F141" s="37" t="str">
        <f>IF(ORCAMENTOS!G149="","",ORCAMENTOS!G149)</f>
        <v>Gabriel</v>
      </c>
      <c r="G141" s="37" t="str">
        <f>IF(ORCAMENTOS!H149="","",ORCAMENTOS!H149)</f>
        <v>Pedro</v>
      </c>
      <c r="H141" s="39">
        <f>IF(ORCAMENTOS!I149="","",ORCAMENTOS!I149)</f>
        <v>16228.11</v>
      </c>
      <c r="I141" s="60" t="str">
        <f>IF(ORCAMENTOS!J149="","",ORCAMENTOS!J149)</f>
        <v/>
      </c>
      <c r="J141" s="40" t="str">
        <f>IF(ORCAMENTOS!L149="","",ORCAMENTOS!L149)</f>
        <v>CANCELADO</v>
      </c>
      <c r="K141" s="34" t="str">
        <f>IF(ORCAMENTOS!M149="","",ORCAMENTOS!M149)</f>
        <v>Aguardando a aprovaçao até o começo de fev</v>
      </c>
      <c r="L141" t="str">
        <f>IF(ORCAMENTOS!R149="","",ORCAMENTOS!R149)</f>
        <v>N/E</v>
      </c>
    </row>
    <row r="142" spans="1:12" ht="15.75" hidden="1" customHeight="1" x14ac:dyDescent="0.25">
      <c r="A142" s="36">
        <f>IF(ORCAMENTOS!A150="","",ORCAMENTOS!A150)</f>
        <v>45680</v>
      </c>
      <c r="B142" s="46">
        <f>IF(ORCAMENTOS!B150="","",ORCAMENTOS!B150)</f>
        <v>140</v>
      </c>
      <c r="C142" s="46" t="str">
        <f>IF(ORCAMENTOS!C150="","",ORCAMENTOS!C150)</f>
        <v/>
      </c>
      <c r="D142" s="37" t="str">
        <f>IF(ORCAMENTOS!D150="","",ORCAMENTOS!D150)</f>
        <v>AMS INSTALACOES</v>
      </c>
      <c r="E142" s="38" t="str">
        <f>IF(ORCAMENTOS!E150="","",ORCAMENTOS!E150)</f>
        <v>ASSAÍ ADÉLIA FRANCO - ARACAJU-SE</v>
      </c>
      <c r="F142" s="37" t="str">
        <f>IF(ORCAMENTOS!G150="","",ORCAMENTOS!G150)</f>
        <v>Gabriel</v>
      </c>
      <c r="G142" s="37" t="str">
        <f>IF(ORCAMENTOS!H150="","",ORCAMENTOS!H150)</f>
        <v>Albertino</v>
      </c>
      <c r="H142" s="39">
        <f>IF(ORCAMENTOS!I150="","",ORCAMENTOS!I150)</f>
        <v>16228.11</v>
      </c>
      <c r="I142" s="60" t="str">
        <f>IF(ORCAMENTOS!J150="","",ORCAMENTOS!J150)</f>
        <v/>
      </c>
      <c r="J142" s="40" t="str">
        <f>IF(ORCAMENTOS!L150="","",ORCAMENTOS!L150)</f>
        <v>CANCELADO</v>
      </c>
      <c r="K142" s="34" t="str">
        <f>IF(ORCAMENTOS!M150="","",ORCAMENTOS!M150)</f>
        <v>-</v>
      </c>
      <c r="L142" t="str">
        <f>IF(ORCAMENTOS!R150="","",ORCAMENTOS!R150)</f>
        <v>N/E</v>
      </c>
    </row>
    <row r="143" spans="1:12" ht="15.75" hidden="1" customHeight="1" x14ac:dyDescent="0.25">
      <c r="A143" s="36">
        <f>IF(ORCAMENTOS!A151="","",ORCAMENTOS!A151)</f>
        <v>45680</v>
      </c>
      <c r="B143" s="46">
        <f>IF(ORCAMENTOS!B151="","",ORCAMENTOS!B151)</f>
        <v>141</v>
      </c>
      <c r="C143" s="46" t="str">
        <f>IF(ORCAMENTOS!C151="","",ORCAMENTOS!C151)</f>
        <v/>
      </c>
      <c r="D143" s="37" t="str">
        <f>IF(ORCAMENTOS!D151="","",ORCAMENTOS!D151)</f>
        <v>ENGPLAN</v>
      </c>
      <c r="E143" s="38" t="str">
        <f>IF(ORCAMENTOS!E151="","",ORCAMENTOS!E151)</f>
        <v>BOLSA DE IMOVEIS - EDIFICIO FARIA LIMA 2</v>
      </c>
      <c r="F143" s="37" t="str">
        <f>IF(ORCAMENTOS!G151="","",ORCAMENTOS!G151)</f>
        <v>Fernando</v>
      </c>
      <c r="G143" s="37" t="str">
        <f>IF(ORCAMENTOS!H151="","",ORCAMENTOS!H151)</f>
        <v>Genilson</v>
      </c>
      <c r="H143" s="39">
        <f>IF(ORCAMENTOS!I151="","",ORCAMENTOS!I151)</f>
        <v>1292252.81</v>
      </c>
      <c r="I143" s="60" t="str">
        <f>IF(ORCAMENTOS!J151="","",ORCAMENTOS!J151)</f>
        <v/>
      </c>
      <c r="J143" s="40" t="str">
        <f>IF(ORCAMENTOS!L151="","",ORCAMENTOS!L151)</f>
        <v>CANCELADO</v>
      </c>
      <c r="K143" s="34" t="str">
        <f>IF(ORCAMENTOS!M151="","",ORCAMENTOS!M151)</f>
        <v>PREV JULHO 2025</v>
      </c>
      <c r="L143" t="str">
        <f>IF(ORCAMENTOS!R151="","",ORCAMENTOS!R151)</f>
        <v>-</v>
      </c>
    </row>
    <row r="144" spans="1:12" ht="15.75" hidden="1" customHeight="1" x14ac:dyDescent="0.25">
      <c r="A144" s="36">
        <f>IF(ORCAMENTOS!A152="","",ORCAMENTOS!A152)</f>
        <v>45680</v>
      </c>
      <c r="B144" s="46">
        <f>IF(ORCAMENTOS!B152="","",ORCAMENTOS!B152)</f>
        <v>142</v>
      </c>
      <c r="C144" s="46" t="str">
        <f>IF(ORCAMENTOS!C152="","",ORCAMENTOS!C152)</f>
        <v/>
      </c>
      <c r="D144" s="37" t="str">
        <f>IF(ORCAMENTOS!D152="","",ORCAMENTOS!D152)</f>
        <v>ARB ASSESSORIA</v>
      </c>
      <c r="E144" s="38" t="str">
        <f>IF(ORCAMENTOS!E152="","",ORCAMENTOS!E152)</f>
        <v>-</v>
      </c>
      <c r="F144" s="37" t="str">
        <f>IF(ORCAMENTOS!G152="","",ORCAMENTOS!G152)</f>
        <v>Gabriel</v>
      </c>
      <c r="G144" s="37" t="str">
        <f>IF(ORCAMENTOS!H152="","",ORCAMENTOS!H152)</f>
        <v>Abdul</v>
      </c>
      <c r="H144" s="39">
        <f>IF(ORCAMENTOS!I152="","",ORCAMENTOS!I152)</f>
        <v>11028.59</v>
      </c>
      <c r="I144" s="60" t="str">
        <f>IF(ORCAMENTOS!J152="","",ORCAMENTOS!J152)</f>
        <v/>
      </c>
      <c r="J144" s="40" t="str">
        <f>IF(ORCAMENTOS!L152="","",ORCAMENTOS!L152)</f>
        <v>CANCELADO</v>
      </c>
      <c r="K144" s="34" t="str">
        <f>IF(ORCAMENTOS!M152="","",ORCAMENTOS!M152)</f>
        <v>-</v>
      </c>
      <c r="L144" t="str">
        <f>IF(ORCAMENTOS!R152="","",ORCAMENTOS!R152)</f>
        <v>-</v>
      </c>
    </row>
    <row r="145" spans="1:12" ht="15.75" hidden="1" customHeight="1" x14ac:dyDescent="0.25">
      <c r="A145" s="36">
        <f>IF(ORCAMENTOS!A153="","",ORCAMENTOS!A153)</f>
        <v>45680</v>
      </c>
      <c r="B145" s="46">
        <f>IF(ORCAMENTOS!B153="","",ORCAMENTOS!B153)</f>
        <v>143</v>
      </c>
      <c r="C145" s="46" t="str">
        <f>IF(ORCAMENTOS!C153="","",ORCAMENTOS!C153)</f>
        <v/>
      </c>
      <c r="D145" s="37" t="str">
        <f>IF(ORCAMENTOS!D153="","",ORCAMENTOS!D153)</f>
        <v>ASF SERVICOS</v>
      </c>
      <c r="E145" s="38" t="str">
        <f>IF(ORCAMENTOS!E153="","",ORCAMENTOS!E153)</f>
        <v>-</v>
      </c>
      <c r="F145" s="37" t="str">
        <f>IF(ORCAMENTOS!G153="","",ORCAMENTOS!G153)</f>
        <v>Fernando</v>
      </c>
      <c r="G145" s="37" t="str">
        <f>IF(ORCAMENTOS!H153="","",ORCAMENTOS!H153)</f>
        <v>Andre</v>
      </c>
      <c r="H145" s="39">
        <f>IF(ORCAMENTOS!I153="","",ORCAMENTOS!I153)</f>
        <v>5696.72</v>
      </c>
      <c r="I145" s="60" t="str">
        <f>IF(ORCAMENTOS!J153="","",ORCAMENTOS!J153)</f>
        <v/>
      </c>
      <c r="J145" s="40" t="str">
        <f>IF(ORCAMENTOS!L153="","",ORCAMENTOS!L153)</f>
        <v>FECHADO</v>
      </c>
      <c r="K145" s="34" t="str">
        <f>IF(ORCAMENTOS!M153="","",ORCAMENTOS!M153)</f>
        <v>-</v>
      </c>
      <c r="L145" t="str">
        <f>IF(ORCAMENTOS!R153="","",ORCAMENTOS!R153)</f>
        <v>-</v>
      </c>
    </row>
    <row r="146" spans="1:12" ht="15.75" hidden="1" customHeight="1" x14ac:dyDescent="0.25">
      <c r="A146" s="36">
        <f>IF(ORCAMENTOS!A154="","",ORCAMENTOS!A154)</f>
        <v>45680</v>
      </c>
      <c r="B146" s="46">
        <f>IF(ORCAMENTOS!B154="","",ORCAMENTOS!B154)</f>
        <v>144</v>
      </c>
      <c r="C146" s="46" t="str">
        <f>IF(ORCAMENTOS!C154="","",ORCAMENTOS!C154)</f>
        <v/>
      </c>
      <c r="D146" s="37" t="str">
        <f>IF(ORCAMENTOS!D154="","",ORCAMENTOS!D154)</f>
        <v xml:space="preserve">DIAGRAMA AR </v>
      </c>
      <c r="E146" s="38" t="str">
        <f>IF(ORCAMENTOS!E154="","",ORCAMENTOS!E154)</f>
        <v>BBB - EMBU DAS ARTES</v>
      </c>
      <c r="F146" s="37" t="str">
        <f>IF(ORCAMENTOS!G154="","",ORCAMENTOS!G154)</f>
        <v>Guilherme</v>
      </c>
      <c r="G146" s="37" t="str">
        <f>IF(ORCAMENTOS!H154="","",ORCAMENTOS!H154)</f>
        <v>Silvia</v>
      </c>
      <c r="H146" s="39">
        <f>IF(ORCAMENTOS!I154="","",ORCAMENTOS!I154)</f>
        <v>245690.22</v>
      </c>
      <c r="I146" s="60" t="str">
        <f>IF(ORCAMENTOS!J154="","",ORCAMENTOS!J154)</f>
        <v/>
      </c>
      <c r="J146" s="40" t="str">
        <f>IF(ORCAMENTOS!L154="","",ORCAMENTOS!L154)</f>
        <v>PERDIDO</v>
      </c>
      <c r="K146" s="34" t="str">
        <f>IF(ORCAMENTOS!M154="","",ORCAMENTOS!M154)</f>
        <v>PERDIDO - JULIO DECIDIU FECHAR COM A MULTIVAC</v>
      </c>
      <c r="L146" t="str">
        <f>IF(ORCAMENTOS!R154="","",ORCAMENTOS!R154)</f>
        <v>-</v>
      </c>
    </row>
    <row r="147" spans="1:12" ht="15.75" hidden="1" customHeight="1" x14ac:dyDescent="0.25">
      <c r="A147" s="36">
        <f>IF(ORCAMENTOS!A155="","",ORCAMENTOS!A155)</f>
        <v>45684</v>
      </c>
      <c r="B147" s="46">
        <f>IF(ORCAMENTOS!B155="","",ORCAMENTOS!B155)</f>
        <v>145</v>
      </c>
      <c r="C147" s="46" t="str">
        <f>IF(ORCAMENTOS!C155="","",ORCAMENTOS!C155)</f>
        <v/>
      </c>
      <c r="D147" s="37" t="str">
        <f>IF(ORCAMENTOS!D155="","",ORCAMENTOS!D155)</f>
        <v>MJ CLIMATIZACAO</v>
      </c>
      <c r="E147" s="38" t="str">
        <f>IF(ORCAMENTOS!E155="","",ORCAMENTOS!E155)</f>
        <v>MERCADO EXTRA - JOAO ABEL - PERUIBE - SP</v>
      </c>
      <c r="F147" s="37" t="str">
        <f>IF(ORCAMENTOS!G155="","",ORCAMENTOS!G155)</f>
        <v>Emanuel</v>
      </c>
      <c r="G147" s="37" t="str">
        <f>IF(ORCAMENTOS!H155="","",ORCAMENTOS!H155)</f>
        <v>Andreia</v>
      </c>
      <c r="H147" s="39">
        <f>IF(ORCAMENTOS!I155="","",ORCAMENTOS!I155)</f>
        <v>104704.13</v>
      </c>
      <c r="I147" s="60" t="str">
        <f>IF(ORCAMENTOS!J155="","",ORCAMENTOS!J155)</f>
        <v/>
      </c>
      <c r="J147" s="40" t="str">
        <f>IF(ORCAMENTOS!L155="","",ORCAMENTOS!L155)</f>
        <v>CANCELADO</v>
      </c>
      <c r="K147" s="34" t="str">
        <f>IF(ORCAMENTOS!M155="","",ORCAMENTOS!M155)</f>
        <v>-</v>
      </c>
      <c r="L147" t="str">
        <f>IF(ORCAMENTOS!R155="","",ORCAMENTOS!R155)</f>
        <v>N/E</v>
      </c>
    </row>
    <row r="148" spans="1:12" ht="15.75" hidden="1" customHeight="1" x14ac:dyDescent="0.25">
      <c r="A148" s="36">
        <f>IF(ORCAMENTOS!A156="","",ORCAMENTOS!A156)</f>
        <v>45681</v>
      </c>
      <c r="B148" s="46">
        <f>IF(ORCAMENTOS!B156="","",ORCAMENTOS!B156)</f>
        <v>146</v>
      </c>
      <c r="C148" s="46" t="str">
        <f>IF(ORCAMENTOS!C156="","",ORCAMENTOS!C156)</f>
        <v/>
      </c>
      <c r="D148" s="37" t="str">
        <f>IF(ORCAMENTOS!D156="","",ORCAMENTOS!D156)</f>
        <v>FRIOSHOPPING</v>
      </c>
      <c r="E148" s="38" t="str">
        <f>IF(ORCAMENTOS!E156="","",ORCAMENTOS!E156)</f>
        <v>-</v>
      </c>
      <c r="F148" s="37" t="str">
        <f>IF(ORCAMENTOS!G156="","",ORCAMENTOS!G156)</f>
        <v>Emanuel</v>
      </c>
      <c r="G148" s="37" t="str">
        <f>IF(ORCAMENTOS!H156="","",ORCAMENTOS!H156)</f>
        <v>Jose</v>
      </c>
      <c r="H148" s="39">
        <f>IF(ORCAMENTOS!I156="","",ORCAMENTOS!I156)</f>
        <v>3311.64</v>
      </c>
      <c r="I148" s="60" t="str">
        <f>IF(ORCAMENTOS!J156="","",ORCAMENTOS!J156)</f>
        <v/>
      </c>
      <c r="J148" s="40" t="str">
        <f>IF(ORCAMENTOS!L156="","",ORCAMENTOS!L156)</f>
        <v>FECHADO</v>
      </c>
      <c r="K148" s="34" t="str">
        <f>IF(ORCAMENTOS!M156="","",ORCAMENTOS!M156)</f>
        <v>-</v>
      </c>
      <c r="L148" t="str">
        <f>IF(ORCAMENTOS!R156="","",ORCAMENTOS!R156)</f>
        <v>-</v>
      </c>
    </row>
    <row r="149" spans="1:12" ht="15.75" hidden="1" customHeight="1" x14ac:dyDescent="0.25">
      <c r="A149" s="36">
        <f>IF(ORCAMENTOS!A157="","",ORCAMENTOS!A157)</f>
        <v>45680</v>
      </c>
      <c r="B149" s="46">
        <f>IF(ORCAMENTOS!B157="","",ORCAMENTOS!B157)</f>
        <v>147</v>
      </c>
      <c r="C149" s="46" t="str">
        <f>IF(ORCAMENTOS!C157="","",ORCAMENTOS!C157)</f>
        <v/>
      </c>
      <c r="D149" s="37" t="str">
        <f>IF(ORCAMENTOS!D157="","",ORCAMENTOS!D157)</f>
        <v>AIRPLAN</v>
      </c>
      <c r="E149" s="38" t="str">
        <f>IF(ORCAMENTOS!E157="","",ORCAMENTOS!E157)</f>
        <v>MERCADO EXTRA - JOAO ABEL - PERUIBE - SP</v>
      </c>
      <c r="F149" s="37" t="str">
        <f>IF(ORCAMENTOS!G157="","",ORCAMENTOS!G157)</f>
        <v>Gabriel</v>
      </c>
      <c r="G149" s="37" t="str">
        <f>IF(ORCAMENTOS!H157="","",ORCAMENTOS!H157)</f>
        <v>Laercio</v>
      </c>
      <c r="H149" s="39">
        <f>IF(ORCAMENTOS!I157="","",ORCAMENTOS!I157)</f>
        <v>110709.51</v>
      </c>
      <c r="I149" s="60" t="str">
        <f>IF(ORCAMENTOS!J157="","",ORCAMENTOS!J157)</f>
        <v/>
      </c>
      <c r="J149" s="40" t="str">
        <f>IF(ORCAMENTOS!L157="","",ORCAMENTOS!L157)</f>
        <v>CANCELADO</v>
      </c>
      <c r="K149" s="34" t="str">
        <f>IF(ORCAMENTOS!M157="","",ORCAMENTOS!M157)</f>
        <v>Aguardando retorno - Previsão comço do mês</v>
      </c>
      <c r="L149" t="str">
        <f>IF(ORCAMENTOS!R157="","",ORCAMENTOS!R157)</f>
        <v>N/E</v>
      </c>
    </row>
    <row r="150" spans="1:12" ht="15.75" hidden="1" customHeight="1" x14ac:dyDescent="0.25">
      <c r="A150" s="36">
        <f>IF(ORCAMENTOS!A158="","",ORCAMENTOS!A158)</f>
        <v>45680</v>
      </c>
      <c r="B150" s="46">
        <f>IF(ORCAMENTOS!B158="","",ORCAMENTOS!B158)</f>
        <v>148</v>
      </c>
      <c r="C150" s="46" t="str">
        <f>IF(ORCAMENTOS!C158="","",ORCAMENTOS!C158)</f>
        <v/>
      </c>
      <c r="D150" s="37" t="str">
        <f>IF(ORCAMENTOS!D158="","",ORCAMENTOS!D158)</f>
        <v>IVTEC</v>
      </c>
      <c r="E150" s="38" t="str">
        <f>IF(ORCAMENTOS!E158="","",ORCAMENTOS!E158)</f>
        <v>-</v>
      </c>
      <c r="F150" s="37" t="str">
        <f>IF(ORCAMENTOS!G158="","",ORCAMENTOS!G158)</f>
        <v>Gabriel</v>
      </c>
      <c r="G150" s="37" t="str">
        <f>IF(ORCAMENTOS!H158="","",ORCAMENTOS!H158)</f>
        <v>Carlos</v>
      </c>
      <c r="H150" s="39">
        <f>IF(ORCAMENTOS!I158="","",ORCAMENTOS!I158)</f>
        <v>7798.57</v>
      </c>
      <c r="I150" s="60" t="str">
        <f>IF(ORCAMENTOS!J158="","",ORCAMENTOS!J158)</f>
        <v/>
      </c>
      <c r="J150" s="40" t="str">
        <f>IF(ORCAMENTOS!L158="","",ORCAMENTOS!L158)</f>
        <v>FECHADO</v>
      </c>
      <c r="K150" s="34" t="str">
        <f>IF(ORCAMENTOS!M158="","",ORCAMENTOS!M158)</f>
        <v>-</v>
      </c>
      <c r="L150" t="str">
        <f>IF(ORCAMENTOS!R158="","",ORCAMENTOS!R158)</f>
        <v>-</v>
      </c>
    </row>
    <row r="151" spans="1:12" ht="15.75" hidden="1" customHeight="1" x14ac:dyDescent="0.25">
      <c r="A151" s="36">
        <f>IF(ORCAMENTOS!A159="","",ORCAMENTOS!A159)</f>
        <v>45681</v>
      </c>
      <c r="B151" s="46">
        <f>IF(ORCAMENTOS!B159="","",ORCAMENTOS!B159)</f>
        <v>149</v>
      </c>
      <c r="C151" s="46" t="str">
        <f>IF(ORCAMENTOS!C159="","",ORCAMENTOS!C159)</f>
        <v/>
      </c>
      <c r="D151" s="37" t="str">
        <f>IF(ORCAMENTOS!D159="","",ORCAMENTOS!D159)</f>
        <v>ECOTHERM</v>
      </c>
      <c r="E151" s="38" t="str">
        <f>IF(ORCAMENTOS!E159="","",ORCAMENTOS!E159)</f>
        <v>USP RIBEIRÃO PRETO</v>
      </c>
      <c r="F151" s="37" t="str">
        <f>IF(ORCAMENTOS!G159="","",ORCAMENTOS!G159)</f>
        <v>Emanuel</v>
      </c>
      <c r="G151" s="37" t="str">
        <f>IF(ORCAMENTOS!H159="","",ORCAMENTOS!H159)</f>
        <v>Selma</v>
      </c>
      <c r="H151" s="39">
        <f>IF(ORCAMENTOS!I159="","",ORCAMENTOS!I159)</f>
        <v>142256.29999999999</v>
      </c>
      <c r="I151" s="60" t="str">
        <f>IF(ORCAMENTOS!J159="","",ORCAMENTOS!J159)</f>
        <v/>
      </c>
      <c r="J151" s="40" t="str">
        <f>IF(ORCAMENTOS!L159="","",ORCAMENTOS!L159)</f>
        <v>FECHADO</v>
      </c>
      <c r="K151" s="34" t="str">
        <f>IF(ORCAMENTOS!M159="","",ORCAMENTOS!M159)</f>
        <v>-</v>
      </c>
      <c r="L151" t="str">
        <f>IF(ORCAMENTOS!R159="","",ORCAMENTOS!R159)</f>
        <v>-</v>
      </c>
    </row>
    <row r="152" spans="1:12" ht="15.75" hidden="1" customHeight="1" x14ac:dyDescent="0.25">
      <c r="A152" s="36">
        <f>IF(ORCAMENTOS!A160="","",ORCAMENTOS!A160)</f>
        <v>45680</v>
      </c>
      <c r="B152" s="46">
        <f>IF(ORCAMENTOS!B160="","",ORCAMENTOS!B160)</f>
        <v>150</v>
      </c>
      <c r="C152" s="46" t="str">
        <f>IF(ORCAMENTOS!C160="","",ORCAMENTOS!C160)</f>
        <v/>
      </c>
      <c r="D152" s="37" t="str">
        <f>IF(ORCAMENTOS!D160="","",ORCAMENTOS!D160)</f>
        <v>CATELAN</v>
      </c>
      <c r="E152" s="38" t="str">
        <f>IF(ORCAMENTOS!E160="","",ORCAMENTOS!E160)</f>
        <v>-</v>
      </c>
      <c r="F152" s="37" t="str">
        <f>IF(ORCAMENTOS!G160="","",ORCAMENTOS!G160)</f>
        <v>Gabriel</v>
      </c>
      <c r="G152" s="37" t="str">
        <f>IF(ORCAMENTOS!H160="","",ORCAMENTOS!H160)</f>
        <v>Priscila</v>
      </c>
      <c r="H152" s="39">
        <f>IF(ORCAMENTOS!I160="","",ORCAMENTOS!I160)</f>
        <v>2860.64</v>
      </c>
      <c r="I152" s="60" t="str">
        <f>IF(ORCAMENTOS!J160="","",ORCAMENTOS!J160)</f>
        <v/>
      </c>
      <c r="J152" s="40" t="str">
        <f>IF(ORCAMENTOS!L160="","",ORCAMENTOS!L160)</f>
        <v>CANCELADO</v>
      </c>
      <c r="K152" s="34" t="str">
        <f>IF(ORCAMENTOS!M160="","",ORCAMENTOS!M160)</f>
        <v>-</v>
      </c>
      <c r="L152" t="str">
        <f>IF(ORCAMENTOS!R160="","",ORCAMENTOS!R160)</f>
        <v>-</v>
      </c>
    </row>
    <row r="153" spans="1:12" ht="15.75" hidden="1" customHeight="1" x14ac:dyDescent="0.25">
      <c r="A153" s="36">
        <f>IF(ORCAMENTOS!A161="","",ORCAMENTOS!A161)</f>
        <v>45681</v>
      </c>
      <c r="B153" s="46">
        <f>IF(ORCAMENTOS!B161="","",ORCAMENTOS!B161)</f>
        <v>151</v>
      </c>
      <c r="C153" s="46" t="str">
        <f>IF(ORCAMENTOS!C161="","",ORCAMENTOS!C161)</f>
        <v/>
      </c>
      <c r="D153" s="37" t="str">
        <f>IF(ORCAMENTOS!D161="","",ORCAMENTOS!D161)</f>
        <v>ECOLOGIC AIR</v>
      </c>
      <c r="E153" s="38" t="str">
        <f>IF(ORCAMENTOS!E161="","",ORCAMENTOS!E161)</f>
        <v>ATACADAO - PAU DA LIMA - SALVADOR - BA</v>
      </c>
      <c r="F153" s="37" t="str">
        <f>IF(ORCAMENTOS!G161="","",ORCAMENTOS!G161)</f>
        <v>Michel</v>
      </c>
      <c r="G153" s="37" t="str">
        <f>IF(ORCAMENTOS!H161="","",ORCAMENTOS!H161)</f>
        <v>Wellington</v>
      </c>
      <c r="H153" s="39">
        <f>IF(ORCAMENTOS!I161="","",ORCAMENTOS!I161)</f>
        <v>153968.97</v>
      </c>
      <c r="I153" s="60" t="str">
        <f>IF(ORCAMENTOS!J161="","",ORCAMENTOS!J161)</f>
        <v/>
      </c>
      <c r="J153" s="40" t="str">
        <f>IF(ORCAMENTOS!L161="","",ORCAMENTOS!L161)</f>
        <v>CANCELADO</v>
      </c>
      <c r="K153" s="34" t="str">
        <f>IF(ORCAMENTOS!M161="","",ORCAMENTOS!M161)</f>
        <v>-</v>
      </c>
      <c r="L153" t="str">
        <f>IF(ORCAMENTOS!R161="","",ORCAMENTOS!R161)</f>
        <v>N/E</v>
      </c>
    </row>
    <row r="154" spans="1:12" ht="15.75" hidden="1" customHeight="1" x14ac:dyDescent="0.25">
      <c r="A154" s="36">
        <f>IF(ORCAMENTOS!A162="","",ORCAMENTOS!A162)</f>
        <v>45681</v>
      </c>
      <c r="B154" s="46">
        <f>IF(ORCAMENTOS!B162="","",ORCAMENTOS!B162)</f>
        <v>152</v>
      </c>
      <c r="C154" s="46" t="str">
        <f>IF(ORCAMENTOS!C162="","",ORCAMENTOS!C162)</f>
        <v/>
      </c>
      <c r="D154" s="37" t="str">
        <f>IF(ORCAMENTOS!D162="","",ORCAMENTOS!D162)</f>
        <v>NEWSET</v>
      </c>
      <c r="E154" s="38" t="str">
        <f>IF(ORCAMENTOS!E162="","",ORCAMENTOS!E162)</f>
        <v>OSPITAL SÃO LUIZ - ALPHAMED - UTI - ENDOSCOPIA</v>
      </c>
      <c r="F154" s="37" t="str">
        <f>IF(ORCAMENTOS!G162="","",ORCAMENTOS!G162)</f>
        <v xml:space="preserve">Aldavir </v>
      </c>
      <c r="G154" s="37" t="str">
        <f>IF(ORCAMENTOS!H162="","",ORCAMENTOS!H162)</f>
        <v>Gustavo</v>
      </c>
      <c r="H154" s="39">
        <f>IF(ORCAMENTOS!I162="","",ORCAMENTOS!I162)</f>
        <v>45994.11</v>
      </c>
      <c r="I154" s="60" t="str">
        <f>IF(ORCAMENTOS!J162="","",ORCAMENTOS!J162)</f>
        <v/>
      </c>
      <c r="J154" s="40" t="str">
        <f>IF(ORCAMENTOS!L162="","",ORCAMENTOS!L162)</f>
        <v>PERDIDO</v>
      </c>
      <c r="K154" s="34" t="str">
        <f>IF(ORCAMENTOS!M162="","",ORCAMENTOS!M162)</f>
        <v>NÃO CONSEGUIMOS ATENDER AO PRAZO</v>
      </c>
      <c r="L154" t="str">
        <f>IF(ORCAMENTOS!R162="","",ORCAMENTOS!R162)</f>
        <v>-</v>
      </c>
    </row>
    <row r="155" spans="1:12" ht="15.75" hidden="1" customHeight="1" x14ac:dyDescent="0.25">
      <c r="A155" s="36">
        <f>IF(ORCAMENTOS!A163="","",ORCAMENTOS!A163)</f>
        <v>45681</v>
      </c>
      <c r="B155" s="46">
        <f>IF(ORCAMENTOS!B163="","",ORCAMENTOS!B163)</f>
        <v>153</v>
      </c>
      <c r="C155" s="46" t="str">
        <f>IF(ORCAMENTOS!C163="","",ORCAMENTOS!C163)</f>
        <v/>
      </c>
      <c r="D155" s="37" t="str">
        <f>IF(ORCAMENTOS!D163="","",ORCAMENTOS!D163)</f>
        <v>AMS INSTALACOES</v>
      </c>
      <c r="E155" s="38" t="str">
        <f>IF(ORCAMENTOS!E163="","",ORCAMENTOS!E163)</f>
        <v>ATACADAO - BANGU SHOPPING - RIO DE JANEIRO - RJ</v>
      </c>
      <c r="F155" s="37" t="str">
        <f>IF(ORCAMENTOS!G163="","",ORCAMENTOS!G163)</f>
        <v>Gabriel</v>
      </c>
      <c r="G155" s="37" t="str">
        <f>IF(ORCAMENTOS!H163="","",ORCAMENTOS!H163)</f>
        <v>Albertino</v>
      </c>
      <c r="H155" s="39">
        <f>IF(ORCAMENTOS!I163="","",ORCAMENTOS!I163)</f>
        <v>24804.080000000002</v>
      </c>
      <c r="I155" s="60" t="str">
        <f>IF(ORCAMENTOS!J163="","",ORCAMENTOS!J163)</f>
        <v/>
      </c>
      <c r="J155" s="40" t="str">
        <f>IF(ORCAMENTOS!L163="","",ORCAMENTOS!L163)</f>
        <v>CANCELADO</v>
      </c>
      <c r="K155" s="34" t="str">
        <f>IF(ORCAMENTOS!M163="","",ORCAMENTOS!M163)</f>
        <v>-</v>
      </c>
      <c r="L155" t="str">
        <f>IF(ORCAMENTOS!R163="","",ORCAMENTOS!R163)</f>
        <v>N/E</v>
      </c>
    </row>
    <row r="156" spans="1:12" ht="15.75" hidden="1" customHeight="1" x14ac:dyDescent="0.25">
      <c r="A156" s="36">
        <f>IF(ORCAMENTOS!A164="","",ORCAMENTOS!A164)</f>
        <v>45681</v>
      </c>
      <c r="B156" s="46">
        <f>IF(ORCAMENTOS!B164="","",ORCAMENTOS!B164)</f>
        <v>154</v>
      </c>
      <c r="C156" s="46" t="str">
        <f>IF(ORCAMENTOS!C164="","",ORCAMENTOS!C164)</f>
        <v/>
      </c>
      <c r="D156" s="37" t="str">
        <f>IF(ORCAMENTOS!D164="","",ORCAMENTOS!D164)</f>
        <v>CONFORTO ENGENHARIA</v>
      </c>
      <c r="E156" s="38" t="str">
        <f>IF(ORCAMENTOS!E164="","",ORCAMENTOS!E164)</f>
        <v>-</v>
      </c>
      <c r="F156" s="37" t="str">
        <f>IF(ORCAMENTOS!G164="","",ORCAMENTOS!G164)</f>
        <v>Michel</v>
      </c>
      <c r="G156" s="37" t="str">
        <f>IF(ORCAMENTOS!H164="","",ORCAMENTOS!H164)</f>
        <v>Domicio</v>
      </c>
      <c r="H156" s="39">
        <f>IF(ORCAMENTOS!I164="","",ORCAMENTOS!I164)</f>
        <v>31684.52</v>
      </c>
      <c r="I156" s="60" t="str">
        <f>IF(ORCAMENTOS!J164="","",ORCAMENTOS!J164)</f>
        <v/>
      </c>
      <c r="J156" s="40" t="str">
        <f>IF(ORCAMENTOS!L164="","",ORCAMENTOS!L164)</f>
        <v>CANCELADO</v>
      </c>
      <c r="K156" s="34" t="str">
        <f>IF(ORCAMENTOS!M164="","",ORCAMENTOS!M164)</f>
        <v>-</v>
      </c>
      <c r="L156" t="str">
        <f>IF(ORCAMENTOS!R164="","",ORCAMENTOS!R164)</f>
        <v>-</v>
      </c>
    </row>
    <row r="157" spans="1:12" ht="15.75" hidden="1" customHeight="1" x14ac:dyDescent="0.25">
      <c r="A157" s="36">
        <f>IF(ORCAMENTOS!A165="","",ORCAMENTOS!A165)</f>
        <v>45681</v>
      </c>
      <c r="B157" s="46">
        <f>IF(ORCAMENTOS!B165="","",ORCAMENTOS!B165)</f>
        <v>155</v>
      </c>
      <c r="C157" s="46" t="str">
        <f>IF(ORCAMENTOS!C165="","",ORCAMENTOS!C165)</f>
        <v/>
      </c>
      <c r="D157" s="37" t="str">
        <f>IF(ORCAMENTOS!D165="","",ORCAMENTOS!D165)</f>
        <v>CLIMA SPACE</v>
      </c>
      <c r="E157" s="38" t="str">
        <f>IF(ORCAMENTOS!E165="","",ORCAMENTOS!E165)</f>
        <v>SHIBATA</v>
      </c>
      <c r="F157" s="37" t="str">
        <f>IF(ORCAMENTOS!G165="","",ORCAMENTOS!G165)</f>
        <v xml:space="preserve">Aldavir </v>
      </c>
      <c r="G157" s="37" t="str">
        <f>IF(ORCAMENTOS!H165="","",ORCAMENTOS!H165)</f>
        <v>Sirley</v>
      </c>
      <c r="H157" s="39">
        <f>IF(ORCAMENTOS!I165="","",ORCAMENTOS!I165)</f>
        <v>7339.48</v>
      </c>
      <c r="I157" s="60" t="str">
        <f>IF(ORCAMENTOS!J165="","",ORCAMENTOS!J165)</f>
        <v/>
      </c>
      <c r="J157" s="40" t="str">
        <f>IF(ORCAMENTOS!L165="","",ORCAMENTOS!L165)</f>
        <v>PERDIDO</v>
      </c>
      <c r="K157" s="34" t="str">
        <f>IF(ORCAMENTOS!M165="","",ORCAMENTOS!M165)</f>
        <v>-</v>
      </c>
      <c r="L157" t="str">
        <f>IF(ORCAMENTOS!R165="","",ORCAMENTOS!R165)</f>
        <v>-</v>
      </c>
    </row>
    <row r="158" spans="1:12" ht="15.75" hidden="1" customHeight="1" x14ac:dyDescent="0.25">
      <c r="A158" s="36">
        <f>IF(ORCAMENTOS!A166="","",ORCAMENTOS!A166)</f>
        <v>45681</v>
      </c>
      <c r="B158" s="46">
        <f>IF(ORCAMENTOS!B166="","",ORCAMENTOS!B166)</f>
        <v>156</v>
      </c>
      <c r="C158" s="46" t="str">
        <f>IF(ORCAMENTOS!C166="","",ORCAMENTOS!C166)</f>
        <v/>
      </c>
      <c r="D158" s="37" t="str">
        <f>IF(ORCAMENTOS!D166="","",ORCAMENTOS!D166)</f>
        <v>ERGO ENGENHARIA</v>
      </c>
      <c r="E158" s="38" t="str">
        <f>IF(ORCAMENTOS!E166="","",ORCAMENTOS!E166)</f>
        <v>EUROFARMA</v>
      </c>
      <c r="F158" s="37" t="str">
        <f>IF(ORCAMENTOS!G166="","",ORCAMENTOS!G166)</f>
        <v xml:space="preserve">Aldavir </v>
      </c>
      <c r="G158" s="37" t="str">
        <f>IF(ORCAMENTOS!H166="","",ORCAMENTOS!H166)</f>
        <v>Marcos</v>
      </c>
      <c r="H158" s="39">
        <f>IF(ORCAMENTOS!I166="","",ORCAMENTOS!I166)</f>
        <v>1941.2</v>
      </c>
      <c r="I158" s="60" t="str">
        <f>IF(ORCAMENTOS!J166="","",ORCAMENTOS!J166)</f>
        <v/>
      </c>
      <c r="J158" s="40" t="str">
        <f>IF(ORCAMENTOS!L166="","",ORCAMENTOS!L166)</f>
        <v>FECHADO</v>
      </c>
      <c r="K158" s="34" t="str">
        <f>IF(ORCAMENTOS!M166="","",ORCAMENTOS!M166)</f>
        <v/>
      </c>
      <c r="L158" t="str">
        <f>IF(ORCAMENTOS!R166="","",ORCAMENTOS!R166)</f>
        <v/>
      </c>
    </row>
    <row r="159" spans="1:12" ht="15.75" hidden="1" customHeight="1" x14ac:dyDescent="0.25">
      <c r="A159" s="36">
        <f>IF(ORCAMENTOS!A167="","",ORCAMENTOS!A167)</f>
        <v>45681</v>
      </c>
      <c r="B159" s="46">
        <f>IF(ORCAMENTOS!B167="","",ORCAMENTOS!B167)</f>
        <v>157</v>
      </c>
      <c r="C159" s="46" t="str">
        <f>IF(ORCAMENTOS!C167="","",ORCAMENTOS!C167)</f>
        <v/>
      </c>
      <c r="D159" s="37" t="str">
        <f>IF(ORCAMENTOS!D167="","",ORCAMENTOS!D167)</f>
        <v>THERMOMATIC</v>
      </c>
      <c r="E159" s="38" t="str">
        <f>IF(ORCAMENTOS!E167="","",ORCAMENTOS!E167)</f>
        <v>-</v>
      </c>
      <c r="F159" s="37" t="str">
        <f>IF(ORCAMENTOS!G167="","",ORCAMENTOS!G167)</f>
        <v>Gabriel</v>
      </c>
      <c r="G159" s="37" t="str">
        <f>IF(ORCAMENTOS!H167="","",ORCAMENTOS!H167)</f>
        <v>Michel</v>
      </c>
      <c r="H159" s="39">
        <f>IF(ORCAMENTOS!I167="","",ORCAMENTOS!I167)</f>
        <v>20548.89</v>
      </c>
      <c r="I159" s="60" t="str">
        <f>IF(ORCAMENTOS!J167="","",ORCAMENTOS!J167)</f>
        <v/>
      </c>
      <c r="J159" s="40" t="str">
        <f>IF(ORCAMENTOS!L167="","",ORCAMENTOS!L167)</f>
        <v>CANCELADO</v>
      </c>
      <c r="K159" s="34" t="str">
        <f>IF(ORCAMENTOS!M167="","",ORCAMENTOS!M167)</f>
        <v>-</v>
      </c>
      <c r="L159" t="str">
        <f>IF(ORCAMENTOS!R167="","",ORCAMENTOS!R167)</f>
        <v>-</v>
      </c>
    </row>
    <row r="160" spans="1:12" ht="15.75" hidden="1" customHeight="1" x14ac:dyDescent="0.25">
      <c r="A160" s="36">
        <f>IF(ORCAMENTOS!A168="","",ORCAMENTOS!A168)</f>
        <v>45681</v>
      </c>
      <c r="B160" s="46">
        <f>IF(ORCAMENTOS!B168="","",ORCAMENTOS!B168)</f>
        <v>158</v>
      </c>
      <c r="C160" s="46" t="str">
        <f>IF(ORCAMENTOS!C168="","",ORCAMENTOS!C168)</f>
        <v/>
      </c>
      <c r="D160" s="37" t="str">
        <f>IF(ORCAMENTOS!D168="","",ORCAMENTOS!D168)</f>
        <v>ALECRIM FESTAS</v>
      </c>
      <c r="E160" s="38" t="str">
        <f>IF(ORCAMENTOS!E168="","",ORCAMENTOS!E168)</f>
        <v>-</v>
      </c>
      <c r="F160" s="37" t="str">
        <f>IF(ORCAMENTOS!G168="","",ORCAMENTOS!G168)</f>
        <v>Gabriel</v>
      </c>
      <c r="G160" s="37" t="str">
        <f>IF(ORCAMENTOS!H168="","",ORCAMENTOS!H168)</f>
        <v>Diego</v>
      </c>
      <c r="H160" s="39">
        <f>IF(ORCAMENTOS!I168="","",ORCAMENTOS!I168)</f>
        <v>32417.1</v>
      </c>
      <c r="I160" s="60" t="str">
        <f>IF(ORCAMENTOS!J168="","",ORCAMENTOS!J168)</f>
        <v/>
      </c>
      <c r="J160" s="40" t="str">
        <f>IF(ORCAMENTOS!L168="","",ORCAMENTOS!L168)</f>
        <v>CANCELADO</v>
      </c>
      <c r="K160" s="34" t="str">
        <f>IF(ORCAMENTOS!M168="","",ORCAMENTOS!M168)</f>
        <v>Aguardando o OK para finalizar a compra</v>
      </c>
      <c r="L160" t="str">
        <f>IF(ORCAMENTOS!R168="","",ORCAMENTOS!R168)</f>
        <v>-</v>
      </c>
    </row>
    <row r="161" spans="1:12" ht="15.75" hidden="1" customHeight="1" x14ac:dyDescent="0.25">
      <c r="A161" s="36">
        <f>IF(ORCAMENTOS!A169="","",ORCAMENTOS!A169)</f>
        <v>45681</v>
      </c>
      <c r="B161" s="46">
        <f>IF(ORCAMENTOS!B169="","",ORCAMENTOS!B169)</f>
        <v>159</v>
      </c>
      <c r="C161" s="46" t="str">
        <f>IF(ORCAMENTOS!C169="","",ORCAMENTOS!C169)</f>
        <v/>
      </c>
      <c r="D161" s="37" t="str">
        <f>IF(ORCAMENTOS!D169="","",ORCAMENTOS!D169)</f>
        <v>CLIMAARC</v>
      </c>
      <c r="E161" s="38" t="str">
        <f>IF(ORCAMENTOS!E169="","",ORCAMENTOS!E169)</f>
        <v>PIRACAM</v>
      </c>
      <c r="F161" s="37" t="str">
        <f>IF(ORCAMENTOS!G169="","",ORCAMENTOS!G169)</f>
        <v xml:space="preserve">Aldavir </v>
      </c>
      <c r="G161" s="37" t="str">
        <f>IF(ORCAMENTOS!H169="","",ORCAMENTOS!H169)</f>
        <v>Vilma</v>
      </c>
      <c r="H161" s="39">
        <f>IF(ORCAMENTOS!I169="","",ORCAMENTOS!I169)</f>
        <v>36402.68</v>
      </c>
      <c r="I161" s="60" t="str">
        <f>IF(ORCAMENTOS!J169="","",ORCAMENTOS!J169)</f>
        <v/>
      </c>
      <c r="J161" s="40" t="str">
        <f>IF(ORCAMENTOS!L169="","",ORCAMENTOS!L169)</f>
        <v>CANCELADO</v>
      </c>
      <c r="K161" s="34" t="str">
        <f>IF(ORCAMENTOS!M169="","",ORCAMENTOS!M169)</f>
        <v>OBRA PERDIDA</v>
      </c>
      <c r="L161" t="str">
        <f>IF(ORCAMENTOS!R169="","",ORCAMENTOS!R169)</f>
        <v/>
      </c>
    </row>
    <row r="162" spans="1:12" ht="15.75" hidden="1" customHeight="1" x14ac:dyDescent="0.25">
      <c r="A162" s="36">
        <f>IF(ORCAMENTOS!A170="","",ORCAMENTOS!A170)</f>
        <v>45684</v>
      </c>
      <c r="B162" s="46">
        <f>IF(ORCAMENTOS!B170="","",ORCAMENTOS!B170)</f>
        <v>160</v>
      </c>
      <c r="C162" s="46" t="str">
        <f>IF(ORCAMENTOS!C170="","",ORCAMENTOS!C170)</f>
        <v/>
      </c>
      <c r="D162" s="37" t="str">
        <f>IF(ORCAMENTOS!D170="","",ORCAMENTOS!D170)</f>
        <v>TGE ENERGIA</v>
      </c>
      <c r="E162" s="38" t="str">
        <f>IF(ORCAMENTOS!E170="","",ORCAMENTOS!E170)</f>
        <v>-</v>
      </c>
      <c r="F162" s="37" t="str">
        <f>IF(ORCAMENTOS!G170="","",ORCAMENTOS!G170)</f>
        <v>Gabriel</v>
      </c>
      <c r="G162" s="37" t="str">
        <f>IF(ORCAMENTOS!H170="","",ORCAMENTOS!H170)</f>
        <v>Ronnie</v>
      </c>
      <c r="H162" s="39">
        <f>IF(ORCAMENTOS!I170="","",ORCAMENTOS!I170)</f>
        <v>3080.71</v>
      </c>
      <c r="I162" s="60" t="str">
        <f>IF(ORCAMENTOS!J170="","",ORCAMENTOS!J170)</f>
        <v/>
      </c>
      <c r="J162" s="40" t="str">
        <f>IF(ORCAMENTOS!L170="","",ORCAMENTOS!L170)</f>
        <v>CANCELADO</v>
      </c>
      <c r="K162" s="34" t="str">
        <f>IF(ORCAMENTOS!M170="","",ORCAMENTOS!M170)</f>
        <v>-</v>
      </c>
      <c r="L162" t="str">
        <f>IF(ORCAMENTOS!R170="","",ORCAMENTOS!R170)</f>
        <v>-</v>
      </c>
    </row>
    <row r="163" spans="1:12" ht="15.75" hidden="1" customHeight="1" x14ac:dyDescent="0.25">
      <c r="A163" s="36">
        <f>IF(ORCAMENTOS!A171="","",ORCAMENTOS!A171)</f>
        <v>45684</v>
      </c>
      <c r="B163" s="46">
        <f>IF(ORCAMENTOS!B171="","",ORCAMENTOS!B171)</f>
        <v>161</v>
      </c>
      <c r="C163" s="46" t="str">
        <f>IF(ORCAMENTOS!C171="","",ORCAMENTOS!C171)</f>
        <v/>
      </c>
      <c r="D163" s="37" t="str">
        <f>IF(ORCAMENTOS!D171="","",ORCAMENTOS!D171)</f>
        <v>AWA AR CONDICIONADO</v>
      </c>
      <c r="E163" s="38" t="str">
        <f>IF(ORCAMENTOS!E171="","",ORCAMENTOS!E171)</f>
        <v>MERCADO EXTRA - JOAO ABEL - PERUIBE - SP</v>
      </c>
      <c r="F163" s="37" t="str">
        <f>IF(ORCAMENTOS!G171="","",ORCAMENTOS!G171)</f>
        <v>Guilherme</v>
      </c>
      <c r="G163" s="37" t="str">
        <f>IF(ORCAMENTOS!H171="","",ORCAMENTOS!H171)</f>
        <v>Gustavo</v>
      </c>
      <c r="H163" s="39">
        <f>IF(ORCAMENTOS!I171="","",ORCAMENTOS!I171)</f>
        <v>104704.13</v>
      </c>
      <c r="I163" s="60" t="str">
        <f>IF(ORCAMENTOS!J171="","",ORCAMENTOS!J171)</f>
        <v/>
      </c>
      <c r="J163" s="40" t="str">
        <f>IF(ORCAMENTOS!L171="","",ORCAMENTOS!L171)</f>
        <v>CANCELADO</v>
      </c>
      <c r="K163" s="34" t="str">
        <f>IF(ORCAMENTOS!M171="","",ORCAMENTOS!M171)</f>
        <v>CLIENTE PERDEU A OBRA</v>
      </c>
      <c r="L163" t="str">
        <f>IF(ORCAMENTOS!R171="","",ORCAMENTOS!R171)</f>
        <v>N/E</v>
      </c>
    </row>
    <row r="164" spans="1:12" ht="15.75" hidden="1" customHeight="1" x14ac:dyDescent="0.25">
      <c r="A164" s="36">
        <f>IF(ORCAMENTOS!A172="","",ORCAMENTOS!A172)</f>
        <v>45684</v>
      </c>
      <c r="B164" s="46">
        <f>IF(ORCAMENTOS!B172="","",ORCAMENTOS!B172)</f>
        <v>162</v>
      </c>
      <c r="C164" s="46" t="str">
        <f>IF(ORCAMENTOS!C172="","",ORCAMENTOS!C172)</f>
        <v/>
      </c>
      <c r="D164" s="37" t="str">
        <f>IF(ORCAMENTOS!D172="","",ORCAMENTOS!D172)</f>
        <v>AWA AR CONDICIONADO</v>
      </c>
      <c r="E164" s="38" t="str">
        <f>IF(ORCAMENTOS!E172="","",ORCAMENTOS!E172)</f>
        <v>D'FAMY EMPREENDIMENTOS E PARTICIPACOES - OSASCO - SP</v>
      </c>
      <c r="F164" s="37" t="str">
        <f>IF(ORCAMENTOS!G172="","",ORCAMENTOS!G172)</f>
        <v>Guilherme</v>
      </c>
      <c r="G164" s="37" t="str">
        <f>IF(ORCAMENTOS!H172="","",ORCAMENTOS!H172)</f>
        <v>Maria Julia</v>
      </c>
      <c r="H164" s="39">
        <f>IF(ORCAMENTOS!I172="","",ORCAMENTOS!I172)</f>
        <v>4400.03</v>
      </c>
      <c r="I164" s="60" t="str">
        <f>IF(ORCAMENTOS!J172="","",ORCAMENTOS!J172)</f>
        <v/>
      </c>
      <c r="J164" s="40" t="str">
        <f>IF(ORCAMENTOS!L172="","",ORCAMENTOS!L172)</f>
        <v>CANCELADO</v>
      </c>
      <c r="K164" s="34" t="str">
        <f>IF(ORCAMENTOS!M172="","",ORCAMENTOS!M172)</f>
        <v>CLIENTE PERDEU A OBRA</v>
      </c>
      <c r="L164" t="str">
        <f>IF(ORCAMENTOS!R172="","",ORCAMENTOS!R172)</f>
        <v>-</v>
      </c>
    </row>
    <row r="165" spans="1:12" ht="15.75" hidden="1" customHeight="1" x14ac:dyDescent="0.25">
      <c r="A165" s="36">
        <f>IF(ORCAMENTOS!A173="","",ORCAMENTOS!A173)</f>
        <v>45684</v>
      </c>
      <c r="B165" s="46">
        <f>IF(ORCAMENTOS!B173="","",ORCAMENTOS!B173)</f>
        <v>163</v>
      </c>
      <c r="C165" s="46" t="str">
        <f>IF(ORCAMENTOS!C173="","",ORCAMENTOS!C173)</f>
        <v/>
      </c>
      <c r="D165" s="37" t="str">
        <f>IF(ORCAMENTOS!D173="","",ORCAMENTOS!D173)</f>
        <v>ENFOSOL ENGENHARIA</v>
      </c>
      <c r="E165" s="38" t="str">
        <f>IF(ORCAMENTOS!E173="","",ORCAMENTOS!E173)</f>
        <v>GRACO - JUNDIAI - SP</v>
      </c>
      <c r="F165" s="37" t="str">
        <f>IF(ORCAMENTOS!G173="","",ORCAMENTOS!G173)</f>
        <v>Gabriel</v>
      </c>
      <c r="G165" s="37" t="str">
        <f>IF(ORCAMENTOS!H173="","",ORCAMENTOS!H173)</f>
        <v>Pamela</v>
      </c>
      <c r="H165" s="39">
        <f>IF(ORCAMENTOS!I173="","",ORCAMENTOS!I173)</f>
        <v>9154.32</v>
      </c>
      <c r="I165" s="60" t="str">
        <f>IF(ORCAMENTOS!J173="","",ORCAMENTOS!J173)</f>
        <v/>
      </c>
      <c r="J165" s="40" t="str">
        <f>IF(ORCAMENTOS!L173="","",ORCAMENTOS!L173)</f>
        <v>PERDIDO</v>
      </c>
      <c r="K165" s="34" t="str">
        <f>IF(ORCAMENTOS!M173="","",ORCAMENTOS!M173)</f>
        <v>PACOTE</v>
      </c>
      <c r="L165" t="str">
        <f>IF(ORCAMENTOS!R173="","",ORCAMENTOS!R173)</f>
        <v>-</v>
      </c>
    </row>
    <row r="166" spans="1:12" ht="15.75" hidden="1" customHeight="1" x14ac:dyDescent="0.25">
      <c r="A166" s="36">
        <f>IF(ORCAMENTOS!A174="","",ORCAMENTOS!A174)</f>
        <v>45684</v>
      </c>
      <c r="B166" s="46">
        <f>IF(ORCAMENTOS!B174="","",ORCAMENTOS!B174)</f>
        <v>164</v>
      </c>
      <c r="C166" s="46" t="str">
        <f>IF(ORCAMENTOS!C174="","",ORCAMENTOS!C174)</f>
        <v/>
      </c>
      <c r="D166" s="37" t="str">
        <f>IF(ORCAMENTOS!D174="","",ORCAMENTOS!D174)</f>
        <v>CELSO DE LIMA</v>
      </c>
      <c r="E166" s="38" t="str">
        <f>IF(ORCAMENTOS!E174="","",ORCAMENTOS!E174)</f>
        <v>-</v>
      </c>
      <c r="F166" s="37" t="str">
        <f>IF(ORCAMENTOS!G174="","",ORCAMENTOS!G174)</f>
        <v>Gabriel</v>
      </c>
      <c r="G166" s="37" t="str">
        <f>IF(ORCAMENTOS!H174="","",ORCAMENTOS!H174)</f>
        <v>Celso</v>
      </c>
      <c r="H166" s="39">
        <f>IF(ORCAMENTOS!I174="","",ORCAMENTOS!I174)</f>
        <v>2862.92</v>
      </c>
      <c r="I166" s="60" t="str">
        <f>IF(ORCAMENTOS!J174="","",ORCAMENTOS!J174)</f>
        <v/>
      </c>
      <c r="J166" s="40" t="str">
        <f>IF(ORCAMENTOS!L174="","",ORCAMENTOS!L174)</f>
        <v>FECHADO</v>
      </c>
      <c r="K166" s="34" t="str">
        <f>IF(ORCAMENTOS!M174="","",ORCAMENTOS!M174)</f>
        <v>-</v>
      </c>
      <c r="L166" t="str">
        <f>IF(ORCAMENTOS!R174="","",ORCAMENTOS!R174)</f>
        <v>-</v>
      </c>
    </row>
    <row r="167" spans="1:12" ht="15.75" hidden="1" customHeight="1" x14ac:dyDescent="0.25">
      <c r="A167" s="36">
        <f>IF(ORCAMENTOS!A175="","",ORCAMENTOS!A175)</f>
        <v>45684</v>
      </c>
      <c r="B167" s="46">
        <f>IF(ORCAMENTOS!B175="","",ORCAMENTOS!B175)</f>
        <v>165</v>
      </c>
      <c r="C167" s="46" t="str">
        <f>IF(ORCAMENTOS!C175="","",ORCAMENTOS!C175)</f>
        <v/>
      </c>
      <c r="D167" s="37" t="str">
        <f>IF(ORCAMENTOS!D175="","",ORCAMENTOS!D175)</f>
        <v>THERMOMATIC</v>
      </c>
      <c r="E167" s="38" t="str">
        <f>IF(ORCAMENTOS!E175="","",ORCAMENTOS!E175)</f>
        <v>-</v>
      </c>
      <c r="F167" s="37" t="str">
        <f>IF(ORCAMENTOS!G175="","",ORCAMENTOS!G175)</f>
        <v>Gabriel</v>
      </c>
      <c r="G167" s="37" t="str">
        <f>IF(ORCAMENTOS!H175="","",ORCAMENTOS!H175)</f>
        <v>Calil</v>
      </c>
      <c r="H167" s="39">
        <f>IF(ORCAMENTOS!I175="","",ORCAMENTOS!I175)</f>
        <v>17729.38</v>
      </c>
      <c r="I167" s="60" t="str">
        <f>IF(ORCAMENTOS!J175="","",ORCAMENTOS!J175)</f>
        <v/>
      </c>
      <c r="J167" s="40" t="str">
        <f>IF(ORCAMENTOS!L175="","",ORCAMENTOS!L175)</f>
        <v>FECHADO</v>
      </c>
      <c r="K167" s="34" t="str">
        <f>IF(ORCAMENTOS!M175="","",ORCAMENTOS!M175)</f>
        <v>-</v>
      </c>
      <c r="L167" t="str">
        <f>IF(ORCAMENTOS!R175="","",ORCAMENTOS!R175)</f>
        <v>-</v>
      </c>
    </row>
    <row r="168" spans="1:12" ht="15.75" hidden="1" customHeight="1" x14ac:dyDescent="0.25">
      <c r="A168" s="36">
        <f>IF(ORCAMENTOS!A176="","",ORCAMENTOS!A176)</f>
        <v>45684</v>
      </c>
      <c r="B168" s="46">
        <f>IF(ORCAMENTOS!B176="","",ORCAMENTOS!B176)</f>
        <v>166</v>
      </c>
      <c r="C168" s="46" t="str">
        <f>IF(ORCAMENTOS!C176="","",ORCAMENTOS!C176)</f>
        <v/>
      </c>
      <c r="D168" s="37" t="str">
        <f>IF(ORCAMENTOS!D176="","",ORCAMENTOS!D176)</f>
        <v>AWA AR CONDICIONADO</v>
      </c>
      <c r="E168" s="38" t="str">
        <f>IF(ORCAMENTOS!E176="","",ORCAMENTOS!E176)</f>
        <v>POUPAKI OSASCO</v>
      </c>
      <c r="F168" s="37" t="str">
        <f>IF(ORCAMENTOS!G176="","",ORCAMENTOS!G176)</f>
        <v>Guilherme</v>
      </c>
      <c r="G168" s="37" t="str">
        <f>IF(ORCAMENTOS!H176="","",ORCAMENTOS!H176)</f>
        <v>Maria Julia</v>
      </c>
      <c r="H168" s="39">
        <f>IF(ORCAMENTOS!I176="","",ORCAMENTOS!I176)</f>
        <v>4368.75</v>
      </c>
      <c r="I168" s="60" t="str">
        <f>IF(ORCAMENTOS!J176="","",ORCAMENTOS!J176)</f>
        <v/>
      </c>
      <c r="J168" s="40" t="str">
        <f>IF(ORCAMENTOS!L176="","",ORCAMENTOS!L176)</f>
        <v>CANCELADO</v>
      </c>
      <c r="K168" s="34" t="str">
        <f>IF(ORCAMENTOS!M176="","",ORCAMENTOS!M176)</f>
        <v>-</v>
      </c>
      <c r="L168" t="str">
        <f>IF(ORCAMENTOS!R176="","",ORCAMENTOS!R176)</f>
        <v>-</v>
      </c>
    </row>
    <row r="169" spans="1:12" ht="15.75" hidden="1" customHeight="1" x14ac:dyDescent="0.25">
      <c r="A169" s="36">
        <f>IF(ORCAMENTOS!A177="","",ORCAMENTOS!A177)</f>
        <v>45684</v>
      </c>
      <c r="B169" s="46">
        <f>IF(ORCAMENTOS!B177="","",ORCAMENTOS!B177)</f>
        <v>167</v>
      </c>
      <c r="C169" s="46" t="str">
        <f>IF(ORCAMENTOS!C177="","",ORCAMENTOS!C177)</f>
        <v/>
      </c>
      <c r="D169" s="37" t="str">
        <f>IF(ORCAMENTOS!D177="","",ORCAMENTOS!D177)</f>
        <v>TNAC ENGENHARIA</v>
      </c>
      <c r="E169" s="38" t="str">
        <f>IF(ORCAMENTOS!E177="","",ORCAMENTOS!E177)</f>
        <v>TEATRO ECA</v>
      </c>
      <c r="F169" s="37" t="str">
        <f>IF(ORCAMENTOS!G177="","",ORCAMENTOS!G177)</f>
        <v>Fernando</v>
      </c>
      <c r="G169" s="37" t="str">
        <f>IF(ORCAMENTOS!H177="","",ORCAMENTOS!H177)</f>
        <v>Nara</v>
      </c>
      <c r="H169" s="39">
        <f>IF(ORCAMENTOS!I177="","",ORCAMENTOS!I177)</f>
        <v>34661.99</v>
      </c>
      <c r="I169" s="60" t="str">
        <f>IF(ORCAMENTOS!J177="","",ORCAMENTOS!J177)</f>
        <v/>
      </c>
      <c r="J169" s="40" t="str">
        <f>IF(ORCAMENTOS!L177="","",ORCAMENTOS!L177)</f>
        <v>FECHADO</v>
      </c>
      <c r="K169" s="34" t="str">
        <f>IF(ORCAMENTOS!M177="","",ORCAMENTOS!M177)</f>
        <v>-</v>
      </c>
      <c r="L169" t="str">
        <f>IF(ORCAMENTOS!R177="","",ORCAMENTOS!R177)</f>
        <v>-</v>
      </c>
    </row>
    <row r="170" spans="1:12" ht="15.75" hidden="1" customHeight="1" x14ac:dyDescent="0.25">
      <c r="A170" s="36">
        <f>IF(ORCAMENTOS!A178="","",ORCAMENTOS!A178)</f>
        <v>45685</v>
      </c>
      <c r="B170" s="46">
        <f>IF(ORCAMENTOS!B178="","",ORCAMENTOS!B178)</f>
        <v>168</v>
      </c>
      <c r="C170" s="46" t="str">
        <f>IF(ORCAMENTOS!C178="","",ORCAMENTOS!C178)</f>
        <v/>
      </c>
      <c r="D170" s="37" t="str">
        <f>IF(ORCAMENTOS!D178="","",ORCAMENTOS!D178)</f>
        <v>SESIL AR</v>
      </c>
      <c r="E170" s="38" t="str">
        <f>IF(ORCAMENTOS!E178="","",ORCAMENTOS!E178)</f>
        <v>-</v>
      </c>
      <c r="F170" s="37" t="str">
        <f>IF(ORCAMENTOS!G178="","",ORCAMENTOS!G178)</f>
        <v>Fernando</v>
      </c>
      <c r="G170" s="37" t="str">
        <f>IF(ORCAMENTOS!H178="","",ORCAMENTOS!H178)</f>
        <v>Luciana</v>
      </c>
      <c r="H170" s="39">
        <f>IF(ORCAMENTOS!I178="","",ORCAMENTOS!I178)</f>
        <v>217.13</v>
      </c>
      <c r="I170" s="60" t="str">
        <f>IF(ORCAMENTOS!J178="","",ORCAMENTOS!J178)</f>
        <v/>
      </c>
      <c r="J170" s="40" t="str">
        <f>IF(ORCAMENTOS!L178="","",ORCAMENTOS!L178)</f>
        <v>FECHADO</v>
      </c>
      <c r="K170" s="34" t="str">
        <f>IF(ORCAMENTOS!M178="","",ORCAMENTOS!M178)</f>
        <v>-</v>
      </c>
      <c r="L170" t="str">
        <f>IF(ORCAMENTOS!R178="","",ORCAMENTOS!R178)</f>
        <v>-</v>
      </c>
    </row>
    <row r="171" spans="1:12" ht="15.75" hidden="1" customHeight="1" x14ac:dyDescent="0.25">
      <c r="A171" s="36">
        <f>IF(ORCAMENTOS!A179="","",ORCAMENTOS!A179)</f>
        <v>45685</v>
      </c>
      <c r="B171" s="46">
        <f>IF(ORCAMENTOS!B179="","",ORCAMENTOS!B179)</f>
        <v>169</v>
      </c>
      <c r="C171" s="46" t="str">
        <f>IF(ORCAMENTOS!C179="","",ORCAMENTOS!C179)</f>
        <v/>
      </c>
      <c r="D171" s="37" t="str">
        <f>IF(ORCAMENTOS!D179="","",ORCAMENTOS!D179)</f>
        <v>SOLAR AR</v>
      </c>
      <c r="E171" s="38" t="str">
        <f>IF(ORCAMENTOS!E179="","",ORCAMENTOS!E179)</f>
        <v>HOSPITAL DE REGISTRO - SIRIO LIBANES - DUTOS CENTRO CIRURGICO</v>
      </c>
      <c r="F171" s="37" t="str">
        <f>IF(ORCAMENTOS!G179="","",ORCAMENTOS!G179)</f>
        <v>Michel</v>
      </c>
      <c r="G171" s="37" t="str">
        <f>IF(ORCAMENTOS!H179="","",ORCAMENTOS!H179)</f>
        <v>Claudenir</v>
      </c>
      <c r="H171" s="39">
        <f>IF(ORCAMENTOS!I179="","",ORCAMENTOS!I179)</f>
        <v>8889.43</v>
      </c>
      <c r="I171" s="60" t="str">
        <f>IF(ORCAMENTOS!J179="","",ORCAMENTOS!J179)</f>
        <v/>
      </c>
      <c r="J171" s="40" t="str">
        <f>IF(ORCAMENTOS!L179="","",ORCAMENTOS!L179)</f>
        <v>FECHADO</v>
      </c>
      <c r="K171" s="34" t="str">
        <f>IF(ORCAMENTOS!M179="","",ORCAMENTOS!M179)</f>
        <v>-</v>
      </c>
      <c r="L171" t="str">
        <f>IF(ORCAMENTOS!R179="","",ORCAMENTOS!R179)</f>
        <v>-</v>
      </c>
    </row>
    <row r="172" spans="1:12" ht="15.75" hidden="1" customHeight="1" x14ac:dyDescent="0.25">
      <c r="A172" s="36">
        <f>IF(ORCAMENTOS!A180="","",ORCAMENTOS!A180)</f>
        <v>45685</v>
      </c>
      <c r="B172" s="46">
        <f>IF(ORCAMENTOS!B180="","",ORCAMENTOS!B180)</f>
        <v>170</v>
      </c>
      <c r="C172" s="46" t="str">
        <f>IF(ORCAMENTOS!C180="","",ORCAMENTOS!C180)</f>
        <v/>
      </c>
      <c r="D172" s="37" t="str">
        <f>IF(ORCAMENTOS!D180="","",ORCAMENTOS!D180)</f>
        <v>TARKAT REFRIGERACAO</v>
      </c>
      <c r="E172" s="38" t="str">
        <f>IF(ORCAMENTOS!E180="","",ORCAMENTOS!E180)</f>
        <v>-</v>
      </c>
      <c r="F172" s="37" t="str">
        <f>IF(ORCAMENTOS!G180="","",ORCAMENTOS!G180)</f>
        <v>Michel</v>
      </c>
      <c r="G172" s="37" t="str">
        <f>IF(ORCAMENTOS!H180="","",ORCAMENTOS!H180)</f>
        <v/>
      </c>
      <c r="H172" s="39">
        <f>IF(ORCAMENTOS!I180="","",ORCAMENTOS!I180)</f>
        <v>4938.7700000000004</v>
      </c>
      <c r="I172" s="60" t="str">
        <f>IF(ORCAMENTOS!J180="","",ORCAMENTOS!J180)</f>
        <v/>
      </c>
      <c r="J172" s="40" t="str">
        <f>IF(ORCAMENTOS!L180="","",ORCAMENTOS!L180)</f>
        <v>FECHADO</v>
      </c>
      <c r="K172" s="34" t="str">
        <f>IF(ORCAMENTOS!M180="","",ORCAMENTOS!M180)</f>
        <v>-</v>
      </c>
      <c r="L172" t="str">
        <f>IF(ORCAMENTOS!R180="","",ORCAMENTOS!R180)</f>
        <v>-</v>
      </c>
    </row>
    <row r="173" spans="1:12" ht="15.75" hidden="1" customHeight="1" x14ac:dyDescent="0.25">
      <c r="A173" s="36">
        <f>IF(ORCAMENTOS!A181="","",ORCAMENTOS!A181)</f>
        <v>45686</v>
      </c>
      <c r="B173" s="46">
        <f>IF(ORCAMENTOS!B181="","",ORCAMENTOS!B181)</f>
        <v>171</v>
      </c>
      <c r="C173" s="46" t="str">
        <f>IF(ORCAMENTOS!C181="","",ORCAMENTOS!C181)</f>
        <v/>
      </c>
      <c r="D173" s="37" t="str">
        <f>IF(ORCAMENTOS!D181="","",ORCAMENTOS!D181)</f>
        <v>X AIR</v>
      </c>
      <c r="E173" s="38" t="str">
        <f>IF(ORCAMENTOS!E181="","",ORCAMENTOS!E181)</f>
        <v>-</v>
      </c>
      <c r="F173" s="37" t="str">
        <f>IF(ORCAMENTOS!G181="","",ORCAMENTOS!G181)</f>
        <v>Emanuel</v>
      </c>
      <c r="G173" s="37" t="str">
        <f>IF(ORCAMENTOS!H181="","",ORCAMENTOS!H181)</f>
        <v>Isabela</v>
      </c>
      <c r="H173" s="39">
        <f>IF(ORCAMENTOS!I181="","",ORCAMENTOS!I181)</f>
        <v>6477.2</v>
      </c>
      <c r="I173" s="60" t="str">
        <f>IF(ORCAMENTOS!J181="","",ORCAMENTOS!J181)</f>
        <v/>
      </c>
      <c r="J173" s="40" t="str">
        <f>IF(ORCAMENTOS!L181="","",ORCAMENTOS!L181)</f>
        <v>PERDIDO</v>
      </c>
      <c r="K173" s="34" t="str">
        <f>IF(ORCAMENTOS!M181="","",ORCAMENTOS!M181)</f>
        <v>-</v>
      </c>
      <c r="L173" t="str">
        <f>IF(ORCAMENTOS!R181="","",ORCAMENTOS!R181)</f>
        <v>-</v>
      </c>
    </row>
    <row r="174" spans="1:12" ht="15.75" hidden="1" customHeight="1" x14ac:dyDescent="0.25">
      <c r="A174" s="36">
        <f>IF(ORCAMENTOS!A182="","",ORCAMENTOS!A182)</f>
        <v>45686</v>
      </c>
      <c r="B174" s="46">
        <f>IF(ORCAMENTOS!B182="","",ORCAMENTOS!B182)</f>
        <v>172</v>
      </c>
      <c r="C174" s="46" t="str">
        <f>IF(ORCAMENTOS!C182="","",ORCAMENTOS!C182)</f>
        <v/>
      </c>
      <c r="D174" s="37" t="str">
        <f>IF(ORCAMENTOS!D182="","",ORCAMENTOS!D182)</f>
        <v>MECALOR</v>
      </c>
      <c r="E174" s="38" t="str">
        <f>IF(ORCAMENTOS!E182="","",ORCAMENTOS!E182)</f>
        <v>-</v>
      </c>
      <c r="F174" s="37" t="str">
        <f>IF(ORCAMENTOS!G182="","",ORCAMENTOS!G182)</f>
        <v>Gabriel</v>
      </c>
      <c r="G174" s="37" t="str">
        <f>IF(ORCAMENTOS!H182="","",ORCAMENTOS!H182)</f>
        <v>Adhalid</v>
      </c>
      <c r="H174" s="39">
        <f>IF(ORCAMENTOS!I182="","",ORCAMENTOS!I182)</f>
        <v>11073.5</v>
      </c>
      <c r="I174" s="60" t="str">
        <f>IF(ORCAMENTOS!J182="","",ORCAMENTOS!J182)</f>
        <v/>
      </c>
      <c r="J174" s="40" t="str">
        <f>IF(ORCAMENTOS!L182="","",ORCAMENTOS!L182)</f>
        <v>CANCELADO</v>
      </c>
      <c r="K174" s="34" t="str">
        <f>IF(ORCAMENTOS!M182="","",ORCAMENTOS!M182)</f>
        <v>-</v>
      </c>
      <c r="L174" t="str">
        <f>IF(ORCAMENTOS!R182="","",ORCAMENTOS!R182)</f>
        <v>-</v>
      </c>
    </row>
    <row r="175" spans="1:12" ht="15.75" hidden="1" customHeight="1" x14ac:dyDescent="0.25">
      <c r="A175" s="36">
        <f>IF(ORCAMENTOS!A183="","",ORCAMENTOS!A183)</f>
        <v>45686</v>
      </c>
      <c r="B175" s="46">
        <f>IF(ORCAMENTOS!B183="","",ORCAMENTOS!B183)</f>
        <v>173</v>
      </c>
      <c r="C175" s="46" t="str">
        <f>IF(ORCAMENTOS!C183="","",ORCAMENTOS!C183)</f>
        <v/>
      </c>
      <c r="D175" s="37" t="str">
        <f>IF(ORCAMENTOS!D183="","",ORCAMENTOS!D183)</f>
        <v>PRINSTARC</v>
      </c>
      <c r="E175" s="38" t="str">
        <f>IF(ORCAMENTOS!E183="","",ORCAMENTOS!E183)</f>
        <v>NOTEDRAME TABOAO</v>
      </c>
      <c r="F175" s="37" t="str">
        <f>IF(ORCAMENTOS!G183="","",ORCAMENTOS!G183)</f>
        <v>Michel</v>
      </c>
      <c r="G175" s="37" t="str">
        <f>IF(ORCAMENTOS!H183="","",ORCAMENTOS!H183)</f>
        <v>Glauco</v>
      </c>
      <c r="H175" s="39">
        <f>IF(ORCAMENTOS!I183="","",ORCAMENTOS!I183)</f>
        <v>173816.43</v>
      </c>
      <c r="I175" s="60" t="str">
        <f>IF(ORCAMENTOS!J183="","",ORCAMENTOS!J183)</f>
        <v/>
      </c>
      <c r="J175" s="40" t="str">
        <f>IF(ORCAMENTOS!L183="","",ORCAMENTOS!L183)</f>
        <v>CANCELADO</v>
      </c>
      <c r="K175" s="34" t="str">
        <f>IF(ORCAMENTOS!M183="","",ORCAMENTOS!M183)</f>
        <v>-</v>
      </c>
      <c r="L175" t="str">
        <f>IF(ORCAMENTOS!R183="","",ORCAMENTOS!R183)</f>
        <v>-</v>
      </c>
    </row>
    <row r="176" spans="1:12" ht="15.75" hidden="1" customHeight="1" x14ac:dyDescent="0.25">
      <c r="A176" s="36">
        <f>IF(ORCAMENTOS!A184="","",ORCAMENTOS!A184)</f>
        <v>45686</v>
      </c>
      <c r="B176" s="46">
        <f>IF(ORCAMENTOS!B184="","",ORCAMENTOS!B184)</f>
        <v>174</v>
      </c>
      <c r="C176" s="46" t="str">
        <f>IF(ORCAMENTOS!C184="","",ORCAMENTOS!C184)</f>
        <v/>
      </c>
      <c r="D176" s="37" t="str">
        <f>IF(ORCAMENTOS!D184="","",ORCAMENTOS!D184)</f>
        <v>ADALTA ENGENHARIA</v>
      </c>
      <c r="E176" s="38" t="str">
        <f>IF(ORCAMENTOS!E184="","",ORCAMENTOS!E184)</f>
        <v>COPERMED</v>
      </c>
      <c r="F176" s="37" t="str">
        <f>IF(ORCAMENTOS!G184="","",ORCAMENTOS!G184)</f>
        <v>Fernando</v>
      </c>
      <c r="G176" s="37" t="str">
        <f>IF(ORCAMENTOS!H184="","",ORCAMENTOS!H184)</f>
        <v>Andressa</v>
      </c>
      <c r="H176" s="39">
        <f>IF(ORCAMENTOS!I184="","",ORCAMENTOS!I184)</f>
        <v>701.88</v>
      </c>
      <c r="I176" s="60" t="str">
        <f>IF(ORCAMENTOS!J184="","",ORCAMENTOS!J184)</f>
        <v/>
      </c>
      <c r="J176" s="40" t="str">
        <f>IF(ORCAMENTOS!L184="","",ORCAMENTOS!L184)</f>
        <v>FECHADO</v>
      </c>
      <c r="K176" s="34" t="str">
        <f>IF(ORCAMENTOS!M184="","",ORCAMENTOS!M184)</f>
        <v>-</v>
      </c>
      <c r="L176" t="str">
        <f>IF(ORCAMENTOS!R184="","",ORCAMENTOS!R184)</f>
        <v>-</v>
      </c>
    </row>
    <row r="177" spans="1:12" ht="15.75" hidden="1" customHeight="1" x14ac:dyDescent="0.25">
      <c r="A177" s="36">
        <f>IF(ORCAMENTOS!A185="","",ORCAMENTOS!A185)</f>
        <v>45686</v>
      </c>
      <c r="B177" s="46">
        <f>IF(ORCAMENTOS!B185="","",ORCAMENTOS!B185)</f>
        <v>175</v>
      </c>
      <c r="C177" s="46" t="str">
        <f>IF(ORCAMENTOS!C185="","",ORCAMENTOS!C185)</f>
        <v/>
      </c>
      <c r="D177" s="37" t="str">
        <f>IF(ORCAMENTOS!D185="","",ORCAMENTOS!D185)</f>
        <v xml:space="preserve">DIAGRAMA AR </v>
      </c>
      <c r="E177" s="38" t="str">
        <f>IF(ORCAMENTOS!E185="","",ORCAMENTOS!E185)</f>
        <v>EDIFICIO FARIA LIMA 2</v>
      </c>
      <c r="F177" s="37" t="str">
        <f>IF(ORCAMENTOS!G185="","",ORCAMENTOS!G185)</f>
        <v>Guilherme</v>
      </c>
      <c r="G177" s="37" t="str">
        <f>IF(ORCAMENTOS!H185="","",ORCAMENTOS!H185)</f>
        <v>Silvia</v>
      </c>
      <c r="H177" s="39">
        <f>IF(ORCAMENTOS!I185="","",ORCAMENTOS!I185)</f>
        <v>473322.31</v>
      </c>
      <c r="I177" s="60" t="str">
        <f>IF(ORCAMENTOS!J185="","",ORCAMENTOS!J185)</f>
        <v/>
      </c>
      <c r="J177" s="40" t="str">
        <f>IF(ORCAMENTOS!L185="","",ORCAMENTOS!L185)</f>
        <v>CANCELADO</v>
      </c>
      <c r="K177" s="34" t="str">
        <f>IF(ORCAMENTOS!M185="","",ORCAMENTOS!M185)</f>
        <v>-</v>
      </c>
      <c r="L177" t="str">
        <f>IF(ORCAMENTOS!R185="","",ORCAMENTOS!R185)</f>
        <v>-</v>
      </c>
    </row>
    <row r="178" spans="1:12" ht="15.75" hidden="1" customHeight="1" x14ac:dyDescent="0.25">
      <c r="A178" s="36">
        <f>IF(ORCAMENTOS!A186="","",ORCAMENTOS!A186)</f>
        <v>45686</v>
      </c>
      <c r="B178" s="46">
        <f>IF(ORCAMENTOS!B186="","",ORCAMENTOS!B186)</f>
        <v>176</v>
      </c>
      <c r="C178" s="46" t="str">
        <f>IF(ORCAMENTOS!C186="","",ORCAMENTOS!C186)</f>
        <v/>
      </c>
      <c r="D178" s="37" t="str">
        <f>IF(ORCAMENTOS!D186="","",ORCAMENTOS!D186)</f>
        <v>SENSCO</v>
      </c>
      <c r="E178" s="38" t="str">
        <f>IF(ORCAMENTOS!E186="","",ORCAMENTOS!E186)</f>
        <v>G FORMA SISTEMAS LTDA</v>
      </c>
      <c r="F178" s="37" t="str">
        <f>IF(ORCAMENTOS!G186="","",ORCAMENTOS!G186)</f>
        <v>Michel</v>
      </c>
      <c r="G178" s="37" t="str">
        <f>IF(ORCAMENTOS!H186="","",ORCAMENTOS!H186)</f>
        <v>Gardner</v>
      </c>
      <c r="H178" s="39">
        <f>IF(ORCAMENTOS!I186="","",ORCAMENTOS!I186)</f>
        <v>1200.5899999999999</v>
      </c>
      <c r="I178" s="60" t="str">
        <f>IF(ORCAMENTOS!J186="","",ORCAMENTOS!J186)</f>
        <v/>
      </c>
      <c r="J178" s="40" t="str">
        <f>IF(ORCAMENTOS!L186="","",ORCAMENTOS!L186)</f>
        <v>FECHADO</v>
      </c>
      <c r="K178" s="34" t="str">
        <f>IF(ORCAMENTOS!M186="","",ORCAMENTOS!M186)</f>
        <v>-</v>
      </c>
      <c r="L178" t="str">
        <f>IF(ORCAMENTOS!R186="","",ORCAMENTOS!R186)</f>
        <v>-</v>
      </c>
    </row>
    <row r="179" spans="1:12" ht="15.75" hidden="1" customHeight="1" x14ac:dyDescent="0.25">
      <c r="A179" s="36">
        <f>IF(ORCAMENTOS!A187="","",ORCAMENTOS!A187)</f>
        <v>45686</v>
      </c>
      <c r="B179" s="46">
        <f>IF(ORCAMENTOS!B187="","",ORCAMENTOS!B187)</f>
        <v>177</v>
      </c>
      <c r="C179" s="46" t="str">
        <f>IF(ORCAMENTOS!C187="","",ORCAMENTOS!C187)</f>
        <v/>
      </c>
      <c r="D179" s="37" t="str">
        <f>IF(ORCAMENTOS!D187="","",ORCAMENTOS!D187)</f>
        <v>EDL ENGENHARIA</v>
      </c>
      <c r="E179" s="38" t="str">
        <f>IF(ORCAMENTOS!E187="","",ORCAMENTOS!E187)</f>
        <v>SMART FIT - PERUIBE - SP</v>
      </c>
      <c r="F179" s="37" t="str">
        <f>IF(ORCAMENTOS!G187="","",ORCAMENTOS!G187)</f>
        <v>Guilherme</v>
      </c>
      <c r="G179" s="37" t="str">
        <f>IF(ORCAMENTOS!H187="","",ORCAMENTOS!H187)</f>
        <v>Vinicius</v>
      </c>
      <c r="H179" s="39">
        <f>IF(ORCAMENTOS!I187="","",ORCAMENTOS!I187)</f>
        <v>96496.7</v>
      </c>
      <c r="I179" s="60" t="str">
        <f>IF(ORCAMENTOS!J187="","",ORCAMENTOS!J187)</f>
        <v/>
      </c>
      <c r="J179" s="40" t="str">
        <f>IF(ORCAMENTOS!L187="","",ORCAMENTOS!L187)</f>
        <v>CANCELADO</v>
      </c>
      <c r="K179" s="34" t="str">
        <f>IF(ORCAMENTOS!M187="","",ORCAMENTOS!M187)</f>
        <v>-</v>
      </c>
      <c r="L179" t="str">
        <f>IF(ORCAMENTOS!R187="","",ORCAMENTOS!R187)</f>
        <v>MPU</v>
      </c>
    </row>
    <row r="180" spans="1:12" ht="15.75" hidden="1" customHeight="1" x14ac:dyDescent="0.25">
      <c r="A180" s="36">
        <f>IF(ORCAMENTOS!A188="","",ORCAMENTOS!A188)</f>
        <v>45686</v>
      </c>
      <c r="B180" s="46">
        <f>IF(ORCAMENTOS!B188="","",ORCAMENTOS!B188)</f>
        <v>178</v>
      </c>
      <c r="C180" s="46" t="str">
        <f>IF(ORCAMENTOS!C188="","",ORCAMENTOS!C188)</f>
        <v/>
      </c>
      <c r="D180" s="37" t="str">
        <f>IF(ORCAMENTOS!D188="","",ORCAMENTOS!D188)</f>
        <v>HEATING COOLING</v>
      </c>
      <c r="E180" s="38" t="str">
        <f>IF(ORCAMENTOS!E188="","",ORCAMENTOS!E188)</f>
        <v>-</v>
      </c>
      <c r="F180" s="37" t="str">
        <f>IF(ORCAMENTOS!G188="","",ORCAMENTOS!G188)</f>
        <v>Gabriel</v>
      </c>
      <c r="G180" s="37" t="str">
        <f>IF(ORCAMENTOS!H188="","",ORCAMENTOS!H188)</f>
        <v>Guilherme</v>
      </c>
      <c r="H180" s="39">
        <f>IF(ORCAMENTOS!I188="","",ORCAMENTOS!I188)</f>
        <v>4917.8</v>
      </c>
      <c r="I180" s="60" t="str">
        <f>IF(ORCAMENTOS!J188="","",ORCAMENTOS!J188)</f>
        <v/>
      </c>
      <c r="J180" s="40" t="str">
        <f>IF(ORCAMENTOS!L188="","",ORCAMENTOS!L188)</f>
        <v>CANCELADO</v>
      </c>
      <c r="K180" s="34" t="str">
        <f>IF(ORCAMENTOS!M188="","",ORCAMENTOS!M188)</f>
        <v>-</v>
      </c>
      <c r="L180" t="str">
        <f>IF(ORCAMENTOS!R188="","",ORCAMENTOS!R188)</f>
        <v>-</v>
      </c>
    </row>
    <row r="181" spans="1:12" ht="15.75" hidden="1" customHeight="1" x14ac:dyDescent="0.25">
      <c r="A181" s="36">
        <f>IF(ORCAMENTOS!A189="","",ORCAMENTOS!A189)</f>
        <v>45686</v>
      </c>
      <c r="B181" s="46">
        <f>IF(ORCAMENTOS!B189="","",ORCAMENTOS!B189)</f>
        <v>179</v>
      </c>
      <c r="C181" s="46" t="str">
        <f>IF(ORCAMENTOS!C189="","",ORCAMENTOS!C189)</f>
        <v/>
      </c>
      <c r="D181" s="37" t="str">
        <f>IF(ORCAMENTOS!D189="","",ORCAMENTOS!D189)</f>
        <v>PRINSTARC ENGENHARIA</v>
      </c>
      <c r="E181" s="38" t="str">
        <f>IF(ORCAMENTOS!E189="","",ORCAMENTOS!E189)</f>
        <v>SURF CLUB</v>
      </c>
      <c r="F181" s="37" t="str">
        <f>IF(ORCAMENTOS!G189="","",ORCAMENTOS!G189)</f>
        <v>Michel</v>
      </c>
      <c r="G181" s="37" t="str">
        <f>IF(ORCAMENTOS!H189="","",ORCAMENTOS!H189)</f>
        <v>Glauco</v>
      </c>
      <c r="H181" s="39">
        <f>IF(ORCAMENTOS!I189="","",ORCAMENTOS!I189)</f>
        <v>263059.65999999997</v>
      </c>
      <c r="I181" s="60" t="str">
        <f>IF(ORCAMENTOS!J189="","",ORCAMENTOS!J189)</f>
        <v/>
      </c>
      <c r="J181" s="40" t="str">
        <f>IF(ORCAMENTOS!L189="","",ORCAMENTOS!L189)</f>
        <v>CANCELADO</v>
      </c>
      <c r="K181" s="34" t="str">
        <f>IF(ORCAMENTOS!M189="","",ORCAMENTOS!M189)</f>
        <v>-</v>
      </c>
      <c r="L181" t="str">
        <f>IF(ORCAMENTOS!R189="","",ORCAMENTOS!R189)</f>
        <v>-</v>
      </c>
    </row>
    <row r="182" spans="1:12" ht="15.75" hidden="1" customHeight="1" x14ac:dyDescent="0.25">
      <c r="A182" s="36">
        <f>IF(ORCAMENTOS!A190="","",ORCAMENTOS!A190)</f>
        <v>45686</v>
      </c>
      <c r="B182" s="46">
        <f>IF(ORCAMENTOS!B190="","",ORCAMENTOS!B190)</f>
        <v>180</v>
      </c>
      <c r="C182" s="46" t="str">
        <f>IF(ORCAMENTOS!C190="","",ORCAMENTOS!C190)</f>
        <v/>
      </c>
      <c r="D182" s="37" t="str">
        <f>IF(ORCAMENTOS!D190="","",ORCAMENTOS!D190)</f>
        <v>NEXT DUCT</v>
      </c>
      <c r="E182" s="38" t="str">
        <f>IF(ORCAMENTOS!E190="","",ORCAMENTOS!E190)</f>
        <v>-</v>
      </c>
      <c r="F182" s="37" t="str">
        <f>IF(ORCAMENTOS!G190="","",ORCAMENTOS!G190)</f>
        <v>Gabriel</v>
      </c>
      <c r="G182" s="37" t="str">
        <f>IF(ORCAMENTOS!H190="","",ORCAMENTOS!H190)</f>
        <v>Vinicius</v>
      </c>
      <c r="H182" s="39">
        <f>IF(ORCAMENTOS!I190="","",ORCAMENTOS!I190)</f>
        <v>5271.2</v>
      </c>
      <c r="I182" s="60" t="str">
        <f>IF(ORCAMENTOS!J190="","",ORCAMENTOS!J190)</f>
        <v/>
      </c>
      <c r="J182" s="40" t="str">
        <f>IF(ORCAMENTOS!L190="","",ORCAMENTOS!L190)</f>
        <v>FECHADO</v>
      </c>
      <c r="K182" s="34" t="str">
        <f>IF(ORCAMENTOS!M190="","",ORCAMENTOS!M190)</f>
        <v>-</v>
      </c>
      <c r="L182" t="str">
        <f>IF(ORCAMENTOS!R190="","",ORCAMENTOS!R190)</f>
        <v>-</v>
      </c>
    </row>
    <row r="183" spans="1:12" ht="15.75" hidden="1" customHeight="1" x14ac:dyDescent="0.25">
      <c r="A183" s="36">
        <f>IF(ORCAMENTOS!A191="","",ORCAMENTOS!A191)</f>
        <v>45686</v>
      </c>
      <c r="B183" s="46">
        <f>IF(ORCAMENTOS!B191="","",ORCAMENTOS!B191)</f>
        <v>181</v>
      </c>
      <c r="C183" s="46" t="str">
        <f>IF(ORCAMENTOS!C191="","",ORCAMENTOS!C191)</f>
        <v/>
      </c>
      <c r="D183" s="37" t="str">
        <f>IF(ORCAMENTOS!D191="","",ORCAMENTOS!D191)</f>
        <v>INOVECTOR</v>
      </c>
      <c r="E183" s="38" t="str">
        <f>IF(ORCAMENTOS!E191="","",ORCAMENTOS!E191)</f>
        <v>HOSP. ANALIA_FRANCO_ MAMOGRAFIA - REQ 2. 03</v>
      </c>
      <c r="F183" s="37" t="str">
        <f>IF(ORCAMENTOS!G191="","",ORCAMENTOS!G191)</f>
        <v>Fernando</v>
      </c>
      <c r="G183" s="37" t="str">
        <f>IF(ORCAMENTOS!H191="","",ORCAMENTOS!H191)</f>
        <v>Eliete</v>
      </c>
      <c r="H183" s="39">
        <f>IF(ORCAMENTOS!I191="","",ORCAMENTOS!I191)</f>
        <v>554.66</v>
      </c>
      <c r="I183" s="60" t="str">
        <f>IF(ORCAMENTOS!J191="","",ORCAMENTOS!J191)</f>
        <v/>
      </c>
      <c r="J183" s="40" t="str">
        <f>IF(ORCAMENTOS!L191="","",ORCAMENTOS!L191)</f>
        <v>FECHADO</v>
      </c>
      <c r="K183" s="34" t="str">
        <f>IF(ORCAMENTOS!M191="","",ORCAMENTOS!M191)</f>
        <v>-</v>
      </c>
      <c r="L183" t="str">
        <f>IF(ORCAMENTOS!R191="","",ORCAMENTOS!R191)</f>
        <v>-</v>
      </c>
    </row>
    <row r="184" spans="1:12" ht="15.75" hidden="1" customHeight="1" x14ac:dyDescent="0.25">
      <c r="A184" s="36">
        <f>IF(ORCAMENTOS!A192="","",ORCAMENTOS!A192)</f>
        <v>45686</v>
      </c>
      <c r="B184" s="46">
        <f>IF(ORCAMENTOS!B192="","",ORCAMENTOS!B192)</f>
        <v>182</v>
      </c>
      <c r="C184" s="46" t="str">
        <f>IF(ORCAMENTOS!C192="","",ORCAMENTOS!C192)</f>
        <v/>
      </c>
      <c r="D184" s="37" t="str">
        <f>IF(ORCAMENTOS!D192="","",ORCAMENTOS!D192)</f>
        <v>THERMOMATIC</v>
      </c>
      <c r="E184" s="38" t="str">
        <f>IF(ORCAMENTOS!E192="","",ORCAMENTOS!E192)</f>
        <v>-</v>
      </c>
      <c r="F184" s="37" t="str">
        <f>IF(ORCAMENTOS!G192="","",ORCAMENTOS!G192)</f>
        <v>Gabriel</v>
      </c>
      <c r="G184" s="37" t="str">
        <f>IF(ORCAMENTOS!H192="","",ORCAMENTOS!H192)</f>
        <v>Calil</v>
      </c>
      <c r="H184" s="39">
        <f>IF(ORCAMENTOS!I192="","",ORCAMENTOS!I192)</f>
        <v>3155.55</v>
      </c>
      <c r="I184" s="60" t="str">
        <f>IF(ORCAMENTOS!J192="","",ORCAMENTOS!J192)</f>
        <v/>
      </c>
      <c r="J184" s="40" t="str">
        <f>IF(ORCAMENTOS!L192="","",ORCAMENTOS!L192)</f>
        <v>FECHADO</v>
      </c>
      <c r="K184" s="34" t="str">
        <f>IF(ORCAMENTOS!M192="","",ORCAMENTOS!M192)</f>
        <v>-</v>
      </c>
      <c r="L184" t="str">
        <f>IF(ORCAMENTOS!R192="","",ORCAMENTOS!R192)</f>
        <v>-</v>
      </c>
    </row>
    <row r="185" spans="1:12" ht="15.75" hidden="1" customHeight="1" x14ac:dyDescent="0.25">
      <c r="A185" s="36">
        <f>IF(ORCAMENTOS!A193="","",ORCAMENTOS!A193)</f>
        <v>45686</v>
      </c>
      <c r="B185" s="46">
        <f>IF(ORCAMENTOS!B193="","",ORCAMENTOS!B193)</f>
        <v>183</v>
      </c>
      <c r="C185" s="46" t="str">
        <f>IF(ORCAMENTOS!C193="","",ORCAMENTOS!C193)</f>
        <v/>
      </c>
      <c r="D185" s="37" t="str">
        <f>IF(ORCAMENTOS!D193="","",ORCAMENTOS!D193)</f>
        <v>ENERGY AIR</v>
      </c>
      <c r="E185" s="38" t="str">
        <f>IF(ORCAMENTOS!E193="","",ORCAMENTOS!E193)</f>
        <v>EDGE - BIOMETANO VERDE PAULINIA - PAULINIA / SP</v>
      </c>
      <c r="F185" s="37" t="str">
        <f>IF(ORCAMENTOS!G193="","",ORCAMENTOS!G193)</f>
        <v xml:space="preserve">Aldavir </v>
      </c>
      <c r="G185" s="37" t="str">
        <f>IF(ORCAMENTOS!H193="","",ORCAMENTOS!H193)</f>
        <v>Antonio</v>
      </c>
      <c r="H185" s="39">
        <f>IF(ORCAMENTOS!I193="","",ORCAMENTOS!I193)</f>
        <v>65763.72</v>
      </c>
      <c r="I185" s="60" t="str">
        <f>IF(ORCAMENTOS!J193="","",ORCAMENTOS!J193)</f>
        <v/>
      </c>
      <c r="J185" s="40" t="str">
        <f>IF(ORCAMENTOS!L193="","",ORCAMENTOS!L193)</f>
        <v>CANCELADO</v>
      </c>
      <c r="K185" s="34" t="str">
        <f>IF(ORCAMENTOS!M193="","",ORCAMENTOS!M193)</f>
        <v/>
      </c>
      <c r="L185" t="str">
        <f>IF(ORCAMENTOS!R193="","",ORCAMENTOS!R193)</f>
        <v/>
      </c>
    </row>
    <row r="186" spans="1:12" ht="15.75" hidden="1" customHeight="1" x14ac:dyDescent="0.25">
      <c r="A186" s="36">
        <f>IF(ORCAMENTOS!A194="","",ORCAMENTOS!A194)</f>
        <v>45686</v>
      </c>
      <c r="B186" s="46">
        <f>IF(ORCAMENTOS!B194="","",ORCAMENTOS!B194)</f>
        <v>184</v>
      </c>
      <c r="C186" s="46" t="str">
        <f>IF(ORCAMENTOS!C194="","",ORCAMENTOS!C194)</f>
        <v/>
      </c>
      <c r="D186" s="37" t="str">
        <f>IF(ORCAMENTOS!D194="","",ORCAMENTOS!D194)</f>
        <v>ENERGY AIR</v>
      </c>
      <c r="E186" s="38" t="str">
        <f>IF(ORCAMENTOS!E194="","",ORCAMENTOS!E194)</f>
        <v>CACAU SHOW LINHARES ES</v>
      </c>
      <c r="F186" s="37" t="str">
        <f>IF(ORCAMENTOS!G194="","",ORCAMENTOS!G194)</f>
        <v xml:space="preserve">Aldavir </v>
      </c>
      <c r="G186" s="37" t="str">
        <f>IF(ORCAMENTOS!H194="","",ORCAMENTOS!H194)</f>
        <v>Antonio</v>
      </c>
      <c r="H186" s="39">
        <f>IF(ORCAMENTOS!I194="","",ORCAMENTOS!I194)</f>
        <v>475865.65</v>
      </c>
      <c r="I186" s="60" t="str">
        <f>IF(ORCAMENTOS!J194="","",ORCAMENTOS!J194)</f>
        <v/>
      </c>
      <c r="J186" s="40" t="str">
        <f>IF(ORCAMENTOS!L194="","",ORCAMENTOS!L194)</f>
        <v>CANCELADO</v>
      </c>
      <c r="K186" s="34" t="str">
        <f>IF(ORCAMENTOS!M194="","",ORCAMENTOS!M194)</f>
        <v>PREV. ABRIL</v>
      </c>
      <c r="L186" t="str">
        <f>IF(ORCAMENTOS!R194="","",ORCAMENTOS!R194)</f>
        <v/>
      </c>
    </row>
    <row r="187" spans="1:12" ht="15.75" hidden="1" customHeight="1" x14ac:dyDescent="0.25">
      <c r="A187" s="36">
        <f>IF(ORCAMENTOS!A195="","",ORCAMENTOS!A195)</f>
        <v>45686</v>
      </c>
      <c r="B187" s="46">
        <f>IF(ORCAMENTOS!B195="","",ORCAMENTOS!B195)</f>
        <v>185</v>
      </c>
      <c r="C187" s="46" t="str">
        <f>IF(ORCAMENTOS!C195="","",ORCAMENTOS!C195)</f>
        <v/>
      </c>
      <c r="D187" s="37" t="str">
        <f>IF(ORCAMENTOS!D195="","",ORCAMENTOS!D195)</f>
        <v>ECOTHERM</v>
      </c>
      <c r="E187" s="38" t="str">
        <f>IF(ORCAMENTOS!E195="","",ORCAMENTOS!E195)</f>
        <v>HOSPITAL MARIAO COVAS - ILHABELA</v>
      </c>
      <c r="F187" s="37" t="str">
        <f>IF(ORCAMENTOS!G195="","",ORCAMENTOS!G195)</f>
        <v>Emanuel</v>
      </c>
      <c r="G187" s="37" t="str">
        <f>IF(ORCAMENTOS!H195="","",ORCAMENTOS!H195)</f>
        <v>Selma</v>
      </c>
      <c r="H187" s="39">
        <f>IF(ORCAMENTOS!I195="","",ORCAMENTOS!I195)</f>
        <v>52205.41</v>
      </c>
      <c r="I187" s="60" t="str">
        <f>IF(ORCAMENTOS!J195="","",ORCAMENTOS!J195)</f>
        <v/>
      </c>
      <c r="J187" s="40" t="str">
        <f>IF(ORCAMENTOS!L195="","",ORCAMENTOS!L195)</f>
        <v>FECHADO</v>
      </c>
      <c r="K187" s="34" t="str">
        <f>IF(ORCAMENTOS!M195="","",ORCAMENTOS!M195)</f>
        <v>-</v>
      </c>
      <c r="L187" t="str">
        <f>IF(ORCAMENTOS!R195="","",ORCAMENTOS!R195)</f>
        <v>-</v>
      </c>
    </row>
    <row r="188" spans="1:12" ht="15.75" hidden="1" customHeight="1" x14ac:dyDescent="0.25">
      <c r="A188" s="36">
        <f>IF(ORCAMENTOS!A196="","",ORCAMENTOS!A196)</f>
        <v>45686</v>
      </c>
      <c r="B188" s="46">
        <f>IF(ORCAMENTOS!B196="","",ORCAMENTOS!B196)</f>
        <v>186</v>
      </c>
      <c r="C188" s="46" t="str">
        <f>IF(ORCAMENTOS!C196="","",ORCAMENTOS!C196)</f>
        <v/>
      </c>
      <c r="D188" s="37" t="str">
        <f>IF(ORCAMENTOS!D196="","",ORCAMENTOS!D196)</f>
        <v>AVANT ENGENHARIA</v>
      </c>
      <c r="E188" s="38" t="str">
        <f>IF(ORCAMENTOS!E196="","",ORCAMENTOS!E196)</f>
        <v>-</v>
      </c>
      <c r="F188" s="37" t="str">
        <f>IF(ORCAMENTOS!G196="","",ORCAMENTOS!G196)</f>
        <v>Gabriel</v>
      </c>
      <c r="G188" s="37" t="str">
        <f>IF(ORCAMENTOS!H196="","",ORCAMENTOS!H196)</f>
        <v>Marcelo</v>
      </c>
      <c r="H188" s="39">
        <f>IF(ORCAMENTOS!I196="","",ORCAMENTOS!I196)</f>
        <v>5601.42</v>
      </c>
      <c r="I188" s="60" t="str">
        <f>IF(ORCAMENTOS!J196="","",ORCAMENTOS!J196)</f>
        <v/>
      </c>
      <c r="J188" s="40" t="str">
        <f>IF(ORCAMENTOS!L196="","",ORCAMENTOS!L196)</f>
        <v>FECHADO</v>
      </c>
      <c r="K188" s="34" t="str">
        <f>IF(ORCAMENTOS!M196="","",ORCAMENTOS!M196)</f>
        <v>-</v>
      </c>
      <c r="L188" t="str">
        <f>IF(ORCAMENTOS!R196="","",ORCAMENTOS!R196)</f>
        <v>-</v>
      </c>
    </row>
    <row r="189" spans="1:12" ht="15.75" hidden="1" customHeight="1" x14ac:dyDescent="0.25">
      <c r="A189" s="36">
        <f>IF(ORCAMENTOS!A197="","",ORCAMENTOS!A197)</f>
        <v>45686</v>
      </c>
      <c r="B189" s="46">
        <f>IF(ORCAMENTOS!B197="","",ORCAMENTOS!B197)</f>
        <v>187</v>
      </c>
      <c r="C189" s="46" t="str">
        <f>IF(ORCAMENTOS!C197="","",ORCAMENTOS!C197)</f>
        <v/>
      </c>
      <c r="D189" s="37" t="str">
        <f>IF(ORCAMENTOS!D197="","",ORCAMENTOS!D197)</f>
        <v>AR SISTEMAS</v>
      </c>
      <c r="E189" s="38" t="str">
        <f>IF(ORCAMENTOS!E197="","",ORCAMENTOS!E197)</f>
        <v>-</v>
      </c>
      <c r="F189" s="37" t="str">
        <f>IF(ORCAMENTOS!G197="","",ORCAMENTOS!G197)</f>
        <v>Michel</v>
      </c>
      <c r="G189" s="37" t="str">
        <f>IF(ORCAMENTOS!H197="","",ORCAMENTOS!H197)</f>
        <v>Anderson</v>
      </c>
      <c r="H189" s="39">
        <f>IF(ORCAMENTOS!I197="","",ORCAMENTOS!I197)</f>
        <v>34082.47</v>
      </c>
      <c r="I189" s="60" t="str">
        <f>IF(ORCAMENTOS!J197="","",ORCAMENTOS!J197)</f>
        <v/>
      </c>
      <c r="J189" s="40" t="str">
        <f>IF(ORCAMENTOS!L197="","",ORCAMENTOS!L197)</f>
        <v>PERDIDO</v>
      </c>
      <c r="K189" s="34" t="str">
        <f>IF(ORCAMENTOS!M197="","",ORCAMENTOS!M197)</f>
        <v>PREÇO</v>
      </c>
      <c r="L189" t="str">
        <f>IF(ORCAMENTOS!R197="","",ORCAMENTOS!R197)</f>
        <v>-</v>
      </c>
    </row>
    <row r="190" spans="1:12" ht="15.75" hidden="1" customHeight="1" x14ac:dyDescent="0.25">
      <c r="A190" s="36">
        <f>IF(ORCAMENTOS!A198="","",ORCAMENTOS!A198)</f>
        <v>45686</v>
      </c>
      <c r="B190" s="46">
        <f>IF(ORCAMENTOS!B198="","",ORCAMENTOS!B198)</f>
        <v>188</v>
      </c>
      <c r="C190" s="46" t="str">
        <f>IF(ORCAMENTOS!C198="","",ORCAMENTOS!C198)</f>
        <v/>
      </c>
      <c r="D190" s="37" t="str">
        <f>IF(ORCAMENTOS!D198="","",ORCAMENTOS!D198)</f>
        <v>AWA AR CONDICIONADO</v>
      </c>
      <c r="E190" s="38" t="str">
        <f>IF(ORCAMENTOS!E198="","",ORCAMENTOS!E198)</f>
        <v>D'FAMY EMPREENDIMENTOS E PARTICIPACOES - OSASCO - SP</v>
      </c>
      <c r="F190" s="37" t="str">
        <f>IF(ORCAMENTOS!G198="","",ORCAMENTOS!G198)</f>
        <v>Guilherme</v>
      </c>
      <c r="G190" s="37" t="str">
        <f>IF(ORCAMENTOS!H198="","",ORCAMENTOS!H198)</f>
        <v>Maria Julia</v>
      </c>
      <c r="H190" s="39">
        <f>IF(ORCAMENTOS!I198="","",ORCAMENTOS!I198)</f>
        <v>4836.72</v>
      </c>
      <c r="I190" s="60" t="str">
        <f>IF(ORCAMENTOS!J198="","",ORCAMENTOS!J198)</f>
        <v/>
      </c>
      <c r="J190" s="40" t="str">
        <f>IF(ORCAMENTOS!L198="","",ORCAMENTOS!L198)</f>
        <v>CANCELADO</v>
      </c>
      <c r="K190" s="34" t="str">
        <f>IF(ORCAMENTOS!M198="","",ORCAMENTOS!M198)</f>
        <v>CLIENTE PERDEU A OBRA</v>
      </c>
      <c r="L190" t="str">
        <f>IF(ORCAMENTOS!R198="","",ORCAMENTOS!R198)</f>
        <v>N/E</v>
      </c>
    </row>
    <row r="191" spans="1:12" ht="15.75" hidden="1" customHeight="1" x14ac:dyDescent="0.25">
      <c r="A191" s="36">
        <f>IF(ORCAMENTOS!A199="","",ORCAMENTOS!A199)</f>
        <v>45687</v>
      </c>
      <c r="B191" s="46">
        <f>IF(ORCAMENTOS!B199="","",ORCAMENTOS!B199)</f>
        <v>189</v>
      </c>
      <c r="C191" s="46" t="str">
        <f>IF(ORCAMENTOS!C199="","",ORCAMENTOS!C199)</f>
        <v/>
      </c>
      <c r="D191" s="37" t="str">
        <f>IF(ORCAMENTOS!D199="","",ORCAMENTOS!D199)</f>
        <v>RM3 ENGENHARIA</v>
      </c>
      <c r="E191" s="38" t="str">
        <f>IF(ORCAMENTOS!E199="","",ORCAMENTOS!E199)</f>
        <v>-</v>
      </c>
      <c r="F191" s="37" t="str">
        <f>IF(ORCAMENTOS!G199="","",ORCAMENTOS!G199)</f>
        <v>Guilherme</v>
      </c>
      <c r="G191" s="37" t="str">
        <f>IF(ORCAMENTOS!H199="","",ORCAMENTOS!H199)</f>
        <v>Janice</v>
      </c>
      <c r="H191" s="39">
        <f>IF(ORCAMENTOS!I199="","",ORCAMENTOS!I199)</f>
        <v>1838.99</v>
      </c>
      <c r="I191" s="60" t="str">
        <f>IF(ORCAMENTOS!J199="","",ORCAMENTOS!J199)</f>
        <v/>
      </c>
      <c r="J191" s="40" t="str">
        <f>IF(ORCAMENTOS!L199="","",ORCAMENTOS!L199)</f>
        <v>FECHADO</v>
      </c>
      <c r="K191" s="34" t="str">
        <f>IF(ORCAMENTOS!M199="","",ORCAMENTOS!M199)</f>
        <v>-</v>
      </c>
      <c r="L191" t="str">
        <f>IF(ORCAMENTOS!R199="","",ORCAMENTOS!R199)</f>
        <v>-</v>
      </c>
    </row>
    <row r="192" spans="1:12" ht="15.75" hidden="1" customHeight="1" x14ac:dyDescent="0.25">
      <c r="A192" s="36">
        <f>IF(ORCAMENTOS!A200="","",ORCAMENTOS!A200)</f>
        <v>45687</v>
      </c>
      <c r="B192" s="46">
        <f>IF(ORCAMENTOS!B200="","",ORCAMENTOS!B200)</f>
        <v>190</v>
      </c>
      <c r="C192" s="46" t="str">
        <f>IF(ORCAMENTOS!C200="","",ORCAMENTOS!C200)</f>
        <v/>
      </c>
      <c r="D192" s="37" t="str">
        <f>IF(ORCAMENTOS!D200="","",ORCAMENTOS!D200)</f>
        <v>JGTEC</v>
      </c>
      <c r="E192" s="38" t="str">
        <f>IF(ORCAMENTOS!E200="","",ORCAMENTOS!E200)</f>
        <v>-</v>
      </c>
      <c r="F192" s="37" t="str">
        <f>IF(ORCAMENTOS!G200="","",ORCAMENTOS!G200)</f>
        <v>Michel</v>
      </c>
      <c r="G192" s="37" t="str">
        <f>IF(ORCAMENTOS!H200="","",ORCAMENTOS!H200)</f>
        <v>Milena</v>
      </c>
      <c r="H192" s="39">
        <f>IF(ORCAMENTOS!I200="","",ORCAMENTOS!I200)</f>
        <v>7934.39</v>
      </c>
      <c r="I192" s="60" t="str">
        <f>IF(ORCAMENTOS!J200="","",ORCAMENTOS!J200)</f>
        <v/>
      </c>
      <c r="J192" s="40" t="str">
        <f>IF(ORCAMENTOS!L200="","",ORCAMENTOS!L200)</f>
        <v>PERDIDO</v>
      </c>
      <c r="K192" s="34" t="str">
        <f>IF(ORCAMENTOS!M200="","",ORCAMENTOS!M200)</f>
        <v>PRAZO</v>
      </c>
      <c r="L192" t="str">
        <f>IF(ORCAMENTOS!R200="","",ORCAMENTOS!R200)</f>
        <v>-</v>
      </c>
    </row>
    <row r="193" spans="1:12" ht="15.75" hidden="1" customHeight="1" x14ac:dyDescent="0.25">
      <c r="A193" s="36">
        <f>IF(ORCAMENTOS!A201="","",ORCAMENTOS!A201)</f>
        <v>45687</v>
      </c>
      <c r="B193" s="46">
        <f>IF(ORCAMENTOS!B201="","",ORCAMENTOS!B201)</f>
        <v>191</v>
      </c>
      <c r="C193" s="46" t="str">
        <f>IF(ORCAMENTOS!C201="","",ORCAMENTOS!C201)</f>
        <v/>
      </c>
      <c r="D193" s="37" t="str">
        <f>IF(ORCAMENTOS!D201="","",ORCAMENTOS!D201)</f>
        <v>PU DUTOS</v>
      </c>
      <c r="E193" s="38" t="str">
        <f>IF(ORCAMENTOS!E201="","",ORCAMENTOS!E201)</f>
        <v>-</v>
      </c>
      <c r="F193" s="37" t="str">
        <f>IF(ORCAMENTOS!G201="","",ORCAMENTOS!G201)</f>
        <v>Gabriel</v>
      </c>
      <c r="G193" s="37" t="str">
        <f>IF(ORCAMENTOS!H201="","",ORCAMENTOS!H201)</f>
        <v>Thiago</v>
      </c>
      <c r="H193" s="39">
        <f>IF(ORCAMENTOS!I201="","",ORCAMENTOS!I201)</f>
        <v>64427.72</v>
      </c>
      <c r="I193" s="60" t="str">
        <f>IF(ORCAMENTOS!J201="","",ORCAMENTOS!J201)</f>
        <v/>
      </c>
      <c r="J193" s="40" t="str">
        <f>IF(ORCAMENTOS!L201="","",ORCAMENTOS!L201)</f>
        <v>CANCELADO</v>
      </c>
      <c r="K193" s="34" t="str">
        <f>IF(ORCAMENTOS!M201="","",ORCAMENTOS!M201)</f>
        <v>-</v>
      </c>
      <c r="L193" t="str">
        <f>IF(ORCAMENTOS!R201="","",ORCAMENTOS!R201)</f>
        <v>-</v>
      </c>
    </row>
    <row r="194" spans="1:12" ht="15.75" hidden="1" customHeight="1" x14ac:dyDescent="0.25">
      <c r="A194" s="36">
        <f>IF(ORCAMENTOS!A202="","",ORCAMENTOS!A202)</f>
        <v>45687</v>
      </c>
      <c r="B194" s="46">
        <f>IF(ORCAMENTOS!B202="","",ORCAMENTOS!B202)</f>
        <v>192</v>
      </c>
      <c r="C194" s="46" t="str">
        <f>IF(ORCAMENTOS!C202="","",ORCAMENTOS!C202)</f>
        <v/>
      </c>
      <c r="D194" s="37" t="str">
        <f>IF(ORCAMENTOS!D202="","",ORCAMENTOS!D202)</f>
        <v>HEBERT FELIPE</v>
      </c>
      <c r="E194" s="38" t="str">
        <f>IF(ORCAMENTOS!E202="","",ORCAMENTOS!E202)</f>
        <v>-</v>
      </c>
      <c r="F194" s="37" t="str">
        <f>IF(ORCAMENTOS!G202="","",ORCAMENTOS!G202)</f>
        <v>Gabriel</v>
      </c>
      <c r="G194" s="37" t="str">
        <f>IF(ORCAMENTOS!H202="","",ORCAMENTOS!H202)</f>
        <v>Hebert</v>
      </c>
      <c r="H194" s="39">
        <f>IF(ORCAMENTOS!I202="","",ORCAMENTOS!I202)</f>
        <v>5344.01</v>
      </c>
      <c r="I194" s="60" t="str">
        <f>IF(ORCAMENTOS!J202="","",ORCAMENTOS!J202)</f>
        <v/>
      </c>
      <c r="J194" s="40" t="str">
        <f>IF(ORCAMENTOS!L202="","",ORCAMENTOS!L202)</f>
        <v>CANCELADO</v>
      </c>
      <c r="K194" s="34" t="str">
        <f>IF(ORCAMENTOS!M202="","",ORCAMENTOS!M202)</f>
        <v>-</v>
      </c>
      <c r="L194" t="str">
        <f>IF(ORCAMENTOS!R202="","",ORCAMENTOS!R202)</f>
        <v>-</v>
      </c>
    </row>
    <row r="195" spans="1:12" ht="15.75" hidden="1" customHeight="1" x14ac:dyDescent="0.25">
      <c r="A195" s="36">
        <f>IF(ORCAMENTOS!A203="","",ORCAMENTOS!A203)</f>
        <v>45687</v>
      </c>
      <c r="B195" s="46">
        <f>IF(ORCAMENTOS!B203="","",ORCAMENTOS!B203)</f>
        <v>193</v>
      </c>
      <c r="C195" s="46" t="str">
        <f>IF(ORCAMENTOS!C203="","",ORCAMENTOS!C203)</f>
        <v/>
      </c>
      <c r="D195" s="37" t="str">
        <f>IF(ORCAMENTOS!D203="","",ORCAMENTOS!D203)</f>
        <v>RM3 ENGENHARIA</v>
      </c>
      <c r="E195" s="38" t="str">
        <f>IF(ORCAMENTOS!E203="","",ORCAMENTOS!E203)</f>
        <v>SVNG - SERTAOZINHO - SP</v>
      </c>
      <c r="F195" s="37" t="str">
        <f>IF(ORCAMENTOS!G203="","",ORCAMENTOS!G203)</f>
        <v>Guilherme</v>
      </c>
      <c r="G195" s="37" t="str">
        <f>IF(ORCAMENTOS!H203="","",ORCAMENTOS!H203)</f>
        <v>Angelica</v>
      </c>
      <c r="H195" s="39">
        <f>IF(ORCAMENTOS!I203="","",ORCAMENTOS!I203)</f>
        <v>279185</v>
      </c>
      <c r="I195" s="60" t="str">
        <f>IF(ORCAMENTOS!J203="","",ORCAMENTOS!J203)</f>
        <v/>
      </c>
      <c r="J195" s="40" t="str">
        <f>IF(ORCAMENTOS!L203="","",ORCAMENTOS!L203)</f>
        <v>CANCELADO</v>
      </c>
      <c r="K195" s="34" t="str">
        <f>IF(ORCAMENTOS!M203="","",ORCAMENTOS!M203)</f>
        <v>FECHADO COM A MULTIVAC</v>
      </c>
      <c r="L195" t="str">
        <f>IF(ORCAMENTOS!R203="","",ORCAMENTOS!R203)</f>
        <v>-</v>
      </c>
    </row>
    <row r="196" spans="1:12" ht="15.75" hidden="1" customHeight="1" x14ac:dyDescent="0.25">
      <c r="A196" s="36">
        <f>IF(ORCAMENTOS!A204="","",ORCAMENTOS!A204)</f>
        <v>45687</v>
      </c>
      <c r="B196" s="46">
        <f>IF(ORCAMENTOS!B204="","",ORCAMENTOS!B204)</f>
        <v>194</v>
      </c>
      <c r="C196" s="46" t="str">
        <f>IF(ORCAMENTOS!C204="","",ORCAMENTOS!C204)</f>
        <v/>
      </c>
      <c r="D196" s="37" t="str">
        <f>IF(ORCAMENTOS!D204="","",ORCAMENTOS!D204)</f>
        <v>SOFTCLIMA</v>
      </c>
      <c r="E196" s="38" t="str">
        <f>IF(ORCAMENTOS!E204="","",ORCAMENTOS!E204)</f>
        <v>-</v>
      </c>
      <c r="F196" s="37" t="str">
        <f>IF(ORCAMENTOS!G204="","",ORCAMENTOS!G204)</f>
        <v>Gabriel</v>
      </c>
      <c r="G196" s="37" t="str">
        <f>IF(ORCAMENTOS!H204="","",ORCAMENTOS!H204)</f>
        <v>Rubens</v>
      </c>
      <c r="H196" s="39">
        <f>IF(ORCAMENTOS!I204="","",ORCAMENTOS!I204)</f>
        <v>99851.37</v>
      </c>
      <c r="I196" s="60" t="str">
        <f>IF(ORCAMENTOS!J204="","",ORCAMENTOS!J204)</f>
        <v/>
      </c>
      <c r="J196" s="40" t="str">
        <f>IF(ORCAMENTOS!L204="","",ORCAMENTOS!L204)</f>
        <v>CANCELADO</v>
      </c>
      <c r="K196" s="34" t="str">
        <f>IF(ORCAMENTOS!M204="","",ORCAMENTOS!M204)</f>
        <v>-</v>
      </c>
      <c r="L196" t="str">
        <f>IF(ORCAMENTOS!R204="","",ORCAMENTOS!R204)</f>
        <v>-</v>
      </c>
    </row>
    <row r="197" spans="1:12" ht="15.75" hidden="1" customHeight="1" x14ac:dyDescent="0.25">
      <c r="A197" s="36">
        <f>IF(ORCAMENTOS!A205="","",ORCAMENTOS!A205)</f>
        <v>45687</v>
      </c>
      <c r="B197" s="46">
        <f>IF(ORCAMENTOS!B205="","",ORCAMENTOS!B205)</f>
        <v>195</v>
      </c>
      <c r="C197" s="46" t="str">
        <f>IF(ORCAMENTOS!C205="","",ORCAMENTOS!C205)</f>
        <v/>
      </c>
      <c r="D197" s="37" t="str">
        <f>IF(ORCAMENTOS!D205="","",ORCAMENTOS!D205)</f>
        <v>NEWSET</v>
      </c>
      <c r="E197" s="38" t="str">
        <f>IF(ORCAMENTOS!E205="","",ORCAMENTOS!E205)</f>
        <v>FLEURY CAMPINA</v>
      </c>
      <c r="F197" s="37" t="str">
        <f>IF(ORCAMENTOS!G205="","",ORCAMENTOS!G205)</f>
        <v xml:space="preserve">Aldavir </v>
      </c>
      <c r="G197" s="37" t="str">
        <f>IF(ORCAMENTOS!H205="","",ORCAMENTOS!H205)</f>
        <v>Atila</v>
      </c>
      <c r="H197" s="39">
        <f>IF(ORCAMENTOS!I205="","",ORCAMENTOS!I205)</f>
        <v>22810.68</v>
      </c>
      <c r="I197" s="60" t="str">
        <f>IF(ORCAMENTOS!J205="","",ORCAMENTOS!J205)</f>
        <v/>
      </c>
      <c r="J197" s="40" t="str">
        <f>IF(ORCAMENTOS!L205="","",ORCAMENTOS!L205)</f>
        <v>CANCELADO</v>
      </c>
      <c r="K197" s="34" t="str">
        <f>IF(ORCAMENTOS!M205="","",ORCAMENTOS!M205)</f>
        <v>-</v>
      </c>
      <c r="L197" t="str">
        <f>IF(ORCAMENTOS!R205="","",ORCAMENTOS!R205)</f>
        <v>-</v>
      </c>
    </row>
    <row r="198" spans="1:12" ht="15.75" hidden="1" customHeight="1" x14ac:dyDescent="0.25">
      <c r="A198" s="36">
        <f>IF(ORCAMENTOS!A206="","",ORCAMENTOS!A206)</f>
        <v>45687</v>
      </c>
      <c r="B198" s="46">
        <f>IF(ORCAMENTOS!B206="","",ORCAMENTOS!B206)</f>
        <v>196</v>
      </c>
      <c r="C198" s="46" t="str">
        <f>IF(ORCAMENTOS!C206="","",ORCAMENTOS!C206)</f>
        <v/>
      </c>
      <c r="D198" s="37" t="str">
        <f>IF(ORCAMENTOS!D206="","",ORCAMENTOS!D206)</f>
        <v>AWA AR CONDICIONADO</v>
      </c>
      <c r="E198" s="38" t="str">
        <f>IF(ORCAMENTOS!E206="","",ORCAMENTOS!E206)</f>
        <v>MATEUS SUPERMERCADOS - LOJA COHATRAC - SÃO JOSE DO RIBAMAR - MA</v>
      </c>
      <c r="F198" s="37" t="str">
        <f>IF(ORCAMENTOS!G206="","",ORCAMENTOS!G206)</f>
        <v>Guilherme</v>
      </c>
      <c r="G198" s="37" t="str">
        <f>IF(ORCAMENTOS!H206="","",ORCAMENTOS!H206)</f>
        <v>Maria Julia</v>
      </c>
      <c r="H198" s="39">
        <f>IF(ORCAMENTOS!I206="","",ORCAMENTOS!I206)</f>
        <v>123735.98</v>
      </c>
      <c r="I198" s="60" t="str">
        <f>IF(ORCAMENTOS!J206="","",ORCAMENTOS!J206)</f>
        <v/>
      </c>
      <c r="J198" s="40" t="str">
        <f>IF(ORCAMENTOS!L206="","",ORCAMENTOS!L206)</f>
        <v>CANCELADO</v>
      </c>
      <c r="K198" s="34" t="str">
        <f>IF(ORCAMENTOS!M206="","",ORCAMENTOS!M206)</f>
        <v>-</v>
      </c>
      <c r="L198" t="str">
        <f>IF(ORCAMENTOS!R206="","",ORCAMENTOS!R206)</f>
        <v>MPU</v>
      </c>
    </row>
    <row r="199" spans="1:12" ht="15.75" hidden="1" customHeight="1" x14ac:dyDescent="0.25">
      <c r="A199" s="36">
        <f>IF(ORCAMENTOS!A207="","",ORCAMENTOS!A207)</f>
        <v>45687</v>
      </c>
      <c r="B199" s="46">
        <f>IF(ORCAMENTOS!B207="","",ORCAMENTOS!B207)</f>
        <v>197</v>
      </c>
      <c r="C199" s="46" t="str">
        <f>IF(ORCAMENTOS!C207="","",ORCAMENTOS!C207)</f>
        <v/>
      </c>
      <c r="D199" s="37" t="str">
        <f>IF(ORCAMENTOS!D207="","",ORCAMENTOS!D207)</f>
        <v>OPHTHALMOS</v>
      </c>
      <c r="E199" s="38" t="str">
        <f>IF(ORCAMENTOS!E207="","",ORCAMENTOS!E207)</f>
        <v>PARQUES SÃO DOMINGOS - SÃO PAULO - SP</v>
      </c>
      <c r="F199" s="37" t="str">
        <f>IF(ORCAMENTOS!G207="","",ORCAMENTOS!G207)</f>
        <v>Emanuel</v>
      </c>
      <c r="G199" s="37" t="str">
        <f>IF(ORCAMENTOS!H207="","",ORCAMENTOS!H207)</f>
        <v>Rafael</v>
      </c>
      <c r="H199" s="39">
        <f>IF(ORCAMENTOS!I207="","",ORCAMENTOS!I207)</f>
        <v>17645.849999999999</v>
      </c>
      <c r="I199" s="60" t="str">
        <f>IF(ORCAMENTOS!J207="","",ORCAMENTOS!J207)</f>
        <v/>
      </c>
      <c r="J199" s="40" t="str">
        <f>IF(ORCAMENTOS!L207="","",ORCAMENTOS!L207)</f>
        <v>FECHADO</v>
      </c>
      <c r="K199" s="34" t="str">
        <f>IF(ORCAMENTOS!M207="","",ORCAMENTOS!M207)</f>
        <v>-</v>
      </c>
      <c r="L199" t="str">
        <f>IF(ORCAMENTOS!R207="","",ORCAMENTOS!R207)</f>
        <v>-</v>
      </c>
    </row>
    <row r="200" spans="1:12" ht="15.75" hidden="1" customHeight="1" x14ac:dyDescent="0.25">
      <c r="A200" s="36">
        <f>IF(ORCAMENTOS!A208="","",ORCAMENTOS!A208)</f>
        <v>45688</v>
      </c>
      <c r="B200" s="46">
        <f>IF(ORCAMENTOS!B208="","",ORCAMENTOS!B208)</f>
        <v>198</v>
      </c>
      <c r="C200" s="46" t="str">
        <f>IF(ORCAMENTOS!C208="","",ORCAMENTOS!C208)</f>
        <v/>
      </c>
      <c r="D200" s="37" t="str">
        <f>IF(ORCAMENTOS!D208="","",ORCAMENTOS!D208)</f>
        <v>MONDARC</v>
      </c>
      <c r="E200" s="38" t="str">
        <f>IF(ORCAMENTOS!E208="","",ORCAMENTOS!E208)</f>
        <v>ADIDAS - SHOPPING ARICANDUVA</v>
      </c>
      <c r="F200" s="37" t="str">
        <f>IF(ORCAMENTOS!G208="","",ORCAMENTOS!G208)</f>
        <v>Michel</v>
      </c>
      <c r="G200" s="37" t="str">
        <f>IF(ORCAMENTOS!H208="","",ORCAMENTOS!H208)</f>
        <v>Matheus</v>
      </c>
      <c r="H200" s="39">
        <f>IF(ORCAMENTOS!I208="","",ORCAMENTOS!I208)</f>
        <v>66776.2</v>
      </c>
      <c r="I200" s="60" t="str">
        <f>IF(ORCAMENTOS!J208="","",ORCAMENTOS!J208)</f>
        <v/>
      </c>
      <c r="J200" s="40" t="str">
        <f>IF(ORCAMENTOS!L208="","",ORCAMENTOS!L208)</f>
        <v>CANCELADO</v>
      </c>
      <c r="K200" s="34" t="str">
        <f>IF(ORCAMENTOS!M208="","",ORCAMENTOS!M208)</f>
        <v>-</v>
      </c>
      <c r="L200" t="str">
        <f>IF(ORCAMENTOS!R208="","",ORCAMENTOS!R208)</f>
        <v>-</v>
      </c>
    </row>
    <row r="201" spans="1:12" ht="15.75" hidden="1" customHeight="1" x14ac:dyDescent="0.25">
      <c r="A201" s="36">
        <f>IF(ORCAMENTOS!A209="","",ORCAMENTOS!A209)</f>
        <v>45687</v>
      </c>
      <c r="B201" s="46">
        <f>IF(ORCAMENTOS!B209="","",ORCAMENTOS!B209)</f>
        <v>199</v>
      </c>
      <c r="C201" s="46" t="str">
        <f>IF(ORCAMENTOS!C209="","",ORCAMENTOS!C209)</f>
        <v/>
      </c>
      <c r="D201" s="37" t="str">
        <f>IF(ORCAMENTOS!D209="","",ORCAMENTOS!D209)</f>
        <v>MOVE AR</v>
      </c>
      <c r="E201" s="38" t="str">
        <f>IF(ORCAMENTOS!E209="","",ORCAMENTOS!E209)</f>
        <v>-</v>
      </c>
      <c r="F201" s="37" t="str">
        <f>IF(ORCAMENTOS!G209="","",ORCAMENTOS!G209)</f>
        <v>Gabriel</v>
      </c>
      <c r="G201" s="37" t="str">
        <f>IF(ORCAMENTOS!H209="","",ORCAMENTOS!H209)</f>
        <v>Debora</v>
      </c>
      <c r="H201" s="39">
        <f>IF(ORCAMENTOS!I209="","",ORCAMENTOS!I209)</f>
        <v>2999.67</v>
      </c>
      <c r="I201" s="60" t="str">
        <f>IF(ORCAMENTOS!J209="","",ORCAMENTOS!J209)</f>
        <v/>
      </c>
      <c r="J201" s="40" t="str">
        <f>IF(ORCAMENTOS!L209="","",ORCAMENTOS!L209)</f>
        <v>CANCELADO</v>
      </c>
      <c r="K201" s="34" t="str">
        <f>IF(ORCAMENTOS!M209="","",ORCAMENTOS!M209)</f>
        <v>Apenas consulta</v>
      </c>
      <c r="L201" t="str">
        <f>IF(ORCAMENTOS!R209="","",ORCAMENTOS!R209)</f>
        <v>-</v>
      </c>
    </row>
    <row r="202" spans="1:12" ht="15.75" hidden="1" customHeight="1" x14ac:dyDescent="0.25">
      <c r="A202" s="36">
        <f>IF(ORCAMENTOS!A210="","",ORCAMENTOS!A210)</f>
        <v>45687</v>
      </c>
      <c r="B202" s="46">
        <f>IF(ORCAMENTOS!B210="","",ORCAMENTOS!B210)</f>
        <v>200</v>
      </c>
      <c r="C202" s="46" t="str">
        <f>IF(ORCAMENTOS!C210="","",ORCAMENTOS!C210)</f>
        <v/>
      </c>
      <c r="D202" s="37" t="str">
        <f>IF(ORCAMENTOS!D210="","",ORCAMENTOS!D210)</f>
        <v>BOM CLIMA</v>
      </c>
      <c r="E202" s="38" t="str">
        <f>IF(ORCAMENTOS!E210="","",ORCAMENTOS!E210)</f>
        <v>-</v>
      </c>
      <c r="F202" s="37" t="str">
        <f>IF(ORCAMENTOS!G210="","",ORCAMENTOS!G210)</f>
        <v>Gabriel</v>
      </c>
      <c r="G202" s="37" t="str">
        <f>IF(ORCAMENTOS!H210="","",ORCAMENTOS!H210)</f>
        <v>Roberto</v>
      </c>
      <c r="H202" s="39">
        <f>IF(ORCAMENTOS!I210="","",ORCAMENTOS!I210)</f>
        <v>9423.11</v>
      </c>
      <c r="I202" s="60" t="str">
        <f>IF(ORCAMENTOS!J210="","",ORCAMENTOS!J210)</f>
        <v/>
      </c>
      <c r="J202" s="40" t="str">
        <f>IF(ORCAMENTOS!L210="","",ORCAMENTOS!L210)</f>
        <v>FECHADO</v>
      </c>
      <c r="K202" s="34" t="str">
        <f>IF(ORCAMENTOS!M210="","",ORCAMENTOS!M210)</f>
        <v>-</v>
      </c>
      <c r="L202" t="str">
        <f>IF(ORCAMENTOS!R210="","",ORCAMENTOS!R210)</f>
        <v>-</v>
      </c>
    </row>
    <row r="203" spans="1:12" ht="15.75" hidden="1" customHeight="1" x14ac:dyDescent="0.25">
      <c r="A203" s="36">
        <f>IF(ORCAMENTOS!A211="","",ORCAMENTOS!A211)</f>
        <v>45687</v>
      </c>
      <c r="B203" s="46">
        <f>IF(ORCAMENTOS!B211="","",ORCAMENTOS!B211)</f>
        <v>201</v>
      </c>
      <c r="C203" s="46" t="str">
        <f>IF(ORCAMENTOS!C211="","",ORCAMENTOS!C211)</f>
        <v/>
      </c>
      <c r="D203" s="37" t="str">
        <f>IF(ORCAMENTOS!D211="","",ORCAMENTOS!D211)</f>
        <v>LTX CLIMATIZACAO</v>
      </c>
      <c r="E203" s="38" t="str">
        <f>IF(ORCAMENTOS!E211="","",ORCAMENTOS!E211)</f>
        <v>FAST SHOP</v>
      </c>
      <c r="F203" s="37" t="str">
        <f>IF(ORCAMENTOS!G211="","",ORCAMENTOS!G211)</f>
        <v>Guilherme</v>
      </c>
      <c r="G203" s="37" t="str">
        <f>IF(ORCAMENTOS!H211="","",ORCAMENTOS!H211)</f>
        <v>David</v>
      </c>
      <c r="H203" s="39">
        <f>IF(ORCAMENTOS!I211="","",ORCAMENTOS!I211)</f>
        <v>21088.92</v>
      </c>
      <c r="I203" s="60" t="str">
        <f>IF(ORCAMENTOS!J211="","",ORCAMENTOS!J211)</f>
        <v/>
      </c>
      <c r="J203" s="40" t="str">
        <f>IF(ORCAMENTOS!L211="","",ORCAMENTOS!L211)</f>
        <v>CANCELADO</v>
      </c>
      <c r="K203" s="34" t="str">
        <f>IF(ORCAMENTOS!M211="","",ORCAMENTOS!M211)</f>
        <v>-</v>
      </c>
      <c r="L203" t="str">
        <f>IF(ORCAMENTOS!R211="","",ORCAMENTOS!R211)</f>
        <v>-</v>
      </c>
    </row>
    <row r="204" spans="1:12" ht="15.75" hidden="1" customHeight="1" x14ac:dyDescent="0.25">
      <c r="A204" s="36">
        <f>IF(ORCAMENTOS!A212="","",ORCAMENTOS!A212)</f>
        <v>45687</v>
      </c>
      <c r="B204" s="46">
        <f>IF(ORCAMENTOS!B212="","",ORCAMENTOS!B212)</f>
        <v>202</v>
      </c>
      <c r="C204" s="46" t="str">
        <f>IF(ORCAMENTOS!C212="","",ORCAMENTOS!C212)</f>
        <v/>
      </c>
      <c r="D204" s="37" t="str">
        <f>IF(ORCAMENTOS!D212="","",ORCAMENTOS!D212)</f>
        <v>AR SISTEMAS</v>
      </c>
      <c r="E204" s="38" t="str">
        <f>IF(ORCAMENTOS!E212="","",ORCAMENTOS!E212)</f>
        <v>SMART FIT - PIRACICABA - SP</v>
      </c>
      <c r="F204" s="37" t="str">
        <f>IF(ORCAMENTOS!G212="","",ORCAMENTOS!G212)</f>
        <v>Michel</v>
      </c>
      <c r="G204" s="37" t="str">
        <f>IF(ORCAMENTOS!H212="","",ORCAMENTOS!H212)</f>
        <v>Ricardo</v>
      </c>
      <c r="H204" s="39">
        <f>IF(ORCAMENTOS!I212="","",ORCAMENTOS!I212)</f>
        <v>109574.55</v>
      </c>
      <c r="I204" s="60" t="str">
        <f>IF(ORCAMENTOS!J212="","",ORCAMENTOS!J212)</f>
        <v/>
      </c>
      <c r="J204" s="40" t="str">
        <f>IF(ORCAMENTOS!L212="","",ORCAMENTOS!L212)</f>
        <v>CANCELADO</v>
      </c>
      <c r="K204" s="34" t="str">
        <f>IF(ORCAMENTOS!M212="","",ORCAMENTOS!M212)</f>
        <v>-</v>
      </c>
      <c r="L204" t="str">
        <f>IF(ORCAMENTOS!R212="","",ORCAMENTOS!R212)</f>
        <v>MPU</v>
      </c>
    </row>
    <row r="205" spans="1:12" ht="15.75" hidden="1" customHeight="1" x14ac:dyDescent="0.25">
      <c r="A205" s="36">
        <f>IF(ORCAMENTOS!A213="","",ORCAMENTOS!A213)</f>
        <v>45687</v>
      </c>
      <c r="B205" s="46">
        <f>IF(ORCAMENTOS!B213="","",ORCAMENTOS!B213)</f>
        <v>203</v>
      </c>
      <c r="C205" s="46" t="str">
        <f>IF(ORCAMENTOS!C213="","",ORCAMENTOS!C213)</f>
        <v/>
      </c>
      <c r="D205" s="37" t="str">
        <f>IF(ORCAMENTOS!D213="","",ORCAMENTOS!D213)</f>
        <v>TARKAT REFRIGERACAO</v>
      </c>
      <c r="E205" s="38" t="str">
        <f>IF(ORCAMENTOS!E213="","",ORCAMENTOS!E213)</f>
        <v>IGREJA BATISTA AVIVAMENTO MUNDIAL</v>
      </c>
      <c r="F205" s="37" t="str">
        <f>IF(ORCAMENTOS!G213="","",ORCAMENTOS!G213)</f>
        <v>Michel</v>
      </c>
      <c r="G205" s="37" t="str">
        <f>IF(ORCAMENTOS!H213="","",ORCAMENTOS!H213)</f>
        <v>Rebeca</v>
      </c>
      <c r="H205" s="39">
        <f>IF(ORCAMENTOS!I213="","",ORCAMENTOS!I213)</f>
        <v>3492.65</v>
      </c>
      <c r="I205" s="60" t="str">
        <f>IF(ORCAMENTOS!J213="","",ORCAMENTOS!J213)</f>
        <v/>
      </c>
      <c r="J205" s="40" t="str">
        <f>IF(ORCAMENTOS!L213="","",ORCAMENTOS!L213)</f>
        <v>FECHADO</v>
      </c>
      <c r="K205" s="34" t="str">
        <f>IF(ORCAMENTOS!M213="","",ORCAMENTOS!M213)</f>
        <v>-</v>
      </c>
      <c r="L205" t="str">
        <f>IF(ORCAMENTOS!R213="","",ORCAMENTOS!R213)</f>
        <v>-</v>
      </c>
    </row>
    <row r="206" spans="1:12" ht="15.75" hidden="1" customHeight="1" x14ac:dyDescent="0.25">
      <c r="A206" s="36">
        <f>IF(ORCAMENTOS!A214="","",ORCAMENTOS!A214)</f>
        <v>45688</v>
      </c>
      <c r="B206" s="46">
        <f>IF(ORCAMENTOS!B214="","",ORCAMENTOS!B214)</f>
        <v>204</v>
      </c>
      <c r="C206" s="46" t="str">
        <f>IF(ORCAMENTOS!C214="","",ORCAMENTOS!C214)</f>
        <v/>
      </c>
      <c r="D206" s="37" t="str">
        <f>IF(ORCAMENTOS!D214="","",ORCAMENTOS!D214)</f>
        <v>JGTEC</v>
      </c>
      <c r="E206" s="38" t="str">
        <f>IF(ORCAMENTOS!E214="","",ORCAMENTOS!E214)</f>
        <v>-</v>
      </c>
      <c r="F206" s="37" t="str">
        <f>IF(ORCAMENTOS!G214="","",ORCAMENTOS!G214)</f>
        <v>Michel</v>
      </c>
      <c r="G206" s="37" t="str">
        <f>IF(ORCAMENTOS!H214="","",ORCAMENTOS!H214)</f>
        <v>Milena</v>
      </c>
      <c r="H206" s="39">
        <f>IF(ORCAMENTOS!I214="","",ORCAMENTOS!I214)</f>
        <v>1891.13</v>
      </c>
      <c r="I206" s="60" t="str">
        <f>IF(ORCAMENTOS!J214="","",ORCAMENTOS!J214)</f>
        <v/>
      </c>
      <c r="J206" s="40" t="str">
        <f>IF(ORCAMENTOS!L214="","",ORCAMENTOS!L214)</f>
        <v>FECHADO</v>
      </c>
      <c r="K206" s="34" t="str">
        <f>IF(ORCAMENTOS!M214="","",ORCAMENTOS!M214)</f>
        <v>-</v>
      </c>
      <c r="L206" t="str">
        <f>IF(ORCAMENTOS!R214="","",ORCAMENTOS!R214)</f>
        <v>-</v>
      </c>
    </row>
    <row r="207" spans="1:12" ht="15.75" hidden="1" customHeight="1" x14ac:dyDescent="0.25">
      <c r="A207" s="36">
        <f>IF(ORCAMENTOS!A215="","",ORCAMENTOS!A215)</f>
        <v>45688</v>
      </c>
      <c r="B207" s="46">
        <f>IF(ORCAMENTOS!B215="","",ORCAMENTOS!B215)</f>
        <v>205</v>
      </c>
      <c r="C207" s="46" t="str">
        <f>IF(ORCAMENTOS!C215="","",ORCAMENTOS!C215)</f>
        <v/>
      </c>
      <c r="D207" s="37" t="str">
        <f>IF(ORCAMENTOS!D215="","",ORCAMENTOS!D215)</f>
        <v>FAZENG</v>
      </c>
      <c r="E207" s="38" t="str">
        <f>IF(ORCAMENTOS!E215="","",ORCAMENTOS!E215)</f>
        <v>SMART FIT - PERUIBE - SP</v>
      </c>
      <c r="F207" s="37" t="str">
        <f>IF(ORCAMENTOS!G215="","",ORCAMENTOS!G215)</f>
        <v>Gabriel</v>
      </c>
      <c r="G207" s="37" t="str">
        <f>IF(ORCAMENTOS!H215="","",ORCAMENTOS!H215)</f>
        <v>Joao</v>
      </c>
      <c r="H207" s="39">
        <f>IF(ORCAMENTOS!I215="","",ORCAMENTOS!I215)</f>
        <v>96496.7</v>
      </c>
      <c r="I207" s="60" t="str">
        <f>IF(ORCAMENTOS!J215="","",ORCAMENTOS!J215)</f>
        <v/>
      </c>
      <c r="J207" s="40" t="str">
        <f>IF(ORCAMENTOS!L215="","",ORCAMENTOS!L215)</f>
        <v>CANCELADO</v>
      </c>
      <c r="K207" s="34" t="str">
        <f>IF(ORCAMENTOS!M215="","",ORCAMENTOS!M215)</f>
        <v>VAI CONFIRMAR, MAS ACREDITA QUE NÃO CONSIGA A OBRA POR QUE O DIRETOR TEM UMAS EMPRESAS LA QUE E DO AMIGO DELE</v>
      </c>
      <c r="L207" t="str">
        <f>IF(ORCAMENTOS!R215="","",ORCAMENTOS!R215)</f>
        <v>MPU</v>
      </c>
    </row>
    <row r="208" spans="1:12" ht="15.75" hidden="1" customHeight="1" x14ac:dyDescent="0.25">
      <c r="A208" s="36">
        <f>IF(ORCAMENTOS!A216="","",ORCAMENTOS!A216)</f>
        <v>45688</v>
      </c>
      <c r="B208" s="46">
        <f>IF(ORCAMENTOS!B216="","",ORCAMENTOS!B216)</f>
        <v>206</v>
      </c>
      <c r="C208" s="46" t="str">
        <f>IF(ORCAMENTOS!C216="","",ORCAMENTOS!C216)</f>
        <v/>
      </c>
      <c r="D208" s="37" t="str">
        <f>IF(ORCAMENTOS!D216="","",ORCAMENTOS!D216)</f>
        <v>AR SET</v>
      </c>
      <c r="E208" s="38" t="str">
        <f>IF(ORCAMENTOS!E216="","",ORCAMENTOS!E216)</f>
        <v>FAZENDA BOA VISTA</v>
      </c>
      <c r="F208" s="37" t="str">
        <f>IF(ORCAMENTOS!G216="","",ORCAMENTOS!G216)</f>
        <v>Fernando</v>
      </c>
      <c r="G208" s="37" t="str">
        <f>IF(ORCAMENTOS!H216="","",ORCAMENTOS!H216)</f>
        <v>Lais</v>
      </c>
      <c r="H208" s="39">
        <f>IF(ORCAMENTOS!I216="","",ORCAMENTOS!I216)</f>
        <v>11929.67</v>
      </c>
      <c r="I208" s="60" t="str">
        <f>IF(ORCAMENTOS!J216="","",ORCAMENTOS!J216)</f>
        <v/>
      </c>
      <c r="J208" s="40" t="str">
        <f>IF(ORCAMENTOS!L216="","",ORCAMENTOS!L216)</f>
        <v>FECHADO</v>
      </c>
      <c r="K208" s="34" t="str">
        <f>IF(ORCAMENTOS!M216="","",ORCAMENTOS!M216)</f>
        <v>-</v>
      </c>
      <c r="L208" t="str">
        <f>IF(ORCAMENTOS!R216="","",ORCAMENTOS!R216)</f>
        <v>-</v>
      </c>
    </row>
    <row r="209" spans="1:12" ht="15.75" hidden="1" customHeight="1" x14ac:dyDescent="0.25">
      <c r="A209" s="36">
        <f>IF(ORCAMENTOS!A217="","",ORCAMENTOS!A217)</f>
        <v>45688</v>
      </c>
      <c r="B209" s="46">
        <f>IF(ORCAMENTOS!B217="","",ORCAMENTOS!B217)</f>
        <v>207</v>
      </c>
      <c r="C209" s="46" t="str">
        <f>IF(ORCAMENTOS!C217="","",ORCAMENTOS!C217)</f>
        <v/>
      </c>
      <c r="D209" s="37" t="str">
        <f>IF(ORCAMENTOS!D217="","",ORCAMENTOS!D217)</f>
        <v>FAZENG</v>
      </c>
      <c r="E209" s="38" t="str">
        <f>IF(ORCAMENTOS!E217="","",ORCAMENTOS!E217)</f>
        <v>SMART FIT - TABOAO SPITA - TABOAO DA SERRA - SP</v>
      </c>
      <c r="F209" s="37" t="str">
        <f>IF(ORCAMENTOS!G217="","",ORCAMENTOS!G217)</f>
        <v>Gabriel</v>
      </c>
      <c r="G209" s="37" t="str">
        <f>IF(ORCAMENTOS!H217="","",ORCAMENTOS!H217)</f>
        <v>Joao</v>
      </c>
      <c r="H209" s="39">
        <f>IF(ORCAMENTOS!I217="","",ORCAMENTOS!I217)</f>
        <v>52197.63</v>
      </c>
      <c r="I209" s="60" t="str">
        <f>IF(ORCAMENTOS!J217="","",ORCAMENTOS!J217)</f>
        <v/>
      </c>
      <c r="J209" s="40" t="str">
        <f>IF(ORCAMENTOS!L217="","",ORCAMENTOS!L217)</f>
        <v>CANCELADO</v>
      </c>
      <c r="K209" s="34" t="str">
        <f>IF(ORCAMENTOS!M217="","",ORCAMENTOS!M217)</f>
        <v>VAI CONFIRMAR, MAS ACREDITA QUE NÃO CONSIGA A OBRA POR QUE O DIRETOR TEM UMAS EMPRESAS LA QUE E DO AMIGO DELE</v>
      </c>
      <c r="L209" t="str">
        <f>IF(ORCAMENTOS!R217="","",ORCAMENTOS!R217)</f>
        <v>-</v>
      </c>
    </row>
    <row r="210" spans="1:12" ht="15.75" hidden="1" customHeight="1" x14ac:dyDescent="0.25">
      <c r="A210" s="36">
        <f>IF(ORCAMENTOS!A218="","",ORCAMENTOS!A218)</f>
        <v>45688</v>
      </c>
      <c r="B210" s="46">
        <f>IF(ORCAMENTOS!B218="","",ORCAMENTOS!B218)</f>
        <v>208</v>
      </c>
      <c r="C210" s="46" t="str">
        <f>IF(ORCAMENTOS!C218="","",ORCAMENTOS!C218)</f>
        <v/>
      </c>
      <c r="D210" s="37" t="str">
        <f>IF(ORCAMENTOS!D218="","",ORCAMENTOS!D218)</f>
        <v>CLIMAPRESS</v>
      </c>
      <c r="E210" s="38" t="str">
        <f>IF(ORCAMENTOS!E218="","",ORCAMENTOS!E218)</f>
        <v>AMPLIACAO - HOSPITAL ASSUNCAO</v>
      </c>
      <c r="F210" s="37" t="str">
        <f>IF(ORCAMENTOS!G218="","",ORCAMENTOS!G218)</f>
        <v>Emanuel</v>
      </c>
      <c r="G210" s="37" t="str">
        <f>IF(ORCAMENTOS!H218="","",ORCAMENTOS!H218)</f>
        <v>Vainer</v>
      </c>
      <c r="H210" s="39">
        <f>IF(ORCAMENTOS!I218="","",ORCAMENTOS!I218)</f>
        <v>863.73</v>
      </c>
      <c r="I210" s="60" t="str">
        <f>IF(ORCAMENTOS!J218="","",ORCAMENTOS!J218)</f>
        <v/>
      </c>
      <c r="J210" s="40" t="str">
        <f>IF(ORCAMENTOS!L218="","",ORCAMENTOS!L218)</f>
        <v>FECHADO</v>
      </c>
      <c r="K210" s="34" t="str">
        <f>IF(ORCAMENTOS!M218="","",ORCAMENTOS!M218)</f>
        <v>-</v>
      </c>
      <c r="L210" t="str">
        <f>IF(ORCAMENTOS!R218="","",ORCAMENTOS!R218)</f>
        <v>-</v>
      </c>
    </row>
    <row r="211" spans="1:12" ht="15.75" hidden="1" customHeight="1" x14ac:dyDescent="0.25">
      <c r="A211" s="36">
        <f>IF(ORCAMENTOS!A219="","",ORCAMENTOS!A219)</f>
        <v>45688</v>
      </c>
      <c r="B211" s="46">
        <f>IF(ORCAMENTOS!B219="","",ORCAMENTOS!B219)</f>
        <v>209</v>
      </c>
      <c r="C211" s="46" t="str">
        <f>IF(ORCAMENTOS!C219="","",ORCAMENTOS!C219)</f>
        <v/>
      </c>
      <c r="D211" s="37" t="str">
        <f>IF(ORCAMENTOS!D219="","",ORCAMENTOS!D219)</f>
        <v>SCS ENGENHARIA</v>
      </c>
      <c r="E211" s="38" t="str">
        <f>IF(ORCAMENTOS!E219="","",ORCAMENTOS!E219)</f>
        <v>-</v>
      </c>
      <c r="F211" s="37" t="str">
        <f>IF(ORCAMENTOS!G219="","",ORCAMENTOS!G219)</f>
        <v>Gabriel</v>
      </c>
      <c r="G211" s="37" t="str">
        <f>IF(ORCAMENTOS!H219="","",ORCAMENTOS!H219)</f>
        <v>Christopher</v>
      </c>
      <c r="H211" s="39">
        <f>IF(ORCAMENTOS!I219="","",ORCAMENTOS!I219)</f>
        <v>642.82000000000005</v>
      </c>
      <c r="I211" s="60" t="str">
        <f>IF(ORCAMENTOS!J219="","",ORCAMENTOS!J219)</f>
        <v/>
      </c>
      <c r="J211" s="40" t="str">
        <f>IF(ORCAMENTOS!L219="","",ORCAMENTOS!L219)</f>
        <v>FECHADO</v>
      </c>
      <c r="K211" s="34" t="str">
        <f>IF(ORCAMENTOS!M219="","",ORCAMENTOS!M219)</f>
        <v>-</v>
      </c>
      <c r="L211" t="str">
        <f>IF(ORCAMENTOS!R219="","",ORCAMENTOS!R219)</f>
        <v>-</v>
      </c>
    </row>
    <row r="212" spans="1:12" ht="15.75" hidden="1" customHeight="1" x14ac:dyDescent="0.25">
      <c r="A212" s="36">
        <f>IF(ORCAMENTOS!A220="","",ORCAMENTOS!A220)</f>
        <v>45688</v>
      </c>
      <c r="B212" s="46">
        <f>IF(ORCAMENTOS!B220="","",ORCAMENTOS!B220)</f>
        <v>210</v>
      </c>
      <c r="C212" s="46" t="str">
        <f>IF(ORCAMENTOS!C220="","",ORCAMENTOS!C220)</f>
        <v/>
      </c>
      <c r="D212" s="37" t="str">
        <f>IF(ORCAMENTOS!D220="","",ORCAMENTOS!D220)</f>
        <v>BMS ENGENHARIA</v>
      </c>
      <c r="E212" s="38" t="str">
        <f>IF(ORCAMENTOS!E220="","",ORCAMENTOS!E220)</f>
        <v>OBRAMAX - SÃO GONCALO - RIO DE JANEIRO - RJ</v>
      </c>
      <c r="F212" s="37" t="str">
        <f>IF(ORCAMENTOS!G220="","",ORCAMENTOS!G220)</f>
        <v>Guilherme</v>
      </c>
      <c r="G212" s="37" t="str">
        <f>IF(ORCAMENTOS!H220="","",ORCAMENTOS!H220)</f>
        <v>Aleison</v>
      </c>
      <c r="H212" s="39">
        <f>IF(ORCAMENTOS!I220="","",ORCAMENTOS!I220)</f>
        <v>343855.71</v>
      </c>
      <c r="I212" s="60" t="str">
        <f>IF(ORCAMENTOS!J220="","",ORCAMENTOS!J220)</f>
        <v/>
      </c>
      <c r="J212" s="40" t="str">
        <f>IF(ORCAMENTOS!L220="","",ORCAMENTOS!L220)</f>
        <v>CANCELADO</v>
      </c>
      <c r="K212" s="34" t="str">
        <f>IF(ORCAMENTOS!M220="","",ORCAMENTOS!M220)</f>
        <v>-</v>
      </c>
      <c r="L212" t="str">
        <f>IF(ORCAMENTOS!R220="","",ORCAMENTOS!R220)</f>
        <v>-</v>
      </c>
    </row>
    <row r="213" spans="1:12" ht="15.75" hidden="1" customHeight="1" x14ac:dyDescent="0.25">
      <c r="A213" s="36">
        <f>IF(ORCAMENTOS!A221="","",ORCAMENTOS!A221)</f>
        <v>45688</v>
      </c>
      <c r="B213" s="46">
        <f>IF(ORCAMENTOS!B221="","",ORCAMENTOS!B221)</f>
        <v>211</v>
      </c>
      <c r="C213" s="46" t="str">
        <f>IF(ORCAMENTOS!C221="","",ORCAMENTOS!C221)</f>
        <v/>
      </c>
      <c r="D213" s="37" t="str">
        <f>IF(ORCAMENTOS!D221="","",ORCAMENTOS!D221)</f>
        <v>PU DUTOS</v>
      </c>
      <c r="E213" s="38" t="str">
        <f>IF(ORCAMENTOS!E221="","",ORCAMENTOS!E221)</f>
        <v>ADIDAS - SHOPPING ARICANDUVA</v>
      </c>
      <c r="F213" s="37" t="str">
        <f>IF(ORCAMENTOS!G221="","",ORCAMENTOS!G221)</f>
        <v>Gabriel</v>
      </c>
      <c r="G213" s="37" t="str">
        <f>IF(ORCAMENTOS!H221="","",ORCAMENTOS!H221)</f>
        <v>Thiago</v>
      </c>
      <c r="H213" s="39">
        <f>IF(ORCAMENTOS!I221="","",ORCAMENTOS!I221)</f>
        <v>68776.2</v>
      </c>
      <c r="I213" s="60" t="str">
        <f>IF(ORCAMENTOS!J221="","",ORCAMENTOS!J221)</f>
        <v/>
      </c>
      <c r="J213" s="40" t="str">
        <f>IF(ORCAMENTOS!L221="","",ORCAMENTOS!L221)</f>
        <v>CANCELADO</v>
      </c>
      <c r="K213" s="34" t="str">
        <f>IF(ORCAMENTOS!M221="","",ORCAMENTOS!M221)</f>
        <v>-</v>
      </c>
      <c r="L213" t="str">
        <f>IF(ORCAMENTOS!R221="","",ORCAMENTOS!R221)</f>
        <v>MPU</v>
      </c>
    </row>
    <row r="214" spans="1:12" ht="15.75" hidden="1" customHeight="1" x14ac:dyDescent="0.25">
      <c r="A214" s="36">
        <f>IF(ORCAMENTOS!A222="","",ORCAMENTOS!A222)</f>
        <v>45688</v>
      </c>
      <c r="B214" s="46">
        <f>IF(ORCAMENTOS!B222="","",ORCAMENTOS!B222)</f>
        <v>212</v>
      </c>
      <c r="C214" s="46" t="str">
        <f>IF(ORCAMENTOS!C222="","",ORCAMENTOS!C222)</f>
        <v/>
      </c>
      <c r="D214" s="37" t="str">
        <f>IF(ORCAMENTOS!D222="","",ORCAMENTOS!D222)</f>
        <v>FL HVAC</v>
      </c>
      <c r="E214" s="38" t="str">
        <f>IF(ORCAMENTOS!E222="","",ORCAMENTOS!E222)</f>
        <v>SMART FIT - PINHAIS 2 - PR</v>
      </c>
      <c r="F214" s="37" t="str">
        <f>IF(ORCAMENTOS!G222="","",ORCAMENTOS!G222)</f>
        <v>Guilherme</v>
      </c>
      <c r="G214" s="37" t="str">
        <f>IF(ORCAMENTOS!H222="","",ORCAMENTOS!H222)</f>
        <v>Beatriz</v>
      </c>
      <c r="H214" s="39">
        <f>IF(ORCAMENTOS!I222="","",ORCAMENTOS!I222)</f>
        <v>22712.9</v>
      </c>
      <c r="I214" s="60" t="str">
        <f>IF(ORCAMENTOS!J222="","",ORCAMENTOS!J222)</f>
        <v/>
      </c>
      <c r="J214" s="40" t="str">
        <f>IF(ORCAMENTOS!L222="","",ORCAMENTOS!L222)</f>
        <v>CANCELADO</v>
      </c>
      <c r="K214" s="34" t="str">
        <f>IF(ORCAMENTOS!M222="","",ORCAMENTOS!M222)</f>
        <v>CLIENTE PERDEU A OBRA</v>
      </c>
      <c r="L214" t="str">
        <f>IF(ORCAMENTOS!R222="","",ORCAMENTOS!R222)</f>
        <v>MPU</v>
      </c>
    </row>
    <row r="215" spans="1:12" ht="15.75" hidden="1" customHeight="1" x14ac:dyDescent="0.25">
      <c r="A215" s="36">
        <f>IF(ORCAMENTOS!A223="","",ORCAMENTOS!A223)</f>
        <v>45688</v>
      </c>
      <c r="B215" s="46">
        <f>IF(ORCAMENTOS!B223="","",ORCAMENTOS!B223)</f>
        <v>213</v>
      </c>
      <c r="C215" s="46" t="str">
        <f>IF(ORCAMENTOS!C223="","",ORCAMENTOS!C223)</f>
        <v/>
      </c>
      <c r="D215" s="37" t="str">
        <f>IF(ORCAMENTOS!D223="","",ORCAMENTOS!D223)</f>
        <v>TARKAT REFRIGERACAO</v>
      </c>
      <c r="E215" s="38" t="str">
        <f>IF(ORCAMENTOS!E223="","",ORCAMENTOS!E223)</f>
        <v>BELLY NESTLE - PREDIO A</v>
      </c>
      <c r="F215" s="37" t="str">
        <f>IF(ORCAMENTOS!G223="","",ORCAMENTOS!G223)</f>
        <v>Michel</v>
      </c>
      <c r="G215" s="37" t="str">
        <f>IF(ORCAMENTOS!H223="","",ORCAMENTOS!H223)</f>
        <v>Henrique</v>
      </c>
      <c r="H215" s="39">
        <f>IF(ORCAMENTOS!I223="","",ORCAMENTOS!I223)</f>
        <v>106684</v>
      </c>
      <c r="I215" s="60" t="str">
        <f>IF(ORCAMENTOS!J223="","",ORCAMENTOS!J223)</f>
        <v/>
      </c>
      <c r="J215" s="40" t="str">
        <f>IF(ORCAMENTOS!L223="","",ORCAMENTOS!L223)</f>
        <v>CANCELADO</v>
      </c>
      <c r="K215" s="34" t="str">
        <f>IF(ORCAMENTOS!M223="","",ORCAMENTOS!M223)</f>
        <v>-</v>
      </c>
      <c r="L215" t="str">
        <f>IF(ORCAMENTOS!R223="","",ORCAMENTOS!R223)</f>
        <v>-</v>
      </c>
    </row>
    <row r="216" spans="1:12" ht="15.75" hidden="1" customHeight="1" x14ac:dyDescent="0.25">
      <c r="A216" s="36">
        <f>IF(ORCAMENTOS!A224="","",ORCAMENTOS!A224)</f>
        <v>45688</v>
      </c>
      <c r="B216" s="46">
        <f>IF(ORCAMENTOS!B224="","",ORCAMENTOS!B224)</f>
        <v>214</v>
      </c>
      <c r="C216" s="46" t="str">
        <f>IF(ORCAMENTOS!C224="","",ORCAMENTOS!C224)</f>
        <v/>
      </c>
      <c r="D216" s="37" t="str">
        <f>IF(ORCAMENTOS!D224="","",ORCAMENTOS!D224)</f>
        <v>CACR ENGENHARIA</v>
      </c>
      <c r="E216" s="38" t="str">
        <f>IF(ORCAMENTOS!E224="","",ORCAMENTOS!E224)</f>
        <v xml:space="preserve">SKIN CHEMICAL </v>
      </c>
      <c r="F216" s="37" t="str">
        <f>IF(ORCAMENTOS!G224="","",ORCAMENTOS!G224)</f>
        <v xml:space="preserve">Aldavir </v>
      </c>
      <c r="G216" s="37" t="str">
        <f>IF(ORCAMENTOS!H224="","",ORCAMENTOS!H224)</f>
        <v>Carlos</v>
      </c>
      <c r="H216" s="39">
        <f>IF(ORCAMENTOS!I224="","",ORCAMENTOS!I224)</f>
        <v>108793.74</v>
      </c>
      <c r="I216" s="60" t="str">
        <f>IF(ORCAMENTOS!J224="","",ORCAMENTOS!J224)</f>
        <v/>
      </c>
      <c r="J216" s="40" t="str">
        <f>IF(ORCAMENTOS!L224="","",ORCAMENTOS!L224)</f>
        <v>FECHADO</v>
      </c>
      <c r="K216" s="34" t="str">
        <f>IF(ORCAMENTOS!M224="","",ORCAMENTOS!M224)</f>
        <v>PREV. MARÇO</v>
      </c>
      <c r="L216" t="str">
        <f>IF(ORCAMENTOS!R224="","",ORCAMENTOS!R224)</f>
        <v>-</v>
      </c>
    </row>
    <row r="217" spans="1:12" ht="15.75" hidden="1" customHeight="1" x14ac:dyDescent="0.25">
      <c r="A217" s="36">
        <f>IF(ORCAMENTOS!A225="","",ORCAMENTOS!A225)</f>
        <v>45688</v>
      </c>
      <c r="B217" s="46">
        <f>IF(ORCAMENTOS!B225="","",ORCAMENTOS!B225)</f>
        <v>215</v>
      </c>
      <c r="C217" s="46" t="str">
        <f>IF(ORCAMENTOS!C225="","",ORCAMENTOS!C225)</f>
        <v/>
      </c>
      <c r="D217" s="37" t="str">
        <f>IF(ORCAMENTOS!D225="","",ORCAMENTOS!D225)</f>
        <v>ENEBRAS</v>
      </c>
      <c r="E217" s="38" t="str">
        <f>IF(ORCAMENTOS!E225="","",ORCAMENTOS!E225)</f>
        <v>REDE DOR SÃO LUIZ - HOSPITAL ITAIM - RM - SÃO PAULO - SP</v>
      </c>
      <c r="F217" s="37" t="str">
        <f>IF(ORCAMENTOS!G225="","",ORCAMENTOS!G225)</f>
        <v>Michel</v>
      </c>
      <c r="G217" s="37" t="str">
        <f>IF(ORCAMENTOS!H225="","",ORCAMENTOS!H225)</f>
        <v>Kaio</v>
      </c>
      <c r="H217" s="39">
        <f>IF(ORCAMENTOS!I225="","",ORCAMENTOS!I225)</f>
        <v>21006.82</v>
      </c>
      <c r="I217" s="60" t="str">
        <f>IF(ORCAMENTOS!J225="","",ORCAMENTOS!J225)</f>
        <v/>
      </c>
      <c r="J217" s="40" t="str">
        <f>IF(ORCAMENTOS!L225="","",ORCAMENTOS!L225)</f>
        <v>CANCELADO</v>
      </c>
      <c r="K217" s="34" t="str">
        <f>IF(ORCAMENTOS!M225="","",ORCAMENTOS!M225)</f>
        <v>-</v>
      </c>
      <c r="L217" t="str">
        <f>IF(ORCAMENTOS!R225="","",ORCAMENTOS!R225)</f>
        <v>-</v>
      </c>
    </row>
    <row r="218" spans="1:12" ht="15.75" hidden="1" customHeight="1" x14ac:dyDescent="0.25">
      <c r="A218" s="36">
        <f>IF(ORCAMENTOS!A226="","",ORCAMENTOS!A226)</f>
        <v>45688</v>
      </c>
      <c r="B218" s="46">
        <f>IF(ORCAMENTOS!B226="","",ORCAMENTOS!B226)</f>
        <v>216</v>
      </c>
      <c r="C218" s="46" t="str">
        <f>IF(ORCAMENTOS!C226="","",ORCAMENTOS!C226)</f>
        <v/>
      </c>
      <c r="D218" s="37" t="str">
        <f>IF(ORCAMENTOS!D226="","",ORCAMENTOS!D226)</f>
        <v>ISOTEMP</v>
      </c>
      <c r="E218" s="38" t="str">
        <f>IF(ORCAMENTOS!E226="","",ORCAMENTOS!E226)</f>
        <v>WHITE &amp; CASE - FARIA LIMA - SÃO PAULO - SP</v>
      </c>
      <c r="F218" s="37" t="str">
        <f>IF(ORCAMENTOS!G226="","",ORCAMENTOS!G226)</f>
        <v>Michel</v>
      </c>
      <c r="G218" s="37" t="str">
        <f>IF(ORCAMENTOS!H226="","",ORCAMENTOS!H226)</f>
        <v>Caique</v>
      </c>
      <c r="H218" s="39">
        <f>IF(ORCAMENTOS!I226="","",ORCAMENTOS!I226)</f>
        <v>53547.5</v>
      </c>
      <c r="I218" s="60" t="str">
        <f>IF(ORCAMENTOS!J226="","",ORCAMENTOS!J226)</f>
        <v/>
      </c>
      <c r="J218" s="40" t="str">
        <f>IF(ORCAMENTOS!L226="","",ORCAMENTOS!L226)</f>
        <v>CANCELADO</v>
      </c>
      <c r="K218" s="34" t="str">
        <f>IF(ORCAMENTOS!M226="","",ORCAMENTOS!M226)</f>
        <v>-</v>
      </c>
      <c r="L218" t="str">
        <f>IF(ORCAMENTOS!R226="","",ORCAMENTOS!R226)</f>
        <v>MPU</v>
      </c>
    </row>
    <row r="219" spans="1:12" ht="15.75" hidden="1" customHeight="1" x14ac:dyDescent="0.25">
      <c r="A219" s="36">
        <f>IF(ORCAMENTOS!A227="","",ORCAMENTOS!A227)</f>
        <v>45688</v>
      </c>
      <c r="B219" s="46">
        <f>IF(ORCAMENTOS!B227="","",ORCAMENTOS!B227)</f>
        <v>217</v>
      </c>
      <c r="C219" s="46" t="str">
        <f>IF(ORCAMENTOS!C227="","",ORCAMENTOS!C227)</f>
        <v/>
      </c>
      <c r="D219" s="37" t="str">
        <f>IF(ORCAMENTOS!D227="","",ORCAMENTOS!D227)</f>
        <v>FL HVAC</v>
      </c>
      <c r="E219" s="38" t="str">
        <f>IF(ORCAMENTOS!E227="","",ORCAMENTOS!E227)</f>
        <v>ADIDAS - SHOPPING ARICANDUVA</v>
      </c>
      <c r="F219" s="37" t="str">
        <f>IF(ORCAMENTOS!G227="","",ORCAMENTOS!G227)</f>
        <v>Guilherme</v>
      </c>
      <c r="G219" s="37" t="str">
        <f>IF(ORCAMENTOS!H227="","",ORCAMENTOS!H227)</f>
        <v>Felipe</v>
      </c>
      <c r="H219" s="39">
        <f>IF(ORCAMENTOS!I227="","",ORCAMENTOS!I227)</f>
        <v>68776.2</v>
      </c>
      <c r="I219" s="60" t="str">
        <f>IF(ORCAMENTOS!J227="","",ORCAMENTOS!J227)</f>
        <v/>
      </c>
      <c r="J219" s="40" t="str">
        <f>IF(ORCAMENTOS!L227="","",ORCAMENTOS!L227)</f>
        <v>CANCELADO</v>
      </c>
      <c r="K219" s="34" t="str">
        <f>IF(ORCAMENTOS!M227="","",ORCAMENTOS!M227)</f>
        <v>CLIENTE PERDEU A OBRA</v>
      </c>
      <c r="L219" t="str">
        <f>IF(ORCAMENTOS!R227="","",ORCAMENTOS!R227)</f>
        <v>MPU</v>
      </c>
    </row>
    <row r="220" spans="1:12" ht="15.75" hidden="1" customHeight="1" x14ac:dyDescent="0.25">
      <c r="A220" s="36">
        <f>IF(ORCAMENTOS!A228="","",ORCAMENTOS!A228)</f>
        <v>45691</v>
      </c>
      <c r="B220" s="46">
        <f>IF(ORCAMENTOS!B228="","",ORCAMENTOS!B228)</f>
        <v>218</v>
      </c>
      <c r="C220" s="46" t="str">
        <f>IF(ORCAMENTOS!C228="","",ORCAMENTOS!C228)</f>
        <v/>
      </c>
      <c r="D220" s="37" t="str">
        <f>IF(ORCAMENTOS!D228="","",ORCAMENTOS!D228)</f>
        <v>COOLING HVAC</v>
      </c>
      <c r="E220" s="38" t="str">
        <f>IF(ORCAMENTOS!E228="","",ORCAMENTOS!E228)</f>
        <v>-</v>
      </c>
      <c r="F220" s="37" t="str">
        <f>IF(ORCAMENTOS!G228="","",ORCAMENTOS!G228)</f>
        <v>Michel</v>
      </c>
      <c r="G220" s="37" t="str">
        <f>IF(ORCAMENTOS!H228="","",ORCAMENTOS!H228)</f>
        <v>Rodrigo</v>
      </c>
      <c r="H220" s="39">
        <f>IF(ORCAMENTOS!I228="","",ORCAMENTOS!I228)</f>
        <v>3500</v>
      </c>
      <c r="I220" s="60" t="str">
        <f>IF(ORCAMENTOS!J228="","",ORCAMENTOS!J228)</f>
        <v/>
      </c>
      <c r="J220" s="40" t="str">
        <f>IF(ORCAMENTOS!L228="","",ORCAMENTOS!L228)</f>
        <v>CANCELADO</v>
      </c>
      <c r="K220" s="34" t="str">
        <f>IF(ORCAMENTOS!M228="","",ORCAMENTOS!M228)</f>
        <v>RODRIGO DISSE QUE POR ENQUANTO NÃO VAI COMPRAR</v>
      </c>
      <c r="L220" t="str">
        <f>IF(ORCAMENTOS!R228="","",ORCAMENTOS!R228)</f>
        <v>-</v>
      </c>
    </row>
    <row r="221" spans="1:12" ht="15.75" hidden="1" customHeight="1" x14ac:dyDescent="0.25">
      <c r="A221" s="36">
        <f>IF(ORCAMENTOS!A229="","",ORCAMENTOS!A229)</f>
        <v>45691</v>
      </c>
      <c r="B221" s="46">
        <f>IF(ORCAMENTOS!B229="","",ORCAMENTOS!B229)</f>
        <v>219</v>
      </c>
      <c r="C221" s="46" t="str">
        <f>IF(ORCAMENTOS!C229="","",ORCAMENTOS!C229)</f>
        <v/>
      </c>
      <c r="D221" s="37" t="str">
        <f>IF(ORCAMENTOS!D229="","",ORCAMENTOS!D229)</f>
        <v>EXAUSTAR</v>
      </c>
      <c r="E221" s="38" t="str">
        <f>IF(ORCAMENTOS!E229="","",ORCAMENTOS!E229)</f>
        <v>SMART FIT - PERUIBE - SP</v>
      </c>
      <c r="F221" s="37" t="str">
        <f>IF(ORCAMENTOS!G229="","",ORCAMENTOS!G229)</f>
        <v>Gabriel</v>
      </c>
      <c r="G221" s="37" t="str">
        <f>IF(ORCAMENTOS!H229="","",ORCAMENTOS!H229)</f>
        <v>Matheus</v>
      </c>
      <c r="H221" s="39">
        <f>IF(ORCAMENTOS!I229="","",ORCAMENTOS!I229)</f>
        <v>96496.7</v>
      </c>
      <c r="I221" s="60" t="str">
        <f>IF(ORCAMENTOS!J229="","",ORCAMENTOS!J229)</f>
        <v/>
      </c>
      <c r="J221" s="40" t="str">
        <f>IF(ORCAMENTOS!L229="","",ORCAMENTOS!L229)</f>
        <v>CANCELADO</v>
      </c>
      <c r="K221" s="34" t="str">
        <f>IF(ORCAMENTOS!M229="","",ORCAMENTOS!M229)</f>
        <v>SEM ATUALIZACOES, AGUARDANDO RETORNO</v>
      </c>
      <c r="L221" t="str">
        <f>IF(ORCAMENTOS!R229="","",ORCAMENTOS!R229)</f>
        <v>MPU</v>
      </c>
    </row>
    <row r="222" spans="1:12" ht="15.75" hidden="1" customHeight="1" x14ac:dyDescent="0.25">
      <c r="A222" s="36">
        <f>IF(ORCAMENTOS!A230="","",ORCAMENTOS!A230)</f>
        <v>45691</v>
      </c>
      <c r="B222" s="46">
        <f>IF(ORCAMENTOS!B230="","",ORCAMENTOS!B230)</f>
        <v>220</v>
      </c>
      <c r="C222" s="46" t="str">
        <f>IF(ORCAMENTOS!C230="","",ORCAMENTOS!C230)</f>
        <v/>
      </c>
      <c r="D222" s="37" t="str">
        <f>IF(ORCAMENTOS!D230="","",ORCAMENTOS!D230)</f>
        <v>AIRPLAN</v>
      </c>
      <c r="E222" s="38" t="str">
        <f>IF(ORCAMENTOS!E230="","",ORCAMENTOS!E230)</f>
        <v>CAMICADO - SHOPPING VITORIA - ES</v>
      </c>
      <c r="F222" s="37" t="str">
        <f>IF(ORCAMENTOS!G230="","",ORCAMENTOS!G230)</f>
        <v>Gabriel</v>
      </c>
      <c r="G222" s="37" t="str">
        <f>IF(ORCAMENTOS!H230="","",ORCAMENTOS!H230)</f>
        <v>Henrique</v>
      </c>
      <c r="H222" s="39">
        <f>IF(ORCAMENTOS!I230="","",ORCAMENTOS!I230)</f>
        <v>52141.58</v>
      </c>
      <c r="I222" s="60" t="str">
        <f>IF(ORCAMENTOS!J230="","",ORCAMENTOS!J230)</f>
        <v/>
      </c>
      <c r="J222" s="40" t="str">
        <f>IF(ORCAMENTOS!L230="","",ORCAMENTOS!L230)</f>
        <v>CANCELADO</v>
      </c>
      <c r="K222" s="34" t="str">
        <f>IF(ORCAMENTOS!M230="","",ORCAMENTOS!M230)</f>
        <v>ACREDITA QUE TENHA PERDIDO A OBRA, MAS ESTA AGUARDANDO A CONFIRMACAO AINDA</v>
      </c>
      <c r="L222" t="str">
        <f>IF(ORCAMENTOS!R230="","",ORCAMENTOS!R230)</f>
        <v>MPU</v>
      </c>
    </row>
    <row r="223" spans="1:12" ht="15.75" hidden="1" customHeight="1" x14ac:dyDescent="0.25">
      <c r="A223" s="36">
        <f>IF(ORCAMENTOS!A231="","",ORCAMENTOS!A231)</f>
        <v>45691</v>
      </c>
      <c r="B223" s="46">
        <f>IF(ORCAMENTOS!B231="","",ORCAMENTOS!B231)</f>
        <v>221</v>
      </c>
      <c r="C223" s="46" t="str">
        <f>IF(ORCAMENTOS!C231="","",ORCAMENTOS!C231)</f>
        <v/>
      </c>
      <c r="D223" s="37" t="str">
        <f>IF(ORCAMENTOS!D231="","",ORCAMENTOS!D231)</f>
        <v>AWA AR CONDICIONADO</v>
      </c>
      <c r="E223" s="38" t="str">
        <f>IF(ORCAMENTOS!E231="","",ORCAMENTOS!E231)</f>
        <v>CAMICADO - SHOPPING VITORIA - ES</v>
      </c>
      <c r="F223" s="37" t="str">
        <f>IF(ORCAMENTOS!G231="","",ORCAMENTOS!G231)</f>
        <v>Guilherme</v>
      </c>
      <c r="G223" s="37" t="str">
        <f>IF(ORCAMENTOS!H231="","",ORCAMENTOS!H231)</f>
        <v>Paula</v>
      </c>
      <c r="H223" s="39">
        <f>IF(ORCAMENTOS!I231="","",ORCAMENTOS!I231)</f>
        <v>52141.58</v>
      </c>
      <c r="I223" s="60" t="str">
        <f>IF(ORCAMENTOS!J231="","",ORCAMENTOS!J231)</f>
        <v/>
      </c>
      <c r="J223" s="40" t="str">
        <f>IF(ORCAMENTOS!L231="","",ORCAMENTOS!L231)</f>
        <v>CANCELADO</v>
      </c>
      <c r="K223" s="34" t="str">
        <f>IF(ORCAMENTOS!M231="","",ORCAMENTOS!M231)</f>
        <v>-</v>
      </c>
      <c r="L223" t="str">
        <f>IF(ORCAMENTOS!R231="","",ORCAMENTOS!R231)</f>
        <v>MPU</v>
      </c>
    </row>
    <row r="224" spans="1:12" ht="15.75" hidden="1" customHeight="1" x14ac:dyDescent="0.25">
      <c r="A224" s="36">
        <f>IF(ORCAMENTOS!A232="","",ORCAMENTOS!A232)</f>
        <v>45691</v>
      </c>
      <c r="B224" s="46">
        <f>IF(ORCAMENTOS!B232="","",ORCAMENTOS!B232)</f>
        <v>222</v>
      </c>
      <c r="C224" s="46" t="str">
        <f>IF(ORCAMENTOS!C232="","",ORCAMENTOS!C232)</f>
        <v/>
      </c>
      <c r="D224" s="37" t="str">
        <f>IF(ORCAMENTOS!D232="","",ORCAMENTOS!D232)</f>
        <v>MONTES CLIMA</v>
      </c>
      <c r="E224" s="38" t="str">
        <f>IF(ORCAMENTOS!E232="","",ORCAMENTOS!E232)</f>
        <v>-</v>
      </c>
      <c r="F224" s="37" t="str">
        <f>IF(ORCAMENTOS!G232="","",ORCAMENTOS!G232)</f>
        <v>Gabriel</v>
      </c>
      <c r="G224" s="37" t="str">
        <f>IF(ORCAMENTOS!H232="","",ORCAMENTOS!H232)</f>
        <v>Roberto</v>
      </c>
      <c r="H224" s="39">
        <f>IF(ORCAMENTOS!I232="","",ORCAMENTOS!I232)</f>
        <v>6206.97</v>
      </c>
      <c r="I224" s="60" t="str">
        <f>IF(ORCAMENTOS!J232="","",ORCAMENTOS!J232)</f>
        <v/>
      </c>
      <c r="J224" s="40" t="str">
        <f>IF(ORCAMENTOS!L232="","",ORCAMENTOS!L232)</f>
        <v>CANCELADO</v>
      </c>
      <c r="K224" s="34" t="str">
        <f>IF(ORCAMENTOS!M232="","",ORCAMENTOS!M232)</f>
        <v>-</v>
      </c>
      <c r="L224" t="str">
        <f>IF(ORCAMENTOS!R232="","",ORCAMENTOS!R232)</f>
        <v>-</v>
      </c>
    </row>
    <row r="225" spans="1:12" ht="15.75" hidden="1" customHeight="1" x14ac:dyDescent="0.25">
      <c r="A225" s="36">
        <f>IF(ORCAMENTOS!A233="","",ORCAMENTOS!A233)</f>
        <v>45691</v>
      </c>
      <c r="B225" s="46">
        <f>IF(ORCAMENTOS!B233="","",ORCAMENTOS!B233)</f>
        <v>223</v>
      </c>
      <c r="C225" s="46" t="str">
        <f>IF(ORCAMENTOS!C233="","",ORCAMENTOS!C233)</f>
        <v/>
      </c>
      <c r="D225" s="37" t="str">
        <f>IF(ORCAMENTOS!D233="","",ORCAMENTOS!D233)</f>
        <v>FL HVAC</v>
      </c>
      <c r="E225" s="38" t="str">
        <f>IF(ORCAMENTOS!E233="","",ORCAMENTOS!E233)</f>
        <v>SMART FIT - PERUIBE - SP</v>
      </c>
      <c r="F225" s="37" t="str">
        <f>IF(ORCAMENTOS!G233="","",ORCAMENTOS!G233)</f>
        <v>Guilherme</v>
      </c>
      <c r="G225" s="37" t="str">
        <f>IF(ORCAMENTOS!H233="","",ORCAMENTOS!H233)</f>
        <v>Beatriz</v>
      </c>
      <c r="H225" s="39">
        <f>IF(ORCAMENTOS!I233="","",ORCAMENTOS!I233)</f>
        <v>96496.7</v>
      </c>
      <c r="I225" s="60" t="str">
        <f>IF(ORCAMENTOS!J233="","",ORCAMENTOS!J233)</f>
        <v/>
      </c>
      <c r="J225" s="40" t="str">
        <f>IF(ORCAMENTOS!L233="","",ORCAMENTOS!L233)</f>
        <v>CANCELADO</v>
      </c>
      <c r="K225" s="34" t="str">
        <f>IF(ORCAMENTOS!M233="","",ORCAMENTOS!M233)</f>
        <v>CLIENTE PERDEU A OBRA</v>
      </c>
      <c r="L225" t="str">
        <f>IF(ORCAMENTOS!R233="","",ORCAMENTOS!R233)</f>
        <v>MPU</v>
      </c>
    </row>
    <row r="226" spans="1:12" ht="15.75" hidden="1" customHeight="1" x14ac:dyDescent="0.25">
      <c r="A226" s="36">
        <f>IF(ORCAMENTOS!A234="","",ORCAMENTOS!A234)</f>
        <v>45691</v>
      </c>
      <c r="B226" s="46">
        <f>IF(ORCAMENTOS!B234="","",ORCAMENTOS!B234)</f>
        <v>224</v>
      </c>
      <c r="C226" s="46" t="str">
        <f>IF(ORCAMENTOS!C234="","",ORCAMENTOS!C234)</f>
        <v/>
      </c>
      <c r="D226" s="37" t="str">
        <f>IF(ORCAMENTOS!D234="","",ORCAMENTOS!D234)</f>
        <v>ADL DUTOS</v>
      </c>
      <c r="E226" s="38" t="str">
        <f>IF(ORCAMENTOS!E234="","",ORCAMENTOS!E234)</f>
        <v>-</v>
      </c>
      <c r="F226" s="37" t="str">
        <f>IF(ORCAMENTOS!G234="","",ORCAMENTOS!G234)</f>
        <v>Gabriel</v>
      </c>
      <c r="G226" s="37" t="str">
        <f>IF(ORCAMENTOS!H234="","",ORCAMENTOS!H234)</f>
        <v>Andre</v>
      </c>
      <c r="H226" s="39">
        <f>IF(ORCAMENTOS!I234="","",ORCAMENTOS!I234)</f>
        <v>7008.99</v>
      </c>
      <c r="I226" s="60" t="str">
        <f>IF(ORCAMENTOS!J234="","",ORCAMENTOS!J234)</f>
        <v/>
      </c>
      <c r="J226" s="40" t="str">
        <f>IF(ORCAMENTOS!L234="","",ORCAMENTOS!L234)</f>
        <v>FECHADO</v>
      </c>
      <c r="K226" s="34" t="str">
        <f>IF(ORCAMENTOS!M234="","",ORCAMENTOS!M234)</f>
        <v>-</v>
      </c>
      <c r="L226" t="str">
        <f>IF(ORCAMENTOS!R234="","",ORCAMENTOS!R234)</f>
        <v>-</v>
      </c>
    </row>
    <row r="227" spans="1:12" ht="15.75" hidden="1" customHeight="1" x14ac:dyDescent="0.25">
      <c r="A227" s="36">
        <f>IF(ORCAMENTOS!A235="","",ORCAMENTOS!A235)</f>
        <v>45692</v>
      </c>
      <c r="B227" s="46">
        <f>IF(ORCAMENTOS!B235="","",ORCAMENTOS!B235)</f>
        <v>225</v>
      </c>
      <c r="C227" s="46" t="str">
        <f>IF(ORCAMENTOS!C235="","",ORCAMENTOS!C235)</f>
        <v/>
      </c>
      <c r="D227" s="37" t="str">
        <f>IF(ORCAMENTOS!D235="","",ORCAMENTOS!D235)</f>
        <v>SOLLO ENGENHARIA</v>
      </c>
      <c r="E227" s="38" t="str">
        <f>IF(ORCAMENTOS!E235="","",ORCAMENTOS!E235)</f>
        <v>-</v>
      </c>
      <c r="F227" s="37" t="str">
        <f>IF(ORCAMENTOS!G235="","",ORCAMENTOS!G235)</f>
        <v>Emanuel</v>
      </c>
      <c r="G227" s="37" t="str">
        <f>IF(ORCAMENTOS!H235="","",ORCAMENTOS!H235)</f>
        <v>Bia</v>
      </c>
      <c r="H227" s="39">
        <f>IF(ORCAMENTOS!I235="","",ORCAMENTOS!I235)</f>
        <v>9951.9599999999991</v>
      </c>
      <c r="I227" s="60" t="str">
        <f>IF(ORCAMENTOS!J235="","",ORCAMENTOS!J235)</f>
        <v/>
      </c>
      <c r="J227" s="40" t="str">
        <f>IF(ORCAMENTOS!L235="","",ORCAMENTOS!L235)</f>
        <v>CANCELADO</v>
      </c>
      <c r="K227" s="34" t="str">
        <f>IF(ORCAMENTOS!M235="","",ORCAMENTOS!M235)</f>
        <v>-</v>
      </c>
      <c r="L227" t="str">
        <f>IF(ORCAMENTOS!R235="","",ORCAMENTOS!R235)</f>
        <v>-</v>
      </c>
    </row>
    <row r="228" spans="1:12" ht="15.75" hidden="1" customHeight="1" x14ac:dyDescent="0.25">
      <c r="A228" s="36">
        <f>IF(ORCAMENTOS!A236="","",ORCAMENTOS!A236)</f>
        <v>45692</v>
      </c>
      <c r="B228" s="46">
        <f>IF(ORCAMENTOS!B236="","",ORCAMENTOS!B236)</f>
        <v>226</v>
      </c>
      <c r="C228" s="46" t="str">
        <f>IF(ORCAMENTOS!C236="","",ORCAMENTOS!C236)</f>
        <v/>
      </c>
      <c r="D228" s="37" t="str">
        <f>IF(ORCAMENTOS!D236="","",ORCAMENTOS!D236)</f>
        <v>AMS INSTALACOES</v>
      </c>
      <c r="E228" s="38" t="str">
        <f>IF(ORCAMENTOS!E236="","",ORCAMENTOS!E236)</f>
        <v>AEROPORTO DE CONGONHAS - SÃO PAULO - SP</v>
      </c>
      <c r="F228" s="37" t="str">
        <f>IF(ORCAMENTOS!G236="","",ORCAMENTOS!G236)</f>
        <v>Gabriel</v>
      </c>
      <c r="G228" s="37" t="str">
        <f>IF(ORCAMENTOS!H236="","",ORCAMENTOS!H236)</f>
        <v>Renan</v>
      </c>
      <c r="H228" s="39">
        <f>IF(ORCAMENTOS!I236="","",ORCAMENTOS!I236)</f>
        <v>102694.97</v>
      </c>
      <c r="I228" s="60" t="str">
        <f>IF(ORCAMENTOS!J236="","",ORCAMENTOS!J236)</f>
        <v/>
      </c>
      <c r="J228" s="40" t="str">
        <f>IF(ORCAMENTOS!L236="","",ORCAMENTOS!L236)</f>
        <v>FECHADO</v>
      </c>
      <c r="K228" s="34" t="str">
        <f>IF(ORCAMENTOS!M236="","",ORCAMENTOS!M236)</f>
        <v>-</v>
      </c>
      <c r="L228" t="str">
        <f>IF(ORCAMENTOS!R236="","",ORCAMENTOS!R236)</f>
        <v>-</v>
      </c>
    </row>
    <row r="229" spans="1:12" ht="15.75" hidden="1" customHeight="1" x14ac:dyDescent="0.25">
      <c r="A229" s="36">
        <f>IF(ORCAMENTOS!A237="","",ORCAMENTOS!A237)</f>
        <v>45692</v>
      </c>
      <c r="B229" s="46">
        <f>IF(ORCAMENTOS!B237="","",ORCAMENTOS!B237)</f>
        <v>227</v>
      </c>
      <c r="C229" s="46" t="str">
        <f>IF(ORCAMENTOS!C237="","",ORCAMENTOS!C237)</f>
        <v/>
      </c>
      <c r="D229" s="37" t="str">
        <f>IF(ORCAMENTOS!D237="","",ORCAMENTOS!D237)</f>
        <v>AR SET</v>
      </c>
      <c r="E229" s="38" t="str">
        <f>IF(ORCAMENTOS!E237="","",ORCAMENTOS!E237)</f>
        <v>-</v>
      </c>
      <c r="F229" s="37" t="str">
        <f>IF(ORCAMENTOS!G237="","",ORCAMENTOS!G237)</f>
        <v>Fernando</v>
      </c>
      <c r="G229" s="37" t="str">
        <f>IF(ORCAMENTOS!H237="","",ORCAMENTOS!H237)</f>
        <v>Lais</v>
      </c>
      <c r="H229" s="39">
        <f>IF(ORCAMENTOS!I237="","",ORCAMENTOS!I237)</f>
        <v>1756.42</v>
      </c>
      <c r="I229" s="60" t="str">
        <f>IF(ORCAMENTOS!J237="","",ORCAMENTOS!J237)</f>
        <v/>
      </c>
      <c r="J229" s="40" t="str">
        <f>IF(ORCAMENTOS!L237="","",ORCAMENTOS!L237)</f>
        <v>FECHADO</v>
      </c>
      <c r="K229" s="34" t="str">
        <f>IF(ORCAMENTOS!M237="","",ORCAMENTOS!M237)</f>
        <v>-</v>
      </c>
      <c r="L229" t="str">
        <f>IF(ORCAMENTOS!R237="","",ORCAMENTOS!R237)</f>
        <v>-</v>
      </c>
    </row>
    <row r="230" spans="1:12" ht="15.75" hidden="1" customHeight="1" x14ac:dyDescent="0.25">
      <c r="A230" s="36">
        <f>IF(ORCAMENTOS!A238="","",ORCAMENTOS!A238)</f>
        <v>45692</v>
      </c>
      <c r="B230" s="46">
        <f>IF(ORCAMENTOS!B238="","",ORCAMENTOS!B238)</f>
        <v>228</v>
      </c>
      <c r="C230" s="46" t="str">
        <f>IF(ORCAMENTOS!C238="","",ORCAMENTOS!C238)</f>
        <v/>
      </c>
      <c r="D230" s="37" t="str">
        <f>IF(ORCAMENTOS!D238="","",ORCAMENTOS!D238)</f>
        <v>LTX CLIMATIZACAO</v>
      </c>
      <c r="E230" s="38" t="str">
        <f>IF(ORCAMENTOS!E238="","",ORCAMENTOS!E238)</f>
        <v>ADIDAS - SHOPPING ARICANDUVA</v>
      </c>
      <c r="F230" s="37" t="str">
        <f>IF(ORCAMENTOS!G238="","",ORCAMENTOS!G238)</f>
        <v>Guilherme</v>
      </c>
      <c r="G230" s="37" t="str">
        <f>IF(ORCAMENTOS!H238="","",ORCAMENTOS!H238)</f>
        <v>David</v>
      </c>
      <c r="H230" s="39">
        <f>IF(ORCAMENTOS!I238="","",ORCAMENTOS!I238)</f>
        <v>66583.58</v>
      </c>
      <c r="I230" s="60" t="str">
        <f>IF(ORCAMENTOS!J238="","",ORCAMENTOS!J238)</f>
        <v/>
      </c>
      <c r="J230" s="40" t="str">
        <f>IF(ORCAMENTOS!L238="","",ORCAMENTOS!L238)</f>
        <v>FECHADO</v>
      </c>
      <c r="K230" s="34" t="str">
        <f>IF(ORCAMENTOS!M238="","",ORCAMENTOS!M238)</f>
        <v>COMPRA / EM NEGOCIAÇÃO COM NEWTON</v>
      </c>
      <c r="L230" t="str">
        <f>IF(ORCAMENTOS!R238="","",ORCAMENTOS!R238)</f>
        <v>MPU</v>
      </c>
    </row>
    <row r="231" spans="1:12" ht="15.75" hidden="1" customHeight="1" x14ac:dyDescent="0.25">
      <c r="A231" s="36">
        <f>IF(ORCAMENTOS!A239="","",ORCAMENTOS!A239)</f>
        <v>45692</v>
      </c>
      <c r="B231" s="46">
        <f>IF(ORCAMENTOS!B239="","",ORCAMENTOS!B239)</f>
        <v>229</v>
      </c>
      <c r="C231" s="46" t="str">
        <f>IF(ORCAMENTOS!C239="","",ORCAMENTOS!C239)</f>
        <v/>
      </c>
      <c r="D231" s="37" t="str">
        <f>IF(ORCAMENTOS!D239="","",ORCAMENTOS!D239)</f>
        <v>EKO CLIMAX</v>
      </c>
      <c r="E231" s="38" t="str">
        <f>IF(ORCAMENTOS!E239="","",ORCAMENTOS!E239)</f>
        <v>-</v>
      </c>
      <c r="F231" s="37" t="str">
        <f>IF(ORCAMENTOS!G239="","",ORCAMENTOS!G239)</f>
        <v>Michel</v>
      </c>
      <c r="G231" s="37" t="str">
        <f>IF(ORCAMENTOS!H239="","",ORCAMENTOS!H239)</f>
        <v>Rogerio</v>
      </c>
      <c r="H231" s="39">
        <f>IF(ORCAMENTOS!I239="","",ORCAMENTOS!I239)</f>
        <v>6991.01</v>
      </c>
      <c r="I231" s="60" t="str">
        <f>IF(ORCAMENTOS!J239="","",ORCAMENTOS!J239)</f>
        <v/>
      </c>
      <c r="J231" s="40" t="str">
        <f>IF(ORCAMENTOS!L239="","",ORCAMENTOS!L239)</f>
        <v>FECHADO</v>
      </c>
      <c r="K231" s="34" t="str">
        <f>IF(ORCAMENTOS!M239="","",ORCAMENTOS!M239)</f>
        <v>-</v>
      </c>
      <c r="L231" t="str">
        <f>IF(ORCAMENTOS!R239="","",ORCAMENTOS!R239)</f>
        <v>-</v>
      </c>
    </row>
    <row r="232" spans="1:12" ht="15.75" hidden="1" customHeight="1" x14ac:dyDescent="0.25">
      <c r="A232" s="36">
        <f>IF(ORCAMENTOS!A240="","",ORCAMENTOS!A240)</f>
        <v>45692</v>
      </c>
      <c r="B232" s="46">
        <f>IF(ORCAMENTOS!B240="","",ORCAMENTOS!B240)</f>
        <v>230</v>
      </c>
      <c r="C232" s="46" t="str">
        <f>IF(ORCAMENTOS!C240="","",ORCAMENTOS!C240)</f>
        <v/>
      </c>
      <c r="D232" s="37" t="str">
        <f>IF(ORCAMENTOS!D240="","",ORCAMENTOS!D240)</f>
        <v>JA SANTANA</v>
      </c>
      <c r="E232" s="38" t="str">
        <f>IF(ORCAMENTOS!E240="","",ORCAMENTOS!E240)</f>
        <v>-</v>
      </c>
      <c r="F232" s="37" t="str">
        <f>IF(ORCAMENTOS!G240="","",ORCAMENTOS!G240)</f>
        <v>Gabriel</v>
      </c>
      <c r="G232" s="37" t="str">
        <f>IF(ORCAMENTOS!H240="","",ORCAMENTOS!H240)</f>
        <v>Jonatas</v>
      </c>
      <c r="H232" s="39">
        <f>IF(ORCAMENTOS!I240="","",ORCAMENTOS!I240)</f>
        <v>2513.87</v>
      </c>
      <c r="I232" s="60" t="str">
        <f>IF(ORCAMENTOS!J240="","",ORCAMENTOS!J240)</f>
        <v/>
      </c>
      <c r="J232" s="40" t="str">
        <f>IF(ORCAMENTOS!L240="","",ORCAMENTOS!L240)</f>
        <v>FECHADO</v>
      </c>
      <c r="K232" s="34" t="str">
        <f>IF(ORCAMENTOS!M240="","",ORCAMENTOS!M240)</f>
        <v>-</v>
      </c>
      <c r="L232" t="str">
        <f>IF(ORCAMENTOS!R240="","",ORCAMENTOS!R240)</f>
        <v>-</v>
      </c>
    </row>
    <row r="233" spans="1:12" ht="15.75" hidden="1" customHeight="1" x14ac:dyDescent="0.25">
      <c r="A233" s="36">
        <f>IF(ORCAMENTOS!A241="","",ORCAMENTOS!A241)</f>
        <v>45693</v>
      </c>
      <c r="B233" s="46">
        <f>IF(ORCAMENTOS!B241="","",ORCAMENTOS!B241)</f>
        <v>231</v>
      </c>
      <c r="C233" s="46" t="str">
        <f>IF(ORCAMENTOS!C241="","",ORCAMENTOS!C241)</f>
        <v/>
      </c>
      <c r="D233" s="37" t="str">
        <f>IF(ORCAMENTOS!D241="","",ORCAMENTOS!D241)</f>
        <v>M&amp;M ENGENHARIA</v>
      </c>
      <c r="E233" s="38" t="str">
        <f>IF(ORCAMENTOS!E241="","",ORCAMENTOS!E241)</f>
        <v>CARTERS - JUNDIAI SHOPPING</v>
      </c>
      <c r="F233" s="37" t="str">
        <f>IF(ORCAMENTOS!G241="","",ORCAMENTOS!G241)</f>
        <v>Emanuel</v>
      </c>
      <c r="G233" s="37" t="str">
        <f>IF(ORCAMENTOS!H241="","",ORCAMENTOS!H241)</f>
        <v>Hugo</v>
      </c>
      <c r="H233" s="39">
        <f>IF(ORCAMENTOS!I241="","",ORCAMENTOS!I241)</f>
        <v>7164.73</v>
      </c>
      <c r="I233" s="60" t="str">
        <f>IF(ORCAMENTOS!J241="","",ORCAMENTOS!J241)</f>
        <v/>
      </c>
      <c r="J233" s="40" t="str">
        <f>IF(ORCAMENTOS!L241="","",ORCAMENTOS!L241)</f>
        <v>CANCELADO</v>
      </c>
      <c r="K233" s="34" t="str">
        <f>IF(ORCAMENTOS!M241="","",ORCAMENTOS!M241)</f>
        <v>-</v>
      </c>
      <c r="L233" t="str">
        <f>IF(ORCAMENTOS!R241="","",ORCAMENTOS!R241)</f>
        <v>N/E</v>
      </c>
    </row>
    <row r="234" spans="1:12" ht="15.75" hidden="1" customHeight="1" x14ac:dyDescent="0.25">
      <c r="A234" s="36">
        <f>IF(ORCAMENTOS!A242="","",ORCAMENTOS!A242)</f>
        <v>45692</v>
      </c>
      <c r="B234" s="46">
        <f>IF(ORCAMENTOS!B242="","",ORCAMENTOS!B242)</f>
        <v>232</v>
      </c>
      <c r="C234" s="46" t="str">
        <f>IF(ORCAMENTOS!C242="","",ORCAMENTOS!C242)</f>
        <v/>
      </c>
      <c r="D234" s="37" t="str">
        <f>IF(ORCAMENTOS!D242="","",ORCAMENTOS!D242)</f>
        <v>FANCOLD SERVICE</v>
      </c>
      <c r="E234" s="38" t="str">
        <f>IF(ORCAMENTOS!E242="","",ORCAMENTOS!E242)</f>
        <v>VOA - SP</v>
      </c>
      <c r="F234" s="37" t="str">
        <f>IF(ORCAMENTOS!G242="","",ORCAMENTOS!G242)</f>
        <v>Michel</v>
      </c>
      <c r="G234" s="37" t="str">
        <f>IF(ORCAMENTOS!H242="","",ORCAMENTOS!H242)</f>
        <v>Luis</v>
      </c>
      <c r="H234" s="39">
        <f>IF(ORCAMENTOS!I242="","",ORCAMENTOS!I242)</f>
        <v>170665.41</v>
      </c>
      <c r="I234" s="60" t="str">
        <f>IF(ORCAMENTOS!J242="","",ORCAMENTOS!J242)</f>
        <v/>
      </c>
      <c r="J234" s="40" t="str">
        <f>IF(ORCAMENTOS!L242="","",ORCAMENTOS!L242)</f>
        <v>CANCELADO</v>
      </c>
      <c r="K234" s="34" t="str">
        <f>IF(ORCAMENTOS!M242="","",ORCAMENTOS!M242)</f>
        <v>-</v>
      </c>
      <c r="L234" t="str">
        <f>IF(ORCAMENTOS!R242="","",ORCAMENTOS!R242)</f>
        <v>-</v>
      </c>
    </row>
    <row r="235" spans="1:12" ht="15.75" hidden="1" customHeight="1" x14ac:dyDescent="0.25">
      <c r="A235" s="36">
        <f>IF(ORCAMENTOS!A243="","",ORCAMENTOS!A243)</f>
        <v>45692</v>
      </c>
      <c r="B235" s="46">
        <f>IF(ORCAMENTOS!B243="","",ORCAMENTOS!B243)</f>
        <v>233</v>
      </c>
      <c r="C235" s="46" t="str">
        <f>IF(ORCAMENTOS!C243="","",ORCAMENTOS!C243)</f>
        <v/>
      </c>
      <c r="D235" s="37" t="str">
        <f>IF(ORCAMENTOS!D243="","",ORCAMENTOS!D243)</f>
        <v>SMARTFRIO</v>
      </c>
      <c r="E235" s="38" t="str">
        <f>IF(ORCAMENTOS!E243="","",ORCAMENTOS!E243)</f>
        <v>-</v>
      </c>
      <c r="F235" s="37" t="str">
        <f>IF(ORCAMENTOS!G243="","",ORCAMENTOS!G243)</f>
        <v>Gabriel</v>
      </c>
      <c r="G235" s="37" t="str">
        <f>IF(ORCAMENTOS!H243="","",ORCAMENTOS!H243)</f>
        <v>Delsinho</v>
      </c>
      <c r="H235" s="39">
        <f>IF(ORCAMENTOS!I243="","",ORCAMENTOS!I243)</f>
        <v>51317.86</v>
      </c>
      <c r="I235" s="60" t="str">
        <f>IF(ORCAMENTOS!J243="","",ORCAMENTOS!J243)</f>
        <v/>
      </c>
      <c r="J235" s="40" t="str">
        <f>IF(ORCAMENTOS!L243="","",ORCAMENTOS!L243)</f>
        <v>CANCELADO</v>
      </c>
      <c r="K235" s="34" t="str">
        <f>IF(ORCAMENTOS!M243="","",ORCAMENTOS!M243)</f>
        <v>-</v>
      </c>
      <c r="L235" t="str">
        <f>IF(ORCAMENTOS!R243="","",ORCAMENTOS!R243)</f>
        <v>-</v>
      </c>
    </row>
    <row r="236" spans="1:12" ht="15.75" hidden="1" customHeight="1" x14ac:dyDescent="0.25">
      <c r="A236" s="36">
        <f>IF(ORCAMENTOS!A244="","",ORCAMENTOS!A244)</f>
        <v>45692</v>
      </c>
      <c r="B236" s="46">
        <f>IF(ORCAMENTOS!B244="","",ORCAMENTOS!B244)</f>
        <v>234</v>
      </c>
      <c r="C236" s="46" t="str">
        <f>IF(ORCAMENTOS!C244="","",ORCAMENTOS!C244)</f>
        <v/>
      </c>
      <c r="D236" s="37" t="str">
        <f>IF(ORCAMENTOS!D244="","",ORCAMENTOS!D244)</f>
        <v>AR AR ENGENHARIA</v>
      </c>
      <c r="E236" s="38" t="str">
        <f>IF(ORCAMENTOS!E244="","",ORCAMENTOS!E244)</f>
        <v>EDGE - BIOMETRANO VERDE PAULINIA</v>
      </c>
      <c r="F236" s="37" t="str">
        <f>IF(ORCAMENTOS!G244="","",ORCAMENTOS!G244)</f>
        <v xml:space="preserve">Aldavir </v>
      </c>
      <c r="G236" s="37" t="str">
        <f>IF(ORCAMENTOS!H244="","",ORCAMENTOS!H244)</f>
        <v>Antonio</v>
      </c>
      <c r="H236" s="39">
        <f>IF(ORCAMENTOS!I244="","",ORCAMENTOS!I244)</f>
        <v>65308.78</v>
      </c>
      <c r="I236" s="60" t="str">
        <f>IF(ORCAMENTOS!J244="","",ORCAMENTOS!J244)</f>
        <v/>
      </c>
      <c r="J236" s="40" t="str">
        <f>IF(ORCAMENTOS!L244="","",ORCAMENTOS!L244)</f>
        <v>FECHADO</v>
      </c>
      <c r="K236" s="34" t="str">
        <f>IF(ORCAMENTOS!M244="","",ORCAMENTOS!M244)</f>
        <v>AGUARDANDO PEDIDO</v>
      </c>
      <c r="L236" t="str">
        <f>IF(ORCAMENTOS!R244="","",ORCAMENTOS!R244)</f>
        <v>-</v>
      </c>
    </row>
    <row r="237" spans="1:12" ht="15.75" hidden="1" customHeight="1" x14ac:dyDescent="0.25">
      <c r="A237" s="36">
        <f>IF(ORCAMENTOS!A245="","",ORCAMENTOS!A245)</f>
        <v>45693</v>
      </c>
      <c r="B237" s="46">
        <f>IF(ORCAMENTOS!B245="","",ORCAMENTOS!B245)</f>
        <v>235</v>
      </c>
      <c r="C237" s="46" t="str">
        <f>IF(ORCAMENTOS!C245="","",ORCAMENTOS!C245)</f>
        <v/>
      </c>
      <c r="D237" s="37" t="str">
        <f>IF(ORCAMENTOS!D245="","",ORCAMENTOS!D245)</f>
        <v>ACSISTEM</v>
      </c>
      <c r="E237" s="38" t="str">
        <f>IF(ORCAMENTOS!E245="","",ORCAMENTOS!E245)</f>
        <v>NIT - BIO RITMO NITERÓI (ICARAÍ)</v>
      </c>
      <c r="F237" s="37" t="str">
        <f>IF(ORCAMENTOS!G245="","",ORCAMENTOS!G245)</f>
        <v>Emanuel</v>
      </c>
      <c r="G237" s="37" t="str">
        <f>IF(ORCAMENTOS!H245="","",ORCAMENTOS!H245)</f>
        <v>David</v>
      </c>
      <c r="H237" s="39">
        <f>IF(ORCAMENTOS!I245="","",ORCAMENTOS!I245)</f>
        <v>137607.26</v>
      </c>
      <c r="I237" s="60" t="str">
        <f>IF(ORCAMENTOS!J245="","",ORCAMENTOS!J245)</f>
        <v/>
      </c>
      <c r="J237" s="40" t="str">
        <f>IF(ORCAMENTOS!L245="","",ORCAMENTOS!L245)</f>
        <v>FECHADO</v>
      </c>
      <c r="K237" s="34" t="str">
        <f>IF(ORCAMENTOS!M245="","",ORCAMENTOS!M245)</f>
        <v>-</v>
      </c>
      <c r="L237" t="str">
        <f>IF(ORCAMENTOS!R245="","",ORCAMENTOS!R245)</f>
        <v>-</v>
      </c>
    </row>
    <row r="238" spans="1:12" ht="15.75" hidden="1" customHeight="1" x14ac:dyDescent="0.25">
      <c r="A238" s="36">
        <f>IF(ORCAMENTOS!A246="","",ORCAMENTOS!A246)</f>
        <v>45693</v>
      </c>
      <c r="B238" s="46">
        <f>IF(ORCAMENTOS!B246="","",ORCAMENTOS!B246)</f>
        <v>236</v>
      </c>
      <c r="C238" s="46" t="str">
        <f>IF(ORCAMENTOS!C246="","",ORCAMENTOS!C246)</f>
        <v/>
      </c>
      <c r="D238" s="37" t="str">
        <f>IF(ORCAMENTOS!D246="","",ORCAMENTOS!D246)</f>
        <v>WELLNESS</v>
      </c>
      <c r="E238" s="38" t="str">
        <f>IF(ORCAMENTOS!E246="","",ORCAMENTOS!E246)</f>
        <v>-</v>
      </c>
      <c r="F238" s="37" t="str">
        <f>IF(ORCAMENTOS!G246="","",ORCAMENTOS!G246)</f>
        <v>Gabriel</v>
      </c>
      <c r="G238" s="37" t="str">
        <f>IF(ORCAMENTOS!H246="","",ORCAMENTOS!H246)</f>
        <v>Ricardo</v>
      </c>
      <c r="H238" s="39">
        <f>IF(ORCAMENTOS!I246="","",ORCAMENTOS!I246)</f>
        <v>3106.37</v>
      </c>
      <c r="I238" s="60" t="str">
        <f>IF(ORCAMENTOS!J246="","",ORCAMENTOS!J246)</f>
        <v/>
      </c>
      <c r="J238" s="40" t="str">
        <f>IF(ORCAMENTOS!L246="","",ORCAMENTOS!L246)</f>
        <v>FECHADO</v>
      </c>
      <c r="K238" s="34" t="str">
        <f>IF(ORCAMENTOS!M246="","",ORCAMENTOS!M246)</f>
        <v>-</v>
      </c>
      <c r="L238" t="str">
        <f>IF(ORCAMENTOS!R246="","",ORCAMENTOS!R246)</f>
        <v>-</v>
      </c>
    </row>
    <row r="239" spans="1:12" ht="15.75" hidden="1" customHeight="1" x14ac:dyDescent="0.25">
      <c r="A239" s="36">
        <f>IF(ORCAMENTOS!A247="","",ORCAMENTOS!A247)</f>
        <v>45693</v>
      </c>
      <c r="B239" s="46">
        <f>IF(ORCAMENTOS!B247="","",ORCAMENTOS!B247)</f>
        <v>237</v>
      </c>
      <c r="C239" s="46" t="str">
        <f>IF(ORCAMENTOS!C247="","",ORCAMENTOS!C247)</f>
        <v/>
      </c>
      <c r="D239" s="37" t="str">
        <f>IF(ORCAMENTOS!D247="","",ORCAMENTOS!D247)</f>
        <v>AIR COOLER</v>
      </c>
      <c r="E239" s="38" t="str">
        <f>IF(ORCAMENTOS!E247="","",ORCAMENTOS!E247)</f>
        <v>KARINA PLASTICOS - LABORATORIO MODULO III</v>
      </c>
      <c r="F239" s="37" t="str">
        <f>IF(ORCAMENTOS!G247="","",ORCAMENTOS!G247)</f>
        <v>Emanuel</v>
      </c>
      <c r="G239" s="37" t="str">
        <f>IF(ORCAMENTOS!H247="","",ORCAMENTOS!H247)</f>
        <v>Sidnei</v>
      </c>
      <c r="H239" s="39">
        <f>IF(ORCAMENTOS!I247="","",ORCAMENTOS!I247)</f>
        <v>38148.97</v>
      </c>
      <c r="I239" s="60" t="str">
        <f>IF(ORCAMENTOS!J247="","",ORCAMENTOS!J247)</f>
        <v/>
      </c>
      <c r="J239" s="40" t="str">
        <f>IF(ORCAMENTOS!L247="","",ORCAMENTOS!L247)</f>
        <v>CANCELADO</v>
      </c>
      <c r="K239" s="34" t="str">
        <f>IF(ORCAMENTOS!M247="","",ORCAMENTOS!M247)</f>
        <v>-</v>
      </c>
      <c r="L239" t="str">
        <f>IF(ORCAMENTOS!R247="","",ORCAMENTOS!R247)</f>
        <v>-</v>
      </c>
    </row>
    <row r="240" spans="1:12" ht="15.75" hidden="1" customHeight="1" x14ac:dyDescent="0.25">
      <c r="A240" s="36">
        <f>IF(ORCAMENTOS!A248="","",ORCAMENTOS!A248)</f>
        <v>45693</v>
      </c>
      <c r="B240" s="46">
        <f>IF(ORCAMENTOS!B248="","",ORCAMENTOS!B248)</f>
        <v>238</v>
      </c>
      <c r="C240" s="46" t="str">
        <f>IF(ORCAMENTOS!C248="","",ORCAMENTOS!C248)</f>
        <v/>
      </c>
      <c r="D240" s="37" t="str">
        <f>IF(ORCAMENTOS!D248="","",ORCAMENTOS!D248)</f>
        <v>FL HVAC</v>
      </c>
      <c r="E240" s="38" t="str">
        <f>IF(ORCAMENTOS!E248="","",ORCAMENTOS!E248)</f>
        <v>CAMICADO - VILLA ROMANA - FLORIANOPOLIS - SC</v>
      </c>
      <c r="F240" s="37" t="str">
        <f>IF(ORCAMENTOS!G248="","",ORCAMENTOS!G248)</f>
        <v>Guilherme</v>
      </c>
      <c r="G240" s="37" t="str">
        <f>IF(ORCAMENTOS!H248="","",ORCAMENTOS!H248)</f>
        <v>Filipe</v>
      </c>
      <c r="H240" s="39">
        <f>IF(ORCAMENTOS!I248="","",ORCAMENTOS!I248)</f>
        <v>33056.17</v>
      </c>
      <c r="I240" s="60" t="str">
        <f>IF(ORCAMENTOS!J248="","",ORCAMENTOS!J248)</f>
        <v/>
      </c>
      <c r="J240" s="40" t="str">
        <f>IF(ORCAMENTOS!L248="","",ORCAMENTOS!L248)</f>
        <v>CANCELADO</v>
      </c>
      <c r="K240" s="34" t="str">
        <f>IF(ORCAMENTOS!M248="","",ORCAMENTOS!M248)</f>
        <v>-</v>
      </c>
      <c r="L240" t="str">
        <f>IF(ORCAMENTOS!R248="","",ORCAMENTOS!R248)</f>
        <v>MPU</v>
      </c>
    </row>
    <row r="241" spans="1:12" ht="15.75" hidden="1" customHeight="1" x14ac:dyDescent="0.25">
      <c r="A241" s="36">
        <f>IF(ORCAMENTOS!A249="","",ORCAMENTOS!A249)</f>
        <v>45693</v>
      </c>
      <c r="B241" s="46">
        <f>IF(ORCAMENTOS!B249="","",ORCAMENTOS!B249)</f>
        <v>239</v>
      </c>
      <c r="C241" s="46" t="str">
        <f>IF(ORCAMENTOS!C249="","",ORCAMENTOS!C249)</f>
        <v/>
      </c>
      <c r="D241" s="37" t="str">
        <f>IF(ORCAMENTOS!D249="","",ORCAMENTOS!D249)</f>
        <v>THERMOCLIMA</v>
      </c>
      <c r="E241" s="38" t="str">
        <f>IF(ORCAMENTOS!E249="","",ORCAMENTOS!E249)</f>
        <v>ANHANGABAU - JUNDIAI - SP</v>
      </c>
      <c r="F241" s="37" t="str">
        <f>IF(ORCAMENTOS!G249="","",ORCAMENTOS!G249)</f>
        <v>Fernando</v>
      </c>
      <c r="G241" s="37" t="str">
        <f>IF(ORCAMENTOS!H249="","",ORCAMENTOS!H249)</f>
        <v>Sumany</v>
      </c>
      <c r="H241" s="39">
        <f>IF(ORCAMENTOS!I249="","",ORCAMENTOS!I249)</f>
        <v>9029.1299999999992</v>
      </c>
      <c r="I241" s="60" t="str">
        <f>IF(ORCAMENTOS!J249="","",ORCAMENTOS!J249)</f>
        <v/>
      </c>
      <c r="J241" s="40" t="str">
        <f>IF(ORCAMENTOS!L249="","",ORCAMENTOS!L249)</f>
        <v>CANCELADO</v>
      </c>
      <c r="K241" s="34" t="str">
        <f>IF(ORCAMENTOS!M249="","",ORCAMENTOS!M249)</f>
        <v>CONSTRUTORA OPTOU POR ALUMINIO</v>
      </c>
      <c r="L241" t="str">
        <f>IF(ORCAMENTOS!R249="","",ORCAMENTOS!R249)</f>
        <v>-</v>
      </c>
    </row>
    <row r="242" spans="1:12" ht="15.75" hidden="1" customHeight="1" x14ac:dyDescent="0.25">
      <c r="A242" s="36">
        <f>IF(ORCAMENTOS!A250="","",ORCAMENTOS!A250)</f>
        <v>45693</v>
      </c>
      <c r="B242" s="46">
        <f>IF(ORCAMENTOS!B250="","",ORCAMENTOS!B250)</f>
        <v>240</v>
      </c>
      <c r="C242" s="46" t="str">
        <f>IF(ORCAMENTOS!C250="","",ORCAMENTOS!C250)</f>
        <v/>
      </c>
      <c r="D242" s="37" t="str">
        <f>IF(ORCAMENTOS!D250="","",ORCAMENTOS!D250)</f>
        <v>CENTRAL CLIMATIZA</v>
      </c>
      <c r="E242" s="38" t="str">
        <f>IF(ORCAMENTOS!E250="","",ORCAMENTOS!E250)</f>
        <v>-</v>
      </c>
      <c r="F242" s="37" t="str">
        <f>IF(ORCAMENTOS!G250="","",ORCAMENTOS!G250)</f>
        <v>Emanuel</v>
      </c>
      <c r="G242" s="37" t="str">
        <f>IF(ORCAMENTOS!H250="","",ORCAMENTOS!H250)</f>
        <v>Fernanda</v>
      </c>
      <c r="H242" s="39">
        <f>IF(ORCAMENTOS!I250="","",ORCAMENTOS!I250)</f>
        <v>4606.7299999999996</v>
      </c>
      <c r="I242" s="60" t="str">
        <f>IF(ORCAMENTOS!J250="","",ORCAMENTOS!J250)</f>
        <v/>
      </c>
      <c r="J242" s="40" t="str">
        <f>IF(ORCAMENTOS!L250="","",ORCAMENTOS!L250)</f>
        <v>FECHADO</v>
      </c>
      <c r="K242" s="34" t="str">
        <f>IF(ORCAMENTOS!M250="","",ORCAMENTOS!M250)</f>
        <v>-</v>
      </c>
      <c r="L242" t="str">
        <f>IF(ORCAMENTOS!R250="","",ORCAMENTOS!R250)</f>
        <v>-</v>
      </c>
    </row>
    <row r="243" spans="1:12" ht="15.75" hidden="1" customHeight="1" x14ac:dyDescent="0.25">
      <c r="A243" s="36">
        <f>IF(ORCAMENTOS!A251="","",ORCAMENTOS!A251)</f>
        <v>45693</v>
      </c>
      <c r="B243" s="46">
        <f>IF(ORCAMENTOS!B251="","",ORCAMENTOS!B251)</f>
        <v>241</v>
      </c>
      <c r="C243" s="46" t="str">
        <f>IF(ORCAMENTOS!C251="","",ORCAMENTOS!C251)</f>
        <v/>
      </c>
      <c r="D243" s="37" t="str">
        <f>IF(ORCAMENTOS!D251="","",ORCAMENTOS!D251)</f>
        <v>THERMOMATIC</v>
      </c>
      <c r="E243" s="38" t="str">
        <f>IF(ORCAMENTOS!E251="","",ORCAMENTOS!E251)</f>
        <v>-</v>
      </c>
      <c r="F243" s="37" t="str">
        <f>IF(ORCAMENTOS!G251="","",ORCAMENTOS!G251)</f>
        <v>Gabriel</v>
      </c>
      <c r="G243" s="37" t="str">
        <f>IF(ORCAMENTOS!H251="","",ORCAMENTOS!H251)</f>
        <v>Jessica</v>
      </c>
      <c r="H243" s="39">
        <f>IF(ORCAMENTOS!I251="","",ORCAMENTOS!I251)</f>
        <v>839.2</v>
      </c>
      <c r="I243" s="60" t="str">
        <f>IF(ORCAMENTOS!J251="","",ORCAMENTOS!J251)</f>
        <v/>
      </c>
      <c r="J243" s="40" t="str">
        <f>IF(ORCAMENTOS!L251="","",ORCAMENTOS!L251)</f>
        <v>CANCELADO</v>
      </c>
      <c r="K243" s="34" t="str">
        <f>IF(ORCAMENTOS!M251="","",ORCAMENTOS!M251)</f>
        <v>-</v>
      </c>
      <c r="L243" t="str">
        <f>IF(ORCAMENTOS!R251="","",ORCAMENTOS!R251)</f>
        <v>-</v>
      </c>
    </row>
    <row r="244" spans="1:12" ht="15.75" hidden="1" customHeight="1" x14ac:dyDescent="0.25">
      <c r="A244" s="36">
        <f>IF(ORCAMENTOS!A252="","",ORCAMENTOS!A252)</f>
        <v>45693</v>
      </c>
      <c r="B244" s="46">
        <f>IF(ORCAMENTOS!B252="","",ORCAMENTOS!B252)</f>
        <v>242</v>
      </c>
      <c r="C244" s="46" t="str">
        <f>IF(ORCAMENTOS!C252="","",ORCAMENTOS!C252)</f>
        <v/>
      </c>
      <c r="D244" s="37" t="str">
        <f>IF(ORCAMENTOS!D252="","",ORCAMENTOS!D252)</f>
        <v>AWA AR CONDICIONADO</v>
      </c>
      <c r="E244" s="38" t="str">
        <f>IF(ORCAMENTOS!E252="","",ORCAMENTOS!E252)</f>
        <v>BYD CAMAÇARI</v>
      </c>
      <c r="F244" s="37" t="str">
        <f>IF(ORCAMENTOS!G252="","",ORCAMENTOS!G252)</f>
        <v>Guilherme</v>
      </c>
      <c r="G244" s="37" t="str">
        <f>IF(ORCAMENTOS!H252="","",ORCAMENTOS!H252)</f>
        <v>Gustavo</v>
      </c>
      <c r="H244" s="39">
        <f>IF(ORCAMENTOS!I252="","",ORCAMENTOS!I252)</f>
        <v>29512.32</v>
      </c>
      <c r="I244" s="60" t="str">
        <f>IF(ORCAMENTOS!J252="","",ORCAMENTOS!J252)</f>
        <v/>
      </c>
      <c r="J244" s="40" t="str">
        <f>IF(ORCAMENTOS!L252="","",ORCAMENTOS!L252)</f>
        <v>CANCELADO</v>
      </c>
      <c r="K244" s="34" t="str">
        <f>IF(ORCAMENTOS!M252="","",ORCAMENTOS!M252)</f>
        <v>-</v>
      </c>
      <c r="L244" t="str">
        <f>IF(ORCAMENTOS!R252="","",ORCAMENTOS!R252)</f>
        <v>-</v>
      </c>
    </row>
    <row r="245" spans="1:12" ht="15.75" hidden="1" customHeight="1" x14ac:dyDescent="0.25">
      <c r="A245" s="36">
        <f>IF(ORCAMENTOS!A253="","",ORCAMENTOS!A253)</f>
        <v>45693</v>
      </c>
      <c r="B245" s="46">
        <f>IF(ORCAMENTOS!B253="","",ORCAMENTOS!B253)</f>
        <v>243</v>
      </c>
      <c r="C245" s="46" t="str">
        <f>IF(ORCAMENTOS!C253="","",ORCAMENTOS!C253)</f>
        <v/>
      </c>
      <c r="D245" s="37" t="str">
        <f>IF(ORCAMENTOS!D253="","",ORCAMENTOS!D253)</f>
        <v>BOM CLIMA</v>
      </c>
      <c r="E245" s="38" t="str">
        <f>IF(ORCAMENTOS!E253="","",ORCAMENTOS!E253)</f>
        <v>-</v>
      </c>
      <c r="F245" s="37" t="str">
        <f>IF(ORCAMENTOS!G253="","",ORCAMENTOS!G253)</f>
        <v>Gabriel</v>
      </c>
      <c r="G245" s="37" t="str">
        <f>IF(ORCAMENTOS!H253="","",ORCAMENTOS!H253)</f>
        <v>Roberto</v>
      </c>
      <c r="H245" s="39">
        <f>IF(ORCAMENTOS!I253="","",ORCAMENTOS!I253)</f>
        <v>1025.83</v>
      </c>
      <c r="I245" s="60" t="str">
        <f>IF(ORCAMENTOS!J253="","",ORCAMENTOS!J253)</f>
        <v/>
      </c>
      <c r="J245" s="40" t="str">
        <f>IF(ORCAMENTOS!L253="","",ORCAMENTOS!L253)</f>
        <v>CANCELADO</v>
      </c>
      <c r="K245" s="34" t="str">
        <f>IF(ORCAMENTOS!M253="","",ORCAMENTOS!M253)</f>
        <v>-</v>
      </c>
      <c r="L245" t="str">
        <f>IF(ORCAMENTOS!R253="","",ORCAMENTOS!R253)</f>
        <v>-</v>
      </c>
    </row>
    <row r="246" spans="1:12" ht="15.75" hidden="1" customHeight="1" x14ac:dyDescent="0.25">
      <c r="A246" s="36">
        <f>IF(ORCAMENTOS!A254="","",ORCAMENTOS!A254)</f>
        <v>45693</v>
      </c>
      <c r="B246" s="46">
        <f>IF(ORCAMENTOS!B254="","",ORCAMENTOS!B254)</f>
        <v>244</v>
      </c>
      <c r="C246" s="46" t="str">
        <f>IF(ORCAMENTOS!C254="","",ORCAMENTOS!C254)</f>
        <v/>
      </c>
      <c r="D246" s="37" t="str">
        <f>IF(ORCAMENTOS!D254="","",ORCAMENTOS!D254)</f>
        <v>NEWSET</v>
      </c>
      <c r="E246" s="38" t="str">
        <f>IF(ORCAMENTOS!E254="","",ORCAMENTOS!E254)</f>
        <v>ESCOLA RUDOLF STEINER</v>
      </c>
      <c r="F246" s="37" t="str">
        <f>IF(ORCAMENTOS!G254="","",ORCAMENTOS!G254)</f>
        <v xml:space="preserve">Aldavir </v>
      </c>
      <c r="G246" s="37" t="str">
        <f>IF(ORCAMENTOS!H254="","",ORCAMENTOS!H254)</f>
        <v>David</v>
      </c>
      <c r="H246" s="39">
        <f>IF(ORCAMENTOS!I254="","",ORCAMENTOS!I254)</f>
        <v>38292.39</v>
      </c>
      <c r="I246" s="60" t="str">
        <f>IF(ORCAMENTOS!J254="","",ORCAMENTOS!J254)</f>
        <v/>
      </c>
      <c r="J246" s="40" t="str">
        <f>IF(ORCAMENTOS!L254="","",ORCAMENTOS!L254)</f>
        <v>CANCELADO</v>
      </c>
      <c r="K246" s="34" t="str">
        <f>IF(ORCAMENTOS!M254="","",ORCAMENTOS!M254)</f>
        <v>-</v>
      </c>
      <c r="L246" t="str">
        <f>IF(ORCAMENTOS!R254="","",ORCAMENTOS!R254)</f>
        <v>-</v>
      </c>
    </row>
    <row r="247" spans="1:12" ht="15.75" hidden="1" customHeight="1" x14ac:dyDescent="0.25">
      <c r="A247" s="36">
        <f>IF(ORCAMENTOS!A255="","",ORCAMENTOS!A255)</f>
        <v>45694</v>
      </c>
      <c r="B247" s="46">
        <f>IF(ORCAMENTOS!B255="","",ORCAMENTOS!B255)</f>
        <v>245</v>
      </c>
      <c r="C247" s="46" t="str">
        <f>IF(ORCAMENTOS!C255="","",ORCAMENTOS!C255)</f>
        <v/>
      </c>
      <c r="D247" s="37" t="str">
        <f>IF(ORCAMENTOS!D255="","",ORCAMENTOS!D255)</f>
        <v>GLACIAR</v>
      </c>
      <c r="E247" s="38" t="str">
        <f>IF(ORCAMENTOS!E255="","",ORCAMENTOS!E255)</f>
        <v>HAPVIDA BARRA DA TIJUCA</v>
      </c>
      <c r="F247" s="37" t="str">
        <f>IF(ORCAMENTOS!G255="","",ORCAMENTOS!G255)</f>
        <v xml:space="preserve">Aldavir </v>
      </c>
      <c r="G247" s="37" t="str">
        <f>IF(ORCAMENTOS!H255="","",ORCAMENTOS!H255)</f>
        <v>Claudio</v>
      </c>
      <c r="H247" s="39">
        <f>IF(ORCAMENTOS!I255="","",ORCAMENTOS!I255)</f>
        <v>136943.76999999999</v>
      </c>
      <c r="I247" s="60" t="str">
        <f>IF(ORCAMENTOS!J255="","",ORCAMENTOS!J255)</f>
        <v/>
      </c>
      <c r="J247" s="40" t="str">
        <f>IF(ORCAMENTOS!L255="","",ORCAMENTOS!L255)</f>
        <v>CANCELADO</v>
      </c>
      <c r="K247" s="34" t="str">
        <f>IF(ORCAMENTOS!M255="","",ORCAMENTOS!M255)</f>
        <v/>
      </c>
      <c r="L247" t="str">
        <f>IF(ORCAMENTOS!R255="","",ORCAMENTOS!R255)</f>
        <v>-</v>
      </c>
    </row>
    <row r="248" spans="1:12" ht="15.75" hidden="1" customHeight="1" x14ac:dyDescent="0.25">
      <c r="A248" s="36">
        <f>IF(ORCAMENTOS!A256="","",ORCAMENTOS!A256)</f>
        <v>45694</v>
      </c>
      <c r="B248" s="46">
        <f>IF(ORCAMENTOS!B256="","",ORCAMENTOS!B256)</f>
        <v>246</v>
      </c>
      <c r="C248" s="46" t="str">
        <f>IF(ORCAMENTOS!C256="","",ORCAMENTOS!C256)</f>
        <v/>
      </c>
      <c r="D248" s="37" t="str">
        <f>IF(ORCAMENTOS!D256="","",ORCAMENTOS!D256)</f>
        <v>RICH ENGENHARIA</v>
      </c>
      <c r="E248" s="38" t="str">
        <f>IF(ORCAMENTOS!E256="","",ORCAMENTOS!E256)</f>
        <v>CLUBE TERMAS DE ITU II ACADEMIA TERRAS 2 - ITU - SP</v>
      </c>
      <c r="F248" s="37" t="str">
        <f>IF(ORCAMENTOS!G256="","",ORCAMENTOS!G256)</f>
        <v>Guilherme</v>
      </c>
      <c r="G248" s="37" t="str">
        <f>IF(ORCAMENTOS!H256="","",ORCAMENTOS!H256)</f>
        <v>Ricardo</v>
      </c>
      <c r="H248" s="39">
        <f>IF(ORCAMENTOS!I256="","",ORCAMENTOS!I256)</f>
        <v>8059.28</v>
      </c>
      <c r="I248" s="60" t="str">
        <f>IF(ORCAMENTOS!J256="","",ORCAMENTOS!J256)</f>
        <v/>
      </c>
      <c r="J248" s="40" t="str">
        <f>IF(ORCAMENTOS!L256="","",ORCAMENTOS!L256)</f>
        <v>CANCELADO</v>
      </c>
      <c r="K248" s="34" t="str">
        <f>IF(ORCAMENTOS!M256="","",ORCAMENTOS!M256)</f>
        <v>BOAS CHANCES</v>
      </c>
      <c r="L248" t="str">
        <f>IF(ORCAMENTOS!R256="","",ORCAMENTOS!R256)</f>
        <v>N/E</v>
      </c>
    </row>
    <row r="249" spans="1:12" ht="15.75" hidden="1" customHeight="1" x14ac:dyDescent="0.25">
      <c r="A249" s="36">
        <f>IF(ORCAMENTOS!A257="","",ORCAMENTOS!A257)</f>
        <v>45694</v>
      </c>
      <c r="B249" s="46">
        <f>IF(ORCAMENTOS!B257="","",ORCAMENTOS!B257)</f>
        <v>247</v>
      </c>
      <c r="C249" s="46" t="str">
        <f>IF(ORCAMENTOS!C257="","",ORCAMENTOS!C257)</f>
        <v/>
      </c>
      <c r="D249" s="37" t="str">
        <f>IF(ORCAMENTOS!D257="","",ORCAMENTOS!D257)</f>
        <v>RICH ENGENHARIA</v>
      </c>
      <c r="E249" s="38" t="str">
        <f>IF(ORCAMENTOS!E257="","",ORCAMENTOS!E257)</f>
        <v>CLUBE TERMAS DE ITU II ACADEMIA TERRAS 2 - ITU - SP - PISCINA OPCAO 1</v>
      </c>
      <c r="F249" s="37" t="str">
        <f>IF(ORCAMENTOS!G257="","",ORCAMENTOS!G257)</f>
        <v>Guilherme</v>
      </c>
      <c r="G249" s="37" t="str">
        <f>IF(ORCAMENTOS!H257="","",ORCAMENTOS!H257)</f>
        <v>Ricardo</v>
      </c>
      <c r="H249" s="39">
        <f>IF(ORCAMENTOS!I257="","",ORCAMENTOS!I257)</f>
        <v>3595.53</v>
      </c>
      <c r="I249" s="60" t="str">
        <f>IF(ORCAMENTOS!J257="","",ORCAMENTOS!J257)</f>
        <v/>
      </c>
      <c r="J249" s="40" t="str">
        <f>IF(ORCAMENTOS!L257="","",ORCAMENTOS!L257)</f>
        <v>CANCELADO</v>
      </c>
      <c r="K249" s="34" t="str">
        <f>IF(ORCAMENTOS!M257="","",ORCAMENTOS!M257)</f>
        <v>-</v>
      </c>
      <c r="L249" t="str">
        <f>IF(ORCAMENTOS!R257="","",ORCAMENTOS!R257)</f>
        <v>N/E</v>
      </c>
    </row>
    <row r="250" spans="1:12" ht="15.75" hidden="1" customHeight="1" x14ac:dyDescent="0.25">
      <c r="A250" s="36">
        <f>IF(ORCAMENTOS!A258="","",ORCAMENTOS!A258)</f>
        <v>45694</v>
      </c>
      <c r="B250" s="46">
        <f>IF(ORCAMENTOS!B258="","",ORCAMENTOS!B258)</f>
        <v>248</v>
      </c>
      <c r="C250" s="46" t="str">
        <f>IF(ORCAMENTOS!C258="","",ORCAMENTOS!C258)</f>
        <v/>
      </c>
      <c r="D250" s="37" t="str">
        <f>IF(ORCAMENTOS!D258="","",ORCAMENTOS!D258)</f>
        <v>RICH ENGENHARIA</v>
      </c>
      <c r="E250" s="38" t="str">
        <f>IF(ORCAMENTOS!E258="","",ORCAMENTOS!E258)</f>
        <v>CLUBE TERMAS DE ITU II ACADEMIA TERRAS 2 - ITU - SP - PISCINA OPCAO 2</v>
      </c>
      <c r="F250" s="37" t="str">
        <f>IF(ORCAMENTOS!G258="","",ORCAMENTOS!G258)</f>
        <v>Guilherme</v>
      </c>
      <c r="G250" s="37" t="str">
        <f>IF(ORCAMENTOS!H258="","",ORCAMENTOS!H258)</f>
        <v>Ricardo</v>
      </c>
      <c r="H250" s="39">
        <f>IF(ORCAMENTOS!I258="","",ORCAMENTOS!I258)</f>
        <v>4393.93</v>
      </c>
      <c r="I250" s="60" t="str">
        <f>IF(ORCAMENTOS!J258="","",ORCAMENTOS!J258)</f>
        <v/>
      </c>
      <c r="J250" s="40" t="str">
        <f>IF(ORCAMENTOS!L258="","",ORCAMENTOS!L258)</f>
        <v>CANCELADO</v>
      </c>
      <c r="K250" s="34" t="str">
        <f>IF(ORCAMENTOS!M258="","",ORCAMENTOS!M258)</f>
        <v>-</v>
      </c>
      <c r="L250" t="str">
        <f>IF(ORCAMENTOS!R258="","",ORCAMENTOS!R258)</f>
        <v>N/E</v>
      </c>
    </row>
    <row r="251" spans="1:12" ht="15.75" hidden="1" customHeight="1" x14ac:dyDescent="0.25">
      <c r="A251" s="36">
        <f>IF(ORCAMENTOS!A259="","",ORCAMENTOS!A259)</f>
        <v>45698</v>
      </c>
      <c r="B251" s="46">
        <f>IF(ORCAMENTOS!B259="","",ORCAMENTOS!B259)</f>
        <v>249</v>
      </c>
      <c r="C251" s="46" t="str">
        <f>IF(ORCAMENTOS!C259="","",ORCAMENTOS!C259)</f>
        <v/>
      </c>
      <c r="D251" s="37" t="str">
        <f>IF(ORCAMENTOS!D259="","",ORCAMENTOS!D259)</f>
        <v>ARCON AIR</v>
      </c>
      <c r="E251" s="38" t="str">
        <f>IF(ORCAMENTOS!E259="","",ORCAMENTOS!E259)</f>
        <v>PS SÃO MATEUS</v>
      </c>
      <c r="F251" s="37" t="str">
        <f>IF(ORCAMENTOS!G259="","",ORCAMENTOS!G259)</f>
        <v>Michel</v>
      </c>
      <c r="G251" s="37" t="str">
        <f>IF(ORCAMENTOS!H259="","",ORCAMENTOS!H259)</f>
        <v>Karina</v>
      </c>
      <c r="H251" s="39">
        <f>IF(ORCAMENTOS!I259="","",ORCAMENTOS!I259)</f>
        <v>55660.74</v>
      </c>
      <c r="I251" s="60" t="str">
        <f>IF(ORCAMENTOS!J259="","",ORCAMENTOS!J259)</f>
        <v/>
      </c>
      <c r="J251" s="40" t="str">
        <f>IF(ORCAMENTOS!L259="","",ORCAMENTOS!L259)</f>
        <v>CANCELADO</v>
      </c>
      <c r="K251" s="34" t="str">
        <f>IF(ORCAMENTOS!M259="","",ORCAMENTOS!M259)</f>
        <v>CLIENTE FINAL NÃO ACEITOU PAINEL</v>
      </c>
      <c r="L251" t="str">
        <f>IF(ORCAMENTOS!R259="","",ORCAMENTOS!R259)</f>
        <v>-</v>
      </c>
    </row>
    <row r="252" spans="1:12" ht="15.75" hidden="1" customHeight="1" x14ac:dyDescent="0.25">
      <c r="A252" s="36">
        <f>IF(ORCAMENTOS!A260="","",ORCAMENTOS!A260)</f>
        <v>45694</v>
      </c>
      <c r="B252" s="46">
        <f>IF(ORCAMENTOS!B260="","",ORCAMENTOS!B260)</f>
        <v>250</v>
      </c>
      <c r="C252" s="46" t="str">
        <f>IF(ORCAMENTOS!C260="","",ORCAMENTOS!C260)</f>
        <v/>
      </c>
      <c r="D252" s="37" t="str">
        <f>IF(ORCAMENTOS!D260="","",ORCAMENTOS!D260)</f>
        <v>RM3 ENGENHARIA</v>
      </c>
      <c r="E252" s="38" t="str">
        <f>IF(ORCAMENTOS!E260="","",ORCAMENTOS!E260)</f>
        <v>PETZ - MOGI DAS CRUZES - SP</v>
      </c>
      <c r="F252" s="37" t="str">
        <f>IF(ORCAMENTOS!G260="","",ORCAMENTOS!G260)</f>
        <v>Guilherme</v>
      </c>
      <c r="G252" s="37" t="str">
        <f>IF(ORCAMENTOS!H260="","",ORCAMENTOS!H260)</f>
        <v>Angelica</v>
      </c>
      <c r="H252" s="39">
        <f>IF(ORCAMENTOS!I260="","",ORCAMENTOS!I260)</f>
        <v>81637.259999999995</v>
      </c>
      <c r="I252" s="60" t="str">
        <f>IF(ORCAMENTOS!J260="","",ORCAMENTOS!J260)</f>
        <v/>
      </c>
      <c r="J252" s="40" t="str">
        <f>IF(ORCAMENTOS!L260="","",ORCAMENTOS!L260)</f>
        <v>CANCELADO</v>
      </c>
      <c r="K252" s="34" t="str">
        <f>IF(ORCAMENTOS!M260="","",ORCAMENTOS!M260)</f>
        <v>SERA FECHADO ATRAVES DO NEWTON</v>
      </c>
      <c r="L252" t="str">
        <f>IF(ORCAMENTOS!R260="","",ORCAMENTOS!R260)</f>
        <v>N/E</v>
      </c>
    </row>
    <row r="253" spans="1:12" ht="15.75" hidden="1" customHeight="1" x14ac:dyDescent="0.25">
      <c r="A253" s="36">
        <f>IF(ORCAMENTOS!A261="","",ORCAMENTOS!A261)</f>
        <v>45694</v>
      </c>
      <c r="B253" s="46">
        <f>IF(ORCAMENTOS!B261="","",ORCAMENTOS!B261)</f>
        <v>251</v>
      </c>
      <c r="C253" s="46" t="str">
        <f>IF(ORCAMENTOS!C261="","",ORCAMENTOS!C261)</f>
        <v/>
      </c>
      <c r="D253" s="37" t="str">
        <f>IF(ORCAMENTOS!D261="","",ORCAMENTOS!D261)</f>
        <v>RM3 ENGENHARIA</v>
      </c>
      <c r="E253" s="38" t="str">
        <f>IF(ORCAMENTOS!E261="","",ORCAMENTOS!E261)</f>
        <v>DSP - NOVA ODESSA - SP</v>
      </c>
      <c r="F253" s="37" t="str">
        <f>IF(ORCAMENTOS!G261="","",ORCAMENTOS!G261)</f>
        <v>Guilherme</v>
      </c>
      <c r="G253" s="37" t="str">
        <f>IF(ORCAMENTOS!H261="","",ORCAMENTOS!H261)</f>
        <v>Angelica</v>
      </c>
      <c r="H253" s="39">
        <f>IF(ORCAMENTOS!I261="","",ORCAMENTOS!I261)</f>
        <v>549341.34</v>
      </c>
      <c r="I253" s="60" t="str">
        <f>IF(ORCAMENTOS!J261="","",ORCAMENTOS!J261)</f>
        <v/>
      </c>
      <c r="J253" s="40" t="str">
        <f>IF(ORCAMENTOS!L261="","",ORCAMENTOS!L261)</f>
        <v>CANCELADO</v>
      </c>
      <c r="K253" s="34" t="str">
        <f>IF(ORCAMENTOS!M261="","",ORCAMENTOS!M261)</f>
        <v>-</v>
      </c>
      <c r="L253" t="str">
        <f>IF(ORCAMENTOS!R261="","",ORCAMENTOS!R261)</f>
        <v>-</v>
      </c>
    </row>
    <row r="254" spans="1:12" ht="15.75" hidden="1" customHeight="1" x14ac:dyDescent="0.25">
      <c r="A254" s="36">
        <f>IF(ORCAMENTOS!A262="","",ORCAMENTOS!A262)</f>
        <v>45695</v>
      </c>
      <c r="B254" s="46">
        <f>IF(ORCAMENTOS!B262="","",ORCAMENTOS!B262)</f>
        <v>252</v>
      </c>
      <c r="C254" s="46" t="str">
        <f>IF(ORCAMENTOS!C262="","",ORCAMENTOS!C262)</f>
        <v/>
      </c>
      <c r="D254" s="37" t="str">
        <f>IF(ORCAMENTOS!D262="","",ORCAMENTOS!D262)</f>
        <v>IVTEC</v>
      </c>
      <c r="E254" s="38" t="str">
        <f>IF(ORCAMENTOS!E262="","",ORCAMENTOS!E262)</f>
        <v>-</v>
      </c>
      <c r="F254" s="37" t="str">
        <f>IF(ORCAMENTOS!G262="","",ORCAMENTOS!G262)</f>
        <v>Gabriel</v>
      </c>
      <c r="G254" s="37" t="str">
        <f>IF(ORCAMENTOS!H262="","",ORCAMENTOS!H262)</f>
        <v>Carlos</v>
      </c>
      <c r="H254" s="39">
        <f>IF(ORCAMENTOS!I262="","",ORCAMENTOS!I262)</f>
        <v>19070.27</v>
      </c>
      <c r="I254" s="60" t="str">
        <f>IF(ORCAMENTOS!J262="","",ORCAMENTOS!J262)</f>
        <v/>
      </c>
      <c r="J254" s="40" t="str">
        <f>IF(ORCAMENTOS!L262="","",ORCAMENTOS!L262)</f>
        <v>FECHADO</v>
      </c>
      <c r="K254" s="34" t="str">
        <f>IF(ORCAMENTOS!M262="","",ORCAMENTOS!M262)</f>
        <v>-</v>
      </c>
      <c r="L254" t="str">
        <f>IF(ORCAMENTOS!R262="","",ORCAMENTOS!R262)</f>
        <v>-</v>
      </c>
    </row>
    <row r="255" spans="1:12" ht="15.75" hidden="1" customHeight="1" x14ac:dyDescent="0.25">
      <c r="A255" s="36">
        <f>IF(ORCAMENTOS!A263="","",ORCAMENTOS!A263)</f>
        <v>45694</v>
      </c>
      <c r="B255" s="46">
        <f>IF(ORCAMENTOS!B263="","",ORCAMENTOS!B263)</f>
        <v>253</v>
      </c>
      <c r="C255" s="46" t="str">
        <f>IF(ORCAMENTOS!C263="","",ORCAMENTOS!C263)</f>
        <v/>
      </c>
      <c r="D255" s="37" t="str">
        <f>IF(ORCAMENTOS!D263="","",ORCAMENTOS!D263)</f>
        <v>CLIMTEC</v>
      </c>
      <c r="E255" s="38" t="str">
        <f>IF(ORCAMENTOS!E263="","",ORCAMENTOS!E263)</f>
        <v>-</v>
      </c>
      <c r="F255" s="37" t="str">
        <f>IF(ORCAMENTOS!G263="","",ORCAMENTOS!G263)</f>
        <v>Emanuel</v>
      </c>
      <c r="G255" s="37" t="str">
        <f>IF(ORCAMENTOS!H263="","",ORCAMENTOS!H263)</f>
        <v>Sergio</v>
      </c>
      <c r="H255" s="39">
        <f>IF(ORCAMENTOS!I263="","",ORCAMENTOS!I263)</f>
        <v>6121.28</v>
      </c>
      <c r="I255" s="60" t="str">
        <f>IF(ORCAMENTOS!J263="","",ORCAMENTOS!J263)</f>
        <v/>
      </c>
      <c r="J255" s="40" t="str">
        <f>IF(ORCAMENTOS!L263="","",ORCAMENTOS!L263)</f>
        <v>CANCELADO</v>
      </c>
      <c r="K255" s="34" t="str">
        <f>IF(ORCAMENTOS!M263="","",ORCAMENTOS!M263)</f>
        <v>Deixar IN HOLD</v>
      </c>
      <c r="L255" t="str">
        <f>IF(ORCAMENTOS!R263="","",ORCAMENTOS!R263)</f>
        <v>-</v>
      </c>
    </row>
    <row r="256" spans="1:12" ht="15.75" hidden="1" customHeight="1" x14ac:dyDescent="0.25">
      <c r="A256" s="36">
        <f>IF(ORCAMENTOS!A264="","",ORCAMENTOS!A264)</f>
        <v>45694</v>
      </c>
      <c r="B256" s="46">
        <f>IF(ORCAMENTOS!B264="","",ORCAMENTOS!B264)</f>
        <v>254</v>
      </c>
      <c r="C256" s="46" t="str">
        <f>IF(ORCAMENTOS!C264="","",ORCAMENTOS!C264)</f>
        <v/>
      </c>
      <c r="D256" s="37" t="str">
        <f>IF(ORCAMENTOS!D264="","",ORCAMENTOS!D264)</f>
        <v>ADALTA ENGENHARIA</v>
      </c>
      <c r="E256" s="38" t="str">
        <f>IF(ORCAMENTOS!E264="","",ORCAMENTOS!E264)</f>
        <v>SOORO RENER</v>
      </c>
      <c r="F256" s="37" t="str">
        <f>IF(ORCAMENTOS!G264="","",ORCAMENTOS!G264)</f>
        <v>Fernando</v>
      </c>
      <c r="G256" s="37" t="str">
        <f>IF(ORCAMENTOS!H264="","",ORCAMENTOS!H264)</f>
        <v>Andressa</v>
      </c>
      <c r="H256" s="39">
        <f>IF(ORCAMENTOS!I264="","",ORCAMENTOS!I264)</f>
        <v>81138.679999999993</v>
      </c>
      <c r="I256" s="60" t="str">
        <f>IF(ORCAMENTOS!J264="","",ORCAMENTOS!J264)</f>
        <v/>
      </c>
      <c r="J256" s="40" t="str">
        <f>IF(ORCAMENTOS!L264="","",ORCAMENTOS!L264)</f>
        <v>FECHADO</v>
      </c>
      <c r="K256" s="34" t="str">
        <f>IF(ORCAMENTOS!M264="","",ORCAMENTOS!M264)</f>
        <v>PREV. MARÇO/25</v>
      </c>
      <c r="L256" t="str">
        <f>IF(ORCAMENTOS!R264="","",ORCAMENTOS!R264)</f>
        <v>-</v>
      </c>
    </row>
    <row r="257" spans="1:12" ht="15.75" hidden="1" customHeight="1" x14ac:dyDescent="0.25">
      <c r="A257" s="36">
        <f>IF(ORCAMENTOS!A265="","",ORCAMENTOS!A265)</f>
        <v>45694</v>
      </c>
      <c r="B257" s="46">
        <f>IF(ORCAMENTOS!B265="","",ORCAMENTOS!B265)</f>
        <v>255</v>
      </c>
      <c r="C257" s="46" t="str">
        <f>IF(ORCAMENTOS!C265="","",ORCAMENTOS!C265)</f>
        <v/>
      </c>
      <c r="D257" s="37" t="str">
        <f>IF(ORCAMENTOS!D265="","",ORCAMENTOS!D265)</f>
        <v>GLACIAR</v>
      </c>
      <c r="E257" s="38" t="str">
        <f>IF(ORCAMENTOS!E265="","",ORCAMENTOS!E265)</f>
        <v>HAPVIDA TABOÃO DA SERRA</v>
      </c>
      <c r="F257" s="37" t="str">
        <f>IF(ORCAMENTOS!G265="","",ORCAMENTOS!G265)</f>
        <v xml:space="preserve">Aldavir </v>
      </c>
      <c r="G257" s="37" t="str">
        <f>IF(ORCAMENTOS!H265="","",ORCAMENTOS!H265)</f>
        <v>Leandro</v>
      </c>
      <c r="H257" s="39">
        <f>IF(ORCAMENTOS!I265="","",ORCAMENTOS!I265)</f>
        <v>226769.22</v>
      </c>
      <c r="I257" s="60" t="str">
        <f>IF(ORCAMENTOS!J265="","",ORCAMENTOS!J265)</f>
        <v/>
      </c>
      <c r="J257" s="40" t="str">
        <f>IF(ORCAMENTOS!L265="","",ORCAMENTOS!L265)</f>
        <v>CANCELADO</v>
      </c>
      <c r="K257" s="34" t="str">
        <f>IF(ORCAMENTOS!M265="","",ORCAMENTOS!M265)</f>
        <v/>
      </c>
      <c r="L257" t="str">
        <f>IF(ORCAMENTOS!R265="","",ORCAMENTOS!R265)</f>
        <v>-</v>
      </c>
    </row>
    <row r="258" spans="1:12" ht="15.75" hidden="1" customHeight="1" x14ac:dyDescent="0.25">
      <c r="A258" s="36">
        <f>IF(ORCAMENTOS!A266="","",ORCAMENTOS!A266)</f>
        <v>45698</v>
      </c>
      <c r="B258" s="46">
        <f>IF(ORCAMENTOS!B266="","",ORCAMENTOS!B266)</f>
        <v>256</v>
      </c>
      <c r="C258" s="46" t="str">
        <f>IF(ORCAMENTOS!C266="","",ORCAMENTOS!C266)</f>
        <v/>
      </c>
      <c r="D258" s="37" t="str">
        <f>IF(ORCAMENTOS!D266="","",ORCAMENTOS!D266)</f>
        <v>SO AR CLIMATIZACAO</v>
      </c>
      <c r="E258" s="38" t="str">
        <f>IF(ORCAMENTOS!E266="","",ORCAMENTOS!E266)</f>
        <v>-</v>
      </c>
      <c r="F258" s="37" t="str">
        <f>IF(ORCAMENTOS!G266="","",ORCAMENTOS!G266)</f>
        <v>Gabriel</v>
      </c>
      <c r="G258" s="37" t="str">
        <f>IF(ORCAMENTOS!H266="","",ORCAMENTOS!H266)</f>
        <v>Gabriel</v>
      </c>
      <c r="H258" s="39">
        <f>IF(ORCAMENTOS!I266="","",ORCAMENTOS!I266)</f>
        <v>31492.76</v>
      </c>
      <c r="I258" s="60" t="str">
        <f>IF(ORCAMENTOS!J266="","",ORCAMENTOS!J266)</f>
        <v/>
      </c>
      <c r="J258" s="40" t="str">
        <f>IF(ORCAMENTOS!L266="","",ORCAMENTOS!L266)</f>
        <v>FECHADO</v>
      </c>
      <c r="K258" s="34" t="str">
        <f>IF(ORCAMENTOS!M266="","",ORCAMENTOS!M266)</f>
        <v>-</v>
      </c>
      <c r="L258" t="str">
        <f>IF(ORCAMENTOS!R266="","",ORCAMENTOS!R266)</f>
        <v>-</v>
      </c>
    </row>
    <row r="259" spans="1:12" ht="15.75" hidden="1" customHeight="1" x14ac:dyDescent="0.25">
      <c r="A259" s="36">
        <f>IF(ORCAMENTOS!A267="","",ORCAMENTOS!A267)</f>
        <v>45694</v>
      </c>
      <c r="B259" s="46">
        <f>IF(ORCAMENTOS!B267="","",ORCAMENTOS!B267)</f>
        <v>257</v>
      </c>
      <c r="C259" s="46" t="str">
        <f>IF(ORCAMENTOS!C267="","",ORCAMENTOS!C267)</f>
        <v/>
      </c>
      <c r="D259" s="37" t="str">
        <f>IF(ORCAMENTOS!D267="","",ORCAMENTOS!D267)</f>
        <v>COLD CONTROL</v>
      </c>
      <c r="E259" s="38" t="str">
        <f>IF(ORCAMENTOS!E267="","",ORCAMENTOS!E267)</f>
        <v>ITAUSA</v>
      </c>
      <c r="F259" s="37" t="str">
        <f>IF(ORCAMENTOS!G267="","",ORCAMENTOS!G267)</f>
        <v>Emanuel</v>
      </c>
      <c r="G259" s="37" t="str">
        <f>IF(ORCAMENTOS!H267="","",ORCAMENTOS!H267)</f>
        <v>Armando</v>
      </c>
      <c r="H259" s="39">
        <f>IF(ORCAMENTOS!I267="","",ORCAMENTOS!I267)</f>
        <v>8334.58</v>
      </c>
      <c r="I259" s="60" t="str">
        <f>IF(ORCAMENTOS!J267="","",ORCAMENTOS!J267)</f>
        <v/>
      </c>
      <c r="J259" s="40" t="str">
        <f>IF(ORCAMENTOS!L267="","",ORCAMENTOS!L267)</f>
        <v>CANCELADO</v>
      </c>
      <c r="K259" s="34" t="str">
        <f>IF(ORCAMENTOS!M267="","",ORCAMENTOS!M267)</f>
        <v>-</v>
      </c>
      <c r="L259" t="str">
        <f>IF(ORCAMENTOS!R267="","",ORCAMENTOS!R267)</f>
        <v>-</v>
      </c>
    </row>
    <row r="260" spans="1:12" ht="15.75" hidden="1" customHeight="1" x14ac:dyDescent="0.25">
      <c r="A260" s="36">
        <f>IF(ORCAMENTOS!A268="","",ORCAMENTOS!A268)</f>
        <v>45695</v>
      </c>
      <c r="B260" s="46">
        <f>IF(ORCAMENTOS!B268="","",ORCAMENTOS!B268)</f>
        <v>258</v>
      </c>
      <c r="C260" s="46" t="str">
        <f>IF(ORCAMENTOS!C268="","",ORCAMENTOS!C268)</f>
        <v/>
      </c>
      <c r="D260" s="37" t="str">
        <f>IF(ORCAMENTOS!D268="","",ORCAMENTOS!D268)</f>
        <v>INOVAR</v>
      </c>
      <c r="E260" s="38" t="str">
        <f>IF(ORCAMENTOS!E268="","",ORCAMENTOS!E268)</f>
        <v>-</v>
      </c>
      <c r="F260" s="37" t="str">
        <f>IF(ORCAMENTOS!G268="","",ORCAMENTOS!G268)</f>
        <v>Gabriel</v>
      </c>
      <c r="G260" s="37" t="str">
        <f>IF(ORCAMENTOS!H268="","",ORCAMENTOS!H268)</f>
        <v>Luis</v>
      </c>
      <c r="H260" s="39">
        <f>IF(ORCAMENTOS!I268="","",ORCAMENTOS!I268)</f>
        <v>31935.23</v>
      </c>
      <c r="I260" s="60" t="str">
        <f>IF(ORCAMENTOS!J268="","",ORCAMENTOS!J268)</f>
        <v/>
      </c>
      <c r="J260" s="40" t="str">
        <f>IF(ORCAMENTOS!L268="","",ORCAMENTOS!L268)</f>
        <v>FECHADO</v>
      </c>
      <c r="K260" s="34" t="str">
        <f>IF(ORCAMENTOS!M268="","",ORCAMENTOS!M268)</f>
        <v>-</v>
      </c>
      <c r="L260" t="str">
        <f>IF(ORCAMENTOS!R268="","",ORCAMENTOS!R268)</f>
        <v>-</v>
      </c>
    </row>
    <row r="261" spans="1:12" ht="15.75" hidden="1" customHeight="1" x14ac:dyDescent="0.25">
      <c r="A261" s="36">
        <f>IF(ORCAMENTOS!A269="","",ORCAMENTOS!A269)</f>
        <v>45695</v>
      </c>
      <c r="B261" s="46">
        <f>IF(ORCAMENTOS!B269="","",ORCAMENTOS!B269)</f>
        <v>259</v>
      </c>
      <c r="C261" s="46" t="str">
        <f>IF(ORCAMENTOS!C269="","",ORCAMENTOS!C269)</f>
        <v/>
      </c>
      <c r="D261" s="37" t="str">
        <f>IF(ORCAMENTOS!D269="","",ORCAMENTOS!D269)</f>
        <v>PU DUTOS</v>
      </c>
      <c r="E261" s="38" t="str">
        <f>IF(ORCAMENTOS!E269="","",ORCAMENTOS!E269)</f>
        <v>BLS MEDICAL COMERCIO</v>
      </c>
      <c r="F261" s="37" t="str">
        <f>IF(ORCAMENTOS!G269="","",ORCAMENTOS!G269)</f>
        <v>Gabriel</v>
      </c>
      <c r="G261" s="37" t="str">
        <f>IF(ORCAMENTOS!H269="","",ORCAMENTOS!H269)</f>
        <v>Thiago</v>
      </c>
      <c r="H261" s="39">
        <f>IF(ORCAMENTOS!I269="","",ORCAMENTOS!I269)</f>
        <v>12324.05</v>
      </c>
      <c r="I261" s="60" t="str">
        <f>IF(ORCAMENTOS!J269="","",ORCAMENTOS!J269)</f>
        <v/>
      </c>
      <c r="J261" s="40" t="str">
        <f>IF(ORCAMENTOS!L269="","",ORCAMENTOS!L269)</f>
        <v>CANCELADO</v>
      </c>
      <c r="K261" s="34" t="str">
        <f>IF(ORCAMENTOS!M269="","",ORCAMENTOS!M269)</f>
        <v>-</v>
      </c>
      <c r="L261" t="str">
        <f>IF(ORCAMENTOS!R269="","",ORCAMENTOS!R269)</f>
        <v>N/E</v>
      </c>
    </row>
    <row r="262" spans="1:12" ht="15.75" hidden="1" customHeight="1" x14ac:dyDescent="0.25">
      <c r="A262" s="36">
        <f>IF(ORCAMENTOS!A270="","",ORCAMENTOS!A270)</f>
        <v>45695</v>
      </c>
      <c r="B262" s="46">
        <f>IF(ORCAMENTOS!B270="","",ORCAMENTOS!B270)</f>
        <v>260</v>
      </c>
      <c r="C262" s="46" t="str">
        <f>IF(ORCAMENTOS!C270="","",ORCAMENTOS!C270)</f>
        <v/>
      </c>
      <c r="D262" s="37" t="str">
        <f>IF(ORCAMENTOS!D270="","",ORCAMENTOS!D270)</f>
        <v>CLIMA SPACE</v>
      </c>
      <c r="E262" s="38" t="str">
        <f>IF(ORCAMENTOS!E270="","",ORCAMENTOS!E270)</f>
        <v>CNPEM - SIRIUS AUDITORIO</v>
      </c>
      <c r="F262" s="37" t="str">
        <f>IF(ORCAMENTOS!G270="","",ORCAMENTOS!G270)</f>
        <v xml:space="preserve">Aldavir </v>
      </c>
      <c r="G262" s="37" t="str">
        <f>IF(ORCAMENTOS!H270="","",ORCAMENTOS!H270)</f>
        <v>André</v>
      </c>
      <c r="H262" s="39">
        <f>IF(ORCAMENTOS!I270="","",ORCAMENTOS!I270)</f>
        <v>290698.03000000003</v>
      </c>
      <c r="I262" s="60" t="str">
        <f>IF(ORCAMENTOS!J270="","",ORCAMENTOS!J270)</f>
        <v/>
      </c>
      <c r="J262" s="40" t="str">
        <f>IF(ORCAMENTOS!L270="","",ORCAMENTOS!L270)</f>
        <v>CANCELADO</v>
      </c>
      <c r="K262" s="34" t="str">
        <f>IF(ORCAMENTOS!M270="","",ORCAMENTOS!M270)</f>
        <v/>
      </c>
      <c r="L262" t="str">
        <f>IF(ORCAMENTOS!R270="","",ORCAMENTOS!R270)</f>
        <v>-</v>
      </c>
    </row>
    <row r="263" spans="1:12" ht="15.75" hidden="1" customHeight="1" x14ac:dyDescent="0.25">
      <c r="A263" s="36">
        <f>IF(ORCAMENTOS!A271="","",ORCAMENTOS!A271)</f>
        <v>45695</v>
      </c>
      <c r="B263" s="46">
        <f>IF(ORCAMENTOS!B271="","",ORCAMENTOS!B271)</f>
        <v>261</v>
      </c>
      <c r="C263" s="46" t="str">
        <f>IF(ORCAMENTOS!C271="","",ORCAMENTOS!C271)</f>
        <v/>
      </c>
      <c r="D263" s="37" t="str">
        <f>IF(ORCAMENTOS!D271="","",ORCAMENTOS!D271)</f>
        <v>AMS INSTALACOES</v>
      </c>
      <c r="E263" s="38" t="str">
        <f>IF(ORCAMENTOS!E271="","",ORCAMENTOS!E271)</f>
        <v>AEROPORTO INTERNACIONAL DE SÃO PAULO - GUARULHOS</v>
      </c>
      <c r="F263" s="37" t="str">
        <f>IF(ORCAMENTOS!G271="","",ORCAMENTOS!G271)</f>
        <v>Gabriel</v>
      </c>
      <c r="G263" s="37" t="str">
        <f>IF(ORCAMENTOS!H271="","",ORCAMENTOS!H271)</f>
        <v>Albertino</v>
      </c>
      <c r="H263" s="39">
        <f>IF(ORCAMENTOS!I271="","",ORCAMENTOS!I271)</f>
        <v>43360.15</v>
      </c>
      <c r="I263" s="60" t="str">
        <f>IF(ORCAMENTOS!J271="","",ORCAMENTOS!J271)</f>
        <v/>
      </c>
      <c r="J263" s="40" t="str">
        <f>IF(ORCAMENTOS!L271="","",ORCAMENTOS!L271)</f>
        <v>CANCELADO</v>
      </c>
      <c r="K263" s="34" t="str">
        <f>IF(ORCAMENTOS!M271="","",ORCAMENTOS!M271)</f>
        <v>-</v>
      </c>
      <c r="L263" t="str">
        <f>IF(ORCAMENTOS!R271="","",ORCAMENTOS!R271)</f>
        <v>N/E</v>
      </c>
    </row>
    <row r="264" spans="1:12" ht="15.75" hidden="1" customHeight="1" x14ac:dyDescent="0.25">
      <c r="A264" s="36">
        <f>IF(ORCAMENTOS!A272="","",ORCAMENTOS!A272)</f>
        <v>45695</v>
      </c>
      <c r="B264" s="46">
        <f>IF(ORCAMENTOS!B272="","",ORCAMENTOS!B272)</f>
        <v>262</v>
      </c>
      <c r="C264" s="46" t="str">
        <f>IF(ORCAMENTOS!C272="","",ORCAMENTOS!C272)</f>
        <v/>
      </c>
      <c r="D264" s="37" t="str">
        <f>IF(ORCAMENTOS!D272="","",ORCAMENTOS!D272)</f>
        <v>MONTES CLIMA</v>
      </c>
      <c r="E264" s="38" t="str">
        <f>IF(ORCAMENTOS!E272="","",ORCAMENTOS!E272)</f>
        <v>-</v>
      </c>
      <c r="F264" s="37" t="str">
        <f>IF(ORCAMENTOS!G272="","",ORCAMENTOS!G272)</f>
        <v>Gabriel</v>
      </c>
      <c r="G264" s="37" t="str">
        <f>IF(ORCAMENTOS!H272="","",ORCAMENTOS!H272)</f>
        <v>Roberto</v>
      </c>
      <c r="H264" s="39">
        <f>IF(ORCAMENTOS!I272="","",ORCAMENTOS!I272)</f>
        <v>1715.79</v>
      </c>
      <c r="I264" s="60" t="str">
        <f>IF(ORCAMENTOS!J272="","",ORCAMENTOS!J272)</f>
        <v/>
      </c>
      <c r="J264" s="40" t="str">
        <f>IF(ORCAMENTOS!L272="","",ORCAMENTOS!L272)</f>
        <v>FECHADO</v>
      </c>
      <c r="K264" s="34" t="str">
        <f>IF(ORCAMENTOS!M272="","",ORCAMENTOS!M272)</f>
        <v>-</v>
      </c>
      <c r="L264" t="str">
        <f>IF(ORCAMENTOS!R272="","",ORCAMENTOS!R272)</f>
        <v>-</v>
      </c>
    </row>
    <row r="265" spans="1:12" ht="15.75" hidden="1" customHeight="1" x14ac:dyDescent="0.25">
      <c r="A265" s="36">
        <f>IF(ORCAMENTOS!A273="","",ORCAMENTOS!A273)</f>
        <v>45695</v>
      </c>
      <c r="B265" s="46">
        <f>IF(ORCAMENTOS!B273="","",ORCAMENTOS!B273)</f>
        <v>263</v>
      </c>
      <c r="C265" s="46" t="str">
        <f>IF(ORCAMENTOS!C273="","",ORCAMENTOS!C273)</f>
        <v/>
      </c>
      <c r="D265" s="37" t="str">
        <f>IF(ORCAMENTOS!D273="","",ORCAMENTOS!D273)</f>
        <v>AR CLEAN</v>
      </c>
      <c r="E265" s="38" t="str">
        <f>IF(ORCAMENTOS!E273="","",ORCAMENTOS!E273)</f>
        <v>GRU AIRPORT - EXPANSÃO SALA DE EMBARQUE TPS 2</v>
      </c>
      <c r="F265" s="37" t="str">
        <f>IF(ORCAMENTOS!G273="","",ORCAMENTOS!G273)</f>
        <v xml:space="preserve">Aldavir </v>
      </c>
      <c r="G265" s="37" t="str">
        <f>IF(ORCAMENTOS!H273="","",ORCAMENTOS!H273)</f>
        <v>Melaine</v>
      </c>
      <c r="H265" s="39">
        <f>IF(ORCAMENTOS!I273="","",ORCAMENTOS!I273)</f>
        <v>108180.64</v>
      </c>
      <c r="I265" s="60" t="str">
        <f>IF(ORCAMENTOS!J273="","",ORCAMENTOS!J273)</f>
        <v/>
      </c>
      <c r="J265" s="40" t="str">
        <f>IF(ORCAMENTOS!L273="","",ORCAMENTOS!L273)</f>
        <v>CANCELADO</v>
      </c>
      <c r="K265" s="34" t="str">
        <f>IF(ORCAMENTOS!M273="","",ORCAMENTOS!M273)</f>
        <v/>
      </c>
      <c r="L265" t="str">
        <f>IF(ORCAMENTOS!R273="","",ORCAMENTOS!R273)</f>
        <v>-</v>
      </c>
    </row>
    <row r="266" spans="1:12" ht="15.75" hidden="1" customHeight="1" x14ac:dyDescent="0.25">
      <c r="A266" s="36">
        <f>IF(ORCAMENTOS!A274="","",ORCAMENTOS!A274)</f>
        <v>45695</v>
      </c>
      <c r="B266" s="46">
        <f>IF(ORCAMENTOS!B274="","",ORCAMENTOS!B274)</f>
        <v>264</v>
      </c>
      <c r="C266" s="46" t="str">
        <f>IF(ORCAMENTOS!C274="","",ORCAMENTOS!C274)</f>
        <v/>
      </c>
      <c r="D266" s="37" t="str">
        <f>IF(ORCAMENTOS!D274="","",ORCAMENTOS!D274)</f>
        <v>AIRVEN</v>
      </c>
      <c r="E266" s="38" t="str">
        <f>IF(ORCAMENTOS!E274="","",ORCAMENTOS!E274)</f>
        <v>AEROPORTO DE GUARULHOS</v>
      </c>
      <c r="F266" s="37" t="str">
        <f>IF(ORCAMENTOS!G274="","",ORCAMENTOS!G274)</f>
        <v>Gabriel</v>
      </c>
      <c r="G266" s="37" t="str">
        <f>IF(ORCAMENTOS!H274="","",ORCAMENTOS!H274)</f>
        <v>Roberto</v>
      </c>
      <c r="H266" s="39">
        <f>IF(ORCAMENTOS!I274="","",ORCAMENTOS!I274)</f>
        <v>20876.68</v>
      </c>
      <c r="I266" s="60" t="str">
        <f>IF(ORCAMENTOS!J274="","",ORCAMENTOS!J274)</f>
        <v/>
      </c>
      <c r="J266" s="40" t="str">
        <f>IF(ORCAMENTOS!L274="","",ORCAMENTOS!L274)</f>
        <v>CANCELADO</v>
      </c>
      <c r="K266" s="34" t="str">
        <f>IF(ORCAMENTOS!M274="","",ORCAMENTOS!M274)</f>
        <v>-</v>
      </c>
      <c r="L266" t="str">
        <f>IF(ORCAMENTOS!R274="","",ORCAMENTOS!R274)</f>
        <v>N/E</v>
      </c>
    </row>
    <row r="267" spans="1:12" ht="15.75" hidden="1" customHeight="1" x14ac:dyDescent="0.25">
      <c r="A267" s="36">
        <f>IF(ORCAMENTOS!A275="","",ORCAMENTOS!A275)</f>
        <v>45698</v>
      </c>
      <c r="B267" s="46">
        <f>IF(ORCAMENTOS!B275="","",ORCAMENTOS!B275)</f>
        <v>265</v>
      </c>
      <c r="C267" s="46" t="str">
        <f>IF(ORCAMENTOS!C275="","",ORCAMENTOS!C275)</f>
        <v/>
      </c>
      <c r="D267" s="37" t="str">
        <f>IF(ORCAMENTOS!D275="","",ORCAMENTOS!D275)</f>
        <v>INOVECTOR</v>
      </c>
      <c r="E267" s="38" t="str">
        <f>IF(ORCAMENTOS!E275="","",ORCAMENTOS!E275)</f>
        <v>CEMED_JOSE - REQ 2.01</v>
      </c>
      <c r="F267" s="37" t="str">
        <f>IF(ORCAMENTOS!G275="","",ORCAMENTOS!G275)</f>
        <v>Fernando</v>
      </c>
      <c r="G267" s="37" t="str">
        <f>IF(ORCAMENTOS!H275="","",ORCAMENTOS!H275)</f>
        <v>Cristina</v>
      </c>
      <c r="H267" s="39">
        <f>IF(ORCAMENTOS!I275="","",ORCAMENTOS!I275)</f>
        <v>9405.26</v>
      </c>
      <c r="I267" s="60" t="str">
        <f>IF(ORCAMENTOS!J275="","",ORCAMENTOS!J275)</f>
        <v/>
      </c>
      <c r="J267" s="40" t="str">
        <f>IF(ORCAMENTOS!L275="","",ORCAMENTOS!L275)</f>
        <v>PERDIDO</v>
      </c>
      <c r="K267" s="34" t="str">
        <f>IF(ORCAMENTOS!M275="","",ORCAMENTOS!M275)</f>
        <v xml:space="preserve">PACOTE </v>
      </c>
      <c r="L267" t="str">
        <f>IF(ORCAMENTOS!R275="","",ORCAMENTOS!R275)</f>
        <v>-</v>
      </c>
    </row>
    <row r="268" spans="1:12" ht="15.75" hidden="1" customHeight="1" x14ac:dyDescent="0.25">
      <c r="A268" s="36">
        <f>IF(ORCAMENTOS!A276="","",ORCAMENTOS!A276)</f>
        <v>45695</v>
      </c>
      <c r="B268" s="46">
        <f>IF(ORCAMENTOS!B276="","",ORCAMENTOS!B276)</f>
        <v>266</v>
      </c>
      <c r="C268" s="46" t="str">
        <f>IF(ORCAMENTOS!C276="","",ORCAMENTOS!C276)</f>
        <v/>
      </c>
      <c r="D268" s="37" t="str">
        <f>IF(ORCAMENTOS!D276="","",ORCAMENTOS!D276)</f>
        <v>NEWSET</v>
      </c>
      <c r="E268" s="38" t="str">
        <f>IF(ORCAMENTOS!E276="","",ORCAMENTOS!E276)</f>
        <v>REDE DOR SÃO LUIZ - HCO - TOMOGRAFIA</v>
      </c>
      <c r="F268" s="37" t="str">
        <f>IF(ORCAMENTOS!G276="","",ORCAMENTOS!G276)</f>
        <v xml:space="preserve">Aldavir </v>
      </c>
      <c r="G268" s="37" t="str">
        <f>IF(ORCAMENTOS!H276="","",ORCAMENTOS!H276)</f>
        <v>David</v>
      </c>
      <c r="H268" s="39">
        <f>IF(ORCAMENTOS!I276="","",ORCAMENTOS!I276)</f>
        <v>7254.37</v>
      </c>
      <c r="I268" s="60" t="str">
        <f>IF(ORCAMENTOS!J276="","",ORCAMENTOS!J276)</f>
        <v/>
      </c>
      <c r="J268" s="40" t="str">
        <f>IF(ORCAMENTOS!L276="","",ORCAMENTOS!L276)</f>
        <v>CANCELADO</v>
      </c>
      <c r="K268" s="34" t="str">
        <f>IF(ORCAMENTOS!M276="","",ORCAMENTOS!M276)</f>
        <v>-</v>
      </c>
      <c r="L268" t="str">
        <f>IF(ORCAMENTOS!R276="","",ORCAMENTOS!R276)</f>
        <v>-</v>
      </c>
    </row>
    <row r="269" spans="1:12" ht="15.75" hidden="1" customHeight="1" x14ac:dyDescent="0.25">
      <c r="A269" s="36">
        <f>IF(ORCAMENTOS!A277="","",ORCAMENTOS!A277)</f>
        <v>45695</v>
      </c>
      <c r="B269" s="46">
        <f>IF(ORCAMENTOS!B277="","",ORCAMENTOS!B277)</f>
        <v>267</v>
      </c>
      <c r="C269" s="46" t="str">
        <f>IF(ORCAMENTOS!C277="","",ORCAMENTOS!C277)</f>
        <v/>
      </c>
      <c r="D269" s="37" t="str">
        <f>IF(ORCAMENTOS!D277="","",ORCAMENTOS!D277)</f>
        <v>AR SISTEMAS</v>
      </c>
      <c r="E269" s="38" t="str">
        <f>IF(ORCAMENTOS!E277="","",ORCAMENTOS!E277)</f>
        <v>-</v>
      </c>
      <c r="F269" s="37" t="str">
        <f>IF(ORCAMENTOS!G277="","",ORCAMENTOS!G277)</f>
        <v>Michel</v>
      </c>
      <c r="G269" s="37" t="str">
        <f>IF(ORCAMENTOS!H277="","",ORCAMENTOS!H277)</f>
        <v>Thatila</v>
      </c>
      <c r="H269" s="39">
        <f>IF(ORCAMENTOS!I277="","",ORCAMENTOS!I277)</f>
        <v>2813.36</v>
      </c>
      <c r="I269" s="60" t="str">
        <f>IF(ORCAMENTOS!J277="","",ORCAMENTOS!J277)</f>
        <v/>
      </c>
      <c r="J269" s="40" t="str">
        <f>IF(ORCAMENTOS!L277="","",ORCAMENTOS!L277)</f>
        <v>CANCELADO</v>
      </c>
      <c r="K269" s="34" t="str">
        <f>IF(ORCAMENTOS!M277="","",ORCAMENTOS!M277)</f>
        <v>ESTIMATIVA</v>
      </c>
      <c r="L269" t="str">
        <f>IF(ORCAMENTOS!R277="","",ORCAMENTOS!R277)</f>
        <v>-</v>
      </c>
    </row>
    <row r="270" spans="1:12" ht="15.75" hidden="1" customHeight="1" x14ac:dyDescent="0.25">
      <c r="A270" s="36">
        <f>IF(ORCAMENTOS!A278="","",ORCAMENTOS!A278)</f>
        <v>45695</v>
      </c>
      <c r="B270" s="46">
        <f>IF(ORCAMENTOS!B278="","",ORCAMENTOS!B278)</f>
        <v>268</v>
      </c>
      <c r="C270" s="46" t="str">
        <f>IF(ORCAMENTOS!C278="","",ORCAMENTOS!C278)</f>
        <v/>
      </c>
      <c r="D270" s="37" t="str">
        <f>IF(ORCAMENTOS!D278="","",ORCAMENTOS!D278)</f>
        <v xml:space="preserve">DIAGRAMA AR </v>
      </c>
      <c r="E270" s="38" t="str">
        <f>IF(ORCAMENTOS!E278="","",ORCAMENTOS!E278)</f>
        <v>CLIMATIZAÇÃO CD ITATUBA - EMBU DAS ARTES - SP</v>
      </c>
      <c r="F270" s="37" t="str">
        <f>IF(ORCAMENTOS!G278="","",ORCAMENTOS!G278)</f>
        <v>Guilherme</v>
      </c>
      <c r="G270" s="37" t="str">
        <f>IF(ORCAMENTOS!H278="","",ORCAMENTOS!H278)</f>
        <v>Diego</v>
      </c>
      <c r="H270" s="39">
        <f>IF(ORCAMENTOS!I278="","",ORCAMENTOS!I278)</f>
        <v>156037.16</v>
      </c>
      <c r="I270" s="60" t="str">
        <f>IF(ORCAMENTOS!J278="","",ORCAMENTOS!J278)</f>
        <v/>
      </c>
      <c r="J270" s="40" t="str">
        <f>IF(ORCAMENTOS!L278="","",ORCAMENTOS!L278)</f>
        <v>PERDIDO</v>
      </c>
      <c r="K270" s="34" t="str">
        <f>IF(ORCAMENTOS!M278="","",ORCAMENTOS!M278)</f>
        <v>PERDIDO - JULIO DECIDIU FECHAR COM A MULTIVAC</v>
      </c>
      <c r="L270" t="str">
        <f>IF(ORCAMENTOS!R278="","",ORCAMENTOS!R278)</f>
        <v>-</v>
      </c>
    </row>
    <row r="271" spans="1:12" ht="15.75" hidden="1" customHeight="1" x14ac:dyDescent="0.25">
      <c r="A271" s="36">
        <f>IF(ORCAMENTOS!A279="","",ORCAMENTOS!A279)</f>
        <v>45695</v>
      </c>
      <c r="B271" s="46">
        <f>IF(ORCAMENTOS!B279="","",ORCAMENTOS!B279)</f>
        <v>269</v>
      </c>
      <c r="C271" s="46" t="str">
        <f>IF(ORCAMENTOS!C279="","",ORCAMENTOS!C279)</f>
        <v/>
      </c>
      <c r="D271" s="37" t="str">
        <f>IF(ORCAMENTOS!D279="","",ORCAMENTOS!D279)</f>
        <v>ECOTHERM</v>
      </c>
      <c r="E271" s="38" t="str">
        <f>IF(ORCAMENTOS!E279="","",ORCAMENTOS!E279)</f>
        <v>FACULDADE DE MEDICINA DA USP RIBEIRÃO PRETO - FMRP</v>
      </c>
      <c r="F271" s="37" t="str">
        <f>IF(ORCAMENTOS!G279="","",ORCAMENTOS!G279)</f>
        <v>Emanuel</v>
      </c>
      <c r="G271" s="37" t="str">
        <f>IF(ORCAMENTOS!H279="","",ORCAMENTOS!H279)</f>
        <v>Selma</v>
      </c>
      <c r="H271" s="39">
        <f>IF(ORCAMENTOS!I279="","",ORCAMENTOS!I279)</f>
        <v>22726.37</v>
      </c>
      <c r="I271" s="60" t="str">
        <f>IF(ORCAMENTOS!J279="","",ORCAMENTOS!J279)</f>
        <v/>
      </c>
      <c r="J271" s="40" t="str">
        <f>IF(ORCAMENTOS!L279="","",ORCAMENTOS!L279)</f>
        <v>FECHADO</v>
      </c>
      <c r="K271" s="34" t="str">
        <f>IF(ORCAMENTOS!M279="","",ORCAMENTOS!M279)</f>
        <v>-</v>
      </c>
      <c r="L271" t="str">
        <f>IF(ORCAMENTOS!R279="","",ORCAMENTOS!R279)</f>
        <v>-</v>
      </c>
    </row>
    <row r="272" spans="1:12" ht="15.75" hidden="1" customHeight="1" x14ac:dyDescent="0.25">
      <c r="A272" s="36">
        <f>IF(ORCAMENTOS!A280="","",ORCAMENTOS!A280)</f>
        <v>45698</v>
      </c>
      <c r="B272" s="46">
        <f>IF(ORCAMENTOS!B280="","",ORCAMENTOS!B280)</f>
        <v>270</v>
      </c>
      <c r="C272" s="46" t="str">
        <f>IF(ORCAMENTOS!C280="","",ORCAMENTOS!C280)</f>
        <v/>
      </c>
      <c r="D272" s="37" t="str">
        <f>IF(ORCAMENTOS!D280="","",ORCAMENTOS!D280)</f>
        <v>VANESSA OLIVEIRA</v>
      </c>
      <c r="E272" s="38" t="str">
        <f>IF(ORCAMENTOS!E280="","",ORCAMENTOS!E280)</f>
        <v>-</v>
      </c>
      <c r="F272" s="37" t="str">
        <f>IF(ORCAMENTOS!G280="","",ORCAMENTOS!G280)</f>
        <v>Gabriel</v>
      </c>
      <c r="G272" s="37" t="str">
        <f>IF(ORCAMENTOS!H280="","",ORCAMENTOS!H280)</f>
        <v>Vanessa</v>
      </c>
      <c r="H272" s="39">
        <f>IF(ORCAMENTOS!I280="","",ORCAMENTOS!I280)</f>
        <v>8834.07</v>
      </c>
      <c r="I272" s="60" t="str">
        <f>IF(ORCAMENTOS!J280="","",ORCAMENTOS!J280)</f>
        <v/>
      </c>
      <c r="J272" s="40" t="str">
        <f>IF(ORCAMENTOS!L280="","",ORCAMENTOS!L280)</f>
        <v>FECHADO</v>
      </c>
      <c r="K272" s="34" t="str">
        <f>IF(ORCAMENTOS!M280="","",ORCAMENTOS!M280)</f>
        <v>-</v>
      </c>
      <c r="L272" t="str">
        <f>IF(ORCAMENTOS!R280="","",ORCAMENTOS!R280)</f>
        <v>-</v>
      </c>
    </row>
    <row r="273" spans="1:12" ht="15.75" hidden="1" customHeight="1" x14ac:dyDescent="0.25">
      <c r="A273" s="36">
        <f>IF(ORCAMENTOS!A281="","",ORCAMENTOS!A281)</f>
        <v>45695</v>
      </c>
      <c r="B273" s="46">
        <f>IF(ORCAMENTOS!B281="","",ORCAMENTOS!B281)</f>
        <v>271</v>
      </c>
      <c r="C273" s="46" t="str">
        <f>IF(ORCAMENTOS!C281="","",ORCAMENTOS!C281)</f>
        <v/>
      </c>
      <c r="D273" s="37" t="str">
        <f>IF(ORCAMENTOS!D281="","",ORCAMENTOS!D281)</f>
        <v>SOLAR AR</v>
      </c>
      <c r="E273" s="38" t="str">
        <f>IF(ORCAMENTOS!E281="","",ORCAMENTOS!E281)</f>
        <v>SPANI - SÃO JOAO DA BOA VISTA - SP</v>
      </c>
      <c r="F273" s="37" t="str">
        <f>IF(ORCAMENTOS!G281="","",ORCAMENTOS!G281)</f>
        <v>Michel</v>
      </c>
      <c r="G273" s="37" t="str">
        <f>IF(ORCAMENTOS!H281="","",ORCAMENTOS!H281)</f>
        <v>Welly</v>
      </c>
      <c r="H273" s="39">
        <f>IF(ORCAMENTOS!I281="","",ORCAMENTOS!I281)</f>
        <v>103162.96</v>
      </c>
      <c r="I273" s="60" t="str">
        <f>IF(ORCAMENTOS!J281="","",ORCAMENTOS!J281)</f>
        <v/>
      </c>
      <c r="J273" s="40" t="str">
        <f>IF(ORCAMENTOS!L281="","",ORCAMENTOS!L281)</f>
        <v>CANCELADO</v>
      </c>
      <c r="K273" s="34" t="str">
        <f>IF(ORCAMENTOS!M281="","",ORCAMENTOS!M281)</f>
        <v>-</v>
      </c>
      <c r="L273" t="str">
        <f>IF(ORCAMENTOS!R281="","",ORCAMENTOS!R281)</f>
        <v>-</v>
      </c>
    </row>
    <row r="274" spans="1:12" ht="15.75" hidden="1" customHeight="1" x14ac:dyDescent="0.25">
      <c r="A274" s="36">
        <f>IF(ORCAMENTOS!A282="","",ORCAMENTOS!A282)</f>
        <v>45700</v>
      </c>
      <c r="B274" s="46">
        <f>IF(ORCAMENTOS!B282="","",ORCAMENTOS!B282)</f>
        <v>272</v>
      </c>
      <c r="C274" s="46" t="str">
        <f>IF(ORCAMENTOS!C282="","",ORCAMENTOS!C282)</f>
        <v/>
      </c>
      <c r="D274" s="37" t="str">
        <f>IF(ORCAMENTOS!D282="","",ORCAMENTOS!D282)</f>
        <v>SO AR CLIMATIZACAO</v>
      </c>
      <c r="E274" s="38" t="str">
        <f>IF(ORCAMENTOS!E282="","",ORCAMENTOS!E282)</f>
        <v>-</v>
      </c>
      <c r="F274" s="37" t="str">
        <f>IF(ORCAMENTOS!G282="","",ORCAMENTOS!G282)</f>
        <v>Gabriel</v>
      </c>
      <c r="G274" s="37" t="str">
        <f>IF(ORCAMENTOS!H282="","",ORCAMENTOS!H282)</f>
        <v>Gabriel</v>
      </c>
      <c r="H274" s="39">
        <f>IF(ORCAMENTOS!I282="","",ORCAMENTOS!I282)</f>
        <v>48108</v>
      </c>
      <c r="I274" s="60" t="str">
        <f>IF(ORCAMENTOS!J282="","",ORCAMENTOS!J282)</f>
        <v/>
      </c>
      <c r="J274" s="40" t="str">
        <f>IF(ORCAMENTOS!L282="","",ORCAMENTOS!L282)</f>
        <v>CANCELADO</v>
      </c>
      <c r="K274" s="34" t="str">
        <f>IF(ORCAMENTOS!M282="","",ORCAMENTOS!M282)</f>
        <v>-</v>
      </c>
      <c r="L274" t="str">
        <f>IF(ORCAMENTOS!R282="","",ORCAMENTOS!R282)</f>
        <v>-</v>
      </c>
    </row>
    <row r="275" spans="1:12" ht="15.75" hidden="1" customHeight="1" x14ac:dyDescent="0.25">
      <c r="A275" s="36">
        <f>IF(ORCAMENTOS!A283="","",ORCAMENTOS!A283)</f>
        <v>45695</v>
      </c>
      <c r="B275" s="46">
        <f>IF(ORCAMENTOS!B283="","",ORCAMENTOS!B283)</f>
        <v>273</v>
      </c>
      <c r="C275" s="46" t="str">
        <f>IF(ORCAMENTOS!C283="","",ORCAMENTOS!C283)</f>
        <v/>
      </c>
      <c r="D275" s="37" t="str">
        <f>IF(ORCAMENTOS!D283="","",ORCAMENTOS!D283)</f>
        <v>BEST CLIMA</v>
      </c>
      <c r="E275" s="38" t="str">
        <f>IF(ORCAMENTOS!E283="","",ORCAMENTOS!E283)</f>
        <v xml:space="preserve">AEROPORTO DE RIBEIRÃO PRETO </v>
      </c>
      <c r="F275" s="37" t="str">
        <f>IF(ORCAMENTOS!G283="","",ORCAMENTOS!G283)</f>
        <v xml:space="preserve">Aldavir </v>
      </c>
      <c r="G275" s="37" t="str">
        <f>IF(ORCAMENTOS!H283="","",ORCAMENTOS!H283)</f>
        <v>João</v>
      </c>
      <c r="H275" s="39">
        <f>IF(ORCAMENTOS!I283="","",ORCAMENTOS!I283)</f>
        <v>305379.14</v>
      </c>
      <c r="I275" s="60" t="str">
        <f>IF(ORCAMENTOS!J283="","",ORCAMENTOS!J283)</f>
        <v/>
      </c>
      <c r="J275" s="40" t="str">
        <f>IF(ORCAMENTOS!L283="","",ORCAMENTOS!L283)</f>
        <v>CANCELADO</v>
      </c>
      <c r="K275" s="34" t="str">
        <f>IF(ORCAMENTOS!M283="","",ORCAMENTOS!M283)</f>
        <v/>
      </c>
      <c r="L275" t="str">
        <f>IF(ORCAMENTOS!R283="","",ORCAMENTOS!R283)</f>
        <v>-</v>
      </c>
    </row>
    <row r="276" spans="1:12" ht="15.75" hidden="1" customHeight="1" x14ac:dyDescent="0.25">
      <c r="A276" s="36">
        <f>IF(ORCAMENTOS!A284="","",ORCAMENTOS!A284)</f>
        <v>45695</v>
      </c>
      <c r="B276" s="46">
        <f>IF(ORCAMENTOS!B284="","",ORCAMENTOS!B284)</f>
        <v>274</v>
      </c>
      <c r="C276" s="46" t="str">
        <f>IF(ORCAMENTOS!C284="","",ORCAMENTOS!C284)</f>
        <v/>
      </c>
      <c r="D276" s="37" t="str">
        <f>IF(ORCAMENTOS!D284="","",ORCAMENTOS!D284)</f>
        <v>SENSCO</v>
      </c>
      <c r="E276" s="38" t="str">
        <f>IF(ORCAMENTOS!E284="","",ORCAMENTOS!E284)</f>
        <v>Hospital Atibaia CC 2430</v>
      </c>
      <c r="F276" s="37" t="str">
        <f>IF(ORCAMENTOS!G284="","",ORCAMENTOS!G284)</f>
        <v>Michel</v>
      </c>
      <c r="G276" s="37" t="str">
        <f>IF(ORCAMENTOS!H284="","",ORCAMENTOS!H284)</f>
        <v>Gardner</v>
      </c>
      <c r="H276" s="39">
        <f>IF(ORCAMENTOS!I284="","",ORCAMENTOS!I284)</f>
        <v>2216.62</v>
      </c>
      <c r="I276" s="60" t="str">
        <f>IF(ORCAMENTOS!J284="","",ORCAMENTOS!J284)</f>
        <v/>
      </c>
      <c r="J276" s="40" t="str">
        <f>IF(ORCAMENTOS!L284="","",ORCAMENTOS!L284)</f>
        <v>FECHADO</v>
      </c>
      <c r="K276" s="34" t="str">
        <f>IF(ORCAMENTOS!M284="","",ORCAMENTOS!M284)</f>
        <v>-</v>
      </c>
      <c r="L276" t="str">
        <f>IF(ORCAMENTOS!R284="","",ORCAMENTOS!R284)</f>
        <v>-</v>
      </c>
    </row>
    <row r="277" spans="1:12" ht="15.75" hidden="1" customHeight="1" x14ac:dyDescent="0.25">
      <c r="A277" s="36">
        <f>IF(ORCAMENTOS!A285="","",ORCAMENTOS!A285)</f>
        <v>45698</v>
      </c>
      <c r="B277" s="46">
        <f>IF(ORCAMENTOS!B285="","",ORCAMENTOS!B285)</f>
        <v>275</v>
      </c>
      <c r="C277" s="46" t="str">
        <f>IF(ORCAMENTOS!C285="","",ORCAMENTOS!C285)</f>
        <v/>
      </c>
      <c r="D277" s="37" t="str">
        <f>IF(ORCAMENTOS!D285="","",ORCAMENTOS!D285)</f>
        <v>FRANCA CLIMATIZADORES</v>
      </c>
      <c r="E277" s="38" t="str">
        <f>IF(ORCAMENTOS!E285="","",ORCAMENTOS!E285)</f>
        <v>-</v>
      </c>
      <c r="F277" s="37" t="str">
        <f>IF(ORCAMENTOS!G285="","",ORCAMENTOS!G285)</f>
        <v>Gabriel</v>
      </c>
      <c r="G277" s="37" t="str">
        <f>IF(ORCAMENTOS!H285="","",ORCAMENTOS!H285)</f>
        <v>Davi</v>
      </c>
      <c r="H277" s="39">
        <f>IF(ORCAMENTOS!I285="","",ORCAMENTOS!I285)</f>
        <v>12769.21</v>
      </c>
      <c r="I277" s="60" t="str">
        <f>IF(ORCAMENTOS!J285="","",ORCAMENTOS!J285)</f>
        <v/>
      </c>
      <c r="J277" s="40" t="str">
        <f>IF(ORCAMENTOS!L285="","",ORCAMENTOS!L285)</f>
        <v>CANCELADO</v>
      </c>
      <c r="K277" s="34" t="str">
        <f>IF(ORCAMENTOS!M285="","",ORCAMENTOS!M285)</f>
        <v>-</v>
      </c>
      <c r="L277" t="str">
        <f>IF(ORCAMENTOS!R285="","",ORCAMENTOS!R285)</f>
        <v>-</v>
      </c>
    </row>
    <row r="278" spans="1:12" ht="15.75" hidden="1" customHeight="1" x14ac:dyDescent="0.25">
      <c r="A278" s="36">
        <f>IF(ORCAMENTOS!A286="","",ORCAMENTOS!A286)</f>
        <v>45699</v>
      </c>
      <c r="B278" s="46">
        <f>IF(ORCAMENTOS!B286="","",ORCAMENTOS!B286)</f>
        <v>276</v>
      </c>
      <c r="C278" s="46" t="str">
        <f>IF(ORCAMENTOS!C286="","",ORCAMENTOS!C286)</f>
        <v/>
      </c>
      <c r="D278" s="37" t="str">
        <f>IF(ORCAMENTOS!D286="","",ORCAMENTOS!D286)</f>
        <v>CONFORTO ENGENHARIA</v>
      </c>
      <c r="E278" s="38" t="str">
        <f>IF(ORCAMENTOS!E286="","",ORCAMENTOS!E286)</f>
        <v>HOSPITAL VARZEA</v>
      </c>
      <c r="F278" s="37" t="str">
        <f>IF(ORCAMENTOS!G286="","",ORCAMENTOS!G286)</f>
        <v>Michel</v>
      </c>
      <c r="G278" s="37" t="str">
        <f>IF(ORCAMENTOS!H286="","",ORCAMENTOS!H286)</f>
        <v>Kaine</v>
      </c>
      <c r="H278" s="39">
        <f>IF(ORCAMENTOS!I286="","",ORCAMENTOS!I286)</f>
        <v>2385.6</v>
      </c>
      <c r="I278" s="60" t="str">
        <f>IF(ORCAMENTOS!J286="","",ORCAMENTOS!J286)</f>
        <v/>
      </c>
      <c r="J278" s="40" t="str">
        <f>IF(ORCAMENTOS!L286="","",ORCAMENTOS!L286)</f>
        <v>FECHADO</v>
      </c>
      <c r="K278" s="34" t="str">
        <f>IF(ORCAMENTOS!M286="","",ORCAMENTOS!M286)</f>
        <v>-</v>
      </c>
      <c r="L278" t="str">
        <f>IF(ORCAMENTOS!R286="","",ORCAMENTOS!R286)</f>
        <v>-</v>
      </c>
    </row>
    <row r="279" spans="1:12" ht="15.75" hidden="1" customHeight="1" x14ac:dyDescent="0.25">
      <c r="A279" s="36">
        <f>IF(ORCAMENTOS!A287="","",ORCAMENTOS!A287)</f>
        <v>45698</v>
      </c>
      <c r="B279" s="46">
        <f>IF(ORCAMENTOS!B287="","",ORCAMENTOS!B287)</f>
        <v>277</v>
      </c>
      <c r="C279" s="46" t="str">
        <f>IF(ORCAMENTOS!C287="","",ORCAMENTOS!C287)</f>
        <v/>
      </c>
      <c r="D279" s="37" t="str">
        <f>IF(ORCAMENTOS!D287="","",ORCAMENTOS!D287)</f>
        <v>TARKAT REFRIGERACAO</v>
      </c>
      <c r="E279" s="38" t="str">
        <f>IF(ORCAMENTOS!E287="","",ORCAMENTOS!E287)</f>
        <v>IGREJA BATISTA AVIVAMENTO MUNDIAL</v>
      </c>
      <c r="F279" s="37" t="str">
        <f>IF(ORCAMENTOS!G287="","",ORCAMENTOS!G287)</f>
        <v>Fernando</v>
      </c>
      <c r="G279" s="37" t="str">
        <f>IF(ORCAMENTOS!H287="","",ORCAMENTOS!H287)</f>
        <v>Artur</v>
      </c>
      <c r="H279" s="39">
        <f>IF(ORCAMENTOS!I287="","",ORCAMENTOS!I287)</f>
        <v>3492.65</v>
      </c>
      <c r="I279" s="60" t="str">
        <f>IF(ORCAMENTOS!J287="","",ORCAMENTOS!J287)</f>
        <v/>
      </c>
      <c r="J279" s="40" t="str">
        <f>IF(ORCAMENTOS!L287="","",ORCAMENTOS!L287)</f>
        <v>FECHADO</v>
      </c>
      <c r="K279" s="34" t="str">
        <f>IF(ORCAMENTOS!M287="","",ORCAMENTOS!M287)</f>
        <v>-</v>
      </c>
      <c r="L279" t="str">
        <f>IF(ORCAMENTOS!R287="","",ORCAMENTOS!R287)</f>
        <v>-</v>
      </c>
    </row>
    <row r="280" spans="1:12" ht="15.75" hidden="1" customHeight="1" x14ac:dyDescent="0.25">
      <c r="A280" s="36">
        <f>IF(ORCAMENTOS!A288="","",ORCAMENTOS!A288)</f>
        <v>45699</v>
      </c>
      <c r="B280" s="46">
        <f>IF(ORCAMENTOS!B288="","",ORCAMENTOS!B288)</f>
        <v>278</v>
      </c>
      <c r="C280" s="46" t="str">
        <f>IF(ORCAMENTOS!C288="","",ORCAMENTOS!C288)</f>
        <v/>
      </c>
      <c r="D280" s="37" t="str">
        <f>IF(ORCAMENTOS!D288="","",ORCAMENTOS!D288)</f>
        <v>COLDTERMICA</v>
      </c>
      <c r="E280" s="38" t="str">
        <f>IF(ORCAMENTOS!E288="","",ORCAMENTOS!E288)</f>
        <v>-</v>
      </c>
      <c r="F280" s="37" t="str">
        <f>IF(ORCAMENTOS!G288="","",ORCAMENTOS!G288)</f>
        <v>Gabriel</v>
      </c>
      <c r="G280" s="37" t="str">
        <f>IF(ORCAMENTOS!H288="","",ORCAMENTOS!H288)</f>
        <v>Denis</v>
      </c>
      <c r="H280" s="39">
        <f>IF(ORCAMENTOS!I288="","",ORCAMENTOS!I288)</f>
        <v>90092.29</v>
      </c>
      <c r="I280" s="60" t="str">
        <f>IF(ORCAMENTOS!J288="","",ORCAMENTOS!J288)</f>
        <v/>
      </c>
      <c r="J280" s="40" t="str">
        <f>IF(ORCAMENTOS!L288="","",ORCAMENTOS!L288)</f>
        <v>CANCELADO</v>
      </c>
      <c r="K280" s="34" t="str">
        <f>IF(ORCAMENTOS!M288="","",ORCAMENTOS!M288)</f>
        <v>-</v>
      </c>
      <c r="L280" t="str">
        <f>IF(ORCAMENTOS!R288="","",ORCAMENTOS!R288)</f>
        <v>-</v>
      </c>
    </row>
    <row r="281" spans="1:12" ht="15.75" hidden="1" customHeight="1" x14ac:dyDescent="0.25">
      <c r="A281" s="36">
        <f>IF(ORCAMENTOS!A289="","",ORCAMENTOS!A289)</f>
        <v>45699</v>
      </c>
      <c r="B281" s="46">
        <f>IF(ORCAMENTOS!B289="","",ORCAMENTOS!B289)</f>
        <v>279</v>
      </c>
      <c r="C281" s="46" t="str">
        <f>IF(ORCAMENTOS!C289="","",ORCAMENTOS!C289)</f>
        <v/>
      </c>
      <c r="D281" s="37" t="str">
        <f>IF(ORCAMENTOS!D289="","",ORCAMENTOS!D289)</f>
        <v>TECNO AIR</v>
      </c>
      <c r="E281" s="38" t="str">
        <f>IF(ORCAMENTOS!E289="","",ORCAMENTOS!E289)</f>
        <v>-</v>
      </c>
      <c r="F281" s="37" t="str">
        <f>IF(ORCAMENTOS!G289="","",ORCAMENTOS!G289)</f>
        <v>Emanuel</v>
      </c>
      <c r="G281" s="37" t="str">
        <f>IF(ORCAMENTOS!H289="","",ORCAMENTOS!H289)</f>
        <v>Sidnei</v>
      </c>
      <c r="H281" s="39">
        <f>IF(ORCAMENTOS!I289="","",ORCAMENTOS!I289)</f>
        <v>1021.19</v>
      </c>
      <c r="I281" s="60" t="str">
        <f>IF(ORCAMENTOS!J289="","",ORCAMENTOS!J289)</f>
        <v/>
      </c>
      <c r="J281" s="40" t="str">
        <f>IF(ORCAMENTOS!L289="","",ORCAMENTOS!L289)</f>
        <v>CANCELADO</v>
      </c>
      <c r="K281" s="34" t="str">
        <f>IF(ORCAMENTOS!M289="","",ORCAMENTOS!M289)</f>
        <v>-</v>
      </c>
      <c r="L281" t="str">
        <f>IF(ORCAMENTOS!R289="","",ORCAMENTOS!R289)</f>
        <v>-</v>
      </c>
    </row>
    <row r="282" spans="1:12" ht="15.75" hidden="1" customHeight="1" x14ac:dyDescent="0.25">
      <c r="A282" s="36">
        <f>IF(ORCAMENTOS!A290="","",ORCAMENTOS!A290)</f>
        <v>45699</v>
      </c>
      <c r="B282" s="46">
        <f>IF(ORCAMENTOS!B290="","",ORCAMENTOS!B290)</f>
        <v>280</v>
      </c>
      <c r="C282" s="46" t="str">
        <f>IF(ORCAMENTOS!C290="","",ORCAMENTOS!C290)</f>
        <v/>
      </c>
      <c r="D282" s="37" t="str">
        <f>IF(ORCAMENTOS!D290="","",ORCAMENTOS!D290)</f>
        <v>ARP ENGENHARIA</v>
      </c>
      <c r="E282" s="38" t="str">
        <f>IF(ORCAMENTOS!E290="","",ORCAMENTOS!E290)</f>
        <v>SESC PARATY - TERREO</v>
      </c>
      <c r="F282" s="37" t="str">
        <f>IF(ORCAMENTOS!G290="","",ORCAMENTOS!G290)</f>
        <v>Fernando</v>
      </c>
      <c r="G282" s="37" t="str">
        <f>IF(ORCAMENTOS!H290="","",ORCAMENTOS!H290)</f>
        <v>Stephanie</v>
      </c>
      <c r="H282" s="39">
        <f>IF(ORCAMENTOS!I290="","",ORCAMENTOS!I290)</f>
        <v>11590.74</v>
      </c>
      <c r="I282" s="60" t="str">
        <f>IF(ORCAMENTOS!J290="","",ORCAMENTOS!J290)</f>
        <v/>
      </c>
      <c r="J282" s="40" t="str">
        <f>IF(ORCAMENTOS!L290="","",ORCAMENTOS!L290)</f>
        <v>PERDIDO</v>
      </c>
      <c r="K282" s="34" t="str">
        <f>IF(ORCAMENTOS!M290="","",ORCAMENTOS!M290)</f>
        <v>CONTINUIDADE OBRA</v>
      </c>
      <c r="L282" t="str">
        <f>IF(ORCAMENTOS!R290="","",ORCAMENTOS!R290)</f>
        <v>-</v>
      </c>
    </row>
    <row r="283" spans="1:12" ht="15.75" hidden="1" customHeight="1" x14ac:dyDescent="0.25">
      <c r="A283" s="36">
        <f>IF(ORCAMENTOS!A291="","",ORCAMENTOS!A291)</f>
        <v>45699</v>
      </c>
      <c r="B283" s="46">
        <f>IF(ORCAMENTOS!B291="","",ORCAMENTOS!B291)</f>
        <v>281</v>
      </c>
      <c r="C283" s="46" t="str">
        <f>IF(ORCAMENTOS!C291="","",ORCAMENTOS!C291)</f>
        <v/>
      </c>
      <c r="D283" s="37" t="str">
        <f>IF(ORCAMENTOS!D291="","",ORCAMENTOS!D291)</f>
        <v>RECLIMA</v>
      </c>
      <c r="E283" s="38" t="str">
        <f>IF(ORCAMENTOS!E291="","",ORCAMENTOS!E291)</f>
        <v>-</v>
      </c>
      <c r="F283" s="37" t="str">
        <f>IF(ORCAMENTOS!G291="","",ORCAMENTOS!G291)</f>
        <v>Michel</v>
      </c>
      <c r="G283" s="37" t="str">
        <f>IF(ORCAMENTOS!H291="","",ORCAMENTOS!H291)</f>
        <v>Renata</v>
      </c>
      <c r="H283" s="39">
        <f>IF(ORCAMENTOS!I291="","",ORCAMENTOS!I291)</f>
        <v>8279.1</v>
      </c>
      <c r="I283" s="60" t="str">
        <f>IF(ORCAMENTOS!J291="","",ORCAMENTOS!J291)</f>
        <v/>
      </c>
      <c r="J283" s="40" t="str">
        <f>IF(ORCAMENTOS!L291="","",ORCAMENTOS!L291)</f>
        <v>FECHADO</v>
      </c>
      <c r="K283" s="34" t="str">
        <f>IF(ORCAMENTOS!M291="","",ORCAMENTOS!M291)</f>
        <v>-</v>
      </c>
      <c r="L283" t="str">
        <f>IF(ORCAMENTOS!R291="","",ORCAMENTOS!R291)</f>
        <v>-</v>
      </c>
    </row>
    <row r="284" spans="1:12" ht="15.75" hidden="1" customHeight="1" x14ac:dyDescent="0.25">
      <c r="A284" s="36">
        <f>IF(ORCAMENTOS!A292="","",ORCAMENTOS!A292)</f>
        <v>45699</v>
      </c>
      <c r="B284" s="46">
        <f>IF(ORCAMENTOS!B292="","",ORCAMENTOS!B292)</f>
        <v>282</v>
      </c>
      <c r="C284" s="46" t="str">
        <f>IF(ORCAMENTOS!C292="","",ORCAMENTOS!C292)</f>
        <v/>
      </c>
      <c r="D284" s="37" t="str">
        <f>IF(ORCAMENTOS!D292="","",ORCAMENTOS!D292)</f>
        <v>GELOMAC</v>
      </c>
      <c r="E284" s="38" t="str">
        <f>IF(ORCAMENTOS!E292="","",ORCAMENTOS!E292)</f>
        <v>-</v>
      </c>
      <c r="F284" s="37" t="str">
        <f>IF(ORCAMENTOS!G292="","",ORCAMENTOS!G292)</f>
        <v>Gabriel</v>
      </c>
      <c r="G284" s="37" t="str">
        <f>IF(ORCAMENTOS!H292="","",ORCAMENTOS!H292)</f>
        <v>Fabio</v>
      </c>
      <c r="H284" s="39">
        <f>IF(ORCAMENTOS!I292="","",ORCAMENTOS!I292)</f>
        <v>14030.87</v>
      </c>
      <c r="I284" s="60" t="str">
        <f>IF(ORCAMENTOS!J292="","",ORCAMENTOS!J292)</f>
        <v/>
      </c>
      <c r="J284" s="40" t="str">
        <f>IF(ORCAMENTOS!L292="","",ORCAMENTOS!L292)</f>
        <v>FECHADO</v>
      </c>
      <c r="K284" s="34" t="str">
        <f>IF(ORCAMENTOS!M292="","",ORCAMENTOS!M292)</f>
        <v>-</v>
      </c>
      <c r="L284" t="str">
        <f>IF(ORCAMENTOS!R292="","",ORCAMENTOS!R292)</f>
        <v>-</v>
      </c>
    </row>
    <row r="285" spans="1:12" ht="15.75" hidden="1" customHeight="1" x14ac:dyDescent="0.25">
      <c r="A285" s="36">
        <f>IF(ORCAMENTOS!A293="","",ORCAMENTOS!A293)</f>
        <v>45699</v>
      </c>
      <c r="B285" s="46">
        <f>IF(ORCAMENTOS!B293="","",ORCAMENTOS!B293)</f>
        <v>283</v>
      </c>
      <c r="C285" s="46" t="str">
        <f>IF(ORCAMENTOS!C293="","",ORCAMENTOS!C293)</f>
        <v/>
      </c>
      <c r="D285" s="37" t="str">
        <f>IF(ORCAMENTOS!D293="","",ORCAMENTOS!D293)</f>
        <v>CN COLD</v>
      </c>
      <c r="E285" s="38" t="str">
        <f>IF(ORCAMENTOS!E293="","",ORCAMENTOS!E293)</f>
        <v>INDUSTRIA DE PAES</v>
      </c>
      <c r="F285" s="37" t="str">
        <f>IF(ORCAMENTOS!G293="","",ORCAMENTOS!G293)</f>
        <v>Gabriel</v>
      </c>
      <c r="G285" s="37" t="str">
        <f>IF(ORCAMENTOS!H293="","",ORCAMENTOS!H293)</f>
        <v>Andre</v>
      </c>
      <c r="H285" s="39">
        <f>IF(ORCAMENTOS!I293="","",ORCAMENTOS!I293)</f>
        <v>45649.57</v>
      </c>
      <c r="I285" s="60" t="str">
        <f>IF(ORCAMENTOS!J293="","",ORCAMENTOS!J293)</f>
        <v/>
      </c>
      <c r="J285" s="40" t="str">
        <f>IF(ORCAMENTOS!L293="","",ORCAMENTOS!L293)</f>
        <v>CANCELADO</v>
      </c>
      <c r="K285" s="34" t="str">
        <f>IF(ORCAMENTOS!M293="","",ORCAMENTOS!M293)</f>
        <v>-</v>
      </c>
      <c r="L285" t="str">
        <f>IF(ORCAMENTOS!R293="","",ORCAMENTOS!R293)</f>
        <v>-</v>
      </c>
    </row>
    <row r="286" spans="1:12" ht="15.75" hidden="1" customHeight="1" x14ac:dyDescent="0.25">
      <c r="A286" s="36">
        <f>IF(ORCAMENTOS!A294="","",ORCAMENTOS!A294)</f>
        <v>45699</v>
      </c>
      <c r="B286" s="46">
        <f>IF(ORCAMENTOS!B294="","",ORCAMENTOS!B294)</f>
        <v>284</v>
      </c>
      <c r="C286" s="46" t="str">
        <f>IF(ORCAMENTOS!C294="","",ORCAMENTOS!C294)</f>
        <v/>
      </c>
      <c r="D286" s="37" t="str">
        <f>IF(ORCAMENTOS!D294="","",ORCAMENTOS!D294)</f>
        <v>FIDELISAR</v>
      </c>
      <c r="E286" s="38" t="str">
        <f>IF(ORCAMENTOS!E294="","",ORCAMENTOS!E294)</f>
        <v>UBS - JARDIM HELENA</v>
      </c>
      <c r="F286" s="37" t="str">
        <f>IF(ORCAMENTOS!G294="","",ORCAMENTOS!G294)</f>
        <v>Gabriel</v>
      </c>
      <c r="G286" s="37" t="str">
        <f>IF(ORCAMENTOS!H294="","",ORCAMENTOS!H294)</f>
        <v>Edson</v>
      </c>
      <c r="H286" s="39">
        <f>IF(ORCAMENTOS!I294="","",ORCAMENTOS!I294)</f>
        <v>30062.61</v>
      </c>
      <c r="I286" s="60" t="str">
        <f>IF(ORCAMENTOS!J294="","",ORCAMENTOS!J294)</f>
        <v/>
      </c>
      <c r="J286" s="40" t="str">
        <f>IF(ORCAMENTOS!L294="","",ORCAMENTOS!L294)</f>
        <v>CANCELADO</v>
      </c>
      <c r="K286" s="34" t="str">
        <f>IF(ORCAMENTOS!M294="","",ORCAMENTOS!M294)</f>
        <v>-</v>
      </c>
      <c r="L286" t="str">
        <f>IF(ORCAMENTOS!R294="","",ORCAMENTOS!R294)</f>
        <v>-</v>
      </c>
    </row>
    <row r="287" spans="1:12" ht="15.75" hidden="1" customHeight="1" x14ac:dyDescent="0.25">
      <c r="A287" s="36">
        <f>IF(ORCAMENTOS!A295="","",ORCAMENTOS!A295)</f>
        <v>45699</v>
      </c>
      <c r="B287" s="46">
        <f>IF(ORCAMENTOS!B295="","",ORCAMENTOS!B295)</f>
        <v>285</v>
      </c>
      <c r="C287" s="46" t="str">
        <f>IF(ORCAMENTOS!C295="","",ORCAMENTOS!C295)</f>
        <v/>
      </c>
      <c r="D287" s="37" t="str">
        <f>IF(ORCAMENTOS!D295="","",ORCAMENTOS!D295)</f>
        <v>ELO AR CONDICIONADO</v>
      </c>
      <c r="E287" s="38" t="str">
        <f>IF(ORCAMENTOS!E295="","",ORCAMENTOS!E295)</f>
        <v>-</v>
      </c>
      <c r="F287" s="37" t="str">
        <f>IF(ORCAMENTOS!G295="","",ORCAMENTOS!G295)</f>
        <v>Gabriel</v>
      </c>
      <c r="G287" s="37" t="str">
        <f>IF(ORCAMENTOS!H295="","",ORCAMENTOS!H295)</f>
        <v/>
      </c>
      <c r="H287" s="39" t="str">
        <f>IF(ORCAMENTOS!I295="","",ORCAMENTOS!I295)</f>
        <v/>
      </c>
      <c r="I287" s="60" t="str">
        <f>IF(ORCAMENTOS!J295="","",ORCAMENTOS!J295)</f>
        <v/>
      </c>
      <c r="J287" s="40" t="str">
        <f>IF(ORCAMENTOS!L295="","",ORCAMENTOS!L295)</f>
        <v>CANCELADO</v>
      </c>
      <c r="K287" s="34" t="str">
        <f>IF(ORCAMENTOS!M295="","",ORCAMENTOS!M295)</f>
        <v/>
      </c>
      <c r="L287" t="str">
        <f>IF(ORCAMENTOS!R295="","",ORCAMENTOS!R295)</f>
        <v>-</v>
      </c>
    </row>
    <row r="288" spans="1:12" ht="15.75" hidden="1" customHeight="1" x14ac:dyDescent="0.25">
      <c r="A288" s="36">
        <f>IF(ORCAMENTOS!A296="","",ORCAMENTOS!A296)</f>
        <v>45699</v>
      </c>
      <c r="B288" s="46">
        <f>IF(ORCAMENTOS!B296="","",ORCAMENTOS!B296)</f>
        <v>286</v>
      </c>
      <c r="C288" s="46" t="str">
        <f>IF(ORCAMENTOS!C296="","",ORCAMENTOS!C296)</f>
        <v/>
      </c>
      <c r="D288" s="37" t="str">
        <f>IF(ORCAMENTOS!D296="","",ORCAMENTOS!D296)</f>
        <v>FL HVAC</v>
      </c>
      <c r="E288" s="38" t="str">
        <f>IF(ORCAMENTOS!E296="","",ORCAMENTOS!E296)</f>
        <v>PETZ - MOGI DAS CRUZES - SP</v>
      </c>
      <c r="F288" s="37" t="str">
        <f>IF(ORCAMENTOS!G296="","",ORCAMENTOS!G296)</f>
        <v>Guilherme</v>
      </c>
      <c r="G288" s="37" t="str">
        <f>IF(ORCAMENTOS!H296="","",ORCAMENTOS!H296)</f>
        <v>Beatriz</v>
      </c>
      <c r="H288" s="39">
        <f>IF(ORCAMENTOS!I296="","",ORCAMENTOS!I296)</f>
        <v>81637.259999999995</v>
      </c>
      <c r="I288" s="60" t="str">
        <f>IF(ORCAMENTOS!J296="","",ORCAMENTOS!J296)</f>
        <v/>
      </c>
      <c r="J288" s="40" t="str">
        <f>IF(ORCAMENTOS!L296="","",ORCAMENTOS!L296)</f>
        <v>CANCELADO</v>
      </c>
      <c r="K288" s="34" t="str">
        <f>IF(ORCAMENTOS!M296="","",ORCAMENTOS!M296)</f>
        <v>CLIENTE PERDEU A OBRA</v>
      </c>
      <c r="L288" t="str">
        <f>IF(ORCAMENTOS!R296="","",ORCAMENTOS!R296)</f>
        <v>N/E</v>
      </c>
    </row>
    <row r="289" spans="1:12" ht="15.75" hidden="1" customHeight="1" x14ac:dyDescent="0.25">
      <c r="A289" s="36">
        <f>IF(ORCAMENTOS!A297="","",ORCAMENTOS!A297)</f>
        <v>45699</v>
      </c>
      <c r="B289" s="46">
        <f>IF(ORCAMENTOS!B297="","",ORCAMENTOS!B297)</f>
        <v>287</v>
      </c>
      <c r="C289" s="46" t="str">
        <f>IF(ORCAMENTOS!C297="","",ORCAMENTOS!C297)</f>
        <v/>
      </c>
      <c r="D289" s="37" t="str">
        <f>IF(ORCAMENTOS!D297="","",ORCAMENTOS!D297)</f>
        <v>VALMY JOSE</v>
      </c>
      <c r="E289" s="38" t="str">
        <f>IF(ORCAMENTOS!E297="","",ORCAMENTOS!E297)</f>
        <v>BANCO CENTRAL DO BRASIL - EDIFICIO BACEN - SP</v>
      </c>
      <c r="F289" s="37" t="str">
        <f>IF(ORCAMENTOS!G297="","",ORCAMENTOS!G297)</f>
        <v>Gabriel</v>
      </c>
      <c r="G289" s="37" t="str">
        <f>IF(ORCAMENTOS!H297="","",ORCAMENTOS!H297)</f>
        <v>Valmy</v>
      </c>
      <c r="H289" s="39">
        <f>IF(ORCAMENTOS!I297="","",ORCAMENTOS!I297)</f>
        <v>28232.16</v>
      </c>
      <c r="I289" s="60" t="str">
        <f>IF(ORCAMENTOS!J297="","",ORCAMENTOS!J297)</f>
        <v/>
      </c>
      <c r="J289" s="40" t="str">
        <f>IF(ORCAMENTOS!L297="","",ORCAMENTOS!L297)</f>
        <v>CANCELADO</v>
      </c>
      <c r="K289" s="34" t="str">
        <f>IF(ORCAMENTOS!M297="","",ORCAMENTOS!M297)</f>
        <v>-</v>
      </c>
      <c r="L289" t="str">
        <f>IF(ORCAMENTOS!R297="","",ORCAMENTOS!R297)</f>
        <v>-</v>
      </c>
    </row>
    <row r="290" spans="1:12" ht="15.75" hidden="1" customHeight="1" x14ac:dyDescent="0.25">
      <c r="A290" s="36">
        <f>IF(ORCAMENTOS!A298="","",ORCAMENTOS!A298)</f>
        <v>45699</v>
      </c>
      <c r="B290" s="46">
        <f>IF(ORCAMENTOS!B298="","",ORCAMENTOS!B298)</f>
        <v>288</v>
      </c>
      <c r="C290" s="46" t="str">
        <f>IF(ORCAMENTOS!C298="","",ORCAMENTOS!C298)</f>
        <v/>
      </c>
      <c r="D290" s="37" t="str">
        <f>IF(ORCAMENTOS!D298="","",ORCAMENTOS!D298)</f>
        <v>TGE ENERGIA</v>
      </c>
      <c r="E290" s="38" t="str">
        <f>IF(ORCAMENTOS!E298="","",ORCAMENTOS!E298)</f>
        <v>-</v>
      </c>
      <c r="F290" s="37" t="str">
        <f>IF(ORCAMENTOS!G298="","",ORCAMENTOS!G298)</f>
        <v>Gabriel</v>
      </c>
      <c r="G290" s="37" t="str">
        <f>IF(ORCAMENTOS!H298="","",ORCAMENTOS!H298)</f>
        <v>Ronnie</v>
      </c>
      <c r="H290" s="39">
        <f>IF(ORCAMENTOS!I298="","",ORCAMENTOS!I298)</f>
        <v>4093.21</v>
      </c>
      <c r="I290" s="60" t="str">
        <f>IF(ORCAMENTOS!J298="","",ORCAMENTOS!J298)</f>
        <v/>
      </c>
      <c r="J290" s="40" t="str">
        <f>IF(ORCAMENTOS!L298="","",ORCAMENTOS!L298)</f>
        <v>CANCELADO</v>
      </c>
      <c r="K290" s="34" t="str">
        <f>IF(ORCAMENTOS!M298="","",ORCAMENTOS!M298)</f>
        <v>-</v>
      </c>
      <c r="L290" t="str">
        <f>IF(ORCAMENTOS!R298="","",ORCAMENTOS!R298)</f>
        <v>-</v>
      </c>
    </row>
    <row r="291" spans="1:12" ht="15.75" hidden="1" customHeight="1" x14ac:dyDescent="0.25">
      <c r="A291" s="36">
        <f>IF(ORCAMENTOS!A299="","",ORCAMENTOS!A299)</f>
        <v>45699</v>
      </c>
      <c r="B291" s="46">
        <f>IF(ORCAMENTOS!B299="","",ORCAMENTOS!B299)</f>
        <v>289</v>
      </c>
      <c r="C291" s="46" t="str">
        <f>IF(ORCAMENTOS!C299="","",ORCAMENTOS!C299)</f>
        <v/>
      </c>
      <c r="D291" s="37" t="str">
        <f>IF(ORCAMENTOS!D299="","",ORCAMENTOS!D299)</f>
        <v>UNION RHAC</v>
      </c>
      <c r="E291" s="38" t="str">
        <f>IF(ORCAMENTOS!E299="","",ORCAMENTOS!E299)</f>
        <v>NISSIN CHOCOLATES</v>
      </c>
      <c r="F291" s="37" t="str">
        <f>IF(ORCAMENTOS!G299="","",ORCAMENTOS!G299)</f>
        <v>Emanuel</v>
      </c>
      <c r="G291" s="37" t="str">
        <f>IF(ORCAMENTOS!H299="","",ORCAMENTOS!H299)</f>
        <v>Vinicius</v>
      </c>
      <c r="H291" s="39">
        <f>IF(ORCAMENTOS!I299="","",ORCAMENTOS!I299)</f>
        <v>23726.55</v>
      </c>
      <c r="I291" s="60" t="str">
        <f>IF(ORCAMENTOS!J299="","",ORCAMENTOS!J299)</f>
        <v/>
      </c>
      <c r="J291" s="40" t="str">
        <f>IF(ORCAMENTOS!L299="","",ORCAMENTOS!L299)</f>
        <v>FECHADO</v>
      </c>
      <c r="K291" s="34" t="str">
        <f>IF(ORCAMENTOS!M299="","",ORCAMENTOS!M299)</f>
        <v>-</v>
      </c>
      <c r="L291" t="str">
        <f>IF(ORCAMENTOS!R299="","",ORCAMENTOS!R299)</f>
        <v/>
      </c>
    </row>
    <row r="292" spans="1:12" ht="15.75" hidden="1" customHeight="1" x14ac:dyDescent="0.25">
      <c r="A292" s="36">
        <f>IF(ORCAMENTOS!A300="","",ORCAMENTOS!A300)</f>
        <v>45699</v>
      </c>
      <c r="B292" s="46">
        <f>IF(ORCAMENTOS!B300="","",ORCAMENTOS!B300)</f>
        <v>290</v>
      </c>
      <c r="C292" s="46" t="str">
        <f>IF(ORCAMENTOS!C300="","",ORCAMENTOS!C300)</f>
        <v/>
      </c>
      <c r="D292" s="37" t="str">
        <f>IF(ORCAMENTOS!D300="","",ORCAMENTOS!D300)</f>
        <v>TR MARAZZATTO</v>
      </c>
      <c r="E292" s="38" t="str">
        <f>IF(ORCAMENTOS!E300="","",ORCAMENTOS!E300)</f>
        <v>-</v>
      </c>
      <c r="F292" s="37" t="str">
        <f>IF(ORCAMENTOS!G300="","",ORCAMENTOS!G300)</f>
        <v>Gabriel</v>
      </c>
      <c r="G292" s="37" t="str">
        <f>IF(ORCAMENTOS!H300="","",ORCAMENTOS!H300)</f>
        <v>Telmo</v>
      </c>
      <c r="H292" s="39">
        <f>IF(ORCAMENTOS!I300="","",ORCAMENTOS!I300)</f>
        <v>20847.46</v>
      </c>
      <c r="I292" s="60" t="str">
        <f>IF(ORCAMENTOS!J300="","",ORCAMENTOS!J300)</f>
        <v/>
      </c>
      <c r="J292" s="40" t="str">
        <f>IF(ORCAMENTOS!L300="","",ORCAMENTOS!L300)</f>
        <v>PERDIDO</v>
      </c>
      <c r="K292" s="34" t="str">
        <f>IF(ORCAMENTOS!M300="","",ORCAMENTOS!M300)</f>
        <v xml:space="preserve">DECLINADO - INCÊNDIO </v>
      </c>
      <c r="L292" t="str">
        <f>IF(ORCAMENTOS!R300="","",ORCAMENTOS!R300)</f>
        <v>-</v>
      </c>
    </row>
    <row r="293" spans="1:12" ht="15.75" hidden="1" customHeight="1" x14ac:dyDescent="0.25">
      <c r="A293" s="36">
        <f>IF(ORCAMENTOS!A301="","",ORCAMENTOS!A301)</f>
        <v>45699</v>
      </c>
      <c r="B293" s="46">
        <f>IF(ORCAMENTOS!B301="","",ORCAMENTOS!B301)</f>
        <v>291</v>
      </c>
      <c r="C293" s="46" t="str">
        <f>IF(ORCAMENTOS!C301="","",ORCAMENTOS!C301)</f>
        <v/>
      </c>
      <c r="D293" s="37" t="str">
        <f>IF(ORCAMENTOS!D301="","",ORCAMENTOS!D301)</f>
        <v>SP1 ENGENHARIA</v>
      </c>
      <c r="E293" s="38" t="str">
        <f>IF(ORCAMENTOS!E301="","",ORCAMENTOS!E301)</f>
        <v>-</v>
      </c>
      <c r="F293" s="37" t="str">
        <f>IF(ORCAMENTOS!G301="","",ORCAMENTOS!G301)</f>
        <v>Gabriel</v>
      </c>
      <c r="G293" s="37" t="str">
        <f>IF(ORCAMENTOS!H301="","",ORCAMENTOS!H301)</f>
        <v>Silvio</v>
      </c>
      <c r="H293" s="39">
        <f>IF(ORCAMENTOS!I301="","",ORCAMENTOS!I301)</f>
        <v>921.58</v>
      </c>
      <c r="I293" s="60" t="str">
        <f>IF(ORCAMENTOS!J301="","",ORCAMENTOS!J301)</f>
        <v/>
      </c>
      <c r="J293" s="40" t="str">
        <f>IF(ORCAMENTOS!L301="","",ORCAMENTOS!L301)</f>
        <v>FECHADO</v>
      </c>
      <c r="K293" s="34" t="str">
        <f>IF(ORCAMENTOS!M301="","",ORCAMENTOS!M301)</f>
        <v>-</v>
      </c>
      <c r="L293" t="str">
        <f>IF(ORCAMENTOS!R301="","",ORCAMENTOS!R301)</f>
        <v>-</v>
      </c>
    </row>
    <row r="294" spans="1:12" ht="15.75" hidden="1" customHeight="1" x14ac:dyDescent="0.25">
      <c r="A294" s="36">
        <f>IF(ORCAMENTOS!A302="","",ORCAMENTOS!A302)</f>
        <v>45699</v>
      </c>
      <c r="B294" s="46">
        <f>IF(ORCAMENTOS!B302="","",ORCAMENTOS!B302)</f>
        <v>292</v>
      </c>
      <c r="C294" s="46" t="str">
        <f>IF(ORCAMENTOS!C302="","",ORCAMENTOS!C302)</f>
        <v/>
      </c>
      <c r="D294" s="37" t="str">
        <f>IF(ORCAMENTOS!D302="","",ORCAMENTOS!D302)</f>
        <v>CLIMTEC</v>
      </c>
      <c r="E294" s="38" t="str">
        <f>IF(ORCAMENTOS!E302="","",ORCAMENTOS!E302)</f>
        <v>Mercado Municial</v>
      </c>
      <c r="F294" s="37" t="str">
        <f>IF(ORCAMENTOS!G302="","",ORCAMENTOS!G302)</f>
        <v>Emanuel</v>
      </c>
      <c r="G294" s="37" t="str">
        <f>IF(ORCAMENTOS!H302="","",ORCAMENTOS!H302)</f>
        <v>Patricia</v>
      </c>
      <c r="H294" s="39">
        <f>IF(ORCAMENTOS!I302="","",ORCAMENTOS!I302)</f>
        <v>10602.33</v>
      </c>
      <c r="I294" s="60" t="str">
        <f>IF(ORCAMENTOS!J302="","",ORCAMENTOS!J302)</f>
        <v/>
      </c>
      <c r="J294" s="40" t="str">
        <f>IF(ORCAMENTOS!L302="","",ORCAMENTOS!L302)</f>
        <v>FECHADO</v>
      </c>
      <c r="K294" s="34" t="str">
        <f>IF(ORCAMENTOS!M302="","",ORCAMENTOS!M302)</f>
        <v>-</v>
      </c>
      <c r="L294" t="str">
        <f>IF(ORCAMENTOS!R302="","",ORCAMENTOS!R302)</f>
        <v>-</v>
      </c>
    </row>
    <row r="295" spans="1:12" ht="15.75" hidden="1" customHeight="1" x14ac:dyDescent="0.25">
      <c r="A295" s="36">
        <f>IF(ORCAMENTOS!A303="","",ORCAMENTOS!A303)</f>
        <v>45700</v>
      </c>
      <c r="B295" s="46">
        <f>IF(ORCAMENTOS!B303="","",ORCAMENTOS!B303)</f>
        <v>293</v>
      </c>
      <c r="C295" s="46" t="str">
        <f>IF(ORCAMENTOS!C303="","",ORCAMENTOS!C303)</f>
        <v/>
      </c>
      <c r="D295" s="37" t="str">
        <f>IF(ORCAMENTOS!D303="","",ORCAMENTOS!D303)</f>
        <v>EKO CLIMAX</v>
      </c>
      <c r="E295" s="38" t="str">
        <f>IF(ORCAMENTOS!E303="","",ORCAMENTOS!E303)</f>
        <v>-</v>
      </c>
      <c r="F295" s="37" t="str">
        <f>IF(ORCAMENTOS!G303="","",ORCAMENTOS!G303)</f>
        <v>Michel</v>
      </c>
      <c r="G295" s="37" t="str">
        <f>IF(ORCAMENTOS!H303="","",ORCAMENTOS!H303)</f>
        <v>Rogerio</v>
      </c>
      <c r="H295" s="39">
        <f>IF(ORCAMENTOS!I303="","",ORCAMENTOS!I303)</f>
        <v>6454.46</v>
      </c>
      <c r="I295" s="60" t="str">
        <f>IF(ORCAMENTOS!J303="","",ORCAMENTOS!J303)</f>
        <v/>
      </c>
      <c r="J295" s="40" t="str">
        <f>IF(ORCAMENTOS!L303="","",ORCAMENTOS!L303)</f>
        <v>FECHADO</v>
      </c>
      <c r="K295" s="34" t="str">
        <f>IF(ORCAMENTOS!M303="","",ORCAMENTOS!M303)</f>
        <v>-</v>
      </c>
      <c r="L295" t="str">
        <f>IF(ORCAMENTOS!R303="","",ORCAMENTOS!R303)</f>
        <v>-</v>
      </c>
    </row>
    <row r="296" spans="1:12" ht="15.75" hidden="1" customHeight="1" x14ac:dyDescent="0.25">
      <c r="A296" s="36">
        <f>IF(ORCAMENTOS!A304="","",ORCAMENTOS!A304)</f>
        <v>45700</v>
      </c>
      <c r="B296" s="46">
        <f>IF(ORCAMENTOS!B304="","",ORCAMENTOS!B304)</f>
        <v>294</v>
      </c>
      <c r="C296" s="46" t="str">
        <f>IF(ORCAMENTOS!C304="","",ORCAMENTOS!C304)</f>
        <v/>
      </c>
      <c r="D296" s="37" t="str">
        <f>IF(ORCAMENTOS!D304="","",ORCAMENTOS!D304)</f>
        <v>CHD SISTEMAS</v>
      </c>
      <c r="E296" s="38" t="str">
        <f>IF(ORCAMENTOS!E304="","",ORCAMENTOS!E304)</f>
        <v>ESTOQUE</v>
      </c>
      <c r="F296" s="37" t="str">
        <f>IF(ORCAMENTOS!G304="","",ORCAMENTOS!G304)</f>
        <v>Fernando</v>
      </c>
      <c r="G296" s="37" t="str">
        <f>IF(ORCAMENTOS!H304="","",ORCAMENTOS!H304)</f>
        <v>Paulo</v>
      </c>
      <c r="H296" s="39">
        <f>IF(ORCAMENTOS!I304="","",ORCAMENTOS!I304)</f>
        <v>50000</v>
      </c>
      <c r="I296" s="60" t="str">
        <f>IF(ORCAMENTOS!J304="","",ORCAMENTOS!J304)</f>
        <v/>
      </c>
      <c r="J296" s="40" t="str">
        <f>IF(ORCAMENTOS!L304="","",ORCAMENTOS!L304)</f>
        <v>CANCELADO</v>
      </c>
      <c r="K296" s="34" t="str">
        <f>IF(ORCAMENTOS!M304="","",ORCAMENTOS!M304)</f>
        <v>AGUARDANDO PEDIDO EM PARTES</v>
      </c>
      <c r="L296" t="str">
        <f>IF(ORCAMENTOS!R304="","",ORCAMENTOS!R304)</f>
        <v>-</v>
      </c>
    </row>
    <row r="297" spans="1:12" ht="15.75" hidden="1" customHeight="1" x14ac:dyDescent="0.25">
      <c r="A297" s="36">
        <f>IF(ORCAMENTOS!A305="","",ORCAMENTOS!A305)</f>
        <v>45700</v>
      </c>
      <c r="B297" s="46">
        <f>IF(ORCAMENTOS!B305="","",ORCAMENTOS!B305)</f>
        <v>295</v>
      </c>
      <c r="C297" s="46" t="str">
        <f>IF(ORCAMENTOS!C305="","",ORCAMENTOS!C305)</f>
        <v/>
      </c>
      <c r="D297" s="37" t="str">
        <f>IF(ORCAMENTOS!D305="","",ORCAMENTOS!D305)</f>
        <v>ARPOL CONFORTO</v>
      </c>
      <c r="E297" s="38" t="str">
        <f>IF(ORCAMENTOS!E305="","",ORCAMENTOS!E305)</f>
        <v>HOSPITAL - RIBEIRAO PRETO - SP</v>
      </c>
      <c r="F297" s="37" t="str">
        <f>IF(ORCAMENTOS!G305="","",ORCAMENTOS!G305)</f>
        <v>Michel</v>
      </c>
      <c r="G297" s="37" t="str">
        <f>IF(ORCAMENTOS!H305="","",ORCAMENTOS!H305)</f>
        <v>Roberto</v>
      </c>
      <c r="H297" s="39">
        <f>IF(ORCAMENTOS!I305="","",ORCAMENTOS!I305)</f>
        <v>26589.99</v>
      </c>
      <c r="I297" s="60" t="str">
        <f>IF(ORCAMENTOS!J305="","",ORCAMENTOS!J305)</f>
        <v/>
      </c>
      <c r="J297" s="40" t="str">
        <f>IF(ORCAMENTOS!L305="","",ORCAMENTOS!L305)</f>
        <v>CANCELADO</v>
      </c>
      <c r="K297" s="34" t="str">
        <f>IF(ORCAMENTOS!M305="","",ORCAMENTOS!M305)</f>
        <v>-</v>
      </c>
      <c r="L297" t="str">
        <f>IF(ORCAMENTOS!R305="","",ORCAMENTOS!R305)</f>
        <v>-</v>
      </c>
    </row>
    <row r="298" spans="1:12" ht="15.75" hidden="1" customHeight="1" x14ac:dyDescent="0.25">
      <c r="A298" s="36">
        <f>IF(ORCAMENTOS!A306="","",ORCAMENTOS!A306)</f>
        <v>45700</v>
      </c>
      <c r="B298" s="46">
        <f>IF(ORCAMENTOS!B306="","",ORCAMENTOS!B306)</f>
        <v>296</v>
      </c>
      <c r="C298" s="46" t="str">
        <f>IF(ORCAMENTOS!C306="","",ORCAMENTOS!C306)</f>
        <v/>
      </c>
      <c r="D298" s="37" t="str">
        <f>IF(ORCAMENTOS!D306="","",ORCAMENTOS!D306)</f>
        <v>LTX CLIMATIZACAO</v>
      </c>
      <c r="E298" s="38" t="str">
        <f>IF(ORCAMENTOS!E306="","",ORCAMENTOS!E306)</f>
        <v>HIROTA SUPERMERCADO - GRANJA VIANA - COTIA - SP</v>
      </c>
      <c r="F298" s="37" t="str">
        <f>IF(ORCAMENTOS!G306="","",ORCAMENTOS!G306)</f>
        <v>Guilherme</v>
      </c>
      <c r="G298" s="37" t="str">
        <f>IF(ORCAMENTOS!H306="","",ORCAMENTOS!H306)</f>
        <v>David</v>
      </c>
      <c r="H298" s="39">
        <f>IF(ORCAMENTOS!I306="","",ORCAMENTOS!I306)</f>
        <v>14152.07</v>
      </c>
      <c r="I298" s="60" t="str">
        <f>IF(ORCAMENTOS!J306="","",ORCAMENTOS!J306)</f>
        <v/>
      </c>
      <c r="J298" s="40" t="str">
        <f>IF(ORCAMENTOS!L306="","",ORCAMENTOS!L306)</f>
        <v>CANCELADO</v>
      </c>
      <c r="K298" s="34" t="str">
        <f>IF(ORCAMENTOS!M306="","",ORCAMENTOS!M306)</f>
        <v>-</v>
      </c>
      <c r="L298" t="str">
        <f>IF(ORCAMENTOS!R306="","",ORCAMENTOS!R306)</f>
        <v>-</v>
      </c>
    </row>
    <row r="299" spans="1:12" ht="15.75" hidden="1" customHeight="1" x14ac:dyDescent="0.25">
      <c r="A299" s="36">
        <f>IF(ORCAMENTOS!A307="","",ORCAMENTOS!A307)</f>
        <v>45700</v>
      </c>
      <c r="B299" s="46">
        <f>IF(ORCAMENTOS!B307="","",ORCAMENTOS!B307)</f>
        <v>297</v>
      </c>
      <c r="C299" s="46" t="str">
        <f>IF(ORCAMENTOS!C307="","",ORCAMENTOS!C307)</f>
        <v/>
      </c>
      <c r="D299" s="37" t="str">
        <f>IF(ORCAMENTOS!D307="","",ORCAMENTOS!D307)</f>
        <v>AMS INSTALACOES</v>
      </c>
      <c r="E299" s="38" t="str">
        <f>IF(ORCAMENTOS!E307="","",ORCAMENTOS!E307)</f>
        <v>FRT 885 - OPCAO 1</v>
      </c>
      <c r="F299" s="37" t="str">
        <f>IF(ORCAMENTOS!G307="","",ORCAMENTOS!G307)</f>
        <v>Gabriel</v>
      </c>
      <c r="G299" s="37" t="str">
        <f>IF(ORCAMENTOS!H307="","",ORCAMENTOS!H307)</f>
        <v>Felipe</v>
      </c>
      <c r="H299" s="39">
        <f>IF(ORCAMENTOS!I307="","",ORCAMENTOS!I307)</f>
        <v>109258.82</v>
      </c>
      <c r="I299" s="60" t="str">
        <f>IF(ORCAMENTOS!J307="","",ORCAMENTOS!J307)</f>
        <v/>
      </c>
      <c r="J299" s="40" t="str">
        <f>IF(ORCAMENTOS!L307="","",ORCAMENTOS!L307)</f>
        <v>CANCELADO</v>
      </c>
      <c r="K299" s="34" t="str">
        <f>IF(ORCAMENTOS!M307="","",ORCAMENTOS!M307)</f>
        <v>-</v>
      </c>
      <c r="L299" t="str">
        <f>IF(ORCAMENTOS!R307="","",ORCAMENTOS!R307)</f>
        <v>-</v>
      </c>
    </row>
    <row r="300" spans="1:12" ht="15.75" hidden="1" customHeight="1" x14ac:dyDescent="0.25">
      <c r="A300" s="36">
        <f>IF(ORCAMENTOS!A308="","",ORCAMENTOS!A308)</f>
        <v>45700</v>
      </c>
      <c r="B300" s="46">
        <f>IF(ORCAMENTOS!B308="","",ORCAMENTOS!B308)</f>
        <v>298</v>
      </c>
      <c r="C300" s="46" t="str">
        <f>IF(ORCAMENTOS!C308="","",ORCAMENTOS!C308)</f>
        <v/>
      </c>
      <c r="D300" s="37" t="str">
        <f>IF(ORCAMENTOS!D308="","",ORCAMENTOS!D308)</f>
        <v>AMS INSTALACOES</v>
      </c>
      <c r="E300" s="38" t="str">
        <f>IF(ORCAMENTOS!E308="","",ORCAMENTOS!E308)</f>
        <v>FRT 885 - OPCAO 1</v>
      </c>
      <c r="F300" s="37" t="str">
        <f>IF(ORCAMENTOS!G308="","",ORCAMENTOS!G308)</f>
        <v>Gabriel</v>
      </c>
      <c r="G300" s="37" t="str">
        <f>IF(ORCAMENTOS!H308="","",ORCAMENTOS!H308)</f>
        <v>Felipe</v>
      </c>
      <c r="H300" s="39">
        <f>IF(ORCAMENTOS!I308="","",ORCAMENTOS!I308)</f>
        <v>251075.98</v>
      </c>
      <c r="I300" s="60" t="str">
        <f>IF(ORCAMENTOS!J308="","",ORCAMENTOS!J308)</f>
        <v/>
      </c>
      <c r="J300" s="40" t="str">
        <f>IF(ORCAMENTOS!L308="","",ORCAMENTOS!L308)</f>
        <v>CANCELADO</v>
      </c>
      <c r="K300" s="34" t="str">
        <f>IF(ORCAMENTOS!M308="","",ORCAMENTOS!M308)</f>
        <v>-</v>
      </c>
      <c r="L300" t="str">
        <f>IF(ORCAMENTOS!R308="","",ORCAMENTOS!R308)</f>
        <v>-</v>
      </c>
    </row>
    <row r="301" spans="1:12" ht="15.75" hidden="1" customHeight="1" x14ac:dyDescent="0.25">
      <c r="A301" s="36">
        <f>IF(ORCAMENTOS!A309="","",ORCAMENTOS!A309)</f>
        <v>45700</v>
      </c>
      <c r="B301" s="46">
        <f>IF(ORCAMENTOS!B309="","",ORCAMENTOS!B309)</f>
        <v>299</v>
      </c>
      <c r="C301" s="46" t="str">
        <f>IF(ORCAMENTOS!C309="","",ORCAMENTOS!C309)</f>
        <v/>
      </c>
      <c r="D301" s="37" t="str">
        <f>IF(ORCAMENTOS!D309="","",ORCAMENTOS!D309)</f>
        <v>SIDNEI</v>
      </c>
      <c r="E301" s="38" t="str">
        <f>IF(ORCAMENTOS!E309="","",ORCAMENTOS!E309)</f>
        <v>-</v>
      </c>
      <c r="F301" s="37" t="str">
        <f>IF(ORCAMENTOS!G309="","",ORCAMENTOS!G309)</f>
        <v>Gabriel</v>
      </c>
      <c r="G301" s="37" t="str">
        <f>IF(ORCAMENTOS!H309="","",ORCAMENTOS!H309)</f>
        <v>Sidnei</v>
      </c>
      <c r="H301" s="39">
        <f>IF(ORCAMENTOS!I309="","",ORCAMENTOS!I309)</f>
        <v>850841</v>
      </c>
      <c r="I301" s="60" t="str">
        <f>IF(ORCAMENTOS!J309="","",ORCAMENTOS!J309)</f>
        <v/>
      </c>
      <c r="J301" s="40" t="str">
        <f>IF(ORCAMENTOS!L309="","",ORCAMENTOS!L309)</f>
        <v>CANCELADO</v>
      </c>
      <c r="K301" s="34" t="str">
        <f>IF(ORCAMENTOS!M309="","",ORCAMENTOS!M309)</f>
        <v>-</v>
      </c>
      <c r="L301" t="str">
        <f>IF(ORCAMENTOS!R309="","",ORCAMENTOS!R309)</f>
        <v>-</v>
      </c>
    </row>
    <row r="302" spans="1:12" ht="15.75" hidden="1" customHeight="1" x14ac:dyDescent="0.25">
      <c r="A302" s="36">
        <f>IF(ORCAMENTOS!A310="","",ORCAMENTOS!A310)</f>
        <v>45700</v>
      </c>
      <c r="B302" s="46">
        <f>IF(ORCAMENTOS!B310="","",ORCAMENTOS!B310)</f>
        <v>300</v>
      </c>
      <c r="C302" s="46" t="str">
        <f>IF(ORCAMENTOS!C310="","",ORCAMENTOS!C310)</f>
        <v/>
      </c>
      <c r="D302" s="37" t="str">
        <f>IF(ORCAMENTOS!D310="","",ORCAMENTOS!D310)</f>
        <v>TARKAT REFRIGERACAO</v>
      </c>
      <c r="E302" s="38" t="str">
        <f>IF(ORCAMENTOS!E310="","",ORCAMENTOS!E310)</f>
        <v xml:space="preserve">Flat Ibirapuera </v>
      </c>
      <c r="F302" s="37" t="str">
        <f>IF(ORCAMENTOS!G310="","",ORCAMENTOS!G310)</f>
        <v>Michel</v>
      </c>
      <c r="G302" s="37" t="str">
        <f>IF(ORCAMENTOS!H310="","",ORCAMENTOS!H310)</f>
        <v>Artur</v>
      </c>
      <c r="H302" s="39">
        <f>IF(ORCAMENTOS!I310="","",ORCAMENTOS!I310)</f>
        <v>8161.71</v>
      </c>
      <c r="I302" s="60" t="str">
        <f>IF(ORCAMENTOS!J310="","",ORCAMENTOS!J310)</f>
        <v/>
      </c>
      <c r="J302" s="40" t="str">
        <f>IF(ORCAMENTOS!L310="","",ORCAMENTOS!L310)</f>
        <v>CANCELADO</v>
      </c>
      <c r="K302" s="34" t="str">
        <f>IF(ORCAMENTOS!M310="","",ORCAMENTOS!M310)</f>
        <v>-</v>
      </c>
      <c r="L302" t="str">
        <f>IF(ORCAMENTOS!R310="","",ORCAMENTOS!R310)</f>
        <v>-</v>
      </c>
    </row>
    <row r="303" spans="1:12" ht="15.75" hidden="1" customHeight="1" x14ac:dyDescent="0.25">
      <c r="A303" s="36">
        <f>IF(ORCAMENTOS!A311="","",ORCAMENTOS!A311)</f>
        <v>45700</v>
      </c>
      <c r="B303" s="46">
        <f>IF(ORCAMENTOS!B311="","",ORCAMENTOS!B311)</f>
        <v>301</v>
      </c>
      <c r="C303" s="46" t="str">
        <f>IF(ORCAMENTOS!C311="","",ORCAMENTOS!C311)</f>
        <v/>
      </c>
      <c r="D303" s="37" t="str">
        <f>IF(ORCAMENTOS!D311="","",ORCAMENTOS!D311)</f>
        <v>INOVECTOR</v>
      </c>
      <c r="E303" s="38" t="str">
        <f>IF(ORCAMENTOS!E311="","",ORCAMENTOS!E311)</f>
        <v>24-160_HOSPITAL ANALIA FRANCO_ENDOSCOPIA</v>
      </c>
      <c r="F303" s="37" t="str">
        <f>IF(ORCAMENTOS!G311="","",ORCAMENTOS!G311)</f>
        <v>Fernando</v>
      </c>
      <c r="G303" s="37" t="str">
        <f>IF(ORCAMENTOS!H311="","",ORCAMENTOS!H311)</f>
        <v>Cristina</v>
      </c>
      <c r="H303" s="39">
        <f>IF(ORCAMENTOS!I311="","",ORCAMENTOS!I311)</f>
        <v>10219.9</v>
      </c>
      <c r="I303" s="60" t="str">
        <f>IF(ORCAMENTOS!J311="","",ORCAMENTOS!J311)</f>
        <v/>
      </c>
      <c r="J303" s="40" t="str">
        <f>IF(ORCAMENTOS!L311="","",ORCAMENTOS!L311)</f>
        <v>PERDIDO</v>
      </c>
      <c r="K303" s="34" t="str">
        <f>IF(ORCAMENTOS!M311="","",ORCAMENTOS!M311)</f>
        <v xml:space="preserve">DECLINADO - INCÊNDIO </v>
      </c>
      <c r="L303" t="str">
        <f>IF(ORCAMENTOS!R311="","",ORCAMENTOS!R311)</f>
        <v>-</v>
      </c>
    </row>
    <row r="304" spans="1:12" ht="15.75" hidden="1" customHeight="1" x14ac:dyDescent="0.25">
      <c r="A304" s="36">
        <f>IF(ORCAMENTOS!A312="","",ORCAMENTOS!A312)</f>
        <v>45700</v>
      </c>
      <c r="B304" s="46">
        <f>IF(ORCAMENTOS!B312="","",ORCAMENTOS!B312)</f>
        <v>302</v>
      </c>
      <c r="C304" s="46" t="str">
        <f>IF(ORCAMENTOS!C312="","",ORCAMENTOS!C312)</f>
        <v/>
      </c>
      <c r="D304" s="37" t="str">
        <f>IF(ORCAMENTOS!D312="","",ORCAMENTOS!D312)</f>
        <v>WELLNESS</v>
      </c>
      <c r="E304" s="38" t="str">
        <f>IF(ORCAMENTOS!E312="","",ORCAMENTOS!E312)</f>
        <v>-</v>
      </c>
      <c r="F304" s="37" t="str">
        <f>IF(ORCAMENTOS!G312="","",ORCAMENTOS!G312)</f>
        <v>Gabriel</v>
      </c>
      <c r="G304" s="37" t="str">
        <f>IF(ORCAMENTOS!H312="","",ORCAMENTOS!H312)</f>
        <v>Ivanise</v>
      </c>
      <c r="H304" s="39">
        <f>IF(ORCAMENTOS!I312="","",ORCAMENTOS!I312)</f>
        <v>63880.78</v>
      </c>
      <c r="I304" s="60" t="str">
        <f>IF(ORCAMENTOS!J312="","",ORCAMENTOS!J312)</f>
        <v/>
      </c>
      <c r="J304" s="40" t="str">
        <f>IF(ORCAMENTOS!L312="","",ORCAMENTOS!L312)</f>
        <v>FECHADO</v>
      </c>
      <c r="K304" s="34" t="str">
        <f>IF(ORCAMENTOS!M312="","",ORCAMENTOS!M312)</f>
        <v>-</v>
      </c>
      <c r="L304" t="str">
        <f>IF(ORCAMENTOS!R312="","",ORCAMENTOS!R312)</f>
        <v>-</v>
      </c>
    </row>
    <row r="305" spans="1:12" ht="15.75" hidden="1" customHeight="1" x14ac:dyDescent="0.25">
      <c r="A305" s="36">
        <f>IF(ORCAMENTOS!A313="","",ORCAMENTOS!A313)</f>
        <v>45729</v>
      </c>
      <c r="B305" s="46">
        <f>IF(ORCAMENTOS!B313="","",ORCAMENTOS!B313)</f>
        <v>303</v>
      </c>
      <c r="C305" s="46" t="str">
        <f>IF(ORCAMENTOS!C313="","",ORCAMENTOS!C313)</f>
        <v/>
      </c>
      <c r="D305" s="37" t="str">
        <f>IF(ORCAMENTOS!D313="","",ORCAMENTOS!D313)</f>
        <v>FL HVAC</v>
      </c>
      <c r="E305" s="38" t="str">
        <f>IF(ORCAMENTOS!E313="","",ORCAMENTOS!E313)</f>
        <v>HAPVIDA - MOGI DAS CRUZES</v>
      </c>
      <c r="F305" s="37" t="str">
        <f>IF(ORCAMENTOS!G313="","",ORCAMENTOS!G313)</f>
        <v>Guilherme</v>
      </c>
      <c r="G305" s="37" t="str">
        <f>IF(ORCAMENTOS!H313="","",ORCAMENTOS!H313)</f>
        <v>Filipe</v>
      </c>
      <c r="H305" s="39">
        <f>IF(ORCAMENTOS!I313="","",ORCAMENTOS!I313)</f>
        <v>32347.74</v>
      </c>
      <c r="I305" s="60" t="str">
        <f>IF(ORCAMENTOS!J313="","",ORCAMENTOS!J313)</f>
        <v/>
      </c>
      <c r="J305" s="40" t="str">
        <f>IF(ORCAMENTOS!L313="","",ORCAMENTOS!L313)</f>
        <v>CANCELADO</v>
      </c>
      <c r="K305" s="34" t="str">
        <f>IF(ORCAMENTOS!M313="","",ORCAMENTOS!M313)</f>
        <v>CONSTRUTORA COMPROU DIRETO</v>
      </c>
      <c r="L305" t="str">
        <f>IF(ORCAMENTOS!R313="","",ORCAMENTOS!R313)</f>
        <v/>
      </c>
    </row>
    <row r="306" spans="1:12" ht="15.75" hidden="1" customHeight="1" x14ac:dyDescent="0.25">
      <c r="A306" s="36">
        <f>IF(ORCAMENTOS!A314="","",ORCAMENTOS!A314)</f>
        <v>45705</v>
      </c>
      <c r="B306" s="46">
        <f>IF(ORCAMENTOS!B314="","",ORCAMENTOS!B314)</f>
        <v>304</v>
      </c>
      <c r="C306" s="46" t="str">
        <f>IF(ORCAMENTOS!C314="","",ORCAMENTOS!C314)</f>
        <v/>
      </c>
      <c r="D306" s="37" t="str">
        <f>IF(ORCAMENTOS!D314="","",ORCAMENTOS!D314)</f>
        <v>ENGEMAC</v>
      </c>
      <c r="E306" s="38" t="str">
        <f>IF(ORCAMENTOS!E314="","",ORCAMENTOS!E314)</f>
        <v>SICREDI - Laranjeiras</v>
      </c>
      <c r="F306" s="37" t="str">
        <f>IF(ORCAMENTOS!G314="","",ORCAMENTOS!G314)</f>
        <v>Fernando</v>
      </c>
      <c r="G306" s="37" t="str">
        <f>IF(ORCAMENTOS!H314="","",ORCAMENTOS!H314)</f>
        <v>Daniel</v>
      </c>
      <c r="H306" s="39">
        <f>IF(ORCAMENTOS!I314="","",ORCAMENTOS!I314)</f>
        <v>130649.52</v>
      </c>
      <c r="I306" s="60" t="str">
        <f>IF(ORCAMENTOS!J314="","",ORCAMENTOS!J314)</f>
        <v/>
      </c>
      <c r="J306" s="40" t="str">
        <f>IF(ORCAMENTOS!L314="","",ORCAMENTOS!L314)</f>
        <v>FECHADO</v>
      </c>
      <c r="K306" s="34" t="str">
        <f>IF(ORCAMENTOS!M314="","",ORCAMENTOS!M314)</f>
        <v>-</v>
      </c>
      <c r="L306" t="str">
        <f>IF(ORCAMENTOS!R314="","",ORCAMENTOS!R314)</f>
        <v>-</v>
      </c>
    </row>
    <row r="307" spans="1:12" ht="15.75" hidden="1" customHeight="1" x14ac:dyDescent="0.25">
      <c r="A307" s="36">
        <f>IF(ORCAMENTOS!A315="","",ORCAMENTOS!A315)</f>
        <v>45701</v>
      </c>
      <c r="B307" s="46">
        <f>IF(ORCAMENTOS!B315="","",ORCAMENTOS!B315)</f>
        <v>305</v>
      </c>
      <c r="C307" s="46" t="str">
        <f>IF(ORCAMENTOS!C315="","",ORCAMENTOS!C315)</f>
        <v/>
      </c>
      <c r="D307" s="37" t="str">
        <f>IF(ORCAMENTOS!D315="","",ORCAMENTOS!D315)</f>
        <v>AWA AR CONDICIONADO</v>
      </c>
      <c r="E307" s="38" t="str">
        <f>IF(ORCAMENTOS!E315="","",ORCAMENTOS!E315)</f>
        <v>SUPERMERCADO - PAGUE MENOS - LOJA 16</v>
      </c>
      <c r="F307" s="37" t="str">
        <f>IF(ORCAMENTOS!G315="","",ORCAMENTOS!G315)</f>
        <v>Guilherme</v>
      </c>
      <c r="G307" s="37" t="str">
        <f>IF(ORCAMENTOS!H315="","",ORCAMENTOS!H315)</f>
        <v>Paula</v>
      </c>
      <c r="H307" s="39">
        <f>IF(ORCAMENTOS!I315="","",ORCAMENTOS!I315)</f>
        <v>99680.04</v>
      </c>
      <c r="I307" s="60" t="str">
        <f>IF(ORCAMENTOS!J315="","",ORCAMENTOS!J315)</f>
        <v/>
      </c>
      <c r="J307" s="40" t="str">
        <f>IF(ORCAMENTOS!L315="","",ORCAMENTOS!L315)</f>
        <v>CANCELADO</v>
      </c>
      <c r="K307" s="34" t="str">
        <f>IF(ORCAMENTOS!M315="","",ORCAMENTOS!M315)</f>
        <v>-</v>
      </c>
      <c r="L307" t="str">
        <f>IF(ORCAMENTOS!R315="","",ORCAMENTOS!R315)</f>
        <v>MPU</v>
      </c>
    </row>
    <row r="308" spans="1:12" ht="15.75" hidden="1" customHeight="1" x14ac:dyDescent="0.25">
      <c r="A308" s="36">
        <f>IF(ORCAMENTOS!A316="","",ORCAMENTOS!A316)</f>
        <v>45702</v>
      </c>
      <c r="B308" s="46">
        <f>IF(ORCAMENTOS!B316="","",ORCAMENTOS!B316)</f>
        <v>306</v>
      </c>
      <c r="C308" s="46" t="str">
        <f>IF(ORCAMENTOS!C316="","",ORCAMENTOS!C316)</f>
        <v/>
      </c>
      <c r="D308" s="37" t="str">
        <f>IF(ORCAMENTOS!D316="","",ORCAMENTOS!D316)</f>
        <v>GRUPO R1</v>
      </c>
      <c r="E308" s="38" t="str">
        <f>IF(ORCAMENTOS!E316="","",ORCAMENTOS!E316)</f>
        <v>-</v>
      </c>
      <c r="F308" s="37" t="str">
        <f>IF(ORCAMENTOS!G316="","",ORCAMENTOS!G316)</f>
        <v>Gabriel</v>
      </c>
      <c r="G308" s="37" t="str">
        <f>IF(ORCAMENTOS!H316="","",ORCAMENTOS!H316)</f>
        <v>Janaina</v>
      </c>
      <c r="H308" s="39">
        <f>IF(ORCAMENTOS!I316="","",ORCAMENTOS!I316)</f>
        <v>358.98</v>
      </c>
      <c r="I308" s="60" t="str">
        <f>IF(ORCAMENTOS!J316="","",ORCAMENTOS!J316)</f>
        <v/>
      </c>
      <c r="J308" s="40" t="str">
        <f>IF(ORCAMENTOS!L316="","",ORCAMENTOS!L316)</f>
        <v>CANCELADO</v>
      </c>
      <c r="K308" s="34" t="str">
        <f>IF(ORCAMENTOS!M316="","",ORCAMENTOS!M316)</f>
        <v>Aguardando aprovação</v>
      </c>
      <c r="L308" t="str">
        <f>IF(ORCAMENTOS!R316="","",ORCAMENTOS!R316)</f>
        <v>-</v>
      </c>
    </row>
    <row r="309" spans="1:12" ht="15.75" hidden="1" customHeight="1" x14ac:dyDescent="0.25">
      <c r="A309" s="36">
        <f>IF(ORCAMENTOS!A317="","",ORCAMENTOS!A317)</f>
        <v>45729</v>
      </c>
      <c r="B309" s="46">
        <f>IF(ORCAMENTOS!B317="","",ORCAMENTOS!B317)</f>
        <v>307</v>
      </c>
      <c r="C309" s="46" t="str">
        <f>IF(ORCAMENTOS!C317="","",ORCAMENTOS!C317)</f>
        <v/>
      </c>
      <c r="D309" s="37" t="str">
        <f>IF(ORCAMENTOS!D317="","",ORCAMENTOS!D317)</f>
        <v>ART AR</v>
      </c>
      <c r="E309" s="38" t="str">
        <f>IF(ORCAMENTOS!E317="","",ORCAMENTOS!E317)</f>
        <v>MAX ATACADISTA GIOVANNI GRONCHI</v>
      </c>
      <c r="F309" s="37" t="str">
        <f>IF(ORCAMENTOS!G317="","",ORCAMENTOS!G317)</f>
        <v>Emanuel</v>
      </c>
      <c r="G309" s="37" t="str">
        <f>IF(ORCAMENTOS!H317="","",ORCAMENTOS!H317)</f>
        <v>Jorge</v>
      </c>
      <c r="H309" s="39">
        <f>IF(ORCAMENTOS!I317="","",ORCAMENTOS!I317)</f>
        <v>179737.25</v>
      </c>
      <c r="I309" s="60" t="str">
        <f>IF(ORCAMENTOS!J317="","",ORCAMENTOS!J317)</f>
        <v/>
      </c>
      <c r="J309" s="40" t="str">
        <f>IF(ORCAMENTOS!L317="","",ORCAMENTOS!L317)</f>
        <v>CANCELADO</v>
      </c>
      <c r="K309" s="34" t="str">
        <f>IF(ORCAMENTOS!M317="","",ORCAMENTOS!M317)</f>
        <v>-</v>
      </c>
      <c r="L309" t="str">
        <f>IF(ORCAMENTOS!R317="","",ORCAMENTOS!R317)</f>
        <v>-</v>
      </c>
    </row>
    <row r="310" spans="1:12" ht="15.75" hidden="1" customHeight="1" x14ac:dyDescent="0.25">
      <c r="A310" s="36">
        <f>IF(ORCAMENTOS!A318="","",ORCAMENTOS!A318)</f>
        <v>45701</v>
      </c>
      <c r="B310" s="46">
        <f>IF(ORCAMENTOS!B318="","",ORCAMENTOS!B318)</f>
        <v>308</v>
      </c>
      <c r="C310" s="46" t="str">
        <f>IF(ORCAMENTOS!C318="","",ORCAMENTOS!C318)</f>
        <v/>
      </c>
      <c r="D310" s="37" t="str">
        <f>IF(ORCAMENTOS!D318="","",ORCAMENTOS!D318)</f>
        <v>ART AR</v>
      </c>
      <c r="E310" s="38" t="str">
        <f>IF(ORCAMENTOS!E318="","",ORCAMENTOS!E318)</f>
        <v>MAX ATACADISTA MANOEL GAYA</v>
      </c>
      <c r="F310" s="37" t="str">
        <f>IF(ORCAMENTOS!G318="","",ORCAMENTOS!G318)</f>
        <v>Emanuel</v>
      </c>
      <c r="G310" s="37" t="str">
        <f>IF(ORCAMENTOS!H318="","",ORCAMENTOS!H318)</f>
        <v>Jorge</v>
      </c>
      <c r="H310" s="39">
        <f>IF(ORCAMENTOS!I318="","",ORCAMENTOS!I318)</f>
        <v>177492.9</v>
      </c>
      <c r="I310" s="60" t="str">
        <f>IF(ORCAMENTOS!J318="","",ORCAMENTOS!J318)</f>
        <v/>
      </c>
      <c r="J310" s="40" t="str">
        <f>IF(ORCAMENTOS!L318="","",ORCAMENTOS!L318)</f>
        <v>CANCELADO</v>
      </c>
      <c r="K310" s="34" t="str">
        <f>IF(ORCAMENTOS!M318="","",ORCAMENTOS!M318)</f>
        <v>-</v>
      </c>
      <c r="L310" t="str">
        <f>IF(ORCAMENTOS!R318="","",ORCAMENTOS!R318)</f>
        <v>-</v>
      </c>
    </row>
    <row r="311" spans="1:12" ht="15.75" hidden="1" customHeight="1" x14ac:dyDescent="0.25">
      <c r="A311" s="36">
        <f>IF(ORCAMENTOS!A319="","",ORCAMENTOS!A319)</f>
        <v>45701</v>
      </c>
      <c r="B311" s="46">
        <f>IF(ORCAMENTOS!B319="","",ORCAMENTOS!B319)</f>
        <v>309</v>
      </c>
      <c r="C311" s="46" t="str">
        <f>IF(ORCAMENTOS!C319="","",ORCAMENTOS!C319)</f>
        <v/>
      </c>
      <c r="D311" s="37" t="str">
        <f>IF(ORCAMENTOS!D319="","",ORCAMENTOS!D319)</f>
        <v>TEMA FRIO</v>
      </c>
      <c r="E311" s="38" t="str">
        <f>IF(ORCAMENTOS!E319="","",ORCAMENTOS!E319)</f>
        <v>ADIDAS - SHOPPING ARICANDUVA</v>
      </c>
      <c r="F311" s="37" t="str">
        <f>IF(ORCAMENTOS!G319="","",ORCAMENTOS!G319)</f>
        <v>Emanuel</v>
      </c>
      <c r="G311" s="37" t="str">
        <f>IF(ORCAMENTOS!H319="","",ORCAMENTOS!H319)</f>
        <v>Ricardo</v>
      </c>
      <c r="H311" s="39">
        <f>IF(ORCAMENTOS!I319="","",ORCAMENTOS!I319)</f>
        <v>61637.52</v>
      </c>
      <c r="I311" s="60" t="str">
        <f>IF(ORCAMENTOS!J319="","",ORCAMENTOS!J319)</f>
        <v/>
      </c>
      <c r="J311" s="40" t="str">
        <f>IF(ORCAMENTOS!L319="","",ORCAMENTOS!L319)</f>
        <v>CANCELADO</v>
      </c>
      <c r="K311" s="34" t="str">
        <f>IF(ORCAMENTOS!M319="","",ORCAMENTOS!M319)</f>
        <v>PERDERAM A CONCORRENCIA</v>
      </c>
      <c r="L311" t="str">
        <f>IF(ORCAMENTOS!R319="","",ORCAMENTOS!R319)</f>
        <v>MPU</v>
      </c>
    </row>
    <row r="312" spans="1:12" ht="15.75" hidden="1" customHeight="1" x14ac:dyDescent="0.25">
      <c r="A312" s="36">
        <f>IF(ORCAMENTOS!A320="","",ORCAMENTOS!A320)</f>
        <v>45702</v>
      </c>
      <c r="B312" s="46">
        <f>IF(ORCAMENTOS!B320="","",ORCAMENTOS!B320)</f>
        <v>310</v>
      </c>
      <c r="C312" s="46" t="str">
        <f>IF(ORCAMENTOS!C320="","",ORCAMENTOS!C320)</f>
        <v/>
      </c>
      <c r="D312" s="37" t="str">
        <f>IF(ORCAMENTOS!D320="","",ORCAMENTOS!D320)</f>
        <v>THERMOMATIC</v>
      </c>
      <c r="E312" s="38" t="str">
        <f>IF(ORCAMENTOS!E320="","",ORCAMENTOS!E320)</f>
        <v>-</v>
      </c>
      <c r="F312" s="37" t="str">
        <f>IF(ORCAMENTOS!G320="","",ORCAMENTOS!G320)</f>
        <v>Gabriel</v>
      </c>
      <c r="G312" s="37" t="str">
        <f>IF(ORCAMENTOS!H320="","",ORCAMENTOS!H320)</f>
        <v>Michel</v>
      </c>
      <c r="H312" s="39">
        <f>IF(ORCAMENTOS!I320="","",ORCAMENTOS!I320)</f>
        <v>24135.35</v>
      </c>
      <c r="I312" s="60" t="str">
        <f>IF(ORCAMENTOS!J320="","",ORCAMENTOS!J320)</f>
        <v/>
      </c>
      <c r="J312" s="40" t="str">
        <f>IF(ORCAMENTOS!L320="","",ORCAMENTOS!L320)</f>
        <v>FECHADO</v>
      </c>
      <c r="K312" s="34" t="str">
        <f>IF(ORCAMENTOS!M320="","",ORCAMENTOS!M320)</f>
        <v>-</v>
      </c>
      <c r="L312" t="str">
        <f>IF(ORCAMENTOS!R320="","",ORCAMENTOS!R320)</f>
        <v>-</v>
      </c>
    </row>
    <row r="313" spans="1:12" ht="15.75" hidden="1" customHeight="1" x14ac:dyDescent="0.25">
      <c r="A313" s="36">
        <f>IF(ORCAMENTOS!A321="","",ORCAMENTOS!A321)</f>
        <v>45701</v>
      </c>
      <c r="B313" s="46">
        <f>IF(ORCAMENTOS!B321="","",ORCAMENTOS!B321)</f>
        <v>311</v>
      </c>
      <c r="C313" s="46" t="str">
        <f>IF(ORCAMENTOS!C321="","",ORCAMENTOS!C321)</f>
        <v/>
      </c>
      <c r="D313" s="37" t="str">
        <f>IF(ORCAMENTOS!D321="","",ORCAMENTOS!D321)</f>
        <v>THERMAL ENERGY</v>
      </c>
      <c r="E313" s="38" t="str">
        <f>IF(ORCAMENTOS!E321="","",ORCAMENTOS!E321)</f>
        <v>MAX SHOPPING - THERMAL</v>
      </c>
      <c r="F313" s="37" t="str">
        <f>IF(ORCAMENTOS!G321="","",ORCAMENTOS!G321)</f>
        <v xml:space="preserve">Aldavir </v>
      </c>
      <c r="G313" s="37" t="str">
        <f>IF(ORCAMENTOS!H321="","",ORCAMENTOS!H321)</f>
        <v>Anderson</v>
      </c>
      <c r="H313" s="39">
        <f>IF(ORCAMENTOS!I321="","",ORCAMENTOS!I321)</f>
        <v>278780.94</v>
      </c>
      <c r="I313" s="60" t="str">
        <f>IF(ORCAMENTOS!J321="","",ORCAMENTOS!J321)</f>
        <v/>
      </c>
      <c r="J313" s="40" t="str">
        <f>IF(ORCAMENTOS!L321="","",ORCAMENTOS!L321)</f>
        <v>FECHADO</v>
      </c>
      <c r="K313" s="34" t="str">
        <f>IF(ORCAMENTOS!M321="","",ORCAMENTOS!M321)</f>
        <v>-</v>
      </c>
      <c r="L313" t="str">
        <f>IF(ORCAMENTOS!R321="","",ORCAMENTOS!R321)</f>
        <v>-</v>
      </c>
    </row>
    <row r="314" spans="1:12" ht="15.75" hidden="1" customHeight="1" x14ac:dyDescent="0.25">
      <c r="A314" s="36">
        <f>IF(ORCAMENTOS!A322="","",ORCAMENTOS!A322)</f>
        <v>45701</v>
      </c>
      <c r="B314" s="46">
        <f>IF(ORCAMENTOS!B322="","",ORCAMENTOS!B322)</f>
        <v>312</v>
      </c>
      <c r="C314" s="46" t="str">
        <f>IF(ORCAMENTOS!C322="","",ORCAMENTOS!C322)</f>
        <v/>
      </c>
      <c r="D314" s="37" t="str">
        <f>IF(ORCAMENTOS!D322="","",ORCAMENTOS!D322)</f>
        <v>AR 2 SOLUCOES</v>
      </c>
      <c r="E314" s="38" t="str">
        <f>IF(ORCAMENTOS!E322="","",ORCAMENTOS!E322)</f>
        <v>-</v>
      </c>
      <c r="F314" s="37" t="str">
        <f>IF(ORCAMENTOS!G322="","",ORCAMENTOS!G322)</f>
        <v>Gabriel</v>
      </c>
      <c r="G314" s="37" t="str">
        <f>IF(ORCAMENTOS!H322="","",ORCAMENTOS!H322)</f>
        <v>Ronilson</v>
      </c>
      <c r="H314" s="39">
        <f>IF(ORCAMENTOS!I322="","",ORCAMENTOS!I322)</f>
        <v>10537.8</v>
      </c>
      <c r="I314" s="60" t="str">
        <f>IF(ORCAMENTOS!J322="","",ORCAMENTOS!J322)</f>
        <v/>
      </c>
      <c r="J314" s="40" t="str">
        <f>IF(ORCAMENTOS!L322="","",ORCAMENTOS!L322)</f>
        <v>CANCELADO</v>
      </c>
      <c r="K314" s="34" t="str">
        <f>IF(ORCAMENTOS!M322="","",ORCAMENTOS!M322)</f>
        <v>-</v>
      </c>
      <c r="L314" t="str">
        <f>IF(ORCAMENTOS!R322="","",ORCAMENTOS!R322)</f>
        <v>-</v>
      </c>
    </row>
    <row r="315" spans="1:12" ht="15.75" hidden="1" customHeight="1" x14ac:dyDescent="0.25">
      <c r="A315" s="36">
        <f>IF(ORCAMENTOS!A323="","",ORCAMENTOS!A323)</f>
        <v>45701</v>
      </c>
      <c r="B315" s="46">
        <f>IF(ORCAMENTOS!B323="","",ORCAMENTOS!B323)</f>
        <v>313</v>
      </c>
      <c r="C315" s="46" t="str">
        <f>IF(ORCAMENTOS!C323="","",ORCAMENTOS!C323)</f>
        <v/>
      </c>
      <c r="D315" s="37" t="str">
        <f>IF(ORCAMENTOS!D323="","",ORCAMENTOS!D323)</f>
        <v>CLIMAPRESS</v>
      </c>
      <c r="E315" s="38" t="str">
        <f>IF(ORCAMENTOS!E323="","",ORCAMENTOS!E323)</f>
        <v>Rede Dor Assunção</v>
      </c>
      <c r="F315" s="37" t="str">
        <f>IF(ORCAMENTOS!G323="","",ORCAMENTOS!G323)</f>
        <v>Emanuel</v>
      </c>
      <c r="G315" s="37" t="str">
        <f>IF(ORCAMENTOS!H323="","",ORCAMENTOS!H323)</f>
        <v>Vainer</v>
      </c>
      <c r="H315" s="39">
        <f>IF(ORCAMENTOS!I323="","",ORCAMENTOS!I323)</f>
        <v>8483.31</v>
      </c>
      <c r="I315" s="60" t="str">
        <f>IF(ORCAMENTOS!J323="","",ORCAMENTOS!J323)</f>
        <v/>
      </c>
      <c r="J315" s="40" t="str">
        <f>IF(ORCAMENTOS!L323="","",ORCAMENTOS!L323)</f>
        <v>PERDIDO</v>
      </c>
      <c r="K315" s="34" t="str">
        <f>IF(ORCAMENTOS!M323="","",ORCAMENTOS!M323)</f>
        <v xml:space="preserve">DECLINADO - INCÊNDIO </v>
      </c>
      <c r="L315" t="str">
        <f>IF(ORCAMENTOS!R323="","",ORCAMENTOS!R323)</f>
        <v>-</v>
      </c>
    </row>
    <row r="316" spans="1:12" ht="15.75" hidden="1" customHeight="1" x14ac:dyDescent="0.25">
      <c r="A316" s="36">
        <f>IF(ORCAMENTOS!A324="","",ORCAMENTOS!A324)</f>
        <v>45705</v>
      </c>
      <c r="B316" s="46">
        <f>IF(ORCAMENTOS!B324="","",ORCAMENTOS!B324)</f>
        <v>314</v>
      </c>
      <c r="C316" s="46" t="str">
        <f>IF(ORCAMENTOS!C324="","",ORCAMENTOS!C324)</f>
        <v/>
      </c>
      <c r="D316" s="37" t="str">
        <f>IF(ORCAMENTOS!D324="","",ORCAMENTOS!D324)</f>
        <v>ADALTA ENGENHARIA</v>
      </c>
      <c r="E316" s="38" t="str">
        <f>IF(ORCAMENTOS!E324="","",ORCAMENTOS!E324)</f>
        <v>2190 COPERMED</v>
      </c>
      <c r="F316" s="37" t="str">
        <f>IF(ORCAMENTOS!G324="","",ORCAMENTOS!G324)</f>
        <v>Fernando</v>
      </c>
      <c r="G316" s="37" t="str">
        <f>IF(ORCAMENTOS!H324="","",ORCAMENTOS!H324)</f>
        <v>Andressa</v>
      </c>
      <c r="H316" s="39">
        <f>IF(ORCAMENTOS!I324="","",ORCAMENTOS!I324)</f>
        <v>10565.73</v>
      </c>
      <c r="I316" s="60" t="str">
        <f>IF(ORCAMENTOS!J324="","",ORCAMENTOS!J324)</f>
        <v/>
      </c>
      <c r="J316" s="40" t="str">
        <f>IF(ORCAMENTOS!L324="","",ORCAMENTOS!L324)</f>
        <v>FECHADO</v>
      </c>
      <c r="K316" s="34" t="str">
        <f>IF(ORCAMENTOS!M324="","",ORCAMENTOS!M324)</f>
        <v>-</v>
      </c>
      <c r="L316" t="str">
        <f>IF(ORCAMENTOS!R324="","",ORCAMENTOS!R324)</f>
        <v>-</v>
      </c>
    </row>
    <row r="317" spans="1:12" ht="15.75" hidden="1" customHeight="1" x14ac:dyDescent="0.25">
      <c r="A317" s="36">
        <f>IF(ORCAMENTOS!A325="","",ORCAMENTOS!A325)</f>
        <v>45702</v>
      </c>
      <c r="B317" s="46">
        <f>IF(ORCAMENTOS!B325="","",ORCAMENTOS!B325)</f>
        <v>315</v>
      </c>
      <c r="C317" s="46" t="str">
        <f>IF(ORCAMENTOS!C325="","",ORCAMENTOS!C325)</f>
        <v/>
      </c>
      <c r="D317" s="37" t="str">
        <f>IF(ORCAMENTOS!D325="","",ORCAMENTOS!D325)</f>
        <v>ENGEMAC</v>
      </c>
      <c r="E317" s="38" t="str">
        <f>IF(ORCAMENTOS!E325="","",ORCAMENTOS!E325)</f>
        <v>Unimed Cuiabá P2</v>
      </c>
      <c r="F317" s="37" t="str">
        <f>IF(ORCAMENTOS!G325="","",ORCAMENTOS!G325)</f>
        <v>Fernando</v>
      </c>
      <c r="G317" s="37" t="str">
        <f>IF(ORCAMENTOS!H325="","",ORCAMENTOS!H325)</f>
        <v>Carlos</v>
      </c>
      <c r="H317" s="39">
        <f>IF(ORCAMENTOS!I325="","",ORCAMENTOS!I325)</f>
        <v>1624.65</v>
      </c>
      <c r="I317" s="60" t="str">
        <f>IF(ORCAMENTOS!J325="","",ORCAMENTOS!J325)</f>
        <v/>
      </c>
      <c r="J317" s="40" t="str">
        <f>IF(ORCAMENTOS!L325="","",ORCAMENTOS!L325)</f>
        <v>CANCELADO</v>
      </c>
      <c r="K317" s="34" t="str">
        <f>IF(ORCAMENTOS!M325="","",ORCAMENTOS!M325)</f>
        <v>ESTOQUE</v>
      </c>
      <c r="L317" t="str">
        <f>IF(ORCAMENTOS!R325="","",ORCAMENTOS!R325)</f>
        <v>-</v>
      </c>
    </row>
    <row r="318" spans="1:12" ht="15.75" hidden="1" customHeight="1" x14ac:dyDescent="0.25">
      <c r="A318" s="36">
        <f>IF(ORCAMENTOS!A326="","",ORCAMENTOS!A326)</f>
        <v>45702</v>
      </c>
      <c r="B318" s="46">
        <f>IF(ORCAMENTOS!B326="","",ORCAMENTOS!B326)</f>
        <v>316</v>
      </c>
      <c r="C318" s="46" t="str">
        <f>IF(ORCAMENTOS!C326="","",ORCAMENTOS!C326)</f>
        <v/>
      </c>
      <c r="D318" s="37" t="str">
        <f>IF(ORCAMENTOS!D326="","",ORCAMENTOS!D326)</f>
        <v>AWA AR CONDICIONADO</v>
      </c>
      <c r="E318" s="38" t="str">
        <f>IF(ORCAMENTOS!E326="","",ORCAMENTOS!E326)</f>
        <v>RD SAUDE - PORTO ALEGRE - RS</v>
      </c>
      <c r="F318" s="37" t="str">
        <f>IF(ORCAMENTOS!G326="","",ORCAMENTOS!G326)</f>
        <v>Guilherme</v>
      </c>
      <c r="G318" s="37" t="str">
        <f>IF(ORCAMENTOS!H326="","",ORCAMENTOS!H326)</f>
        <v>Gustavo</v>
      </c>
      <c r="H318" s="39">
        <f>IF(ORCAMENTOS!I326="","",ORCAMENTOS!I326)</f>
        <v>102226.08</v>
      </c>
      <c r="I318" s="60" t="str">
        <f>IF(ORCAMENTOS!J326="","",ORCAMENTOS!J326)</f>
        <v/>
      </c>
      <c r="J318" s="40" t="str">
        <f>IF(ORCAMENTOS!L326="","",ORCAMENTOS!L326)</f>
        <v>CANCELADO</v>
      </c>
      <c r="K318" s="34" t="str">
        <f>IF(ORCAMENTOS!M326="","",ORCAMENTOS!M326)</f>
        <v>-</v>
      </c>
      <c r="L318" t="str">
        <f>IF(ORCAMENTOS!R326="","",ORCAMENTOS!R326)</f>
        <v>-</v>
      </c>
    </row>
    <row r="319" spans="1:12" ht="15.75" hidden="1" customHeight="1" x14ac:dyDescent="0.25">
      <c r="A319" s="36">
        <f>IF(ORCAMENTOS!A327="","",ORCAMENTOS!A327)</f>
        <v>45702</v>
      </c>
      <c r="B319" s="46">
        <f>IF(ORCAMENTOS!B327="","",ORCAMENTOS!B327)</f>
        <v>317</v>
      </c>
      <c r="C319" s="46" t="str">
        <f>IF(ORCAMENTOS!C327="","",ORCAMENTOS!C327)</f>
        <v/>
      </c>
      <c r="D319" s="37" t="str">
        <f>IF(ORCAMENTOS!D327="","",ORCAMENTOS!D327)</f>
        <v>CONSTARCO</v>
      </c>
      <c r="E319" s="38" t="str">
        <f>IF(ORCAMENTOS!E327="","",ORCAMENTOS!E327)</f>
        <v>-</v>
      </c>
      <c r="F319" s="37" t="str">
        <f>IF(ORCAMENTOS!G327="","",ORCAMENTOS!G327)</f>
        <v>Fernando</v>
      </c>
      <c r="G319" s="37" t="str">
        <f>IF(ORCAMENTOS!H327="","",ORCAMENTOS!H327)</f>
        <v>Iris</v>
      </c>
      <c r="H319" s="39">
        <f>IF(ORCAMENTOS!I327="","",ORCAMENTOS!I327)</f>
        <v>4080.85</v>
      </c>
      <c r="I319" s="60" t="str">
        <f>IF(ORCAMENTOS!J327="","",ORCAMENTOS!J327)</f>
        <v/>
      </c>
      <c r="J319" s="40" t="str">
        <f>IF(ORCAMENTOS!L327="","",ORCAMENTOS!L327)</f>
        <v>CANCELADO</v>
      </c>
      <c r="K319" s="34" t="str">
        <f>IF(ORCAMENTOS!M327="","",ORCAMENTOS!M327)</f>
        <v>ESTOQUE</v>
      </c>
      <c r="L319" t="str">
        <f>IF(ORCAMENTOS!R327="","",ORCAMENTOS!R327)</f>
        <v>-</v>
      </c>
    </row>
    <row r="320" spans="1:12" ht="15.75" hidden="1" customHeight="1" x14ac:dyDescent="0.25">
      <c r="A320" s="36">
        <f>IF(ORCAMENTOS!A328="","",ORCAMENTOS!A328)</f>
        <v>45702</v>
      </c>
      <c r="B320" s="46">
        <f>IF(ORCAMENTOS!B328="","",ORCAMENTOS!B328)</f>
        <v>318</v>
      </c>
      <c r="C320" s="46" t="str">
        <f>IF(ORCAMENTOS!C328="","",ORCAMENTOS!C328)</f>
        <v/>
      </c>
      <c r="D320" s="37" t="str">
        <f>IF(ORCAMENTOS!D328="","",ORCAMENTOS!D328)</f>
        <v>AWA AR CONDICIONADO</v>
      </c>
      <c r="E320" s="38" t="str">
        <f>IF(ORCAMENTOS!E328="","",ORCAMENTOS!E328)</f>
        <v>PETZ - MOGI DAS CRUZES - SP</v>
      </c>
      <c r="F320" s="37" t="str">
        <f>IF(ORCAMENTOS!G328="","",ORCAMENTOS!G328)</f>
        <v>Guilherme</v>
      </c>
      <c r="G320" s="37" t="str">
        <f>IF(ORCAMENTOS!H328="","",ORCAMENTOS!H328)</f>
        <v>Paula</v>
      </c>
      <c r="H320" s="39">
        <f>IF(ORCAMENTOS!I328="","",ORCAMENTOS!I328)</f>
        <v>83742.73</v>
      </c>
      <c r="I320" s="60" t="str">
        <f>IF(ORCAMENTOS!J328="","",ORCAMENTOS!J328)</f>
        <v/>
      </c>
      <c r="J320" s="40" t="str">
        <f>IF(ORCAMENTOS!L328="","",ORCAMENTOS!L328)</f>
        <v>CANCELADO</v>
      </c>
      <c r="K320" s="34" t="str">
        <f>IF(ORCAMENTOS!M328="","",ORCAMENTOS!M328)</f>
        <v>CLIENTE PERDEU A OBRA</v>
      </c>
      <c r="L320" t="str">
        <f>IF(ORCAMENTOS!R328="","",ORCAMENTOS!R328)</f>
        <v>MPU</v>
      </c>
    </row>
    <row r="321" spans="1:12" ht="15.75" hidden="1" customHeight="1" x14ac:dyDescent="0.25">
      <c r="A321" s="36">
        <f>IF(ORCAMENTOS!A329="","",ORCAMENTOS!A329)</f>
        <v>45702</v>
      </c>
      <c r="B321" s="46">
        <f>IF(ORCAMENTOS!B329="","",ORCAMENTOS!B329)</f>
        <v>319</v>
      </c>
      <c r="C321" s="46" t="str">
        <f>IF(ORCAMENTOS!C329="","",ORCAMENTOS!C329)</f>
        <v/>
      </c>
      <c r="D321" s="37" t="str">
        <f>IF(ORCAMENTOS!D329="","",ORCAMENTOS!D329)</f>
        <v>AMS INSTALACOES</v>
      </c>
      <c r="E321" s="38" t="str">
        <f>IF(ORCAMENTOS!E329="","",ORCAMENTOS!E329)</f>
        <v>ATACADAO - BANGU SHOPPING</v>
      </c>
      <c r="F321" s="37" t="str">
        <f>IF(ORCAMENTOS!G329="","",ORCAMENTOS!G329)</f>
        <v>Gabriel</v>
      </c>
      <c r="G321" s="37" t="str">
        <f>IF(ORCAMENTOS!H329="","",ORCAMENTOS!H329)</f>
        <v>Albertino</v>
      </c>
      <c r="H321" s="39">
        <f>IF(ORCAMENTOS!I329="","",ORCAMENTOS!I329)</f>
        <v>2781.13</v>
      </c>
      <c r="I321" s="60" t="str">
        <f>IF(ORCAMENTOS!J329="","",ORCAMENTOS!J329)</f>
        <v/>
      </c>
      <c r="J321" s="40" t="str">
        <f>IF(ORCAMENTOS!L329="","",ORCAMENTOS!L329)</f>
        <v>CANCELADO</v>
      </c>
      <c r="K321" s="34" t="str">
        <f>IF(ORCAMENTOS!M329="","",ORCAMENTOS!M329)</f>
        <v>-</v>
      </c>
      <c r="L321" t="str">
        <f>IF(ORCAMENTOS!R329="","",ORCAMENTOS!R329)</f>
        <v>-</v>
      </c>
    </row>
    <row r="322" spans="1:12" ht="15.75" hidden="1" customHeight="1" x14ac:dyDescent="0.25">
      <c r="A322" s="36">
        <f>IF(ORCAMENTOS!A330="","",ORCAMENTOS!A330)</f>
        <v>45702</v>
      </c>
      <c r="B322" s="46">
        <f>IF(ORCAMENTOS!B330="","",ORCAMENTOS!B330)</f>
        <v>320</v>
      </c>
      <c r="C322" s="46" t="str">
        <f>IF(ORCAMENTOS!C330="","",ORCAMENTOS!C330)</f>
        <v/>
      </c>
      <c r="D322" s="37" t="str">
        <f>IF(ORCAMENTOS!D330="","",ORCAMENTOS!D330)</f>
        <v>THERMAL ENERGY</v>
      </c>
      <c r="E322" s="38" t="str">
        <f>IF(ORCAMENTOS!E330="","",ORCAMENTOS!E330)</f>
        <v>GESTARE</v>
      </c>
      <c r="F322" s="37" t="str">
        <f>IF(ORCAMENTOS!G330="","",ORCAMENTOS!G330)</f>
        <v xml:space="preserve">Aldavir </v>
      </c>
      <c r="G322" s="37" t="str">
        <f>IF(ORCAMENTOS!H330="","",ORCAMENTOS!H330)</f>
        <v>Anderson</v>
      </c>
      <c r="H322" s="39">
        <f>IF(ORCAMENTOS!I330="","",ORCAMENTOS!I330)</f>
        <v>39800</v>
      </c>
      <c r="I322" s="60" t="str">
        <f>IF(ORCAMENTOS!J330="","",ORCAMENTOS!J330)</f>
        <v/>
      </c>
      <c r="J322" s="40" t="str">
        <f>IF(ORCAMENTOS!L330="","",ORCAMENTOS!L330)</f>
        <v>PERDIDO</v>
      </c>
      <c r="K322" s="34" t="str">
        <f>IF(ORCAMENTOS!M330="","",ORCAMENTOS!M330)</f>
        <v xml:space="preserve">DECLINADO - INCÊNDIO </v>
      </c>
      <c r="L322" t="str">
        <f>IF(ORCAMENTOS!R330="","",ORCAMENTOS!R330)</f>
        <v>-</v>
      </c>
    </row>
    <row r="323" spans="1:12" ht="15.75" hidden="1" customHeight="1" x14ac:dyDescent="0.25">
      <c r="A323" s="36">
        <f>IF(ORCAMENTOS!A331="","",ORCAMENTOS!A331)</f>
        <v>45702</v>
      </c>
      <c r="B323" s="46">
        <f>IF(ORCAMENTOS!B331="","",ORCAMENTOS!B331)</f>
        <v>321</v>
      </c>
      <c r="C323" s="46" t="str">
        <f>IF(ORCAMENTOS!C331="","",ORCAMENTOS!C331)</f>
        <v/>
      </c>
      <c r="D323" s="37" t="str">
        <f>IF(ORCAMENTOS!D331="","",ORCAMENTOS!D331)</f>
        <v>AWA AR CONDICIONADO</v>
      </c>
      <c r="E323" s="38" t="str">
        <f>IF(ORCAMENTOS!E331="","",ORCAMENTOS!E331)</f>
        <v>RENNER SHOPPING MORUMBI - SÃO PAULO - SP</v>
      </c>
      <c r="F323" s="37" t="str">
        <f>IF(ORCAMENTOS!G331="","",ORCAMENTOS!G331)</f>
        <v>Guilherme</v>
      </c>
      <c r="G323" s="37" t="str">
        <f>IF(ORCAMENTOS!H331="","",ORCAMENTOS!H331)</f>
        <v>Gustavo</v>
      </c>
      <c r="H323" s="39">
        <f>IF(ORCAMENTOS!I331="","",ORCAMENTOS!I331)</f>
        <v>207853.58</v>
      </c>
      <c r="I323" s="60" t="str">
        <f>IF(ORCAMENTOS!J331="","",ORCAMENTOS!J331)</f>
        <v/>
      </c>
      <c r="J323" s="40" t="str">
        <f>IF(ORCAMENTOS!L331="","",ORCAMENTOS!L331)</f>
        <v>CANCELADO</v>
      </c>
      <c r="K323" s="34" t="str">
        <f>IF(ORCAMENTOS!M331="","",ORCAMENTOS!M331)</f>
        <v>PREV AGOSTO</v>
      </c>
      <c r="L323" t="str">
        <f>IF(ORCAMENTOS!R331="","",ORCAMENTOS!R331)</f>
        <v>MPU</v>
      </c>
    </row>
    <row r="324" spans="1:12" ht="15.75" hidden="1" customHeight="1" x14ac:dyDescent="0.25">
      <c r="A324" s="36">
        <f>IF(ORCAMENTOS!A332="","",ORCAMENTOS!A332)</f>
        <v>45705</v>
      </c>
      <c r="B324" s="46">
        <f>IF(ORCAMENTOS!B332="","",ORCAMENTOS!B332)</f>
        <v>322</v>
      </c>
      <c r="C324" s="46" t="str">
        <f>IF(ORCAMENTOS!C332="","",ORCAMENTOS!C332)</f>
        <v/>
      </c>
      <c r="D324" s="37" t="str">
        <f>IF(ORCAMENTOS!D332="","",ORCAMENTOS!D332)</f>
        <v>MONTAGEM VIEIRA</v>
      </c>
      <c r="E324" s="38" t="str">
        <f>IF(ORCAMENTOS!E332="","",ORCAMENTOS!E332)</f>
        <v>-</v>
      </c>
      <c r="F324" s="37" t="str">
        <f>IF(ORCAMENTOS!G332="","",ORCAMENTOS!G332)</f>
        <v>Fernando</v>
      </c>
      <c r="G324" s="37" t="str">
        <f>IF(ORCAMENTOS!H332="","",ORCAMENTOS!H332)</f>
        <v>Sergio</v>
      </c>
      <c r="H324" s="39">
        <f>IF(ORCAMENTOS!I332="","",ORCAMENTOS!I332)</f>
        <v>6848.9</v>
      </c>
      <c r="I324" s="60" t="str">
        <f>IF(ORCAMENTOS!J332="","",ORCAMENTOS!J332)</f>
        <v/>
      </c>
      <c r="J324" s="40" t="str">
        <f>IF(ORCAMENTOS!L332="","",ORCAMENTOS!L332)</f>
        <v>FECHADO</v>
      </c>
      <c r="K324" s="34" t="str">
        <f>IF(ORCAMENTOS!M332="","",ORCAMENTOS!M332)</f>
        <v>-</v>
      </c>
      <c r="L324" t="str">
        <f>IF(ORCAMENTOS!R332="","",ORCAMENTOS!R332)</f>
        <v>-</v>
      </c>
    </row>
    <row r="325" spans="1:12" ht="15.75" hidden="1" customHeight="1" x14ac:dyDescent="0.25">
      <c r="A325" s="36">
        <f>IF(ORCAMENTOS!A333="","",ORCAMENTOS!A333)</f>
        <v>45705</v>
      </c>
      <c r="B325" s="46">
        <f>IF(ORCAMENTOS!B333="","",ORCAMENTOS!B333)</f>
        <v>323</v>
      </c>
      <c r="C325" s="46" t="str">
        <f>IF(ORCAMENTOS!C333="","",ORCAMENTOS!C333)</f>
        <v/>
      </c>
      <c r="D325" s="37" t="str">
        <f>IF(ORCAMENTOS!D333="","",ORCAMENTOS!D333)</f>
        <v>AEROTHERMIC</v>
      </c>
      <c r="E325" s="38" t="str">
        <f>IF(ORCAMENTOS!E333="","",ORCAMENTOS!E333)</f>
        <v>NARANDIBA</v>
      </c>
      <c r="F325" s="37" t="str">
        <f>IF(ORCAMENTOS!G333="","",ORCAMENTOS!G333)</f>
        <v>Fernando</v>
      </c>
      <c r="G325" s="37" t="str">
        <f>IF(ORCAMENTOS!H333="","",ORCAMENTOS!H333)</f>
        <v>Claudio</v>
      </c>
      <c r="H325" s="39">
        <f>IF(ORCAMENTOS!I333="","",ORCAMENTOS!I333)</f>
        <v>13250.56</v>
      </c>
      <c r="I325" s="60" t="str">
        <f>IF(ORCAMENTOS!J333="","",ORCAMENTOS!J333)</f>
        <v/>
      </c>
      <c r="J325" s="40" t="str">
        <f>IF(ORCAMENTOS!L333="","",ORCAMENTOS!L333)</f>
        <v>FECHADO</v>
      </c>
      <c r="K325" s="34" t="str">
        <f>IF(ORCAMENTOS!M333="","",ORCAMENTOS!M333)</f>
        <v>-</v>
      </c>
      <c r="L325" t="str">
        <f>IF(ORCAMENTOS!R333="","",ORCAMENTOS!R333)</f>
        <v>-</v>
      </c>
    </row>
    <row r="326" spans="1:12" ht="15.75" hidden="1" customHeight="1" x14ac:dyDescent="0.25">
      <c r="A326" s="36">
        <f>IF(ORCAMENTOS!A334="","",ORCAMENTOS!A334)</f>
        <v>45705</v>
      </c>
      <c r="B326" s="46">
        <f>IF(ORCAMENTOS!B334="","",ORCAMENTOS!B334)</f>
        <v>324</v>
      </c>
      <c r="C326" s="46" t="str">
        <f>IF(ORCAMENTOS!C334="","",ORCAMENTOS!C334)</f>
        <v/>
      </c>
      <c r="D326" s="37" t="str">
        <f>IF(ORCAMENTOS!D334="","",ORCAMENTOS!D334)</f>
        <v>COLDTERMICA</v>
      </c>
      <c r="E326" s="38" t="str">
        <f>IF(ORCAMENTOS!E334="","",ORCAMENTOS!E334)</f>
        <v>Loja RNR 603 Singapura Shopping - CNO 90.022.60590/76</v>
      </c>
      <c r="F326" s="37" t="str">
        <f>IF(ORCAMENTOS!G334="","",ORCAMENTOS!G334)</f>
        <v>Gabriel</v>
      </c>
      <c r="G326" s="37" t="str">
        <f>IF(ORCAMENTOS!H334="","",ORCAMENTOS!H334)</f>
        <v>Denis</v>
      </c>
      <c r="H326" s="39">
        <f>IF(ORCAMENTOS!I334="","",ORCAMENTOS!I334)</f>
        <v>46000</v>
      </c>
      <c r="I326" s="60" t="str">
        <f>IF(ORCAMENTOS!J334="","",ORCAMENTOS!J334)</f>
        <v/>
      </c>
      <c r="J326" s="40" t="str">
        <f>IF(ORCAMENTOS!L334="","",ORCAMENTOS!L334)</f>
        <v>FECHADO</v>
      </c>
      <c r="K326" s="34" t="str">
        <f>IF(ORCAMENTOS!M334="","",ORCAMENTOS!M334)</f>
        <v>-</v>
      </c>
      <c r="L326" t="str">
        <f>IF(ORCAMENTOS!R334="","",ORCAMENTOS!R334)</f>
        <v>-</v>
      </c>
    </row>
    <row r="327" spans="1:12" ht="15.75" hidden="1" customHeight="1" x14ac:dyDescent="0.25">
      <c r="A327" s="36">
        <f>IF(ORCAMENTOS!A335="","",ORCAMENTOS!A335)</f>
        <v>45705</v>
      </c>
      <c r="B327" s="46">
        <f>IF(ORCAMENTOS!B335="","",ORCAMENTOS!B335)</f>
        <v>325</v>
      </c>
      <c r="C327" s="46" t="str">
        <f>IF(ORCAMENTOS!C335="","",ORCAMENTOS!C335)</f>
        <v/>
      </c>
      <c r="D327" s="37" t="str">
        <f>IF(ORCAMENTOS!D335="","",ORCAMENTOS!D335)</f>
        <v>SP1 ENGENHARIA</v>
      </c>
      <c r="E327" s="38" t="str">
        <f>IF(ORCAMENTOS!E335="","",ORCAMENTOS!E335)</f>
        <v>-</v>
      </c>
      <c r="F327" s="37" t="str">
        <f>IF(ORCAMENTOS!G335="","",ORCAMENTOS!G335)</f>
        <v>Gabriel</v>
      </c>
      <c r="G327" s="37" t="str">
        <f>IF(ORCAMENTOS!H335="","",ORCAMENTOS!H335)</f>
        <v>Silvio</v>
      </c>
      <c r="H327" s="39">
        <f>IF(ORCAMENTOS!I335="","",ORCAMENTOS!I335)</f>
        <v>777.41</v>
      </c>
      <c r="I327" s="60" t="str">
        <f>IF(ORCAMENTOS!J335="","",ORCAMENTOS!J335)</f>
        <v/>
      </c>
      <c r="J327" s="40" t="str">
        <f>IF(ORCAMENTOS!L335="","",ORCAMENTOS!L335)</f>
        <v>FECHADO</v>
      </c>
      <c r="K327" s="34" t="str">
        <f>IF(ORCAMENTOS!M335="","",ORCAMENTOS!M335)</f>
        <v>-</v>
      </c>
      <c r="L327" t="str">
        <f>IF(ORCAMENTOS!R335="","",ORCAMENTOS!R335)</f>
        <v>-</v>
      </c>
    </row>
    <row r="328" spans="1:12" ht="15.75" hidden="1" customHeight="1" x14ac:dyDescent="0.25">
      <c r="A328" s="36">
        <f>IF(ORCAMENTOS!A336="","",ORCAMENTOS!A336)</f>
        <v>45705</v>
      </c>
      <c r="B328" s="46">
        <f>IF(ORCAMENTOS!B336="","",ORCAMENTOS!B336)</f>
        <v>326</v>
      </c>
      <c r="C328" s="46" t="str">
        <f>IF(ORCAMENTOS!C336="","",ORCAMENTOS!C336)</f>
        <v/>
      </c>
      <c r="D328" s="37" t="str">
        <f>IF(ORCAMENTOS!D336="","",ORCAMENTOS!D336)</f>
        <v>SP1 ENGENHARIA</v>
      </c>
      <c r="E328" s="38" t="str">
        <f>IF(ORCAMENTOS!E336="","",ORCAMENTOS!E336)</f>
        <v>-</v>
      </c>
      <c r="F328" s="37" t="str">
        <f>IF(ORCAMENTOS!G336="","",ORCAMENTOS!G336)</f>
        <v>Gabriel</v>
      </c>
      <c r="G328" s="37" t="str">
        <f>IF(ORCAMENTOS!H336="","",ORCAMENTOS!H336)</f>
        <v>Silvio</v>
      </c>
      <c r="H328" s="39">
        <f>IF(ORCAMENTOS!I336="","",ORCAMENTOS!I336)</f>
        <v>61.45</v>
      </c>
      <c r="I328" s="60" t="str">
        <f>IF(ORCAMENTOS!J336="","",ORCAMENTOS!J336)</f>
        <v/>
      </c>
      <c r="J328" s="40" t="str">
        <f>IF(ORCAMENTOS!L336="","",ORCAMENTOS!L336)</f>
        <v>CANCELADO</v>
      </c>
      <c r="K328" s="34" t="str">
        <f>IF(ORCAMENTOS!M336="","",ORCAMENTOS!M336)</f>
        <v>-</v>
      </c>
      <c r="L328" t="str">
        <f>IF(ORCAMENTOS!R336="","",ORCAMENTOS!R336)</f>
        <v>-</v>
      </c>
    </row>
    <row r="329" spans="1:12" ht="15.75" hidden="1" customHeight="1" x14ac:dyDescent="0.25">
      <c r="A329" s="36">
        <f>IF(ORCAMENTOS!A337="","",ORCAMENTOS!A337)</f>
        <v>45705</v>
      </c>
      <c r="B329" s="46">
        <f>IF(ORCAMENTOS!B337="","",ORCAMENTOS!B337)</f>
        <v>327</v>
      </c>
      <c r="C329" s="46" t="str">
        <f>IF(ORCAMENTOS!C337="","",ORCAMENTOS!C337)</f>
        <v/>
      </c>
      <c r="D329" s="37" t="str">
        <f>IF(ORCAMENTOS!D337="","",ORCAMENTOS!D337)</f>
        <v>TEMA FRIO</v>
      </c>
      <c r="E329" s="38" t="str">
        <f>IF(ORCAMENTOS!E337="","",ORCAMENTOS!E337)</f>
        <v>ENGEMON COMERCIO E SERVICOS TECNICOS LTDA</v>
      </c>
      <c r="F329" s="37" t="str">
        <f>IF(ORCAMENTOS!G337="","",ORCAMENTOS!G337)</f>
        <v>Emanuel</v>
      </c>
      <c r="G329" s="37" t="str">
        <f>IF(ORCAMENTOS!H337="","",ORCAMENTOS!H337)</f>
        <v>Ricardo</v>
      </c>
      <c r="H329" s="39">
        <f>IF(ORCAMENTOS!I337="","",ORCAMENTOS!I337)</f>
        <v>117836.54</v>
      </c>
      <c r="I329" s="60" t="str">
        <f>IF(ORCAMENTOS!J337="","",ORCAMENTOS!J337)</f>
        <v/>
      </c>
      <c r="J329" s="40" t="str">
        <f>IF(ORCAMENTOS!L337="","",ORCAMENTOS!L337)</f>
        <v>CANCELADO</v>
      </c>
      <c r="K329" s="34" t="str">
        <f>IF(ORCAMENTOS!M337="","",ORCAMENTOS!M337)</f>
        <v>-</v>
      </c>
      <c r="L329" t="str">
        <f>IF(ORCAMENTOS!R337="","",ORCAMENTOS!R337)</f>
        <v>DUTOS TDC</v>
      </c>
    </row>
    <row r="330" spans="1:12" ht="15.75" hidden="1" customHeight="1" x14ac:dyDescent="0.25">
      <c r="A330" s="36">
        <f>IF(ORCAMENTOS!A338="","",ORCAMENTOS!A338)</f>
        <v>45705</v>
      </c>
      <c r="B330" s="46">
        <f>IF(ORCAMENTOS!B338="","",ORCAMENTOS!B338)</f>
        <v>328</v>
      </c>
      <c r="C330" s="46" t="str">
        <f>IF(ORCAMENTOS!C338="","",ORCAMENTOS!C338)</f>
        <v/>
      </c>
      <c r="D330" s="37" t="str">
        <f>IF(ORCAMENTOS!D338="","",ORCAMENTOS!D338)</f>
        <v>PALMATEC</v>
      </c>
      <c r="E330" s="38" t="str">
        <f>IF(ORCAMENTOS!E338="","",ORCAMENTOS!E338)</f>
        <v>-</v>
      </c>
      <c r="F330" s="37" t="str">
        <f>IF(ORCAMENTOS!G338="","",ORCAMENTOS!G338)</f>
        <v>Gabriel</v>
      </c>
      <c r="G330" s="37" t="str">
        <f>IF(ORCAMENTOS!H338="","",ORCAMENTOS!H338)</f>
        <v>Carlos</v>
      </c>
      <c r="H330" s="39">
        <f>IF(ORCAMENTOS!I338="","",ORCAMENTOS!I338)</f>
        <v>739.31</v>
      </c>
      <c r="I330" s="60" t="str">
        <f>IF(ORCAMENTOS!J338="","",ORCAMENTOS!J338)</f>
        <v/>
      </c>
      <c r="J330" s="40" t="str">
        <f>IF(ORCAMENTOS!L338="","",ORCAMENTOS!L338)</f>
        <v>FECHADO</v>
      </c>
      <c r="K330" s="34" t="str">
        <f>IF(ORCAMENTOS!M338="","",ORCAMENTOS!M338)</f>
        <v>-</v>
      </c>
      <c r="L330" t="str">
        <f>IF(ORCAMENTOS!R338="","",ORCAMENTOS!R338)</f>
        <v>-</v>
      </c>
    </row>
    <row r="331" spans="1:12" ht="15.75" hidden="1" customHeight="1" x14ac:dyDescent="0.25">
      <c r="A331" s="36">
        <f>IF(ORCAMENTOS!A339="","",ORCAMENTOS!A339)</f>
        <v>45705</v>
      </c>
      <c r="B331" s="46">
        <f>IF(ORCAMENTOS!B339="","",ORCAMENTOS!B339)</f>
        <v>329</v>
      </c>
      <c r="C331" s="46" t="str">
        <f>IF(ORCAMENTOS!C339="","",ORCAMENTOS!C339)</f>
        <v/>
      </c>
      <c r="D331" s="37" t="str">
        <f>IF(ORCAMENTOS!D339="","",ORCAMENTOS!D339)</f>
        <v>HEATING COOLING</v>
      </c>
      <c r="E331" s="38" t="str">
        <f>IF(ORCAMENTOS!E339="","",ORCAMENTOS!E339)</f>
        <v>-</v>
      </c>
      <c r="F331" s="37" t="str">
        <f>IF(ORCAMENTOS!G339="","",ORCAMENTOS!G339)</f>
        <v>Gabriel</v>
      </c>
      <c r="G331" s="37" t="str">
        <f>IF(ORCAMENTOS!H339="","",ORCAMENTOS!H339)</f>
        <v>Guilherme</v>
      </c>
      <c r="H331" s="39">
        <f>IF(ORCAMENTOS!I339="","",ORCAMENTOS!I339)</f>
        <v>1854.3</v>
      </c>
      <c r="I331" s="60" t="str">
        <f>IF(ORCAMENTOS!J339="","",ORCAMENTOS!J339)</f>
        <v/>
      </c>
      <c r="J331" s="40" t="str">
        <f>IF(ORCAMENTOS!L339="","",ORCAMENTOS!L339)</f>
        <v>CANCELADO</v>
      </c>
      <c r="K331" s="34" t="str">
        <f>IF(ORCAMENTOS!M339="","",ORCAMENTOS!M339)</f>
        <v>-</v>
      </c>
      <c r="L331" t="str">
        <f>IF(ORCAMENTOS!R339="","",ORCAMENTOS!R339)</f>
        <v>-</v>
      </c>
    </row>
    <row r="332" spans="1:12" ht="15.75" hidden="1" customHeight="1" x14ac:dyDescent="0.25">
      <c r="A332" s="36">
        <f>IF(ORCAMENTOS!A340="","",ORCAMENTOS!A340)</f>
        <v>45705</v>
      </c>
      <c r="B332" s="46">
        <f>IF(ORCAMENTOS!B340="","",ORCAMENTOS!B340)</f>
        <v>330</v>
      </c>
      <c r="C332" s="46" t="str">
        <f>IF(ORCAMENTOS!C340="","",ORCAMENTOS!C340)</f>
        <v/>
      </c>
      <c r="D332" s="37" t="str">
        <f>IF(ORCAMENTOS!D340="","",ORCAMENTOS!D340)</f>
        <v>REWELL OTAVIO</v>
      </c>
      <c r="E332" s="38" t="str">
        <f>IF(ORCAMENTOS!E340="","",ORCAMENTOS!E340)</f>
        <v>OBRA: RESIDENCIA UNIFALIMIAR - MARINA E ALESSANDRO</v>
      </c>
      <c r="F332" s="37" t="str">
        <f>IF(ORCAMENTOS!G340="","",ORCAMENTOS!G340)</f>
        <v>Gabriel</v>
      </c>
      <c r="G332" s="37" t="str">
        <f>IF(ORCAMENTOS!H340="","",ORCAMENTOS!H340)</f>
        <v>Rewell</v>
      </c>
      <c r="H332" s="39">
        <f>IF(ORCAMENTOS!I340="","",ORCAMENTOS!I340)</f>
        <v>8383.11</v>
      </c>
      <c r="I332" s="60" t="str">
        <f>IF(ORCAMENTOS!J340="","",ORCAMENTOS!J340)</f>
        <v/>
      </c>
      <c r="J332" s="40" t="str">
        <f>IF(ORCAMENTOS!L340="","",ORCAMENTOS!L340)</f>
        <v>CANCELADO</v>
      </c>
      <c r="K332" s="34" t="str">
        <f>IF(ORCAMENTOS!M340="","",ORCAMENTOS!M340)</f>
        <v>-</v>
      </c>
      <c r="L332" t="str">
        <f>IF(ORCAMENTOS!R340="","",ORCAMENTOS!R340)</f>
        <v>-</v>
      </c>
    </row>
    <row r="333" spans="1:12" ht="15.75" hidden="1" customHeight="1" x14ac:dyDescent="0.25">
      <c r="A333" s="36">
        <f>IF(ORCAMENTOS!A341="","",ORCAMENTOS!A341)</f>
        <v>45705</v>
      </c>
      <c r="B333" s="46">
        <f>IF(ORCAMENTOS!B341="","",ORCAMENTOS!B341)</f>
        <v>331</v>
      </c>
      <c r="C333" s="46" t="str">
        <f>IF(ORCAMENTOS!C341="","",ORCAMENTOS!C341)</f>
        <v/>
      </c>
      <c r="D333" s="37" t="str">
        <f>IF(ORCAMENTOS!D341="","",ORCAMENTOS!D341)</f>
        <v>PROINJECT</v>
      </c>
      <c r="E333" s="38" t="str">
        <f>IF(ORCAMENTOS!E341="","",ORCAMENTOS!E341)</f>
        <v>-</v>
      </c>
      <c r="F333" s="37" t="str">
        <f>IF(ORCAMENTOS!G341="","",ORCAMENTOS!G341)</f>
        <v>Gabriel</v>
      </c>
      <c r="G333" s="37" t="str">
        <f>IF(ORCAMENTOS!H341="","",ORCAMENTOS!H341)</f>
        <v>Gustavo</v>
      </c>
      <c r="H333" s="39">
        <f>IF(ORCAMENTOS!I341="","",ORCAMENTOS!I341)</f>
        <v>12423.8</v>
      </c>
      <c r="I333" s="60" t="str">
        <f>IF(ORCAMENTOS!J341="","",ORCAMENTOS!J341)</f>
        <v/>
      </c>
      <c r="J333" s="40" t="str">
        <f>IF(ORCAMENTOS!L341="","",ORCAMENTOS!L341)</f>
        <v>PERDIDO</v>
      </c>
      <c r="K333" s="34" t="str">
        <f>IF(ORCAMENTOS!M341="","",ORCAMENTOS!M341)</f>
        <v>PREÇO</v>
      </c>
      <c r="L333" t="str">
        <f>IF(ORCAMENTOS!R341="","",ORCAMENTOS!R341)</f>
        <v>-</v>
      </c>
    </row>
    <row r="334" spans="1:12" ht="15.75" hidden="1" customHeight="1" x14ac:dyDescent="0.25">
      <c r="A334" s="36">
        <f>IF(ORCAMENTOS!A342="","",ORCAMENTOS!A342)</f>
        <v>45706</v>
      </c>
      <c r="B334" s="46">
        <f>IF(ORCAMENTOS!B342="","",ORCAMENTOS!B342)</f>
        <v>332</v>
      </c>
      <c r="C334" s="46" t="str">
        <f>IF(ORCAMENTOS!C342="","",ORCAMENTOS!C342)</f>
        <v/>
      </c>
      <c r="D334" s="37" t="str">
        <f>IF(ORCAMENTOS!D342="","",ORCAMENTOS!D342)</f>
        <v>AR 2 SOLUCOES</v>
      </c>
      <c r="E334" s="38" t="str">
        <f>IF(ORCAMENTOS!E342="","",ORCAMENTOS!E342)</f>
        <v>HAPVIDA - MOGI DAS CRUZES</v>
      </c>
      <c r="F334" s="37" t="str">
        <f>IF(ORCAMENTOS!G342="","",ORCAMENTOS!G342)</f>
        <v>Gabriel</v>
      </c>
      <c r="G334" s="37" t="str">
        <f>IF(ORCAMENTOS!H342="","",ORCAMENTOS!H342)</f>
        <v>Roni</v>
      </c>
      <c r="H334" s="39">
        <f>IF(ORCAMENTOS!I342="","",ORCAMENTOS!I342)</f>
        <v>5283.13</v>
      </c>
      <c r="I334" s="60" t="str">
        <f>IF(ORCAMENTOS!J342="","",ORCAMENTOS!J342)</f>
        <v/>
      </c>
      <c r="J334" s="40" t="str">
        <f>IF(ORCAMENTOS!L342="","",ORCAMENTOS!L342)</f>
        <v>CANCELADO</v>
      </c>
      <c r="K334" s="34" t="str">
        <f>IF(ORCAMENTOS!M342="","",ORCAMENTOS!M342)</f>
        <v>-</v>
      </c>
      <c r="L334" t="str">
        <f>IF(ORCAMENTOS!R342="","",ORCAMENTOS!R342)</f>
        <v>-</v>
      </c>
    </row>
    <row r="335" spans="1:12" ht="15.75" hidden="1" customHeight="1" x14ac:dyDescent="0.25">
      <c r="A335" s="36">
        <f>IF(ORCAMENTOS!A343="","",ORCAMENTOS!A343)</f>
        <v>45705</v>
      </c>
      <c r="B335" s="46">
        <f>IF(ORCAMENTOS!B343="","",ORCAMENTOS!B343)</f>
        <v>333</v>
      </c>
      <c r="C335" s="46" t="str">
        <f>IF(ORCAMENTOS!C343="","",ORCAMENTOS!C343)</f>
        <v/>
      </c>
      <c r="D335" s="37" t="str">
        <f>IF(ORCAMENTOS!D343="","",ORCAMENTOS!D343)</f>
        <v>MIT ENGENHARIA</v>
      </c>
      <c r="E335" s="38" t="str">
        <f>IF(ORCAMENTOS!E343="","",ORCAMENTOS!E343)</f>
        <v>WHITE &amp; CASE - FARIA LIMA - SÃO PAULO - SP</v>
      </c>
      <c r="F335" s="37" t="str">
        <f>IF(ORCAMENTOS!G343="","",ORCAMENTOS!G343)</f>
        <v>Gabriel</v>
      </c>
      <c r="G335" s="37" t="str">
        <f>IF(ORCAMENTOS!H343="","",ORCAMENTOS!H343)</f>
        <v>Daniele</v>
      </c>
      <c r="H335" s="39">
        <f>IF(ORCAMENTOS!I343="","",ORCAMENTOS!I343)</f>
        <v>55991.98</v>
      </c>
      <c r="I335" s="60" t="str">
        <f>IF(ORCAMENTOS!J343="","",ORCAMENTOS!J343)</f>
        <v/>
      </c>
      <c r="J335" s="40" t="str">
        <f>IF(ORCAMENTOS!L343="","",ORCAMENTOS!L343)</f>
        <v>CANCELADO</v>
      </c>
      <c r="K335" s="34" t="str">
        <f>IF(ORCAMENTOS!M343="","",ORCAMENTOS!M343)</f>
        <v>-</v>
      </c>
      <c r="L335" t="str">
        <f>IF(ORCAMENTOS!R343="","",ORCAMENTOS!R343)</f>
        <v>MPU</v>
      </c>
    </row>
    <row r="336" spans="1:12" ht="15.75" hidden="1" customHeight="1" x14ac:dyDescent="0.25">
      <c r="A336" s="36">
        <f>IF(ORCAMENTOS!A344="","",ORCAMENTOS!A344)</f>
        <v>45705</v>
      </c>
      <c r="B336" s="46">
        <f>IF(ORCAMENTOS!B344="","",ORCAMENTOS!B344)</f>
        <v>334</v>
      </c>
      <c r="C336" s="46" t="str">
        <f>IF(ORCAMENTOS!C344="","",ORCAMENTOS!C344)</f>
        <v/>
      </c>
      <c r="D336" s="37" t="str">
        <f>IF(ORCAMENTOS!D344="","",ORCAMENTOS!D344)</f>
        <v>SOLAR AR</v>
      </c>
      <c r="E336" s="38" t="str">
        <f>IF(ORCAMENTOS!E344="","",ORCAMENTOS!E344)</f>
        <v>VIVO - SHOPPING IGUATEMI - CAMPINAS - SP</v>
      </c>
      <c r="F336" s="37" t="str">
        <f>IF(ORCAMENTOS!G344="","",ORCAMENTOS!G344)</f>
        <v>Michel</v>
      </c>
      <c r="G336" s="37" t="str">
        <f>IF(ORCAMENTOS!H344="","",ORCAMENTOS!H344)</f>
        <v>Welly</v>
      </c>
      <c r="H336" s="39">
        <f>IF(ORCAMENTOS!I344="","",ORCAMENTOS!I344)</f>
        <v>9814.51</v>
      </c>
      <c r="I336" s="60" t="str">
        <f>IF(ORCAMENTOS!J344="","",ORCAMENTOS!J344)</f>
        <v/>
      </c>
      <c r="J336" s="40" t="str">
        <f>IF(ORCAMENTOS!L344="","",ORCAMENTOS!L344)</f>
        <v>CANCELADO</v>
      </c>
      <c r="K336" s="34" t="str">
        <f>IF(ORCAMENTOS!M344="","",ORCAMENTOS!M344)</f>
        <v>-</v>
      </c>
      <c r="L336" t="str">
        <f>IF(ORCAMENTOS!R344="","",ORCAMENTOS!R344)</f>
        <v>-</v>
      </c>
    </row>
    <row r="337" spans="1:12" ht="15.75" hidden="1" customHeight="1" x14ac:dyDescent="0.25">
      <c r="A337" s="36">
        <f>IF(ORCAMENTOS!A345="","",ORCAMENTOS!A345)</f>
        <v>45705</v>
      </c>
      <c r="B337" s="46">
        <f>IF(ORCAMENTOS!B345="","",ORCAMENTOS!B345)</f>
        <v>335</v>
      </c>
      <c r="C337" s="46" t="str">
        <f>IF(ORCAMENTOS!C345="","",ORCAMENTOS!C345)</f>
        <v/>
      </c>
      <c r="D337" s="37" t="str">
        <f>IF(ORCAMENTOS!D345="","",ORCAMENTOS!D345)</f>
        <v>DUTOLEVE</v>
      </c>
      <c r="E337" s="38" t="str">
        <f>IF(ORCAMENTOS!E345="","",ORCAMENTOS!E345)</f>
        <v>Igreja Lagoinha de Alphaville</v>
      </c>
      <c r="F337" s="37" t="str">
        <f>IF(ORCAMENTOS!G345="","",ORCAMENTOS!G345)</f>
        <v>Gabriel</v>
      </c>
      <c r="G337" s="37" t="str">
        <f>IF(ORCAMENTOS!H345="","",ORCAMENTOS!H345)</f>
        <v>Denis</v>
      </c>
      <c r="H337" s="39">
        <f>IF(ORCAMENTOS!I345="","",ORCAMENTOS!I345)</f>
        <v>444492.06</v>
      </c>
      <c r="I337" s="60" t="str">
        <f>IF(ORCAMENTOS!J345="","",ORCAMENTOS!J345)</f>
        <v/>
      </c>
      <c r="J337" s="40" t="str">
        <f>IF(ORCAMENTOS!L345="","",ORCAMENTOS!L345)</f>
        <v>CANCELADO</v>
      </c>
      <c r="K337" s="34" t="str">
        <f>IF(ORCAMENTOS!M345="","",ORCAMENTOS!M345)</f>
        <v>-</v>
      </c>
      <c r="L337" t="str">
        <f>IF(ORCAMENTOS!R345="","",ORCAMENTOS!R345)</f>
        <v>-</v>
      </c>
    </row>
    <row r="338" spans="1:12" ht="15.75" hidden="1" customHeight="1" x14ac:dyDescent="0.25">
      <c r="A338" s="36">
        <f>IF(ORCAMENTOS!A346="","",ORCAMENTOS!A346)</f>
        <v>45705</v>
      </c>
      <c r="B338" s="46">
        <f>IF(ORCAMENTOS!B346="","",ORCAMENTOS!B346)</f>
        <v>336</v>
      </c>
      <c r="C338" s="46" t="str">
        <f>IF(ORCAMENTOS!C346="","",ORCAMENTOS!C346)</f>
        <v/>
      </c>
      <c r="D338" s="37" t="str">
        <f>IF(ORCAMENTOS!D346="","",ORCAMENTOS!D346)</f>
        <v>DUTOLEVE</v>
      </c>
      <c r="E338" s="38" t="str">
        <f>IF(ORCAMENTOS!E346="","",ORCAMENTOS!E346)</f>
        <v>MEDIX BRASIL - EMPREENDIMENTO COMERCIAL</v>
      </c>
      <c r="F338" s="37" t="str">
        <f>IF(ORCAMENTOS!G346="","",ORCAMENTOS!G346)</f>
        <v>Gabriel</v>
      </c>
      <c r="G338" s="37" t="str">
        <f>IF(ORCAMENTOS!H346="","",ORCAMENTOS!H346)</f>
        <v>Denis</v>
      </c>
      <c r="H338" s="39">
        <f>IF(ORCAMENTOS!I346="","",ORCAMENTOS!I346)</f>
        <v>323469.07</v>
      </c>
      <c r="I338" s="60" t="str">
        <f>IF(ORCAMENTOS!J346="","",ORCAMENTOS!J346)</f>
        <v/>
      </c>
      <c r="J338" s="40" t="str">
        <f>IF(ORCAMENTOS!L346="","",ORCAMENTOS!L346)</f>
        <v>CANCELADO</v>
      </c>
      <c r="K338" s="34" t="str">
        <f>IF(ORCAMENTOS!M346="","",ORCAMENTOS!M346)</f>
        <v>-</v>
      </c>
      <c r="L338" t="str">
        <f>IF(ORCAMENTOS!R346="","",ORCAMENTOS!R346)</f>
        <v>-</v>
      </c>
    </row>
    <row r="339" spans="1:12" ht="15.75" hidden="1" customHeight="1" x14ac:dyDescent="0.25">
      <c r="A339" s="36">
        <f>IF(ORCAMENTOS!A347="","",ORCAMENTOS!A347)</f>
        <v>45706</v>
      </c>
      <c r="B339" s="46">
        <f>IF(ORCAMENTOS!B347="","",ORCAMENTOS!B347)</f>
        <v>337</v>
      </c>
      <c r="C339" s="46" t="str">
        <f>IF(ORCAMENTOS!C347="","",ORCAMENTOS!C347)</f>
        <v/>
      </c>
      <c r="D339" s="37" t="str">
        <f>IF(ORCAMENTOS!D347="","",ORCAMENTOS!D347)</f>
        <v>FIDELISAR</v>
      </c>
      <c r="E339" s="38" t="str">
        <f>IF(ORCAMENTOS!E347="","",ORCAMENTOS!E347)</f>
        <v>-</v>
      </c>
      <c r="F339" s="37" t="str">
        <f>IF(ORCAMENTOS!G347="","",ORCAMENTOS!G347)</f>
        <v>Gabriel</v>
      </c>
      <c r="G339" s="37" t="str">
        <f>IF(ORCAMENTOS!H347="","",ORCAMENTOS!H347)</f>
        <v>Edson</v>
      </c>
      <c r="H339" s="39">
        <f>IF(ORCAMENTOS!I347="","",ORCAMENTOS!I347)</f>
        <v>3060.64</v>
      </c>
      <c r="I339" s="60" t="str">
        <f>IF(ORCAMENTOS!J347="","",ORCAMENTOS!J347)</f>
        <v/>
      </c>
      <c r="J339" s="40" t="str">
        <f>IF(ORCAMENTOS!L347="","",ORCAMENTOS!L347)</f>
        <v>FECHADO</v>
      </c>
      <c r="K339" s="34" t="str">
        <f>IF(ORCAMENTOS!M347="","",ORCAMENTOS!M347)</f>
        <v>-</v>
      </c>
      <c r="L339" t="str">
        <f>IF(ORCAMENTOS!R347="","",ORCAMENTOS!R347)</f>
        <v>-</v>
      </c>
    </row>
    <row r="340" spans="1:12" ht="15.75" hidden="1" customHeight="1" x14ac:dyDescent="0.25">
      <c r="A340" s="36">
        <f>IF(ORCAMENTOS!A348="","",ORCAMENTOS!A348)</f>
        <v>45706</v>
      </c>
      <c r="B340" s="46">
        <f>IF(ORCAMENTOS!B348="","",ORCAMENTOS!B348)</f>
        <v>338</v>
      </c>
      <c r="C340" s="46" t="str">
        <f>IF(ORCAMENTOS!C348="","",ORCAMENTOS!C348)</f>
        <v/>
      </c>
      <c r="D340" s="37" t="str">
        <f>IF(ORCAMENTOS!D348="","",ORCAMENTOS!D348)</f>
        <v>SO AR CLIMATIZACAO</v>
      </c>
      <c r="E340" s="38" t="str">
        <f>IF(ORCAMENTOS!E348="","",ORCAMENTOS!E348)</f>
        <v>-</v>
      </c>
      <c r="F340" s="37" t="str">
        <f>IF(ORCAMENTOS!G348="","",ORCAMENTOS!G348)</f>
        <v>Gabriel</v>
      </c>
      <c r="G340" s="37" t="str">
        <f>IF(ORCAMENTOS!H348="","",ORCAMENTOS!H348)</f>
        <v>Gabriel</v>
      </c>
      <c r="H340" s="39">
        <f>IF(ORCAMENTOS!I348="","",ORCAMENTOS!I348)</f>
        <v>2219.14</v>
      </c>
      <c r="I340" s="60" t="str">
        <f>IF(ORCAMENTOS!J348="","",ORCAMENTOS!J348)</f>
        <v/>
      </c>
      <c r="J340" s="40" t="str">
        <f>IF(ORCAMENTOS!L348="","",ORCAMENTOS!L348)</f>
        <v>PERDIDO</v>
      </c>
      <c r="K340" s="34" t="str">
        <f>IF(ORCAMENTOS!M348="","",ORCAMENTOS!M348)</f>
        <v xml:space="preserve">DECLINADO - INCÊNDIO </v>
      </c>
      <c r="L340" t="str">
        <f>IF(ORCAMENTOS!R348="","",ORCAMENTOS!R348)</f>
        <v>-</v>
      </c>
    </row>
    <row r="341" spans="1:12" ht="15.75" hidden="1" customHeight="1" x14ac:dyDescent="0.25">
      <c r="A341" s="36">
        <f>IF(ORCAMENTOS!A349="","",ORCAMENTOS!A349)</f>
        <v>45706</v>
      </c>
      <c r="B341" s="46">
        <f>IF(ORCAMENTOS!B349="","",ORCAMENTOS!B349)</f>
        <v>339</v>
      </c>
      <c r="C341" s="46" t="str">
        <f>IF(ORCAMENTOS!C349="","",ORCAMENTOS!C349)</f>
        <v/>
      </c>
      <c r="D341" s="37" t="str">
        <f>IF(ORCAMENTOS!D349="","",ORCAMENTOS!D349)</f>
        <v>THERMOMATIC</v>
      </c>
      <c r="E341" s="38" t="str">
        <f>IF(ORCAMENTOS!E349="","",ORCAMENTOS!E349)</f>
        <v>MEDIX BRASIL - EMPREENDIMENTO COMERCIAL</v>
      </c>
      <c r="F341" s="37" t="str">
        <f>IF(ORCAMENTOS!G349="","",ORCAMENTOS!G349)</f>
        <v>Gabriel</v>
      </c>
      <c r="G341" s="37" t="str">
        <f>IF(ORCAMENTOS!H349="","",ORCAMENTOS!H349)</f>
        <v>Michel</v>
      </c>
      <c r="H341" s="39">
        <f>IF(ORCAMENTOS!I349="","",ORCAMENTOS!I349)</f>
        <v>362164.75</v>
      </c>
      <c r="I341" s="60" t="str">
        <f>IF(ORCAMENTOS!J349="","",ORCAMENTOS!J349)</f>
        <v/>
      </c>
      <c r="J341" s="40" t="str">
        <f>IF(ORCAMENTOS!L349="","",ORCAMENTOS!L349)</f>
        <v>CANCELADO</v>
      </c>
      <c r="K341" s="34" t="str">
        <f>IF(ORCAMENTOS!M349="","",ORCAMENTOS!M349)</f>
        <v>-</v>
      </c>
      <c r="L341" t="str">
        <f>IF(ORCAMENTOS!R349="","",ORCAMENTOS!R349)</f>
        <v>-</v>
      </c>
    </row>
    <row r="342" spans="1:12" ht="15.75" hidden="1" customHeight="1" x14ac:dyDescent="0.25">
      <c r="A342" s="36">
        <f>IF(ORCAMENTOS!A350="","",ORCAMENTOS!A350)</f>
        <v>45706</v>
      </c>
      <c r="B342" s="46">
        <f>IF(ORCAMENTOS!B350="","",ORCAMENTOS!B350)</f>
        <v>340</v>
      </c>
      <c r="C342" s="46" t="str">
        <f>IF(ORCAMENTOS!C350="","",ORCAMENTOS!C350)</f>
        <v/>
      </c>
      <c r="D342" s="37" t="str">
        <f>IF(ORCAMENTOS!D350="","",ORCAMENTOS!D350)</f>
        <v>ENEBRAS</v>
      </c>
      <c r="E342" s="38" t="str">
        <f>IF(ORCAMENTOS!E350="","",ORCAMENTOS!E350)</f>
        <v>REDE DOR - HOSPITAL SERRA MAYOR - UTI 2º PAVIMENTO</v>
      </c>
      <c r="F342" s="37" t="str">
        <f>IF(ORCAMENTOS!G350="","",ORCAMENTOS!G350)</f>
        <v>Michel</v>
      </c>
      <c r="G342" s="37" t="str">
        <f>IF(ORCAMENTOS!H350="","",ORCAMENTOS!H350)</f>
        <v>Renata</v>
      </c>
      <c r="H342" s="39">
        <f>IF(ORCAMENTOS!I350="","",ORCAMENTOS!I350)</f>
        <v>81893.94</v>
      </c>
      <c r="I342" s="60" t="str">
        <f>IF(ORCAMENTOS!J350="","",ORCAMENTOS!J350)</f>
        <v/>
      </c>
      <c r="J342" s="40" t="str">
        <f>IF(ORCAMENTOS!L350="","",ORCAMENTOS!L350)</f>
        <v>CANCELADO</v>
      </c>
      <c r="K342" s="34" t="str">
        <f>IF(ORCAMENTOS!M350="","",ORCAMENTOS!M350)</f>
        <v>-</v>
      </c>
      <c r="L342" t="str">
        <f>IF(ORCAMENTOS!R350="","",ORCAMENTOS!R350)</f>
        <v>-</v>
      </c>
    </row>
    <row r="343" spans="1:12" ht="15.75" hidden="1" customHeight="1" x14ac:dyDescent="0.25">
      <c r="A343" s="36">
        <f>IF(ORCAMENTOS!A351="","",ORCAMENTOS!A351)</f>
        <v>45706</v>
      </c>
      <c r="B343" s="46">
        <f>IF(ORCAMENTOS!B351="","",ORCAMENTOS!B351)</f>
        <v>341</v>
      </c>
      <c r="C343" s="46" t="str">
        <f>IF(ORCAMENTOS!C351="","",ORCAMENTOS!C351)</f>
        <v/>
      </c>
      <c r="D343" s="37" t="str">
        <f>IF(ORCAMENTOS!D351="","",ORCAMENTOS!D351)</f>
        <v>ENEBRAS</v>
      </c>
      <c r="E343" s="38" t="str">
        <f>IF(ORCAMENTOS!E351="","",ORCAMENTOS!E351)</f>
        <v>REDE DOR - HOSPITAL SERRA MAYOR</v>
      </c>
      <c r="F343" s="37" t="str">
        <f>IF(ORCAMENTOS!G351="","",ORCAMENTOS!G351)</f>
        <v>Michel</v>
      </c>
      <c r="G343" s="37" t="str">
        <f>IF(ORCAMENTOS!H351="","",ORCAMENTOS!H351)</f>
        <v>Renata</v>
      </c>
      <c r="H343" s="39">
        <f>IF(ORCAMENTOS!I351="","",ORCAMENTOS!I351)</f>
        <v>81774.63</v>
      </c>
      <c r="I343" s="60" t="str">
        <f>IF(ORCAMENTOS!J351="","",ORCAMENTOS!J351)</f>
        <v/>
      </c>
      <c r="J343" s="40" t="str">
        <f>IF(ORCAMENTOS!L351="","",ORCAMENTOS!L351)</f>
        <v>CANCELADO</v>
      </c>
      <c r="K343" s="34" t="str">
        <f>IF(ORCAMENTOS!M351="","",ORCAMENTOS!M351)</f>
        <v>-</v>
      </c>
      <c r="L343" t="str">
        <f>IF(ORCAMENTOS!R351="","",ORCAMENTOS!R351)</f>
        <v>-</v>
      </c>
    </row>
    <row r="344" spans="1:12" ht="15.75" hidden="1" customHeight="1" x14ac:dyDescent="0.25">
      <c r="A344" s="36">
        <f>IF(ORCAMENTOS!A352="","",ORCAMENTOS!A352)</f>
        <v>45706</v>
      </c>
      <c r="B344" s="46">
        <f>IF(ORCAMENTOS!B352="","",ORCAMENTOS!B352)</f>
        <v>342</v>
      </c>
      <c r="C344" s="46" t="str">
        <f>IF(ORCAMENTOS!C352="","",ORCAMENTOS!C352)</f>
        <v/>
      </c>
      <c r="D344" s="37" t="str">
        <f>IF(ORCAMENTOS!D352="","",ORCAMENTOS!D352)</f>
        <v>AMS INSTALACOES</v>
      </c>
      <c r="E344" s="38" t="str">
        <f>IF(ORCAMENTOS!E352="","",ORCAMENTOS!E352)</f>
        <v>ATAKAREJO - NOSSA SENHORA DA GLORIA - SE</v>
      </c>
      <c r="F344" s="37" t="str">
        <f>IF(ORCAMENTOS!G352="","",ORCAMENTOS!G352)</f>
        <v>Gabriel</v>
      </c>
      <c r="G344" s="37" t="str">
        <f>IF(ORCAMENTOS!H352="","",ORCAMENTOS!H352)</f>
        <v>Renan</v>
      </c>
      <c r="H344" s="39">
        <f>IF(ORCAMENTOS!I352="","",ORCAMENTOS!I352)</f>
        <v>122585.65</v>
      </c>
      <c r="I344" s="60" t="str">
        <f>IF(ORCAMENTOS!J352="","",ORCAMENTOS!J352)</f>
        <v/>
      </c>
      <c r="J344" s="40" t="str">
        <f>IF(ORCAMENTOS!L352="","",ORCAMENTOS!L352)</f>
        <v>CANCELADO</v>
      </c>
      <c r="K344" s="34" t="str">
        <f>IF(ORCAMENTOS!M352="","",ORCAMENTOS!M352)</f>
        <v>-</v>
      </c>
      <c r="L344" t="str">
        <f>IF(ORCAMENTOS!R352="","",ORCAMENTOS!R352)</f>
        <v>N/E</v>
      </c>
    </row>
    <row r="345" spans="1:12" ht="15.75" hidden="1" customHeight="1" x14ac:dyDescent="0.25">
      <c r="A345" s="36">
        <f>IF(ORCAMENTOS!A353="","",ORCAMENTOS!A353)</f>
        <v>45706</v>
      </c>
      <c r="B345" s="46">
        <f>IF(ORCAMENTOS!B353="","",ORCAMENTOS!B353)</f>
        <v>343</v>
      </c>
      <c r="C345" s="46" t="str">
        <f>IF(ORCAMENTOS!C353="","",ORCAMENTOS!C353)</f>
        <v/>
      </c>
      <c r="D345" s="37" t="str">
        <f>IF(ORCAMENTOS!D353="","",ORCAMENTOS!D353)</f>
        <v>AMS INSTALACOES</v>
      </c>
      <c r="E345" s="38" t="str">
        <f>IF(ORCAMENTOS!E353="","",ORCAMENTOS!E353)</f>
        <v>ATAKAREJO - ITABAIANA - SE</v>
      </c>
      <c r="F345" s="37" t="str">
        <f>IF(ORCAMENTOS!G353="","",ORCAMENTOS!G353)</f>
        <v>Gabriel</v>
      </c>
      <c r="G345" s="37" t="str">
        <f>IF(ORCAMENTOS!H353="","",ORCAMENTOS!H353)</f>
        <v>Renan</v>
      </c>
      <c r="H345" s="39">
        <f>IF(ORCAMENTOS!I353="","",ORCAMENTOS!I353)</f>
        <v>134230.87</v>
      </c>
      <c r="I345" s="60" t="str">
        <f>IF(ORCAMENTOS!J353="","",ORCAMENTOS!J353)</f>
        <v/>
      </c>
      <c r="J345" s="40" t="str">
        <f>IF(ORCAMENTOS!L353="","",ORCAMENTOS!L353)</f>
        <v>CANCELADO</v>
      </c>
      <c r="K345" s="34" t="str">
        <f>IF(ORCAMENTOS!M353="","",ORCAMENTOS!M353)</f>
        <v>-</v>
      </c>
      <c r="L345" t="str">
        <f>IF(ORCAMENTOS!R353="","",ORCAMENTOS!R353)</f>
        <v>N/E</v>
      </c>
    </row>
    <row r="346" spans="1:12" ht="15.75" hidden="1" customHeight="1" x14ac:dyDescent="0.25">
      <c r="A346" s="36">
        <f>IF(ORCAMENTOS!A354="","",ORCAMENTOS!A354)</f>
        <v>45706</v>
      </c>
      <c r="B346" s="46">
        <f>IF(ORCAMENTOS!B354="","",ORCAMENTOS!B354)</f>
        <v>344</v>
      </c>
      <c r="C346" s="46" t="str">
        <f>IF(ORCAMENTOS!C354="","",ORCAMENTOS!C354)</f>
        <v/>
      </c>
      <c r="D346" s="37" t="str">
        <f>IF(ORCAMENTOS!D354="","",ORCAMENTOS!D354)</f>
        <v>AMS INSTALACOES</v>
      </c>
      <c r="E346" s="38" t="str">
        <f>IF(ORCAMENTOS!E354="","",ORCAMENTOS!E354)</f>
        <v>CENTRO MULTIUSO - ARENA SALVADOR - CMAS</v>
      </c>
      <c r="F346" s="37" t="str">
        <f>IF(ORCAMENTOS!G354="","",ORCAMENTOS!G354)</f>
        <v>Gabriel</v>
      </c>
      <c r="G346" s="37" t="str">
        <f>IF(ORCAMENTOS!H354="","",ORCAMENTOS!H354)</f>
        <v>Felipe</v>
      </c>
      <c r="H346" s="39">
        <f>IF(ORCAMENTOS!I354="","",ORCAMENTOS!I354)</f>
        <v>1173005.1200000001</v>
      </c>
      <c r="I346" s="60" t="str">
        <f>IF(ORCAMENTOS!J354="","",ORCAMENTOS!J354)</f>
        <v/>
      </c>
      <c r="J346" s="40" t="str">
        <f>IF(ORCAMENTOS!L354="","",ORCAMENTOS!L354)</f>
        <v>CANCELADO</v>
      </c>
      <c r="K346" s="34" t="str">
        <f>IF(ORCAMENTOS!M354="","",ORCAMENTOS!M354)</f>
        <v>-</v>
      </c>
      <c r="L346" t="str">
        <f>IF(ORCAMENTOS!R354="","",ORCAMENTOS!R354)</f>
        <v>N/E</v>
      </c>
    </row>
    <row r="347" spans="1:12" ht="15.75" hidden="1" customHeight="1" x14ac:dyDescent="0.25">
      <c r="A347" s="36">
        <f>IF(ORCAMENTOS!A355="","",ORCAMENTOS!A355)</f>
        <v>45706</v>
      </c>
      <c r="B347" s="46">
        <f>IF(ORCAMENTOS!B355="","",ORCAMENTOS!B355)</f>
        <v>345</v>
      </c>
      <c r="C347" s="46" t="str">
        <f>IF(ORCAMENTOS!C355="","",ORCAMENTOS!C355)</f>
        <v/>
      </c>
      <c r="D347" s="37" t="str">
        <f>IF(ORCAMENTOS!D355="","",ORCAMENTOS!D355)</f>
        <v>AIRPLAN</v>
      </c>
      <c r="E347" s="38" t="str">
        <f>IF(ORCAMENTOS!E355="","",ORCAMENTOS!E355)</f>
        <v>SHOPPING CENTER JK IGUATEMI - MISTRAL</v>
      </c>
      <c r="F347" s="37" t="str">
        <f>IF(ORCAMENTOS!G355="","",ORCAMENTOS!G355)</f>
        <v>Gabriel</v>
      </c>
      <c r="G347" s="37" t="str">
        <f>IF(ORCAMENTOS!H355="","",ORCAMENTOS!H355)</f>
        <v>Laercio</v>
      </c>
      <c r="H347" s="39">
        <f>IF(ORCAMENTOS!I355="","",ORCAMENTOS!I355)</f>
        <v>6125.34</v>
      </c>
      <c r="I347" s="60" t="str">
        <f>IF(ORCAMENTOS!J355="","",ORCAMENTOS!J355)</f>
        <v/>
      </c>
      <c r="J347" s="40" t="str">
        <f>IF(ORCAMENTOS!L355="","",ORCAMENTOS!L355)</f>
        <v>PERDIDO</v>
      </c>
      <c r="K347" s="34" t="str">
        <f>IF(ORCAMENTOS!M355="","",ORCAMENTOS!M355)</f>
        <v xml:space="preserve">DECLINADO - INCÊNDIO </v>
      </c>
      <c r="L347" t="str">
        <f>IF(ORCAMENTOS!R355="","",ORCAMENTOS!R355)</f>
        <v>MPU</v>
      </c>
    </row>
    <row r="348" spans="1:12" ht="15.75" hidden="1" customHeight="1" x14ac:dyDescent="0.25">
      <c r="A348" s="36">
        <f>IF(ORCAMENTOS!A356="","",ORCAMENTOS!A356)</f>
        <v>45706</v>
      </c>
      <c r="B348" s="46">
        <f>IF(ORCAMENTOS!B356="","",ORCAMENTOS!B356)</f>
        <v>346</v>
      </c>
      <c r="C348" s="46" t="str">
        <f>IF(ORCAMENTOS!C356="","",ORCAMENTOS!C356)</f>
        <v/>
      </c>
      <c r="D348" s="37" t="str">
        <f>IF(ORCAMENTOS!D356="","",ORCAMENTOS!D356)</f>
        <v>AIRPLAN</v>
      </c>
      <c r="E348" s="38" t="str">
        <f>IF(ORCAMENTOS!E356="","",ORCAMENTOS!E356)</f>
        <v>SHOPPING CENTER JK IGUATEMI - MISTRAL</v>
      </c>
      <c r="F348" s="37" t="str">
        <f>IF(ORCAMENTOS!G356="","",ORCAMENTOS!G356)</f>
        <v>Gabriel</v>
      </c>
      <c r="G348" s="37" t="str">
        <f>IF(ORCAMENTOS!H356="","",ORCAMENTOS!H356)</f>
        <v>Laercio</v>
      </c>
      <c r="H348" s="39">
        <f>IF(ORCAMENTOS!I356="","",ORCAMENTOS!I356)</f>
        <v>5309.5</v>
      </c>
      <c r="I348" s="60" t="str">
        <f>IF(ORCAMENTOS!J356="","",ORCAMENTOS!J356)</f>
        <v/>
      </c>
      <c r="J348" s="40" t="str">
        <f>IF(ORCAMENTOS!L356="","",ORCAMENTOS!L356)</f>
        <v>CANCELADO</v>
      </c>
      <c r="K348" s="34" t="str">
        <f>IF(ORCAMENTOS!M356="","",ORCAMENTOS!M356)</f>
        <v>-</v>
      </c>
      <c r="L348" t="str">
        <f>IF(ORCAMENTOS!R356="","",ORCAMENTOS!R356)</f>
        <v>MPU</v>
      </c>
    </row>
    <row r="349" spans="1:12" ht="15.75" hidden="1" customHeight="1" x14ac:dyDescent="0.25">
      <c r="A349" s="36">
        <f>IF(ORCAMENTOS!A357="","",ORCAMENTOS!A357)</f>
        <v>45707</v>
      </c>
      <c r="B349" s="46">
        <f>IF(ORCAMENTOS!B357="","",ORCAMENTOS!B357)</f>
        <v>347</v>
      </c>
      <c r="C349" s="46" t="str">
        <f>IF(ORCAMENTOS!C357="","",ORCAMENTOS!C357)</f>
        <v/>
      </c>
      <c r="D349" s="37" t="str">
        <f>IF(ORCAMENTOS!D357="","",ORCAMENTOS!D357)</f>
        <v>BOM CLIMA</v>
      </c>
      <c r="E349" s="38" t="str">
        <f>IF(ORCAMENTOS!E357="","",ORCAMENTOS!E357)</f>
        <v>-</v>
      </c>
      <c r="F349" s="37" t="str">
        <f>IF(ORCAMENTOS!G357="","",ORCAMENTOS!G357)</f>
        <v>Gabriel</v>
      </c>
      <c r="G349" s="37" t="str">
        <f>IF(ORCAMENTOS!H357="","",ORCAMENTOS!H357)</f>
        <v>Rogerio</v>
      </c>
      <c r="H349" s="39">
        <f>IF(ORCAMENTOS!I357="","",ORCAMENTOS!I357)</f>
        <v>3807.24</v>
      </c>
      <c r="I349" s="60" t="str">
        <f>IF(ORCAMENTOS!J357="","",ORCAMENTOS!J357)</f>
        <v/>
      </c>
      <c r="J349" s="40" t="str">
        <f>IF(ORCAMENTOS!L357="","",ORCAMENTOS!L357)</f>
        <v>FECHADO</v>
      </c>
      <c r="K349" s="34" t="str">
        <f>IF(ORCAMENTOS!M357="","",ORCAMENTOS!M357)</f>
        <v>-</v>
      </c>
      <c r="L349" t="str">
        <f>IF(ORCAMENTOS!R357="","",ORCAMENTOS!R357)</f>
        <v>-</v>
      </c>
    </row>
    <row r="350" spans="1:12" ht="15.75" hidden="1" customHeight="1" x14ac:dyDescent="0.25">
      <c r="A350" s="36">
        <f>IF(ORCAMENTOS!A358="","",ORCAMENTOS!A358)</f>
        <v>45707</v>
      </c>
      <c r="B350" s="46">
        <f>IF(ORCAMENTOS!B358="","",ORCAMENTOS!B358)</f>
        <v>348</v>
      </c>
      <c r="C350" s="46" t="str">
        <f>IF(ORCAMENTOS!C358="","",ORCAMENTOS!C358)</f>
        <v/>
      </c>
      <c r="D350" s="37" t="str">
        <f>IF(ORCAMENTOS!D358="","",ORCAMENTOS!D358)</f>
        <v>THERMOMATIC</v>
      </c>
      <c r="E350" s="38" t="str">
        <f>IF(ORCAMENTOS!E358="","",ORCAMENTOS!E358)</f>
        <v>Lavvi</v>
      </c>
      <c r="F350" s="37" t="str">
        <f>IF(ORCAMENTOS!G358="","",ORCAMENTOS!G358)</f>
        <v>Gabriel</v>
      </c>
      <c r="G350" s="37" t="str">
        <f>IF(ORCAMENTOS!H358="","",ORCAMENTOS!H358)</f>
        <v>Calil</v>
      </c>
      <c r="H350" s="39">
        <f>IF(ORCAMENTOS!I358="","",ORCAMENTOS!I358)</f>
        <v>839.2</v>
      </c>
      <c r="I350" s="60" t="str">
        <f>IF(ORCAMENTOS!J358="","",ORCAMENTOS!J358)</f>
        <v/>
      </c>
      <c r="J350" s="40" t="str">
        <f>IF(ORCAMENTOS!L358="","",ORCAMENTOS!L358)</f>
        <v>PERDIDO</v>
      </c>
      <c r="K350" s="34" t="str">
        <f>IF(ORCAMENTOS!M358="","",ORCAMENTOS!M358)</f>
        <v xml:space="preserve">DECLINADO - INCÊNDIO </v>
      </c>
      <c r="L350" t="str">
        <f>IF(ORCAMENTOS!R358="","",ORCAMENTOS!R358)</f>
        <v>-</v>
      </c>
    </row>
    <row r="351" spans="1:12" ht="15.75" hidden="1" customHeight="1" x14ac:dyDescent="0.25">
      <c r="A351" s="36">
        <f>IF(ORCAMENTOS!A359="","",ORCAMENTOS!A359)</f>
        <v>45708</v>
      </c>
      <c r="B351" s="46">
        <f>IF(ORCAMENTOS!B359="","",ORCAMENTOS!B359)</f>
        <v>349</v>
      </c>
      <c r="C351" s="46" t="str">
        <f>IF(ORCAMENTOS!C359="","",ORCAMENTOS!C359)</f>
        <v/>
      </c>
      <c r="D351" s="37" t="str">
        <f>IF(ORCAMENTOS!D359="","",ORCAMENTOS!D359)</f>
        <v>NOSSO AR</v>
      </c>
      <c r="E351" s="38" t="str">
        <f>IF(ORCAMENTOS!E359="","",ORCAMENTOS!E359)</f>
        <v>SACOLAO E MERCADO - SÃO CAETANO DO SUL - SP</v>
      </c>
      <c r="F351" s="37" t="str">
        <f>IF(ORCAMENTOS!G359="","",ORCAMENTOS!G359)</f>
        <v>Gabriel</v>
      </c>
      <c r="G351" s="37" t="str">
        <f>IF(ORCAMENTOS!H359="","",ORCAMENTOS!H359)</f>
        <v>Paulo</v>
      </c>
      <c r="H351" s="39">
        <f>IF(ORCAMENTOS!I359="","",ORCAMENTOS!I359)</f>
        <v>37983.660000000003</v>
      </c>
      <c r="I351" s="60" t="str">
        <f>IF(ORCAMENTOS!J359="","",ORCAMENTOS!J359)</f>
        <v/>
      </c>
      <c r="J351" s="40" t="str">
        <f>IF(ORCAMENTOS!L359="","",ORCAMENTOS!L359)</f>
        <v>CANCELADO</v>
      </c>
      <c r="K351" s="34" t="str">
        <f>IF(ORCAMENTOS!M359="","",ORCAMENTOS!M359)</f>
        <v>PROPOSTA ENVIADA AO CLIENTE, NO AGUARDO DO RETORNO DELES PARA O PEDIDO</v>
      </c>
      <c r="L351" t="str">
        <f>IF(ORCAMENTOS!R359="","",ORCAMENTOS!R359)</f>
        <v>-</v>
      </c>
    </row>
    <row r="352" spans="1:12" ht="15.75" hidden="1" customHeight="1" x14ac:dyDescent="0.25">
      <c r="A352" s="36">
        <f>IF(ORCAMENTOS!A360="","",ORCAMENTOS!A360)</f>
        <v>45708</v>
      </c>
      <c r="B352" s="46">
        <f>IF(ORCAMENTOS!B360="","",ORCAMENTOS!B360)</f>
        <v>350</v>
      </c>
      <c r="C352" s="46" t="str">
        <f>IF(ORCAMENTOS!C360="","",ORCAMENTOS!C360)</f>
        <v/>
      </c>
      <c r="D352" s="37" t="str">
        <f>IF(ORCAMENTOS!D360="","",ORCAMENTOS!D360)</f>
        <v>FAZENG</v>
      </c>
      <c r="E352" s="38" t="str">
        <f>IF(ORCAMENTOS!E360="","",ORCAMENTOS!E360)</f>
        <v>ESPACO LASER - GAVEA</v>
      </c>
      <c r="F352" s="37" t="str">
        <f>IF(ORCAMENTOS!G360="","",ORCAMENTOS!G360)</f>
        <v>Gabriel</v>
      </c>
      <c r="G352" s="37" t="str">
        <f>IF(ORCAMENTOS!H360="","",ORCAMENTOS!H360)</f>
        <v>Joao</v>
      </c>
      <c r="H352" s="39">
        <f>IF(ORCAMENTOS!I360="","",ORCAMENTOS!I360)</f>
        <v>4248.1499999999996</v>
      </c>
      <c r="I352" s="60" t="str">
        <f>IF(ORCAMENTOS!J360="","",ORCAMENTOS!J360)</f>
        <v/>
      </c>
      <c r="J352" s="40" t="str">
        <f>IF(ORCAMENTOS!L360="","",ORCAMENTOS!L360)</f>
        <v>CANCELADO</v>
      </c>
      <c r="K352" s="34" t="str">
        <f>IF(ORCAMENTOS!M360="","",ORCAMENTOS!M360)</f>
        <v>AGUARDANDO LIBERACAO</v>
      </c>
      <c r="L352" t="str">
        <f>IF(ORCAMENTOS!R360="","",ORCAMENTOS!R360)</f>
        <v>-</v>
      </c>
    </row>
    <row r="353" spans="1:12" ht="15.75" hidden="1" customHeight="1" x14ac:dyDescent="0.25">
      <c r="A353" s="36">
        <f>IF(ORCAMENTOS!A361="","",ORCAMENTOS!A361)</f>
        <v>45712</v>
      </c>
      <c r="B353" s="46">
        <f>IF(ORCAMENTOS!B361="","",ORCAMENTOS!B361)</f>
        <v>351</v>
      </c>
      <c r="C353" s="46" t="str">
        <f>IF(ORCAMENTOS!C361="","",ORCAMENTOS!C361)</f>
        <v/>
      </c>
      <c r="D353" s="37" t="str">
        <f>IF(ORCAMENTOS!D361="","",ORCAMENTOS!D361)</f>
        <v>IVTEC</v>
      </c>
      <c r="E353" s="38" t="str">
        <f>IF(ORCAMENTOS!E361="","",ORCAMENTOS!E361)</f>
        <v>LICCF2224147</v>
      </c>
      <c r="F353" s="37" t="str">
        <f>IF(ORCAMENTOS!G361="","",ORCAMENTOS!G361)</f>
        <v>Gabriel</v>
      </c>
      <c r="G353" s="37" t="str">
        <f>IF(ORCAMENTOS!H361="","",ORCAMENTOS!H361)</f>
        <v>Carlos</v>
      </c>
      <c r="H353" s="39">
        <f>IF(ORCAMENTOS!I361="","",ORCAMENTOS!I361)</f>
        <v>18016.93</v>
      </c>
      <c r="I353" s="60" t="str">
        <f>IF(ORCAMENTOS!J361="","",ORCAMENTOS!J361)</f>
        <v/>
      </c>
      <c r="J353" s="40" t="str">
        <f>IF(ORCAMENTOS!L361="","",ORCAMENTOS!L361)</f>
        <v>CANCELADO</v>
      </c>
      <c r="K353" s="34" t="str">
        <f>IF(ORCAMENTOS!M361="","",ORCAMENTOS!M361)</f>
        <v>-</v>
      </c>
      <c r="L353" t="str">
        <f>IF(ORCAMENTOS!R361="","",ORCAMENTOS!R361)</f>
        <v>-</v>
      </c>
    </row>
    <row r="354" spans="1:12" ht="15.75" hidden="1" customHeight="1" x14ac:dyDescent="0.25">
      <c r="A354" s="36">
        <f>IF(ORCAMENTOS!A362="","",ORCAMENTOS!A362)</f>
        <v>45712</v>
      </c>
      <c r="B354" s="46">
        <f>IF(ORCAMENTOS!B362="","",ORCAMENTOS!B362)</f>
        <v>352</v>
      </c>
      <c r="C354" s="46" t="str">
        <f>IF(ORCAMENTOS!C362="","",ORCAMENTOS!C362)</f>
        <v/>
      </c>
      <c r="D354" s="37" t="str">
        <f>IF(ORCAMENTOS!D362="","",ORCAMENTOS!D362)</f>
        <v>IVTEC</v>
      </c>
      <c r="E354" s="38" t="str">
        <f>IF(ORCAMENTOS!E362="","",ORCAMENTOS!E362)</f>
        <v>LICDDG224207</v>
      </c>
      <c r="F354" s="37" t="str">
        <f>IF(ORCAMENTOS!G362="","",ORCAMENTOS!G362)</f>
        <v>Gabriel</v>
      </c>
      <c r="G354" s="37" t="str">
        <f>IF(ORCAMENTOS!H362="","",ORCAMENTOS!H362)</f>
        <v>Carlos</v>
      </c>
      <c r="H354" s="39">
        <f>IF(ORCAMENTOS!I362="","",ORCAMENTOS!I362)</f>
        <v>16167.85</v>
      </c>
      <c r="I354" s="60" t="str">
        <f>IF(ORCAMENTOS!J362="","",ORCAMENTOS!J362)</f>
        <v/>
      </c>
      <c r="J354" s="40" t="str">
        <f>IF(ORCAMENTOS!L362="","",ORCAMENTOS!L362)</f>
        <v>CANCELADO</v>
      </c>
      <c r="K354" s="34" t="str">
        <f>IF(ORCAMENTOS!M362="","",ORCAMENTOS!M362)</f>
        <v>-</v>
      </c>
      <c r="L354" t="str">
        <f>IF(ORCAMENTOS!R362="","",ORCAMENTOS!R362)</f>
        <v>-</v>
      </c>
    </row>
    <row r="355" spans="1:12" ht="15.75" hidden="1" customHeight="1" x14ac:dyDescent="0.25">
      <c r="A355" s="36">
        <f>IF(ORCAMENTOS!A363="","",ORCAMENTOS!A363)</f>
        <v>45708</v>
      </c>
      <c r="B355" s="46">
        <f>IF(ORCAMENTOS!B363="","",ORCAMENTOS!B363)</f>
        <v>353</v>
      </c>
      <c r="C355" s="46" t="str">
        <f>IF(ORCAMENTOS!C363="","",ORCAMENTOS!C363)</f>
        <v/>
      </c>
      <c r="D355" s="37" t="str">
        <f>IF(ORCAMENTOS!D363="","",ORCAMENTOS!D363)</f>
        <v>COLDTERMICA</v>
      </c>
      <c r="E355" s="38" t="str">
        <f>IF(ORCAMENTOS!E363="","",ORCAMENTOS!E363)</f>
        <v>RENNER FLAMBOYANT GO</v>
      </c>
      <c r="F355" s="37" t="str">
        <f>IF(ORCAMENTOS!G363="","",ORCAMENTOS!G363)</f>
        <v>Gabriel</v>
      </c>
      <c r="G355" s="37" t="str">
        <f>IF(ORCAMENTOS!H363="","",ORCAMENTOS!H363)</f>
        <v>Denis</v>
      </c>
      <c r="H355" s="39">
        <f>IF(ORCAMENTOS!I363="","",ORCAMENTOS!I363)</f>
        <v>8487.35</v>
      </c>
      <c r="I355" s="60" t="str">
        <f>IF(ORCAMENTOS!J363="","",ORCAMENTOS!J363)</f>
        <v/>
      </c>
      <c r="J355" s="40" t="str">
        <f>IF(ORCAMENTOS!L363="","",ORCAMENTOS!L363)</f>
        <v>CANCELADO</v>
      </c>
      <c r="K355" s="34" t="str">
        <f>IF(ORCAMENTOS!M363="","",ORCAMENTOS!M363)</f>
        <v>-</v>
      </c>
      <c r="L355" t="str">
        <f>IF(ORCAMENTOS!R363="","",ORCAMENTOS!R363)</f>
        <v>-</v>
      </c>
    </row>
    <row r="356" spans="1:12" ht="15.75" hidden="1" customHeight="1" x14ac:dyDescent="0.25">
      <c r="A356" s="36">
        <f>IF(ORCAMENTOS!A364="","",ORCAMENTOS!A364)</f>
        <v>45708</v>
      </c>
      <c r="B356" s="46">
        <f>IF(ORCAMENTOS!B364="","",ORCAMENTOS!B364)</f>
        <v>354</v>
      </c>
      <c r="C356" s="46" t="str">
        <f>IF(ORCAMENTOS!C364="","",ORCAMENTOS!C364)</f>
        <v/>
      </c>
      <c r="D356" s="37" t="str">
        <f>IF(ORCAMENTOS!D364="","",ORCAMENTOS!D364)</f>
        <v>CLIMAPRESS</v>
      </c>
      <c r="E356" s="38" t="str">
        <f>IF(ORCAMENTOS!E364="","",ORCAMENTOS!E364)</f>
        <v>WPP</v>
      </c>
      <c r="F356" s="37" t="str">
        <f>IF(ORCAMENTOS!G364="","",ORCAMENTOS!G364)</f>
        <v>Emanuel</v>
      </c>
      <c r="G356" s="37" t="str">
        <f>IF(ORCAMENTOS!H364="","",ORCAMENTOS!H364)</f>
        <v>Murilo</v>
      </c>
      <c r="H356" s="39">
        <f>IF(ORCAMENTOS!I364="","",ORCAMENTOS!I364)</f>
        <v>205362.62</v>
      </c>
      <c r="I356" s="60" t="str">
        <f>IF(ORCAMENTOS!J364="","",ORCAMENTOS!J364)</f>
        <v/>
      </c>
      <c r="J356" s="40" t="str">
        <f>IF(ORCAMENTOS!L364="","",ORCAMENTOS!L364)</f>
        <v>CANCELADO</v>
      </c>
      <c r="K356" s="34" t="str">
        <f>IF(ORCAMENTOS!M364="","",ORCAMENTOS!M364)</f>
        <v>-</v>
      </c>
      <c r="L356" t="str">
        <f>IF(ORCAMENTOS!R364="","",ORCAMENTOS!R364)</f>
        <v>-</v>
      </c>
    </row>
    <row r="357" spans="1:12" ht="15.75" hidden="1" customHeight="1" x14ac:dyDescent="0.25">
      <c r="A357" s="36">
        <f>IF(ORCAMENTOS!A365="","",ORCAMENTOS!A365)</f>
        <v>45708</v>
      </c>
      <c r="B357" s="46">
        <f>IF(ORCAMENTOS!B365="","",ORCAMENTOS!B365)</f>
        <v>355</v>
      </c>
      <c r="C357" s="46" t="str">
        <f>IF(ORCAMENTOS!C365="","",ORCAMENTOS!C365)</f>
        <v/>
      </c>
      <c r="D357" s="37" t="str">
        <f>IF(ORCAMENTOS!D365="","",ORCAMENTOS!D365)</f>
        <v>MJ CLIMATIZACAO</v>
      </c>
      <c r="E357" s="38" t="str">
        <f>IF(ORCAMENTOS!E365="","",ORCAMENTOS!E365)</f>
        <v>MERCADO EXTRA - PERUIBE PORTAL - SP</v>
      </c>
      <c r="F357" s="37" t="str">
        <f>IF(ORCAMENTOS!G365="","",ORCAMENTOS!G365)</f>
        <v>Emanuel</v>
      </c>
      <c r="G357" s="37" t="str">
        <f>IF(ORCAMENTOS!H365="","",ORCAMENTOS!H365)</f>
        <v>Escobar</v>
      </c>
      <c r="H357" s="39">
        <f>IF(ORCAMENTOS!I365="","",ORCAMENTOS!I365)</f>
        <v>93133.28</v>
      </c>
      <c r="I357" s="60" t="str">
        <f>IF(ORCAMENTOS!J365="","",ORCAMENTOS!J365)</f>
        <v/>
      </c>
      <c r="J357" s="40" t="str">
        <f>IF(ORCAMENTOS!L365="","",ORCAMENTOS!L365)</f>
        <v>CANCELADO</v>
      </c>
      <c r="K357" s="34" t="str">
        <f>IF(ORCAMENTOS!M365="","",ORCAMENTOS!M365)</f>
        <v>-</v>
      </c>
      <c r="L357" t="str">
        <f>IF(ORCAMENTOS!R365="","",ORCAMENTOS!R365)</f>
        <v>-</v>
      </c>
    </row>
    <row r="358" spans="1:12" ht="15.75" hidden="1" customHeight="1" x14ac:dyDescent="0.25">
      <c r="A358" s="36">
        <f>IF(ORCAMENTOS!A366="","",ORCAMENTOS!A366)</f>
        <v>45708</v>
      </c>
      <c r="B358" s="46">
        <f>IF(ORCAMENTOS!B366="","",ORCAMENTOS!B366)</f>
        <v>356</v>
      </c>
      <c r="C358" s="46" t="str">
        <f>IF(ORCAMENTOS!C366="","",ORCAMENTOS!C366)</f>
        <v/>
      </c>
      <c r="D358" s="37" t="str">
        <f>IF(ORCAMENTOS!D366="","",ORCAMENTOS!D366)</f>
        <v>FAZENG</v>
      </c>
      <c r="E358" s="38" t="str">
        <f>IF(ORCAMENTOS!E366="","",ORCAMENTOS!E366)</f>
        <v>ESPACO LASER - MAUA</v>
      </c>
      <c r="F358" s="37" t="str">
        <f>IF(ORCAMENTOS!G366="","",ORCAMENTOS!G366)</f>
        <v>Gabriel</v>
      </c>
      <c r="G358" s="37" t="str">
        <f>IF(ORCAMENTOS!H366="","",ORCAMENTOS!H366)</f>
        <v>Joao</v>
      </c>
      <c r="H358" s="39">
        <f>IF(ORCAMENTOS!I366="","",ORCAMENTOS!I366)</f>
        <v>4248.1499999999996</v>
      </c>
      <c r="I358" s="60" t="str">
        <f>IF(ORCAMENTOS!J366="","",ORCAMENTOS!J366)</f>
        <v/>
      </c>
      <c r="J358" s="40" t="str">
        <f>IF(ORCAMENTOS!L366="","",ORCAMENTOS!L366)</f>
        <v>CANCELADO</v>
      </c>
      <c r="K358" s="34" t="str">
        <f>IF(ORCAMENTOS!M366="","",ORCAMENTOS!M366)</f>
        <v>AGUARDANDO LIBERACAO</v>
      </c>
      <c r="L358" t="str">
        <f>IF(ORCAMENTOS!R366="","",ORCAMENTOS!R366)</f>
        <v>-</v>
      </c>
    </row>
    <row r="359" spans="1:12" ht="15.75" hidden="1" customHeight="1" x14ac:dyDescent="0.25">
      <c r="A359" s="36">
        <f>IF(ORCAMENTOS!A367="","",ORCAMENTOS!A367)</f>
        <v>45708</v>
      </c>
      <c r="B359" s="46">
        <f>IF(ORCAMENTOS!B367="","",ORCAMENTOS!B367)</f>
        <v>357</v>
      </c>
      <c r="C359" s="46" t="str">
        <f>IF(ORCAMENTOS!C367="","",ORCAMENTOS!C367)</f>
        <v/>
      </c>
      <c r="D359" s="37" t="str">
        <f>IF(ORCAMENTOS!D367="","",ORCAMENTOS!D367)</f>
        <v>CLIMAPRESS</v>
      </c>
      <c r="E359" s="38" t="str">
        <f>IF(ORCAMENTOS!E367="","",ORCAMENTOS!E367)</f>
        <v>HOSPITAL SABARA</v>
      </c>
      <c r="F359" s="37" t="str">
        <f>IF(ORCAMENTOS!G367="","",ORCAMENTOS!G367)</f>
        <v>Emanuel</v>
      </c>
      <c r="G359" s="37" t="str">
        <f>IF(ORCAMENTOS!H367="","",ORCAMENTOS!H367)</f>
        <v>Murilo</v>
      </c>
      <c r="H359" s="39">
        <f>IF(ORCAMENTOS!I367="","",ORCAMENTOS!I367)</f>
        <v>2330924.06</v>
      </c>
      <c r="I359" s="60" t="str">
        <f>IF(ORCAMENTOS!J367="","",ORCAMENTOS!J367)</f>
        <v/>
      </c>
      <c r="J359" s="40" t="str">
        <f>IF(ORCAMENTOS!L367="","",ORCAMENTOS!L367)</f>
        <v>CANCELADO</v>
      </c>
      <c r="K359" s="34" t="str">
        <f>IF(ORCAMENTOS!M367="","",ORCAMENTOS!M367)</f>
        <v>-</v>
      </c>
      <c r="L359" t="str">
        <f>IF(ORCAMENTOS!R367="","",ORCAMENTOS!R367)</f>
        <v>-</v>
      </c>
    </row>
    <row r="360" spans="1:12" ht="15.75" hidden="1" customHeight="1" x14ac:dyDescent="0.25">
      <c r="A360" s="36">
        <f>IF(ORCAMENTOS!A368="","",ORCAMENTOS!A368)</f>
        <v>45708</v>
      </c>
      <c r="B360" s="46">
        <f>IF(ORCAMENTOS!B368="","",ORCAMENTOS!B368)</f>
        <v>358</v>
      </c>
      <c r="C360" s="46" t="str">
        <f>IF(ORCAMENTOS!C368="","",ORCAMENTOS!C368)</f>
        <v/>
      </c>
      <c r="D360" s="37" t="str">
        <f>IF(ORCAMENTOS!D368="","",ORCAMENTOS!D368)</f>
        <v>AIR SUPPLY</v>
      </c>
      <c r="E360" s="38" t="str">
        <f>IF(ORCAMENTOS!E368="","",ORCAMENTOS!E368)</f>
        <v>ASSAI - ADELIA FRANCO - ARACAJU - SE</v>
      </c>
      <c r="F360" s="37" t="str">
        <f>IF(ORCAMENTOS!G368="","",ORCAMENTOS!G368)</f>
        <v>Gabriel</v>
      </c>
      <c r="G360" s="37" t="str">
        <f>IF(ORCAMENTOS!H368="","",ORCAMENTOS!H368)</f>
        <v>Pedro</v>
      </c>
      <c r="H360" s="39">
        <f>IF(ORCAMENTOS!I368="","",ORCAMENTOS!I368)</f>
        <v>16770.02</v>
      </c>
      <c r="I360" s="60" t="str">
        <f>IF(ORCAMENTOS!J368="","",ORCAMENTOS!J368)</f>
        <v/>
      </c>
      <c r="J360" s="40" t="str">
        <f>IF(ORCAMENTOS!L368="","",ORCAMENTOS!L368)</f>
        <v>CANCELADO</v>
      </c>
      <c r="K360" s="34" t="str">
        <f>IF(ORCAMENTOS!M368="","",ORCAMENTOS!M368)</f>
        <v>PARA SEMANA QUE VEM DEVE SAIR QUEM GANHOU A OBRA</v>
      </c>
      <c r="L360" t="str">
        <f>IF(ORCAMENTOS!R368="","",ORCAMENTOS!R368)</f>
        <v>-</v>
      </c>
    </row>
    <row r="361" spans="1:12" ht="15.75" hidden="1" customHeight="1" x14ac:dyDescent="0.25">
      <c r="A361" s="36">
        <f>IF(ORCAMENTOS!A369="","",ORCAMENTOS!A369)</f>
        <v>45708</v>
      </c>
      <c r="B361" s="46">
        <f>IF(ORCAMENTOS!B369="","",ORCAMENTOS!B369)</f>
        <v>359</v>
      </c>
      <c r="C361" s="46" t="str">
        <f>IF(ORCAMENTOS!C369="","",ORCAMENTOS!C369)</f>
        <v/>
      </c>
      <c r="D361" s="37" t="str">
        <f>IF(ORCAMENTOS!D369="","",ORCAMENTOS!D369)</f>
        <v>GIVAN DIAS</v>
      </c>
      <c r="E361" s="38" t="str">
        <f>IF(ORCAMENTOS!E369="","",ORCAMENTOS!E369)</f>
        <v>-</v>
      </c>
      <c r="F361" s="37" t="str">
        <f>IF(ORCAMENTOS!G369="","",ORCAMENTOS!G369)</f>
        <v>Gabriel</v>
      </c>
      <c r="G361" s="37" t="str">
        <f>IF(ORCAMENTOS!H369="","",ORCAMENTOS!H369)</f>
        <v>Givan</v>
      </c>
      <c r="H361" s="39">
        <f>IF(ORCAMENTOS!I369="","",ORCAMENTOS!I369)</f>
        <v>7035.85</v>
      </c>
      <c r="I361" s="60" t="str">
        <f>IF(ORCAMENTOS!J369="","",ORCAMENTOS!J369)</f>
        <v/>
      </c>
      <c r="J361" s="40" t="str">
        <f>IF(ORCAMENTOS!L369="","",ORCAMENTOS!L369)</f>
        <v>CANCELADO</v>
      </c>
      <c r="K361" s="34" t="str">
        <f>IF(ORCAMENTOS!M369="","",ORCAMENTOS!M369)</f>
        <v>-</v>
      </c>
      <c r="L361" t="str">
        <f>IF(ORCAMENTOS!R369="","",ORCAMENTOS!R369)</f>
        <v>-</v>
      </c>
    </row>
    <row r="362" spans="1:12" ht="15.75" hidden="1" customHeight="1" x14ac:dyDescent="0.25">
      <c r="A362" s="36">
        <f>IF(ORCAMENTOS!A370="","",ORCAMENTOS!A370)</f>
        <v>45708</v>
      </c>
      <c r="B362" s="46">
        <f>IF(ORCAMENTOS!B370="","",ORCAMENTOS!B370)</f>
        <v>360</v>
      </c>
      <c r="C362" s="46" t="str">
        <f>IF(ORCAMENTOS!C370="","",ORCAMENTOS!C370)</f>
        <v/>
      </c>
      <c r="D362" s="37" t="str">
        <f>IF(ORCAMENTOS!D370="","",ORCAMENTOS!D370)</f>
        <v>CELSO DE LIMA</v>
      </c>
      <c r="E362" s="38" t="str">
        <f>IF(ORCAMENTOS!E370="","",ORCAMENTOS!E370)</f>
        <v>-</v>
      </c>
      <c r="F362" s="37" t="str">
        <f>IF(ORCAMENTOS!G370="","",ORCAMENTOS!G370)</f>
        <v>Gabriel</v>
      </c>
      <c r="G362" s="37" t="str">
        <f>IF(ORCAMENTOS!H370="","",ORCAMENTOS!H370)</f>
        <v>Celso</v>
      </c>
      <c r="H362" s="39">
        <f>IF(ORCAMENTOS!I370="","",ORCAMENTOS!I370)</f>
        <v>2579.91</v>
      </c>
      <c r="I362" s="60" t="str">
        <f>IF(ORCAMENTOS!J370="","",ORCAMENTOS!J370)</f>
        <v/>
      </c>
      <c r="J362" s="40" t="str">
        <f>IF(ORCAMENTOS!L370="","",ORCAMENTOS!L370)</f>
        <v>FECHADO</v>
      </c>
      <c r="K362" s="34" t="str">
        <f>IF(ORCAMENTOS!M370="","",ORCAMENTOS!M370)</f>
        <v>-</v>
      </c>
      <c r="L362" t="str">
        <f>IF(ORCAMENTOS!R370="","",ORCAMENTOS!R370)</f>
        <v>-</v>
      </c>
    </row>
    <row r="363" spans="1:12" ht="15.75" hidden="1" customHeight="1" x14ac:dyDescent="0.25">
      <c r="A363" s="36">
        <f>IF(ORCAMENTOS!A371="","",ORCAMENTOS!A371)</f>
        <v>45708</v>
      </c>
      <c r="B363" s="46">
        <f>IF(ORCAMENTOS!B371="","",ORCAMENTOS!B371)</f>
        <v>361</v>
      </c>
      <c r="C363" s="46" t="str">
        <f>IF(ORCAMENTOS!C371="","",ORCAMENTOS!C371)</f>
        <v/>
      </c>
      <c r="D363" s="37" t="str">
        <f>IF(ORCAMENTOS!D371="","",ORCAMENTOS!D371)</f>
        <v>SP1 ENGENHARIA</v>
      </c>
      <c r="E363" s="38" t="str">
        <f>IF(ORCAMENTOS!E371="","",ORCAMENTOS!E371)</f>
        <v>-</v>
      </c>
      <c r="F363" s="37" t="str">
        <f>IF(ORCAMENTOS!G371="","",ORCAMENTOS!G371)</f>
        <v>Gabriel</v>
      </c>
      <c r="G363" s="37" t="str">
        <f>IF(ORCAMENTOS!H371="","",ORCAMENTOS!H371)</f>
        <v>Silvio</v>
      </c>
      <c r="H363" s="39">
        <f>IF(ORCAMENTOS!I371="","",ORCAMENTOS!I371)</f>
        <v>494.79</v>
      </c>
      <c r="I363" s="60" t="str">
        <f>IF(ORCAMENTOS!J371="","",ORCAMENTOS!J371)</f>
        <v/>
      </c>
      <c r="J363" s="40" t="str">
        <f>IF(ORCAMENTOS!L371="","",ORCAMENTOS!L371)</f>
        <v>FECHADO</v>
      </c>
      <c r="K363" s="34" t="str">
        <f>IF(ORCAMENTOS!M371="","",ORCAMENTOS!M371)</f>
        <v>-</v>
      </c>
      <c r="L363" t="str">
        <f>IF(ORCAMENTOS!R371="","",ORCAMENTOS!R371)</f>
        <v>-</v>
      </c>
    </row>
    <row r="364" spans="1:12" ht="15.75" hidden="1" customHeight="1" x14ac:dyDescent="0.25">
      <c r="A364" s="36">
        <f>IF(ORCAMENTOS!A372="","",ORCAMENTOS!A372)</f>
        <v>45708</v>
      </c>
      <c r="B364" s="46">
        <f>IF(ORCAMENTOS!B372="","",ORCAMENTOS!B372)</f>
        <v>362</v>
      </c>
      <c r="C364" s="46" t="str">
        <f>IF(ORCAMENTOS!C372="","",ORCAMENTOS!C372)</f>
        <v/>
      </c>
      <c r="D364" s="37" t="str">
        <f>IF(ORCAMENTOS!D372="","",ORCAMENTOS!D372)</f>
        <v>COLD CONTROL</v>
      </c>
      <c r="E364" s="38" t="str">
        <f>IF(ORCAMENTOS!E372="","",ORCAMENTOS!E372)</f>
        <v>TROX DO BRASIL - EDIFICIO SEDE - SP</v>
      </c>
      <c r="F364" s="37" t="str">
        <f>IF(ORCAMENTOS!G372="","",ORCAMENTOS!G372)</f>
        <v>Emanuel</v>
      </c>
      <c r="G364" s="37" t="str">
        <f>IF(ORCAMENTOS!H372="","",ORCAMENTOS!H372)</f>
        <v>Clovis</v>
      </c>
      <c r="H364" s="39">
        <f>IF(ORCAMENTOS!I372="","",ORCAMENTOS!I372)</f>
        <v>23433.09</v>
      </c>
      <c r="I364" s="60" t="str">
        <f>IF(ORCAMENTOS!J372="","",ORCAMENTOS!J372)</f>
        <v/>
      </c>
      <c r="J364" s="40" t="str">
        <f>IF(ORCAMENTOS!L372="","",ORCAMENTOS!L372)</f>
        <v>CANCELADO</v>
      </c>
      <c r="K364" s="34" t="str">
        <f>IF(ORCAMENTOS!M372="","",ORCAMENTOS!M372)</f>
        <v>TROX TROCOU PROJETO PARA CHAPA</v>
      </c>
      <c r="L364" t="str">
        <f>IF(ORCAMENTOS!R372="","",ORCAMENTOS!R372)</f>
        <v>-</v>
      </c>
    </row>
    <row r="365" spans="1:12" ht="15.75" hidden="1" customHeight="1" x14ac:dyDescent="0.25">
      <c r="A365" s="36">
        <f>IF(ORCAMENTOS!A373="","",ORCAMENTOS!A373)</f>
        <v>45714</v>
      </c>
      <c r="B365" s="46">
        <f>IF(ORCAMENTOS!B373="","",ORCAMENTOS!B373)</f>
        <v>363</v>
      </c>
      <c r="C365" s="46" t="str">
        <f>IF(ORCAMENTOS!C373="","",ORCAMENTOS!C373)</f>
        <v/>
      </c>
      <c r="D365" s="37" t="str">
        <f>IF(ORCAMENTOS!D373="","",ORCAMENTOS!D373)</f>
        <v>AR SISTEMAS</v>
      </c>
      <c r="E365" s="38" t="str">
        <f>IF(ORCAMENTOS!E373="","",ORCAMENTOS!E373)</f>
        <v>WHITE &amp; CASE - FARIA LIMA - SÃO PAULO - SP</v>
      </c>
      <c r="F365" s="37" t="str">
        <f>IF(ORCAMENTOS!G373="","",ORCAMENTOS!G373)</f>
        <v>Michel</v>
      </c>
      <c r="G365" s="37" t="str">
        <f>IF(ORCAMENTOS!H373="","",ORCAMENTOS!H373)</f>
        <v>Silvia</v>
      </c>
      <c r="H365" s="39">
        <f>IF(ORCAMENTOS!I373="","",ORCAMENTOS!I373)</f>
        <v>53479.58</v>
      </c>
      <c r="I365" s="60" t="str">
        <f>IF(ORCAMENTOS!J373="","",ORCAMENTOS!J373)</f>
        <v/>
      </c>
      <c r="J365" s="40" t="str">
        <f>IF(ORCAMENTOS!L373="","",ORCAMENTOS!L373)</f>
        <v>CANCELADO</v>
      </c>
      <c r="K365" s="34" t="str">
        <f>IF(ORCAMENTOS!M373="","",ORCAMENTOS!M373)</f>
        <v>-</v>
      </c>
      <c r="L365" t="str">
        <f>IF(ORCAMENTOS!R373="","",ORCAMENTOS!R373)</f>
        <v>MPU</v>
      </c>
    </row>
    <row r="366" spans="1:12" ht="15.75" hidden="1" customHeight="1" x14ac:dyDescent="0.25">
      <c r="A366" s="36">
        <f>IF(ORCAMENTOS!A374="","",ORCAMENTOS!A374)</f>
        <v>45708</v>
      </c>
      <c r="B366" s="46">
        <f>IF(ORCAMENTOS!B374="","",ORCAMENTOS!B374)</f>
        <v>364</v>
      </c>
      <c r="C366" s="46" t="str">
        <f>IF(ORCAMENTOS!C374="","",ORCAMENTOS!C374)</f>
        <v/>
      </c>
      <c r="D366" s="37" t="str">
        <f>IF(ORCAMENTOS!D374="","",ORCAMENTOS!D374)</f>
        <v>AR SET</v>
      </c>
      <c r="E366" s="38" t="str">
        <f>IF(ORCAMENTOS!E374="","",ORCAMENTOS!E374)</f>
        <v>-</v>
      </c>
      <c r="F366" s="37" t="str">
        <f>IF(ORCAMENTOS!G374="","",ORCAMENTOS!G374)</f>
        <v>Fernando</v>
      </c>
      <c r="G366" s="37" t="str">
        <f>IF(ORCAMENTOS!H374="","",ORCAMENTOS!H374)</f>
        <v>Lais</v>
      </c>
      <c r="H366" s="39">
        <f>IF(ORCAMENTOS!I374="","",ORCAMENTOS!I374)</f>
        <v>11694.12</v>
      </c>
      <c r="I366" s="60" t="str">
        <f>IF(ORCAMENTOS!J374="","",ORCAMENTOS!J374)</f>
        <v/>
      </c>
      <c r="J366" s="40" t="str">
        <f>IF(ORCAMENTOS!L374="","",ORCAMENTOS!L374)</f>
        <v>PERDIDO</v>
      </c>
      <c r="K366" s="34" t="str">
        <f>IF(ORCAMENTOS!M374="","",ORCAMENTOS!M374)</f>
        <v>MULTIVAC/DEVIDO AO INCÊNDIO</v>
      </c>
      <c r="L366" t="str">
        <f>IF(ORCAMENTOS!R374="","",ORCAMENTOS!R374)</f>
        <v>-</v>
      </c>
    </row>
    <row r="367" spans="1:12" ht="15.75" hidden="1" customHeight="1" x14ac:dyDescent="0.25">
      <c r="A367" s="36">
        <f>IF(ORCAMENTOS!A375="","",ORCAMENTOS!A375)</f>
        <v>45709</v>
      </c>
      <c r="B367" s="46">
        <f>IF(ORCAMENTOS!B375="","",ORCAMENTOS!B375)</f>
        <v>365</v>
      </c>
      <c r="C367" s="46" t="str">
        <f>IF(ORCAMENTOS!C375="","",ORCAMENTOS!C375)</f>
        <v/>
      </c>
      <c r="D367" s="37" t="str">
        <f>IF(ORCAMENTOS!D375="","",ORCAMENTOS!D375)</f>
        <v>AMS INSTALACOES</v>
      </c>
      <c r="E367" s="38" t="str">
        <f>IF(ORCAMENTOS!E375="","",ORCAMENTOS!E375)</f>
        <v>FORT ATACADISTA - PENHA - SP</v>
      </c>
      <c r="F367" s="37" t="str">
        <f>IF(ORCAMENTOS!G375="","",ORCAMENTOS!G375)</f>
        <v>Gabriel</v>
      </c>
      <c r="G367" s="37" t="str">
        <f>IF(ORCAMENTOS!H375="","",ORCAMENTOS!H375)</f>
        <v>Renan</v>
      </c>
      <c r="H367" s="39">
        <f>IF(ORCAMENTOS!I375="","",ORCAMENTOS!I375)</f>
        <v>122209.39</v>
      </c>
      <c r="I367" s="60" t="str">
        <f>IF(ORCAMENTOS!J375="","",ORCAMENTOS!J375)</f>
        <v/>
      </c>
      <c r="J367" s="40" t="str">
        <f>IF(ORCAMENTOS!L375="","",ORCAMENTOS!L375)</f>
        <v>CANCELADO</v>
      </c>
      <c r="K367" s="34" t="str">
        <f>IF(ORCAMENTOS!M375="","",ORCAMENTOS!M375)</f>
        <v>-</v>
      </c>
      <c r="L367" t="str">
        <f>IF(ORCAMENTOS!R375="","",ORCAMENTOS!R375)</f>
        <v>N/E</v>
      </c>
    </row>
    <row r="368" spans="1:12" ht="15.75" hidden="1" customHeight="1" x14ac:dyDescent="0.25">
      <c r="A368" s="36">
        <f>IF(ORCAMENTOS!A376="","",ORCAMENTOS!A376)</f>
        <v>45709</v>
      </c>
      <c r="B368" s="46">
        <f>IF(ORCAMENTOS!B376="","",ORCAMENTOS!B376)</f>
        <v>366</v>
      </c>
      <c r="C368" s="46" t="str">
        <f>IF(ORCAMENTOS!C376="","",ORCAMENTOS!C376)</f>
        <v/>
      </c>
      <c r="D368" s="37" t="str">
        <f>IF(ORCAMENTOS!D376="","",ORCAMENTOS!D376)</f>
        <v>MOISES VIRIATO</v>
      </c>
      <c r="E368" s="38" t="str">
        <f>IF(ORCAMENTOS!E376="","",ORCAMENTOS!E376)</f>
        <v>BLUEFIT - UBERLANDIA - MG</v>
      </c>
      <c r="F368" s="37" t="str">
        <f>IF(ORCAMENTOS!G376="","",ORCAMENTOS!G376)</f>
        <v>Gabriel</v>
      </c>
      <c r="G368" s="37" t="str">
        <f>IF(ORCAMENTOS!H376="","",ORCAMENTOS!H376)</f>
        <v>Nivaldo</v>
      </c>
      <c r="H368" s="39">
        <f>IF(ORCAMENTOS!I376="","",ORCAMENTOS!I376)</f>
        <v>20080.25</v>
      </c>
      <c r="I368" s="60" t="str">
        <f>IF(ORCAMENTOS!J376="","",ORCAMENTOS!J376)</f>
        <v/>
      </c>
      <c r="J368" s="40" t="str">
        <f>IF(ORCAMENTOS!L376="","",ORCAMENTOS!L376)</f>
        <v>CANCELADO</v>
      </c>
      <c r="K368" s="34" t="str">
        <f>IF(ORCAMENTOS!M376="","",ORCAMENTOS!M376)</f>
        <v>-</v>
      </c>
      <c r="L368" t="str">
        <f>IF(ORCAMENTOS!R376="","",ORCAMENTOS!R376)</f>
        <v>N/E</v>
      </c>
    </row>
    <row r="369" spans="1:12" ht="15.75" hidden="1" customHeight="1" x14ac:dyDescent="0.25">
      <c r="A369" s="36">
        <f>IF(ORCAMENTOS!A377="","",ORCAMENTOS!A377)</f>
        <v>45709</v>
      </c>
      <c r="B369" s="46">
        <f>IF(ORCAMENTOS!B377="","",ORCAMENTOS!B377)</f>
        <v>367</v>
      </c>
      <c r="C369" s="46" t="str">
        <f>IF(ORCAMENTOS!C377="","",ORCAMENTOS!C377)</f>
        <v/>
      </c>
      <c r="D369" s="37" t="str">
        <f>IF(ORCAMENTOS!D377="","",ORCAMENTOS!D377)</f>
        <v>ICE GREEN</v>
      </c>
      <c r="E369" s="38" t="str">
        <f>IF(ORCAMENTOS!E377="","",ORCAMENTOS!E377)</f>
        <v>CASA VETTORI</v>
      </c>
      <c r="F369" s="37" t="str">
        <f>IF(ORCAMENTOS!G377="","",ORCAMENTOS!G377)</f>
        <v>Emanuel</v>
      </c>
      <c r="G369" s="37" t="str">
        <f>IF(ORCAMENTOS!H377="","",ORCAMENTOS!H377)</f>
        <v>Marcos</v>
      </c>
      <c r="H369" s="39">
        <f>IF(ORCAMENTOS!I377="","",ORCAMENTOS!I377)</f>
        <v>17120.830000000002</v>
      </c>
      <c r="I369" s="60" t="str">
        <f>IF(ORCAMENTOS!J377="","",ORCAMENTOS!J377)</f>
        <v/>
      </c>
      <c r="J369" s="40" t="str">
        <f>IF(ORCAMENTOS!L377="","",ORCAMENTOS!L377)</f>
        <v>CANCELADO</v>
      </c>
      <c r="K369" s="34" t="str">
        <f>IF(ORCAMENTOS!M377="","",ORCAMENTOS!M377)</f>
        <v>-</v>
      </c>
      <c r="L369" t="str">
        <f>IF(ORCAMENTOS!R377="","",ORCAMENTOS!R377)</f>
        <v>-</v>
      </c>
    </row>
    <row r="370" spans="1:12" ht="15.75" hidden="1" customHeight="1" x14ac:dyDescent="0.25">
      <c r="A370" s="36">
        <f>IF(ORCAMENTOS!A378="","",ORCAMENTOS!A378)</f>
        <v>45709</v>
      </c>
      <c r="B370" s="46">
        <f>IF(ORCAMENTOS!B378="","",ORCAMENTOS!B378)</f>
        <v>368</v>
      </c>
      <c r="C370" s="46" t="str">
        <f>IF(ORCAMENTOS!C378="","",ORCAMENTOS!C378)</f>
        <v/>
      </c>
      <c r="D370" s="37" t="str">
        <f>IF(ORCAMENTOS!D378="","",ORCAMENTOS!D378)</f>
        <v>ADRIATIC</v>
      </c>
      <c r="E370" s="38" t="str">
        <f>IF(ORCAMENTOS!E378="","",ORCAMENTOS!E378)</f>
        <v>C&amp;A MODAS</v>
      </c>
      <c r="F370" s="37" t="str">
        <f>IF(ORCAMENTOS!G378="","",ORCAMENTOS!G378)</f>
        <v>Emanuel</v>
      </c>
      <c r="G370" s="37" t="str">
        <f>IF(ORCAMENTOS!H378="","",ORCAMENTOS!H378)</f>
        <v>Carlos</v>
      </c>
      <c r="H370" s="39">
        <f>IF(ORCAMENTOS!I378="","",ORCAMENTOS!I378)</f>
        <v>40662.97</v>
      </c>
      <c r="I370" s="60" t="str">
        <f>IF(ORCAMENTOS!J378="","",ORCAMENTOS!J378)</f>
        <v/>
      </c>
      <c r="J370" s="40" t="str">
        <f>IF(ORCAMENTOS!L378="","",ORCAMENTOS!L378)</f>
        <v>FECHADO</v>
      </c>
      <c r="K370" s="34" t="str">
        <f>IF(ORCAMENTOS!M378="","",ORCAMENTOS!M378)</f>
        <v>-</v>
      </c>
      <c r="L370" t="str">
        <f>IF(ORCAMENTOS!R378="","",ORCAMENTOS!R378)</f>
        <v>-</v>
      </c>
    </row>
    <row r="371" spans="1:12" ht="15.75" hidden="1" customHeight="1" x14ac:dyDescent="0.25">
      <c r="A371" s="36">
        <f>IF(ORCAMENTOS!A379="","",ORCAMENTOS!A379)</f>
        <v>45709</v>
      </c>
      <c r="B371" s="46">
        <f>IF(ORCAMENTOS!B379="","",ORCAMENTOS!B379)</f>
        <v>369</v>
      </c>
      <c r="C371" s="46" t="str">
        <f>IF(ORCAMENTOS!C379="","",ORCAMENTOS!C379)</f>
        <v/>
      </c>
      <c r="D371" s="37" t="str">
        <f>IF(ORCAMENTOS!D379="","",ORCAMENTOS!D379)</f>
        <v>UNION RHAC</v>
      </c>
      <c r="E371" s="38" t="str">
        <f>IF(ORCAMENTOS!E379="","",ORCAMENTOS!E379)</f>
        <v>NISSIN CHOCOLATES</v>
      </c>
      <c r="F371" s="37" t="str">
        <f>IF(ORCAMENTOS!G379="","",ORCAMENTOS!G379)</f>
        <v>Emanuel</v>
      </c>
      <c r="G371" s="37" t="str">
        <f>IF(ORCAMENTOS!H379="","",ORCAMENTOS!H379)</f>
        <v>Vinicius</v>
      </c>
      <c r="H371" s="39">
        <f>IF(ORCAMENTOS!I379="","",ORCAMENTOS!I379)</f>
        <v>26279.72</v>
      </c>
      <c r="I371" s="60" t="str">
        <f>IF(ORCAMENTOS!J379="","",ORCAMENTOS!J379)</f>
        <v/>
      </c>
      <c r="J371" s="40" t="str">
        <f>IF(ORCAMENTOS!L379="","",ORCAMENTOS!L379)</f>
        <v>PERDIDO</v>
      </c>
      <c r="K371" s="34" t="str">
        <f>IF(ORCAMENTOS!M379="","",ORCAMENTOS!M379)</f>
        <v>PERDIDO ARCOTEC - PRAZO</v>
      </c>
      <c r="L371" t="str">
        <f>IF(ORCAMENTOS!R379="","",ORCAMENTOS!R379)</f>
        <v>-</v>
      </c>
    </row>
    <row r="372" spans="1:12" ht="15.75" hidden="1" customHeight="1" x14ac:dyDescent="0.25">
      <c r="A372" s="36">
        <f>IF(ORCAMENTOS!A380="","",ORCAMENTOS!A380)</f>
        <v>45712</v>
      </c>
      <c r="B372" s="46">
        <f>IF(ORCAMENTOS!B380="","",ORCAMENTOS!B380)</f>
        <v>370</v>
      </c>
      <c r="C372" s="46" t="str">
        <f>IF(ORCAMENTOS!C380="","",ORCAMENTOS!C380)</f>
        <v/>
      </c>
      <c r="D372" s="37" t="str">
        <f>IF(ORCAMENTOS!D380="","",ORCAMENTOS!D380)</f>
        <v>THERMAL ENERGY</v>
      </c>
      <c r="E372" s="38" t="str">
        <f>IF(ORCAMENTOS!E380="","",ORCAMENTOS!E380)</f>
        <v>GESTARE</v>
      </c>
      <c r="F372" s="37" t="str">
        <f>IF(ORCAMENTOS!G380="","",ORCAMENTOS!G380)</f>
        <v xml:space="preserve">Aldavir </v>
      </c>
      <c r="G372" s="37" t="str">
        <f>IF(ORCAMENTOS!H380="","",ORCAMENTOS!H380)</f>
        <v>Anderson</v>
      </c>
      <c r="H372" s="39">
        <f>IF(ORCAMENTOS!I380="","",ORCAMENTOS!I380)</f>
        <v>49722.71</v>
      </c>
      <c r="I372" s="60" t="str">
        <f>IF(ORCAMENTOS!J380="","",ORCAMENTOS!J380)</f>
        <v/>
      </c>
      <c r="J372" s="40" t="str">
        <f>IF(ORCAMENTOS!L380="","",ORCAMENTOS!L380)</f>
        <v>CANCELADO</v>
      </c>
      <c r="K372" s="34" t="str">
        <f>IF(ORCAMENTOS!M380="","",ORCAMENTOS!M380)</f>
        <v>NÃO TEMOS MATERIAL A PRAZO</v>
      </c>
      <c r="L372" t="str">
        <f>IF(ORCAMENTOS!R380="","",ORCAMENTOS!R380)</f>
        <v>-</v>
      </c>
    </row>
    <row r="373" spans="1:12" ht="15.75" hidden="1" customHeight="1" x14ac:dyDescent="0.25">
      <c r="A373" s="36">
        <f>IF(ORCAMENTOS!A381="","",ORCAMENTOS!A381)</f>
        <v>45709</v>
      </c>
      <c r="B373" s="46">
        <f>IF(ORCAMENTOS!B381="","",ORCAMENTOS!B381)</f>
        <v>371</v>
      </c>
      <c r="C373" s="46" t="str">
        <f>IF(ORCAMENTOS!C381="","",ORCAMENTOS!C381)</f>
        <v/>
      </c>
      <c r="D373" s="37" t="str">
        <f>IF(ORCAMENTOS!D381="","",ORCAMENTOS!D381)</f>
        <v>JGTEC</v>
      </c>
      <c r="E373" s="38" t="str">
        <f>IF(ORCAMENTOS!E381="","",ORCAMENTOS!E381)</f>
        <v>-</v>
      </c>
      <c r="F373" s="37" t="str">
        <f>IF(ORCAMENTOS!G381="","",ORCAMENTOS!G381)</f>
        <v>Michel</v>
      </c>
      <c r="G373" s="37" t="str">
        <f>IF(ORCAMENTOS!H381="","",ORCAMENTOS!H381)</f>
        <v>Milena</v>
      </c>
      <c r="H373" s="39">
        <f>IF(ORCAMENTOS!I381="","",ORCAMENTOS!I381)</f>
        <v>6607.17</v>
      </c>
      <c r="I373" s="60" t="str">
        <f>IF(ORCAMENTOS!J381="","",ORCAMENTOS!J381)</f>
        <v/>
      </c>
      <c r="J373" s="40" t="str">
        <f>IF(ORCAMENTOS!L381="","",ORCAMENTOS!L381)</f>
        <v>PERDIDO</v>
      </c>
      <c r="K373" s="34" t="str">
        <f>IF(ORCAMENTOS!M381="","",ORCAMENTOS!M381)</f>
        <v>MPU</v>
      </c>
      <c r="L373" t="str">
        <f>IF(ORCAMENTOS!R381="","",ORCAMENTOS!R381)</f>
        <v>-</v>
      </c>
    </row>
    <row r="374" spans="1:12" ht="15.75" hidden="1" customHeight="1" x14ac:dyDescent="0.25">
      <c r="A374" s="36">
        <f>IF(ORCAMENTOS!A382="","",ORCAMENTOS!A382)</f>
        <v>45709</v>
      </c>
      <c r="B374" s="46">
        <f>IF(ORCAMENTOS!B382="","",ORCAMENTOS!B382)</f>
        <v>372</v>
      </c>
      <c r="C374" s="46" t="str">
        <f>IF(ORCAMENTOS!C382="","",ORCAMENTOS!C382)</f>
        <v/>
      </c>
      <c r="D374" s="37" t="str">
        <f>IF(ORCAMENTOS!D382="","",ORCAMENTOS!D382)</f>
        <v>WELLNESS</v>
      </c>
      <c r="E374" s="38" t="str">
        <f>IF(ORCAMENTOS!E382="","",ORCAMENTOS!E382)</f>
        <v>-</v>
      </c>
      <c r="F374" s="37" t="str">
        <f>IF(ORCAMENTOS!G382="","",ORCAMENTOS!G382)</f>
        <v>Gabriel</v>
      </c>
      <c r="G374" s="37" t="str">
        <f>IF(ORCAMENTOS!H382="","",ORCAMENTOS!H382)</f>
        <v>Ivanise</v>
      </c>
      <c r="H374" s="39">
        <f>IF(ORCAMENTOS!I382="","",ORCAMENTOS!I382)</f>
        <v>43370.16</v>
      </c>
      <c r="I374" s="60" t="str">
        <f>IF(ORCAMENTOS!J382="","",ORCAMENTOS!J382)</f>
        <v/>
      </c>
      <c r="J374" s="40" t="str">
        <f>IF(ORCAMENTOS!L382="","",ORCAMENTOS!L382)</f>
        <v>CANCELADO</v>
      </c>
      <c r="K374" s="34" t="str">
        <f>IF(ORCAMENTOS!M382="","",ORCAMENTOS!M382)</f>
        <v>-</v>
      </c>
      <c r="L374" t="str">
        <f>IF(ORCAMENTOS!R382="","",ORCAMENTOS!R382)</f>
        <v>-</v>
      </c>
    </row>
    <row r="375" spans="1:12" ht="15.75" hidden="1" customHeight="1" x14ac:dyDescent="0.25">
      <c r="A375" s="36">
        <f>IF(ORCAMENTOS!A383="","",ORCAMENTOS!A383)</f>
        <v>45709</v>
      </c>
      <c r="B375" s="46">
        <f>IF(ORCAMENTOS!B383="","",ORCAMENTOS!B383)</f>
        <v>373</v>
      </c>
      <c r="C375" s="46" t="str">
        <f>IF(ORCAMENTOS!C383="","",ORCAMENTOS!C383)</f>
        <v/>
      </c>
      <c r="D375" s="37" t="str">
        <f>IF(ORCAMENTOS!D383="","",ORCAMENTOS!D383)</f>
        <v>SP1 ENGENHARIA</v>
      </c>
      <c r="E375" s="38" t="str">
        <f>IF(ORCAMENTOS!E383="","",ORCAMENTOS!E383)</f>
        <v>CACCIARI CENTRO MEDICO HOSPITALAR LTDA - URUPES - SP</v>
      </c>
      <c r="F375" s="37" t="str">
        <f>IF(ORCAMENTOS!G383="","",ORCAMENTOS!G383)</f>
        <v>Gabriel</v>
      </c>
      <c r="G375" s="37" t="str">
        <f>IF(ORCAMENTOS!H383="","",ORCAMENTOS!H383)</f>
        <v>Silvio</v>
      </c>
      <c r="H375" s="39">
        <f>IF(ORCAMENTOS!I383="","",ORCAMENTOS!I383)</f>
        <v>16106.68</v>
      </c>
      <c r="I375" s="60" t="str">
        <f>IF(ORCAMENTOS!J383="","",ORCAMENTOS!J383)</f>
        <v/>
      </c>
      <c r="J375" s="40" t="str">
        <f>IF(ORCAMENTOS!L383="","",ORCAMENTOS!L383)</f>
        <v>CANCELADO</v>
      </c>
      <c r="K375" s="34" t="str">
        <f>IF(ORCAMENTOS!M383="","",ORCAMENTOS!M383)</f>
        <v>-</v>
      </c>
      <c r="L375" t="str">
        <f>IF(ORCAMENTOS!R383="","",ORCAMENTOS!R383)</f>
        <v>-</v>
      </c>
    </row>
    <row r="376" spans="1:12" ht="15.75" hidden="1" customHeight="1" x14ac:dyDescent="0.25">
      <c r="A376" s="36">
        <f>IF(ORCAMENTOS!A384="","",ORCAMENTOS!A384)</f>
        <v>45712</v>
      </c>
      <c r="B376" s="46">
        <f>IF(ORCAMENTOS!B384="","",ORCAMENTOS!B384)</f>
        <v>374</v>
      </c>
      <c r="C376" s="46" t="str">
        <f>IF(ORCAMENTOS!C384="","",ORCAMENTOS!C384)</f>
        <v/>
      </c>
      <c r="D376" s="37" t="str">
        <f>IF(ORCAMENTOS!D384="","",ORCAMENTOS!D384)</f>
        <v>JOETEC</v>
      </c>
      <c r="E376" s="38" t="str">
        <f>IF(ORCAMENTOS!E384="","",ORCAMENTOS!E384)</f>
        <v>NISSIN - PONTA GROSSA</v>
      </c>
      <c r="F376" s="37" t="str">
        <f>IF(ORCAMENTOS!G384="","",ORCAMENTOS!G384)</f>
        <v>Gabriel</v>
      </c>
      <c r="G376" s="37" t="str">
        <f>IF(ORCAMENTOS!H384="","",ORCAMENTOS!H384)</f>
        <v>Robson</v>
      </c>
      <c r="H376" s="39">
        <f>IF(ORCAMENTOS!I384="","",ORCAMENTOS!I384)</f>
        <v>59314.03</v>
      </c>
      <c r="I376" s="60" t="str">
        <f>IF(ORCAMENTOS!J384="","",ORCAMENTOS!J384)</f>
        <v/>
      </c>
      <c r="J376" s="40" t="str">
        <f>IF(ORCAMENTOS!L384="","",ORCAMENTOS!L384)</f>
        <v>CANCELADO</v>
      </c>
      <c r="K376" s="34" t="str">
        <f>IF(ORCAMENTOS!M384="","",ORCAMENTOS!M384)</f>
        <v>-</v>
      </c>
      <c r="L376" t="str">
        <f>IF(ORCAMENTOS!R384="","",ORCAMENTOS!R384)</f>
        <v>-</v>
      </c>
    </row>
    <row r="377" spans="1:12" ht="15.75" hidden="1" customHeight="1" x14ac:dyDescent="0.25">
      <c r="A377" s="36">
        <f>IF(ORCAMENTOS!A385="","",ORCAMENTOS!A385)</f>
        <v>45713</v>
      </c>
      <c r="B377" s="46">
        <f>IF(ORCAMENTOS!B385="","",ORCAMENTOS!B385)</f>
        <v>375</v>
      </c>
      <c r="C377" s="46" t="str">
        <f>IF(ORCAMENTOS!C385="","",ORCAMENTOS!C385)</f>
        <v/>
      </c>
      <c r="D377" s="37" t="str">
        <f>IF(ORCAMENTOS!D385="","",ORCAMENTOS!D385)</f>
        <v>ARGUS CLIMATIZACAO</v>
      </c>
      <c r="E377" s="38" t="str">
        <f>IF(ORCAMENTOS!E385="","",ORCAMENTOS!E385)</f>
        <v>Calabasas apto 91 e 92</v>
      </c>
      <c r="F377" s="37" t="str">
        <f>IF(ORCAMENTOS!G385="","",ORCAMENTOS!G385)</f>
        <v>Gabriel</v>
      </c>
      <c r="G377" s="37" t="str">
        <f>IF(ORCAMENTOS!H385="","",ORCAMENTOS!H385)</f>
        <v>Umberto</v>
      </c>
      <c r="H377" s="39">
        <f>IF(ORCAMENTOS!I385="","",ORCAMENTOS!I385)</f>
        <v>9477.5</v>
      </c>
      <c r="I377" s="60" t="str">
        <f>IF(ORCAMENTOS!J385="","",ORCAMENTOS!J385)</f>
        <v/>
      </c>
      <c r="J377" s="40" t="str">
        <f>IF(ORCAMENTOS!L385="","",ORCAMENTOS!L385)</f>
        <v>FECHADO</v>
      </c>
      <c r="K377" s="34" t="str">
        <f>IF(ORCAMENTOS!M385="","",ORCAMENTOS!M385)</f>
        <v>-</v>
      </c>
      <c r="L377" t="str">
        <f>IF(ORCAMENTOS!R385="","",ORCAMENTOS!R385)</f>
        <v>-</v>
      </c>
    </row>
    <row r="378" spans="1:12" ht="15.75" hidden="1" customHeight="1" x14ac:dyDescent="0.25">
      <c r="A378" s="36">
        <f>IF(ORCAMENTOS!A386="","",ORCAMENTOS!A386)</f>
        <v>45712</v>
      </c>
      <c r="B378" s="46">
        <f>IF(ORCAMENTOS!B386="","",ORCAMENTOS!B386)</f>
        <v>376</v>
      </c>
      <c r="C378" s="46" t="str">
        <f>IF(ORCAMENTOS!C386="","",ORCAMENTOS!C386)</f>
        <v/>
      </c>
      <c r="D378" s="37" t="str">
        <f>IF(ORCAMENTOS!D386="","",ORCAMENTOS!D386)</f>
        <v>TECNICO AR</v>
      </c>
      <c r="E378" s="38" t="str">
        <f>IF(ORCAMENTOS!E386="","",ORCAMENTOS!E386)</f>
        <v>DROGASIL - SHOPPING ANALIA FRANCO</v>
      </c>
      <c r="F378" s="37" t="str">
        <f>IF(ORCAMENTOS!G386="","",ORCAMENTOS!G386)</f>
        <v>Gabriel</v>
      </c>
      <c r="G378" s="37" t="str">
        <f>IF(ORCAMENTOS!H386="","",ORCAMENTOS!H386)</f>
        <v>Charles</v>
      </c>
      <c r="H378" s="39">
        <f>IF(ORCAMENTOS!I386="","",ORCAMENTOS!I386)</f>
        <v>16712.41</v>
      </c>
      <c r="I378" s="60" t="str">
        <f>IF(ORCAMENTOS!J386="","",ORCAMENTOS!J386)</f>
        <v/>
      </c>
      <c r="J378" s="40" t="str">
        <f>IF(ORCAMENTOS!L386="","",ORCAMENTOS!L386)</f>
        <v>CANCELADO</v>
      </c>
      <c r="K378" s="34" t="str">
        <f>IF(ORCAMENTOS!M386="","",ORCAMENTOS!M386)</f>
        <v>-</v>
      </c>
      <c r="L378" t="str">
        <f>IF(ORCAMENTOS!R386="","",ORCAMENTOS!R386)</f>
        <v>CHAPA DE ACO GALVANIZADO</v>
      </c>
    </row>
    <row r="379" spans="1:12" ht="15.75" hidden="1" customHeight="1" x14ac:dyDescent="0.25">
      <c r="A379" s="36">
        <f>IF(ORCAMENTOS!A387="","",ORCAMENTOS!A387)</f>
        <v>45712</v>
      </c>
      <c r="B379" s="46">
        <f>IF(ORCAMENTOS!B387="","",ORCAMENTOS!B387)</f>
        <v>377</v>
      </c>
      <c r="C379" s="46" t="str">
        <f>IF(ORCAMENTOS!C387="","",ORCAMENTOS!C387)</f>
        <v/>
      </c>
      <c r="D379" s="37" t="str">
        <f>IF(ORCAMENTOS!D387="","",ORCAMENTOS!D387)</f>
        <v>AMS INSTALACOES</v>
      </c>
      <c r="E379" s="38" t="str">
        <f>IF(ORCAMENTOS!E387="","",ORCAMENTOS!E387)</f>
        <v>FORT ATACADISTA - GRAVATAI - RS</v>
      </c>
      <c r="F379" s="37" t="str">
        <f>IF(ORCAMENTOS!G387="","",ORCAMENTOS!G387)</f>
        <v>Gabriel</v>
      </c>
      <c r="G379" s="37" t="str">
        <f>IF(ORCAMENTOS!H387="","",ORCAMENTOS!H387)</f>
        <v>Felipe</v>
      </c>
      <c r="H379" s="39">
        <f>IF(ORCAMENTOS!I387="","",ORCAMENTOS!I387)</f>
        <v>200379.88</v>
      </c>
      <c r="I379" s="60" t="str">
        <f>IF(ORCAMENTOS!J387="","",ORCAMENTOS!J387)</f>
        <v/>
      </c>
      <c r="J379" s="40" t="str">
        <f>IF(ORCAMENTOS!L387="","",ORCAMENTOS!L387)</f>
        <v>CANCELADO</v>
      </c>
      <c r="K379" s="34" t="str">
        <f>IF(ORCAMENTOS!M387="","",ORCAMENTOS!M387)</f>
        <v>-</v>
      </c>
      <c r="L379" t="str">
        <f>IF(ORCAMENTOS!R387="","",ORCAMENTOS!R387)</f>
        <v>N/E</v>
      </c>
    </row>
    <row r="380" spans="1:12" ht="15.75" hidden="1" customHeight="1" x14ac:dyDescent="0.25">
      <c r="A380" s="36">
        <f>IF(ORCAMENTOS!A388="","",ORCAMENTOS!A388)</f>
        <v>45712</v>
      </c>
      <c r="B380" s="46">
        <f>IF(ORCAMENTOS!B388="","",ORCAMENTOS!B388)</f>
        <v>378</v>
      </c>
      <c r="C380" s="46" t="str">
        <f>IF(ORCAMENTOS!C388="","",ORCAMENTOS!C388)</f>
        <v/>
      </c>
      <c r="D380" s="37" t="str">
        <f>IF(ORCAMENTOS!D388="","",ORCAMENTOS!D388)</f>
        <v>CHD SISTEMAS</v>
      </c>
      <c r="E380" s="38" t="str">
        <f>IF(ORCAMENTOS!E388="","",ORCAMENTOS!E388)</f>
        <v>-</v>
      </c>
      <c r="F380" s="37" t="str">
        <f>IF(ORCAMENTOS!G388="","",ORCAMENTOS!G388)</f>
        <v>Fernando</v>
      </c>
      <c r="G380" s="37" t="str">
        <f>IF(ORCAMENTOS!H388="","",ORCAMENTOS!H388)</f>
        <v>Paulo</v>
      </c>
      <c r="H380" s="39">
        <f>IF(ORCAMENTOS!I388="","",ORCAMENTOS!I388)</f>
        <v>30625.32</v>
      </c>
      <c r="I380" s="60" t="str">
        <f>IF(ORCAMENTOS!J388="","",ORCAMENTOS!J388)</f>
        <v/>
      </c>
      <c r="J380" s="40" t="str">
        <f>IF(ORCAMENTOS!L388="","",ORCAMENTOS!L388)</f>
        <v>FECHADO</v>
      </c>
      <c r="K380" s="34" t="str">
        <f>IF(ORCAMENTOS!M388="","",ORCAMENTOS!M388)</f>
        <v xml:space="preserve">AGUARDANDO PEDIDO </v>
      </c>
      <c r="L380" t="str">
        <f>IF(ORCAMENTOS!R388="","",ORCAMENTOS!R388)</f>
        <v>-</v>
      </c>
    </row>
    <row r="381" spans="1:12" ht="15.75" hidden="1" customHeight="1" x14ac:dyDescent="0.25">
      <c r="A381" s="36">
        <f>IF(ORCAMENTOS!A389="","",ORCAMENTOS!A389)</f>
        <v>45713</v>
      </c>
      <c r="B381" s="46">
        <f>IF(ORCAMENTOS!B389="","",ORCAMENTOS!B389)</f>
        <v>379</v>
      </c>
      <c r="C381" s="46" t="str">
        <f>IF(ORCAMENTOS!C389="","",ORCAMENTOS!C389)</f>
        <v/>
      </c>
      <c r="D381" s="37" t="str">
        <f>IF(ORCAMENTOS!D389="","",ORCAMENTOS!D389)</f>
        <v>AR SERVICE</v>
      </c>
      <c r="E381" s="38" t="str">
        <f>IF(ORCAMENTOS!E389="","",ORCAMENTOS!E389)</f>
        <v>SERVIDOR - PADRONIZAÇÃO</v>
      </c>
      <c r="F381" s="37" t="str">
        <f>IF(ORCAMENTOS!G389="","",ORCAMENTOS!G389)</f>
        <v>Gabriel</v>
      </c>
      <c r="G381" s="37" t="str">
        <f>IF(ORCAMENTOS!H389="","",ORCAMENTOS!H389)</f>
        <v>Thiago</v>
      </c>
      <c r="H381" s="39">
        <f>IF(ORCAMENTOS!I389="","",ORCAMENTOS!I389)</f>
        <v>139200.22</v>
      </c>
      <c r="I381" s="60" t="str">
        <f>IF(ORCAMENTOS!J389="","",ORCAMENTOS!J389)</f>
        <v/>
      </c>
      <c r="J381" s="40" t="str">
        <f>IF(ORCAMENTOS!L389="","",ORCAMENTOS!L389)</f>
        <v>FECHADO</v>
      </c>
      <c r="K381" s="34" t="str">
        <f>IF(ORCAMENTOS!M389="","",ORCAMENTOS!M389)</f>
        <v>-</v>
      </c>
      <c r="L381" t="str">
        <f>IF(ORCAMENTOS!R389="","",ORCAMENTOS!R389)</f>
        <v>-</v>
      </c>
    </row>
    <row r="382" spans="1:12" ht="15.75" hidden="1" customHeight="1" x14ac:dyDescent="0.25">
      <c r="A382" s="36">
        <f>IF(ORCAMENTOS!A390="","",ORCAMENTOS!A390)</f>
        <v>45712</v>
      </c>
      <c r="B382" s="46">
        <f>IF(ORCAMENTOS!B390="","",ORCAMENTOS!B390)</f>
        <v>380</v>
      </c>
      <c r="C382" s="46" t="str">
        <f>IF(ORCAMENTOS!C390="","",ORCAMENTOS!C390)</f>
        <v/>
      </c>
      <c r="D382" s="37" t="str">
        <f>IF(ORCAMENTOS!D390="","",ORCAMENTOS!D390)</f>
        <v>TERMOCLIMA</v>
      </c>
      <c r="E382" s="38" t="str">
        <f>IF(ORCAMENTOS!E390="","",ORCAMENTOS!E390)</f>
        <v>SESC - SAO SEBASTIAO DO PARAISO</v>
      </c>
      <c r="F382" s="37" t="str">
        <f>IF(ORCAMENTOS!G390="","",ORCAMENTOS!G390)</f>
        <v>Gabriel</v>
      </c>
      <c r="G382" s="37" t="str">
        <f>IF(ORCAMENTOS!H390="","",ORCAMENTOS!H390)</f>
        <v>Pedro</v>
      </c>
      <c r="H382" s="39">
        <f>IF(ORCAMENTOS!I390="","",ORCAMENTOS!I390)</f>
        <v>78277.460000000006</v>
      </c>
      <c r="I382" s="60" t="str">
        <f>IF(ORCAMENTOS!J390="","",ORCAMENTOS!J390)</f>
        <v/>
      </c>
      <c r="J382" s="40" t="str">
        <f>IF(ORCAMENTOS!L390="","",ORCAMENTOS!L390)</f>
        <v>CANCELADO</v>
      </c>
      <c r="K382" s="34" t="str">
        <f>IF(ORCAMENTOS!M390="","",ORCAMENTOS!M390)</f>
        <v>-</v>
      </c>
      <c r="L382" t="str">
        <f>IF(ORCAMENTOS!R390="","",ORCAMENTOS!R390)</f>
        <v>-</v>
      </c>
    </row>
    <row r="383" spans="1:12" ht="15.75" hidden="1" customHeight="1" x14ac:dyDescent="0.25">
      <c r="A383" s="36">
        <f>IF(ORCAMENTOS!A391="","",ORCAMENTOS!A391)</f>
        <v>45712</v>
      </c>
      <c r="B383" s="46">
        <f>IF(ORCAMENTOS!B391="","",ORCAMENTOS!B391)</f>
        <v>381</v>
      </c>
      <c r="C383" s="46" t="str">
        <f>IF(ORCAMENTOS!C391="","",ORCAMENTOS!C391)</f>
        <v/>
      </c>
      <c r="D383" s="37" t="str">
        <f>IF(ORCAMENTOS!D391="","",ORCAMENTOS!D391)</f>
        <v>RICH ENGENHARIA</v>
      </c>
      <c r="E383" s="38" t="str">
        <f>IF(ORCAMENTOS!E391="","",ORCAMENTOS!E391)</f>
        <v>-</v>
      </c>
      <c r="F383" s="37" t="str">
        <f>IF(ORCAMENTOS!G391="","",ORCAMENTOS!G391)</f>
        <v>Guilherme</v>
      </c>
      <c r="G383" s="37" t="str">
        <f>IF(ORCAMENTOS!H391="","",ORCAMENTOS!H391)</f>
        <v>Ricardo</v>
      </c>
      <c r="H383" s="39">
        <f>IF(ORCAMENTOS!I391="","",ORCAMENTOS!I391)</f>
        <v>2228.25</v>
      </c>
      <c r="I383" s="60" t="str">
        <f>IF(ORCAMENTOS!J391="","",ORCAMENTOS!J391)</f>
        <v/>
      </c>
      <c r="J383" s="40" t="str">
        <f>IF(ORCAMENTOS!L391="","",ORCAMENTOS!L391)</f>
        <v>CANCELADO</v>
      </c>
      <c r="K383" s="34" t="str">
        <f>IF(ORCAMENTOS!M391="","",ORCAMENTOS!M391)</f>
        <v>-</v>
      </c>
      <c r="L383" t="str">
        <f>IF(ORCAMENTOS!R391="","",ORCAMENTOS!R391)</f>
        <v>-</v>
      </c>
    </row>
    <row r="384" spans="1:12" ht="15.75" hidden="1" customHeight="1" x14ac:dyDescent="0.25">
      <c r="A384" s="36">
        <f>IF(ORCAMENTOS!A392="","",ORCAMENTOS!A392)</f>
        <v>45713</v>
      </c>
      <c r="B384" s="46">
        <f>IF(ORCAMENTOS!B392="","",ORCAMENTOS!B392)</f>
        <v>382</v>
      </c>
      <c r="C384" s="46" t="str">
        <f>IF(ORCAMENTOS!C392="","",ORCAMENTOS!C392)</f>
        <v/>
      </c>
      <c r="D384" s="37" t="str">
        <f>IF(ORCAMENTOS!D392="","",ORCAMENTOS!D392)</f>
        <v>RM3 ENGENHARIA</v>
      </c>
      <c r="E384" s="38" t="str">
        <f>IF(ORCAMENTOS!E392="","",ORCAMENTOS!E392)</f>
        <v>PREFEITURA MUNICIPAL DE TEIXEIRA FREITAS - SALVADOR - BA</v>
      </c>
      <c r="F384" s="37" t="str">
        <f>IF(ORCAMENTOS!G392="","",ORCAMENTOS!G392)</f>
        <v>Guilherme</v>
      </c>
      <c r="G384" s="37" t="str">
        <f>IF(ORCAMENTOS!H392="","",ORCAMENTOS!H392)</f>
        <v>Angelica</v>
      </c>
      <c r="H384" s="39">
        <f>IF(ORCAMENTOS!I392="","",ORCAMENTOS!I392)</f>
        <v>38041.629999999997</v>
      </c>
      <c r="I384" s="60" t="str">
        <f>IF(ORCAMENTOS!J392="","",ORCAMENTOS!J392)</f>
        <v/>
      </c>
      <c r="J384" s="40" t="str">
        <f>IF(ORCAMENTOS!L392="","",ORCAMENTOS!L392)</f>
        <v>CANCELADO</v>
      </c>
      <c r="K384" s="34" t="str">
        <f>IF(ORCAMENTOS!M392="","",ORCAMENTOS!M392)</f>
        <v>-</v>
      </c>
      <c r="L384" t="str">
        <f>IF(ORCAMENTOS!R392="","",ORCAMENTOS!R392)</f>
        <v>N/E</v>
      </c>
    </row>
    <row r="385" spans="1:12" ht="15.75" hidden="1" customHeight="1" x14ac:dyDescent="0.25">
      <c r="A385" s="36">
        <f>IF(ORCAMENTOS!A393="","",ORCAMENTOS!A393)</f>
        <v>45713</v>
      </c>
      <c r="B385" s="46">
        <f>IF(ORCAMENTOS!B393="","",ORCAMENTOS!B393)</f>
        <v>383</v>
      </c>
      <c r="C385" s="46" t="str">
        <f>IF(ORCAMENTOS!C393="","",ORCAMENTOS!C393)</f>
        <v/>
      </c>
      <c r="D385" s="37" t="str">
        <f>IF(ORCAMENTOS!D393="","",ORCAMENTOS!D393)</f>
        <v>EKO CLIMAX</v>
      </c>
      <c r="E385" s="38" t="str">
        <f>IF(ORCAMENTOS!E393="","",ORCAMENTOS!E393)</f>
        <v>-</v>
      </c>
      <c r="F385" s="37" t="str">
        <f>IF(ORCAMENTOS!G393="","",ORCAMENTOS!G393)</f>
        <v>Michel</v>
      </c>
      <c r="G385" s="37" t="str">
        <f>IF(ORCAMENTOS!H393="","",ORCAMENTOS!H393)</f>
        <v>Rogerio</v>
      </c>
      <c r="H385" s="39">
        <f>IF(ORCAMENTOS!I393="","",ORCAMENTOS!I393)</f>
        <v>8279.1</v>
      </c>
      <c r="I385" s="60" t="str">
        <f>IF(ORCAMENTOS!J393="","",ORCAMENTOS!J393)</f>
        <v/>
      </c>
      <c r="J385" s="40" t="str">
        <f>IF(ORCAMENTOS!L393="","",ORCAMENTOS!L393)</f>
        <v>FECHADO</v>
      </c>
      <c r="K385" s="34" t="str">
        <f>IF(ORCAMENTOS!M393="","",ORCAMENTOS!M393)</f>
        <v>-</v>
      </c>
      <c r="L385" t="str">
        <f>IF(ORCAMENTOS!R393="","",ORCAMENTOS!R393)</f>
        <v>-</v>
      </c>
    </row>
    <row r="386" spans="1:12" ht="15.75" hidden="1" customHeight="1" x14ac:dyDescent="0.25">
      <c r="A386" s="36">
        <f>IF(ORCAMENTOS!A394="","",ORCAMENTOS!A394)</f>
        <v>45713</v>
      </c>
      <c r="B386" s="46">
        <f>IF(ORCAMENTOS!B394="","",ORCAMENTOS!B394)</f>
        <v>384</v>
      </c>
      <c r="C386" s="46" t="str">
        <f>IF(ORCAMENTOS!C394="","",ORCAMENTOS!C394)</f>
        <v/>
      </c>
      <c r="D386" s="37" t="str">
        <f>IF(ORCAMENTOS!D394="","",ORCAMENTOS!D394)</f>
        <v>APICE CLIMA</v>
      </c>
      <c r="E386" s="38" t="str">
        <f>IF(ORCAMENTOS!E394="","",ORCAMENTOS!E394)</f>
        <v>BANCO DO BRASIL - CENTRO MARILIA - SP</v>
      </c>
      <c r="F386" s="37" t="str">
        <f>IF(ORCAMENTOS!G394="","",ORCAMENTOS!G394)</f>
        <v>Michel</v>
      </c>
      <c r="G386" s="37" t="str">
        <f>IF(ORCAMENTOS!H394="","",ORCAMENTOS!H394)</f>
        <v>Djair</v>
      </c>
      <c r="H386" s="39">
        <f>IF(ORCAMENTOS!I394="","",ORCAMENTOS!I394)</f>
        <v>82228.800000000003</v>
      </c>
      <c r="I386" s="60" t="str">
        <f>IF(ORCAMENTOS!J394="","",ORCAMENTOS!J394)</f>
        <v/>
      </c>
      <c r="J386" s="40" t="str">
        <f>IF(ORCAMENTOS!L394="","",ORCAMENTOS!L394)</f>
        <v>CANCELADO</v>
      </c>
      <c r="K386" s="34" t="str">
        <f>IF(ORCAMENTOS!M394="","",ORCAMENTOS!M394)</f>
        <v xml:space="preserve">Haverá revisão no projeto, a previsão para efetivar a compra é para o final do mês de março. </v>
      </c>
      <c r="L386" t="str">
        <f>IF(ORCAMENTOS!R394="","",ORCAMENTOS!R394)</f>
        <v>-</v>
      </c>
    </row>
    <row r="387" spans="1:12" ht="15.75" hidden="1" customHeight="1" x14ac:dyDescent="0.25">
      <c r="A387" s="36">
        <f>IF(ORCAMENTOS!A395="","",ORCAMENTOS!A395)</f>
        <v>45714</v>
      </c>
      <c r="B387" s="46">
        <f>IF(ORCAMENTOS!B395="","",ORCAMENTOS!B395)</f>
        <v>385</v>
      </c>
      <c r="C387" s="46" t="str">
        <f>IF(ORCAMENTOS!C395="","",ORCAMENTOS!C395)</f>
        <v/>
      </c>
      <c r="D387" s="37" t="str">
        <f>IF(ORCAMENTOS!D395="","",ORCAMENTOS!D395)</f>
        <v>CATELAN</v>
      </c>
      <c r="E387" s="38" t="str">
        <f>IF(ORCAMENTOS!E395="","",ORCAMENTOS!E395)</f>
        <v>-</v>
      </c>
      <c r="F387" s="37" t="str">
        <f>IF(ORCAMENTOS!G395="","",ORCAMENTOS!G395)</f>
        <v>Gabriel</v>
      </c>
      <c r="G387" s="37" t="str">
        <f>IF(ORCAMENTOS!H395="","",ORCAMENTOS!H395)</f>
        <v>Priscila</v>
      </c>
      <c r="H387" s="39">
        <f>IF(ORCAMENTOS!I395="","",ORCAMENTOS!I395)</f>
        <v>125908.21</v>
      </c>
      <c r="I387" s="60" t="str">
        <f>IF(ORCAMENTOS!J395="","",ORCAMENTOS!J395)</f>
        <v/>
      </c>
      <c r="J387" s="40" t="str">
        <f>IF(ORCAMENTOS!L395="","",ORCAMENTOS!L395)</f>
        <v>CANCELADO</v>
      </c>
      <c r="K387" s="34" t="str">
        <f>IF(ORCAMENTOS!M395="","",ORCAMENTOS!M395)</f>
        <v>-</v>
      </c>
      <c r="L387" t="str">
        <f>IF(ORCAMENTOS!R395="","",ORCAMENTOS!R395)</f>
        <v>-</v>
      </c>
    </row>
    <row r="388" spans="1:12" ht="15.75" hidden="1" customHeight="1" x14ac:dyDescent="0.25">
      <c r="A388" s="36">
        <f>IF(ORCAMENTOS!A396="","",ORCAMENTOS!A396)</f>
        <v>45713</v>
      </c>
      <c r="B388" s="46">
        <f>IF(ORCAMENTOS!B396="","",ORCAMENTOS!B396)</f>
        <v>386</v>
      </c>
      <c r="C388" s="46" t="str">
        <f>IF(ORCAMENTOS!C396="","",ORCAMENTOS!C396)</f>
        <v/>
      </c>
      <c r="D388" s="37" t="str">
        <f>IF(ORCAMENTOS!D396="","",ORCAMENTOS!D396)</f>
        <v>AMS INSTALACOES</v>
      </c>
      <c r="E388" s="38" t="str">
        <f>IF(ORCAMENTOS!E396="","",ORCAMENTOS!E396)</f>
        <v>-</v>
      </c>
      <c r="F388" s="37" t="str">
        <f>IF(ORCAMENTOS!G396="","",ORCAMENTOS!G396)</f>
        <v>Gabriel</v>
      </c>
      <c r="G388" s="37" t="str">
        <f>IF(ORCAMENTOS!H396="","",ORCAMENTOS!H396)</f>
        <v>Felipe</v>
      </c>
      <c r="H388" s="39">
        <f>IF(ORCAMENTOS!I396="","",ORCAMENTOS!I396)</f>
        <v>195.7</v>
      </c>
      <c r="I388" s="60" t="str">
        <f>IF(ORCAMENTOS!J396="","",ORCAMENTOS!J396)</f>
        <v/>
      </c>
      <c r="J388" s="40" t="str">
        <f>IF(ORCAMENTOS!L396="","",ORCAMENTOS!L396)</f>
        <v>CANCELADO</v>
      </c>
      <c r="K388" s="34" t="str">
        <f>IF(ORCAMENTOS!M396="","",ORCAMENTOS!M396)</f>
        <v>-</v>
      </c>
      <c r="L388" t="str">
        <f>IF(ORCAMENTOS!R396="","",ORCAMENTOS!R396)</f>
        <v>-</v>
      </c>
    </row>
    <row r="389" spans="1:12" ht="15.75" hidden="1" customHeight="1" x14ac:dyDescent="0.25">
      <c r="A389" s="36">
        <f>IF(ORCAMENTOS!A397="","",ORCAMENTOS!A397)</f>
        <v>45713</v>
      </c>
      <c r="B389" s="46">
        <f>IF(ORCAMENTOS!B397="","",ORCAMENTOS!B397)</f>
        <v>387</v>
      </c>
      <c r="C389" s="46" t="str">
        <f>IF(ORCAMENTOS!C397="","",ORCAMENTOS!C397)</f>
        <v/>
      </c>
      <c r="D389" s="37" t="str">
        <f>IF(ORCAMENTOS!D397="","",ORCAMENTOS!D397)</f>
        <v>ENEBRAS</v>
      </c>
      <c r="E389" s="38" t="str">
        <f>IF(ORCAMENTOS!E397="","",ORCAMENTOS!E397)</f>
        <v>GRAAC - 3671-24 - GRAAC - 1° E 7° ANDAR</v>
      </c>
      <c r="F389" s="37" t="str">
        <f>IF(ORCAMENTOS!G397="","",ORCAMENTOS!G397)</f>
        <v>Michel</v>
      </c>
      <c r="G389" s="37" t="str">
        <f>IF(ORCAMENTOS!H397="","",ORCAMENTOS!H397)</f>
        <v>Bruna</v>
      </c>
      <c r="H389" s="39">
        <f>IF(ORCAMENTOS!I397="","",ORCAMENTOS!I397)</f>
        <v>9019.7999999999993</v>
      </c>
      <c r="I389" s="60" t="str">
        <f>IF(ORCAMENTOS!J397="","",ORCAMENTOS!J397)</f>
        <v/>
      </c>
      <c r="J389" s="40" t="str">
        <f>IF(ORCAMENTOS!L397="","",ORCAMENTOS!L397)</f>
        <v>PERDIDO</v>
      </c>
      <c r="K389" s="34" t="str">
        <f>IF(ORCAMENTOS!M397="","",ORCAMENTOS!M397)</f>
        <v>MPU</v>
      </c>
      <c r="L389" t="str">
        <f>IF(ORCAMENTOS!R397="","",ORCAMENTOS!R397)</f>
        <v>-</v>
      </c>
    </row>
    <row r="390" spans="1:12" ht="15.75" hidden="1" customHeight="1" x14ac:dyDescent="0.25">
      <c r="A390" s="36">
        <f>IF(ORCAMENTOS!A398="","",ORCAMENTOS!A398)</f>
        <v>45713</v>
      </c>
      <c r="B390" s="46">
        <f>IF(ORCAMENTOS!B398="","",ORCAMENTOS!B398)</f>
        <v>388</v>
      </c>
      <c r="C390" s="46" t="str">
        <f>IF(ORCAMENTOS!C398="","",ORCAMENTOS!C398)</f>
        <v/>
      </c>
      <c r="D390" s="37" t="str">
        <f>IF(ORCAMENTOS!D398="","",ORCAMENTOS!D398)</f>
        <v>2XR ENGENHARIA</v>
      </c>
      <c r="E390" s="38" t="str">
        <f>IF(ORCAMENTOS!E398="","",ORCAMENTOS!E398)</f>
        <v>ACHE</v>
      </c>
      <c r="F390" s="37" t="str">
        <f>IF(ORCAMENTOS!G398="","",ORCAMENTOS!G398)</f>
        <v>Gabriel</v>
      </c>
      <c r="G390" s="37" t="str">
        <f>IF(ORCAMENTOS!H398="","",ORCAMENTOS!H398)</f>
        <v>Alexandre</v>
      </c>
      <c r="H390" s="39">
        <f>IF(ORCAMENTOS!I398="","",ORCAMENTOS!I398)</f>
        <v>34548.769999999997</v>
      </c>
      <c r="I390" s="60" t="str">
        <f>IF(ORCAMENTOS!J398="","",ORCAMENTOS!J398)</f>
        <v/>
      </c>
      <c r="J390" s="40" t="str">
        <f>IF(ORCAMENTOS!L398="","",ORCAMENTOS!L398)</f>
        <v>CANCELADO</v>
      </c>
      <c r="K390" s="34" t="str">
        <f>IF(ORCAMENTOS!M398="","",ORCAMENTOS!M398)</f>
        <v>-</v>
      </c>
      <c r="L390" t="str">
        <f>IF(ORCAMENTOS!R398="","",ORCAMENTOS!R398)</f>
        <v>-</v>
      </c>
    </row>
    <row r="391" spans="1:12" ht="15.75" hidden="1" customHeight="1" x14ac:dyDescent="0.25">
      <c r="A391" s="36">
        <f>IF(ORCAMENTOS!A399="","",ORCAMENTOS!A399)</f>
        <v>45713</v>
      </c>
      <c r="B391" s="46">
        <f>IF(ORCAMENTOS!B399="","",ORCAMENTOS!B399)</f>
        <v>389</v>
      </c>
      <c r="C391" s="46" t="str">
        <f>IF(ORCAMENTOS!C399="","",ORCAMENTOS!C399)</f>
        <v/>
      </c>
      <c r="D391" s="37" t="str">
        <f>IF(ORCAMENTOS!D399="","",ORCAMENTOS!D399)</f>
        <v>THERMOPOLO</v>
      </c>
      <c r="E391" s="38" t="str">
        <f>IF(ORCAMENTOS!E399="","",ORCAMENTOS!E399)</f>
        <v>SURF CLUB - REAL PARQUE - SÃO PAULO - SP</v>
      </c>
      <c r="F391" s="37" t="str">
        <f>IF(ORCAMENTOS!G399="","",ORCAMENTOS!G399)</f>
        <v>Gabriel</v>
      </c>
      <c r="G391" s="37" t="str">
        <f>IF(ORCAMENTOS!H399="","",ORCAMENTOS!H399)</f>
        <v>Cecilia</v>
      </c>
      <c r="H391" s="39">
        <f>IF(ORCAMENTOS!I399="","",ORCAMENTOS!I399)</f>
        <v>8965.1299999999992</v>
      </c>
      <c r="I391" s="60" t="str">
        <f>IF(ORCAMENTOS!J399="","",ORCAMENTOS!J399)</f>
        <v/>
      </c>
      <c r="J391" s="40" t="str">
        <f>IF(ORCAMENTOS!L399="","",ORCAMENTOS!L399)</f>
        <v>CANCELADO</v>
      </c>
      <c r="K391" s="34" t="str">
        <f>IF(ORCAMENTOS!M399="","",ORCAMENTOS!M399)</f>
        <v>-</v>
      </c>
      <c r="L391" t="str">
        <f>IF(ORCAMENTOS!R399="","",ORCAMENTOS!R399)</f>
        <v>-</v>
      </c>
    </row>
    <row r="392" spans="1:12" ht="15.75" hidden="1" customHeight="1" x14ac:dyDescent="0.25">
      <c r="A392" s="36">
        <f>IF(ORCAMENTOS!A400="","",ORCAMENTOS!A400)</f>
        <v>45713</v>
      </c>
      <c r="B392" s="46">
        <f>IF(ORCAMENTOS!B400="","",ORCAMENTOS!B400)</f>
        <v>390</v>
      </c>
      <c r="C392" s="46" t="str">
        <f>IF(ORCAMENTOS!C400="","",ORCAMENTOS!C400)</f>
        <v/>
      </c>
      <c r="D392" s="37" t="str">
        <f>IF(ORCAMENTOS!D400="","",ORCAMENTOS!D400)</f>
        <v>HEATING COOLING</v>
      </c>
      <c r="E392" s="38" t="str">
        <f>IF(ORCAMENTOS!E400="","",ORCAMENTOS!E400)</f>
        <v>-</v>
      </c>
      <c r="F392" s="37" t="str">
        <f>IF(ORCAMENTOS!G400="","",ORCAMENTOS!G400)</f>
        <v>Gabriel</v>
      </c>
      <c r="G392" s="37" t="str">
        <f>IF(ORCAMENTOS!H400="","",ORCAMENTOS!H400)</f>
        <v>Guilherme</v>
      </c>
      <c r="H392" s="39">
        <f>IF(ORCAMENTOS!I400="","",ORCAMENTOS!I400)</f>
        <v>4024.04</v>
      </c>
      <c r="I392" s="60" t="str">
        <f>IF(ORCAMENTOS!J400="","",ORCAMENTOS!J400)</f>
        <v/>
      </c>
      <c r="J392" s="40" t="str">
        <f>IF(ORCAMENTOS!L400="","",ORCAMENTOS!L400)</f>
        <v>CANCELADO</v>
      </c>
      <c r="K392" s="34" t="str">
        <f>IF(ORCAMENTOS!M400="","",ORCAMENTOS!M400)</f>
        <v>-</v>
      </c>
      <c r="L392" t="str">
        <f>IF(ORCAMENTOS!R400="","",ORCAMENTOS!R400)</f>
        <v>-</v>
      </c>
    </row>
    <row r="393" spans="1:12" ht="15.75" hidden="1" customHeight="1" x14ac:dyDescent="0.25">
      <c r="A393" s="36">
        <f>IF(ORCAMENTOS!A401="","",ORCAMENTOS!A401)</f>
        <v>45714</v>
      </c>
      <c r="B393" s="46">
        <f>IF(ORCAMENTOS!B401="","",ORCAMENTOS!B401)</f>
        <v>391</v>
      </c>
      <c r="C393" s="46" t="str">
        <f>IF(ORCAMENTOS!C401="","",ORCAMENTOS!C401)</f>
        <v/>
      </c>
      <c r="D393" s="37" t="str">
        <f>IF(ORCAMENTOS!D401="","",ORCAMENTOS!D401)</f>
        <v>TNAC ENGENHARIA</v>
      </c>
      <c r="E393" s="38" t="str">
        <f>IF(ORCAMENTOS!E401="","",ORCAMENTOS!E401)</f>
        <v>-</v>
      </c>
      <c r="F393" s="37" t="str">
        <f>IF(ORCAMENTOS!G401="","",ORCAMENTOS!G401)</f>
        <v>Fernando</v>
      </c>
      <c r="G393" s="37" t="str">
        <f>IF(ORCAMENTOS!H401="","",ORCAMENTOS!H401)</f>
        <v>Nara</v>
      </c>
      <c r="H393" s="39">
        <f>IF(ORCAMENTOS!I401="","",ORCAMENTOS!I401)</f>
        <v>4158.5</v>
      </c>
      <c r="I393" s="60" t="str">
        <f>IF(ORCAMENTOS!J401="","",ORCAMENTOS!J401)</f>
        <v/>
      </c>
      <c r="J393" s="40" t="str">
        <f>IF(ORCAMENTOS!L401="","",ORCAMENTOS!L401)</f>
        <v>FECHADO</v>
      </c>
      <c r="K393" s="34" t="str">
        <f>IF(ORCAMENTOS!M401="","",ORCAMENTOS!M401)</f>
        <v>-</v>
      </c>
      <c r="L393" t="str">
        <f>IF(ORCAMENTOS!R401="","",ORCAMENTOS!R401)</f>
        <v>-</v>
      </c>
    </row>
    <row r="394" spans="1:12" ht="15.75" hidden="1" customHeight="1" x14ac:dyDescent="0.25">
      <c r="A394" s="36">
        <f>IF(ORCAMENTOS!A402="","",ORCAMENTOS!A402)</f>
        <v>45714</v>
      </c>
      <c r="B394" s="46">
        <f>IF(ORCAMENTOS!B402="","",ORCAMENTOS!B402)</f>
        <v>392</v>
      </c>
      <c r="C394" s="46" t="str">
        <f>IF(ORCAMENTOS!C402="","",ORCAMENTOS!C402)</f>
        <v/>
      </c>
      <c r="D394" s="37" t="str">
        <f>IF(ORCAMENTOS!D402="","",ORCAMENTOS!D402)</f>
        <v>PU DUTOS</v>
      </c>
      <c r="E394" s="38" t="str">
        <f>IF(ORCAMENTOS!E402="","",ORCAMENTOS!E402)</f>
        <v>-</v>
      </c>
      <c r="F394" s="37" t="str">
        <f>IF(ORCAMENTOS!G402="","",ORCAMENTOS!G402)</f>
        <v>Gabriel</v>
      </c>
      <c r="G394" s="37" t="str">
        <f>IF(ORCAMENTOS!H402="","",ORCAMENTOS!H402)</f>
        <v>Thiago</v>
      </c>
      <c r="H394" s="39">
        <f>IF(ORCAMENTOS!I402="","",ORCAMENTOS!I402)</f>
        <v>2528.4699999999998</v>
      </c>
      <c r="I394" s="60" t="str">
        <f>IF(ORCAMENTOS!J402="","",ORCAMENTOS!J402)</f>
        <v/>
      </c>
      <c r="J394" s="40" t="str">
        <f>IF(ORCAMENTOS!L402="","",ORCAMENTOS!L402)</f>
        <v>CANCELADO</v>
      </c>
      <c r="K394" s="34" t="str">
        <f>IF(ORCAMENTOS!M402="","",ORCAMENTOS!M402)</f>
        <v>-</v>
      </c>
      <c r="L394" t="str">
        <f>IF(ORCAMENTOS!R402="","",ORCAMENTOS!R402)</f>
        <v>-</v>
      </c>
    </row>
    <row r="395" spans="1:12" ht="15.75" hidden="1" customHeight="1" x14ac:dyDescent="0.25">
      <c r="A395" s="36">
        <f>IF(ORCAMENTOS!A403="","",ORCAMENTOS!A403)</f>
        <v>45714</v>
      </c>
      <c r="B395" s="46">
        <f>IF(ORCAMENTOS!B403="","",ORCAMENTOS!B403)</f>
        <v>393</v>
      </c>
      <c r="C395" s="46" t="str">
        <f>IF(ORCAMENTOS!C403="","",ORCAMENTOS!C403)</f>
        <v/>
      </c>
      <c r="D395" s="37" t="str">
        <f>IF(ORCAMENTOS!D403="","",ORCAMENTOS!D403)</f>
        <v>ENGPLAN</v>
      </c>
      <c r="E395" s="38" t="str">
        <f>IF(ORCAMENTOS!E403="","",ORCAMENTOS!E403)</f>
        <v>BOLSA DE IMOVEIS - EDIFICIO FARIA LIMA 1</v>
      </c>
      <c r="F395" s="37" t="str">
        <f>IF(ORCAMENTOS!G403="","",ORCAMENTOS!G403)</f>
        <v>Fernando</v>
      </c>
      <c r="G395" s="37" t="str">
        <f>IF(ORCAMENTOS!H403="","",ORCAMENTOS!H403)</f>
        <v>Genilson</v>
      </c>
      <c r="H395" s="39">
        <f>IF(ORCAMENTOS!I403="","",ORCAMENTOS!I403)</f>
        <v>738361.09</v>
      </c>
      <c r="I395" s="60" t="str">
        <f>IF(ORCAMENTOS!J403="","",ORCAMENTOS!J403)</f>
        <v/>
      </c>
      <c r="J395" s="40" t="str">
        <f>IF(ORCAMENTOS!L403="","",ORCAMENTOS!L403)</f>
        <v>CANCELADO</v>
      </c>
      <c r="K395" s="34" t="str">
        <f>IF(ORCAMENTOS!M403="","",ORCAMENTOS!M403)</f>
        <v>-</v>
      </c>
      <c r="L395" t="str">
        <f>IF(ORCAMENTOS!R403="","",ORCAMENTOS!R403)</f>
        <v>-</v>
      </c>
    </row>
    <row r="396" spans="1:12" ht="15.75" hidden="1" customHeight="1" x14ac:dyDescent="0.25">
      <c r="A396" s="36">
        <f>IF(ORCAMENTOS!A404="","",ORCAMENTOS!A404)</f>
        <v>45714</v>
      </c>
      <c r="B396" s="46">
        <f>IF(ORCAMENTOS!B404="","",ORCAMENTOS!B404)</f>
        <v>394</v>
      </c>
      <c r="C396" s="46" t="str">
        <f>IF(ORCAMENTOS!C404="","",ORCAMENTOS!C404)</f>
        <v/>
      </c>
      <c r="D396" s="37" t="str">
        <f>IF(ORCAMENTOS!D404="","",ORCAMENTOS!D404)</f>
        <v>CONFORTO ENGENHARIA</v>
      </c>
      <c r="E396" s="38" t="str">
        <f>IF(ORCAMENTOS!E404="","",ORCAMENTOS!E404)</f>
        <v>HOSPITAL MUNICIPAL DOUTOR FERNANDO MAURO PIRES DA ROCHA</v>
      </c>
      <c r="F396" s="37" t="str">
        <f>IF(ORCAMENTOS!G404="","",ORCAMENTOS!G404)</f>
        <v>Michel</v>
      </c>
      <c r="G396" s="37" t="str">
        <f>IF(ORCAMENTOS!H404="","",ORCAMENTOS!H404)</f>
        <v>Kaine</v>
      </c>
      <c r="H396" s="39">
        <f>IF(ORCAMENTOS!I404="","",ORCAMENTOS!I404)</f>
        <v>36916.5</v>
      </c>
      <c r="I396" s="60" t="str">
        <f>IF(ORCAMENTOS!J404="","",ORCAMENTOS!J404)</f>
        <v/>
      </c>
      <c r="J396" s="40" t="str">
        <f>IF(ORCAMENTOS!L404="","",ORCAMENTOS!L404)</f>
        <v>CANCELADO</v>
      </c>
      <c r="K396" s="34" t="str">
        <f>IF(ORCAMENTOS!M404="","",ORCAMENTOS!M404)</f>
        <v xml:space="preserve">Conforme a Kaine disse é uma estimativa, não é obra para fechamento ainda. </v>
      </c>
      <c r="L396" t="str">
        <f>IF(ORCAMENTOS!R404="","",ORCAMENTOS!R404)</f>
        <v>MPU</v>
      </c>
    </row>
    <row r="397" spans="1:12" ht="15.75" hidden="1" customHeight="1" x14ac:dyDescent="0.25">
      <c r="A397" s="36">
        <f>IF(ORCAMENTOS!A405="","",ORCAMENTOS!A405)</f>
        <v>45714</v>
      </c>
      <c r="B397" s="46">
        <f>IF(ORCAMENTOS!B405="","",ORCAMENTOS!B405)</f>
        <v>395</v>
      </c>
      <c r="C397" s="46" t="str">
        <f>IF(ORCAMENTOS!C405="","",ORCAMENTOS!C405)</f>
        <v/>
      </c>
      <c r="D397" s="37" t="str">
        <f>IF(ORCAMENTOS!D405="","",ORCAMENTOS!D405)</f>
        <v>ENEBRAS</v>
      </c>
      <c r="E397" s="38" t="str">
        <f>IF(ORCAMENTOS!E405="","",ORCAMENTOS!E405)</f>
        <v>-</v>
      </c>
      <c r="F397" s="37" t="str">
        <f>IF(ORCAMENTOS!G405="","",ORCAMENTOS!G405)</f>
        <v>Michel</v>
      </c>
      <c r="G397" s="37" t="str">
        <f>IF(ORCAMENTOS!H405="","",ORCAMENTOS!H405)</f>
        <v>Thiago</v>
      </c>
      <c r="H397" s="39">
        <f>IF(ORCAMENTOS!I405="","",ORCAMENTOS!I405)</f>
        <v>146274.76</v>
      </c>
      <c r="I397" s="60" t="str">
        <f>IF(ORCAMENTOS!J405="","",ORCAMENTOS!J405)</f>
        <v/>
      </c>
      <c r="J397" s="40" t="str">
        <f>IF(ORCAMENTOS!L405="","",ORCAMENTOS!L405)</f>
        <v>CANCELADO</v>
      </c>
      <c r="K397" s="34" t="str">
        <f>IF(ORCAMENTOS!M405="","",ORCAMENTOS!M405)</f>
        <v>O Thiago informou que ganharam somente o projeto da obra Sapopemba, mas vai para concorrência e licitação no mercado, não é obra da Enebras.</v>
      </c>
      <c r="L397" t="str">
        <f>IF(ORCAMENTOS!R405="","",ORCAMENTOS!R405)</f>
        <v>-</v>
      </c>
    </row>
    <row r="398" spans="1:12" ht="15.75" hidden="1" customHeight="1" x14ac:dyDescent="0.25">
      <c r="A398" s="36">
        <f>IF(ORCAMENTOS!A406="","",ORCAMENTOS!A406)</f>
        <v>45714</v>
      </c>
      <c r="B398" s="46">
        <f>IF(ORCAMENTOS!B406="","",ORCAMENTOS!B406)</f>
        <v>396</v>
      </c>
      <c r="C398" s="46" t="str">
        <f>IF(ORCAMENTOS!C406="","",ORCAMENTOS!C406)</f>
        <v/>
      </c>
      <c r="D398" s="37" t="str">
        <f>IF(ORCAMENTOS!D406="","",ORCAMENTOS!D406)</f>
        <v>ECOTHERM</v>
      </c>
      <c r="E398" s="38" t="str">
        <f>IF(ORCAMENTOS!E406="","",ORCAMENTOS!E406)</f>
        <v>HOSPITAL DE FRANCA</v>
      </c>
      <c r="F398" s="37" t="str">
        <f>IF(ORCAMENTOS!G406="","",ORCAMENTOS!G406)</f>
        <v>Emanuel</v>
      </c>
      <c r="G398" s="37" t="str">
        <f>IF(ORCAMENTOS!H406="","",ORCAMENTOS!H406)</f>
        <v>Selma</v>
      </c>
      <c r="H398" s="39">
        <f>IF(ORCAMENTOS!I406="","",ORCAMENTOS!I406)</f>
        <v>95207.96</v>
      </c>
      <c r="I398" s="60" t="str">
        <f>IF(ORCAMENTOS!J406="","",ORCAMENTOS!J406)</f>
        <v/>
      </c>
      <c r="J398" s="40" t="str">
        <f>IF(ORCAMENTOS!L406="","",ORCAMENTOS!L406)</f>
        <v>CANCELADO</v>
      </c>
      <c r="K398" s="34" t="str">
        <f>IF(ORCAMENTOS!M406="","",ORCAMENTOS!M406)</f>
        <v>Aberto, estou marcando no cliente para proxima semana</v>
      </c>
      <c r="L398" t="str">
        <f>IF(ORCAMENTOS!R406="","",ORCAMENTOS!R406)</f>
        <v>-</v>
      </c>
    </row>
    <row r="399" spans="1:12" ht="15.75" hidden="1" customHeight="1" x14ac:dyDescent="0.25">
      <c r="A399" s="36">
        <f>IF(ORCAMENTOS!A407="","",ORCAMENTOS!A407)</f>
        <v>45714</v>
      </c>
      <c r="B399" s="46">
        <f>IF(ORCAMENTOS!B407="","",ORCAMENTOS!B407)</f>
        <v>397</v>
      </c>
      <c r="C399" s="46" t="str">
        <f>IF(ORCAMENTOS!C407="","",ORCAMENTOS!C407)</f>
        <v/>
      </c>
      <c r="D399" s="37" t="str">
        <f>IF(ORCAMENTOS!D407="","",ORCAMENTOS!D407)</f>
        <v>SOLAR AR</v>
      </c>
      <c r="E399" s="38" t="str">
        <f>IF(ORCAMENTOS!E407="","",ORCAMENTOS!E407)</f>
        <v>YOUCOM - LORENA - RJ</v>
      </c>
      <c r="F399" s="37" t="str">
        <f>IF(ORCAMENTOS!G407="","",ORCAMENTOS!G407)</f>
        <v>Michel</v>
      </c>
      <c r="G399" s="37" t="str">
        <f>IF(ORCAMENTOS!H407="","",ORCAMENTOS!H407)</f>
        <v>Enzo</v>
      </c>
      <c r="H399" s="39">
        <f>IF(ORCAMENTOS!I407="","",ORCAMENTOS!I407)</f>
        <v>13990.85</v>
      </c>
      <c r="I399" s="60" t="str">
        <f>IF(ORCAMENTOS!J407="","",ORCAMENTOS!J407)</f>
        <v/>
      </c>
      <c r="J399" s="40" t="str">
        <f>IF(ORCAMENTOS!L407="","",ORCAMENTOS!L407)</f>
        <v>CANCELADO</v>
      </c>
      <c r="K399" s="34" t="str">
        <f>IF(ORCAMENTOS!M407="","",ORCAMENTOS!M407)</f>
        <v>Enviado ao cliente, aguardando retorno / orçamento</v>
      </c>
      <c r="L399" t="str">
        <f>IF(ORCAMENTOS!R407="","",ORCAMENTOS!R407)</f>
        <v>-</v>
      </c>
    </row>
    <row r="400" spans="1:12" ht="15.75" hidden="1" customHeight="1" x14ac:dyDescent="0.25">
      <c r="A400" s="36">
        <f>IF(ORCAMENTOS!A408="","",ORCAMENTOS!A408)</f>
        <v>45714</v>
      </c>
      <c r="B400" s="46">
        <f>IF(ORCAMENTOS!B408="","",ORCAMENTOS!B408)</f>
        <v>398</v>
      </c>
      <c r="C400" s="46" t="str">
        <f>IF(ORCAMENTOS!C408="","",ORCAMENTOS!C408)</f>
        <v/>
      </c>
      <c r="D400" s="37" t="str">
        <f>IF(ORCAMENTOS!D408="","",ORCAMENTOS!D408)</f>
        <v>INTEG ENGENHARIA</v>
      </c>
      <c r="E400" s="38" t="str">
        <f>IF(ORCAMENTOS!E408="","",ORCAMENTOS!E408)</f>
        <v>-</v>
      </c>
      <c r="F400" s="37" t="str">
        <f>IF(ORCAMENTOS!G408="","",ORCAMENTOS!G408)</f>
        <v>Fernando</v>
      </c>
      <c r="G400" s="37" t="str">
        <f>IF(ORCAMENTOS!H408="","",ORCAMENTOS!H408)</f>
        <v>Angelo</v>
      </c>
      <c r="H400" s="39">
        <f>IF(ORCAMENTOS!I408="","",ORCAMENTOS!I408)</f>
        <v>14522.34</v>
      </c>
      <c r="I400" s="60" t="str">
        <f>IF(ORCAMENTOS!J408="","",ORCAMENTOS!J408)</f>
        <v/>
      </c>
      <c r="J400" s="40" t="str">
        <f>IF(ORCAMENTOS!L408="","",ORCAMENTOS!L408)</f>
        <v>PERDIDO</v>
      </c>
      <c r="K400" s="34" t="str">
        <f>IF(ORCAMENTOS!M408="","",ORCAMENTOS!M408)</f>
        <v>MULTIVAC/DEVIDO AO INCÊNDIO</v>
      </c>
      <c r="L400" t="str">
        <f>IF(ORCAMENTOS!R408="","",ORCAMENTOS!R408)</f>
        <v>-</v>
      </c>
    </row>
    <row r="401" spans="1:12" ht="15.75" hidden="1" customHeight="1" x14ac:dyDescent="0.25">
      <c r="A401" s="36">
        <f>IF(ORCAMENTOS!A409="","",ORCAMENTOS!A409)</f>
        <v>45714</v>
      </c>
      <c r="B401" s="46">
        <f>IF(ORCAMENTOS!B409="","",ORCAMENTOS!B409)</f>
        <v>399</v>
      </c>
      <c r="C401" s="46" t="str">
        <f>IF(ORCAMENTOS!C409="","",ORCAMENTOS!C409)</f>
        <v/>
      </c>
      <c r="D401" s="37" t="str">
        <f>IF(ORCAMENTOS!D409="","",ORCAMENTOS!D409)</f>
        <v>EL E COMMERCE</v>
      </c>
      <c r="E401" s="38" t="str">
        <f>IF(ORCAMENTOS!E409="","",ORCAMENTOS!E409)</f>
        <v>-</v>
      </c>
      <c r="F401" s="37" t="str">
        <f>IF(ORCAMENTOS!G409="","",ORCAMENTOS!G409)</f>
        <v>Gabriel</v>
      </c>
      <c r="G401" s="37" t="str">
        <f>IF(ORCAMENTOS!H409="","",ORCAMENTOS!H409)</f>
        <v>Naira</v>
      </c>
      <c r="H401" s="39">
        <f>IF(ORCAMENTOS!I409="","",ORCAMENTOS!I409)</f>
        <v>2040.43</v>
      </c>
      <c r="I401" s="60" t="str">
        <f>IF(ORCAMENTOS!J409="","",ORCAMENTOS!J409)</f>
        <v/>
      </c>
      <c r="J401" s="40" t="str">
        <f>IF(ORCAMENTOS!L409="","",ORCAMENTOS!L409)</f>
        <v>FECHADO</v>
      </c>
      <c r="K401" s="34" t="str">
        <f>IF(ORCAMENTOS!M409="","",ORCAMENTOS!M409)</f>
        <v>-</v>
      </c>
      <c r="L401" t="str">
        <f>IF(ORCAMENTOS!R409="","",ORCAMENTOS!R409)</f>
        <v>-</v>
      </c>
    </row>
    <row r="402" spans="1:12" ht="15.75" hidden="1" customHeight="1" x14ac:dyDescent="0.25">
      <c r="A402" s="36">
        <f>IF(ORCAMENTOS!A410="","",ORCAMENTOS!A410)</f>
        <v>45714</v>
      </c>
      <c r="B402" s="46">
        <f>IF(ORCAMENTOS!B410="","",ORCAMENTOS!B410)</f>
        <v>400</v>
      </c>
      <c r="C402" s="46" t="str">
        <f>IF(ORCAMENTOS!C410="","",ORCAMENTOS!C410)</f>
        <v/>
      </c>
      <c r="D402" s="37" t="str">
        <f>IF(ORCAMENTOS!D410="","",ORCAMENTOS!D410)</f>
        <v>SP1 ENGENHARIA</v>
      </c>
      <c r="E402" s="38" t="str">
        <f>IF(ORCAMENTOS!E410="","",ORCAMENTOS!E410)</f>
        <v>-</v>
      </c>
      <c r="F402" s="37" t="str">
        <f>IF(ORCAMENTOS!G410="","",ORCAMENTOS!G410)</f>
        <v>Gabriel</v>
      </c>
      <c r="G402" s="37" t="str">
        <f>IF(ORCAMENTOS!H410="","",ORCAMENTOS!H410)</f>
        <v>Silvio</v>
      </c>
      <c r="H402" s="39">
        <f>IF(ORCAMENTOS!I410="","",ORCAMENTOS!I410)</f>
        <v>1509.49</v>
      </c>
      <c r="I402" s="60" t="str">
        <f>IF(ORCAMENTOS!J410="","",ORCAMENTOS!J410)</f>
        <v/>
      </c>
      <c r="J402" s="40" t="str">
        <f>IF(ORCAMENTOS!L410="","",ORCAMENTOS!L410)</f>
        <v>CANCELADO</v>
      </c>
      <c r="K402" s="34" t="str">
        <f>IF(ORCAMENTOS!M410="","",ORCAMENTOS!M410)</f>
        <v>-</v>
      </c>
      <c r="L402" t="str">
        <f>IF(ORCAMENTOS!R410="","",ORCAMENTOS!R410)</f>
        <v/>
      </c>
    </row>
    <row r="403" spans="1:12" ht="15.75" hidden="1" customHeight="1" x14ac:dyDescent="0.25">
      <c r="A403" s="36">
        <f>IF(ORCAMENTOS!A411="","",ORCAMENTOS!A411)</f>
        <v>45714</v>
      </c>
      <c r="B403" s="46">
        <f>IF(ORCAMENTOS!B411="","",ORCAMENTOS!B411)</f>
        <v>401</v>
      </c>
      <c r="C403" s="46" t="str">
        <f>IF(ORCAMENTOS!C411="","",ORCAMENTOS!C411)</f>
        <v/>
      </c>
      <c r="D403" s="37" t="str">
        <f>IF(ORCAMENTOS!D411="","",ORCAMENTOS!D411)</f>
        <v>SANTA CASA SOROCABA</v>
      </c>
      <c r="E403" s="38" t="str">
        <f>IF(ORCAMENTOS!E411="","",ORCAMENTOS!E411)</f>
        <v>SANTA CASA DE MISERICORDIA</v>
      </c>
      <c r="F403" s="37" t="str">
        <f>IF(ORCAMENTOS!G411="","",ORCAMENTOS!G411)</f>
        <v>Gabriel</v>
      </c>
      <c r="G403" s="37" t="str">
        <f>IF(ORCAMENTOS!H411="","",ORCAMENTOS!H411)</f>
        <v>Leandro</v>
      </c>
      <c r="H403" s="39">
        <f>IF(ORCAMENTOS!I411="","",ORCAMENTOS!I411)</f>
        <v>29159.74</v>
      </c>
      <c r="I403" s="60" t="str">
        <f>IF(ORCAMENTOS!J411="","",ORCAMENTOS!J411)</f>
        <v/>
      </c>
      <c r="J403" s="40" t="str">
        <f>IF(ORCAMENTOS!L411="","",ORCAMENTOS!L411)</f>
        <v>CANCELADO</v>
      </c>
      <c r="K403" s="34" t="str">
        <f>IF(ORCAMENTOS!M411="","",ORCAMENTOS!M411)</f>
        <v>-</v>
      </c>
      <c r="L403" t="str">
        <f>IF(ORCAMENTOS!R411="","",ORCAMENTOS!R411)</f>
        <v>-</v>
      </c>
    </row>
    <row r="404" spans="1:12" ht="15.75" hidden="1" customHeight="1" x14ac:dyDescent="0.25">
      <c r="A404" s="36">
        <f>IF(ORCAMENTOS!A412="","",ORCAMENTOS!A412)</f>
        <v>45714</v>
      </c>
      <c r="B404" s="46">
        <f>IF(ORCAMENTOS!B412="","",ORCAMENTOS!B412)</f>
        <v>402</v>
      </c>
      <c r="C404" s="46" t="str">
        <f>IF(ORCAMENTOS!C412="","",ORCAMENTOS!C412)</f>
        <v/>
      </c>
      <c r="D404" s="37" t="str">
        <f>IF(ORCAMENTOS!D412="","",ORCAMENTOS!D412)</f>
        <v>NEWSET</v>
      </c>
      <c r="E404" s="38" t="str">
        <f>IF(ORCAMENTOS!E412="","",ORCAMENTOS!E412)</f>
        <v>REDE DOR - HOSPITAL SÃO LUIZ - RIBEIRAO PRETO - SP</v>
      </c>
      <c r="F404" s="37" t="str">
        <f>IF(ORCAMENTOS!G412="","",ORCAMENTOS!G412)</f>
        <v xml:space="preserve">Aldavir </v>
      </c>
      <c r="G404" s="37" t="str">
        <f>IF(ORCAMENTOS!H412="","",ORCAMENTOS!H412)</f>
        <v>Atila</v>
      </c>
      <c r="H404" s="39">
        <f>IF(ORCAMENTOS!I412="","",ORCAMENTOS!I412)</f>
        <v>76105.45</v>
      </c>
      <c r="I404" s="60" t="str">
        <f>IF(ORCAMENTOS!J412="","",ORCAMENTOS!J412)</f>
        <v/>
      </c>
      <c r="J404" s="40" t="str">
        <f>IF(ORCAMENTOS!L412="","",ORCAMENTOS!L412)</f>
        <v>CANCELADO</v>
      </c>
      <c r="K404" s="34" t="str">
        <f>IF(ORCAMENTOS!M412="","",ORCAMENTOS!M412)</f>
        <v>-</v>
      </c>
      <c r="L404" t="str">
        <f>IF(ORCAMENTOS!R412="","",ORCAMENTOS!R412)</f>
        <v>-</v>
      </c>
    </row>
    <row r="405" spans="1:12" ht="15.75" hidden="1" customHeight="1" x14ac:dyDescent="0.25">
      <c r="A405" s="36">
        <f>IF(ORCAMENTOS!A413="","",ORCAMENTOS!A413)</f>
        <v>45715</v>
      </c>
      <c r="B405" s="46">
        <f>IF(ORCAMENTOS!B413="","",ORCAMENTOS!B413)</f>
        <v>403</v>
      </c>
      <c r="C405" s="46" t="str">
        <f>IF(ORCAMENTOS!C413="","",ORCAMENTOS!C413)</f>
        <v/>
      </c>
      <c r="D405" s="37" t="str">
        <f>IF(ORCAMENTOS!D413="","",ORCAMENTOS!D413)</f>
        <v>AWA AR CONDICIONADO</v>
      </c>
      <c r="E405" s="38" t="str">
        <f>IF(ORCAMENTOS!E413="","",ORCAMENTOS!E413)</f>
        <v>MIX MATEUS - FEIRA DE SANTANA - BA</v>
      </c>
      <c r="F405" s="37" t="str">
        <f>IF(ORCAMENTOS!G413="","",ORCAMENTOS!G413)</f>
        <v>Guilherme</v>
      </c>
      <c r="G405" s="37" t="str">
        <f>IF(ORCAMENTOS!H413="","",ORCAMENTOS!H413)</f>
        <v>Guilherme</v>
      </c>
      <c r="H405" s="39">
        <f>IF(ORCAMENTOS!I413="","",ORCAMENTOS!I413)</f>
        <v>290290.36</v>
      </c>
      <c r="I405" s="60" t="str">
        <f>IF(ORCAMENTOS!J413="","",ORCAMENTOS!J413)</f>
        <v/>
      </c>
      <c r="J405" s="40" t="str">
        <f>IF(ORCAMENTOS!L413="","",ORCAMENTOS!L413)</f>
        <v>CANCELADO</v>
      </c>
      <c r="K405" s="34" t="str">
        <f>IF(ORCAMENTOS!M413="","",ORCAMENTOS!M413)</f>
        <v>-</v>
      </c>
      <c r="L405" t="str">
        <f>IF(ORCAMENTOS!R413="","",ORCAMENTOS!R413)</f>
        <v>-</v>
      </c>
    </row>
    <row r="406" spans="1:12" ht="15.75" hidden="1" customHeight="1" x14ac:dyDescent="0.25">
      <c r="A406" s="36">
        <f>IF(ORCAMENTOS!A414="","",ORCAMENTOS!A414)</f>
        <v>45715</v>
      </c>
      <c r="B406" s="46">
        <f>IF(ORCAMENTOS!B414="","",ORCAMENTOS!B414)</f>
        <v>404</v>
      </c>
      <c r="C406" s="46" t="str">
        <f>IF(ORCAMENTOS!C414="","",ORCAMENTOS!C414)</f>
        <v/>
      </c>
      <c r="D406" s="37" t="str">
        <f>IF(ORCAMENTOS!D414="","",ORCAMENTOS!D414)</f>
        <v>ARCON AIR</v>
      </c>
      <c r="E406" s="38" t="str">
        <f>IF(ORCAMENTOS!E414="","",ORCAMENTOS!E414)</f>
        <v>KIKO MULLER</v>
      </c>
      <c r="F406" s="37" t="str">
        <f>IF(ORCAMENTOS!G414="","",ORCAMENTOS!G414)</f>
        <v>Gabriel</v>
      </c>
      <c r="G406" s="37" t="str">
        <f>IF(ORCAMENTOS!H414="","",ORCAMENTOS!H414)</f>
        <v>Camila</v>
      </c>
      <c r="H406" s="39">
        <f>IF(ORCAMENTOS!I414="","",ORCAMENTOS!I414)</f>
        <v>4489.09</v>
      </c>
      <c r="I406" s="60" t="str">
        <f>IF(ORCAMENTOS!J414="","",ORCAMENTOS!J414)</f>
        <v/>
      </c>
      <c r="J406" s="40" t="str">
        <f>IF(ORCAMENTOS!L414="","",ORCAMENTOS!L414)</f>
        <v>FECHADO</v>
      </c>
      <c r="K406" s="34" t="str">
        <f>IF(ORCAMENTOS!M414="","",ORCAMENTOS!M414)</f>
        <v>-</v>
      </c>
      <c r="L406" t="str">
        <f>IF(ORCAMENTOS!R414="","",ORCAMENTOS!R414)</f>
        <v>-</v>
      </c>
    </row>
    <row r="407" spans="1:12" ht="15.75" hidden="1" customHeight="1" x14ac:dyDescent="0.25">
      <c r="A407" s="36">
        <f>IF(ORCAMENTOS!A415="","",ORCAMENTOS!A415)</f>
        <v>45715</v>
      </c>
      <c r="B407" s="46">
        <f>IF(ORCAMENTOS!B415="","",ORCAMENTOS!B415)</f>
        <v>405</v>
      </c>
      <c r="C407" s="46" t="str">
        <f>IF(ORCAMENTOS!C415="","",ORCAMENTOS!C415)</f>
        <v/>
      </c>
      <c r="D407" s="37" t="str">
        <f>IF(ORCAMENTOS!D415="","",ORCAMENTOS!D415)</f>
        <v>HEITOR JOSE</v>
      </c>
      <c r="E407" s="38" t="str">
        <f>IF(ORCAMENTOS!E415="","",ORCAMENTOS!E415)</f>
        <v>-</v>
      </c>
      <c r="F407" s="37" t="str">
        <f>IF(ORCAMENTOS!G415="","",ORCAMENTOS!G415)</f>
        <v>Gabriel</v>
      </c>
      <c r="G407" s="37" t="str">
        <f>IF(ORCAMENTOS!H415="","",ORCAMENTOS!H415)</f>
        <v>Heitor</v>
      </c>
      <c r="H407" s="39">
        <f>IF(ORCAMENTOS!I415="","",ORCAMENTOS!I415)</f>
        <v>2120.4699999999998</v>
      </c>
      <c r="I407" s="60" t="str">
        <f>IF(ORCAMENTOS!J415="","",ORCAMENTOS!J415)</f>
        <v/>
      </c>
      <c r="J407" s="40" t="str">
        <f>IF(ORCAMENTOS!L415="","",ORCAMENTOS!L415)</f>
        <v>CANCELADO</v>
      </c>
      <c r="K407" s="34" t="str">
        <f>IF(ORCAMENTOS!M415="","",ORCAMENTOS!M415)</f>
        <v>-</v>
      </c>
      <c r="L407" t="str">
        <f>IF(ORCAMENTOS!R415="","",ORCAMENTOS!R415)</f>
        <v>-</v>
      </c>
    </row>
    <row r="408" spans="1:12" ht="15.75" hidden="1" customHeight="1" x14ac:dyDescent="0.25">
      <c r="A408" s="36">
        <f>IF(ORCAMENTOS!A416="","",ORCAMENTOS!A416)</f>
        <v>45715</v>
      </c>
      <c r="B408" s="46">
        <f>IF(ORCAMENTOS!B416="","",ORCAMENTOS!B416)</f>
        <v>406</v>
      </c>
      <c r="C408" s="46" t="str">
        <f>IF(ORCAMENTOS!C416="","",ORCAMENTOS!C416)</f>
        <v/>
      </c>
      <c r="D408" s="37" t="str">
        <f>IF(ORCAMENTOS!D416="","",ORCAMENTOS!D416)</f>
        <v>MONTAGEM VIEIRA</v>
      </c>
      <c r="E408" s="38" t="str">
        <f>IF(ORCAMENTOS!E416="","",ORCAMENTOS!E416)</f>
        <v>ARTHI</v>
      </c>
      <c r="F408" s="37" t="str">
        <f>IF(ORCAMENTOS!G416="","",ORCAMENTOS!G416)</f>
        <v>Fernando</v>
      </c>
      <c r="G408" s="37" t="str">
        <f>IF(ORCAMENTOS!H416="","",ORCAMENTOS!H416)</f>
        <v>Sergio</v>
      </c>
      <c r="H408" s="39">
        <f>IF(ORCAMENTOS!I416="","",ORCAMENTOS!I416)</f>
        <v>38701.379999999997</v>
      </c>
      <c r="I408" s="60" t="str">
        <f>IF(ORCAMENTOS!J416="","",ORCAMENTOS!J416)</f>
        <v/>
      </c>
      <c r="J408" s="40" t="str">
        <f>IF(ORCAMENTOS!L416="","",ORCAMENTOS!L416)</f>
        <v>CANCELADO</v>
      </c>
      <c r="K408" s="34" t="str">
        <f>IF(ORCAMENTOS!M416="","",ORCAMENTOS!M416)</f>
        <v>-</v>
      </c>
      <c r="L408" t="str">
        <f>IF(ORCAMENTOS!R416="","",ORCAMENTOS!R416)</f>
        <v>-</v>
      </c>
    </row>
    <row r="409" spans="1:12" ht="15.75" hidden="1" customHeight="1" x14ac:dyDescent="0.25">
      <c r="A409" s="36">
        <f>IF(ORCAMENTOS!A417="","",ORCAMENTOS!A417)</f>
        <v>45715</v>
      </c>
      <c r="B409" s="46">
        <f>IF(ORCAMENTOS!B417="","",ORCAMENTOS!B417)</f>
        <v>407</v>
      </c>
      <c r="C409" s="46" t="str">
        <f>IF(ORCAMENTOS!C417="","",ORCAMENTOS!C417)</f>
        <v/>
      </c>
      <c r="D409" s="37" t="str">
        <f>IF(ORCAMENTOS!D417="","",ORCAMENTOS!D417)</f>
        <v>X AIR</v>
      </c>
      <c r="E409" s="38" t="str">
        <f>IF(ORCAMENTOS!E417="","",ORCAMENTOS!E417)</f>
        <v>-</v>
      </c>
      <c r="F409" s="37" t="str">
        <f>IF(ORCAMENTOS!G417="","",ORCAMENTOS!G417)</f>
        <v>Emanuel</v>
      </c>
      <c r="G409" s="37" t="str">
        <f>IF(ORCAMENTOS!H417="","",ORCAMENTOS!H417)</f>
        <v>Isabela</v>
      </c>
      <c r="H409" s="39">
        <f>IF(ORCAMENTOS!I417="","",ORCAMENTOS!I417)</f>
        <v>5992.84</v>
      </c>
      <c r="I409" s="60" t="str">
        <f>IF(ORCAMENTOS!J417="","",ORCAMENTOS!J417)</f>
        <v/>
      </c>
      <c r="J409" s="40" t="str">
        <f>IF(ORCAMENTOS!L417="","",ORCAMENTOS!L417)</f>
        <v>CANCELADO</v>
      </c>
      <c r="K409" s="34" t="str">
        <f>IF(ORCAMENTOS!M417="","",ORCAMENTOS!M417)</f>
        <v>-</v>
      </c>
      <c r="L409" t="str">
        <f>IF(ORCAMENTOS!R417="","",ORCAMENTOS!R417)</f>
        <v>-</v>
      </c>
    </row>
    <row r="410" spans="1:12" ht="15.75" hidden="1" customHeight="1" x14ac:dyDescent="0.25">
      <c r="A410" s="36">
        <f>IF(ORCAMENTOS!A418="","",ORCAMENTOS!A418)</f>
        <v>45715</v>
      </c>
      <c r="B410" s="46">
        <f>IF(ORCAMENTOS!B418="","",ORCAMENTOS!B418)</f>
        <v>408</v>
      </c>
      <c r="C410" s="46" t="str">
        <f>IF(ORCAMENTOS!C418="","",ORCAMENTOS!C418)</f>
        <v/>
      </c>
      <c r="D410" s="37" t="str">
        <f>IF(ORCAMENTOS!D418="","",ORCAMENTOS!D418)</f>
        <v>ACSISTEM</v>
      </c>
      <c r="E410" s="38" t="str">
        <f>IF(ORCAMENTOS!E418="","",ORCAMENTOS!E418)</f>
        <v>-</v>
      </c>
      <c r="F410" s="37" t="str">
        <f>IF(ORCAMENTOS!G418="","",ORCAMENTOS!G418)</f>
        <v>Emanuel</v>
      </c>
      <c r="G410" s="37" t="str">
        <f>IF(ORCAMENTOS!H418="","",ORCAMENTOS!H418)</f>
        <v>David</v>
      </c>
      <c r="H410" s="39">
        <f>IF(ORCAMENTOS!I418="","",ORCAMENTOS!I418)</f>
        <v>43857.48</v>
      </c>
      <c r="I410" s="60" t="str">
        <f>IF(ORCAMENTOS!J418="","",ORCAMENTOS!J418)</f>
        <v/>
      </c>
      <c r="J410" s="40" t="str">
        <f>IF(ORCAMENTOS!L418="","",ORCAMENTOS!L418)</f>
        <v>CANCELADO</v>
      </c>
      <c r="K410" s="34" t="str">
        <f>IF(ORCAMENTOS!M418="","",ORCAMENTOS!M418)</f>
        <v>-</v>
      </c>
      <c r="L410" t="str">
        <f>IF(ORCAMENTOS!R418="","",ORCAMENTOS!R418)</f>
        <v>-</v>
      </c>
    </row>
    <row r="411" spans="1:12" ht="15.75" hidden="1" customHeight="1" x14ac:dyDescent="0.25">
      <c r="A411" s="36">
        <f>IF(ORCAMENTOS!A419="","",ORCAMENTOS!A419)</f>
        <v>45715</v>
      </c>
      <c r="B411" s="46">
        <f>IF(ORCAMENTOS!B419="","",ORCAMENTOS!B419)</f>
        <v>409</v>
      </c>
      <c r="C411" s="46" t="str">
        <f>IF(ORCAMENTOS!C419="","",ORCAMENTOS!C419)</f>
        <v/>
      </c>
      <c r="D411" s="37" t="str">
        <f>IF(ORCAMENTOS!D419="","",ORCAMENTOS!D419)</f>
        <v>MOISES VIRIATO</v>
      </c>
      <c r="E411" s="38" t="str">
        <f>IF(ORCAMENTOS!E419="","",ORCAMENTOS!E419)</f>
        <v>CLOUDDOG - MOGI DAS CRUZES - SP</v>
      </c>
      <c r="F411" s="37" t="str">
        <f>IF(ORCAMENTOS!G419="","",ORCAMENTOS!G419)</f>
        <v>Gabriel</v>
      </c>
      <c r="G411" s="37" t="str">
        <f>IF(ORCAMENTOS!H419="","",ORCAMENTOS!H419)</f>
        <v>Moises</v>
      </c>
      <c r="H411" s="39">
        <f>IF(ORCAMENTOS!I419="","",ORCAMENTOS!I419)</f>
        <v>8492.06</v>
      </c>
      <c r="I411" s="60" t="str">
        <f>IF(ORCAMENTOS!J419="","",ORCAMENTOS!J419)</f>
        <v/>
      </c>
      <c r="J411" s="40" t="str">
        <f>IF(ORCAMENTOS!L419="","",ORCAMENTOS!L419)</f>
        <v>CANCELADO</v>
      </c>
      <c r="K411" s="34" t="str">
        <f>IF(ORCAMENTOS!M419="","",ORCAMENTOS!M419)</f>
        <v>-</v>
      </c>
      <c r="L411" t="str">
        <f>IF(ORCAMENTOS!R419="","",ORCAMENTOS!R419)</f>
        <v>-</v>
      </c>
    </row>
    <row r="412" spans="1:12" ht="15.75" hidden="1" customHeight="1" x14ac:dyDescent="0.25">
      <c r="A412" s="36">
        <f>IF(ORCAMENTOS!A420="","",ORCAMENTOS!A420)</f>
        <v>45715</v>
      </c>
      <c r="B412" s="46">
        <f>IF(ORCAMENTOS!B420="","",ORCAMENTOS!B420)</f>
        <v>410</v>
      </c>
      <c r="C412" s="46" t="str">
        <f>IF(ORCAMENTOS!C420="","",ORCAMENTOS!C420)</f>
        <v/>
      </c>
      <c r="D412" s="37" t="str">
        <f>IF(ORCAMENTOS!D420="","",ORCAMENTOS!D420)</f>
        <v>FL HVAC</v>
      </c>
      <c r="E412" s="38" t="str">
        <f>IF(ORCAMENTOS!E420="","",ORCAMENTOS!E420)</f>
        <v>YOUCOM - BH SHOPPING</v>
      </c>
      <c r="F412" s="37" t="str">
        <f>IF(ORCAMENTOS!G420="","",ORCAMENTOS!G420)</f>
        <v>Guilherme</v>
      </c>
      <c r="G412" s="37" t="str">
        <f>IF(ORCAMENTOS!H420="","",ORCAMENTOS!H420)</f>
        <v>Ynnaie</v>
      </c>
      <c r="H412" s="39">
        <f>IF(ORCAMENTOS!I420="","",ORCAMENTOS!I420)</f>
        <v>13020.39</v>
      </c>
      <c r="I412" s="60" t="str">
        <f>IF(ORCAMENTOS!J420="","",ORCAMENTOS!J420)</f>
        <v/>
      </c>
      <c r="J412" s="40" t="str">
        <f>IF(ORCAMENTOS!L420="","",ORCAMENTOS!L420)</f>
        <v>CANCELADO</v>
      </c>
      <c r="K412" s="34" t="str">
        <f>IF(ORCAMENTOS!M420="","",ORCAMENTOS!M420)</f>
        <v>-</v>
      </c>
      <c r="L412" t="str">
        <f>IF(ORCAMENTOS!R420="","",ORCAMENTOS!R420)</f>
        <v/>
      </c>
    </row>
    <row r="413" spans="1:12" ht="15.75" hidden="1" customHeight="1" x14ac:dyDescent="0.25">
      <c r="A413" s="36">
        <f>IF(ORCAMENTOS!A421="","",ORCAMENTOS!A421)</f>
        <v>45715</v>
      </c>
      <c r="B413" s="46">
        <f>IF(ORCAMENTOS!B421="","",ORCAMENTOS!B421)</f>
        <v>411</v>
      </c>
      <c r="C413" s="46" t="str">
        <f>IF(ORCAMENTOS!C421="","",ORCAMENTOS!C421)</f>
        <v/>
      </c>
      <c r="D413" s="37" t="str">
        <f>IF(ORCAMENTOS!D421="","",ORCAMENTOS!D421)</f>
        <v>IEDA DOS SANTOS</v>
      </c>
      <c r="E413" s="38" t="str">
        <f>IF(ORCAMENTOS!E421="","",ORCAMENTOS!E421)</f>
        <v>-</v>
      </c>
      <c r="F413" s="37" t="str">
        <f>IF(ORCAMENTOS!G421="","",ORCAMENTOS!G421)</f>
        <v>Gabriel</v>
      </c>
      <c r="G413" s="37" t="str">
        <f>IF(ORCAMENTOS!H421="","",ORCAMENTOS!H421)</f>
        <v>Ieda</v>
      </c>
      <c r="H413" s="39">
        <f>IF(ORCAMENTOS!I421="","",ORCAMENTOS!I421)</f>
        <v>206899.58</v>
      </c>
      <c r="I413" s="60" t="str">
        <f>IF(ORCAMENTOS!J421="","",ORCAMENTOS!J421)</f>
        <v/>
      </c>
      <c r="J413" s="40" t="str">
        <f>IF(ORCAMENTOS!L421="","",ORCAMENTOS!L421)</f>
        <v>CANCELADO</v>
      </c>
      <c r="K413" s="34" t="str">
        <f>IF(ORCAMENTOS!M421="","",ORCAMENTOS!M421)</f>
        <v>-</v>
      </c>
      <c r="L413" t="str">
        <f>IF(ORCAMENTOS!R421="","",ORCAMENTOS!R421)</f>
        <v>-</v>
      </c>
    </row>
    <row r="414" spans="1:12" ht="15.75" hidden="1" customHeight="1" x14ac:dyDescent="0.25">
      <c r="A414" s="36">
        <f>IF(ORCAMENTOS!A422="","",ORCAMENTOS!A422)</f>
        <v>45715</v>
      </c>
      <c r="B414" s="46">
        <f>IF(ORCAMENTOS!B422="","",ORCAMENTOS!B422)</f>
        <v>412</v>
      </c>
      <c r="C414" s="46" t="str">
        <f>IF(ORCAMENTOS!C422="","",ORCAMENTOS!C422)</f>
        <v/>
      </c>
      <c r="D414" s="37" t="str">
        <f>IF(ORCAMENTOS!D422="","",ORCAMENTOS!D422)</f>
        <v>CN COLD</v>
      </c>
      <c r="E414" s="38" t="str">
        <f>IF(ORCAMENTOS!E422="","",ORCAMENTOS!E422)</f>
        <v>FABRICA DE PAES - PANCO</v>
      </c>
      <c r="F414" s="37" t="str">
        <f>IF(ORCAMENTOS!G422="","",ORCAMENTOS!G422)</f>
        <v>Gabriel</v>
      </c>
      <c r="G414" s="37" t="str">
        <f>IF(ORCAMENTOS!H422="","",ORCAMENTOS!H422)</f>
        <v>Guilherme</v>
      </c>
      <c r="H414" s="39">
        <f>IF(ORCAMENTOS!I422="","",ORCAMENTOS!I422)</f>
        <v>45489.85</v>
      </c>
      <c r="I414" s="60" t="str">
        <f>IF(ORCAMENTOS!J422="","",ORCAMENTOS!J422)</f>
        <v/>
      </c>
      <c r="J414" s="40" t="str">
        <f>IF(ORCAMENTOS!L422="","",ORCAMENTOS!L422)</f>
        <v>CANCELADO</v>
      </c>
      <c r="K414" s="34" t="str">
        <f>IF(ORCAMENTOS!M422="","",ORCAMENTOS!M422)</f>
        <v>-</v>
      </c>
      <c r="L414" t="str">
        <f>IF(ORCAMENTOS!R422="","",ORCAMENTOS!R422)</f>
        <v/>
      </c>
    </row>
    <row r="415" spans="1:12" ht="15.75" hidden="1" customHeight="1" x14ac:dyDescent="0.25">
      <c r="A415" s="36">
        <f>IF(ORCAMENTOS!A423="","",ORCAMENTOS!A423)</f>
        <v>45715</v>
      </c>
      <c r="B415" s="46">
        <f>IF(ORCAMENTOS!B423="","",ORCAMENTOS!B423)</f>
        <v>413</v>
      </c>
      <c r="C415" s="46" t="str">
        <f>IF(ORCAMENTOS!C423="","",ORCAMENTOS!C423)</f>
        <v/>
      </c>
      <c r="D415" s="37" t="str">
        <f>IF(ORCAMENTOS!D423="","",ORCAMENTOS!D423)</f>
        <v>LTX CLIMATIZACAO</v>
      </c>
      <c r="E415" s="38" t="str">
        <f>IF(ORCAMENTOS!E423="","",ORCAMENTOS!E423)</f>
        <v>ADIDAS - FO TEODORO - SÃO PAULO - SP</v>
      </c>
      <c r="F415" s="37" t="str">
        <f>IF(ORCAMENTOS!G423="","",ORCAMENTOS!G423)</f>
        <v>Guilherme</v>
      </c>
      <c r="G415" s="37" t="str">
        <f>IF(ORCAMENTOS!H423="","",ORCAMENTOS!H423)</f>
        <v>David</v>
      </c>
      <c r="H415" s="39">
        <f>IF(ORCAMENTOS!I423="","",ORCAMENTOS!I423)</f>
        <v>29178.2</v>
      </c>
      <c r="I415" s="60" t="str">
        <f>IF(ORCAMENTOS!J423="","",ORCAMENTOS!J423)</f>
        <v/>
      </c>
      <c r="J415" s="40" t="str">
        <f>IF(ORCAMENTOS!L423="","",ORCAMENTOS!L423)</f>
        <v>CANCELADO</v>
      </c>
      <c r="K415" s="34" t="str">
        <f>IF(ORCAMENTOS!M423="","",ORCAMENTOS!M423)</f>
        <v>-</v>
      </c>
      <c r="L415" t="str">
        <f>IF(ORCAMENTOS!R423="","",ORCAMENTOS!R423)</f>
        <v/>
      </c>
    </row>
    <row r="416" spans="1:12" ht="15.75" hidden="1" customHeight="1" x14ac:dyDescent="0.25">
      <c r="A416" s="36">
        <f>IF(ORCAMENTOS!A424="","",ORCAMENTOS!A424)</f>
        <v>45715</v>
      </c>
      <c r="B416" s="46">
        <f>IF(ORCAMENTOS!B424="","",ORCAMENTOS!B424)</f>
        <v>414</v>
      </c>
      <c r="C416" s="46" t="str">
        <f>IF(ORCAMENTOS!C424="","",ORCAMENTOS!C424)</f>
        <v/>
      </c>
      <c r="D416" s="37" t="str">
        <f>IF(ORCAMENTOS!D424="","",ORCAMENTOS!D424)</f>
        <v>GLASSPECAS</v>
      </c>
      <c r="E416" s="38" t="str">
        <f>IF(ORCAMENTOS!E424="","",ORCAMENTOS!E424)</f>
        <v>-</v>
      </c>
      <c r="F416" s="37" t="str">
        <f>IF(ORCAMENTOS!G424="","",ORCAMENTOS!G424)</f>
        <v>Gabriel</v>
      </c>
      <c r="G416" s="37" t="str">
        <f>IF(ORCAMENTOS!H424="","",ORCAMENTOS!H424)</f>
        <v>Marcos</v>
      </c>
      <c r="H416" s="39">
        <f>IF(ORCAMENTOS!I424="","",ORCAMENTOS!I424)</f>
        <v>3821.27</v>
      </c>
      <c r="I416" s="60" t="str">
        <f>IF(ORCAMENTOS!J424="","",ORCAMENTOS!J424)</f>
        <v/>
      </c>
      <c r="J416" s="40" t="str">
        <f>IF(ORCAMENTOS!L424="","",ORCAMENTOS!L424)</f>
        <v>FECHADO</v>
      </c>
      <c r="K416" s="34" t="str">
        <f>IF(ORCAMENTOS!M424="","",ORCAMENTOS!M424)</f>
        <v>-</v>
      </c>
      <c r="L416" t="str">
        <f>IF(ORCAMENTOS!R424="","",ORCAMENTOS!R424)</f>
        <v>-</v>
      </c>
    </row>
    <row r="417" spans="1:12" ht="15.75" hidden="1" customHeight="1" x14ac:dyDescent="0.25">
      <c r="A417" s="36">
        <f>IF(ORCAMENTOS!A425="","",ORCAMENTOS!A425)</f>
        <v>45715</v>
      </c>
      <c r="B417" s="46">
        <f>IF(ORCAMENTOS!B425="","",ORCAMENTOS!B425)</f>
        <v>415</v>
      </c>
      <c r="C417" s="46" t="str">
        <f>IF(ORCAMENTOS!C425="","",ORCAMENTOS!C425)</f>
        <v/>
      </c>
      <c r="D417" s="37" t="str">
        <f>IF(ORCAMENTOS!D425="","",ORCAMENTOS!D425)</f>
        <v>AMS INSTALACOES</v>
      </c>
      <c r="E417" s="38" t="str">
        <f>IF(ORCAMENTOS!E425="","",ORCAMENTOS!E425)</f>
        <v>VEMKITEM - ARACAJU - SERGIPE - SE</v>
      </c>
      <c r="F417" s="37" t="str">
        <f>IF(ORCAMENTOS!G425="","",ORCAMENTOS!G425)</f>
        <v>Gabriel</v>
      </c>
      <c r="G417" s="37" t="str">
        <f>IF(ORCAMENTOS!H425="","",ORCAMENTOS!H425)</f>
        <v>Albertino</v>
      </c>
      <c r="H417" s="39">
        <f>IF(ORCAMENTOS!I425="","",ORCAMENTOS!I425)</f>
        <v>313439.17</v>
      </c>
      <c r="I417" s="60" t="str">
        <f>IF(ORCAMENTOS!J425="","",ORCAMENTOS!J425)</f>
        <v/>
      </c>
      <c r="J417" s="40" t="str">
        <f>IF(ORCAMENTOS!L425="","",ORCAMENTOS!L425)</f>
        <v>CANCELADO</v>
      </c>
      <c r="K417" s="34" t="str">
        <f>IF(ORCAMENTOS!M425="","",ORCAMENTOS!M425)</f>
        <v>-</v>
      </c>
      <c r="L417" t="str">
        <f>IF(ORCAMENTOS!R425="","",ORCAMENTOS!R425)</f>
        <v/>
      </c>
    </row>
    <row r="418" spans="1:12" ht="15.75" hidden="1" customHeight="1" x14ac:dyDescent="0.25">
      <c r="A418" s="36">
        <f>IF(ORCAMENTOS!A426="","",ORCAMENTOS!A426)</f>
        <v>45715</v>
      </c>
      <c r="B418" s="46">
        <f>IF(ORCAMENTOS!B426="","",ORCAMENTOS!B426)</f>
        <v>416</v>
      </c>
      <c r="C418" s="46" t="str">
        <f>IF(ORCAMENTOS!C426="","",ORCAMENTOS!C426)</f>
        <v/>
      </c>
      <c r="D418" s="37" t="str">
        <f>IF(ORCAMENTOS!D426="","",ORCAMENTOS!D426)</f>
        <v>TEKNOAR</v>
      </c>
      <c r="E418" s="38" t="str">
        <f>IF(ORCAMENTOS!E426="","",ORCAMENTOS!E426)</f>
        <v>HOSPITAL BENEFICENTE - DONA ELMIRIA SILVERIO BARBOSA</v>
      </c>
      <c r="F418" s="37" t="str">
        <f>IF(ORCAMENTOS!G426="","",ORCAMENTOS!G426)</f>
        <v>Gabriel</v>
      </c>
      <c r="G418" s="37" t="str">
        <f>IF(ORCAMENTOS!H426="","",ORCAMENTOS!H426)</f>
        <v>Mario</v>
      </c>
      <c r="H418" s="39">
        <f>IF(ORCAMENTOS!I426="","",ORCAMENTOS!I426)</f>
        <v>17359.27</v>
      </c>
      <c r="I418" s="60" t="str">
        <f>IF(ORCAMENTOS!J426="","",ORCAMENTOS!J426)</f>
        <v/>
      </c>
      <c r="J418" s="40" t="str">
        <f>IF(ORCAMENTOS!L426="","",ORCAMENTOS!L426)</f>
        <v>CANCELADO</v>
      </c>
      <c r="K418" s="34" t="str">
        <f>IF(ORCAMENTOS!M426="","",ORCAMENTOS!M426)</f>
        <v>-</v>
      </c>
      <c r="L418" t="str">
        <f>IF(ORCAMENTOS!R426="","",ORCAMENTOS!R426)</f>
        <v>-</v>
      </c>
    </row>
    <row r="419" spans="1:12" ht="15.75" hidden="1" customHeight="1" x14ac:dyDescent="0.25">
      <c r="A419" s="36">
        <f>IF(ORCAMENTOS!A427="","",ORCAMENTOS!A427)</f>
        <v>45716</v>
      </c>
      <c r="B419" s="46">
        <f>IF(ORCAMENTOS!B427="","",ORCAMENTOS!B427)</f>
        <v>417</v>
      </c>
      <c r="C419" s="46" t="str">
        <f>IF(ORCAMENTOS!C427="","",ORCAMENTOS!C427)</f>
        <v/>
      </c>
      <c r="D419" s="37" t="str">
        <f>IF(ORCAMENTOS!D427="","",ORCAMENTOS!D427)</f>
        <v>CESTAC</v>
      </c>
      <c r="E419" s="38" t="str">
        <f>IF(ORCAMENTOS!E427="","",ORCAMENTOS!E427)</f>
        <v>-</v>
      </c>
      <c r="F419" s="37" t="str">
        <f>IF(ORCAMENTOS!G427="","",ORCAMENTOS!G427)</f>
        <v>Michel</v>
      </c>
      <c r="G419" s="37" t="str">
        <f>IF(ORCAMENTOS!H427="","",ORCAMENTOS!H427)</f>
        <v>Eduardo</v>
      </c>
      <c r="H419" s="39">
        <f>IF(ORCAMENTOS!I427="","",ORCAMENTOS!I427)</f>
        <v>13405.98</v>
      </c>
      <c r="I419" s="60" t="str">
        <f>IF(ORCAMENTOS!J427="","",ORCAMENTOS!J427)</f>
        <v/>
      </c>
      <c r="J419" s="40" t="str">
        <f>IF(ORCAMENTOS!L427="","",ORCAMENTOS!L427)</f>
        <v>CANCELADO</v>
      </c>
      <c r="K419" s="34" t="str">
        <f>IF(ORCAMENTOS!M427="","",ORCAMENTOS!M427)</f>
        <v>-</v>
      </c>
      <c r="L419" t="str">
        <f>IF(ORCAMENTOS!R427="","",ORCAMENTOS!R427)</f>
        <v>-</v>
      </c>
    </row>
    <row r="420" spans="1:12" ht="15.75" hidden="1" customHeight="1" x14ac:dyDescent="0.25">
      <c r="A420" s="36">
        <f>IF(ORCAMENTOS!A428="","",ORCAMENTOS!A428)</f>
        <v>45715</v>
      </c>
      <c r="B420" s="46">
        <f>IF(ORCAMENTOS!B428="","",ORCAMENTOS!B428)</f>
        <v>418</v>
      </c>
      <c r="C420" s="46" t="str">
        <f>IF(ORCAMENTOS!C428="","",ORCAMENTOS!C428)</f>
        <v/>
      </c>
      <c r="D420" s="37" t="str">
        <f>IF(ORCAMENTOS!D428="","",ORCAMENTOS!D428)</f>
        <v>NEWSET</v>
      </c>
      <c r="E420" s="38" t="str">
        <f>IF(ORCAMENTOS!E428="","",ORCAMENTOS!E428)</f>
        <v>CASA MAGNOLIA</v>
      </c>
      <c r="F420" s="37" t="str">
        <f>IF(ORCAMENTOS!G428="","",ORCAMENTOS!G428)</f>
        <v xml:space="preserve">Aldavir </v>
      </c>
      <c r="G420" s="37" t="str">
        <f>IF(ORCAMENTOS!H428="","",ORCAMENTOS!H428)</f>
        <v>David</v>
      </c>
      <c r="H420" s="39">
        <f>IF(ORCAMENTOS!I428="","",ORCAMENTOS!I428)</f>
        <v>179061.82</v>
      </c>
      <c r="I420" s="60" t="str">
        <f>IF(ORCAMENTOS!J428="","",ORCAMENTOS!J428)</f>
        <v/>
      </c>
      <c r="J420" s="40" t="str">
        <f>IF(ORCAMENTOS!L428="","",ORCAMENTOS!L428)</f>
        <v>CANCELADO</v>
      </c>
      <c r="K420" s="34" t="str">
        <f>IF(ORCAMENTOS!M428="","",ORCAMENTOS!M428)</f>
        <v>-</v>
      </c>
      <c r="L420" t="str">
        <f>IF(ORCAMENTOS!R428="","",ORCAMENTOS!R428)</f>
        <v>-</v>
      </c>
    </row>
    <row r="421" spans="1:12" ht="15.75" hidden="1" customHeight="1" x14ac:dyDescent="0.25">
      <c r="A421" s="36">
        <f>IF(ORCAMENTOS!A429="","",ORCAMENTOS!A429)</f>
        <v>45715</v>
      </c>
      <c r="B421" s="46">
        <f>IF(ORCAMENTOS!B429="","",ORCAMENTOS!B429)</f>
        <v>419</v>
      </c>
      <c r="C421" s="46" t="str">
        <f>IF(ORCAMENTOS!C429="","",ORCAMENTOS!C429)</f>
        <v/>
      </c>
      <c r="D421" s="37" t="str">
        <f>IF(ORCAMENTOS!D429="","",ORCAMENTOS!D429)</f>
        <v>STAR CENTER</v>
      </c>
      <c r="E421" s="38" t="str">
        <f>IF(ORCAMENTOS!E429="","",ORCAMENTOS!E429)</f>
        <v>PREDIO ADMINISTRATIVO - WBS - JAGUARA SUL - SC - 1º PAVIMENTO</v>
      </c>
      <c r="F421" s="37" t="str">
        <f>IF(ORCAMENTOS!G429="","",ORCAMENTOS!G429)</f>
        <v>Guilherme</v>
      </c>
      <c r="G421" s="37" t="str">
        <f>IF(ORCAMENTOS!H429="","",ORCAMENTOS!H429)</f>
        <v>Wenderson</v>
      </c>
      <c r="H421" s="39">
        <f>IF(ORCAMENTOS!I429="","",ORCAMENTOS!I429)</f>
        <v>44873.95</v>
      </c>
      <c r="I421" s="60" t="str">
        <f>IF(ORCAMENTOS!J429="","",ORCAMENTOS!J429)</f>
        <v/>
      </c>
      <c r="J421" s="40" t="str">
        <f>IF(ORCAMENTOS!L429="","",ORCAMENTOS!L429)</f>
        <v>CANCELADO</v>
      </c>
      <c r="K421" s="34" t="str">
        <f>IF(ORCAMENTOS!M429="","",ORCAMENTOS!M429)</f>
        <v>FECHADO PELA CONSTARCO</v>
      </c>
      <c r="L421" t="str">
        <f>IF(ORCAMENTOS!R429="","",ORCAMENTOS!R429)</f>
        <v>-</v>
      </c>
    </row>
    <row r="422" spans="1:12" ht="15.75" hidden="1" customHeight="1" x14ac:dyDescent="0.25">
      <c r="A422" s="36">
        <f>IF(ORCAMENTOS!A430="","",ORCAMENTOS!A430)</f>
        <v>45715</v>
      </c>
      <c r="B422" s="46">
        <f>IF(ORCAMENTOS!B430="","",ORCAMENTOS!B430)</f>
        <v>420</v>
      </c>
      <c r="C422" s="46" t="str">
        <f>IF(ORCAMENTOS!C430="","",ORCAMENTOS!C430)</f>
        <v/>
      </c>
      <c r="D422" s="37" t="str">
        <f>IF(ORCAMENTOS!D430="","",ORCAMENTOS!D430)</f>
        <v>STAR CENTER</v>
      </c>
      <c r="E422" s="38" t="str">
        <f>IF(ORCAMENTOS!E430="","",ORCAMENTOS!E430)</f>
        <v>PREDIO ADMINISTRATIVO - WBS - JAGUARA SUL - SC - 2º PAVIMENTO</v>
      </c>
      <c r="F422" s="37" t="str">
        <f>IF(ORCAMENTOS!G430="","",ORCAMENTOS!G430)</f>
        <v>Guilherme</v>
      </c>
      <c r="G422" s="37" t="str">
        <f>IF(ORCAMENTOS!H430="","",ORCAMENTOS!H430)</f>
        <v>Wenderson</v>
      </c>
      <c r="H422" s="39">
        <f>IF(ORCAMENTOS!I430="","",ORCAMENTOS!I430)</f>
        <v>44873.95</v>
      </c>
      <c r="I422" s="60" t="str">
        <f>IF(ORCAMENTOS!J430="","",ORCAMENTOS!J430)</f>
        <v/>
      </c>
      <c r="J422" s="40" t="str">
        <f>IF(ORCAMENTOS!L430="","",ORCAMENTOS!L430)</f>
        <v>CANCELADO</v>
      </c>
      <c r="K422" s="34" t="str">
        <f>IF(ORCAMENTOS!M430="","",ORCAMENTOS!M430)</f>
        <v>FECHADO PELA CONSTARCO</v>
      </c>
      <c r="L422" t="str">
        <f>IF(ORCAMENTOS!R430="","",ORCAMENTOS!R430)</f>
        <v>-</v>
      </c>
    </row>
    <row r="423" spans="1:12" ht="15.75" hidden="1" customHeight="1" x14ac:dyDescent="0.25">
      <c r="A423" s="36">
        <f>IF(ORCAMENTOS!A431="","",ORCAMENTOS!A431)</f>
        <v>45715</v>
      </c>
      <c r="B423" s="46">
        <f>IF(ORCAMENTOS!B431="","",ORCAMENTOS!B431)</f>
        <v>421</v>
      </c>
      <c r="C423" s="46" t="str">
        <f>IF(ORCAMENTOS!C431="","",ORCAMENTOS!C431)</f>
        <v/>
      </c>
      <c r="D423" s="37" t="str">
        <f>IF(ORCAMENTOS!D431="","",ORCAMENTOS!D431)</f>
        <v>STAR CENTER</v>
      </c>
      <c r="E423" s="38" t="str">
        <f>IF(ORCAMENTOS!E431="","",ORCAMENTOS!E431)</f>
        <v>PREDIO ADMINISTRATIVO - WBS - JAGUARA SUL - SC - 3º PAVIMENTO</v>
      </c>
      <c r="F423" s="37" t="str">
        <f>IF(ORCAMENTOS!G431="","",ORCAMENTOS!G431)</f>
        <v>Guilherme</v>
      </c>
      <c r="G423" s="37" t="str">
        <f>IF(ORCAMENTOS!H431="","",ORCAMENTOS!H431)</f>
        <v>Wenderson</v>
      </c>
      <c r="H423" s="39">
        <f>IF(ORCAMENTOS!I431="","",ORCAMENTOS!I431)</f>
        <v>44873.95</v>
      </c>
      <c r="I423" s="60" t="str">
        <f>IF(ORCAMENTOS!J431="","",ORCAMENTOS!J431)</f>
        <v/>
      </c>
      <c r="J423" s="40" t="str">
        <f>IF(ORCAMENTOS!L431="","",ORCAMENTOS!L431)</f>
        <v>CANCELADO</v>
      </c>
      <c r="K423" s="34" t="str">
        <f>IF(ORCAMENTOS!M431="","",ORCAMENTOS!M431)</f>
        <v>FECHADO PELA CONSTARCO</v>
      </c>
      <c r="L423" t="str">
        <f>IF(ORCAMENTOS!R431="","",ORCAMENTOS!R431)</f>
        <v>-</v>
      </c>
    </row>
    <row r="424" spans="1:12" ht="15.75" hidden="1" customHeight="1" x14ac:dyDescent="0.25">
      <c r="A424" s="36">
        <f>IF(ORCAMENTOS!A432="","",ORCAMENTOS!A432)</f>
        <v>45715</v>
      </c>
      <c r="B424" s="46">
        <f>IF(ORCAMENTOS!B432="","",ORCAMENTOS!B432)</f>
        <v>422</v>
      </c>
      <c r="C424" s="46" t="str">
        <f>IF(ORCAMENTOS!C432="","",ORCAMENTOS!C432)</f>
        <v/>
      </c>
      <c r="D424" s="37" t="str">
        <f>IF(ORCAMENTOS!D432="","",ORCAMENTOS!D432)</f>
        <v>STAR CENTER</v>
      </c>
      <c r="E424" s="38" t="str">
        <f>IF(ORCAMENTOS!E432="","",ORCAMENTOS!E432)</f>
        <v>PREDIO ADMINISTRATIVO - WBS - JAGUARA SUL - SC - TERREO</v>
      </c>
      <c r="F424" s="37" t="str">
        <f>IF(ORCAMENTOS!G432="","",ORCAMENTOS!G432)</f>
        <v>Guilherme</v>
      </c>
      <c r="G424" s="37" t="str">
        <f>IF(ORCAMENTOS!H432="","",ORCAMENTOS!H432)</f>
        <v>Wenderson</v>
      </c>
      <c r="H424" s="39">
        <f>IF(ORCAMENTOS!I432="","",ORCAMENTOS!I432)</f>
        <v>48305.3</v>
      </c>
      <c r="I424" s="60" t="str">
        <f>IF(ORCAMENTOS!J432="","",ORCAMENTOS!J432)</f>
        <v/>
      </c>
      <c r="J424" s="40" t="str">
        <f>IF(ORCAMENTOS!L432="","",ORCAMENTOS!L432)</f>
        <v>CANCELADO</v>
      </c>
      <c r="K424" s="34" t="str">
        <f>IF(ORCAMENTOS!M432="","",ORCAMENTOS!M432)</f>
        <v>FECHADO PELA CONSTARCO</v>
      </c>
      <c r="L424" t="str">
        <f>IF(ORCAMENTOS!R432="","",ORCAMENTOS!R432)</f>
        <v>-</v>
      </c>
    </row>
    <row r="425" spans="1:12" ht="15.75" hidden="1" customHeight="1" x14ac:dyDescent="0.25">
      <c r="A425" s="36">
        <f>IF(ORCAMENTOS!A433="","",ORCAMENTOS!A433)</f>
        <v>45716</v>
      </c>
      <c r="B425" s="46">
        <f>IF(ORCAMENTOS!B433="","",ORCAMENTOS!B433)</f>
        <v>423</v>
      </c>
      <c r="C425" s="46" t="str">
        <f>IF(ORCAMENTOS!C433="","",ORCAMENTOS!C433)</f>
        <v/>
      </c>
      <c r="D425" s="37" t="str">
        <f>IF(ORCAMENTOS!D433="","",ORCAMENTOS!D433)</f>
        <v>TEKNOAR</v>
      </c>
      <c r="E425" s="38" t="str">
        <f>IF(ORCAMENTOS!E433="","",ORCAMENTOS!E433)</f>
        <v>EDIFICIO PLAZA BELMAR</v>
      </c>
      <c r="F425" s="37" t="str">
        <f>IF(ORCAMENTOS!G433="","",ORCAMENTOS!G433)</f>
        <v>Gabriel</v>
      </c>
      <c r="G425" s="37" t="str">
        <f>IF(ORCAMENTOS!H433="","",ORCAMENTOS!H433)</f>
        <v>Mario</v>
      </c>
      <c r="H425" s="39">
        <f>IF(ORCAMENTOS!I433="","",ORCAMENTOS!I433)</f>
        <v>16699.8</v>
      </c>
      <c r="I425" s="60" t="str">
        <f>IF(ORCAMENTOS!J433="","",ORCAMENTOS!J433)</f>
        <v/>
      </c>
      <c r="J425" s="40" t="str">
        <f>IF(ORCAMENTOS!L433="","",ORCAMENTOS!L433)</f>
        <v>CANCELADO</v>
      </c>
      <c r="K425" s="34" t="str">
        <f>IF(ORCAMENTOS!M433="","",ORCAMENTOS!M433)</f>
        <v>-</v>
      </c>
      <c r="L425" t="str">
        <f>IF(ORCAMENTOS!R433="","",ORCAMENTOS!R433)</f>
        <v/>
      </c>
    </row>
    <row r="426" spans="1:12" ht="15.75" hidden="1" customHeight="1" x14ac:dyDescent="0.25">
      <c r="A426" s="36">
        <f>IF(ORCAMENTOS!A434="","",ORCAMENTOS!A434)</f>
        <v>45716</v>
      </c>
      <c r="B426" s="46">
        <f>IF(ORCAMENTOS!B434="","",ORCAMENTOS!B434)</f>
        <v>424</v>
      </c>
      <c r="C426" s="46" t="str">
        <f>IF(ORCAMENTOS!C434="","",ORCAMENTOS!C434)</f>
        <v/>
      </c>
      <c r="D426" s="37" t="str">
        <f>IF(ORCAMENTOS!D434="","",ORCAMENTOS!D434)</f>
        <v>HIROCLEAN</v>
      </c>
      <c r="E426" s="38" t="str">
        <f>IF(ORCAMENTOS!E434="","",ORCAMENTOS!E434)</f>
        <v>-</v>
      </c>
      <c r="F426" s="37" t="str">
        <f>IF(ORCAMENTOS!G434="","",ORCAMENTOS!G434)</f>
        <v>Gabriel</v>
      </c>
      <c r="G426" s="37" t="str">
        <f>IF(ORCAMENTOS!H434="","",ORCAMENTOS!H434)</f>
        <v>Leandro</v>
      </c>
      <c r="H426" s="39">
        <f>IF(ORCAMENTOS!I434="","",ORCAMENTOS!I434)</f>
        <v>26417.03</v>
      </c>
      <c r="I426" s="60" t="str">
        <f>IF(ORCAMENTOS!J434="","",ORCAMENTOS!J434)</f>
        <v/>
      </c>
      <c r="J426" s="40" t="str">
        <f>IF(ORCAMENTOS!L434="","",ORCAMENTOS!L434)</f>
        <v>CANCELADO</v>
      </c>
      <c r="K426" s="34" t="str">
        <f>IF(ORCAMENTOS!M434="","",ORCAMENTOS!M434)</f>
        <v>-</v>
      </c>
      <c r="L426" t="str">
        <f>IF(ORCAMENTOS!R434="","",ORCAMENTOS!R434)</f>
        <v>-</v>
      </c>
    </row>
    <row r="427" spans="1:12" ht="15.75" hidden="1" customHeight="1" x14ac:dyDescent="0.25">
      <c r="A427" s="36">
        <f>IF(ORCAMENTOS!A435="","",ORCAMENTOS!A435)</f>
        <v>45716</v>
      </c>
      <c r="B427" s="46">
        <f>IF(ORCAMENTOS!B435="","",ORCAMENTOS!B435)</f>
        <v>425</v>
      </c>
      <c r="C427" s="46" t="str">
        <f>IF(ORCAMENTOS!C435="","",ORCAMENTOS!C435)</f>
        <v/>
      </c>
      <c r="D427" s="37" t="str">
        <f>IF(ORCAMENTOS!D435="","",ORCAMENTOS!D435)</f>
        <v>AR SET</v>
      </c>
      <c r="E427" s="38" t="str">
        <f>IF(ORCAMENTOS!E435="","",ORCAMENTOS!E435)</f>
        <v>-</v>
      </c>
      <c r="F427" s="37" t="str">
        <f>IF(ORCAMENTOS!G435="","",ORCAMENTOS!G435)</f>
        <v>Fernando</v>
      </c>
      <c r="G427" s="37" t="str">
        <f>IF(ORCAMENTOS!H435="","",ORCAMENTOS!H435)</f>
        <v>Lais</v>
      </c>
      <c r="H427" s="39">
        <f>IF(ORCAMENTOS!I435="","",ORCAMENTOS!I435)</f>
        <v>20713.490000000002</v>
      </c>
      <c r="I427" s="60" t="str">
        <f>IF(ORCAMENTOS!J435="","",ORCAMENTOS!J435)</f>
        <v/>
      </c>
      <c r="J427" s="40" t="str">
        <f>IF(ORCAMENTOS!L435="","",ORCAMENTOS!L435)</f>
        <v>FECHADO</v>
      </c>
      <c r="K427" s="34" t="str">
        <f>IF(ORCAMENTOS!M435="","",ORCAMENTOS!M435)</f>
        <v>-</v>
      </c>
      <c r="L427" t="str">
        <f>IF(ORCAMENTOS!R435="","",ORCAMENTOS!R435)</f>
        <v>-</v>
      </c>
    </row>
    <row r="428" spans="1:12" ht="15.75" hidden="1" customHeight="1" x14ac:dyDescent="0.25">
      <c r="A428" s="36">
        <f>IF(ORCAMENTOS!A436="","",ORCAMENTOS!A436)</f>
        <v>45721</v>
      </c>
      <c r="B428" s="46">
        <f>IF(ORCAMENTOS!B436="","",ORCAMENTOS!B436)</f>
        <v>426</v>
      </c>
      <c r="C428" s="46" t="str">
        <f>IF(ORCAMENTOS!C436="","",ORCAMENTOS!C436)</f>
        <v/>
      </c>
      <c r="D428" s="37" t="str">
        <f>IF(ORCAMENTOS!D436="","",ORCAMENTOS!D436)</f>
        <v>AFRIOTHERM</v>
      </c>
      <c r="E428" s="38" t="str">
        <f>IF(ORCAMENTOS!E436="","",ORCAMENTOS!E436)</f>
        <v>TREMEMBE - SP - 8501</v>
      </c>
      <c r="F428" s="37" t="str">
        <f>IF(ORCAMENTOS!G436="","",ORCAMENTOS!G436)</f>
        <v>Emanuel</v>
      </c>
      <c r="G428" s="37" t="str">
        <f>IF(ORCAMENTOS!H436="","",ORCAMENTOS!H436)</f>
        <v>Fernando</v>
      </c>
      <c r="H428" s="39">
        <f>IF(ORCAMENTOS!I436="","",ORCAMENTOS!I436)</f>
        <v>14415.77</v>
      </c>
      <c r="I428" s="60" t="str">
        <f>IF(ORCAMENTOS!J436="","",ORCAMENTOS!J436)</f>
        <v/>
      </c>
      <c r="J428" s="40" t="str">
        <f>IF(ORCAMENTOS!L436="","",ORCAMENTOS!L436)</f>
        <v>CANCELADO</v>
      </c>
      <c r="K428" s="34" t="str">
        <f>IF(ORCAMENTOS!M436="","",ORCAMENTOS!M436)</f>
        <v>-</v>
      </c>
      <c r="L428" t="str">
        <f>IF(ORCAMENTOS!R436="","",ORCAMENTOS!R436)</f>
        <v/>
      </c>
    </row>
    <row r="429" spans="1:12" ht="15.75" hidden="1" customHeight="1" x14ac:dyDescent="0.25">
      <c r="A429" s="36">
        <f>IF(ORCAMENTOS!A437="","",ORCAMENTOS!A437)</f>
        <v>45721</v>
      </c>
      <c r="B429" s="46">
        <f>IF(ORCAMENTOS!B437="","",ORCAMENTOS!B437)</f>
        <v>427</v>
      </c>
      <c r="C429" s="46" t="str">
        <f>IF(ORCAMENTOS!C437="","",ORCAMENTOS!C437)</f>
        <v/>
      </c>
      <c r="D429" s="37" t="str">
        <f>IF(ORCAMENTOS!D437="","",ORCAMENTOS!D437)</f>
        <v>AFRIOTHERM</v>
      </c>
      <c r="E429" s="38" t="str">
        <f>IF(ORCAMENTOS!E437="","",ORCAMENTOS!E437)</f>
        <v>TREMEMBE - SP - 8502</v>
      </c>
      <c r="F429" s="37" t="str">
        <f>IF(ORCAMENTOS!G437="","",ORCAMENTOS!G437)</f>
        <v>Emanuel</v>
      </c>
      <c r="G429" s="37" t="str">
        <f>IF(ORCAMENTOS!H437="","",ORCAMENTOS!H437)</f>
        <v>Fernando</v>
      </c>
      <c r="H429" s="39">
        <f>IF(ORCAMENTOS!I437="","",ORCAMENTOS!I437)</f>
        <v>25586.79</v>
      </c>
      <c r="I429" s="60" t="str">
        <f>IF(ORCAMENTOS!J437="","",ORCAMENTOS!J437)</f>
        <v/>
      </c>
      <c r="J429" s="40" t="str">
        <f>IF(ORCAMENTOS!L437="","",ORCAMENTOS!L437)</f>
        <v>CANCELADO</v>
      </c>
      <c r="K429" s="34" t="str">
        <f>IF(ORCAMENTOS!M437="","",ORCAMENTOS!M437)</f>
        <v>-</v>
      </c>
      <c r="L429" t="str">
        <f>IF(ORCAMENTOS!R437="","",ORCAMENTOS!R437)</f>
        <v/>
      </c>
    </row>
    <row r="430" spans="1:12" ht="15.75" hidden="1" customHeight="1" x14ac:dyDescent="0.25">
      <c r="A430" s="36">
        <f>IF(ORCAMENTOS!A438="","",ORCAMENTOS!A438)</f>
        <v>45721</v>
      </c>
      <c r="B430" s="46">
        <f>IF(ORCAMENTOS!B438="","",ORCAMENTOS!B438)</f>
        <v>428</v>
      </c>
      <c r="C430" s="46" t="str">
        <f>IF(ORCAMENTOS!C438="","",ORCAMENTOS!C438)</f>
        <v/>
      </c>
      <c r="D430" s="37" t="str">
        <f>IF(ORCAMENTOS!D438="","",ORCAMENTOS!D438)</f>
        <v>AFRIOTHERM</v>
      </c>
      <c r="E430" s="38" t="str">
        <f>IF(ORCAMENTOS!E438="","",ORCAMENTOS!E438)</f>
        <v>TREMEMBE - SP - 8504</v>
      </c>
      <c r="F430" s="37" t="str">
        <f>IF(ORCAMENTOS!G438="","",ORCAMENTOS!G438)</f>
        <v>Emanuel</v>
      </c>
      <c r="G430" s="37" t="str">
        <f>IF(ORCAMENTOS!H438="","",ORCAMENTOS!H438)</f>
        <v>Fernando</v>
      </c>
      <c r="H430" s="39">
        <f>IF(ORCAMENTOS!I438="","",ORCAMENTOS!I438)</f>
        <v>13706.68</v>
      </c>
      <c r="I430" s="60" t="str">
        <f>IF(ORCAMENTOS!J438="","",ORCAMENTOS!J438)</f>
        <v/>
      </c>
      <c r="J430" s="40" t="str">
        <f>IF(ORCAMENTOS!L438="","",ORCAMENTOS!L438)</f>
        <v>CANCELADO</v>
      </c>
      <c r="K430" s="34" t="str">
        <f>IF(ORCAMENTOS!M438="","",ORCAMENTOS!M438)</f>
        <v>-</v>
      </c>
      <c r="L430" t="str">
        <f>IF(ORCAMENTOS!R438="","",ORCAMENTOS!R438)</f>
        <v/>
      </c>
    </row>
    <row r="431" spans="1:12" ht="15.75" hidden="1" customHeight="1" x14ac:dyDescent="0.25">
      <c r="A431" s="36">
        <f>IF(ORCAMENTOS!A439="","",ORCAMENTOS!A439)</f>
        <v>45721</v>
      </c>
      <c r="B431" s="46">
        <f>IF(ORCAMENTOS!B439="","",ORCAMENTOS!B439)</f>
        <v>429</v>
      </c>
      <c r="C431" s="46" t="str">
        <f>IF(ORCAMENTOS!C439="","",ORCAMENTOS!C439)</f>
        <v/>
      </c>
      <c r="D431" s="37" t="str">
        <f>IF(ORCAMENTOS!D439="","",ORCAMENTOS!D439)</f>
        <v>ENTHAL ENGENHARIA</v>
      </c>
      <c r="E431" s="38" t="str">
        <f>IF(ORCAMENTOS!E439="","",ORCAMENTOS!E439)</f>
        <v>-</v>
      </c>
      <c r="F431" s="37" t="str">
        <f>IF(ORCAMENTOS!G439="","",ORCAMENTOS!G439)</f>
        <v>Emanuel</v>
      </c>
      <c r="G431" s="37" t="str">
        <f>IF(ORCAMENTOS!H439="","",ORCAMENTOS!H439)</f>
        <v>Carlos</v>
      </c>
      <c r="H431" s="39">
        <f>IF(ORCAMENTOS!I439="","",ORCAMENTOS!I439)</f>
        <v>416.4</v>
      </c>
      <c r="I431" s="60" t="str">
        <f>IF(ORCAMENTOS!J439="","",ORCAMENTOS!J439)</f>
        <v/>
      </c>
      <c r="J431" s="40" t="str">
        <f>IF(ORCAMENTOS!L439="","",ORCAMENTOS!L439)</f>
        <v>FECHADO</v>
      </c>
      <c r="K431" s="34" t="str">
        <f>IF(ORCAMENTOS!M439="","",ORCAMENTOS!M439)</f>
        <v>-</v>
      </c>
      <c r="L431" t="str">
        <f>IF(ORCAMENTOS!R439="","",ORCAMENTOS!R439)</f>
        <v>-</v>
      </c>
    </row>
    <row r="432" spans="1:12" ht="15.75" hidden="1" customHeight="1" x14ac:dyDescent="0.25">
      <c r="A432" s="36">
        <f>IF(ORCAMENTOS!A440="","",ORCAMENTOS!A440)</f>
        <v>45721</v>
      </c>
      <c r="B432" s="46">
        <f>IF(ORCAMENTOS!B440="","",ORCAMENTOS!B440)</f>
        <v>430</v>
      </c>
      <c r="C432" s="46" t="str">
        <f>IF(ORCAMENTOS!C440="","",ORCAMENTOS!C440)</f>
        <v/>
      </c>
      <c r="D432" s="37" t="str">
        <f>IF(ORCAMENTOS!D440="","",ORCAMENTOS!D440)</f>
        <v>SERENO EXPRESS</v>
      </c>
      <c r="E432" s="38" t="str">
        <f>IF(ORCAMENTOS!E440="","",ORCAMENTOS!E440)</f>
        <v>OBRAMAX - LONDRINA - PR</v>
      </c>
      <c r="F432" s="37" t="str">
        <f>IF(ORCAMENTOS!G440="","",ORCAMENTOS!G440)</f>
        <v>Guilherme</v>
      </c>
      <c r="G432" s="37" t="str">
        <f>IF(ORCAMENTOS!H440="","",ORCAMENTOS!H440)</f>
        <v>Genilson</v>
      </c>
      <c r="H432" s="39">
        <f>IF(ORCAMENTOS!I440="","",ORCAMENTOS!I440)</f>
        <v>198867.93</v>
      </c>
      <c r="I432" s="60" t="str">
        <f>IF(ORCAMENTOS!J440="","",ORCAMENTOS!J440)</f>
        <v/>
      </c>
      <c r="J432" s="40" t="str">
        <f>IF(ORCAMENTOS!L440="","",ORCAMENTOS!L440)</f>
        <v>CANCELADO</v>
      </c>
      <c r="K432" s="34" t="str">
        <f>IF(ORCAMENTOS!M440="","",ORCAMENTOS!M440)</f>
        <v>-</v>
      </c>
      <c r="L432" t="str">
        <f>IF(ORCAMENTOS!R440="","",ORCAMENTOS!R440)</f>
        <v/>
      </c>
    </row>
    <row r="433" spans="1:12" ht="15.75" hidden="1" customHeight="1" x14ac:dyDescent="0.25">
      <c r="A433" s="36">
        <f>IF(ORCAMENTOS!A441="","",ORCAMENTOS!A441)</f>
        <v>45721</v>
      </c>
      <c r="B433" s="46">
        <f>IF(ORCAMENTOS!B441="","",ORCAMENTOS!B441)</f>
        <v>431</v>
      </c>
      <c r="C433" s="46" t="str">
        <f>IF(ORCAMENTOS!C441="","",ORCAMENTOS!C441)</f>
        <v/>
      </c>
      <c r="D433" s="37" t="str">
        <f>IF(ORCAMENTOS!D441="","",ORCAMENTOS!D441)</f>
        <v>UNION RHAC</v>
      </c>
      <c r="E433" s="38" t="str">
        <f>IF(ORCAMENTOS!E441="","",ORCAMENTOS!E441)</f>
        <v>-</v>
      </c>
      <c r="F433" s="37" t="str">
        <f>IF(ORCAMENTOS!G441="","",ORCAMENTOS!G441)</f>
        <v>Emanuel</v>
      </c>
      <c r="G433" s="37" t="str">
        <f>IF(ORCAMENTOS!H441="","",ORCAMENTOS!H441)</f>
        <v>Rogerio</v>
      </c>
      <c r="H433" s="39">
        <f>IF(ORCAMENTOS!I441="","",ORCAMENTOS!I441)</f>
        <v>5006.8900000000003</v>
      </c>
      <c r="I433" s="60" t="str">
        <f>IF(ORCAMENTOS!J441="","",ORCAMENTOS!J441)</f>
        <v/>
      </c>
      <c r="J433" s="40" t="str">
        <f>IF(ORCAMENTOS!L441="","",ORCAMENTOS!L441)</f>
        <v>FECHADO</v>
      </c>
      <c r="K433" s="34" t="str">
        <f>IF(ORCAMENTOS!M441="","",ORCAMENTOS!M441)</f>
        <v>-</v>
      </c>
      <c r="L433" t="str">
        <f>IF(ORCAMENTOS!R441="","",ORCAMENTOS!R441)</f>
        <v>-</v>
      </c>
    </row>
    <row r="434" spans="1:12" ht="15.75" hidden="1" customHeight="1" x14ac:dyDescent="0.25">
      <c r="A434" s="36">
        <f>IF(ORCAMENTOS!A442="","",ORCAMENTOS!A442)</f>
        <v>45721</v>
      </c>
      <c r="B434" s="46">
        <f>IF(ORCAMENTOS!B442="","",ORCAMENTOS!B442)</f>
        <v>432</v>
      </c>
      <c r="C434" s="46" t="str">
        <f>IF(ORCAMENTOS!C442="","",ORCAMENTOS!C442)</f>
        <v/>
      </c>
      <c r="D434" s="37" t="str">
        <f>IF(ORCAMENTOS!D442="","",ORCAMENTOS!D442)</f>
        <v>MONTAGEM VIEIRA</v>
      </c>
      <c r="E434" s="38" t="str">
        <f>IF(ORCAMENTOS!E442="","",ORCAMENTOS!E442)</f>
        <v>LUPO - JARDIM RECANTO - DIADEMA - SP</v>
      </c>
      <c r="F434" s="37" t="str">
        <f>IF(ORCAMENTOS!G442="","",ORCAMENTOS!G442)</f>
        <v>Fernando</v>
      </c>
      <c r="G434" s="37" t="str">
        <f>IF(ORCAMENTOS!H442="","",ORCAMENTOS!H442)</f>
        <v>Sergio</v>
      </c>
      <c r="H434" s="39">
        <f>IF(ORCAMENTOS!I442="","",ORCAMENTOS!I442)</f>
        <v>159025.39000000001</v>
      </c>
      <c r="I434" s="60" t="str">
        <f>IF(ORCAMENTOS!J442="","",ORCAMENTOS!J442)</f>
        <v/>
      </c>
      <c r="J434" s="40" t="str">
        <f>IF(ORCAMENTOS!L442="","",ORCAMENTOS!L442)</f>
        <v>CANCELADO</v>
      </c>
      <c r="K434" s="34" t="str">
        <f>IF(ORCAMENTOS!M442="","",ORCAMENTOS!M442)</f>
        <v>CLIENTE NEGOCIANDO PREV. AGOSTO</v>
      </c>
      <c r="L434" t="str">
        <f>IF(ORCAMENTOS!R442="","",ORCAMENTOS!R442)</f>
        <v/>
      </c>
    </row>
    <row r="435" spans="1:12" ht="15.75" hidden="1" customHeight="1" x14ac:dyDescent="0.25">
      <c r="A435" s="36">
        <f>IF(ORCAMENTOS!A443="","",ORCAMENTOS!A443)</f>
        <v>45721</v>
      </c>
      <c r="B435" s="46">
        <f>IF(ORCAMENTOS!B443="","",ORCAMENTOS!B443)</f>
        <v>433</v>
      </c>
      <c r="C435" s="46" t="str">
        <f>IF(ORCAMENTOS!C443="","",ORCAMENTOS!C443)</f>
        <v/>
      </c>
      <c r="D435" s="37" t="str">
        <f>IF(ORCAMENTOS!D443="","",ORCAMENTOS!D443)</f>
        <v>NEWSET</v>
      </c>
      <c r="E435" s="38" t="str">
        <f>IF(ORCAMENTOS!E443="","",ORCAMENTOS!E443)</f>
        <v>CASA MAGNOLIA - AREA COMUM</v>
      </c>
      <c r="F435" s="37" t="str">
        <f>IF(ORCAMENTOS!G443="","",ORCAMENTOS!G443)</f>
        <v xml:space="preserve">Aldavir </v>
      </c>
      <c r="G435" s="37" t="str">
        <f>IF(ORCAMENTOS!H443="","",ORCAMENTOS!H443)</f>
        <v>David</v>
      </c>
      <c r="H435" s="39">
        <f>IF(ORCAMENTOS!I443="","",ORCAMENTOS!I443)</f>
        <v>9431.6299999999992</v>
      </c>
      <c r="I435" s="60" t="str">
        <f>IF(ORCAMENTOS!J443="","",ORCAMENTOS!J443)</f>
        <v/>
      </c>
      <c r="J435" s="40" t="str">
        <f>IF(ORCAMENTOS!L443="","",ORCAMENTOS!L443)</f>
        <v>CANCELADO</v>
      </c>
      <c r="K435" s="34" t="str">
        <f>IF(ORCAMENTOS!M443="","",ORCAMENTOS!M443)</f>
        <v>-</v>
      </c>
      <c r="L435" t="str">
        <f>IF(ORCAMENTOS!R443="","",ORCAMENTOS!R443)</f>
        <v>-</v>
      </c>
    </row>
    <row r="436" spans="1:12" ht="15.75" hidden="1" customHeight="1" x14ac:dyDescent="0.25">
      <c r="A436" s="36">
        <f>IF(ORCAMENTOS!A444="","",ORCAMENTOS!A444)</f>
        <v>45693</v>
      </c>
      <c r="B436" s="46">
        <f>IF(ORCAMENTOS!B444="","",ORCAMENTOS!B444)</f>
        <v>434</v>
      </c>
      <c r="C436" s="46" t="str">
        <f>IF(ORCAMENTOS!C444="","",ORCAMENTOS!C444)</f>
        <v/>
      </c>
      <c r="D436" s="37" t="str">
        <f>IF(ORCAMENTOS!D444="","",ORCAMENTOS!D444)</f>
        <v>NEWSET</v>
      </c>
      <c r="E436" s="38" t="str">
        <f>IF(ORCAMENTOS!E444="","",ORCAMENTOS!E444)</f>
        <v>CASA MAGNOLIA - DUTOS A</v>
      </c>
      <c r="F436" s="37" t="str">
        <f>IF(ORCAMENTOS!G444="","",ORCAMENTOS!G444)</f>
        <v xml:space="preserve">Aldavir </v>
      </c>
      <c r="G436" s="37" t="str">
        <f>IF(ORCAMENTOS!H444="","",ORCAMENTOS!H444)</f>
        <v>David</v>
      </c>
      <c r="H436" s="39">
        <f>IF(ORCAMENTOS!I444="","",ORCAMENTOS!I444)</f>
        <v>10160.15</v>
      </c>
      <c r="I436" s="60" t="str">
        <f>IF(ORCAMENTOS!J444="","",ORCAMENTOS!J444)</f>
        <v/>
      </c>
      <c r="J436" s="40" t="str">
        <f>IF(ORCAMENTOS!L444="","",ORCAMENTOS!L444)</f>
        <v>CANCELADO</v>
      </c>
      <c r="K436" s="34" t="str">
        <f>IF(ORCAMENTOS!M444="","",ORCAMENTOS!M444)</f>
        <v>-</v>
      </c>
      <c r="L436" t="str">
        <f>IF(ORCAMENTOS!R444="","",ORCAMENTOS!R444)</f>
        <v>-</v>
      </c>
    </row>
    <row r="437" spans="1:12" ht="15.75" hidden="1" customHeight="1" x14ac:dyDescent="0.25">
      <c r="A437" s="36">
        <f>IF(ORCAMENTOS!A445="","",ORCAMENTOS!A445)</f>
        <v>45693</v>
      </c>
      <c r="B437" s="46">
        <f>IF(ORCAMENTOS!B445="","",ORCAMENTOS!B445)</f>
        <v>435</v>
      </c>
      <c r="C437" s="46" t="str">
        <f>IF(ORCAMENTOS!C445="","",ORCAMENTOS!C445)</f>
        <v/>
      </c>
      <c r="D437" s="37" t="str">
        <f>IF(ORCAMENTOS!D445="","",ORCAMENTOS!D445)</f>
        <v>NEWSET</v>
      </c>
      <c r="E437" s="38" t="str">
        <f>IF(ORCAMENTOS!E445="","",ORCAMENTOS!E445)</f>
        <v>CASA MAGNOLIA - DUTOS B</v>
      </c>
      <c r="F437" s="37" t="str">
        <f>IF(ORCAMENTOS!G445="","",ORCAMENTOS!G445)</f>
        <v xml:space="preserve">Aldavir </v>
      </c>
      <c r="G437" s="37" t="str">
        <f>IF(ORCAMENTOS!H445="","",ORCAMENTOS!H445)</f>
        <v>David</v>
      </c>
      <c r="H437" s="39">
        <f>IF(ORCAMENTOS!I445="","",ORCAMENTOS!I445)</f>
        <v>10223.86</v>
      </c>
      <c r="I437" s="60" t="str">
        <f>IF(ORCAMENTOS!J445="","",ORCAMENTOS!J445)</f>
        <v/>
      </c>
      <c r="J437" s="40" t="str">
        <f>IF(ORCAMENTOS!L445="","",ORCAMENTOS!L445)</f>
        <v>CANCELADO</v>
      </c>
      <c r="K437" s="34" t="str">
        <f>IF(ORCAMENTOS!M445="","",ORCAMENTOS!M445)</f>
        <v>-</v>
      </c>
      <c r="L437" t="str">
        <f>IF(ORCAMENTOS!R445="","",ORCAMENTOS!R445)</f>
        <v>-</v>
      </c>
    </row>
    <row r="438" spans="1:12" ht="15.75" hidden="1" customHeight="1" x14ac:dyDescent="0.25">
      <c r="A438" s="36">
        <f>IF(ORCAMENTOS!A446="","",ORCAMENTOS!A446)</f>
        <v>45693</v>
      </c>
      <c r="B438" s="46">
        <f>IF(ORCAMENTOS!B446="","",ORCAMENTOS!B446)</f>
        <v>436</v>
      </c>
      <c r="C438" s="46" t="str">
        <f>IF(ORCAMENTOS!C446="","",ORCAMENTOS!C446)</f>
        <v/>
      </c>
      <c r="D438" s="37" t="str">
        <f>IF(ORCAMENTOS!D446="","",ORCAMENTOS!D446)</f>
        <v>MONTAGEM VIEIRA</v>
      </c>
      <c r="E438" s="38" t="str">
        <f>IF(ORCAMENTOS!E446="","",ORCAMENTOS!E446)</f>
        <v>WHEATON BRASIL VIDRO - PREDIO FORNOS</v>
      </c>
      <c r="F438" s="37" t="str">
        <f>IF(ORCAMENTOS!G446="","",ORCAMENTOS!G446)</f>
        <v>Fernando</v>
      </c>
      <c r="G438" s="37" t="str">
        <f>IF(ORCAMENTOS!H446="","",ORCAMENTOS!H446)</f>
        <v>Sergio</v>
      </c>
      <c r="H438" s="39">
        <f>IF(ORCAMENTOS!I446="","",ORCAMENTOS!I446)</f>
        <v>29572.17</v>
      </c>
      <c r="I438" s="60" t="str">
        <f>IF(ORCAMENTOS!J446="","",ORCAMENTOS!J446)</f>
        <v/>
      </c>
      <c r="J438" s="40" t="str">
        <f>IF(ORCAMENTOS!L446="","",ORCAMENTOS!L446)</f>
        <v>FECHADO</v>
      </c>
      <c r="K438" s="34" t="str">
        <f>IF(ORCAMENTOS!M446="","",ORCAMENTOS!M446)</f>
        <v>AGUARDANDO PEDIDO</v>
      </c>
      <c r="L438" t="str">
        <f>IF(ORCAMENTOS!R446="","",ORCAMENTOS!R446)</f>
        <v/>
      </c>
    </row>
    <row r="439" spans="1:12" ht="15.75" hidden="1" customHeight="1" x14ac:dyDescent="0.25">
      <c r="A439" s="36">
        <f>IF(ORCAMENTOS!A447="","",ORCAMENTOS!A447)</f>
        <v>45721</v>
      </c>
      <c r="B439" s="46">
        <f>IF(ORCAMENTOS!B447="","",ORCAMENTOS!B447)</f>
        <v>437</v>
      </c>
      <c r="C439" s="46" t="str">
        <f>IF(ORCAMENTOS!C447="","",ORCAMENTOS!C447)</f>
        <v/>
      </c>
      <c r="D439" s="37" t="str">
        <f>IF(ORCAMENTOS!D447="","",ORCAMENTOS!D447)</f>
        <v>AR SET</v>
      </c>
      <c r="E439" s="38" t="str">
        <f>IF(ORCAMENTOS!E447="","",ORCAMENTOS!E447)</f>
        <v>TRENTO PARTICIPAÇÕES</v>
      </c>
      <c r="F439" s="37" t="str">
        <f>IF(ORCAMENTOS!G447="","",ORCAMENTOS!G447)</f>
        <v>Fernando</v>
      </c>
      <c r="G439" s="37" t="str">
        <f>IF(ORCAMENTOS!H447="","",ORCAMENTOS!H447)</f>
        <v>Lais</v>
      </c>
      <c r="H439" s="39">
        <f>IF(ORCAMENTOS!I447="","",ORCAMENTOS!I447)</f>
        <v>21337.08</v>
      </c>
      <c r="I439" s="60" t="str">
        <f>IF(ORCAMENTOS!J447="","",ORCAMENTOS!J447)</f>
        <v/>
      </c>
      <c r="J439" s="40" t="str">
        <f>IF(ORCAMENTOS!L447="","",ORCAMENTOS!L447)</f>
        <v>PERDIDO</v>
      </c>
      <c r="K439" s="34" t="str">
        <f>IF(ORCAMENTOS!M447="","",ORCAMENTOS!M447)</f>
        <v>DEVIDO AO INCENDIO</v>
      </c>
      <c r="L439" t="str">
        <f>IF(ORCAMENTOS!R447="","",ORCAMENTOS!R447)</f>
        <v>-</v>
      </c>
    </row>
    <row r="440" spans="1:12" ht="15.75" hidden="1" customHeight="1" x14ac:dyDescent="0.25">
      <c r="A440" s="36">
        <f>IF(ORCAMENTOS!A448="","",ORCAMENTOS!A448)</f>
        <v>45721</v>
      </c>
      <c r="B440" s="46">
        <f>IF(ORCAMENTOS!B448="","",ORCAMENTOS!B448)</f>
        <v>438</v>
      </c>
      <c r="C440" s="46" t="str">
        <f>IF(ORCAMENTOS!C448="","",ORCAMENTOS!C448)</f>
        <v/>
      </c>
      <c r="D440" s="37" t="str">
        <f>IF(ORCAMENTOS!D448="","",ORCAMENTOS!D448)</f>
        <v>WELLNESS</v>
      </c>
      <c r="E440" s="38" t="str">
        <f>IF(ORCAMENTOS!E448="","",ORCAMENTOS!E448)</f>
        <v>-</v>
      </c>
      <c r="F440" s="37" t="str">
        <f>IF(ORCAMENTOS!G448="","",ORCAMENTOS!G448)</f>
        <v>Gabriel</v>
      </c>
      <c r="G440" s="37" t="str">
        <f>IF(ORCAMENTOS!H448="","",ORCAMENTOS!H448)</f>
        <v>Ivanise</v>
      </c>
      <c r="H440" s="39">
        <f>IF(ORCAMENTOS!I448="","",ORCAMENTOS!I448)</f>
        <v>1393.92</v>
      </c>
      <c r="I440" s="60" t="str">
        <f>IF(ORCAMENTOS!J448="","",ORCAMENTOS!J448)</f>
        <v/>
      </c>
      <c r="J440" s="40" t="str">
        <f>IF(ORCAMENTOS!L448="","",ORCAMENTOS!L448)</f>
        <v>CANCELADO</v>
      </c>
      <c r="K440" s="34" t="str">
        <f>IF(ORCAMENTOS!M448="","",ORCAMENTOS!M448)</f>
        <v>-</v>
      </c>
      <c r="L440" t="str">
        <f>IF(ORCAMENTOS!R448="","",ORCAMENTOS!R448)</f>
        <v>-</v>
      </c>
    </row>
    <row r="441" spans="1:12" ht="15.75" hidden="1" customHeight="1" x14ac:dyDescent="0.25">
      <c r="A441" s="36">
        <f>IF(ORCAMENTOS!A449="","",ORCAMENTOS!A449)</f>
        <v>45722</v>
      </c>
      <c r="B441" s="46">
        <f>IF(ORCAMENTOS!B449="","",ORCAMENTOS!B449)</f>
        <v>439</v>
      </c>
      <c r="C441" s="46" t="str">
        <f>IF(ORCAMENTOS!C449="","",ORCAMENTOS!C449)</f>
        <v/>
      </c>
      <c r="D441" s="37" t="str">
        <f>IF(ORCAMENTOS!D449="","",ORCAMENTOS!D449)</f>
        <v>INOVECTOR</v>
      </c>
      <c r="E441" s="38" t="str">
        <f>IF(ORCAMENTOS!E449="","",ORCAMENTOS!E449)</f>
        <v>HOSP. JABAQUARA_TOMOGRAFRIA</v>
      </c>
      <c r="F441" s="37" t="str">
        <f>IF(ORCAMENTOS!G449="","",ORCAMENTOS!G449)</f>
        <v>Fernando</v>
      </c>
      <c r="G441" s="37" t="str">
        <f>IF(ORCAMENTOS!H449="","",ORCAMENTOS!H449)</f>
        <v>Eliete</v>
      </c>
      <c r="H441" s="39">
        <f>IF(ORCAMENTOS!I449="","",ORCAMENTOS!I449)</f>
        <v>9401.2900000000009</v>
      </c>
      <c r="I441" s="60" t="str">
        <f>IF(ORCAMENTOS!J449="","",ORCAMENTOS!J449)</f>
        <v/>
      </c>
      <c r="J441" s="40" t="str">
        <f>IF(ORCAMENTOS!L449="","",ORCAMENTOS!L449)</f>
        <v>PERDIDO</v>
      </c>
      <c r="K441" s="34" t="str">
        <f>IF(ORCAMENTOS!M449="","",ORCAMENTOS!M449)</f>
        <v>PRAZO</v>
      </c>
      <c r="L441" t="str">
        <f>IF(ORCAMENTOS!R449="","",ORCAMENTOS!R449)</f>
        <v>-</v>
      </c>
    </row>
    <row r="442" spans="1:12" ht="15.75" hidden="1" customHeight="1" x14ac:dyDescent="0.25">
      <c r="A442" s="36">
        <f>IF(ORCAMENTOS!A450="","",ORCAMENTOS!A450)</f>
        <v>45722</v>
      </c>
      <c r="B442" s="46">
        <f>IF(ORCAMENTOS!B450="","",ORCAMENTOS!B450)</f>
        <v>440</v>
      </c>
      <c r="C442" s="46" t="str">
        <f>IF(ORCAMENTOS!C450="","",ORCAMENTOS!C450)</f>
        <v/>
      </c>
      <c r="D442" s="37" t="str">
        <f>IF(ORCAMENTOS!D450="","",ORCAMENTOS!D450)</f>
        <v>X AIR</v>
      </c>
      <c r="E442" s="38" t="str">
        <f>IF(ORCAMENTOS!E450="","",ORCAMENTOS!E450)</f>
        <v>-</v>
      </c>
      <c r="F442" s="37" t="str">
        <f>IF(ORCAMENTOS!G450="","",ORCAMENTOS!G450)</f>
        <v>Emanuel</v>
      </c>
      <c r="G442" s="37" t="str">
        <f>IF(ORCAMENTOS!H450="","",ORCAMENTOS!H450)</f>
        <v>Isabela</v>
      </c>
      <c r="H442" s="39">
        <f>IF(ORCAMENTOS!I450="","",ORCAMENTOS!I450)</f>
        <v>3303.59</v>
      </c>
      <c r="I442" s="60" t="str">
        <f>IF(ORCAMENTOS!J450="","",ORCAMENTOS!J450)</f>
        <v/>
      </c>
      <c r="J442" s="40" t="str">
        <f>IF(ORCAMENTOS!L450="","",ORCAMENTOS!L450)</f>
        <v>CANCELADO</v>
      </c>
      <c r="K442" s="34" t="str">
        <f>IF(ORCAMENTOS!M450="","",ORCAMENTOS!M450)</f>
        <v>-</v>
      </c>
      <c r="L442" t="str">
        <f>IF(ORCAMENTOS!R450="","",ORCAMENTOS!R450)</f>
        <v>-</v>
      </c>
    </row>
    <row r="443" spans="1:12" ht="15.75" hidden="1" customHeight="1" x14ac:dyDescent="0.25">
      <c r="A443" s="36">
        <f>IF(ORCAMENTOS!A451="","",ORCAMENTOS!A451)</f>
        <v>45726</v>
      </c>
      <c r="B443" s="46">
        <f>IF(ORCAMENTOS!B451="","",ORCAMENTOS!B451)</f>
        <v>441</v>
      </c>
      <c r="C443" s="46" t="str">
        <f>IF(ORCAMENTOS!C451="","",ORCAMENTOS!C451)</f>
        <v/>
      </c>
      <c r="D443" s="37" t="str">
        <f>IF(ORCAMENTOS!D451="","",ORCAMENTOS!D451)</f>
        <v>RM3 ENGENHARIA</v>
      </c>
      <c r="E443" s="38" t="str">
        <f>IF(ORCAMENTOS!E451="","",ORCAMENTOS!E451)</f>
        <v>PAULISTAO EMPREENDIMENTOS - SERTAOZINHO - SP</v>
      </c>
      <c r="F443" s="37" t="str">
        <f>IF(ORCAMENTOS!G451="","",ORCAMENTOS!G451)</f>
        <v>Guilherme</v>
      </c>
      <c r="G443" s="37" t="str">
        <f>IF(ORCAMENTOS!H451="","",ORCAMENTOS!H451)</f>
        <v>Janice</v>
      </c>
      <c r="H443" s="39">
        <f>IF(ORCAMENTOS!I451="","",ORCAMENTOS!I451)</f>
        <v>195220.08</v>
      </c>
      <c r="I443" s="60" t="str">
        <f>IF(ORCAMENTOS!J451="","",ORCAMENTOS!J451)</f>
        <v/>
      </c>
      <c r="J443" s="40" t="str">
        <f>IF(ORCAMENTOS!L451="","",ORCAMENTOS!L451)</f>
        <v>PERDIDO</v>
      </c>
      <c r="K443" s="34" t="str">
        <f>IF(ORCAMENTOS!M451="","",ORCAMENTOS!M451)</f>
        <v>FECHOU COM A MULTIVAC/ESTAVAMOS NO MINIMO</v>
      </c>
      <c r="L443" t="str">
        <f>IF(ORCAMENTOS!R451="","",ORCAMENTOS!R451)</f>
        <v/>
      </c>
    </row>
    <row r="444" spans="1:12" ht="15.75" hidden="1" customHeight="1" x14ac:dyDescent="0.25">
      <c r="A444" s="36">
        <f>IF(ORCAMENTOS!A452="","",ORCAMENTOS!A452)</f>
        <v>45722</v>
      </c>
      <c r="B444" s="46">
        <f>IF(ORCAMENTOS!B452="","",ORCAMENTOS!B452)</f>
        <v>442</v>
      </c>
      <c r="C444" s="46" t="str">
        <f>IF(ORCAMENTOS!C452="","",ORCAMENTOS!C452)</f>
        <v/>
      </c>
      <c r="D444" s="37" t="str">
        <f>IF(ORCAMENTOS!D452="","",ORCAMENTOS!D452)</f>
        <v>AR SISTEMAS</v>
      </c>
      <c r="E444" s="38" t="str">
        <f>IF(ORCAMENTOS!E452="","",ORCAMENTOS!E452)</f>
        <v>SEMAR SUPERMERCADO - LOJA JACAREI - SP</v>
      </c>
      <c r="F444" s="37" t="str">
        <f>IF(ORCAMENTOS!G452="","",ORCAMENTOS!G452)</f>
        <v>Michel</v>
      </c>
      <c r="G444" s="37" t="str">
        <f>IF(ORCAMENTOS!H452="","",ORCAMENTOS!H452)</f>
        <v>Silvia</v>
      </c>
      <c r="H444" s="39">
        <f>IF(ORCAMENTOS!I452="","",ORCAMENTOS!I452)</f>
        <v>187105.64</v>
      </c>
      <c r="I444" s="60" t="str">
        <f>IF(ORCAMENTOS!J452="","",ORCAMENTOS!J452)</f>
        <v/>
      </c>
      <c r="J444" s="40" t="str">
        <f>IF(ORCAMENTOS!L452="","",ORCAMENTOS!L452)</f>
        <v>CANCELADO</v>
      </c>
      <c r="K444" s="34" t="str">
        <f>IF(ORCAMENTOS!M452="","",ORCAMENTOS!M452)</f>
        <v>FECHADO PELA PROTÉRMICA</v>
      </c>
      <c r="L444" t="str">
        <f>IF(ORCAMENTOS!R452="","",ORCAMENTOS!R452)</f>
        <v/>
      </c>
    </row>
    <row r="445" spans="1:12" ht="15.75" hidden="1" customHeight="1" x14ac:dyDescent="0.25">
      <c r="A445" s="36">
        <f>IF(ORCAMENTOS!A453="","",ORCAMENTOS!A453)</f>
        <v>45723</v>
      </c>
      <c r="B445" s="46">
        <f>IF(ORCAMENTOS!B453="","",ORCAMENTOS!B453)</f>
        <v>443</v>
      </c>
      <c r="C445" s="46" t="str">
        <f>IF(ORCAMENTOS!C453="","",ORCAMENTOS!C453)</f>
        <v/>
      </c>
      <c r="D445" s="37" t="str">
        <f>IF(ORCAMENTOS!D453="","",ORCAMENTOS!D453)</f>
        <v>MECALOR</v>
      </c>
      <c r="E445" s="38" t="str">
        <f>IF(ORCAMENTOS!E453="","",ORCAMENTOS!E453)</f>
        <v>FUNDACAO ASSISTENCIAL DA</v>
      </c>
      <c r="F445" s="37" t="str">
        <f>IF(ORCAMENTOS!G453="","",ORCAMENTOS!G453)</f>
        <v>Gabriel</v>
      </c>
      <c r="G445" s="37" t="str">
        <f>IF(ORCAMENTOS!H453="","",ORCAMENTOS!H453)</f>
        <v>Ricardo</v>
      </c>
      <c r="H445" s="39">
        <f>IF(ORCAMENTOS!I453="","",ORCAMENTOS!I453)</f>
        <v>1454.4</v>
      </c>
      <c r="I445" s="60" t="str">
        <f>IF(ORCAMENTOS!J453="","",ORCAMENTOS!J453)</f>
        <v/>
      </c>
      <c r="J445" s="40" t="str">
        <f>IF(ORCAMENTOS!L453="","",ORCAMENTOS!L453)</f>
        <v>FECHADO</v>
      </c>
      <c r="K445" s="34" t="str">
        <f>IF(ORCAMENTOS!M453="","",ORCAMENTOS!M453)</f>
        <v>-</v>
      </c>
      <c r="L445" t="str">
        <f>IF(ORCAMENTOS!R453="","",ORCAMENTOS!R453)</f>
        <v>-</v>
      </c>
    </row>
    <row r="446" spans="1:12" ht="15.75" hidden="1" customHeight="1" x14ac:dyDescent="0.25">
      <c r="A446" s="36">
        <f>IF(ORCAMENTOS!A454="","",ORCAMENTOS!A454)</f>
        <v>45723</v>
      </c>
      <c r="B446" s="46">
        <f>IF(ORCAMENTOS!B454="","",ORCAMENTOS!B454)</f>
        <v>444</v>
      </c>
      <c r="C446" s="46" t="str">
        <f>IF(ORCAMENTOS!C454="","",ORCAMENTOS!C454)</f>
        <v/>
      </c>
      <c r="D446" s="37" t="str">
        <f>IF(ORCAMENTOS!D454="","",ORCAMENTOS!D454)</f>
        <v>GLACIAL REFRIGERACOES</v>
      </c>
      <c r="E446" s="38" t="str">
        <f>IF(ORCAMENTOS!E454="","",ORCAMENTOS!E454)</f>
        <v>ITAU - SILVA BUENO - IPIRANGA - SP</v>
      </c>
      <c r="F446" s="37" t="str">
        <f>IF(ORCAMENTOS!G454="","",ORCAMENTOS!G454)</f>
        <v>Fernando</v>
      </c>
      <c r="G446" s="37" t="str">
        <f>IF(ORCAMENTOS!H454="","",ORCAMENTOS!H454)</f>
        <v>Gilvan</v>
      </c>
      <c r="H446" s="39">
        <f>IF(ORCAMENTOS!I454="","",ORCAMENTOS!I454)</f>
        <v>49959.19</v>
      </c>
      <c r="I446" s="60" t="str">
        <f>IF(ORCAMENTOS!J454="","",ORCAMENTOS!J454)</f>
        <v/>
      </c>
      <c r="J446" s="40" t="str">
        <f>IF(ORCAMENTOS!L454="","",ORCAMENTOS!L454)</f>
        <v>CANCELADO</v>
      </c>
      <c r="K446" s="34" t="str">
        <f>IF(ORCAMENTOS!M454="","",ORCAMENTOS!M454)</f>
        <v>PREV. MAIO</v>
      </c>
      <c r="L446" t="str">
        <f>IF(ORCAMENTOS!R454="","",ORCAMENTOS!R454)</f>
        <v/>
      </c>
    </row>
    <row r="447" spans="1:12" ht="15.75" hidden="1" customHeight="1" x14ac:dyDescent="0.25">
      <c r="A447" s="36">
        <f>IF(ORCAMENTOS!A455="","",ORCAMENTOS!A455)</f>
        <v>45722</v>
      </c>
      <c r="B447" s="46">
        <f>IF(ORCAMENTOS!B455="","",ORCAMENTOS!B455)</f>
        <v>445</v>
      </c>
      <c r="C447" s="46" t="str">
        <f>IF(ORCAMENTOS!C455="","",ORCAMENTOS!C455)</f>
        <v/>
      </c>
      <c r="D447" s="37" t="str">
        <f>IF(ORCAMENTOS!D455="","",ORCAMENTOS!D455)</f>
        <v>CRIOVAC</v>
      </c>
      <c r="E447" s="38" t="str">
        <f>IF(ORCAMENTOS!E455="","",ORCAMENTOS!E455)</f>
        <v>GRAACC UPT</v>
      </c>
      <c r="F447" s="37" t="str">
        <f>IF(ORCAMENTOS!G455="","",ORCAMENTOS!G455)</f>
        <v>Emanuel</v>
      </c>
      <c r="G447" s="37" t="str">
        <f>IF(ORCAMENTOS!H455="","",ORCAMENTOS!H455)</f>
        <v>Karen</v>
      </c>
      <c r="H447" s="39">
        <f>IF(ORCAMENTOS!I455="","",ORCAMENTOS!I455)</f>
        <v>506.41</v>
      </c>
      <c r="I447" s="60" t="str">
        <f>IF(ORCAMENTOS!J455="","",ORCAMENTOS!J455)</f>
        <v/>
      </c>
      <c r="J447" s="40" t="str">
        <f>IF(ORCAMENTOS!L455="","",ORCAMENTOS!L455)</f>
        <v>FECHADO</v>
      </c>
      <c r="K447" s="34" t="str">
        <f>IF(ORCAMENTOS!M455="","",ORCAMENTOS!M455)</f>
        <v>-</v>
      </c>
      <c r="L447" t="str">
        <f>IF(ORCAMENTOS!R455="","",ORCAMENTOS!R455)</f>
        <v>-</v>
      </c>
    </row>
    <row r="448" spans="1:12" ht="15.75" hidden="1" customHeight="1" x14ac:dyDescent="0.25">
      <c r="A448" s="36">
        <f>IF(ORCAMENTOS!A456="","",ORCAMENTOS!A456)</f>
        <v>45723</v>
      </c>
      <c r="B448" s="46">
        <f>IF(ORCAMENTOS!B456="","",ORCAMENTOS!B456)</f>
        <v>446</v>
      </c>
      <c r="C448" s="46" t="str">
        <f>IF(ORCAMENTOS!C456="","",ORCAMENTOS!C456)</f>
        <v/>
      </c>
      <c r="D448" s="37" t="str">
        <f>IF(ORCAMENTOS!D456="","",ORCAMENTOS!D456)</f>
        <v>L MONTE</v>
      </c>
      <c r="E448" s="38" t="str">
        <f>IF(ORCAMENTOS!E456="","",ORCAMENTOS!E456)</f>
        <v>-</v>
      </c>
      <c r="F448" s="37" t="str">
        <f>IF(ORCAMENTOS!G456="","",ORCAMENTOS!G456)</f>
        <v xml:space="preserve">Aldavir </v>
      </c>
      <c r="G448" s="37" t="str">
        <f>IF(ORCAMENTOS!H456="","",ORCAMENTOS!H456)</f>
        <v>Gurgel</v>
      </c>
      <c r="H448" s="39">
        <f>IF(ORCAMENTOS!I456="","",ORCAMENTOS!I456)</f>
        <v>45312.13</v>
      </c>
      <c r="I448" s="60" t="str">
        <f>IF(ORCAMENTOS!J456="","",ORCAMENTOS!J456)</f>
        <v/>
      </c>
      <c r="J448" s="40" t="str">
        <f>IF(ORCAMENTOS!L456="","",ORCAMENTOS!L456)</f>
        <v>FECHADO</v>
      </c>
      <c r="K448" s="34" t="str">
        <f>IF(ORCAMENTOS!M456="","",ORCAMENTOS!M456)</f>
        <v>-</v>
      </c>
      <c r="L448" t="str">
        <f>IF(ORCAMENTOS!R456="","",ORCAMENTOS!R456)</f>
        <v>-</v>
      </c>
    </row>
    <row r="449" spans="1:12" ht="15.75" hidden="1" customHeight="1" x14ac:dyDescent="0.25">
      <c r="A449" s="36">
        <f>IF(ORCAMENTOS!A457="","",ORCAMENTOS!A457)</f>
        <v>45722</v>
      </c>
      <c r="B449" s="46">
        <f>IF(ORCAMENTOS!B457="","",ORCAMENTOS!B457)</f>
        <v>447</v>
      </c>
      <c r="C449" s="46" t="str">
        <f>IF(ORCAMENTOS!C457="","",ORCAMENTOS!C457)</f>
        <v/>
      </c>
      <c r="D449" s="37" t="str">
        <f>IF(ORCAMENTOS!D457="","",ORCAMENTOS!D457)</f>
        <v>ENEBRAS</v>
      </c>
      <c r="E449" s="38" t="str">
        <f>IF(ORCAMENTOS!E457="","",ORCAMENTOS!E457)</f>
        <v>HOSPITAL BRASIL MAUA</v>
      </c>
      <c r="F449" s="37" t="str">
        <f>IF(ORCAMENTOS!G457="","",ORCAMENTOS!G457)</f>
        <v>Michel</v>
      </c>
      <c r="G449" s="37" t="str">
        <f>IF(ORCAMENTOS!H457="","",ORCAMENTOS!H457)</f>
        <v>Kaio</v>
      </c>
      <c r="H449" s="39">
        <f>IF(ORCAMENTOS!I457="","",ORCAMENTOS!I457)</f>
        <v>89688.59</v>
      </c>
      <c r="I449" s="60" t="str">
        <f>IF(ORCAMENTOS!J457="","",ORCAMENTOS!J457)</f>
        <v/>
      </c>
      <c r="J449" s="40" t="str">
        <f>IF(ORCAMENTOS!L457="","",ORCAMENTOS!L457)</f>
        <v>CANCELADO</v>
      </c>
      <c r="K449" s="34" t="str">
        <f>IF(ORCAMENTOS!M457="","",ORCAMENTOS!M457)</f>
        <v>-</v>
      </c>
      <c r="L449" t="str">
        <f>IF(ORCAMENTOS!R457="","",ORCAMENTOS!R457)</f>
        <v>-</v>
      </c>
    </row>
    <row r="450" spans="1:12" ht="15.75" hidden="1" customHeight="1" x14ac:dyDescent="0.25">
      <c r="A450" s="36">
        <f>IF(ORCAMENTOS!A458="","",ORCAMENTOS!A458)</f>
        <v>45723</v>
      </c>
      <c r="B450" s="46">
        <f>IF(ORCAMENTOS!B458="","",ORCAMENTOS!B458)</f>
        <v>448</v>
      </c>
      <c r="C450" s="46" t="str">
        <f>IF(ORCAMENTOS!C458="","",ORCAMENTOS!C458)</f>
        <v/>
      </c>
      <c r="D450" s="37" t="str">
        <f>IF(ORCAMENTOS!D458="","",ORCAMENTOS!D458)</f>
        <v>SENSCO</v>
      </c>
      <c r="E450" s="38" t="str">
        <f>IF(ORCAMENTOS!E458="","",ORCAMENTOS!E458)</f>
        <v xml:space="preserve">UNIMED CAMPINAS </v>
      </c>
      <c r="F450" s="37" t="str">
        <f>IF(ORCAMENTOS!G458="","",ORCAMENTOS!G458)</f>
        <v>Michel</v>
      </c>
      <c r="G450" s="37" t="str">
        <f>IF(ORCAMENTOS!H458="","",ORCAMENTOS!H458)</f>
        <v>Gardner</v>
      </c>
      <c r="H450" s="39">
        <f>IF(ORCAMENTOS!I458="","",ORCAMENTOS!I458)</f>
        <v>125256.91</v>
      </c>
      <c r="I450" s="60" t="str">
        <f>IF(ORCAMENTOS!J458="","",ORCAMENTOS!J458)</f>
        <v/>
      </c>
      <c r="J450" s="40" t="str">
        <f>IF(ORCAMENTOS!L458="","",ORCAMENTOS!L458)</f>
        <v>PERDIDO</v>
      </c>
      <c r="K450" s="34" t="str">
        <f>IF(ORCAMENTOS!M458="","",ORCAMENTOS!M458)</f>
        <v>MULTIVAC - PREÇO</v>
      </c>
      <c r="L450" t="str">
        <f>IF(ORCAMENTOS!R458="","",ORCAMENTOS!R458)</f>
        <v>-</v>
      </c>
    </row>
    <row r="451" spans="1:12" ht="15.75" hidden="1" customHeight="1" x14ac:dyDescent="0.25">
      <c r="A451" s="36">
        <f>IF(ORCAMENTOS!A459="","",ORCAMENTOS!A459)</f>
        <v>45723</v>
      </c>
      <c r="B451" s="46">
        <f>IF(ORCAMENTOS!B459="","",ORCAMENTOS!B459)</f>
        <v>449</v>
      </c>
      <c r="C451" s="46" t="str">
        <f>IF(ORCAMENTOS!C459="","",ORCAMENTOS!C459)</f>
        <v/>
      </c>
      <c r="D451" s="37" t="str">
        <f>IF(ORCAMENTOS!D459="","",ORCAMENTOS!D459)</f>
        <v>RICH ENGENHARIA</v>
      </c>
      <c r="E451" s="38" t="str">
        <f>IF(ORCAMENTOS!E459="","",ORCAMENTOS!E459)</f>
        <v>P&amp;D HERSHEYS - SÃO ROQUE - SP</v>
      </c>
      <c r="F451" s="37" t="str">
        <f>IF(ORCAMENTOS!G459="","",ORCAMENTOS!G459)</f>
        <v>Guilherme</v>
      </c>
      <c r="G451" s="37" t="str">
        <f>IF(ORCAMENTOS!H459="","",ORCAMENTOS!H459)</f>
        <v>Ricardo</v>
      </c>
      <c r="H451" s="39">
        <f>IF(ORCAMENTOS!I459="","",ORCAMENTOS!I459)</f>
        <v>9270.07</v>
      </c>
      <c r="I451" s="60" t="str">
        <f>IF(ORCAMENTOS!J459="","",ORCAMENTOS!J459)</f>
        <v/>
      </c>
      <c r="J451" s="40" t="str">
        <f>IF(ORCAMENTOS!L459="","",ORCAMENTOS!L459)</f>
        <v>CANCELADO</v>
      </c>
      <c r="K451" s="34" t="str">
        <f>IF(ORCAMENTOS!M459="","",ORCAMENTOS!M459)</f>
        <v>-</v>
      </c>
      <c r="L451" t="str">
        <f>IF(ORCAMENTOS!R459="","",ORCAMENTOS!R459)</f>
        <v>-</v>
      </c>
    </row>
    <row r="452" spans="1:12" ht="15.75" hidden="1" customHeight="1" x14ac:dyDescent="0.25">
      <c r="A452" s="36">
        <f>IF(ORCAMENTOS!A460="","",ORCAMENTOS!A460)</f>
        <v>45723</v>
      </c>
      <c r="B452" s="46">
        <f>IF(ORCAMENTOS!B460="","",ORCAMENTOS!B460)</f>
        <v>450</v>
      </c>
      <c r="C452" s="46" t="str">
        <f>IF(ORCAMENTOS!C460="","",ORCAMENTOS!C460)</f>
        <v/>
      </c>
      <c r="D452" s="37" t="str">
        <f>IF(ORCAMENTOS!D460="","",ORCAMENTOS!D460)</f>
        <v>NEWSET</v>
      </c>
      <c r="E452" s="38" t="str">
        <f>IF(ORCAMENTOS!E460="","",ORCAMENTOS!E460)</f>
        <v>HOSPITAL BRASIL MAUA</v>
      </c>
      <c r="F452" s="37" t="str">
        <f>IF(ORCAMENTOS!G460="","",ORCAMENTOS!G460)</f>
        <v xml:space="preserve">Aldavir </v>
      </c>
      <c r="G452" s="37" t="str">
        <f>IF(ORCAMENTOS!H460="","",ORCAMENTOS!H460)</f>
        <v>David</v>
      </c>
      <c r="H452" s="39">
        <f>IF(ORCAMENTOS!I460="","",ORCAMENTOS!I460)</f>
        <v>129958.14</v>
      </c>
      <c r="I452" s="60" t="str">
        <f>IF(ORCAMENTOS!J460="","",ORCAMENTOS!J460)</f>
        <v/>
      </c>
      <c r="J452" s="40" t="str">
        <f>IF(ORCAMENTOS!L460="","",ORCAMENTOS!L460)</f>
        <v>CANCELADO</v>
      </c>
      <c r="K452" s="34" t="str">
        <f>IF(ORCAMENTOS!M460="","",ORCAMENTOS!M460)</f>
        <v>-</v>
      </c>
      <c r="L452" t="str">
        <f>IF(ORCAMENTOS!R460="","",ORCAMENTOS!R460)</f>
        <v>-</v>
      </c>
    </row>
    <row r="453" spans="1:12" ht="15.75" hidden="1" customHeight="1" x14ac:dyDescent="0.25">
      <c r="A453" s="36">
        <f>IF(ORCAMENTOS!A461="","",ORCAMENTOS!A461)</f>
        <v>45723</v>
      </c>
      <c r="B453" s="46">
        <f>IF(ORCAMENTOS!B461="","",ORCAMENTOS!B461)</f>
        <v>451</v>
      </c>
      <c r="C453" s="46" t="str">
        <f>IF(ORCAMENTOS!C461="","",ORCAMENTOS!C461)</f>
        <v/>
      </c>
      <c r="D453" s="37" t="str">
        <f>IF(ORCAMENTOS!D461="","",ORCAMENTOS!D461)</f>
        <v>INOVECTOR</v>
      </c>
      <c r="E453" s="38" t="str">
        <f>IF(ORCAMENTOS!E461="","",ORCAMENTOS!E461)</f>
        <v>HOSP. ANTONIO AFONSO_RENOVAÇÃO DE AR</v>
      </c>
      <c r="F453" s="37" t="str">
        <f>IF(ORCAMENTOS!G461="","",ORCAMENTOS!G461)</f>
        <v>Fernando</v>
      </c>
      <c r="G453" s="37" t="str">
        <f>IF(ORCAMENTOS!H461="","",ORCAMENTOS!H461)</f>
        <v>Eliete</v>
      </c>
      <c r="H453" s="39">
        <f>IF(ORCAMENTOS!I461="","",ORCAMENTOS!I461)</f>
        <v>12386.78</v>
      </c>
      <c r="I453" s="60" t="str">
        <f>IF(ORCAMENTOS!J461="","",ORCAMENTOS!J461)</f>
        <v/>
      </c>
      <c r="J453" s="40" t="str">
        <f>IF(ORCAMENTOS!L461="","",ORCAMENTOS!L461)</f>
        <v>PERDIDO</v>
      </c>
      <c r="K453" s="34" t="str">
        <f>IF(ORCAMENTOS!M461="","",ORCAMENTOS!M461)</f>
        <v>MULTIVAC PACOTE</v>
      </c>
      <c r="L453" t="str">
        <f>IF(ORCAMENTOS!R461="","",ORCAMENTOS!R461)</f>
        <v>-</v>
      </c>
    </row>
    <row r="454" spans="1:12" ht="15.75" hidden="1" customHeight="1" x14ac:dyDescent="0.25">
      <c r="A454" s="36">
        <f>IF(ORCAMENTOS!A462="","",ORCAMENTOS!A462)</f>
        <v>45727</v>
      </c>
      <c r="B454" s="46">
        <f>IF(ORCAMENTOS!B462="","",ORCAMENTOS!B462)</f>
        <v>452</v>
      </c>
      <c r="C454" s="46" t="str">
        <f>IF(ORCAMENTOS!C462="","",ORCAMENTOS!C462)</f>
        <v/>
      </c>
      <c r="D454" s="37" t="str">
        <f>IF(ORCAMENTOS!D462="","",ORCAMENTOS!D462)</f>
        <v>CRIOVAC</v>
      </c>
      <c r="E454" s="38" t="str">
        <f>IF(ORCAMENTOS!E462="","",ORCAMENTOS!E462)</f>
        <v>-</v>
      </c>
      <c r="F454" s="37" t="str">
        <f>IF(ORCAMENTOS!G462="","",ORCAMENTOS!G462)</f>
        <v>Emanuel</v>
      </c>
      <c r="G454" s="37" t="str">
        <f>IF(ORCAMENTOS!H462="","",ORCAMENTOS!H462)</f>
        <v>Karen</v>
      </c>
      <c r="H454" s="39">
        <f>IF(ORCAMENTOS!I462="","",ORCAMENTOS!I462)</f>
        <v>390.69</v>
      </c>
      <c r="I454" s="60" t="str">
        <f>IF(ORCAMENTOS!J462="","",ORCAMENTOS!J462)</f>
        <v/>
      </c>
      <c r="J454" s="40" t="str">
        <f>IF(ORCAMENTOS!L462="","",ORCAMENTOS!L462)</f>
        <v>FECHADO</v>
      </c>
      <c r="K454" s="34" t="str">
        <f>IF(ORCAMENTOS!M462="","",ORCAMENTOS!M462)</f>
        <v>-</v>
      </c>
      <c r="L454" t="str">
        <f>IF(ORCAMENTOS!R462="","",ORCAMENTOS!R462)</f>
        <v>-</v>
      </c>
    </row>
    <row r="455" spans="1:12" ht="15.75" hidden="1" customHeight="1" x14ac:dyDescent="0.25">
      <c r="A455" s="36">
        <f>IF(ORCAMENTOS!A463="","",ORCAMENTOS!A463)</f>
        <v>45726</v>
      </c>
      <c r="B455" s="46">
        <f>IF(ORCAMENTOS!B463="","",ORCAMENTOS!B463)</f>
        <v>453</v>
      </c>
      <c r="C455" s="46" t="str">
        <f>IF(ORCAMENTOS!C463="","",ORCAMENTOS!C463)</f>
        <v/>
      </c>
      <c r="D455" s="37" t="str">
        <f>IF(ORCAMENTOS!D463="","",ORCAMENTOS!D463)</f>
        <v>CLIMA PERFEITO</v>
      </c>
      <c r="E455" s="38" t="str">
        <f>IF(ORCAMENTOS!E463="","",ORCAMENTOS!E463)</f>
        <v>CASA MILAN - ALTO DE PINHEIROS - SP</v>
      </c>
      <c r="F455" s="37" t="str">
        <f>IF(ORCAMENTOS!G463="","",ORCAMENTOS!G463)</f>
        <v>Gabriel</v>
      </c>
      <c r="G455" s="37" t="str">
        <f>IF(ORCAMENTOS!H463="","",ORCAMENTOS!H463)</f>
        <v>Andrews</v>
      </c>
      <c r="H455" s="39">
        <f>IF(ORCAMENTOS!I463="","",ORCAMENTOS!I463)</f>
        <v>20898.73</v>
      </c>
      <c r="I455" s="60" t="str">
        <f>IF(ORCAMENTOS!J463="","",ORCAMENTOS!J463)</f>
        <v/>
      </c>
      <c r="J455" s="40" t="str">
        <f>IF(ORCAMENTOS!L463="","",ORCAMENTOS!L463)</f>
        <v>CANCELADO</v>
      </c>
      <c r="K455" s="34" t="str">
        <f>IF(ORCAMENTOS!M463="","",ORCAMENTOS!M463)</f>
        <v>-</v>
      </c>
      <c r="L455" t="str">
        <f>IF(ORCAMENTOS!R463="","",ORCAMENTOS!R463)</f>
        <v>-</v>
      </c>
    </row>
    <row r="456" spans="1:12" ht="15.75" hidden="1" customHeight="1" x14ac:dyDescent="0.25">
      <c r="A456" s="36">
        <f>IF(ORCAMENTOS!A464="","",ORCAMENTOS!A464)</f>
        <v>45726</v>
      </c>
      <c r="B456" s="46">
        <f>IF(ORCAMENTOS!B464="","",ORCAMENTOS!B464)</f>
        <v>454</v>
      </c>
      <c r="C456" s="46" t="str">
        <f>IF(ORCAMENTOS!C464="","",ORCAMENTOS!C464)</f>
        <v/>
      </c>
      <c r="D456" s="37" t="str">
        <f>IF(ORCAMENTOS!D464="","",ORCAMENTOS!D464)</f>
        <v>RODRIGUES REFRIGERACAO</v>
      </c>
      <c r="E456" s="38" t="str">
        <f>IF(ORCAMENTOS!E464="","",ORCAMENTOS!E464)</f>
        <v>-</v>
      </c>
      <c r="F456" s="37" t="str">
        <f>IF(ORCAMENTOS!G464="","",ORCAMENTOS!G464)</f>
        <v>Gabriel</v>
      </c>
      <c r="G456" s="37" t="str">
        <f>IF(ORCAMENTOS!H464="","",ORCAMENTOS!H464)</f>
        <v>Michele</v>
      </c>
      <c r="H456" s="39">
        <f>IF(ORCAMENTOS!I464="","",ORCAMENTOS!I464)</f>
        <v>358.07</v>
      </c>
      <c r="I456" s="60" t="str">
        <f>IF(ORCAMENTOS!J464="","",ORCAMENTOS!J464)</f>
        <v/>
      </c>
      <c r="J456" s="40" t="str">
        <f>IF(ORCAMENTOS!L464="","",ORCAMENTOS!L464)</f>
        <v>CANCELADO</v>
      </c>
      <c r="K456" s="34" t="str">
        <f>IF(ORCAMENTOS!M464="","",ORCAMENTOS!M464)</f>
        <v>-</v>
      </c>
      <c r="L456" t="str">
        <f>IF(ORCAMENTOS!R464="","",ORCAMENTOS!R464)</f>
        <v>-</v>
      </c>
    </row>
    <row r="457" spans="1:12" ht="15.75" hidden="1" customHeight="1" x14ac:dyDescent="0.25">
      <c r="A457" s="36">
        <f>IF(ORCAMENTOS!A465="","",ORCAMENTOS!A465)</f>
        <v>45726</v>
      </c>
      <c r="B457" s="46">
        <f>IF(ORCAMENTOS!B465="","",ORCAMENTOS!B465)</f>
        <v>455</v>
      </c>
      <c r="C457" s="46" t="str">
        <f>IF(ORCAMENTOS!C465="","",ORCAMENTOS!C465)</f>
        <v/>
      </c>
      <c r="D457" s="37" t="str">
        <f>IF(ORCAMENTOS!D465="","",ORCAMENTOS!D465)</f>
        <v>AMS INSTALACOES</v>
      </c>
      <c r="E457" s="38" t="str">
        <f>IF(ORCAMENTOS!E465="","",ORCAMENTOS!E465)</f>
        <v>VEMKITEM - ARACAJU - SERGIPE</v>
      </c>
      <c r="F457" s="37" t="str">
        <f>IF(ORCAMENTOS!G465="","",ORCAMENTOS!G465)</f>
        <v>Gabriel</v>
      </c>
      <c r="G457" s="37" t="str">
        <f>IF(ORCAMENTOS!H465="","",ORCAMENTOS!H465)</f>
        <v>Felipe</v>
      </c>
      <c r="H457" s="39">
        <f>IF(ORCAMENTOS!I465="","",ORCAMENTOS!I465)</f>
        <v>358162.95</v>
      </c>
      <c r="I457" s="60" t="str">
        <f>IF(ORCAMENTOS!J465="","",ORCAMENTOS!J465)</f>
        <v/>
      </c>
      <c r="J457" s="40" t="str">
        <f>IF(ORCAMENTOS!L465="","",ORCAMENTOS!L465)</f>
        <v>CANCELADO</v>
      </c>
      <c r="K457" s="34" t="str">
        <f>IF(ORCAMENTOS!M465="","",ORCAMENTOS!M465)</f>
        <v>-</v>
      </c>
      <c r="L457" t="str">
        <f>IF(ORCAMENTOS!R465="","",ORCAMENTOS!R465)</f>
        <v/>
      </c>
    </row>
    <row r="458" spans="1:12" ht="15.75" hidden="1" customHeight="1" x14ac:dyDescent="0.25">
      <c r="A458" s="36">
        <f>IF(ORCAMENTOS!A466="","",ORCAMENTOS!A466)</f>
        <v>45726</v>
      </c>
      <c r="B458" s="46">
        <f>IF(ORCAMENTOS!B466="","",ORCAMENTOS!B466)</f>
        <v>456</v>
      </c>
      <c r="C458" s="46" t="str">
        <f>IF(ORCAMENTOS!C466="","",ORCAMENTOS!C466)</f>
        <v/>
      </c>
      <c r="D458" s="37" t="str">
        <f>IF(ORCAMENTOS!D466="","",ORCAMENTOS!D466)</f>
        <v>ARSERVICE</v>
      </c>
      <c r="E458" s="38" t="str">
        <f>IF(ORCAMENTOS!E466="","",ORCAMENTOS!E466)</f>
        <v>SERVIDOR - PADRONIZAÇÃO</v>
      </c>
      <c r="F458" s="37" t="str">
        <f>IF(ORCAMENTOS!G466="","",ORCAMENTOS!G466)</f>
        <v>Gabriel</v>
      </c>
      <c r="G458" s="37" t="str">
        <f>IF(ORCAMENTOS!H466="","",ORCAMENTOS!H466)</f>
        <v>Thiago</v>
      </c>
      <c r="H458" s="39">
        <f>IF(ORCAMENTOS!I466="","",ORCAMENTOS!I466)</f>
        <v>47929.57</v>
      </c>
      <c r="I458" s="60" t="str">
        <f>IF(ORCAMENTOS!J466="","",ORCAMENTOS!J466)</f>
        <v/>
      </c>
      <c r="J458" s="40" t="str">
        <f>IF(ORCAMENTOS!L466="","",ORCAMENTOS!L466)</f>
        <v>CANCELADO</v>
      </c>
      <c r="K458" s="34" t="str">
        <f>IF(ORCAMENTOS!M466="","",ORCAMENTOS!M466)</f>
        <v>-</v>
      </c>
      <c r="L458" t="str">
        <f>IF(ORCAMENTOS!R466="","",ORCAMENTOS!R466)</f>
        <v>-</v>
      </c>
    </row>
    <row r="459" spans="1:12" ht="15.75" hidden="1" customHeight="1" x14ac:dyDescent="0.25">
      <c r="A459" s="36">
        <f>IF(ORCAMENTOS!A467="","",ORCAMENTOS!A467)</f>
        <v>45727</v>
      </c>
      <c r="B459" s="46">
        <f>IF(ORCAMENTOS!B467="","",ORCAMENTOS!B467)</f>
        <v>457</v>
      </c>
      <c r="C459" s="46" t="str">
        <f>IF(ORCAMENTOS!C467="","",ORCAMENTOS!C467)</f>
        <v/>
      </c>
      <c r="D459" s="37" t="str">
        <f>IF(ORCAMENTOS!D467="","",ORCAMENTOS!D467)</f>
        <v>R1 SOLUCOES</v>
      </c>
      <c r="E459" s="38" t="str">
        <f>IF(ORCAMENTOS!E467="","",ORCAMENTOS!E467)</f>
        <v>-</v>
      </c>
      <c r="F459" s="37" t="str">
        <f>IF(ORCAMENTOS!G467="","",ORCAMENTOS!G467)</f>
        <v>Gabriel</v>
      </c>
      <c r="G459" s="37" t="str">
        <f>IF(ORCAMENTOS!H467="","",ORCAMENTOS!H467)</f>
        <v>Janaina</v>
      </c>
      <c r="H459" s="39">
        <f>IF(ORCAMENTOS!I467="","",ORCAMENTOS!I467)</f>
        <v>2677.82</v>
      </c>
      <c r="I459" s="60" t="str">
        <f>IF(ORCAMENTOS!J467="","",ORCAMENTOS!J467)</f>
        <v/>
      </c>
      <c r="J459" s="40" t="str">
        <f>IF(ORCAMENTOS!L467="","",ORCAMENTOS!L467)</f>
        <v>FECHADO</v>
      </c>
      <c r="K459" s="34" t="str">
        <f>IF(ORCAMENTOS!M467="","",ORCAMENTOS!M467)</f>
        <v>-</v>
      </c>
      <c r="L459" t="str">
        <f>IF(ORCAMENTOS!R467="","",ORCAMENTOS!R467)</f>
        <v>-</v>
      </c>
    </row>
    <row r="460" spans="1:12" ht="15.75" hidden="1" customHeight="1" x14ac:dyDescent="0.25">
      <c r="A460" s="36">
        <f>IF(ORCAMENTOS!A468="","",ORCAMENTOS!A468)</f>
        <v>45728</v>
      </c>
      <c r="B460" s="46">
        <f>IF(ORCAMENTOS!B468="","",ORCAMENTOS!B468)</f>
        <v>458</v>
      </c>
      <c r="C460" s="46" t="str">
        <f>IF(ORCAMENTOS!C468="","",ORCAMENTOS!C468)</f>
        <v/>
      </c>
      <c r="D460" s="37" t="str">
        <f>IF(ORCAMENTOS!D468="","",ORCAMENTOS!D468)</f>
        <v>THERMOMATIC</v>
      </c>
      <c r="E460" s="38" t="str">
        <f>IF(ORCAMENTOS!E468="","",ORCAMENTOS!E468)</f>
        <v>-</v>
      </c>
      <c r="F460" s="37" t="str">
        <f>IF(ORCAMENTOS!G468="","",ORCAMENTOS!G468)</f>
        <v>Gabriel</v>
      </c>
      <c r="G460" s="37" t="str">
        <f>IF(ORCAMENTOS!H468="","",ORCAMENTOS!H468)</f>
        <v>Calil</v>
      </c>
      <c r="H460" s="39">
        <f>IF(ORCAMENTOS!I468="","",ORCAMENTOS!I468)</f>
        <v>3806.35</v>
      </c>
      <c r="I460" s="60" t="str">
        <f>IF(ORCAMENTOS!J468="","",ORCAMENTOS!J468)</f>
        <v/>
      </c>
      <c r="J460" s="40" t="str">
        <f>IF(ORCAMENTOS!L468="","",ORCAMENTOS!L468)</f>
        <v>CANCELADO</v>
      </c>
      <c r="K460" s="34" t="str">
        <f>IF(ORCAMENTOS!M468="","",ORCAMENTOS!M468)</f>
        <v>-</v>
      </c>
      <c r="L460" t="str">
        <f>IF(ORCAMENTOS!R468="","",ORCAMENTOS!R468)</f>
        <v>-</v>
      </c>
    </row>
    <row r="461" spans="1:12" ht="15.75" hidden="1" customHeight="1" x14ac:dyDescent="0.25">
      <c r="A461" s="36">
        <f>IF(ORCAMENTOS!A469="","",ORCAMENTOS!A469)</f>
        <v>45727</v>
      </c>
      <c r="B461" s="46">
        <f>IF(ORCAMENTOS!B469="","",ORCAMENTOS!B469)</f>
        <v>459</v>
      </c>
      <c r="C461" s="46" t="str">
        <f>IF(ORCAMENTOS!C469="","",ORCAMENTOS!C469)</f>
        <v/>
      </c>
      <c r="D461" s="37" t="str">
        <f>IF(ORCAMENTOS!D469="","",ORCAMENTOS!D469)</f>
        <v>AIRPLAN</v>
      </c>
      <c r="E461" s="38" t="str">
        <f>IF(ORCAMENTOS!E469="","",ORCAMENTOS!E469)</f>
        <v>YOUCOM - BALNEARIO DE CAMBORIU - SC</v>
      </c>
      <c r="F461" s="37" t="str">
        <f>IF(ORCAMENTOS!G469="","",ORCAMENTOS!G469)</f>
        <v>Gabriel</v>
      </c>
      <c r="G461" s="37" t="str">
        <f>IF(ORCAMENTOS!H469="","",ORCAMENTOS!H469)</f>
        <v>Henrique</v>
      </c>
      <c r="H461" s="39">
        <f>IF(ORCAMENTOS!I469="","",ORCAMENTOS!I469)</f>
        <v>30792.01</v>
      </c>
      <c r="I461" s="60" t="str">
        <f>IF(ORCAMENTOS!J469="","",ORCAMENTOS!J469)</f>
        <v/>
      </c>
      <c r="J461" s="40" t="str">
        <f>IF(ORCAMENTOS!L469="","",ORCAMENTOS!L469)</f>
        <v>CANCELADO</v>
      </c>
      <c r="K461" s="34" t="str">
        <f>IF(ORCAMENTOS!M469="","",ORCAMENTOS!M469)</f>
        <v>-</v>
      </c>
      <c r="L461" t="str">
        <f>IF(ORCAMENTOS!R469="","",ORCAMENTOS!R469)</f>
        <v/>
      </c>
    </row>
    <row r="462" spans="1:12" ht="15.75" hidden="1" customHeight="1" x14ac:dyDescent="0.25">
      <c r="A462" s="36">
        <f>IF(ORCAMENTOS!A470="","",ORCAMENTOS!A470)</f>
        <v>45727</v>
      </c>
      <c r="B462" s="46">
        <f>IF(ORCAMENTOS!B470="","",ORCAMENTOS!B470)</f>
        <v>460</v>
      </c>
      <c r="C462" s="46" t="str">
        <f>IF(ORCAMENTOS!C470="","",ORCAMENTOS!C470)</f>
        <v/>
      </c>
      <c r="D462" s="37" t="str">
        <f>IF(ORCAMENTOS!D470="","",ORCAMENTOS!D470)</f>
        <v>AIRPLAN</v>
      </c>
      <c r="E462" s="38" t="str">
        <f>IF(ORCAMENTOS!E470="","",ORCAMENTOS!E470)</f>
        <v>YOUCOM - SHOPPING SIDER - VOLTA REDONDA - RJ</v>
      </c>
      <c r="F462" s="37" t="str">
        <f>IF(ORCAMENTOS!G470="","",ORCAMENTOS!G470)</f>
        <v>Gabriel</v>
      </c>
      <c r="G462" s="37" t="str">
        <f>IF(ORCAMENTOS!H470="","",ORCAMENTOS!H470)</f>
        <v>Henrique</v>
      </c>
      <c r="H462" s="39">
        <f>IF(ORCAMENTOS!I470="","",ORCAMENTOS!I470)</f>
        <v>20181.29</v>
      </c>
      <c r="I462" s="60" t="str">
        <f>IF(ORCAMENTOS!J470="","",ORCAMENTOS!J470)</f>
        <v/>
      </c>
      <c r="J462" s="40" t="str">
        <f>IF(ORCAMENTOS!L470="","",ORCAMENTOS!L470)</f>
        <v>CANCELADO</v>
      </c>
      <c r="K462" s="34" t="str">
        <f>IF(ORCAMENTOS!M470="","",ORCAMENTOS!M470)</f>
        <v>-</v>
      </c>
      <c r="L462" t="str">
        <f>IF(ORCAMENTOS!R470="","",ORCAMENTOS!R470)</f>
        <v>-</v>
      </c>
    </row>
    <row r="463" spans="1:12" ht="15.75" hidden="1" customHeight="1" x14ac:dyDescent="0.25">
      <c r="A463" s="36">
        <f>IF(ORCAMENTOS!A471="","",ORCAMENTOS!A471)</f>
        <v>45727</v>
      </c>
      <c r="B463" s="46">
        <f>IF(ORCAMENTOS!B471="","",ORCAMENTOS!B471)</f>
        <v>461</v>
      </c>
      <c r="C463" s="46" t="str">
        <f>IF(ORCAMENTOS!C471="","",ORCAMENTOS!C471)</f>
        <v/>
      </c>
      <c r="D463" s="37" t="str">
        <f>IF(ORCAMENTOS!D471="","",ORCAMENTOS!D471)</f>
        <v>UNION RHAC</v>
      </c>
      <c r="E463" s="38" t="str">
        <f>IF(ORCAMENTOS!E471="","",ORCAMENTOS!E471)</f>
        <v>-</v>
      </c>
      <c r="F463" s="37" t="str">
        <f>IF(ORCAMENTOS!G471="","",ORCAMENTOS!G471)</f>
        <v>Emanuel</v>
      </c>
      <c r="G463" s="37" t="str">
        <f>IF(ORCAMENTOS!H471="","",ORCAMENTOS!H471)</f>
        <v>Rogerio</v>
      </c>
      <c r="H463" s="39">
        <f>IF(ORCAMENTOS!I471="","",ORCAMENTOS!I471)</f>
        <v>15904.12</v>
      </c>
      <c r="I463" s="60" t="str">
        <f>IF(ORCAMENTOS!J471="","",ORCAMENTOS!J471)</f>
        <v/>
      </c>
      <c r="J463" s="40" t="str">
        <f>IF(ORCAMENTOS!L471="","",ORCAMENTOS!L471)</f>
        <v>PERDIDO</v>
      </c>
      <c r="K463" s="34" t="str">
        <f>IF(ORCAMENTOS!M471="","",ORCAMENTOS!M471)</f>
        <v>PERDIDO ARCOTEC - PRAZO</v>
      </c>
      <c r="L463" t="str">
        <f>IF(ORCAMENTOS!R471="","",ORCAMENTOS!R471)</f>
        <v>-</v>
      </c>
    </row>
    <row r="464" spans="1:12" ht="15.75" hidden="1" customHeight="1" x14ac:dyDescent="0.25">
      <c r="A464" s="36">
        <f>IF(ORCAMENTOS!A472="","",ORCAMENTOS!A472)</f>
        <v>45728</v>
      </c>
      <c r="B464" s="46">
        <f>IF(ORCAMENTOS!B472="","",ORCAMENTOS!B472)</f>
        <v>462</v>
      </c>
      <c r="C464" s="46" t="str">
        <f>IF(ORCAMENTOS!C472="","",ORCAMENTOS!C472)</f>
        <v/>
      </c>
      <c r="D464" s="37" t="str">
        <f>IF(ORCAMENTOS!D472="","",ORCAMENTOS!D472)</f>
        <v>UNION RHAC</v>
      </c>
      <c r="E464" s="38" t="str">
        <f>IF(ORCAMENTOS!E472="","",ORCAMENTOS!E472)</f>
        <v>-</v>
      </c>
      <c r="F464" s="37" t="str">
        <f>IF(ORCAMENTOS!G472="","",ORCAMENTOS!G472)</f>
        <v>Emanuel</v>
      </c>
      <c r="G464" s="37" t="str">
        <f>IF(ORCAMENTOS!H472="","",ORCAMENTOS!H472)</f>
        <v>Rogerio</v>
      </c>
      <c r="H464" s="39">
        <f>IF(ORCAMENTOS!I472="","",ORCAMENTOS!I472)</f>
        <v>12836.44</v>
      </c>
      <c r="I464" s="60" t="str">
        <f>IF(ORCAMENTOS!J472="","",ORCAMENTOS!J472)</f>
        <v/>
      </c>
      <c r="J464" s="40" t="str">
        <f>IF(ORCAMENTOS!L472="","",ORCAMENTOS!L472)</f>
        <v>FECHADO</v>
      </c>
      <c r="K464" s="34" t="str">
        <f>IF(ORCAMENTOS!M472="","",ORCAMENTOS!M472)</f>
        <v>-</v>
      </c>
      <c r="L464" t="str">
        <f>IF(ORCAMENTOS!R472="","",ORCAMENTOS!R472)</f>
        <v>-</v>
      </c>
    </row>
    <row r="465" spans="1:12" ht="15.75" hidden="1" customHeight="1" x14ac:dyDescent="0.25">
      <c r="A465" s="36">
        <f>IF(ORCAMENTOS!A473="","",ORCAMENTOS!A473)</f>
        <v>45727</v>
      </c>
      <c r="B465" s="46">
        <f>IF(ORCAMENTOS!B473="","",ORCAMENTOS!B473)</f>
        <v>463</v>
      </c>
      <c r="C465" s="46" t="str">
        <f>IF(ORCAMENTOS!C473="","",ORCAMENTOS!C473)</f>
        <v/>
      </c>
      <c r="D465" s="37" t="str">
        <f>IF(ORCAMENTOS!D473="","",ORCAMENTOS!D473)</f>
        <v>NEXT DUCT</v>
      </c>
      <c r="E465" s="38" t="str">
        <f>IF(ORCAMENTOS!E473="","",ORCAMENTOS!E473)</f>
        <v>-</v>
      </c>
      <c r="F465" s="37" t="str">
        <f>IF(ORCAMENTOS!G473="","",ORCAMENTOS!G473)</f>
        <v>Gabriel</v>
      </c>
      <c r="G465" s="37" t="str">
        <f>IF(ORCAMENTOS!H473="","",ORCAMENTOS!H473)</f>
        <v>Vinicius</v>
      </c>
      <c r="H465" s="39">
        <f>IF(ORCAMENTOS!I473="","",ORCAMENTOS!I473)</f>
        <v>133433.82</v>
      </c>
      <c r="I465" s="60" t="str">
        <f>IF(ORCAMENTOS!J473="","",ORCAMENTOS!J473)</f>
        <v/>
      </c>
      <c r="J465" s="40" t="str">
        <f>IF(ORCAMENTOS!L473="","",ORCAMENTOS!L473)</f>
        <v>CANCELADO</v>
      </c>
      <c r="K465" s="34" t="str">
        <f>IF(ORCAMENTOS!M473="","",ORCAMENTOS!M473)</f>
        <v>-</v>
      </c>
      <c r="L465" t="str">
        <f>IF(ORCAMENTOS!R473="","",ORCAMENTOS!R473)</f>
        <v>-</v>
      </c>
    </row>
    <row r="466" spans="1:12" ht="15.75" hidden="1" customHeight="1" x14ac:dyDescent="0.25">
      <c r="A466" s="36">
        <f>IF(ORCAMENTOS!A474="","",ORCAMENTOS!A474)</f>
        <v>45727</v>
      </c>
      <c r="B466" s="46">
        <f>IF(ORCAMENTOS!B474="","",ORCAMENTOS!B474)</f>
        <v>464</v>
      </c>
      <c r="C466" s="46" t="str">
        <f>IF(ORCAMENTOS!C474="","",ORCAMENTOS!C474)</f>
        <v/>
      </c>
      <c r="D466" s="37" t="str">
        <f>IF(ORCAMENTOS!D474="","",ORCAMENTOS!D474)</f>
        <v>NEXT DUCT</v>
      </c>
      <c r="E466" s="38" t="str">
        <f>IF(ORCAMENTOS!E474="","",ORCAMENTOS!E474)</f>
        <v>-</v>
      </c>
      <c r="F466" s="37" t="str">
        <f>IF(ORCAMENTOS!G474="","",ORCAMENTOS!G474)</f>
        <v>Gabriel</v>
      </c>
      <c r="G466" s="37" t="str">
        <f>IF(ORCAMENTOS!H474="","",ORCAMENTOS!H474)</f>
        <v>Vinicius</v>
      </c>
      <c r="H466" s="39">
        <f>IF(ORCAMENTOS!I474="","",ORCAMENTOS!I474)</f>
        <v>90013.2</v>
      </c>
      <c r="I466" s="60" t="str">
        <f>IF(ORCAMENTOS!J474="","",ORCAMENTOS!J474)</f>
        <v/>
      </c>
      <c r="J466" s="40" t="str">
        <f>IF(ORCAMENTOS!L474="","",ORCAMENTOS!L474)</f>
        <v>FECHADO</v>
      </c>
      <c r="K466" s="34" t="str">
        <f>IF(ORCAMENTOS!M474="","",ORCAMENTOS!M474)</f>
        <v>-</v>
      </c>
      <c r="L466" t="str">
        <f>IF(ORCAMENTOS!R474="","",ORCAMENTOS!R474)</f>
        <v>-</v>
      </c>
    </row>
    <row r="467" spans="1:12" ht="15.75" hidden="1" customHeight="1" x14ac:dyDescent="0.25">
      <c r="A467" s="36">
        <f>IF(ORCAMENTOS!A475="","",ORCAMENTOS!A475)</f>
        <v>45727</v>
      </c>
      <c r="B467" s="46">
        <f>IF(ORCAMENTOS!B475="","",ORCAMENTOS!B475)</f>
        <v>465</v>
      </c>
      <c r="C467" s="46" t="str">
        <f>IF(ORCAMENTOS!C475="","",ORCAMENTOS!C475)</f>
        <v/>
      </c>
      <c r="D467" s="37" t="str">
        <f>IF(ORCAMENTOS!D475="","",ORCAMENTOS!D475)</f>
        <v>AIRPLAN</v>
      </c>
      <c r="E467" s="38" t="str">
        <f>IF(ORCAMENTOS!E475="","",ORCAMENTOS!E475)</f>
        <v>YOUCOM - CASCAVEL - PR</v>
      </c>
      <c r="F467" s="37" t="str">
        <f>IF(ORCAMENTOS!G475="","",ORCAMENTOS!G475)</f>
        <v>Gabriel</v>
      </c>
      <c r="G467" s="37" t="str">
        <f>IF(ORCAMENTOS!H475="","",ORCAMENTOS!H475)</f>
        <v>Henrique</v>
      </c>
      <c r="H467" s="39">
        <f>IF(ORCAMENTOS!I475="","",ORCAMENTOS!I475)</f>
        <v>20940.62</v>
      </c>
      <c r="I467" s="60" t="str">
        <f>IF(ORCAMENTOS!J475="","",ORCAMENTOS!J475)</f>
        <v/>
      </c>
      <c r="J467" s="40" t="str">
        <f>IF(ORCAMENTOS!L475="","",ORCAMENTOS!L475)</f>
        <v>CANCELADO</v>
      </c>
      <c r="K467" s="34" t="str">
        <f>IF(ORCAMENTOS!M475="","",ORCAMENTOS!M475)</f>
        <v>-</v>
      </c>
      <c r="L467" t="str">
        <f>IF(ORCAMENTOS!R475="","",ORCAMENTOS!R475)</f>
        <v/>
      </c>
    </row>
    <row r="468" spans="1:12" ht="15.75" hidden="1" customHeight="1" x14ac:dyDescent="0.25">
      <c r="A468" s="36">
        <f>IF(ORCAMENTOS!A476="","",ORCAMENTOS!A476)</f>
        <v>45727</v>
      </c>
      <c r="B468" s="46">
        <f>IF(ORCAMENTOS!B476="","",ORCAMENTOS!B476)</f>
        <v>466</v>
      </c>
      <c r="C468" s="46" t="str">
        <f>IF(ORCAMENTOS!C476="","",ORCAMENTOS!C476)</f>
        <v/>
      </c>
      <c r="D468" s="37" t="str">
        <f>IF(ORCAMENTOS!D476="","",ORCAMENTOS!D476)</f>
        <v>AMS INSTALACOES</v>
      </c>
      <c r="E468" s="38" t="str">
        <f>IF(ORCAMENTOS!E476="","",ORCAMENTOS!E476)</f>
        <v>ATAKADAO - ATAKAREJO - CATU - BA</v>
      </c>
      <c r="F468" s="37" t="str">
        <f>IF(ORCAMENTOS!G476="","",ORCAMENTOS!G476)</f>
        <v>Gabriel</v>
      </c>
      <c r="G468" s="37" t="str">
        <f>IF(ORCAMENTOS!H476="","",ORCAMENTOS!H476)</f>
        <v>Felipe</v>
      </c>
      <c r="H468" s="39">
        <f>IF(ORCAMENTOS!I476="","",ORCAMENTOS!I476)</f>
        <v>186440.45</v>
      </c>
      <c r="I468" s="60" t="str">
        <f>IF(ORCAMENTOS!J476="","",ORCAMENTOS!J476)</f>
        <v/>
      </c>
      <c r="J468" s="40" t="str">
        <f>IF(ORCAMENTOS!L476="","",ORCAMENTOS!L476)</f>
        <v>CANCELADO</v>
      </c>
      <c r="K468" s="34" t="str">
        <f>IF(ORCAMENTOS!M476="","",ORCAMENTOS!M476)</f>
        <v>-</v>
      </c>
      <c r="L468" t="str">
        <f>IF(ORCAMENTOS!R476="","",ORCAMENTOS!R476)</f>
        <v/>
      </c>
    </row>
    <row r="469" spans="1:12" ht="15.75" hidden="1" customHeight="1" x14ac:dyDescent="0.25">
      <c r="A469" s="36">
        <f>IF(ORCAMENTOS!A477="","",ORCAMENTOS!A477)</f>
        <v>45727</v>
      </c>
      <c r="B469" s="46">
        <f>IF(ORCAMENTOS!B477="","",ORCAMENTOS!B477)</f>
        <v>467</v>
      </c>
      <c r="C469" s="46" t="str">
        <f>IF(ORCAMENTOS!C477="","",ORCAMENTOS!C477)</f>
        <v/>
      </c>
      <c r="D469" s="37" t="str">
        <f>IF(ORCAMENTOS!D477="","",ORCAMENTOS!D477)</f>
        <v>AMS INSTALACOES</v>
      </c>
      <c r="E469" s="38" t="str">
        <f>IF(ORCAMENTOS!E477="","",ORCAMENTOS!E477)</f>
        <v>ATAKADAO - ATAKAREJO - ARACAJU II - SE</v>
      </c>
      <c r="F469" s="37" t="str">
        <f>IF(ORCAMENTOS!G477="","",ORCAMENTOS!G477)</f>
        <v>Gabriel</v>
      </c>
      <c r="G469" s="37" t="str">
        <f>IF(ORCAMENTOS!H477="","",ORCAMENTOS!H477)</f>
        <v>Felipe</v>
      </c>
      <c r="H469" s="39">
        <f>IF(ORCAMENTOS!I477="","",ORCAMENTOS!I477)</f>
        <v>169857.64</v>
      </c>
      <c r="I469" s="60" t="str">
        <f>IF(ORCAMENTOS!J477="","",ORCAMENTOS!J477)</f>
        <v/>
      </c>
      <c r="J469" s="40" t="str">
        <f>IF(ORCAMENTOS!L477="","",ORCAMENTOS!L477)</f>
        <v>CANCELADO</v>
      </c>
      <c r="K469" s="34" t="str">
        <f>IF(ORCAMENTOS!M477="","",ORCAMENTOS!M477)</f>
        <v>-</v>
      </c>
      <c r="L469" t="str">
        <f>IF(ORCAMENTOS!R477="","",ORCAMENTOS!R477)</f>
        <v/>
      </c>
    </row>
    <row r="470" spans="1:12" ht="15.75" hidden="1" customHeight="1" x14ac:dyDescent="0.25">
      <c r="A470" s="36">
        <f>IF(ORCAMENTOS!A478="","",ORCAMENTOS!A478)</f>
        <v>45727</v>
      </c>
      <c r="B470" s="46">
        <f>IF(ORCAMENTOS!B478="","",ORCAMENTOS!B478)</f>
        <v>468</v>
      </c>
      <c r="C470" s="46" t="str">
        <f>IF(ORCAMENTOS!C478="","",ORCAMENTOS!C478)</f>
        <v/>
      </c>
      <c r="D470" s="37" t="str">
        <f>IF(ORCAMENTOS!D478="","",ORCAMENTOS!D478)</f>
        <v>SUSANTHERM</v>
      </c>
      <c r="E470" s="38" t="str">
        <f>IF(ORCAMENTOS!E478="","",ORCAMENTOS!E478)</f>
        <v>GRANJA MANTIQUEIRA - LORENA - SP</v>
      </c>
      <c r="F470" s="37" t="str">
        <f>IF(ORCAMENTOS!G478="","",ORCAMENTOS!G478)</f>
        <v>Gabriel</v>
      </c>
      <c r="G470" s="37" t="str">
        <f>IF(ORCAMENTOS!H478="","",ORCAMENTOS!H478)</f>
        <v>Cristina</v>
      </c>
      <c r="H470" s="39">
        <f>IF(ORCAMENTOS!I478="","",ORCAMENTOS!I478)</f>
        <v>343158.13</v>
      </c>
      <c r="I470" s="60" t="str">
        <f>IF(ORCAMENTOS!J478="","",ORCAMENTOS!J478)</f>
        <v/>
      </c>
      <c r="J470" s="40" t="str">
        <f>IF(ORCAMENTOS!L478="","",ORCAMENTOS!L478)</f>
        <v>CANCELADO</v>
      </c>
      <c r="K470" s="34" t="str">
        <f>IF(ORCAMENTOS!M478="","",ORCAMENTOS!M478)</f>
        <v>-</v>
      </c>
      <c r="L470" t="str">
        <f>IF(ORCAMENTOS!R478="","",ORCAMENTOS!R478)</f>
        <v/>
      </c>
    </row>
    <row r="471" spans="1:12" ht="15.75" hidden="1" customHeight="1" x14ac:dyDescent="0.25">
      <c r="A471" s="36">
        <f>IF(ORCAMENTOS!A479="","",ORCAMENTOS!A479)</f>
        <v>45727</v>
      </c>
      <c r="B471" s="46">
        <f>IF(ORCAMENTOS!B479="","",ORCAMENTOS!B479)</f>
        <v>469</v>
      </c>
      <c r="C471" s="46" t="str">
        <f>IF(ORCAMENTOS!C479="","",ORCAMENTOS!C479)</f>
        <v/>
      </c>
      <c r="D471" s="37" t="str">
        <f>IF(ORCAMENTOS!D479="","",ORCAMENTOS!D479)</f>
        <v>SOLAR AR</v>
      </c>
      <c r="E471" s="38" t="str">
        <f>IF(ORCAMENTOS!E479="","",ORCAMENTOS!E479)</f>
        <v>ESPACO LASER - HIPERMERCADO BERGAMINI - SÃO PAULO - SP</v>
      </c>
      <c r="F471" s="37" t="str">
        <f>IF(ORCAMENTOS!G479="","",ORCAMENTOS!G479)</f>
        <v>Michel</v>
      </c>
      <c r="G471" s="37" t="str">
        <f>IF(ORCAMENTOS!H479="","",ORCAMENTOS!H479)</f>
        <v>Welly</v>
      </c>
      <c r="H471" s="39">
        <f>IF(ORCAMENTOS!I479="","",ORCAMENTOS!I479)</f>
        <v>3703.82</v>
      </c>
      <c r="I471" s="60" t="str">
        <f>IF(ORCAMENTOS!J479="","",ORCAMENTOS!J479)</f>
        <v/>
      </c>
      <c r="J471" s="40" t="str">
        <f>IF(ORCAMENTOS!L479="","",ORCAMENTOS!L479)</f>
        <v>CANCELADO</v>
      </c>
      <c r="K471" s="34" t="str">
        <f>IF(ORCAMENTOS!M479="","",ORCAMENTOS!M479)</f>
        <v>-</v>
      </c>
      <c r="L471" t="str">
        <f>IF(ORCAMENTOS!R479="","",ORCAMENTOS!R479)</f>
        <v>-</v>
      </c>
    </row>
    <row r="472" spans="1:12" ht="15.75" hidden="1" customHeight="1" x14ac:dyDescent="0.25">
      <c r="A472" s="36">
        <f>IF(ORCAMENTOS!A480="","",ORCAMENTOS!A480)</f>
        <v>45728</v>
      </c>
      <c r="B472" s="46">
        <f>IF(ORCAMENTOS!B480="","",ORCAMENTOS!B480)</f>
        <v>470</v>
      </c>
      <c r="C472" s="46" t="str">
        <f>IF(ORCAMENTOS!C480="","",ORCAMENTOS!C480)</f>
        <v/>
      </c>
      <c r="D472" s="37" t="str">
        <f>IF(ORCAMENTOS!D480="","",ORCAMENTOS!D480)</f>
        <v>AGEPLAN</v>
      </c>
      <c r="E472" s="38" t="str">
        <f>IF(ORCAMENTOS!E480="","",ORCAMENTOS!E480)</f>
        <v>CLARO - ESTACAO RECIFE - PE</v>
      </c>
      <c r="F472" s="37" t="str">
        <f>IF(ORCAMENTOS!G480="","",ORCAMENTOS!G480)</f>
        <v>Fernando</v>
      </c>
      <c r="G472" s="37" t="str">
        <f>IF(ORCAMENTOS!H480="","",ORCAMENTOS!H480)</f>
        <v>Guilherme</v>
      </c>
      <c r="H472" s="39">
        <f>IF(ORCAMENTOS!I480="","",ORCAMENTOS!I480)</f>
        <v>21749.9</v>
      </c>
      <c r="I472" s="60" t="str">
        <f>IF(ORCAMENTOS!J480="","",ORCAMENTOS!J480)</f>
        <v/>
      </c>
      <c r="J472" s="40" t="str">
        <f>IF(ORCAMENTOS!L480="","",ORCAMENTOS!L480)</f>
        <v>CANCELADO</v>
      </c>
      <c r="K472" s="34" t="str">
        <f>IF(ORCAMENTOS!M480="","",ORCAMENTOS!M480)</f>
        <v>-</v>
      </c>
      <c r="L472" t="str">
        <f>IF(ORCAMENTOS!R480="","",ORCAMENTOS!R480)</f>
        <v>-</v>
      </c>
    </row>
    <row r="473" spans="1:12" ht="15.75" hidden="1" customHeight="1" x14ac:dyDescent="0.25">
      <c r="A473" s="36">
        <f>IF(ORCAMENTOS!A481="","",ORCAMENTOS!A481)</f>
        <v>45727</v>
      </c>
      <c r="B473" s="46">
        <f>IF(ORCAMENTOS!B481="","",ORCAMENTOS!B481)</f>
        <v>471</v>
      </c>
      <c r="C473" s="46" t="str">
        <f>IF(ORCAMENTOS!C481="","",ORCAMENTOS!C481)</f>
        <v/>
      </c>
      <c r="D473" s="37" t="str">
        <f>IF(ORCAMENTOS!D481="","",ORCAMENTOS!D481)</f>
        <v>ENGEMAC</v>
      </c>
      <c r="E473" s="38" t="str">
        <f>IF(ORCAMENTOS!E481="","",ORCAMENTOS!E481)</f>
        <v>FUSP - SÃO PAULO - SP</v>
      </c>
      <c r="F473" s="37" t="str">
        <f>IF(ORCAMENTOS!G481="","",ORCAMENTOS!G481)</f>
        <v>Fernando</v>
      </c>
      <c r="G473" s="37" t="str">
        <f>IF(ORCAMENTOS!H481="","",ORCAMENTOS!H481)</f>
        <v>Edmilson</v>
      </c>
      <c r="H473" s="39">
        <f>IF(ORCAMENTOS!I481="","",ORCAMENTOS!I481)</f>
        <v>8543.81</v>
      </c>
      <c r="I473" s="60" t="str">
        <f>IF(ORCAMENTOS!J481="","",ORCAMENTOS!J481)</f>
        <v/>
      </c>
      <c r="J473" s="40" t="str">
        <f>IF(ORCAMENTOS!L481="","",ORCAMENTOS!L481)</f>
        <v>CANCELADO</v>
      </c>
      <c r="K473" s="34" t="str">
        <f>IF(ORCAMENTOS!M481="","",ORCAMENTOS!M481)</f>
        <v>-</v>
      </c>
      <c r="L473" t="str">
        <f>IF(ORCAMENTOS!R481="","",ORCAMENTOS!R481)</f>
        <v>-</v>
      </c>
    </row>
    <row r="474" spans="1:12" ht="15.75" hidden="1" customHeight="1" x14ac:dyDescent="0.25">
      <c r="A474" s="36">
        <f>IF(ORCAMENTOS!A482="","",ORCAMENTOS!A482)</f>
        <v>45728</v>
      </c>
      <c r="B474" s="46">
        <f>IF(ORCAMENTOS!B482="","",ORCAMENTOS!B482)</f>
        <v>472</v>
      </c>
      <c r="C474" s="46" t="str">
        <f>IF(ORCAMENTOS!C482="","",ORCAMENTOS!C482)</f>
        <v/>
      </c>
      <c r="D474" s="37" t="str">
        <f>IF(ORCAMENTOS!D482="","",ORCAMENTOS!D482)</f>
        <v>AIR NET</v>
      </c>
      <c r="E474" s="38" t="str">
        <f>IF(ORCAMENTOS!E482="","",ORCAMENTOS!E482)</f>
        <v>HOSPITAL UNIMED ITAPETININGA - SÃO PAULO - SP</v>
      </c>
      <c r="F474" s="37" t="str">
        <f>IF(ORCAMENTOS!G482="","",ORCAMENTOS!G482)</f>
        <v>Fernando</v>
      </c>
      <c r="G474" s="37" t="str">
        <f>IF(ORCAMENTOS!H482="","",ORCAMENTOS!H482)</f>
        <v>Joao</v>
      </c>
      <c r="H474" s="39">
        <f>IF(ORCAMENTOS!I482="","",ORCAMENTOS!I482)</f>
        <v>74790.2</v>
      </c>
      <c r="I474" s="60" t="str">
        <f>IF(ORCAMENTOS!J482="","",ORCAMENTOS!J482)</f>
        <v/>
      </c>
      <c r="J474" s="40" t="str">
        <f>IF(ORCAMENTOS!L482="","",ORCAMENTOS!L482)</f>
        <v>CANCELADO</v>
      </c>
      <c r="K474" s="34" t="str">
        <f>IF(ORCAMENTOS!M482="","",ORCAMENTOS!M482)</f>
        <v>PREV. MAIO</v>
      </c>
      <c r="L474" t="str">
        <f>IF(ORCAMENTOS!R482="","",ORCAMENTOS!R482)</f>
        <v>-</v>
      </c>
    </row>
    <row r="475" spans="1:12" ht="15.75" hidden="1" customHeight="1" x14ac:dyDescent="0.25">
      <c r="A475" s="36">
        <f>IF(ORCAMENTOS!A483="","",ORCAMENTOS!A483)</f>
        <v>45728</v>
      </c>
      <c r="B475" s="46">
        <f>IF(ORCAMENTOS!B483="","",ORCAMENTOS!B483)</f>
        <v>473</v>
      </c>
      <c r="C475" s="46" t="str">
        <f>IF(ORCAMENTOS!C483="","",ORCAMENTOS!C483)</f>
        <v/>
      </c>
      <c r="D475" s="37" t="str">
        <f>IF(ORCAMENTOS!D483="","",ORCAMENTOS!D483)</f>
        <v>ENEBRAS</v>
      </c>
      <c r="E475" s="38" t="str">
        <f>IF(ORCAMENTOS!E483="","",ORCAMENTOS!E483)</f>
        <v>REDE DOR - BARTIRA - CLIMATIZAÇÃO DA SUBESTAÇÃO</v>
      </c>
      <c r="F475" s="37" t="str">
        <f>IF(ORCAMENTOS!G483="","",ORCAMENTOS!G483)</f>
        <v>Michel</v>
      </c>
      <c r="G475" s="37" t="str">
        <f>IF(ORCAMENTOS!H483="","",ORCAMENTOS!H483)</f>
        <v>Gabrielle</v>
      </c>
      <c r="H475" s="39">
        <f>IF(ORCAMENTOS!I483="","",ORCAMENTOS!I483)</f>
        <v>7964.85</v>
      </c>
      <c r="I475" s="60" t="str">
        <f>IF(ORCAMENTOS!J483="","",ORCAMENTOS!J483)</f>
        <v/>
      </c>
      <c r="J475" s="40" t="str">
        <f>IF(ORCAMENTOS!L483="","",ORCAMENTOS!L483)</f>
        <v>FECHADO</v>
      </c>
      <c r="K475" s="34" t="str">
        <f>IF(ORCAMENTOS!M483="","",ORCAMENTOS!M483)</f>
        <v>-</v>
      </c>
      <c r="L475" t="str">
        <f>IF(ORCAMENTOS!R483="","",ORCAMENTOS!R483)</f>
        <v>-</v>
      </c>
    </row>
    <row r="476" spans="1:12" ht="15.75" hidden="1" customHeight="1" x14ac:dyDescent="0.25">
      <c r="A476" s="36">
        <f>IF(ORCAMENTOS!A484="","",ORCAMENTOS!A484)</f>
        <v>45728</v>
      </c>
      <c r="B476" s="46">
        <f>IF(ORCAMENTOS!B484="","",ORCAMENTOS!B484)</f>
        <v>474</v>
      </c>
      <c r="C476" s="46" t="str">
        <f>IF(ORCAMENTOS!C484="","",ORCAMENTOS!C484)</f>
        <v/>
      </c>
      <c r="D476" s="37" t="str">
        <f>IF(ORCAMENTOS!D484="","",ORCAMENTOS!D484)</f>
        <v>CLIMAPRESS</v>
      </c>
      <c r="E476" s="38" t="str">
        <f>IF(ORCAMENTOS!E484="","",ORCAMENTOS!E484)</f>
        <v>PREDIO ADMINISTRATIVO - WBS - JAGUARA SUL - SC</v>
      </c>
      <c r="F476" s="37" t="str">
        <f>IF(ORCAMENTOS!G484="","",ORCAMENTOS!G484)</f>
        <v>Emanuel</v>
      </c>
      <c r="G476" s="37" t="str">
        <f>IF(ORCAMENTOS!H484="","",ORCAMENTOS!H484)</f>
        <v>Gustavo</v>
      </c>
      <c r="H476" s="39">
        <f>IF(ORCAMENTOS!I484="","",ORCAMENTOS!I484)</f>
        <v>112124.05</v>
      </c>
      <c r="I476" s="60" t="str">
        <f>IF(ORCAMENTOS!J484="","",ORCAMENTOS!J484)</f>
        <v/>
      </c>
      <c r="J476" s="40" t="str">
        <f>IF(ORCAMENTOS!L484="","",ORCAMENTOS!L484)</f>
        <v>CANCELADO</v>
      </c>
      <c r="K476" s="34" t="str">
        <f>IF(ORCAMENTOS!M484="","",ORCAMENTOS!M484)</f>
        <v>-</v>
      </c>
      <c r="L476" t="str">
        <f>IF(ORCAMENTOS!R484="","",ORCAMENTOS!R484)</f>
        <v>-</v>
      </c>
    </row>
    <row r="477" spans="1:12" ht="15.75" hidden="1" customHeight="1" x14ac:dyDescent="0.25">
      <c r="A477" s="36">
        <f>IF(ORCAMENTOS!A485="","",ORCAMENTOS!A485)</f>
        <v>45728</v>
      </c>
      <c r="B477" s="46">
        <f>IF(ORCAMENTOS!B485="","",ORCAMENTOS!B485)</f>
        <v>475</v>
      </c>
      <c r="C477" s="46" t="str">
        <f>IF(ORCAMENTOS!C485="","",ORCAMENTOS!C485)</f>
        <v/>
      </c>
      <c r="D477" s="37" t="str">
        <f>IF(ORCAMENTOS!D485="","",ORCAMENTOS!D485)</f>
        <v>POLO CLIMA</v>
      </c>
      <c r="E477" s="38" t="str">
        <f>IF(ORCAMENTOS!E485="","",ORCAMENTOS!E485)</f>
        <v>MEDSENIOR - AVENIDA BRASIL - SÃO PAULO - SP</v>
      </c>
      <c r="F477" s="37" t="str">
        <f>IF(ORCAMENTOS!G485="","",ORCAMENTOS!G485)</f>
        <v>Michel</v>
      </c>
      <c r="G477" s="37" t="str">
        <f>IF(ORCAMENTOS!H485="","",ORCAMENTOS!H485)</f>
        <v>Rebeca</v>
      </c>
      <c r="H477" s="39">
        <f>IF(ORCAMENTOS!I485="","",ORCAMENTOS!I485)</f>
        <v>123875.91</v>
      </c>
      <c r="I477" s="60" t="str">
        <f>IF(ORCAMENTOS!J485="","",ORCAMENTOS!J485)</f>
        <v/>
      </c>
      <c r="J477" s="40" t="str">
        <f>IF(ORCAMENTOS!L485="","",ORCAMENTOS!L485)</f>
        <v>CANCELADO</v>
      </c>
      <c r="K477" s="34" t="str">
        <f>IF(ORCAMENTOS!M485="","",ORCAMENTOS!M485)</f>
        <v>-</v>
      </c>
      <c r="L477" t="str">
        <f>IF(ORCAMENTOS!R485="","",ORCAMENTOS!R485)</f>
        <v>-</v>
      </c>
    </row>
    <row r="478" spans="1:12" ht="15.75" hidden="1" customHeight="1" x14ac:dyDescent="0.25">
      <c r="A478" s="36">
        <f>IF(ORCAMENTOS!A486="","",ORCAMENTOS!A486)</f>
        <v>45728</v>
      </c>
      <c r="B478" s="46">
        <f>IF(ORCAMENTOS!B486="","",ORCAMENTOS!B486)</f>
        <v>476</v>
      </c>
      <c r="C478" s="46" t="str">
        <f>IF(ORCAMENTOS!C486="","",ORCAMENTOS!C486)</f>
        <v/>
      </c>
      <c r="D478" s="37" t="str">
        <f>IF(ORCAMENTOS!D486="","",ORCAMENTOS!D486)</f>
        <v>SOLAR AR</v>
      </c>
      <c r="E478" s="38" t="str">
        <f>IF(ORCAMENTOS!E486="","",ORCAMENTOS!E486)</f>
        <v>YOUCOM ARAÇATUBA SP</v>
      </c>
      <c r="F478" s="37" t="str">
        <f>IF(ORCAMENTOS!G486="","",ORCAMENTOS!G486)</f>
        <v>Michel</v>
      </c>
      <c r="G478" s="37" t="str">
        <f>IF(ORCAMENTOS!H486="","",ORCAMENTOS!H486)</f>
        <v>Felipe</v>
      </c>
      <c r="H478" s="39">
        <f>IF(ORCAMENTOS!I486="","",ORCAMENTOS!I486)</f>
        <v>16174.25</v>
      </c>
      <c r="I478" s="60" t="str">
        <f>IF(ORCAMENTOS!J486="","",ORCAMENTOS!J486)</f>
        <v/>
      </c>
      <c r="J478" s="40" t="str">
        <f>IF(ORCAMENTOS!L486="","",ORCAMENTOS!L486)</f>
        <v>CANCELADO</v>
      </c>
      <c r="K478" s="34" t="str">
        <f>IF(ORCAMENTOS!M486="","",ORCAMENTOS!M486)</f>
        <v>-</v>
      </c>
      <c r="L478" t="str">
        <f>IF(ORCAMENTOS!R486="","",ORCAMENTOS!R486)</f>
        <v>-</v>
      </c>
    </row>
    <row r="479" spans="1:12" ht="15.75" hidden="1" customHeight="1" x14ac:dyDescent="0.25">
      <c r="A479" s="36">
        <f>IF(ORCAMENTOS!A487="","",ORCAMENTOS!A487)</f>
        <v>45728</v>
      </c>
      <c r="B479" s="46">
        <f>IF(ORCAMENTOS!B487="","",ORCAMENTOS!B487)</f>
        <v>477</v>
      </c>
      <c r="C479" s="46" t="str">
        <f>IF(ORCAMENTOS!C487="","",ORCAMENTOS!C487)</f>
        <v/>
      </c>
      <c r="D479" s="37" t="str">
        <f>IF(ORCAMENTOS!D487="","",ORCAMENTOS!D487)</f>
        <v>AWA AR CONDICIONADO</v>
      </c>
      <c r="E479" s="38" t="str">
        <f>IF(ORCAMENTOS!E487="","",ORCAMENTOS!E487)</f>
        <v>MIX MATEUS - SANTA MONICA</v>
      </c>
      <c r="F479" s="37" t="str">
        <f>IF(ORCAMENTOS!G487="","",ORCAMENTOS!G487)</f>
        <v>Guilherme</v>
      </c>
      <c r="G479" s="37" t="str">
        <f>IF(ORCAMENTOS!H487="","",ORCAMENTOS!H487)</f>
        <v>Isabela</v>
      </c>
      <c r="H479" s="39">
        <f>IF(ORCAMENTOS!I487="","",ORCAMENTOS!I487)</f>
        <v>160962.13</v>
      </c>
      <c r="I479" s="60" t="str">
        <f>IF(ORCAMENTOS!J487="","",ORCAMENTOS!J487)</f>
        <v/>
      </c>
      <c r="J479" s="40" t="str">
        <f>IF(ORCAMENTOS!L487="","",ORCAMENTOS!L487)</f>
        <v>CANCELADO</v>
      </c>
      <c r="K479" s="34" t="str">
        <f>IF(ORCAMENTOS!M487="","",ORCAMENTOS!M487)</f>
        <v>-</v>
      </c>
      <c r="L479" t="str">
        <f>IF(ORCAMENTOS!R487="","",ORCAMENTOS!R487)</f>
        <v>-</v>
      </c>
    </row>
    <row r="480" spans="1:12" ht="15.75" hidden="1" customHeight="1" x14ac:dyDescent="0.25">
      <c r="A480" s="36">
        <f>IF(ORCAMENTOS!A488="","",ORCAMENTOS!A488)</f>
        <v>45728</v>
      </c>
      <c r="B480" s="46">
        <f>IF(ORCAMENTOS!B488="","",ORCAMENTOS!B488)</f>
        <v>478</v>
      </c>
      <c r="C480" s="46" t="str">
        <f>IF(ORCAMENTOS!C488="","",ORCAMENTOS!C488)</f>
        <v/>
      </c>
      <c r="D480" s="37" t="str">
        <f>IF(ORCAMENTOS!D488="","",ORCAMENTOS!D488)</f>
        <v>AIRPLAN</v>
      </c>
      <c r="E480" s="38" t="str">
        <f>IF(ORCAMENTOS!E488="","",ORCAMENTOS!E488)</f>
        <v>YOUCOM - SHOPPING PRACA NOVA - ARACATUBA - SP</v>
      </c>
      <c r="F480" s="37" t="str">
        <f>IF(ORCAMENTOS!G488="","",ORCAMENTOS!G488)</f>
        <v>Gabriel</v>
      </c>
      <c r="G480" s="37" t="str">
        <f>IF(ORCAMENTOS!H488="","",ORCAMENTOS!H488)</f>
        <v>Henrique</v>
      </c>
      <c r="H480" s="39">
        <f>IF(ORCAMENTOS!I488="","",ORCAMENTOS!I488)</f>
        <v>25530.22</v>
      </c>
      <c r="I480" s="60" t="str">
        <f>IF(ORCAMENTOS!J488="","",ORCAMENTOS!J488)</f>
        <v/>
      </c>
      <c r="J480" s="40" t="str">
        <f>IF(ORCAMENTOS!L488="","",ORCAMENTOS!L488)</f>
        <v>CANCELADO</v>
      </c>
      <c r="K480" s="34" t="str">
        <f>IF(ORCAMENTOS!M488="","",ORCAMENTOS!M488)</f>
        <v>-</v>
      </c>
      <c r="L480" t="str">
        <f>IF(ORCAMENTOS!R488="","",ORCAMENTOS!R488)</f>
        <v>-</v>
      </c>
    </row>
    <row r="481" spans="1:12" ht="15.75" hidden="1" customHeight="1" x14ac:dyDescent="0.25">
      <c r="A481" s="36">
        <f>IF(ORCAMENTOS!A489="","",ORCAMENTOS!A489)</f>
        <v>45728</v>
      </c>
      <c r="B481" s="46">
        <f>IF(ORCAMENTOS!B489="","",ORCAMENTOS!B489)</f>
        <v>479</v>
      </c>
      <c r="C481" s="46" t="str">
        <f>IF(ORCAMENTOS!C489="","",ORCAMENTOS!C489)</f>
        <v/>
      </c>
      <c r="D481" s="37" t="str">
        <f>IF(ORCAMENTOS!D489="","",ORCAMENTOS!D489)</f>
        <v>ADRIATIC</v>
      </c>
      <c r="E481" s="38" t="str">
        <f>IF(ORCAMENTOS!E489="","",ORCAMENTOS!E489)</f>
        <v>-</v>
      </c>
      <c r="F481" s="37" t="str">
        <f>IF(ORCAMENTOS!G489="","",ORCAMENTOS!G489)</f>
        <v>Emanuel</v>
      </c>
      <c r="G481" s="37" t="str">
        <f>IF(ORCAMENTOS!H489="","",ORCAMENTOS!H489)</f>
        <v>Alisson</v>
      </c>
      <c r="H481" s="39">
        <f>IF(ORCAMENTOS!I489="","",ORCAMENTOS!I489)</f>
        <v>24901.55</v>
      </c>
      <c r="I481" s="60" t="str">
        <f>IF(ORCAMENTOS!J489="","",ORCAMENTOS!J489)</f>
        <v/>
      </c>
      <c r="J481" s="40" t="str">
        <f>IF(ORCAMENTOS!L489="","",ORCAMENTOS!L489)</f>
        <v>CANCELADO</v>
      </c>
      <c r="K481" s="34" t="str">
        <f>IF(ORCAMENTOS!M489="","",ORCAMENTOS!M489)</f>
        <v>-</v>
      </c>
      <c r="L481" t="str">
        <f>IF(ORCAMENTOS!R489="","",ORCAMENTOS!R489)</f>
        <v>-</v>
      </c>
    </row>
    <row r="482" spans="1:12" ht="15.75" hidden="1" customHeight="1" x14ac:dyDescent="0.25">
      <c r="A482" s="36">
        <f>IF(ORCAMENTOS!A490="","",ORCAMENTOS!A490)</f>
        <v>45728</v>
      </c>
      <c r="B482" s="46">
        <f>IF(ORCAMENTOS!B490="","",ORCAMENTOS!B490)</f>
        <v>480</v>
      </c>
      <c r="C482" s="46" t="str">
        <f>IF(ORCAMENTOS!C490="","",ORCAMENTOS!C490)</f>
        <v/>
      </c>
      <c r="D482" s="37" t="str">
        <f>IF(ORCAMENTOS!D490="","",ORCAMENTOS!D490)</f>
        <v>ASSISTEC</v>
      </c>
      <c r="E482" s="38" t="str">
        <f>IF(ORCAMENTOS!E490="","",ORCAMENTOS!E490)</f>
        <v>-</v>
      </c>
      <c r="F482" s="37" t="str">
        <f>IF(ORCAMENTOS!G490="","",ORCAMENTOS!G490)</f>
        <v>Emanuel</v>
      </c>
      <c r="G482" s="37" t="str">
        <f>IF(ORCAMENTOS!H490="","",ORCAMENTOS!H490)</f>
        <v>Selma</v>
      </c>
      <c r="H482" s="39">
        <f>IF(ORCAMENTOS!I490="","",ORCAMENTOS!I490)</f>
        <v>400.2</v>
      </c>
      <c r="I482" s="60" t="str">
        <f>IF(ORCAMENTOS!J490="","",ORCAMENTOS!J490)</f>
        <v/>
      </c>
      <c r="J482" s="40" t="str">
        <f>IF(ORCAMENTOS!L490="","",ORCAMENTOS!L490)</f>
        <v>FECHADO</v>
      </c>
      <c r="K482" s="34" t="str">
        <f>IF(ORCAMENTOS!M490="","",ORCAMENTOS!M490)</f>
        <v>-</v>
      </c>
      <c r="L482" t="str">
        <f>IF(ORCAMENTOS!R490="","",ORCAMENTOS!R490)</f>
        <v>-</v>
      </c>
    </row>
    <row r="483" spans="1:12" ht="15.75" hidden="1" customHeight="1" x14ac:dyDescent="0.25">
      <c r="A483" s="36">
        <f>IF(ORCAMENTOS!A491="","",ORCAMENTOS!A491)</f>
        <v>45729</v>
      </c>
      <c r="B483" s="46">
        <f>IF(ORCAMENTOS!B491="","",ORCAMENTOS!B491)</f>
        <v>481</v>
      </c>
      <c r="C483" s="46" t="str">
        <f>IF(ORCAMENTOS!C491="","",ORCAMENTOS!C491)</f>
        <v/>
      </c>
      <c r="D483" s="37" t="str">
        <f>IF(ORCAMENTOS!D491="","",ORCAMENTOS!D491)</f>
        <v>SOLAR AR</v>
      </c>
      <c r="E483" s="38" t="str">
        <f>IF(ORCAMENTOS!E491="","",ORCAMENTOS!E491)</f>
        <v>YOUCOM BALNEÁRIO CAMBORIÚ</v>
      </c>
      <c r="F483" s="37" t="str">
        <f>IF(ORCAMENTOS!G491="","",ORCAMENTOS!G491)</f>
        <v>Michel</v>
      </c>
      <c r="G483" s="37" t="str">
        <f>IF(ORCAMENTOS!H491="","",ORCAMENTOS!H491)</f>
        <v>Felipe</v>
      </c>
      <c r="H483" s="39">
        <f>IF(ORCAMENTOS!I491="","",ORCAMENTOS!I491)</f>
        <v>28840.04</v>
      </c>
      <c r="I483" s="60" t="str">
        <f>IF(ORCAMENTOS!J491="","",ORCAMENTOS!J491)</f>
        <v/>
      </c>
      <c r="J483" s="40" t="str">
        <f>IF(ORCAMENTOS!L491="","",ORCAMENTOS!L491)</f>
        <v>CANCELADO</v>
      </c>
      <c r="K483" s="34" t="str">
        <f>IF(ORCAMENTOS!M491="","",ORCAMENTOS!M491)</f>
        <v>-</v>
      </c>
      <c r="L483" t="str">
        <f>IF(ORCAMENTOS!R491="","",ORCAMENTOS!R491)</f>
        <v>-</v>
      </c>
    </row>
    <row r="484" spans="1:12" ht="15.75" hidden="1" customHeight="1" x14ac:dyDescent="0.25">
      <c r="A484" s="36">
        <f>IF(ORCAMENTOS!A492="","",ORCAMENTOS!A492)</f>
        <v>45729</v>
      </c>
      <c r="B484" s="46">
        <f>IF(ORCAMENTOS!B492="","",ORCAMENTOS!B492)</f>
        <v>482</v>
      </c>
      <c r="C484" s="46" t="str">
        <f>IF(ORCAMENTOS!C492="","",ORCAMENTOS!C492)</f>
        <v/>
      </c>
      <c r="D484" s="37" t="str">
        <f>IF(ORCAMENTOS!D492="","",ORCAMENTOS!D492)</f>
        <v>AMS INSTALACOES</v>
      </c>
      <c r="E484" s="38" t="str">
        <f>IF(ORCAMENTOS!E492="","",ORCAMENTOS!E492)</f>
        <v>ATACADAO - GULLIVER - SALVADOR IGUATEMI - BA</v>
      </c>
      <c r="F484" s="37" t="str">
        <f>IF(ORCAMENTOS!G492="","",ORCAMENTOS!G492)</f>
        <v>Gabriel</v>
      </c>
      <c r="G484" s="37" t="str">
        <f>IF(ORCAMENTOS!H492="","",ORCAMENTOS!H492)</f>
        <v>Albertino</v>
      </c>
      <c r="H484" s="39">
        <f>IF(ORCAMENTOS!I492="","",ORCAMENTOS!I492)</f>
        <v>149874.13</v>
      </c>
      <c r="I484" s="60" t="str">
        <f>IF(ORCAMENTOS!J492="","",ORCAMENTOS!J492)</f>
        <v/>
      </c>
      <c r="J484" s="40" t="str">
        <f>IF(ORCAMENTOS!L492="","",ORCAMENTOS!L492)</f>
        <v>CANCELADO</v>
      </c>
      <c r="K484" s="34" t="str">
        <f>IF(ORCAMENTOS!M492="","",ORCAMENTOS!M492)</f>
        <v>-</v>
      </c>
      <c r="L484" t="str">
        <f>IF(ORCAMENTOS!R492="","",ORCAMENTOS!R492)</f>
        <v/>
      </c>
    </row>
    <row r="485" spans="1:12" ht="15.75" hidden="1" customHeight="1" x14ac:dyDescent="0.25">
      <c r="A485" s="36">
        <f>IF(ORCAMENTOS!A493="","",ORCAMENTOS!A493)</f>
        <v>45729</v>
      </c>
      <c r="B485" s="46">
        <f>IF(ORCAMENTOS!B493="","",ORCAMENTOS!B493)</f>
        <v>483</v>
      </c>
      <c r="C485" s="46" t="str">
        <f>IF(ORCAMENTOS!C493="","",ORCAMENTOS!C493)</f>
        <v/>
      </c>
      <c r="D485" s="37" t="str">
        <f>IF(ORCAMENTOS!D493="","",ORCAMENTOS!D493)</f>
        <v>AWA AR CONDICIONADO</v>
      </c>
      <c r="E485" s="38" t="str">
        <f>IF(ORCAMENTOS!E493="","",ORCAMENTOS!E493)</f>
        <v>ATACADAO - GULLIVER - SALVADOR IGUATEMI - BA</v>
      </c>
      <c r="F485" s="37" t="str">
        <f>IF(ORCAMENTOS!G493="","",ORCAMENTOS!G493)</f>
        <v>Guilherme</v>
      </c>
      <c r="G485" s="37" t="str">
        <f>IF(ORCAMENTOS!H493="","",ORCAMENTOS!H493)</f>
        <v>Paula</v>
      </c>
      <c r="H485" s="39">
        <f>IF(ORCAMENTOS!I493="","",ORCAMENTOS!I493)</f>
        <v>149874.13</v>
      </c>
      <c r="I485" s="60" t="str">
        <f>IF(ORCAMENTOS!J493="","",ORCAMENTOS!J493)</f>
        <v/>
      </c>
      <c r="J485" s="40" t="str">
        <f>IF(ORCAMENTOS!L493="","",ORCAMENTOS!L493)</f>
        <v>CANCELADO</v>
      </c>
      <c r="K485" s="34" t="str">
        <f>IF(ORCAMENTOS!M493="","",ORCAMENTOS!M493)</f>
        <v>-</v>
      </c>
      <c r="L485" t="str">
        <f>IF(ORCAMENTOS!R493="","",ORCAMENTOS!R493)</f>
        <v/>
      </c>
    </row>
    <row r="486" spans="1:12" ht="15.75" hidden="1" customHeight="1" x14ac:dyDescent="0.25">
      <c r="A486" s="36">
        <f>IF(ORCAMENTOS!A494="","",ORCAMENTOS!A494)</f>
        <v>45729</v>
      </c>
      <c r="B486" s="46">
        <f>IF(ORCAMENTOS!B494="","",ORCAMENTOS!B494)</f>
        <v>484</v>
      </c>
      <c r="C486" s="46" t="str">
        <f>IF(ORCAMENTOS!C494="","",ORCAMENTOS!C494)</f>
        <v/>
      </c>
      <c r="D486" s="37" t="str">
        <f>IF(ORCAMENTOS!D494="","",ORCAMENTOS!D494)</f>
        <v xml:space="preserve">DIAGRAMA AR </v>
      </c>
      <c r="E486" s="38" t="str">
        <f>IF(ORCAMENTOS!E494="","",ORCAMENTOS!E494)</f>
        <v>AUDITORIO - SP</v>
      </c>
      <c r="F486" s="37" t="str">
        <f>IF(ORCAMENTOS!G494="","",ORCAMENTOS!G494)</f>
        <v>Guilherme</v>
      </c>
      <c r="G486" s="37" t="str">
        <f>IF(ORCAMENTOS!H494="","",ORCAMENTOS!H494)</f>
        <v>Sandra</v>
      </c>
      <c r="H486" s="39">
        <f>IF(ORCAMENTOS!I494="","",ORCAMENTOS!I494)</f>
        <v>124270.1</v>
      </c>
      <c r="I486" s="60" t="str">
        <f>IF(ORCAMENTOS!J494="","",ORCAMENTOS!J494)</f>
        <v/>
      </c>
      <c r="J486" s="40" t="str">
        <f>IF(ORCAMENTOS!L494="","",ORCAMENTOS!L494)</f>
        <v>CANCELADO</v>
      </c>
      <c r="K486" s="34" t="str">
        <f>IF(ORCAMENTOS!M494="","",ORCAMENTOS!M494)</f>
        <v>-</v>
      </c>
      <c r="L486" t="str">
        <f>IF(ORCAMENTOS!R494="","",ORCAMENTOS!R494)</f>
        <v>-</v>
      </c>
    </row>
    <row r="487" spans="1:12" ht="15.75" hidden="1" customHeight="1" x14ac:dyDescent="0.25">
      <c r="A487" s="36">
        <f>IF(ORCAMENTOS!A495="","",ORCAMENTOS!A495)</f>
        <v>45729</v>
      </c>
      <c r="B487" s="46">
        <f>IF(ORCAMENTOS!B495="","",ORCAMENTOS!B495)</f>
        <v>485</v>
      </c>
      <c r="C487" s="46" t="str">
        <f>IF(ORCAMENTOS!C495="","",ORCAMENTOS!C495)</f>
        <v/>
      </c>
      <c r="D487" s="37" t="str">
        <f>IF(ORCAMENTOS!D495="","",ORCAMENTOS!D495)</f>
        <v>COLDTERMICA</v>
      </c>
      <c r="E487" s="38" t="str">
        <f>IF(ORCAMENTOS!E495="","",ORCAMENTOS!E495)</f>
        <v>RENNER MORUBI SP</v>
      </c>
      <c r="F487" s="37" t="str">
        <f>IF(ORCAMENTOS!G495="","",ORCAMENTOS!G495)</f>
        <v>Gabriel</v>
      </c>
      <c r="G487" s="37" t="str">
        <f>IF(ORCAMENTOS!H495="","",ORCAMENTOS!H495)</f>
        <v>Denis</v>
      </c>
      <c r="H487" s="39">
        <f>IF(ORCAMENTOS!I495="","",ORCAMENTOS!I495)</f>
        <v>180282.86</v>
      </c>
      <c r="I487" s="60" t="str">
        <f>IF(ORCAMENTOS!J495="","",ORCAMENTOS!J495)</f>
        <v/>
      </c>
      <c r="J487" s="40" t="str">
        <f>IF(ORCAMENTOS!L495="","",ORCAMENTOS!L495)</f>
        <v>CANCELADO</v>
      </c>
      <c r="K487" s="34" t="str">
        <f>IF(ORCAMENTOS!M495="","",ORCAMENTOS!M495)</f>
        <v>-</v>
      </c>
      <c r="L487" t="str">
        <f>IF(ORCAMENTOS!R495="","",ORCAMENTOS!R495)</f>
        <v>-</v>
      </c>
    </row>
    <row r="488" spans="1:12" ht="15.75" hidden="1" customHeight="1" x14ac:dyDescent="0.25">
      <c r="A488" s="36">
        <f>IF(ORCAMENTOS!A496="","",ORCAMENTOS!A496)</f>
        <v>45730</v>
      </c>
      <c r="B488" s="46">
        <f>IF(ORCAMENTOS!B496="","",ORCAMENTOS!B496)</f>
        <v>486</v>
      </c>
      <c r="C488" s="46" t="str">
        <f>IF(ORCAMENTOS!C496="","",ORCAMENTOS!C496)</f>
        <v/>
      </c>
      <c r="D488" s="37" t="str">
        <f>IF(ORCAMENTOS!D496="","",ORCAMENTOS!D496)</f>
        <v>AWA AR CONDICIONADO</v>
      </c>
      <c r="E488" s="38" t="str">
        <f>IF(ORCAMENTOS!E496="","",ORCAMENTOS!E496)</f>
        <v>CS MOBI - MERCADO MUNICIPAL - CUIABA - MT</v>
      </c>
      <c r="F488" s="37" t="str">
        <f>IF(ORCAMENTOS!G496="","",ORCAMENTOS!G496)</f>
        <v>Guilherme</v>
      </c>
      <c r="G488" s="37" t="str">
        <f>IF(ORCAMENTOS!H496="","",ORCAMENTOS!H496)</f>
        <v>Paula</v>
      </c>
      <c r="H488" s="39">
        <f>IF(ORCAMENTOS!I496="","",ORCAMENTOS!I496)</f>
        <v>198559.71</v>
      </c>
      <c r="I488" s="60" t="str">
        <f>IF(ORCAMENTOS!J496="","",ORCAMENTOS!J496)</f>
        <v/>
      </c>
      <c r="J488" s="40" t="str">
        <f>IF(ORCAMENTOS!L496="","",ORCAMENTOS!L496)</f>
        <v>CANCELADO</v>
      </c>
      <c r="K488" s="34" t="str">
        <f>IF(ORCAMENTOS!M496="","",ORCAMENTOS!M496)</f>
        <v>-</v>
      </c>
      <c r="L488" t="str">
        <f>IF(ORCAMENTOS!R496="","",ORCAMENTOS!R496)</f>
        <v/>
      </c>
    </row>
    <row r="489" spans="1:12" ht="15.75" hidden="1" customHeight="1" x14ac:dyDescent="0.25">
      <c r="A489" s="36">
        <f>IF(ORCAMENTOS!A497="","",ORCAMENTOS!A497)</f>
        <v>45733</v>
      </c>
      <c r="B489" s="46">
        <f>IF(ORCAMENTOS!B497="","",ORCAMENTOS!B497)</f>
        <v>487</v>
      </c>
      <c r="C489" s="46" t="str">
        <f>IF(ORCAMENTOS!C497="","",ORCAMENTOS!C497)</f>
        <v/>
      </c>
      <c r="D489" s="37" t="str">
        <f>IF(ORCAMENTOS!D497="","",ORCAMENTOS!D497)</f>
        <v>TERMOCLIMA</v>
      </c>
      <c r="E489" s="38" t="str">
        <f>IF(ORCAMENTOS!E497="","",ORCAMENTOS!E497)</f>
        <v>DOM ATACADISTA - BANGU - RIO DE JANEIRO - RJ</v>
      </c>
      <c r="F489" s="37" t="str">
        <f>IF(ORCAMENTOS!G497="","",ORCAMENTOS!G497)</f>
        <v>Gabriel</v>
      </c>
      <c r="G489" s="37" t="str">
        <f>IF(ORCAMENTOS!H497="","",ORCAMENTOS!H497)</f>
        <v>Pedro</v>
      </c>
      <c r="H489" s="39">
        <f>IF(ORCAMENTOS!I497="","",ORCAMENTOS!I497)</f>
        <v>290757.09000000003</v>
      </c>
      <c r="I489" s="60" t="str">
        <f>IF(ORCAMENTOS!J497="","",ORCAMENTOS!J497)</f>
        <v/>
      </c>
      <c r="J489" s="40" t="str">
        <f>IF(ORCAMENTOS!L497="","",ORCAMENTOS!L497)</f>
        <v>CANCELADO</v>
      </c>
      <c r="K489" s="34" t="str">
        <f>IF(ORCAMENTOS!M497="","",ORCAMENTOS!M497)</f>
        <v>-</v>
      </c>
      <c r="L489" t="str">
        <f>IF(ORCAMENTOS!R497="","",ORCAMENTOS!R497)</f>
        <v/>
      </c>
    </row>
    <row r="490" spans="1:12" ht="15.75" hidden="1" customHeight="1" x14ac:dyDescent="0.25">
      <c r="A490" s="36">
        <f>IF(ORCAMENTOS!A498="","",ORCAMENTOS!A498)</f>
        <v>45733</v>
      </c>
      <c r="B490" s="46">
        <f>IF(ORCAMENTOS!B498="","",ORCAMENTOS!B498)</f>
        <v>488</v>
      </c>
      <c r="C490" s="46" t="str">
        <f>IF(ORCAMENTOS!C498="","",ORCAMENTOS!C498)</f>
        <v/>
      </c>
      <c r="D490" s="37" t="str">
        <f>IF(ORCAMENTOS!D498="","",ORCAMENTOS!D498)</f>
        <v>COLD CONTROL</v>
      </c>
      <c r="E490" s="38" t="str">
        <f>IF(ORCAMENTOS!E498="","",ORCAMENTOS!E498)</f>
        <v>TROX DO BRASIL - TERREO - SP</v>
      </c>
      <c r="F490" s="37" t="str">
        <f>IF(ORCAMENTOS!G498="","",ORCAMENTOS!G498)</f>
        <v>Emanuel</v>
      </c>
      <c r="G490" s="37" t="str">
        <f>IF(ORCAMENTOS!H498="","",ORCAMENTOS!H498)</f>
        <v>Clovis</v>
      </c>
      <c r="H490" s="39">
        <f>IF(ORCAMENTOS!I498="","",ORCAMENTOS!I498)</f>
        <v>17352.88</v>
      </c>
      <c r="I490" s="60" t="str">
        <f>IF(ORCAMENTOS!J498="","",ORCAMENTOS!J498)</f>
        <v/>
      </c>
      <c r="J490" s="40" t="str">
        <f>IF(ORCAMENTOS!L498="","",ORCAMENTOS!L498)</f>
        <v>PERDIDO</v>
      </c>
      <c r="K490" s="34" t="str">
        <f>IF(ORCAMENTOS!M498="","",ORCAMENTOS!M498)</f>
        <v>FEITO EM CHAPA</v>
      </c>
      <c r="L490" t="str">
        <f>IF(ORCAMENTOS!R498="","",ORCAMENTOS!R498)</f>
        <v/>
      </c>
    </row>
    <row r="491" spans="1:12" ht="15.75" hidden="1" customHeight="1" x14ac:dyDescent="0.25">
      <c r="A491" s="36">
        <f>IF(ORCAMENTOS!A499="","",ORCAMENTOS!A499)</f>
        <v>45733</v>
      </c>
      <c r="B491" s="46">
        <f>IF(ORCAMENTOS!B499="","",ORCAMENTOS!B499)</f>
        <v>489</v>
      </c>
      <c r="C491" s="46" t="str">
        <f>IF(ORCAMENTOS!C499="","",ORCAMENTOS!C499)</f>
        <v/>
      </c>
      <c r="D491" s="37" t="str">
        <f>IF(ORCAMENTOS!D499="","",ORCAMENTOS!D499)</f>
        <v>NEWSET</v>
      </c>
      <c r="E491" s="38" t="str">
        <f>IF(ORCAMENTOS!E499="","",ORCAMENTOS!E499)</f>
        <v>NSP</v>
      </c>
      <c r="F491" s="37" t="str">
        <f>IF(ORCAMENTOS!G499="","",ORCAMENTOS!G499)</f>
        <v xml:space="preserve">Aldavir </v>
      </c>
      <c r="G491" s="37" t="str">
        <f>IF(ORCAMENTOS!H499="","",ORCAMENTOS!H499)</f>
        <v>David</v>
      </c>
      <c r="H491" s="39">
        <f>IF(ORCAMENTOS!I499="","",ORCAMENTOS!I499)</f>
        <v>21101.38</v>
      </c>
      <c r="I491" s="60" t="str">
        <f>IF(ORCAMENTOS!J499="","",ORCAMENTOS!J499)</f>
        <v/>
      </c>
      <c r="J491" s="40" t="str">
        <f>IF(ORCAMENTOS!L499="","",ORCAMENTOS!L499)</f>
        <v>CANCELADO</v>
      </c>
      <c r="K491" s="34" t="str">
        <f>IF(ORCAMENTOS!M499="","",ORCAMENTOS!M499)</f>
        <v>-</v>
      </c>
      <c r="L491" t="str">
        <f>IF(ORCAMENTOS!R499="","",ORCAMENTOS!R499)</f>
        <v>-</v>
      </c>
    </row>
    <row r="492" spans="1:12" ht="15.75" hidden="1" customHeight="1" x14ac:dyDescent="0.25">
      <c r="A492" s="36">
        <f>IF(ORCAMENTOS!A500="","",ORCAMENTOS!A500)</f>
        <v>45733</v>
      </c>
      <c r="B492" s="46">
        <f>IF(ORCAMENTOS!B500="","",ORCAMENTOS!B500)</f>
        <v>490</v>
      </c>
      <c r="C492" s="46" t="str">
        <f>IF(ORCAMENTOS!C500="","",ORCAMENTOS!C500)</f>
        <v/>
      </c>
      <c r="D492" s="37" t="str">
        <f>IF(ORCAMENTOS!D500="","",ORCAMENTOS!D500)</f>
        <v>AWA AR CONDICIONADO</v>
      </c>
      <c r="E492" s="38" t="str">
        <f>IF(ORCAMENTOS!E500="","",ORCAMENTOS!E500)</f>
        <v>MIX MATEUS - JANGURUSSU - FORTALEZA - CE</v>
      </c>
      <c r="F492" s="37" t="str">
        <f>IF(ORCAMENTOS!G500="","",ORCAMENTOS!G500)</f>
        <v>Guilherme</v>
      </c>
      <c r="G492" s="37" t="str">
        <f>IF(ORCAMENTOS!H500="","",ORCAMENTOS!H500)</f>
        <v>Guilherme</v>
      </c>
      <c r="H492" s="39">
        <f>IF(ORCAMENTOS!I500="","",ORCAMENTOS!I500)</f>
        <v>203984.38</v>
      </c>
      <c r="I492" s="60" t="str">
        <f>IF(ORCAMENTOS!J500="","",ORCAMENTOS!J500)</f>
        <v/>
      </c>
      <c r="J492" s="40" t="str">
        <f>IF(ORCAMENTOS!L500="","",ORCAMENTOS!L500)</f>
        <v>CANCELADO</v>
      </c>
      <c r="K492" s="34" t="str">
        <f>IF(ORCAMENTOS!M500="","",ORCAMENTOS!M500)</f>
        <v>-</v>
      </c>
      <c r="L492" t="str">
        <f>IF(ORCAMENTOS!R500="","",ORCAMENTOS!R500)</f>
        <v/>
      </c>
    </row>
    <row r="493" spans="1:12" ht="15.75" hidden="1" customHeight="1" x14ac:dyDescent="0.25">
      <c r="A493" s="36">
        <f>IF(ORCAMENTOS!A501="","",ORCAMENTOS!A501)</f>
        <v>45733</v>
      </c>
      <c r="B493" s="46">
        <f>IF(ORCAMENTOS!B501="","",ORCAMENTOS!B501)</f>
        <v>491</v>
      </c>
      <c r="C493" s="46" t="str">
        <f>IF(ORCAMENTOS!C501="","",ORCAMENTOS!C501)</f>
        <v/>
      </c>
      <c r="D493" s="37" t="str">
        <f>IF(ORCAMENTOS!D501="","",ORCAMENTOS!D501)</f>
        <v>RM3 ENGENHARIA</v>
      </c>
      <c r="E493" s="38" t="str">
        <f>IF(ORCAMENTOS!E501="","",ORCAMENTOS!E501)</f>
        <v>PETZ - MOGI DAS CRUZES - SP</v>
      </c>
      <c r="F493" s="37" t="str">
        <f>IF(ORCAMENTOS!G501="","",ORCAMENTOS!G501)</f>
        <v>Guilherme</v>
      </c>
      <c r="G493" s="37" t="str">
        <f>IF(ORCAMENTOS!H501="","",ORCAMENTOS!H501)</f>
        <v>Diego</v>
      </c>
      <c r="H493" s="39">
        <f>IF(ORCAMENTOS!I501="","",ORCAMENTOS!I501)</f>
        <v>75798.740000000005</v>
      </c>
      <c r="I493" s="60" t="str">
        <f>IF(ORCAMENTOS!J501="","",ORCAMENTOS!J501)</f>
        <v/>
      </c>
      <c r="J493" s="40" t="str">
        <f>IF(ORCAMENTOS!L501="","",ORCAMENTOS!L501)</f>
        <v>CANCELADO</v>
      </c>
      <c r="K493" s="34" t="str">
        <f>IF(ORCAMENTOS!M501="","",ORCAMENTOS!M501)</f>
        <v>-</v>
      </c>
      <c r="L493" t="str">
        <f>IF(ORCAMENTOS!R501="","",ORCAMENTOS!R501)</f>
        <v/>
      </c>
    </row>
    <row r="494" spans="1:12" ht="15.75" hidden="1" customHeight="1" x14ac:dyDescent="0.25">
      <c r="A494" s="36">
        <f>IF(ORCAMENTOS!A502="","",ORCAMENTOS!A502)</f>
        <v>45733</v>
      </c>
      <c r="B494" s="46">
        <f>IF(ORCAMENTOS!B502="","",ORCAMENTOS!B502)</f>
        <v>492</v>
      </c>
      <c r="C494" s="46" t="str">
        <f>IF(ORCAMENTOS!C502="","",ORCAMENTOS!C502)</f>
        <v/>
      </c>
      <c r="D494" s="37" t="str">
        <f>IF(ORCAMENTOS!D502="","",ORCAMENTOS!D502)</f>
        <v>SP1 ENGENHARIA</v>
      </c>
      <c r="E494" s="38" t="str">
        <f>IF(ORCAMENTOS!E502="","",ORCAMENTOS!E502)</f>
        <v>-</v>
      </c>
      <c r="F494" s="37" t="str">
        <f>IF(ORCAMENTOS!G502="","",ORCAMENTOS!G502)</f>
        <v>Gabriel</v>
      </c>
      <c r="G494" s="37" t="str">
        <f>IF(ORCAMENTOS!H502="","",ORCAMENTOS!H502)</f>
        <v>Silvio</v>
      </c>
      <c r="H494" s="39">
        <f>IF(ORCAMENTOS!I502="","",ORCAMENTOS!I502)</f>
        <v>2200.5100000000002</v>
      </c>
      <c r="I494" s="60" t="str">
        <f>IF(ORCAMENTOS!J502="","",ORCAMENTOS!J502)</f>
        <v/>
      </c>
      <c r="J494" s="40" t="str">
        <f>IF(ORCAMENTOS!L502="","",ORCAMENTOS!L502)</f>
        <v>CANCELADO</v>
      </c>
      <c r="K494" s="34" t="str">
        <f>IF(ORCAMENTOS!M502="","",ORCAMENTOS!M502)</f>
        <v>-</v>
      </c>
      <c r="L494" t="str">
        <f>IF(ORCAMENTOS!R502="","",ORCAMENTOS!R502)</f>
        <v>-</v>
      </c>
    </row>
    <row r="495" spans="1:12" ht="15.75" hidden="1" customHeight="1" x14ac:dyDescent="0.25">
      <c r="A495" s="36">
        <f>IF(ORCAMENTOS!A503="","",ORCAMENTOS!A503)</f>
        <v>45733</v>
      </c>
      <c r="B495" s="46">
        <f>IF(ORCAMENTOS!B503="","",ORCAMENTOS!B503)</f>
        <v>493</v>
      </c>
      <c r="C495" s="46" t="str">
        <f>IF(ORCAMENTOS!C503="","",ORCAMENTOS!C503)</f>
        <v/>
      </c>
      <c r="D495" s="37" t="str">
        <f>IF(ORCAMENTOS!D503="","",ORCAMENTOS!D503)</f>
        <v>ENEBRAS</v>
      </c>
      <c r="E495" s="38" t="str">
        <f>IF(ORCAMENTOS!E503="","",ORCAMENTOS!E503)</f>
        <v>3671_GRAAC - 3671-24 - GRAAC - 1° E 7° ANDAR</v>
      </c>
      <c r="F495" s="37" t="str">
        <f>IF(ORCAMENTOS!G503="","",ORCAMENTOS!G503)</f>
        <v>Michel</v>
      </c>
      <c r="G495" s="37" t="str">
        <f>IF(ORCAMENTOS!H503="","",ORCAMENTOS!H503)</f>
        <v>Bruna</v>
      </c>
      <c r="H495" s="39">
        <f>IF(ORCAMENTOS!I503="","",ORCAMENTOS!I503)</f>
        <v>656.46</v>
      </c>
      <c r="I495" s="60" t="str">
        <f>IF(ORCAMENTOS!J503="","",ORCAMENTOS!J503)</f>
        <v/>
      </c>
      <c r="J495" s="40" t="str">
        <f>IF(ORCAMENTOS!L503="","",ORCAMENTOS!L503)</f>
        <v>CANCELADO</v>
      </c>
      <c r="K495" s="34" t="str">
        <f>IF(ORCAMENTOS!M503="","",ORCAMENTOS!M503)</f>
        <v>-</v>
      </c>
      <c r="L495" t="str">
        <f>IF(ORCAMENTOS!R503="","",ORCAMENTOS!R503)</f>
        <v>-</v>
      </c>
    </row>
    <row r="496" spans="1:12" ht="15.75" hidden="1" customHeight="1" x14ac:dyDescent="0.25">
      <c r="A496" s="36">
        <f>IF(ORCAMENTOS!A504="","",ORCAMENTOS!A504)</f>
        <v>45735</v>
      </c>
      <c r="B496" s="46">
        <f>IF(ORCAMENTOS!B504="","",ORCAMENTOS!B504)</f>
        <v>494</v>
      </c>
      <c r="C496" s="46" t="str">
        <f>IF(ORCAMENTOS!C504="","",ORCAMENTOS!C504)</f>
        <v/>
      </c>
      <c r="D496" s="37" t="str">
        <f>IF(ORCAMENTOS!D504="","",ORCAMENTOS!D504)</f>
        <v>CHD SISTEMAS</v>
      </c>
      <c r="E496" s="38" t="str">
        <f>IF(ORCAMENTOS!E504="","",ORCAMENTOS!E504)</f>
        <v>-</v>
      </c>
      <c r="F496" s="37" t="str">
        <f>IF(ORCAMENTOS!G504="","",ORCAMENTOS!G504)</f>
        <v>Fernando</v>
      </c>
      <c r="G496" s="37" t="str">
        <f>IF(ORCAMENTOS!H504="","",ORCAMENTOS!H504)</f>
        <v>Paulo</v>
      </c>
      <c r="H496" s="39">
        <f>IF(ORCAMENTOS!I504="","",ORCAMENTOS!I504)</f>
        <v>76957.59</v>
      </c>
      <c r="I496" s="60" t="str">
        <f>IF(ORCAMENTOS!J504="","",ORCAMENTOS!J504)</f>
        <v/>
      </c>
      <c r="J496" s="40" t="str">
        <f>IF(ORCAMENTOS!L504="","",ORCAMENTOS!L504)</f>
        <v>FECHADO</v>
      </c>
      <c r="K496" s="34" t="str">
        <f>IF(ORCAMENTOS!M504="","",ORCAMENTOS!M504)</f>
        <v>-</v>
      </c>
      <c r="L496" t="str">
        <f>IF(ORCAMENTOS!R504="","",ORCAMENTOS!R504)</f>
        <v>-</v>
      </c>
    </row>
    <row r="497" spans="1:12" ht="15.75" hidden="1" customHeight="1" x14ac:dyDescent="0.25">
      <c r="A497" s="36">
        <f>IF(ORCAMENTOS!A505="","",ORCAMENTOS!A505)</f>
        <v>45734</v>
      </c>
      <c r="B497" s="46">
        <f>IF(ORCAMENTOS!B505="","",ORCAMENTOS!B505)</f>
        <v>495</v>
      </c>
      <c r="C497" s="46" t="str">
        <f>IF(ORCAMENTOS!C505="","",ORCAMENTOS!C505)</f>
        <v/>
      </c>
      <c r="D497" s="37" t="str">
        <f>IF(ORCAMENTOS!D505="","",ORCAMENTOS!D505)</f>
        <v>INOVECTOR</v>
      </c>
      <c r="E497" s="38" t="str">
        <f>IF(ORCAMENTOS!E505="","",ORCAMENTOS!E505)</f>
        <v>COZINHA - REQ 2.01</v>
      </c>
      <c r="F497" s="37" t="str">
        <f>IF(ORCAMENTOS!G505="","",ORCAMENTOS!G505)</f>
        <v>Fernando</v>
      </c>
      <c r="G497" s="37" t="str">
        <f>IF(ORCAMENTOS!H505="","",ORCAMENTOS!H505)</f>
        <v>Cristina</v>
      </c>
      <c r="H497" s="39">
        <f>IF(ORCAMENTOS!I505="","",ORCAMENTOS!I505)</f>
        <v>75314.48</v>
      </c>
      <c r="I497" s="60" t="str">
        <f>IF(ORCAMENTOS!J505="","",ORCAMENTOS!J505)</f>
        <v/>
      </c>
      <c r="J497" s="40" t="str">
        <f>IF(ORCAMENTOS!L505="","",ORCAMENTOS!L505)</f>
        <v>PERDIDO</v>
      </c>
      <c r="K497" s="34" t="str">
        <f>IF(ORCAMENTOS!M505="","",ORCAMENTOS!M505)</f>
        <v>PRAZO</v>
      </c>
      <c r="L497" t="str">
        <f>IF(ORCAMENTOS!R505="","",ORCAMENTOS!R505)</f>
        <v>-</v>
      </c>
    </row>
    <row r="498" spans="1:12" ht="15.75" hidden="1" customHeight="1" x14ac:dyDescent="0.25">
      <c r="A498" s="36" t="str">
        <f>IF(ORCAMENTOS!A506="","",ORCAMENTOS!A506)</f>
        <v>18/003</v>
      </c>
      <c r="B498" s="46">
        <f>IF(ORCAMENTOS!B506="","",ORCAMENTOS!B506)</f>
        <v>496</v>
      </c>
      <c r="C498" s="46" t="str">
        <f>IF(ORCAMENTOS!C506="","",ORCAMENTOS!C506)</f>
        <v/>
      </c>
      <c r="D498" s="37" t="str">
        <f>IF(ORCAMENTOS!D506="","",ORCAMENTOS!D506)</f>
        <v>TERMOTEMP</v>
      </c>
      <c r="E498" s="38" t="str">
        <f>IF(ORCAMENTOS!E506="","",ORCAMENTOS!E506)</f>
        <v>-</v>
      </c>
      <c r="F498" s="37" t="str">
        <f>IF(ORCAMENTOS!G506="","",ORCAMENTOS!G506)</f>
        <v>Michel</v>
      </c>
      <c r="G498" s="37" t="str">
        <f>IF(ORCAMENTOS!H506="","",ORCAMENTOS!H506)</f>
        <v>Eleomar</v>
      </c>
      <c r="H498" s="39">
        <f>IF(ORCAMENTOS!I506="","",ORCAMENTOS!I506)</f>
        <v>4080.85</v>
      </c>
      <c r="I498" s="60" t="str">
        <f>IF(ORCAMENTOS!J506="","",ORCAMENTOS!J506)</f>
        <v/>
      </c>
      <c r="J498" s="40" t="str">
        <f>IF(ORCAMENTOS!L506="","",ORCAMENTOS!L506)</f>
        <v>CANCELADO</v>
      </c>
      <c r="K498" s="34" t="str">
        <f>IF(ORCAMENTOS!M506="","",ORCAMENTOS!M506)</f>
        <v>-</v>
      </c>
      <c r="L498" t="str">
        <f>IF(ORCAMENTOS!R506="","",ORCAMENTOS!R506)</f>
        <v>-</v>
      </c>
    </row>
    <row r="499" spans="1:12" ht="15.75" hidden="1" customHeight="1" x14ac:dyDescent="0.25">
      <c r="A499" s="36">
        <f>IF(ORCAMENTOS!A507="","",ORCAMENTOS!A507)</f>
        <v>45734</v>
      </c>
      <c r="B499" s="46">
        <f>IF(ORCAMENTOS!B507="","",ORCAMENTOS!B507)</f>
        <v>497</v>
      </c>
      <c r="C499" s="46" t="str">
        <f>IF(ORCAMENTOS!C507="","",ORCAMENTOS!C507)</f>
        <v/>
      </c>
      <c r="D499" s="37" t="str">
        <f>IF(ORCAMENTOS!D507="","",ORCAMENTOS!D507)</f>
        <v>LUNAL REFRIGERACAO</v>
      </c>
      <c r="E499" s="38" t="str">
        <f>IF(ORCAMENTOS!E507="","",ORCAMENTOS!E507)</f>
        <v>DATABRICKS - JARDIM PAULISTA - SP</v>
      </c>
      <c r="F499" s="37" t="str">
        <f>IF(ORCAMENTOS!G507="","",ORCAMENTOS!G507)</f>
        <v>Gabriel</v>
      </c>
      <c r="G499" s="37" t="str">
        <f>IF(ORCAMENTOS!H507="","",ORCAMENTOS!H507)</f>
        <v>Paulo</v>
      </c>
      <c r="H499" s="39">
        <f>IF(ORCAMENTOS!I507="","",ORCAMENTOS!I507)</f>
        <v>20832.03</v>
      </c>
      <c r="I499" s="60" t="str">
        <f>IF(ORCAMENTOS!J507="","",ORCAMENTOS!J507)</f>
        <v/>
      </c>
      <c r="J499" s="40" t="str">
        <f>IF(ORCAMENTOS!L507="","",ORCAMENTOS!L507)</f>
        <v>FECHADO</v>
      </c>
      <c r="K499" s="34" t="str">
        <f>IF(ORCAMENTOS!M507="","",ORCAMENTOS!M507)</f>
        <v>-</v>
      </c>
      <c r="L499" t="str">
        <f>IF(ORCAMENTOS!R507="","",ORCAMENTOS!R507)</f>
        <v/>
      </c>
    </row>
    <row r="500" spans="1:12" ht="15.75" hidden="1" customHeight="1" x14ac:dyDescent="0.25">
      <c r="A500" s="36">
        <f>IF(ORCAMENTOS!A508="","",ORCAMENTOS!A508)</f>
        <v>45734</v>
      </c>
      <c r="B500" s="46">
        <f>IF(ORCAMENTOS!B508="","",ORCAMENTOS!B508)</f>
        <v>498</v>
      </c>
      <c r="C500" s="46" t="str">
        <f>IF(ORCAMENTOS!C508="","",ORCAMENTOS!C508)</f>
        <v/>
      </c>
      <c r="D500" s="37" t="str">
        <f>IF(ORCAMENTOS!D508="","",ORCAMENTOS!D508)</f>
        <v>AIRPLAN</v>
      </c>
      <c r="E500" s="38" t="str">
        <f>IF(ORCAMENTOS!E508="","",ORCAMENTOS!E508)</f>
        <v>Gaviões Araguaína</v>
      </c>
      <c r="F500" s="37" t="str">
        <f>IF(ORCAMENTOS!G508="","",ORCAMENTOS!G508)</f>
        <v>Gabriel</v>
      </c>
      <c r="G500" s="37" t="str">
        <f>IF(ORCAMENTOS!H508="","",ORCAMENTOS!H508)</f>
        <v>Henrique</v>
      </c>
      <c r="H500" s="39">
        <f>IF(ORCAMENTOS!I508="","",ORCAMENTOS!I508)</f>
        <v>11596.98</v>
      </c>
      <c r="I500" s="60" t="str">
        <f>IF(ORCAMENTOS!J508="","",ORCAMENTOS!J508)</f>
        <v/>
      </c>
      <c r="J500" s="40" t="str">
        <f>IF(ORCAMENTOS!L508="","",ORCAMENTOS!L508)</f>
        <v>CANCELADO</v>
      </c>
      <c r="K500" s="34" t="str">
        <f>IF(ORCAMENTOS!M508="","",ORCAMENTOS!M508)</f>
        <v>-</v>
      </c>
      <c r="L500" t="str">
        <f>IF(ORCAMENTOS!R508="","",ORCAMENTOS!R508)</f>
        <v>-</v>
      </c>
    </row>
    <row r="501" spans="1:12" ht="15.75" hidden="1" customHeight="1" x14ac:dyDescent="0.25">
      <c r="A501" s="36">
        <f>IF(ORCAMENTOS!A509="","",ORCAMENTOS!A509)</f>
        <v>45734</v>
      </c>
      <c r="B501" s="46">
        <f>IF(ORCAMENTOS!B509="","",ORCAMENTOS!B509)</f>
        <v>499</v>
      </c>
      <c r="C501" s="46" t="str">
        <f>IF(ORCAMENTOS!C509="","",ORCAMENTOS!C509)</f>
        <v/>
      </c>
      <c r="D501" s="37" t="str">
        <f>IF(ORCAMENTOS!D509="","",ORCAMENTOS!D509)</f>
        <v>ENGEMAC</v>
      </c>
      <c r="E501" s="38" t="str">
        <f>IF(ORCAMENTOS!E509="","",ORCAMENTOS!E509)</f>
        <v>LEGIÃO DA BOA VONTADE SP - JARDIM ATENAS - SÃO PAULO - SP</v>
      </c>
      <c r="F501" s="37" t="str">
        <f>IF(ORCAMENTOS!G509="","",ORCAMENTOS!G509)</f>
        <v>Fernando</v>
      </c>
      <c r="G501" s="37" t="str">
        <f>IF(ORCAMENTOS!H509="","",ORCAMENTOS!H509)</f>
        <v>Edmilson</v>
      </c>
      <c r="H501" s="39">
        <f>IF(ORCAMENTOS!I509="","",ORCAMENTOS!I509)</f>
        <v>8120.89</v>
      </c>
      <c r="I501" s="60" t="str">
        <f>IF(ORCAMENTOS!J509="","",ORCAMENTOS!J509)</f>
        <v/>
      </c>
      <c r="J501" s="40" t="str">
        <f>IF(ORCAMENTOS!L509="","",ORCAMENTOS!L509)</f>
        <v>CANCELADO</v>
      </c>
      <c r="K501" s="34" t="str">
        <f>IF(ORCAMENTOS!M509="","",ORCAMENTOS!M509)</f>
        <v>-</v>
      </c>
      <c r="L501" t="str">
        <f>IF(ORCAMENTOS!R509="","",ORCAMENTOS!R509)</f>
        <v>-</v>
      </c>
    </row>
    <row r="502" spans="1:12" ht="15.75" hidden="1" customHeight="1" x14ac:dyDescent="0.25">
      <c r="A502" s="36">
        <f>IF(ORCAMENTOS!A510="","",ORCAMENTOS!A510)</f>
        <v>45735</v>
      </c>
      <c r="B502" s="46">
        <f>IF(ORCAMENTOS!B510="","",ORCAMENTOS!B510)</f>
        <v>500</v>
      </c>
      <c r="C502" s="46" t="str">
        <f>IF(ORCAMENTOS!C510="","",ORCAMENTOS!C510)</f>
        <v/>
      </c>
      <c r="D502" s="37" t="str">
        <f>IF(ORCAMENTOS!D510="","",ORCAMENTOS!D510)</f>
        <v>HELP AIR</v>
      </c>
      <c r="E502" s="38" t="str">
        <f>IF(ORCAMENTOS!E510="","",ORCAMENTOS!E510)</f>
        <v>-</v>
      </c>
      <c r="F502" s="37" t="str">
        <f>IF(ORCAMENTOS!G510="","",ORCAMENTOS!G510)</f>
        <v>Gabriel</v>
      </c>
      <c r="G502" s="37" t="str">
        <f>IF(ORCAMENTOS!H510="","",ORCAMENTOS!H510)</f>
        <v/>
      </c>
      <c r="H502" s="39">
        <f>IF(ORCAMENTOS!I510="","",ORCAMENTOS!I510)</f>
        <v>209256.25</v>
      </c>
      <c r="I502" s="60" t="str">
        <f>IF(ORCAMENTOS!J510="","",ORCAMENTOS!J510)</f>
        <v/>
      </c>
      <c r="J502" s="40" t="str">
        <f>IF(ORCAMENTOS!L510="","",ORCAMENTOS!L510)</f>
        <v>CANCELADO</v>
      </c>
      <c r="K502" s="34" t="str">
        <f>IF(ORCAMENTOS!M510="","",ORCAMENTOS!M510)</f>
        <v>-</v>
      </c>
      <c r="L502" t="str">
        <f>IF(ORCAMENTOS!R510="","",ORCAMENTOS!R510)</f>
        <v>-</v>
      </c>
    </row>
    <row r="503" spans="1:12" ht="15.75" hidden="1" customHeight="1" x14ac:dyDescent="0.25">
      <c r="A503" s="36">
        <f>IF(ORCAMENTOS!A511="","",ORCAMENTOS!A511)</f>
        <v>45735</v>
      </c>
      <c r="B503" s="46">
        <f>IF(ORCAMENTOS!B511="","",ORCAMENTOS!B511)</f>
        <v>501</v>
      </c>
      <c r="C503" s="46" t="str">
        <f>IF(ORCAMENTOS!C511="","",ORCAMENTOS!C511)</f>
        <v/>
      </c>
      <c r="D503" s="37" t="str">
        <f>IF(ORCAMENTOS!D511="","",ORCAMENTOS!D511)</f>
        <v>HELP AIR</v>
      </c>
      <c r="E503" s="38" t="str">
        <f>IF(ORCAMENTOS!E511="","",ORCAMENTOS!E511)</f>
        <v>-</v>
      </c>
      <c r="F503" s="37" t="str">
        <f>IF(ORCAMENTOS!G511="","",ORCAMENTOS!G511)</f>
        <v>Gabriel</v>
      </c>
      <c r="G503" s="37" t="str">
        <f>IF(ORCAMENTOS!H511="","",ORCAMENTOS!H511)</f>
        <v/>
      </c>
      <c r="H503" s="39">
        <f>IF(ORCAMENTOS!I511="","",ORCAMENTOS!I511)</f>
        <v>105338.62</v>
      </c>
      <c r="I503" s="60" t="str">
        <f>IF(ORCAMENTOS!J511="","",ORCAMENTOS!J511)</f>
        <v/>
      </c>
      <c r="J503" s="40" t="str">
        <f>IF(ORCAMENTOS!L511="","",ORCAMENTOS!L511)</f>
        <v>CANCELADO</v>
      </c>
      <c r="K503" s="34" t="str">
        <f>IF(ORCAMENTOS!M511="","",ORCAMENTOS!M511)</f>
        <v>-</v>
      </c>
      <c r="L503" t="str">
        <f>IF(ORCAMENTOS!R511="","",ORCAMENTOS!R511)</f>
        <v>-</v>
      </c>
    </row>
    <row r="504" spans="1:12" ht="15.75" hidden="1" customHeight="1" x14ac:dyDescent="0.25">
      <c r="A504" s="36">
        <f>IF(ORCAMENTOS!A512="","",ORCAMENTOS!A512)</f>
        <v>45735</v>
      </c>
      <c r="B504" s="46">
        <f>IF(ORCAMENTOS!B512="","",ORCAMENTOS!B512)</f>
        <v>502</v>
      </c>
      <c r="C504" s="46" t="str">
        <f>IF(ORCAMENTOS!C512="","",ORCAMENTOS!C512)</f>
        <v/>
      </c>
      <c r="D504" s="37" t="str">
        <f>IF(ORCAMENTOS!D512="","",ORCAMENTOS!D512)</f>
        <v>THERMOMATIC</v>
      </c>
      <c r="E504" s="38" t="str">
        <f>IF(ORCAMENTOS!E512="","",ORCAMENTOS!E512)</f>
        <v>-</v>
      </c>
      <c r="F504" s="37" t="str">
        <f>IF(ORCAMENTOS!G512="","",ORCAMENTOS!G512)</f>
        <v>Gabriel</v>
      </c>
      <c r="G504" s="37" t="str">
        <f>IF(ORCAMENTOS!H512="","",ORCAMENTOS!H512)</f>
        <v>Calil</v>
      </c>
      <c r="H504" s="39">
        <f>IF(ORCAMENTOS!I512="","",ORCAMENTOS!I512)</f>
        <v>287.27999999999997</v>
      </c>
      <c r="I504" s="60" t="str">
        <f>IF(ORCAMENTOS!J512="","",ORCAMENTOS!J512)</f>
        <v/>
      </c>
      <c r="J504" s="40" t="str">
        <f>IF(ORCAMENTOS!L512="","",ORCAMENTOS!L512)</f>
        <v>CANCELADO</v>
      </c>
      <c r="K504" s="34" t="str">
        <f>IF(ORCAMENTOS!M512="","",ORCAMENTOS!M512)</f>
        <v>-</v>
      </c>
      <c r="L504" t="str">
        <f>IF(ORCAMENTOS!R512="","",ORCAMENTOS!R512)</f>
        <v>-</v>
      </c>
    </row>
    <row r="505" spans="1:12" ht="15.75" hidden="1" customHeight="1" x14ac:dyDescent="0.25">
      <c r="A505" s="36">
        <f>IF(ORCAMENTOS!A513="","",ORCAMENTOS!A513)</f>
        <v>45735</v>
      </c>
      <c r="B505" s="46">
        <f>IF(ORCAMENTOS!B513="","",ORCAMENTOS!B513)</f>
        <v>503</v>
      </c>
      <c r="C505" s="46" t="str">
        <f>IF(ORCAMENTOS!C513="","",ORCAMENTOS!C513)</f>
        <v/>
      </c>
      <c r="D505" s="37" t="str">
        <f>IF(ORCAMENTOS!D513="","",ORCAMENTOS!D513)</f>
        <v>JGTEC</v>
      </c>
      <c r="E505" s="38" t="str">
        <f>IF(ORCAMENTOS!E513="","",ORCAMENTOS!E513)</f>
        <v>RICCO - JARDIM AMERICA</v>
      </c>
      <c r="F505" s="37" t="str">
        <f>IF(ORCAMENTOS!G513="","",ORCAMENTOS!G513)</f>
        <v>Michel</v>
      </c>
      <c r="G505" s="37" t="str">
        <f>IF(ORCAMENTOS!H513="","",ORCAMENTOS!H513)</f>
        <v>Cassio</v>
      </c>
      <c r="H505" s="39">
        <f>IF(ORCAMENTOS!I513="","",ORCAMENTOS!I513)</f>
        <v>37657.31</v>
      </c>
      <c r="I505" s="60" t="str">
        <f>IF(ORCAMENTOS!J513="","",ORCAMENTOS!J513)</f>
        <v/>
      </c>
      <c r="J505" s="40" t="str">
        <f>IF(ORCAMENTOS!L513="","",ORCAMENTOS!L513)</f>
        <v>FECHADO</v>
      </c>
      <c r="K505" s="34" t="str">
        <f>IF(ORCAMENTOS!M513="","",ORCAMENTOS!M513)</f>
        <v>-</v>
      </c>
      <c r="L505" t="str">
        <f>IF(ORCAMENTOS!R513="","",ORCAMENTOS!R513)</f>
        <v>-</v>
      </c>
    </row>
    <row r="506" spans="1:12" ht="15.75" hidden="1" customHeight="1" x14ac:dyDescent="0.25">
      <c r="A506" s="36">
        <f>IF(ORCAMENTOS!A514="","",ORCAMENTOS!A514)</f>
        <v>45735</v>
      </c>
      <c r="B506" s="46">
        <f>IF(ORCAMENTOS!B514="","",ORCAMENTOS!B514)</f>
        <v>504</v>
      </c>
      <c r="C506" s="46" t="str">
        <f>IF(ORCAMENTOS!C514="","",ORCAMENTOS!C514)</f>
        <v/>
      </c>
      <c r="D506" s="37" t="str">
        <f>IF(ORCAMENTOS!D514="","",ORCAMENTOS!D514)</f>
        <v>EXAUSTOTEC</v>
      </c>
      <c r="E506" s="38" t="str">
        <f>IF(ORCAMENTOS!E514="","",ORCAMENTOS!E514)</f>
        <v>TTAIS ENGENHARIA - PREDIO P - 10A - OPCAO 2</v>
      </c>
      <c r="F506" s="37" t="str">
        <f>IF(ORCAMENTOS!G514="","",ORCAMENTOS!G514)</f>
        <v>Michel</v>
      </c>
      <c r="G506" s="37" t="str">
        <f>IF(ORCAMENTOS!H514="","",ORCAMENTOS!H514)</f>
        <v>Pedro</v>
      </c>
      <c r="H506" s="39">
        <f>IF(ORCAMENTOS!I514="","",ORCAMENTOS!I514)</f>
        <v>21489.05</v>
      </c>
      <c r="I506" s="60" t="str">
        <f>IF(ORCAMENTOS!J514="","",ORCAMENTOS!J514)</f>
        <v/>
      </c>
      <c r="J506" s="40" t="str">
        <f>IF(ORCAMENTOS!L514="","",ORCAMENTOS!L514)</f>
        <v>CANCELADO</v>
      </c>
      <c r="K506" s="34" t="str">
        <f>IF(ORCAMENTOS!M514="","",ORCAMENTOS!M514)</f>
        <v>-</v>
      </c>
      <c r="L506" t="str">
        <f>IF(ORCAMENTOS!R514="","",ORCAMENTOS!R514)</f>
        <v>-</v>
      </c>
    </row>
    <row r="507" spans="1:12" ht="15.75" hidden="1" customHeight="1" x14ac:dyDescent="0.25">
      <c r="A507" s="36">
        <f>IF(ORCAMENTOS!A515="","",ORCAMENTOS!A515)</f>
        <v>45735</v>
      </c>
      <c r="B507" s="46">
        <f>IF(ORCAMENTOS!B515="","",ORCAMENTOS!B515)</f>
        <v>505</v>
      </c>
      <c r="C507" s="46" t="str">
        <f>IF(ORCAMENTOS!C515="","",ORCAMENTOS!C515)</f>
        <v/>
      </c>
      <c r="D507" s="37" t="str">
        <f>IF(ORCAMENTOS!D515="","",ORCAMENTOS!D515)</f>
        <v>EXAUSTOTEC</v>
      </c>
      <c r="E507" s="38" t="str">
        <f>IF(ORCAMENTOS!E515="","",ORCAMENTOS!E515)</f>
        <v>TTAIS ENGENHARIA - PREDIO P - 10A - OPCAO 3</v>
      </c>
      <c r="F507" s="37" t="str">
        <f>IF(ORCAMENTOS!G515="","",ORCAMENTOS!G515)</f>
        <v>Michel</v>
      </c>
      <c r="G507" s="37" t="str">
        <f>IF(ORCAMENTOS!H515="","",ORCAMENTOS!H515)</f>
        <v>Pedro</v>
      </c>
      <c r="H507" s="39">
        <f>IF(ORCAMENTOS!I515="","",ORCAMENTOS!I515)</f>
        <v>20728.12</v>
      </c>
      <c r="I507" s="60" t="str">
        <f>IF(ORCAMENTOS!J515="","",ORCAMENTOS!J515)</f>
        <v/>
      </c>
      <c r="J507" s="40" t="str">
        <f>IF(ORCAMENTOS!L515="","",ORCAMENTOS!L515)</f>
        <v>FECHADO</v>
      </c>
      <c r="K507" s="34" t="str">
        <f>IF(ORCAMENTOS!M515="","",ORCAMENTOS!M515)</f>
        <v>-</v>
      </c>
      <c r="L507" t="str">
        <f>IF(ORCAMENTOS!R515="","",ORCAMENTOS!R515)</f>
        <v>-</v>
      </c>
    </row>
    <row r="508" spans="1:12" ht="15.75" hidden="1" customHeight="1" x14ac:dyDescent="0.25">
      <c r="A508" s="36">
        <f>IF(ORCAMENTOS!A516="","",ORCAMENTOS!A516)</f>
        <v>45735</v>
      </c>
      <c r="B508" s="46">
        <f>IF(ORCAMENTOS!B516="","",ORCAMENTOS!B516)</f>
        <v>506</v>
      </c>
      <c r="C508" s="46" t="str">
        <f>IF(ORCAMENTOS!C516="","",ORCAMENTOS!C516)</f>
        <v/>
      </c>
      <c r="D508" s="37" t="str">
        <f>IF(ORCAMENTOS!D516="","",ORCAMENTOS!D516)</f>
        <v>AR SET</v>
      </c>
      <c r="E508" s="38" t="str">
        <f>IF(ORCAMENTOS!E516="","",ORCAMENTOS!E516)</f>
        <v>-</v>
      </c>
      <c r="F508" s="37" t="str">
        <f>IF(ORCAMENTOS!G516="","",ORCAMENTOS!G516)</f>
        <v>Fernando</v>
      </c>
      <c r="G508" s="37" t="str">
        <f>IF(ORCAMENTOS!H516="","",ORCAMENTOS!H516)</f>
        <v>Lais</v>
      </c>
      <c r="H508" s="39">
        <f>IF(ORCAMENTOS!I516="","",ORCAMENTOS!I516)</f>
        <v>2917.95</v>
      </c>
      <c r="I508" s="60" t="str">
        <f>IF(ORCAMENTOS!J516="","",ORCAMENTOS!J516)</f>
        <v/>
      </c>
      <c r="J508" s="40" t="str">
        <f>IF(ORCAMENTOS!L516="","",ORCAMENTOS!L516)</f>
        <v>FECHADO</v>
      </c>
      <c r="K508" s="34" t="str">
        <f>IF(ORCAMENTOS!M516="","",ORCAMENTOS!M516)</f>
        <v>-</v>
      </c>
      <c r="L508" t="str">
        <f>IF(ORCAMENTOS!R516="","",ORCAMENTOS!R516)</f>
        <v>-</v>
      </c>
    </row>
    <row r="509" spans="1:12" ht="15.75" hidden="1" customHeight="1" x14ac:dyDescent="0.25">
      <c r="A509" s="36">
        <f>IF(ORCAMENTOS!A517="","",ORCAMENTOS!A517)</f>
        <v>45742</v>
      </c>
      <c r="B509" s="46">
        <f>IF(ORCAMENTOS!B517="","",ORCAMENTOS!B517)</f>
        <v>507</v>
      </c>
      <c r="C509" s="46" t="str">
        <f>IF(ORCAMENTOS!C517="","",ORCAMENTOS!C517)</f>
        <v/>
      </c>
      <c r="D509" s="37" t="str">
        <f>IF(ORCAMENTOS!D517="","",ORCAMENTOS!D517)</f>
        <v>LUNAL REFRIGERACAO</v>
      </c>
      <c r="E509" s="38" t="str">
        <f>IF(ORCAMENTOS!E517="","",ORCAMENTOS!E517)</f>
        <v>PTW - 9º PAVIMENTO - BUTANTA - SP</v>
      </c>
      <c r="F509" s="37" t="str">
        <f>IF(ORCAMENTOS!G517="","",ORCAMENTOS!G517)</f>
        <v>Gabriel</v>
      </c>
      <c r="G509" s="37" t="str">
        <f>IF(ORCAMENTOS!H517="","",ORCAMENTOS!H517)</f>
        <v>Paulo</v>
      </c>
      <c r="H509" s="39">
        <f>IF(ORCAMENTOS!I517="","",ORCAMENTOS!I517)</f>
        <v>42404.89</v>
      </c>
      <c r="I509" s="60" t="str">
        <f>IF(ORCAMENTOS!J517="","",ORCAMENTOS!J517)</f>
        <v/>
      </c>
      <c r="J509" s="40" t="str">
        <f>IF(ORCAMENTOS!L517="","",ORCAMENTOS!L517)</f>
        <v>FECHADO</v>
      </c>
      <c r="K509" s="34" t="str">
        <f>IF(ORCAMENTOS!M517="","",ORCAMENTOS!M517)</f>
        <v>-</v>
      </c>
      <c r="L509" t="str">
        <f>IF(ORCAMENTOS!R517="","",ORCAMENTOS!R517)</f>
        <v>-</v>
      </c>
    </row>
    <row r="510" spans="1:12" ht="15.75" hidden="1" customHeight="1" x14ac:dyDescent="0.25">
      <c r="A510" s="36">
        <f>IF(ORCAMENTOS!A518="","",ORCAMENTOS!A518)</f>
        <v>45736</v>
      </c>
      <c r="B510" s="46">
        <f>IF(ORCAMENTOS!B518="","",ORCAMENTOS!B518)</f>
        <v>508</v>
      </c>
      <c r="C510" s="46" t="str">
        <f>IF(ORCAMENTOS!C518="","",ORCAMENTOS!C518)</f>
        <v/>
      </c>
      <c r="D510" s="37" t="str">
        <f>IF(ORCAMENTOS!D518="","",ORCAMENTOS!D518)</f>
        <v>ENEBRAS</v>
      </c>
      <c r="E510" s="38" t="str">
        <f>IF(ORCAMENTOS!E518="","",ORCAMENTOS!E518)</f>
        <v>3671 GRAAC</v>
      </c>
      <c r="F510" s="37" t="str">
        <f>IF(ORCAMENTOS!G518="","",ORCAMENTOS!G518)</f>
        <v>Michel</v>
      </c>
      <c r="G510" s="37" t="str">
        <f>IF(ORCAMENTOS!H518="","",ORCAMENTOS!H518)</f>
        <v>Gabrielle</v>
      </c>
      <c r="H510" s="39">
        <f>IF(ORCAMENTOS!I518="","",ORCAMENTOS!I518)</f>
        <v>3058</v>
      </c>
      <c r="I510" s="60" t="str">
        <f>IF(ORCAMENTOS!J518="","",ORCAMENTOS!J518)</f>
        <v/>
      </c>
      <c r="J510" s="40" t="str">
        <f>IF(ORCAMENTOS!L518="","",ORCAMENTOS!L518)</f>
        <v>FECHADO</v>
      </c>
      <c r="K510" s="34" t="str">
        <f>IF(ORCAMENTOS!M518="","",ORCAMENTOS!M518)</f>
        <v>-</v>
      </c>
      <c r="L510" t="str">
        <f>IF(ORCAMENTOS!R518="","",ORCAMENTOS!R518)</f>
        <v>-</v>
      </c>
    </row>
    <row r="511" spans="1:12" ht="15.75" hidden="1" customHeight="1" x14ac:dyDescent="0.25">
      <c r="A511" s="36">
        <f>IF(ORCAMENTOS!A519="","",ORCAMENTOS!A519)</f>
        <v>45736</v>
      </c>
      <c r="B511" s="46">
        <f>IF(ORCAMENTOS!B519="","",ORCAMENTOS!B519)</f>
        <v>509</v>
      </c>
      <c r="C511" s="46" t="str">
        <f>IF(ORCAMENTOS!C519="","",ORCAMENTOS!C519)</f>
        <v/>
      </c>
      <c r="D511" s="37" t="str">
        <f>IF(ORCAMENTOS!D519="","",ORCAMENTOS!D519)</f>
        <v>SOLAR AR</v>
      </c>
      <c r="E511" s="38" t="str">
        <f>IF(ORCAMENTOS!E519="","",ORCAMENTOS!E519)</f>
        <v>REDE CARE - CAMPINAS</v>
      </c>
      <c r="F511" s="37" t="str">
        <f>IF(ORCAMENTOS!G519="","",ORCAMENTOS!G519)</f>
        <v>Michel</v>
      </c>
      <c r="G511" s="37" t="str">
        <f>IF(ORCAMENTOS!H519="","",ORCAMENTOS!H519)</f>
        <v>Welly</v>
      </c>
      <c r="H511" s="39">
        <f>IF(ORCAMENTOS!I519="","",ORCAMENTOS!I519)</f>
        <v>19575.96</v>
      </c>
      <c r="I511" s="60" t="str">
        <f>IF(ORCAMENTOS!J519="","",ORCAMENTOS!J519)</f>
        <v/>
      </c>
      <c r="J511" s="40" t="str">
        <f>IF(ORCAMENTOS!L519="","",ORCAMENTOS!L519)</f>
        <v>CANCELADO</v>
      </c>
      <c r="K511" s="34" t="str">
        <f>IF(ORCAMENTOS!M519="","",ORCAMENTOS!M519)</f>
        <v>-</v>
      </c>
      <c r="L511" t="str">
        <f>IF(ORCAMENTOS!R519="","",ORCAMENTOS!R519)</f>
        <v>-</v>
      </c>
    </row>
    <row r="512" spans="1:12" ht="15.75" hidden="1" customHeight="1" x14ac:dyDescent="0.25">
      <c r="A512" s="36">
        <f>IF(ORCAMENTOS!A520="","",ORCAMENTOS!A520)</f>
        <v>45736</v>
      </c>
      <c r="B512" s="46">
        <f>IF(ORCAMENTOS!B520="","",ORCAMENTOS!B520)</f>
        <v>510</v>
      </c>
      <c r="C512" s="46" t="str">
        <f>IF(ORCAMENTOS!C520="","",ORCAMENTOS!C520)</f>
        <v/>
      </c>
      <c r="D512" s="37" t="str">
        <f>IF(ORCAMENTOS!D520="","",ORCAMENTOS!D520)</f>
        <v>AMS INSTALACOES</v>
      </c>
      <c r="E512" s="38" t="str">
        <f>IF(ORCAMENTOS!E520="","",ORCAMENTOS!E520)</f>
        <v>FORT ATACADISTA - JOINVILLE - SC</v>
      </c>
      <c r="F512" s="37" t="str">
        <f>IF(ORCAMENTOS!G520="","",ORCAMENTOS!G520)</f>
        <v>Gabriel</v>
      </c>
      <c r="G512" s="37" t="str">
        <f>IF(ORCAMENTOS!H520="","",ORCAMENTOS!H520)</f>
        <v>Albertino</v>
      </c>
      <c r="H512" s="39">
        <f>IF(ORCAMENTOS!I520="","",ORCAMENTOS!I520)</f>
        <v>200402.18</v>
      </c>
      <c r="I512" s="60" t="str">
        <f>IF(ORCAMENTOS!J520="","",ORCAMENTOS!J520)</f>
        <v/>
      </c>
      <c r="J512" s="40" t="str">
        <f>IF(ORCAMENTOS!L520="","",ORCAMENTOS!L520)</f>
        <v>CANCELADO</v>
      </c>
      <c r="K512" s="34" t="str">
        <f>IF(ORCAMENTOS!M520="","",ORCAMENTOS!M520)</f>
        <v>-</v>
      </c>
      <c r="L512" t="str">
        <f>IF(ORCAMENTOS!R520="","",ORCAMENTOS!R520)</f>
        <v/>
      </c>
    </row>
    <row r="513" spans="1:12" ht="15.75" hidden="1" customHeight="1" x14ac:dyDescent="0.25">
      <c r="A513" s="36">
        <f>IF(ORCAMENTOS!A521="","",ORCAMENTOS!A521)</f>
        <v>45736</v>
      </c>
      <c r="B513" s="46">
        <f>IF(ORCAMENTOS!B521="","",ORCAMENTOS!B521)</f>
        <v>511</v>
      </c>
      <c r="C513" s="46" t="str">
        <f>IF(ORCAMENTOS!C521="","",ORCAMENTOS!C521)</f>
        <v/>
      </c>
      <c r="D513" s="37" t="str">
        <f>IF(ORCAMENTOS!D521="","",ORCAMENTOS!D521)</f>
        <v>MONTAGEM VIEIRA</v>
      </c>
      <c r="E513" s="38" t="str">
        <f>IF(ORCAMENTOS!E521="","",ORCAMENTOS!E521)</f>
        <v>-</v>
      </c>
      <c r="F513" s="37" t="str">
        <f>IF(ORCAMENTOS!G521="","",ORCAMENTOS!G521)</f>
        <v>Fernando</v>
      </c>
      <c r="G513" s="37" t="str">
        <f>IF(ORCAMENTOS!H521="","",ORCAMENTOS!H521)</f>
        <v>Sergio</v>
      </c>
      <c r="H513" s="39">
        <f>IF(ORCAMENTOS!I521="","",ORCAMENTOS!I521)</f>
        <v>3372.58</v>
      </c>
      <c r="I513" s="60" t="str">
        <f>IF(ORCAMENTOS!J521="","",ORCAMENTOS!J521)</f>
        <v/>
      </c>
      <c r="J513" s="40" t="str">
        <f>IF(ORCAMENTOS!L521="","",ORCAMENTOS!L521)</f>
        <v>CANCELADO</v>
      </c>
      <c r="K513" s="34" t="str">
        <f>IF(ORCAMENTOS!M521="","",ORCAMENTOS!M521)</f>
        <v>-</v>
      </c>
      <c r="L513" t="str">
        <f>IF(ORCAMENTOS!R521="","",ORCAMENTOS!R521)</f>
        <v>-</v>
      </c>
    </row>
    <row r="514" spans="1:12" ht="15.75" hidden="1" customHeight="1" x14ac:dyDescent="0.25">
      <c r="A514" s="36">
        <f>IF(ORCAMENTOS!A522="","",ORCAMENTOS!A522)</f>
        <v>45736</v>
      </c>
      <c r="B514" s="46">
        <f>IF(ORCAMENTOS!B522="","",ORCAMENTOS!B522)</f>
        <v>512</v>
      </c>
      <c r="C514" s="46" t="str">
        <f>IF(ORCAMENTOS!C522="","",ORCAMENTOS!C522)</f>
        <v/>
      </c>
      <c r="D514" s="37" t="str">
        <f>IF(ORCAMENTOS!D522="","",ORCAMENTOS!D522)</f>
        <v>RDS ENGENHARIA</v>
      </c>
      <c r="E514" s="38" t="str">
        <f>IF(ORCAMENTOS!E522="","",ORCAMENTOS!E522)</f>
        <v>NISSIN-PR</v>
      </c>
      <c r="F514" s="37" t="str">
        <f>IF(ORCAMENTOS!G522="","",ORCAMENTOS!G522)</f>
        <v xml:space="preserve">Aldavir </v>
      </c>
      <c r="G514" s="37" t="str">
        <f>IF(ORCAMENTOS!H522="","",ORCAMENTOS!H522)</f>
        <v>Sandra</v>
      </c>
      <c r="H514" s="39">
        <f>IF(ORCAMENTOS!I522="","",ORCAMENTOS!I522)</f>
        <v>3207218.8</v>
      </c>
      <c r="I514" s="60" t="str">
        <f>IF(ORCAMENTOS!J522="","",ORCAMENTOS!J522)</f>
        <v/>
      </c>
      <c r="J514" s="40" t="str">
        <f>IF(ORCAMENTOS!L522="","",ORCAMENTOS!L522)</f>
        <v>CANCELADO</v>
      </c>
      <c r="K514" s="34" t="str">
        <f>IF(ORCAMENTOS!M522="","",ORCAMENTOS!M522)</f>
        <v/>
      </c>
      <c r="L514" t="str">
        <f>IF(ORCAMENTOS!R522="","",ORCAMENTOS!R522)</f>
        <v/>
      </c>
    </row>
    <row r="515" spans="1:12" ht="15.75" hidden="1" customHeight="1" x14ac:dyDescent="0.25">
      <c r="A515" s="36">
        <f>IF(ORCAMENTOS!A523="","",ORCAMENTOS!A523)</f>
        <v>45737</v>
      </c>
      <c r="B515" s="46">
        <f>IF(ORCAMENTOS!B523="","",ORCAMENTOS!B523)</f>
        <v>513</v>
      </c>
      <c r="C515" s="46" t="str">
        <f>IF(ORCAMENTOS!C523="","",ORCAMENTOS!C523)</f>
        <v/>
      </c>
      <c r="D515" s="37" t="str">
        <f>IF(ORCAMENTOS!D523="","",ORCAMENTOS!D523)</f>
        <v>PU DUTOS</v>
      </c>
      <c r="E515" s="38" t="str">
        <f>IF(ORCAMENTOS!E523="","",ORCAMENTOS!E523)</f>
        <v>SITIO DO PICA PAU AMARELO - ELDORADO ATIBAIA ECORESORT</v>
      </c>
      <c r="F515" s="37" t="str">
        <f>IF(ORCAMENTOS!G523="","",ORCAMENTOS!G523)</f>
        <v>Gabriel</v>
      </c>
      <c r="G515" s="37" t="str">
        <f>IF(ORCAMENTOS!H523="","",ORCAMENTOS!H523)</f>
        <v>Thiago</v>
      </c>
      <c r="H515" s="39">
        <f>IF(ORCAMENTOS!I523="","",ORCAMENTOS!I523)</f>
        <v>28371.73</v>
      </c>
      <c r="I515" s="60" t="str">
        <f>IF(ORCAMENTOS!J523="","",ORCAMENTOS!J523)</f>
        <v/>
      </c>
      <c r="J515" s="40" t="str">
        <f>IF(ORCAMENTOS!L523="","",ORCAMENTOS!L523)</f>
        <v>CANCELADO</v>
      </c>
      <c r="K515" s="34" t="str">
        <f>IF(ORCAMENTOS!M523="","",ORCAMENTOS!M523)</f>
        <v>-</v>
      </c>
      <c r="L515" t="str">
        <f>IF(ORCAMENTOS!R523="","",ORCAMENTOS!R523)</f>
        <v>-</v>
      </c>
    </row>
    <row r="516" spans="1:12" ht="15.75" hidden="1" customHeight="1" x14ac:dyDescent="0.25">
      <c r="A516" s="36">
        <f>IF(ORCAMENTOS!A524="","",ORCAMENTOS!A524)</f>
        <v>45737</v>
      </c>
      <c r="B516" s="46">
        <f>IF(ORCAMENTOS!B524="","",ORCAMENTOS!B524)</f>
        <v>514</v>
      </c>
      <c r="C516" s="46" t="str">
        <f>IF(ORCAMENTOS!C524="","",ORCAMENTOS!C524)</f>
        <v/>
      </c>
      <c r="D516" s="37" t="str">
        <f>IF(ORCAMENTOS!D524="","",ORCAMENTOS!D524)</f>
        <v>THERMOAR</v>
      </c>
      <c r="E516" s="38" t="str">
        <f>IF(ORCAMENTOS!E524="","",ORCAMENTOS!E524)</f>
        <v>-</v>
      </c>
      <c r="F516" s="37" t="str">
        <f>IF(ORCAMENTOS!G524="","",ORCAMENTOS!G524)</f>
        <v>Gabriel</v>
      </c>
      <c r="G516" s="37" t="str">
        <f>IF(ORCAMENTOS!H524="","",ORCAMENTOS!H524)</f>
        <v>Marco</v>
      </c>
      <c r="H516" s="39">
        <f>IF(ORCAMENTOS!I524="","",ORCAMENTOS!I524)</f>
        <v>151866.44</v>
      </c>
      <c r="I516" s="60" t="str">
        <f>IF(ORCAMENTOS!J524="","",ORCAMENTOS!J524)</f>
        <v/>
      </c>
      <c r="J516" s="40" t="str">
        <f>IF(ORCAMENTOS!L524="","",ORCAMENTOS!L524)</f>
        <v>CANCELADO</v>
      </c>
      <c r="K516" s="34" t="str">
        <f>IF(ORCAMENTOS!M524="","",ORCAMENTOS!M524)</f>
        <v>-</v>
      </c>
      <c r="L516" t="str">
        <f>IF(ORCAMENTOS!R524="","",ORCAMENTOS!R524)</f>
        <v>-</v>
      </c>
    </row>
    <row r="517" spans="1:12" ht="15.75" hidden="1" customHeight="1" x14ac:dyDescent="0.25">
      <c r="A517" s="36">
        <f>IF(ORCAMENTOS!A525="","",ORCAMENTOS!A525)</f>
        <v>45737</v>
      </c>
      <c r="B517" s="46">
        <f>IF(ORCAMENTOS!B525="","",ORCAMENTOS!B525)</f>
        <v>515</v>
      </c>
      <c r="C517" s="46" t="str">
        <f>IF(ORCAMENTOS!C525="","",ORCAMENTOS!C525)</f>
        <v/>
      </c>
      <c r="D517" s="37" t="str">
        <f>IF(ORCAMENTOS!D525="","",ORCAMENTOS!D525)</f>
        <v>TNAC ENGENHARIA</v>
      </c>
      <c r="E517" s="38" t="str">
        <f>IF(ORCAMENTOS!E525="","",ORCAMENTOS!E525)</f>
        <v>ECA</v>
      </c>
      <c r="F517" s="37" t="str">
        <f>IF(ORCAMENTOS!G525="","",ORCAMENTOS!G525)</f>
        <v>Fernando</v>
      </c>
      <c r="G517" s="37" t="str">
        <f>IF(ORCAMENTOS!H525="","",ORCAMENTOS!H525)</f>
        <v>Nara</v>
      </c>
      <c r="H517" s="39">
        <f>IF(ORCAMENTOS!I525="","",ORCAMENTOS!I525)</f>
        <v>24076.82</v>
      </c>
      <c r="I517" s="60" t="str">
        <f>IF(ORCAMENTOS!J525="","",ORCAMENTOS!J525)</f>
        <v/>
      </c>
      <c r="J517" s="40" t="str">
        <f>IF(ORCAMENTOS!L525="","",ORCAMENTOS!L525)</f>
        <v>FECHADO</v>
      </c>
      <c r="K517" s="34" t="str">
        <f>IF(ORCAMENTOS!M525="","",ORCAMENTOS!M525)</f>
        <v>-</v>
      </c>
      <c r="L517" t="str">
        <f>IF(ORCAMENTOS!R525="","",ORCAMENTOS!R525)</f>
        <v>-</v>
      </c>
    </row>
    <row r="518" spans="1:12" ht="15.75" hidden="1" customHeight="1" x14ac:dyDescent="0.25">
      <c r="A518" s="36">
        <f>IF(ORCAMENTOS!A526="","",ORCAMENTOS!A526)</f>
        <v>45740</v>
      </c>
      <c r="B518" s="46">
        <f>IF(ORCAMENTOS!B526="","",ORCAMENTOS!B526)</f>
        <v>516</v>
      </c>
      <c r="C518" s="46" t="str">
        <f>IF(ORCAMENTOS!C526="","",ORCAMENTOS!C526)</f>
        <v/>
      </c>
      <c r="D518" s="37" t="str">
        <f>IF(ORCAMENTOS!D526="","",ORCAMENTOS!D526)</f>
        <v>THERMOTECNICA</v>
      </c>
      <c r="E518" s="38" t="str">
        <f>IF(ORCAMENTOS!E526="","",ORCAMENTOS!E526)</f>
        <v>THC - ACA - 1424-02 / 25</v>
      </c>
      <c r="F518" s="37" t="str">
        <f>IF(ORCAMENTOS!G526="","",ORCAMENTOS!G526)</f>
        <v>Guilherme</v>
      </c>
      <c r="G518" s="37" t="str">
        <f>IF(ORCAMENTOS!H526="","",ORCAMENTOS!H526)</f>
        <v>Newton</v>
      </c>
      <c r="H518" s="39">
        <f>IF(ORCAMENTOS!I526="","",ORCAMENTOS!I526)</f>
        <v>130000</v>
      </c>
      <c r="I518" s="60" t="str">
        <f>IF(ORCAMENTOS!J526="","",ORCAMENTOS!J526)</f>
        <v/>
      </c>
      <c r="J518" s="40" t="str">
        <f>IF(ORCAMENTOS!L526="","",ORCAMENTOS!L526)</f>
        <v>FECHADO</v>
      </c>
      <c r="K518" s="34" t="str">
        <f>IF(ORCAMENTOS!M526="","",ORCAMENTOS!M526)</f>
        <v>-</v>
      </c>
      <c r="L518" t="str">
        <f>IF(ORCAMENTOS!R526="","",ORCAMENTOS!R526)</f>
        <v>-</v>
      </c>
    </row>
    <row r="519" spans="1:12" ht="15.75" hidden="1" customHeight="1" x14ac:dyDescent="0.25">
      <c r="A519" s="36">
        <f>IF(ORCAMENTOS!A527="","",ORCAMENTOS!A527)</f>
        <v>45740</v>
      </c>
      <c r="B519" s="46">
        <f>IF(ORCAMENTOS!B527="","",ORCAMENTOS!B527)</f>
        <v>517</v>
      </c>
      <c r="C519" s="46" t="str">
        <f>IF(ORCAMENTOS!C527="","",ORCAMENTOS!C527)</f>
        <v/>
      </c>
      <c r="D519" s="37" t="str">
        <f>IF(ORCAMENTOS!D527="","",ORCAMENTOS!D527)</f>
        <v>NEW AIR</v>
      </c>
      <c r="E519" s="38" t="str">
        <f>IF(ORCAMENTOS!E527="","",ORCAMENTOS!E527)</f>
        <v>-</v>
      </c>
      <c r="F519" s="37" t="str">
        <f>IF(ORCAMENTOS!G527="","",ORCAMENTOS!G527)</f>
        <v>Fernando</v>
      </c>
      <c r="G519" s="37" t="str">
        <f>IF(ORCAMENTOS!H527="","",ORCAMENTOS!H527)</f>
        <v>Igor</v>
      </c>
      <c r="H519" s="39">
        <f>IF(ORCAMENTOS!I527="","",ORCAMENTOS!I527)</f>
        <v>44794.81</v>
      </c>
      <c r="I519" s="60" t="str">
        <f>IF(ORCAMENTOS!J527="","",ORCAMENTOS!J527)</f>
        <v/>
      </c>
      <c r="J519" s="40" t="str">
        <f>IF(ORCAMENTOS!L527="","",ORCAMENTOS!L527)</f>
        <v>FECHADO</v>
      </c>
      <c r="K519" s="34" t="str">
        <f>IF(ORCAMENTOS!M527="","",ORCAMENTOS!M527)</f>
        <v>-</v>
      </c>
      <c r="L519" t="str">
        <f>IF(ORCAMENTOS!R527="","",ORCAMENTOS!R527)</f>
        <v>-</v>
      </c>
    </row>
    <row r="520" spans="1:12" ht="15.75" hidden="1" customHeight="1" x14ac:dyDescent="0.25">
      <c r="A520" s="36">
        <f>IF(ORCAMENTOS!A528="","",ORCAMENTOS!A528)</f>
        <v>45740</v>
      </c>
      <c r="B520" s="46">
        <f>IF(ORCAMENTOS!B528="","",ORCAMENTOS!B528)</f>
        <v>518</v>
      </c>
      <c r="C520" s="46" t="str">
        <f>IF(ORCAMENTOS!C528="","",ORCAMENTOS!C528)</f>
        <v/>
      </c>
      <c r="D520" s="37" t="str">
        <f>IF(ORCAMENTOS!D528="","",ORCAMENTOS!D528)</f>
        <v>CHRISTAR</v>
      </c>
      <c r="E520" s="38" t="str">
        <f>IF(ORCAMENTOS!E528="","",ORCAMENTOS!E528)</f>
        <v>SOUTH CARGO</v>
      </c>
      <c r="F520" s="37" t="str">
        <f>IF(ORCAMENTOS!G528="","",ORCAMENTOS!G528)</f>
        <v xml:space="preserve">Aldavir </v>
      </c>
      <c r="G520" s="37" t="str">
        <f>IF(ORCAMENTOS!H528="","",ORCAMENTOS!H528)</f>
        <v>Anderson</v>
      </c>
      <c r="H520" s="39">
        <f>IF(ORCAMENTOS!I528="","",ORCAMENTOS!I528)</f>
        <v>241383.92</v>
      </c>
      <c r="I520" s="60" t="str">
        <f>IF(ORCAMENTOS!J528="","",ORCAMENTOS!J528)</f>
        <v/>
      </c>
      <c r="J520" s="40" t="str">
        <f>IF(ORCAMENTOS!L528="","",ORCAMENTOS!L528)</f>
        <v>CANCELADO</v>
      </c>
      <c r="K520" s="34" t="str">
        <f>IF(ORCAMENTOS!M528="","",ORCAMENTOS!M528)</f>
        <v/>
      </c>
      <c r="L520" t="str">
        <f>IF(ORCAMENTOS!R528="","",ORCAMENTOS!R528)</f>
        <v/>
      </c>
    </row>
    <row r="521" spans="1:12" ht="15.75" hidden="1" customHeight="1" x14ac:dyDescent="0.25">
      <c r="A521" s="36">
        <f>IF(ORCAMENTOS!A529="","",ORCAMENTOS!A529)</f>
        <v>45740</v>
      </c>
      <c r="B521" s="46">
        <f>IF(ORCAMENTOS!B529="","",ORCAMENTOS!B529)</f>
        <v>519</v>
      </c>
      <c r="C521" s="46" t="str">
        <f>IF(ORCAMENTOS!C529="","",ORCAMENTOS!C529)</f>
        <v/>
      </c>
      <c r="D521" s="37" t="str">
        <f>IF(ORCAMENTOS!D529="","",ORCAMENTOS!D529)</f>
        <v>PU DUTOS</v>
      </c>
      <c r="E521" s="38" t="str">
        <f>IF(ORCAMENTOS!E529="","",ORCAMENTOS!E529)</f>
        <v>-</v>
      </c>
      <c r="F521" s="37" t="str">
        <f>IF(ORCAMENTOS!G529="","",ORCAMENTOS!G529)</f>
        <v>Gabriel</v>
      </c>
      <c r="G521" s="37" t="str">
        <f>IF(ORCAMENTOS!H529="","",ORCAMENTOS!H529)</f>
        <v>Thiago</v>
      </c>
      <c r="H521" s="39">
        <f>IF(ORCAMENTOS!I529="","",ORCAMENTOS!I529)</f>
        <v>124941.79</v>
      </c>
      <c r="I521" s="60" t="str">
        <f>IF(ORCAMENTOS!J529="","",ORCAMENTOS!J529)</f>
        <v/>
      </c>
      <c r="J521" s="40" t="str">
        <f>IF(ORCAMENTOS!L529="","",ORCAMENTOS!L529)</f>
        <v>CANCELADO</v>
      </c>
      <c r="K521" s="34" t="str">
        <f>IF(ORCAMENTOS!M529="","",ORCAMENTOS!M529)</f>
        <v>-</v>
      </c>
      <c r="L521" t="str">
        <f>IF(ORCAMENTOS!R529="","",ORCAMENTOS!R529)</f>
        <v>-</v>
      </c>
    </row>
    <row r="522" spans="1:12" ht="15.75" hidden="1" customHeight="1" x14ac:dyDescent="0.25">
      <c r="A522" s="36">
        <f>IF(ORCAMENTOS!A530="","",ORCAMENTOS!A530)</f>
        <v>45740</v>
      </c>
      <c r="B522" s="46">
        <f>IF(ORCAMENTOS!B530="","",ORCAMENTOS!B530)</f>
        <v>520</v>
      </c>
      <c r="C522" s="46" t="str">
        <f>IF(ORCAMENTOS!C530="","",ORCAMENTOS!C530)</f>
        <v/>
      </c>
      <c r="D522" s="37" t="str">
        <f>IF(ORCAMENTOS!D530="","",ORCAMENTOS!D530)</f>
        <v>AIR SOLUTION</v>
      </c>
      <c r="E522" s="38" t="str">
        <f>IF(ORCAMENTOS!E530="","",ORCAMENTOS!E530)</f>
        <v>-</v>
      </c>
      <c r="F522" s="37" t="str">
        <f>IF(ORCAMENTOS!G530="","",ORCAMENTOS!G530)</f>
        <v>Gabriel</v>
      </c>
      <c r="G522" s="37" t="str">
        <f>IF(ORCAMENTOS!H530="","",ORCAMENTOS!H530)</f>
        <v>Fernando</v>
      </c>
      <c r="H522" s="39">
        <f>IF(ORCAMENTOS!I530="","",ORCAMENTOS!I530)</f>
        <v>29314.95</v>
      </c>
      <c r="I522" s="60" t="str">
        <f>IF(ORCAMENTOS!J530="","",ORCAMENTOS!J530)</f>
        <v/>
      </c>
      <c r="J522" s="40" t="str">
        <f>IF(ORCAMENTOS!L530="","",ORCAMENTOS!L530)</f>
        <v>CANCELADO</v>
      </c>
      <c r="K522" s="34" t="str">
        <f>IF(ORCAMENTOS!M530="","",ORCAMENTOS!M530)</f>
        <v>-</v>
      </c>
      <c r="L522" t="str">
        <f>IF(ORCAMENTOS!R530="","",ORCAMENTOS!R530)</f>
        <v>-</v>
      </c>
    </row>
    <row r="523" spans="1:12" ht="15.75" hidden="1" customHeight="1" x14ac:dyDescent="0.25">
      <c r="A523" s="36">
        <f>IF(ORCAMENTOS!A531="","",ORCAMENTOS!A531)</f>
        <v>45740</v>
      </c>
      <c r="B523" s="46">
        <f>IF(ORCAMENTOS!B531="","",ORCAMENTOS!B531)</f>
        <v>521</v>
      </c>
      <c r="C523" s="46" t="str">
        <f>IF(ORCAMENTOS!C531="","",ORCAMENTOS!C531)</f>
        <v/>
      </c>
      <c r="D523" s="37" t="str">
        <f>IF(ORCAMENTOS!D531="","",ORCAMENTOS!D531)</f>
        <v>AIR DESIGN</v>
      </c>
      <c r="E523" s="38" t="str">
        <f>IF(ORCAMENTOS!E531="","",ORCAMENTOS!E531)</f>
        <v>PIRACICABA - SP</v>
      </c>
      <c r="F523" s="37" t="str">
        <f>IF(ORCAMENTOS!G531="","",ORCAMENTOS!G531)</f>
        <v>Gabriel</v>
      </c>
      <c r="G523" s="37" t="str">
        <f>IF(ORCAMENTOS!H531="","",ORCAMENTOS!H531)</f>
        <v>Vanilda</v>
      </c>
      <c r="H523" s="39">
        <f>IF(ORCAMENTOS!I531="","",ORCAMENTOS!I531)</f>
        <v>182631.36</v>
      </c>
      <c r="I523" s="60" t="str">
        <f>IF(ORCAMENTOS!J531="","",ORCAMENTOS!J531)</f>
        <v/>
      </c>
      <c r="J523" s="40" t="str">
        <f>IF(ORCAMENTOS!L531="","",ORCAMENTOS!L531)</f>
        <v>CANCELADO</v>
      </c>
      <c r="K523" s="34" t="str">
        <f>IF(ORCAMENTOS!M531="","",ORCAMENTOS!M531)</f>
        <v>-</v>
      </c>
      <c r="L523" t="str">
        <f>IF(ORCAMENTOS!R531="","",ORCAMENTOS!R531)</f>
        <v>-</v>
      </c>
    </row>
    <row r="524" spans="1:12" ht="15.75" hidden="1" customHeight="1" x14ac:dyDescent="0.25">
      <c r="A524" s="36">
        <f>IF(ORCAMENTOS!A532="","",ORCAMENTOS!A532)</f>
        <v>45740</v>
      </c>
      <c r="B524" s="46">
        <f>IF(ORCAMENTOS!B532="","",ORCAMENTOS!B532)</f>
        <v>522</v>
      </c>
      <c r="C524" s="46" t="str">
        <f>IF(ORCAMENTOS!C532="","",ORCAMENTOS!C532)</f>
        <v/>
      </c>
      <c r="D524" s="37" t="str">
        <f>IF(ORCAMENTOS!D532="","",ORCAMENTOS!D532)</f>
        <v>ECOTHERM</v>
      </c>
      <c r="E524" s="38" t="str">
        <f>IF(ORCAMENTOS!E532="","",ORCAMENTOS!E532)</f>
        <v>USP RIBEIRÃO PRETO</v>
      </c>
      <c r="F524" s="37" t="str">
        <f>IF(ORCAMENTOS!G532="","",ORCAMENTOS!G532)</f>
        <v>Emanuel</v>
      </c>
      <c r="G524" s="37" t="str">
        <f>IF(ORCAMENTOS!H532="","",ORCAMENTOS!H532)</f>
        <v>Selma</v>
      </c>
      <c r="H524" s="39">
        <f>IF(ORCAMENTOS!I532="","",ORCAMENTOS!I532)</f>
        <v>57953.71</v>
      </c>
      <c r="I524" s="60" t="str">
        <f>IF(ORCAMENTOS!J532="","",ORCAMENTOS!J532)</f>
        <v/>
      </c>
      <c r="J524" s="40" t="str">
        <f>IF(ORCAMENTOS!L532="","",ORCAMENTOS!L532)</f>
        <v>PERDIDO</v>
      </c>
      <c r="K524" s="34" t="str">
        <f>IF(ORCAMENTOS!M532="","",ORCAMENTOS!M532)</f>
        <v>MULTIVAC - PREÇO</v>
      </c>
      <c r="L524" t="str">
        <f>IF(ORCAMENTOS!R532="","",ORCAMENTOS!R532)</f>
        <v>-</v>
      </c>
    </row>
    <row r="525" spans="1:12" ht="15.75" hidden="1" customHeight="1" x14ac:dyDescent="0.25">
      <c r="A525" s="36">
        <f>IF(ORCAMENTOS!A533="","",ORCAMENTOS!A533)</f>
        <v>45740</v>
      </c>
      <c r="B525" s="46">
        <f>IF(ORCAMENTOS!B533="","",ORCAMENTOS!B533)</f>
        <v>523</v>
      </c>
      <c r="C525" s="46" t="str">
        <f>IF(ORCAMENTOS!C533="","",ORCAMENTOS!C533)</f>
        <v/>
      </c>
      <c r="D525" s="37" t="str">
        <f>IF(ORCAMENTOS!D533="","",ORCAMENTOS!D533)</f>
        <v>SIVAC</v>
      </c>
      <c r="E525" s="38" t="str">
        <f>IF(ORCAMENTOS!E533="","",ORCAMENTOS!E533)</f>
        <v>ACADEMIA DE GINASTICA - CLUBE ESPORTIVO HELVETIA</v>
      </c>
      <c r="F525" s="37" t="str">
        <f>IF(ORCAMENTOS!G533="","",ORCAMENTOS!G533)</f>
        <v>Michel</v>
      </c>
      <c r="G525" s="37" t="str">
        <f>IF(ORCAMENTOS!H533="","",ORCAMENTOS!H533)</f>
        <v>Franco</v>
      </c>
      <c r="H525" s="39">
        <f>IF(ORCAMENTOS!I533="","",ORCAMENTOS!I533)</f>
        <v>20848.349999999999</v>
      </c>
      <c r="I525" s="60" t="str">
        <f>IF(ORCAMENTOS!J533="","",ORCAMENTOS!J533)</f>
        <v/>
      </c>
      <c r="J525" s="40" t="str">
        <f>IF(ORCAMENTOS!L533="","",ORCAMENTOS!L533)</f>
        <v>CANCELADO</v>
      </c>
      <c r="K525" s="34" t="str">
        <f>IF(ORCAMENTOS!M533="","",ORCAMENTOS!M533)</f>
        <v>-</v>
      </c>
      <c r="L525" t="str">
        <f>IF(ORCAMENTOS!R533="","",ORCAMENTOS!R533)</f>
        <v>-</v>
      </c>
    </row>
    <row r="526" spans="1:12" ht="15.75" hidden="1" customHeight="1" x14ac:dyDescent="0.25">
      <c r="A526" s="36">
        <f>IF(ORCAMENTOS!A534="","",ORCAMENTOS!A534)</f>
        <v>45740</v>
      </c>
      <c r="B526" s="46">
        <f>IF(ORCAMENTOS!B534="","",ORCAMENTOS!B534)</f>
        <v>524</v>
      </c>
      <c r="C526" s="46" t="str">
        <f>IF(ORCAMENTOS!C534="","",ORCAMENTOS!C534)</f>
        <v/>
      </c>
      <c r="D526" s="37" t="str">
        <f>IF(ORCAMENTOS!D534="","",ORCAMENTOS!D534)</f>
        <v>R1 SOLUCOES</v>
      </c>
      <c r="E526" s="38" t="str">
        <f>IF(ORCAMENTOS!E534="","",ORCAMENTOS!E534)</f>
        <v>-</v>
      </c>
      <c r="F526" s="37" t="str">
        <f>IF(ORCAMENTOS!G534="","",ORCAMENTOS!G534)</f>
        <v>Gabriel</v>
      </c>
      <c r="G526" s="37" t="str">
        <f>IF(ORCAMENTOS!H534="","",ORCAMENTOS!H534)</f>
        <v>Janaina</v>
      </c>
      <c r="H526" s="39">
        <f>IF(ORCAMENTOS!I534="","",ORCAMENTOS!I534)</f>
        <v>116854.5</v>
      </c>
      <c r="I526" s="60" t="str">
        <f>IF(ORCAMENTOS!J534="","",ORCAMENTOS!J534)</f>
        <v/>
      </c>
      <c r="J526" s="40" t="str">
        <f>IF(ORCAMENTOS!L534="","",ORCAMENTOS!L534)</f>
        <v>CANCELADO</v>
      </c>
      <c r="K526" s="34" t="str">
        <f>IF(ORCAMENTOS!M534="","",ORCAMENTOS!M534)</f>
        <v>-</v>
      </c>
      <c r="L526" t="str">
        <f>IF(ORCAMENTOS!R534="","",ORCAMENTOS!R534)</f>
        <v>-</v>
      </c>
    </row>
    <row r="527" spans="1:12" ht="15.75" hidden="1" customHeight="1" x14ac:dyDescent="0.25">
      <c r="A527" s="36">
        <f>IF(ORCAMENTOS!A535="","",ORCAMENTOS!A535)</f>
        <v>45740</v>
      </c>
      <c r="B527" s="46">
        <f>IF(ORCAMENTOS!B535="","",ORCAMENTOS!B535)</f>
        <v>525</v>
      </c>
      <c r="C527" s="46" t="str">
        <f>IF(ORCAMENTOS!C535="","",ORCAMENTOS!C535)</f>
        <v/>
      </c>
      <c r="D527" s="37" t="str">
        <f>IF(ORCAMENTOS!D535="","",ORCAMENTOS!D535)</f>
        <v>AIR TIME</v>
      </c>
      <c r="E527" s="38" t="str">
        <f>IF(ORCAMENTOS!E535="","",ORCAMENTOS!E535)</f>
        <v>CALCOMP JUNDIAÍ - EF CONSTRUÇÕES</v>
      </c>
      <c r="F527" s="37" t="str">
        <f>IF(ORCAMENTOS!G535="","",ORCAMENTOS!G535)</f>
        <v>Emanuel</v>
      </c>
      <c r="G527" s="37" t="str">
        <f>IF(ORCAMENTOS!H535="","",ORCAMENTOS!H535)</f>
        <v>Thay</v>
      </c>
      <c r="H527" s="39">
        <f>IF(ORCAMENTOS!I535="","",ORCAMENTOS!I535)</f>
        <v>11002.99</v>
      </c>
      <c r="I527" s="60" t="str">
        <f>IF(ORCAMENTOS!J535="","",ORCAMENTOS!J535)</f>
        <v/>
      </c>
      <c r="J527" s="40" t="str">
        <f>IF(ORCAMENTOS!L535="","",ORCAMENTOS!L535)</f>
        <v>CANCELADO</v>
      </c>
      <c r="K527" s="34" t="str">
        <f>IF(ORCAMENTOS!M535="","",ORCAMENTOS!M535)</f>
        <v>-</v>
      </c>
      <c r="L527" t="str">
        <f>IF(ORCAMENTOS!R535="","",ORCAMENTOS!R535)</f>
        <v>-</v>
      </c>
    </row>
    <row r="528" spans="1:12" ht="15.75" hidden="1" customHeight="1" x14ac:dyDescent="0.25">
      <c r="A528" s="36">
        <f>IF(ORCAMENTOS!A536="","",ORCAMENTOS!A536)</f>
        <v>45740</v>
      </c>
      <c r="B528" s="46">
        <f>IF(ORCAMENTOS!B536="","",ORCAMENTOS!B536)</f>
        <v>526</v>
      </c>
      <c r="C528" s="46" t="str">
        <f>IF(ORCAMENTOS!C536="","",ORCAMENTOS!C536)</f>
        <v/>
      </c>
      <c r="D528" s="37" t="str">
        <f>IF(ORCAMENTOS!D536="","",ORCAMENTOS!D536)</f>
        <v>ENGPLAN</v>
      </c>
      <c r="E528" s="38" t="str">
        <f>IF(ORCAMENTOS!E536="","",ORCAMENTOS!E536)</f>
        <v>MULTICLINICAS JOAQUIM FLORIANO - ITAIM BIBI - SÃO PAULO - SP</v>
      </c>
      <c r="F528" s="37" t="str">
        <f>IF(ORCAMENTOS!G536="","",ORCAMENTOS!G536)</f>
        <v>Fernando</v>
      </c>
      <c r="G528" s="37" t="str">
        <f>IF(ORCAMENTOS!H536="","",ORCAMENTOS!H536)</f>
        <v>Genilson</v>
      </c>
      <c r="H528" s="39">
        <f>IF(ORCAMENTOS!I536="","",ORCAMENTOS!I536)</f>
        <v>17977.169999999998</v>
      </c>
      <c r="I528" s="60" t="str">
        <f>IF(ORCAMENTOS!J536="","",ORCAMENTOS!J536)</f>
        <v/>
      </c>
      <c r="J528" s="40" t="str">
        <f>IF(ORCAMENTOS!L536="","",ORCAMENTOS!L536)</f>
        <v>ORCAMENTO</v>
      </c>
      <c r="K528" s="34" t="str">
        <f>IF(ORCAMENTOS!M536="","",ORCAMENTOS!M536)</f>
        <v>-</v>
      </c>
      <c r="L528" t="str">
        <f>IF(ORCAMENTOS!R536="","",ORCAMENTOS!R536)</f>
        <v/>
      </c>
    </row>
    <row r="529" spans="1:12" ht="15.75" hidden="1" customHeight="1" x14ac:dyDescent="0.25">
      <c r="A529" s="36">
        <f>IF(ORCAMENTOS!A537="","",ORCAMENTOS!A537)</f>
        <v>45750</v>
      </c>
      <c r="B529" s="46">
        <f>IF(ORCAMENTOS!B537="","",ORCAMENTOS!B537)</f>
        <v>527</v>
      </c>
      <c r="C529" s="46" t="str">
        <f>IF(ORCAMENTOS!C537="","",ORCAMENTOS!C537)</f>
        <v/>
      </c>
      <c r="D529" s="37" t="str">
        <f>IF(ORCAMENTOS!D537="","",ORCAMENTOS!D537)</f>
        <v>CLIMENGE</v>
      </c>
      <c r="E529" s="38" t="str">
        <f>IF(ORCAMENTOS!E537="","",ORCAMENTOS!E537)</f>
        <v>PG Shopping</v>
      </c>
      <c r="F529" s="37" t="str">
        <f>IF(ORCAMENTOS!G537="","",ORCAMENTOS!G537)</f>
        <v>Emanuel</v>
      </c>
      <c r="G529" s="37" t="str">
        <f>IF(ORCAMENTOS!H537="","",ORCAMENTOS!H537)</f>
        <v>Claudinei</v>
      </c>
      <c r="H529" s="39">
        <f>IF(ORCAMENTOS!I537="","",ORCAMENTOS!I537)</f>
        <v>2973.58</v>
      </c>
      <c r="I529" s="60" t="str">
        <f>IF(ORCAMENTOS!J537="","",ORCAMENTOS!J537)</f>
        <v/>
      </c>
      <c r="J529" s="40" t="str">
        <f>IF(ORCAMENTOS!L537="","",ORCAMENTOS!L537)</f>
        <v>CANCELADO</v>
      </c>
      <c r="K529" s="34" t="str">
        <f>IF(ORCAMENTOS!M537="","",ORCAMENTOS!M537)</f>
        <v>-</v>
      </c>
      <c r="L529" t="str">
        <f>IF(ORCAMENTOS!R537="","",ORCAMENTOS!R537)</f>
        <v>-</v>
      </c>
    </row>
    <row r="530" spans="1:12" ht="15.75" hidden="1" customHeight="1" x14ac:dyDescent="0.25">
      <c r="A530" s="36">
        <f>IF(ORCAMENTOS!A538="","",ORCAMENTOS!A538)</f>
        <v>45744</v>
      </c>
      <c r="B530" s="46">
        <f>IF(ORCAMENTOS!B538="","",ORCAMENTOS!B538)</f>
        <v>528</v>
      </c>
      <c r="C530" s="46" t="str">
        <f>IF(ORCAMENTOS!C538="","",ORCAMENTOS!C538)</f>
        <v/>
      </c>
      <c r="D530" s="37" t="str">
        <f>IF(ORCAMENTOS!D538="","",ORCAMENTOS!D538)</f>
        <v>ARCON AIR</v>
      </c>
      <c r="E530" s="38" t="str">
        <f>IF(ORCAMENTOS!E538="","",ORCAMENTOS!E538)</f>
        <v>HP VIDA - BRIGADEIRO LUIZ ANTONIO</v>
      </c>
      <c r="F530" s="37" t="str">
        <f>IF(ORCAMENTOS!G538="","",ORCAMENTOS!G538)</f>
        <v>Michel</v>
      </c>
      <c r="G530" s="37" t="str">
        <f>IF(ORCAMENTOS!H538="","",ORCAMENTOS!H538)</f>
        <v>Camila</v>
      </c>
      <c r="H530" s="39">
        <f>IF(ORCAMENTOS!I538="","",ORCAMENTOS!I538)</f>
        <v>20143.14</v>
      </c>
      <c r="I530" s="60" t="str">
        <f>IF(ORCAMENTOS!J538="","",ORCAMENTOS!J538)</f>
        <v/>
      </c>
      <c r="J530" s="40" t="str">
        <f>IF(ORCAMENTOS!L538="","",ORCAMENTOS!L538)</f>
        <v>FECHADO</v>
      </c>
      <c r="K530" s="34" t="str">
        <f>IF(ORCAMENTOS!M538="","",ORCAMENTOS!M538)</f>
        <v>-</v>
      </c>
      <c r="L530" t="str">
        <f>IF(ORCAMENTOS!R538="","",ORCAMENTOS!R538)</f>
        <v>-</v>
      </c>
    </row>
    <row r="531" spans="1:12" ht="15.75" hidden="1" customHeight="1" x14ac:dyDescent="0.25">
      <c r="A531" s="36">
        <f>IF(ORCAMENTOS!A539="","",ORCAMENTOS!A539)</f>
        <v>45740</v>
      </c>
      <c r="B531" s="46">
        <f>IF(ORCAMENTOS!B539="","",ORCAMENTOS!B539)</f>
        <v>529</v>
      </c>
      <c r="C531" s="46" t="str">
        <f>IF(ORCAMENTOS!C539="","",ORCAMENTOS!C539)</f>
        <v/>
      </c>
      <c r="D531" s="37" t="str">
        <f>IF(ORCAMENTOS!D539="","",ORCAMENTOS!D539)</f>
        <v>RM3 ENGENHARIA</v>
      </c>
      <c r="E531" s="38" t="str">
        <f>IF(ORCAMENTOS!E539="","",ORCAMENTOS!E539)</f>
        <v>MULTICLINICAS JOAQUIM FLORIANO - ITAIM BIBI - SAO PAULO - SP</v>
      </c>
      <c r="F531" s="37" t="str">
        <f>IF(ORCAMENTOS!G539="","",ORCAMENTOS!G539)</f>
        <v>Guilherme</v>
      </c>
      <c r="G531" s="37" t="str">
        <f>IF(ORCAMENTOS!H539="","",ORCAMENTOS!H539)</f>
        <v>Angelica</v>
      </c>
      <c r="H531" s="39">
        <f>IF(ORCAMENTOS!I539="","",ORCAMENTOS!I539)</f>
        <v>56546.49</v>
      </c>
      <c r="I531" s="60" t="str">
        <f>IF(ORCAMENTOS!J539="","",ORCAMENTOS!J539)</f>
        <v/>
      </c>
      <c r="J531" s="40" t="str">
        <f>IF(ORCAMENTOS!L539="","",ORCAMENTOS!L539)</f>
        <v>CANCELADO</v>
      </c>
      <c r="K531" s="34" t="str">
        <f>IF(ORCAMENTOS!M539="","",ORCAMENTOS!M539)</f>
        <v>-</v>
      </c>
      <c r="L531" t="str">
        <f>IF(ORCAMENTOS!R539="","",ORCAMENTOS!R539)</f>
        <v>-</v>
      </c>
    </row>
    <row r="532" spans="1:12" ht="15.75" hidden="1" customHeight="1" x14ac:dyDescent="0.25">
      <c r="A532" s="36">
        <f>IF(ORCAMENTOS!A540="","",ORCAMENTOS!A540)</f>
        <v>45741</v>
      </c>
      <c r="B532" s="46">
        <f>IF(ORCAMENTOS!B540="","",ORCAMENTOS!B540)</f>
        <v>530</v>
      </c>
      <c r="C532" s="46" t="str">
        <f>IF(ORCAMENTOS!C540="","",ORCAMENTOS!C540)</f>
        <v/>
      </c>
      <c r="D532" s="37" t="str">
        <f>IF(ORCAMENTOS!D540="","",ORCAMENTOS!D540)</f>
        <v>AKTEC</v>
      </c>
      <c r="E532" s="38" t="str">
        <f>IF(ORCAMENTOS!E540="","",ORCAMENTOS!E540)</f>
        <v>-</v>
      </c>
      <c r="F532" s="37" t="str">
        <f>IF(ORCAMENTOS!G540="","",ORCAMENTOS!G540)</f>
        <v>Emanuel</v>
      </c>
      <c r="G532" s="37" t="str">
        <f>IF(ORCAMENTOS!H540="","",ORCAMENTOS!H540)</f>
        <v>Kleber</v>
      </c>
      <c r="H532" s="39">
        <f>IF(ORCAMENTOS!I540="","",ORCAMENTOS!I540)</f>
        <v>267.27</v>
      </c>
      <c r="I532" s="60" t="str">
        <f>IF(ORCAMENTOS!J540="","",ORCAMENTOS!J540)</f>
        <v/>
      </c>
      <c r="J532" s="40" t="str">
        <f>IF(ORCAMENTOS!L540="","",ORCAMENTOS!L540)</f>
        <v>CANCELADO</v>
      </c>
      <c r="K532" s="34" t="str">
        <f>IF(ORCAMENTOS!M540="","",ORCAMENTOS!M540)</f>
        <v>-</v>
      </c>
      <c r="L532" t="str">
        <f>IF(ORCAMENTOS!R540="","",ORCAMENTOS!R540)</f>
        <v>-</v>
      </c>
    </row>
    <row r="533" spans="1:12" ht="15.75" hidden="1" customHeight="1" x14ac:dyDescent="0.25">
      <c r="A533" s="36">
        <f>IF(ORCAMENTOS!A541="","",ORCAMENTOS!A541)</f>
        <v>45741</v>
      </c>
      <c r="B533" s="46">
        <f>IF(ORCAMENTOS!B541="","",ORCAMENTOS!B541)</f>
        <v>531</v>
      </c>
      <c r="C533" s="46" t="str">
        <f>IF(ORCAMENTOS!C541="","",ORCAMENTOS!C541)</f>
        <v/>
      </c>
      <c r="D533" s="37" t="str">
        <f>IF(ORCAMENTOS!D541="","",ORCAMENTOS!D541)</f>
        <v>SESIL AR</v>
      </c>
      <c r="E533" s="38" t="str">
        <f>IF(ORCAMENTOS!E541="","",ORCAMENTOS!E541)</f>
        <v>SMART FIT TABOÃO TABOÃO</v>
      </c>
      <c r="F533" s="37" t="str">
        <f>IF(ORCAMENTOS!G541="","",ORCAMENTOS!G541)</f>
        <v>Fernando</v>
      </c>
      <c r="G533" s="37" t="str">
        <f>IF(ORCAMENTOS!H541="","",ORCAMENTOS!H541)</f>
        <v>Luciana</v>
      </c>
      <c r="H533" s="39">
        <f>IF(ORCAMENTOS!I541="","",ORCAMENTOS!I541)</f>
        <v>50075.88</v>
      </c>
      <c r="I533" s="60" t="str">
        <f>IF(ORCAMENTOS!J541="","",ORCAMENTOS!J541)</f>
        <v/>
      </c>
      <c r="J533" s="40" t="str">
        <f>IF(ORCAMENTOS!L541="","",ORCAMENTOS!L541)</f>
        <v>FECHADO</v>
      </c>
      <c r="K533" s="34" t="str">
        <f>IF(ORCAMENTOS!M541="","",ORCAMENTOS!M541)</f>
        <v>-</v>
      </c>
      <c r="L533" t="str">
        <f>IF(ORCAMENTOS!R541="","",ORCAMENTOS!R541)</f>
        <v>-</v>
      </c>
    </row>
    <row r="534" spans="1:12" ht="15.75" hidden="1" customHeight="1" x14ac:dyDescent="0.25">
      <c r="A534" s="36">
        <f>IF(ORCAMENTOS!A542="","",ORCAMENTOS!A542)</f>
        <v>45741</v>
      </c>
      <c r="B534" s="46">
        <f>IF(ORCAMENTOS!B542="","",ORCAMENTOS!B542)</f>
        <v>532</v>
      </c>
      <c r="C534" s="46" t="str">
        <f>IF(ORCAMENTOS!C542="","",ORCAMENTOS!C542)</f>
        <v/>
      </c>
      <c r="D534" s="37" t="str">
        <f>IF(ORCAMENTOS!D542="","",ORCAMENTOS!D542)</f>
        <v>AMS INSTALACOES</v>
      </c>
      <c r="E534" s="38" t="str">
        <f>IF(ORCAMENTOS!E542="","",ORCAMENTOS!E542)</f>
        <v>ATAKAREJO - ITABAIANA - SE</v>
      </c>
      <c r="F534" s="37" t="str">
        <f>IF(ORCAMENTOS!G542="","",ORCAMENTOS!G542)</f>
        <v>Gabriel</v>
      </c>
      <c r="G534" s="37" t="str">
        <f>IF(ORCAMENTOS!H542="","",ORCAMENTOS!H542)</f>
        <v>Albertino</v>
      </c>
      <c r="H534" s="39">
        <f>IF(ORCAMENTOS!I542="","",ORCAMENTOS!I542)</f>
        <v>133855.29</v>
      </c>
      <c r="I534" s="60" t="str">
        <f>IF(ORCAMENTOS!J542="","",ORCAMENTOS!J542)</f>
        <v/>
      </c>
      <c r="J534" s="40" t="str">
        <f>IF(ORCAMENTOS!L542="","",ORCAMENTOS!L542)</f>
        <v>CANCELADO</v>
      </c>
      <c r="K534" s="34" t="str">
        <f>IF(ORCAMENTOS!M542="","",ORCAMENTOS!M542)</f>
        <v>-</v>
      </c>
      <c r="L534" t="str">
        <f>IF(ORCAMENTOS!R542="","",ORCAMENTOS!R542)</f>
        <v/>
      </c>
    </row>
    <row r="535" spans="1:12" ht="15.75" hidden="1" customHeight="1" x14ac:dyDescent="0.25">
      <c r="A535" s="36">
        <f>IF(ORCAMENTOS!A543="","",ORCAMENTOS!A543)</f>
        <v>45741</v>
      </c>
      <c r="B535" s="46">
        <f>IF(ORCAMENTOS!B543="","",ORCAMENTOS!B543)</f>
        <v>533</v>
      </c>
      <c r="C535" s="46" t="str">
        <f>IF(ORCAMENTOS!C543="","",ORCAMENTOS!C543)</f>
        <v/>
      </c>
      <c r="D535" s="37" t="str">
        <f>IF(ORCAMENTOS!D543="","",ORCAMENTOS!D543)</f>
        <v>HARCO ENGENHARIA</v>
      </c>
      <c r="E535" s="38" t="str">
        <f>IF(ORCAMENTOS!E543="","",ORCAMENTOS!E543)</f>
        <v>HARD ROCK CAFE - PRAIA GRANDE - SP</v>
      </c>
      <c r="F535" s="37" t="str">
        <f>IF(ORCAMENTOS!G543="","",ORCAMENTOS!G543)</f>
        <v>Emanuel</v>
      </c>
      <c r="G535" s="37" t="str">
        <f>IF(ORCAMENTOS!H543="","",ORCAMENTOS!H543)</f>
        <v>Andre</v>
      </c>
      <c r="H535" s="39">
        <f>IF(ORCAMENTOS!I543="","",ORCAMENTOS!I543)</f>
        <v>133252.45000000001</v>
      </c>
      <c r="I535" s="60" t="str">
        <f>IF(ORCAMENTOS!J543="","",ORCAMENTOS!J543)</f>
        <v/>
      </c>
      <c r="J535" s="40" t="str">
        <f>IF(ORCAMENTOS!L543="","",ORCAMENTOS!L543)</f>
        <v>CANCELADO</v>
      </c>
      <c r="K535" s="34" t="str">
        <f>IF(ORCAMENTOS!M543="","",ORCAMENTOS!M543)</f>
        <v>-</v>
      </c>
      <c r="L535" t="str">
        <f>IF(ORCAMENTOS!R543="","",ORCAMENTOS!R543)</f>
        <v/>
      </c>
    </row>
    <row r="536" spans="1:12" ht="15.75" hidden="1" customHeight="1" x14ac:dyDescent="0.25">
      <c r="A536" s="36">
        <f>IF(ORCAMENTOS!A544="","",ORCAMENTOS!A544)</f>
        <v>45741</v>
      </c>
      <c r="B536" s="46">
        <f>IF(ORCAMENTOS!B544="","",ORCAMENTOS!B544)</f>
        <v>534</v>
      </c>
      <c r="C536" s="46" t="str">
        <f>IF(ORCAMENTOS!C544="","",ORCAMENTOS!C544)</f>
        <v/>
      </c>
      <c r="D536" s="37" t="str">
        <f>IF(ORCAMENTOS!D544="","",ORCAMENTOS!D544)</f>
        <v>FL HVAC</v>
      </c>
      <c r="E536" s="38" t="str">
        <f>IF(ORCAMENTOS!E544="","",ORCAMENTOS!E544)</f>
        <v>CLINICA CLIO LINO JARDIM - SANTO ANDRE - SP</v>
      </c>
      <c r="F536" s="37" t="str">
        <f>IF(ORCAMENTOS!G544="","",ORCAMENTOS!G544)</f>
        <v>Guilherme</v>
      </c>
      <c r="G536" s="37" t="str">
        <f>IF(ORCAMENTOS!H544="","",ORCAMENTOS!H544)</f>
        <v>Filipe</v>
      </c>
      <c r="H536" s="39">
        <f>IF(ORCAMENTOS!I544="","",ORCAMENTOS!I544)</f>
        <v>8007.21</v>
      </c>
      <c r="I536" s="60" t="str">
        <f>IF(ORCAMENTOS!J544="","",ORCAMENTOS!J544)</f>
        <v/>
      </c>
      <c r="J536" s="40" t="str">
        <f>IF(ORCAMENTOS!L544="","",ORCAMENTOS!L544)</f>
        <v>FECHADO</v>
      </c>
      <c r="K536" s="34" t="str">
        <f>IF(ORCAMENTOS!M544="","",ORCAMENTOS!M544)</f>
        <v>-</v>
      </c>
      <c r="L536" t="str">
        <f>IF(ORCAMENTOS!R544="","",ORCAMENTOS!R544)</f>
        <v/>
      </c>
    </row>
    <row r="537" spans="1:12" ht="15.75" hidden="1" customHeight="1" x14ac:dyDescent="0.25">
      <c r="A537" s="36">
        <f>IF(ORCAMENTOS!A545="","",ORCAMENTOS!A545)</f>
        <v>45741</v>
      </c>
      <c r="B537" s="46">
        <f>IF(ORCAMENTOS!B545="","",ORCAMENTOS!B545)</f>
        <v>535</v>
      </c>
      <c r="C537" s="46" t="str">
        <f>IF(ORCAMENTOS!C545="","",ORCAMENTOS!C545)</f>
        <v/>
      </c>
      <c r="D537" s="37" t="str">
        <f>IF(ORCAMENTOS!D545="","",ORCAMENTOS!D545)</f>
        <v>SESIL AR</v>
      </c>
      <c r="E537" s="38" t="str">
        <f>IF(ORCAMENTOS!E545="","",ORCAMENTOS!E545)</f>
        <v>SMART FIT JUNDIAÍ</v>
      </c>
      <c r="F537" s="37" t="str">
        <f>IF(ORCAMENTOS!G545="","",ORCAMENTOS!G545)</f>
        <v>Fernando</v>
      </c>
      <c r="G537" s="37" t="str">
        <f>IF(ORCAMENTOS!H545="","",ORCAMENTOS!H545)</f>
        <v>Luciana</v>
      </c>
      <c r="H537" s="39">
        <f>IF(ORCAMENTOS!I545="","",ORCAMENTOS!I545)</f>
        <v>54435.56</v>
      </c>
      <c r="I537" s="60" t="str">
        <f>IF(ORCAMENTOS!J545="","",ORCAMENTOS!J545)</f>
        <v/>
      </c>
      <c r="J537" s="40" t="str">
        <f>IF(ORCAMENTOS!L545="","",ORCAMENTOS!L545)</f>
        <v>FECHADO</v>
      </c>
      <c r="K537" s="34" t="str">
        <f>IF(ORCAMENTOS!M545="","",ORCAMENTOS!M545)</f>
        <v>PREV. MAIO</v>
      </c>
      <c r="L537" t="str">
        <f>IF(ORCAMENTOS!R545="","",ORCAMENTOS!R545)</f>
        <v/>
      </c>
    </row>
    <row r="538" spans="1:12" ht="15.75" hidden="1" customHeight="1" x14ac:dyDescent="0.25">
      <c r="A538" s="36">
        <f>IF(ORCAMENTOS!A546="","",ORCAMENTOS!A546)</f>
        <v>45741</v>
      </c>
      <c r="B538" s="46">
        <f>IF(ORCAMENTOS!B546="","",ORCAMENTOS!B546)</f>
        <v>536</v>
      </c>
      <c r="C538" s="46" t="str">
        <f>IF(ORCAMENTOS!C546="","",ORCAMENTOS!C546)</f>
        <v/>
      </c>
      <c r="D538" s="37" t="str">
        <f>IF(ORCAMENTOS!D546="","",ORCAMENTOS!D546)</f>
        <v>TERMOCLIMA</v>
      </c>
      <c r="E538" s="38" t="str">
        <f>IF(ORCAMENTOS!E546="","",ORCAMENTOS!E546)</f>
        <v>SPANI - JARDIM SANTA EFIGENIA - ARARAS - SP</v>
      </c>
      <c r="F538" s="37" t="str">
        <f>IF(ORCAMENTOS!G546="","",ORCAMENTOS!G546)</f>
        <v>Gabriel</v>
      </c>
      <c r="G538" s="37" t="str">
        <f>IF(ORCAMENTOS!H546="","",ORCAMENTOS!H546)</f>
        <v>Pedro</v>
      </c>
      <c r="H538" s="39">
        <f>IF(ORCAMENTOS!I546="","",ORCAMENTOS!I546)</f>
        <v>115217.17</v>
      </c>
      <c r="I538" s="60" t="str">
        <f>IF(ORCAMENTOS!J546="","",ORCAMENTOS!J546)</f>
        <v/>
      </c>
      <c r="J538" s="40" t="str">
        <f>IF(ORCAMENTOS!L546="","",ORCAMENTOS!L546)</f>
        <v>CANCELADO</v>
      </c>
      <c r="K538" s="34" t="str">
        <f>IF(ORCAMENTOS!M546="","",ORCAMENTOS!M546)</f>
        <v>-</v>
      </c>
      <c r="L538" t="str">
        <f>IF(ORCAMENTOS!R546="","",ORCAMENTOS!R546)</f>
        <v/>
      </c>
    </row>
    <row r="539" spans="1:12" ht="15.75" hidden="1" customHeight="1" x14ac:dyDescent="0.25">
      <c r="A539" s="36">
        <f>IF(ORCAMENTOS!A547="","",ORCAMENTOS!A547)</f>
        <v>45741</v>
      </c>
      <c r="B539" s="46">
        <f>IF(ORCAMENTOS!B547="","",ORCAMENTOS!B547)</f>
        <v>537</v>
      </c>
      <c r="C539" s="46" t="str">
        <f>IF(ORCAMENTOS!C547="","",ORCAMENTOS!C547)</f>
        <v/>
      </c>
      <c r="D539" s="37" t="str">
        <f>IF(ORCAMENTOS!D547="","",ORCAMENTOS!D547)</f>
        <v>CACR ENGENHARIA</v>
      </c>
      <c r="E539" s="38" t="str">
        <f>IF(ORCAMENTOS!E547="","",ORCAMENTOS!E547)</f>
        <v>SKIN CHEMICAL FARMACÊUTICA - SUSANO/SP</v>
      </c>
      <c r="F539" s="37" t="str">
        <f>IF(ORCAMENTOS!G547="","",ORCAMENTOS!G547)</f>
        <v xml:space="preserve">Aldavir </v>
      </c>
      <c r="G539" s="37" t="str">
        <f>IF(ORCAMENTOS!H547="","",ORCAMENTOS!H547)</f>
        <v>Leonardo</v>
      </c>
      <c r="H539" s="39">
        <f>IF(ORCAMENTOS!I547="","",ORCAMENTOS!I547)</f>
        <v>126725.27</v>
      </c>
      <c r="I539" s="60" t="str">
        <f>IF(ORCAMENTOS!J547="","",ORCAMENTOS!J547)</f>
        <v/>
      </c>
      <c r="J539" s="40" t="str">
        <f>IF(ORCAMENTOS!L547="","",ORCAMENTOS!L547)</f>
        <v>FECHADO</v>
      </c>
      <c r="K539" s="34" t="str">
        <f>IF(ORCAMENTOS!M547="","",ORCAMENTOS!M547)</f>
        <v>-</v>
      </c>
      <c r="L539" t="str">
        <f>IF(ORCAMENTOS!R547="","",ORCAMENTOS!R547)</f>
        <v>-</v>
      </c>
    </row>
    <row r="540" spans="1:12" ht="15.75" hidden="1" customHeight="1" x14ac:dyDescent="0.25">
      <c r="A540" s="36">
        <f>IF(ORCAMENTOS!A548="","",ORCAMENTOS!A548)</f>
        <v>45742</v>
      </c>
      <c r="B540" s="46">
        <f>IF(ORCAMENTOS!B548="","",ORCAMENTOS!B548)</f>
        <v>538</v>
      </c>
      <c r="C540" s="46" t="str">
        <f>IF(ORCAMENTOS!C548="","",ORCAMENTOS!C548)</f>
        <v/>
      </c>
      <c r="D540" s="37" t="str">
        <f>IF(ORCAMENTOS!D548="","",ORCAMENTOS!D548)</f>
        <v>HEATING COOLING</v>
      </c>
      <c r="E540" s="38" t="str">
        <f>IF(ORCAMENTOS!E548="","",ORCAMENTOS!E548)</f>
        <v>-</v>
      </c>
      <c r="F540" s="37" t="str">
        <f>IF(ORCAMENTOS!G548="","",ORCAMENTOS!G548)</f>
        <v>Gabriel</v>
      </c>
      <c r="G540" s="37" t="str">
        <f>IF(ORCAMENTOS!H548="","",ORCAMENTOS!H548)</f>
        <v>Guilherme</v>
      </c>
      <c r="H540" s="39">
        <f>IF(ORCAMENTOS!I548="","",ORCAMENTOS!I548)</f>
        <v>3714.9</v>
      </c>
      <c r="I540" s="60" t="str">
        <f>IF(ORCAMENTOS!J548="","",ORCAMENTOS!J548)</f>
        <v/>
      </c>
      <c r="J540" s="40" t="str">
        <f>IF(ORCAMENTOS!L548="","",ORCAMENTOS!L548)</f>
        <v>CANCELADO</v>
      </c>
      <c r="K540" s="34" t="str">
        <f>IF(ORCAMENTOS!M548="","",ORCAMENTOS!M548)</f>
        <v>-</v>
      </c>
      <c r="L540" t="str">
        <f>IF(ORCAMENTOS!R548="","",ORCAMENTOS!R548)</f>
        <v>-</v>
      </c>
    </row>
    <row r="541" spans="1:12" ht="15.75" hidden="1" customHeight="1" x14ac:dyDescent="0.25">
      <c r="A541" s="36">
        <f>IF(ORCAMENTOS!A549="","",ORCAMENTOS!A549)</f>
        <v>45747</v>
      </c>
      <c r="B541" s="46">
        <f>IF(ORCAMENTOS!B549="","",ORCAMENTOS!B549)</f>
        <v>539</v>
      </c>
      <c r="C541" s="46" t="str">
        <f>IF(ORCAMENTOS!C549="","",ORCAMENTOS!C549)</f>
        <v/>
      </c>
      <c r="D541" s="37" t="str">
        <f>IF(ORCAMENTOS!D549="","",ORCAMENTOS!D549)</f>
        <v>AWA AR CONDICIONADO</v>
      </c>
      <c r="E541" s="38" t="str">
        <f>IF(ORCAMENTOS!E549="","",ORCAMENTOS!E549)</f>
        <v>NOVO ATACAREJO ABREU E LIMA</v>
      </c>
      <c r="F541" s="37" t="str">
        <f>IF(ORCAMENTOS!G549="","",ORCAMENTOS!G549)</f>
        <v>Guilherme</v>
      </c>
      <c r="G541" s="37" t="str">
        <f>IF(ORCAMENTOS!H549="","",ORCAMENTOS!H549)</f>
        <v>Guilherme</v>
      </c>
      <c r="H541" s="39">
        <f>IF(ORCAMENTOS!I549="","",ORCAMENTOS!I549)</f>
        <v>167948.53</v>
      </c>
      <c r="I541" s="60" t="str">
        <f>IF(ORCAMENTOS!J549="","",ORCAMENTOS!J549)</f>
        <v/>
      </c>
      <c r="J541" s="40" t="str">
        <f>IF(ORCAMENTOS!L549="","",ORCAMENTOS!L549)</f>
        <v>CANCELADO</v>
      </c>
      <c r="K541" s="34" t="str">
        <f>IF(ORCAMENTOS!M549="","",ORCAMENTOS!M549)</f>
        <v>-</v>
      </c>
      <c r="L541" t="str">
        <f>IF(ORCAMENTOS!R549="","",ORCAMENTOS!R549)</f>
        <v>-</v>
      </c>
    </row>
    <row r="542" spans="1:12" ht="15.75" hidden="1" customHeight="1" x14ac:dyDescent="0.25">
      <c r="A542" s="36">
        <f>IF(ORCAMENTOS!A550="","",ORCAMENTOS!A550)</f>
        <v>45747</v>
      </c>
      <c r="B542" s="46">
        <f>IF(ORCAMENTOS!B550="","",ORCAMENTOS!B550)</f>
        <v>540</v>
      </c>
      <c r="C542" s="46" t="str">
        <f>IF(ORCAMENTOS!C550="","",ORCAMENTOS!C550)</f>
        <v/>
      </c>
      <c r="D542" s="37" t="str">
        <f>IF(ORCAMENTOS!D550="","",ORCAMENTOS!D550)</f>
        <v>AWA AR CONDICIONADO</v>
      </c>
      <c r="E542" s="38" t="str">
        <f>IF(ORCAMENTOS!E550="","",ORCAMENTOS!E550)</f>
        <v>NOVO ATACADO COMERCIO DE ALIMENTOS LTDA</v>
      </c>
      <c r="F542" s="37" t="str">
        <f>IF(ORCAMENTOS!G550="","",ORCAMENTOS!G550)</f>
        <v>Guilherme</v>
      </c>
      <c r="G542" s="37" t="str">
        <f>IF(ORCAMENTOS!H550="","",ORCAMENTOS!H550)</f>
        <v>Guilherme</v>
      </c>
      <c r="H542" s="39">
        <f>IF(ORCAMENTOS!I550="","",ORCAMENTOS!I550)</f>
        <v>142574.76</v>
      </c>
      <c r="I542" s="60" t="str">
        <f>IF(ORCAMENTOS!J550="","",ORCAMENTOS!J550)</f>
        <v/>
      </c>
      <c r="J542" s="40" t="str">
        <f>IF(ORCAMENTOS!L550="","",ORCAMENTOS!L550)</f>
        <v>CANCELADO</v>
      </c>
      <c r="K542" s="34" t="str">
        <f>IF(ORCAMENTOS!M550="","",ORCAMENTOS!M550)</f>
        <v>-</v>
      </c>
      <c r="L542" t="str">
        <f>IF(ORCAMENTOS!R550="","",ORCAMENTOS!R550)</f>
        <v>-</v>
      </c>
    </row>
    <row r="543" spans="1:12" ht="15.75" hidden="1" customHeight="1" x14ac:dyDescent="0.25">
      <c r="A543" s="36">
        <f>IF(ORCAMENTOS!A551="","",ORCAMENTOS!A551)</f>
        <v>45742</v>
      </c>
      <c r="B543" s="46">
        <f>IF(ORCAMENTOS!B551="","",ORCAMENTOS!B551)</f>
        <v>541</v>
      </c>
      <c r="C543" s="46" t="str">
        <f>IF(ORCAMENTOS!C551="","",ORCAMENTOS!C551)</f>
        <v/>
      </c>
      <c r="D543" s="37" t="str">
        <f>IF(ORCAMENTOS!D551="","",ORCAMENTOS!D551)</f>
        <v>GELOMAC</v>
      </c>
      <c r="E543" s="38" t="str">
        <f>IF(ORCAMENTOS!E551="","",ORCAMENTOS!E551)</f>
        <v>SUPERMERCADO AP FORTE - CANTO DO FORTE</v>
      </c>
      <c r="F543" s="37" t="str">
        <f>IF(ORCAMENTOS!G551="","",ORCAMENTOS!G551)</f>
        <v>Gabriel</v>
      </c>
      <c r="G543" s="37" t="str">
        <f>IF(ORCAMENTOS!H551="","",ORCAMENTOS!H551)</f>
        <v>Fabio</v>
      </c>
      <c r="H543" s="39">
        <f>IF(ORCAMENTOS!I551="","",ORCAMENTOS!I551)</f>
        <v>18326.77</v>
      </c>
      <c r="I543" s="60" t="str">
        <f>IF(ORCAMENTOS!J551="","",ORCAMENTOS!J551)</f>
        <v/>
      </c>
      <c r="J543" s="40" t="str">
        <f>IF(ORCAMENTOS!L551="","",ORCAMENTOS!L551)</f>
        <v>FECHADO</v>
      </c>
      <c r="K543" s="34" t="str">
        <f>IF(ORCAMENTOS!M551="","",ORCAMENTOS!M551)</f>
        <v>-</v>
      </c>
      <c r="L543" t="str">
        <f>IF(ORCAMENTOS!R551="","",ORCAMENTOS!R551)</f>
        <v/>
      </c>
    </row>
    <row r="544" spans="1:12" ht="15.75" hidden="1" customHeight="1" x14ac:dyDescent="0.25">
      <c r="A544" s="36">
        <f>IF(ORCAMENTOS!A552="","",ORCAMENTOS!A552)</f>
        <v>45742</v>
      </c>
      <c r="B544" s="46">
        <f>IF(ORCAMENTOS!B552="","",ORCAMENTOS!B552)</f>
        <v>542</v>
      </c>
      <c r="C544" s="46" t="str">
        <f>IF(ORCAMENTOS!C552="","",ORCAMENTOS!C552)</f>
        <v/>
      </c>
      <c r="D544" s="37" t="str">
        <f>IF(ORCAMENTOS!D552="","",ORCAMENTOS!D552)</f>
        <v>GLOBAL AR CONDICIONADO</v>
      </c>
      <c r="E544" s="38" t="str">
        <f>IF(ORCAMENTOS!E552="","",ORCAMENTOS!E552)</f>
        <v>MULTICLINICAS JOAQUIM FLORIANO - ITAIM BIBI - SÃO PAULO - SP</v>
      </c>
      <c r="F544" s="37" t="str">
        <f>IF(ORCAMENTOS!G552="","",ORCAMENTOS!G552)</f>
        <v>Emanuel</v>
      </c>
      <c r="G544" s="37" t="str">
        <f>IF(ORCAMENTOS!H552="","",ORCAMENTOS!H552)</f>
        <v>Claudemir</v>
      </c>
      <c r="H544" s="39">
        <f>IF(ORCAMENTOS!I552="","",ORCAMENTOS!I552)</f>
        <v>36557.83</v>
      </c>
      <c r="I544" s="60" t="str">
        <f>IF(ORCAMENTOS!J552="","",ORCAMENTOS!J552)</f>
        <v/>
      </c>
      <c r="J544" s="40" t="str">
        <f>IF(ORCAMENTOS!L552="","",ORCAMENTOS!L552)</f>
        <v>CANCELADO</v>
      </c>
      <c r="K544" s="34" t="str">
        <f>IF(ORCAMENTOS!M552="","",ORCAMENTOS!M552)</f>
        <v>-</v>
      </c>
      <c r="L544" t="str">
        <f>IF(ORCAMENTOS!R552="","",ORCAMENTOS!R552)</f>
        <v/>
      </c>
    </row>
    <row r="545" spans="1:12" ht="15.75" hidden="1" customHeight="1" x14ac:dyDescent="0.25">
      <c r="A545" s="36">
        <f>IF(ORCAMENTOS!A553="","",ORCAMENTOS!A553)</f>
        <v>45748</v>
      </c>
      <c r="B545" s="46">
        <f>IF(ORCAMENTOS!B553="","",ORCAMENTOS!B553)</f>
        <v>543</v>
      </c>
      <c r="C545" s="46" t="str">
        <f>IF(ORCAMENTOS!C553="","",ORCAMENTOS!C553)</f>
        <v/>
      </c>
      <c r="D545" s="37" t="str">
        <f>IF(ORCAMENTOS!D553="","",ORCAMENTOS!D553)</f>
        <v>WELLNESS</v>
      </c>
      <c r="E545" s="38" t="str">
        <f>IF(ORCAMENTOS!E553="","",ORCAMENTOS!E553)</f>
        <v>-</v>
      </c>
      <c r="F545" s="37" t="str">
        <f>IF(ORCAMENTOS!G553="","",ORCAMENTOS!G553)</f>
        <v>Gabriel</v>
      </c>
      <c r="G545" s="37" t="str">
        <f>IF(ORCAMENTOS!H553="","",ORCAMENTOS!H553)</f>
        <v>Ivanise</v>
      </c>
      <c r="H545" s="39">
        <f>IF(ORCAMENTOS!I553="","",ORCAMENTOS!I553)</f>
        <v>58578.41</v>
      </c>
      <c r="I545" s="60" t="str">
        <f>IF(ORCAMENTOS!J553="","",ORCAMENTOS!J553)</f>
        <v/>
      </c>
      <c r="J545" s="40" t="str">
        <f>IF(ORCAMENTOS!L553="","",ORCAMENTOS!L553)</f>
        <v>CANCELADO</v>
      </c>
      <c r="K545" s="34" t="str">
        <f>IF(ORCAMENTOS!M553="","",ORCAMENTOS!M553)</f>
        <v>-</v>
      </c>
      <c r="L545" t="str">
        <f>IF(ORCAMENTOS!R553="","",ORCAMENTOS!R553)</f>
        <v>-</v>
      </c>
    </row>
    <row r="546" spans="1:12" ht="15.75" hidden="1" customHeight="1" x14ac:dyDescent="0.25">
      <c r="A546" s="36">
        <f>IF(ORCAMENTOS!A554="","",ORCAMENTOS!A554)</f>
        <v>45742</v>
      </c>
      <c r="B546" s="46">
        <f>IF(ORCAMENTOS!B554="","",ORCAMENTOS!B554)</f>
        <v>544</v>
      </c>
      <c r="C546" s="46" t="str">
        <f>IF(ORCAMENTOS!C554="","",ORCAMENTOS!C554)</f>
        <v/>
      </c>
      <c r="D546" s="37" t="str">
        <f>IF(ORCAMENTOS!D554="","",ORCAMENTOS!D554)</f>
        <v>COLDTERMICA</v>
      </c>
      <c r="E546" s="38" t="str">
        <f>IF(ORCAMENTOS!E554="","",ORCAMENTOS!E554)</f>
        <v>-</v>
      </c>
      <c r="F546" s="37" t="str">
        <f>IF(ORCAMENTOS!G554="","",ORCAMENTOS!G554)</f>
        <v>Gabriel</v>
      </c>
      <c r="G546" s="37" t="str">
        <f>IF(ORCAMENTOS!H554="","",ORCAMENTOS!H554)</f>
        <v>Denis</v>
      </c>
      <c r="H546" s="39">
        <f>IF(ORCAMENTOS!I554="","",ORCAMENTOS!I554)</f>
        <v>3311.64</v>
      </c>
      <c r="I546" s="60" t="str">
        <f>IF(ORCAMENTOS!J554="","",ORCAMENTOS!J554)</f>
        <v/>
      </c>
      <c r="J546" s="40" t="str">
        <f>IF(ORCAMENTOS!L554="","",ORCAMENTOS!L554)</f>
        <v>FECHADO</v>
      </c>
      <c r="K546" s="34" t="str">
        <f>IF(ORCAMENTOS!M554="","",ORCAMENTOS!M554)</f>
        <v>-</v>
      </c>
      <c r="L546" t="str">
        <f>IF(ORCAMENTOS!R554="","",ORCAMENTOS!R554)</f>
        <v>-</v>
      </c>
    </row>
    <row r="547" spans="1:12" ht="15.75" hidden="1" customHeight="1" x14ac:dyDescent="0.25">
      <c r="A547" s="36">
        <f>IF(ORCAMENTOS!A555="","",ORCAMENTOS!A555)</f>
        <v>45826</v>
      </c>
      <c r="B547" s="46">
        <f>IF(ORCAMENTOS!B555="","",ORCAMENTOS!B555)</f>
        <v>545</v>
      </c>
      <c r="C547" s="46" t="str">
        <f>IF(ORCAMENTOS!C555="","",ORCAMENTOS!C555)</f>
        <v/>
      </c>
      <c r="D547" s="37" t="str">
        <f>IF(ORCAMENTOS!D555="","",ORCAMENTOS!D555)</f>
        <v>AWA AR CONDICIONADO</v>
      </c>
      <c r="E547" s="38" t="str">
        <f>IF(ORCAMENTOS!E555="","",ORCAMENTOS!E555)</f>
        <v>RAIA DROGASIL - CD GRAVATAI</v>
      </c>
      <c r="F547" s="37" t="str">
        <f>IF(ORCAMENTOS!G555="","",ORCAMENTOS!G555)</f>
        <v>Guilherme</v>
      </c>
      <c r="G547" s="37" t="str">
        <f>IF(ORCAMENTOS!H555="","",ORCAMENTOS!H555)</f>
        <v>Marcela</v>
      </c>
      <c r="H547" s="39">
        <f>IF(ORCAMENTOS!I555="","",ORCAMENTOS!I555)</f>
        <v>104712.38</v>
      </c>
      <c r="I547" s="60" t="str">
        <f>IF(ORCAMENTOS!J555="","",ORCAMENTOS!J555)</f>
        <v/>
      </c>
      <c r="J547" s="40" t="str">
        <f>IF(ORCAMENTOS!L555="","",ORCAMENTOS!L555)</f>
        <v>CANCELADO</v>
      </c>
      <c r="K547" s="34" t="str">
        <f>IF(ORCAMENTOS!M555="","",ORCAMENTOS!M555)</f>
        <v>-</v>
      </c>
      <c r="L547" t="str">
        <f>IF(ORCAMENTOS!R555="","",ORCAMENTOS!R555)</f>
        <v/>
      </c>
    </row>
    <row r="548" spans="1:12" ht="15.75" hidden="1" customHeight="1" x14ac:dyDescent="0.25">
      <c r="A548" s="36">
        <f>IF(ORCAMENTOS!A556="","",ORCAMENTOS!A556)</f>
        <v>45743</v>
      </c>
      <c r="B548" s="46">
        <f>IF(ORCAMENTOS!B556="","",ORCAMENTOS!B556)</f>
        <v>546</v>
      </c>
      <c r="C548" s="46" t="str">
        <f>IF(ORCAMENTOS!C556="","",ORCAMENTOS!C556)</f>
        <v/>
      </c>
      <c r="D548" s="37" t="str">
        <f>IF(ORCAMENTOS!D556="","",ORCAMENTOS!D556)</f>
        <v>PALMATEC</v>
      </c>
      <c r="E548" s="38" t="str">
        <f>IF(ORCAMENTOS!E556="","",ORCAMENTOS!E556)</f>
        <v>-</v>
      </c>
      <c r="F548" s="37" t="str">
        <f>IF(ORCAMENTOS!G556="","",ORCAMENTOS!G556)</f>
        <v>Gabriel</v>
      </c>
      <c r="G548" s="37" t="str">
        <f>IF(ORCAMENTOS!H556="","",ORCAMENTOS!H556)</f>
        <v>Carlos</v>
      </c>
      <c r="H548" s="39">
        <f>IF(ORCAMENTOS!I556="","",ORCAMENTOS!I556)</f>
        <v>75.83</v>
      </c>
      <c r="I548" s="60" t="str">
        <f>IF(ORCAMENTOS!J556="","",ORCAMENTOS!J556)</f>
        <v/>
      </c>
      <c r="J548" s="40" t="str">
        <f>IF(ORCAMENTOS!L556="","",ORCAMENTOS!L556)</f>
        <v>CANCELADO</v>
      </c>
      <c r="K548" s="34" t="str">
        <f>IF(ORCAMENTOS!M556="","",ORCAMENTOS!M556)</f>
        <v>-</v>
      </c>
      <c r="L548" t="str">
        <f>IF(ORCAMENTOS!R556="","",ORCAMENTOS!R556)</f>
        <v>-</v>
      </c>
    </row>
    <row r="549" spans="1:12" ht="15.75" hidden="1" customHeight="1" x14ac:dyDescent="0.25">
      <c r="A549" s="36">
        <f>IF(ORCAMENTOS!A557="","",ORCAMENTOS!A557)</f>
        <v>45743</v>
      </c>
      <c r="B549" s="46">
        <f>IF(ORCAMENTOS!B557="","",ORCAMENTOS!B557)</f>
        <v>547</v>
      </c>
      <c r="C549" s="46" t="str">
        <f>IF(ORCAMENTOS!C557="","",ORCAMENTOS!C557)</f>
        <v/>
      </c>
      <c r="D549" s="37" t="str">
        <f>IF(ORCAMENTOS!D557="","",ORCAMENTOS!D557)</f>
        <v>PRODAC</v>
      </c>
      <c r="E549" s="38" t="str">
        <f>IF(ORCAMENTOS!E557="","",ORCAMENTOS!E557)</f>
        <v>SHOPPING MACEIO</v>
      </c>
      <c r="F549" s="37" t="str">
        <f>IF(ORCAMENTOS!G557="","",ORCAMENTOS!G557)</f>
        <v>Fernando</v>
      </c>
      <c r="G549" s="37" t="str">
        <f>IF(ORCAMENTOS!H557="","",ORCAMENTOS!H557)</f>
        <v>Luis</v>
      </c>
      <c r="H549" s="39">
        <f>IF(ORCAMENTOS!I557="","",ORCAMENTOS!I557)</f>
        <v>34783.440000000002</v>
      </c>
      <c r="I549" s="60" t="str">
        <f>IF(ORCAMENTOS!J557="","",ORCAMENTOS!J557)</f>
        <v/>
      </c>
      <c r="J549" s="40" t="str">
        <f>IF(ORCAMENTOS!L557="","",ORCAMENTOS!L557)</f>
        <v>FECHADO</v>
      </c>
      <c r="K549" s="34" t="str">
        <f>IF(ORCAMENTOS!M557="","",ORCAMENTOS!M557)</f>
        <v>-</v>
      </c>
      <c r="L549" t="str">
        <f>IF(ORCAMENTOS!R557="","",ORCAMENTOS!R557)</f>
        <v>-</v>
      </c>
    </row>
    <row r="550" spans="1:12" ht="15.75" hidden="1" customHeight="1" x14ac:dyDescent="0.25">
      <c r="A550" s="36">
        <f>IF(ORCAMENTOS!A558="","",ORCAMENTOS!A558)</f>
        <v>45743</v>
      </c>
      <c r="B550" s="46">
        <f>IF(ORCAMENTOS!B558="","",ORCAMENTOS!B558)</f>
        <v>548</v>
      </c>
      <c r="C550" s="46" t="str">
        <f>IF(ORCAMENTOS!C558="","",ORCAMENTOS!C558)</f>
        <v/>
      </c>
      <c r="D550" s="37" t="str">
        <f>IF(ORCAMENTOS!D558="","",ORCAMENTOS!D558)</f>
        <v>RODRIGUES REFRIGERACAO</v>
      </c>
      <c r="E550" s="38" t="str">
        <f>IF(ORCAMENTOS!E558="","",ORCAMENTOS!E558)</f>
        <v>-</v>
      </c>
      <c r="F550" s="37" t="str">
        <f>IF(ORCAMENTOS!G558="","",ORCAMENTOS!G558)</f>
        <v>Gabriel</v>
      </c>
      <c r="G550" s="37" t="str">
        <f>IF(ORCAMENTOS!H558="","",ORCAMENTOS!H558)</f>
        <v>Michele</v>
      </c>
      <c r="H550" s="39">
        <f>IF(ORCAMENTOS!I558="","",ORCAMENTOS!I558)</f>
        <v>1766.81</v>
      </c>
      <c r="I550" s="60" t="str">
        <f>IF(ORCAMENTOS!J558="","",ORCAMENTOS!J558)</f>
        <v/>
      </c>
      <c r="J550" s="40" t="str">
        <f>IF(ORCAMENTOS!L558="","",ORCAMENTOS!L558)</f>
        <v>FECHADO</v>
      </c>
      <c r="K550" s="34" t="str">
        <f>IF(ORCAMENTOS!M558="","",ORCAMENTOS!M558)</f>
        <v>-</v>
      </c>
      <c r="L550" t="str">
        <f>IF(ORCAMENTOS!R558="","",ORCAMENTOS!R558)</f>
        <v>-</v>
      </c>
    </row>
    <row r="551" spans="1:12" ht="15.75" hidden="1" customHeight="1" x14ac:dyDescent="0.25">
      <c r="A551" s="36">
        <f>IF(ORCAMENTOS!A559="","",ORCAMENTOS!A559)</f>
        <v>45743</v>
      </c>
      <c r="B551" s="46">
        <f>IF(ORCAMENTOS!B559="","",ORCAMENTOS!B559)</f>
        <v>549</v>
      </c>
      <c r="C551" s="46" t="str">
        <f>IF(ORCAMENTOS!C559="","",ORCAMENTOS!C559)</f>
        <v/>
      </c>
      <c r="D551" s="37" t="str">
        <f>IF(ORCAMENTOS!D559="","",ORCAMENTOS!D559)</f>
        <v>L MONTE</v>
      </c>
      <c r="E551" s="38" t="str">
        <f>IF(ORCAMENTOS!E559="","",ORCAMENTOS!E559)</f>
        <v>-</v>
      </c>
      <c r="F551" s="37" t="str">
        <f>IF(ORCAMENTOS!G559="","",ORCAMENTOS!G559)</f>
        <v xml:space="preserve">Aldavir </v>
      </c>
      <c r="G551" s="37" t="str">
        <f>IF(ORCAMENTOS!H559="","",ORCAMENTOS!H559)</f>
        <v>Gurgel</v>
      </c>
      <c r="H551" s="39">
        <f>IF(ORCAMENTOS!I559="","",ORCAMENTOS!I559)</f>
        <v>8008.49</v>
      </c>
      <c r="I551" s="60" t="str">
        <f>IF(ORCAMENTOS!J559="","",ORCAMENTOS!J559)</f>
        <v/>
      </c>
      <c r="J551" s="40" t="str">
        <f>IF(ORCAMENTOS!L559="","",ORCAMENTOS!L559)</f>
        <v>FECHADO</v>
      </c>
      <c r="K551" s="34" t="str">
        <f>IF(ORCAMENTOS!M559="","",ORCAMENTOS!M559)</f>
        <v>-</v>
      </c>
      <c r="L551" t="str">
        <f>IF(ORCAMENTOS!R559="","",ORCAMENTOS!R559)</f>
        <v>-</v>
      </c>
    </row>
    <row r="552" spans="1:12" ht="15.75" hidden="1" customHeight="1" x14ac:dyDescent="0.25">
      <c r="A552" s="36">
        <f>IF(ORCAMENTOS!A560="","",ORCAMENTOS!A560)</f>
        <v>45744</v>
      </c>
      <c r="B552" s="46">
        <f>IF(ORCAMENTOS!B560="","",ORCAMENTOS!B560)</f>
        <v>550</v>
      </c>
      <c r="C552" s="46" t="str">
        <f>IF(ORCAMENTOS!C560="","",ORCAMENTOS!C560)</f>
        <v/>
      </c>
      <c r="D552" s="37" t="str">
        <f>IF(ORCAMENTOS!D560="","",ORCAMENTOS!D560)</f>
        <v>OUT ARQUITETURA</v>
      </c>
      <c r="E552" s="38" t="str">
        <f>IF(ORCAMENTOS!E560="","",ORCAMENTOS!E560)</f>
        <v>-</v>
      </c>
      <c r="F552" s="37" t="str">
        <f>IF(ORCAMENTOS!G560="","",ORCAMENTOS!G560)</f>
        <v>Gabriel</v>
      </c>
      <c r="G552" s="37" t="str">
        <f>IF(ORCAMENTOS!H560="","",ORCAMENTOS!H560)</f>
        <v>Vitor</v>
      </c>
      <c r="H552" s="39">
        <f>IF(ORCAMENTOS!I560="","",ORCAMENTOS!I560)</f>
        <v>87696.57</v>
      </c>
      <c r="I552" s="60" t="str">
        <f>IF(ORCAMENTOS!J560="","",ORCAMENTOS!J560)</f>
        <v/>
      </c>
      <c r="J552" s="40" t="str">
        <f>IF(ORCAMENTOS!L560="","",ORCAMENTOS!L560)</f>
        <v>CANCELADO</v>
      </c>
      <c r="K552" s="34" t="str">
        <f>IF(ORCAMENTOS!M560="","",ORCAMENTOS!M560)</f>
        <v>-</v>
      </c>
      <c r="L552" t="str">
        <f>IF(ORCAMENTOS!R560="","",ORCAMENTOS!R560)</f>
        <v>-</v>
      </c>
    </row>
    <row r="553" spans="1:12" ht="15.75" hidden="1" customHeight="1" x14ac:dyDescent="0.25">
      <c r="A553" s="36">
        <f>IF(ORCAMENTOS!A561="","",ORCAMENTOS!A561)</f>
        <v>45743</v>
      </c>
      <c r="B553" s="46">
        <f>IF(ORCAMENTOS!B561="","",ORCAMENTOS!B561)</f>
        <v>551</v>
      </c>
      <c r="C553" s="46" t="str">
        <f>IF(ORCAMENTOS!C561="","",ORCAMENTOS!C561)</f>
        <v/>
      </c>
      <c r="D553" s="37" t="str">
        <f>IF(ORCAMENTOS!D561="","",ORCAMENTOS!D561)</f>
        <v>RM3 ENGENHARIA</v>
      </c>
      <c r="E553" s="38" t="str">
        <f>IF(ORCAMENTOS!E561="","",ORCAMENTOS!E561)</f>
        <v>HAPVIDA - RIO DE JANEIRO - RJ</v>
      </c>
      <c r="F553" s="37" t="str">
        <f>IF(ORCAMENTOS!G561="","",ORCAMENTOS!G561)</f>
        <v>Guilherme</v>
      </c>
      <c r="G553" s="37" t="str">
        <f>IF(ORCAMENTOS!H561="","",ORCAMENTOS!H561)</f>
        <v>Angelica</v>
      </c>
      <c r="H553" s="39">
        <f>IF(ORCAMENTOS!I561="","",ORCAMENTOS!I561)</f>
        <v>114620.66</v>
      </c>
      <c r="I553" s="60" t="str">
        <f>IF(ORCAMENTOS!J561="","",ORCAMENTOS!J561)</f>
        <v/>
      </c>
      <c r="J553" s="40" t="str">
        <f>IF(ORCAMENTOS!L561="","",ORCAMENTOS!L561)</f>
        <v>CANCELADO</v>
      </c>
      <c r="K553" s="34" t="str">
        <f>IF(ORCAMENTOS!M561="","",ORCAMENTOS!M561)</f>
        <v>-</v>
      </c>
      <c r="L553" t="str">
        <f>IF(ORCAMENTOS!R561="","",ORCAMENTOS!R561)</f>
        <v/>
      </c>
    </row>
    <row r="554" spans="1:12" ht="15.75" hidden="1" customHeight="1" x14ac:dyDescent="0.25">
      <c r="A554" s="36">
        <f>IF(ORCAMENTOS!A562="","",ORCAMENTOS!A562)</f>
        <v>45744</v>
      </c>
      <c r="B554" s="46">
        <f>IF(ORCAMENTOS!B562="","",ORCAMENTOS!B562)</f>
        <v>552</v>
      </c>
      <c r="C554" s="46" t="str">
        <f>IF(ORCAMENTOS!C562="","",ORCAMENTOS!C562)</f>
        <v/>
      </c>
      <c r="D554" s="37" t="str">
        <f>IF(ORCAMENTOS!D562="","",ORCAMENTOS!D562)</f>
        <v>NEW AIR</v>
      </c>
      <c r="E554" s="38" t="str">
        <f>IF(ORCAMENTOS!E562="","",ORCAMENTOS!E562)</f>
        <v>-</v>
      </c>
      <c r="F554" s="37" t="str">
        <f>IF(ORCAMENTOS!G562="","",ORCAMENTOS!G562)</f>
        <v>Fernando</v>
      </c>
      <c r="G554" s="37" t="str">
        <f>IF(ORCAMENTOS!H562="","",ORCAMENTOS!H562)</f>
        <v>Igor</v>
      </c>
      <c r="H554" s="39">
        <f>IF(ORCAMENTOS!I562="","",ORCAMENTOS!I562)</f>
        <v>6994.98</v>
      </c>
      <c r="I554" s="60" t="str">
        <f>IF(ORCAMENTOS!J562="","",ORCAMENTOS!J562)</f>
        <v/>
      </c>
      <c r="J554" s="40" t="str">
        <f>IF(ORCAMENTOS!L562="","",ORCAMENTOS!L562)</f>
        <v>FECHADO</v>
      </c>
      <c r="K554" s="34" t="str">
        <f>IF(ORCAMENTOS!M562="","",ORCAMENTOS!M562)</f>
        <v>-</v>
      </c>
      <c r="L554" t="str">
        <f>IF(ORCAMENTOS!R562="","",ORCAMENTOS!R562)</f>
        <v>-</v>
      </c>
    </row>
    <row r="555" spans="1:12" ht="15.75" hidden="1" customHeight="1" x14ac:dyDescent="0.25">
      <c r="A555" s="36">
        <f>IF(ORCAMENTOS!A563="","",ORCAMENTOS!A563)</f>
        <v>45744</v>
      </c>
      <c r="B555" s="46">
        <f>IF(ORCAMENTOS!B563="","",ORCAMENTOS!B563)</f>
        <v>553</v>
      </c>
      <c r="C555" s="46" t="str">
        <f>IF(ORCAMENTOS!C563="","",ORCAMENTOS!C563)</f>
        <v/>
      </c>
      <c r="D555" s="37" t="str">
        <f>IF(ORCAMENTOS!D563="","",ORCAMENTOS!D563)</f>
        <v>AEROTHERMIC</v>
      </c>
      <c r="E555" s="38" t="str">
        <f>IF(ORCAMENTOS!E563="","",ORCAMENTOS!E563)</f>
        <v>CABANA ARGENTINA - SAO PAULO - SP</v>
      </c>
      <c r="F555" s="37" t="str">
        <f>IF(ORCAMENTOS!G563="","",ORCAMENTOS!G563)</f>
        <v>Fernando</v>
      </c>
      <c r="G555" s="37" t="str">
        <f>IF(ORCAMENTOS!H563="","",ORCAMENTOS!H563)</f>
        <v>Claudio</v>
      </c>
      <c r="H555" s="39">
        <f>IF(ORCAMENTOS!I563="","",ORCAMENTOS!I563)</f>
        <v>16644.689999999999</v>
      </c>
      <c r="I555" s="60" t="str">
        <f>IF(ORCAMENTOS!J563="","",ORCAMENTOS!J563)</f>
        <v/>
      </c>
      <c r="J555" s="40" t="str">
        <f>IF(ORCAMENTOS!L563="","",ORCAMENTOS!L563)</f>
        <v>CANCELADO</v>
      </c>
      <c r="K555" s="34" t="str">
        <f>IF(ORCAMENTOS!M563="","",ORCAMENTOS!M563)</f>
        <v>CLIENTE NEGOCIANDO PREV. MAIO</v>
      </c>
      <c r="L555" t="str">
        <f>IF(ORCAMENTOS!R563="","",ORCAMENTOS!R563)</f>
        <v>-</v>
      </c>
    </row>
    <row r="556" spans="1:12" ht="15.75" hidden="1" customHeight="1" x14ac:dyDescent="0.25">
      <c r="A556" s="36">
        <f>IF(ORCAMENTOS!A564="","",ORCAMENTOS!A564)</f>
        <v>45744</v>
      </c>
      <c r="B556" s="46">
        <f>IF(ORCAMENTOS!B564="","",ORCAMENTOS!B564)</f>
        <v>554</v>
      </c>
      <c r="C556" s="46" t="str">
        <f>IF(ORCAMENTOS!C564="","",ORCAMENTOS!C564)</f>
        <v/>
      </c>
      <c r="D556" s="37" t="str">
        <f>IF(ORCAMENTOS!D564="","",ORCAMENTOS!D564)</f>
        <v>AMS INSTALACOES</v>
      </c>
      <c r="E556" s="38" t="str">
        <f>IF(ORCAMENTOS!E564="","",ORCAMENTOS!E564)</f>
        <v>FORT ATACADISTA - GRAVATAI</v>
      </c>
      <c r="F556" s="37" t="str">
        <f>IF(ORCAMENTOS!G564="","",ORCAMENTOS!G564)</f>
        <v>Gabriel</v>
      </c>
      <c r="G556" s="37" t="str">
        <f>IF(ORCAMENTOS!H564="","",ORCAMENTOS!H564)</f>
        <v>Felipe</v>
      </c>
      <c r="H556" s="39">
        <f>IF(ORCAMENTOS!I564="","",ORCAMENTOS!I564)</f>
        <v>139350.48000000001</v>
      </c>
      <c r="I556" s="60" t="str">
        <f>IF(ORCAMENTOS!J564="","",ORCAMENTOS!J564)</f>
        <v/>
      </c>
      <c r="J556" s="40" t="str">
        <f>IF(ORCAMENTOS!L564="","",ORCAMENTOS!L564)</f>
        <v>CANCELADO</v>
      </c>
      <c r="K556" s="34" t="str">
        <f>IF(ORCAMENTOS!M564="","",ORCAMENTOS!M564)</f>
        <v>-</v>
      </c>
      <c r="L556" t="str">
        <f>IF(ORCAMENTOS!R564="","",ORCAMENTOS!R564)</f>
        <v>-</v>
      </c>
    </row>
    <row r="557" spans="1:12" ht="15.75" hidden="1" customHeight="1" x14ac:dyDescent="0.25">
      <c r="A557" s="36">
        <f>IF(ORCAMENTOS!A565="","",ORCAMENTOS!A565)</f>
        <v>45749</v>
      </c>
      <c r="B557" s="46">
        <f>IF(ORCAMENTOS!B565="","",ORCAMENTOS!B565)</f>
        <v>555</v>
      </c>
      <c r="C557" s="46" t="str">
        <f>IF(ORCAMENTOS!C565="","",ORCAMENTOS!C565)</f>
        <v/>
      </c>
      <c r="D557" s="37" t="str">
        <f>IF(ORCAMENTOS!D565="","",ORCAMENTOS!D565)</f>
        <v>APICE CLIMA</v>
      </c>
      <c r="E557" s="38" t="str">
        <f>IF(ORCAMENTOS!E565="","",ORCAMENTOS!E565)</f>
        <v>BANCO DO BRASIL - AGÊNCIA SAMPAIO VIDAL - MARILIA - SP</v>
      </c>
      <c r="F557" s="37" t="str">
        <f>IF(ORCAMENTOS!G565="","",ORCAMENTOS!G565)</f>
        <v>Michel</v>
      </c>
      <c r="G557" s="37" t="str">
        <f>IF(ORCAMENTOS!H565="","",ORCAMENTOS!H565)</f>
        <v>Djair</v>
      </c>
      <c r="H557" s="39">
        <f>IF(ORCAMENTOS!I565="","",ORCAMENTOS!I565)</f>
        <v>92095.81</v>
      </c>
      <c r="I557" s="60" t="str">
        <f>IF(ORCAMENTOS!J565="","",ORCAMENTOS!J565)</f>
        <v/>
      </c>
      <c r="J557" s="40" t="str">
        <f>IF(ORCAMENTOS!L565="","",ORCAMENTOS!L565)</f>
        <v>FECHADO</v>
      </c>
      <c r="K557" s="34" t="str">
        <f>IF(ORCAMENTOS!M565="","",ORCAMENTOS!M565)</f>
        <v>-</v>
      </c>
      <c r="L557" t="str">
        <f>IF(ORCAMENTOS!R565="","",ORCAMENTOS!R565)</f>
        <v>-</v>
      </c>
    </row>
    <row r="558" spans="1:12" ht="15.75" hidden="1" customHeight="1" x14ac:dyDescent="0.25">
      <c r="A558" s="36">
        <f>IF(ORCAMENTOS!A566="","",ORCAMENTOS!A566)</f>
        <v>45747</v>
      </c>
      <c r="B558" s="46">
        <f>IF(ORCAMENTOS!B566="","",ORCAMENTOS!B566)</f>
        <v>556</v>
      </c>
      <c r="C558" s="46" t="str">
        <f>IF(ORCAMENTOS!C566="","",ORCAMENTOS!C566)</f>
        <v/>
      </c>
      <c r="D558" s="37" t="str">
        <f>IF(ORCAMENTOS!D566="","",ORCAMENTOS!D566)</f>
        <v>CN COLD</v>
      </c>
      <c r="E558" s="38" t="str">
        <f>IF(ORCAMENTOS!E566="","",ORCAMENTOS!E566)</f>
        <v>PANCO - TUCURUVI - SÃO PAULO - SP</v>
      </c>
      <c r="F558" s="37" t="str">
        <f>IF(ORCAMENTOS!G566="","",ORCAMENTOS!G566)</f>
        <v>Emanuel</v>
      </c>
      <c r="G558" s="37" t="str">
        <f>IF(ORCAMENTOS!H566="","",ORCAMENTOS!H566)</f>
        <v>Guilherme</v>
      </c>
      <c r="H558" s="39">
        <f>IF(ORCAMENTOS!I566="","",ORCAMENTOS!I566)</f>
        <v>304838.94</v>
      </c>
      <c r="I558" s="60" t="str">
        <f>IF(ORCAMENTOS!J566="","",ORCAMENTOS!J566)</f>
        <v/>
      </c>
      <c r="J558" s="40" t="str">
        <f>IF(ORCAMENTOS!L566="","",ORCAMENTOS!L566)</f>
        <v>CANCELADO</v>
      </c>
      <c r="K558" s="34" t="str">
        <f>IF(ORCAMENTOS!M566="","",ORCAMENTOS!M566)</f>
        <v>-</v>
      </c>
      <c r="L558" t="str">
        <f>IF(ORCAMENTOS!R566="","",ORCAMENTOS!R566)</f>
        <v>-</v>
      </c>
    </row>
    <row r="559" spans="1:12" ht="15.75" hidden="1" customHeight="1" x14ac:dyDescent="0.25">
      <c r="A559" s="36">
        <f>IF(ORCAMENTOS!A567="","",ORCAMENTOS!A567)</f>
        <v>45747</v>
      </c>
      <c r="B559" s="46">
        <f>IF(ORCAMENTOS!B567="","",ORCAMENTOS!B567)</f>
        <v>557</v>
      </c>
      <c r="C559" s="46" t="str">
        <f>IF(ORCAMENTOS!C567="","",ORCAMENTOS!C567)</f>
        <v/>
      </c>
      <c r="D559" s="37" t="str">
        <f>IF(ORCAMENTOS!D567="","",ORCAMENTOS!D567)</f>
        <v>AEROTHERMIC</v>
      </c>
      <c r="E559" s="38" t="str">
        <f>IF(ORCAMENTOS!E567="","",ORCAMENTOS!E567)</f>
        <v>CIMED SITE 01 - POUSO ALEGRE - MG</v>
      </c>
      <c r="F559" s="37" t="str">
        <f>IF(ORCAMENTOS!G567="","",ORCAMENTOS!G567)</f>
        <v>Fernando</v>
      </c>
      <c r="G559" s="37" t="str">
        <f>IF(ORCAMENTOS!H567="","",ORCAMENTOS!H567)</f>
        <v>Claudio</v>
      </c>
      <c r="H559" s="39">
        <f>IF(ORCAMENTOS!I567="","",ORCAMENTOS!I567)</f>
        <v>128671.71</v>
      </c>
      <c r="I559" s="60" t="str">
        <f>IF(ORCAMENTOS!J567="","",ORCAMENTOS!J567)</f>
        <v/>
      </c>
      <c r="J559" s="40" t="str">
        <f>IF(ORCAMENTOS!L567="","",ORCAMENTOS!L567)</f>
        <v>CANCELADO</v>
      </c>
      <c r="K559" s="34" t="str">
        <f>IF(ORCAMENTOS!M567="","",ORCAMENTOS!M567)</f>
        <v>-</v>
      </c>
      <c r="L559" t="str">
        <f>IF(ORCAMENTOS!R567="","",ORCAMENTOS!R567)</f>
        <v>CHAPA DE ACO GALVANIZADO</v>
      </c>
    </row>
    <row r="560" spans="1:12" ht="15.75" hidden="1" customHeight="1" x14ac:dyDescent="0.25">
      <c r="A560" s="36">
        <f>IF(ORCAMENTOS!A568="","",ORCAMENTOS!A568)</f>
        <v>45747</v>
      </c>
      <c r="B560" s="46">
        <f>IF(ORCAMENTOS!B568="","",ORCAMENTOS!B568)</f>
        <v>558</v>
      </c>
      <c r="C560" s="46" t="str">
        <f>IF(ORCAMENTOS!C568="","",ORCAMENTOS!C568)</f>
        <v/>
      </c>
      <c r="D560" s="37" t="str">
        <f>IF(ORCAMENTOS!D568="","",ORCAMENTOS!D568)</f>
        <v>LTX CLIMATIZACAO</v>
      </c>
      <c r="E560" s="38" t="str">
        <f>IF(ORCAMENTOS!E568="","",ORCAMENTOS!E568)</f>
        <v>TRANSITBR - ITAJAI - SC</v>
      </c>
      <c r="F560" s="37" t="str">
        <f>IF(ORCAMENTOS!G568="","",ORCAMENTOS!G568)</f>
        <v>Guilherme</v>
      </c>
      <c r="G560" s="37" t="str">
        <f>IF(ORCAMENTOS!H568="","",ORCAMENTOS!H568)</f>
        <v>Adriano</v>
      </c>
      <c r="H560" s="39">
        <f>IF(ORCAMENTOS!I568="","",ORCAMENTOS!I568)</f>
        <v>8517.51</v>
      </c>
      <c r="I560" s="60" t="str">
        <f>IF(ORCAMENTOS!J568="","",ORCAMENTOS!J568)</f>
        <v/>
      </c>
      <c r="J560" s="40" t="str">
        <f>IF(ORCAMENTOS!L568="","",ORCAMENTOS!L568)</f>
        <v>CANCELADO</v>
      </c>
      <c r="K560" s="34" t="str">
        <f>IF(ORCAMENTOS!M568="","",ORCAMENTOS!M568)</f>
        <v>-</v>
      </c>
      <c r="L560" t="str">
        <f>IF(ORCAMENTOS!R568="","",ORCAMENTOS!R568)</f>
        <v>MPU</v>
      </c>
    </row>
    <row r="561" spans="1:12" ht="15.75" hidden="1" customHeight="1" x14ac:dyDescent="0.25">
      <c r="A561" s="36">
        <f>IF(ORCAMENTOS!A569="","",ORCAMENTOS!A569)</f>
        <v>45747</v>
      </c>
      <c r="B561" s="46">
        <f>IF(ORCAMENTOS!B569="","",ORCAMENTOS!B569)</f>
        <v>559</v>
      </c>
      <c r="C561" s="46" t="str">
        <f>IF(ORCAMENTOS!C569="","",ORCAMENTOS!C569)</f>
        <v/>
      </c>
      <c r="D561" s="37" t="str">
        <f>IF(ORCAMENTOS!D569="","",ORCAMENTOS!D569)</f>
        <v xml:space="preserve">DIAGRAMA AR </v>
      </c>
      <c r="E561" s="38" t="str">
        <f>IF(ORCAMENTOS!E569="","",ORCAMENTOS!E569)</f>
        <v>GLP - SP</v>
      </c>
      <c r="F561" s="37" t="str">
        <f>IF(ORCAMENTOS!G569="","",ORCAMENTOS!G569)</f>
        <v>Guilherme</v>
      </c>
      <c r="G561" s="37" t="str">
        <f>IF(ORCAMENTOS!H569="","",ORCAMENTOS!H569)</f>
        <v>Sandra</v>
      </c>
      <c r="H561" s="39">
        <f>IF(ORCAMENTOS!I569="","",ORCAMENTOS!I569)</f>
        <v>128625.48</v>
      </c>
      <c r="I561" s="60" t="str">
        <f>IF(ORCAMENTOS!J569="","",ORCAMENTOS!J569)</f>
        <v/>
      </c>
      <c r="J561" s="40" t="str">
        <f>IF(ORCAMENTOS!L569="","",ORCAMENTOS!L569)</f>
        <v>CANCELADO</v>
      </c>
      <c r="K561" s="34" t="str">
        <f>IF(ORCAMENTOS!M569="","",ORCAMENTOS!M569)</f>
        <v>-</v>
      </c>
      <c r="L561" t="str">
        <f>IF(ORCAMENTOS!R569="","",ORCAMENTOS!R569)</f>
        <v>-</v>
      </c>
    </row>
    <row r="562" spans="1:12" ht="15.75" hidden="1" customHeight="1" x14ac:dyDescent="0.25">
      <c r="A562" s="36">
        <f>IF(ORCAMENTOS!A570="","",ORCAMENTOS!A570)</f>
        <v>45747</v>
      </c>
      <c r="B562" s="46">
        <f>IF(ORCAMENTOS!B570="","",ORCAMENTOS!B570)</f>
        <v>560</v>
      </c>
      <c r="C562" s="46" t="str">
        <f>IF(ORCAMENTOS!C570="","",ORCAMENTOS!C570)</f>
        <v/>
      </c>
      <c r="D562" s="37" t="str">
        <f>IF(ORCAMENTOS!D570="","",ORCAMENTOS!D570)</f>
        <v>THERMAL ENERGY</v>
      </c>
      <c r="E562" s="38" t="str">
        <f>IF(ORCAMENTOS!E570="","",ORCAMENTOS!E570)</f>
        <v>MAX SHOPPING</v>
      </c>
      <c r="F562" s="37" t="str">
        <f>IF(ORCAMENTOS!G570="","",ORCAMENTOS!G570)</f>
        <v xml:space="preserve">Aldavir </v>
      </c>
      <c r="G562" s="37" t="str">
        <f>IF(ORCAMENTOS!H570="","",ORCAMENTOS!H570)</f>
        <v>Anderson</v>
      </c>
      <c r="H562" s="39">
        <f>IF(ORCAMENTOS!I570="","",ORCAMENTOS!I570)</f>
        <v>241383.92</v>
      </c>
      <c r="I562" s="60" t="str">
        <f>IF(ORCAMENTOS!J570="","",ORCAMENTOS!J570)</f>
        <v/>
      </c>
      <c r="J562" s="40" t="str">
        <f>IF(ORCAMENTOS!L570="","",ORCAMENTOS!L570)</f>
        <v>PERDIDO</v>
      </c>
      <c r="K562" s="34" t="str">
        <f>IF(ORCAMENTOS!M570="","",ORCAMENTOS!M570)</f>
        <v>MPU</v>
      </c>
      <c r="L562" t="str">
        <f>IF(ORCAMENTOS!R570="","",ORCAMENTOS!R570)</f>
        <v>-</v>
      </c>
    </row>
    <row r="563" spans="1:12" ht="15.75" hidden="1" customHeight="1" x14ac:dyDescent="0.25">
      <c r="A563" s="36">
        <f>IF(ORCAMENTOS!A571="","",ORCAMENTOS!A571)</f>
        <v>45747</v>
      </c>
      <c r="B563" s="46">
        <f>IF(ORCAMENTOS!B571="","",ORCAMENTOS!B571)</f>
        <v>561</v>
      </c>
      <c r="C563" s="46" t="str">
        <f>IF(ORCAMENTOS!C571="","",ORCAMENTOS!C571)</f>
        <v/>
      </c>
      <c r="D563" s="37" t="str">
        <f>IF(ORCAMENTOS!D571="","",ORCAMENTOS!D571)</f>
        <v>SOLLO ENGENHARIA</v>
      </c>
      <c r="E563" s="38" t="str">
        <f>IF(ORCAMENTOS!E571="","",ORCAMENTOS!E571)</f>
        <v>-</v>
      </c>
      <c r="F563" s="37" t="str">
        <f>IF(ORCAMENTOS!G571="","",ORCAMENTOS!G571)</f>
        <v>Emanuel</v>
      </c>
      <c r="G563" s="37" t="str">
        <f>IF(ORCAMENTOS!H571="","",ORCAMENTOS!H571)</f>
        <v>Bia</v>
      </c>
      <c r="H563" s="39">
        <f>IF(ORCAMENTOS!I571="","",ORCAMENTOS!I571)</f>
        <v>12203.12</v>
      </c>
      <c r="I563" s="60" t="str">
        <f>IF(ORCAMENTOS!J571="","",ORCAMENTOS!J571)</f>
        <v/>
      </c>
      <c r="J563" s="40" t="str">
        <f>IF(ORCAMENTOS!L571="","",ORCAMENTOS!L571)</f>
        <v>CANCELADO</v>
      </c>
      <c r="K563" s="34" t="str">
        <f>IF(ORCAMENTOS!M571="","",ORCAMENTOS!M571)</f>
        <v>-</v>
      </c>
      <c r="L563" t="str">
        <f>IF(ORCAMENTOS!R571="","",ORCAMENTOS!R571)</f>
        <v>-</v>
      </c>
    </row>
    <row r="564" spans="1:12" ht="15.75" hidden="1" customHeight="1" x14ac:dyDescent="0.25">
      <c r="A564" s="36">
        <f>IF(ORCAMENTOS!A572="","",ORCAMENTOS!A572)</f>
        <v>45747</v>
      </c>
      <c r="B564" s="46">
        <f>IF(ORCAMENTOS!B572="","",ORCAMENTOS!B572)</f>
        <v>562</v>
      </c>
      <c r="C564" s="46" t="str">
        <f>IF(ORCAMENTOS!C572="","",ORCAMENTOS!C572)</f>
        <v/>
      </c>
      <c r="D564" s="37" t="str">
        <f>IF(ORCAMENTOS!D572="","",ORCAMENTOS!D572)</f>
        <v>UNION RHAC</v>
      </c>
      <c r="E564" s="38" t="str">
        <f>IF(ORCAMENTOS!E572="","",ORCAMENTOS!E572)</f>
        <v>-</v>
      </c>
      <c r="F564" s="37" t="str">
        <f>IF(ORCAMENTOS!G572="","",ORCAMENTOS!G572)</f>
        <v>Emanuel</v>
      </c>
      <c r="G564" s="37" t="str">
        <f>IF(ORCAMENTOS!H572="","",ORCAMENTOS!H572)</f>
        <v>Rosana</v>
      </c>
      <c r="H564" s="39">
        <f>IF(ORCAMENTOS!I572="","",ORCAMENTOS!I572)</f>
        <v>167536.87</v>
      </c>
      <c r="I564" s="60" t="str">
        <f>IF(ORCAMENTOS!J572="","",ORCAMENTOS!J572)</f>
        <v/>
      </c>
      <c r="J564" s="40" t="str">
        <f>IF(ORCAMENTOS!L572="","",ORCAMENTOS!L572)</f>
        <v>CANCELADO</v>
      </c>
      <c r="K564" s="34" t="str">
        <f>IF(ORCAMENTOS!M572="","",ORCAMENTOS!M572)</f>
        <v>-</v>
      </c>
      <c r="L564" t="str">
        <f>IF(ORCAMENTOS!R572="","",ORCAMENTOS!R572)</f>
        <v>-</v>
      </c>
    </row>
    <row r="565" spans="1:12" ht="15.75" hidden="1" customHeight="1" x14ac:dyDescent="0.25">
      <c r="A565" s="36">
        <f>IF(ORCAMENTOS!A573="","",ORCAMENTOS!A573)</f>
        <v>45747</v>
      </c>
      <c r="B565" s="46">
        <f>IF(ORCAMENTOS!B573="","",ORCAMENTOS!B573)</f>
        <v>563</v>
      </c>
      <c r="C565" s="46" t="str">
        <f>IF(ORCAMENTOS!C573="","",ORCAMENTOS!C573)</f>
        <v/>
      </c>
      <c r="D565" s="37" t="str">
        <f>IF(ORCAMENTOS!D573="","",ORCAMENTOS!D573)</f>
        <v>STAR CENTER</v>
      </c>
      <c r="E565" s="38" t="str">
        <f>IF(ORCAMENTOS!E573="","",ORCAMENTOS!E573)</f>
        <v>ALFA</v>
      </c>
      <c r="F565" s="37" t="str">
        <f>IF(ORCAMENTOS!G573="","",ORCAMENTOS!G573)</f>
        <v>Guilherme</v>
      </c>
      <c r="G565" s="37" t="str">
        <f>IF(ORCAMENTOS!H573="","",ORCAMENTOS!H573)</f>
        <v>Ayra</v>
      </c>
      <c r="H565" s="39">
        <f>IF(ORCAMENTOS!I573="","",ORCAMENTOS!I573)</f>
        <v>71273.539999999994</v>
      </c>
      <c r="I565" s="60" t="str">
        <f>IF(ORCAMENTOS!J573="","",ORCAMENTOS!J573)</f>
        <v/>
      </c>
      <c r="J565" s="40" t="str">
        <f>IF(ORCAMENTOS!L573="","",ORCAMENTOS!L573)</f>
        <v>CANCELADO</v>
      </c>
      <c r="K565" s="34" t="str">
        <f>IF(ORCAMENTOS!M573="","",ORCAMENTOS!M573)</f>
        <v>-</v>
      </c>
      <c r="L565" t="str">
        <f>IF(ORCAMENTOS!R573="","",ORCAMENTOS!R573)</f>
        <v/>
      </c>
    </row>
    <row r="566" spans="1:12" ht="15.75" hidden="1" customHeight="1" x14ac:dyDescent="0.25">
      <c r="A566" s="36">
        <f>IF(ORCAMENTOS!A574="","",ORCAMENTOS!A574)</f>
        <v>45747</v>
      </c>
      <c r="B566" s="46">
        <f>IF(ORCAMENTOS!B574="","",ORCAMENTOS!B574)</f>
        <v>564</v>
      </c>
      <c r="C566" s="46" t="str">
        <f>IF(ORCAMENTOS!C574="","",ORCAMENTOS!C574)</f>
        <v/>
      </c>
      <c r="D566" s="37" t="str">
        <f>IF(ORCAMENTOS!D574="","",ORCAMENTOS!D574)</f>
        <v>PORTUBRAS</v>
      </c>
      <c r="E566" s="38" t="str">
        <f>IF(ORCAMENTOS!E574="","",ORCAMENTOS!E574)</f>
        <v>-</v>
      </c>
      <c r="F566" s="37" t="str">
        <f>IF(ORCAMENTOS!G574="","",ORCAMENTOS!G574)</f>
        <v>Gabriel</v>
      </c>
      <c r="G566" s="37" t="str">
        <f>IF(ORCAMENTOS!H574="","",ORCAMENTOS!H574)</f>
        <v>Fabio</v>
      </c>
      <c r="H566" s="39">
        <f>IF(ORCAMENTOS!I574="","",ORCAMENTOS!I574)</f>
        <v>1469.15</v>
      </c>
      <c r="I566" s="60" t="str">
        <f>IF(ORCAMENTOS!J574="","",ORCAMENTOS!J574)</f>
        <v/>
      </c>
      <c r="J566" s="40" t="str">
        <f>IF(ORCAMENTOS!L574="","",ORCAMENTOS!L574)</f>
        <v>CANCELADO</v>
      </c>
      <c r="K566" s="34" t="str">
        <f>IF(ORCAMENTOS!M574="","",ORCAMENTOS!M574)</f>
        <v>-</v>
      </c>
      <c r="L566" t="str">
        <f>IF(ORCAMENTOS!R574="","",ORCAMENTOS!R574)</f>
        <v>-</v>
      </c>
    </row>
    <row r="567" spans="1:12" ht="15.75" hidden="1" customHeight="1" x14ac:dyDescent="0.25">
      <c r="A567" s="36">
        <f>IF(ORCAMENTOS!A575="","",ORCAMENTOS!A575)</f>
        <v>45747</v>
      </c>
      <c r="B567" s="46">
        <f>IF(ORCAMENTOS!B575="","",ORCAMENTOS!B575)</f>
        <v>565</v>
      </c>
      <c r="C567" s="46" t="str">
        <f>IF(ORCAMENTOS!C575="","",ORCAMENTOS!C575)</f>
        <v/>
      </c>
      <c r="D567" s="37" t="str">
        <f>IF(ORCAMENTOS!D575="","",ORCAMENTOS!D575)</f>
        <v>M&amp;M ENGENHARIA</v>
      </c>
      <c r="E567" s="38" t="str">
        <f>IF(ORCAMENTOS!E575="","",ORCAMENTOS!E575)</f>
        <v>ATACADAO - GULLIVER - SALVADOR IGUATEMI - BA</v>
      </c>
      <c r="F567" s="37" t="str">
        <f>IF(ORCAMENTOS!G575="","",ORCAMENTOS!G575)</f>
        <v>Emanuel</v>
      </c>
      <c r="G567" s="37" t="str">
        <f>IF(ORCAMENTOS!H575="","",ORCAMENTOS!H575)</f>
        <v/>
      </c>
      <c r="H567" s="39">
        <f>IF(ORCAMENTOS!I575="","",ORCAMENTOS!I575)</f>
        <v>149874.13</v>
      </c>
      <c r="I567" s="60" t="str">
        <f>IF(ORCAMENTOS!J575="","",ORCAMENTOS!J575)</f>
        <v/>
      </c>
      <c r="J567" s="40" t="str">
        <f>IF(ORCAMENTOS!L575="","",ORCAMENTOS!L575)</f>
        <v>CANCELADO</v>
      </c>
      <c r="K567" s="34" t="str">
        <f>IF(ORCAMENTOS!M575="","",ORCAMENTOS!M575)</f>
        <v>-</v>
      </c>
      <c r="L567" t="str">
        <f>IF(ORCAMENTOS!R575="","",ORCAMENTOS!R575)</f>
        <v>N/E</v>
      </c>
    </row>
    <row r="568" spans="1:12" ht="15.75" hidden="1" customHeight="1" x14ac:dyDescent="0.25">
      <c r="A568" s="36">
        <f>IF(ORCAMENTOS!A576="","",ORCAMENTOS!A576)</f>
        <v>45747</v>
      </c>
      <c r="B568" s="46">
        <f>IF(ORCAMENTOS!B576="","",ORCAMENTOS!B576)</f>
        <v>566</v>
      </c>
      <c r="C568" s="46" t="str">
        <f>IF(ORCAMENTOS!C576="","",ORCAMENTOS!C576)</f>
        <v/>
      </c>
      <c r="D568" s="37" t="str">
        <f>IF(ORCAMENTOS!D576="","",ORCAMENTOS!D576)</f>
        <v>REWELL OTAVIO</v>
      </c>
      <c r="E568" s="38" t="str">
        <f>IF(ORCAMENTOS!E576="","",ORCAMENTOS!E576)</f>
        <v>SESI EPITÁCIO - SALAO DE FESTAS</v>
      </c>
      <c r="F568" s="37" t="str">
        <f>IF(ORCAMENTOS!G576="","",ORCAMENTOS!G576)</f>
        <v>Gabriel</v>
      </c>
      <c r="G568" s="37" t="str">
        <f>IF(ORCAMENTOS!H576="","",ORCAMENTOS!H576)</f>
        <v>Rewell</v>
      </c>
      <c r="H568" s="39">
        <f>IF(ORCAMENTOS!I576="","",ORCAMENTOS!I576)</f>
        <v>8550.9599999999991</v>
      </c>
      <c r="I568" s="60" t="str">
        <f>IF(ORCAMENTOS!J576="","",ORCAMENTOS!J576)</f>
        <v/>
      </c>
      <c r="J568" s="40" t="str">
        <f>IF(ORCAMENTOS!L576="","",ORCAMENTOS!L576)</f>
        <v>CANCELADO</v>
      </c>
      <c r="K568" s="34" t="str">
        <f>IF(ORCAMENTOS!M576="","",ORCAMENTOS!M576)</f>
        <v>-</v>
      </c>
      <c r="L568" t="str">
        <f>IF(ORCAMENTOS!R576="","",ORCAMENTOS!R576)</f>
        <v>-</v>
      </c>
    </row>
    <row r="569" spans="1:12" ht="15.75" hidden="1" customHeight="1" x14ac:dyDescent="0.25">
      <c r="A569" s="36">
        <f>IF(ORCAMENTOS!A577="","",ORCAMENTOS!A577)</f>
        <v>45747</v>
      </c>
      <c r="B569" s="46">
        <f>IF(ORCAMENTOS!B577="","",ORCAMENTOS!B577)</f>
        <v>567</v>
      </c>
      <c r="C569" s="46" t="str">
        <f>IF(ORCAMENTOS!C577="","",ORCAMENTOS!C577)</f>
        <v/>
      </c>
      <c r="D569" s="37" t="str">
        <f>IF(ORCAMENTOS!D577="","",ORCAMENTOS!D577)</f>
        <v>REWELL OTAVIO</v>
      </c>
      <c r="E569" s="38" t="str">
        <f>IF(ORCAMENTOS!E577="","",ORCAMENTOS!E577)</f>
        <v>SESI EPITÁCIO - SALAO MULTIUSO</v>
      </c>
      <c r="F569" s="37" t="str">
        <f>IF(ORCAMENTOS!G577="","",ORCAMENTOS!G577)</f>
        <v>Gabriel</v>
      </c>
      <c r="G569" s="37" t="str">
        <f>IF(ORCAMENTOS!H577="","",ORCAMENTOS!H577)</f>
        <v>Rewell</v>
      </c>
      <c r="H569" s="39">
        <f>IF(ORCAMENTOS!I577="","",ORCAMENTOS!I577)</f>
        <v>4226.6499999999996</v>
      </c>
      <c r="I569" s="60" t="str">
        <f>IF(ORCAMENTOS!J577="","",ORCAMENTOS!J577)</f>
        <v/>
      </c>
      <c r="J569" s="40" t="str">
        <f>IF(ORCAMENTOS!L577="","",ORCAMENTOS!L577)</f>
        <v>CANCELADO</v>
      </c>
      <c r="K569" s="34" t="str">
        <f>IF(ORCAMENTOS!M577="","",ORCAMENTOS!M577)</f>
        <v>-</v>
      </c>
      <c r="L569" t="str">
        <f>IF(ORCAMENTOS!R577="","",ORCAMENTOS!R577)</f>
        <v>-</v>
      </c>
    </row>
    <row r="570" spans="1:12" ht="15.75" hidden="1" customHeight="1" x14ac:dyDescent="0.25">
      <c r="A570" s="36">
        <f>IF(ORCAMENTOS!A578="","",ORCAMENTOS!A578)</f>
        <v>45747</v>
      </c>
      <c r="B570" s="46">
        <f>IF(ORCAMENTOS!B578="","",ORCAMENTOS!B578)</f>
        <v>568</v>
      </c>
      <c r="C570" s="46" t="str">
        <f>IF(ORCAMENTOS!C578="","",ORCAMENTOS!C578)</f>
        <v/>
      </c>
      <c r="D570" s="37" t="str">
        <f>IF(ORCAMENTOS!D578="","",ORCAMENTOS!D578)</f>
        <v>RM3 ENGENHARIA</v>
      </c>
      <c r="E570" s="38" t="str">
        <f>IF(ORCAMENTOS!E578="","",ORCAMENTOS!E578)</f>
        <v>PAULISTAO EMPREENDIMENTOS - SERTAOZINHO - SP</v>
      </c>
      <c r="F570" s="37" t="str">
        <f>IF(ORCAMENTOS!G578="","",ORCAMENTOS!G578)</f>
        <v>Guilherme</v>
      </c>
      <c r="G570" s="37" t="str">
        <f>IF(ORCAMENTOS!H578="","",ORCAMENTOS!H578)</f>
        <v>Janice</v>
      </c>
      <c r="H570" s="39">
        <f>IF(ORCAMENTOS!I578="","",ORCAMENTOS!I578)</f>
        <v>7786.44</v>
      </c>
      <c r="I570" s="60" t="str">
        <f>IF(ORCAMENTOS!J578="","",ORCAMENTOS!J578)</f>
        <v/>
      </c>
      <c r="J570" s="40" t="str">
        <f>IF(ORCAMENTOS!L578="","",ORCAMENTOS!L578)</f>
        <v>PERDIDO</v>
      </c>
      <c r="K570" s="34" t="str">
        <f>IF(ORCAMENTOS!M578="","",ORCAMENTOS!M578)</f>
        <v>MULTIVAC - PREÇO</v>
      </c>
      <c r="L570" t="str">
        <f>IF(ORCAMENTOS!R578="","",ORCAMENTOS!R578)</f>
        <v>-</v>
      </c>
    </row>
    <row r="571" spans="1:12" ht="15.75" hidden="1" customHeight="1" x14ac:dyDescent="0.25">
      <c r="A571" s="36">
        <f>IF(ORCAMENTOS!A579="","",ORCAMENTOS!A579)</f>
        <v>45748</v>
      </c>
      <c r="B571" s="46">
        <f>IF(ORCAMENTOS!B579="","",ORCAMENTOS!B579)</f>
        <v>569</v>
      </c>
      <c r="C571" s="46" t="str">
        <f>IF(ORCAMENTOS!C579="","",ORCAMENTOS!C579)</f>
        <v/>
      </c>
      <c r="D571" s="37" t="str">
        <f>IF(ORCAMENTOS!D579="","",ORCAMENTOS!D579)</f>
        <v>POLO NORTE</v>
      </c>
      <c r="E571" s="38" t="str">
        <f>IF(ORCAMENTOS!E579="","",ORCAMENTOS!E579)</f>
        <v>-</v>
      </c>
      <c r="F571" s="37" t="str">
        <f>IF(ORCAMENTOS!G579="","",ORCAMENTOS!G579)</f>
        <v>Emanuel</v>
      </c>
      <c r="G571" s="37" t="str">
        <f>IF(ORCAMENTOS!H579="","",ORCAMENTOS!H579)</f>
        <v>Miriam</v>
      </c>
      <c r="H571" s="39">
        <f>IF(ORCAMENTOS!I579="","",ORCAMENTOS!I579)</f>
        <v>4145.17</v>
      </c>
      <c r="I571" s="60" t="str">
        <f>IF(ORCAMENTOS!J579="","",ORCAMENTOS!J579)</f>
        <v/>
      </c>
      <c r="J571" s="40" t="str">
        <f>IF(ORCAMENTOS!L579="","",ORCAMENTOS!L579)</f>
        <v>CANCELADO</v>
      </c>
      <c r="K571" s="34" t="str">
        <f>IF(ORCAMENTOS!M579="","",ORCAMENTOS!M579)</f>
        <v>-</v>
      </c>
      <c r="L571" t="str">
        <f>IF(ORCAMENTOS!R579="","",ORCAMENTOS!R579)</f>
        <v>-</v>
      </c>
    </row>
    <row r="572" spans="1:12" ht="15.75" hidden="1" customHeight="1" x14ac:dyDescent="0.25">
      <c r="A572" s="36">
        <f>IF(ORCAMENTOS!A580="","",ORCAMENTOS!A580)</f>
        <v>45748</v>
      </c>
      <c r="B572" s="46">
        <f>IF(ORCAMENTOS!B580="","",ORCAMENTOS!B580)</f>
        <v>570</v>
      </c>
      <c r="C572" s="46" t="str">
        <f>IF(ORCAMENTOS!C580="","",ORCAMENTOS!C580)</f>
        <v/>
      </c>
      <c r="D572" s="37" t="str">
        <f>IF(ORCAMENTOS!D580="","",ORCAMENTOS!D580)</f>
        <v>ECOLOGIC AIR</v>
      </c>
      <c r="E572" s="38" t="str">
        <f>IF(ORCAMENTOS!E580="","",ORCAMENTOS!E580)</f>
        <v>SESC GINASIO - RIO DE JANEIRO - RJ</v>
      </c>
      <c r="F572" s="37" t="str">
        <f>IF(ORCAMENTOS!G580="","",ORCAMENTOS!G580)</f>
        <v>Michel</v>
      </c>
      <c r="G572" s="37" t="str">
        <f>IF(ORCAMENTOS!H580="","",ORCAMENTOS!H580)</f>
        <v>Vinicius</v>
      </c>
      <c r="H572" s="39">
        <f>IF(ORCAMENTOS!I580="","",ORCAMENTOS!I580)</f>
        <v>134024.42000000001</v>
      </c>
      <c r="I572" s="60" t="str">
        <f>IF(ORCAMENTOS!J580="","",ORCAMENTOS!J580)</f>
        <v/>
      </c>
      <c r="J572" s="40" t="str">
        <f>IF(ORCAMENTOS!L580="","",ORCAMENTOS!L580)</f>
        <v>CANCELADO</v>
      </c>
      <c r="K572" s="34" t="str">
        <f>IF(ORCAMENTOS!M580="","",ORCAMENTOS!M580)</f>
        <v>-</v>
      </c>
      <c r="L572" t="str">
        <f>IF(ORCAMENTOS!R580="","",ORCAMENTOS!R580)</f>
        <v>-</v>
      </c>
    </row>
    <row r="573" spans="1:12" ht="15.75" hidden="1" customHeight="1" x14ac:dyDescent="0.25">
      <c r="A573" s="36">
        <f>IF(ORCAMENTOS!A581="","",ORCAMENTOS!A581)</f>
        <v>45748</v>
      </c>
      <c r="B573" s="46">
        <f>IF(ORCAMENTOS!B581="","",ORCAMENTOS!B581)</f>
        <v>571</v>
      </c>
      <c r="C573" s="46" t="str">
        <f>IF(ORCAMENTOS!C581="","",ORCAMENTOS!C581)</f>
        <v/>
      </c>
      <c r="D573" s="37" t="str">
        <f>IF(ORCAMENTOS!D581="","",ORCAMENTOS!D581)</f>
        <v>NEXT DUCT</v>
      </c>
      <c r="E573" s="38" t="str">
        <f>IF(ORCAMENTOS!E581="","",ORCAMENTOS!E581)</f>
        <v>-</v>
      </c>
      <c r="F573" s="37" t="str">
        <f>IF(ORCAMENTOS!G581="","",ORCAMENTOS!G581)</f>
        <v>Gabriel</v>
      </c>
      <c r="G573" s="37" t="str">
        <f>IF(ORCAMENTOS!H581="","",ORCAMENTOS!H581)</f>
        <v>Vinicius</v>
      </c>
      <c r="H573" s="39">
        <f>IF(ORCAMENTOS!I581="","",ORCAMENTOS!I581)</f>
        <v>29736</v>
      </c>
      <c r="I573" s="60" t="str">
        <f>IF(ORCAMENTOS!J581="","",ORCAMENTOS!J581)</f>
        <v/>
      </c>
      <c r="J573" s="40" t="str">
        <f>IF(ORCAMENTOS!L581="","",ORCAMENTOS!L581)</f>
        <v>CANCELADO</v>
      </c>
      <c r="K573" s="34" t="str">
        <f>IF(ORCAMENTOS!M581="","",ORCAMENTOS!M581)</f>
        <v>-</v>
      </c>
      <c r="L573" t="str">
        <f>IF(ORCAMENTOS!R581="","",ORCAMENTOS!R581)</f>
        <v>-</v>
      </c>
    </row>
    <row r="574" spans="1:12" ht="15.75" hidden="1" customHeight="1" x14ac:dyDescent="0.25">
      <c r="A574" s="36">
        <f>IF(ORCAMENTOS!A582="","",ORCAMENTOS!A582)</f>
        <v>45748</v>
      </c>
      <c r="B574" s="46">
        <f>IF(ORCAMENTOS!B582="","",ORCAMENTOS!B582)</f>
        <v>572</v>
      </c>
      <c r="C574" s="46" t="str">
        <f>IF(ORCAMENTOS!C582="","",ORCAMENTOS!C582)</f>
        <v/>
      </c>
      <c r="D574" s="37" t="str">
        <f>IF(ORCAMENTOS!D582="","",ORCAMENTOS!D582)</f>
        <v>BMS ENGENHARIA</v>
      </c>
      <c r="E574" s="38" t="str">
        <f>IF(ORCAMENTOS!E582="","",ORCAMENTOS!E582)</f>
        <v>NISSIN - LINHAS COPOS - IBIUNA - SP</v>
      </c>
      <c r="F574" s="37" t="str">
        <f>IF(ORCAMENTOS!G582="","",ORCAMENTOS!G582)</f>
        <v>Guilherme</v>
      </c>
      <c r="G574" s="37" t="str">
        <f>IF(ORCAMENTOS!H582="","",ORCAMENTOS!H582)</f>
        <v>Matheus</v>
      </c>
      <c r="H574" s="39">
        <f>IF(ORCAMENTOS!I582="","",ORCAMENTOS!I582)</f>
        <v>32426.68</v>
      </c>
      <c r="I574" s="60" t="str">
        <f>IF(ORCAMENTOS!J582="","",ORCAMENTOS!J582)</f>
        <v/>
      </c>
      <c r="J574" s="40" t="str">
        <f>IF(ORCAMENTOS!L582="","",ORCAMENTOS!L582)</f>
        <v>CANCELADO</v>
      </c>
      <c r="K574" s="34" t="str">
        <f>IF(ORCAMENTOS!M582="","",ORCAMENTOS!M582)</f>
        <v>AGUARDANDO REVISÃO DE PROJETO</v>
      </c>
      <c r="L574" t="str">
        <f>IF(ORCAMENTOS!R582="","",ORCAMENTOS!R582)</f>
        <v>-</v>
      </c>
    </row>
    <row r="575" spans="1:12" ht="15.75" hidden="1" customHeight="1" x14ac:dyDescent="0.25">
      <c r="A575" s="36">
        <f>IF(ORCAMENTOS!A583="","",ORCAMENTOS!A583)</f>
        <v>45748</v>
      </c>
      <c r="B575" s="46">
        <f>IF(ORCAMENTOS!B583="","",ORCAMENTOS!B583)</f>
        <v>573</v>
      </c>
      <c r="C575" s="46" t="str">
        <f>IF(ORCAMENTOS!C583="","",ORCAMENTOS!C583)</f>
        <v/>
      </c>
      <c r="D575" s="37" t="str">
        <f>IF(ORCAMENTOS!D583="","",ORCAMENTOS!D583)</f>
        <v>BR AR CONDICIONADO</v>
      </c>
      <c r="E575" s="38" t="str">
        <f>IF(ORCAMENTOS!E583="","",ORCAMENTOS!E583)</f>
        <v>-</v>
      </c>
      <c r="F575" s="37" t="str">
        <f>IF(ORCAMENTOS!G583="","",ORCAMENTOS!G583)</f>
        <v>Gabriel</v>
      </c>
      <c r="G575" s="37" t="str">
        <f>IF(ORCAMENTOS!H583="","",ORCAMENTOS!H583)</f>
        <v>Tatiana</v>
      </c>
      <c r="H575" s="39">
        <f>IF(ORCAMENTOS!I583="","",ORCAMENTOS!I583)</f>
        <v>2040.43</v>
      </c>
      <c r="I575" s="60" t="str">
        <f>IF(ORCAMENTOS!J583="","",ORCAMENTOS!J583)</f>
        <v/>
      </c>
      <c r="J575" s="40" t="str">
        <f>IF(ORCAMENTOS!L583="","",ORCAMENTOS!L583)</f>
        <v>CANCELADO</v>
      </c>
      <c r="K575" s="34" t="str">
        <f>IF(ORCAMENTOS!M583="","",ORCAMENTOS!M583)</f>
        <v>-</v>
      </c>
      <c r="L575" t="str">
        <f>IF(ORCAMENTOS!R583="","",ORCAMENTOS!R583)</f>
        <v>-</v>
      </c>
    </row>
    <row r="576" spans="1:12" ht="15.75" hidden="1" customHeight="1" x14ac:dyDescent="0.25">
      <c r="A576" s="36">
        <f>IF(ORCAMENTOS!A584="","",ORCAMENTOS!A584)</f>
        <v>45749</v>
      </c>
      <c r="B576" s="46">
        <f>IF(ORCAMENTOS!B584="","",ORCAMENTOS!B584)</f>
        <v>574</v>
      </c>
      <c r="C576" s="46" t="str">
        <f>IF(ORCAMENTOS!C584="","",ORCAMENTOS!C584)</f>
        <v/>
      </c>
      <c r="D576" s="37" t="str">
        <f>IF(ORCAMENTOS!D584="","",ORCAMENTOS!D584)</f>
        <v>CARLOS ABDALLA</v>
      </c>
      <c r="E576" s="38" t="str">
        <f>IF(ORCAMENTOS!E584="","",ORCAMENTOS!E584)</f>
        <v>RESIDENCIAL ENTRE VERDES - RESIDENCIA CRISTIANE E CARLOS</v>
      </c>
      <c r="F576" s="37" t="str">
        <f>IF(ORCAMENTOS!G584="","",ORCAMENTOS!G584)</f>
        <v>Gabriel</v>
      </c>
      <c r="G576" s="37" t="str">
        <f>IF(ORCAMENTOS!H584="","",ORCAMENTOS!H584)</f>
        <v>Carlos</v>
      </c>
      <c r="H576" s="39">
        <f>IF(ORCAMENTOS!I584="","",ORCAMENTOS!I584)</f>
        <v>27557.82</v>
      </c>
      <c r="I576" s="60" t="str">
        <f>IF(ORCAMENTOS!J584="","",ORCAMENTOS!J584)</f>
        <v/>
      </c>
      <c r="J576" s="40" t="str">
        <f>IF(ORCAMENTOS!L584="","",ORCAMENTOS!L584)</f>
        <v>CANCELADO</v>
      </c>
      <c r="K576" s="34" t="str">
        <f>IF(ORCAMENTOS!M584="","",ORCAMENTOS!M584)</f>
        <v>-</v>
      </c>
      <c r="L576" t="str">
        <f>IF(ORCAMENTOS!R584="","",ORCAMENTOS!R584)</f>
        <v>-</v>
      </c>
    </row>
    <row r="577" spans="1:12" ht="15.75" hidden="1" customHeight="1" x14ac:dyDescent="0.25">
      <c r="A577" s="36">
        <f>IF(ORCAMENTOS!A585="","",ORCAMENTOS!A585)</f>
        <v>45749</v>
      </c>
      <c r="B577" s="46">
        <f>IF(ORCAMENTOS!B585="","",ORCAMENTOS!B585)</f>
        <v>575</v>
      </c>
      <c r="C577" s="46" t="str">
        <f>IF(ORCAMENTOS!C585="","",ORCAMENTOS!C585)</f>
        <v/>
      </c>
      <c r="D577" s="37" t="str">
        <f>IF(ORCAMENTOS!D585="","",ORCAMENTOS!D585)</f>
        <v>PU DUTOS</v>
      </c>
      <c r="E577" s="38" t="str">
        <f>IF(ORCAMENTOS!E585="","",ORCAMENTOS!E585)</f>
        <v>-</v>
      </c>
      <c r="F577" s="37" t="str">
        <f>IF(ORCAMENTOS!G585="","",ORCAMENTOS!G585)</f>
        <v>Gabriel</v>
      </c>
      <c r="G577" s="37" t="str">
        <f>IF(ORCAMENTOS!H585="","",ORCAMENTOS!H585)</f>
        <v>Thiago</v>
      </c>
      <c r="H577" s="39">
        <f>IF(ORCAMENTOS!I585="","",ORCAMENTOS!I585)</f>
        <v>11775.79</v>
      </c>
      <c r="I577" s="60" t="str">
        <f>IF(ORCAMENTOS!J585="","",ORCAMENTOS!J585)</f>
        <v/>
      </c>
      <c r="J577" s="40" t="str">
        <f>IF(ORCAMENTOS!L585="","",ORCAMENTOS!L585)</f>
        <v>CANCELADO</v>
      </c>
      <c r="K577" s="34" t="str">
        <f>IF(ORCAMENTOS!M585="","",ORCAMENTOS!M585)</f>
        <v>-</v>
      </c>
      <c r="L577" t="str">
        <f>IF(ORCAMENTOS!R585="","",ORCAMENTOS!R585)</f>
        <v>-</v>
      </c>
    </row>
    <row r="578" spans="1:12" ht="15.75" hidden="1" customHeight="1" x14ac:dyDescent="0.25">
      <c r="A578" s="36">
        <f>IF(ORCAMENTOS!A586="","",ORCAMENTOS!A586)</f>
        <v>45749</v>
      </c>
      <c r="B578" s="46">
        <f>IF(ORCAMENTOS!B586="","",ORCAMENTOS!B586)</f>
        <v>576</v>
      </c>
      <c r="C578" s="46" t="str">
        <f>IF(ORCAMENTOS!C586="","",ORCAMENTOS!C586)</f>
        <v/>
      </c>
      <c r="D578" s="37" t="str">
        <f>IF(ORCAMENTOS!D586="","",ORCAMENTOS!D586)</f>
        <v>VRG SISTEMAS</v>
      </c>
      <c r="E578" s="38" t="str">
        <f>IF(ORCAMENTOS!E586="","",ORCAMENTOS!E586)</f>
        <v>-</v>
      </c>
      <c r="F578" s="37" t="str">
        <f>IF(ORCAMENTOS!G586="","",ORCAMENTOS!G586)</f>
        <v>Gabriel</v>
      </c>
      <c r="G578" s="37" t="str">
        <f>IF(ORCAMENTOS!H586="","",ORCAMENTOS!H586)</f>
        <v>Flavio</v>
      </c>
      <c r="H578" s="39">
        <f>IF(ORCAMENTOS!I586="","",ORCAMENTOS!I586)</f>
        <v>51808.62</v>
      </c>
      <c r="I578" s="60" t="str">
        <f>IF(ORCAMENTOS!J586="","",ORCAMENTOS!J586)</f>
        <v/>
      </c>
      <c r="J578" s="40" t="str">
        <f>IF(ORCAMENTOS!L586="","",ORCAMENTOS!L586)</f>
        <v>CANCELADO</v>
      </c>
      <c r="K578" s="34" t="str">
        <f>IF(ORCAMENTOS!M586="","",ORCAMENTOS!M586)</f>
        <v>-</v>
      </c>
      <c r="L578" t="str">
        <f>IF(ORCAMENTOS!R586="","",ORCAMENTOS!R586)</f>
        <v>-</v>
      </c>
    </row>
    <row r="579" spans="1:12" ht="15.75" hidden="1" customHeight="1" x14ac:dyDescent="0.25">
      <c r="A579" s="36">
        <f>IF(ORCAMENTOS!A587="","",ORCAMENTOS!A587)</f>
        <v>45749</v>
      </c>
      <c r="B579" s="46">
        <f>IF(ORCAMENTOS!B587="","",ORCAMENTOS!B587)</f>
        <v>577</v>
      </c>
      <c r="C579" s="46" t="str">
        <f>IF(ORCAMENTOS!C587="","",ORCAMENTOS!C587)</f>
        <v/>
      </c>
      <c r="D579" s="37" t="str">
        <f>IF(ORCAMENTOS!D587="","",ORCAMENTOS!D587)</f>
        <v>TERMOCLIMA</v>
      </c>
      <c r="E579" s="38" t="str">
        <f>IF(ORCAMENTOS!E587="","",ORCAMENTOS!E587)</f>
        <v>RESIDENCIA SR GUILHERME - MOCOCA - SP</v>
      </c>
      <c r="F579" s="37" t="str">
        <f>IF(ORCAMENTOS!G587="","",ORCAMENTOS!G587)</f>
        <v>Gabriel</v>
      </c>
      <c r="G579" s="37" t="str">
        <f>IF(ORCAMENTOS!H587="","",ORCAMENTOS!H587)</f>
        <v>Pedro</v>
      </c>
      <c r="H579" s="39">
        <f>IF(ORCAMENTOS!I587="","",ORCAMENTOS!I587)</f>
        <v>11525.04</v>
      </c>
      <c r="I579" s="60" t="str">
        <f>IF(ORCAMENTOS!J587="","",ORCAMENTOS!J587)</f>
        <v/>
      </c>
      <c r="J579" s="40" t="str">
        <f>IF(ORCAMENTOS!L587="","",ORCAMENTOS!L587)</f>
        <v>CANCELADO</v>
      </c>
      <c r="K579" s="34" t="str">
        <f>IF(ORCAMENTOS!M587="","",ORCAMENTOS!M587)</f>
        <v>-</v>
      </c>
      <c r="L579" t="str">
        <f>IF(ORCAMENTOS!R587="","",ORCAMENTOS!R587)</f>
        <v>-</v>
      </c>
    </row>
    <row r="580" spans="1:12" ht="15.75" hidden="1" customHeight="1" x14ac:dyDescent="0.25">
      <c r="A580" s="36">
        <f>IF(ORCAMENTOS!A588="","",ORCAMENTOS!A588)</f>
        <v>45750</v>
      </c>
      <c r="B580" s="46">
        <f>IF(ORCAMENTOS!B588="","",ORCAMENTOS!B588)</f>
        <v>578</v>
      </c>
      <c r="C580" s="46" t="str">
        <f>IF(ORCAMENTOS!C588="","",ORCAMENTOS!C588)</f>
        <v/>
      </c>
      <c r="D580" s="37" t="str">
        <f>IF(ORCAMENTOS!D588="","",ORCAMENTOS!D588)</f>
        <v>EKO CLIMAX</v>
      </c>
      <c r="E580" s="38" t="str">
        <f>IF(ORCAMENTOS!E588="","",ORCAMENTOS!E588)</f>
        <v>-</v>
      </c>
      <c r="F580" s="37" t="str">
        <f>IF(ORCAMENTOS!G588="","",ORCAMENTOS!G588)</f>
        <v>Michel</v>
      </c>
      <c r="G580" s="37" t="str">
        <f>IF(ORCAMENTOS!H588="","",ORCAMENTOS!H588)</f>
        <v>Rogerio</v>
      </c>
      <c r="H580" s="39">
        <f>IF(ORCAMENTOS!I588="","",ORCAMENTOS!I588)</f>
        <v>3701.97</v>
      </c>
      <c r="I580" s="60" t="str">
        <f>IF(ORCAMENTOS!J588="","",ORCAMENTOS!J588)</f>
        <v/>
      </c>
      <c r="J580" s="40" t="str">
        <f>IF(ORCAMENTOS!L588="","",ORCAMENTOS!L588)</f>
        <v>FECHADO</v>
      </c>
      <c r="K580" s="34" t="str">
        <f>IF(ORCAMENTOS!M588="","",ORCAMENTOS!M588)</f>
        <v>-</v>
      </c>
      <c r="L580" t="str">
        <f>IF(ORCAMENTOS!R588="","",ORCAMENTOS!R588)</f>
        <v>-</v>
      </c>
    </row>
    <row r="581" spans="1:12" ht="15.75" hidden="1" customHeight="1" x14ac:dyDescent="0.25">
      <c r="A581" s="36">
        <f>IF(ORCAMENTOS!A589="","",ORCAMENTOS!A589)</f>
        <v>45750</v>
      </c>
      <c r="B581" s="46">
        <f>IF(ORCAMENTOS!B589="","",ORCAMENTOS!B589)</f>
        <v>579</v>
      </c>
      <c r="C581" s="46" t="str">
        <f>IF(ORCAMENTOS!C589="","",ORCAMENTOS!C589)</f>
        <v/>
      </c>
      <c r="D581" s="37" t="str">
        <f>IF(ORCAMENTOS!D589="","",ORCAMENTOS!D589)</f>
        <v>NEWSET</v>
      </c>
      <c r="E581" s="38" t="str">
        <f>IF(ORCAMENTOS!E589="","",ORCAMENTOS!E589)</f>
        <v>SICOOB - GUAXUPE - MG</v>
      </c>
      <c r="F581" s="37" t="str">
        <f>IF(ORCAMENTOS!G589="","",ORCAMENTOS!G589)</f>
        <v xml:space="preserve">Aldavir </v>
      </c>
      <c r="G581" s="37" t="str">
        <f>IF(ORCAMENTOS!H589="","",ORCAMENTOS!H589)</f>
        <v>Rodrigo</v>
      </c>
      <c r="H581" s="39">
        <f>IF(ORCAMENTOS!I589="","",ORCAMENTOS!I589)</f>
        <v>224341.02</v>
      </c>
      <c r="I581" s="60" t="str">
        <f>IF(ORCAMENTOS!J589="","",ORCAMENTOS!J589)</f>
        <v/>
      </c>
      <c r="J581" s="40" t="str">
        <f>IF(ORCAMENTOS!L589="","",ORCAMENTOS!L589)</f>
        <v>CANCELADO</v>
      </c>
      <c r="K581" s="34" t="str">
        <f>IF(ORCAMENTOS!M589="","",ORCAMENTOS!M589)</f>
        <v>-</v>
      </c>
      <c r="L581" t="str">
        <f>IF(ORCAMENTOS!R589="","",ORCAMENTOS!R589)</f>
        <v>-</v>
      </c>
    </row>
    <row r="582" spans="1:12" ht="15.75" hidden="1" customHeight="1" x14ac:dyDescent="0.25">
      <c r="A582" s="36">
        <f>IF(ORCAMENTOS!A590="","",ORCAMENTOS!A590)</f>
        <v>45751</v>
      </c>
      <c r="B582" s="46">
        <f>IF(ORCAMENTOS!B590="","",ORCAMENTOS!B590)</f>
        <v>580</v>
      </c>
      <c r="C582" s="46" t="str">
        <f>IF(ORCAMENTOS!C590="","",ORCAMENTOS!C590)</f>
        <v/>
      </c>
      <c r="D582" s="37" t="str">
        <f>IF(ORCAMENTOS!D590="","",ORCAMENTOS!D590)</f>
        <v>NEXT DUCT</v>
      </c>
      <c r="E582" s="38" t="str">
        <f>IF(ORCAMENTOS!E590="","",ORCAMENTOS!E590)</f>
        <v>-</v>
      </c>
      <c r="F582" s="37" t="str">
        <f>IF(ORCAMENTOS!G590="","",ORCAMENTOS!G590)</f>
        <v>Gabriel</v>
      </c>
      <c r="G582" s="37" t="str">
        <f>IF(ORCAMENTOS!H590="","",ORCAMENTOS!H590)</f>
        <v>Vinicius</v>
      </c>
      <c r="H582" s="39">
        <f>IF(ORCAMENTOS!I590="","",ORCAMENTOS!I590)</f>
        <v>49277.72</v>
      </c>
      <c r="I582" s="60" t="str">
        <f>IF(ORCAMENTOS!J590="","",ORCAMENTOS!J590)</f>
        <v/>
      </c>
      <c r="J582" s="40" t="str">
        <f>IF(ORCAMENTOS!L590="","",ORCAMENTOS!L590)</f>
        <v>FECHADO</v>
      </c>
      <c r="K582" s="34" t="str">
        <f>IF(ORCAMENTOS!M590="","",ORCAMENTOS!M590)</f>
        <v>-</v>
      </c>
      <c r="L582" t="str">
        <f>IF(ORCAMENTOS!R590="","",ORCAMENTOS!R590)</f>
        <v>-</v>
      </c>
    </row>
    <row r="583" spans="1:12" ht="15.75" hidden="1" customHeight="1" x14ac:dyDescent="0.25">
      <c r="A583" s="36">
        <f>IF(ORCAMENTOS!A591="","",ORCAMENTOS!A591)</f>
        <v>45751</v>
      </c>
      <c r="B583" s="46">
        <f>IF(ORCAMENTOS!B591="","",ORCAMENTOS!B591)</f>
        <v>581</v>
      </c>
      <c r="C583" s="46" t="str">
        <f>IF(ORCAMENTOS!C591="","",ORCAMENTOS!C591)</f>
        <v/>
      </c>
      <c r="D583" s="37" t="str">
        <f>IF(ORCAMENTOS!D591="","",ORCAMENTOS!D591)</f>
        <v>NEXT DUCT</v>
      </c>
      <c r="E583" s="38" t="str">
        <f>IF(ORCAMENTOS!E591="","",ORCAMENTOS!E591)</f>
        <v>-</v>
      </c>
      <c r="F583" s="37" t="str">
        <f>IF(ORCAMENTOS!G591="","",ORCAMENTOS!G591)</f>
        <v>Gabriel</v>
      </c>
      <c r="G583" s="37" t="str">
        <f>IF(ORCAMENTOS!H591="","",ORCAMENTOS!H591)</f>
        <v>Vinicius</v>
      </c>
      <c r="H583" s="39">
        <f>IF(ORCAMENTOS!I591="","",ORCAMENTOS!I591)</f>
        <v>42654.64</v>
      </c>
      <c r="I583" s="60" t="str">
        <f>IF(ORCAMENTOS!J591="","",ORCAMENTOS!J591)</f>
        <v/>
      </c>
      <c r="J583" s="40" t="str">
        <f>IF(ORCAMENTOS!L591="","",ORCAMENTOS!L591)</f>
        <v>CANCELADO</v>
      </c>
      <c r="K583" s="34" t="str">
        <f>IF(ORCAMENTOS!M591="","",ORCAMENTOS!M591)</f>
        <v>-</v>
      </c>
      <c r="L583" t="str">
        <f>IF(ORCAMENTOS!R591="","",ORCAMENTOS!R591)</f>
        <v>-</v>
      </c>
    </row>
    <row r="584" spans="1:12" ht="15.75" hidden="1" customHeight="1" x14ac:dyDescent="0.25">
      <c r="A584" s="36">
        <f>IF(ORCAMENTOS!A592="","",ORCAMENTOS!A592)</f>
        <v>45750</v>
      </c>
      <c r="B584" s="46">
        <f>IF(ORCAMENTOS!B592="","",ORCAMENTOS!B592)</f>
        <v>582</v>
      </c>
      <c r="C584" s="46" t="str">
        <f>IF(ORCAMENTOS!C592="","",ORCAMENTOS!C592)</f>
        <v/>
      </c>
      <c r="D584" s="37" t="str">
        <f>IF(ORCAMENTOS!D592="","",ORCAMENTOS!D592)</f>
        <v>BMS ENGENHARIA</v>
      </c>
      <c r="E584" s="38" t="str">
        <f>IF(ORCAMENTOS!E592="","",ORCAMENTOS!E592)</f>
        <v>UNITED AIRLINES - UAGRU - 4WB HANGAR - SÃO PAULO - SP</v>
      </c>
      <c r="F584" s="37" t="str">
        <f>IF(ORCAMENTOS!G592="","",ORCAMENTOS!G592)</f>
        <v>Guilherme</v>
      </c>
      <c r="G584" s="37" t="str">
        <f>IF(ORCAMENTOS!H592="","",ORCAMENTOS!H592)</f>
        <v>Matheus</v>
      </c>
      <c r="H584" s="39">
        <f>IF(ORCAMENTOS!I592="","",ORCAMENTOS!I592)</f>
        <v>379500.4</v>
      </c>
      <c r="I584" s="60" t="str">
        <f>IF(ORCAMENTOS!J592="","",ORCAMENTOS!J592)</f>
        <v/>
      </c>
      <c r="J584" s="40" t="str">
        <f>IF(ORCAMENTOS!L592="","",ORCAMENTOS!L592)</f>
        <v>CANCELADO</v>
      </c>
      <c r="K584" s="34" t="str">
        <f>IF(ORCAMENTOS!M592="","",ORCAMENTOS!M592)</f>
        <v>-</v>
      </c>
      <c r="L584" t="str">
        <f>IF(ORCAMENTOS!R592="","",ORCAMENTOS!R592)</f>
        <v>N/E</v>
      </c>
    </row>
    <row r="585" spans="1:12" ht="15.75" hidden="1" customHeight="1" x14ac:dyDescent="0.25">
      <c r="A585" s="36">
        <f>IF(ORCAMENTOS!A593="","",ORCAMENTOS!A593)</f>
        <v>45750</v>
      </c>
      <c r="B585" s="46">
        <f>IF(ORCAMENTOS!B593="","",ORCAMENTOS!B593)</f>
        <v>583</v>
      </c>
      <c r="C585" s="46" t="str">
        <f>IF(ORCAMENTOS!C593="","",ORCAMENTOS!C593)</f>
        <v/>
      </c>
      <c r="D585" s="37" t="str">
        <f>IF(ORCAMENTOS!D593="","",ORCAMENTOS!D593)</f>
        <v>ASF SERVICOS</v>
      </c>
      <c r="E585" s="38" t="str">
        <f>IF(ORCAMENTOS!E593="","",ORCAMENTOS!E593)</f>
        <v>REFORMA SUPERMERCADO</v>
      </c>
      <c r="F585" s="37" t="str">
        <f>IF(ORCAMENTOS!G593="","",ORCAMENTOS!G593)</f>
        <v>Fernando</v>
      </c>
      <c r="G585" s="37" t="str">
        <f>IF(ORCAMENTOS!H593="","",ORCAMENTOS!H593)</f>
        <v>Andre</v>
      </c>
      <c r="H585" s="39">
        <f>IF(ORCAMENTOS!I593="","",ORCAMENTOS!I593)</f>
        <v>97174.77</v>
      </c>
      <c r="I585" s="60" t="str">
        <f>IF(ORCAMENTOS!J593="","",ORCAMENTOS!J593)</f>
        <v/>
      </c>
      <c r="J585" s="40" t="str">
        <f>IF(ORCAMENTOS!L593="","",ORCAMENTOS!L593)</f>
        <v>CANCELADO</v>
      </c>
      <c r="K585" s="34" t="str">
        <f>IF(ORCAMENTOS!M593="","",ORCAMENTOS!M593)</f>
        <v>CLIENTE NEGOCIANDO</v>
      </c>
      <c r="L585" t="str">
        <f>IF(ORCAMENTOS!R593="","",ORCAMENTOS!R593)</f>
        <v>-</v>
      </c>
    </row>
    <row r="586" spans="1:12" ht="15.75" hidden="1" customHeight="1" x14ac:dyDescent="0.25">
      <c r="A586" s="36">
        <f>IF(ORCAMENTOS!A594="","",ORCAMENTOS!A594)</f>
        <v>45751</v>
      </c>
      <c r="B586" s="46">
        <f>IF(ORCAMENTOS!B594="","",ORCAMENTOS!B594)</f>
        <v>584</v>
      </c>
      <c r="C586" s="46" t="str">
        <f>IF(ORCAMENTOS!C594="","",ORCAMENTOS!C594)</f>
        <v/>
      </c>
      <c r="D586" s="37" t="str">
        <f>IF(ORCAMENTOS!D594="","",ORCAMENTOS!D594)</f>
        <v>K SET</v>
      </c>
      <c r="E586" s="38" t="str">
        <f>IF(ORCAMENTOS!E594="","",ORCAMENTOS!E594)</f>
        <v>-</v>
      </c>
      <c r="F586" s="37" t="str">
        <f>IF(ORCAMENTOS!G594="","",ORCAMENTOS!G594)</f>
        <v>Gabriel</v>
      </c>
      <c r="G586" s="37" t="str">
        <f>IF(ORCAMENTOS!H594="","",ORCAMENTOS!H594)</f>
        <v>Lana</v>
      </c>
      <c r="H586" s="39">
        <f>IF(ORCAMENTOS!I594="","",ORCAMENTOS!I594)</f>
        <v>3533.63</v>
      </c>
      <c r="I586" s="60" t="str">
        <f>IF(ORCAMENTOS!J594="","",ORCAMENTOS!J594)</f>
        <v/>
      </c>
      <c r="J586" s="40" t="str">
        <f>IF(ORCAMENTOS!L594="","",ORCAMENTOS!L594)</f>
        <v>FECHADO</v>
      </c>
      <c r="K586" s="34" t="str">
        <f>IF(ORCAMENTOS!M594="","",ORCAMENTOS!M594)</f>
        <v>-</v>
      </c>
      <c r="L586" t="str">
        <f>IF(ORCAMENTOS!R594="","",ORCAMENTOS!R594)</f>
        <v>-</v>
      </c>
    </row>
    <row r="587" spans="1:12" ht="15.75" hidden="1" customHeight="1" x14ac:dyDescent="0.25">
      <c r="A587" s="36">
        <f>IF(ORCAMENTOS!A595="","",ORCAMENTOS!A595)</f>
        <v>45751</v>
      </c>
      <c r="B587" s="46">
        <f>IF(ORCAMENTOS!B595="","",ORCAMENTOS!B595)</f>
        <v>585</v>
      </c>
      <c r="C587" s="46" t="str">
        <f>IF(ORCAMENTOS!C595="","",ORCAMENTOS!C595)</f>
        <v/>
      </c>
      <c r="D587" s="37" t="str">
        <f>IF(ORCAMENTOS!D595="","",ORCAMENTOS!D595)</f>
        <v>THERMOPOLO</v>
      </c>
      <c r="E587" s="38" t="str">
        <f>IF(ORCAMENTOS!E595="","",ORCAMENTOS!E595)</f>
        <v>BAYPAR - FABRICA COSMO - VINHEDO - SP</v>
      </c>
      <c r="F587" s="37" t="str">
        <f>IF(ORCAMENTOS!G595="","",ORCAMENTOS!G595)</f>
        <v xml:space="preserve">Aldavir </v>
      </c>
      <c r="G587" s="37" t="str">
        <f>IF(ORCAMENTOS!H595="","",ORCAMENTOS!H595)</f>
        <v>Veruza</v>
      </c>
      <c r="H587" s="39">
        <f>IF(ORCAMENTOS!I595="","",ORCAMENTOS!I595)</f>
        <v>219146.22</v>
      </c>
      <c r="I587" s="60" t="str">
        <f>IF(ORCAMENTOS!J595="","",ORCAMENTOS!J595)</f>
        <v/>
      </c>
      <c r="J587" s="40" t="str">
        <f>IF(ORCAMENTOS!L595="","",ORCAMENTOS!L595)</f>
        <v>PERDIDO</v>
      </c>
      <c r="K587" s="34" t="str">
        <f>IF(ORCAMENTOS!M595="","",ORCAMENTOS!M595)</f>
        <v>PERDIDO MULTIVAC - PREÇO</v>
      </c>
      <c r="L587" t="str">
        <f>IF(ORCAMENTOS!R595="","",ORCAMENTOS!R595)</f>
        <v>-</v>
      </c>
    </row>
    <row r="588" spans="1:12" ht="15.75" hidden="1" customHeight="1" x14ac:dyDescent="0.25">
      <c r="A588" s="36">
        <f>IF(ORCAMENTOS!A596="","",ORCAMENTOS!A596)</f>
        <v>45754</v>
      </c>
      <c r="B588" s="46">
        <f>IF(ORCAMENTOS!B596="","",ORCAMENTOS!B596)</f>
        <v>586</v>
      </c>
      <c r="C588" s="46" t="str">
        <f>IF(ORCAMENTOS!C596="","",ORCAMENTOS!C596)</f>
        <v/>
      </c>
      <c r="D588" s="37" t="str">
        <f>IF(ORCAMENTOS!D596="","",ORCAMENTOS!D596)</f>
        <v>RENTH THERM</v>
      </c>
      <c r="E588" s="38" t="str">
        <f>IF(ORCAMENTOS!E596="","",ORCAMENTOS!E596)</f>
        <v>NOVA SEDE MMV - SP - FASE 1</v>
      </c>
      <c r="F588" s="37" t="str">
        <f>IF(ORCAMENTOS!G596="","",ORCAMENTOS!G596)</f>
        <v>Fernando</v>
      </c>
      <c r="G588" s="37" t="str">
        <f>IF(ORCAMENTOS!H596="","",ORCAMENTOS!H596)</f>
        <v>Andressa</v>
      </c>
      <c r="H588" s="39">
        <f>IF(ORCAMENTOS!I596="","",ORCAMENTOS!I596)</f>
        <v>12033.17</v>
      </c>
      <c r="I588" s="60" t="str">
        <f>IF(ORCAMENTOS!J596="","",ORCAMENTOS!J596)</f>
        <v/>
      </c>
      <c r="J588" s="40" t="str">
        <f>IF(ORCAMENTOS!L596="","",ORCAMENTOS!L596)</f>
        <v>CANCELADO</v>
      </c>
      <c r="K588" s="34" t="str">
        <f>IF(ORCAMENTOS!M596="","",ORCAMENTOS!M596)</f>
        <v>Cliente Negociando</v>
      </c>
      <c r="L588" t="str">
        <f>IF(ORCAMENTOS!R596="","",ORCAMENTOS!R596)</f>
        <v>-</v>
      </c>
    </row>
    <row r="589" spans="1:12" ht="15.75" hidden="1" customHeight="1" x14ac:dyDescent="0.25">
      <c r="A589" s="36">
        <f>IF(ORCAMENTOS!A597="","",ORCAMENTOS!A597)</f>
        <v>45754</v>
      </c>
      <c r="B589" s="46">
        <f>IF(ORCAMENTOS!B597="","",ORCAMENTOS!B597)</f>
        <v>587</v>
      </c>
      <c r="C589" s="46" t="str">
        <f>IF(ORCAMENTOS!C597="","",ORCAMENTOS!C597)</f>
        <v/>
      </c>
      <c r="D589" s="37" t="str">
        <f>IF(ORCAMENTOS!D597="","",ORCAMENTOS!D597)</f>
        <v>RENTH THERM</v>
      </c>
      <c r="E589" s="38" t="str">
        <f>IF(ORCAMENTOS!E597="","",ORCAMENTOS!E597)</f>
        <v>NOVA SEDE MMV - SP - FASE 1</v>
      </c>
      <c r="F589" s="37" t="str">
        <f>IF(ORCAMENTOS!G597="","",ORCAMENTOS!G597)</f>
        <v>Fernando</v>
      </c>
      <c r="G589" s="37" t="str">
        <f>IF(ORCAMENTOS!H597="","",ORCAMENTOS!H597)</f>
        <v>Andressa</v>
      </c>
      <c r="H589" s="39">
        <f>IF(ORCAMENTOS!I597="","",ORCAMENTOS!I597)</f>
        <v>12955.12</v>
      </c>
      <c r="I589" s="60" t="str">
        <f>IF(ORCAMENTOS!J597="","",ORCAMENTOS!J597)</f>
        <v/>
      </c>
      <c r="J589" s="40" t="str">
        <f>IF(ORCAMENTOS!L597="","",ORCAMENTOS!L597)</f>
        <v>CANCELADO</v>
      </c>
      <c r="K589" s="34" t="str">
        <f>IF(ORCAMENTOS!M597="","",ORCAMENTOS!M597)</f>
        <v>Cliente Negociando</v>
      </c>
      <c r="L589" t="str">
        <f>IF(ORCAMENTOS!R597="","",ORCAMENTOS!R597)</f>
        <v>-</v>
      </c>
    </row>
    <row r="590" spans="1:12" ht="15.75" hidden="1" customHeight="1" x14ac:dyDescent="0.25">
      <c r="A590" s="36">
        <f>IF(ORCAMENTOS!A598="","",ORCAMENTOS!A598)</f>
        <v>45754</v>
      </c>
      <c r="B590" s="46">
        <f>IF(ORCAMENTOS!B598="","",ORCAMENTOS!B598)</f>
        <v>588</v>
      </c>
      <c r="C590" s="46" t="str">
        <f>IF(ORCAMENTOS!C598="","",ORCAMENTOS!C598)</f>
        <v/>
      </c>
      <c r="D590" s="37" t="str">
        <f>IF(ORCAMENTOS!D598="","",ORCAMENTOS!D598)</f>
        <v>RENTH THERM</v>
      </c>
      <c r="E590" s="38" t="str">
        <f>IF(ORCAMENTOS!E598="","",ORCAMENTOS!E598)</f>
        <v>NOVA SEDE MMV - SP - FASE 2</v>
      </c>
      <c r="F590" s="37" t="str">
        <f>IF(ORCAMENTOS!G598="","",ORCAMENTOS!G598)</f>
        <v>Fernando</v>
      </c>
      <c r="G590" s="37" t="str">
        <f>IF(ORCAMENTOS!H598="","",ORCAMENTOS!H598)</f>
        <v>Andressa</v>
      </c>
      <c r="H590" s="39">
        <f>IF(ORCAMENTOS!I598="","",ORCAMENTOS!I598)</f>
        <v>26696.7</v>
      </c>
      <c r="I590" s="60" t="str">
        <f>IF(ORCAMENTOS!J598="","",ORCAMENTOS!J598)</f>
        <v/>
      </c>
      <c r="J590" s="40" t="str">
        <f>IF(ORCAMENTOS!L598="","",ORCAMENTOS!L598)</f>
        <v>CANCELADO</v>
      </c>
      <c r="K590" s="34" t="str">
        <f>IF(ORCAMENTOS!M598="","",ORCAMENTOS!M598)</f>
        <v>Cliente Negociando</v>
      </c>
      <c r="L590" t="str">
        <f>IF(ORCAMENTOS!R598="","",ORCAMENTOS!R598)</f>
        <v>-</v>
      </c>
    </row>
    <row r="591" spans="1:12" ht="15.75" hidden="1" customHeight="1" x14ac:dyDescent="0.25">
      <c r="A591" s="36">
        <f>IF(ORCAMENTOS!A599="","",ORCAMENTOS!A599)</f>
        <v>45754</v>
      </c>
      <c r="B591" s="46">
        <f>IF(ORCAMENTOS!B599="","",ORCAMENTOS!B599)</f>
        <v>589</v>
      </c>
      <c r="C591" s="46" t="str">
        <f>IF(ORCAMENTOS!C599="","",ORCAMENTOS!C599)</f>
        <v/>
      </c>
      <c r="D591" s="37" t="str">
        <f>IF(ORCAMENTOS!D599="","",ORCAMENTOS!D599)</f>
        <v>RENTH THERM</v>
      </c>
      <c r="E591" s="38" t="str">
        <f>IF(ORCAMENTOS!E599="","",ORCAMENTOS!E599)</f>
        <v>NOVA SEDE MMV - SP - FASE 2</v>
      </c>
      <c r="F591" s="37" t="str">
        <f>IF(ORCAMENTOS!G599="","",ORCAMENTOS!G599)</f>
        <v>Fernando</v>
      </c>
      <c r="G591" s="37" t="str">
        <f>IF(ORCAMENTOS!H599="","",ORCAMENTOS!H599)</f>
        <v>Andressa</v>
      </c>
      <c r="H591" s="39">
        <f>IF(ORCAMENTOS!I599="","",ORCAMENTOS!I599)</f>
        <v>32983.230000000003</v>
      </c>
      <c r="I591" s="60" t="str">
        <f>IF(ORCAMENTOS!J599="","",ORCAMENTOS!J599)</f>
        <v/>
      </c>
      <c r="J591" s="40" t="str">
        <f>IF(ORCAMENTOS!L599="","",ORCAMENTOS!L599)</f>
        <v>CANCELADO</v>
      </c>
      <c r="K591" s="34" t="str">
        <f>IF(ORCAMENTOS!M599="","",ORCAMENTOS!M599)</f>
        <v>Cliente Negociando</v>
      </c>
      <c r="L591" t="str">
        <f>IF(ORCAMENTOS!R599="","",ORCAMENTOS!R599)</f>
        <v>-</v>
      </c>
    </row>
    <row r="592" spans="1:12" ht="15.75" hidden="1" customHeight="1" x14ac:dyDescent="0.25">
      <c r="A592" s="36">
        <f>IF(ORCAMENTOS!A600="","",ORCAMENTOS!A600)</f>
        <v>45754</v>
      </c>
      <c r="B592" s="46">
        <f>IF(ORCAMENTOS!B600="","",ORCAMENTOS!B600)</f>
        <v>590</v>
      </c>
      <c r="C592" s="46" t="str">
        <f>IF(ORCAMENTOS!C600="","",ORCAMENTOS!C600)</f>
        <v/>
      </c>
      <c r="D592" s="37" t="str">
        <f>IF(ORCAMENTOS!D600="","",ORCAMENTOS!D600)</f>
        <v>RENTH THERM</v>
      </c>
      <c r="E592" s="38" t="str">
        <f>IF(ORCAMENTOS!E600="","",ORCAMENTOS!E600)</f>
        <v>NOVA SEDE MMV - SP - FASE 3</v>
      </c>
      <c r="F592" s="37" t="str">
        <f>IF(ORCAMENTOS!G600="","",ORCAMENTOS!G600)</f>
        <v>Fernando</v>
      </c>
      <c r="G592" s="37" t="str">
        <f>IF(ORCAMENTOS!H600="","",ORCAMENTOS!H600)</f>
        <v>Andressa</v>
      </c>
      <c r="H592" s="39">
        <f>IF(ORCAMENTOS!I600="","",ORCAMENTOS!I600)</f>
        <v>16627.48</v>
      </c>
      <c r="I592" s="60" t="str">
        <f>IF(ORCAMENTOS!J600="","",ORCAMENTOS!J600)</f>
        <v/>
      </c>
      <c r="J592" s="40" t="str">
        <f>IF(ORCAMENTOS!L600="","",ORCAMENTOS!L600)</f>
        <v>CANCELADO</v>
      </c>
      <c r="K592" s="34" t="str">
        <f>IF(ORCAMENTOS!M600="","",ORCAMENTOS!M600)</f>
        <v>Cliente Negociando</v>
      </c>
      <c r="L592" t="str">
        <f>IF(ORCAMENTOS!R600="","",ORCAMENTOS!R600)</f>
        <v>-</v>
      </c>
    </row>
    <row r="593" spans="1:12" ht="15.75" hidden="1" customHeight="1" x14ac:dyDescent="0.25">
      <c r="A593" s="36">
        <f>IF(ORCAMENTOS!A601="","",ORCAMENTOS!A601)</f>
        <v>45754</v>
      </c>
      <c r="B593" s="46">
        <f>IF(ORCAMENTOS!B601="","",ORCAMENTOS!B601)</f>
        <v>591</v>
      </c>
      <c r="C593" s="46" t="str">
        <f>IF(ORCAMENTOS!C601="","",ORCAMENTOS!C601)</f>
        <v/>
      </c>
      <c r="D593" s="37" t="str">
        <f>IF(ORCAMENTOS!D601="","",ORCAMENTOS!D601)</f>
        <v>RENTH THERM</v>
      </c>
      <c r="E593" s="38" t="str">
        <f>IF(ORCAMENTOS!E601="","",ORCAMENTOS!E601)</f>
        <v>NOVA SEDE MMV - SP - FASE 3</v>
      </c>
      <c r="F593" s="37" t="str">
        <f>IF(ORCAMENTOS!G601="","",ORCAMENTOS!G601)</f>
        <v>Fernando</v>
      </c>
      <c r="G593" s="37" t="str">
        <f>IF(ORCAMENTOS!H601="","",ORCAMENTOS!H601)</f>
        <v>Andressa</v>
      </c>
      <c r="H593" s="39">
        <f>IF(ORCAMENTOS!I601="","",ORCAMENTOS!I601)</f>
        <v>20689.82</v>
      </c>
      <c r="I593" s="60" t="str">
        <f>IF(ORCAMENTOS!J601="","",ORCAMENTOS!J601)</f>
        <v/>
      </c>
      <c r="J593" s="40" t="str">
        <f>IF(ORCAMENTOS!L601="","",ORCAMENTOS!L601)</f>
        <v>CANCELADO</v>
      </c>
      <c r="K593" s="34" t="str">
        <f>IF(ORCAMENTOS!M601="","",ORCAMENTOS!M601)</f>
        <v>Cliente Negociando</v>
      </c>
      <c r="L593" t="str">
        <f>IF(ORCAMENTOS!R601="","",ORCAMENTOS!R601)</f>
        <v/>
      </c>
    </row>
    <row r="594" spans="1:12" ht="15.75" hidden="1" customHeight="1" x14ac:dyDescent="0.25">
      <c r="A594" s="36">
        <f>IF(ORCAMENTOS!A602="","",ORCAMENTOS!A602)</f>
        <v>45756</v>
      </c>
      <c r="B594" s="46">
        <f>IF(ORCAMENTOS!B602="","",ORCAMENTOS!B602)</f>
        <v>592</v>
      </c>
      <c r="C594" s="46" t="str">
        <f>IF(ORCAMENTOS!C602="","",ORCAMENTOS!C602)</f>
        <v/>
      </c>
      <c r="D594" s="37" t="str">
        <f>IF(ORCAMENTOS!D602="","",ORCAMENTOS!D602)</f>
        <v>RICH ENGENHARIA</v>
      </c>
      <c r="E594" s="38" t="str">
        <f>IF(ORCAMENTOS!E602="","",ORCAMENTOS!E602)</f>
        <v>RESIDENCIA ANDRE SAITO - ITU - SP</v>
      </c>
      <c r="F594" s="37" t="str">
        <f>IF(ORCAMENTOS!G602="","",ORCAMENTOS!G602)</f>
        <v>Guilherme</v>
      </c>
      <c r="G594" s="37" t="str">
        <f>IF(ORCAMENTOS!H602="","",ORCAMENTOS!H602)</f>
        <v>Ricardo</v>
      </c>
      <c r="H594" s="39">
        <f>IF(ORCAMENTOS!I602="","",ORCAMENTOS!I602)</f>
        <v>7347.05</v>
      </c>
      <c r="I594" s="60" t="str">
        <f>IF(ORCAMENTOS!J602="","",ORCAMENTOS!J602)</f>
        <v/>
      </c>
      <c r="J594" s="40" t="str">
        <f>IF(ORCAMENTOS!L602="","",ORCAMENTOS!L602)</f>
        <v>CANCELADO</v>
      </c>
      <c r="K594" s="34" t="str">
        <f>IF(ORCAMENTOS!M602="","",ORCAMENTOS!M602)</f>
        <v>-</v>
      </c>
      <c r="L594" t="str">
        <f>IF(ORCAMENTOS!R602="","",ORCAMENTOS!R602)</f>
        <v>-</v>
      </c>
    </row>
    <row r="595" spans="1:12" ht="15.75" hidden="1" customHeight="1" x14ac:dyDescent="0.25">
      <c r="A595" s="36">
        <f>IF(ORCAMENTOS!A603="","",ORCAMENTOS!A603)</f>
        <v>45751</v>
      </c>
      <c r="B595" s="46">
        <f>IF(ORCAMENTOS!B603="","",ORCAMENTOS!B603)</f>
        <v>593</v>
      </c>
      <c r="C595" s="46" t="str">
        <f>IF(ORCAMENTOS!C603="","",ORCAMENTOS!C603)</f>
        <v/>
      </c>
      <c r="D595" s="37" t="str">
        <f>IF(ORCAMENTOS!D603="","",ORCAMENTOS!D603)</f>
        <v>PRINSTARC</v>
      </c>
      <c r="E595" s="38" t="str">
        <f>IF(ORCAMENTOS!E603="","",ORCAMENTOS!E603)</f>
        <v>-</v>
      </c>
      <c r="F595" s="37" t="str">
        <f>IF(ORCAMENTOS!G603="","",ORCAMENTOS!G603)</f>
        <v>Gabriel</v>
      </c>
      <c r="G595" s="37" t="str">
        <f>IF(ORCAMENTOS!H603="","",ORCAMENTOS!H603)</f>
        <v>Glauco</v>
      </c>
      <c r="H595" s="39">
        <f>IF(ORCAMENTOS!I603="","",ORCAMENTOS!I603)</f>
        <v>12929.18</v>
      </c>
      <c r="I595" s="60" t="str">
        <f>IF(ORCAMENTOS!J603="","",ORCAMENTOS!J603)</f>
        <v/>
      </c>
      <c r="J595" s="40" t="str">
        <f>IF(ORCAMENTOS!L603="","",ORCAMENTOS!L603)</f>
        <v>CANCELADO</v>
      </c>
      <c r="K595" s="34" t="str">
        <f>IF(ORCAMENTOS!M603="","",ORCAMENTOS!M603)</f>
        <v>-</v>
      </c>
      <c r="L595" t="str">
        <f>IF(ORCAMENTOS!R603="","",ORCAMENTOS!R603)</f>
        <v>-</v>
      </c>
    </row>
    <row r="596" spans="1:12" ht="15.75" hidden="1" customHeight="1" x14ac:dyDescent="0.25">
      <c r="A596" s="36">
        <f>IF(ORCAMENTOS!A604="","",ORCAMENTOS!A604)</f>
        <v>45754</v>
      </c>
      <c r="B596" s="46">
        <f>IF(ORCAMENTOS!B604="","",ORCAMENTOS!B604)</f>
        <v>594</v>
      </c>
      <c r="C596" s="46" t="str">
        <f>IF(ORCAMENTOS!C604="","",ORCAMENTOS!C604)</f>
        <v/>
      </c>
      <c r="D596" s="37" t="str">
        <f>IF(ORCAMENTOS!D604="","",ORCAMENTOS!D604)</f>
        <v>CLIMA SPACE</v>
      </c>
      <c r="E596" s="38" t="str">
        <f>IF(ORCAMENTOS!E604="","",ORCAMENTOS!E604)</f>
        <v>RIJK ZWAAN - OS. 1933</v>
      </c>
      <c r="F596" s="37" t="str">
        <f>IF(ORCAMENTOS!G604="","",ORCAMENTOS!G604)</f>
        <v xml:space="preserve">Aldavir </v>
      </c>
      <c r="G596" s="37" t="str">
        <f>IF(ORCAMENTOS!H604="","",ORCAMENTOS!H604)</f>
        <v>Sirley</v>
      </c>
      <c r="H596" s="39">
        <f>IF(ORCAMENTOS!I604="","",ORCAMENTOS!I604)</f>
        <v>17435.5</v>
      </c>
      <c r="I596" s="60" t="str">
        <f>IF(ORCAMENTOS!J604="","",ORCAMENTOS!J604)</f>
        <v/>
      </c>
      <c r="J596" s="40" t="str">
        <f>IF(ORCAMENTOS!L604="","",ORCAMENTOS!L604)</f>
        <v>FECHADO</v>
      </c>
      <c r="K596" s="34" t="str">
        <f>IF(ORCAMENTOS!M604="","",ORCAMENTOS!M604)</f>
        <v>-</v>
      </c>
      <c r="L596" t="str">
        <f>IF(ORCAMENTOS!R604="","",ORCAMENTOS!R604)</f>
        <v>-</v>
      </c>
    </row>
    <row r="597" spans="1:12" ht="15.75" hidden="1" customHeight="1" x14ac:dyDescent="0.25">
      <c r="A597" s="36">
        <f>IF(ORCAMENTOS!A605="","",ORCAMENTOS!A605)</f>
        <v>45754</v>
      </c>
      <c r="B597" s="46">
        <f>IF(ORCAMENTOS!B605="","",ORCAMENTOS!B605)</f>
        <v>595</v>
      </c>
      <c r="C597" s="46" t="str">
        <f>IF(ORCAMENTOS!C605="","",ORCAMENTOS!C605)</f>
        <v/>
      </c>
      <c r="D597" s="37" t="str">
        <f>IF(ORCAMENTOS!D605="","",ORCAMENTOS!D605)</f>
        <v>RDS ENGENHARIA</v>
      </c>
      <c r="E597" s="38" t="str">
        <f>IF(ORCAMENTOS!E605="","",ORCAMENTOS!E605)</f>
        <v>SISNOR PARANÁ - HOSPITAL DO CORAÇÃO</v>
      </c>
      <c r="F597" s="37" t="str">
        <f>IF(ORCAMENTOS!G605="","",ORCAMENTOS!G605)</f>
        <v xml:space="preserve">Aldavir </v>
      </c>
      <c r="G597" s="37" t="str">
        <f>IF(ORCAMENTOS!H605="","",ORCAMENTOS!H605)</f>
        <v>Tayna</v>
      </c>
      <c r="H597" s="39">
        <f>IF(ORCAMENTOS!I605="","",ORCAMENTOS!I605)</f>
        <v>30852.1</v>
      </c>
      <c r="I597" s="60" t="str">
        <f>IF(ORCAMENTOS!J605="","",ORCAMENTOS!J605)</f>
        <v/>
      </c>
      <c r="J597" s="40" t="str">
        <f>IF(ORCAMENTOS!L605="","",ORCAMENTOS!L605)</f>
        <v>CANCELADO</v>
      </c>
      <c r="K597" s="34" t="str">
        <f>IF(ORCAMENTOS!M605="","",ORCAMENTOS!M605)</f>
        <v/>
      </c>
      <c r="L597" t="str">
        <f>IF(ORCAMENTOS!R605="","",ORCAMENTOS!R605)</f>
        <v>-</v>
      </c>
    </row>
    <row r="598" spans="1:12" ht="15.75" hidden="1" customHeight="1" x14ac:dyDescent="0.25">
      <c r="A598" s="36">
        <f>IF(ORCAMENTOS!A606="","",ORCAMENTOS!A606)</f>
        <v>45754</v>
      </c>
      <c r="B598" s="46">
        <f>IF(ORCAMENTOS!B606="","",ORCAMENTOS!B606)</f>
        <v>596</v>
      </c>
      <c r="C598" s="46" t="str">
        <f>IF(ORCAMENTOS!C606="","",ORCAMENTOS!C606)</f>
        <v/>
      </c>
      <c r="D598" s="37" t="str">
        <f>IF(ORCAMENTOS!D606="","",ORCAMENTOS!D606)</f>
        <v>FRIOCENTER</v>
      </c>
      <c r="E598" s="38" t="str">
        <f>IF(ORCAMENTOS!E606="","",ORCAMENTOS!E606)</f>
        <v>XPM LOGISTICA</v>
      </c>
      <c r="F598" s="37" t="str">
        <f>IF(ORCAMENTOS!G606="","",ORCAMENTOS!G606)</f>
        <v xml:space="preserve">Aldavir </v>
      </c>
      <c r="G598" s="37" t="str">
        <f>IF(ORCAMENTOS!H606="","",ORCAMENTOS!H606)</f>
        <v>André</v>
      </c>
      <c r="H598" s="39">
        <f>IF(ORCAMENTOS!I606="","",ORCAMENTOS!I606)</f>
        <v>31204.66</v>
      </c>
      <c r="I598" s="60" t="str">
        <f>IF(ORCAMENTOS!J606="","",ORCAMENTOS!J606)</f>
        <v/>
      </c>
      <c r="J598" s="40" t="str">
        <f>IF(ORCAMENTOS!L606="","",ORCAMENTOS!L606)</f>
        <v>CANCELADO</v>
      </c>
      <c r="K598" s="34" t="str">
        <f>IF(ORCAMENTOS!M606="","",ORCAMENTOS!M606)</f>
        <v/>
      </c>
      <c r="L598" t="str">
        <f>IF(ORCAMENTOS!R606="","",ORCAMENTOS!R606)</f>
        <v>-</v>
      </c>
    </row>
    <row r="599" spans="1:12" ht="15.75" hidden="1" customHeight="1" x14ac:dyDescent="0.25">
      <c r="A599" s="36">
        <f>IF(ORCAMENTOS!A607="","",ORCAMENTOS!A607)</f>
        <v>45754</v>
      </c>
      <c r="B599" s="46">
        <f>IF(ORCAMENTOS!B607="","",ORCAMENTOS!B607)</f>
        <v>597</v>
      </c>
      <c r="C599" s="46" t="str">
        <f>IF(ORCAMENTOS!C607="","",ORCAMENTOS!C607)</f>
        <v/>
      </c>
      <c r="D599" s="37" t="str">
        <f>IF(ORCAMENTOS!D607="","",ORCAMENTOS!D607)</f>
        <v>TERMODINAMICA</v>
      </c>
      <c r="E599" s="38" t="str">
        <f>IF(ORCAMENTOS!E607="","",ORCAMENTOS!E607)</f>
        <v>ESTOQUE</v>
      </c>
      <c r="F599" s="37" t="str">
        <f>IF(ORCAMENTOS!G607="","",ORCAMENTOS!G607)</f>
        <v xml:space="preserve">Aldavir </v>
      </c>
      <c r="G599" s="37" t="str">
        <f>IF(ORCAMENTOS!H607="","",ORCAMENTOS!H607)</f>
        <v>James</v>
      </c>
      <c r="H599" s="39">
        <f>IF(ORCAMENTOS!I607="","",ORCAMENTOS!I607)</f>
        <v>17554.47</v>
      </c>
      <c r="I599" s="60" t="str">
        <f>IF(ORCAMENTOS!J607="","",ORCAMENTOS!J607)</f>
        <v/>
      </c>
      <c r="J599" s="40" t="str">
        <f>IF(ORCAMENTOS!L607="","",ORCAMENTOS!L607)</f>
        <v>CANCELADO</v>
      </c>
      <c r="K599" s="34" t="str">
        <f>IF(ORCAMENTOS!M607="","",ORCAMENTOS!M607)</f>
        <v/>
      </c>
      <c r="L599" t="str">
        <f>IF(ORCAMENTOS!R607="","",ORCAMENTOS!R607)</f>
        <v>-</v>
      </c>
    </row>
    <row r="600" spans="1:12" ht="15.75" hidden="1" customHeight="1" x14ac:dyDescent="0.25">
      <c r="A600" s="36">
        <f>IF(ORCAMENTOS!A608="","",ORCAMENTOS!A608)</f>
        <v>45754</v>
      </c>
      <c r="B600" s="46">
        <f>IF(ORCAMENTOS!B608="","",ORCAMENTOS!B608)</f>
        <v>598</v>
      </c>
      <c r="C600" s="46" t="str">
        <f>IF(ORCAMENTOS!C608="","",ORCAMENTOS!C608)</f>
        <v/>
      </c>
      <c r="D600" s="37" t="str">
        <f>IF(ORCAMENTOS!D608="","",ORCAMENTOS!D608)</f>
        <v>INOVECTOR</v>
      </c>
      <c r="E600" s="38" t="str">
        <f>IF(ORCAMENTOS!E608="","",ORCAMENTOS!E608)</f>
        <v>CNPEM - REQ 2.05</v>
      </c>
      <c r="F600" s="37" t="str">
        <f>IF(ORCAMENTOS!G608="","",ORCAMENTOS!G608)</f>
        <v>Fernando</v>
      </c>
      <c r="G600" s="37" t="str">
        <f>IF(ORCAMENTOS!H608="","",ORCAMENTOS!H608)</f>
        <v>Cristina</v>
      </c>
      <c r="H600" s="39">
        <f>IF(ORCAMENTOS!I608="","",ORCAMENTOS!I608)</f>
        <v>5682.08</v>
      </c>
      <c r="I600" s="60" t="str">
        <f>IF(ORCAMENTOS!J608="","",ORCAMENTOS!J608)</f>
        <v/>
      </c>
      <c r="J600" s="40" t="str">
        <f>IF(ORCAMENTOS!L608="","",ORCAMENTOS!L608)</f>
        <v>PERDIDO</v>
      </c>
      <c r="K600" s="34" t="str">
        <f>IF(ORCAMENTOS!M608="","",ORCAMENTOS!M608)</f>
        <v>MULTIVAC PACOTE</v>
      </c>
      <c r="L600" t="str">
        <f>IF(ORCAMENTOS!R608="","",ORCAMENTOS!R608)</f>
        <v>-</v>
      </c>
    </row>
    <row r="601" spans="1:12" ht="15.75" hidden="1" customHeight="1" x14ac:dyDescent="0.25">
      <c r="A601" s="36">
        <f>IF(ORCAMENTOS!A609="","",ORCAMENTOS!A609)</f>
        <v>45754</v>
      </c>
      <c r="B601" s="46">
        <f>IF(ORCAMENTOS!B609="","",ORCAMENTOS!B609)</f>
        <v>599</v>
      </c>
      <c r="C601" s="46" t="str">
        <f>IF(ORCAMENTOS!C609="","",ORCAMENTOS!C609)</f>
        <v/>
      </c>
      <c r="D601" s="37" t="str">
        <f>IF(ORCAMENTOS!D609="","",ORCAMENTOS!D609)</f>
        <v>CAROLINE GIORGETTI</v>
      </c>
      <c r="E601" s="38" t="str">
        <f>IF(ORCAMENTOS!E609="","",ORCAMENTOS!E609)</f>
        <v>-</v>
      </c>
      <c r="F601" s="37" t="str">
        <f>IF(ORCAMENTOS!G609="","",ORCAMENTOS!G609)</f>
        <v>Fernando</v>
      </c>
      <c r="G601" s="37" t="str">
        <f>IF(ORCAMENTOS!H609="","",ORCAMENTOS!H609)</f>
        <v>Caroline</v>
      </c>
      <c r="H601" s="39">
        <f>IF(ORCAMENTOS!I609="","",ORCAMENTOS!I609)</f>
        <v>8415.32</v>
      </c>
      <c r="I601" s="60" t="str">
        <f>IF(ORCAMENTOS!J609="","",ORCAMENTOS!J609)</f>
        <v/>
      </c>
      <c r="J601" s="40" t="str">
        <f>IF(ORCAMENTOS!L609="","",ORCAMENTOS!L609)</f>
        <v>PERDIDO</v>
      </c>
      <c r="K601" s="34" t="str">
        <f>IF(ORCAMENTOS!M609="","",ORCAMENTOS!M609)</f>
        <v>-</v>
      </c>
      <c r="L601" t="str">
        <f>IF(ORCAMENTOS!R609="","",ORCAMENTOS!R609)</f>
        <v>-</v>
      </c>
    </row>
    <row r="602" spans="1:12" ht="15.75" hidden="1" customHeight="1" x14ac:dyDescent="0.25">
      <c r="A602" s="36">
        <f>IF(ORCAMENTOS!A610="","",ORCAMENTOS!A610)</f>
        <v>45757</v>
      </c>
      <c r="B602" s="46">
        <f>IF(ORCAMENTOS!B610="","",ORCAMENTOS!B610)</f>
        <v>600</v>
      </c>
      <c r="C602" s="46" t="str">
        <f>IF(ORCAMENTOS!C610="","",ORCAMENTOS!C610)</f>
        <v/>
      </c>
      <c r="D602" s="37" t="str">
        <f>IF(ORCAMENTOS!D610="","",ORCAMENTOS!D610)</f>
        <v>ADALTA ENGENHARIA</v>
      </c>
      <c r="E602" s="38" t="str">
        <f>IF(ORCAMENTOS!E610="","",ORCAMENTOS!E610)</f>
        <v>SOORO RENER</v>
      </c>
      <c r="F602" s="37" t="str">
        <f>IF(ORCAMENTOS!G610="","",ORCAMENTOS!G610)</f>
        <v>Fernando</v>
      </c>
      <c r="G602" s="37" t="str">
        <f>IF(ORCAMENTOS!H610="","",ORCAMENTOS!H610)</f>
        <v>Otavio</v>
      </c>
      <c r="H602" s="39">
        <f>IF(ORCAMENTOS!I610="","",ORCAMENTOS!I610)</f>
        <v>7136.46</v>
      </c>
      <c r="I602" s="60" t="str">
        <f>IF(ORCAMENTOS!J610="","",ORCAMENTOS!J610)</f>
        <v/>
      </c>
      <c r="J602" s="40" t="str">
        <f>IF(ORCAMENTOS!L610="","",ORCAMENTOS!L610)</f>
        <v>CANCELADO</v>
      </c>
      <c r="K602" s="34" t="str">
        <f>IF(ORCAMENTOS!M610="","",ORCAMENTOS!M610)</f>
        <v>PREV MAIO</v>
      </c>
      <c r="L602" t="str">
        <f>IF(ORCAMENTOS!R610="","",ORCAMENTOS!R610)</f>
        <v>-</v>
      </c>
    </row>
    <row r="603" spans="1:12" ht="15.75" hidden="1" customHeight="1" x14ac:dyDescent="0.25">
      <c r="A603" s="36">
        <f>IF(ORCAMENTOS!A611="","",ORCAMENTOS!A611)</f>
        <v>45754</v>
      </c>
      <c r="B603" s="46">
        <f>IF(ORCAMENTOS!B611="","",ORCAMENTOS!B611)</f>
        <v>601</v>
      </c>
      <c r="C603" s="46" t="str">
        <f>IF(ORCAMENTOS!C611="","",ORCAMENTOS!C611)</f>
        <v/>
      </c>
      <c r="D603" s="37" t="str">
        <f>IF(ORCAMENTOS!D611="","",ORCAMENTOS!D611)</f>
        <v>AR SISTEMAS</v>
      </c>
      <c r="E603" s="38" t="str">
        <f>IF(ORCAMENTOS!E611="","",ORCAMENTOS!E611)</f>
        <v>White &amp; Case</v>
      </c>
      <c r="F603" s="37" t="str">
        <f>IF(ORCAMENTOS!G611="","",ORCAMENTOS!G611)</f>
        <v>Michel</v>
      </c>
      <c r="G603" s="37" t="str">
        <f>IF(ORCAMENTOS!H611="","",ORCAMENTOS!H611)</f>
        <v>Anderson</v>
      </c>
      <c r="H603" s="39">
        <f>IF(ORCAMENTOS!I611="","",ORCAMENTOS!I611)</f>
        <v>5069.12</v>
      </c>
      <c r="I603" s="60" t="str">
        <f>IF(ORCAMENTOS!J611="","",ORCAMENTOS!J611)</f>
        <v/>
      </c>
      <c r="J603" s="40" t="str">
        <f>IF(ORCAMENTOS!L611="","",ORCAMENTOS!L611)</f>
        <v>CANCELADO</v>
      </c>
      <c r="K603" s="34" t="str">
        <f>IF(ORCAMENTOS!M611="","",ORCAMENTOS!M611)</f>
        <v>-</v>
      </c>
      <c r="L603" t="str">
        <f>IF(ORCAMENTOS!R611="","",ORCAMENTOS!R611)</f>
        <v>-</v>
      </c>
    </row>
    <row r="604" spans="1:12" ht="15.75" hidden="1" customHeight="1" x14ac:dyDescent="0.25">
      <c r="A604" s="36">
        <f>IF(ORCAMENTOS!A612="","",ORCAMENTOS!A612)</f>
        <v>45754</v>
      </c>
      <c r="B604" s="46">
        <f>IF(ORCAMENTOS!B612="","",ORCAMENTOS!B612)</f>
        <v>602</v>
      </c>
      <c r="C604" s="46" t="str">
        <f>IF(ORCAMENTOS!C612="","",ORCAMENTOS!C612)</f>
        <v/>
      </c>
      <c r="D604" s="37" t="str">
        <f>IF(ORCAMENTOS!D612="","",ORCAMENTOS!D612)</f>
        <v>ENGEMAC</v>
      </c>
      <c r="E604" s="38" t="str">
        <f>IF(ORCAMENTOS!E612="","",ORCAMENTOS!E612)</f>
        <v>SERRARIA SOUZA PINTO - BELO HORIZONTE - MG</v>
      </c>
      <c r="F604" s="37" t="str">
        <f>IF(ORCAMENTOS!G612="","",ORCAMENTOS!G612)</f>
        <v>Fernando</v>
      </c>
      <c r="G604" s="37" t="str">
        <f>IF(ORCAMENTOS!H612="","",ORCAMENTOS!H612)</f>
        <v>Rodrigo</v>
      </c>
      <c r="H604" s="39">
        <f>IF(ORCAMENTOS!I612="","",ORCAMENTOS!I612)</f>
        <v>37000.839999999997</v>
      </c>
      <c r="I604" s="60" t="str">
        <f>IF(ORCAMENTOS!J612="","",ORCAMENTOS!J612)</f>
        <v/>
      </c>
      <c r="J604" s="40" t="str">
        <f>IF(ORCAMENTOS!L612="","",ORCAMENTOS!L612)</f>
        <v>CANCELADO</v>
      </c>
      <c r="K604" s="34" t="str">
        <f>IF(ORCAMENTOS!M612="","",ORCAMENTOS!M612)</f>
        <v>-</v>
      </c>
      <c r="L604" t="str">
        <f>IF(ORCAMENTOS!R612="","",ORCAMENTOS!R612)</f>
        <v>MPU/ALUPIR</v>
      </c>
    </row>
    <row r="605" spans="1:12" ht="15.75" hidden="1" customHeight="1" x14ac:dyDescent="0.25">
      <c r="A605" s="36">
        <f>IF(ORCAMENTOS!A613="","",ORCAMENTOS!A613)</f>
        <v>45754</v>
      </c>
      <c r="B605" s="46">
        <f>IF(ORCAMENTOS!B613="","",ORCAMENTOS!B613)</f>
        <v>603</v>
      </c>
      <c r="C605" s="46" t="str">
        <f>IF(ORCAMENTOS!C613="","",ORCAMENTOS!C613)</f>
        <v/>
      </c>
      <c r="D605" s="37" t="str">
        <f>IF(ORCAMENTOS!D613="","",ORCAMENTOS!D613)</f>
        <v>KSY CLIMATIZACAO</v>
      </c>
      <c r="E605" s="38" t="str">
        <f>IF(ORCAMENTOS!E613="","",ORCAMENTOS!E613)</f>
        <v>PANCO TUCURUVI - SALA LIMPA</v>
      </c>
      <c r="F605" s="37" t="str">
        <f>IF(ORCAMENTOS!G613="","",ORCAMENTOS!G613)</f>
        <v>Emanuel</v>
      </c>
      <c r="G605" s="37" t="str">
        <f>IF(ORCAMENTOS!H613="","",ORCAMENTOS!H613)</f>
        <v>Sidney</v>
      </c>
      <c r="H605" s="39">
        <f>IF(ORCAMENTOS!I613="","",ORCAMENTOS!I613)</f>
        <v>83610.78</v>
      </c>
      <c r="I605" s="60" t="str">
        <f>IF(ORCAMENTOS!J613="","",ORCAMENTOS!J613)</f>
        <v/>
      </c>
      <c r="J605" s="40" t="str">
        <f>IF(ORCAMENTOS!L613="","",ORCAMENTOS!L613)</f>
        <v>CANCELADO</v>
      </c>
      <c r="K605" s="34" t="str">
        <f>IF(ORCAMENTOS!M613="","",ORCAMENTOS!M613)</f>
        <v>-</v>
      </c>
      <c r="L605" t="str">
        <f>IF(ORCAMENTOS!R613="","",ORCAMENTOS!R613)</f>
        <v>N/E</v>
      </c>
    </row>
    <row r="606" spans="1:12" ht="15.75" hidden="1" customHeight="1" x14ac:dyDescent="0.25">
      <c r="A606" s="36">
        <f>IF(ORCAMENTOS!A614="","",ORCAMENTOS!A614)</f>
        <v>45754</v>
      </c>
      <c r="B606" s="46">
        <f>IF(ORCAMENTOS!B614="","",ORCAMENTOS!B614)</f>
        <v>604</v>
      </c>
      <c r="C606" s="46" t="str">
        <f>IF(ORCAMENTOS!C614="","",ORCAMENTOS!C614)</f>
        <v/>
      </c>
      <c r="D606" s="37" t="str">
        <f>IF(ORCAMENTOS!D614="","",ORCAMENTOS!D614)</f>
        <v>KSY CLIMATIZACAO</v>
      </c>
      <c r="E606" s="38" t="str">
        <f>IF(ORCAMENTOS!E614="","",ORCAMENTOS!E614)</f>
        <v>PANCO TUCURUVI - SALA DE RESFRIAMENTO</v>
      </c>
      <c r="F606" s="37" t="str">
        <f>IF(ORCAMENTOS!G614="","",ORCAMENTOS!G614)</f>
        <v>Emanuel</v>
      </c>
      <c r="G606" s="37" t="str">
        <f>IF(ORCAMENTOS!H614="","",ORCAMENTOS!H614)</f>
        <v>Sidney</v>
      </c>
      <c r="H606" s="39">
        <f>IF(ORCAMENTOS!I614="","",ORCAMENTOS!I614)</f>
        <v>76845.259999999995</v>
      </c>
      <c r="I606" s="60" t="str">
        <f>IF(ORCAMENTOS!J614="","",ORCAMENTOS!J614)</f>
        <v/>
      </c>
      <c r="J606" s="40" t="str">
        <f>IF(ORCAMENTOS!L614="","",ORCAMENTOS!L614)</f>
        <v>CANCELADO</v>
      </c>
      <c r="K606" s="34" t="str">
        <f>IF(ORCAMENTOS!M614="","",ORCAMENTOS!M614)</f>
        <v>-</v>
      </c>
      <c r="L606" t="str">
        <f>IF(ORCAMENTOS!R614="","",ORCAMENTOS!R614)</f>
        <v>N/E</v>
      </c>
    </row>
    <row r="607" spans="1:12" ht="15.75" hidden="1" customHeight="1" x14ac:dyDescent="0.25">
      <c r="A607" s="36">
        <f>IF(ORCAMENTOS!A615="","",ORCAMENTOS!A615)</f>
        <v>45754</v>
      </c>
      <c r="B607" s="46">
        <f>IF(ORCAMENTOS!B615="","",ORCAMENTOS!B615)</f>
        <v>605</v>
      </c>
      <c r="C607" s="46" t="str">
        <f>IF(ORCAMENTOS!C615="","",ORCAMENTOS!C615)</f>
        <v/>
      </c>
      <c r="D607" s="37" t="str">
        <f>IF(ORCAMENTOS!D615="","",ORCAMENTOS!D615)</f>
        <v>KSY CLIMATIZACAO</v>
      </c>
      <c r="E607" s="38" t="str">
        <f>IF(ORCAMENTOS!E615="","",ORCAMENTOS!E615)</f>
        <v>PANCO TUCURUVI - EMBALAGEM</v>
      </c>
      <c r="F607" s="37" t="str">
        <f>IF(ORCAMENTOS!G615="","",ORCAMENTOS!G615)</f>
        <v>Emanuel</v>
      </c>
      <c r="G607" s="37" t="str">
        <f>IF(ORCAMENTOS!H615="","",ORCAMENTOS!H615)</f>
        <v>Sidney</v>
      </c>
      <c r="H607" s="39">
        <f>IF(ORCAMENTOS!I615="","",ORCAMENTOS!I615)</f>
        <v>136175.60999999999</v>
      </c>
      <c r="I607" s="60" t="str">
        <f>IF(ORCAMENTOS!J615="","",ORCAMENTOS!J615)</f>
        <v/>
      </c>
      <c r="J607" s="40" t="str">
        <f>IF(ORCAMENTOS!L615="","",ORCAMENTOS!L615)</f>
        <v>CANCELADO</v>
      </c>
      <c r="K607" s="34" t="str">
        <f>IF(ORCAMENTOS!M615="","",ORCAMENTOS!M615)</f>
        <v>-</v>
      </c>
      <c r="L607" t="str">
        <f>IF(ORCAMENTOS!R615="","",ORCAMENTOS!R615)</f>
        <v>N/E</v>
      </c>
    </row>
    <row r="608" spans="1:12" ht="15.75" hidden="1" customHeight="1" x14ac:dyDescent="0.25">
      <c r="A608" s="36">
        <f>IF(ORCAMENTOS!A616="","",ORCAMENTOS!A616)</f>
        <v>45754</v>
      </c>
      <c r="B608" s="46">
        <f>IF(ORCAMENTOS!B616="","",ORCAMENTOS!B616)</f>
        <v>606</v>
      </c>
      <c r="C608" s="46" t="str">
        <f>IF(ORCAMENTOS!C616="","",ORCAMENTOS!C616)</f>
        <v/>
      </c>
      <c r="D608" s="37" t="str">
        <f>IF(ORCAMENTOS!D616="","",ORCAMENTOS!D616)</f>
        <v>KSY CLIMATIZACAO</v>
      </c>
      <c r="E608" s="38" t="str">
        <f>IF(ORCAMENTOS!E616="","",ORCAMENTOS!E616)</f>
        <v>PANCO TUCURUVI - MASSEIRA</v>
      </c>
      <c r="F608" s="37" t="str">
        <f>IF(ORCAMENTOS!G616="","",ORCAMENTOS!G616)</f>
        <v>Emanuel</v>
      </c>
      <c r="G608" s="37" t="str">
        <f>IF(ORCAMENTOS!H616="","",ORCAMENTOS!H616)</f>
        <v>Sidney</v>
      </c>
      <c r="H608" s="39">
        <f>IF(ORCAMENTOS!I616="","",ORCAMENTOS!I616)</f>
        <v>59958.12</v>
      </c>
      <c r="I608" s="60" t="str">
        <f>IF(ORCAMENTOS!J616="","",ORCAMENTOS!J616)</f>
        <v/>
      </c>
      <c r="J608" s="40" t="str">
        <f>IF(ORCAMENTOS!L616="","",ORCAMENTOS!L616)</f>
        <v>CANCELADO</v>
      </c>
      <c r="K608" s="34" t="str">
        <f>IF(ORCAMENTOS!M616="","",ORCAMENTOS!M616)</f>
        <v>-</v>
      </c>
      <c r="L608" t="str">
        <f>IF(ORCAMENTOS!R616="","",ORCAMENTOS!R616)</f>
        <v/>
      </c>
    </row>
    <row r="609" spans="1:12" ht="15.75" hidden="1" customHeight="1" x14ac:dyDescent="0.25">
      <c r="A609" s="36">
        <f>IF(ORCAMENTOS!A617="","",ORCAMENTOS!A617)</f>
        <v>45754</v>
      </c>
      <c r="B609" s="46">
        <f>IF(ORCAMENTOS!B617="","",ORCAMENTOS!B617)</f>
        <v>607</v>
      </c>
      <c r="C609" s="46" t="str">
        <f>IF(ORCAMENTOS!C617="","",ORCAMENTOS!C617)</f>
        <v/>
      </c>
      <c r="D609" s="37" t="str">
        <f>IF(ORCAMENTOS!D617="","",ORCAMENTOS!D617)</f>
        <v>MONTAGEM VIEIRA</v>
      </c>
      <c r="E609" s="38" t="str">
        <f>IF(ORCAMENTOS!E617="","",ORCAMENTOS!E617)</f>
        <v>-</v>
      </c>
      <c r="F609" s="37" t="str">
        <f>IF(ORCAMENTOS!G617="","",ORCAMENTOS!G617)</f>
        <v>Fernando</v>
      </c>
      <c r="G609" s="37" t="str">
        <f>IF(ORCAMENTOS!H617="","",ORCAMENTOS!H617)</f>
        <v>Sergio</v>
      </c>
      <c r="H609" s="39">
        <f>IF(ORCAMENTOS!I617="","",ORCAMENTOS!I617)</f>
        <v>8360.99</v>
      </c>
      <c r="I609" s="60" t="str">
        <f>IF(ORCAMENTOS!J617="","",ORCAMENTOS!J617)</f>
        <v/>
      </c>
      <c r="J609" s="40" t="str">
        <f>IF(ORCAMENTOS!L617="","",ORCAMENTOS!L617)</f>
        <v>CANCELADO</v>
      </c>
      <c r="K609" s="34" t="str">
        <f>IF(ORCAMENTOS!M617="","",ORCAMENTOS!M617)</f>
        <v>-</v>
      </c>
      <c r="L609" t="str">
        <f>IF(ORCAMENTOS!R617="","",ORCAMENTOS!R617)</f>
        <v>-</v>
      </c>
    </row>
    <row r="610" spans="1:12" ht="15.75" hidden="1" customHeight="1" x14ac:dyDescent="0.25">
      <c r="A610" s="36">
        <f>IF(ORCAMENTOS!A618="","",ORCAMENTOS!A618)</f>
        <v>45754</v>
      </c>
      <c r="B610" s="46">
        <f>IF(ORCAMENTOS!B618="","",ORCAMENTOS!B618)</f>
        <v>608</v>
      </c>
      <c r="C610" s="46" t="str">
        <f>IF(ORCAMENTOS!C618="","",ORCAMENTOS!C618)</f>
        <v/>
      </c>
      <c r="D610" s="37" t="str">
        <f>IF(ORCAMENTOS!D618="","",ORCAMENTOS!D618)</f>
        <v>COOLING HVAC</v>
      </c>
      <c r="E610" s="38" t="str">
        <f>IF(ORCAMENTOS!E618="","",ORCAMENTOS!E618)</f>
        <v>-</v>
      </c>
      <c r="F610" s="37" t="str">
        <f>IF(ORCAMENTOS!G618="","",ORCAMENTOS!G618)</f>
        <v>Michel</v>
      </c>
      <c r="G610" s="37" t="str">
        <f>IF(ORCAMENTOS!H618="","",ORCAMENTOS!H618)</f>
        <v>Hugo</v>
      </c>
      <c r="H610" s="39">
        <f>IF(ORCAMENTOS!I618="","",ORCAMENTOS!I618)</f>
        <v>1239</v>
      </c>
      <c r="I610" s="60" t="str">
        <f>IF(ORCAMENTOS!J618="","",ORCAMENTOS!J618)</f>
        <v/>
      </c>
      <c r="J610" s="40" t="str">
        <f>IF(ORCAMENTOS!L618="","",ORCAMENTOS!L618)</f>
        <v>FECHADO</v>
      </c>
      <c r="K610" s="34" t="str">
        <f>IF(ORCAMENTOS!M618="","",ORCAMENTOS!M618)</f>
        <v>-</v>
      </c>
      <c r="L610" t="str">
        <f>IF(ORCAMENTOS!R618="","",ORCAMENTOS!R618)</f>
        <v>-</v>
      </c>
    </row>
    <row r="611" spans="1:12" ht="15.75" hidden="1" customHeight="1" x14ac:dyDescent="0.25">
      <c r="A611" s="36">
        <f>IF(ORCAMENTOS!A619="","",ORCAMENTOS!A619)</f>
        <v>45754</v>
      </c>
      <c r="B611" s="46">
        <f>IF(ORCAMENTOS!B619="","",ORCAMENTOS!B619)</f>
        <v>609</v>
      </c>
      <c r="C611" s="46" t="str">
        <f>IF(ORCAMENTOS!C619="","",ORCAMENTOS!C619)</f>
        <v/>
      </c>
      <c r="D611" s="37" t="str">
        <f>IF(ORCAMENTOS!D619="","",ORCAMENTOS!D619)</f>
        <v>INOVECTOR</v>
      </c>
      <c r="E611" s="38" t="str">
        <f>IF(ORCAMENTOS!E619="","",ORCAMENTOS!E619)</f>
        <v>FLEURY - REQ 2.01</v>
      </c>
      <c r="F611" s="37" t="str">
        <f>IF(ORCAMENTOS!G619="","",ORCAMENTOS!G619)</f>
        <v>Fernando</v>
      </c>
      <c r="G611" s="37" t="str">
        <f>IF(ORCAMENTOS!H619="","",ORCAMENTOS!H619)</f>
        <v>Cristina</v>
      </c>
      <c r="H611" s="39">
        <f>IF(ORCAMENTOS!I619="","",ORCAMENTOS!I619)</f>
        <v>125484.9</v>
      </c>
      <c r="I611" s="60" t="str">
        <f>IF(ORCAMENTOS!J619="","",ORCAMENTOS!J619)</f>
        <v/>
      </c>
      <c r="J611" s="40" t="str">
        <f>IF(ORCAMENTOS!L619="","",ORCAMENTOS!L619)</f>
        <v>PERDIDO</v>
      </c>
      <c r="K611" s="34" t="str">
        <f>IF(ORCAMENTOS!M619="","",ORCAMENTOS!M619)</f>
        <v>MULTIVAC PACOTE</v>
      </c>
      <c r="L611" t="str">
        <f>IF(ORCAMENTOS!R619="","",ORCAMENTOS!R619)</f>
        <v>-</v>
      </c>
    </row>
    <row r="612" spans="1:12" ht="15.75" hidden="1" customHeight="1" x14ac:dyDescent="0.25">
      <c r="A612" s="36">
        <f>IF(ORCAMENTOS!A620="","",ORCAMENTOS!A620)</f>
        <v>45755</v>
      </c>
      <c r="B612" s="46">
        <f>IF(ORCAMENTOS!B620="","",ORCAMENTOS!B620)</f>
        <v>610</v>
      </c>
      <c r="C612" s="46" t="str">
        <f>IF(ORCAMENTOS!C620="","",ORCAMENTOS!C620)</f>
        <v/>
      </c>
      <c r="D612" s="37" t="str">
        <f>IF(ORCAMENTOS!D620="","",ORCAMENTOS!D620)</f>
        <v>GLACIAL REFRIGERACOES</v>
      </c>
      <c r="E612" s="38" t="str">
        <f>IF(ORCAMENTOS!E620="","",ORCAMENTOS!E620)</f>
        <v>YOUCOM - SHOPPING SIDER - VOLTA REDONDA - RJ</v>
      </c>
      <c r="F612" s="37" t="str">
        <f>IF(ORCAMENTOS!G620="","",ORCAMENTOS!G620)</f>
        <v>Fernando</v>
      </c>
      <c r="G612" s="37" t="str">
        <f>IF(ORCAMENTOS!H620="","",ORCAMENTOS!H620)</f>
        <v>Gilvan</v>
      </c>
      <c r="H612" s="39">
        <f>IF(ORCAMENTOS!I620="","",ORCAMENTOS!I620)</f>
        <v>19983.580000000002</v>
      </c>
      <c r="I612" s="60" t="str">
        <f>IF(ORCAMENTOS!J620="","",ORCAMENTOS!J620)</f>
        <v/>
      </c>
      <c r="J612" s="40" t="str">
        <f>IF(ORCAMENTOS!L620="","",ORCAMENTOS!L620)</f>
        <v>CANCELADO</v>
      </c>
      <c r="K612" s="34" t="str">
        <f>IF(ORCAMENTOS!M620="","",ORCAMENTOS!M620)</f>
        <v>-</v>
      </c>
      <c r="L612" t="str">
        <f>IF(ORCAMENTOS!R620="","",ORCAMENTOS!R620)</f>
        <v>MPU</v>
      </c>
    </row>
    <row r="613" spans="1:12" ht="15.75" hidden="1" customHeight="1" x14ac:dyDescent="0.25">
      <c r="A613" s="36">
        <f>IF(ORCAMENTOS!A621="","",ORCAMENTOS!A621)</f>
        <v>45755</v>
      </c>
      <c r="B613" s="46">
        <f>IF(ORCAMENTOS!B621="","",ORCAMENTOS!B621)</f>
        <v>611</v>
      </c>
      <c r="C613" s="46" t="str">
        <f>IF(ORCAMENTOS!C621="","",ORCAMENTOS!C621)</f>
        <v/>
      </c>
      <c r="D613" s="37" t="str">
        <f>IF(ORCAMENTOS!D621="","",ORCAMENTOS!D621)</f>
        <v>FL HVAC</v>
      </c>
      <c r="E613" s="38" t="str">
        <f>IF(ORCAMENTOS!E621="","",ORCAMENTOS!E621)</f>
        <v>NIKE RISE - IGUATEMI CAMPINAS</v>
      </c>
      <c r="F613" s="37" t="str">
        <f>IF(ORCAMENTOS!G621="","",ORCAMENTOS!G621)</f>
        <v>Guilherme</v>
      </c>
      <c r="G613" s="37" t="str">
        <f>IF(ORCAMENTOS!H621="","",ORCAMENTOS!H621)</f>
        <v>Ynnaie</v>
      </c>
      <c r="H613" s="39">
        <f>IF(ORCAMENTOS!I621="","",ORCAMENTOS!I621)</f>
        <v>78264.710000000006</v>
      </c>
      <c r="I613" s="60" t="str">
        <f>IF(ORCAMENTOS!J621="","",ORCAMENTOS!J621)</f>
        <v/>
      </c>
      <c r="J613" s="40" t="str">
        <f>IF(ORCAMENTOS!L621="","",ORCAMENTOS!L621)</f>
        <v>CANCELADO</v>
      </c>
      <c r="K613" s="34" t="str">
        <f>IF(ORCAMENTOS!M621="","",ORCAMENTOS!M621)</f>
        <v>FECHADO PELA AIRPLAN</v>
      </c>
      <c r="L613" t="str">
        <f>IF(ORCAMENTOS!R621="","",ORCAMENTOS!R621)</f>
        <v>MPU</v>
      </c>
    </row>
    <row r="614" spans="1:12" ht="15.75" hidden="1" customHeight="1" x14ac:dyDescent="0.25">
      <c r="A614" s="36">
        <f>IF(ORCAMENTOS!A622="","",ORCAMENTOS!A622)</f>
        <v>45755</v>
      </c>
      <c r="B614" s="46">
        <f>IF(ORCAMENTOS!B622="","",ORCAMENTOS!B622)</f>
        <v>612</v>
      </c>
      <c r="C614" s="46" t="str">
        <f>IF(ORCAMENTOS!C622="","",ORCAMENTOS!C622)</f>
        <v/>
      </c>
      <c r="D614" s="37" t="str">
        <f>IF(ORCAMENTOS!D622="","",ORCAMENTOS!D622)</f>
        <v>SOMMARE</v>
      </c>
      <c r="E614" s="38" t="str">
        <f>IF(ORCAMENTOS!E622="","",ORCAMENTOS!E622)</f>
        <v>RESIDENCIA UNIFAMILIAR - AURELIO E ADRIANA ROCHA - DOURADOS - MS</v>
      </c>
      <c r="F614" s="37" t="str">
        <f>IF(ORCAMENTOS!G622="","",ORCAMENTOS!G622)</f>
        <v>Gabriel</v>
      </c>
      <c r="G614" s="37" t="str">
        <f>IF(ORCAMENTOS!H622="","",ORCAMENTOS!H622)</f>
        <v>Carlos</v>
      </c>
      <c r="H614" s="39">
        <f>IF(ORCAMENTOS!I622="","",ORCAMENTOS!I622)</f>
        <v>24558.639999999999</v>
      </c>
      <c r="I614" s="60" t="str">
        <f>IF(ORCAMENTOS!J622="","",ORCAMENTOS!J622)</f>
        <v/>
      </c>
      <c r="J614" s="40" t="str">
        <f>IF(ORCAMENTOS!L622="","",ORCAMENTOS!L622)</f>
        <v>CANCELADO</v>
      </c>
      <c r="K614" s="34" t="str">
        <f>IF(ORCAMENTOS!M622="","",ORCAMENTOS!M622)</f>
        <v>-</v>
      </c>
      <c r="L614" t="str">
        <f>IF(ORCAMENTOS!R622="","",ORCAMENTOS!R622)</f>
        <v>N/E</v>
      </c>
    </row>
    <row r="615" spans="1:12" ht="15.75" hidden="1" customHeight="1" x14ac:dyDescent="0.25">
      <c r="A615" s="36">
        <f>IF(ORCAMENTOS!A623="","",ORCAMENTOS!A623)</f>
        <v>45755</v>
      </c>
      <c r="B615" s="46">
        <f>IF(ORCAMENTOS!B623="","",ORCAMENTOS!B623)</f>
        <v>613</v>
      </c>
      <c r="C615" s="46" t="str">
        <f>IF(ORCAMENTOS!C623="","",ORCAMENTOS!C623)</f>
        <v/>
      </c>
      <c r="D615" s="37" t="str">
        <f>IF(ORCAMENTOS!D623="","",ORCAMENTOS!D623)</f>
        <v>ECOTHERM</v>
      </c>
      <c r="E615" s="38" t="str">
        <f>IF(ORCAMENTOS!E623="","",ORCAMENTOS!E623)</f>
        <v>USP - RIBEIRÃO - FMRP</v>
      </c>
      <c r="F615" s="37" t="str">
        <f>IF(ORCAMENTOS!G623="","",ORCAMENTOS!G623)</f>
        <v>Emanuel</v>
      </c>
      <c r="G615" s="37" t="str">
        <f>IF(ORCAMENTOS!H623="","",ORCAMENTOS!H623)</f>
        <v>Selma</v>
      </c>
      <c r="H615" s="39">
        <f>IF(ORCAMENTOS!I623="","",ORCAMENTOS!I623)</f>
        <v>205769.62</v>
      </c>
      <c r="I615" s="60" t="str">
        <f>IF(ORCAMENTOS!J623="","",ORCAMENTOS!J623)</f>
        <v/>
      </c>
      <c r="J615" s="40" t="str">
        <f>IF(ORCAMENTOS!L623="","",ORCAMENTOS!L623)</f>
        <v>PERDIDO</v>
      </c>
      <c r="K615" s="34" t="str">
        <f>IF(ORCAMENTOS!M623="","",ORCAMENTOS!M623)</f>
        <v>MULTVAC PREÇO</v>
      </c>
      <c r="L615" t="str">
        <f>IF(ORCAMENTOS!R623="","",ORCAMENTOS!R623)</f>
        <v>-</v>
      </c>
    </row>
    <row r="616" spans="1:12" ht="15.75" hidden="1" customHeight="1" x14ac:dyDescent="0.25">
      <c r="A616" s="36">
        <f>IF(ORCAMENTOS!A624="","",ORCAMENTOS!A624)</f>
        <v>45756</v>
      </c>
      <c r="B616" s="46">
        <f>IF(ORCAMENTOS!B624="","",ORCAMENTOS!B624)</f>
        <v>614</v>
      </c>
      <c r="C616" s="46" t="str">
        <f>IF(ORCAMENTOS!C624="","",ORCAMENTOS!C624)</f>
        <v/>
      </c>
      <c r="D616" s="37" t="str">
        <f>IF(ORCAMENTOS!D624="","",ORCAMENTOS!D624)</f>
        <v>X AIR</v>
      </c>
      <c r="E616" s="38" t="str">
        <f>IF(ORCAMENTOS!E624="","",ORCAMENTOS!E624)</f>
        <v>Sinagoga Zagury</v>
      </c>
      <c r="F616" s="37" t="str">
        <f>IF(ORCAMENTOS!G624="","",ORCAMENTOS!G624)</f>
        <v>Emanuel</v>
      </c>
      <c r="G616" s="37" t="str">
        <f>IF(ORCAMENTOS!H624="","",ORCAMENTOS!H624)</f>
        <v>David</v>
      </c>
      <c r="H616" s="39">
        <f>IF(ORCAMENTOS!I624="","",ORCAMENTOS!I624)</f>
        <v>3881.69</v>
      </c>
      <c r="I616" s="60" t="str">
        <f>IF(ORCAMENTOS!J624="","",ORCAMENTOS!J624)</f>
        <v/>
      </c>
      <c r="J616" s="40" t="str">
        <f>IF(ORCAMENTOS!L624="","",ORCAMENTOS!L624)</f>
        <v>FECHADO</v>
      </c>
      <c r="K616" s="34" t="str">
        <f>IF(ORCAMENTOS!M624="","",ORCAMENTOS!M624)</f>
        <v>-</v>
      </c>
      <c r="L616" t="str">
        <f>IF(ORCAMENTOS!R624="","",ORCAMENTOS!R624)</f>
        <v>-</v>
      </c>
    </row>
    <row r="617" spans="1:12" ht="15.75" hidden="1" customHeight="1" x14ac:dyDescent="0.25">
      <c r="A617" s="36">
        <f>IF(ORCAMENTOS!A625="","",ORCAMENTOS!A625)</f>
        <v>45756</v>
      </c>
      <c r="B617" s="46">
        <f>IF(ORCAMENTOS!B625="","",ORCAMENTOS!B625)</f>
        <v>615</v>
      </c>
      <c r="C617" s="46" t="str">
        <f>IF(ORCAMENTOS!C625="","",ORCAMENTOS!C625)</f>
        <v/>
      </c>
      <c r="D617" s="37" t="str">
        <f>IF(ORCAMENTOS!D625="","",ORCAMENTOS!D625)</f>
        <v>AIRPLAN</v>
      </c>
      <c r="E617" s="38" t="str">
        <f>IF(ORCAMENTOS!E625="","",ORCAMENTOS!E625)</f>
        <v>PAO DE ACUCAR - SANTA CRUZ - SÃO PAULO - SP</v>
      </c>
      <c r="F617" s="37" t="str">
        <f>IF(ORCAMENTOS!G625="","",ORCAMENTOS!G625)</f>
        <v>Gabriel</v>
      </c>
      <c r="G617" s="37" t="str">
        <f>IF(ORCAMENTOS!H625="","",ORCAMENTOS!H625)</f>
        <v>Laercio</v>
      </c>
      <c r="H617" s="39">
        <f>IF(ORCAMENTOS!I625="","",ORCAMENTOS!I625)</f>
        <v>123249.04</v>
      </c>
      <c r="I617" s="60" t="str">
        <f>IF(ORCAMENTOS!J625="","",ORCAMENTOS!J625)</f>
        <v/>
      </c>
      <c r="J617" s="40" t="str">
        <f>IF(ORCAMENTOS!L625="","",ORCAMENTOS!L625)</f>
        <v>CANCELADO</v>
      </c>
      <c r="K617" s="34" t="str">
        <f>IF(ORCAMENTOS!M625="","",ORCAMENTOS!M625)</f>
        <v>-</v>
      </c>
      <c r="L617" t="str">
        <f>IF(ORCAMENTOS!R625="","",ORCAMENTOS!R625)</f>
        <v/>
      </c>
    </row>
    <row r="618" spans="1:12" ht="15.75" hidden="1" customHeight="1" x14ac:dyDescent="0.25">
      <c r="A618" s="36">
        <f>IF(ORCAMENTOS!A626="","",ORCAMENTOS!A626)</f>
        <v>45756</v>
      </c>
      <c r="B618" s="46">
        <f>IF(ORCAMENTOS!B626="","",ORCAMENTOS!B626)</f>
        <v>616</v>
      </c>
      <c r="C618" s="46" t="str">
        <f>IF(ORCAMENTOS!C626="","",ORCAMENTOS!C626)</f>
        <v/>
      </c>
      <c r="D618" s="37" t="str">
        <f>IF(ORCAMENTOS!D626="","",ORCAMENTOS!D626)</f>
        <v>M&amp;L SOLUCOES</v>
      </c>
      <c r="E618" s="38" t="str">
        <f>IF(ORCAMENTOS!E626="","",ORCAMENTOS!E626)</f>
        <v>-</v>
      </c>
      <c r="F618" s="37" t="str">
        <f>IF(ORCAMENTOS!G626="","",ORCAMENTOS!G626)</f>
        <v>Gabriel</v>
      </c>
      <c r="G618" s="37" t="str">
        <f>IF(ORCAMENTOS!H626="","",ORCAMENTOS!H626)</f>
        <v>Marcio</v>
      </c>
      <c r="H618" s="39">
        <f>IF(ORCAMENTOS!I626="","",ORCAMENTOS!I626)</f>
        <v>2151.9899999999998</v>
      </c>
      <c r="I618" s="60" t="str">
        <f>IF(ORCAMENTOS!J626="","",ORCAMENTOS!J626)</f>
        <v/>
      </c>
      <c r="J618" s="40" t="str">
        <f>IF(ORCAMENTOS!L626="","",ORCAMENTOS!L626)</f>
        <v>FECHADO</v>
      </c>
      <c r="K618" s="34" t="str">
        <f>IF(ORCAMENTOS!M626="","",ORCAMENTOS!M626)</f>
        <v>-</v>
      </c>
      <c r="L618" t="str">
        <f>IF(ORCAMENTOS!R626="","",ORCAMENTOS!R626)</f>
        <v>-</v>
      </c>
    </row>
    <row r="619" spans="1:12" ht="15.75" hidden="1" customHeight="1" x14ac:dyDescent="0.25">
      <c r="A619" s="36">
        <f>IF(ORCAMENTOS!A627="","",ORCAMENTOS!A627)</f>
        <v>45756</v>
      </c>
      <c r="B619" s="46">
        <f>IF(ORCAMENTOS!B627="","",ORCAMENTOS!B627)</f>
        <v>617</v>
      </c>
      <c r="C619" s="46" t="str">
        <f>IF(ORCAMENTOS!C627="","",ORCAMENTOS!C627)</f>
        <v/>
      </c>
      <c r="D619" s="37" t="str">
        <f>IF(ORCAMENTOS!D627="","",ORCAMENTOS!D627)</f>
        <v>MJ CLIMATIZACAO</v>
      </c>
      <c r="E619" s="38" t="str">
        <f>IF(ORCAMENTOS!E627="","",ORCAMENTOS!E627)</f>
        <v>PAO DE ACUCAR - SANTA CRUZ - SÃO PAULO - SP</v>
      </c>
      <c r="F619" s="37" t="str">
        <f>IF(ORCAMENTOS!G627="","",ORCAMENTOS!G627)</f>
        <v>Emanuel</v>
      </c>
      <c r="G619" s="37" t="str">
        <f>IF(ORCAMENTOS!H627="","",ORCAMENTOS!H627)</f>
        <v>Escobar</v>
      </c>
      <c r="H619" s="39">
        <f>IF(ORCAMENTOS!I627="","",ORCAMENTOS!I627)</f>
        <v>123249.04</v>
      </c>
      <c r="I619" s="60" t="str">
        <f>IF(ORCAMENTOS!J627="","",ORCAMENTOS!J627)</f>
        <v/>
      </c>
      <c r="J619" s="40" t="str">
        <f>IF(ORCAMENTOS!L627="","",ORCAMENTOS!L627)</f>
        <v>CANCELADO</v>
      </c>
      <c r="K619" s="34" t="str">
        <f>IF(ORCAMENTOS!M627="","",ORCAMENTOS!M627)</f>
        <v>-</v>
      </c>
      <c r="L619" t="str">
        <f>IF(ORCAMENTOS!R627="","",ORCAMENTOS!R627)</f>
        <v>-</v>
      </c>
    </row>
    <row r="620" spans="1:12" ht="15.75" hidden="1" customHeight="1" x14ac:dyDescent="0.25">
      <c r="A620" s="36">
        <f>IF(ORCAMENTOS!A628="","",ORCAMENTOS!A628)</f>
        <v>45883</v>
      </c>
      <c r="B620" s="46">
        <f>IF(ORCAMENTOS!B628="","",ORCAMENTOS!B628)</f>
        <v>618</v>
      </c>
      <c r="C620" s="46" t="str">
        <f>IF(ORCAMENTOS!C628="","",ORCAMENTOS!C628)</f>
        <v/>
      </c>
      <c r="D620" s="37" t="str">
        <f>IF(ORCAMENTOS!D628="","",ORCAMENTOS!D628)</f>
        <v>ENGEMAC</v>
      </c>
      <c r="E620" s="38" t="str">
        <f>IF(ORCAMENTOS!E628="","",ORCAMENTOS!E628)</f>
        <v>UNIMED SÃO CARLOS</v>
      </c>
      <c r="F620" s="37" t="str">
        <f>IF(ORCAMENTOS!G628="","",ORCAMENTOS!G628)</f>
        <v>Fernando</v>
      </c>
      <c r="G620" s="37" t="str">
        <f>IF(ORCAMENTOS!H628="","",ORCAMENTOS!H628)</f>
        <v>Daniel</v>
      </c>
      <c r="H620" s="39">
        <f>IF(ORCAMENTOS!I628="","",ORCAMENTOS!I628)</f>
        <v>30000</v>
      </c>
      <c r="I620" s="60" t="str">
        <f>IF(ORCAMENTOS!J628="","",ORCAMENTOS!J628)</f>
        <v/>
      </c>
      <c r="J620" s="40" t="str">
        <f>IF(ORCAMENTOS!L628="","",ORCAMENTOS!L628)</f>
        <v>CANCELADO</v>
      </c>
      <c r="K620" s="34" t="str">
        <f>IF(ORCAMENTOS!M628="","",ORCAMENTOS!M628)</f>
        <v>MULTIVAC - PREÇO</v>
      </c>
      <c r="L620" t="str">
        <f>IF(ORCAMENTOS!R628="","",ORCAMENTOS!R628)</f>
        <v>-</v>
      </c>
    </row>
    <row r="621" spans="1:12" ht="15.75" hidden="1" customHeight="1" x14ac:dyDescent="0.25">
      <c r="A621" s="36">
        <f>IF(ORCAMENTOS!A629="","",ORCAMENTOS!A629)</f>
        <v>45756</v>
      </c>
      <c r="B621" s="46">
        <f>IF(ORCAMENTOS!B629="","",ORCAMENTOS!B629)</f>
        <v>619</v>
      </c>
      <c r="C621" s="46" t="str">
        <f>IF(ORCAMENTOS!C629="","",ORCAMENTOS!C629)</f>
        <v/>
      </c>
      <c r="D621" s="37" t="str">
        <f>IF(ORCAMENTOS!D629="","",ORCAMENTOS!D629)</f>
        <v>ASF SERVICOS</v>
      </c>
      <c r="E621" s="38" t="str">
        <f>IF(ORCAMENTOS!E629="","",ORCAMENTOS!E629)</f>
        <v>PAO DE ACUCAR - SANTA CRUZ - SÃO PAULO - SP</v>
      </c>
      <c r="F621" s="37" t="str">
        <f>IF(ORCAMENTOS!G629="","",ORCAMENTOS!G629)</f>
        <v>Fernando</v>
      </c>
      <c r="G621" s="37" t="str">
        <f>IF(ORCAMENTOS!H629="","",ORCAMENTOS!H629)</f>
        <v>Andre</v>
      </c>
      <c r="H621" s="39">
        <f>IF(ORCAMENTOS!I629="","",ORCAMENTOS!I629)</f>
        <v>123249.04</v>
      </c>
      <c r="I621" s="60" t="str">
        <f>IF(ORCAMENTOS!J629="","",ORCAMENTOS!J629)</f>
        <v/>
      </c>
      <c r="J621" s="40" t="str">
        <f>IF(ORCAMENTOS!L629="","",ORCAMENTOS!L629)</f>
        <v>CANCELADO</v>
      </c>
      <c r="K621" s="34" t="str">
        <f>IF(ORCAMENTOS!M629="","",ORCAMENTOS!M629)</f>
        <v>-</v>
      </c>
      <c r="L621" t="str">
        <f>IF(ORCAMENTOS!R629="","",ORCAMENTOS!R629)</f>
        <v>-</v>
      </c>
    </row>
    <row r="622" spans="1:12" ht="15.75" hidden="1" customHeight="1" x14ac:dyDescent="0.25">
      <c r="A622" s="36">
        <f>IF(ORCAMENTOS!A630="","",ORCAMENTOS!A630)</f>
        <v>45756</v>
      </c>
      <c r="B622" s="46">
        <f>IF(ORCAMENTOS!B630="","",ORCAMENTOS!B630)</f>
        <v>620</v>
      </c>
      <c r="C622" s="46" t="str">
        <f>IF(ORCAMENTOS!C630="","",ORCAMENTOS!C630)</f>
        <v/>
      </c>
      <c r="D622" s="37" t="str">
        <f>IF(ORCAMENTOS!D630="","",ORCAMENTOS!D630)</f>
        <v>TEKNOAR</v>
      </c>
      <c r="E622" s="38" t="str">
        <f>IF(ORCAMENTOS!E630="","",ORCAMENTOS!E630)</f>
        <v>COMPER LOJA - 330</v>
      </c>
      <c r="F622" s="37" t="str">
        <f>IF(ORCAMENTOS!G630="","",ORCAMENTOS!G630)</f>
        <v>Gabriel</v>
      </c>
      <c r="G622" s="37" t="str">
        <f>IF(ORCAMENTOS!H630="","",ORCAMENTOS!H630)</f>
        <v>Mario</v>
      </c>
      <c r="H622" s="39">
        <f>IF(ORCAMENTOS!I630="","",ORCAMENTOS!I630)</f>
        <v>23050.31</v>
      </c>
      <c r="I622" s="60" t="str">
        <f>IF(ORCAMENTOS!J630="","",ORCAMENTOS!J630)</f>
        <v/>
      </c>
      <c r="J622" s="40" t="str">
        <f>IF(ORCAMENTOS!L630="","",ORCAMENTOS!L630)</f>
        <v>CANCELADO</v>
      </c>
      <c r="K622" s="34" t="str">
        <f>IF(ORCAMENTOS!M630="","",ORCAMENTOS!M630)</f>
        <v>-</v>
      </c>
      <c r="L622" t="str">
        <f>IF(ORCAMENTOS!R630="","",ORCAMENTOS!R630)</f>
        <v>-</v>
      </c>
    </row>
    <row r="623" spans="1:12" ht="15.75" hidden="1" customHeight="1" x14ac:dyDescent="0.25">
      <c r="A623" s="36">
        <f>IF(ORCAMENTOS!A631="","",ORCAMENTOS!A631)</f>
        <v>45756</v>
      </c>
      <c r="B623" s="46">
        <f>IF(ORCAMENTOS!B631="","",ORCAMENTOS!B631)</f>
        <v>621</v>
      </c>
      <c r="C623" s="46" t="str">
        <f>IF(ORCAMENTOS!C631="","",ORCAMENTOS!C631)</f>
        <v/>
      </c>
      <c r="D623" s="37" t="str">
        <f>IF(ORCAMENTOS!D631="","",ORCAMENTOS!D631)</f>
        <v>AFRIOTHERM</v>
      </c>
      <c r="E623" s="38" t="str">
        <f>IF(ORCAMENTOS!E631="","",ORCAMENTOS!E631)</f>
        <v>MAFRE SÃO CARLOS</v>
      </c>
      <c r="F623" s="37" t="str">
        <f>IF(ORCAMENTOS!G631="","",ORCAMENTOS!G631)</f>
        <v>Emanuel</v>
      </c>
      <c r="G623" s="37" t="str">
        <f>IF(ORCAMENTOS!H631="","",ORCAMENTOS!H631)</f>
        <v>Kleverton</v>
      </c>
      <c r="H623" s="39">
        <f>IF(ORCAMENTOS!I631="","",ORCAMENTOS!I631)</f>
        <v>11524.75</v>
      </c>
      <c r="I623" s="60" t="str">
        <f>IF(ORCAMENTOS!J631="","",ORCAMENTOS!J631)</f>
        <v/>
      </c>
      <c r="J623" s="40" t="str">
        <f>IF(ORCAMENTOS!L631="","",ORCAMENTOS!L631)</f>
        <v>PERDIDO</v>
      </c>
      <c r="K623" s="34" t="str">
        <f>IF(ORCAMENTOS!M631="","",ORCAMENTOS!M631)</f>
        <v>ARCOTEC - PACOTEC</v>
      </c>
      <c r="L623" t="str">
        <f>IF(ORCAMENTOS!R631="","",ORCAMENTOS!R631)</f>
        <v/>
      </c>
    </row>
    <row r="624" spans="1:12" ht="15.75" hidden="1" customHeight="1" x14ac:dyDescent="0.25">
      <c r="A624" s="36">
        <f>IF(ORCAMENTOS!A632="","",ORCAMENTOS!A632)</f>
        <v>45756</v>
      </c>
      <c r="B624" s="46">
        <f>IF(ORCAMENTOS!B632="","",ORCAMENTOS!B632)</f>
        <v>622</v>
      </c>
      <c r="C624" s="46" t="str">
        <f>IF(ORCAMENTOS!C632="","",ORCAMENTOS!C632)</f>
        <v/>
      </c>
      <c r="D624" s="37" t="str">
        <f>IF(ORCAMENTOS!D632="","",ORCAMENTOS!D632)</f>
        <v>PU DUTOS</v>
      </c>
      <c r="E624" s="38" t="str">
        <f>IF(ORCAMENTOS!E632="","",ORCAMENTOS!E632)</f>
        <v>FRAIHA - ED RESIDENCIAL - APARTAMENTO 261</v>
      </c>
      <c r="F624" s="37" t="str">
        <f>IF(ORCAMENTOS!G632="","",ORCAMENTOS!G632)</f>
        <v>Gabriel</v>
      </c>
      <c r="G624" s="37" t="str">
        <f>IF(ORCAMENTOS!H632="","",ORCAMENTOS!H632)</f>
        <v>Thiago</v>
      </c>
      <c r="H624" s="39">
        <f>IF(ORCAMENTOS!I632="","",ORCAMENTOS!I632)</f>
        <v>18760.07</v>
      </c>
      <c r="I624" s="60" t="str">
        <f>IF(ORCAMENTOS!J632="","",ORCAMENTOS!J632)</f>
        <v/>
      </c>
      <c r="J624" s="40" t="str">
        <f>IF(ORCAMENTOS!L632="","",ORCAMENTOS!L632)</f>
        <v>CANCELADO</v>
      </c>
      <c r="K624" s="34" t="str">
        <f>IF(ORCAMENTOS!M632="","",ORCAMENTOS!M632)</f>
        <v>-</v>
      </c>
      <c r="L624" t="str">
        <f>IF(ORCAMENTOS!R632="","",ORCAMENTOS!R632)</f>
        <v>-</v>
      </c>
    </row>
    <row r="625" spans="1:12" ht="15.75" hidden="1" customHeight="1" x14ac:dyDescent="0.25">
      <c r="A625" s="36">
        <f>IF(ORCAMENTOS!A633="","",ORCAMENTOS!A633)</f>
        <v>45756</v>
      </c>
      <c r="B625" s="46">
        <f>IF(ORCAMENTOS!B633="","",ORCAMENTOS!B633)</f>
        <v>623</v>
      </c>
      <c r="C625" s="46" t="str">
        <f>IF(ORCAMENTOS!C633="","",ORCAMENTOS!C633)</f>
        <v/>
      </c>
      <c r="D625" s="37" t="str">
        <f>IF(ORCAMENTOS!D633="","",ORCAMENTOS!D633)</f>
        <v>ECOTHERM</v>
      </c>
      <c r="E625" s="38" t="str">
        <f>IF(ORCAMENTOS!E633="","",ORCAMENTOS!E633)</f>
        <v>HOSPITAL DE FRANCA</v>
      </c>
      <c r="F625" s="37" t="str">
        <f>IF(ORCAMENTOS!G633="","",ORCAMENTOS!G633)</f>
        <v>Emanuel</v>
      </c>
      <c r="G625" s="37" t="str">
        <f>IF(ORCAMENTOS!H633="","",ORCAMENTOS!H633)</f>
        <v>Selma</v>
      </c>
      <c r="H625" s="39">
        <f>IF(ORCAMENTOS!I633="","",ORCAMENTOS!I633)</f>
        <v>94973.440000000002</v>
      </c>
      <c r="I625" s="60" t="str">
        <f>IF(ORCAMENTOS!J633="","",ORCAMENTOS!J633)</f>
        <v/>
      </c>
      <c r="J625" s="40" t="str">
        <f>IF(ORCAMENTOS!L633="","",ORCAMENTOS!L633)</f>
        <v>PERDIDO</v>
      </c>
      <c r="K625" s="34" t="str">
        <f>IF(ORCAMENTOS!M633="","",ORCAMENTOS!M633)</f>
        <v>MULTIVAC PREÇO</v>
      </c>
      <c r="L625" t="str">
        <f>IF(ORCAMENTOS!R633="","",ORCAMENTOS!R633)</f>
        <v>-</v>
      </c>
    </row>
    <row r="626" spans="1:12" ht="15.75" hidden="1" customHeight="1" x14ac:dyDescent="0.25">
      <c r="A626" s="36">
        <f>IF(ORCAMENTOS!A634="","",ORCAMENTOS!A634)</f>
        <v>45757</v>
      </c>
      <c r="B626" s="46">
        <f>IF(ORCAMENTOS!B634="","",ORCAMENTOS!B634)</f>
        <v>624</v>
      </c>
      <c r="C626" s="46" t="str">
        <f>IF(ORCAMENTOS!C634="","",ORCAMENTOS!C634)</f>
        <v/>
      </c>
      <c r="D626" s="37" t="str">
        <f>IF(ORCAMENTOS!D634="","",ORCAMENTOS!D634)</f>
        <v>ACTEC ENGENHARIA</v>
      </c>
      <c r="E626" s="38" t="str">
        <f>IF(ORCAMENTOS!E634="","",ORCAMENTOS!E634)</f>
        <v>HRIM</v>
      </c>
      <c r="F626" s="37" t="str">
        <f>IF(ORCAMENTOS!G634="","",ORCAMENTOS!G634)</f>
        <v xml:space="preserve">Aldavir </v>
      </c>
      <c r="G626" s="37" t="str">
        <f>IF(ORCAMENTOS!H634="","",ORCAMENTOS!H634)</f>
        <v>Genivon</v>
      </c>
      <c r="H626" s="39">
        <f>IF(ORCAMENTOS!I634="","",ORCAMENTOS!I634)</f>
        <v>2879.61</v>
      </c>
      <c r="I626" s="60" t="str">
        <f>IF(ORCAMENTOS!J634="","",ORCAMENTOS!J634)</f>
        <v/>
      </c>
      <c r="J626" s="40" t="str">
        <f>IF(ORCAMENTOS!L634="","",ORCAMENTOS!L634)</f>
        <v>CANCELADO</v>
      </c>
      <c r="K626" s="34" t="str">
        <f>IF(ORCAMENTOS!M634="","",ORCAMENTOS!M634)</f>
        <v/>
      </c>
      <c r="L626" t="str">
        <f>IF(ORCAMENTOS!R634="","",ORCAMENTOS!R634)</f>
        <v>-</v>
      </c>
    </row>
    <row r="627" spans="1:12" ht="15.75" hidden="1" customHeight="1" x14ac:dyDescent="0.25">
      <c r="A627" s="36">
        <f>IF(ORCAMENTOS!A635="","",ORCAMENTOS!A635)</f>
        <v>45757</v>
      </c>
      <c r="B627" s="46">
        <f>IF(ORCAMENTOS!B635="","",ORCAMENTOS!B635)</f>
        <v>625</v>
      </c>
      <c r="C627" s="46" t="str">
        <f>IF(ORCAMENTOS!C635="","",ORCAMENTOS!C635)</f>
        <v/>
      </c>
      <c r="D627" s="37" t="str">
        <f>IF(ORCAMENTOS!D635="","",ORCAMENTOS!D635)</f>
        <v>CLIMAPALA</v>
      </c>
      <c r="E627" s="38" t="str">
        <f>IF(ORCAMENTOS!E635="","",ORCAMENTOS!E635)</f>
        <v>WEBEDIA BRASIL - VILA CORDEIRO - SP</v>
      </c>
      <c r="F627" s="37" t="str">
        <f>IF(ORCAMENTOS!G635="","",ORCAMENTOS!G635)</f>
        <v>Michel</v>
      </c>
      <c r="G627" s="37" t="str">
        <f>IF(ORCAMENTOS!H635="","",ORCAMENTOS!H635)</f>
        <v>Marcio</v>
      </c>
      <c r="H627" s="39">
        <f>IF(ORCAMENTOS!I635="","",ORCAMENTOS!I635)</f>
        <v>34000</v>
      </c>
      <c r="I627" s="60" t="str">
        <f>IF(ORCAMENTOS!J635="","",ORCAMENTOS!J635)</f>
        <v/>
      </c>
      <c r="J627" s="40" t="str">
        <f>IF(ORCAMENTOS!L635="","",ORCAMENTOS!L635)</f>
        <v>FECHADO</v>
      </c>
      <c r="K627" s="34" t="str">
        <f>IF(ORCAMENTOS!M635="","",ORCAMENTOS!M635)</f>
        <v>-</v>
      </c>
      <c r="L627" t="str">
        <f>IF(ORCAMENTOS!R635="","",ORCAMENTOS!R635)</f>
        <v>-</v>
      </c>
    </row>
    <row r="628" spans="1:12" ht="15.75" hidden="1" customHeight="1" x14ac:dyDescent="0.25">
      <c r="A628" s="36">
        <f>IF(ORCAMENTOS!A636="","",ORCAMENTOS!A636)</f>
        <v>45757</v>
      </c>
      <c r="B628" s="46">
        <f>IF(ORCAMENTOS!B636="","",ORCAMENTOS!B636)</f>
        <v>626</v>
      </c>
      <c r="C628" s="46" t="str">
        <f>IF(ORCAMENTOS!C636="","",ORCAMENTOS!C636)</f>
        <v/>
      </c>
      <c r="D628" s="37" t="str">
        <f>IF(ORCAMENTOS!D636="","",ORCAMENTOS!D636)</f>
        <v>REWELL OTAVIO</v>
      </c>
      <c r="E628" s="38" t="str">
        <f>IF(ORCAMENTOS!E636="","",ORCAMENTOS!E636)</f>
        <v>MARINA E ALESSANDRO - RESIDENCIA UNIFAMILIAR</v>
      </c>
      <c r="F628" s="37" t="str">
        <f>IF(ORCAMENTOS!G636="","",ORCAMENTOS!G636)</f>
        <v>Gabriel</v>
      </c>
      <c r="G628" s="37" t="str">
        <f>IF(ORCAMENTOS!H636="","",ORCAMENTOS!H636)</f>
        <v>Rewell</v>
      </c>
      <c r="H628" s="39">
        <f>IF(ORCAMENTOS!I636="","",ORCAMENTOS!I636)</f>
        <v>8096.98</v>
      </c>
      <c r="I628" s="60" t="str">
        <f>IF(ORCAMENTOS!J636="","",ORCAMENTOS!J636)</f>
        <v/>
      </c>
      <c r="J628" s="40" t="str">
        <f>IF(ORCAMENTOS!L636="","",ORCAMENTOS!L636)</f>
        <v>CANCELADO</v>
      </c>
      <c r="K628" s="34" t="str">
        <f>IF(ORCAMENTOS!M636="","",ORCAMENTOS!M636)</f>
        <v>-</v>
      </c>
      <c r="L628" t="str">
        <f>IF(ORCAMENTOS!R636="","",ORCAMENTOS!R636)</f>
        <v>-</v>
      </c>
    </row>
    <row r="629" spans="1:12" ht="15.75" hidden="1" customHeight="1" x14ac:dyDescent="0.25">
      <c r="A629" s="36">
        <f>IF(ORCAMENTOS!A637="","",ORCAMENTOS!A637)</f>
        <v>45757</v>
      </c>
      <c r="B629" s="46">
        <f>IF(ORCAMENTOS!B637="","",ORCAMENTOS!B637)</f>
        <v>627</v>
      </c>
      <c r="C629" s="46" t="str">
        <f>IF(ORCAMENTOS!C637="","",ORCAMENTOS!C637)</f>
        <v/>
      </c>
      <c r="D629" s="37" t="str">
        <f>IF(ORCAMENTOS!D637="","",ORCAMENTOS!D637)</f>
        <v>ENERGY AIR</v>
      </c>
      <c r="E629" s="38" t="str">
        <f>IF(ORCAMENTOS!E637="","",ORCAMENTOS!E637)</f>
        <v>CACAU SHOW</v>
      </c>
      <c r="F629" s="37" t="str">
        <f>IF(ORCAMENTOS!G637="","",ORCAMENTOS!G637)</f>
        <v xml:space="preserve">Aldavir </v>
      </c>
      <c r="G629" s="37" t="str">
        <f>IF(ORCAMENTOS!H637="","",ORCAMENTOS!H637)</f>
        <v>Vitor</v>
      </c>
      <c r="H629" s="39">
        <f>IF(ORCAMENTOS!I637="","",ORCAMENTOS!I637)</f>
        <v>327267.96000000002</v>
      </c>
      <c r="I629" s="60" t="str">
        <f>IF(ORCAMENTOS!J637="","",ORCAMENTOS!J637)</f>
        <v/>
      </c>
      <c r="J629" s="40" t="str">
        <f>IF(ORCAMENTOS!L637="","",ORCAMENTOS!L637)</f>
        <v>CANCELADO</v>
      </c>
      <c r="K629" s="34" t="str">
        <f>IF(ORCAMENTOS!M637="","",ORCAMENTOS!M637)</f>
        <v>-</v>
      </c>
      <c r="L629" t="str">
        <f>IF(ORCAMENTOS!R637="","",ORCAMENTOS!R637)</f>
        <v>-</v>
      </c>
    </row>
    <row r="630" spans="1:12" ht="15.75" hidden="1" customHeight="1" x14ac:dyDescent="0.25">
      <c r="A630" s="36">
        <f>IF(ORCAMENTOS!A638="","",ORCAMENTOS!A638)</f>
        <v>45764</v>
      </c>
      <c r="B630" s="46">
        <f>IF(ORCAMENTOS!B638="","",ORCAMENTOS!B638)</f>
        <v>628</v>
      </c>
      <c r="C630" s="46" t="str">
        <f>IF(ORCAMENTOS!C638="","",ORCAMENTOS!C638)</f>
        <v/>
      </c>
      <c r="D630" s="37" t="str">
        <f>IF(ORCAMENTOS!D638="","",ORCAMENTOS!D638)</f>
        <v>AMS INSTALACOES</v>
      </c>
      <c r="E630" s="38" t="str">
        <f>IF(ORCAMENTOS!E638="","",ORCAMENTOS!E638)</f>
        <v>AEROPORTO DE CONGONHAS - CONSOLIDADO</v>
      </c>
      <c r="F630" s="37" t="str">
        <f>IF(ORCAMENTOS!G638="","",ORCAMENTOS!G638)</f>
        <v>Gabriel</v>
      </c>
      <c r="G630" s="37" t="str">
        <f>IF(ORCAMENTOS!H638="","",ORCAMENTOS!H638)</f>
        <v>Almir</v>
      </c>
      <c r="H630" s="39">
        <f>IF(ORCAMENTOS!I638="","",ORCAMENTOS!I638)</f>
        <v>620000</v>
      </c>
      <c r="I630" s="60" t="str">
        <f>IF(ORCAMENTOS!J638="","",ORCAMENTOS!J638)</f>
        <v/>
      </c>
      <c r="J630" s="40" t="str">
        <f>IF(ORCAMENTOS!L638="","",ORCAMENTOS!L638)</f>
        <v>FECHADO</v>
      </c>
      <c r="K630" s="34" t="str">
        <f>IF(ORCAMENTOS!M638="","",ORCAMENTOS!M638)</f>
        <v>-</v>
      </c>
      <c r="L630" t="str">
        <f>IF(ORCAMENTOS!R638="","",ORCAMENTOS!R638)</f>
        <v>-</v>
      </c>
    </row>
    <row r="631" spans="1:12" ht="15.75" hidden="1" customHeight="1" x14ac:dyDescent="0.25">
      <c r="A631" s="36">
        <f>IF(ORCAMENTOS!A639="","",ORCAMENTOS!A639)</f>
        <v>45757</v>
      </c>
      <c r="B631" s="46">
        <f>IF(ORCAMENTOS!B639="","",ORCAMENTOS!B639)</f>
        <v>629</v>
      </c>
      <c r="C631" s="46" t="str">
        <f>IF(ORCAMENTOS!C639="","",ORCAMENTOS!C639)</f>
        <v/>
      </c>
      <c r="D631" s="37" t="str">
        <f>IF(ORCAMENTOS!D639="","",ORCAMENTOS!D639)</f>
        <v>ASSISTEC</v>
      </c>
      <c r="E631" s="38" t="str">
        <f>IF(ORCAMENTOS!E639="","",ORCAMENTOS!E639)</f>
        <v>-</v>
      </c>
      <c r="F631" s="37" t="str">
        <f>IF(ORCAMENTOS!G639="","",ORCAMENTOS!G639)</f>
        <v>Emanuel</v>
      </c>
      <c r="G631" s="37" t="str">
        <f>IF(ORCAMENTOS!H639="","",ORCAMENTOS!H639)</f>
        <v>Denis</v>
      </c>
      <c r="H631" s="39">
        <f>IF(ORCAMENTOS!I639="","",ORCAMENTOS!I639)</f>
        <v>355.86</v>
      </c>
      <c r="I631" s="60" t="str">
        <f>IF(ORCAMENTOS!J639="","",ORCAMENTOS!J639)</f>
        <v/>
      </c>
      <c r="J631" s="40" t="str">
        <f>IF(ORCAMENTOS!L639="","",ORCAMENTOS!L639)</f>
        <v>FECHADO</v>
      </c>
      <c r="K631" s="34" t="str">
        <f>IF(ORCAMENTOS!M639="","",ORCAMENTOS!M639)</f>
        <v>-</v>
      </c>
      <c r="L631" t="str">
        <f>IF(ORCAMENTOS!R639="","",ORCAMENTOS!R639)</f>
        <v>-</v>
      </c>
    </row>
    <row r="632" spans="1:12" ht="15.75" hidden="1" customHeight="1" x14ac:dyDescent="0.25">
      <c r="A632" s="36">
        <f>IF(ORCAMENTOS!A640="","",ORCAMENTOS!A640)</f>
        <v>45757</v>
      </c>
      <c r="B632" s="46">
        <f>IF(ORCAMENTOS!B640="","",ORCAMENTOS!B640)</f>
        <v>630</v>
      </c>
      <c r="C632" s="46" t="str">
        <f>IF(ORCAMENTOS!C640="","",ORCAMENTOS!C640)</f>
        <v/>
      </c>
      <c r="D632" s="37" t="str">
        <f>IF(ORCAMENTOS!D640="","",ORCAMENTOS!D640)</f>
        <v>TR MARAZZATTO</v>
      </c>
      <c r="E632" s="38" t="str">
        <f>IF(ORCAMENTOS!E640="","",ORCAMENTOS!E640)</f>
        <v>-</v>
      </c>
      <c r="F632" s="37" t="str">
        <f>IF(ORCAMENTOS!G640="","",ORCAMENTOS!G640)</f>
        <v>Gabriel</v>
      </c>
      <c r="G632" s="37" t="str">
        <f>IF(ORCAMENTOS!H640="","",ORCAMENTOS!H640)</f>
        <v>Telmo</v>
      </c>
      <c r="H632" s="39">
        <f>IF(ORCAMENTOS!I640="","",ORCAMENTOS!I640)</f>
        <v>6121.28</v>
      </c>
      <c r="I632" s="60" t="str">
        <f>IF(ORCAMENTOS!J640="","",ORCAMENTOS!J640)</f>
        <v/>
      </c>
      <c r="J632" s="40" t="str">
        <f>IF(ORCAMENTOS!L640="","",ORCAMENTOS!L640)</f>
        <v>CANCELADO</v>
      </c>
      <c r="K632" s="34" t="str">
        <f>IF(ORCAMENTOS!M640="","",ORCAMENTOS!M640)</f>
        <v>-</v>
      </c>
      <c r="L632" t="str">
        <f>IF(ORCAMENTOS!R640="","",ORCAMENTOS!R640)</f>
        <v>-</v>
      </c>
    </row>
    <row r="633" spans="1:12" ht="15.75" hidden="1" customHeight="1" x14ac:dyDescent="0.25">
      <c r="A633" s="36">
        <f>IF(ORCAMENTOS!A641="","",ORCAMENTOS!A641)</f>
        <v>45757</v>
      </c>
      <c r="B633" s="46">
        <f>IF(ORCAMENTOS!B641="","",ORCAMENTOS!B641)</f>
        <v>631</v>
      </c>
      <c r="C633" s="46" t="str">
        <f>IF(ORCAMENTOS!C641="","",ORCAMENTOS!C641)</f>
        <v/>
      </c>
      <c r="D633" s="37" t="str">
        <f>IF(ORCAMENTOS!D641="","",ORCAMENTOS!D641)</f>
        <v>RM3 ENGENHARIA</v>
      </c>
      <c r="E633" s="38" t="str">
        <f>IF(ORCAMENTOS!E641="","",ORCAMENTOS!E641)</f>
        <v>RD - ITUPEVA</v>
      </c>
      <c r="F633" s="37" t="str">
        <f>IF(ORCAMENTOS!G641="","",ORCAMENTOS!G641)</f>
        <v>Guilherme</v>
      </c>
      <c r="G633" s="37" t="str">
        <f>IF(ORCAMENTOS!H641="","",ORCAMENTOS!H641)</f>
        <v>Angelica</v>
      </c>
      <c r="H633" s="39">
        <f>IF(ORCAMENTOS!I641="","",ORCAMENTOS!I641)</f>
        <v>597415.71</v>
      </c>
      <c r="I633" s="60" t="str">
        <f>IF(ORCAMENTOS!J641="","",ORCAMENTOS!J641)</f>
        <v/>
      </c>
      <c r="J633" s="40" t="str">
        <f>IF(ORCAMENTOS!L641="","",ORCAMENTOS!L641)</f>
        <v>CANCELADO</v>
      </c>
      <c r="K633" s="34" t="str">
        <f>IF(ORCAMENTOS!M641="","",ORCAMENTOS!M641)</f>
        <v>-</v>
      </c>
      <c r="L633" t="str">
        <f>IF(ORCAMENTOS!R641="","",ORCAMENTOS!R641)</f>
        <v>N/E</v>
      </c>
    </row>
    <row r="634" spans="1:12" ht="15.75" hidden="1" customHeight="1" x14ac:dyDescent="0.25">
      <c r="A634" s="36">
        <f>IF(ORCAMENTOS!A642="","",ORCAMENTOS!A642)</f>
        <v>45758</v>
      </c>
      <c r="B634" s="46">
        <f>IF(ORCAMENTOS!B642="","",ORCAMENTOS!B642)</f>
        <v>632</v>
      </c>
      <c r="C634" s="46" t="str">
        <f>IF(ORCAMENTOS!C642="","",ORCAMENTOS!C642)</f>
        <v/>
      </c>
      <c r="D634" s="37" t="str">
        <f>IF(ORCAMENTOS!D642="","",ORCAMENTOS!D642)</f>
        <v>AR2 SOLUCOES</v>
      </c>
      <c r="E634" s="38" t="str">
        <f>IF(ORCAMENTOS!E642="","",ORCAMENTOS!E642)</f>
        <v>HAPVIDA - AV CRUZEIRO DO SUL - SANTANA</v>
      </c>
      <c r="F634" s="37" t="str">
        <f>IF(ORCAMENTOS!G642="","",ORCAMENTOS!G642)</f>
        <v>Gabriel</v>
      </c>
      <c r="G634" s="37" t="str">
        <f>IF(ORCAMENTOS!H642="","",ORCAMENTOS!H642)</f>
        <v>Roni</v>
      </c>
      <c r="H634" s="39">
        <f>IF(ORCAMENTOS!I642="","",ORCAMENTOS!I642)</f>
        <v>22240.68</v>
      </c>
      <c r="I634" s="60" t="str">
        <f>IF(ORCAMENTOS!J642="","",ORCAMENTOS!J642)</f>
        <v/>
      </c>
      <c r="J634" s="40" t="str">
        <f>IF(ORCAMENTOS!L642="","",ORCAMENTOS!L642)</f>
        <v>CANCELADO</v>
      </c>
      <c r="K634" s="34" t="str">
        <f>IF(ORCAMENTOS!M642="","",ORCAMENTOS!M642)</f>
        <v>-</v>
      </c>
      <c r="L634" t="str">
        <f>IF(ORCAMENTOS!R642="","",ORCAMENTOS!R642)</f>
        <v>N/E</v>
      </c>
    </row>
    <row r="635" spans="1:12" ht="15.75" hidden="1" customHeight="1" x14ac:dyDescent="0.25">
      <c r="A635" s="36">
        <f>IF(ORCAMENTOS!A643="","",ORCAMENTOS!A643)</f>
        <v>45758</v>
      </c>
      <c r="B635" s="46">
        <f>IF(ORCAMENTOS!B643="","",ORCAMENTOS!B643)</f>
        <v>633</v>
      </c>
      <c r="C635" s="46" t="str">
        <f>IF(ORCAMENTOS!C643="","",ORCAMENTOS!C643)</f>
        <v/>
      </c>
      <c r="D635" s="37" t="str">
        <f>IF(ORCAMENTOS!D643="","",ORCAMENTOS!D643)</f>
        <v>AR2 SOLUCOES</v>
      </c>
      <c r="E635" s="38" t="str">
        <f>IF(ORCAMENTOS!E643="","",ORCAMENTOS!E643)</f>
        <v>HAPVIDA - PENHA</v>
      </c>
      <c r="F635" s="37" t="str">
        <f>IF(ORCAMENTOS!G643="","",ORCAMENTOS!G643)</f>
        <v>Gabriel</v>
      </c>
      <c r="G635" s="37" t="str">
        <f>IF(ORCAMENTOS!H643="","",ORCAMENTOS!H643)</f>
        <v>Roni</v>
      </c>
      <c r="H635" s="39">
        <f>IF(ORCAMENTOS!I643="","",ORCAMENTOS!I643)</f>
        <v>4227.18</v>
      </c>
      <c r="I635" s="60" t="str">
        <f>IF(ORCAMENTOS!J643="","",ORCAMENTOS!J643)</f>
        <v/>
      </c>
      <c r="J635" s="40" t="str">
        <f>IF(ORCAMENTOS!L643="","",ORCAMENTOS!L643)</f>
        <v>CANCELADO</v>
      </c>
      <c r="K635" s="34" t="str">
        <f>IF(ORCAMENTOS!M643="","",ORCAMENTOS!M643)</f>
        <v>-</v>
      </c>
      <c r="L635" t="str">
        <f>IF(ORCAMENTOS!R643="","",ORCAMENTOS!R643)</f>
        <v>N/E</v>
      </c>
    </row>
    <row r="636" spans="1:12" ht="15.75" hidden="1" customHeight="1" x14ac:dyDescent="0.25">
      <c r="A636" s="36">
        <f>IF(ORCAMENTOS!A644="","",ORCAMENTOS!A644)</f>
        <v>45758</v>
      </c>
      <c r="B636" s="46">
        <f>IF(ORCAMENTOS!B644="","",ORCAMENTOS!B644)</f>
        <v>634</v>
      </c>
      <c r="C636" s="46" t="str">
        <f>IF(ORCAMENTOS!C644="","",ORCAMENTOS!C644)</f>
        <v/>
      </c>
      <c r="D636" s="37" t="str">
        <f>IF(ORCAMENTOS!D644="","",ORCAMENTOS!D644)</f>
        <v>WELLNESS</v>
      </c>
      <c r="E636" s="38" t="str">
        <f>IF(ORCAMENTOS!E644="","",ORCAMENTOS!E644)</f>
        <v>-</v>
      </c>
      <c r="F636" s="37" t="str">
        <f>IF(ORCAMENTOS!G644="","",ORCAMENTOS!G644)</f>
        <v>Gabriel</v>
      </c>
      <c r="G636" s="37" t="str">
        <f>IF(ORCAMENTOS!H644="","",ORCAMENTOS!H644)</f>
        <v>Ivanise</v>
      </c>
      <c r="H636" s="39">
        <f>IF(ORCAMENTOS!I644="","",ORCAMENTOS!I644)</f>
        <v>25511.01</v>
      </c>
      <c r="I636" s="60" t="str">
        <f>IF(ORCAMENTOS!J644="","",ORCAMENTOS!J644)</f>
        <v/>
      </c>
      <c r="J636" s="40" t="str">
        <f>IF(ORCAMENTOS!L644="","",ORCAMENTOS!L644)</f>
        <v>CANCELADO</v>
      </c>
      <c r="K636" s="34" t="str">
        <f>IF(ORCAMENTOS!M644="","",ORCAMENTOS!M644)</f>
        <v>-</v>
      </c>
      <c r="L636" t="str">
        <f>IF(ORCAMENTOS!R644="","",ORCAMENTOS!R644)</f>
        <v>-</v>
      </c>
    </row>
    <row r="637" spans="1:12" ht="15.75" hidden="1" customHeight="1" x14ac:dyDescent="0.25">
      <c r="A637" s="36">
        <f>IF(ORCAMENTOS!A645="","",ORCAMENTOS!A645)</f>
        <v>45761</v>
      </c>
      <c r="B637" s="46">
        <f>IF(ORCAMENTOS!B645="","",ORCAMENTOS!B645)</f>
        <v>635</v>
      </c>
      <c r="C637" s="46" t="str">
        <f>IF(ORCAMENTOS!C645="","",ORCAMENTOS!C645)</f>
        <v/>
      </c>
      <c r="D637" s="37" t="str">
        <f>IF(ORCAMENTOS!D645="","",ORCAMENTOS!D645)</f>
        <v>MARCIA AUGUSTO</v>
      </c>
      <c r="E637" s="38" t="str">
        <f>IF(ORCAMENTOS!E645="","",ORCAMENTOS!E645)</f>
        <v>Lojão Filhos do Rei</v>
      </c>
      <c r="F637" s="37" t="str">
        <f>IF(ORCAMENTOS!G645="","",ORCAMENTOS!G645)</f>
        <v>Gabriel</v>
      </c>
      <c r="G637" s="37" t="str">
        <f>IF(ORCAMENTOS!H645="","",ORCAMENTOS!H645)</f>
        <v>Marcia</v>
      </c>
      <c r="H637" s="39">
        <f>IF(ORCAMENTOS!I645="","",ORCAMENTOS!I645)</f>
        <v>145075.57</v>
      </c>
      <c r="I637" s="60" t="str">
        <f>IF(ORCAMENTOS!J645="","",ORCAMENTOS!J645)</f>
        <v/>
      </c>
      <c r="J637" s="40" t="str">
        <f>IF(ORCAMENTOS!L645="","",ORCAMENTOS!L645)</f>
        <v>CANCELADO</v>
      </c>
      <c r="K637" s="34" t="str">
        <f>IF(ORCAMENTOS!M645="","",ORCAMENTOS!M645)</f>
        <v>-</v>
      </c>
      <c r="L637" t="str">
        <f>IF(ORCAMENTOS!R645="","",ORCAMENTOS!R645)</f>
        <v>-</v>
      </c>
    </row>
    <row r="638" spans="1:12" ht="15.75" hidden="1" customHeight="1" x14ac:dyDescent="0.25">
      <c r="A638" s="36">
        <f>IF(ORCAMENTOS!A646="","",ORCAMENTOS!A646)</f>
        <v>45761</v>
      </c>
      <c r="B638" s="46">
        <f>IF(ORCAMENTOS!B646="","",ORCAMENTOS!B646)</f>
        <v>636</v>
      </c>
      <c r="C638" s="46" t="str">
        <f>IF(ORCAMENTOS!C646="","",ORCAMENTOS!C646)</f>
        <v/>
      </c>
      <c r="D638" s="37" t="str">
        <f>IF(ORCAMENTOS!D646="","",ORCAMENTOS!D646)</f>
        <v>TEKNOAR</v>
      </c>
      <c r="E638" s="38" t="str">
        <f>IF(ORCAMENTOS!E646="","",ORCAMENTOS!E646)</f>
        <v>HOSPITAL UNIVERSITARIO - CENTRO OBSTETRICO</v>
      </c>
      <c r="F638" s="37" t="str">
        <f>IF(ORCAMENTOS!G646="","",ORCAMENTOS!G646)</f>
        <v>Gabriel</v>
      </c>
      <c r="G638" s="37" t="str">
        <f>IF(ORCAMENTOS!H646="","",ORCAMENTOS!H646)</f>
        <v>Mario</v>
      </c>
      <c r="H638" s="39">
        <f>IF(ORCAMENTOS!I646="","",ORCAMENTOS!I646)</f>
        <v>27366.37</v>
      </c>
      <c r="I638" s="60" t="str">
        <f>IF(ORCAMENTOS!J646="","",ORCAMENTOS!J646)</f>
        <v/>
      </c>
      <c r="J638" s="40" t="str">
        <f>IF(ORCAMENTOS!L646="","",ORCAMENTOS!L646)</f>
        <v>CANCELADO</v>
      </c>
      <c r="K638" s="34" t="str">
        <f>IF(ORCAMENTOS!M646="","",ORCAMENTOS!M646)</f>
        <v>-</v>
      </c>
      <c r="L638" t="str">
        <f>IF(ORCAMENTOS!R646="","",ORCAMENTOS!R646)</f>
        <v>-</v>
      </c>
    </row>
    <row r="639" spans="1:12" ht="15.75" hidden="1" customHeight="1" x14ac:dyDescent="0.25">
      <c r="A639" s="36">
        <f>IF(ORCAMENTOS!A647="","",ORCAMENTOS!A647)</f>
        <v>45761</v>
      </c>
      <c r="B639" s="46">
        <f>IF(ORCAMENTOS!B647="","",ORCAMENTOS!B647)</f>
        <v>637</v>
      </c>
      <c r="C639" s="46" t="str">
        <f>IF(ORCAMENTOS!C647="","",ORCAMENTOS!C647)</f>
        <v/>
      </c>
      <c r="D639" s="37" t="str">
        <f>IF(ORCAMENTOS!D647="","",ORCAMENTOS!D647)</f>
        <v>ARPOL ENGENHARIA</v>
      </c>
      <c r="E639" s="38" t="str">
        <f>IF(ORCAMENTOS!E647="","",ORCAMENTOS!E647)</f>
        <v>NIKE RISE - IGUATEMI CAMPINAS</v>
      </c>
      <c r="F639" s="37" t="str">
        <f>IF(ORCAMENTOS!G647="","",ORCAMENTOS!G647)</f>
        <v>Michel</v>
      </c>
      <c r="G639" s="37" t="str">
        <f>IF(ORCAMENTOS!H647="","",ORCAMENTOS!H647)</f>
        <v>William</v>
      </c>
      <c r="H639" s="39">
        <f>IF(ORCAMENTOS!I647="","",ORCAMENTOS!I647)</f>
        <v>78264.710000000006</v>
      </c>
      <c r="I639" s="60" t="str">
        <f>IF(ORCAMENTOS!J647="","",ORCAMENTOS!J647)</f>
        <v/>
      </c>
      <c r="J639" s="40" t="str">
        <f>IF(ORCAMENTOS!L647="","",ORCAMENTOS!L647)</f>
        <v>CANCELADO</v>
      </c>
      <c r="K639" s="34" t="str">
        <f>IF(ORCAMENTOS!M647="","",ORCAMENTOS!M647)</f>
        <v>FECHADO PELA AIRPLAN</v>
      </c>
      <c r="L639" t="str">
        <f>IF(ORCAMENTOS!R647="","",ORCAMENTOS!R647)</f>
        <v>MPU</v>
      </c>
    </row>
    <row r="640" spans="1:12" ht="15.75" hidden="1" customHeight="1" x14ac:dyDescent="0.25">
      <c r="A640" s="36">
        <f>IF(ORCAMENTOS!A648="","",ORCAMENTOS!A648)</f>
        <v>45761</v>
      </c>
      <c r="B640" s="46">
        <f>IF(ORCAMENTOS!B648="","",ORCAMENTOS!B648)</f>
        <v>638</v>
      </c>
      <c r="C640" s="46" t="str">
        <f>IF(ORCAMENTOS!C648="","",ORCAMENTOS!C648)</f>
        <v/>
      </c>
      <c r="D640" s="37" t="str">
        <f>IF(ORCAMENTOS!D648="","",ORCAMENTOS!D648)</f>
        <v>AIR SUPPLY</v>
      </c>
      <c r="E640" s="38" t="str">
        <f>IF(ORCAMENTOS!E648="","",ORCAMENTOS!E648)</f>
        <v>ASSAI SEDE - ELIZABETH DE ROBIANO - SP</v>
      </c>
      <c r="F640" s="37" t="str">
        <f>IF(ORCAMENTOS!G648="","",ORCAMENTOS!G648)</f>
        <v>Gabriel</v>
      </c>
      <c r="G640" s="37" t="str">
        <f>IF(ORCAMENTOS!H648="","",ORCAMENTOS!H648)</f>
        <v>Pedro</v>
      </c>
      <c r="H640" s="39">
        <f>IF(ORCAMENTOS!I648="","",ORCAMENTOS!I648)</f>
        <v>278026.78999999998</v>
      </c>
      <c r="I640" s="60" t="str">
        <f>IF(ORCAMENTOS!J648="","",ORCAMENTOS!J648)</f>
        <v/>
      </c>
      <c r="J640" s="40" t="str">
        <f>IF(ORCAMENTOS!L648="","",ORCAMENTOS!L648)</f>
        <v>CANCELADO</v>
      </c>
      <c r="K640" s="34" t="str">
        <f>IF(ORCAMENTOS!M648="","",ORCAMENTOS!M648)</f>
        <v>-</v>
      </c>
      <c r="L640" t="str">
        <f>IF(ORCAMENTOS!R648="","",ORCAMENTOS!R648)</f>
        <v>MPU</v>
      </c>
    </row>
    <row r="641" spans="1:12" ht="15.75" hidden="1" customHeight="1" x14ac:dyDescent="0.25">
      <c r="A641" s="36">
        <f>IF(ORCAMENTOS!A649="","",ORCAMENTOS!A649)</f>
        <v>45761</v>
      </c>
      <c r="B641" s="46">
        <f>IF(ORCAMENTOS!B649="","",ORCAMENTOS!B649)</f>
        <v>639</v>
      </c>
      <c r="C641" s="46" t="str">
        <f>IF(ORCAMENTOS!C649="","",ORCAMENTOS!C649)</f>
        <v/>
      </c>
      <c r="D641" s="37" t="str">
        <f>IF(ORCAMENTOS!D649="","",ORCAMENTOS!D649)</f>
        <v>AMS INSTALACOES</v>
      </c>
      <c r="E641" s="38" t="str">
        <f>IF(ORCAMENTOS!E649="","",ORCAMENTOS!E649)</f>
        <v>ASSAI SEDE - ELIZABETH DE ROBIANO - SP</v>
      </c>
      <c r="F641" s="37" t="str">
        <f>IF(ORCAMENTOS!G649="","",ORCAMENTOS!G649)</f>
        <v>Gabriel</v>
      </c>
      <c r="G641" s="37" t="str">
        <f>IF(ORCAMENTOS!H649="","",ORCAMENTOS!H649)</f>
        <v>Felipe</v>
      </c>
      <c r="H641" s="39">
        <f>IF(ORCAMENTOS!I649="","",ORCAMENTOS!I649)</f>
        <v>280067.21999999997</v>
      </c>
      <c r="I641" s="60" t="str">
        <f>IF(ORCAMENTOS!J649="","",ORCAMENTOS!J649)</f>
        <v/>
      </c>
      <c r="J641" s="40" t="str">
        <f>IF(ORCAMENTOS!L649="","",ORCAMENTOS!L649)</f>
        <v>CANCELADO</v>
      </c>
      <c r="K641" s="34" t="str">
        <f>IF(ORCAMENTOS!M649="","",ORCAMENTOS!M649)</f>
        <v>-</v>
      </c>
      <c r="L641" t="str">
        <f>IF(ORCAMENTOS!R649="","",ORCAMENTOS!R649)</f>
        <v>MPU</v>
      </c>
    </row>
    <row r="642" spans="1:12" ht="15.75" hidden="1" customHeight="1" x14ac:dyDescent="0.25">
      <c r="A642" s="36">
        <f>IF(ORCAMENTOS!A650="","",ORCAMENTOS!A650)</f>
        <v>45761</v>
      </c>
      <c r="B642" s="46">
        <f>IF(ORCAMENTOS!B650="","",ORCAMENTOS!B650)</f>
        <v>640</v>
      </c>
      <c r="C642" s="46" t="str">
        <f>IF(ORCAMENTOS!C650="","",ORCAMENTOS!C650)</f>
        <v/>
      </c>
      <c r="D642" s="37" t="str">
        <f>IF(ORCAMENTOS!D650="","",ORCAMENTOS!D650)</f>
        <v>MONDARC</v>
      </c>
      <c r="E642" s="38" t="str">
        <f>IF(ORCAMENTOS!E650="","",ORCAMENTOS!E650)</f>
        <v>NIKE RISE - IGUATEMI CAMPINAS</v>
      </c>
      <c r="F642" s="37" t="str">
        <f>IF(ORCAMENTOS!G650="","",ORCAMENTOS!G650)</f>
        <v>Michel</v>
      </c>
      <c r="G642" s="37" t="str">
        <f>IF(ORCAMENTOS!H650="","",ORCAMENTOS!H650)</f>
        <v>Fabiana</v>
      </c>
      <c r="H642" s="39">
        <f>IF(ORCAMENTOS!I650="","",ORCAMENTOS!I650)</f>
        <v>78264.710000000006</v>
      </c>
      <c r="I642" s="60" t="str">
        <f>IF(ORCAMENTOS!J650="","",ORCAMENTOS!J650)</f>
        <v/>
      </c>
      <c r="J642" s="40" t="str">
        <f>IF(ORCAMENTOS!L650="","",ORCAMENTOS!L650)</f>
        <v>CANCELADO</v>
      </c>
      <c r="K642" s="34" t="str">
        <f>IF(ORCAMENTOS!M650="","",ORCAMENTOS!M650)</f>
        <v>FECHADO PELA AIRPLAN</v>
      </c>
      <c r="L642" t="str">
        <f>IF(ORCAMENTOS!R650="","",ORCAMENTOS!R650)</f>
        <v>MPU</v>
      </c>
    </row>
    <row r="643" spans="1:12" ht="15.75" hidden="1" customHeight="1" x14ac:dyDescent="0.25">
      <c r="A643" s="36">
        <f>IF(ORCAMENTOS!A651="","",ORCAMENTOS!A651)</f>
        <v>45761</v>
      </c>
      <c r="B643" s="46">
        <f>IF(ORCAMENTOS!B651="","",ORCAMENTOS!B651)</f>
        <v>641</v>
      </c>
      <c r="C643" s="46" t="str">
        <f>IF(ORCAMENTOS!C651="","",ORCAMENTOS!C651)</f>
        <v/>
      </c>
      <c r="D643" s="37" t="str">
        <f>IF(ORCAMENTOS!D651="","",ORCAMENTOS!D651)</f>
        <v>CONCRETO ITAIM</v>
      </c>
      <c r="E643" s="38" t="str">
        <f>IF(ORCAMENTOS!E651="","",ORCAMENTOS!E651)</f>
        <v>-</v>
      </c>
      <c r="F643" s="37" t="str">
        <f>IF(ORCAMENTOS!G651="","",ORCAMENTOS!G651)</f>
        <v>Gabriel</v>
      </c>
      <c r="G643" s="37" t="str">
        <f>IF(ORCAMENTOS!H651="","",ORCAMENTOS!H651)</f>
        <v>Nivaldo</v>
      </c>
      <c r="H643" s="39">
        <f>IF(ORCAMENTOS!I651="","",ORCAMENTOS!I651)</f>
        <v>3400.34</v>
      </c>
      <c r="I643" s="60" t="str">
        <f>IF(ORCAMENTOS!J651="","",ORCAMENTOS!J651)</f>
        <v/>
      </c>
      <c r="J643" s="40" t="str">
        <f>IF(ORCAMENTOS!L651="","",ORCAMENTOS!L651)</f>
        <v>FECHADO</v>
      </c>
      <c r="K643" s="34" t="str">
        <f>IF(ORCAMENTOS!M651="","",ORCAMENTOS!M651)</f>
        <v>-</v>
      </c>
      <c r="L643" t="str">
        <f>IF(ORCAMENTOS!R651="","",ORCAMENTOS!R651)</f>
        <v>-</v>
      </c>
    </row>
    <row r="644" spans="1:12" ht="15.75" hidden="1" customHeight="1" x14ac:dyDescent="0.25">
      <c r="A644" s="36">
        <f>IF(ORCAMENTOS!A652="","",ORCAMENTOS!A652)</f>
        <v>45761</v>
      </c>
      <c r="B644" s="46">
        <f>IF(ORCAMENTOS!B652="","",ORCAMENTOS!B652)</f>
        <v>642</v>
      </c>
      <c r="C644" s="46" t="str">
        <f>IF(ORCAMENTOS!C652="","",ORCAMENTOS!C652)</f>
        <v/>
      </c>
      <c r="D644" s="37" t="str">
        <f>IF(ORCAMENTOS!D652="","",ORCAMENTOS!D652)</f>
        <v>INDA CLIMA</v>
      </c>
      <c r="E644" s="38" t="str">
        <f>IF(ORCAMENTOS!E652="","",ORCAMENTOS!E652)</f>
        <v>CAIXA ECONOMICA FEDERAL - GALPAO 1</v>
      </c>
      <c r="F644" s="37" t="str">
        <f>IF(ORCAMENTOS!G652="","",ORCAMENTOS!G652)</f>
        <v>Gabriel</v>
      </c>
      <c r="G644" s="37" t="str">
        <f>IF(ORCAMENTOS!H652="","",ORCAMENTOS!H652)</f>
        <v>Pedro</v>
      </c>
      <c r="H644" s="39">
        <f>IF(ORCAMENTOS!I652="","",ORCAMENTOS!I652)</f>
        <v>502751.74</v>
      </c>
      <c r="I644" s="60" t="str">
        <f>IF(ORCAMENTOS!J652="","",ORCAMENTOS!J652)</f>
        <v/>
      </c>
      <c r="J644" s="40" t="str">
        <f>IF(ORCAMENTOS!L652="","",ORCAMENTOS!L652)</f>
        <v>CANCELADO</v>
      </c>
      <c r="K644" s="34" t="str">
        <f>IF(ORCAMENTOS!M652="","",ORCAMENTOS!M652)</f>
        <v>-</v>
      </c>
      <c r="L644" t="str">
        <f>IF(ORCAMENTOS!R652="","",ORCAMENTOS!R652)</f>
        <v>-</v>
      </c>
    </row>
    <row r="645" spans="1:12" ht="15.75" hidden="1" customHeight="1" x14ac:dyDescent="0.25">
      <c r="A645" s="36">
        <f>IF(ORCAMENTOS!A653="","",ORCAMENTOS!A653)</f>
        <v>45761</v>
      </c>
      <c r="B645" s="46">
        <f>IF(ORCAMENTOS!B653="","",ORCAMENTOS!B653)</f>
        <v>643</v>
      </c>
      <c r="C645" s="46" t="str">
        <f>IF(ORCAMENTOS!C653="","",ORCAMENTOS!C653)</f>
        <v/>
      </c>
      <c r="D645" s="37" t="str">
        <f>IF(ORCAMENTOS!D653="","",ORCAMENTOS!D653)</f>
        <v>INDA CLIMA</v>
      </c>
      <c r="E645" s="38" t="str">
        <f>IF(ORCAMENTOS!E653="","",ORCAMENTOS!E653)</f>
        <v>CAIXA ECONOMICA FEDERAL - GALPAO 2</v>
      </c>
      <c r="F645" s="37" t="str">
        <f>IF(ORCAMENTOS!G653="","",ORCAMENTOS!G653)</f>
        <v>Gabriel</v>
      </c>
      <c r="G645" s="37" t="str">
        <f>IF(ORCAMENTOS!H653="","",ORCAMENTOS!H653)</f>
        <v>Pedro</v>
      </c>
      <c r="H645" s="39">
        <f>IF(ORCAMENTOS!I653="","",ORCAMENTOS!I653)</f>
        <v>650021.66</v>
      </c>
      <c r="I645" s="60" t="str">
        <f>IF(ORCAMENTOS!J653="","",ORCAMENTOS!J653)</f>
        <v/>
      </c>
      <c r="J645" s="40" t="str">
        <f>IF(ORCAMENTOS!L653="","",ORCAMENTOS!L653)</f>
        <v>CANCELADO</v>
      </c>
      <c r="K645" s="34" t="str">
        <f>IF(ORCAMENTOS!M653="","",ORCAMENTOS!M653)</f>
        <v>-</v>
      </c>
      <c r="L645" t="str">
        <f>IF(ORCAMENTOS!R653="","",ORCAMENTOS!R653)</f>
        <v>-</v>
      </c>
    </row>
    <row r="646" spans="1:12" ht="15.75" hidden="1" customHeight="1" x14ac:dyDescent="0.25">
      <c r="A646" s="36">
        <f>IF(ORCAMENTOS!A654="","",ORCAMENTOS!A654)</f>
        <v>45761</v>
      </c>
      <c r="B646" s="46">
        <f>IF(ORCAMENTOS!B654="","",ORCAMENTOS!B654)</f>
        <v>644</v>
      </c>
      <c r="C646" s="46" t="str">
        <f>IF(ORCAMENTOS!C654="","",ORCAMENTOS!C654)</f>
        <v/>
      </c>
      <c r="D646" s="37" t="str">
        <f>IF(ORCAMENTOS!D654="","",ORCAMENTOS!D654)</f>
        <v>THERMOCENTER</v>
      </c>
      <c r="E646" s="38" t="str">
        <f>IF(ORCAMENTOS!E654="","",ORCAMENTOS!E654)</f>
        <v>OBRAMAX - SUZANO - SP</v>
      </c>
      <c r="F646" s="37" t="str">
        <f>IF(ORCAMENTOS!G654="","",ORCAMENTOS!G654)</f>
        <v>Fernando</v>
      </c>
      <c r="G646" s="37" t="str">
        <f>IF(ORCAMENTOS!H654="","",ORCAMENTOS!H654)</f>
        <v>Silvana</v>
      </c>
      <c r="H646" s="39">
        <f>IF(ORCAMENTOS!I654="","",ORCAMENTOS!I654)</f>
        <v>139498.57</v>
      </c>
      <c r="I646" s="60" t="str">
        <f>IF(ORCAMENTOS!J654="","",ORCAMENTOS!J654)</f>
        <v/>
      </c>
      <c r="J646" s="40" t="str">
        <f>IF(ORCAMENTOS!L654="","",ORCAMENTOS!L654)</f>
        <v>CANCELADO</v>
      </c>
      <c r="K646" s="34" t="str">
        <f>IF(ORCAMENTOS!M654="","",ORCAMENTOS!M654)</f>
        <v>-</v>
      </c>
      <c r="L646" t="str">
        <f>IF(ORCAMENTOS!R654="","",ORCAMENTOS!R654)</f>
        <v>MPU</v>
      </c>
    </row>
    <row r="647" spans="1:12" ht="15.75" hidden="1" customHeight="1" x14ac:dyDescent="0.25">
      <c r="A647" s="36">
        <f>IF(ORCAMENTOS!A655="","",ORCAMENTOS!A655)</f>
        <v>45761</v>
      </c>
      <c r="B647" s="46">
        <f>IF(ORCAMENTOS!B655="","",ORCAMENTOS!B655)</f>
        <v>645</v>
      </c>
      <c r="C647" s="46" t="str">
        <f>IF(ORCAMENTOS!C655="","",ORCAMENTOS!C655)</f>
        <v/>
      </c>
      <c r="D647" s="37" t="str">
        <f>IF(ORCAMENTOS!D655="","",ORCAMENTOS!D655)</f>
        <v>THERMOCENTER</v>
      </c>
      <c r="E647" s="38" t="str">
        <f>IF(ORCAMENTOS!E655="","",ORCAMENTOS!E655)</f>
        <v>DASA ONCOLOGIA - JARDIM PAULISTA - SP</v>
      </c>
      <c r="F647" s="37" t="str">
        <f>IF(ORCAMENTOS!G655="","",ORCAMENTOS!G655)</f>
        <v>Fernando</v>
      </c>
      <c r="G647" s="37" t="str">
        <f>IF(ORCAMENTOS!H655="","",ORCAMENTOS!H655)</f>
        <v>Silvana</v>
      </c>
      <c r="H647" s="39">
        <f>IF(ORCAMENTOS!I655="","",ORCAMENTOS!I655)</f>
        <v>173950.81</v>
      </c>
      <c r="I647" s="60" t="str">
        <f>IF(ORCAMENTOS!J655="","",ORCAMENTOS!J655)</f>
        <v/>
      </c>
      <c r="J647" s="40" t="str">
        <f>IF(ORCAMENTOS!L655="","",ORCAMENTOS!L655)</f>
        <v>CANCELADO</v>
      </c>
      <c r="K647" s="34" t="str">
        <f>IF(ORCAMENTOS!M655="","",ORCAMENTOS!M655)</f>
        <v>-</v>
      </c>
      <c r="L647" t="str">
        <f>IF(ORCAMENTOS!R655="","",ORCAMENTOS!R655)</f>
        <v>-</v>
      </c>
    </row>
    <row r="648" spans="1:12" ht="15.75" hidden="1" customHeight="1" x14ac:dyDescent="0.25">
      <c r="A648" s="36">
        <f>IF(ORCAMENTOS!A656="","",ORCAMENTOS!A656)</f>
        <v>45761</v>
      </c>
      <c r="B648" s="46">
        <f>IF(ORCAMENTOS!B656="","",ORCAMENTOS!B656)</f>
        <v>646</v>
      </c>
      <c r="C648" s="46" t="str">
        <f>IF(ORCAMENTOS!C656="","",ORCAMENTOS!C656)</f>
        <v/>
      </c>
      <c r="D648" s="37" t="str">
        <f>IF(ORCAMENTOS!D656="","",ORCAMENTOS!D656)</f>
        <v>GVS PROJETOS</v>
      </c>
      <c r="E648" s="38" t="str">
        <f>IF(ORCAMENTOS!E656="","",ORCAMENTOS!E656)</f>
        <v>-</v>
      </c>
      <c r="F648" s="37" t="str">
        <f>IF(ORCAMENTOS!G656="","",ORCAMENTOS!G656)</f>
        <v>Gabriel</v>
      </c>
      <c r="G648" s="37" t="str">
        <f>IF(ORCAMENTOS!H656="","",ORCAMENTOS!H656)</f>
        <v>Francisco</v>
      </c>
      <c r="H648" s="39">
        <f>IF(ORCAMENTOS!I656="","",ORCAMENTOS!I656)</f>
        <v>11638.66</v>
      </c>
      <c r="I648" s="60" t="str">
        <f>IF(ORCAMENTOS!J656="","",ORCAMENTOS!J656)</f>
        <v/>
      </c>
      <c r="J648" s="40" t="str">
        <f>IF(ORCAMENTOS!L656="","",ORCAMENTOS!L656)</f>
        <v>CANCELADO</v>
      </c>
      <c r="K648" s="34" t="str">
        <f>IF(ORCAMENTOS!M656="","",ORCAMENTOS!M656)</f>
        <v>-</v>
      </c>
      <c r="L648" t="str">
        <f>IF(ORCAMENTOS!R656="","",ORCAMENTOS!R656)</f>
        <v>-</v>
      </c>
    </row>
    <row r="649" spans="1:12" ht="15.75" hidden="1" customHeight="1" x14ac:dyDescent="0.25">
      <c r="A649" s="36">
        <f>IF(ORCAMENTOS!A657="","",ORCAMENTOS!A657)</f>
        <v>45824</v>
      </c>
      <c r="B649" s="46">
        <f>IF(ORCAMENTOS!B657="","",ORCAMENTOS!B657)</f>
        <v>647</v>
      </c>
      <c r="C649" s="46" t="str">
        <f>IF(ORCAMENTOS!C657="","",ORCAMENTOS!C657)</f>
        <v/>
      </c>
      <c r="D649" s="37" t="str">
        <f>IF(ORCAMENTOS!D657="","",ORCAMENTOS!D657)</f>
        <v>ENERGY AIR</v>
      </c>
      <c r="E649" s="38" t="str">
        <f>IF(ORCAMENTOS!E657="","",ORCAMENTOS!E657)</f>
        <v>CACAU SHOW - LINHARES-ES</v>
      </c>
      <c r="F649" s="37" t="str">
        <f>IF(ORCAMENTOS!G657="","",ORCAMENTOS!G657)</f>
        <v xml:space="preserve">Aldavir </v>
      </c>
      <c r="G649" s="37" t="str">
        <f>IF(ORCAMENTOS!H657="","",ORCAMENTOS!H657)</f>
        <v>Thiago</v>
      </c>
      <c r="H649" s="39">
        <f>IF(ORCAMENTOS!I657="","",ORCAMENTOS!I657)</f>
        <v>292441.99</v>
      </c>
      <c r="I649" s="60" t="str">
        <f>IF(ORCAMENTOS!J657="","",ORCAMENTOS!J657)</f>
        <v/>
      </c>
      <c r="J649" s="40" t="str">
        <f>IF(ORCAMENTOS!L657="","",ORCAMENTOS!L657)</f>
        <v>PERDIDO</v>
      </c>
      <c r="K649" s="34" t="str">
        <f>IF(ORCAMENTOS!M657="","",ORCAMENTOS!M657)</f>
        <v>MULTIVAC</v>
      </c>
      <c r="L649" t="str">
        <f>IF(ORCAMENTOS!R657="","",ORCAMENTOS!R657)</f>
        <v>-</v>
      </c>
    </row>
    <row r="650" spans="1:12" ht="15.75" hidden="1" customHeight="1" x14ac:dyDescent="0.25">
      <c r="A650" s="36">
        <f>IF(ORCAMENTOS!A658="","",ORCAMENTOS!A658)</f>
        <v>45762</v>
      </c>
      <c r="B650" s="46">
        <f>IF(ORCAMENTOS!B658="","",ORCAMENTOS!B658)</f>
        <v>648</v>
      </c>
      <c r="C650" s="46" t="str">
        <f>IF(ORCAMENTOS!C658="","",ORCAMENTOS!C658)</f>
        <v/>
      </c>
      <c r="D650" s="37" t="str">
        <f>IF(ORCAMENTOS!D658="","",ORCAMENTOS!D658)</f>
        <v>THERMOPOLO</v>
      </c>
      <c r="E650" s="38" t="str">
        <f>IF(ORCAMENTOS!E658="","",ORCAMENTOS!E658)</f>
        <v>SAO PAULO - SURF CLUB - REAL PARQUE</v>
      </c>
      <c r="F650" s="37" t="str">
        <f>IF(ORCAMENTOS!G658="","",ORCAMENTOS!G658)</f>
        <v xml:space="preserve">Aldavir </v>
      </c>
      <c r="G650" s="37" t="str">
        <f>IF(ORCAMENTOS!H658="","",ORCAMENTOS!H658)</f>
        <v>Veruza</v>
      </c>
      <c r="H650" s="39">
        <f>IF(ORCAMENTOS!I658="","",ORCAMENTOS!I658)</f>
        <v>231463.34</v>
      </c>
      <c r="I650" s="60" t="str">
        <f>IF(ORCAMENTOS!J658="","",ORCAMENTOS!J658)</f>
        <v/>
      </c>
      <c r="J650" s="40" t="str">
        <f>IF(ORCAMENTOS!L658="","",ORCAMENTOS!L658)</f>
        <v>FECHADO</v>
      </c>
      <c r="K650" s="34" t="str">
        <f>IF(ORCAMENTOS!M658="","",ORCAMENTOS!M658)</f>
        <v>-</v>
      </c>
      <c r="L650" t="str">
        <f>IF(ORCAMENTOS!R658="","",ORCAMENTOS!R658)</f>
        <v>-</v>
      </c>
    </row>
    <row r="651" spans="1:12" ht="15.75" hidden="1" customHeight="1" x14ac:dyDescent="0.25">
      <c r="A651" s="36">
        <f>IF(ORCAMENTOS!A659="","",ORCAMENTOS!A659)</f>
        <v>45762</v>
      </c>
      <c r="B651" s="46">
        <f>IF(ORCAMENTOS!B659="","",ORCAMENTOS!B659)</f>
        <v>649</v>
      </c>
      <c r="C651" s="46" t="str">
        <f>IF(ORCAMENTOS!C659="","",ORCAMENTOS!C659)</f>
        <v/>
      </c>
      <c r="D651" s="37" t="str">
        <f>IF(ORCAMENTOS!D659="","",ORCAMENTOS!D659)</f>
        <v>FIDELISAR</v>
      </c>
      <c r="E651" s="38" t="str">
        <f>IF(ORCAMENTOS!E659="","",ORCAMENTOS!E659)</f>
        <v>CACAU SHOW - ITU - SP</v>
      </c>
      <c r="F651" s="37" t="str">
        <f>IF(ORCAMENTOS!G659="","",ORCAMENTOS!G659)</f>
        <v>Gabriel</v>
      </c>
      <c r="G651" s="37" t="str">
        <f>IF(ORCAMENTOS!H659="","",ORCAMENTOS!H659)</f>
        <v>Edson</v>
      </c>
      <c r="H651" s="39">
        <f>IF(ORCAMENTOS!I659="","",ORCAMENTOS!I659)</f>
        <v>21722.75</v>
      </c>
      <c r="I651" s="60" t="str">
        <f>IF(ORCAMENTOS!J659="","",ORCAMENTOS!J659)</f>
        <v/>
      </c>
      <c r="J651" s="40" t="str">
        <f>IF(ORCAMENTOS!L659="","",ORCAMENTOS!L659)</f>
        <v>CANCELADO</v>
      </c>
      <c r="K651" s="34" t="str">
        <f>IF(ORCAMENTOS!M659="","",ORCAMENTOS!M659)</f>
        <v>ESTAO AVALIANDO A PROPOSTA AINDA</v>
      </c>
      <c r="L651" t="str">
        <f>IF(ORCAMENTOS!R659="","",ORCAMENTOS!R659)</f>
        <v>-</v>
      </c>
    </row>
    <row r="652" spans="1:12" ht="15.75" hidden="1" customHeight="1" x14ac:dyDescent="0.25">
      <c r="A652" s="36">
        <f>IF(ORCAMENTOS!A660="","",ORCAMENTOS!A660)</f>
        <v>45762</v>
      </c>
      <c r="B652" s="46">
        <f>IF(ORCAMENTOS!B660="","",ORCAMENTOS!B660)</f>
        <v>650</v>
      </c>
      <c r="C652" s="46" t="str">
        <f>IF(ORCAMENTOS!C660="","",ORCAMENTOS!C660)</f>
        <v/>
      </c>
      <c r="D652" s="37" t="str">
        <f>IF(ORCAMENTOS!D660="","",ORCAMENTOS!D660)</f>
        <v>EXPANSAO AR</v>
      </c>
      <c r="E652" s="38" t="str">
        <f>IF(ORCAMENTOS!E660="","",ORCAMENTOS!E660)</f>
        <v>EDIFICIO SECULUM II - ITAIM BIBI - SP</v>
      </c>
      <c r="F652" s="37" t="str">
        <f>IF(ORCAMENTOS!G660="","",ORCAMENTOS!G660)</f>
        <v>Guilherme</v>
      </c>
      <c r="G652" s="37" t="str">
        <f>IF(ORCAMENTOS!H660="","",ORCAMENTOS!H660)</f>
        <v>Natanael</v>
      </c>
      <c r="H652" s="39">
        <f>IF(ORCAMENTOS!I660="","",ORCAMENTOS!I660)</f>
        <v>30550.3</v>
      </c>
      <c r="I652" s="60" t="str">
        <f>IF(ORCAMENTOS!J660="","",ORCAMENTOS!J660)</f>
        <v/>
      </c>
      <c r="J652" s="40" t="str">
        <f>IF(ORCAMENTOS!L660="","",ORCAMENTOS!L660)</f>
        <v>CANCELADO</v>
      </c>
      <c r="K652" s="34" t="str">
        <f>IF(ORCAMENTOS!M660="","",ORCAMENTOS!M660)</f>
        <v>-</v>
      </c>
      <c r="L652" t="str">
        <f>IF(ORCAMENTOS!R660="","",ORCAMENTOS!R660)</f>
        <v>N/E</v>
      </c>
    </row>
    <row r="653" spans="1:12" ht="15.75" hidden="1" customHeight="1" x14ac:dyDescent="0.25">
      <c r="A653" s="36">
        <f>IF(ORCAMENTOS!A661="","",ORCAMENTOS!A661)</f>
        <v>45762</v>
      </c>
      <c r="B653" s="46">
        <f>IF(ORCAMENTOS!B661="","",ORCAMENTOS!B661)</f>
        <v>651</v>
      </c>
      <c r="C653" s="46" t="str">
        <f>IF(ORCAMENTOS!C661="","",ORCAMENTOS!C661)</f>
        <v/>
      </c>
      <c r="D653" s="37" t="str">
        <f>IF(ORCAMENTOS!D661="","",ORCAMENTOS!D661)</f>
        <v>NOSSO AR</v>
      </c>
      <c r="E653" s="38" t="str">
        <f>IF(ORCAMENTOS!E661="","",ORCAMENTOS!E661)</f>
        <v>NOVO CD MT - GRUPO SANTA CRUZ</v>
      </c>
      <c r="F653" s="37" t="str">
        <f>IF(ORCAMENTOS!G661="","",ORCAMENTOS!G661)</f>
        <v>Gabriel</v>
      </c>
      <c r="G653" s="37" t="str">
        <f>IF(ORCAMENTOS!H661="","",ORCAMENTOS!H661)</f>
        <v>Ygor</v>
      </c>
      <c r="H653" s="39">
        <f>IF(ORCAMENTOS!I661="","",ORCAMENTOS!I661)</f>
        <v>1474336.95</v>
      </c>
      <c r="I653" s="60" t="str">
        <f>IF(ORCAMENTOS!J661="","",ORCAMENTOS!J661)</f>
        <v/>
      </c>
      <c r="J653" s="40" t="str">
        <f>IF(ORCAMENTOS!L661="","",ORCAMENTOS!L661)</f>
        <v>CANCELADO</v>
      </c>
      <c r="K653" s="34" t="str">
        <f>IF(ORCAMENTOS!M661="","",ORCAMENTOS!M661)</f>
        <v>-</v>
      </c>
      <c r="L653" t="str">
        <f>IF(ORCAMENTOS!R661="","",ORCAMENTOS!R661)</f>
        <v>-</v>
      </c>
    </row>
    <row r="654" spans="1:12" ht="15.75" hidden="1" customHeight="1" x14ac:dyDescent="0.25">
      <c r="A654" s="36">
        <f>IF(ORCAMENTOS!A662="","",ORCAMENTOS!A662)</f>
        <v>45762</v>
      </c>
      <c r="B654" s="46">
        <f>IF(ORCAMENTOS!B662="","",ORCAMENTOS!B662)</f>
        <v>652</v>
      </c>
      <c r="C654" s="46" t="str">
        <f>IF(ORCAMENTOS!C662="","",ORCAMENTOS!C662)</f>
        <v/>
      </c>
      <c r="D654" s="37" t="str">
        <f>IF(ORCAMENTOS!D662="","",ORCAMENTOS!D662)</f>
        <v>SOMMARE</v>
      </c>
      <c r="E654" s="38" t="str">
        <f>IF(ORCAMENTOS!E662="","",ORCAMENTOS!E662)</f>
        <v>DANIEL STELLO - HECTARES PARK &amp; RESORT</v>
      </c>
      <c r="F654" s="37" t="str">
        <f>IF(ORCAMENTOS!G662="","",ORCAMENTOS!G662)</f>
        <v>Gabriel</v>
      </c>
      <c r="G654" s="37" t="str">
        <f>IF(ORCAMENTOS!H662="","",ORCAMENTOS!H662)</f>
        <v>Carlos</v>
      </c>
      <c r="H654" s="39">
        <f>IF(ORCAMENTOS!I662="","",ORCAMENTOS!I662)</f>
        <v>15410.76</v>
      </c>
      <c r="I654" s="60" t="str">
        <f>IF(ORCAMENTOS!J662="","",ORCAMENTOS!J662)</f>
        <v/>
      </c>
      <c r="J654" s="40" t="str">
        <f>IF(ORCAMENTOS!L662="","",ORCAMENTOS!L662)</f>
        <v>FECHADO</v>
      </c>
      <c r="K654" s="34" t="str">
        <f>IF(ORCAMENTOS!M662="","",ORCAMENTOS!M662)</f>
        <v>-</v>
      </c>
      <c r="L654" t="str">
        <f>IF(ORCAMENTOS!R662="","",ORCAMENTOS!R662)</f>
        <v>N/E</v>
      </c>
    </row>
    <row r="655" spans="1:12" ht="15.75" hidden="1" customHeight="1" x14ac:dyDescent="0.25">
      <c r="A655" s="36">
        <f>IF(ORCAMENTOS!A663="","",ORCAMENTOS!A663)</f>
        <v>45763</v>
      </c>
      <c r="B655" s="46">
        <f>IF(ORCAMENTOS!B663="","",ORCAMENTOS!B663)</f>
        <v>653</v>
      </c>
      <c r="C655" s="46" t="str">
        <f>IF(ORCAMENTOS!C663="","",ORCAMENTOS!C663)</f>
        <v/>
      </c>
      <c r="D655" s="37" t="str">
        <f>IF(ORCAMENTOS!D663="","",ORCAMENTOS!D663)</f>
        <v>AIR NET</v>
      </c>
      <c r="E655" s="38" t="str">
        <f>IF(ORCAMENTOS!E663="","",ORCAMENTOS!E663)</f>
        <v>COFCO</v>
      </c>
      <c r="F655" s="37" t="str">
        <f>IF(ORCAMENTOS!G663="","",ORCAMENTOS!G663)</f>
        <v>Fernando</v>
      </c>
      <c r="G655" s="37" t="str">
        <f>IF(ORCAMENTOS!H663="","",ORCAMENTOS!H663)</f>
        <v>Luiz</v>
      </c>
      <c r="H655" s="39">
        <f>IF(ORCAMENTOS!I663="","",ORCAMENTOS!I663)</f>
        <v>3469.55</v>
      </c>
      <c r="I655" s="60" t="str">
        <f>IF(ORCAMENTOS!J663="","",ORCAMENTOS!J663)</f>
        <v/>
      </c>
      <c r="J655" s="40" t="str">
        <f>IF(ORCAMENTOS!L663="","",ORCAMENTOS!L663)</f>
        <v>CANCELADO</v>
      </c>
      <c r="K655" s="34" t="str">
        <f>IF(ORCAMENTOS!M663="","",ORCAMENTOS!M663)</f>
        <v>-</v>
      </c>
      <c r="L655" t="str">
        <f>IF(ORCAMENTOS!R663="","",ORCAMENTOS!R663)</f>
        <v>-</v>
      </c>
    </row>
    <row r="656" spans="1:12" ht="15.75" hidden="1" customHeight="1" x14ac:dyDescent="0.25">
      <c r="A656" s="36">
        <f>IF(ORCAMENTOS!A664="","",ORCAMENTOS!A664)</f>
        <v>45763</v>
      </c>
      <c r="B656" s="46">
        <f>IF(ORCAMENTOS!B664="","",ORCAMENTOS!B664)</f>
        <v>654</v>
      </c>
      <c r="C656" s="46" t="str">
        <f>IF(ORCAMENTOS!C664="","",ORCAMENTOS!C664)</f>
        <v/>
      </c>
      <c r="D656" s="37" t="str">
        <f>IF(ORCAMENTOS!D664="","",ORCAMENTOS!D664)</f>
        <v>AR SISTEMAS</v>
      </c>
      <c r="E656" s="38" t="str">
        <f>IF(ORCAMENTOS!E664="","",ORCAMENTOS!E664)</f>
        <v>SEMAR SUPERMERCADOS - SAO SEBASTIAO - SP</v>
      </c>
      <c r="F656" s="37" t="str">
        <f>IF(ORCAMENTOS!G664="","",ORCAMENTOS!G664)</f>
        <v>Michel</v>
      </c>
      <c r="G656" s="37" t="str">
        <f>IF(ORCAMENTOS!H664="","",ORCAMENTOS!H664)</f>
        <v>Anderson</v>
      </c>
      <c r="H656" s="39">
        <f>IF(ORCAMENTOS!I664="","",ORCAMENTOS!I664)</f>
        <v>80111.100000000006</v>
      </c>
      <c r="I656" s="60" t="str">
        <f>IF(ORCAMENTOS!J664="","",ORCAMENTOS!J664)</f>
        <v/>
      </c>
      <c r="J656" s="40" t="str">
        <f>IF(ORCAMENTOS!L664="","",ORCAMENTOS!L664)</f>
        <v>CANCELADO</v>
      </c>
      <c r="K656" s="34" t="str">
        <f>IF(ORCAMENTOS!M664="","",ORCAMENTOS!M664)</f>
        <v>FECHADO PELA PROTÉRMICA</v>
      </c>
      <c r="L656" t="str">
        <f>IF(ORCAMENTOS!R664="","",ORCAMENTOS!R664)</f>
        <v>-</v>
      </c>
    </row>
    <row r="657" spans="1:12" ht="15.75" hidden="1" customHeight="1" x14ac:dyDescent="0.25">
      <c r="A657" s="36">
        <f>IF(ORCAMENTOS!A665="","",ORCAMENTOS!A665)</f>
        <v>45763</v>
      </c>
      <c r="B657" s="46">
        <f>IF(ORCAMENTOS!B665="","",ORCAMENTOS!B665)</f>
        <v>655</v>
      </c>
      <c r="C657" s="46" t="str">
        <f>IF(ORCAMENTOS!C665="","",ORCAMENTOS!C665)</f>
        <v/>
      </c>
      <c r="D657" s="37" t="str">
        <f>IF(ORCAMENTOS!D665="","",ORCAMENTOS!D665)</f>
        <v>SENSCO</v>
      </c>
      <c r="E657" s="38" t="str">
        <f>IF(ORCAMENTOS!E665="","",ORCAMENTOS!E665)</f>
        <v>-</v>
      </c>
      <c r="F657" s="37" t="str">
        <f>IF(ORCAMENTOS!G665="","",ORCAMENTOS!G665)</f>
        <v>Michel</v>
      </c>
      <c r="G657" s="37" t="str">
        <f>IF(ORCAMENTOS!H665="","",ORCAMENTOS!H665)</f>
        <v>Gardner</v>
      </c>
      <c r="H657" s="39">
        <f>IF(ORCAMENTOS!I665="","",ORCAMENTOS!I665)</f>
        <v>1423.44</v>
      </c>
      <c r="I657" s="60" t="str">
        <f>IF(ORCAMENTOS!J665="","",ORCAMENTOS!J665)</f>
        <v/>
      </c>
      <c r="J657" s="40" t="str">
        <f>IF(ORCAMENTOS!L665="","",ORCAMENTOS!L665)</f>
        <v>FECHADO</v>
      </c>
      <c r="K657" s="34" t="str">
        <f>IF(ORCAMENTOS!M665="","",ORCAMENTOS!M665)</f>
        <v>-</v>
      </c>
      <c r="L657" t="str">
        <f>IF(ORCAMENTOS!R665="","",ORCAMENTOS!R665)</f>
        <v>-</v>
      </c>
    </row>
    <row r="658" spans="1:12" ht="15.75" hidden="1" customHeight="1" x14ac:dyDescent="0.25">
      <c r="A658" s="36">
        <f>IF(ORCAMENTOS!A666="","",ORCAMENTOS!A666)</f>
        <v>45763</v>
      </c>
      <c r="B658" s="46">
        <f>IF(ORCAMENTOS!B666="","",ORCAMENTOS!B666)</f>
        <v>656</v>
      </c>
      <c r="C658" s="46" t="str">
        <f>IF(ORCAMENTOS!C666="","",ORCAMENTOS!C666)</f>
        <v/>
      </c>
      <c r="D658" s="37" t="str">
        <f>IF(ORCAMENTOS!D666="","",ORCAMENTOS!D666)</f>
        <v>OPHTHALMOS</v>
      </c>
      <c r="E658" s="38" t="str">
        <f>IF(ORCAMENTOS!E666="","",ORCAMENTOS!E666)</f>
        <v>-</v>
      </c>
      <c r="F658" s="37" t="str">
        <f>IF(ORCAMENTOS!G666="","",ORCAMENTOS!G666)</f>
        <v>Emanuel</v>
      </c>
      <c r="G658" s="37" t="str">
        <f>IF(ORCAMENTOS!H666="","",ORCAMENTOS!H666)</f>
        <v>Thais</v>
      </c>
      <c r="H658" s="39">
        <f>IF(ORCAMENTOS!I666="","",ORCAMENTOS!I666)</f>
        <v>1343.46</v>
      </c>
      <c r="I658" s="60" t="str">
        <f>IF(ORCAMENTOS!J666="","",ORCAMENTOS!J666)</f>
        <v/>
      </c>
      <c r="J658" s="40" t="str">
        <f>IF(ORCAMENTOS!L666="","",ORCAMENTOS!L666)</f>
        <v>FECHADO</v>
      </c>
      <c r="K658" s="34" t="str">
        <f>IF(ORCAMENTOS!M666="","",ORCAMENTOS!M666)</f>
        <v>-</v>
      </c>
      <c r="L658" t="str">
        <f>IF(ORCAMENTOS!R666="","",ORCAMENTOS!R666)</f>
        <v>-</v>
      </c>
    </row>
    <row r="659" spans="1:12" ht="15.75" hidden="1" customHeight="1" x14ac:dyDescent="0.25">
      <c r="A659" s="36">
        <f>IF(ORCAMENTOS!A667="","",ORCAMENTOS!A667)</f>
        <v>45763</v>
      </c>
      <c r="B659" s="46">
        <f>IF(ORCAMENTOS!B667="","",ORCAMENTOS!B667)</f>
        <v>657</v>
      </c>
      <c r="C659" s="46" t="str">
        <f>IF(ORCAMENTOS!C667="","",ORCAMENTOS!C667)</f>
        <v/>
      </c>
      <c r="D659" s="37" t="str">
        <f>IF(ORCAMENTOS!D667="","",ORCAMENTOS!D667)</f>
        <v>AIR NET</v>
      </c>
      <c r="E659" s="38" t="str">
        <f>IF(ORCAMENTOS!E667="","",ORCAMENTOS!E667)</f>
        <v>SUPERMERCADO TAUSTE</v>
      </c>
      <c r="F659" s="37" t="str">
        <f>IF(ORCAMENTOS!G667="","",ORCAMENTOS!G667)</f>
        <v>Fernando</v>
      </c>
      <c r="G659" s="37" t="str">
        <f>IF(ORCAMENTOS!H667="","",ORCAMENTOS!H667)</f>
        <v>Luiz</v>
      </c>
      <c r="H659" s="39">
        <f>IF(ORCAMENTOS!I667="","",ORCAMENTOS!I667)</f>
        <v>389983.84</v>
      </c>
      <c r="I659" s="60" t="str">
        <f>IF(ORCAMENTOS!J667="","",ORCAMENTOS!J667)</f>
        <v/>
      </c>
      <c r="J659" s="40" t="str">
        <f>IF(ORCAMENTOS!L667="","",ORCAMENTOS!L667)</f>
        <v>FECHADO</v>
      </c>
      <c r="K659" s="34" t="str">
        <f>IF(ORCAMENTOS!M667="","",ORCAMENTOS!M667)</f>
        <v>AGUARDANDO PEDIDO</v>
      </c>
      <c r="L659" t="str">
        <f>IF(ORCAMENTOS!R667="","",ORCAMENTOS!R667)</f>
        <v>-</v>
      </c>
    </row>
    <row r="660" spans="1:12" ht="15.75" hidden="1" customHeight="1" x14ac:dyDescent="0.25">
      <c r="A660" s="36">
        <f>IF(ORCAMENTOS!A668="","",ORCAMENTOS!A668)</f>
        <v>45763</v>
      </c>
      <c r="B660" s="46">
        <f>IF(ORCAMENTOS!B668="","",ORCAMENTOS!B668)</f>
        <v>658</v>
      </c>
      <c r="C660" s="46" t="str">
        <f>IF(ORCAMENTOS!C668="","",ORCAMENTOS!C668)</f>
        <v/>
      </c>
      <c r="D660" s="37" t="str">
        <f>IF(ORCAMENTOS!D668="","",ORCAMENTOS!D668)</f>
        <v>ACSISTEM</v>
      </c>
      <c r="E660" s="38" t="str">
        <f>IF(ORCAMENTOS!E668="","",ORCAMENTOS!E668)</f>
        <v>-</v>
      </c>
      <c r="F660" s="37" t="str">
        <f>IF(ORCAMENTOS!G668="","",ORCAMENTOS!G668)</f>
        <v>Emanuel</v>
      </c>
      <c r="G660" s="37" t="str">
        <f>IF(ORCAMENTOS!H668="","",ORCAMENTOS!H668)</f>
        <v>David</v>
      </c>
      <c r="H660" s="39">
        <f>IF(ORCAMENTOS!I668="","",ORCAMENTOS!I668)</f>
        <v>141597.66</v>
      </c>
      <c r="I660" s="60" t="str">
        <f>IF(ORCAMENTOS!J668="","",ORCAMENTOS!J668)</f>
        <v/>
      </c>
      <c r="J660" s="40" t="str">
        <f>IF(ORCAMENTOS!L668="","",ORCAMENTOS!L668)</f>
        <v>CANCELADO</v>
      </c>
      <c r="K660" s="34" t="str">
        <f>IF(ORCAMENTOS!M668="","",ORCAMENTOS!M668)</f>
        <v>-</v>
      </c>
      <c r="L660" t="str">
        <f>IF(ORCAMENTOS!R668="","",ORCAMENTOS!R668)</f>
        <v>-</v>
      </c>
    </row>
    <row r="661" spans="1:12" ht="15.75" hidden="1" customHeight="1" x14ac:dyDescent="0.25">
      <c r="A661" s="36">
        <f>IF(ORCAMENTOS!A669="","",ORCAMENTOS!A669)</f>
        <v>45763</v>
      </c>
      <c r="B661" s="46">
        <f>IF(ORCAMENTOS!B669="","",ORCAMENTOS!B669)</f>
        <v>659</v>
      </c>
      <c r="C661" s="46" t="str">
        <f>IF(ORCAMENTOS!C669="","",ORCAMENTOS!C669)</f>
        <v/>
      </c>
      <c r="D661" s="37" t="str">
        <f>IF(ORCAMENTOS!D669="","",ORCAMENTOS!D669)</f>
        <v>LTX CLIMATIZACAO</v>
      </c>
      <c r="E661" s="38" t="str">
        <f>IF(ORCAMENTOS!E669="","",ORCAMENTOS!E669)</f>
        <v>-</v>
      </c>
      <c r="F661" s="37" t="str">
        <f>IF(ORCAMENTOS!G669="","",ORCAMENTOS!G669)</f>
        <v>Guilherme</v>
      </c>
      <c r="G661" s="37" t="str">
        <f>IF(ORCAMENTOS!H669="","",ORCAMENTOS!H669)</f>
        <v>Newton</v>
      </c>
      <c r="H661" s="39">
        <f>IF(ORCAMENTOS!I669="","",ORCAMENTOS!I669)</f>
        <v>90000</v>
      </c>
      <c r="I661" s="60" t="str">
        <f>IF(ORCAMENTOS!J669="","",ORCAMENTOS!J669)</f>
        <v/>
      </c>
      <c r="J661" s="40" t="str">
        <f>IF(ORCAMENTOS!L669="","",ORCAMENTOS!L669)</f>
        <v>FECHADO</v>
      </c>
      <c r="K661" s="34" t="str">
        <f>IF(ORCAMENTOS!M669="","",ORCAMENTOS!M669)</f>
        <v>-</v>
      </c>
      <c r="L661" t="str">
        <f>IF(ORCAMENTOS!R669="","",ORCAMENTOS!R669)</f>
        <v>-</v>
      </c>
    </row>
    <row r="662" spans="1:12" ht="15.75" hidden="1" customHeight="1" x14ac:dyDescent="0.25">
      <c r="A662" s="36">
        <f>IF(ORCAMENTOS!A670="","",ORCAMENTOS!A670)</f>
        <v>45763</v>
      </c>
      <c r="B662" s="46">
        <f>IF(ORCAMENTOS!B670="","",ORCAMENTOS!B670)</f>
        <v>660</v>
      </c>
      <c r="C662" s="46" t="str">
        <f>IF(ORCAMENTOS!C670="","",ORCAMENTOS!C670)</f>
        <v/>
      </c>
      <c r="D662" s="37" t="str">
        <f>IF(ORCAMENTOS!D670="","",ORCAMENTOS!D670)</f>
        <v>ENERGY AIR</v>
      </c>
      <c r="E662" s="38" t="str">
        <f>IF(ORCAMENTOS!E670="","",ORCAMENTOS!E670)</f>
        <v xml:space="preserve">CACAU SHOW ITAPEVI </v>
      </c>
      <c r="F662" s="37" t="str">
        <f>IF(ORCAMENTOS!G670="","",ORCAMENTOS!G670)</f>
        <v xml:space="preserve">Aldavir </v>
      </c>
      <c r="G662" s="37" t="str">
        <f>IF(ORCAMENTOS!H670="","",ORCAMENTOS!H670)</f>
        <v xml:space="preserve">Gustavo </v>
      </c>
      <c r="H662" s="39">
        <f>IF(ORCAMENTOS!I670="","",ORCAMENTOS!I670)</f>
        <v>2865175.28</v>
      </c>
      <c r="I662" s="60" t="str">
        <f>IF(ORCAMENTOS!J670="","",ORCAMENTOS!J670)</f>
        <v/>
      </c>
      <c r="J662" s="40" t="str">
        <f>IF(ORCAMENTOS!L670="","",ORCAMENTOS!L670)</f>
        <v>CANCELADO</v>
      </c>
      <c r="K662" s="34" t="str">
        <f>IF(ORCAMENTOS!M670="","",ORCAMENTOS!M670)</f>
        <v/>
      </c>
      <c r="L662" t="str">
        <f>IF(ORCAMENTOS!R670="","",ORCAMENTOS!R670)</f>
        <v>-</v>
      </c>
    </row>
    <row r="663" spans="1:12" ht="15.75" hidden="1" customHeight="1" x14ac:dyDescent="0.25">
      <c r="A663" s="36">
        <f>IF(ORCAMENTOS!A671="","",ORCAMENTOS!A671)</f>
        <v>45763</v>
      </c>
      <c r="B663" s="46">
        <f>IF(ORCAMENTOS!B671="","",ORCAMENTOS!B671)</f>
        <v>661</v>
      </c>
      <c r="C663" s="46" t="str">
        <f>IF(ORCAMENTOS!C671="","",ORCAMENTOS!C671)</f>
        <v/>
      </c>
      <c r="D663" s="37" t="str">
        <f>IF(ORCAMENTOS!D671="","",ORCAMENTOS!D671)</f>
        <v>RM3 ENGENHARIA</v>
      </c>
      <c r="E663" s="38" t="str">
        <f>IF(ORCAMENTOS!E671="","",ORCAMENTOS!E671)</f>
        <v>PAULISTAO EMPREENDIMENTOS - SANTA BARBARA D' OESTE - SP</v>
      </c>
      <c r="F663" s="37" t="str">
        <f>IF(ORCAMENTOS!G671="","",ORCAMENTOS!G671)</f>
        <v>Guilherme</v>
      </c>
      <c r="G663" s="37" t="str">
        <f>IF(ORCAMENTOS!H671="","",ORCAMENTOS!H671)</f>
        <v>Angelica</v>
      </c>
      <c r="H663" s="39">
        <f>IF(ORCAMENTOS!I671="","",ORCAMENTOS!I671)</f>
        <v>245826.89</v>
      </c>
      <c r="I663" s="60" t="str">
        <f>IF(ORCAMENTOS!J671="","",ORCAMENTOS!J671)</f>
        <v/>
      </c>
      <c r="J663" s="40" t="str">
        <f>IF(ORCAMENTOS!L671="","",ORCAMENTOS!L671)</f>
        <v>CANCELADO</v>
      </c>
      <c r="K663" s="34" t="str">
        <f>IF(ORCAMENTOS!M671="","",ORCAMENTOS!M671)</f>
        <v>-</v>
      </c>
      <c r="L663" t="str">
        <f>IF(ORCAMENTOS!R671="","",ORCAMENTOS!R671)</f>
        <v>MPU</v>
      </c>
    </row>
    <row r="664" spans="1:12" ht="15.75" hidden="1" customHeight="1" x14ac:dyDescent="0.25">
      <c r="A664" s="36">
        <f>IF(ORCAMENTOS!A672="","",ORCAMENTOS!A672)</f>
        <v>45764</v>
      </c>
      <c r="B664" s="46">
        <f>IF(ORCAMENTOS!B672="","",ORCAMENTOS!B672)</f>
        <v>662</v>
      </c>
      <c r="C664" s="46" t="str">
        <f>IF(ORCAMENTOS!C672="","",ORCAMENTOS!C672)</f>
        <v/>
      </c>
      <c r="D664" s="37" t="str">
        <f>IF(ORCAMENTOS!D672="","",ORCAMENTOS!D672)</f>
        <v>SPECIAL AIR</v>
      </c>
      <c r="E664" s="38" t="str">
        <f>IF(ORCAMENTOS!E672="","",ORCAMENTOS!E672)</f>
        <v>-</v>
      </c>
      <c r="F664" s="37" t="str">
        <f>IF(ORCAMENTOS!G672="","",ORCAMENTOS!G672)</f>
        <v>Gabriel</v>
      </c>
      <c r="G664" s="37" t="str">
        <f>IF(ORCAMENTOS!H672="","",ORCAMENTOS!H672)</f>
        <v>Alessandro</v>
      </c>
      <c r="H664" s="39">
        <f>IF(ORCAMENTOS!I672="","",ORCAMENTOS!I672)</f>
        <v>19642.2</v>
      </c>
      <c r="I664" s="60" t="str">
        <f>IF(ORCAMENTOS!J672="","",ORCAMENTOS!J672)</f>
        <v/>
      </c>
      <c r="J664" s="40" t="str">
        <f>IF(ORCAMENTOS!L672="","",ORCAMENTOS!L672)</f>
        <v>FECHADO</v>
      </c>
      <c r="K664" s="34" t="str">
        <f>IF(ORCAMENTOS!M672="","",ORCAMENTOS!M672)</f>
        <v>-</v>
      </c>
      <c r="L664" t="str">
        <f>IF(ORCAMENTOS!R672="","",ORCAMENTOS!R672)</f>
        <v>-</v>
      </c>
    </row>
    <row r="665" spans="1:12" ht="15.75" hidden="1" customHeight="1" x14ac:dyDescent="0.25">
      <c r="A665" s="36">
        <f>IF(ORCAMENTOS!A673="","",ORCAMENTOS!A673)</f>
        <v>45764</v>
      </c>
      <c r="B665" s="46">
        <f>IF(ORCAMENTOS!B673="","",ORCAMENTOS!B673)</f>
        <v>663</v>
      </c>
      <c r="C665" s="46" t="str">
        <f>IF(ORCAMENTOS!C673="","",ORCAMENTOS!C673)</f>
        <v/>
      </c>
      <c r="D665" s="37" t="str">
        <f>IF(ORCAMENTOS!D673="","",ORCAMENTOS!D673)</f>
        <v>AFRIOTHERM</v>
      </c>
      <c r="E665" s="38" t="str">
        <f>IF(ORCAMENTOS!E673="","",ORCAMENTOS!E673)</f>
        <v>COMPER BELVEDERE</v>
      </c>
      <c r="F665" s="37" t="str">
        <f>IF(ORCAMENTOS!G673="","",ORCAMENTOS!G673)</f>
        <v>Emanuel</v>
      </c>
      <c r="G665" s="37" t="str">
        <f>IF(ORCAMENTOS!H673="","",ORCAMENTOS!H673)</f>
        <v>Iara</v>
      </c>
      <c r="H665" s="39">
        <f>IF(ORCAMENTOS!I673="","",ORCAMENTOS!I673)</f>
        <v>4175.7700000000004</v>
      </c>
      <c r="I665" s="60" t="str">
        <f>IF(ORCAMENTOS!J673="","",ORCAMENTOS!J673)</f>
        <v/>
      </c>
      <c r="J665" s="40" t="str">
        <f>IF(ORCAMENTOS!L673="","",ORCAMENTOS!L673)</f>
        <v>CANCELADO</v>
      </c>
      <c r="K665" s="34" t="str">
        <f>IF(ORCAMENTOS!M673="","",ORCAMENTOS!M673)</f>
        <v>OBRA FECHADA AWA</v>
      </c>
      <c r="L665" t="str">
        <f>IF(ORCAMENTOS!R673="","",ORCAMENTOS!R673)</f>
        <v>-</v>
      </c>
    </row>
    <row r="666" spans="1:12" ht="15.75" hidden="1" customHeight="1" x14ac:dyDescent="0.25">
      <c r="A666" s="36">
        <f>IF(ORCAMENTOS!A674="","",ORCAMENTOS!A674)</f>
        <v>45764</v>
      </c>
      <c r="B666" s="46">
        <f>IF(ORCAMENTOS!B674="","",ORCAMENTOS!B674)</f>
        <v>664</v>
      </c>
      <c r="C666" s="46" t="str">
        <f>IF(ORCAMENTOS!C674="","",ORCAMENTOS!C674)</f>
        <v/>
      </c>
      <c r="D666" s="37" t="str">
        <f>IF(ORCAMENTOS!D674="","",ORCAMENTOS!D674)</f>
        <v>SESIL AR</v>
      </c>
      <c r="E666" s="38" t="str">
        <f>IF(ORCAMENTOS!E674="","",ORCAMENTOS!E674)</f>
        <v>SMART FIT - JUNDIAI - SP</v>
      </c>
      <c r="F666" s="37" t="str">
        <f>IF(ORCAMENTOS!G674="","",ORCAMENTOS!G674)</f>
        <v>Fernando</v>
      </c>
      <c r="G666" s="37" t="str">
        <f>IF(ORCAMENTOS!H674="","",ORCAMENTOS!H674)</f>
        <v>Luciana</v>
      </c>
      <c r="H666" s="39">
        <f>IF(ORCAMENTOS!I674="","",ORCAMENTOS!I674)</f>
        <v>55062.32</v>
      </c>
      <c r="I666" s="60" t="str">
        <f>IF(ORCAMENTOS!J674="","",ORCAMENTOS!J674)</f>
        <v/>
      </c>
      <c r="J666" s="40" t="str">
        <f>IF(ORCAMENTOS!L674="","",ORCAMENTOS!L674)</f>
        <v>FECHADO</v>
      </c>
      <c r="K666" s="34" t="str">
        <f>IF(ORCAMENTOS!M674="","",ORCAMENTOS!M674)</f>
        <v>-</v>
      </c>
      <c r="L666" t="str">
        <f>IF(ORCAMENTOS!R674="","",ORCAMENTOS!R674)</f>
        <v>-</v>
      </c>
    </row>
    <row r="667" spans="1:12" ht="15.75" hidden="1" customHeight="1" x14ac:dyDescent="0.25">
      <c r="A667" s="36">
        <f>IF(ORCAMENTOS!A675="","",ORCAMENTOS!A675)</f>
        <v>45764</v>
      </c>
      <c r="B667" s="46">
        <f>IF(ORCAMENTOS!B675="","",ORCAMENTOS!B675)</f>
        <v>665</v>
      </c>
      <c r="C667" s="46" t="str">
        <f>IF(ORCAMENTOS!C675="","",ORCAMENTOS!C675)</f>
        <v/>
      </c>
      <c r="D667" s="37" t="str">
        <f>IF(ORCAMENTOS!D675="","",ORCAMENTOS!D675)</f>
        <v>NEWSET</v>
      </c>
      <c r="E667" s="38" t="str">
        <f>IF(ORCAMENTOS!E675="","",ORCAMENTOS!E675)</f>
        <v>REDE DOR - SÃO LUIZ - RIBEIRAO PRETO - SP</v>
      </c>
      <c r="F667" s="37" t="str">
        <f>IF(ORCAMENTOS!G675="","",ORCAMENTOS!G675)</f>
        <v xml:space="preserve">Aldavir </v>
      </c>
      <c r="G667" s="37" t="str">
        <f>IF(ORCAMENTOS!H675="","",ORCAMENTOS!H675)</f>
        <v>Atila</v>
      </c>
      <c r="H667" s="39">
        <f>IF(ORCAMENTOS!I675="","",ORCAMENTOS!I675)</f>
        <v>1642598.11</v>
      </c>
      <c r="I667" s="60" t="str">
        <f>IF(ORCAMENTOS!J675="","",ORCAMENTOS!J675)</f>
        <v/>
      </c>
      <c r="J667" s="40" t="str">
        <f>IF(ORCAMENTOS!L675="","",ORCAMENTOS!L675)</f>
        <v>CANCELADO</v>
      </c>
      <c r="K667" s="34" t="str">
        <f>IF(ORCAMENTOS!M675="","",ORCAMENTOS!M675)</f>
        <v>-</v>
      </c>
      <c r="L667" t="str">
        <f>IF(ORCAMENTOS!R675="","",ORCAMENTOS!R675)</f>
        <v>-</v>
      </c>
    </row>
    <row r="668" spans="1:12" ht="15.75" hidden="1" customHeight="1" x14ac:dyDescent="0.25">
      <c r="A668" s="36">
        <f>IF(ORCAMENTOS!A676="","",ORCAMENTOS!A676)</f>
        <v>45764</v>
      </c>
      <c r="B668" s="46">
        <f>IF(ORCAMENTOS!B676="","",ORCAMENTOS!B676)</f>
        <v>666</v>
      </c>
      <c r="C668" s="46" t="str">
        <f>IF(ORCAMENTOS!C676="","",ORCAMENTOS!C676)</f>
        <v/>
      </c>
      <c r="D668" s="37" t="str">
        <f>IF(ORCAMENTOS!D676="","",ORCAMENTOS!D676)</f>
        <v>TEKNOAR</v>
      </c>
      <c r="E668" s="38" t="str">
        <f>IF(ORCAMENTOS!E676="","",ORCAMENTOS!E676)</f>
        <v>CASA DO PEIXE - CAMPO GRANDE - MS</v>
      </c>
      <c r="F668" s="37" t="str">
        <f>IF(ORCAMENTOS!G676="","",ORCAMENTOS!G676)</f>
        <v>Gabriel</v>
      </c>
      <c r="G668" s="37" t="str">
        <f>IF(ORCAMENTOS!H676="","",ORCAMENTOS!H676)</f>
        <v>Mario</v>
      </c>
      <c r="H668" s="39">
        <f>IF(ORCAMENTOS!I676="","",ORCAMENTOS!I676)</f>
        <v>4961.7700000000004</v>
      </c>
      <c r="I668" s="60" t="str">
        <f>IF(ORCAMENTOS!J676="","",ORCAMENTOS!J676)</f>
        <v/>
      </c>
      <c r="J668" s="40" t="str">
        <f>IF(ORCAMENTOS!L676="","",ORCAMENTOS!L676)</f>
        <v>CANCELADO</v>
      </c>
      <c r="K668" s="34" t="str">
        <f>IF(ORCAMENTOS!M676="","",ORCAMENTOS!M676)</f>
        <v>-</v>
      </c>
      <c r="L668" t="str">
        <f>IF(ORCAMENTOS!R676="","",ORCAMENTOS!R676)</f>
        <v>N/E</v>
      </c>
    </row>
    <row r="669" spans="1:12" ht="15.75" hidden="1" customHeight="1" x14ac:dyDescent="0.25">
      <c r="A669" s="36">
        <f>IF(ORCAMENTOS!A677="","",ORCAMENTOS!A677)</f>
        <v>45764</v>
      </c>
      <c r="B669" s="46">
        <f>IF(ORCAMENTOS!B677="","",ORCAMENTOS!B677)</f>
        <v>667</v>
      </c>
      <c r="C669" s="46" t="str">
        <f>IF(ORCAMENTOS!C677="","",ORCAMENTOS!C677)</f>
        <v/>
      </c>
      <c r="D669" s="37" t="str">
        <f>IF(ORCAMENTOS!D677="","",ORCAMENTOS!D677)</f>
        <v>MJ CLIMATIZACAO</v>
      </c>
      <c r="E669" s="38" t="str">
        <f>IF(ORCAMENTOS!E677="","",ORCAMENTOS!E677)</f>
        <v>YOUCOM - SHOPPING PRACA NOVA - ARACATUBA - SP</v>
      </c>
      <c r="F669" s="37" t="str">
        <f>IF(ORCAMENTOS!G677="","",ORCAMENTOS!G677)</f>
        <v>Emanuel</v>
      </c>
      <c r="G669" s="37" t="str">
        <f>IF(ORCAMENTOS!H677="","",ORCAMENTOS!H677)</f>
        <v>Escobar</v>
      </c>
      <c r="H669" s="39">
        <f>IF(ORCAMENTOS!I677="","",ORCAMENTOS!I677)</f>
        <v>25134.81</v>
      </c>
      <c r="I669" s="60" t="str">
        <f>IF(ORCAMENTOS!J677="","",ORCAMENTOS!J677)</f>
        <v/>
      </c>
      <c r="J669" s="40" t="str">
        <f>IF(ORCAMENTOS!L677="","",ORCAMENTOS!L677)</f>
        <v>CANCELADO</v>
      </c>
      <c r="K669" s="34" t="str">
        <f>IF(ORCAMENTOS!M677="","",ORCAMENTOS!M677)</f>
        <v>-</v>
      </c>
      <c r="L669" t="str">
        <f>IF(ORCAMENTOS!R677="","",ORCAMENTOS!R677)</f>
        <v>MPU</v>
      </c>
    </row>
    <row r="670" spans="1:12" ht="15.75" hidden="1" customHeight="1" x14ac:dyDescent="0.25">
      <c r="A670" s="36">
        <f>IF(ORCAMENTOS!A678="","",ORCAMENTOS!A678)</f>
        <v>45764</v>
      </c>
      <c r="B670" s="46">
        <f>IF(ORCAMENTOS!B678="","",ORCAMENTOS!B678)</f>
        <v>668</v>
      </c>
      <c r="C670" s="46" t="str">
        <f>IF(ORCAMENTOS!C678="","",ORCAMENTOS!C678)</f>
        <v/>
      </c>
      <c r="D670" s="37" t="str">
        <f>IF(ORCAMENTOS!D678="","",ORCAMENTOS!D678)</f>
        <v>AMS INSTALACOES</v>
      </c>
      <c r="E670" s="38" t="str">
        <f>IF(ORCAMENTOS!E678="","",ORCAMENTOS!E678)</f>
        <v>-</v>
      </c>
      <c r="F670" s="37" t="str">
        <f>IF(ORCAMENTOS!G678="","",ORCAMENTOS!G678)</f>
        <v>Gabriel</v>
      </c>
      <c r="G670" s="37" t="str">
        <f>IF(ORCAMENTOS!H678="","",ORCAMENTOS!H678)</f>
        <v>ALmir</v>
      </c>
      <c r="H670" s="39">
        <f>IF(ORCAMENTOS!I678="","",ORCAMENTOS!I678)</f>
        <v>500000</v>
      </c>
      <c r="I670" s="60" t="str">
        <f>IF(ORCAMENTOS!J678="","",ORCAMENTOS!J678)</f>
        <v/>
      </c>
      <c r="J670" s="40" t="str">
        <f>IF(ORCAMENTOS!L678="","",ORCAMENTOS!L678)</f>
        <v>FECHADO</v>
      </c>
      <c r="K670" s="34" t="str">
        <f>IF(ORCAMENTOS!M678="","",ORCAMENTOS!M678)</f>
        <v>-</v>
      </c>
      <c r="L670" t="str">
        <f>IF(ORCAMENTOS!R678="","",ORCAMENTOS!R678)</f>
        <v>-</v>
      </c>
    </row>
    <row r="671" spans="1:12" ht="15.75" hidden="1" customHeight="1" x14ac:dyDescent="0.25">
      <c r="A671" s="36">
        <f>IF(ORCAMENTOS!A679="","",ORCAMENTOS!A679)</f>
        <v>45764</v>
      </c>
      <c r="B671" s="46">
        <f>IF(ORCAMENTOS!B679="","",ORCAMENTOS!B679)</f>
        <v>669</v>
      </c>
      <c r="C671" s="46" t="str">
        <f>IF(ORCAMENTOS!C679="","",ORCAMENTOS!C679)</f>
        <v/>
      </c>
      <c r="D671" s="37" t="str">
        <f>IF(ORCAMENTOS!D679="","",ORCAMENTOS!D679)</f>
        <v>AMS INSTALACOES</v>
      </c>
      <c r="E671" s="38" t="str">
        <f>IF(ORCAMENTOS!E679="","",ORCAMENTOS!E679)</f>
        <v>TROPICAL HOTEL - MANAUS - AM</v>
      </c>
      <c r="F671" s="37" t="str">
        <f>IF(ORCAMENTOS!G679="","",ORCAMENTOS!G679)</f>
        <v>Gabriel</v>
      </c>
      <c r="G671" s="37" t="str">
        <f>IF(ORCAMENTOS!H679="","",ORCAMENTOS!H679)</f>
        <v>Albertino</v>
      </c>
      <c r="H671" s="39">
        <f>IF(ORCAMENTOS!I679="","",ORCAMENTOS!I679)</f>
        <v>51821.66</v>
      </c>
      <c r="I671" s="60" t="str">
        <f>IF(ORCAMENTOS!J679="","",ORCAMENTOS!J679)</f>
        <v/>
      </c>
      <c r="J671" s="40" t="str">
        <f>IF(ORCAMENTOS!L679="","",ORCAMENTOS!L679)</f>
        <v>CANCELADO</v>
      </c>
      <c r="K671" s="34" t="str">
        <f>IF(ORCAMENTOS!M679="","",ORCAMENTOS!M679)</f>
        <v>-</v>
      </c>
      <c r="L671" t="str">
        <f>IF(ORCAMENTOS!R679="","",ORCAMENTOS!R679)</f>
        <v>N/E</v>
      </c>
    </row>
    <row r="672" spans="1:12" ht="15.75" hidden="1" customHeight="1" x14ac:dyDescent="0.25">
      <c r="A672" s="36">
        <f>IF(ORCAMENTOS!A680="","",ORCAMENTOS!A680)</f>
        <v>45769</v>
      </c>
      <c r="B672" s="46">
        <f>IF(ORCAMENTOS!B680="","",ORCAMENTOS!B680)</f>
        <v>670</v>
      </c>
      <c r="C672" s="46" t="str">
        <f>IF(ORCAMENTOS!C680="","",ORCAMENTOS!C680)</f>
        <v/>
      </c>
      <c r="D672" s="37" t="str">
        <f>IF(ORCAMENTOS!D680="","",ORCAMENTOS!D680)</f>
        <v>AMS INSTALACOES</v>
      </c>
      <c r="E672" s="38" t="str">
        <f>IF(ORCAMENTOS!E680="","",ORCAMENTOS!E680)</f>
        <v>ATACADAO - LAURO DE FREITAS - BA</v>
      </c>
      <c r="F672" s="37" t="str">
        <f>IF(ORCAMENTOS!G680="","",ORCAMENTOS!G680)</f>
        <v>Gabriel</v>
      </c>
      <c r="G672" s="37" t="str">
        <f>IF(ORCAMENTOS!H680="","",ORCAMENTOS!H680)</f>
        <v>Albertino</v>
      </c>
      <c r="H672" s="39">
        <f>IF(ORCAMENTOS!I680="","",ORCAMENTOS!I680)</f>
        <v>193017.54</v>
      </c>
      <c r="I672" s="60" t="str">
        <f>IF(ORCAMENTOS!J680="","",ORCAMENTOS!J680)</f>
        <v/>
      </c>
      <c r="J672" s="40" t="str">
        <f>IF(ORCAMENTOS!L680="","",ORCAMENTOS!L680)</f>
        <v>CANCELADO</v>
      </c>
      <c r="K672" s="34" t="str">
        <f>IF(ORCAMENTOS!M680="","",ORCAMENTOS!M680)</f>
        <v>-</v>
      </c>
      <c r="L672" t="str">
        <f>IF(ORCAMENTOS!R680="","",ORCAMENTOS!R680)</f>
        <v>MPU</v>
      </c>
    </row>
    <row r="673" spans="1:12" ht="15.75" hidden="1" customHeight="1" x14ac:dyDescent="0.25">
      <c r="A673" s="36">
        <f>IF(ORCAMENTOS!A681="","",ORCAMENTOS!A681)</f>
        <v>45769</v>
      </c>
      <c r="B673" s="46">
        <f>IF(ORCAMENTOS!B681="","",ORCAMENTOS!B681)</f>
        <v>671</v>
      </c>
      <c r="C673" s="46" t="str">
        <f>IF(ORCAMENTOS!C681="","",ORCAMENTOS!C681)</f>
        <v/>
      </c>
      <c r="D673" s="37" t="str">
        <f>IF(ORCAMENTOS!D681="","",ORCAMENTOS!D681)</f>
        <v>TEMA FRIO</v>
      </c>
      <c r="E673" s="38" t="str">
        <f>IF(ORCAMENTOS!E681="","",ORCAMENTOS!E681)</f>
        <v>CINE TEATRO - CORONEL RAYMUNDO - SANTANA DE PARNAIBA - SP</v>
      </c>
      <c r="F673" s="37" t="str">
        <f>IF(ORCAMENTOS!G681="","",ORCAMENTOS!G681)</f>
        <v>Emanuel</v>
      </c>
      <c r="G673" s="37" t="str">
        <f>IF(ORCAMENTOS!H681="","",ORCAMENTOS!H681)</f>
        <v>Ricardo</v>
      </c>
      <c r="H673" s="39">
        <f>IF(ORCAMENTOS!I681="","",ORCAMENTOS!I681)</f>
        <v>25132.09</v>
      </c>
      <c r="I673" s="60" t="str">
        <f>IF(ORCAMENTOS!J681="","",ORCAMENTOS!J681)</f>
        <v/>
      </c>
      <c r="J673" s="40" t="str">
        <f>IF(ORCAMENTOS!L681="","",ORCAMENTOS!L681)</f>
        <v>CANCELADO</v>
      </c>
      <c r="K673" s="34" t="str">
        <f>IF(ORCAMENTOS!M681="","",ORCAMENTOS!M681)</f>
        <v>-</v>
      </c>
      <c r="L673" t="str">
        <f>IF(ORCAMENTOS!R681="","",ORCAMENTOS!R681)</f>
        <v>MPU</v>
      </c>
    </row>
    <row r="674" spans="1:12" ht="15.75" hidden="1" customHeight="1" x14ac:dyDescent="0.25">
      <c r="A674" s="36">
        <f>IF(ORCAMENTOS!A682="","",ORCAMENTOS!A682)</f>
        <v>45769</v>
      </c>
      <c r="B674" s="46">
        <f>IF(ORCAMENTOS!B682="","",ORCAMENTOS!B682)</f>
        <v>672</v>
      </c>
      <c r="C674" s="46" t="str">
        <f>IF(ORCAMENTOS!C682="","",ORCAMENTOS!C682)</f>
        <v/>
      </c>
      <c r="D674" s="37" t="str">
        <f>IF(ORCAMENTOS!D682="","",ORCAMENTOS!D682)</f>
        <v>AWA AR CONDICIONADO</v>
      </c>
      <c r="E674" s="38" t="str">
        <f>IF(ORCAMENTOS!E682="","",ORCAMENTOS!E682)</f>
        <v>ATACADAO OSASCO</v>
      </c>
      <c r="F674" s="37" t="str">
        <f>IF(ORCAMENTOS!G682="","",ORCAMENTOS!G682)</f>
        <v>Guilherme</v>
      </c>
      <c r="G674" s="37" t="str">
        <f>IF(ORCAMENTOS!H682="","",ORCAMENTOS!H682)</f>
        <v>Isabela</v>
      </c>
      <c r="H674" s="39">
        <f>IF(ORCAMENTOS!I682="","",ORCAMENTOS!I682)</f>
        <v>42068.93</v>
      </c>
      <c r="I674" s="60" t="str">
        <f>IF(ORCAMENTOS!J682="","",ORCAMENTOS!J682)</f>
        <v/>
      </c>
      <c r="J674" s="40" t="str">
        <f>IF(ORCAMENTOS!L682="","",ORCAMENTOS!L682)</f>
        <v>CANCELADO</v>
      </c>
      <c r="K674" s="34" t="str">
        <f>IF(ORCAMENTOS!M682="","",ORCAMENTOS!M682)</f>
        <v>-</v>
      </c>
      <c r="L674" t="str">
        <f>IF(ORCAMENTOS!R682="","",ORCAMENTOS!R682)</f>
        <v>-</v>
      </c>
    </row>
    <row r="675" spans="1:12" ht="15.75" hidden="1" customHeight="1" x14ac:dyDescent="0.25">
      <c r="A675" s="36">
        <f>IF(ORCAMENTOS!A683="","",ORCAMENTOS!A683)</f>
        <v>45769</v>
      </c>
      <c r="B675" s="46">
        <f>IF(ORCAMENTOS!B683="","",ORCAMENTOS!B683)</f>
        <v>673</v>
      </c>
      <c r="C675" s="46" t="str">
        <f>IF(ORCAMENTOS!C683="","",ORCAMENTOS!C683)</f>
        <v/>
      </c>
      <c r="D675" s="37" t="str">
        <f>IF(ORCAMENTOS!D683="","",ORCAMENTOS!D683)</f>
        <v>REWELL OTAVIO</v>
      </c>
      <c r="E675" s="38" t="str">
        <f>IF(ORCAMENTOS!E683="","",ORCAMENTOS!E683)</f>
        <v>RESIDENCIA UNIFAMILIAR - FERNANDO PORTOLANI DE ANDRADE</v>
      </c>
      <c r="F675" s="37" t="str">
        <f>IF(ORCAMENTOS!G683="","",ORCAMENTOS!G683)</f>
        <v>Gabriel</v>
      </c>
      <c r="G675" s="37" t="str">
        <f>IF(ORCAMENTOS!H683="","",ORCAMENTOS!H683)</f>
        <v>Rewell</v>
      </c>
      <c r="H675" s="39">
        <f>IF(ORCAMENTOS!I683="","",ORCAMENTOS!I683)</f>
        <v>11318.79</v>
      </c>
      <c r="I675" s="60" t="str">
        <f>IF(ORCAMENTOS!J683="","",ORCAMENTOS!J683)</f>
        <v/>
      </c>
      <c r="J675" s="40" t="str">
        <f>IF(ORCAMENTOS!L683="","",ORCAMENTOS!L683)</f>
        <v>CANCELADO</v>
      </c>
      <c r="K675" s="34" t="str">
        <f>IF(ORCAMENTOS!M683="","",ORCAMENTOS!M683)</f>
        <v>-</v>
      </c>
      <c r="L675" t="str">
        <f>IF(ORCAMENTOS!R683="","",ORCAMENTOS!R683)</f>
        <v>N/E</v>
      </c>
    </row>
    <row r="676" spans="1:12" ht="15.75" hidden="1" customHeight="1" x14ac:dyDescent="0.25">
      <c r="A676" s="36">
        <f>IF(ORCAMENTOS!A684="","",ORCAMENTOS!A684)</f>
        <v>45769</v>
      </c>
      <c r="B676" s="46">
        <f>IF(ORCAMENTOS!B684="","",ORCAMENTOS!B684)</f>
        <v>674</v>
      </c>
      <c r="C676" s="46" t="str">
        <f>IF(ORCAMENTOS!C684="","",ORCAMENTOS!C684)</f>
        <v/>
      </c>
      <c r="D676" s="37" t="str">
        <f>IF(ORCAMENTOS!D684="","",ORCAMENTOS!D684)</f>
        <v>AMS INSTALACOES</v>
      </c>
      <c r="E676" s="38" t="str">
        <f>IF(ORCAMENTOS!E684="","",ORCAMENTOS!E684)</f>
        <v>AEROPORTO DE SÃO PAULO - CONGONHAS</v>
      </c>
      <c r="F676" s="37" t="str">
        <f>IF(ORCAMENTOS!G684="","",ORCAMENTOS!G684)</f>
        <v>Gabriel</v>
      </c>
      <c r="G676" s="37" t="str">
        <f>IF(ORCAMENTOS!H684="","",ORCAMENTOS!H684)</f>
        <v>Renan</v>
      </c>
      <c r="H676" s="39">
        <f>IF(ORCAMENTOS!I684="","",ORCAMENTOS!I684)</f>
        <v>16585.57</v>
      </c>
      <c r="I676" s="60" t="str">
        <f>IF(ORCAMENTOS!J684="","",ORCAMENTOS!J684)</f>
        <v/>
      </c>
      <c r="J676" s="40" t="str">
        <f>IF(ORCAMENTOS!L684="","",ORCAMENTOS!L684)</f>
        <v>CANCELADO</v>
      </c>
      <c r="K676" s="34" t="str">
        <f>IF(ORCAMENTOS!M684="","",ORCAMENTOS!M684)</f>
        <v>-</v>
      </c>
      <c r="L676" t="str">
        <f>IF(ORCAMENTOS!R684="","",ORCAMENTOS!R684)</f>
        <v>-</v>
      </c>
    </row>
    <row r="677" spans="1:12" ht="15.75" hidden="1" customHeight="1" x14ac:dyDescent="0.25">
      <c r="A677" s="36">
        <f>IF(ORCAMENTOS!A685="","",ORCAMENTOS!A685)</f>
        <v>45769</v>
      </c>
      <c r="B677" s="46">
        <f>IF(ORCAMENTOS!B685="","",ORCAMENTOS!B685)</f>
        <v>675</v>
      </c>
      <c r="C677" s="46" t="str">
        <f>IF(ORCAMENTOS!C685="","",ORCAMENTOS!C685)</f>
        <v/>
      </c>
      <c r="D677" s="37" t="str">
        <f>IF(ORCAMENTOS!D685="","",ORCAMENTOS!D685)</f>
        <v>SESIL AR</v>
      </c>
      <c r="E677" s="38" t="str">
        <f>IF(ORCAMENTOS!E685="","",ORCAMENTOS!E685)</f>
        <v>SMART FIT - LONDRINA - PR</v>
      </c>
      <c r="F677" s="37" t="str">
        <f>IF(ORCAMENTOS!G685="","",ORCAMENTOS!G685)</f>
        <v>Fernando</v>
      </c>
      <c r="G677" s="37" t="str">
        <f>IF(ORCAMENTOS!H685="","",ORCAMENTOS!H685)</f>
        <v>Luciana</v>
      </c>
      <c r="H677" s="39">
        <f>IF(ORCAMENTOS!I685="","",ORCAMENTOS!I685)</f>
        <v>20957.05</v>
      </c>
      <c r="I677" s="60" t="str">
        <f>IF(ORCAMENTOS!J685="","",ORCAMENTOS!J685)</f>
        <v/>
      </c>
      <c r="J677" s="40" t="str">
        <f>IF(ORCAMENTOS!L685="","",ORCAMENTOS!L685)</f>
        <v>FECHADO</v>
      </c>
      <c r="K677" s="34" t="str">
        <f>IF(ORCAMENTOS!M685="","",ORCAMENTOS!M685)</f>
        <v>-</v>
      </c>
      <c r="L677" t="str">
        <f>IF(ORCAMENTOS!R685="","",ORCAMENTOS!R685)</f>
        <v>-</v>
      </c>
    </row>
    <row r="678" spans="1:12" ht="15.75" hidden="1" customHeight="1" x14ac:dyDescent="0.25">
      <c r="A678" s="36">
        <f>IF(ORCAMENTOS!A686="","",ORCAMENTOS!A686)</f>
        <v>45770</v>
      </c>
      <c r="B678" s="46">
        <f>IF(ORCAMENTOS!B686="","",ORCAMENTOS!B686)</f>
        <v>676</v>
      </c>
      <c r="C678" s="46" t="str">
        <f>IF(ORCAMENTOS!C686="","",ORCAMENTOS!C686)</f>
        <v/>
      </c>
      <c r="D678" s="37" t="str">
        <f>IF(ORCAMENTOS!D686="","",ORCAMENTOS!D686)</f>
        <v>MONDARC</v>
      </c>
      <c r="E678" s="38" t="str">
        <f>IF(ORCAMENTOS!E686="","",ORCAMENTOS!E686)</f>
        <v>COLEGIO SANTO AMERICO</v>
      </c>
      <c r="F678" s="37" t="str">
        <f>IF(ORCAMENTOS!G686="","",ORCAMENTOS!G686)</f>
        <v>Michel</v>
      </c>
      <c r="G678" s="37" t="str">
        <f>IF(ORCAMENTOS!H686="","",ORCAMENTOS!H686)</f>
        <v>Leandro</v>
      </c>
      <c r="H678" s="39">
        <f>IF(ORCAMENTOS!I686="","",ORCAMENTOS!I686)</f>
        <v>7777.34</v>
      </c>
      <c r="I678" s="60" t="str">
        <f>IF(ORCAMENTOS!J686="","",ORCAMENTOS!J686)</f>
        <v/>
      </c>
      <c r="J678" s="40" t="str">
        <f>IF(ORCAMENTOS!L686="","",ORCAMENTOS!L686)</f>
        <v>FECHADO</v>
      </c>
      <c r="K678" s="34" t="str">
        <f>IF(ORCAMENTOS!M686="","",ORCAMENTOS!M686)</f>
        <v>-</v>
      </c>
      <c r="L678" t="str">
        <f>IF(ORCAMENTOS!R686="","",ORCAMENTOS!R686)</f>
        <v>-</v>
      </c>
    </row>
    <row r="679" spans="1:12" ht="15.75" hidden="1" customHeight="1" x14ac:dyDescent="0.25">
      <c r="A679" s="36">
        <f>IF(ORCAMENTOS!A687="","",ORCAMENTOS!A687)</f>
        <v>45769</v>
      </c>
      <c r="B679" s="46">
        <f>IF(ORCAMENTOS!B687="","",ORCAMENTOS!B687)</f>
        <v>677</v>
      </c>
      <c r="C679" s="46" t="str">
        <f>IF(ORCAMENTOS!C687="","",ORCAMENTOS!C687)</f>
        <v/>
      </c>
      <c r="D679" s="37" t="str">
        <f>IF(ORCAMENTOS!D687="","",ORCAMENTOS!D687)</f>
        <v>FL HVAC</v>
      </c>
      <c r="E679" s="38" t="str">
        <f>IF(ORCAMENTOS!E687="","",ORCAMENTOS!E687)</f>
        <v>PETZ - SAMAMBAIA - DF</v>
      </c>
      <c r="F679" s="37" t="str">
        <f>IF(ORCAMENTOS!G687="","",ORCAMENTOS!G687)</f>
        <v>Guilherme</v>
      </c>
      <c r="G679" s="37" t="str">
        <f>IF(ORCAMENTOS!H687="","",ORCAMENTOS!H687)</f>
        <v>Filipe</v>
      </c>
      <c r="H679" s="39">
        <f>IF(ORCAMENTOS!I687="","",ORCAMENTOS!I687)</f>
        <v>44973.33</v>
      </c>
      <c r="I679" s="60" t="str">
        <f>IF(ORCAMENTOS!J687="","",ORCAMENTOS!J687)</f>
        <v/>
      </c>
      <c r="J679" s="40" t="str">
        <f>IF(ORCAMENTOS!L687="","",ORCAMENTOS!L687)</f>
        <v>CANCELADO</v>
      </c>
      <c r="K679" s="34" t="str">
        <f>IF(ORCAMENTOS!M687="","",ORCAMENTOS!M687)</f>
        <v>-</v>
      </c>
      <c r="L679" t="str">
        <f>IF(ORCAMENTOS!R687="","",ORCAMENTOS!R687)</f>
        <v>-</v>
      </c>
    </row>
    <row r="680" spans="1:12" ht="15.75" hidden="1" customHeight="1" x14ac:dyDescent="0.25">
      <c r="A680" s="36">
        <f>IF(ORCAMENTOS!A688="","",ORCAMENTOS!A688)</f>
        <v>45769</v>
      </c>
      <c r="B680" s="46">
        <f>IF(ORCAMENTOS!B688="","",ORCAMENTOS!B688)</f>
        <v>678</v>
      </c>
      <c r="C680" s="46" t="str">
        <f>IF(ORCAMENTOS!C688="","",ORCAMENTOS!C688)</f>
        <v/>
      </c>
      <c r="D680" s="37" t="str">
        <f>IF(ORCAMENTOS!D688="","",ORCAMENTOS!D688)</f>
        <v>ARCON AIR</v>
      </c>
      <c r="E680" s="38" t="str">
        <f>IF(ORCAMENTOS!E688="","",ORCAMENTOS!E688)</f>
        <v>HP VIDA - BRIGADEIRO LUIZ ANTONIO</v>
      </c>
      <c r="F680" s="37" t="str">
        <f>IF(ORCAMENTOS!G688="","",ORCAMENTOS!G688)</f>
        <v>Michel</v>
      </c>
      <c r="G680" s="37" t="str">
        <f>IF(ORCAMENTOS!H688="","",ORCAMENTOS!H688)</f>
        <v>Camila</v>
      </c>
      <c r="H680" s="39">
        <f>IF(ORCAMENTOS!I688="","",ORCAMENTOS!I688)</f>
        <v>19158.14</v>
      </c>
      <c r="I680" s="60" t="str">
        <f>IF(ORCAMENTOS!J688="","",ORCAMENTOS!J688)</f>
        <v/>
      </c>
      <c r="J680" s="40" t="str">
        <f>IF(ORCAMENTOS!L688="","",ORCAMENTOS!L688)</f>
        <v>FECHADO</v>
      </c>
      <c r="K680" s="34" t="str">
        <f>IF(ORCAMENTOS!M688="","",ORCAMENTOS!M688)</f>
        <v>AGUARDANDO PEDIDO</v>
      </c>
      <c r="L680" t="str">
        <f>IF(ORCAMENTOS!R688="","",ORCAMENTOS!R688)</f>
        <v>-</v>
      </c>
    </row>
    <row r="681" spans="1:12" ht="15.75" hidden="1" customHeight="1" x14ac:dyDescent="0.25">
      <c r="A681" s="36">
        <f>IF(ORCAMENTOS!A689="","",ORCAMENTOS!A689)</f>
        <v>45770</v>
      </c>
      <c r="B681" s="46">
        <f>IF(ORCAMENTOS!B689="","",ORCAMENTOS!B689)</f>
        <v>679</v>
      </c>
      <c r="C681" s="46" t="str">
        <f>IF(ORCAMENTOS!C689="","",ORCAMENTOS!C689)</f>
        <v/>
      </c>
      <c r="D681" s="37" t="str">
        <f>IF(ORCAMENTOS!D689="","",ORCAMENTOS!D689)</f>
        <v>R1 SOLUCOES</v>
      </c>
      <c r="E681" s="38" t="str">
        <f>IF(ORCAMENTOS!E689="","",ORCAMENTOS!E689)</f>
        <v>-</v>
      </c>
      <c r="F681" s="37" t="str">
        <f>IF(ORCAMENTOS!G689="","",ORCAMENTOS!G689)</f>
        <v>Gabriel</v>
      </c>
      <c r="G681" s="37" t="str">
        <f>IF(ORCAMENTOS!H689="","",ORCAMENTOS!H689)</f>
        <v>Janaina</v>
      </c>
      <c r="H681" s="39">
        <f>IF(ORCAMENTOS!I689="","",ORCAMENTOS!I689)</f>
        <v>14261.6</v>
      </c>
      <c r="I681" s="60" t="str">
        <f>IF(ORCAMENTOS!J689="","",ORCAMENTOS!J689)</f>
        <v/>
      </c>
      <c r="J681" s="40" t="str">
        <f>IF(ORCAMENTOS!L689="","",ORCAMENTOS!L689)</f>
        <v>CANCELADO</v>
      </c>
      <c r="K681" s="34" t="str">
        <f>IF(ORCAMENTOS!M689="","",ORCAMENTOS!M689)</f>
        <v>AGUARDANDO RTORNO DO CLIENTE</v>
      </c>
      <c r="L681" t="str">
        <f>IF(ORCAMENTOS!R689="","",ORCAMENTOS!R689)</f>
        <v>-</v>
      </c>
    </row>
    <row r="682" spans="1:12" ht="15.75" hidden="1" customHeight="1" x14ac:dyDescent="0.25">
      <c r="A682" s="36">
        <f>IF(ORCAMENTOS!A690="","",ORCAMENTOS!A690)</f>
        <v>45770</v>
      </c>
      <c r="B682" s="46">
        <f>IF(ORCAMENTOS!B690="","",ORCAMENTOS!B690)</f>
        <v>680</v>
      </c>
      <c r="C682" s="46" t="str">
        <f>IF(ORCAMENTOS!C690="","",ORCAMENTOS!C690)</f>
        <v/>
      </c>
      <c r="D682" s="37" t="str">
        <f>IF(ORCAMENTOS!D690="","",ORCAMENTOS!D690)</f>
        <v>INOVECTOR</v>
      </c>
      <c r="E682" s="38" t="str">
        <f>IF(ORCAMENTOS!E690="","",ORCAMENTOS!E690)</f>
        <v>FLEURY - REQ 2.01</v>
      </c>
      <c r="F682" s="37" t="str">
        <f>IF(ORCAMENTOS!G690="","",ORCAMENTOS!G690)</f>
        <v>Fernando</v>
      </c>
      <c r="G682" s="37" t="str">
        <f>IF(ORCAMENTOS!H690="","",ORCAMENTOS!H690)</f>
        <v>Cristina</v>
      </c>
      <c r="H682" s="39">
        <f>IF(ORCAMENTOS!I690="","",ORCAMENTOS!I690)</f>
        <v>123299.56</v>
      </c>
      <c r="I682" s="60" t="str">
        <f>IF(ORCAMENTOS!J690="","",ORCAMENTOS!J690)</f>
        <v/>
      </c>
      <c r="J682" s="40" t="str">
        <f>IF(ORCAMENTOS!L690="","",ORCAMENTOS!L690)</f>
        <v>PERDIDO</v>
      </c>
      <c r="K682" s="34" t="str">
        <f>IF(ORCAMENTOS!M690="","",ORCAMENTOS!M690)</f>
        <v>CLIENTE SEM CRÉDITO</v>
      </c>
      <c r="L682" t="str">
        <f>IF(ORCAMENTOS!R690="","",ORCAMENTOS!R690)</f>
        <v>-</v>
      </c>
    </row>
    <row r="683" spans="1:12" ht="15.75" hidden="1" customHeight="1" x14ac:dyDescent="0.25">
      <c r="A683" s="36">
        <f>IF(ORCAMENTOS!A691="","",ORCAMENTOS!A691)</f>
        <v>45770</v>
      </c>
      <c r="B683" s="46">
        <f>IF(ORCAMENTOS!B691="","",ORCAMENTOS!B691)</f>
        <v>681</v>
      </c>
      <c r="C683" s="46" t="str">
        <f>IF(ORCAMENTOS!C691="","",ORCAMENTOS!C691)</f>
        <v/>
      </c>
      <c r="D683" s="37" t="str">
        <f>IF(ORCAMENTOS!D691="","",ORCAMENTOS!D691)</f>
        <v>SCS ENGNEHARIA</v>
      </c>
      <c r="E683" s="38" t="str">
        <f>IF(ORCAMENTOS!E691="","",ORCAMENTOS!E691)</f>
        <v>-</v>
      </c>
      <c r="F683" s="37" t="str">
        <f>IF(ORCAMENTOS!G691="","",ORCAMENTOS!G691)</f>
        <v>Gabriel</v>
      </c>
      <c r="G683" s="37" t="str">
        <f>IF(ORCAMENTOS!H691="","",ORCAMENTOS!H691)</f>
        <v>Silas</v>
      </c>
      <c r="H683" s="39">
        <f>IF(ORCAMENTOS!I691="","",ORCAMENTOS!I691)</f>
        <v>2040.43</v>
      </c>
      <c r="I683" s="60" t="str">
        <f>IF(ORCAMENTOS!J691="","",ORCAMENTOS!J691)</f>
        <v/>
      </c>
      <c r="J683" s="40" t="str">
        <f>IF(ORCAMENTOS!L691="","",ORCAMENTOS!L691)</f>
        <v>FECHADO</v>
      </c>
      <c r="K683" s="34" t="str">
        <f>IF(ORCAMENTOS!M691="","",ORCAMENTOS!M691)</f>
        <v>-</v>
      </c>
      <c r="L683" t="str">
        <f>IF(ORCAMENTOS!R691="","",ORCAMENTOS!R691)</f>
        <v>-</v>
      </c>
    </row>
    <row r="684" spans="1:12" ht="15.75" hidden="1" customHeight="1" x14ac:dyDescent="0.25">
      <c r="A684" s="36">
        <f>IF(ORCAMENTOS!A692="","",ORCAMENTOS!A692)</f>
        <v>45770</v>
      </c>
      <c r="B684" s="46">
        <f>IF(ORCAMENTOS!B692="","",ORCAMENTOS!B692)</f>
        <v>682</v>
      </c>
      <c r="C684" s="46" t="str">
        <f>IF(ORCAMENTOS!C692="","",ORCAMENTOS!C692)</f>
        <v/>
      </c>
      <c r="D684" s="37" t="str">
        <f>IF(ORCAMENTOS!D692="","",ORCAMENTOS!D692)</f>
        <v>CONGREGACAO</v>
      </c>
      <c r="E684" s="38" t="str">
        <f>IF(ORCAMENTOS!E692="","",ORCAMENTOS!E692)</f>
        <v>-</v>
      </c>
      <c r="F684" s="37" t="str">
        <f>IF(ORCAMENTOS!G692="","",ORCAMENTOS!G692)</f>
        <v>Gabriel</v>
      </c>
      <c r="G684" s="37" t="str">
        <f>IF(ORCAMENTOS!H692="","",ORCAMENTOS!H692)</f>
        <v>Adenir</v>
      </c>
      <c r="H684" s="39">
        <f>IF(ORCAMENTOS!I692="","",ORCAMENTOS!I692)</f>
        <v>2663.85</v>
      </c>
      <c r="I684" s="60" t="str">
        <f>IF(ORCAMENTOS!J692="","",ORCAMENTOS!J692)</f>
        <v/>
      </c>
      <c r="J684" s="40" t="str">
        <f>IF(ORCAMENTOS!L692="","",ORCAMENTOS!L692)</f>
        <v>FECHADO</v>
      </c>
      <c r="K684" s="34" t="str">
        <f>IF(ORCAMENTOS!M692="","",ORCAMENTOS!M692)</f>
        <v>-</v>
      </c>
      <c r="L684" t="str">
        <f>IF(ORCAMENTOS!R692="","",ORCAMENTOS!R692)</f>
        <v>-</v>
      </c>
    </row>
    <row r="685" spans="1:12" ht="15.75" hidden="1" customHeight="1" x14ac:dyDescent="0.25">
      <c r="A685" s="36">
        <f>IF(ORCAMENTOS!A693="","",ORCAMENTOS!A693)</f>
        <v>45770</v>
      </c>
      <c r="B685" s="46">
        <f>IF(ORCAMENTOS!B693="","",ORCAMENTOS!B693)</f>
        <v>683</v>
      </c>
      <c r="C685" s="46" t="str">
        <f>IF(ORCAMENTOS!C693="","",ORCAMENTOS!C693)</f>
        <v/>
      </c>
      <c r="D685" s="37" t="str">
        <f>IF(ORCAMENTOS!D693="","",ORCAMENTOS!D693)</f>
        <v>AIRPLAN</v>
      </c>
      <c r="E685" s="38" t="str">
        <f>IF(ORCAMENTOS!E693="","",ORCAMENTOS!E693)</f>
        <v>YOUCOM - SHOPPING LESTE ARICANDUVA - SP</v>
      </c>
      <c r="F685" s="37" t="str">
        <f>IF(ORCAMENTOS!G693="","",ORCAMENTOS!G693)</f>
        <v>Gabriel</v>
      </c>
      <c r="G685" s="37" t="str">
        <f>IF(ORCAMENTOS!H693="","",ORCAMENTOS!H693)</f>
        <v>Laercio</v>
      </c>
      <c r="H685" s="39">
        <f>IF(ORCAMENTOS!I693="","",ORCAMENTOS!I693)</f>
        <v>25162.86</v>
      </c>
      <c r="I685" s="60" t="str">
        <f>IF(ORCAMENTOS!J693="","",ORCAMENTOS!J693)</f>
        <v/>
      </c>
      <c r="J685" s="40" t="str">
        <f>IF(ORCAMENTOS!L693="","",ORCAMENTOS!L693)</f>
        <v>CANCELADO</v>
      </c>
      <c r="K685" s="34" t="str">
        <f>IF(ORCAMENTOS!M693="","",ORCAMENTOS!M693)</f>
        <v>-</v>
      </c>
      <c r="L685" t="str">
        <f>IF(ORCAMENTOS!R693="","",ORCAMENTOS!R693)</f>
        <v>MPU</v>
      </c>
    </row>
    <row r="686" spans="1:12" ht="15.75" hidden="1" customHeight="1" x14ac:dyDescent="0.25">
      <c r="A686" s="36">
        <f>IF(ORCAMENTOS!A694="","",ORCAMENTOS!A694)</f>
        <v>45770</v>
      </c>
      <c r="B686" s="46">
        <f>IF(ORCAMENTOS!B694="","",ORCAMENTOS!B694)</f>
        <v>684</v>
      </c>
      <c r="C686" s="46" t="str">
        <f>IF(ORCAMENTOS!C694="","",ORCAMENTOS!C694)</f>
        <v/>
      </c>
      <c r="D686" s="37" t="str">
        <f>IF(ORCAMENTOS!D694="","",ORCAMENTOS!D694)</f>
        <v>MJ CLIMATIZACAO</v>
      </c>
      <c r="E686" s="38" t="str">
        <f>IF(ORCAMENTOS!E694="","",ORCAMENTOS!E694)</f>
        <v>YOUCOM - SHOPPING LESTE ARICANDUVA - SP</v>
      </c>
      <c r="F686" s="37" t="str">
        <f>IF(ORCAMENTOS!G694="","",ORCAMENTOS!G694)</f>
        <v>Emanuel</v>
      </c>
      <c r="G686" s="37" t="str">
        <f>IF(ORCAMENTOS!H694="","",ORCAMENTOS!H694)</f>
        <v>Escobar</v>
      </c>
      <c r="H686" s="39">
        <f>IF(ORCAMENTOS!I694="","",ORCAMENTOS!I694)</f>
        <v>25162.86</v>
      </c>
      <c r="I686" s="60" t="str">
        <f>IF(ORCAMENTOS!J694="","",ORCAMENTOS!J694)</f>
        <v/>
      </c>
      <c r="J686" s="40" t="str">
        <f>IF(ORCAMENTOS!L694="","",ORCAMENTOS!L694)</f>
        <v>CANCELADO</v>
      </c>
      <c r="K686" s="34" t="str">
        <f>IF(ORCAMENTOS!M694="","",ORCAMENTOS!M694)</f>
        <v>-</v>
      </c>
      <c r="L686" t="str">
        <f>IF(ORCAMENTOS!R694="","",ORCAMENTOS!R694)</f>
        <v>MPU</v>
      </c>
    </row>
    <row r="687" spans="1:12" ht="15.75" hidden="1" customHeight="1" x14ac:dyDescent="0.25">
      <c r="A687" s="36">
        <f>IF(ORCAMENTOS!A695="","",ORCAMENTOS!A695)</f>
        <v>45770</v>
      </c>
      <c r="B687" s="46">
        <f>IF(ORCAMENTOS!B695="","",ORCAMENTOS!B695)</f>
        <v>685</v>
      </c>
      <c r="C687" s="46" t="str">
        <f>IF(ORCAMENTOS!C695="","",ORCAMENTOS!C695)</f>
        <v/>
      </c>
      <c r="D687" s="37" t="str">
        <f>IF(ORCAMENTOS!D695="","",ORCAMENTOS!D695)</f>
        <v>ART AR</v>
      </c>
      <c r="E687" s="38" t="str">
        <f>IF(ORCAMENTOS!E695="","",ORCAMENTOS!E695)</f>
        <v>YOUCOM - SHOPPING LESTE ARICANDUVA - SP</v>
      </c>
      <c r="F687" s="37" t="str">
        <f>IF(ORCAMENTOS!G695="","",ORCAMENTOS!G695)</f>
        <v>Emanuel</v>
      </c>
      <c r="G687" s="37" t="str">
        <f>IF(ORCAMENTOS!H695="","",ORCAMENTOS!H695)</f>
        <v>Jorge</v>
      </c>
      <c r="H687" s="39">
        <f>IF(ORCAMENTOS!I695="","",ORCAMENTOS!I695)</f>
        <v>19402.79</v>
      </c>
      <c r="I687" s="60" t="str">
        <f>IF(ORCAMENTOS!J695="","",ORCAMENTOS!J695)</f>
        <v/>
      </c>
      <c r="J687" s="40" t="str">
        <f>IF(ORCAMENTOS!L695="","",ORCAMENTOS!L695)</f>
        <v>FECHADO</v>
      </c>
      <c r="K687" s="34" t="str">
        <f>IF(ORCAMENTOS!M695="","",ORCAMENTOS!M695)</f>
        <v>-</v>
      </c>
      <c r="L687" t="str">
        <f>IF(ORCAMENTOS!R695="","",ORCAMENTOS!R695)</f>
        <v>MPU</v>
      </c>
    </row>
    <row r="688" spans="1:12" ht="15.75" hidden="1" customHeight="1" x14ac:dyDescent="0.25">
      <c r="A688" s="36">
        <f>IF(ORCAMENTOS!A696="","",ORCAMENTOS!A696)</f>
        <v>45771</v>
      </c>
      <c r="B688" s="46">
        <f>IF(ORCAMENTOS!B696="","",ORCAMENTOS!B696)</f>
        <v>686</v>
      </c>
      <c r="C688" s="46" t="str">
        <f>IF(ORCAMENTOS!C696="","",ORCAMENTOS!C696)</f>
        <v/>
      </c>
      <c r="D688" s="37" t="str">
        <f>IF(ORCAMENTOS!D696="","",ORCAMENTOS!D696)</f>
        <v>ENERGY AIR</v>
      </c>
      <c r="E688" s="38" t="str">
        <f>IF(ORCAMENTOS!E696="","",ORCAMENTOS!E696)</f>
        <v>-</v>
      </c>
      <c r="F688" s="37" t="str">
        <f>IF(ORCAMENTOS!G696="","",ORCAMENTOS!G696)</f>
        <v xml:space="preserve">Aldavir </v>
      </c>
      <c r="G688" s="37" t="str">
        <f>IF(ORCAMENTOS!H696="","",ORCAMENTOS!H696)</f>
        <v>Carlos</v>
      </c>
      <c r="H688" s="39">
        <f>IF(ORCAMENTOS!I696="","",ORCAMENTOS!I696)</f>
        <v>1860.16</v>
      </c>
      <c r="I688" s="60" t="str">
        <f>IF(ORCAMENTOS!J696="","",ORCAMENTOS!J696)</f>
        <v/>
      </c>
      <c r="J688" s="40" t="str">
        <f>IF(ORCAMENTOS!L696="","",ORCAMENTOS!L696)</f>
        <v>FECHADO</v>
      </c>
      <c r="K688" s="34" t="str">
        <f>IF(ORCAMENTOS!M696="","",ORCAMENTOS!M696)</f>
        <v/>
      </c>
      <c r="L688" t="str">
        <f>IF(ORCAMENTOS!R696="","",ORCAMENTOS!R696)</f>
        <v>-</v>
      </c>
    </row>
    <row r="689" spans="1:12" ht="15.75" hidden="1" customHeight="1" x14ac:dyDescent="0.25">
      <c r="A689" s="36">
        <f>IF(ORCAMENTOS!A697="","",ORCAMENTOS!A697)</f>
        <v>45771</v>
      </c>
      <c r="B689" s="46">
        <f>IF(ORCAMENTOS!B697="","",ORCAMENTOS!B697)</f>
        <v>687</v>
      </c>
      <c r="C689" s="46" t="str">
        <f>IF(ORCAMENTOS!C697="","",ORCAMENTOS!C697)</f>
        <v/>
      </c>
      <c r="D689" s="37" t="str">
        <f>IF(ORCAMENTOS!D697="","",ORCAMENTOS!D697)</f>
        <v>CLIMAARC</v>
      </c>
      <c r="E689" s="38" t="str">
        <f>IF(ORCAMENTOS!E697="","",ORCAMENTOS!E697)</f>
        <v>HOSPITAL SAMARITANO - UNIDADE SUMARÉ / SP</v>
      </c>
      <c r="F689" s="37" t="str">
        <f>IF(ORCAMENTOS!G697="","",ORCAMENTOS!G697)</f>
        <v xml:space="preserve">Aldavir </v>
      </c>
      <c r="G689" s="37" t="str">
        <f>IF(ORCAMENTOS!H697="","",ORCAMENTOS!H697)</f>
        <v>Aureliano</v>
      </c>
      <c r="H689" s="39">
        <f>IF(ORCAMENTOS!I697="","",ORCAMENTOS!I697)</f>
        <v>369726.31</v>
      </c>
      <c r="I689" s="60" t="str">
        <f>IF(ORCAMENTOS!J697="","",ORCAMENTOS!J697)</f>
        <v/>
      </c>
      <c r="J689" s="40" t="str">
        <f>IF(ORCAMENTOS!L697="","",ORCAMENTOS!L697)</f>
        <v>CANCELADO</v>
      </c>
      <c r="K689" s="34" t="str">
        <f>IF(ORCAMENTOS!M697="","",ORCAMENTOS!M697)</f>
        <v>SERÁ EM CHAPA</v>
      </c>
      <c r="L689" t="str">
        <f>IF(ORCAMENTOS!R697="","",ORCAMENTOS!R697)</f>
        <v>-</v>
      </c>
    </row>
    <row r="690" spans="1:12" ht="15.75" hidden="1" customHeight="1" x14ac:dyDescent="0.25">
      <c r="A690" s="36">
        <f>IF(ORCAMENTOS!A698="","",ORCAMENTOS!A698)</f>
        <v>45772</v>
      </c>
      <c r="B690" s="46">
        <f>IF(ORCAMENTOS!B698="","",ORCAMENTOS!B698)</f>
        <v>688</v>
      </c>
      <c r="C690" s="46" t="str">
        <f>IF(ORCAMENTOS!C698="","",ORCAMENTOS!C698)</f>
        <v/>
      </c>
      <c r="D690" s="37" t="str">
        <f>IF(ORCAMENTOS!D698="","",ORCAMENTOS!D698)</f>
        <v>AIR NET</v>
      </c>
      <c r="E690" s="38" t="str">
        <f>IF(ORCAMENTOS!E698="","",ORCAMENTOS!E698)</f>
        <v>SANTA CASA SANTOS</v>
      </c>
      <c r="F690" s="37" t="str">
        <f>IF(ORCAMENTOS!G698="","",ORCAMENTOS!G698)</f>
        <v>Fernando</v>
      </c>
      <c r="G690" s="37" t="str">
        <f>IF(ORCAMENTOS!H698="","",ORCAMENTOS!H698)</f>
        <v>Luiz</v>
      </c>
      <c r="H690" s="39">
        <f>IF(ORCAMENTOS!I698="","",ORCAMENTOS!I698)</f>
        <v>22543.03</v>
      </c>
      <c r="I690" s="60" t="str">
        <f>IF(ORCAMENTOS!J698="","",ORCAMENTOS!J698)</f>
        <v/>
      </c>
      <c r="J690" s="40" t="str">
        <f>IF(ORCAMENTOS!L698="","",ORCAMENTOS!L698)</f>
        <v>CANCELADO</v>
      </c>
      <c r="K690" s="34" t="str">
        <f>IF(ORCAMENTOS!M698="","",ORCAMENTOS!M698)</f>
        <v>-</v>
      </c>
      <c r="L690" t="str">
        <f>IF(ORCAMENTOS!R698="","",ORCAMENTOS!R698)</f>
        <v>-</v>
      </c>
    </row>
    <row r="691" spans="1:12" ht="15.75" hidden="1" customHeight="1" x14ac:dyDescent="0.25">
      <c r="A691" s="36">
        <f>IF(ORCAMENTOS!A699="","",ORCAMENTOS!A699)</f>
        <v>45771</v>
      </c>
      <c r="B691" s="46">
        <f>IF(ORCAMENTOS!B699="","",ORCAMENTOS!B699)</f>
        <v>689</v>
      </c>
      <c r="C691" s="46" t="str">
        <f>IF(ORCAMENTOS!C699="","",ORCAMENTOS!C699)</f>
        <v/>
      </c>
      <c r="D691" s="37" t="str">
        <f>IF(ORCAMENTOS!D699="","",ORCAMENTOS!D699)</f>
        <v>VENT FRIO</v>
      </c>
      <c r="E691" s="38" t="str">
        <f>IF(ORCAMENTOS!E699="","",ORCAMENTOS!E699)</f>
        <v>-</v>
      </c>
      <c r="F691" s="37" t="str">
        <f>IF(ORCAMENTOS!G699="","",ORCAMENTOS!G699)</f>
        <v>Gabriel</v>
      </c>
      <c r="G691" s="37" t="str">
        <f>IF(ORCAMENTOS!H699="","",ORCAMENTOS!H699)</f>
        <v>Sergio</v>
      </c>
      <c r="H691" s="39">
        <f>IF(ORCAMENTOS!I699="","",ORCAMENTOS!I699)</f>
        <v>307.2</v>
      </c>
      <c r="I691" s="60" t="str">
        <f>IF(ORCAMENTOS!J699="","",ORCAMENTOS!J699)</f>
        <v/>
      </c>
      <c r="J691" s="40" t="str">
        <f>IF(ORCAMENTOS!L699="","",ORCAMENTOS!L699)</f>
        <v>FECHADO</v>
      </c>
      <c r="K691" s="34" t="str">
        <f>IF(ORCAMENTOS!M699="","",ORCAMENTOS!M699)</f>
        <v>-</v>
      </c>
      <c r="L691" t="str">
        <f>IF(ORCAMENTOS!R699="","",ORCAMENTOS!R699)</f>
        <v>-</v>
      </c>
    </row>
    <row r="692" spans="1:12" ht="15.75" hidden="1" customHeight="1" x14ac:dyDescent="0.25">
      <c r="A692" s="36">
        <f>IF(ORCAMENTOS!A700="","",ORCAMENTOS!A700)</f>
        <v>45771</v>
      </c>
      <c r="B692" s="46">
        <f>IF(ORCAMENTOS!B700="","",ORCAMENTOS!B700)</f>
        <v>690</v>
      </c>
      <c r="C692" s="46" t="str">
        <f>IF(ORCAMENTOS!C700="","",ORCAMENTOS!C700)</f>
        <v/>
      </c>
      <c r="D692" s="37" t="str">
        <f>IF(ORCAMENTOS!D700="","",ORCAMENTOS!D700)</f>
        <v>AWA AR CONDICIONADO</v>
      </c>
      <c r="E692" s="38" t="str">
        <f>IF(ORCAMENTOS!E700="","",ORCAMENTOS!E700)</f>
        <v>SUPER SÃO LUIS SHOPPING - SÃO LUIS - MA</v>
      </c>
      <c r="F692" s="37" t="str">
        <f>IF(ORCAMENTOS!G700="","",ORCAMENTOS!G700)</f>
        <v>Guilherme</v>
      </c>
      <c r="G692" s="37" t="str">
        <f>IF(ORCAMENTOS!H700="","",ORCAMENTOS!H700)</f>
        <v>Paula</v>
      </c>
      <c r="H692" s="39">
        <f>IF(ORCAMENTOS!I700="","",ORCAMENTOS!I700)</f>
        <v>190431.46</v>
      </c>
      <c r="I692" s="60" t="str">
        <f>IF(ORCAMENTOS!J700="","",ORCAMENTOS!J700)</f>
        <v/>
      </c>
      <c r="J692" s="40" t="str">
        <f>IF(ORCAMENTOS!L700="","",ORCAMENTOS!L700)</f>
        <v>CANCELADO</v>
      </c>
      <c r="K692" s="34" t="str">
        <f>IF(ORCAMENTOS!M700="","",ORCAMENTOS!M700)</f>
        <v>-</v>
      </c>
      <c r="L692" t="str">
        <f>IF(ORCAMENTOS!R700="","",ORCAMENTOS!R700)</f>
        <v>-</v>
      </c>
    </row>
    <row r="693" spans="1:12" ht="15.75" hidden="1" customHeight="1" x14ac:dyDescent="0.25">
      <c r="A693" s="36">
        <f>IF(ORCAMENTOS!A701="","",ORCAMENTOS!A701)</f>
        <v>45771</v>
      </c>
      <c r="B693" s="46">
        <f>IF(ORCAMENTOS!B701="","",ORCAMENTOS!B701)</f>
        <v>691</v>
      </c>
      <c r="C693" s="46" t="str">
        <f>IF(ORCAMENTOS!C701="","",ORCAMENTOS!C701)</f>
        <v/>
      </c>
      <c r="D693" s="37" t="str">
        <f>IF(ORCAMENTOS!D701="","",ORCAMENTOS!D701)</f>
        <v>PROJETTEC</v>
      </c>
      <c r="E693" s="38" t="str">
        <f>IF(ORCAMENTOS!E701="","",ORCAMENTOS!E701)</f>
        <v>SUPERMERCADO CORONEL - AMARANTE DO MARANHAO - MA</v>
      </c>
      <c r="F693" s="37" t="str">
        <f>IF(ORCAMENTOS!G701="","",ORCAMENTOS!G701)</f>
        <v>Fernando</v>
      </c>
      <c r="G693" s="37" t="str">
        <f>IF(ORCAMENTOS!H701="","",ORCAMENTOS!H701)</f>
        <v>Patricia</v>
      </c>
      <c r="H693" s="39">
        <f>IF(ORCAMENTOS!I701="","",ORCAMENTOS!I701)</f>
        <v>17245.330000000002</v>
      </c>
      <c r="I693" s="60" t="str">
        <f>IF(ORCAMENTOS!J701="","",ORCAMENTOS!J701)</f>
        <v/>
      </c>
      <c r="J693" s="40" t="str">
        <f>IF(ORCAMENTOS!L701="","",ORCAMENTOS!L701)</f>
        <v>CANCELADO</v>
      </c>
      <c r="K693" s="34" t="str">
        <f>IF(ORCAMENTOS!M701="","",ORCAMENTOS!M701)</f>
        <v>CLIENTE NEGOCIANDO PREV. MAIO</v>
      </c>
      <c r="L693" t="str">
        <f>IF(ORCAMENTOS!R701="","",ORCAMENTOS!R701)</f>
        <v>N/E</v>
      </c>
    </row>
    <row r="694" spans="1:12" ht="15.75" hidden="1" customHeight="1" x14ac:dyDescent="0.25">
      <c r="A694" s="36">
        <f>IF(ORCAMENTOS!A702="","",ORCAMENTOS!A702)</f>
        <v>45771</v>
      </c>
      <c r="B694" s="46">
        <f>IF(ORCAMENTOS!B702="","",ORCAMENTOS!B702)</f>
        <v>692</v>
      </c>
      <c r="C694" s="46" t="str">
        <f>IF(ORCAMENTOS!C702="","",ORCAMENTOS!C702)</f>
        <v/>
      </c>
      <c r="D694" s="37" t="str">
        <f>IF(ORCAMENTOS!D702="","",ORCAMENTOS!D702)</f>
        <v>AR SET</v>
      </c>
      <c r="E694" s="38" t="str">
        <f>IF(ORCAMENTOS!E702="","",ORCAMENTOS!E702)</f>
        <v>-</v>
      </c>
      <c r="F694" s="37" t="str">
        <f>IF(ORCAMENTOS!G702="","",ORCAMENTOS!G702)</f>
        <v>Fernando</v>
      </c>
      <c r="G694" s="37" t="str">
        <f>IF(ORCAMENTOS!H702="","",ORCAMENTOS!H702)</f>
        <v>Joao</v>
      </c>
      <c r="H694" s="39">
        <f>IF(ORCAMENTOS!I702="","",ORCAMENTOS!I702)</f>
        <v>2843.71</v>
      </c>
      <c r="I694" s="60" t="str">
        <f>IF(ORCAMENTOS!J702="","",ORCAMENTOS!J702)</f>
        <v/>
      </c>
      <c r="J694" s="40" t="str">
        <f>IF(ORCAMENTOS!L702="","",ORCAMENTOS!L702)</f>
        <v>FECHADO</v>
      </c>
      <c r="K694" s="34" t="str">
        <f>IF(ORCAMENTOS!M702="","",ORCAMENTOS!M702)</f>
        <v>-</v>
      </c>
      <c r="L694" t="str">
        <f>IF(ORCAMENTOS!R702="","",ORCAMENTOS!R702)</f>
        <v>-</v>
      </c>
    </row>
    <row r="695" spans="1:12" ht="15.75" hidden="1" customHeight="1" x14ac:dyDescent="0.25">
      <c r="A695" s="36">
        <f>IF(ORCAMENTOS!A703="","",ORCAMENTOS!A703)</f>
        <v>45774</v>
      </c>
      <c r="B695" s="46">
        <f>IF(ORCAMENTOS!B703="","",ORCAMENTOS!B703)</f>
        <v>693</v>
      </c>
      <c r="C695" s="46" t="str">
        <f>IF(ORCAMENTOS!C703="","",ORCAMENTOS!C703)</f>
        <v/>
      </c>
      <c r="D695" s="37" t="str">
        <f>IF(ORCAMENTOS!D703="","",ORCAMENTOS!D703)</f>
        <v>APICE CLIMA</v>
      </c>
      <c r="E695" s="38" t="str">
        <f>IF(ORCAMENTOS!E703="","",ORCAMENTOS!E703)</f>
        <v>-</v>
      </c>
      <c r="F695" s="37" t="str">
        <f>IF(ORCAMENTOS!G703="","",ORCAMENTOS!G703)</f>
        <v>Michel</v>
      </c>
      <c r="G695" s="37" t="str">
        <f>IF(ORCAMENTOS!H703="","",ORCAMENTOS!H703)</f>
        <v>Djair</v>
      </c>
      <c r="H695" s="39">
        <f>IF(ORCAMENTOS!I703="","",ORCAMENTOS!I703)</f>
        <v>960.47</v>
      </c>
      <c r="I695" s="60" t="str">
        <f>IF(ORCAMENTOS!J703="","",ORCAMENTOS!J703)</f>
        <v/>
      </c>
      <c r="J695" s="40" t="str">
        <f>IF(ORCAMENTOS!L703="","",ORCAMENTOS!L703)</f>
        <v>CANCELADO</v>
      </c>
      <c r="K695" s="34" t="str">
        <f>IF(ORCAMENTOS!M703="","",ORCAMENTOS!M703)</f>
        <v>-</v>
      </c>
      <c r="L695" t="str">
        <f>IF(ORCAMENTOS!R703="","",ORCAMENTOS!R703)</f>
        <v>-</v>
      </c>
    </row>
    <row r="696" spans="1:12" ht="15.75" hidden="1" customHeight="1" x14ac:dyDescent="0.25">
      <c r="A696" s="36">
        <f>IF(ORCAMENTOS!A704="","",ORCAMENTOS!A704)</f>
        <v>45771</v>
      </c>
      <c r="B696" s="46">
        <f>IF(ORCAMENTOS!B704="","",ORCAMENTOS!B704)</f>
        <v>694</v>
      </c>
      <c r="C696" s="46" t="str">
        <f>IF(ORCAMENTOS!C704="","",ORCAMENTOS!C704)</f>
        <v/>
      </c>
      <c r="D696" s="37" t="str">
        <f>IF(ORCAMENTOS!D704="","",ORCAMENTOS!D704)</f>
        <v>POLO CLIMA</v>
      </c>
      <c r="E696" s="38" t="str">
        <f>IF(ORCAMENTOS!E704="","",ORCAMENTOS!E704)</f>
        <v>ESTUDIO JUNIOR - SÃO PAULO - SP</v>
      </c>
      <c r="F696" s="37" t="str">
        <f>IF(ORCAMENTOS!G704="","",ORCAMENTOS!G704)</f>
        <v>Michel</v>
      </c>
      <c r="G696" s="37" t="str">
        <f>IF(ORCAMENTOS!H704="","",ORCAMENTOS!H704)</f>
        <v>Dalaval</v>
      </c>
      <c r="H696" s="39">
        <f>IF(ORCAMENTOS!I704="","",ORCAMENTOS!I704)</f>
        <v>24730.84</v>
      </c>
      <c r="I696" s="60" t="str">
        <f>IF(ORCAMENTOS!J704="","",ORCAMENTOS!J704)</f>
        <v/>
      </c>
      <c r="J696" s="40" t="str">
        <f>IF(ORCAMENTOS!L704="","",ORCAMENTOS!L704)</f>
        <v>CANCELADO</v>
      </c>
      <c r="K696" s="34" t="str">
        <f>IF(ORCAMENTOS!M704="","",ORCAMENTOS!M704)</f>
        <v>-</v>
      </c>
      <c r="L696" t="str">
        <f>IF(ORCAMENTOS!R704="","",ORCAMENTOS!R704)</f>
        <v>-</v>
      </c>
    </row>
    <row r="697" spans="1:12" ht="15.75" hidden="1" customHeight="1" x14ac:dyDescent="0.25">
      <c r="A697" s="36">
        <f>IF(ORCAMENTOS!A705="","",ORCAMENTOS!A705)</f>
        <v>45772</v>
      </c>
      <c r="B697" s="46">
        <f>IF(ORCAMENTOS!B705="","",ORCAMENTOS!B705)</f>
        <v>695</v>
      </c>
      <c r="C697" s="46" t="str">
        <f>IF(ORCAMENTOS!C705="","",ORCAMENTOS!C705)</f>
        <v/>
      </c>
      <c r="D697" s="37" t="str">
        <f>IF(ORCAMENTOS!D705="","",ORCAMENTOS!D705)</f>
        <v>WELLNESS</v>
      </c>
      <c r="E697" s="38" t="str">
        <f>IF(ORCAMENTOS!E705="","",ORCAMENTOS!E705)</f>
        <v>Sicredi Valor Sustentavel PR/SP - Nova Sede</v>
      </c>
      <c r="F697" s="37" t="str">
        <f>IF(ORCAMENTOS!G705="","",ORCAMENTOS!G705)</f>
        <v>Gabriel</v>
      </c>
      <c r="G697" s="37" t="str">
        <f>IF(ORCAMENTOS!H705="","",ORCAMENTOS!H705)</f>
        <v>Ivanise</v>
      </c>
      <c r="H697" s="39">
        <f>IF(ORCAMENTOS!I705="","",ORCAMENTOS!I705)</f>
        <v>38266.519999999997</v>
      </c>
      <c r="I697" s="60" t="str">
        <f>IF(ORCAMENTOS!J705="","",ORCAMENTOS!J705)</f>
        <v/>
      </c>
      <c r="J697" s="40" t="str">
        <f>IF(ORCAMENTOS!L705="","",ORCAMENTOS!L705)</f>
        <v>FECHADO</v>
      </c>
      <c r="K697" s="34" t="str">
        <f>IF(ORCAMENTOS!M705="","",ORCAMENTOS!M705)</f>
        <v>-</v>
      </c>
      <c r="L697" t="str">
        <f>IF(ORCAMENTOS!R705="","",ORCAMENTOS!R705)</f>
        <v>-</v>
      </c>
    </row>
    <row r="698" spans="1:12" ht="15.75" hidden="1" customHeight="1" x14ac:dyDescent="0.25">
      <c r="A698" s="36">
        <f>IF(ORCAMENTOS!A706="","",ORCAMENTOS!A706)</f>
        <v>45775</v>
      </c>
      <c r="B698" s="46">
        <f>IF(ORCAMENTOS!B706="","",ORCAMENTOS!B706)</f>
        <v>696</v>
      </c>
      <c r="C698" s="46" t="str">
        <f>IF(ORCAMENTOS!C706="","",ORCAMENTOS!C706)</f>
        <v/>
      </c>
      <c r="D698" s="37" t="str">
        <f>IF(ORCAMENTOS!D706="","",ORCAMENTOS!D706)</f>
        <v>ECOCLIMA</v>
      </c>
      <c r="E698" s="38" t="str">
        <f>IF(ORCAMENTOS!E706="","",ORCAMENTOS!E706)</f>
        <v>RESID DE ANGRA</v>
      </c>
      <c r="F698" s="37" t="str">
        <f>IF(ORCAMENTOS!G706="","",ORCAMENTOS!G706)</f>
        <v>Fernando</v>
      </c>
      <c r="G698" s="37" t="str">
        <f>IF(ORCAMENTOS!H706="","",ORCAMENTOS!H706)</f>
        <v>Franco</v>
      </c>
      <c r="H698" s="39">
        <f>IF(ORCAMENTOS!I706="","",ORCAMENTOS!I706)</f>
        <v>5091.9399999999996</v>
      </c>
      <c r="I698" s="60" t="str">
        <f>IF(ORCAMENTOS!J706="","",ORCAMENTOS!J706)</f>
        <v/>
      </c>
      <c r="J698" s="40" t="str">
        <f>IF(ORCAMENTOS!L706="","",ORCAMENTOS!L706)</f>
        <v>CANCELADO</v>
      </c>
      <c r="K698" s="34" t="str">
        <f>IF(ORCAMENTOS!M706="","",ORCAMENTOS!M706)</f>
        <v>CLIENTE NEGOCIANDO PREV. MAIO</v>
      </c>
      <c r="L698" t="str">
        <f>IF(ORCAMENTOS!R706="","",ORCAMENTOS!R706)</f>
        <v>-</v>
      </c>
    </row>
    <row r="699" spans="1:12" ht="15.75" hidden="1" customHeight="1" x14ac:dyDescent="0.25">
      <c r="A699" s="36">
        <f>IF(ORCAMENTOS!A707="","",ORCAMENTOS!A707)</f>
        <v>45772</v>
      </c>
      <c r="B699" s="46">
        <f>IF(ORCAMENTOS!B707="","",ORCAMENTOS!B707)</f>
        <v>697</v>
      </c>
      <c r="C699" s="46" t="str">
        <f>IF(ORCAMENTOS!C707="","",ORCAMENTOS!C707)</f>
        <v/>
      </c>
      <c r="D699" s="37" t="str">
        <f>IF(ORCAMENTOS!D707="","",ORCAMENTOS!D707)</f>
        <v>ARCON AIR</v>
      </c>
      <c r="E699" s="38" t="str">
        <f>IF(ORCAMENTOS!E707="","",ORCAMENTOS!E707)</f>
        <v>HP VIDA - BRIGADEIRO LUIZ ANTONIO</v>
      </c>
      <c r="F699" s="37" t="str">
        <f>IF(ORCAMENTOS!G707="","",ORCAMENTOS!G707)</f>
        <v>Michel</v>
      </c>
      <c r="G699" s="37" t="str">
        <f>IF(ORCAMENTOS!H707="","",ORCAMENTOS!H707)</f>
        <v>Camila</v>
      </c>
      <c r="H699" s="39">
        <f>IF(ORCAMENTOS!I707="","",ORCAMENTOS!I707)</f>
        <v>2537.5700000000002</v>
      </c>
      <c r="I699" s="60" t="str">
        <f>IF(ORCAMENTOS!J707="","",ORCAMENTOS!J707)</f>
        <v/>
      </c>
      <c r="J699" s="40" t="str">
        <f>IF(ORCAMENTOS!L707="","",ORCAMENTOS!L707)</f>
        <v>FECHADO</v>
      </c>
      <c r="K699" s="34" t="str">
        <f>IF(ORCAMENTOS!M707="","",ORCAMENTOS!M707)</f>
        <v>-</v>
      </c>
      <c r="L699" t="str">
        <f>IF(ORCAMENTOS!R707="","",ORCAMENTOS!R707)</f>
        <v>-</v>
      </c>
    </row>
    <row r="700" spans="1:12" ht="15.75" hidden="1" customHeight="1" x14ac:dyDescent="0.25">
      <c r="A700" s="36">
        <f>IF(ORCAMENTOS!A708="","",ORCAMENTOS!A708)</f>
        <v>45772</v>
      </c>
      <c r="B700" s="46">
        <f>IF(ORCAMENTOS!B708="","",ORCAMENTOS!B708)</f>
        <v>698</v>
      </c>
      <c r="C700" s="46" t="str">
        <f>IF(ORCAMENTOS!C708="","",ORCAMENTOS!C708)</f>
        <v/>
      </c>
      <c r="D700" s="37" t="str">
        <f>IF(ORCAMENTOS!D708="","",ORCAMENTOS!D708)</f>
        <v>PROVIDE INSTALACOES</v>
      </c>
      <c r="E700" s="38" t="str">
        <f>IF(ORCAMENTOS!E708="","",ORCAMENTOS!E708)</f>
        <v>-</v>
      </c>
      <c r="F700" s="37" t="str">
        <f>IF(ORCAMENTOS!G708="","",ORCAMENTOS!G708)</f>
        <v>Guilherme</v>
      </c>
      <c r="G700" s="37" t="str">
        <f>IF(ORCAMENTOS!H708="","",ORCAMENTOS!H708)</f>
        <v>Mariko</v>
      </c>
      <c r="H700" s="39">
        <f>IF(ORCAMENTOS!I708="","",ORCAMENTOS!I708)</f>
        <v>8303.4699999999993</v>
      </c>
      <c r="I700" s="60" t="str">
        <f>IF(ORCAMENTOS!J708="","",ORCAMENTOS!J708)</f>
        <v/>
      </c>
      <c r="J700" s="40" t="str">
        <f>IF(ORCAMENTOS!L708="","",ORCAMENTOS!L708)</f>
        <v>CANCELADO</v>
      </c>
      <c r="K700" s="34" t="str">
        <f>IF(ORCAMENTOS!M708="","",ORCAMENTOS!M708)</f>
        <v>-</v>
      </c>
      <c r="L700" t="str">
        <f>IF(ORCAMENTOS!R708="","",ORCAMENTOS!R708)</f>
        <v>-</v>
      </c>
    </row>
    <row r="701" spans="1:12" ht="15.75" hidden="1" customHeight="1" x14ac:dyDescent="0.25">
      <c r="A701" s="36">
        <f>IF(ORCAMENTOS!A709="","",ORCAMENTOS!A709)</f>
        <v>45772</v>
      </c>
      <c r="B701" s="46">
        <f>IF(ORCAMENTOS!B709="","",ORCAMENTOS!B709)</f>
        <v>699</v>
      </c>
      <c r="C701" s="46" t="str">
        <f>IF(ORCAMENTOS!C709="","",ORCAMENTOS!C709)</f>
        <v/>
      </c>
      <c r="D701" s="37" t="str">
        <f>IF(ORCAMENTOS!D709="","",ORCAMENTOS!D709)</f>
        <v>OXIGENAR CLIMATIZACAO</v>
      </c>
      <c r="E701" s="38" t="str">
        <f>IF(ORCAMENTOS!E709="","",ORCAMENTOS!E709)</f>
        <v>-</v>
      </c>
      <c r="F701" s="37" t="str">
        <f>IF(ORCAMENTOS!G709="","",ORCAMENTOS!G709)</f>
        <v>Gabriel</v>
      </c>
      <c r="G701" s="37" t="str">
        <f>IF(ORCAMENTOS!H709="","",ORCAMENTOS!H709)</f>
        <v>Fabio</v>
      </c>
      <c r="H701" s="39">
        <f>IF(ORCAMENTOS!I709="","",ORCAMENTOS!I709)</f>
        <v>58156.49</v>
      </c>
      <c r="I701" s="60" t="str">
        <f>IF(ORCAMENTOS!J709="","",ORCAMENTOS!J709)</f>
        <v/>
      </c>
      <c r="J701" s="40" t="str">
        <f>IF(ORCAMENTOS!L709="","",ORCAMENTOS!L709)</f>
        <v>CANCELADO</v>
      </c>
      <c r="K701" s="34" t="str">
        <f>IF(ORCAMENTOS!M709="","",ORCAMENTOS!M709)</f>
        <v>-</v>
      </c>
      <c r="L701" t="str">
        <f>IF(ORCAMENTOS!R709="","",ORCAMENTOS!R709)</f>
        <v>-</v>
      </c>
    </row>
    <row r="702" spans="1:12" ht="15.75" hidden="1" customHeight="1" x14ac:dyDescent="0.25">
      <c r="A702" s="36">
        <f>IF(ORCAMENTOS!A710="","",ORCAMENTOS!A710)</f>
        <v>45775</v>
      </c>
      <c r="B702" s="46">
        <f>IF(ORCAMENTOS!B710="","",ORCAMENTOS!B710)</f>
        <v>700</v>
      </c>
      <c r="C702" s="46" t="str">
        <f>IF(ORCAMENTOS!C710="","",ORCAMENTOS!C710)</f>
        <v/>
      </c>
      <c r="D702" s="37" t="str">
        <f>IF(ORCAMENTOS!D710="","",ORCAMENTOS!D710)</f>
        <v>CACR ENGENHARIA</v>
      </c>
      <c r="E702" s="38" t="str">
        <f>IF(ORCAMENTOS!E710="","",ORCAMENTOS!E710)</f>
        <v>UNIGRA BRASIL - PROJETO PRODUÇÃO DE CHOCOLATES</v>
      </c>
      <c r="F702" s="37" t="str">
        <f>IF(ORCAMENTOS!G710="","",ORCAMENTOS!G710)</f>
        <v xml:space="preserve">Aldavir </v>
      </c>
      <c r="G702" s="37" t="str">
        <f>IF(ORCAMENTOS!H710="","",ORCAMENTOS!H710)</f>
        <v>Jackson</v>
      </c>
      <c r="H702" s="39">
        <f>IF(ORCAMENTOS!I710="","",ORCAMENTOS!I710)</f>
        <v>162266.38</v>
      </c>
      <c r="I702" s="60" t="str">
        <f>IF(ORCAMENTOS!J710="","",ORCAMENTOS!J710)</f>
        <v/>
      </c>
      <c r="J702" s="40" t="str">
        <f>IF(ORCAMENTOS!L710="","",ORCAMENTOS!L710)</f>
        <v>CANCELADO</v>
      </c>
      <c r="K702" s="34" t="str">
        <f>IF(ORCAMENTOS!M710="","",ORCAMENTOS!M710)</f>
        <v>FECHADO PARCIAL</v>
      </c>
      <c r="L702" t="str">
        <f>IF(ORCAMENTOS!R710="","",ORCAMENTOS!R710)</f>
        <v>MPU</v>
      </c>
    </row>
    <row r="703" spans="1:12" ht="15.75" hidden="1" customHeight="1" x14ac:dyDescent="0.25">
      <c r="A703" s="36">
        <f>IF(ORCAMENTOS!A711="","",ORCAMENTOS!A711)</f>
        <v>45775</v>
      </c>
      <c r="B703" s="46">
        <f>IF(ORCAMENTOS!B711="","",ORCAMENTOS!B711)</f>
        <v>701</v>
      </c>
      <c r="C703" s="46" t="str">
        <f>IF(ORCAMENTOS!C711="","",ORCAMENTOS!C711)</f>
        <v/>
      </c>
      <c r="D703" s="37" t="str">
        <f>IF(ORCAMENTOS!D711="","",ORCAMENTOS!D711)</f>
        <v>RAC ENGENHARIA</v>
      </c>
      <c r="E703" s="38" t="str">
        <f>IF(ORCAMENTOS!E711="","",ORCAMENTOS!E711)</f>
        <v>SHINNYO-EM BRASIL</v>
      </c>
      <c r="F703" s="37" t="str">
        <f>IF(ORCAMENTOS!G711="","",ORCAMENTOS!G711)</f>
        <v xml:space="preserve">Aldavir </v>
      </c>
      <c r="G703" s="37" t="str">
        <f>IF(ORCAMENTOS!H711="","",ORCAMENTOS!H711)</f>
        <v>Renata</v>
      </c>
      <c r="H703" s="39">
        <f>IF(ORCAMENTOS!I711="","",ORCAMENTOS!I711)</f>
        <v>10830.57</v>
      </c>
      <c r="I703" s="60" t="str">
        <f>IF(ORCAMENTOS!J711="","",ORCAMENTOS!J711)</f>
        <v/>
      </c>
      <c r="J703" s="40" t="str">
        <f>IF(ORCAMENTOS!L711="","",ORCAMENTOS!L711)</f>
        <v>FECHADO</v>
      </c>
      <c r="K703" s="34" t="str">
        <f>IF(ORCAMENTOS!M711="","",ORCAMENTOS!M711)</f>
        <v>-</v>
      </c>
      <c r="L703" t="str">
        <f>IF(ORCAMENTOS!R711="","",ORCAMENTOS!R711)</f>
        <v>-</v>
      </c>
    </row>
    <row r="704" spans="1:12" ht="15.75" hidden="1" customHeight="1" x14ac:dyDescent="0.25">
      <c r="A704" s="36">
        <f>IF(ORCAMENTOS!A712="","",ORCAMENTOS!A712)</f>
        <v>45775</v>
      </c>
      <c r="B704" s="46">
        <f>IF(ORCAMENTOS!B712="","",ORCAMENTOS!B712)</f>
        <v>702</v>
      </c>
      <c r="C704" s="46" t="str">
        <f>IF(ORCAMENTOS!C712="","",ORCAMENTOS!C712)</f>
        <v/>
      </c>
      <c r="D704" s="37" t="str">
        <f>IF(ORCAMENTOS!D712="","",ORCAMENTOS!D712)</f>
        <v>SP1 ENGENHARIA</v>
      </c>
      <c r="E704" s="38" t="str">
        <f>IF(ORCAMENTOS!E712="","",ORCAMENTOS!E712)</f>
        <v>-</v>
      </c>
      <c r="F704" s="37" t="str">
        <f>IF(ORCAMENTOS!G712="","",ORCAMENTOS!G712)</f>
        <v>Gabriel</v>
      </c>
      <c r="G704" s="37" t="str">
        <f>IF(ORCAMENTOS!H712="","",ORCAMENTOS!H712)</f>
        <v>Isaac</v>
      </c>
      <c r="H704" s="39">
        <f>IF(ORCAMENTOS!I712="","",ORCAMENTOS!I712)</f>
        <v>80492.44</v>
      </c>
      <c r="I704" s="60" t="str">
        <f>IF(ORCAMENTOS!J712="","",ORCAMENTOS!J712)</f>
        <v/>
      </c>
      <c r="J704" s="40" t="str">
        <f>IF(ORCAMENTOS!L712="","",ORCAMENTOS!L712)</f>
        <v>CANCELADO</v>
      </c>
      <c r="K704" s="34" t="str">
        <f>IF(ORCAMENTOS!M712="","",ORCAMENTOS!M712)</f>
        <v>AGUARDANDO RETORNO</v>
      </c>
      <c r="L704" t="str">
        <f>IF(ORCAMENTOS!R712="","",ORCAMENTOS!R712)</f>
        <v>-</v>
      </c>
    </row>
    <row r="705" spans="1:12" ht="15.75" hidden="1" customHeight="1" x14ac:dyDescent="0.25">
      <c r="A705" s="36">
        <f>IF(ORCAMENTOS!A713="","",ORCAMENTOS!A713)</f>
        <v>45775</v>
      </c>
      <c r="B705" s="46">
        <f>IF(ORCAMENTOS!B713="","",ORCAMENTOS!B713)</f>
        <v>703</v>
      </c>
      <c r="C705" s="46" t="str">
        <f>IF(ORCAMENTOS!C713="","",ORCAMENTOS!C713)</f>
        <v/>
      </c>
      <c r="D705" s="37" t="str">
        <f>IF(ORCAMENTOS!D713="","",ORCAMENTOS!D713)</f>
        <v>AMS INSTALACOES</v>
      </c>
      <c r="E705" s="38" t="str">
        <f>IF(ORCAMENTOS!E713="","",ORCAMENTOS!E713)</f>
        <v>HOSPITAL RIBEIRAO PRETO</v>
      </c>
      <c r="F705" s="37" t="str">
        <f>IF(ORCAMENTOS!G713="","",ORCAMENTOS!G713)</f>
        <v>Gabriel</v>
      </c>
      <c r="G705" s="37" t="str">
        <f>IF(ORCAMENTOS!H713="","",ORCAMENTOS!H713)</f>
        <v>Felipe</v>
      </c>
      <c r="H705" s="39">
        <f>IF(ORCAMENTOS!I713="","",ORCAMENTOS!I713)</f>
        <v>275715.96999999997</v>
      </c>
      <c r="I705" s="60" t="str">
        <f>IF(ORCAMENTOS!J713="","",ORCAMENTOS!J713)</f>
        <v/>
      </c>
      <c r="J705" s="40" t="str">
        <f>IF(ORCAMENTOS!L713="","",ORCAMENTOS!L713)</f>
        <v>CANCELADO</v>
      </c>
      <c r="K705" s="34" t="str">
        <f>IF(ORCAMENTOS!M713="","",ORCAMENTOS!M713)</f>
        <v>-</v>
      </c>
      <c r="L705" t="str">
        <f>IF(ORCAMENTOS!R713="","",ORCAMENTOS!R713)</f>
        <v>-</v>
      </c>
    </row>
    <row r="706" spans="1:12" ht="15.75" hidden="1" customHeight="1" x14ac:dyDescent="0.25">
      <c r="A706" s="36">
        <f>IF(ORCAMENTOS!A714="","",ORCAMENTOS!A714)</f>
        <v>45775</v>
      </c>
      <c r="B706" s="46">
        <f>IF(ORCAMENTOS!B714="","",ORCAMENTOS!B714)</f>
        <v>704</v>
      </c>
      <c r="C706" s="46" t="str">
        <f>IF(ORCAMENTOS!C714="","",ORCAMENTOS!C714)</f>
        <v/>
      </c>
      <c r="D706" s="37" t="str">
        <f>IF(ORCAMENTOS!D714="","",ORCAMENTOS!D714)</f>
        <v>MONTAGEM VIEIRA</v>
      </c>
      <c r="E706" s="38" t="str">
        <f>IF(ORCAMENTOS!E714="","",ORCAMENTOS!E714)</f>
        <v>-</v>
      </c>
      <c r="F706" s="37" t="str">
        <f>IF(ORCAMENTOS!G714="","",ORCAMENTOS!G714)</f>
        <v>Fernando</v>
      </c>
      <c r="G706" s="37" t="str">
        <f>IF(ORCAMENTOS!H714="","",ORCAMENTOS!H714)</f>
        <v>Sergio</v>
      </c>
      <c r="H706" s="39">
        <f>IF(ORCAMENTOS!I714="","",ORCAMENTOS!I714)</f>
        <v>577.44000000000005</v>
      </c>
      <c r="I706" s="60" t="str">
        <f>IF(ORCAMENTOS!J714="","",ORCAMENTOS!J714)</f>
        <v/>
      </c>
      <c r="J706" s="40" t="str">
        <f>IF(ORCAMENTOS!L714="","",ORCAMENTOS!L714)</f>
        <v>CANCELADO</v>
      </c>
      <c r="K706" s="34" t="str">
        <f>IF(ORCAMENTOS!M714="","",ORCAMENTOS!M714)</f>
        <v>-</v>
      </c>
      <c r="L706" t="str">
        <f>IF(ORCAMENTOS!R714="","",ORCAMENTOS!R714)</f>
        <v>-</v>
      </c>
    </row>
    <row r="707" spans="1:12" ht="15.75" hidden="1" customHeight="1" x14ac:dyDescent="0.25">
      <c r="A707" s="36">
        <f>IF(ORCAMENTOS!A715="","",ORCAMENTOS!A715)</f>
        <v>45776</v>
      </c>
      <c r="B707" s="46">
        <f>IF(ORCAMENTOS!B715="","",ORCAMENTOS!B715)</f>
        <v>705</v>
      </c>
      <c r="C707" s="46" t="str">
        <f>IF(ORCAMENTOS!C715="","",ORCAMENTOS!C715)</f>
        <v/>
      </c>
      <c r="D707" s="37" t="str">
        <f>IF(ORCAMENTOS!D715="","",ORCAMENTOS!D715)</f>
        <v>AWA AR CONDICIONADO</v>
      </c>
      <c r="E707" s="38" t="str">
        <f>IF(ORCAMENTOS!E715="","",ORCAMENTOS!E715)</f>
        <v>OBRAMAX - UBERLANDIA - MG</v>
      </c>
      <c r="F707" s="37" t="str">
        <f>IF(ORCAMENTOS!G715="","",ORCAMENTOS!G715)</f>
        <v>Guilherme</v>
      </c>
      <c r="G707" s="37" t="str">
        <f>IF(ORCAMENTOS!H715="","",ORCAMENTOS!H715)</f>
        <v>Paula</v>
      </c>
      <c r="H707" s="39">
        <f>IF(ORCAMENTOS!I715="","",ORCAMENTOS!I715)</f>
        <v>217943.08</v>
      </c>
      <c r="I707" s="60" t="str">
        <f>IF(ORCAMENTOS!J715="","",ORCAMENTOS!J715)</f>
        <v/>
      </c>
      <c r="J707" s="40" t="str">
        <f>IF(ORCAMENTOS!L715="","",ORCAMENTOS!L715)</f>
        <v>CANCELADO</v>
      </c>
      <c r="K707" s="34" t="str">
        <f>IF(ORCAMENTOS!M715="","",ORCAMENTOS!M715)</f>
        <v>REVISÃO DE PROJETO</v>
      </c>
      <c r="L707" t="str">
        <f>IF(ORCAMENTOS!R715="","",ORCAMENTOS!R715)</f>
        <v>MPU</v>
      </c>
    </row>
    <row r="708" spans="1:12" ht="15.75" hidden="1" customHeight="1" x14ac:dyDescent="0.25">
      <c r="A708" s="36">
        <f>IF(ORCAMENTOS!A716="","",ORCAMENTOS!A716)</f>
        <v>45776</v>
      </c>
      <c r="B708" s="46">
        <f>IF(ORCAMENTOS!B716="","",ORCAMENTOS!B716)</f>
        <v>706</v>
      </c>
      <c r="C708" s="46" t="str">
        <f>IF(ORCAMENTOS!C716="","",ORCAMENTOS!C716)</f>
        <v/>
      </c>
      <c r="D708" s="37" t="str">
        <f>IF(ORCAMENTOS!D716="","",ORCAMENTOS!D716)</f>
        <v>SESIL AR</v>
      </c>
      <c r="E708" s="38" t="str">
        <f>IF(ORCAMENTOS!E716="","",ORCAMENTOS!E716)</f>
        <v>SMART FIT - MARINGA - PR</v>
      </c>
      <c r="F708" s="37" t="str">
        <f>IF(ORCAMENTOS!G716="","",ORCAMENTOS!G716)</f>
        <v>Fernando</v>
      </c>
      <c r="G708" s="37" t="str">
        <f>IF(ORCAMENTOS!H716="","",ORCAMENTOS!H716)</f>
        <v>Luciana</v>
      </c>
      <c r="H708" s="39">
        <f>IF(ORCAMENTOS!I716="","",ORCAMENTOS!I716)</f>
        <v>57911.27</v>
      </c>
      <c r="I708" s="60" t="str">
        <f>IF(ORCAMENTOS!J716="","",ORCAMENTOS!J716)</f>
        <v/>
      </c>
      <c r="J708" s="40" t="str">
        <f>IF(ORCAMENTOS!L716="","",ORCAMENTOS!L716)</f>
        <v>FECHADO</v>
      </c>
      <c r="K708" s="34" t="str">
        <f>IF(ORCAMENTOS!M716="","",ORCAMENTOS!M716)</f>
        <v>-</v>
      </c>
      <c r="L708" t="str">
        <f>IF(ORCAMENTOS!R716="","",ORCAMENTOS!R716)</f>
        <v>MPU</v>
      </c>
    </row>
    <row r="709" spans="1:12" ht="15.75" hidden="1" customHeight="1" x14ac:dyDescent="0.25">
      <c r="A709" s="36">
        <f>IF(ORCAMENTOS!A717="","",ORCAMENTOS!A717)</f>
        <v>45776</v>
      </c>
      <c r="B709" s="46">
        <f>IF(ORCAMENTOS!B717="","",ORCAMENTOS!B717)</f>
        <v>707</v>
      </c>
      <c r="C709" s="46" t="str">
        <f>IF(ORCAMENTOS!C717="","",ORCAMENTOS!C717)</f>
        <v/>
      </c>
      <c r="D709" s="37" t="str">
        <f>IF(ORCAMENTOS!D717="","",ORCAMENTOS!D717)</f>
        <v>SESIL AR</v>
      </c>
      <c r="E709" s="38" t="str">
        <f>IF(ORCAMENTOS!E717="","",ORCAMENTOS!E717)</f>
        <v>SMART FIT - TAUBATE - SP</v>
      </c>
      <c r="F709" s="37" t="str">
        <f>IF(ORCAMENTOS!G717="","",ORCAMENTOS!G717)</f>
        <v>Fernando</v>
      </c>
      <c r="G709" s="37" t="str">
        <f>IF(ORCAMENTOS!H717="","",ORCAMENTOS!H717)</f>
        <v>Luciana</v>
      </c>
      <c r="H709" s="39">
        <f>IF(ORCAMENTOS!I717="","",ORCAMENTOS!I717)</f>
        <v>64172.99</v>
      </c>
      <c r="I709" s="60" t="str">
        <f>IF(ORCAMENTOS!J717="","",ORCAMENTOS!J717)</f>
        <v/>
      </c>
      <c r="J709" s="40" t="str">
        <f>IF(ORCAMENTOS!L717="","",ORCAMENTOS!L717)</f>
        <v>FECHADO</v>
      </c>
      <c r="K709" s="34" t="str">
        <f>IF(ORCAMENTOS!M717="","",ORCAMENTOS!M717)</f>
        <v>-</v>
      </c>
      <c r="L709" t="str">
        <f>IF(ORCAMENTOS!R717="","",ORCAMENTOS!R717)</f>
        <v>MPU</v>
      </c>
    </row>
    <row r="710" spans="1:12" ht="15.75" hidden="1" customHeight="1" x14ac:dyDescent="0.25">
      <c r="A710" s="36">
        <f>IF(ORCAMENTOS!A718="","",ORCAMENTOS!A718)</f>
        <v>45776</v>
      </c>
      <c r="B710" s="46">
        <f>IF(ORCAMENTOS!B718="","",ORCAMENTOS!B718)</f>
        <v>708</v>
      </c>
      <c r="C710" s="46" t="str">
        <f>IF(ORCAMENTOS!C718="","",ORCAMENTOS!C718)</f>
        <v/>
      </c>
      <c r="D710" s="37" t="str">
        <f>IF(ORCAMENTOS!D718="","",ORCAMENTOS!D718)</f>
        <v>ENGEMAC</v>
      </c>
      <c r="E710" s="38" t="str">
        <f>IF(ORCAMENTOS!E718="","",ORCAMENTOS!E718)</f>
        <v>DISTRITO REVEE - PAVILHAO - ARARAQUARA - SP</v>
      </c>
      <c r="F710" s="37" t="str">
        <f>IF(ORCAMENTOS!G718="","",ORCAMENTOS!G718)</f>
        <v>Fernando</v>
      </c>
      <c r="G710" s="37" t="str">
        <f>IF(ORCAMENTOS!H718="","",ORCAMENTOS!H718)</f>
        <v>Rodrigo</v>
      </c>
      <c r="H710" s="39">
        <f>IF(ORCAMENTOS!I718="","",ORCAMENTOS!I718)</f>
        <v>649825.28000000003</v>
      </c>
      <c r="I710" s="60" t="str">
        <f>IF(ORCAMENTOS!J718="","",ORCAMENTOS!J718)</f>
        <v/>
      </c>
      <c r="J710" s="40" t="str">
        <f>IF(ORCAMENTOS!L718="","",ORCAMENTOS!L718)</f>
        <v>CANCELADO</v>
      </c>
      <c r="K710" s="34" t="str">
        <f>IF(ORCAMENTOS!M718="","",ORCAMENTOS!M718)</f>
        <v>-</v>
      </c>
      <c r="L710" t="str">
        <f>IF(ORCAMENTOS!R718="","",ORCAMENTOS!R718)</f>
        <v>MPU/ALUPIR</v>
      </c>
    </row>
    <row r="711" spans="1:12" ht="15.75" hidden="1" customHeight="1" x14ac:dyDescent="0.25">
      <c r="A711" s="36">
        <f>IF(ORCAMENTOS!A719="","",ORCAMENTOS!A719)</f>
        <v>45776</v>
      </c>
      <c r="B711" s="46">
        <f>IF(ORCAMENTOS!B719="","",ORCAMENTOS!B719)</f>
        <v>709</v>
      </c>
      <c r="C711" s="46" t="str">
        <f>IF(ORCAMENTOS!C719="","",ORCAMENTOS!C719)</f>
        <v/>
      </c>
      <c r="D711" s="37" t="str">
        <f>IF(ORCAMENTOS!D719="","",ORCAMENTOS!D719)</f>
        <v>AR SET</v>
      </c>
      <c r="E711" s="38" t="str">
        <f>IF(ORCAMENTOS!E719="","",ORCAMENTOS!E719)</f>
        <v>-</v>
      </c>
      <c r="F711" s="37" t="str">
        <f>IF(ORCAMENTOS!G719="","",ORCAMENTOS!G719)</f>
        <v>Fernando</v>
      </c>
      <c r="G711" s="37" t="str">
        <f>IF(ORCAMENTOS!H719="","",ORCAMENTOS!H719)</f>
        <v>Danilo</v>
      </c>
      <c r="H711" s="39">
        <f>IF(ORCAMENTOS!I719="","",ORCAMENTOS!I719)</f>
        <v>16939.87</v>
      </c>
      <c r="I711" s="60" t="str">
        <f>IF(ORCAMENTOS!J719="","",ORCAMENTOS!J719)</f>
        <v/>
      </c>
      <c r="J711" s="40" t="str">
        <f>IF(ORCAMENTOS!L719="","",ORCAMENTOS!L719)</f>
        <v>FECHADO</v>
      </c>
      <c r="K711" s="34" t="str">
        <f>IF(ORCAMENTOS!M719="","",ORCAMENTOS!M719)</f>
        <v>PREV MAIO</v>
      </c>
      <c r="L711" t="str">
        <f>IF(ORCAMENTOS!R719="","",ORCAMENTOS!R719)</f>
        <v>-</v>
      </c>
    </row>
    <row r="712" spans="1:12" ht="15.75" hidden="1" customHeight="1" x14ac:dyDescent="0.25">
      <c r="A712" s="36">
        <f>IF(ORCAMENTOS!A720="","",ORCAMENTOS!A720)</f>
        <v>45776</v>
      </c>
      <c r="B712" s="46">
        <f>IF(ORCAMENTOS!B720="","",ORCAMENTOS!B720)</f>
        <v>710</v>
      </c>
      <c r="C712" s="46" t="str">
        <f>IF(ORCAMENTOS!C720="","",ORCAMENTOS!C720)</f>
        <v/>
      </c>
      <c r="D712" s="37" t="str">
        <f>IF(ORCAMENTOS!D720="","",ORCAMENTOS!D720)</f>
        <v>TERMOCLIMA</v>
      </c>
      <c r="E712" s="38" t="str">
        <f>IF(ORCAMENTOS!E720="","",ORCAMENTOS!E720)</f>
        <v>RESIDENCIA SR GUILHERME - MOCOCA - SP</v>
      </c>
      <c r="F712" s="37" t="str">
        <f>IF(ORCAMENTOS!G720="","",ORCAMENTOS!G720)</f>
        <v>Gabriel</v>
      </c>
      <c r="G712" s="37" t="str">
        <f>IF(ORCAMENTOS!H720="","",ORCAMENTOS!H720)</f>
        <v>Pedro</v>
      </c>
      <c r="H712" s="39">
        <f>IF(ORCAMENTOS!I720="","",ORCAMENTOS!I720)</f>
        <v>9565.7800000000007</v>
      </c>
      <c r="I712" s="60" t="str">
        <f>IF(ORCAMENTOS!J720="","",ORCAMENTOS!J720)</f>
        <v/>
      </c>
      <c r="J712" s="40" t="str">
        <f>IF(ORCAMENTOS!L720="","",ORCAMENTOS!L720)</f>
        <v>FECHADO</v>
      </c>
      <c r="K712" s="34" t="str">
        <f>IF(ORCAMENTOS!M720="","",ORCAMENTOS!M720)</f>
        <v>-</v>
      </c>
      <c r="L712" t="str">
        <f>IF(ORCAMENTOS!R720="","",ORCAMENTOS!R720)</f>
        <v>-</v>
      </c>
    </row>
    <row r="713" spans="1:12" ht="15.75" hidden="1" customHeight="1" x14ac:dyDescent="0.25">
      <c r="A713" s="36">
        <f>IF(ORCAMENTOS!A721="","",ORCAMENTOS!A721)</f>
        <v>45776</v>
      </c>
      <c r="B713" s="46">
        <f>IF(ORCAMENTOS!B721="","",ORCAMENTOS!B721)</f>
        <v>711</v>
      </c>
      <c r="C713" s="46" t="str">
        <f>IF(ORCAMENTOS!C721="","",ORCAMENTOS!C721)</f>
        <v/>
      </c>
      <c r="D713" s="37" t="str">
        <f>IF(ORCAMENTOS!D721="","",ORCAMENTOS!D721)</f>
        <v>HVAC ENGENHARIA</v>
      </c>
      <c r="E713" s="38" t="str">
        <f>IF(ORCAMENTOS!E721="","",ORCAMENTOS!E721)</f>
        <v>COOP AO</v>
      </c>
      <c r="F713" s="37" t="str">
        <f>IF(ORCAMENTOS!G721="","",ORCAMENTOS!G721)</f>
        <v>Michel</v>
      </c>
      <c r="G713" s="37" t="str">
        <f>IF(ORCAMENTOS!H721="","",ORCAMENTOS!H721)</f>
        <v>Alvaro</v>
      </c>
      <c r="H713" s="39">
        <f>IF(ORCAMENTOS!I721="","",ORCAMENTOS!I721)</f>
        <v>38056.550000000003</v>
      </c>
      <c r="I713" s="60" t="str">
        <f>IF(ORCAMENTOS!J721="","",ORCAMENTOS!J721)</f>
        <v/>
      </c>
      <c r="J713" s="40" t="str">
        <f>IF(ORCAMENTOS!L721="","",ORCAMENTOS!L721)</f>
        <v>PERDIDO</v>
      </c>
      <c r="K713" s="34" t="str">
        <f>IF(ORCAMENTOS!M721="","",ORCAMENTOS!M721)</f>
        <v>ARCOTEC - PACOTE</v>
      </c>
      <c r="L713" t="str">
        <f>IF(ORCAMENTOS!R721="","",ORCAMENTOS!R721)</f>
        <v>-</v>
      </c>
    </row>
    <row r="714" spans="1:12" ht="15.75" hidden="1" customHeight="1" x14ac:dyDescent="0.25">
      <c r="A714" s="36">
        <f>IF(ORCAMENTOS!A722="","",ORCAMENTOS!A722)</f>
        <v>45776</v>
      </c>
      <c r="B714" s="46">
        <f>IF(ORCAMENTOS!B722="","",ORCAMENTOS!B722)</f>
        <v>712</v>
      </c>
      <c r="C714" s="46" t="str">
        <f>IF(ORCAMENTOS!C722="","",ORCAMENTOS!C722)</f>
        <v/>
      </c>
      <c r="D714" s="37" t="str">
        <f>IF(ORCAMENTOS!D722="","",ORCAMENTOS!D722)</f>
        <v xml:space="preserve">DIAGRAMA AR </v>
      </c>
      <c r="E714" s="38" t="str">
        <f>IF(ORCAMENTOS!E722="","",ORCAMENTOS!E722)</f>
        <v>PASSO FUNDO - RS</v>
      </c>
      <c r="F714" s="37" t="str">
        <f>IF(ORCAMENTOS!G722="","",ORCAMENTOS!G722)</f>
        <v>Guilherme</v>
      </c>
      <c r="G714" s="37" t="str">
        <f>IF(ORCAMENTOS!H722="","",ORCAMENTOS!H722)</f>
        <v>Taina</v>
      </c>
      <c r="H714" s="39">
        <f>IF(ORCAMENTOS!I722="","",ORCAMENTOS!I722)</f>
        <v>91810.99</v>
      </c>
      <c r="I714" s="60" t="str">
        <f>IF(ORCAMENTOS!J722="","",ORCAMENTOS!J722)</f>
        <v/>
      </c>
      <c r="J714" s="40" t="str">
        <f>IF(ORCAMENTOS!L722="","",ORCAMENTOS!L722)</f>
        <v>CANCELADO</v>
      </c>
      <c r="K714" s="34" t="str">
        <f>IF(ORCAMENTOS!M722="","",ORCAMENTOS!M722)</f>
        <v>-</v>
      </c>
      <c r="L714" t="str">
        <f>IF(ORCAMENTOS!R722="","",ORCAMENTOS!R722)</f>
        <v>-</v>
      </c>
    </row>
    <row r="715" spans="1:12" ht="15.75" hidden="1" customHeight="1" x14ac:dyDescent="0.25">
      <c r="A715" s="36">
        <f>IF(ORCAMENTOS!A723="","",ORCAMENTOS!A723)</f>
        <v>45784</v>
      </c>
      <c r="B715" s="46">
        <f>IF(ORCAMENTOS!B723="","",ORCAMENTOS!B723)</f>
        <v>713</v>
      </c>
      <c r="C715" s="46" t="str">
        <f>IF(ORCAMENTOS!C723="","",ORCAMENTOS!C723)</f>
        <v/>
      </c>
      <c r="D715" s="37" t="str">
        <f>IF(ORCAMENTOS!D723="","",ORCAMENTOS!D723)</f>
        <v>SMARTFRIO</v>
      </c>
      <c r="E715" s="38" t="str">
        <f>IF(ORCAMENTOS!E723="","",ORCAMENTOS!E723)</f>
        <v>-</v>
      </c>
      <c r="F715" s="37" t="str">
        <f>IF(ORCAMENTOS!G723="","",ORCAMENTOS!G723)</f>
        <v>Gabriel</v>
      </c>
      <c r="G715" s="37" t="str">
        <f>IF(ORCAMENTOS!H723="","",ORCAMENTOS!H723)</f>
        <v>Ivanise</v>
      </c>
      <c r="H715" s="39">
        <f>IF(ORCAMENTOS!I723="","",ORCAMENTOS!I723)</f>
        <v>10511.05</v>
      </c>
      <c r="I715" s="60" t="str">
        <f>IF(ORCAMENTOS!J723="","",ORCAMENTOS!J723)</f>
        <v/>
      </c>
      <c r="J715" s="40" t="str">
        <f>IF(ORCAMENTOS!L723="","",ORCAMENTOS!L723)</f>
        <v>FECHADO</v>
      </c>
      <c r="K715" s="34" t="str">
        <f>IF(ORCAMENTOS!M723="","",ORCAMENTOS!M723)</f>
        <v>-</v>
      </c>
      <c r="L715" t="str">
        <f>IF(ORCAMENTOS!R723="","",ORCAMENTOS!R723)</f>
        <v>-</v>
      </c>
    </row>
    <row r="716" spans="1:12" ht="15.75" hidden="1" customHeight="1" x14ac:dyDescent="0.25">
      <c r="A716" s="36">
        <f>IF(ORCAMENTOS!A724="","",ORCAMENTOS!A724)</f>
        <v>45777</v>
      </c>
      <c r="B716" s="46">
        <f>IF(ORCAMENTOS!B724="","",ORCAMENTOS!B724)</f>
        <v>714</v>
      </c>
      <c r="C716" s="46" t="str">
        <f>IF(ORCAMENTOS!C724="","",ORCAMENTOS!C724)</f>
        <v/>
      </c>
      <c r="D716" s="37" t="str">
        <f>IF(ORCAMENTOS!D724="","",ORCAMENTOS!D724)</f>
        <v>RICH ENGENHARIA</v>
      </c>
      <c r="E716" s="38" t="str">
        <f>IF(ORCAMENTOS!E724="","",ORCAMENTOS!E724)</f>
        <v>CONDOMÍNIO TERRAS DE SÃO JOSÉ II - ITU - SP</v>
      </c>
      <c r="F716" s="37" t="str">
        <f>IF(ORCAMENTOS!G724="","",ORCAMENTOS!G724)</f>
        <v>Guilherme</v>
      </c>
      <c r="G716" s="37" t="str">
        <f>IF(ORCAMENTOS!H724="","",ORCAMENTOS!H724)</f>
        <v>Ricardo</v>
      </c>
      <c r="H716" s="39">
        <f>IF(ORCAMENTOS!I724="","",ORCAMENTOS!I724)</f>
        <v>8943.06</v>
      </c>
      <c r="I716" s="60" t="str">
        <f>IF(ORCAMENTOS!J724="","",ORCAMENTOS!J724)</f>
        <v/>
      </c>
      <c r="J716" s="40" t="str">
        <f>IF(ORCAMENTOS!L724="","",ORCAMENTOS!L724)</f>
        <v>CANCELADO</v>
      </c>
      <c r="K716" s="34" t="str">
        <f>IF(ORCAMENTOS!M724="","",ORCAMENTOS!M724)</f>
        <v>BOAS CHANCES</v>
      </c>
      <c r="L716" t="str">
        <f>IF(ORCAMENTOS!R724="","",ORCAMENTOS!R724)</f>
        <v>-</v>
      </c>
    </row>
    <row r="717" spans="1:12" ht="15.75" hidden="1" customHeight="1" x14ac:dyDescent="0.25">
      <c r="A717" s="36">
        <f>IF(ORCAMENTOS!A725="","",ORCAMENTOS!A725)</f>
        <v>45783</v>
      </c>
      <c r="B717" s="46">
        <f>IF(ORCAMENTOS!B725="","",ORCAMENTOS!B725)</f>
        <v>715</v>
      </c>
      <c r="C717" s="46" t="str">
        <f>IF(ORCAMENTOS!C725="","",ORCAMENTOS!C725)</f>
        <v/>
      </c>
      <c r="D717" s="37" t="str">
        <f>IF(ORCAMENTOS!D725="","",ORCAMENTOS!D725)</f>
        <v xml:space="preserve">DIAGRAMA AR </v>
      </c>
      <c r="E717" s="38" t="str">
        <f>IF(ORCAMENTOS!E725="","",ORCAMENTOS!E725)</f>
        <v>EXTRUSORA MANAUS</v>
      </c>
      <c r="F717" s="37" t="str">
        <f>IF(ORCAMENTOS!G725="","",ORCAMENTOS!G725)</f>
        <v>Guilherme</v>
      </c>
      <c r="G717" s="37" t="str">
        <f>IF(ORCAMENTOS!H725="","",ORCAMENTOS!H725)</f>
        <v>Sandra</v>
      </c>
      <c r="H717" s="39">
        <f>IF(ORCAMENTOS!I725="","",ORCAMENTOS!I725)</f>
        <v>802154.57</v>
      </c>
      <c r="I717" s="60" t="str">
        <f>IF(ORCAMENTOS!J725="","",ORCAMENTOS!J725)</f>
        <v/>
      </c>
      <c r="J717" s="40" t="str">
        <f>IF(ORCAMENTOS!L725="","",ORCAMENTOS!L725)</f>
        <v>CANCELADO</v>
      </c>
      <c r="K717" s="34" t="str">
        <f>IF(ORCAMENTOS!M725="","",ORCAMENTOS!M725)</f>
        <v>-</v>
      </c>
      <c r="L717" t="str">
        <f>IF(ORCAMENTOS!R725="","",ORCAMENTOS!R725)</f>
        <v>-</v>
      </c>
    </row>
    <row r="718" spans="1:12" ht="15.75" hidden="1" customHeight="1" x14ac:dyDescent="0.25">
      <c r="A718" s="36">
        <f>IF(ORCAMENTOS!A726="","",ORCAMENTOS!A726)</f>
        <v>45783</v>
      </c>
      <c r="B718" s="46">
        <f>IF(ORCAMENTOS!B726="","",ORCAMENTOS!B726)</f>
        <v>716</v>
      </c>
      <c r="C718" s="46" t="str">
        <f>IF(ORCAMENTOS!C726="","",ORCAMENTOS!C726)</f>
        <v/>
      </c>
      <c r="D718" s="37" t="str">
        <f>IF(ORCAMENTOS!D726="","",ORCAMENTOS!D726)</f>
        <v>INOVECTOR</v>
      </c>
      <c r="E718" s="38" t="str">
        <f>IF(ORCAMENTOS!E726="","",ORCAMENTOS!E726)</f>
        <v>HOSP. NOVA ATIBAIA_NEFROLOGIA</v>
      </c>
      <c r="F718" s="37" t="str">
        <f>IF(ORCAMENTOS!G726="","",ORCAMENTOS!G726)</f>
        <v>Fernando</v>
      </c>
      <c r="G718" s="37" t="str">
        <f>IF(ORCAMENTOS!H726="","",ORCAMENTOS!H726)</f>
        <v>Eliete</v>
      </c>
      <c r="H718" s="39">
        <f>IF(ORCAMENTOS!I726="","",ORCAMENTOS!I726)</f>
        <v>40466.97</v>
      </c>
      <c r="I718" s="60" t="str">
        <f>IF(ORCAMENTOS!J726="","",ORCAMENTOS!J726)</f>
        <v/>
      </c>
      <c r="J718" s="40" t="str">
        <f>IF(ORCAMENTOS!L726="","",ORCAMENTOS!L726)</f>
        <v>FECHADO</v>
      </c>
      <c r="K718" s="34" t="str">
        <f>IF(ORCAMENTOS!M726="","",ORCAMENTOS!M726)</f>
        <v>-</v>
      </c>
      <c r="L718" t="str">
        <f>IF(ORCAMENTOS!R726="","",ORCAMENTOS!R726)</f>
        <v>-</v>
      </c>
    </row>
    <row r="719" spans="1:12" ht="15.75" hidden="1" customHeight="1" x14ac:dyDescent="0.25">
      <c r="A719" s="36">
        <f>IF(ORCAMENTOS!A727="","",ORCAMENTOS!A727)</f>
        <v>45777</v>
      </c>
      <c r="B719" s="46">
        <f>IF(ORCAMENTOS!B727="","",ORCAMENTOS!B727)</f>
        <v>717</v>
      </c>
      <c r="C719" s="46" t="str">
        <f>IF(ORCAMENTOS!C727="","",ORCAMENTOS!C727)</f>
        <v/>
      </c>
      <c r="D719" s="37" t="str">
        <f>IF(ORCAMENTOS!D727="","",ORCAMENTOS!D727)</f>
        <v>ARSERVICE</v>
      </c>
      <c r="E719" s="38" t="str">
        <f>IF(ORCAMENTOS!E727="","",ORCAMENTOS!E727)</f>
        <v>ADITIVO CENTER NORTE</v>
      </c>
      <c r="F719" s="37" t="str">
        <f>IF(ORCAMENTOS!G727="","",ORCAMENTOS!G727)</f>
        <v>Gabriel</v>
      </c>
      <c r="G719" s="37" t="str">
        <f>IF(ORCAMENTOS!H727="","",ORCAMENTOS!H727)</f>
        <v>Thiago</v>
      </c>
      <c r="H719" s="39">
        <f>IF(ORCAMENTOS!I727="","",ORCAMENTOS!I727)</f>
        <v>5514.19</v>
      </c>
      <c r="I719" s="60" t="str">
        <f>IF(ORCAMENTOS!J727="","",ORCAMENTOS!J727)</f>
        <v/>
      </c>
      <c r="J719" s="40" t="str">
        <f>IF(ORCAMENTOS!L727="","",ORCAMENTOS!L727)</f>
        <v>CANCELADO</v>
      </c>
      <c r="K719" s="34" t="str">
        <f>IF(ORCAMENTOS!M727="","",ORCAMENTOS!M727)</f>
        <v>-</v>
      </c>
      <c r="L719" t="str">
        <f>IF(ORCAMENTOS!R727="","",ORCAMENTOS!R727)</f>
        <v>-</v>
      </c>
    </row>
    <row r="720" spans="1:12" ht="15.75" hidden="1" customHeight="1" x14ac:dyDescent="0.25">
      <c r="A720" s="36">
        <f>IF(ORCAMENTOS!A728="","",ORCAMENTOS!A728)</f>
        <v>45782</v>
      </c>
      <c r="B720" s="46">
        <f>IF(ORCAMENTOS!B728="","",ORCAMENTOS!B728)</f>
        <v>718</v>
      </c>
      <c r="C720" s="46" t="str">
        <f>IF(ORCAMENTOS!C728="","",ORCAMENTOS!C728)</f>
        <v/>
      </c>
      <c r="D720" s="37" t="str">
        <f>IF(ORCAMENTOS!D728="","",ORCAMENTOS!D728)</f>
        <v>ADRIATIC</v>
      </c>
      <c r="E720" s="38" t="str">
        <f>IF(ORCAMENTOS!E728="","",ORCAMENTOS!E728)</f>
        <v>-</v>
      </c>
      <c r="F720" s="37" t="str">
        <f>IF(ORCAMENTOS!G728="","",ORCAMENTOS!G728)</f>
        <v>Emanuel</v>
      </c>
      <c r="G720" s="37" t="str">
        <f>IF(ORCAMENTOS!H728="","",ORCAMENTOS!H728)</f>
        <v>Walyson</v>
      </c>
      <c r="H720" s="39">
        <f>IF(ORCAMENTOS!I728="","",ORCAMENTOS!I728)</f>
        <v>25719.040000000001</v>
      </c>
      <c r="I720" s="60" t="str">
        <f>IF(ORCAMENTOS!J728="","",ORCAMENTOS!J728)</f>
        <v/>
      </c>
      <c r="J720" s="40" t="str">
        <f>IF(ORCAMENTOS!L728="","",ORCAMENTOS!L728)</f>
        <v>FECHADO</v>
      </c>
      <c r="K720" s="34" t="str">
        <f>IF(ORCAMENTOS!M728="","",ORCAMENTOS!M728)</f>
        <v>-</v>
      </c>
      <c r="L720" t="str">
        <f>IF(ORCAMENTOS!R728="","",ORCAMENTOS!R728)</f>
        <v>-</v>
      </c>
    </row>
    <row r="721" spans="1:12" ht="15.75" hidden="1" customHeight="1" x14ac:dyDescent="0.25">
      <c r="A721" s="36">
        <f>IF(ORCAMENTOS!A729="","",ORCAMENTOS!A729)</f>
        <v>45777</v>
      </c>
      <c r="B721" s="46">
        <f>IF(ORCAMENTOS!B729="","",ORCAMENTOS!B729)</f>
        <v>719</v>
      </c>
      <c r="C721" s="46" t="str">
        <f>IF(ORCAMENTOS!C729="","",ORCAMENTOS!C729)</f>
        <v/>
      </c>
      <c r="D721" s="37" t="str">
        <f>IF(ORCAMENTOS!D729="","",ORCAMENTOS!D729)</f>
        <v>GELOMAC</v>
      </c>
      <c r="E721" s="38" t="str">
        <f>IF(ORCAMENTOS!E729="","",ORCAMENTOS!E729)</f>
        <v>-</v>
      </c>
      <c r="F721" s="37" t="str">
        <f>IF(ORCAMENTOS!G729="","",ORCAMENTOS!G729)</f>
        <v>Gabriel</v>
      </c>
      <c r="G721" s="37" t="str">
        <f>IF(ORCAMENTOS!H729="","",ORCAMENTOS!H729)</f>
        <v>Gardner</v>
      </c>
      <c r="H721" s="39">
        <f>IF(ORCAMENTOS!I729="","",ORCAMENTOS!I729)</f>
        <v>3530.38</v>
      </c>
      <c r="I721" s="60" t="str">
        <f>IF(ORCAMENTOS!J729="","",ORCAMENTOS!J729)</f>
        <v/>
      </c>
      <c r="J721" s="40" t="str">
        <f>IF(ORCAMENTOS!L729="","",ORCAMENTOS!L729)</f>
        <v>FECHADO</v>
      </c>
      <c r="K721" s="34" t="str">
        <f>IF(ORCAMENTOS!M729="","",ORCAMENTOS!M729)</f>
        <v>-</v>
      </c>
      <c r="L721" t="str">
        <f>IF(ORCAMENTOS!R729="","",ORCAMENTOS!R729)</f>
        <v>-</v>
      </c>
    </row>
    <row r="722" spans="1:12" ht="15.75" hidden="1" customHeight="1" x14ac:dyDescent="0.25">
      <c r="A722" s="36">
        <f>IF(ORCAMENTOS!A730="","",ORCAMENTOS!A730)</f>
        <v>45777</v>
      </c>
      <c r="B722" s="46">
        <f>IF(ORCAMENTOS!B730="","",ORCAMENTOS!B730)</f>
        <v>720</v>
      </c>
      <c r="C722" s="46" t="str">
        <f>IF(ORCAMENTOS!C730="","",ORCAMENTOS!C730)</f>
        <v/>
      </c>
      <c r="D722" s="37" t="str">
        <f>IF(ORCAMENTOS!D730="","",ORCAMENTOS!D730)</f>
        <v xml:space="preserve">DIAGRAMA AR </v>
      </c>
      <c r="E722" s="38" t="str">
        <f>IF(ORCAMENTOS!E730="","",ORCAMENTOS!E730)</f>
        <v>-</v>
      </c>
      <c r="F722" s="37" t="str">
        <f>IF(ORCAMENTOS!G730="","",ORCAMENTOS!G730)</f>
        <v>Guilherme</v>
      </c>
      <c r="G722" s="37" t="str">
        <f>IF(ORCAMENTOS!H730="","",ORCAMENTOS!H730)</f>
        <v>Thaina</v>
      </c>
      <c r="H722" s="39">
        <f>IF(ORCAMENTOS!I730="","",ORCAMENTOS!I730)</f>
        <v>335068.90000000002</v>
      </c>
      <c r="I722" s="60" t="str">
        <f>IF(ORCAMENTOS!J730="","",ORCAMENTOS!J730)</f>
        <v/>
      </c>
      <c r="J722" s="40" t="str">
        <f>IF(ORCAMENTOS!L730="","",ORCAMENTOS!L730)</f>
        <v>CANCELADO</v>
      </c>
      <c r="K722" s="34" t="str">
        <f>IF(ORCAMENTOS!M730="","",ORCAMENTOS!M730)</f>
        <v>-</v>
      </c>
      <c r="L722" t="str">
        <f>IF(ORCAMENTOS!R730="","",ORCAMENTOS!R730)</f>
        <v>-</v>
      </c>
    </row>
    <row r="723" spans="1:12" ht="15.75" hidden="1" customHeight="1" x14ac:dyDescent="0.25">
      <c r="A723" s="36">
        <f>IF(ORCAMENTOS!A731="","",ORCAMENTOS!A731)</f>
        <v>45779</v>
      </c>
      <c r="B723" s="46">
        <f>IF(ORCAMENTOS!B731="","",ORCAMENTOS!B731)</f>
        <v>721</v>
      </c>
      <c r="C723" s="46" t="str">
        <f>IF(ORCAMENTOS!C731="","",ORCAMENTOS!C731)</f>
        <v/>
      </c>
      <c r="D723" s="37" t="str">
        <f>IF(ORCAMENTOS!D731="","",ORCAMENTOS!D731)</f>
        <v>MONDARC</v>
      </c>
      <c r="E723" s="38" t="str">
        <f>IF(ORCAMENTOS!E731="","",ORCAMENTOS!E731)</f>
        <v>PETZ - SAMAMBAIA - DF</v>
      </c>
      <c r="F723" s="37" t="str">
        <f>IF(ORCAMENTOS!G731="","",ORCAMENTOS!G731)</f>
        <v>Michel</v>
      </c>
      <c r="G723" s="37" t="str">
        <f>IF(ORCAMENTOS!H731="","",ORCAMENTOS!H731)</f>
        <v>Leandro</v>
      </c>
      <c r="H723" s="39">
        <f>IF(ORCAMENTOS!I731="","",ORCAMENTOS!I731)</f>
        <v>44973.29</v>
      </c>
      <c r="I723" s="60" t="str">
        <f>IF(ORCAMENTOS!J731="","",ORCAMENTOS!J731)</f>
        <v/>
      </c>
      <c r="J723" s="40" t="str">
        <f>IF(ORCAMENTOS!L731="","",ORCAMENTOS!L731)</f>
        <v>CANCELADO</v>
      </c>
      <c r="K723" s="34" t="str">
        <f>IF(ORCAMENTOS!M731="","",ORCAMENTOS!M731)</f>
        <v>-</v>
      </c>
      <c r="L723" t="str">
        <f>IF(ORCAMENTOS!R731="","",ORCAMENTOS!R731)</f>
        <v>-</v>
      </c>
    </row>
    <row r="724" spans="1:12" ht="15.75" hidden="1" customHeight="1" x14ac:dyDescent="0.25">
      <c r="A724" s="36">
        <f>IF(ORCAMENTOS!A732="","",ORCAMENTOS!A732)</f>
        <v>45779</v>
      </c>
      <c r="B724" s="46">
        <f>IF(ORCAMENTOS!B732="","",ORCAMENTOS!B732)</f>
        <v>722</v>
      </c>
      <c r="C724" s="46" t="str">
        <f>IF(ORCAMENTOS!C732="","",ORCAMENTOS!C732)</f>
        <v/>
      </c>
      <c r="D724" s="37" t="str">
        <f>IF(ORCAMENTOS!D732="","",ORCAMENTOS!D732)</f>
        <v>AMS INSTALACOES</v>
      </c>
      <c r="E724" s="38" t="str">
        <f>IF(ORCAMENTOS!E732="","",ORCAMENTOS!E732)</f>
        <v>FORT ATACADISTA - GRAVATAI</v>
      </c>
      <c r="F724" s="37" t="str">
        <f>IF(ORCAMENTOS!G732="","",ORCAMENTOS!G732)</f>
        <v>Gabriel</v>
      </c>
      <c r="G724" s="37" t="str">
        <f>IF(ORCAMENTOS!H732="","",ORCAMENTOS!H732)</f>
        <v>Renan</v>
      </c>
      <c r="H724" s="39">
        <f>IF(ORCAMENTOS!I732="","",ORCAMENTOS!I732)</f>
        <v>214054.53</v>
      </c>
      <c r="I724" s="60" t="str">
        <f>IF(ORCAMENTOS!J732="","",ORCAMENTOS!J732)</f>
        <v/>
      </c>
      <c r="J724" s="40" t="str">
        <f>IF(ORCAMENTOS!L732="","",ORCAMENTOS!L732)</f>
        <v>CANCELADO</v>
      </c>
      <c r="K724" s="34" t="str">
        <f>IF(ORCAMENTOS!M732="","",ORCAMENTOS!M732)</f>
        <v>-</v>
      </c>
      <c r="L724" t="str">
        <f>IF(ORCAMENTOS!R732="","",ORCAMENTOS!R732)</f>
        <v>-</v>
      </c>
    </row>
    <row r="725" spans="1:12" ht="15.75" hidden="1" customHeight="1" x14ac:dyDescent="0.25">
      <c r="A725" s="36">
        <f>IF(ORCAMENTOS!A733="","",ORCAMENTOS!A733)</f>
        <v>45782</v>
      </c>
      <c r="B725" s="46">
        <f>IF(ORCAMENTOS!B733="","",ORCAMENTOS!B733)</f>
        <v>723</v>
      </c>
      <c r="C725" s="46" t="str">
        <f>IF(ORCAMENTOS!C733="","",ORCAMENTOS!C733)</f>
        <v/>
      </c>
      <c r="D725" s="37" t="str">
        <f>IF(ORCAMENTOS!D733="","",ORCAMENTOS!D733)</f>
        <v>NEW AIR</v>
      </c>
      <c r="E725" s="38" t="str">
        <f>IF(ORCAMENTOS!E733="","",ORCAMENTOS!E733)</f>
        <v>-</v>
      </c>
      <c r="F725" s="37" t="str">
        <f>IF(ORCAMENTOS!G733="","",ORCAMENTOS!G733)</f>
        <v>Fernando</v>
      </c>
      <c r="G725" s="37" t="str">
        <f>IF(ORCAMENTOS!H733="","",ORCAMENTOS!H733)</f>
        <v>Igor</v>
      </c>
      <c r="H725" s="39">
        <f>IF(ORCAMENTOS!I733="","",ORCAMENTOS!I733)</f>
        <v>5915.29</v>
      </c>
      <c r="I725" s="60" t="str">
        <f>IF(ORCAMENTOS!J733="","",ORCAMENTOS!J733)</f>
        <v/>
      </c>
      <c r="J725" s="40" t="str">
        <f>IF(ORCAMENTOS!L733="","",ORCAMENTOS!L733)</f>
        <v>FECHADO</v>
      </c>
      <c r="K725" s="34" t="str">
        <f>IF(ORCAMENTOS!M733="","",ORCAMENTOS!M733)</f>
        <v>-</v>
      </c>
      <c r="L725" t="str">
        <f>IF(ORCAMENTOS!R733="","",ORCAMENTOS!R733)</f>
        <v>-</v>
      </c>
    </row>
    <row r="726" spans="1:12" ht="15.75" hidden="1" customHeight="1" x14ac:dyDescent="0.25">
      <c r="A726" s="36">
        <f>IF(ORCAMENTOS!A734="","",ORCAMENTOS!A734)</f>
        <v>45782</v>
      </c>
      <c r="B726" s="46">
        <f>IF(ORCAMENTOS!B734="","",ORCAMENTOS!B734)</f>
        <v>724</v>
      </c>
      <c r="C726" s="46" t="str">
        <f>IF(ORCAMENTOS!C734="","",ORCAMENTOS!C734)</f>
        <v/>
      </c>
      <c r="D726" s="37" t="str">
        <f>IF(ORCAMENTOS!D734="","",ORCAMENTOS!D734)</f>
        <v>M&amp;L SOLUCOES</v>
      </c>
      <c r="E726" s="38" t="str">
        <f>IF(ORCAMENTOS!E734="","",ORCAMENTOS!E734)</f>
        <v>-</v>
      </c>
      <c r="F726" s="37" t="str">
        <f>IF(ORCAMENTOS!G734="","",ORCAMENTOS!G734)</f>
        <v>Gabriel</v>
      </c>
      <c r="G726" s="37" t="str">
        <f>IF(ORCAMENTOS!H734="","",ORCAMENTOS!H734)</f>
        <v>Marcio</v>
      </c>
      <c r="H726" s="39">
        <f>IF(ORCAMENTOS!I734="","",ORCAMENTOS!I734)</f>
        <v>2079.15</v>
      </c>
      <c r="I726" s="60" t="str">
        <f>IF(ORCAMENTOS!J734="","",ORCAMENTOS!J734)</f>
        <v/>
      </c>
      <c r="J726" s="40" t="str">
        <f>IF(ORCAMENTOS!L734="","",ORCAMENTOS!L734)</f>
        <v>FECHADO</v>
      </c>
      <c r="K726" s="34" t="str">
        <f>IF(ORCAMENTOS!M734="","",ORCAMENTOS!M734)</f>
        <v>-</v>
      </c>
      <c r="L726" t="str">
        <f>IF(ORCAMENTOS!R734="","",ORCAMENTOS!R734)</f>
        <v>-</v>
      </c>
    </row>
    <row r="727" spans="1:12" ht="15.75" hidden="1" customHeight="1" x14ac:dyDescent="0.25">
      <c r="A727" s="36">
        <f>IF(ORCAMENTOS!A735="","",ORCAMENTOS!A735)</f>
        <v>45782</v>
      </c>
      <c r="B727" s="46">
        <f>IF(ORCAMENTOS!B735="","",ORCAMENTOS!B735)</f>
        <v>725</v>
      </c>
      <c r="C727" s="46" t="str">
        <f>IF(ORCAMENTOS!C735="","",ORCAMENTOS!C735)</f>
        <v/>
      </c>
      <c r="D727" s="37" t="str">
        <f>IF(ORCAMENTOS!D735="","",ORCAMENTOS!D735)</f>
        <v>SOLAR AR CONDICIONADO</v>
      </c>
      <c r="E727" s="38" t="str">
        <f>IF(ORCAMENTOS!E735="","",ORCAMENTOS!E735)</f>
        <v>BOSS IGUATEMI BOSQUE - FORTALEZA - CE</v>
      </c>
      <c r="F727" s="37" t="str">
        <f>IF(ORCAMENTOS!G735="","",ORCAMENTOS!G735)</f>
        <v>Michel</v>
      </c>
      <c r="G727" s="37" t="str">
        <f>IF(ORCAMENTOS!H735="","",ORCAMENTOS!H735)</f>
        <v>Welly</v>
      </c>
      <c r="H727" s="39">
        <f>IF(ORCAMENTOS!I735="","",ORCAMENTOS!I735)</f>
        <v>14781.54</v>
      </c>
      <c r="I727" s="60" t="str">
        <f>IF(ORCAMENTOS!J735="","",ORCAMENTOS!J735)</f>
        <v/>
      </c>
      <c r="J727" s="40" t="str">
        <f>IF(ORCAMENTOS!L735="","",ORCAMENTOS!L735)</f>
        <v>CANCELADO</v>
      </c>
      <c r="K727" s="34" t="str">
        <f>IF(ORCAMENTOS!M735="","",ORCAMENTOS!M735)</f>
        <v>-</v>
      </c>
      <c r="L727" t="str">
        <f>IF(ORCAMENTOS!R735="","",ORCAMENTOS!R735)</f>
        <v>-</v>
      </c>
    </row>
    <row r="728" spans="1:12" ht="15.75" hidden="1" customHeight="1" x14ac:dyDescent="0.25">
      <c r="A728" s="36">
        <f>IF(ORCAMENTOS!A736="","",ORCAMENTOS!A736)</f>
        <v>45782</v>
      </c>
      <c r="B728" s="46">
        <f>IF(ORCAMENTOS!B736="","",ORCAMENTOS!B736)</f>
        <v>726</v>
      </c>
      <c r="C728" s="46" t="str">
        <f>IF(ORCAMENTOS!C736="","",ORCAMENTOS!C736)</f>
        <v/>
      </c>
      <c r="D728" s="37" t="str">
        <f>IF(ORCAMENTOS!D736="","",ORCAMENTOS!D736)</f>
        <v>AR SET</v>
      </c>
      <c r="E728" s="38" t="str">
        <f>IF(ORCAMENTOS!E736="","",ORCAMENTOS!E736)</f>
        <v>MAJ MORENO MOVELARIA</v>
      </c>
      <c r="F728" s="37" t="str">
        <f>IF(ORCAMENTOS!G736="","",ORCAMENTOS!G736)</f>
        <v>Fernando</v>
      </c>
      <c r="G728" s="37" t="str">
        <f>IF(ORCAMENTOS!H736="","",ORCAMENTOS!H736)</f>
        <v>Danilo</v>
      </c>
      <c r="H728" s="39">
        <f>IF(ORCAMENTOS!I736="","",ORCAMENTOS!I736)</f>
        <v>3284.89</v>
      </c>
      <c r="I728" s="60" t="str">
        <f>IF(ORCAMENTOS!J736="","",ORCAMENTOS!J736)</f>
        <v/>
      </c>
      <c r="J728" s="40" t="str">
        <f>IF(ORCAMENTOS!L736="","",ORCAMENTOS!L736)</f>
        <v>FECHADO</v>
      </c>
      <c r="K728" s="34" t="str">
        <f>IF(ORCAMENTOS!M736="","",ORCAMENTOS!M736)</f>
        <v>-</v>
      </c>
      <c r="L728" t="str">
        <f>IF(ORCAMENTOS!R736="","",ORCAMENTOS!R736)</f>
        <v>-</v>
      </c>
    </row>
    <row r="729" spans="1:12" ht="15.75" hidden="1" customHeight="1" x14ac:dyDescent="0.25">
      <c r="A729" s="36">
        <f>IF(ORCAMENTOS!A737="","",ORCAMENTOS!A737)</f>
        <v>45782</v>
      </c>
      <c r="B729" s="46">
        <f>IF(ORCAMENTOS!B737="","",ORCAMENTOS!B737)</f>
        <v>727</v>
      </c>
      <c r="C729" s="46" t="str">
        <f>IF(ORCAMENTOS!C737="","",ORCAMENTOS!C737)</f>
        <v/>
      </c>
      <c r="D729" s="37" t="str">
        <f>IF(ORCAMENTOS!D737="","",ORCAMENTOS!D737)</f>
        <v>FL HVAC</v>
      </c>
      <c r="E729" s="38" t="str">
        <f>IF(ORCAMENTOS!E737="","",ORCAMENTOS!E737)</f>
        <v>CENTAURO - SHOPPING RIO PRETO</v>
      </c>
      <c r="F729" s="37" t="str">
        <f>IF(ORCAMENTOS!G737="","",ORCAMENTOS!G737)</f>
        <v>Guilherme</v>
      </c>
      <c r="G729" s="37" t="str">
        <f>IF(ORCAMENTOS!H737="","",ORCAMENTOS!H737)</f>
        <v>Filipe</v>
      </c>
      <c r="H729" s="39">
        <f>IF(ORCAMENTOS!I737="","",ORCAMENTOS!I737)</f>
        <v>77400.23</v>
      </c>
      <c r="I729" s="60" t="str">
        <f>IF(ORCAMENTOS!J737="","",ORCAMENTOS!J737)</f>
        <v/>
      </c>
      <c r="J729" s="40" t="str">
        <f>IF(ORCAMENTOS!L737="","",ORCAMENTOS!L737)</f>
        <v>CANCELADO</v>
      </c>
      <c r="K729" s="34" t="str">
        <f>IF(ORCAMENTOS!M737="","",ORCAMENTOS!M737)</f>
        <v>FECHADO PELA ECOLOGIC AIR</v>
      </c>
      <c r="L729" t="str">
        <f>IF(ORCAMENTOS!R737="","",ORCAMENTOS!R737)</f>
        <v>N/E</v>
      </c>
    </row>
    <row r="730" spans="1:12" ht="15.75" hidden="1" customHeight="1" x14ac:dyDescent="0.25">
      <c r="A730" s="36">
        <f>IF(ORCAMENTOS!A738="","",ORCAMENTOS!A738)</f>
        <v>45784</v>
      </c>
      <c r="B730" s="46">
        <f>IF(ORCAMENTOS!B738="","",ORCAMENTOS!B738)</f>
        <v>728</v>
      </c>
      <c r="C730" s="46" t="str">
        <f>IF(ORCAMENTOS!C738="","",ORCAMENTOS!C738)</f>
        <v/>
      </c>
      <c r="D730" s="37" t="str">
        <f>IF(ORCAMENTOS!D738="","",ORCAMENTOS!D738)</f>
        <v>AIR NET</v>
      </c>
      <c r="E730" s="38" t="str">
        <f>IF(ORCAMENTOS!E738="","",ORCAMENTOS!E738)</f>
        <v>SUPERMERCADO TAUSTE - TAUBATE - SP</v>
      </c>
      <c r="F730" s="37" t="str">
        <f>IF(ORCAMENTOS!G738="","",ORCAMENTOS!G738)</f>
        <v>Fernando</v>
      </c>
      <c r="G730" s="37" t="str">
        <f>IF(ORCAMENTOS!H738="","",ORCAMENTOS!H738)</f>
        <v>Dacio</v>
      </c>
      <c r="H730" s="39">
        <f>IF(ORCAMENTOS!I738="","",ORCAMENTOS!I738)</f>
        <v>337754.53</v>
      </c>
      <c r="I730" s="60" t="str">
        <f>IF(ORCAMENTOS!J738="","",ORCAMENTOS!J738)</f>
        <v/>
      </c>
      <c r="J730" s="40" t="str">
        <f>IF(ORCAMENTOS!L738="","",ORCAMENTOS!L738)</f>
        <v>FECHADO</v>
      </c>
      <c r="K730" s="34" t="str">
        <f>IF(ORCAMENTOS!M738="","",ORCAMENTOS!M738)</f>
        <v>-</v>
      </c>
      <c r="L730" t="str">
        <f>IF(ORCAMENTOS!R738="","",ORCAMENTOS!R738)</f>
        <v>CHAPA GALVANIZADA</v>
      </c>
    </row>
    <row r="731" spans="1:12" ht="15.75" hidden="1" customHeight="1" x14ac:dyDescent="0.25">
      <c r="A731" s="36">
        <f>IF(ORCAMENTOS!A739="","",ORCAMENTOS!A739)</f>
        <v>45784</v>
      </c>
      <c r="B731" s="46">
        <f>IF(ORCAMENTOS!B739="","",ORCAMENTOS!B739)</f>
        <v>729</v>
      </c>
      <c r="C731" s="46" t="str">
        <f>IF(ORCAMENTOS!C739="","",ORCAMENTOS!C739)</f>
        <v/>
      </c>
      <c r="D731" s="37" t="str">
        <f>IF(ORCAMENTOS!D739="","",ORCAMENTOS!D739)</f>
        <v>AR CLEAN</v>
      </c>
      <c r="E731" s="38" t="str">
        <f>IF(ORCAMENTOS!E739="","",ORCAMENTOS!E739)</f>
        <v>VIDEOLAR - INNOVA S.A - MANAUS / MA</v>
      </c>
      <c r="F731" s="37" t="str">
        <f>IF(ORCAMENTOS!G739="","",ORCAMENTOS!G739)</f>
        <v xml:space="preserve">Aldavir </v>
      </c>
      <c r="G731" s="37" t="str">
        <f>IF(ORCAMENTOS!H739="","",ORCAMENTOS!H739)</f>
        <v>Melanie</v>
      </c>
      <c r="H731" s="39">
        <f>IF(ORCAMENTOS!I739="","",ORCAMENTOS!I739)</f>
        <v>857822.11</v>
      </c>
      <c r="I731" s="60" t="str">
        <f>IF(ORCAMENTOS!J739="","",ORCAMENTOS!J739)</f>
        <v/>
      </c>
      <c r="J731" s="40" t="str">
        <f>IF(ORCAMENTOS!L739="","",ORCAMENTOS!L739)</f>
        <v>CANCELADO</v>
      </c>
      <c r="K731" s="34" t="str">
        <f>IF(ORCAMENTOS!M739="","",ORCAMENTOS!M739)</f>
        <v>DECLINARAM</v>
      </c>
      <c r="L731" t="str">
        <f>IF(ORCAMENTOS!R739="","",ORCAMENTOS!R739)</f>
        <v>-</v>
      </c>
    </row>
    <row r="732" spans="1:12" ht="15.75" hidden="1" customHeight="1" x14ac:dyDescent="0.25">
      <c r="A732" s="36">
        <f>IF(ORCAMENTOS!A740="","",ORCAMENTOS!A740)</f>
        <v>45784</v>
      </c>
      <c r="B732" s="46">
        <f>IF(ORCAMENTOS!B740="","",ORCAMENTOS!B740)</f>
        <v>730</v>
      </c>
      <c r="C732" s="46" t="str">
        <f>IF(ORCAMENTOS!C740="","",ORCAMENTOS!C740)</f>
        <v/>
      </c>
      <c r="D732" s="37" t="str">
        <f>IF(ORCAMENTOS!D740="","",ORCAMENTOS!D740)</f>
        <v>BEST CLIMA</v>
      </c>
      <c r="E732" s="38" t="str">
        <f>IF(ORCAMENTOS!E740="","",ORCAMENTOS!E740)</f>
        <v>VIDEOLAR - INNOVA S.A - MANAUS / MA</v>
      </c>
      <c r="F732" s="37" t="str">
        <f>IF(ORCAMENTOS!G740="","",ORCAMENTOS!G740)</f>
        <v xml:space="preserve">Aldavir </v>
      </c>
      <c r="G732" s="37" t="str">
        <f>IF(ORCAMENTOS!H740="","",ORCAMENTOS!H740)</f>
        <v>Lucas</v>
      </c>
      <c r="H732" s="39">
        <f>IF(ORCAMENTOS!I740="","",ORCAMENTOS!I740)</f>
        <v>857822.11</v>
      </c>
      <c r="I732" s="60" t="str">
        <f>IF(ORCAMENTOS!J740="","",ORCAMENTOS!J740)</f>
        <v/>
      </c>
      <c r="J732" s="40" t="str">
        <f>IF(ORCAMENTOS!L740="","",ORCAMENTOS!L740)</f>
        <v>CANCELADO</v>
      </c>
      <c r="K732" s="34" t="str">
        <f>IF(ORCAMENTOS!M740="","",ORCAMENTOS!M740)</f>
        <v/>
      </c>
      <c r="L732" t="str">
        <f>IF(ORCAMENTOS!R740="","",ORCAMENTOS!R740)</f>
        <v>-</v>
      </c>
    </row>
    <row r="733" spans="1:12" ht="15.75" hidden="1" customHeight="1" x14ac:dyDescent="0.25">
      <c r="A733" s="36">
        <f>IF(ORCAMENTOS!A741="","",ORCAMENTOS!A741)</f>
        <v>45782</v>
      </c>
      <c r="B733" s="46">
        <f>IF(ORCAMENTOS!B741="","",ORCAMENTOS!B741)</f>
        <v>731</v>
      </c>
      <c r="C733" s="46" t="str">
        <f>IF(ORCAMENTOS!C741="","",ORCAMENTOS!C741)</f>
        <v/>
      </c>
      <c r="D733" s="37" t="str">
        <f>IF(ORCAMENTOS!D741="","",ORCAMENTOS!D741)</f>
        <v>CONSTRUMAX</v>
      </c>
      <c r="E733" s="38" t="str">
        <f>IF(ORCAMENTOS!E741="","",ORCAMENTOS!E741)</f>
        <v>FMUSP - FARMACIA DOS IRC</v>
      </c>
      <c r="F733" s="37" t="str">
        <f>IF(ORCAMENTOS!G741="","",ORCAMENTOS!G741)</f>
        <v>Gabriel</v>
      </c>
      <c r="G733" s="37" t="str">
        <f>IF(ORCAMENTOS!H741="","",ORCAMENTOS!H741)</f>
        <v xml:space="preserve">Gustavo </v>
      </c>
      <c r="H733" s="39">
        <f>IF(ORCAMENTOS!I741="","",ORCAMENTOS!I741)</f>
        <v>47459.199999999997</v>
      </c>
      <c r="I733" s="60" t="str">
        <f>IF(ORCAMENTOS!J741="","",ORCAMENTOS!J741)</f>
        <v/>
      </c>
      <c r="J733" s="40" t="str">
        <f>IF(ORCAMENTOS!L741="","",ORCAMENTOS!L741)</f>
        <v>CANCELADO</v>
      </c>
      <c r="K733" s="34" t="str">
        <f>IF(ORCAMENTOS!M741="","",ORCAMENTOS!M741)</f>
        <v>-</v>
      </c>
      <c r="L733" t="str">
        <f>IF(ORCAMENTOS!R741="","",ORCAMENTOS!R741)</f>
        <v>-</v>
      </c>
    </row>
    <row r="734" spans="1:12" ht="15.75" hidden="1" customHeight="1" x14ac:dyDescent="0.25">
      <c r="A734" s="36">
        <f>IF(ORCAMENTOS!A742="","",ORCAMENTOS!A742)</f>
        <v>45782</v>
      </c>
      <c r="B734" s="46">
        <f>IF(ORCAMENTOS!B742="","",ORCAMENTOS!B742)</f>
        <v>732</v>
      </c>
      <c r="C734" s="46" t="str">
        <f>IF(ORCAMENTOS!C742="","",ORCAMENTOS!C742)</f>
        <v/>
      </c>
      <c r="D734" s="37" t="str">
        <f>IF(ORCAMENTOS!D742="","",ORCAMENTOS!D742)</f>
        <v>NEW AIR</v>
      </c>
      <c r="E734" s="38" t="str">
        <f>IF(ORCAMENTOS!E742="","",ORCAMENTOS!E742)</f>
        <v>-</v>
      </c>
      <c r="F734" s="37" t="str">
        <f>IF(ORCAMENTOS!G742="","",ORCAMENTOS!G742)</f>
        <v>Fernando</v>
      </c>
      <c r="G734" s="37" t="str">
        <f>IF(ORCAMENTOS!H742="","",ORCAMENTOS!H742)</f>
        <v>Igor</v>
      </c>
      <c r="H734" s="39">
        <f>IF(ORCAMENTOS!I742="","",ORCAMENTOS!I742)</f>
        <v>17219.3</v>
      </c>
      <c r="I734" s="60" t="str">
        <f>IF(ORCAMENTOS!J742="","",ORCAMENTOS!J742)</f>
        <v/>
      </c>
      <c r="J734" s="40" t="str">
        <f>IF(ORCAMENTOS!L742="","",ORCAMENTOS!L742)</f>
        <v>FECHADO</v>
      </c>
      <c r="K734" s="34" t="str">
        <f>IF(ORCAMENTOS!M742="","",ORCAMENTOS!M742)</f>
        <v>-</v>
      </c>
      <c r="L734" t="str">
        <f>IF(ORCAMENTOS!R742="","",ORCAMENTOS!R742)</f>
        <v>-</v>
      </c>
    </row>
    <row r="735" spans="1:12" ht="15.75" hidden="1" customHeight="1" x14ac:dyDescent="0.25">
      <c r="A735" s="36">
        <f>IF(ORCAMENTOS!A743="","",ORCAMENTOS!A743)</f>
        <v>45782</v>
      </c>
      <c r="B735" s="46">
        <f>IF(ORCAMENTOS!B743="","",ORCAMENTOS!B743)</f>
        <v>733</v>
      </c>
      <c r="C735" s="46" t="str">
        <f>IF(ORCAMENTOS!C743="","",ORCAMENTOS!C743)</f>
        <v/>
      </c>
      <c r="D735" s="37" t="str">
        <f>IF(ORCAMENTOS!D743="","",ORCAMENTOS!D743)</f>
        <v>AIRPLAN</v>
      </c>
      <c r="E735" s="38" t="str">
        <f>IF(ORCAMENTOS!E743="","",ORCAMENTOS!E743)</f>
        <v>Gaviões Carapicuiba</v>
      </c>
      <c r="F735" s="37" t="str">
        <f>IF(ORCAMENTOS!G743="","",ORCAMENTOS!G743)</f>
        <v>Gabriel</v>
      </c>
      <c r="G735" s="37" t="str">
        <f>IF(ORCAMENTOS!H743="","",ORCAMENTOS!H743)</f>
        <v>Henrique</v>
      </c>
      <c r="H735" s="39">
        <f>IF(ORCAMENTOS!I743="","",ORCAMENTOS!I743)</f>
        <v>4468.1000000000004</v>
      </c>
      <c r="I735" s="60" t="str">
        <f>IF(ORCAMENTOS!J743="","",ORCAMENTOS!J743)</f>
        <v/>
      </c>
      <c r="J735" s="40" t="str">
        <f>IF(ORCAMENTOS!L743="","",ORCAMENTOS!L743)</f>
        <v>CANCELADO</v>
      </c>
      <c r="K735" s="34" t="str">
        <f>IF(ORCAMENTOS!M743="","",ORCAMENTOS!M743)</f>
        <v>-</v>
      </c>
      <c r="L735" t="str">
        <f>IF(ORCAMENTOS!R743="","",ORCAMENTOS!R743)</f>
        <v>-</v>
      </c>
    </row>
    <row r="736" spans="1:12" ht="15.75" hidden="1" customHeight="1" x14ac:dyDescent="0.25">
      <c r="A736" s="36">
        <f>IF(ORCAMENTOS!A744="","",ORCAMENTOS!A744)</f>
        <v>45782</v>
      </c>
      <c r="B736" s="46">
        <f>IF(ORCAMENTOS!B744="","",ORCAMENTOS!B744)</f>
        <v>734</v>
      </c>
      <c r="C736" s="46" t="str">
        <f>IF(ORCAMENTOS!C744="","",ORCAMENTOS!C744)</f>
        <v/>
      </c>
      <c r="D736" s="37" t="str">
        <f>IF(ORCAMENTOS!D744="","",ORCAMENTOS!D744)</f>
        <v>BEST CLIMA</v>
      </c>
      <c r="E736" s="38" t="str">
        <f>IF(ORCAMENTOS!E744="","",ORCAMENTOS!E744)</f>
        <v>PQ. MIRANTE</v>
      </c>
      <c r="F736" s="37" t="str">
        <f>IF(ORCAMENTOS!G744="","",ORCAMENTOS!G744)</f>
        <v xml:space="preserve">Aldavir </v>
      </c>
      <c r="G736" s="37" t="str">
        <f>IF(ORCAMENTOS!H744="","",ORCAMENTOS!H744)</f>
        <v>Arion</v>
      </c>
      <c r="H736" s="39">
        <f>IF(ORCAMENTOS!I744="","",ORCAMENTOS!I744)</f>
        <v>3677.15</v>
      </c>
      <c r="I736" s="60" t="str">
        <f>IF(ORCAMENTOS!J744="","",ORCAMENTOS!J744)</f>
        <v/>
      </c>
      <c r="J736" s="40" t="str">
        <f>IF(ORCAMENTOS!L744="","",ORCAMENTOS!L744)</f>
        <v>FECHADO</v>
      </c>
      <c r="K736" s="34" t="str">
        <f>IF(ORCAMENTOS!M744="","",ORCAMENTOS!M744)</f>
        <v/>
      </c>
      <c r="L736" t="str">
        <f>IF(ORCAMENTOS!R744="","",ORCAMENTOS!R744)</f>
        <v>-</v>
      </c>
    </row>
    <row r="737" spans="1:12" ht="15.75" hidden="1" customHeight="1" x14ac:dyDescent="0.25">
      <c r="A737" s="36">
        <f>IF(ORCAMENTOS!A745="","",ORCAMENTOS!A745)</f>
        <v>45783</v>
      </c>
      <c r="B737" s="46">
        <f>IF(ORCAMENTOS!B745="","",ORCAMENTOS!B745)</f>
        <v>735</v>
      </c>
      <c r="C737" s="46" t="str">
        <f>IF(ORCAMENTOS!C745="","",ORCAMENTOS!C745)</f>
        <v/>
      </c>
      <c r="D737" s="37" t="str">
        <f>IF(ORCAMENTOS!D745="","",ORCAMENTOS!D745)</f>
        <v>TERMOCLIMA</v>
      </c>
      <c r="E737" s="38" t="str">
        <f>IF(ORCAMENTOS!E745="","",ORCAMENTOS!E745)</f>
        <v>ASSAI JACAREPAGUA - RIO DE JANEIRO - RJ</v>
      </c>
      <c r="F737" s="37" t="str">
        <f>IF(ORCAMENTOS!G745="","",ORCAMENTOS!G745)</f>
        <v>Gabriel</v>
      </c>
      <c r="G737" s="37" t="str">
        <f>IF(ORCAMENTOS!H745="","",ORCAMENTOS!H745)</f>
        <v>Pedro</v>
      </c>
      <c r="H737" s="39">
        <f>IF(ORCAMENTOS!I745="","",ORCAMENTOS!I745)</f>
        <v>54803.22</v>
      </c>
      <c r="I737" s="60" t="str">
        <f>IF(ORCAMENTOS!J745="","",ORCAMENTOS!J745)</f>
        <v/>
      </c>
      <c r="J737" s="40" t="str">
        <f>IF(ORCAMENTOS!L745="","",ORCAMENTOS!L745)</f>
        <v>CANCELADO</v>
      </c>
      <c r="K737" s="34" t="str">
        <f>IF(ORCAMENTOS!M745="","",ORCAMENTOS!M745)</f>
        <v>-</v>
      </c>
      <c r="L737" t="str">
        <f>IF(ORCAMENTOS!R745="","",ORCAMENTOS!R745)</f>
        <v>MPU</v>
      </c>
    </row>
    <row r="738" spans="1:12" ht="15.75" hidden="1" customHeight="1" x14ac:dyDescent="0.25">
      <c r="A738" s="36">
        <f>IF(ORCAMENTOS!A746="","",ORCAMENTOS!A746)</f>
        <v>45783</v>
      </c>
      <c r="B738" s="46">
        <f>IF(ORCAMENTOS!B746="","",ORCAMENTOS!B746)</f>
        <v>736</v>
      </c>
      <c r="C738" s="46" t="str">
        <f>IF(ORCAMENTOS!C746="","",ORCAMENTOS!C746)</f>
        <v/>
      </c>
      <c r="D738" s="37" t="str">
        <f>IF(ORCAMENTOS!D746="","",ORCAMENTOS!D746)</f>
        <v>ENGEMAC</v>
      </c>
      <c r="E738" s="38" t="str">
        <f>IF(ORCAMENTOS!E746="","",ORCAMENTOS!E746)</f>
        <v>WACKER JANDIRA - PERDIZES - SAO PAULO</v>
      </c>
      <c r="F738" s="37" t="str">
        <f>IF(ORCAMENTOS!G746="","",ORCAMENTOS!G746)</f>
        <v>Fernando</v>
      </c>
      <c r="G738" s="37" t="str">
        <f>IF(ORCAMENTOS!H746="","",ORCAMENTOS!H746)</f>
        <v>Edmilson</v>
      </c>
      <c r="H738" s="39">
        <f>IF(ORCAMENTOS!I746="","",ORCAMENTOS!I746)</f>
        <v>5939.09</v>
      </c>
      <c r="I738" s="60" t="str">
        <f>IF(ORCAMENTOS!J746="","",ORCAMENTOS!J746)</f>
        <v/>
      </c>
      <c r="J738" s="40" t="str">
        <f>IF(ORCAMENTOS!L746="","",ORCAMENTOS!L746)</f>
        <v>CANCELADO</v>
      </c>
      <c r="K738" s="34" t="str">
        <f>IF(ORCAMENTOS!M746="","",ORCAMENTOS!M746)</f>
        <v>-</v>
      </c>
      <c r="L738" t="str">
        <f>IF(ORCAMENTOS!R746="","",ORCAMENTOS!R746)</f>
        <v>-</v>
      </c>
    </row>
    <row r="739" spans="1:12" ht="15.75" hidden="1" customHeight="1" x14ac:dyDescent="0.25">
      <c r="A739" s="36">
        <f>IF(ORCAMENTOS!A747="","",ORCAMENTOS!A747)</f>
        <v>45783</v>
      </c>
      <c r="B739" s="46">
        <f>IF(ORCAMENTOS!B747="","",ORCAMENTOS!B747)</f>
        <v>737</v>
      </c>
      <c r="C739" s="46" t="str">
        <f>IF(ORCAMENTOS!C747="","",ORCAMENTOS!C747)</f>
        <v/>
      </c>
      <c r="D739" s="37" t="str">
        <f>IF(ORCAMENTOS!D747="","",ORCAMENTOS!D747)</f>
        <v>NEWSET</v>
      </c>
      <c r="E739" s="38" t="str">
        <f>IF(ORCAMENTOS!E747="","",ORCAMENTOS!E747)</f>
        <v>SMAR HAIR</v>
      </c>
      <c r="F739" s="37" t="str">
        <f>IF(ORCAMENTOS!G747="","",ORCAMENTOS!G747)</f>
        <v xml:space="preserve">Aldavir </v>
      </c>
      <c r="G739" s="37" t="str">
        <f>IF(ORCAMENTOS!H747="","",ORCAMENTOS!H747)</f>
        <v>Rodrigo</v>
      </c>
      <c r="H739" s="39">
        <f>IF(ORCAMENTOS!I747="","",ORCAMENTOS!I747)</f>
        <v>22615.35</v>
      </c>
      <c r="I739" s="60" t="str">
        <f>IF(ORCAMENTOS!J747="","",ORCAMENTOS!J747)</f>
        <v/>
      </c>
      <c r="J739" s="40" t="str">
        <f>IF(ORCAMENTOS!L747="","",ORCAMENTOS!L747)</f>
        <v>CANCELADO</v>
      </c>
      <c r="K739" s="34" t="str">
        <f>IF(ORCAMENTOS!M747="","",ORCAMENTOS!M747)</f>
        <v>-</v>
      </c>
      <c r="L739" t="str">
        <f>IF(ORCAMENTOS!R747="","",ORCAMENTOS!R747)</f>
        <v>-</v>
      </c>
    </row>
    <row r="740" spans="1:12" ht="15.75" hidden="1" customHeight="1" x14ac:dyDescent="0.25">
      <c r="A740" s="36">
        <f>IF(ORCAMENTOS!A748="","",ORCAMENTOS!A748)</f>
        <v>45783</v>
      </c>
      <c r="B740" s="46">
        <f>IF(ORCAMENTOS!B748="","",ORCAMENTOS!B748)</f>
        <v>738</v>
      </c>
      <c r="C740" s="46" t="str">
        <f>IF(ORCAMENTOS!C748="","",ORCAMENTOS!C748)</f>
        <v/>
      </c>
      <c r="D740" s="37" t="str">
        <f>IF(ORCAMENTOS!D748="","",ORCAMENTOS!D748)</f>
        <v>PROVIDE INSTALACOES</v>
      </c>
      <c r="E740" s="38" t="str">
        <f>IF(ORCAMENTOS!E748="","",ORCAMENTOS!E748)</f>
        <v>-</v>
      </c>
      <c r="F740" s="37" t="str">
        <f>IF(ORCAMENTOS!G748="","",ORCAMENTOS!G748)</f>
        <v>Guilherme</v>
      </c>
      <c r="G740" s="37" t="str">
        <f>IF(ORCAMENTOS!H748="","",ORCAMENTOS!H748)</f>
        <v>Macatake</v>
      </c>
      <c r="H740" s="39">
        <f>IF(ORCAMENTOS!I748="","",ORCAMENTOS!I748)</f>
        <v>22828.240000000002</v>
      </c>
      <c r="I740" s="60" t="str">
        <f>IF(ORCAMENTOS!J748="","",ORCAMENTOS!J748)</f>
        <v/>
      </c>
      <c r="J740" s="40" t="str">
        <f>IF(ORCAMENTOS!L748="","",ORCAMENTOS!L748)</f>
        <v>CANCELADO</v>
      </c>
      <c r="K740" s="34" t="str">
        <f>IF(ORCAMENTOS!M748="","",ORCAMENTOS!M748)</f>
        <v>-</v>
      </c>
      <c r="L740" t="str">
        <f>IF(ORCAMENTOS!R748="","",ORCAMENTOS!R748)</f>
        <v>-</v>
      </c>
    </row>
    <row r="741" spans="1:12" ht="15.75" hidden="1" customHeight="1" x14ac:dyDescent="0.25">
      <c r="A741" s="36">
        <f>IF(ORCAMENTOS!A749="","",ORCAMENTOS!A749)</f>
        <v>45783</v>
      </c>
      <c r="B741" s="46">
        <f>IF(ORCAMENTOS!B749="","",ORCAMENTOS!B749)</f>
        <v>739</v>
      </c>
      <c r="C741" s="46" t="str">
        <f>IF(ORCAMENTOS!C749="","",ORCAMENTOS!C749)</f>
        <v/>
      </c>
      <c r="D741" s="37" t="str">
        <f>IF(ORCAMENTOS!D749="","",ORCAMENTOS!D749)</f>
        <v>NOSSO AR</v>
      </c>
      <c r="E741" s="38" t="str">
        <f>IF(ORCAMENTOS!E749="","",ORCAMENTOS!E749)</f>
        <v>RD - ITUPEVA</v>
      </c>
      <c r="F741" s="37" t="str">
        <f>IF(ORCAMENTOS!G749="","",ORCAMENTOS!G749)</f>
        <v>Gabriel</v>
      </c>
      <c r="G741" s="37" t="str">
        <f>IF(ORCAMENTOS!H749="","",ORCAMENTOS!H749)</f>
        <v>Lincoln</v>
      </c>
      <c r="H741" s="39">
        <f>IF(ORCAMENTOS!I749="","",ORCAMENTOS!I749)</f>
        <v>597302.63</v>
      </c>
      <c r="I741" s="60" t="str">
        <f>IF(ORCAMENTOS!J749="","",ORCAMENTOS!J749)</f>
        <v/>
      </c>
      <c r="J741" s="40" t="str">
        <f>IF(ORCAMENTOS!L749="","",ORCAMENTOS!L749)</f>
        <v>CANCELADO</v>
      </c>
      <c r="K741" s="34" t="str">
        <f>IF(ORCAMENTOS!M749="","",ORCAMENTOS!M749)</f>
        <v>-</v>
      </c>
      <c r="L741" t="str">
        <f>IF(ORCAMENTOS!R749="","",ORCAMENTOS!R749)</f>
        <v>MPU</v>
      </c>
    </row>
    <row r="742" spans="1:12" ht="15.75" hidden="1" customHeight="1" x14ac:dyDescent="0.25">
      <c r="A742" s="36">
        <f>IF(ORCAMENTOS!A750="","",ORCAMENTOS!A750)</f>
        <v>45783</v>
      </c>
      <c r="B742" s="46">
        <f>IF(ORCAMENTOS!B750="","",ORCAMENTOS!B750)</f>
        <v>740</v>
      </c>
      <c r="C742" s="46" t="str">
        <f>IF(ORCAMENTOS!C750="","",ORCAMENTOS!C750)</f>
        <v/>
      </c>
      <c r="D742" s="37" t="str">
        <f>IF(ORCAMENTOS!D750="","",ORCAMENTOS!D750)</f>
        <v>RM3 ENGENHARIA</v>
      </c>
      <c r="E742" s="38" t="str">
        <f>IF(ORCAMENTOS!E750="","",ORCAMENTOS!E750)</f>
        <v>SUPERMERCADO PAGUE MENOS - HORTOLANDIA - SANTA ISABEL</v>
      </c>
      <c r="F742" s="37" t="str">
        <f>IF(ORCAMENTOS!G750="","",ORCAMENTOS!G750)</f>
        <v>Guilherme</v>
      </c>
      <c r="G742" s="37" t="str">
        <f>IF(ORCAMENTOS!H750="","",ORCAMENTOS!H750)</f>
        <v>Diego</v>
      </c>
      <c r="H742" s="39">
        <f>IF(ORCAMENTOS!I750="","",ORCAMENTOS!I750)</f>
        <v>98779.86</v>
      </c>
      <c r="I742" s="60" t="str">
        <f>IF(ORCAMENTOS!J750="","",ORCAMENTOS!J750)</f>
        <v/>
      </c>
      <c r="J742" s="40" t="str">
        <f>IF(ORCAMENTOS!L750="","",ORCAMENTOS!L750)</f>
        <v>FECHADO</v>
      </c>
      <c r="K742" s="34" t="str">
        <f>IF(ORCAMENTOS!M750="","",ORCAMENTOS!M750)</f>
        <v>-</v>
      </c>
      <c r="L742" t="str">
        <f>IF(ORCAMENTOS!R750="","",ORCAMENTOS!R750)</f>
        <v>-</v>
      </c>
    </row>
    <row r="743" spans="1:12" ht="15.75" hidden="1" customHeight="1" x14ac:dyDescent="0.25">
      <c r="A743" s="36">
        <f>IF(ORCAMENTOS!A751="","",ORCAMENTOS!A751)</f>
        <v>45784</v>
      </c>
      <c r="B743" s="46">
        <f>IF(ORCAMENTOS!B751="","",ORCAMENTOS!B751)</f>
        <v>741</v>
      </c>
      <c r="C743" s="46" t="str">
        <f>IF(ORCAMENTOS!C751="","",ORCAMENTOS!C751)</f>
        <v/>
      </c>
      <c r="D743" s="37" t="str">
        <f>IF(ORCAMENTOS!D751="","",ORCAMENTOS!D751)</f>
        <v>SAMPAIO E MOURA</v>
      </c>
      <c r="E743" s="38" t="str">
        <f>IF(ORCAMENTOS!E751="","",ORCAMENTOS!E751)</f>
        <v>APARTAMENTO ARBOREA - SÃO PAULO - SP</v>
      </c>
      <c r="F743" s="37" t="str">
        <f>IF(ORCAMENTOS!G751="","",ORCAMENTOS!G751)</f>
        <v>Emanuel</v>
      </c>
      <c r="G743" s="37" t="str">
        <f>IF(ORCAMENTOS!H751="","",ORCAMENTOS!H751)</f>
        <v>Livia</v>
      </c>
      <c r="H743" s="39">
        <f>IF(ORCAMENTOS!I751="","",ORCAMENTOS!I751)</f>
        <v>14913.02</v>
      </c>
      <c r="I743" s="60" t="str">
        <f>IF(ORCAMENTOS!J751="","",ORCAMENTOS!J751)</f>
        <v/>
      </c>
      <c r="J743" s="40" t="str">
        <f>IF(ORCAMENTOS!L751="","",ORCAMENTOS!L751)</f>
        <v>FECHADO</v>
      </c>
      <c r="K743" s="34" t="str">
        <f>IF(ORCAMENTOS!M751="","",ORCAMENTOS!M751)</f>
        <v>AGUARDANDO PEDIDO</v>
      </c>
      <c r="L743" t="str">
        <f>IF(ORCAMENTOS!R751="","",ORCAMENTOS!R751)</f>
        <v>N/E</v>
      </c>
    </row>
    <row r="744" spans="1:12" ht="15.75" hidden="1" customHeight="1" x14ac:dyDescent="0.25">
      <c r="A744" s="36">
        <f>IF(ORCAMENTOS!A752="","",ORCAMENTOS!A752)</f>
        <v>45784</v>
      </c>
      <c r="B744" s="46">
        <f>IF(ORCAMENTOS!B752="","",ORCAMENTOS!B752)</f>
        <v>742</v>
      </c>
      <c r="C744" s="46" t="str">
        <f>IF(ORCAMENTOS!C752="","",ORCAMENTOS!C752)</f>
        <v/>
      </c>
      <c r="D744" s="37" t="str">
        <f>IF(ORCAMENTOS!D752="","",ORCAMENTOS!D752)</f>
        <v>INOVECTOR</v>
      </c>
      <c r="E744" s="38" t="str">
        <f>IF(ORCAMENTOS!E752="","",ORCAMENTOS!E752)</f>
        <v>HOSP. NOVA ATIBAIA_NEFROLOGIA</v>
      </c>
      <c r="F744" s="37" t="str">
        <f>IF(ORCAMENTOS!G752="","",ORCAMENTOS!G752)</f>
        <v>Fernando</v>
      </c>
      <c r="G744" s="37" t="str">
        <f>IF(ORCAMENTOS!H752="","",ORCAMENTOS!H752)</f>
        <v>Eliete</v>
      </c>
      <c r="H744" s="39">
        <f>IF(ORCAMENTOS!I752="","",ORCAMENTOS!I752)</f>
        <v>1449.22</v>
      </c>
      <c r="I744" s="60" t="str">
        <f>IF(ORCAMENTOS!J752="","",ORCAMENTOS!J752)</f>
        <v/>
      </c>
      <c r="J744" s="40" t="str">
        <f>IF(ORCAMENTOS!L752="","",ORCAMENTOS!L752)</f>
        <v>CANCELADO</v>
      </c>
      <c r="K744" s="34" t="str">
        <f>IF(ORCAMENTOS!M752="","",ORCAMENTOS!M752)</f>
        <v>-</v>
      </c>
      <c r="L744" t="str">
        <f>IF(ORCAMENTOS!R752="","",ORCAMENTOS!R752)</f>
        <v>-</v>
      </c>
    </row>
    <row r="745" spans="1:12" ht="15.75" hidden="1" customHeight="1" x14ac:dyDescent="0.25">
      <c r="A745" s="36">
        <f>IF(ORCAMENTOS!A753="","",ORCAMENTOS!A753)</f>
        <v>45784</v>
      </c>
      <c r="B745" s="46">
        <f>IF(ORCAMENTOS!B753="","",ORCAMENTOS!B753)</f>
        <v>743</v>
      </c>
      <c r="C745" s="46" t="str">
        <f>IF(ORCAMENTOS!C753="","",ORCAMENTOS!C753)</f>
        <v/>
      </c>
      <c r="D745" s="37" t="str">
        <f>IF(ORCAMENTOS!D753="","",ORCAMENTOS!D753)</f>
        <v>PU DUTOS</v>
      </c>
      <c r="E745" s="38" t="str">
        <f>IF(ORCAMENTOS!E753="","",ORCAMENTOS!E753)</f>
        <v>HOSPITAL DE URGENCIA - SAO BERNARDO DO CAMPO</v>
      </c>
      <c r="F745" s="37" t="str">
        <f>IF(ORCAMENTOS!G753="","",ORCAMENTOS!G753)</f>
        <v>Gabriel</v>
      </c>
      <c r="G745" s="37" t="str">
        <f>IF(ORCAMENTOS!H753="","",ORCAMENTOS!H753)</f>
        <v>Thiago</v>
      </c>
      <c r="H745" s="39">
        <f>IF(ORCAMENTOS!I753="","",ORCAMENTOS!I753)</f>
        <v>7303.35</v>
      </c>
      <c r="I745" s="60" t="str">
        <f>IF(ORCAMENTOS!J753="","",ORCAMENTOS!J753)</f>
        <v/>
      </c>
      <c r="J745" s="40" t="str">
        <f>IF(ORCAMENTOS!L753="","",ORCAMENTOS!L753)</f>
        <v>CANCELADO</v>
      </c>
      <c r="K745" s="34" t="str">
        <f>IF(ORCAMENTOS!M753="","",ORCAMENTOS!M753)</f>
        <v>-</v>
      </c>
      <c r="L745" t="str">
        <f>IF(ORCAMENTOS!R753="","",ORCAMENTOS!R753)</f>
        <v>-</v>
      </c>
    </row>
    <row r="746" spans="1:12" ht="15.75" hidden="1" customHeight="1" x14ac:dyDescent="0.25">
      <c r="A746" s="36">
        <f>IF(ORCAMENTOS!A754="","",ORCAMENTOS!A754)</f>
        <v>45784</v>
      </c>
      <c r="B746" s="46">
        <f>IF(ORCAMENTOS!B754="","",ORCAMENTOS!B754)</f>
        <v>744</v>
      </c>
      <c r="C746" s="46" t="str">
        <f>IF(ORCAMENTOS!C754="","",ORCAMENTOS!C754)</f>
        <v/>
      </c>
      <c r="D746" s="37" t="str">
        <f>IF(ORCAMENTOS!D754="","",ORCAMENTOS!D754)</f>
        <v>PU DUTOS</v>
      </c>
      <c r="E746" s="38" t="str">
        <f>IF(ORCAMENTOS!E754="","",ORCAMENTOS!E754)</f>
        <v>SERGIO K - L36B - BLOCO 08</v>
      </c>
      <c r="F746" s="37" t="str">
        <f>IF(ORCAMENTOS!G754="","",ORCAMENTOS!G754)</f>
        <v>Gabriel</v>
      </c>
      <c r="G746" s="37" t="str">
        <f>IF(ORCAMENTOS!H754="","",ORCAMENTOS!H754)</f>
        <v>Thiago</v>
      </c>
      <c r="H746" s="39">
        <f>IF(ORCAMENTOS!I754="","",ORCAMENTOS!I754)</f>
        <v>10093.48</v>
      </c>
      <c r="I746" s="60" t="str">
        <f>IF(ORCAMENTOS!J754="","",ORCAMENTOS!J754)</f>
        <v/>
      </c>
      <c r="J746" s="40" t="str">
        <f>IF(ORCAMENTOS!L754="","",ORCAMENTOS!L754)</f>
        <v>CANCELADO</v>
      </c>
      <c r="K746" s="34" t="str">
        <f>IF(ORCAMENTOS!M754="","",ORCAMENTOS!M754)</f>
        <v>-</v>
      </c>
      <c r="L746" t="str">
        <f>IF(ORCAMENTOS!R754="","",ORCAMENTOS!R754)</f>
        <v>N/E</v>
      </c>
    </row>
    <row r="747" spans="1:12" ht="15.75" hidden="1" customHeight="1" x14ac:dyDescent="0.25">
      <c r="A747" s="36">
        <f>IF(ORCAMENTOS!A755="","",ORCAMENTOS!A755)</f>
        <v>45784</v>
      </c>
      <c r="B747" s="46">
        <f>IF(ORCAMENTOS!B755="","",ORCAMENTOS!B755)</f>
        <v>745</v>
      </c>
      <c r="C747" s="46" t="str">
        <f>IF(ORCAMENTOS!C755="","",ORCAMENTOS!C755)</f>
        <v/>
      </c>
      <c r="D747" s="37" t="str">
        <f>IF(ORCAMENTOS!D755="","",ORCAMENTOS!D755)</f>
        <v>COLD CONTROL</v>
      </c>
      <c r="E747" s="38" t="str">
        <f>IF(ORCAMENTOS!E755="","",ORCAMENTOS!E755)</f>
        <v>HOSPITAL GRAAC - QUIMIOTERAPIA - SP</v>
      </c>
      <c r="F747" s="37" t="str">
        <f>IF(ORCAMENTOS!G755="","",ORCAMENTOS!G755)</f>
        <v>Emanuel</v>
      </c>
      <c r="G747" s="37" t="str">
        <f>IF(ORCAMENTOS!H755="","",ORCAMENTOS!H755)</f>
        <v>Clovis</v>
      </c>
      <c r="H747" s="39">
        <f>IF(ORCAMENTOS!I755="","",ORCAMENTOS!I755)</f>
        <v>24060.02</v>
      </c>
      <c r="I747" s="60" t="str">
        <f>IF(ORCAMENTOS!J755="","",ORCAMENTOS!J755)</f>
        <v/>
      </c>
      <c r="J747" s="40" t="str">
        <f>IF(ORCAMENTOS!L755="","",ORCAMENTOS!L755)</f>
        <v>CANCELADO</v>
      </c>
      <c r="K747" s="34" t="str">
        <f>IF(ORCAMENTOS!M755="","",ORCAMENTOS!M755)</f>
        <v>-</v>
      </c>
      <c r="L747" t="str">
        <f>IF(ORCAMENTOS!R755="","",ORCAMENTOS!R755)</f>
        <v>N/E</v>
      </c>
    </row>
    <row r="748" spans="1:12" ht="15.75" hidden="1" customHeight="1" x14ac:dyDescent="0.25">
      <c r="A748" s="36">
        <f>IF(ORCAMENTOS!A756="","",ORCAMENTOS!A756)</f>
        <v>45784</v>
      </c>
      <c r="B748" s="46">
        <f>IF(ORCAMENTOS!B756="","",ORCAMENTOS!B756)</f>
        <v>746</v>
      </c>
      <c r="C748" s="46" t="str">
        <f>IF(ORCAMENTOS!C756="","",ORCAMENTOS!C756)</f>
        <v/>
      </c>
      <c r="D748" s="37" t="str">
        <f>IF(ORCAMENTOS!D756="","",ORCAMENTOS!D756)</f>
        <v>FIDELISAR</v>
      </c>
      <c r="E748" s="38" t="str">
        <f>IF(ORCAMENTOS!E756="","",ORCAMENTOS!E756)</f>
        <v>-</v>
      </c>
      <c r="F748" s="37" t="str">
        <f>IF(ORCAMENTOS!G756="","",ORCAMENTOS!G756)</f>
        <v>Gabriel</v>
      </c>
      <c r="G748" s="37" t="str">
        <f>IF(ORCAMENTOS!H756="","",ORCAMENTOS!H756)</f>
        <v>Edson</v>
      </c>
      <c r="H748" s="39">
        <f>IF(ORCAMENTOS!I756="","",ORCAMENTOS!I756)</f>
        <v>102986.36</v>
      </c>
      <c r="I748" s="60" t="str">
        <f>IF(ORCAMENTOS!J756="","",ORCAMENTOS!J756)</f>
        <v/>
      </c>
      <c r="J748" s="40" t="str">
        <f>IF(ORCAMENTOS!L756="","",ORCAMENTOS!L756)</f>
        <v>CANCELADO</v>
      </c>
      <c r="K748" s="34" t="str">
        <f>IF(ORCAMENTOS!M756="","",ORCAMENTOS!M756)</f>
        <v>AGUARDANDO PEDIDO</v>
      </c>
      <c r="L748" t="str">
        <f>IF(ORCAMENTOS!R756="","",ORCAMENTOS!R756)</f>
        <v>-</v>
      </c>
    </row>
    <row r="749" spans="1:12" ht="15.75" hidden="1" customHeight="1" x14ac:dyDescent="0.25">
      <c r="A749" s="36">
        <f>IF(ORCAMENTOS!A757="","",ORCAMENTOS!A757)</f>
        <v>45784</v>
      </c>
      <c r="B749" s="46">
        <f>IF(ORCAMENTOS!B757="","",ORCAMENTOS!B757)</f>
        <v>747</v>
      </c>
      <c r="C749" s="46" t="str">
        <f>IF(ORCAMENTOS!C757="","",ORCAMENTOS!C757)</f>
        <v/>
      </c>
      <c r="D749" s="37" t="str">
        <f>IF(ORCAMENTOS!D757="","",ORCAMENTOS!D757)</f>
        <v>ACSISTEM</v>
      </c>
      <c r="E749" s="38" t="str">
        <f>IF(ORCAMENTOS!E757="","",ORCAMENTOS!E757)</f>
        <v>NOVO CD MT - GRUPO SANTA CRUZ</v>
      </c>
      <c r="F749" s="37" t="str">
        <f>IF(ORCAMENTOS!G757="","",ORCAMENTOS!G757)</f>
        <v>Emanuel</v>
      </c>
      <c r="G749" s="37" t="str">
        <f>IF(ORCAMENTOS!H757="","",ORCAMENTOS!H757)</f>
        <v>David</v>
      </c>
      <c r="H749" s="39">
        <f>IF(ORCAMENTOS!I757="","",ORCAMENTOS!I757)</f>
        <v>1359159.48</v>
      </c>
      <c r="I749" s="60" t="str">
        <f>IF(ORCAMENTOS!J757="","",ORCAMENTOS!J757)</f>
        <v/>
      </c>
      <c r="J749" s="40" t="str">
        <f>IF(ORCAMENTOS!L757="","",ORCAMENTOS!L757)</f>
        <v>CANCELADO</v>
      </c>
      <c r="K749" s="34" t="str">
        <f>IF(ORCAMENTOS!M757="","",ORCAMENTOS!M757)</f>
        <v>-</v>
      </c>
      <c r="L749" t="str">
        <f>IF(ORCAMENTOS!R757="","",ORCAMENTOS!R757)</f>
        <v>-</v>
      </c>
    </row>
    <row r="750" spans="1:12" ht="15.75" hidden="1" customHeight="1" x14ac:dyDescent="0.25">
      <c r="A750" s="36">
        <f>IF(ORCAMENTOS!A758="","",ORCAMENTOS!A758)</f>
        <v>45784</v>
      </c>
      <c r="B750" s="46">
        <f>IF(ORCAMENTOS!B758="","",ORCAMENTOS!B758)</f>
        <v>748</v>
      </c>
      <c r="C750" s="46" t="str">
        <f>IF(ORCAMENTOS!C758="","",ORCAMENTOS!C758)</f>
        <v/>
      </c>
      <c r="D750" s="37" t="str">
        <f>IF(ORCAMENTOS!D758="","",ORCAMENTOS!D758)</f>
        <v>THERMOCENTER</v>
      </c>
      <c r="E750" s="38" t="str">
        <f>IF(ORCAMENTOS!E758="","",ORCAMENTOS!E758)</f>
        <v>HOSPITAL UNIMED - UNIDADE ANHANGUERA - JUNDIAI - SP</v>
      </c>
      <c r="F750" s="37" t="str">
        <f>IF(ORCAMENTOS!G758="","",ORCAMENTOS!G758)</f>
        <v>Fernando</v>
      </c>
      <c r="G750" s="37" t="str">
        <f>IF(ORCAMENTOS!H758="","",ORCAMENTOS!H758)</f>
        <v>Silvana</v>
      </c>
      <c r="H750" s="39">
        <f>IF(ORCAMENTOS!I758="","",ORCAMENTOS!I758)</f>
        <v>45422.73</v>
      </c>
      <c r="I750" s="60" t="str">
        <f>IF(ORCAMENTOS!J758="","",ORCAMENTOS!J758)</f>
        <v/>
      </c>
      <c r="J750" s="40" t="str">
        <f>IF(ORCAMENTOS!L758="","",ORCAMENTOS!L758)</f>
        <v>CANCELADO</v>
      </c>
      <c r="K750" s="34" t="str">
        <f>IF(ORCAMENTOS!M758="","",ORCAMENTOS!M758)</f>
        <v>-</v>
      </c>
      <c r="L750" t="str">
        <f>IF(ORCAMENTOS!R758="","",ORCAMENTOS!R758)</f>
        <v>-</v>
      </c>
    </row>
    <row r="751" spans="1:12" ht="15.75" hidden="1" customHeight="1" x14ac:dyDescent="0.25">
      <c r="A751" s="36">
        <f>IF(ORCAMENTOS!A759="","",ORCAMENTOS!A759)</f>
        <v>45784</v>
      </c>
      <c r="B751" s="46">
        <f>IF(ORCAMENTOS!B759="","",ORCAMENTOS!B759)</f>
        <v>749</v>
      </c>
      <c r="C751" s="46" t="str">
        <f>IF(ORCAMENTOS!C759="","",ORCAMENTOS!C759)</f>
        <v/>
      </c>
      <c r="D751" s="37" t="str">
        <f>IF(ORCAMENTOS!D759="","",ORCAMENTOS!D759)</f>
        <v>ENERGY AIR</v>
      </c>
      <c r="E751" s="38" t="str">
        <f>IF(ORCAMENTOS!E759="","",ORCAMENTOS!E759)</f>
        <v>-</v>
      </c>
      <c r="F751" s="37" t="str">
        <f>IF(ORCAMENTOS!G759="","",ORCAMENTOS!G759)</f>
        <v xml:space="preserve">Aldavir </v>
      </c>
      <c r="G751" s="37" t="str">
        <f>IF(ORCAMENTOS!H759="","",ORCAMENTOS!H759)</f>
        <v>Carlos</v>
      </c>
      <c r="H751" s="39">
        <f>IF(ORCAMENTOS!I759="","",ORCAMENTOS!I759)</f>
        <v>547.96</v>
      </c>
      <c r="I751" s="60" t="str">
        <f>IF(ORCAMENTOS!J759="","",ORCAMENTOS!J759)</f>
        <v/>
      </c>
      <c r="J751" s="40" t="str">
        <f>IF(ORCAMENTOS!L759="","",ORCAMENTOS!L759)</f>
        <v>FECHADO</v>
      </c>
      <c r="K751" s="34" t="str">
        <f>IF(ORCAMENTOS!M759="","",ORCAMENTOS!M759)</f>
        <v/>
      </c>
      <c r="L751" t="str">
        <f>IF(ORCAMENTOS!R759="","",ORCAMENTOS!R759)</f>
        <v>-</v>
      </c>
    </row>
    <row r="752" spans="1:12" ht="15.75" hidden="1" customHeight="1" x14ac:dyDescent="0.25">
      <c r="A752" s="36">
        <f>IF(ORCAMENTOS!A760="","",ORCAMENTOS!A760)</f>
        <v>45784</v>
      </c>
      <c r="B752" s="46">
        <f>IF(ORCAMENTOS!B760="","",ORCAMENTOS!B760)</f>
        <v>750</v>
      </c>
      <c r="C752" s="46" t="str">
        <f>IF(ORCAMENTOS!C760="","",ORCAMENTOS!C760)</f>
        <v/>
      </c>
      <c r="D752" s="37" t="str">
        <f>IF(ORCAMENTOS!D760="","",ORCAMENTOS!D760)</f>
        <v>INOVACAO AR</v>
      </c>
      <c r="E752" s="38" t="str">
        <f>IF(ORCAMENTOS!E760="","",ORCAMENTOS!E760)</f>
        <v>-</v>
      </c>
      <c r="F752" s="37" t="str">
        <f>IF(ORCAMENTOS!G760="","",ORCAMENTOS!G760)</f>
        <v>Gabriel</v>
      </c>
      <c r="G752" s="37" t="str">
        <f>IF(ORCAMENTOS!H760="","",ORCAMENTOS!H760)</f>
        <v>Rosania</v>
      </c>
      <c r="H752" s="39">
        <f>IF(ORCAMENTOS!I760="","",ORCAMENTOS!I760)</f>
        <v>698.9</v>
      </c>
      <c r="I752" s="60" t="str">
        <f>IF(ORCAMENTOS!J760="","",ORCAMENTOS!J760)</f>
        <v/>
      </c>
      <c r="J752" s="40" t="str">
        <f>IF(ORCAMENTOS!L760="","",ORCAMENTOS!L760)</f>
        <v>FECHADO</v>
      </c>
      <c r="K752" s="34" t="str">
        <f>IF(ORCAMENTOS!M760="","",ORCAMENTOS!M760)</f>
        <v>-</v>
      </c>
      <c r="L752" t="str">
        <f>IF(ORCAMENTOS!R760="","",ORCAMENTOS!R760)</f>
        <v>-</v>
      </c>
    </row>
    <row r="753" spans="1:12" ht="15.75" hidden="1" customHeight="1" x14ac:dyDescent="0.25">
      <c r="A753" s="36">
        <f>IF(ORCAMENTOS!A761="","",ORCAMENTOS!A761)</f>
        <v>45784</v>
      </c>
      <c r="B753" s="46">
        <f>IF(ORCAMENTOS!B761="","",ORCAMENTOS!B761)</f>
        <v>751</v>
      </c>
      <c r="C753" s="46" t="str">
        <f>IF(ORCAMENTOS!C761="","",ORCAMENTOS!C761)</f>
        <v/>
      </c>
      <c r="D753" s="37" t="str">
        <f>IF(ORCAMENTOS!D761="","",ORCAMENTOS!D761)</f>
        <v>TECNO AIR</v>
      </c>
      <c r="E753" s="38" t="str">
        <f>IF(ORCAMENTOS!E761="","",ORCAMENTOS!E761)</f>
        <v>-</v>
      </c>
      <c r="F753" s="37" t="str">
        <f>IF(ORCAMENTOS!G761="","",ORCAMENTOS!G761)</f>
        <v>Emanuel</v>
      </c>
      <c r="G753" s="37" t="str">
        <f>IF(ORCAMENTOS!H761="","",ORCAMENTOS!H761)</f>
        <v>Sidnei</v>
      </c>
      <c r="H753" s="39">
        <f>IF(ORCAMENTOS!I761="","",ORCAMENTOS!I761)</f>
        <v>2184.7800000000002</v>
      </c>
      <c r="I753" s="60" t="str">
        <f>IF(ORCAMENTOS!J761="","",ORCAMENTOS!J761)</f>
        <v/>
      </c>
      <c r="J753" s="40" t="str">
        <f>IF(ORCAMENTOS!L761="","",ORCAMENTOS!L761)</f>
        <v>CANCELADO</v>
      </c>
      <c r="K753" s="34" t="str">
        <f>IF(ORCAMENTOS!M761="","",ORCAMENTOS!M761)</f>
        <v>-</v>
      </c>
      <c r="L753" t="str">
        <f>IF(ORCAMENTOS!R761="","",ORCAMENTOS!R761)</f>
        <v>-</v>
      </c>
    </row>
    <row r="754" spans="1:12" ht="15.75" hidden="1" customHeight="1" x14ac:dyDescent="0.25">
      <c r="A754" s="36">
        <f>IF(ORCAMENTOS!A762="","",ORCAMENTOS!A762)</f>
        <v>45784</v>
      </c>
      <c r="B754" s="46">
        <f>IF(ORCAMENTOS!B762="","",ORCAMENTOS!B762)</f>
        <v>752</v>
      </c>
      <c r="C754" s="46" t="str">
        <f>IF(ORCAMENTOS!C762="","",ORCAMENTOS!C762)</f>
        <v/>
      </c>
      <c r="D754" s="37" t="str">
        <f>IF(ORCAMENTOS!D762="","",ORCAMENTOS!D762)</f>
        <v>PRINSTARC</v>
      </c>
      <c r="E754" s="38" t="str">
        <f>IF(ORCAMENTOS!E762="","",ORCAMENTOS!E762)</f>
        <v>-</v>
      </c>
      <c r="F754" s="37" t="str">
        <f>IF(ORCAMENTOS!G762="","",ORCAMENTOS!G762)</f>
        <v>Gabriel</v>
      </c>
      <c r="G754" s="37" t="str">
        <f>IF(ORCAMENTOS!H762="","",ORCAMENTOS!H762)</f>
        <v>Glauco</v>
      </c>
      <c r="H754" s="39">
        <f>IF(ORCAMENTOS!I762="","",ORCAMENTOS!I762)</f>
        <v>27401.54</v>
      </c>
      <c r="I754" s="60" t="str">
        <f>IF(ORCAMENTOS!J762="","",ORCAMENTOS!J762)</f>
        <v/>
      </c>
      <c r="J754" s="40" t="str">
        <f>IF(ORCAMENTOS!L762="","",ORCAMENTOS!L762)</f>
        <v>CANCELADO</v>
      </c>
      <c r="K754" s="34" t="str">
        <f>IF(ORCAMENTOS!M762="","",ORCAMENTOS!M762)</f>
        <v>-</v>
      </c>
      <c r="L754" t="str">
        <f>IF(ORCAMENTOS!R762="","",ORCAMENTOS!R762)</f>
        <v>-</v>
      </c>
    </row>
    <row r="755" spans="1:12" ht="15.75" hidden="1" customHeight="1" x14ac:dyDescent="0.25">
      <c r="A755" s="36">
        <f>IF(ORCAMENTOS!A763="","",ORCAMENTOS!A763)</f>
        <v>45784</v>
      </c>
      <c r="B755" s="46">
        <f>IF(ORCAMENTOS!B763="","",ORCAMENTOS!B763)</f>
        <v>753</v>
      </c>
      <c r="C755" s="46" t="str">
        <f>IF(ORCAMENTOS!C763="","",ORCAMENTOS!C763)</f>
        <v/>
      </c>
      <c r="D755" s="37" t="str">
        <f>IF(ORCAMENTOS!D763="","",ORCAMENTOS!D763)</f>
        <v>TERMOCLIMA</v>
      </c>
      <c r="E755" s="38" t="str">
        <f>IF(ORCAMENTOS!E763="","",ORCAMENTOS!E763)</f>
        <v>ASSAI - LOJA AV RECIFE - PE</v>
      </c>
      <c r="F755" s="37" t="str">
        <f>IF(ORCAMENTOS!G763="","",ORCAMENTOS!G763)</f>
        <v>Gabriel</v>
      </c>
      <c r="G755" s="37" t="str">
        <f>IF(ORCAMENTOS!H763="","",ORCAMENTOS!H763)</f>
        <v>Pedro</v>
      </c>
      <c r="H755" s="39">
        <f>IF(ORCAMENTOS!I763="","",ORCAMENTOS!I763)</f>
        <v>42592.45</v>
      </c>
      <c r="I755" s="60" t="str">
        <f>IF(ORCAMENTOS!J763="","",ORCAMENTOS!J763)</f>
        <v/>
      </c>
      <c r="J755" s="40" t="str">
        <f>IF(ORCAMENTOS!L763="","",ORCAMENTOS!L763)</f>
        <v>CANCELADO</v>
      </c>
      <c r="K755" s="34" t="str">
        <f>IF(ORCAMENTOS!M763="","",ORCAMENTOS!M763)</f>
        <v>-</v>
      </c>
      <c r="L755" t="str">
        <f>IF(ORCAMENTOS!R763="","",ORCAMENTOS!R763)</f>
        <v>MPU</v>
      </c>
    </row>
    <row r="756" spans="1:12" ht="15.75" hidden="1" customHeight="1" x14ac:dyDescent="0.25">
      <c r="A756" s="36">
        <f>IF(ORCAMENTOS!A764="","",ORCAMENTOS!A764)</f>
        <v>45785</v>
      </c>
      <c r="B756" s="46">
        <f>IF(ORCAMENTOS!B764="","",ORCAMENTOS!B764)</f>
        <v>754</v>
      </c>
      <c r="C756" s="46" t="str">
        <f>IF(ORCAMENTOS!C764="","",ORCAMENTOS!C764)</f>
        <v/>
      </c>
      <c r="D756" s="37" t="str">
        <f>IF(ORCAMENTOS!D764="","",ORCAMENTOS!D764)</f>
        <v>TECVENT</v>
      </c>
      <c r="E756" s="38" t="str">
        <f>IF(ORCAMENTOS!E764="","",ORCAMENTOS!E764)</f>
        <v>-</v>
      </c>
      <c r="F756" s="37" t="str">
        <f>IF(ORCAMENTOS!G764="","",ORCAMENTOS!G764)</f>
        <v>Gabriel</v>
      </c>
      <c r="G756" s="37" t="str">
        <f>IF(ORCAMENTOS!H764="","",ORCAMENTOS!H764)</f>
        <v>Sabrina</v>
      </c>
      <c r="H756" s="39">
        <f>IF(ORCAMENTOS!I764="","",ORCAMENTOS!I764)</f>
        <v>7342.77</v>
      </c>
      <c r="I756" s="60" t="str">
        <f>IF(ORCAMENTOS!J764="","",ORCAMENTOS!J764)</f>
        <v/>
      </c>
      <c r="J756" s="40" t="str">
        <f>IF(ORCAMENTOS!L764="","",ORCAMENTOS!L764)</f>
        <v>CANCELADO</v>
      </c>
      <c r="K756" s="34" t="str">
        <f>IF(ORCAMENTOS!M764="","",ORCAMENTOS!M764)</f>
        <v>-</v>
      </c>
      <c r="L756" t="str">
        <f>IF(ORCAMENTOS!R764="","",ORCAMENTOS!R764)</f>
        <v>-</v>
      </c>
    </row>
    <row r="757" spans="1:12" ht="15.75" hidden="1" customHeight="1" x14ac:dyDescent="0.25">
      <c r="A757" s="36">
        <f>IF(ORCAMENTOS!A765="","",ORCAMENTOS!A765)</f>
        <v>45785</v>
      </c>
      <c r="B757" s="46">
        <f>IF(ORCAMENTOS!B765="","",ORCAMENTOS!B765)</f>
        <v>755</v>
      </c>
      <c r="C757" s="46" t="str">
        <f>IF(ORCAMENTOS!C765="","",ORCAMENTOS!C765)</f>
        <v/>
      </c>
      <c r="D757" s="37" t="str">
        <f>IF(ORCAMENTOS!D765="","",ORCAMENTOS!D765)</f>
        <v>AMS INSTALACOES</v>
      </c>
      <c r="E757" s="38" t="str">
        <f>IF(ORCAMENTOS!E765="","",ORCAMENTOS!E765)</f>
        <v>ASSAI - LOJA AV RECIFE - PE</v>
      </c>
      <c r="F757" s="37" t="str">
        <f>IF(ORCAMENTOS!G765="","",ORCAMENTOS!G765)</f>
        <v>Gabriel</v>
      </c>
      <c r="G757" s="37" t="str">
        <f>IF(ORCAMENTOS!H765="","",ORCAMENTOS!H765)</f>
        <v>Albertino</v>
      </c>
      <c r="H757" s="39">
        <f>IF(ORCAMENTOS!I765="","",ORCAMENTOS!I765)</f>
        <v>42592.45</v>
      </c>
      <c r="I757" s="60" t="str">
        <f>IF(ORCAMENTOS!J765="","",ORCAMENTOS!J765)</f>
        <v/>
      </c>
      <c r="J757" s="40" t="str">
        <f>IF(ORCAMENTOS!L765="","",ORCAMENTOS!L765)</f>
        <v>CANCELADO</v>
      </c>
      <c r="K757" s="34" t="str">
        <f>IF(ORCAMENTOS!M765="","",ORCAMENTOS!M765)</f>
        <v>-</v>
      </c>
      <c r="L757" t="str">
        <f>IF(ORCAMENTOS!R765="","",ORCAMENTOS!R765)</f>
        <v>MPU</v>
      </c>
    </row>
    <row r="758" spans="1:12" ht="15.75" hidden="1" customHeight="1" x14ac:dyDescent="0.25">
      <c r="A758" s="36">
        <f>IF(ORCAMENTOS!A766="","",ORCAMENTOS!A766)</f>
        <v>45785</v>
      </c>
      <c r="B758" s="46">
        <f>IF(ORCAMENTOS!B766="","",ORCAMENTOS!B766)</f>
        <v>756</v>
      </c>
      <c r="C758" s="46" t="str">
        <f>IF(ORCAMENTOS!C766="","",ORCAMENTOS!C766)</f>
        <v/>
      </c>
      <c r="D758" s="37" t="str">
        <f>IF(ORCAMENTOS!D766="","",ORCAMENTOS!D766)</f>
        <v>GLOBAL AR CONDICIONADO</v>
      </c>
      <c r="E758" s="38" t="str">
        <f>IF(ORCAMENTOS!E766="","",ORCAMENTOS!E766)</f>
        <v>PREVENT SENIOR - GONZAGA - SANTOS</v>
      </c>
      <c r="F758" s="37" t="str">
        <f>IF(ORCAMENTOS!G766="","",ORCAMENTOS!G766)</f>
        <v>Emanuel</v>
      </c>
      <c r="G758" s="37" t="str">
        <f>IF(ORCAMENTOS!H766="","",ORCAMENTOS!H766)</f>
        <v>Claudemir</v>
      </c>
      <c r="H758" s="39">
        <f>IF(ORCAMENTOS!I766="","",ORCAMENTOS!I766)</f>
        <v>26546.16</v>
      </c>
      <c r="I758" s="60" t="str">
        <f>IF(ORCAMENTOS!J766="","",ORCAMENTOS!J766)</f>
        <v/>
      </c>
      <c r="J758" s="40" t="str">
        <f>IF(ORCAMENTOS!L766="","",ORCAMENTOS!L766)</f>
        <v>FECHADO</v>
      </c>
      <c r="K758" s="34" t="str">
        <f>IF(ORCAMENTOS!M766="","",ORCAMENTOS!M766)</f>
        <v>-</v>
      </c>
      <c r="L758" t="str">
        <f>IF(ORCAMENTOS!R766="","",ORCAMENTOS!R766)</f>
        <v>-</v>
      </c>
    </row>
    <row r="759" spans="1:12" ht="15.75" hidden="1" customHeight="1" x14ac:dyDescent="0.25">
      <c r="A759" s="36">
        <f>IF(ORCAMENTOS!A767="","",ORCAMENTOS!A767)</f>
        <v>45785</v>
      </c>
      <c r="B759" s="46">
        <f>IF(ORCAMENTOS!B767="","",ORCAMENTOS!B767)</f>
        <v>757</v>
      </c>
      <c r="C759" s="46" t="str">
        <f>IF(ORCAMENTOS!C767="","",ORCAMENTOS!C767)</f>
        <v/>
      </c>
      <c r="D759" s="37" t="str">
        <f>IF(ORCAMENTOS!D767="","",ORCAMENTOS!D767)</f>
        <v>BR AR CONDICIONADO</v>
      </c>
      <c r="E759" s="38" t="str">
        <f>IF(ORCAMENTOS!E767="","",ORCAMENTOS!E767)</f>
        <v>-</v>
      </c>
      <c r="F759" s="37" t="str">
        <f>IF(ORCAMENTOS!G767="","",ORCAMENTOS!G767)</f>
        <v>Gabriel</v>
      </c>
      <c r="G759" s="37" t="str">
        <f>IF(ORCAMENTOS!H767="","",ORCAMENTOS!H767)</f>
        <v>Tatiana</v>
      </c>
      <c r="H759" s="39">
        <f>IF(ORCAMENTOS!I767="","",ORCAMENTOS!I767)</f>
        <v>1688.03</v>
      </c>
      <c r="I759" s="60" t="str">
        <f>IF(ORCAMENTOS!J767="","",ORCAMENTOS!J767)</f>
        <v/>
      </c>
      <c r="J759" s="40" t="str">
        <f>IF(ORCAMENTOS!L767="","",ORCAMENTOS!L767)</f>
        <v>CANCELADO</v>
      </c>
      <c r="K759" s="34" t="str">
        <f>IF(ORCAMENTOS!M767="","",ORCAMENTOS!M767)</f>
        <v>-</v>
      </c>
      <c r="L759" t="str">
        <f>IF(ORCAMENTOS!R767="","",ORCAMENTOS!R767)</f>
        <v>-</v>
      </c>
    </row>
    <row r="760" spans="1:12" ht="15.75" hidden="1" customHeight="1" x14ac:dyDescent="0.25">
      <c r="A760" s="36">
        <f>IF(ORCAMENTOS!A768="","",ORCAMENTOS!A768)</f>
        <v>45785</v>
      </c>
      <c r="B760" s="46">
        <f>IF(ORCAMENTOS!B768="","",ORCAMENTOS!B768)</f>
        <v>758</v>
      </c>
      <c r="C760" s="46" t="str">
        <f>IF(ORCAMENTOS!C768="","",ORCAMENTOS!C768)</f>
        <v/>
      </c>
      <c r="D760" s="37" t="str">
        <f>IF(ORCAMENTOS!D768="","",ORCAMENTOS!D768)</f>
        <v>LTX CLIMATIZACAO</v>
      </c>
      <c r="E760" s="38" t="str">
        <f>IF(ORCAMENTOS!E768="","",ORCAMENTOS!E768)</f>
        <v>CENTAURO - SHOPPING RIO PRETO</v>
      </c>
      <c r="F760" s="37" t="str">
        <f>IF(ORCAMENTOS!G768="","",ORCAMENTOS!G768)</f>
        <v>Guilherme</v>
      </c>
      <c r="G760" s="37" t="str">
        <f>IF(ORCAMENTOS!H768="","",ORCAMENTOS!H768)</f>
        <v>Guilherme</v>
      </c>
      <c r="H760" s="39">
        <f>IF(ORCAMENTOS!I768="","",ORCAMENTOS!I768)</f>
        <v>70461.83</v>
      </c>
      <c r="I760" s="60" t="str">
        <f>IF(ORCAMENTOS!J768="","",ORCAMENTOS!J768)</f>
        <v/>
      </c>
      <c r="J760" s="40" t="str">
        <f>IF(ORCAMENTOS!L768="","",ORCAMENTOS!L768)</f>
        <v>CANCELADO</v>
      </c>
      <c r="K760" s="34" t="str">
        <f>IF(ORCAMENTOS!M768="","",ORCAMENTOS!M768)</f>
        <v>-</v>
      </c>
      <c r="L760" t="str">
        <f>IF(ORCAMENTOS!R768="","",ORCAMENTOS!R768)</f>
        <v>MPU</v>
      </c>
    </row>
    <row r="761" spans="1:12" ht="15.75" hidden="1" customHeight="1" x14ac:dyDescent="0.25">
      <c r="A761" s="36">
        <f>IF(ORCAMENTOS!A769="","",ORCAMENTOS!A769)</f>
        <v>45785</v>
      </c>
      <c r="B761" s="46">
        <f>IF(ORCAMENTOS!B769="","",ORCAMENTOS!B769)</f>
        <v>759</v>
      </c>
      <c r="C761" s="46" t="str">
        <f>IF(ORCAMENTOS!C769="","",ORCAMENTOS!C769)</f>
        <v/>
      </c>
      <c r="D761" s="37" t="str">
        <f>IF(ORCAMENTOS!D769="","",ORCAMENTOS!D769)</f>
        <v>AR SISTEMAS</v>
      </c>
      <c r="E761" s="38" t="str">
        <f>IF(ORCAMENTOS!E769="","",ORCAMENTOS!E769)</f>
        <v>RIACHUELO - SÃO JOSE DO RIO PRETO - SP</v>
      </c>
      <c r="F761" s="37" t="str">
        <f>IF(ORCAMENTOS!G769="","",ORCAMENTOS!G769)</f>
        <v>Michel</v>
      </c>
      <c r="G761" s="37" t="str">
        <f>IF(ORCAMENTOS!H769="","",ORCAMENTOS!H769)</f>
        <v>Silvia</v>
      </c>
      <c r="H761" s="39">
        <f>IF(ORCAMENTOS!I769="","",ORCAMENTOS!I769)</f>
        <v>193915.31</v>
      </c>
      <c r="I761" s="60" t="str">
        <f>IF(ORCAMENTOS!J769="","",ORCAMENTOS!J769)</f>
        <v/>
      </c>
      <c r="J761" s="40" t="str">
        <f>IF(ORCAMENTOS!L769="","",ORCAMENTOS!L769)</f>
        <v>CANCELADO</v>
      </c>
      <c r="K761" s="34" t="str">
        <f>IF(ORCAMENTOS!M769="","",ORCAMENTOS!M769)</f>
        <v>-</v>
      </c>
      <c r="L761" t="str">
        <f>IF(ORCAMENTOS!R769="","",ORCAMENTOS!R769)</f>
        <v>MPU</v>
      </c>
    </row>
    <row r="762" spans="1:12" ht="15.75" hidden="1" customHeight="1" x14ac:dyDescent="0.25">
      <c r="A762" s="36">
        <f>IF(ORCAMENTOS!A770="","",ORCAMENTOS!A770)</f>
        <v>45785</v>
      </c>
      <c r="B762" s="46">
        <f>IF(ORCAMENTOS!B770="","",ORCAMENTOS!B770)</f>
        <v>760</v>
      </c>
      <c r="C762" s="46" t="str">
        <f>IF(ORCAMENTOS!C770="","",ORCAMENTOS!C770)</f>
        <v/>
      </c>
      <c r="D762" s="37" t="str">
        <f>IF(ORCAMENTOS!D770="","",ORCAMENTOS!D770)</f>
        <v>AIRPLAN</v>
      </c>
      <c r="E762" s="38" t="str">
        <f>IF(ORCAMENTOS!E770="","",ORCAMENTOS!E770)</f>
        <v>CENTAURO - SHOPPING RIO PRETO</v>
      </c>
      <c r="F762" s="37" t="str">
        <f>IF(ORCAMENTOS!G770="","",ORCAMENTOS!G770)</f>
        <v>Gabriel</v>
      </c>
      <c r="G762" s="37" t="str">
        <f>IF(ORCAMENTOS!H770="","",ORCAMENTOS!H770)</f>
        <v>Laercio</v>
      </c>
      <c r="H762" s="39">
        <f>IF(ORCAMENTOS!I770="","",ORCAMENTOS!I770)</f>
        <v>70461.83</v>
      </c>
      <c r="I762" s="60" t="str">
        <f>IF(ORCAMENTOS!J770="","",ORCAMENTOS!J770)</f>
        <v/>
      </c>
      <c r="J762" s="40" t="str">
        <f>IF(ORCAMENTOS!L770="","",ORCAMENTOS!L770)</f>
        <v>CANCELADO</v>
      </c>
      <c r="K762" s="34" t="str">
        <f>IF(ORCAMENTOS!M770="","",ORCAMENTOS!M770)</f>
        <v>-</v>
      </c>
      <c r="L762" t="str">
        <f>IF(ORCAMENTOS!R770="","",ORCAMENTOS!R770)</f>
        <v>MPU</v>
      </c>
    </row>
    <row r="763" spans="1:12" ht="15.75" hidden="1" customHeight="1" x14ac:dyDescent="0.25">
      <c r="A763" s="36">
        <f>IF(ORCAMENTOS!A771="","",ORCAMENTOS!A771)</f>
        <v>45786</v>
      </c>
      <c r="B763" s="46">
        <f>IF(ORCAMENTOS!B771="","",ORCAMENTOS!B771)</f>
        <v>761</v>
      </c>
      <c r="C763" s="46" t="str">
        <f>IF(ORCAMENTOS!C771="","",ORCAMENTOS!C771)</f>
        <v/>
      </c>
      <c r="D763" s="37" t="str">
        <f>IF(ORCAMENTOS!D771="","",ORCAMENTOS!D771)</f>
        <v>AWA AR CONDICIONADO</v>
      </c>
      <c r="E763" s="38" t="str">
        <f>IF(ORCAMENTOS!E771="","",ORCAMENTOS!E771)</f>
        <v>ATACADAO OSASCO</v>
      </c>
      <c r="F763" s="37" t="str">
        <f>IF(ORCAMENTOS!G771="","",ORCAMENTOS!G771)</f>
        <v>Guilherme</v>
      </c>
      <c r="G763" s="37" t="str">
        <f>IF(ORCAMENTOS!H771="","",ORCAMENTOS!H771)</f>
        <v>Marcela</v>
      </c>
      <c r="H763" s="39">
        <f>IF(ORCAMENTOS!I771="","",ORCAMENTOS!I771)</f>
        <v>80000</v>
      </c>
      <c r="I763" s="60" t="str">
        <f>IF(ORCAMENTOS!J771="","",ORCAMENTOS!J771)</f>
        <v/>
      </c>
      <c r="J763" s="40" t="str">
        <f>IF(ORCAMENTOS!L771="","",ORCAMENTOS!L771)</f>
        <v>FECHADO</v>
      </c>
      <c r="K763" s="34" t="str">
        <f>IF(ORCAMENTOS!M771="","",ORCAMENTOS!M771)</f>
        <v>-</v>
      </c>
      <c r="L763" t="str">
        <f>IF(ORCAMENTOS!R771="","",ORCAMENTOS!R771)</f>
        <v>-</v>
      </c>
    </row>
    <row r="764" spans="1:12" ht="15.75" hidden="1" customHeight="1" x14ac:dyDescent="0.25">
      <c r="A764" s="36">
        <f>IF(ORCAMENTOS!A772="","",ORCAMENTOS!A772)</f>
        <v>45785</v>
      </c>
      <c r="B764" s="46">
        <f>IF(ORCAMENTOS!B772="","",ORCAMENTOS!B772)</f>
        <v>762</v>
      </c>
      <c r="C764" s="46" t="str">
        <f>IF(ORCAMENTOS!C772="","",ORCAMENTOS!C772)</f>
        <v/>
      </c>
      <c r="D764" s="37" t="str">
        <f>IF(ORCAMENTOS!D772="","",ORCAMENTOS!D772)</f>
        <v>THERMOPOLO</v>
      </c>
      <c r="E764" s="38" t="str">
        <f>IF(ORCAMENTOS!E772="","",ORCAMENTOS!E772)</f>
        <v>-</v>
      </c>
      <c r="F764" s="37" t="str">
        <f>IF(ORCAMENTOS!G772="","",ORCAMENTOS!G772)</f>
        <v>Gabriel</v>
      </c>
      <c r="G764" s="37" t="str">
        <f>IF(ORCAMENTOS!H772="","",ORCAMENTOS!H772)</f>
        <v>Veruza</v>
      </c>
      <c r="H764" s="39">
        <f>IF(ORCAMENTOS!I772="","",ORCAMENTOS!I772)</f>
        <v>34614.559999999998</v>
      </c>
      <c r="I764" s="60" t="str">
        <f>IF(ORCAMENTOS!J772="","",ORCAMENTOS!J772)</f>
        <v/>
      </c>
      <c r="J764" s="40" t="str">
        <f>IF(ORCAMENTOS!L772="","",ORCAMENTOS!L772)</f>
        <v>FECHADO</v>
      </c>
      <c r="K764" s="34" t="str">
        <f>IF(ORCAMENTOS!M772="","",ORCAMENTOS!M772)</f>
        <v>-</v>
      </c>
      <c r="L764" t="str">
        <f>IF(ORCAMENTOS!R772="","",ORCAMENTOS!R772)</f>
        <v>-</v>
      </c>
    </row>
    <row r="765" spans="1:12" ht="15.75" hidden="1" customHeight="1" x14ac:dyDescent="0.25">
      <c r="A765" s="36">
        <f>IF(ORCAMENTOS!A773="","",ORCAMENTOS!A773)</f>
        <v>45785</v>
      </c>
      <c r="B765" s="46">
        <f>IF(ORCAMENTOS!B773="","",ORCAMENTOS!B773)</f>
        <v>763</v>
      </c>
      <c r="C765" s="46" t="str">
        <f>IF(ORCAMENTOS!C773="","",ORCAMENTOS!C773)</f>
        <v/>
      </c>
      <c r="D765" s="37" t="str">
        <f>IF(ORCAMENTOS!D773="","",ORCAMENTOS!D773)</f>
        <v>RDS ENGENHARIA</v>
      </c>
      <c r="E765" s="38" t="str">
        <f>IF(ORCAMENTOS!E773="","",ORCAMENTOS!E773)</f>
        <v>CD RIBEIRÃO PRETO</v>
      </c>
      <c r="F765" s="37" t="str">
        <f>IF(ORCAMENTOS!G773="","",ORCAMENTOS!G773)</f>
        <v xml:space="preserve">Aldavir </v>
      </c>
      <c r="G765" s="37" t="str">
        <f>IF(ORCAMENTOS!H773="","",ORCAMENTOS!H773)</f>
        <v>Sandra</v>
      </c>
      <c r="H765" s="39">
        <f>IF(ORCAMENTOS!I773="","",ORCAMENTOS!I773)</f>
        <v>152539.62</v>
      </c>
      <c r="I765" s="60" t="str">
        <f>IF(ORCAMENTOS!J773="","",ORCAMENTOS!J773)</f>
        <v/>
      </c>
      <c r="J765" s="40" t="str">
        <f>IF(ORCAMENTOS!L773="","",ORCAMENTOS!L773)</f>
        <v>CANCELADO</v>
      </c>
      <c r="K765" s="34" t="str">
        <f>IF(ORCAMENTOS!M773="","",ORCAMENTOS!M773)</f>
        <v/>
      </c>
      <c r="L765" t="str">
        <f>IF(ORCAMENTOS!R773="","",ORCAMENTOS!R773)</f>
        <v>-</v>
      </c>
    </row>
    <row r="766" spans="1:12" ht="15.75" hidden="1" customHeight="1" x14ac:dyDescent="0.25">
      <c r="A766" s="36">
        <f>IF(ORCAMENTOS!A774="","",ORCAMENTOS!A774)</f>
        <v>45786</v>
      </c>
      <c r="B766" s="46">
        <f>IF(ORCAMENTOS!B774="","",ORCAMENTOS!B774)</f>
        <v>764</v>
      </c>
      <c r="C766" s="46" t="str">
        <f>IF(ORCAMENTOS!C774="","",ORCAMENTOS!C774)</f>
        <v/>
      </c>
      <c r="D766" s="37" t="str">
        <f>IF(ORCAMENTOS!D774="","",ORCAMENTOS!D774)</f>
        <v>AWA AR CONDICIONADO</v>
      </c>
      <c r="E766" s="38" t="str">
        <f>IF(ORCAMENTOS!E774="","",ORCAMENTOS!E774)</f>
        <v>RAIA DROGASIL - RIBEIRAO PRETO - SP</v>
      </c>
      <c r="F766" s="37" t="str">
        <f>IF(ORCAMENTOS!G774="","",ORCAMENTOS!G774)</f>
        <v>Guilherme</v>
      </c>
      <c r="G766" s="37" t="str">
        <f>IF(ORCAMENTOS!H774="","",ORCAMENTOS!H774)</f>
        <v>Guilherme</v>
      </c>
      <c r="H766" s="39">
        <f>IF(ORCAMENTOS!I774="","",ORCAMENTOS!I774)</f>
        <v>143240.6</v>
      </c>
      <c r="I766" s="60" t="str">
        <f>IF(ORCAMENTOS!J774="","",ORCAMENTOS!J774)</f>
        <v/>
      </c>
      <c r="J766" s="40" t="str">
        <f>IF(ORCAMENTOS!L774="","",ORCAMENTOS!L774)</f>
        <v>CANCELADO</v>
      </c>
      <c r="K766" s="34" t="str">
        <f>IF(ORCAMENTOS!M774="","",ORCAMENTOS!M774)</f>
        <v>PREV JUNHO</v>
      </c>
      <c r="L766" t="str">
        <f>IF(ORCAMENTOS!R774="","",ORCAMENTOS!R774)</f>
        <v>MP</v>
      </c>
    </row>
    <row r="767" spans="1:12" ht="15.75" hidden="1" customHeight="1" x14ac:dyDescent="0.25">
      <c r="A767" s="36">
        <f>IF(ORCAMENTOS!A775="","",ORCAMENTOS!A775)</f>
        <v>45786</v>
      </c>
      <c r="B767" s="46">
        <f>IF(ORCAMENTOS!B775="","",ORCAMENTOS!B775)</f>
        <v>765</v>
      </c>
      <c r="C767" s="46" t="str">
        <f>IF(ORCAMENTOS!C775="","",ORCAMENTOS!C775)</f>
        <v/>
      </c>
      <c r="D767" s="37" t="str">
        <f>IF(ORCAMENTOS!D775="","",ORCAMENTOS!D775)</f>
        <v>AMS INSTALACOES</v>
      </c>
      <c r="E767" s="38" t="str">
        <f>IF(ORCAMENTOS!E775="","",ORCAMENTOS!E775)</f>
        <v>ASSAI - JACAREPAGUA - RIO DE JANEIRO - RJ</v>
      </c>
      <c r="F767" s="37" t="str">
        <f>IF(ORCAMENTOS!G775="","",ORCAMENTOS!G775)</f>
        <v>Gabriel</v>
      </c>
      <c r="G767" s="37" t="str">
        <f>IF(ORCAMENTOS!H775="","",ORCAMENTOS!H775)</f>
        <v>Albertino</v>
      </c>
      <c r="H767" s="39">
        <f>IF(ORCAMENTOS!I775="","",ORCAMENTOS!I775)</f>
        <v>270214.89</v>
      </c>
      <c r="I767" s="60" t="str">
        <f>IF(ORCAMENTOS!J775="","",ORCAMENTOS!J775)</f>
        <v/>
      </c>
      <c r="J767" s="40" t="str">
        <f>IF(ORCAMENTOS!L775="","",ORCAMENTOS!L775)</f>
        <v>CANCELADO</v>
      </c>
      <c r="K767" s="34" t="str">
        <f>IF(ORCAMENTOS!M775="","",ORCAMENTOS!M775)</f>
        <v>-</v>
      </c>
      <c r="L767" t="str">
        <f>IF(ORCAMENTOS!R775="","",ORCAMENTOS!R775)</f>
        <v>MPU</v>
      </c>
    </row>
    <row r="768" spans="1:12" ht="15.75" hidden="1" customHeight="1" x14ac:dyDescent="0.25">
      <c r="A768" s="36">
        <f>IF(ORCAMENTOS!A776="","",ORCAMENTOS!A776)</f>
        <v>45786</v>
      </c>
      <c r="B768" s="46">
        <f>IF(ORCAMENTOS!B776="","",ORCAMENTOS!B776)</f>
        <v>766</v>
      </c>
      <c r="C768" s="46" t="str">
        <f>IF(ORCAMENTOS!C776="","",ORCAMENTOS!C776)</f>
        <v/>
      </c>
      <c r="D768" s="37" t="str">
        <f>IF(ORCAMENTOS!D776="","",ORCAMENTOS!D776)</f>
        <v>ARSERVICE</v>
      </c>
      <c r="E768" s="38" t="str">
        <f>IF(ORCAMENTOS!E776="","",ORCAMENTOS!E776)</f>
        <v>ADITIVO CENTER NORTE</v>
      </c>
      <c r="F768" s="37" t="str">
        <f>IF(ORCAMENTOS!G776="","",ORCAMENTOS!G776)</f>
        <v>Gabriel</v>
      </c>
      <c r="G768" s="37" t="str">
        <f>IF(ORCAMENTOS!H776="","",ORCAMENTOS!H776)</f>
        <v>Thiago</v>
      </c>
      <c r="H768" s="39">
        <f>IF(ORCAMENTOS!I776="","",ORCAMENTOS!I776)</f>
        <v>15316.52</v>
      </c>
      <c r="I768" s="60" t="str">
        <f>IF(ORCAMENTOS!J776="","",ORCAMENTOS!J776)</f>
        <v/>
      </c>
      <c r="J768" s="40" t="str">
        <f>IF(ORCAMENTOS!L776="","",ORCAMENTOS!L776)</f>
        <v>CANCELADO</v>
      </c>
      <c r="K768" s="34" t="str">
        <f>IF(ORCAMENTOS!M776="","",ORCAMENTOS!M776)</f>
        <v>-</v>
      </c>
      <c r="L768" t="str">
        <f>IF(ORCAMENTOS!R776="","",ORCAMENTOS!R776)</f>
        <v>-</v>
      </c>
    </row>
    <row r="769" spans="1:12" ht="15.75" hidden="1" customHeight="1" x14ac:dyDescent="0.25">
      <c r="A769" s="36">
        <f>IF(ORCAMENTOS!A777="","",ORCAMENTOS!A777)</f>
        <v>45786</v>
      </c>
      <c r="B769" s="46">
        <f>IF(ORCAMENTOS!B777="","",ORCAMENTOS!B777)</f>
        <v>767</v>
      </c>
      <c r="C769" s="46" t="str">
        <f>IF(ORCAMENTOS!C777="","",ORCAMENTOS!C777)</f>
        <v/>
      </c>
      <c r="D769" s="37" t="str">
        <f>IF(ORCAMENTOS!D777="","",ORCAMENTOS!D777)</f>
        <v>LKT AR CONDICIONADO</v>
      </c>
      <c r="E769" s="38" t="str">
        <f>IF(ORCAMENTOS!E777="","",ORCAMENTOS!E777)</f>
        <v>XP - JOAO PESSOA</v>
      </c>
      <c r="F769" s="37" t="str">
        <f>IF(ORCAMENTOS!G777="","",ORCAMENTOS!G777)</f>
        <v>Fernando</v>
      </c>
      <c r="G769" s="37" t="str">
        <f>IF(ORCAMENTOS!H777="","",ORCAMENTOS!H777)</f>
        <v>Rafael</v>
      </c>
      <c r="H769" s="39">
        <f>IF(ORCAMENTOS!I777="","",ORCAMENTOS!I777)</f>
        <v>12383.51</v>
      </c>
      <c r="I769" s="60" t="str">
        <f>IF(ORCAMENTOS!J777="","",ORCAMENTOS!J777)</f>
        <v/>
      </c>
      <c r="J769" s="40" t="str">
        <f>IF(ORCAMENTOS!L777="","",ORCAMENTOS!L777)</f>
        <v>CANCELADO</v>
      </c>
      <c r="K769" s="34" t="str">
        <f>IF(ORCAMENTOS!M777="","",ORCAMENTOS!M777)</f>
        <v>-</v>
      </c>
      <c r="L769" t="str">
        <f>IF(ORCAMENTOS!R777="","",ORCAMENTOS!R777)</f>
        <v>-</v>
      </c>
    </row>
    <row r="770" spans="1:12" ht="15.75" hidden="1" customHeight="1" x14ac:dyDescent="0.25">
      <c r="A770" s="36">
        <f>IF(ORCAMENTOS!A778="","",ORCAMENTOS!A778)</f>
        <v>45786</v>
      </c>
      <c r="B770" s="46">
        <f>IF(ORCAMENTOS!B778="","",ORCAMENTOS!B778)</f>
        <v>768</v>
      </c>
      <c r="C770" s="46" t="str">
        <f>IF(ORCAMENTOS!C778="","",ORCAMENTOS!C778)</f>
        <v/>
      </c>
      <c r="D770" s="37" t="str">
        <f>IF(ORCAMENTOS!D778="","",ORCAMENTOS!D778)</f>
        <v>AWA AR CONDICIONADO</v>
      </c>
      <c r="E770" s="38" t="str">
        <f>IF(ORCAMENTOS!E778="","",ORCAMENTOS!E778)</f>
        <v>ATACADAO OSASCO</v>
      </c>
      <c r="F770" s="37" t="str">
        <f>IF(ORCAMENTOS!G778="","",ORCAMENTOS!G778)</f>
        <v>Guilherme</v>
      </c>
      <c r="G770" s="37" t="str">
        <f>IF(ORCAMENTOS!H778="","",ORCAMENTOS!H778)</f>
        <v>Marcela</v>
      </c>
      <c r="H770" s="39">
        <f>IF(ORCAMENTOS!I778="","",ORCAMENTOS!I778)</f>
        <v>80000</v>
      </c>
      <c r="I770" s="60" t="str">
        <f>IF(ORCAMENTOS!J778="","",ORCAMENTOS!J778)</f>
        <v/>
      </c>
      <c r="J770" s="40" t="str">
        <f>IF(ORCAMENTOS!L778="","",ORCAMENTOS!L778)</f>
        <v>FECHADO</v>
      </c>
      <c r="K770" s="34" t="str">
        <f>IF(ORCAMENTOS!M778="","",ORCAMENTOS!M778)</f>
        <v>-</v>
      </c>
      <c r="L770" t="str">
        <f>IF(ORCAMENTOS!R778="","",ORCAMENTOS!R778)</f>
        <v>-</v>
      </c>
    </row>
    <row r="771" spans="1:12" ht="15.75" hidden="1" customHeight="1" x14ac:dyDescent="0.25">
      <c r="A771" s="36">
        <f>IF(ORCAMENTOS!A779="","",ORCAMENTOS!A779)</f>
        <v>45786</v>
      </c>
      <c r="B771" s="46">
        <f>IF(ORCAMENTOS!B779="","",ORCAMENTOS!B779)</f>
        <v>769</v>
      </c>
      <c r="C771" s="46" t="str">
        <f>IF(ORCAMENTOS!C779="","",ORCAMENTOS!C779)</f>
        <v/>
      </c>
      <c r="D771" s="37" t="str">
        <f>IF(ORCAMENTOS!D779="","",ORCAMENTOS!D779)</f>
        <v xml:space="preserve">DIAGRAMA AR </v>
      </c>
      <c r="E771" s="38" t="str">
        <f>IF(ORCAMENTOS!E779="","",ORCAMENTOS!E779)</f>
        <v>PASSO FUNDO - RS - CENTRO DE CONVENCOES</v>
      </c>
      <c r="F771" s="37" t="str">
        <f>IF(ORCAMENTOS!G779="","",ORCAMENTOS!G779)</f>
        <v>Guilherme</v>
      </c>
      <c r="G771" s="37" t="str">
        <f>IF(ORCAMENTOS!H779="","",ORCAMENTOS!H779)</f>
        <v>Thaina</v>
      </c>
      <c r="H771" s="39">
        <f>IF(ORCAMENTOS!I779="","",ORCAMENTOS!I779)</f>
        <v>31120.1</v>
      </c>
      <c r="I771" s="60" t="str">
        <f>IF(ORCAMENTOS!J779="","",ORCAMENTOS!J779)</f>
        <v/>
      </c>
      <c r="J771" s="40" t="str">
        <f>IF(ORCAMENTOS!L779="","",ORCAMENTOS!L779)</f>
        <v>CANCELADO</v>
      </c>
      <c r="K771" s="34" t="str">
        <f>IF(ORCAMENTOS!M779="","",ORCAMENTOS!M779)</f>
        <v>-</v>
      </c>
      <c r="L771" t="str">
        <f>IF(ORCAMENTOS!R779="","",ORCAMENTOS!R779)</f>
        <v>-</v>
      </c>
    </row>
    <row r="772" spans="1:12" ht="15.75" hidden="1" customHeight="1" x14ac:dyDescent="0.25">
      <c r="A772" s="36">
        <f>IF(ORCAMENTOS!A780="","",ORCAMENTOS!A780)</f>
        <v>45786</v>
      </c>
      <c r="B772" s="46">
        <f>IF(ORCAMENTOS!B780="","",ORCAMENTOS!B780)</f>
        <v>770</v>
      </c>
      <c r="C772" s="46" t="str">
        <f>IF(ORCAMENTOS!C780="","",ORCAMENTOS!C780)</f>
        <v/>
      </c>
      <c r="D772" s="37" t="str">
        <f>IF(ORCAMENTOS!D780="","",ORCAMENTOS!D780)</f>
        <v>DUTOMAX</v>
      </c>
      <c r="E772" s="38" t="str">
        <f>IF(ORCAMENTOS!E780="","",ORCAMENTOS!E780)</f>
        <v>-</v>
      </c>
      <c r="F772" s="37" t="str">
        <f>IF(ORCAMENTOS!G780="","",ORCAMENTOS!G780)</f>
        <v>Gabriel</v>
      </c>
      <c r="G772" s="37" t="str">
        <f>IF(ORCAMENTOS!H780="","",ORCAMENTOS!H780)</f>
        <v>Valmir</v>
      </c>
      <c r="H772" s="39">
        <f>IF(ORCAMENTOS!I780="","",ORCAMENTOS!I780)</f>
        <v>5630.01</v>
      </c>
      <c r="I772" s="60" t="str">
        <f>IF(ORCAMENTOS!J780="","",ORCAMENTOS!J780)</f>
        <v/>
      </c>
      <c r="J772" s="40" t="str">
        <f>IF(ORCAMENTOS!L780="","",ORCAMENTOS!L780)</f>
        <v>FECHADO</v>
      </c>
      <c r="K772" s="34" t="str">
        <f>IF(ORCAMENTOS!M780="","",ORCAMENTOS!M780)</f>
        <v>-</v>
      </c>
      <c r="L772" t="str">
        <f>IF(ORCAMENTOS!R780="","",ORCAMENTOS!R780)</f>
        <v>-</v>
      </c>
    </row>
    <row r="773" spans="1:12" ht="15.75" hidden="1" customHeight="1" x14ac:dyDescent="0.25">
      <c r="A773" s="36">
        <f>IF(ORCAMENTOS!A781="","",ORCAMENTOS!A781)</f>
        <v>45786</v>
      </c>
      <c r="B773" s="46">
        <f>IF(ORCAMENTOS!B781="","",ORCAMENTOS!B781)</f>
        <v>771</v>
      </c>
      <c r="C773" s="46" t="str">
        <f>IF(ORCAMENTOS!C781="","",ORCAMENTOS!C781)</f>
        <v/>
      </c>
      <c r="D773" s="37" t="str">
        <f>IF(ORCAMENTOS!D781="","",ORCAMENTOS!D781)</f>
        <v>BIG FOCO</v>
      </c>
      <c r="E773" s="38" t="str">
        <f>IF(ORCAMENTOS!E781="","",ORCAMENTOS!E781)</f>
        <v>IGREJA ALEM DO VEU - SANTO ANDRE - SP</v>
      </c>
      <c r="F773" s="37" t="str">
        <f>IF(ORCAMENTOS!G781="","",ORCAMENTOS!G781)</f>
        <v>Gabriel</v>
      </c>
      <c r="G773" s="37" t="str">
        <f>IF(ORCAMENTOS!H781="","",ORCAMENTOS!H781)</f>
        <v>Everton</v>
      </c>
      <c r="H773" s="39">
        <f>IF(ORCAMENTOS!I781="","",ORCAMENTOS!I781)</f>
        <v>202088.24</v>
      </c>
      <c r="I773" s="60" t="str">
        <f>IF(ORCAMENTOS!J781="","",ORCAMENTOS!J781)</f>
        <v/>
      </c>
      <c r="J773" s="40" t="str">
        <f>IF(ORCAMENTOS!L781="","",ORCAMENTOS!L781)</f>
        <v>CANCELADO</v>
      </c>
      <c r="K773" s="34" t="str">
        <f>IF(ORCAMENTOS!M781="","",ORCAMENTOS!M781)</f>
        <v>-</v>
      </c>
      <c r="L773" t="str">
        <f>IF(ORCAMENTOS!R781="","",ORCAMENTOS!R781)</f>
        <v>-</v>
      </c>
    </row>
    <row r="774" spans="1:12" ht="15.75" hidden="1" customHeight="1" x14ac:dyDescent="0.25">
      <c r="A774" s="36">
        <f>IF(ORCAMENTOS!A782="","",ORCAMENTOS!A782)</f>
        <v>45818</v>
      </c>
      <c r="B774" s="46">
        <f>IF(ORCAMENTOS!B782="","",ORCAMENTOS!B782)</f>
        <v>772</v>
      </c>
      <c r="C774" s="46" t="str">
        <f>IF(ORCAMENTOS!C782="","",ORCAMENTOS!C782)</f>
        <v/>
      </c>
      <c r="D774" s="37" t="str">
        <f>IF(ORCAMENTOS!D782="","",ORCAMENTOS!D782)</f>
        <v>AWA AR CONDICIONADO</v>
      </c>
      <c r="E774" s="38" t="str">
        <f>IF(ORCAMENTOS!E782="","",ORCAMENTOS!E782)</f>
        <v>HIPERMERCADO VILLEFORT - ANAPOLIS - GO</v>
      </c>
      <c r="F774" s="37" t="str">
        <f>IF(ORCAMENTOS!G782="","",ORCAMENTOS!G782)</f>
        <v>Guilherme</v>
      </c>
      <c r="G774" s="37" t="str">
        <f>IF(ORCAMENTOS!H782="","",ORCAMENTOS!H782)</f>
        <v>Marcela</v>
      </c>
      <c r="H774" s="39">
        <f>IF(ORCAMENTOS!I782="","",ORCAMENTOS!I782)</f>
        <v>216231.62</v>
      </c>
      <c r="I774" s="60" t="str">
        <f>IF(ORCAMENTOS!J782="","",ORCAMENTOS!J782)</f>
        <v/>
      </c>
      <c r="J774" s="40" t="str">
        <f>IF(ORCAMENTOS!L782="","",ORCAMENTOS!L782)</f>
        <v>PERDIDO</v>
      </c>
      <c r="K774" s="34" t="str">
        <f>IF(ORCAMENTOS!M782="","",ORCAMENTOS!M782)</f>
        <v xml:space="preserve">MULTIVAC </v>
      </c>
      <c r="L774" t="str">
        <f>IF(ORCAMENTOS!R782="","",ORCAMENTOS!R782)</f>
        <v>-</v>
      </c>
    </row>
    <row r="775" spans="1:12" ht="15.75" hidden="1" customHeight="1" x14ac:dyDescent="0.25">
      <c r="A775" s="36">
        <f>IF(ORCAMENTOS!A783="","",ORCAMENTOS!A783)</f>
        <v>45789</v>
      </c>
      <c r="B775" s="46">
        <f>IF(ORCAMENTOS!B783="","",ORCAMENTOS!B783)</f>
        <v>773</v>
      </c>
      <c r="C775" s="46" t="str">
        <f>IF(ORCAMENTOS!C783="","",ORCAMENTOS!C783)</f>
        <v/>
      </c>
      <c r="D775" s="37" t="str">
        <f>IF(ORCAMENTOS!D783="","",ORCAMENTOS!D783)</f>
        <v>UNION RHAC</v>
      </c>
      <c r="E775" s="38" t="str">
        <f>IF(ORCAMENTOS!E783="","",ORCAMENTOS!E783)</f>
        <v>NISSIN TEMPERO</v>
      </c>
      <c r="F775" s="37" t="str">
        <f>IF(ORCAMENTOS!G783="","",ORCAMENTOS!G783)</f>
        <v>Emanuel</v>
      </c>
      <c r="G775" s="37" t="str">
        <f>IF(ORCAMENTOS!H783="","",ORCAMENTOS!H783)</f>
        <v>Vinicius</v>
      </c>
      <c r="H775" s="39">
        <f>IF(ORCAMENTOS!I783="","",ORCAMENTOS!I783)</f>
        <v>41000.25</v>
      </c>
      <c r="I775" s="60" t="str">
        <f>IF(ORCAMENTOS!J783="","",ORCAMENTOS!J783)</f>
        <v/>
      </c>
      <c r="J775" s="40" t="str">
        <f>IF(ORCAMENTOS!L783="","",ORCAMENTOS!L783)</f>
        <v>FECHADO</v>
      </c>
      <c r="K775" s="34" t="str">
        <f>IF(ORCAMENTOS!M783="","",ORCAMENTOS!M783)</f>
        <v>-</v>
      </c>
      <c r="L775" t="str">
        <f>IF(ORCAMENTOS!R783="","",ORCAMENTOS!R783)</f>
        <v>-</v>
      </c>
    </row>
    <row r="776" spans="1:12" ht="15.75" hidden="1" customHeight="1" x14ac:dyDescent="0.25">
      <c r="A776" s="36">
        <f>IF(ORCAMENTOS!A784="","",ORCAMENTOS!A784)</f>
        <v>45789</v>
      </c>
      <c r="B776" s="46">
        <f>IF(ORCAMENTOS!B784="","",ORCAMENTOS!B784)</f>
        <v>774</v>
      </c>
      <c r="C776" s="46" t="str">
        <f>IF(ORCAMENTOS!C784="","",ORCAMENTOS!C784)</f>
        <v/>
      </c>
      <c r="D776" s="37" t="str">
        <f>IF(ORCAMENTOS!D784="","",ORCAMENTOS!D784)</f>
        <v>FL HVAC</v>
      </c>
      <c r="E776" s="38" t="str">
        <f>IF(ORCAMENTOS!E784="","",ORCAMENTOS!E784)</f>
        <v>SMART FIT - GUILHERMINA - PRAIA GRANDE - SP</v>
      </c>
      <c r="F776" s="37" t="str">
        <f>IF(ORCAMENTOS!G784="","",ORCAMENTOS!G784)</f>
        <v>Guilherme</v>
      </c>
      <c r="G776" s="37" t="str">
        <f>IF(ORCAMENTOS!H784="","",ORCAMENTOS!H784)</f>
        <v>Filipe</v>
      </c>
      <c r="H776" s="39">
        <f>IF(ORCAMENTOS!I784="","",ORCAMENTOS!I784)</f>
        <v>133554.85</v>
      </c>
      <c r="I776" s="60" t="str">
        <f>IF(ORCAMENTOS!J784="","",ORCAMENTOS!J784)</f>
        <v/>
      </c>
      <c r="J776" s="40" t="str">
        <f>IF(ORCAMENTOS!L784="","",ORCAMENTOS!L784)</f>
        <v>CANCELADO</v>
      </c>
      <c r="K776" s="34" t="str">
        <f>IF(ORCAMENTOS!M784="","",ORCAMENTOS!M784)</f>
        <v>-</v>
      </c>
      <c r="L776" t="str">
        <f>IF(ORCAMENTOS!R784="","",ORCAMENTOS!R784)</f>
        <v>MPU</v>
      </c>
    </row>
    <row r="777" spans="1:12" ht="15.75" hidden="1" customHeight="1" x14ac:dyDescent="0.25">
      <c r="A777" s="36">
        <f>IF(ORCAMENTOS!A785="","",ORCAMENTOS!A785)</f>
        <v>45789</v>
      </c>
      <c r="B777" s="46">
        <f>IF(ORCAMENTOS!B785="","",ORCAMENTOS!B785)</f>
        <v>775</v>
      </c>
      <c r="C777" s="46" t="str">
        <f>IF(ORCAMENTOS!C785="","",ORCAMENTOS!C785)</f>
        <v/>
      </c>
      <c r="D777" s="37" t="str">
        <f>IF(ORCAMENTOS!D785="","",ORCAMENTOS!D785)</f>
        <v>FL HVAC</v>
      </c>
      <c r="E777" s="38" t="str">
        <f>IF(ORCAMENTOS!E785="","",ORCAMENTOS!E785)</f>
        <v>SMART FIT - TATUAPE - SP</v>
      </c>
      <c r="F777" s="37" t="str">
        <f>IF(ORCAMENTOS!G785="","",ORCAMENTOS!G785)</f>
        <v>Guilherme</v>
      </c>
      <c r="G777" s="37" t="str">
        <f>IF(ORCAMENTOS!H785="","",ORCAMENTOS!H785)</f>
        <v>Ynnaie</v>
      </c>
      <c r="H777" s="39">
        <f>IF(ORCAMENTOS!I785="","",ORCAMENTOS!I785)</f>
        <v>91396.85</v>
      </c>
      <c r="I777" s="60" t="str">
        <f>IF(ORCAMENTOS!J785="","",ORCAMENTOS!J785)</f>
        <v/>
      </c>
      <c r="J777" s="40" t="str">
        <f>IF(ORCAMENTOS!L785="","",ORCAMENTOS!L785)</f>
        <v>CANCELADO</v>
      </c>
      <c r="K777" s="34" t="str">
        <f>IF(ORCAMENTOS!M785="","",ORCAMENTOS!M785)</f>
        <v>-</v>
      </c>
      <c r="L777" t="str">
        <f>IF(ORCAMENTOS!R785="","",ORCAMENTOS!R785)</f>
        <v>MPU</v>
      </c>
    </row>
    <row r="778" spans="1:12" ht="15.75" hidden="1" customHeight="1" x14ac:dyDescent="0.25">
      <c r="A778" s="36">
        <f>IF(ORCAMENTOS!A786="","",ORCAMENTOS!A786)</f>
        <v>45790</v>
      </c>
      <c r="B778" s="46">
        <f>IF(ORCAMENTOS!B786="","",ORCAMENTOS!B786)</f>
        <v>776</v>
      </c>
      <c r="C778" s="46" t="str">
        <f>IF(ORCAMENTOS!C786="","",ORCAMENTOS!C786)</f>
        <v/>
      </c>
      <c r="D778" s="37" t="str">
        <f>IF(ORCAMENTOS!D786="","",ORCAMENTOS!D786)</f>
        <v>RICH ENGENHARIA</v>
      </c>
      <c r="E778" s="38" t="str">
        <f>IF(ORCAMENTOS!E786="","",ORCAMENTOS!E786)</f>
        <v>-</v>
      </c>
      <c r="F778" s="37" t="str">
        <f>IF(ORCAMENTOS!G786="","",ORCAMENTOS!G786)</f>
        <v>Guilherme</v>
      </c>
      <c r="G778" s="37" t="str">
        <f>IF(ORCAMENTOS!H786="","",ORCAMENTOS!H786)</f>
        <v>Ricardo</v>
      </c>
      <c r="H778" s="39">
        <f>IF(ORCAMENTOS!I786="","",ORCAMENTOS!I786)</f>
        <v>1541.45</v>
      </c>
      <c r="I778" s="60" t="str">
        <f>IF(ORCAMENTOS!J786="","",ORCAMENTOS!J786)</f>
        <v/>
      </c>
      <c r="J778" s="40" t="str">
        <f>IF(ORCAMENTOS!L786="","",ORCAMENTOS!L786)</f>
        <v>FECHADO</v>
      </c>
      <c r="K778" s="34" t="str">
        <f>IF(ORCAMENTOS!M786="","",ORCAMENTOS!M786)</f>
        <v>-</v>
      </c>
      <c r="L778" t="str">
        <f>IF(ORCAMENTOS!R786="","",ORCAMENTOS!R786)</f>
        <v>-</v>
      </c>
    </row>
    <row r="779" spans="1:12" ht="15.75" hidden="1" customHeight="1" x14ac:dyDescent="0.25">
      <c r="A779" s="36">
        <f>IF(ORCAMENTOS!A787="","",ORCAMENTOS!A787)</f>
        <v>45789</v>
      </c>
      <c r="B779" s="46">
        <f>IF(ORCAMENTOS!B787="","",ORCAMENTOS!B787)</f>
        <v>777</v>
      </c>
      <c r="C779" s="46" t="str">
        <f>IF(ORCAMENTOS!C787="","",ORCAMENTOS!C787)</f>
        <v/>
      </c>
      <c r="D779" s="37" t="str">
        <f>IF(ORCAMENTOS!D787="","",ORCAMENTOS!D787)</f>
        <v>CLIMAFRIO</v>
      </c>
      <c r="E779" s="38" t="str">
        <f>IF(ORCAMENTOS!E787="","",ORCAMENTOS!E787)</f>
        <v>-</v>
      </c>
      <c r="F779" s="37" t="str">
        <f>IF(ORCAMENTOS!G787="","",ORCAMENTOS!G787)</f>
        <v>Gabriel</v>
      </c>
      <c r="G779" s="37" t="str">
        <f>IF(ORCAMENTOS!H787="","",ORCAMENTOS!H787)</f>
        <v>Gilvan</v>
      </c>
      <c r="H779" s="39">
        <f>IF(ORCAMENTOS!I787="","",ORCAMENTOS!I787)</f>
        <v>10007.280000000001</v>
      </c>
      <c r="I779" s="60" t="str">
        <f>IF(ORCAMENTOS!J787="","",ORCAMENTOS!J787)</f>
        <v/>
      </c>
      <c r="J779" s="40" t="str">
        <f>IF(ORCAMENTOS!L787="","",ORCAMENTOS!L787)</f>
        <v>CANCELADO</v>
      </c>
      <c r="K779" s="34" t="str">
        <f>IF(ORCAMENTOS!M787="","",ORCAMENTOS!M787)</f>
        <v>-</v>
      </c>
      <c r="L779" t="str">
        <f>IF(ORCAMENTOS!R787="","",ORCAMENTOS!R787)</f>
        <v>-</v>
      </c>
    </row>
    <row r="780" spans="1:12" ht="15.75" hidden="1" customHeight="1" x14ac:dyDescent="0.25">
      <c r="A780" s="36">
        <f>IF(ORCAMENTOS!A788="","",ORCAMENTOS!A788)</f>
        <v>45790</v>
      </c>
      <c r="B780" s="46">
        <f>IF(ORCAMENTOS!B788="","",ORCAMENTOS!B788)</f>
        <v>778</v>
      </c>
      <c r="C780" s="46" t="str">
        <f>IF(ORCAMENTOS!C788="","",ORCAMENTOS!C788)</f>
        <v/>
      </c>
      <c r="D780" s="37" t="str">
        <f>IF(ORCAMENTOS!D788="","",ORCAMENTOS!D788)</f>
        <v>REWELL OTAVIO</v>
      </c>
      <c r="E780" s="38" t="str">
        <f>IF(ORCAMENTOS!E788="","",ORCAMENTOS!E788)</f>
        <v>ESCOLA SENAI - DUQUE DE CAXIAS - ARACATUBA - SP</v>
      </c>
      <c r="F780" s="37" t="str">
        <f>IF(ORCAMENTOS!G788="","",ORCAMENTOS!G788)</f>
        <v>Gabriel</v>
      </c>
      <c r="G780" s="37" t="str">
        <f>IF(ORCAMENTOS!H788="","",ORCAMENTOS!H788)</f>
        <v>Rewell</v>
      </c>
      <c r="H780" s="39">
        <f>IF(ORCAMENTOS!I788="","",ORCAMENTOS!I788)</f>
        <v>2391.6</v>
      </c>
      <c r="I780" s="60" t="str">
        <f>IF(ORCAMENTOS!J788="","",ORCAMENTOS!J788)</f>
        <v/>
      </c>
      <c r="J780" s="40" t="str">
        <f>IF(ORCAMENTOS!L788="","",ORCAMENTOS!L788)</f>
        <v>CANCELADO</v>
      </c>
      <c r="K780" s="34" t="str">
        <f>IF(ORCAMENTOS!M788="","",ORCAMENTOS!M788)</f>
        <v>-</v>
      </c>
      <c r="L780" t="str">
        <f>IF(ORCAMENTOS!R788="","",ORCAMENTOS!R788)</f>
        <v>-</v>
      </c>
    </row>
    <row r="781" spans="1:12" ht="15.75" hidden="1" customHeight="1" x14ac:dyDescent="0.25">
      <c r="A781" s="36">
        <f>IF(ORCAMENTOS!A789="","",ORCAMENTOS!A789)</f>
        <v>45789</v>
      </c>
      <c r="B781" s="46">
        <f>IF(ORCAMENTOS!B789="","",ORCAMENTOS!B789)</f>
        <v>779</v>
      </c>
      <c r="C781" s="46" t="str">
        <f>IF(ORCAMENTOS!C789="","",ORCAMENTOS!C789)</f>
        <v/>
      </c>
      <c r="D781" s="37" t="str">
        <f>IF(ORCAMENTOS!D789="","",ORCAMENTOS!D789)</f>
        <v>DUTOLEX</v>
      </c>
      <c r="E781" s="38" t="str">
        <f>IF(ORCAMENTOS!E789="","",ORCAMENTOS!E789)</f>
        <v>SISNOR - HOSPITAL DO CORACAO</v>
      </c>
      <c r="F781" s="37" t="str">
        <f>IF(ORCAMENTOS!G789="","",ORCAMENTOS!G789)</f>
        <v>Gabriel</v>
      </c>
      <c r="G781" s="37" t="str">
        <f>IF(ORCAMENTOS!H789="","",ORCAMENTOS!H789)</f>
        <v>Alexandre</v>
      </c>
      <c r="H781" s="39">
        <f>IF(ORCAMENTOS!I789="","",ORCAMENTOS!I789)</f>
        <v>24035.19</v>
      </c>
      <c r="I781" s="60" t="str">
        <f>IF(ORCAMENTOS!J789="","",ORCAMENTOS!J789)</f>
        <v/>
      </c>
      <c r="J781" s="40" t="str">
        <f>IF(ORCAMENTOS!L789="","",ORCAMENTOS!L789)</f>
        <v>CANCELADO</v>
      </c>
      <c r="K781" s="34" t="str">
        <f>IF(ORCAMENTOS!M789="","",ORCAMENTOS!M789)</f>
        <v>-</v>
      </c>
      <c r="L781" t="str">
        <f>IF(ORCAMENTOS!R789="","",ORCAMENTOS!R789)</f>
        <v>-</v>
      </c>
    </row>
    <row r="782" spans="1:12" ht="15.75" hidden="1" customHeight="1" x14ac:dyDescent="0.25">
      <c r="A782" s="36">
        <f>IF(ORCAMENTOS!A790="","",ORCAMENTOS!A790)</f>
        <v>45789</v>
      </c>
      <c r="B782" s="46">
        <f>IF(ORCAMENTOS!B790="","",ORCAMENTOS!B790)</f>
        <v>780</v>
      </c>
      <c r="C782" s="46" t="str">
        <f>IF(ORCAMENTOS!C790="","",ORCAMENTOS!C790)</f>
        <v/>
      </c>
      <c r="D782" s="37" t="str">
        <f>IF(ORCAMENTOS!D790="","",ORCAMENTOS!D790)</f>
        <v>PIMENTA CLIMATIZACAO</v>
      </c>
      <c r="E782" s="38" t="str">
        <f>IF(ORCAMENTOS!E790="","",ORCAMENTOS!E790)</f>
        <v>-</v>
      </c>
      <c r="F782" s="37" t="str">
        <f>IF(ORCAMENTOS!G790="","",ORCAMENTOS!G790)</f>
        <v>Gabriel</v>
      </c>
      <c r="G782" s="37" t="str">
        <f>IF(ORCAMENTOS!H790="","",ORCAMENTOS!H790)</f>
        <v>Filipe</v>
      </c>
      <c r="H782" s="39">
        <f>IF(ORCAMENTOS!I790="","",ORCAMENTOS!I790)</f>
        <v>6743.46</v>
      </c>
      <c r="I782" s="60" t="str">
        <f>IF(ORCAMENTOS!J790="","",ORCAMENTOS!J790)</f>
        <v/>
      </c>
      <c r="J782" s="40" t="str">
        <f>IF(ORCAMENTOS!L790="","",ORCAMENTOS!L790)</f>
        <v>CANCELADO</v>
      </c>
      <c r="K782" s="34" t="str">
        <f>IF(ORCAMENTOS!M790="","",ORCAMENTOS!M790)</f>
        <v>-</v>
      </c>
      <c r="L782" t="str">
        <f>IF(ORCAMENTOS!R790="","",ORCAMENTOS!R790)</f>
        <v>-</v>
      </c>
    </row>
    <row r="783" spans="1:12" ht="15.75" hidden="1" customHeight="1" x14ac:dyDescent="0.25">
      <c r="A783" s="36">
        <f>IF(ORCAMENTOS!A791="","",ORCAMENTOS!A791)</f>
        <v>45789</v>
      </c>
      <c r="B783" s="46">
        <f>IF(ORCAMENTOS!B791="","",ORCAMENTOS!B791)</f>
        <v>781</v>
      </c>
      <c r="C783" s="46" t="str">
        <f>IF(ORCAMENTOS!C791="","",ORCAMENTOS!C791)</f>
        <v/>
      </c>
      <c r="D783" s="37" t="str">
        <f>IF(ORCAMENTOS!D791="","",ORCAMENTOS!D791)</f>
        <v>FL HVAC</v>
      </c>
      <c r="E783" s="38" t="str">
        <f>IF(ORCAMENTOS!E791="","",ORCAMENTOS!E791)</f>
        <v>SMART FIT - MARINGA - PR</v>
      </c>
      <c r="F783" s="37" t="str">
        <f>IF(ORCAMENTOS!G791="","",ORCAMENTOS!G791)</f>
        <v>Guilherme</v>
      </c>
      <c r="G783" s="37" t="str">
        <f>IF(ORCAMENTOS!H791="","",ORCAMENTOS!H791)</f>
        <v>Ynnaie</v>
      </c>
      <c r="H783" s="39">
        <f>IF(ORCAMENTOS!I791="","",ORCAMENTOS!I791)</f>
        <v>52591.79</v>
      </c>
      <c r="I783" s="60" t="str">
        <f>IF(ORCAMENTOS!J791="","",ORCAMENTOS!J791)</f>
        <v/>
      </c>
      <c r="J783" s="40" t="str">
        <f>IF(ORCAMENTOS!L791="","",ORCAMENTOS!L791)</f>
        <v>CANCELADO</v>
      </c>
      <c r="K783" s="34" t="str">
        <f>IF(ORCAMENTOS!M791="","",ORCAMENTOS!M791)</f>
        <v>FECHADO PELA SESIL-AR</v>
      </c>
      <c r="L783" t="str">
        <f>IF(ORCAMENTOS!R791="","",ORCAMENTOS!R791)</f>
        <v>MPU</v>
      </c>
    </row>
    <row r="784" spans="1:12" ht="15.75" hidden="1" customHeight="1" x14ac:dyDescent="0.25">
      <c r="A784" s="36">
        <f>IF(ORCAMENTOS!A792="","",ORCAMENTOS!A792)</f>
        <v>45789</v>
      </c>
      <c r="B784" s="46">
        <f>IF(ORCAMENTOS!B792="","",ORCAMENTOS!B792)</f>
        <v>782</v>
      </c>
      <c r="C784" s="46" t="str">
        <f>IF(ORCAMENTOS!C792="","",ORCAMENTOS!C792)</f>
        <v/>
      </c>
      <c r="D784" s="37" t="str">
        <f>IF(ORCAMENTOS!D792="","",ORCAMENTOS!D792)</f>
        <v>AVM COMERCIO</v>
      </c>
      <c r="E784" s="38" t="str">
        <f>IF(ORCAMENTOS!E792="","",ORCAMENTOS!E792)</f>
        <v>-</v>
      </c>
      <c r="F784" s="37" t="str">
        <f>IF(ORCAMENTOS!G792="","",ORCAMENTOS!G792)</f>
        <v>Gabriel</v>
      </c>
      <c r="G784" s="37" t="str">
        <f>IF(ORCAMENTOS!H792="","",ORCAMENTOS!H792)</f>
        <v>Guilherme</v>
      </c>
      <c r="H784" s="39">
        <f>IF(ORCAMENTOS!I792="","",ORCAMENTOS!I792)</f>
        <v>11420.46</v>
      </c>
      <c r="I784" s="60" t="str">
        <f>IF(ORCAMENTOS!J792="","",ORCAMENTOS!J792)</f>
        <v/>
      </c>
      <c r="J784" s="40" t="str">
        <f>IF(ORCAMENTOS!L792="","",ORCAMENTOS!L792)</f>
        <v>CANCELADO</v>
      </c>
      <c r="K784" s="34" t="str">
        <f>IF(ORCAMENTOS!M792="","",ORCAMENTOS!M792)</f>
        <v>-</v>
      </c>
      <c r="L784" t="str">
        <f>IF(ORCAMENTOS!R792="","",ORCAMENTOS!R792)</f>
        <v>-</v>
      </c>
    </row>
    <row r="785" spans="1:12" ht="15.75" hidden="1" customHeight="1" x14ac:dyDescent="0.25">
      <c r="A785" s="36">
        <f>IF(ORCAMENTOS!A793="","",ORCAMENTOS!A793)</f>
        <v>45789</v>
      </c>
      <c r="B785" s="46">
        <f>IF(ORCAMENTOS!B793="","",ORCAMENTOS!B793)</f>
        <v>783</v>
      </c>
      <c r="C785" s="46" t="str">
        <f>IF(ORCAMENTOS!C793="","",ORCAMENTOS!C793)</f>
        <v/>
      </c>
      <c r="D785" s="37" t="str">
        <f>IF(ORCAMENTOS!D793="","",ORCAMENTOS!D793)</f>
        <v>ENERGY AIR</v>
      </c>
      <c r="E785" s="38" t="str">
        <f>IF(ORCAMENTOS!E793="","",ORCAMENTOS!E793)</f>
        <v>-</v>
      </c>
      <c r="F785" s="37" t="str">
        <f>IF(ORCAMENTOS!G793="","",ORCAMENTOS!G793)</f>
        <v xml:space="preserve">Aldavir </v>
      </c>
      <c r="G785" s="37" t="str">
        <f>IF(ORCAMENTOS!H793="","",ORCAMENTOS!H793)</f>
        <v/>
      </c>
      <c r="H785" s="39" t="str">
        <f>IF(ORCAMENTOS!I793="","",ORCAMENTOS!I793)</f>
        <v/>
      </c>
      <c r="I785" s="60" t="str">
        <f>IF(ORCAMENTOS!J793="","",ORCAMENTOS!J793)</f>
        <v/>
      </c>
      <c r="J785" s="40" t="str">
        <f>IF(ORCAMENTOS!L793="","",ORCAMENTOS!L793)</f>
        <v>CANCELADO</v>
      </c>
      <c r="K785" s="34" t="str">
        <f>IF(ORCAMENTOS!M793="","",ORCAMENTOS!M793)</f>
        <v/>
      </c>
      <c r="L785" t="str">
        <f>IF(ORCAMENTOS!R793="","",ORCAMENTOS!R793)</f>
        <v>-</v>
      </c>
    </row>
    <row r="786" spans="1:12" ht="15.75" hidden="1" customHeight="1" x14ac:dyDescent="0.25">
      <c r="A786" s="36">
        <f>IF(ORCAMENTOS!A794="","",ORCAMENTOS!A794)</f>
        <v>45790</v>
      </c>
      <c r="B786" s="46">
        <f>IF(ORCAMENTOS!B794="","",ORCAMENTOS!B794)</f>
        <v>784</v>
      </c>
      <c r="C786" s="46" t="str">
        <f>IF(ORCAMENTOS!C794="","",ORCAMENTOS!C794)</f>
        <v/>
      </c>
      <c r="D786" s="37" t="str">
        <f>IF(ORCAMENTOS!D794="","",ORCAMENTOS!D794)</f>
        <v>NEW AIR</v>
      </c>
      <c r="E786" s="38" t="str">
        <f>IF(ORCAMENTOS!E794="","",ORCAMENTOS!E794)</f>
        <v>-</v>
      </c>
      <c r="F786" s="37" t="str">
        <f>IF(ORCAMENTOS!G794="","",ORCAMENTOS!G794)</f>
        <v>Fernando</v>
      </c>
      <c r="G786" s="37" t="str">
        <f>IF(ORCAMENTOS!H794="","",ORCAMENTOS!H794)</f>
        <v>Igor</v>
      </c>
      <c r="H786" s="39">
        <f>IF(ORCAMENTOS!I794="","",ORCAMENTOS!I794)</f>
        <v>4898.3599999999997</v>
      </c>
      <c r="I786" s="60" t="str">
        <f>IF(ORCAMENTOS!J794="","",ORCAMENTOS!J794)</f>
        <v/>
      </c>
      <c r="J786" s="40" t="str">
        <f>IF(ORCAMENTOS!L794="","",ORCAMENTOS!L794)</f>
        <v>FECHADO</v>
      </c>
      <c r="K786" s="34" t="str">
        <f>IF(ORCAMENTOS!M794="","",ORCAMENTOS!M794)</f>
        <v>-</v>
      </c>
      <c r="L786" t="str">
        <f>IF(ORCAMENTOS!R794="","",ORCAMENTOS!R794)</f>
        <v>-</v>
      </c>
    </row>
    <row r="787" spans="1:12" ht="15.75" hidden="1" customHeight="1" x14ac:dyDescent="0.25">
      <c r="A787" s="36">
        <f>IF(ORCAMENTOS!A795="","",ORCAMENTOS!A795)</f>
        <v>45790</v>
      </c>
      <c r="B787" s="46">
        <f>IF(ORCAMENTOS!B795="","",ORCAMENTOS!B795)</f>
        <v>785</v>
      </c>
      <c r="C787" s="46" t="str">
        <f>IF(ORCAMENTOS!C795="","",ORCAMENTOS!C795)</f>
        <v/>
      </c>
      <c r="D787" s="37" t="str">
        <f>IF(ORCAMENTOS!D795="","",ORCAMENTOS!D795)</f>
        <v>ARB ASSESSORIA</v>
      </c>
      <c r="E787" s="38" t="str">
        <f>IF(ORCAMENTOS!E795="","",ORCAMENTOS!E795)</f>
        <v>-</v>
      </c>
      <c r="F787" s="37" t="str">
        <f>IF(ORCAMENTOS!G795="","",ORCAMENTOS!G795)</f>
        <v>Gabriel</v>
      </c>
      <c r="G787" s="37" t="str">
        <f>IF(ORCAMENTOS!H795="","",ORCAMENTOS!H795)</f>
        <v>Abdul</v>
      </c>
      <c r="H787" s="39">
        <f>IF(ORCAMENTOS!I795="","",ORCAMENTOS!I795)</f>
        <v>10695.11</v>
      </c>
      <c r="I787" s="60" t="str">
        <f>IF(ORCAMENTOS!J795="","",ORCAMENTOS!J795)</f>
        <v/>
      </c>
      <c r="J787" s="40" t="str">
        <f>IF(ORCAMENTOS!L795="","",ORCAMENTOS!L795)</f>
        <v>CANCELADO</v>
      </c>
      <c r="K787" s="34" t="str">
        <f>IF(ORCAMENTOS!M795="","",ORCAMENTOS!M795)</f>
        <v>-</v>
      </c>
      <c r="L787" t="str">
        <f>IF(ORCAMENTOS!R795="","",ORCAMENTOS!R795)</f>
        <v>-</v>
      </c>
    </row>
    <row r="788" spans="1:12" ht="15.75" hidden="1" customHeight="1" x14ac:dyDescent="0.25">
      <c r="A788" s="36">
        <f>IF(ORCAMENTOS!A796="","",ORCAMENTOS!A796)</f>
        <v>45790</v>
      </c>
      <c r="B788" s="46">
        <f>IF(ORCAMENTOS!B796="","",ORCAMENTOS!B796)</f>
        <v>786</v>
      </c>
      <c r="C788" s="46" t="str">
        <f>IF(ORCAMENTOS!C796="","",ORCAMENTOS!C796)</f>
        <v/>
      </c>
      <c r="D788" s="37" t="str">
        <f>IF(ORCAMENTOS!D796="","",ORCAMENTOS!D796)</f>
        <v>CONFORTO ENGENHARIA</v>
      </c>
      <c r="E788" s="38" t="str">
        <f>IF(ORCAMENTOS!E796="","",ORCAMENTOS!E796)</f>
        <v>LEOPOLDO</v>
      </c>
      <c r="F788" s="37" t="str">
        <f>IF(ORCAMENTOS!G796="","",ORCAMENTOS!G796)</f>
        <v>Michel</v>
      </c>
      <c r="G788" s="37" t="str">
        <f>IF(ORCAMENTOS!H796="","",ORCAMENTOS!H796)</f>
        <v>Kaine</v>
      </c>
      <c r="H788" s="39">
        <f>IF(ORCAMENTOS!I796="","",ORCAMENTOS!I796)</f>
        <v>6214.52</v>
      </c>
      <c r="I788" s="60" t="str">
        <f>IF(ORCAMENTOS!J796="","",ORCAMENTOS!J796)</f>
        <v/>
      </c>
      <c r="J788" s="40" t="str">
        <f>IF(ORCAMENTOS!L796="","",ORCAMENTOS!L796)</f>
        <v>FECHADO</v>
      </c>
      <c r="K788" s="34" t="str">
        <f>IF(ORCAMENTOS!M796="","",ORCAMENTOS!M796)</f>
        <v>-</v>
      </c>
      <c r="L788" t="str">
        <f>IF(ORCAMENTOS!R796="","",ORCAMENTOS!R796)</f>
        <v>-</v>
      </c>
    </row>
    <row r="789" spans="1:12" ht="15.75" hidden="1" customHeight="1" x14ac:dyDescent="0.25">
      <c r="A789" s="36">
        <f>IF(ORCAMENTOS!A797="","",ORCAMENTOS!A797)</f>
        <v>45790</v>
      </c>
      <c r="B789" s="46">
        <f>IF(ORCAMENTOS!B797="","",ORCAMENTOS!B797)</f>
        <v>787</v>
      </c>
      <c r="C789" s="46" t="str">
        <f>IF(ORCAMENTOS!C797="","",ORCAMENTOS!C797)</f>
        <v/>
      </c>
      <c r="D789" s="37" t="str">
        <f>IF(ORCAMENTOS!D797="","",ORCAMENTOS!D797)</f>
        <v>KONAR</v>
      </c>
      <c r="E789" s="38" t="str">
        <f>IF(ORCAMENTOS!E797="","",ORCAMENTOS!E797)</f>
        <v>CH - Retrofit ED. BRASÍLIO MACHADO</v>
      </c>
      <c r="F789" s="37" t="str">
        <f>IF(ORCAMENTOS!G797="","",ORCAMENTOS!G797)</f>
        <v>Michel</v>
      </c>
      <c r="G789" s="37" t="str">
        <f>IF(ORCAMENTOS!H797="","",ORCAMENTOS!H797)</f>
        <v>Fabio</v>
      </c>
      <c r="H789" s="39">
        <f>IF(ORCAMENTOS!I797="","",ORCAMENTOS!I797)</f>
        <v>37599.129999999997</v>
      </c>
      <c r="I789" s="60" t="str">
        <f>IF(ORCAMENTOS!J797="","",ORCAMENTOS!J797)</f>
        <v/>
      </c>
      <c r="J789" s="40" t="str">
        <f>IF(ORCAMENTOS!L797="","",ORCAMENTOS!L797)</f>
        <v>PERDIDO</v>
      </c>
      <c r="K789" s="34" t="str">
        <f>IF(ORCAMENTOS!M797="","",ORCAMENTOS!M797)</f>
        <v>ARCOTEC - PACOTE</v>
      </c>
      <c r="L789" t="str">
        <f>IF(ORCAMENTOS!R797="","",ORCAMENTOS!R797)</f>
        <v>-</v>
      </c>
    </row>
    <row r="790" spans="1:12" ht="15.75" hidden="1" customHeight="1" x14ac:dyDescent="0.25">
      <c r="A790" s="36">
        <f>IF(ORCAMENTOS!A798="","",ORCAMENTOS!A798)</f>
        <v>45790</v>
      </c>
      <c r="B790" s="46">
        <f>IF(ORCAMENTOS!B798="","",ORCAMENTOS!B798)</f>
        <v>788</v>
      </c>
      <c r="C790" s="46" t="str">
        <f>IF(ORCAMENTOS!C798="","",ORCAMENTOS!C798)</f>
        <v/>
      </c>
      <c r="D790" s="37" t="str">
        <f>IF(ORCAMENTOS!D798="","",ORCAMENTOS!D798)</f>
        <v>FRIOSHOPPING</v>
      </c>
      <c r="E790" s="38" t="str">
        <f>IF(ORCAMENTOS!E798="","",ORCAMENTOS!E798)</f>
        <v>-</v>
      </c>
      <c r="F790" s="37" t="str">
        <f>IF(ORCAMENTOS!G798="","",ORCAMENTOS!G798)</f>
        <v>Emanuel</v>
      </c>
      <c r="G790" s="37" t="str">
        <f>IF(ORCAMENTOS!H798="","",ORCAMENTOS!H798)</f>
        <v>Jose</v>
      </c>
      <c r="H790" s="39">
        <f>IF(ORCAMENTOS!I798="","",ORCAMENTOS!I798)</f>
        <v>3618.29</v>
      </c>
      <c r="I790" s="60" t="str">
        <f>IF(ORCAMENTOS!J798="","",ORCAMENTOS!J798)</f>
        <v/>
      </c>
      <c r="J790" s="40" t="str">
        <f>IF(ORCAMENTOS!L798="","",ORCAMENTOS!L798)</f>
        <v>CANCELADO</v>
      </c>
      <c r="K790" s="34" t="str">
        <f>IF(ORCAMENTOS!M798="","",ORCAMENTOS!M798)</f>
        <v>-</v>
      </c>
      <c r="L790" t="str">
        <f>IF(ORCAMENTOS!R798="","",ORCAMENTOS!R798)</f>
        <v>-</v>
      </c>
    </row>
    <row r="791" spans="1:12" ht="15.75" hidden="1" customHeight="1" x14ac:dyDescent="0.25">
      <c r="A791" s="36">
        <f>IF(ORCAMENTOS!A799="","",ORCAMENTOS!A799)</f>
        <v>45790</v>
      </c>
      <c r="B791" s="46">
        <f>IF(ORCAMENTOS!B799="","",ORCAMENTOS!B799)</f>
        <v>789</v>
      </c>
      <c r="C791" s="46" t="str">
        <f>IF(ORCAMENTOS!C799="","",ORCAMENTOS!C799)</f>
        <v/>
      </c>
      <c r="D791" s="37" t="str">
        <f>IF(ORCAMENTOS!D799="","",ORCAMENTOS!D799)</f>
        <v>AMS INSTALACOES</v>
      </c>
      <c r="E791" s="38" t="str">
        <f>IF(ORCAMENTOS!E799="","",ORCAMENTOS!E799)</f>
        <v>ASSAI - JACAREPAGUA - RIO DE JANEIRO - RJ - COZINHA</v>
      </c>
      <c r="F791" s="37" t="str">
        <f>IF(ORCAMENTOS!G799="","",ORCAMENTOS!G799)</f>
        <v>Gabriel</v>
      </c>
      <c r="G791" s="37" t="str">
        <f>IF(ORCAMENTOS!H799="","",ORCAMENTOS!H799)</f>
        <v>Albertino</v>
      </c>
      <c r="H791" s="39">
        <f>IF(ORCAMENTOS!I799="","",ORCAMENTOS!I799)</f>
        <v>9626.9500000000007</v>
      </c>
      <c r="I791" s="60" t="str">
        <f>IF(ORCAMENTOS!J799="","",ORCAMENTOS!J799)</f>
        <v/>
      </c>
      <c r="J791" s="40" t="str">
        <f>IF(ORCAMENTOS!L799="","",ORCAMENTOS!L799)</f>
        <v>CANCELADO</v>
      </c>
      <c r="K791" s="34" t="str">
        <f>IF(ORCAMENTOS!M799="","",ORCAMENTOS!M799)</f>
        <v>-</v>
      </c>
      <c r="L791" t="str">
        <f>IF(ORCAMENTOS!R799="","",ORCAMENTOS!R799)</f>
        <v>MPU</v>
      </c>
    </row>
    <row r="792" spans="1:12" ht="15.75" hidden="1" customHeight="1" x14ac:dyDescent="0.25">
      <c r="A792" s="36">
        <f>IF(ORCAMENTOS!A800="","",ORCAMENTOS!A800)</f>
        <v>45790</v>
      </c>
      <c r="B792" s="46">
        <f>IF(ORCAMENTOS!B800="","",ORCAMENTOS!B800)</f>
        <v>790</v>
      </c>
      <c r="C792" s="46" t="str">
        <f>IF(ORCAMENTOS!C800="","",ORCAMENTOS!C800)</f>
        <v/>
      </c>
      <c r="D792" s="37" t="str">
        <f>IF(ORCAMENTOS!D800="","",ORCAMENTOS!D800)</f>
        <v>AMS INSTALACOES</v>
      </c>
      <c r="E792" s="38" t="str">
        <f>IF(ORCAMENTOS!E800="","",ORCAMENTOS!E800)</f>
        <v>ASSAI - JACAREPAGUA - RIO DE JANEIRO - RJ - ADM</v>
      </c>
      <c r="F792" s="37" t="str">
        <f>IF(ORCAMENTOS!G800="","",ORCAMENTOS!G800)</f>
        <v>Gabriel</v>
      </c>
      <c r="G792" s="37" t="str">
        <f>IF(ORCAMENTOS!H800="","",ORCAMENTOS!H800)</f>
        <v>Albertino</v>
      </c>
      <c r="H792" s="39">
        <f>IF(ORCAMENTOS!I800="","",ORCAMENTOS!I800)</f>
        <v>40282.99</v>
      </c>
      <c r="I792" s="60" t="str">
        <f>IF(ORCAMENTOS!J800="","",ORCAMENTOS!J800)</f>
        <v/>
      </c>
      <c r="J792" s="40" t="str">
        <f>IF(ORCAMENTOS!L800="","",ORCAMENTOS!L800)</f>
        <v>CANCELADO</v>
      </c>
      <c r="K792" s="34" t="str">
        <f>IF(ORCAMENTOS!M800="","",ORCAMENTOS!M800)</f>
        <v>-</v>
      </c>
      <c r="L792" t="str">
        <f>IF(ORCAMENTOS!R800="","",ORCAMENTOS!R800)</f>
        <v>MPU</v>
      </c>
    </row>
    <row r="793" spans="1:12" ht="15.75" hidden="1" customHeight="1" x14ac:dyDescent="0.25">
      <c r="A793" s="36">
        <f>IF(ORCAMENTOS!A801="","",ORCAMENTOS!A801)</f>
        <v>45790</v>
      </c>
      <c r="B793" s="46">
        <f>IF(ORCAMENTOS!B801="","",ORCAMENTOS!B801)</f>
        <v>791</v>
      </c>
      <c r="C793" s="46" t="str">
        <f>IF(ORCAMENTOS!C801="","",ORCAMENTOS!C801)</f>
        <v/>
      </c>
      <c r="D793" s="37" t="str">
        <f>IF(ORCAMENTOS!D801="","",ORCAMENTOS!D801)</f>
        <v>AMS INSTALACOES</v>
      </c>
      <c r="E793" s="38" t="str">
        <f>IF(ORCAMENTOS!E801="","",ORCAMENTOS!E801)</f>
        <v>ASSAI - JACAREPAGUA - RIO DE JANEIRO - RJ - SALAO DE VENDAS</v>
      </c>
      <c r="F793" s="37" t="str">
        <f>IF(ORCAMENTOS!G801="","",ORCAMENTOS!G801)</f>
        <v>Gabriel</v>
      </c>
      <c r="G793" s="37" t="str">
        <f>IF(ORCAMENTOS!H801="","",ORCAMENTOS!H801)</f>
        <v>Albertino</v>
      </c>
      <c r="H793" s="39">
        <f>IF(ORCAMENTOS!I801="","",ORCAMENTOS!I801)</f>
        <v>219115.32</v>
      </c>
      <c r="I793" s="60" t="str">
        <f>IF(ORCAMENTOS!J801="","",ORCAMENTOS!J801)</f>
        <v/>
      </c>
      <c r="J793" s="40" t="str">
        <f>IF(ORCAMENTOS!L801="","",ORCAMENTOS!L801)</f>
        <v>CANCELADO</v>
      </c>
      <c r="K793" s="34" t="str">
        <f>IF(ORCAMENTOS!M801="","",ORCAMENTOS!M801)</f>
        <v>-</v>
      </c>
      <c r="L793" t="str">
        <f>IF(ORCAMENTOS!R801="","",ORCAMENTOS!R801)</f>
        <v>MPU</v>
      </c>
    </row>
    <row r="794" spans="1:12" ht="15.75" hidden="1" customHeight="1" x14ac:dyDescent="0.25">
      <c r="A794" s="36">
        <f>IF(ORCAMENTOS!A802="","",ORCAMENTOS!A802)</f>
        <v>45790</v>
      </c>
      <c r="B794" s="46">
        <f>IF(ORCAMENTOS!B802="","",ORCAMENTOS!B802)</f>
        <v>792</v>
      </c>
      <c r="C794" s="46" t="str">
        <f>IF(ORCAMENTOS!C802="","",ORCAMENTOS!C802)</f>
        <v/>
      </c>
      <c r="D794" s="37" t="str">
        <f>IF(ORCAMENTOS!D802="","",ORCAMENTOS!D802)</f>
        <v>RECLIMA</v>
      </c>
      <c r="E794" s="38" t="str">
        <f>IF(ORCAMENTOS!E802="","",ORCAMENTOS!E802)</f>
        <v>-</v>
      </c>
      <c r="F794" s="37" t="str">
        <f>IF(ORCAMENTOS!G802="","",ORCAMENTOS!G802)</f>
        <v>Michel</v>
      </c>
      <c r="G794" s="37" t="str">
        <f>IF(ORCAMENTOS!H802="","",ORCAMENTOS!H802)</f>
        <v>Renata</v>
      </c>
      <c r="H794" s="39">
        <f>IF(ORCAMENTOS!I802="","",ORCAMENTOS!I802)</f>
        <v>3618.29</v>
      </c>
      <c r="I794" s="60" t="str">
        <f>IF(ORCAMENTOS!J802="","",ORCAMENTOS!J802)</f>
        <v/>
      </c>
      <c r="J794" s="40" t="str">
        <f>IF(ORCAMENTOS!L802="","",ORCAMENTOS!L802)</f>
        <v>FECHADO</v>
      </c>
      <c r="K794" s="34" t="str">
        <f>IF(ORCAMENTOS!M802="","",ORCAMENTOS!M802)</f>
        <v>-</v>
      </c>
      <c r="L794" t="str">
        <f>IF(ORCAMENTOS!R802="","",ORCAMENTOS!R802)</f>
        <v>-</v>
      </c>
    </row>
    <row r="795" spans="1:12" ht="15.75" hidden="1" customHeight="1" x14ac:dyDescent="0.25">
      <c r="A795" s="36">
        <f>IF(ORCAMENTOS!A803="","",ORCAMENTOS!A803)</f>
        <v>45790</v>
      </c>
      <c r="B795" s="46">
        <f>IF(ORCAMENTOS!B803="","",ORCAMENTOS!B803)</f>
        <v>793</v>
      </c>
      <c r="C795" s="46" t="str">
        <f>IF(ORCAMENTOS!C803="","",ORCAMENTOS!C803)</f>
        <v/>
      </c>
      <c r="D795" s="37" t="str">
        <f>IF(ORCAMENTOS!D803="","",ORCAMENTOS!D803)</f>
        <v>FANCOLD SERVICE</v>
      </c>
      <c r="E795" s="38" t="str">
        <f>IF(ORCAMENTOS!E803="","",ORCAMENTOS!E803)</f>
        <v>AMYRIS BIOTECNOLOGIA - CAMPINAS - SP</v>
      </c>
      <c r="F795" s="37" t="str">
        <f>IF(ORCAMENTOS!G803="","",ORCAMENTOS!G803)</f>
        <v>Michel</v>
      </c>
      <c r="G795" s="37" t="str">
        <f>IF(ORCAMENTOS!H803="","",ORCAMENTOS!H803)</f>
        <v>Luis</v>
      </c>
      <c r="H795" s="39">
        <f>IF(ORCAMENTOS!I803="","",ORCAMENTOS!I803)</f>
        <v>29332.78</v>
      </c>
      <c r="I795" s="60" t="str">
        <f>IF(ORCAMENTOS!J803="","",ORCAMENTOS!J803)</f>
        <v/>
      </c>
      <c r="J795" s="40" t="str">
        <f>IF(ORCAMENTOS!L803="","",ORCAMENTOS!L803)</f>
        <v>FECHADO</v>
      </c>
      <c r="K795" s="34" t="str">
        <f>IF(ORCAMENTOS!M803="","",ORCAMENTOS!M803)</f>
        <v>REVISÃO DE PROJETO</v>
      </c>
      <c r="L795" t="str">
        <f>IF(ORCAMENTOS!R803="","",ORCAMENTOS!R803)</f>
        <v>N/E</v>
      </c>
    </row>
    <row r="796" spans="1:12" ht="15.75" hidden="1" customHeight="1" x14ac:dyDescent="0.25">
      <c r="A796" s="36">
        <f>IF(ORCAMENTOS!A804="","",ORCAMENTOS!A804)</f>
        <v>45791</v>
      </c>
      <c r="B796" s="46">
        <f>IF(ORCAMENTOS!B804="","",ORCAMENTOS!B804)</f>
        <v>794</v>
      </c>
      <c r="C796" s="46" t="str">
        <f>IF(ORCAMENTOS!C804="","",ORCAMENTOS!C804)</f>
        <v/>
      </c>
      <c r="D796" s="37" t="str">
        <f>IF(ORCAMENTOS!D804="","",ORCAMENTOS!D804)</f>
        <v>AGR ENGENHARIA</v>
      </c>
      <c r="E796" s="38" t="str">
        <f>IF(ORCAMENTOS!E804="","",ORCAMENTOS!E804)</f>
        <v>-</v>
      </c>
      <c r="F796" s="37" t="str">
        <f>IF(ORCAMENTOS!G804="","",ORCAMENTOS!G804)</f>
        <v>Gabriel</v>
      </c>
      <c r="G796" s="37" t="str">
        <f>IF(ORCAMENTOS!H804="","",ORCAMENTOS!H804)</f>
        <v>Cristofher</v>
      </c>
      <c r="H796" s="39">
        <f>IF(ORCAMENTOS!I804="","",ORCAMENTOS!I804)</f>
        <v>62255.42</v>
      </c>
      <c r="I796" s="60" t="str">
        <f>IF(ORCAMENTOS!J804="","",ORCAMENTOS!J804)</f>
        <v/>
      </c>
      <c r="J796" s="40" t="str">
        <f>IF(ORCAMENTOS!L804="","",ORCAMENTOS!L804)</f>
        <v>CANCELADO</v>
      </c>
      <c r="K796" s="34" t="str">
        <f>IF(ORCAMENTOS!M804="","",ORCAMENTOS!M804)</f>
        <v>-</v>
      </c>
      <c r="L796" t="str">
        <f>IF(ORCAMENTOS!R804="","",ORCAMENTOS!R804)</f>
        <v>-</v>
      </c>
    </row>
    <row r="797" spans="1:12" ht="15.75" hidden="1" customHeight="1" x14ac:dyDescent="0.25">
      <c r="A797" s="36">
        <f>IF(ORCAMENTOS!A805="","",ORCAMENTOS!A805)</f>
        <v>45791</v>
      </c>
      <c r="B797" s="46">
        <f>IF(ORCAMENTOS!B805="","",ORCAMENTOS!B805)</f>
        <v>795</v>
      </c>
      <c r="C797" s="46" t="str">
        <f>IF(ORCAMENTOS!C805="","",ORCAMENTOS!C805)</f>
        <v/>
      </c>
      <c r="D797" s="37" t="str">
        <f>IF(ORCAMENTOS!D805="","",ORCAMENTOS!D805)</f>
        <v>RM3 ENGENHARIA</v>
      </c>
      <c r="E797" s="38" t="str">
        <f>IF(ORCAMENTOS!E805="","",ORCAMENTOS!E805)</f>
        <v>-</v>
      </c>
      <c r="F797" s="37" t="str">
        <f>IF(ORCAMENTOS!G805="","",ORCAMENTOS!G805)</f>
        <v>Guilherme</v>
      </c>
      <c r="G797" s="37" t="str">
        <f>IF(ORCAMENTOS!H805="","",ORCAMENTOS!H805)</f>
        <v>Janice</v>
      </c>
      <c r="H797" s="39">
        <f>IF(ORCAMENTOS!I805="","",ORCAMENTOS!I805)</f>
        <v>75195.16</v>
      </c>
      <c r="I797" s="60" t="str">
        <f>IF(ORCAMENTOS!J805="","",ORCAMENTOS!J805)</f>
        <v/>
      </c>
      <c r="J797" s="40" t="str">
        <f>IF(ORCAMENTOS!L805="","",ORCAMENTOS!L805)</f>
        <v>FECHADO</v>
      </c>
      <c r="K797" s="34" t="str">
        <f>IF(ORCAMENTOS!M805="","",ORCAMENTOS!M805)</f>
        <v>-</v>
      </c>
      <c r="L797" t="str">
        <f>IF(ORCAMENTOS!R805="","",ORCAMENTOS!R805)</f>
        <v>-</v>
      </c>
    </row>
    <row r="798" spans="1:12" ht="15.75" hidden="1" customHeight="1" x14ac:dyDescent="0.25">
      <c r="A798" s="36">
        <f>IF(ORCAMENTOS!A806="","",ORCAMENTOS!A806)</f>
        <v>45791</v>
      </c>
      <c r="B798" s="46">
        <f>IF(ORCAMENTOS!B806="","",ORCAMENTOS!B806)</f>
        <v>796</v>
      </c>
      <c r="C798" s="46" t="str">
        <f>IF(ORCAMENTOS!C806="","",ORCAMENTOS!C806)</f>
        <v/>
      </c>
      <c r="D798" s="37" t="str">
        <f>IF(ORCAMENTOS!D806="","",ORCAMENTOS!D806)</f>
        <v>AIRPLAN</v>
      </c>
      <c r="E798" s="38" t="str">
        <f>IF(ORCAMENTOS!E806="","",ORCAMENTOS!E806)</f>
        <v>NIKE RISE - IGUATEMI CAMPINAS</v>
      </c>
      <c r="F798" s="37" t="str">
        <f>IF(ORCAMENTOS!G806="","",ORCAMENTOS!G806)</f>
        <v>Gabriel</v>
      </c>
      <c r="G798" s="37" t="str">
        <f>IF(ORCAMENTOS!H806="","",ORCAMENTOS!H806)</f>
        <v>Laercio</v>
      </c>
      <c r="H798" s="39">
        <f>IF(ORCAMENTOS!I806="","",ORCAMENTOS!I806)</f>
        <v>60980.91</v>
      </c>
      <c r="I798" s="60" t="str">
        <f>IF(ORCAMENTOS!J806="","",ORCAMENTOS!J806)</f>
        <v/>
      </c>
      <c r="J798" s="40" t="str">
        <f>IF(ORCAMENTOS!L806="","",ORCAMENTOS!L806)</f>
        <v>FECHADO</v>
      </c>
      <c r="K798" s="34" t="str">
        <f>IF(ORCAMENTOS!M806="","",ORCAMENTOS!M806)</f>
        <v>-</v>
      </c>
      <c r="L798" t="str">
        <f>IF(ORCAMENTOS!R806="","",ORCAMENTOS!R806)</f>
        <v>MPU</v>
      </c>
    </row>
    <row r="799" spans="1:12" ht="15.75" hidden="1" customHeight="1" x14ac:dyDescent="0.25">
      <c r="A799" s="36">
        <f>IF(ORCAMENTOS!A807="","",ORCAMENTOS!A807)</f>
        <v>45791</v>
      </c>
      <c r="B799" s="46">
        <f>IF(ORCAMENTOS!B807="","",ORCAMENTOS!B807)</f>
        <v>797</v>
      </c>
      <c r="C799" s="46" t="str">
        <f>IF(ORCAMENTOS!C807="","",ORCAMENTOS!C807)</f>
        <v/>
      </c>
      <c r="D799" s="37" t="str">
        <f>IF(ORCAMENTOS!D807="","",ORCAMENTOS!D807)</f>
        <v>AWA AR CONDICIONADO</v>
      </c>
      <c r="E799" s="38" t="str">
        <f>IF(ORCAMENTOS!E807="","",ORCAMENTOS!E807)</f>
        <v>CENTAURO - SHOPPING RIO PRETO</v>
      </c>
      <c r="F799" s="37" t="str">
        <f>IF(ORCAMENTOS!G807="","",ORCAMENTOS!G807)</f>
        <v>Guilherme</v>
      </c>
      <c r="G799" s="37" t="str">
        <f>IF(ORCAMENTOS!H807="","",ORCAMENTOS!H807)</f>
        <v>Guilherme</v>
      </c>
      <c r="H799" s="39">
        <f>IF(ORCAMENTOS!I807="","",ORCAMENTOS!I807)</f>
        <v>70461.83</v>
      </c>
      <c r="I799" s="60" t="str">
        <f>IF(ORCAMENTOS!J807="","",ORCAMENTOS!J807)</f>
        <v/>
      </c>
      <c r="J799" s="40" t="str">
        <f>IF(ORCAMENTOS!L807="","",ORCAMENTOS!L807)</f>
        <v>CANCELADO</v>
      </c>
      <c r="K799" s="34" t="str">
        <f>IF(ORCAMENTOS!M807="","",ORCAMENTOS!M807)</f>
        <v>-</v>
      </c>
      <c r="L799" t="str">
        <f>IF(ORCAMENTOS!R807="","",ORCAMENTOS!R807)</f>
        <v>MPU</v>
      </c>
    </row>
    <row r="800" spans="1:12" ht="15.75" hidden="1" customHeight="1" x14ac:dyDescent="0.25">
      <c r="A800" s="36">
        <f>IF(ORCAMENTOS!A808="","",ORCAMENTOS!A808)</f>
        <v>45791</v>
      </c>
      <c r="B800" s="46">
        <f>IF(ORCAMENTOS!B808="","",ORCAMENTOS!B808)</f>
        <v>798</v>
      </c>
      <c r="C800" s="46" t="str">
        <f>IF(ORCAMENTOS!C808="","",ORCAMENTOS!C808)</f>
        <v/>
      </c>
      <c r="D800" s="37" t="str">
        <f>IF(ORCAMENTOS!D808="","",ORCAMENTOS!D808)</f>
        <v>AR SET</v>
      </c>
      <c r="E800" s="38" t="str">
        <f>IF(ORCAMENTOS!E808="","",ORCAMENTOS!E808)</f>
        <v>-</v>
      </c>
      <c r="F800" s="37" t="str">
        <f>IF(ORCAMENTOS!G808="","",ORCAMENTOS!G808)</f>
        <v>Fernando</v>
      </c>
      <c r="G800" s="37" t="str">
        <f>IF(ORCAMENTOS!H808="","",ORCAMENTOS!H808)</f>
        <v>Danilo</v>
      </c>
      <c r="H800" s="39">
        <f>IF(ORCAMENTOS!I808="","",ORCAMENTOS!I808)</f>
        <v>135.72</v>
      </c>
      <c r="I800" s="60" t="str">
        <f>IF(ORCAMENTOS!J808="","",ORCAMENTOS!J808)</f>
        <v/>
      </c>
      <c r="J800" s="40" t="str">
        <f>IF(ORCAMENTOS!L808="","",ORCAMENTOS!L808)</f>
        <v>FECHADO</v>
      </c>
      <c r="K800" s="34" t="str">
        <f>IF(ORCAMENTOS!M808="","",ORCAMENTOS!M808)</f>
        <v>-</v>
      </c>
      <c r="L800" t="str">
        <f>IF(ORCAMENTOS!R808="","",ORCAMENTOS!R808)</f>
        <v>-</v>
      </c>
    </row>
    <row r="801" spans="1:12" ht="15.75" hidden="1" customHeight="1" x14ac:dyDescent="0.25">
      <c r="A801" s="36">
        <f>IF(ORCAMENTOS!A809="","",ORCAMENTOS!A809)</f>
        <v>45791</v>
      </c>
      <c r="B801" s="46">
        <f>IF(ORCAMENTOS!B809="","",ORCAMENTOS!B809)</f>
        <v>799</v>
      </c>
      <c r="C801" s="46" t="str">
        <f>IF(ORCAMENTOS!C809="","",ORCAMENTOS!C809)</f>
        <v/>
      </c>
      <c r="D801" s="37" t="str">
        <f>IF(ORCAMENTOS!D809="","",ORCAMENTOS!D809)</f>
        <v>I4 ENGENHARIA</v>
      </c>
      <c r="E801" s="38" t="str">
        <f>IF(ORCAMENTOS!E809="","",ORCAMENTOS!E809)</f>
        <v>SMARTH HAIR</v>
      </c>
      <c r="F801" s="37" t="str">
        <f>IF(ORCAMENTOS!G809="","",ORCAMENTOS!G809)</f>
        <v xml:space="preserve">Aldavir </v>
      </c>
      <c r="G801" s="37" t="str">
        <f>IF(ORCAMENTOS!H809="","",ORCAMENTOS!H809)</f>
        <v>Fabiano</v>
      </c>
      <c r="H801" s="39">
        <f>IF(ORCAMENTOS!I809="","",ORCAMENTOS!I809)</f>
        <v>23680.93</v>
      </c>
      <c r="I801" s="60" t="str">
        <f>IF(ORCAMENTOS!J809="","",ORCAMENTOS!J809)</f>
        <v/>
      </c>
      <c r="J801" s="40" t="str">
        <f>IF(ORCAMENTOS!L809="","",ORCAMENTOS!L809)</f>
        <v>CANCELADO</v>
      </c>
      <c r="K801" s="34" t="str">
        <f>IF(ORCAMENTOS!M809="","",ORCAMENTOS!M809)</f>
        <v>-</v>
      </c>
      <c r="L801" t="str">
        <f>IF(ORCAMENTOS!R809="","",ORCAMENTOS!R809)</f>
        <v>-</v>
      </c>
    </row>
    <row r="802" spans="1:12" ht="15.75" hidden="1" customHeight="1" x14ac:dyDescent="0.25">
      <c r="A802" s="36">
        <f>IF(ORCAMENTOS!A810="","",ORCAMENTOS!A810)</f>
        <v>45798</v>
      </c>
      <c r="B802" s="46">
        <f>IF(ORCAMENTOS!B810="","",ORCAMENTOS!B810)</f>
        <v>800</v>
      </c>
      <c r="C802" s="46" t="str">
        <f>IF(ORCAMENTOS!C810="","",ORCAMENTOS!C810)</f>
        <v/>
      </c>
      <c r="D802" s="37" t="str">
        <f>IF(ORCAMENTOS!D810="","",ORCAMENTOS!D810)</f>
        <v>NEWSET</v>
      </c>
      <c r="E802" s="38" t="str">
        <f>IF(ORCAMENTOS!E810="","",ORCAMENTOS!E810)</f>
        <v>H. SÃO LUIZ ITAIM - RNM - TÉRREO</v>
      </c>
      <c r="F802" s="37" t="str">
        <f>IF(ORCAMENTOS!G810="","",ORCAMENTOS!G810)</f>
        <v xml:space="preserve">Aldavir </v>
      </c>
      <c r="G802" s="37" t="str">
        <f>IF(ORCAMENTOS!H810="","",ORCAMENTOS!H810)</f>
        <v>Tassya</v>
      </c>
      <c r="H802" s="39">
        <f>IF(ORCAMENTOS!I810="","",ORCAMENTOS!I810)</f>
        <v>14251.02</v>
      </c>
      <c r="I802" s="60" t="str">
        <f>IF(ORCAMENTOS!J810="","",ORCAMENTOS!J810)</f>
        <v/>
      </c>
      <c r="J802" s="40" t="str">
        <f>IF(ORCAMENTOS!L810="","",ORCAMENTOS!L810)</f>
        <v>FECHADO</v>
      </c>
      <c r="K802" s="34" t="str">
        <f>IF(ORCAMENTOS!M810="","",ORCAMENTOS!M810)</f>
        <v>PREV MAIO-25</v>
      </c>
      <c r="L802" t="str">
        <f>IF(ORCAMENTOS!R810="","",ORCAMENTOS!R810)</f>
        <v>-</v>
      </c>
    </row>
    <row r="803" spans="1:12" ht="15.75" hidden="1" customHeight="1" x14ac:dyDescent="0.25">
      <c r="A803" s="36">
        <f>IF(ORCAMENTOS!A811="","",ORCAMENTOS!A811)</f>
        <v>45826</v>
      </c>
      <c r="B803" s="46">
        <f>IF(ORCAMENTOS!B811="","",ORCAMENTOS!B811)</f>
        <v>801</v>
      </c>
      <c r="C803" s="46" t="str">
        <f>IF(ORCAMENTOS!C811="","",ORCAMENTOS!C811)</f>
        <v/>
      </c>
      <c r="D803" s="37" t="str">
        <f>IF(ORCAMENTOS!D811="","",ORCAMENTOS!D811)</f>
        <v>AWA AR CONDICIONADO</v>
      </c>
      <c r="E803" s="38" t="str">
        <f>IF(ORCAMENTOS!E811="","",ORCAMENTOS!E811)</f>
        <v>SHOPEE - BETIM - M</v>
      </c>
      <c r="F803" s="37" t="str">
        <f>IF(ORCAMENTOS!G811="","",ORCAMENTOS!G811)</f>
        <v>Guilherme</v>
      </c>
      <c r="G803" s="37" t="str">
        <f>IF(ORCAMENTOS!H811="","",ORCAMENTOS!H811)</f>
        <v>Marcela</v>
      </c>
      <c r="H803" s="39">
        <f>IF(ORCAMENTOS!I811="","",ORCAMENTOS!I811)</f>
        <v>11799.15</v>
      </c>
      <c r="I803" s="60" t="str">
        <f>IF(ORCAMENTOS!J811="","",ORCAMENTOS!J811)</f>
        <v/>
      </c>
      <c r="J803" s="40" t="str">
        <f>IF(ORCAMENTOS!L811="","",ORCAMENTOS!L811)</f>
        <v>PERDIDO</v>
      </c>
      <c r="K803" s="34" t="str">
        <f>IF(ORCAMENTOS!M811="","",ORCAMENTOS!M811)</f>
        <v>FECHADO COM ARCOTEC</v>
      </c>
      <c r="L803" t="str">
        <f>IF(ORCAMENTOS!R811="","",ORCAMENTOS!R811)</f>
        <v>-</v>
      </c>
    </row>
    <row r="804" spans="1:12" ht="15.75" hidden="1" customHeight="1" x14ac:dyDescent="0.25">
      <c r="A804" s="36">
        <f>IF(ORCAMENTOS!A812="","",ORCAMENTOS!A812)</f>
        <v>45792</v>
      </c>
      <c r="B804" s="46">
        <f>IF(ORCAMENTOS!B812="","",ORCAMENTOS!B812)</f>
        <v>802</v>
      </c>
      <c r="C804" s="46" t="str">
        <f>IF(ORCAMENTOS!C812="","",ORCAMENTOS!C812)</f>
        <v/>
      </c>
      <c r="D804" s="37" t="str">
        <f>IF(ORCAMENTOS!D812="","",ORCAMENTOS!D812)</f>
        <v>AR SET</v>
      </c>
      <c r="E804" s="38" t="str">
        <f>IF(ORCAMENTOS!E812="","",ORCAMENTOS!E812)</f>
        <v>-</v>
      </c>
      <c r="F804" s="37" t="str">
        <f>IF(ORCAMENTOS!G812="","",ORCAMENTOS!G812)</f>
        <v>Fernando</v>
      </c>
      <c r="G804" s="37" t="str">
        <f>IF(ORCAMENTOS!H812="","",ORCAMENTOS!H812)</f>
        <v>Danilo</v>
      </c>
      <c r="H804" s="39">
        <f>IF(ORCAMENTOS!I812="","",ORCAMENTOS!I812)</f>
        <v>3729.19</v>
      </c>
      <c r="I804" s="60" t="str">
        <f>IF(ORCAMENTOS!J812="","",ORCAMENTOS!J812)</f>
        <v/>
      </c>
      <c r="J804" s="40" t="str">
        <f>IF(ORCAMENTOS!L812="","",ORCAMENTOS!L812)</f>
        <v>FECHADO</v>
      </c>
      <c r="K804" s="34" t="str">
        <f>IF(ORCAMENTOS!M812="","",ORCAMENTOS!M812)</f>
        <v>-</v>
      </c>
      <c r="L804" t="str">
        <f>IF(ORCAMENTOS!R812="","",ORCAMENTOS!R812)</f>
        <v>-</v>
      </c>
    </row>
    <row r="805" spans="1:12" ht="15.75" hidden="1" customHeight="1" x14ac:dyDescent="0.25">
      <c r="A805" s="36">
        <f>IF(ORCAMENTOS!A813="","",ORCAMENTOS!A813)</f>
        <v>45792</v>
      </c>
      <c r="B805" s="46">
        <f>IF(ORCAMENTOS!B813="","",ORCAMENTOS!B813)</f>
        <v>803</v>
      </c>
      <c r="C805" s="46" t="str">
        <f>IF(ORCAMENTOS!C813="","",ORCAMENTOS!C813)</f>
        <v/>
      </c>
      <c r="D805" s="37" t="str">
        <f>IF(ORCAMENTOS!D813="","",ORCAMENTOS!D813)</f>
        <v>ECOLOGIC AIR</v>
      </c>
      <c r="E805" s="38" t="str">
        <f>IF(ORCAMENTOS!E813="","",ORCAMENTOS!E813)</f>
        <v>OBRAMAX - UBERLANDIA - MG</v>
      </c>
      <c r="F805" s="37" t="str">
        <f>IF(ORCAMENTOS!G813="","",ORCAMENTOS!G813)</f>
        <v>Michel</v>
      </c>
      <c r="G805" s="37" t="str">
        <f>IF(ORCAMENTOS!H813="","",ORCAMENTOS!H813)</f>
        <v>Wellington</v>
      </c>
      <c r="H805" s="39">
        <f>IF(ORCAMENTOS!I813="","",ORCAMENTOS!I813)</f>
        <v>201933.6</v>
      </c>
      <c r="I805" s="60" t="str">
        <f>IF(ORCAMENTOS!J813="","",ORCAMENTOS!J813)</f>
        <v/>
      </c>
      <c r="J805" s="40" t="str">
        <f>IF(ORCAMENTOS!L813="","",ORCAMENTOS!L813)</f>
        <v>CANCELADO</v>
      </c>
      <c r="K805" s="34" t="str">
        <f>IF(ORCAMENTOS!M813="","",ORCAMENTOS!M813)</f>
        <v>-</v>
      </c>
      <c r="L805" t="str">
        <f>IF(ORCAMENTOS!R813="","",ORCAMENTOS!R813)</f>
        <v/>
      </c>
    </row>
    <row r="806" spans="1:12" ht="15.75" hidden="1" customHeight="1" x14ac:dyDescent="0.25">
      <c r="A806" s="36">
        <f>IF(ORCAMENTOS!A814="","",ORCAMENTOS!A814)</f>
        <v>45792</v>
      </c>
      <c r="B806" s="46">
        <f>IF(ORCAMENTOS!B814="","",ORCAMENTOS!B814)</f>
        <v>804</v>
      </c>
      <c r="C806" s="46" t="str">
        <f>IF(ORCAMENTOS!C814="","",ORCAMENTOS!C814)</f>
        <v/>
      </c>
      <c r="D806" s="37" t="str">
        <f>IF(ORCAMENTOS!D814="","",ORCAMENTOS!D814)</f>
        <v>ARPOL ENGENHARIA</v>
      </c>
      <c r="E806" s="38" t="str">
        <f>IF(ORCAMENTOS!E814="","",ORCAMENTOS!E814)</f>
        <v>HIAE CC Morumbi</v>
      </c>
      <c r="F806" s="37" t="str">
        <f>IF(ORCAMENTOS!G814="","",ORCAMENTOS!G814)</f>
        <v>Michel</v>
      </c>
      <c r="G806" s="37" t="str">
        <f>IF(ORCAMENTOS!H814="","",ORCAMENTOS!H814)</f>
        <v>Lucca</v>
      </c>
      <c r="H806" s="39">
        <f>IF(ORCAMENTOS!I814="","",ORCAMENTOS!I814)</f>
        <v>9012</v>
      </c>
      <c r="I806" s="60" t="str">
        <f>IF(ORCAMENTOS!J814="","",ORCAMENTOS!J814)</f>
        <v/>
      </c>
      <c r="J806" s="40" t="str">
        <f>IF(ORCAMENTOS!L814="","",ORCAMENTOS!L814)</f>
        <v>CANCELADO</v>
      </c>
      <c r="K806" s="34" t="str">
        <f>IF(ORCAMENTOS!M814="","",ORCAMENTOS!M814)</f>
        <v>-</v>
      </c>
      <c r="L806" t="str">
        <f>IF(ORCAMENTOS!R814="","",ORCAMENTOS!R814)</f>
        <v>-</v>
      </c>
    </row>
    <row r="807" spans="1:12" ht="15.75" hidden="1" customHeight="1" x14ac:dyDescent="0.25">
      <c r="A807" s="36">
        <f>IF(ORCAMENTOS!A815="","",ORCAMENTOS!A815)</f>
        <v>45792</v>
      </c>
      <c r="B807" s="46">
        <f>IF(ORCAMENTOS!B815="","",ORCAMENTOS!B815)</f>
        <v>805</v>
      </c>
      <c r="C807" s="46" t="str">
        <f>IF(ORCAMENTOS!C815="","",ORCAMENTOS!C815)</f>
        <v/>
      </c>
      <c r="D807" s="37" t="str">
        <f>IF(ORCAMENTOS!D815="","",ORCAMENTOS!D815)</f>
        <v>LUFTKLIMA</v>
      </c>
      <c r="E807" s="38" t="str">
        <f>IF(ORCAMENTOS!E815="","",ORCAMENTOS!E815)</f>
        <v>KRAFT HEINZ - ENVASE DE KETCHUP</v>
      </c>
      <c r="F807" s="37" t="str">
        <f>IF(ORCAMENTOS!G815="","",ORCAMENTOS!G815)</f>
        <v>Fernando</v>
      </c>
      <c r="G807" s="37" t="str">
        <f>IF(ORCAMENTOS!H815="","",ORCAMENTOS!H815)</f>
        <v>Edna</v>
      </c>
      <c r="H807" s="39">
        <f>IF(ORCAMENTOS!I815="","",ORCAMENTOS!I815)</f>
        <v>30548.41</v>
      </c>
      <c r="I807" s="60" t="str">
        <f>IF(ORCAMENTOS!J815="","",ORCAMENTOS!J815)</f>
        <v/>
      </c>
      <c r="J807" s="40" t="str">
        <f>IF(ORCAMENTOS!L815="","",ORCAMENTOS!L815)</f>
        <v>CANCELADO</v>
      </c>
      <c r="K807" s="34" t="str">
        <f>IF(ORCAMENTOS!M815="","",ORCAMENTOS!M815)</f>
        <v>CLIENTE NEGOCIANDO</v>
      </c>
      <c r="L807" t="str">
        <f>IF(ORCAMENTOS!R815="","",ORCAMENTOS!R815)</f>
        <v>-</v>
      </c>
    </row>
    <row r="808" spans="1:12" ht="15.75" hidden="1" customHeight="1" x14ac:dyDescent="0.25">
      <c r="A808" s="36">
        <f>IF(ORCAMENTOS!A816="","",ORCAMENTOS!A816)</f>
        <v>45792</v>
      </c>
      <c r="B808" s="46">
        <f>IF(ORCAMENTOS!B816="","",ORCAMENTOS!B816)</f>
        <v>806</v>
      </c>
      <c r="C808" s="46" t="str">
        <f>IF(ORCAMENTOS!C816="","",ORCAMENTOS!C816)</f>
        <v/>
      </c>
      <c r="D808" s="37" t="str">
        <f>IF(ORCAMENTOS!D816="","",ORCAMENTOS!D816)</f>
        <v>ECOTHERM</v>
      </c>
      <c r="E808" s="38" t="str">
        <f>IF(ORCAMENTOS!E816="","",ORCAMENTOS!E816)</f>
        <v>HOSPITAL DE FRANCA</v>
      </c>
      <c r="F808" s="37" t="str">
        <f>IF(ORCAMENTOS!G816="","",ORCAMENTOS!G816)</f>
        <v>Emanuel</v>
      </c>
      <c r="G808" s="37" t="str">
        <f>IF(ORCAMENTOS!H816="","",ORCAMENTOS!H816)</f>
        <v>Selma</v>
      </c>
      <c r="H808" s="39">
        <f>IF(ORCAMENTOS!I816="","",ORCAMENTOS!I816)</f>
        <v>43333.98</v>
      </c>
      <c r="I808" s="60" t="str">
        <f>IF(ORCAMENTOS!J816="","",ORCAMENTOS!J816)</f>
        <v/>
      </c>
      <c r="J808" s="40" t="str">
        <f>IF(ORCAMENTOS!L816="","",ORCAMENTOS!L816)</f>
        <v>FECHADO</v>
      </c>
      <c r="K808" s="34" t="str">
        <f>IF(ORCAMENTOS!M816="","",ORCAMENTOS!M816)</f>
        <v>-</v>
      </c>
      <c r="L808" t="str">
        <f>IF(ORCAMENTOS!R816="","",ORCAMENTOS!R816)</f>
        <v>-</v>
      </c>
    </row>
    <row r="809" spans="1:12" ht="15.75" hidden="1" customHeight="1" x14ac:dyDescent="0.25">
      <c r="A809" s="36">
        <f>IF(ORCAMENTOS!A817="","",ORCAMENTOS!A817)</f>
        <v>45792</v>
      </c>
      <c r="B809" s="46">
        <f>IF(ORCAMENTOS!B817="","",ORCAMENTOS!B817)</f>
        <v>807</v>
      </c>
      <c r="C809" s="46" t="str">
        <f>IF(ORCAMENTOS!C817="","",ORCAMENTOS!C817)</f>
        <v/>
      </c>
      <c r="D809" s="37" t="str">
        <f>IF(ORCAMENTOS!D817="","",ORCAMENTOS!D817)</f>
        <v>ARDORO CLIMATIZACAO</v>
      </c>
      <c r="E809" s="38" t="str">
        <f>IF(ORCAMENTOS!E817="","",ORCAMENTOS!E817)</f>
        <v>-</v>
      </c>
      <c r="F809" s="37" t="str">
        <f>IF(ORCAMENTOS!G817="","",ORCAMENTOS!G817)</f>
        <v>Emanuel</v>
      </c>
      <c r="G809" s="37" t="str">
        <f>IF(ORCAMENTOS!H817="","",ORCAMENTOS!H817)</f>
        <v>Andre</v>
      </c>
      <c r="H809" s="39">
        <f>IF(ORCAMENTOS!I817="","",ORCAMENTOS!I817)</f>
        <v>22862.6</v>
      </c>
      <c r="I809" s="60" t="str">
        <f>IF(ORCAMENTOS!J817="","",ORCAMENTOS!J817)</f>
        <v/>
      </c>
      <c r="J809" s="40" t="str">
        <f>IF(ORCAMENTOS!L817="","",ORCAMENTOS!L817)</f>
        <v>CANCELADO</v>
      </c>
      <c r="K809" s="34" t="str">
        <f>IF(ORCAMENTOS!M817="","",ORCAMENTOS!M817)</f>
        <v>-</v>
      </c>
      <c r="L809" t="str">
        <f>IF(ORCAMENTOS!R817="","",ORCAMENTOS!R817)</f>
        <v>-</v>
      </c>
    </row>
    <row r="810" spans="1:12" ht="15.75" hidden="1" customHeight="1" x14ac:dyDescent="0.25">
      <c r="A810" s="36">
        <f>IF(ORCAMENTOS!A818="","",ORCAMENTOS!A818)</f>
        <v>45792</v>
      </c>
      <c r="B810" s="46">
        <f>IF(ORCAMENTOS!B818="","",ORCAMENTOS!B818)</f>
        <v>808</v>
      </c>
      <c r="C810" s="46" t="str">
        <f>IF(ORCAMENTOS!C818="","",ORCAMENTOS!C818)</f>
        <v/>
      </c>
      <c r="D810" s="37" t="str">
        <f>IF(ORCAMENTOS!D818="","",ORCAMENTOS!D818)</f>
        <v>FL HVAC</v>
      </c>
      <c r="E810" s="38" t="str">
        <f>IF(ORCAMENTOS!E818="","",ORCAMENTOS!E818)</f>
        <v>PETZ SEMINARIO - CURITIBA - PR</v>
      </c>
      <c r="F810" s="37" t="str">
        <f>IF(ORCAMENTOS!G818="","",ORCAMENTOS!G818)</f>
        <v>Guilherme</v>
      </c>
      <c r="G810" s="37" t="str">
        <f>IF(ORCAMENTOS!H818="","",ORCAMENTOS!H818)</f>
        <v>Alessandra</v>
      </c>
      <c r="H810" s="39">
        <f>IF(ORCAMENTOS!I818="","",ORCAMENTOS!I818)</f>
        <v>19505.22</v>
      </c>
      <c r="I810" s="60" t="str">
        <f>IF(ORCAMENTOS!J818="","",ORCAMENTOS!J818)</f>
        <v/>
      </c>
      <c r="J810" s="40" t="str">
        <f>IF(ORCAMENTOS!L818="","",ORCAMENTOS!L818)</f>
        <v>CANCELADO</v>
      </c>
      <c r="K810" s="34" t="str">
        <f>IF(ORCAMENTOS!M818="","",ORCAMENTOS!M818)</f>
        <v>-</v>
      </c>
      <c r="L810" t="str">
        <f>IF(ORCAMENTOS!R818="","",ORCAMENTOS!R818)</f>
        <v>MPU</v>
      </c>
    </row>
    <row r="811" spans="1:12" ht="15.75" hidden="1" customHeight="1" x14ac:dyDescent="0.25">
      <c r="A811" s="36">
        <f>IF(ORCAMENTOS!A819="","",ORCAMENTOS!A819)</f>
        <v>45793</v>
      </c>
      <c r="B811" s="46">
        <f>IF(ORCAMENTOS!B819="","",ORCAMENTOS!B819)</f>
        <v>809</v>
      </c>
      <c r="C811" s="46" t="str">
        <f>IF(ORCAMENTOS!C819="","",ORCAMENTOS!C819)</f>
        <v/>
      </c>
      <c r="D811" s="37" t="str">
        <f>IF(ORCAMENTOS!D819="","",ORCAMENTOS!D819)</f>
        <v>ENEBRAS</v>
      </c>
      <c r="E811" s="38" t="str">
        <f>IF(ORCAMENTOS!E819="","",ORCAMENTOS!E819)</f>
        <v>HAPVIDA - CRUZEIRO DO SUL - OSASCO</v>
      </c>
      <c r="F811" s="37" t="str">
        <f>IF(ORCAMENTOS!G819="","",ORCAMENTOS!G819)</f>
        <v>Michel</v>
      </c>
      <c r="G811" s="37" t="str">
        <f>IF(ORCAMENTOS!H819="","",ORCAMENTOS!H819)</f>
        <v>Kaio</v>
      </c>
      <c r="H811" s="39">
        <f>IF(ORCAMENTOS!I819="","",ORCAMENTOS!I819)</f>
        <v>180984.45</v>
      </c>
      <c r="I811" s="60" t="str">
        <f>IF(ORCAMENTOS!J819="","",ORCAMENTOS!J819)</f>
        <v/>
      </c>
      <c r="J811" s="40" t="str">
        <f>IF(ORCAMENTOS!L819="","",ORCAMENTOS!L819)</f>
        <v>CANCELADO</v>
      </c>
      <c r="K811" s="34" t="str">
        <f>IF(ORCAMENTOS!M819="","",ORCAMENTOS!M819)</f>
        <v>-</v>
      </c>
      <c r="L811" t="str">
        <f>IF(ORCAMENTOS!R819="","",ORCAMENTOS!R819)</f>
        <v>-</v>
      </c>
    </row>
    <row r="812" spans="1:12" ht="15.75" hidden="1" customHeight="1" x14ac:dyDescent="0.25">
      <c r="A812" s="36">
        <f>IF(ORCAMENTOS!A820="","",ORCAMENTOS!A820)</f>
        <v>45793</v>
      </c>
      <c r="B812" s="46">
        <f>IF(ORCAMENTOS!B820="","",ORCAMENTOS!B820)</f>
        <v>810</v>
      </c>
      <c r="C812" s="46" t="str">
        <f>IF(ORCAMENTOS!C820="","",ORCAMENTOS!C820)</f>
        <v>R1</v>
      </c>
      <c r="D812" s="37" t="str">
        <f>IF(ORCAMENTOS!D820="","",ORCAMENTOS!D820)</f>
        <v xml:space="preserve">ELEMAX </v>
      </c>
      <c r="E812" s="38" t="str">
        <f>IF(ORCAMENTOS!E820="","",ORCAMENTOS!E820)</f>
        <v>ELETRO DALBEM</v>
      </c>
      <c r="F812" s="37" t="str">
        <f>IF(ORCAMENTOS!G820="","",ORCAMENTOS!G820)</f>
        <v xml:space="preserve">Aldavir </v>
      </c>
      <c r="G812" s="37" t="str">
        <f>IF(ORCAMENTOS!H820="","",ORCAMENTOS!H820)</f>
        <v>Joel</v>
      </c>
      <c r="H812" s="39">
        <f>IF(ORCAMENTOS!I820="","",ORCAMENTOS!I820)</f>
        <v>109093.93</v>
      </c>
      <c r="I812" s="60" t="str">
        <f>IF(ORCAMENTOS!J820="","",ORCAMENTOS!J820)</f>
        <v/>
      </c>
      <c r="J812" s="40" t="str">
        <f>IF(ORCAMENTOS!L820="","",ORCAMENTOS!L820)</f>
        <v>CANCELADO</v>
      </c>
      <c r="K812" s="34" t="str">
        <f>IF(ORCAMENTOS!M820="","",ORCAMENTOS!M820)</f>
        <v>PREV. OUTUBRO</v>
      </c>
      <c r="L812" t="str">
        <f>IF(ORCAMENTOS!R820="","",ORCAMENTOS!R820)</f>
        <v/>
      </c>
    </row>
    <row r="813" spans="1:12" ht="15.75" hidden="1" customHeight="1" x14ac:dyDescent="0.25">
      <c r="A813" s="36">
        <f>IF(ORCAMENTOS!A821="","",ORCAMENTOS!A821)</f>
        <v>45793</v>
      </c>
      <c r="B813" s="46">
        <f>IF(ORCAMENTOS!B821="","",ORCAMENTOS!B821)</f>
        <v>811</v>
      </c>
      <c r="C813" s="46" t="str">
        <f>IF(ORCAMENTOS!C821="","",ORCAMENTOS!C821)</f>
        <v/>
      </c>
      <c r="D813" s="37" t="str">
        <f>IF(ORCAMENTOS!D821="","",ORCAMENTOS!D821)</f>
        <v>SESIL AR</v>
      </c>
      <c r="E813" s="38" t="str">
        <f>IF(ORCAMENTOS!E821="","",ORCAMENTOS!E821)</f>
        <v>SMART FIT - JUNDIAI - SP</v>
      </c>
      <c r="F813" s="37" t="str">
        <f>IF(ORCAMENTOS!G821="","",ORCAMENTOS!G821)</f>
        <v>Fernando</v>
      </c>
      <c r="G813" s="37" t="str">
        <f>IF(ORCAMENTOS!H821="","",ORCAMENTOS!H821)</f>
        <v>Luciana</v>
      </c>
      <c r="H813" s="39">
        <f>IF(ORCAMENTOS!I821="","",ORCAMENTOS!I821)</f>
        <v>77096.490000000005</v>
      </c>
      <c r="I813" s="60" t="str">
        <f>IF(ORCAMENTOS!J821="","",ORCAMENTOS!J821)</f>
        <v/>
      </c>
      <c r="J813" s="40" t="str">
        <f>IF(ORCAMENTOS!L821="","",ORCAMENTOS!L821)</f>
        <v>FECHADO</v>
      </c>
      <c r="K813" s="34" t="str">
        <f>IF(ORCAMENTOS!M821="","",ORCAMENTOS!M821)</f>
        <v>-</v>
      </c>
      <c r="L813" t="str">
        <f>IF(ORCAMENTOS!R821="","",ORCAMENTOS!R821)</f>
        <v/>
      </c>
    </row>
    <row r="814" spans="1:12" ht="15.75" hidden="1" customHeight="1" x14ac:dyDescent="0.25">
      <c r="A814" s="36">
        <f>IF(ORCAMENTOS!A822="","",ORCAMENTOS!A822)</f>
        <v>45793</v>
      </c>
      <c r="B814" s="46">
        <f>IF(ORCAMENTOS!B822="","",ORCAMENTOS!B822)</f>
        <v>812</v>
      </c>
      <c r="C814" s="46" t="str">
        <f>IF(ORCAMENTOS!C822="","",ORCAMENTOS!C822)</f>
        <v/>
      </c>
      <c r="D814" s="37" t="str">
        <f>IF(ORCAMENTOS!D822="","",ORCAMENTOS!D822)</f>
        <v>AWA AR CONDICIONADO</v>
      </c>
      <c r="E814" s="38" t="str">
        <f>IF(ORCAMENTOS!E822="","",ORCAMENTOS!E822)</f>
        <v>RAIA DROGASIL</v>
      </c>
      <c r="F814" s="37" t="str">
        <f>IF(ORCAMENTOS!G822="","",ORCAMENTOS!G822)</f>
        <v>Guilherme</v>
      </c>
      <c r="G814" s="37" t="str">
        <f>IF(ORCAMENTOS!H822="","",ORCAMENTOS!H822)</f>
        <v>Marcea</v>
      </c>
      <c r="H814" s="39">
        <f>IF(ORCAMENTOS!I822="","",ORCAMENTOS!I822)</f>
        <v>2905.26</v>
      </c>
      <c r="I814" s="60" t="str">
        <f>IF(ORCAMENTOS!J822="","",ORCAMENTOS!J822)</f>
        <v/>
      </c>
      <c r="J814" s="40" t="str">
        <f>IF(ORCAMENTOS!L822="","",ORCAMENTOS!L822)</f>
        <v>FECHADO</v>
      </c>
      <c r="K814" s="34" t="str">
        <f>IF(ORCAMENTOS!M822="","",ORCAMENTOS!M822)</f>
        <v>-</v>
      </c>
      <c r="L814" t="str">
        <f>IF(ORCAMENTOS!R822="","",ORCAMENTOS!R822)</f>
        <v>-</v>
      </c>
    </row>
    <row r="815" spans="1:12" ht="15.75" hidden="1" customHeight="1" x14ac:dyDescent="0.25">
      <c r="A815" s="36">
        <f>IF(ORCAMENTOS!A823="","",ORCAMENTOS!A823)</f>
        <v>45793</v>
      </c>
      <c r="B815" s="46">
        <f>IF(ORCAMENTOS!B823="","",ORCAMENTOS!B823)</f>
        <v>813</v>
      </c>
      <c r="C815" s="46" t="str">
        <f>IF(ORCAMENTOS!C823="","",ORCAMENTOS!C823)</f>
        <v/>
      </c>
      <c r="D815" s="37" t="str">
        <f>IF(ORCAMENTOS!D823="","",ORCAMENTOS!D823)</f>
        <v>CLIMAPRESS</v>
      </c>
      <c r="E815" s="38" t="str">
        <f>IF(ORCAMENTOS!E823="","",ORCAMENTOS!E823)</f>
        <v>AEROPORTO CESAR BOMBONATO - UBERLANDIA - MG</v>
      </c>
      <c r="F815" s="37" t="str">
        <f>IF(ORCAMENTOS!G823="","",ORCAMENTOS!G823)</f>
        <v>Emanuel</v>
      </c>
      <c r="G815" s="37" t="str">
        <f>IF(ORCAMENTOS!H823="","",ORCAMENTOS!H823)</f>
        <v>Adriano</v>
      </c>
      <c r="H815" s="39">
        <f>IF(ORCAMENTOS!I823="","",ORCAMENTOS!I823)</f>
        <v>377258.02</v>
      </c>
      <c r="I815" s="60" t="str">
        <f>IF(ORCAMENTOS!J823="","",ORCAMENTOS!J823)</f>
        <v/>
      </c>
      <c r="J815" s="40" t="str">
        <f>IF(ORCAMENTOS!L823="","",ORCAMENTOS!L823)</f>
        <v>CANCELADO</v>
      </c>
      <c r="K815" s="34" t="str">
        <f>IF(ORCAMENTOS!M823="","",ORCAMENTOS!M823)</f>
        <v>-</v>
      </c>
      <c r="L815" t="str">
        <f>IF(ORCAMENTOS!R823="","",ORCAMENTOS!R823)</f>
        <v/>
      </c>
    </row>
    <row r="816" spans="1:12" ht="15.75" hidden="1" customHeight="1" x14ac:dyDescent="0.25">
      <c r="A816" s="36">
        <f>IF(ORCAMENTOS!A824="","",ORCAMENTOS!A824)</f>
        <v>45793</v>
      </c>
      <c r="B816" s="46">
        <f>IF(ORCAMENTOS!B824="","",ORCAMENTOS!B824)</f>
        <v>814</v>
      </c>
      <c r="C816" s="46" t="str">
        <f>IF(ORCAMENTOS!C824="","",ORCAMENTOS!C824)</f>
        <v/>
      </c>
      <c r="D816" s="37" t="str">
        <f>IF(ORCAMENTOS!D824="","",ORCAMENTOS!D824)</f>
        <v>MONTAGEM VIEIRA</v>
      </c>
      <c r="E816" s="38" t="str">
        <f>IF(ORCAMENTOS!E824="","",ORCAMENTOS!E824)</f>
        <v>WHEATON BRASIL VIDRO - PREDIO FORNOS</v>
      </c>
      <c r="F816" s="37" t="str">
        <f>IF(ORCAMENTOS!G824="","",ORCAMENTOS!G824)</f>
        <v>Fernando</v>
      </c>
      <c r="G816" s="37" t="str">
        <f>IF(ORCAMENTOS!H824="","",ORCAMENTOS!H824)</f>
        <v>Sergio</v>
      </c>
      <c r="H816" s="39">
        <f>IF(ORCAMENTOS!I824="","",ORCAMENTOS!I824)</f>
        <v>5905.88</v>
      </c>
      <c r="I816" s="60" t="str">
        <f>IF(ORCAMENTOS!J824="","",ORCAMENTOS!J824)</f>
        <v/>
      </c>
      <c r="J816" s="40" t="str">
        <f>IF(ORCAMENTOS!L824="","",ORCAMENTOS!L824)</f>
        <v>FECHADO</v>
      </c>
      <c r="K816" s="34" t="str">
        <f>IF(ORCAMENTOS!M824="","",ORCAMENTOS!M824)</f>
        <v>-</v>
      </c>
      <c r="L816" t="str">
        <f>IF(ORCAMENTOS!R824="","",ORCAMENTOS!R824)</f>
        <v>-</v>
      </c>
    </row>
    <row r="817" spans="1:12" ht="15.75" hidden="1" customHeight="1" x14ac:dyDescent="0.25">
      <c r="A817" s="36">
        <f>IF(ORCAMENTOS!A825="","",ORCAMENTOS!A825)</f>
        <v>45793</v>
      </c>
      <c r="B817" s="46">
        <f>IF(ORCAMENTOS!B825="","",ORCAMENTOS!B825)</f>
        <v>815</v>
      </c>
      <c r="C817" s="46" t="str">
        <f>IF(ORCAMENTOS!C825="","",ORCAMENTOS!C825)</f>
        <v/>
      </c>
      <c r="D817" s="37" t="str">
        <f>IF(ORCAMENTOS!D825="","",ORCAMENTOS!D825)</f>
        <v>WELLNESS</v>
      </c>
      <c r="E817" s="38" t="str">
        <f>IF(ORCAMENTOS!E825="","",ORCAMENTOS!E825)</f>
        <v>-</v>
      </c>
      <c r="F817" s="37" t="str">
        <f>IF(ORCAMENTOS!G825="","",ORCAMENTOS!G825)</f>
        <v>Gabriel</v>
      </c>
      <c r="G817" s="37" t="str">
        <f>IF(ORCAMENTOS!H825="","",ORCAMENTOS!H825)</f>
        <v>Ivanise</v>
      </c>
      <c r="H817" s="39">
        <f>IF(ORCAMENTOS!I825="","",ORCAMENTOS!I825)</f>
        <v>919.49</v>
      </c>
      <c r="I817" s="60" t="str">
        <f>IF(ORCAMENTOS!J825="","",ORCAMENTOS!J825)</f>
        <v/>
      </c>
      <c r="J817" s="40" t="str">
        <f>IF(ORCAMENTOS!L825="","",ORCAMENTOS!L825)</f>
        <v>FECHADO</v>
      </c>
      <c r="K817" s="34" t="str">
        <f>IF(ORCAMENTOS!M825="","",ORCAMENTOS!M825)</f>
        <v>-</v>
      </c>
      <c r="L817" t="str">
        <f>IF(ORCAMENTOS!R825="","",ORCAMENTOS!R825)</f>
        <v>-</v>
      </c>
    </row>
    <row r="818" spans="1:12" ht="15.75" hidden="1" customHeight="1" x14ac:dyDescent="0.25">
      <c r="A818" s="36">
        <f>IF(ORCAMENTOS!A826="","",ORCAMENTOS!A826)</f>
        <v>45793</v>
      </c>
      <c r="B818" s="46">
        <f>IF(ORCAMENTOS!B826="","",ORCAMENTOS!B826)</f>
        <v>816</v>
      </c>
      <c r="C818" s="46" t="str">
        <f>IF(ORCAMENTOS!C826="","",ORCAMENTOS!C826)</f>
        <v/>
      </c>
      <c r="D818" s="37" t="str">
        <f>IF(ORCAMENTOS!D826="","",ORCAMENTOS!D826)</f>
        <v>NOSSO AR</v>
      </c>
      <c r="E818" s="38" t="str">
        <f>IF(ORCAMENTOS!E826="","",ORCAMENTOS!E826)</f>
        <v>-</v>
      </c>
      <c r="F818" s="37" t="str">
        <f>IF(ORCAMENTOS!G826="","",ORCAMENTOS!G826)</f>
        <v>Gabriel</v>
      </c>
      <c r="G818" s="37" t="str">
        <f>IF(ORCAMENTOS!H826="","",ORCAMENTOS!H826)</f>
        <v>Camila</v>
      </c>
      <c r="H818" s="39">
        <f>IF(ORCAMENTOS!I826="","",ORCAMENTOS!I826)</f>
        <v>13118.26</v>
      </c>
      <c r="I818" s="60" t="str">
        <f>IF(ORCAMENTOS!J826="","",ORCAMENTOS!J826)</f>
        <v/>
      </c>
      <c r="J818" s="40" t="str">
        <f>IF(ORCAMENTOS!L826="","",ORCAMENTOS!L826)</f>
        <v>CANCELADO</v>
      </c>
      <c r="K818" s="34" t="str">
        <f>IF(ORCAMENTOS!M826="","",ORCAMENTOS!M826)</f>
        <v>-</v>
      </c>
      <c r="L818" t="str">
        <f>IF(ORCAMENTOS!R826="","",ORCAMENTOS!R826)</f>
        <v>-</v>
      </c>
    </row>
    <row r="819" spans="1:12" ht="15.75" hidden="1" customHeight="1" x14ac:dyDescent="0.25">
      <c r="A819" s="36">
        <f>IF(ORCAMENTOS!A827="","",ORCAMENTOS!A827)</f>
        <v>45793</v>
      </c>
      <c r="B819" s="46">
        <f>IF(ORCAMENTOS!B827="","",ORCAMENTOS!B827)</f>
        <v>817</v>
      </c>
      <c r="C819" s="46" t="str">
        <f>IF(ORCAMENTOS!C827="","",ORCAMENTOS!C827)</f>
        <v/>
      </c>
      <c r="D819" s="37" t="str">
        <f>IF(ORCAMENTOS!D827="","",ORCAMENTOS!D827)</f>
        <v>NOSSO AR</v>
      </c>
      <c r="E819" s="38" t="str">
        <f>IF(ORCAMENTOS!E827="","",ORCAMENTOS!E827)</f>
        <v>-</v>
      </c>
      <c r="F819" s="37" t="str">
        <f>IF(ORCAMENTOS!G827="","",ORCAMENTOS!G827)</f>
        <v>Gabriel</v>
      </c>
      <c r="G819" s="37" t="str">
        <f>IF(ORCAMENTOS!H827="","",ORCAMENTOS!H827)</f>
        <v>Camila</v>
      </c>
      <c r="H819" s="39">
        <f>IF(ORCAMENTOS!I827="","",ORCAMENTOS!I827)</f>
        <v>11792.56</v>
      </c>
      <c r="I819" s="60" t="str">
        <f>IF(ORCAMENTOS!J827="","",ORCAMENTOS!J827)</f>
        <v/>
      </c>
      <c r="J819" s="40" t="str">
        <f>IF(ORCAMENTOS!L827="","",ORCAMENTOS!L827)</f>
        <v>FECHADO</v>
      </c>
      <c r="K819" s="34" t="str">
        <f>IF(ORCAMENTOS!M827="","",ORCAMENTOS!M827)</f>
        <v>-</v>
      </c>
      <c r="L819" t="str">
        <f>IF(ORCAMENTOS!R827="","",ORCAMENTOS!R827)</f>
        <v>-</v>
      </c>
    </row>
    <row r="820" spans="1:12" ht="15.75" hidden="1" customHeight="1" x14ac:dyDescent="0.25">
      <c r="A820" s="36">
        <f>IF(ORCAMENTOS!A828="","",ORCAMENTOS!A828)</f>
        <v>45793</v>
      </c>
      <c r="B820" s="46">
        <f>IF(ORCAMENTOS!B828="","",ORCAMENTOS!B828)</f>
        <v>818</v>
      </c>
      <c r="C820" s="46" t="str">
        <f>IF(ORCAMENTOS!C828="","",ORCAMENTOS!C828)</f>
        <v/>
      </c>
      <c r="D820" s="37" t="str">
        <f>IF(ORCAMENTOS!D828="","",ORCAMENTOS!D828)</f>
        <v>BARROS DE ANDRADE</v>
      </c>
      <c r="E820" s="38" t="str">
        <f>IF(ORCAMENTOS!E828="","",ORCAMENTOS!E828)</f>
        <v/>
      </c>
      <c r="F820" s="37" t="str">
        <f>IF(ORCAMENTOS!G828="","",ORCAMENTOS!G828)</f>
        <v>Gabriel</v>
      </c>
      <c r="G820" s="37" t="str">
        <f>IF(ORCAMENTOS!H828="","",ORCAMENTOS!H828)</f>
        <v>Adeilson</v>
      </c>
      <c r="H820" s="39">
        <f>IF(ORCAMENTOS!I828="","",ORCAMENTOS!I828)</f>
        <v>16367.33</v>
      </c>
      <c r="I820" s="60" t="str">
        <f>IF(ORCAMENTOS!J828="","",ORCAMENTOS!J828)</f>
        <v/>
      </c>
      <c r="J820" s="40" t="str">
        <f>IF(ORCAMENTOS!L828="","",ORCAMENTOS!L828)</f>
        <v>CANCELADO</v>
      </c>
      <c r="K820" s="34" t="str">
        <f>IF(ORCAMENTOS!M828="","",ORCAMENTOS!M828)</f>
        <v/>
      </c>
      <c r="L820" t="str">
        <f>IF(ORCAMENTOS!R828="","",ORCAMENTOS!R828)</f>
        <v/>
      </c>
    </row>
    <row r="821" spans="1:12" ht="15.75" hidden="1" customHeight="1" x14ac:dyDescent="0.25">
      <c r="A821" s="36">
        <f>IF(ORCAMENTOS!A829="","",ORCAMENTOS!A829)</f>
        <v>45793</v>
      </c>
      <c r="B821" s="46">
        <f>IF(ORCAMENTOS!B829="","",ORCAMENTOS!B829)</f>
        <v>819</v>
      </c>
      <c r="C821" s="46" t="str">
        <f>IF(ORCAMENTOS!C829="","",ORCAMENTOS!C829)</f>
        <v/>
      </c>
      <c r="D821" s="37" t="str">
        <f>IF(ORCAMENTOS!D829="","",ORCAMENTOS!D829)</f>
        <v>AERODUTO</v>
      </c>
      <c r="E821" s="38" t="str">
        <f>IF(ORCAMENTOS!E829="","",ORCAMENTOS!E829)</f>
        <v>-</v>
      </c>
      <c r="F821" s="37" t="str">
        <f>IF(ORCAMENTOS!G829="","",ORCAMENTOS!G829)</f>
        <v>Gabriel</v>
      </c>
      <c r="G821" s="37" t="str">
        <f>IF(ORCAMENTOS!H829="","",ORCAMENTOS!H829)</f>
        <v>Marcelo</v>
      </c>
      <c r="H821" s="39">
        <f>IF(ORCAMENTOS!I829="","",ORCAMENTOS!I829)</f>
        <v>2167.6</v>
      </c>
      <c r="I821" s="60" t="str">
        <f>IF(ORCAMENTOS!J829="","",ORCAMENTOS!J829)</f>
        <v/>
      </c>
      <c r="J821" s="40" t="str">
        <f>IF(ORCAMENTOS!L829="","",ORCAMENTOS!L829)</f>
        <v>CANCELADO</v>
      </c>
      <c r="K821" s="34" t="str">
        <f>IF(ORCAMENTOS!M829="","",ORCAMENTOS!M829)</f>
        <v>-</v>
      </c>
      <c r="L821" t="str">
        <f>IF(ORCAMENTOS!R829="","",ORCAMENTOS!R829)</f>
        <v>-</v>
      </c>
    </row>
    <row r="822" spans="1:12" ht="15.75" hidden="1" customHeight="1" x14ac:dyDescent="0.25">
      <c r="A822" s="36">
        <f>IF(ORCAMENTOS!A830="","",ORCAMENTOS!A830)</f>
        <v>45793</v>
      </c>
      <c r="B822" s="46">
        <f>IF(ORCAMENTOS!B830="","",ORCAMENTOS!B830)</f>
        <v>820</v>
      </c>
      <c r="C822" s="46" t="str">
        <f>IF(ORCAMENTOS!C830="","",ORCAMENTOS!C830)</f>
        <v/>
      </c>
      <c r="D822" s="37" t="str">
        <f>IF(ORCAMENTOS!D830="","",ORCAMENTOS!D830)</f>
        <v>AERODUTO</v>
      </c>
      <c r="E822" s="38" t="str">
        <f>IF(ORCAMENTOS!E830="","",ORCAMENTOS!E830)</f>
        <v>-</v>
      </c>
      <c r="F822" s="37" t="str">
        <f>IF(ORCAMENTOS!G830="","",ORCAMENTOS!G830)</f>
        <v>Gabriel</v>
      </c>
      <c r="G822" s="37" t="str">
        <f>IF(ORCAMENTOS!H830="","",ORCAMENTOS!H830)</f>
        <v>Marcelo</v>
      </c>
      <c r="H822" s="39">
        <f>IF(ORCAMENTOS!I830="","",ORCAMENTOS!I830)</f>
        <v>2343.91</v>
      </c>
      <c r="I822" s="60" t="str">
        <f>IF(ORCAMENTOS!J830="","",ORCAMENTOS!J830)</f>
        <v/>
      </c>
      <c r="J822" s="40" t="str">
        <f>IF(ORCAMENTOS!L830="","",ORCAMENTOS!L830)</f>
        <v>CANCELADO</v>
      </c>
      <c r="K822" s="34" t="str">
        <f>IF(ORCAMENTOS!M830="","",ORCAMENTOS!M830)</f>
        <v>-</v>
      </c>
      <c r="L822" t="str">
        <f>IF(ORCAMENTOS!R830="","",ORCAMENTOS!R830)</f>
        <v>-</v>
      </c>
    </row>
    <row r="823" spans="1:12" ht="15.75" hidden="1" customHeight="1" x14ac:dyDescent="0.25">
      <c r="A823" s="36">
        <f>IF(ORCAMENTOS!A831="","",ORCAMENTOS!A831)</f>
        <v>45796</v>
      </c>
      <c r="B823" s="46">
        <f>IF(ORCAMENTOS!B831="","",ORCAMENTOS!B831)</f>
        <v>821</v>
      </c>
      <c r="C823" s="46" t="str">
        <f>IF(ORCAMENTOS!C831="","",ORCAMENTOS!C831)</f>
        <v/>
      </c>
      <c r="D823" s="37" t="str">
        <f>IF(ORCAMENTOS!D831="","",ORCAMENTOS!D831)</f>
        <v>AWA AR CONDICIONADO</v>
      </c>
      <c r="E823" s="38" t="str">
        <f>IF(ORCAMENTOS!E831="","",ORCAMENTOS!E831)</f>
        <v>HSFA</v>
      </c>
      <c r="F823" s="37" t="str">
        <f>IF(ORCAMENTOS!G831="","",ORCAMENTOS!G831)</f>
        <v>Guilherme</v>
      </c>
      <c r="G823" s="37" t="str">
        <f>IF(ORCAMENTOS!H831="","",ORCAMENTOS!H831)</f>
        <v>Marcela</v>
      </c>
      <c r="H823" s="39">
        <f>IF(ORCAMENTOS!I831="","",ORCAMENTOS!I831)</f>
        <v>43466.01</v>
      </c>
      <c r="I823" s="60" t="str">
        <f>IF(ORCAMENTOS!J831="","",ORCAMENTOS!J831)</f>
        <v/>
      </c>
      <c r="J823" s="40" t="str">
        <f>IF(ORCAMENTOS!L831="","",ORCAMENTOS!L831)</f>
        <v>CANCELADO</v>
      </c>
      <c r="K823" s="34" t="str">
        <f>IF(ORCAMENTOS!M831="","",ORCAMENTOS!M831)</f>
        <v>-</v>
      </c>
      <c r="L823" t="str">
        <f>IF(ORCAMENTOS!R831="","",ORCAMENTOS!R831)</f>
        <v>-</v>
      </c>
    </row>
    <row r="824" spans="1:12" ht="15.75" hidden="1" customHeight="1" x14ac:dyDescent="0.25">
      <c r="A824" s="36">
        <f>IF(ORCAMENTOS!A832="","",ORCAMENTOS!A832)</f>
        <v>45798</v>
      </c>
      <c r="B824" s="46">
        <f>IF(ORCAMENTOS!B832="","",ORCAMENTOS!B832)</f>
        <v>822</v>
      </c>
      <c r="C824" s="46" t="str">
        <f>IF(ORCAMENTOS!C832="","",ORCAMENTOS!C832)</f>
        <v/>
      </c>
      <c r="D824" s="37" t="str">
        <f>IF(ORCAMENTOS!D832="","",ORCAMENTOS!D832)</f>
        <v>FRIOCLIMAT</v>
      </c>
      <c r="E824" s="38" t="str">
        <f>IF(ORCAMENTOS!E832="","",ORCAMENTOS!E832)</f>
        <v>IGREJA ALEM DO VEU - SANTO ANDRE - SP</v>
      </c>
      <c r="F824" s="37" t="str">
        <f>IF(ORCAMENTOS!G832="","",ORCAMENTOS!G832)</f>
        <v>Emanuel</v>
      </c>
      <c r="G824" s="37" t="str">
        <f>IF(ORCAMENTOS!H832="","",ORCAMENTOS!H832)</f>
        <v>Marcelo</v>
      </c>
      <c r="H824" s="39">
        <f>IF(ORCAMENTOS!I832="","",ORCAMENTOS!I832)</f>
        <v>158503.63</v>
      </c>
      <c r="I824" s="60" t="str">
        <f>IF(ORCAMENTOS!J832="","",ORCAMENTOS!J832)</f>
        <v/>
      </c>
      <c r="J824" s="40" t="str">
        <f>IF(ORCAMENTOS!L832="","",ORCAMENTOS!L832)</f>
        <v>FECHADO</v>
      </c>
      <c r="K824" s="34" t="str">
        <f>IF(ORCAMENTOS!M832="","",ORCAMENTOS!M832)</f>
        <v>-</v>
      </c>
      <c r="L824" t="str">
        <f>IF(ORCAMENTOS!R832="","",ORCAMENTOS!R832)</f>
        <v>-</v>
      </c>
    </row>
    <row r="825" spans="1:12" ht="15.75" hidden="1" customHeight="1" x14ac:dyDescent="0.25">
      <c r="A825" s="36">
        <f>IF(ORCAMENTOS!A833="","",ORCAMENTOS!A833)</f>
        <v>45796</v>
      </c>
      <c r="B825" s="46">
        <f>IF(ORCAMENTOS!B833="","",ORCAMENTOS!B833)</f>
        <v>823</v>
      </c>
      <c r="C825" s="46" t="str">
        <f>IF(ORCAMENTOS!C833="","",ORCAMENTOS!C833)</f>
        <v/>
      </c>
      <c r="D825" s="37" t="str">
        <f>IF(ORCAMENTOS!D833="","",ORCAMENTOS!D833)</f>
        <v>AGEPLAN</v>
      </c>
      <c r="E825" s="38" t="str">
        <f>IF(ORCAMENTOS!E833="","",ORCAMENTOS!E833)</f>
        <v>HUB RECREIO - RECREIO DOS BANDEIRANTES - SP</v>
      </c>
      <c r="F825" s="37" t="str">
        <f>IF(ORCAMENTOS!G833="","",ORCAMENTOS!G833)</f>
        <v>Fernando</v>
      </c>
      <c r="G825" s="37" t="str">
        <f>IF(ORCAMENTOS!H833="","",ORCAMENTOS!H833)</f>
        <v>Felipe</v>
      </c>
      <c r="H825" s="39">
        <f>IF(ORCAMENTOS!I833="","",ORCAMENTOS!I833)</f>
        <v>42317.73</v>
      </c>
      <c r="I825" s="60" t="str">
        <f>IF(ORCAMENTOS!J833="","",ORCAMENTOS!J833)</f>
        <v/>
      </c>
      <c r="J825" s="40" t="str">
        <f>IF(ORCAMENTOS!L833="","",ORCAMENTOS!L833)</f>
        <v>CANCELADO</v>
      </c>
      <c r="K825" s="34" t="str">
        <f>IF(ORCAMENTOS!M833="","",ORCAMENTOS!M833)</f>
        <v>CLIENTE NEGOCIANDO</v>
      </c>
      <c r="L825" t="str">
        <f>IF(ORCAMENTOS!R833="","",ORCAMENTOS!R833)</f>
        <v/>
      </c>
    </row>
    <row r="826" spans="1:12" ht="15.75" hidden="1" customHeight="1" x14ac:dyDescent="0.25">
      <c r="A826" s="36">
        <f>IF(ORCAMENTOS!A834="","",ORCAMENTOS!A834)</f>
        <v>45797</v>
      </c>
      <c r="B826" s="46">
        <f>IF(ORCAMENTOS!B834="","",ORCAMENTOS!B834)</f>
        <v>824</v>
      </c>
      <c r="C826" s="46" t="str">
        <f>IF(ORCAMENTOS!C834="","",ORCAMENTOS!C834)</f>
        <v/>
      </c>
      <c r="D826" s="37" t="str">
        <f>IF(ORCAMENTOS!D834="","",ORCAMENTOS!D834)</f>
        <v>GLACIAL REFRIGERACOES</v>
      </c>
      <c r="E826" s="38" t="str">
        <f>IF(ORCAMENTOS!E834="","",ORCAMENTOS!E834)</f>
        <v>FLEURY VESPASIANO</v>
      </c>
      <c r="F826" s="37" t="str">
        <f>IF(ORCAMENTOS!G834="","",ORCAMENTOS!G834)</f>
        <v>Fernando</v>
      </c>
      <c r="G826" s="37" t="str">
        <f>IF(ORCAMENTOS!H834="","",ORCAMENTOS!H834)</f>
        <v>Gilvan</v>
      </c>
      <c r="H826" s="39">
        <f>IF(ORCAMENTOS!I834="","",ORCAMENTOS!I834)</f>
        <v>178472.56</v>
      </c>
      <c r="I826" s="60" t="str">
        <f>IF(ORCAMENTOS!J834="","",ORCAMENTOS!J834)</f>
        <v/>
      </c>
      <c r="J826" s="40" t="str">
        <f>IF(ORCAMENTOS!L834="","",ORCAMENTOS!L834)</f>
        <v>CANCELADO</v>
      </c>
      <c r="K826" s="34" t="str">
        <f>IF(ORCAMENTOS!M834="","",ORCAMENTOS!M834)</f>
        <v>-</v>
      </c>
      <c r="L826" t="str">
        <f>IF(ORCAMENTOS!R834="","",ORCAMENTOS!R834)</f>
        <v/>
      </c>
    </row>
    <row r="827" spans="1:12" ht="15.75" hidden="1" customHeight="1" x14ac:dyDescent="0.25">
      <c r="A827" s="36">
        <f>IF(ORCAMENTOS!A835="","",ORCAMENTOS!A835)</f>
        <v>45796</v>
      </c>
      <c r="B827" s="46">
        <f>IF(ORCAMENTOS!B835="","",ORCAMENTOS!B835)</f>
        <v>825</v>
      </c>
      <c r="C827" s="46" t="str">
        <f>IF(ORCAMENTOS!C835="","",ORCAMENTOS!C835)</f>
        <v/>
      </c>
      <c r="D827" s="37" t="str">
        <f>IF(ORCAMENTOS!D835="","",ORCAMENTOS!D835)</f>
        <v>JBAR AR CONDICIONADO</v>
      </c>
      <c r="E827" s="38" t="str">
        <f>IF(ORCAMENTOS!E835="","",ORCAMENTOS!E835)</f>
        <v>COCA-COLA FENSA - PORTO ALEGRE / RS</v>
      </c>
      <c r="F827" s="37" t="str">
        <f>IF(ORCAMENTOS!G835="","",ORCAMENTOS!G835)</f>
        <v xml:space="preserve">Aldavir </v>
      </c>
      <c r="G827" s="37" t="str">
        <f>IF(ORCAMENTOS!H835="","",ORCAMENTOS!H835)</f>
        <v>João</v>
      </c>
      <c r="H827" s="39">
        <f>IF(ORCAMENTOS!I835="","",ORCAMENTOS!I835)</f>
        <v>72516.95</v>
      </c>
      <c r="I827" s="60" t="str">
        <f>IF(ORCAMENTOS!J835="","",ORCAMENTOS!J835)</f>
        <v/>
      </c>
      <c r="J827" s="40" t="str">
        <f>IF(ORCAMENTOS!L835="","",ORCAMENTOS!L835)</f>
        <v>CANCELADO</v>
      </c>
      <c r="K827" s="34" t="str">
        <f>IF(ORCAMENTOS!M835="","",ORCAMENTOS!M835)</f>
        <v/>
      </c>
      <c r="L827" t="str">
        <f>IF(ORCAMENTOS!R835="","",ORCAMENTOS!R835)</f>
        <v>-</v>
      </c>
    </row>
    <row r="828" spans="1:12" ht="15.75" hidden="1" customHeight="1" x14ac:dyDescent="0.25">
      <c r="A828" s="36">
        <f>IF(ORCAMENTOS!A836="","",ORCAMENTOS!A836)</f>
        <v>45797</v>
      </c>
      <c r="B828" s="46">
        <f>IF(ORCAMENTOS!B836="","",ORCAMENTOS!B836)</f>
        <v>826</v>
      </c>
      <c r="C828" s="46" t="str">
        <f>IF(ORCAMENTOS!C836="","",ORCAMENTOS!C836)</f>
        <v/>
      </c>
      <c r="D828" s="37" t="str">
        <f>IF(ORCAMENTOS!D836="","",ORCAMENTOS!D836)</f>
        <v>CACR ENGENHARIA</v>
      </c>
      <c r="E828" s="38" t="str">
        <f>IF(ORCAMENTOS!E836="","",ORCAMENTOS!E836)</f>
        <v>-</v>
      </c>
      <c r="F828" s="37" t="str">
        <f>IF(ORCAMENTOS!G836="","",ORCAMENTOS!G836)</f>
        <v xml:space="preserve">Aldavir </v>
      </c>
      <c r="G828" s="37" t="str">
        <f>IF(ORCAMENTOS!H836="","",ORCAMENTOS!H836)</f>
        <v>Marcelo</v>
      </c>
      <c r="H828" s="39">
        <f>IF(ORCAMENTOS!I836="","",ORCAMENTOS!I836)</f>
        <v>8736.7199999999993</v>
      </c>
      <c r="I828" s="60" t="str">
        <f>IF(ORCAMENTOS!J836="","",ORCAMENTOS!J836)</f>
        <v/>
      </c>
      <c r="J828" s="40" t="str">
        <f>IF(ORCAMENTOS!L836="","",ORCAMENTOS!L836)</f>
        <v>FECHADO</v>
      </c>
      <c r="K828" s="34" t="str">
        <f>IF(ORCAMENTOS!M836="","",ORCAMENTOS!M836)</f>
        <v>-</v>
      </c>
      <c r="L828" t="str">
        <f>IF(ORCAMENTOS!R836="","",ORCAMENTOS!R836)</f>
        <v>-</v>
      </c>
    </row>
    <row r="829" spans="1:12" ht="15.75" hidden="1" customHeight="1" x14ac:dyDescent="0.25">
      <c r="A829" s="36">
        <f>IF(ORCAMENTOS!A837="","",ORCAMENTOS!A837)</f>
        <v>45796</v>
      </c>
      <c r="B829" s="46">
        <f>IF(ORCAMENTOS!B837="","",ORCAMENTOS!B837)</f>
        <v>827</v>
      </c>
      <c r="C829" s="46" t="str">
        <f>IF(ORCAMENTOS!C837="","",ORCAMENTOS!C837)</f>
        <v/>
      </c>
      <c r="D829" s="37" t="str">
        <f>IF(ORCAMENTOS!D837="","",ORCAMENTOS!D837)</f>
        <v>AWA AR CONDICIONADO</v>
      </c>
      <c r="E829" s="38" t="str">
        <f>IF(ORCAMENTOS!E837="","",ORCAMENTOS!E837)</f>
        <v>STUDIO JUNDIAI - SP</v>
      </c>
      <c r="F829" s="37" t="str">
        <f>IF(ORCAMENTOS!G837="","",ORCAMENTOS!G837)</f>
        <v>Guilherme</v>
      </c>
      <c r="G829" s="37" t="str">
        <f>IF(ORCAMENTOS!H837="","",ORCAMENTOS!H837)</f>
        <v>Paula</v>
      </c>
      <c r="H829" s="39">
        <f>IF(ORCAMENTOS!I837="","",ORCAMENTOS!I837)</f>
        <v>14705</v>
      </c>
      <c r="I829" s="60" t="str">
        <f>IF(ORCAMENTOS!J837="","",ORCAMENTOS!J837)</f>
        <v/>
      </c>
      <c r="J829" s="40" t="str">
        <f>IF(ORCAMENTOS!L837="","",ORCAMENTOS!L837)</f>
        <v>FECHADO</v>
      </c>
      <c r="K829" s="34" t="str">
        <f>IF(ORCAMENTOS!M837="","",ORCAMENTOS!M837)</f>
        <v>-</v>
      </c>
      <c r="L829" t="str">
        <f>IF(ORCAMENTOS!R837="","",ORCAMENTOS!R837)</f>
        <v>-</v>
      </c>
    </row>
    <row r="830" spans="1:12" ht="15.75" hidden="1" customHeight="1" x14ac:dyDescent="0.25">
      <c r="A830" s="36">
        <f>IF(ORCAMENTOS!A838="","",ORCAMENTOS!A838)</f>
        <v>45796</v>
      </c>
      <c r="B830" s="46">
        <f>IF(ORCAMENTOS!B838="","",ORCAMENTOS!B838)</f>
        <v>828</v>
      </c>
      <c r="C830" s="46" t="str">
        <f>IF(ORCAMENTOS!C838="","",ORCAMENTOS!C838)</f>
        <v/>
      </c>
      <c r="D830" s="37" t="str">
        <f>IF(ORCAMENTOS!D838="","",ORCAMENTOS!D838)</f>
        <v>TERMOCLIMA</v>
      </c>
      <c r="E830" s="38" t="str">
        <f>IF(ORCAMENTOS!E838="","",ORCAMENTOS!E838)</f>
        <v>ASSAI - JACANA - SP</v>
      </c>
      <c r="F830" s="37" t="str">
        <f>IF(ORCAMENTOS!G838="","",ORCAMENTOS!G838)</f>
        <v>Gabriel</v>
      </c>
      <c r="G830" s="37" t="str">
        <f>IF(ORCAMENTOS!H838="","",ORCAMENTOS!H838)</f>
        <v>Pedro</v>
      </c>
      <c r="H830" s="39">
        <f>IF(ORCAMENTOS!I838="","",ORCAMENTOS!I838)</f>
        <v>61505.85</v>
      </c>
      <c r="I830" s="60" t="str">
        <f>IF(ORCAMENTOS!J838="","",ORCAMENTOS!J838)</f>
        <v/>
      </c>
      <c r="J830" s="40" t="str">
        <f>IF(ORCAMENTOS!L838="","",ORCAMENTOS!L838)</f>
        <v>CANCELADO</v>
      </c>
      <c r="K830" s="34" t="str">
        <f>IF(ORCAMENTOS!M838="","",ORCAMENTOS!M838)</f>
        <v>-</v>
      </c>
      <c r="L830" t="str">
        <f>IF(ORCAMENTOS!R838="","",ORCAMENTOS!R838)</f>
        <v/>
      </c>
    </row>
    <row r="831" spans="1:12" ht="15.75" hidden="1" customHeight="1" x14ac:dyDescent="0.25">
      <c r="A831" s="36">
        <f>IF(ORCAMENTOS!A839="","",ORCAMENTOS!A839)</f>
        <v>45796</v>
      </c>
      <c r="B831" s="46">
        <f>IF(ORCAMENTOS!B839="","",ORCAMENTOS!B839)</f>
        <v>829</v>
      </c>
      <c r="C831" s="46" t="str">
        <f>IF(ORCAMENTOS!C839="","",ORCAMENTOS!C839)</f>
        <v/>
      </c>
      <c r="D831" s="37" t="str">
        <f>IF(ORCAMENTOS!D839="","",ORCAMENTOS!D839)</f>
        <v>TERMOCLIMA</v>
      </c>
      <c r="E831" s="38" t="str">
        <f>IF(ORCAMENTOS!E839="","",ORCAMENTOS!E839)</f>
        <v>ASSAI - LOJA 012 - JUNDIAI - SP</v>
      </c>
      <c r="F831" s="37" t="str">
        <f>IF(ORCAMENTOS!G839="","",ORCAMENTOS!G839)</f>
        <v>Gabriel</v>
      </c>
      <c r="G831" s="37" t="str">
        <f>IF(ORCAMENTOS!H839="","",ORCAMENTOS!H839)</f>
        <v>Pedro</v>
      </c>
      <c r="H831" s="39">
        <f>IF(ORCAMENTOS!I839="","",ORCAMENTOS!I839)</f>
        <v>37518.15</v>
      </c>
      <c r="I831" s="60" t="str">
        <f>IF(ORCAMENTOS!J839="","",ORCAMENTOS!J839)</f>
        <v/>
      </c>
      <c r="J831" s="40" t="str">
        <f>IF(ORCAMENTOS!L839="","",ORCAMENTOS!L839)</f>
        <v>CANCELADO</v>
      </c>
      <c r="K831" s="34" t="str">
        <f>IF(ORCAMENTOS!M839="","",ORCAMENTOS!M839)</f>
        <v>-</v>
      </c>
      <c r="L831" t="str">
        <f>IF(ORCAMENTOS!R839="","",ORCAMENTOS!R839)</f>
        <v/>
      </c>
    </row>
    <row r="832" spans="1:12" ht="15.75" hidden="1" customHeight="1" x14ac:dyDescent="0.25">
      <c r="A832" s="36">
        <f>IF(ORCAMENTOS!A840="","",ORCAMENTOS!A840)</f>
        <v>45796</v>
      </c>
      <c r="B832" s="46">
        <f>IF(ORCAMENTOS!B840="","",ORCAMENTOS!B840)</f>
        <v>830</v>
      </c>
      <c r="C832" s="46" t="str">
        <f>IF(ORCAMENTOS!C840="","",ORCAMENTOS!C840)</f>
        <v/>
      </c>
      <c r="D832" s="37" t="str">
        <f>IF(ORCAMENTOS!D840="","",ORCAMENTOS!D840)</f>
        <v>TERMOCLIMA</v>
      </c>
      <c r="E832" s="38" t="str">
        <f>IF(ORCAMENTOS!E840="","",ORCAMENTOS!E840)</f>
        <v>ASSAI - LOJA SÃO MIGUEL - SP</v>
      </c>
      <c r="F832" s="37" t="str">
        <f>IF(ORCAMENTOS!G840="","",ORCAMENTOS!G840)</f>
        <v>Gabriel</v>
      </c>
      <c r="G832" s="37" t="str">
        <f>IF(ORCAMENTOS!H840="","",ORCAMENTOS!H840)</f>
        <v>Pedro</v>
      </c>
      <c r="H832" s="39">
        <f>IF(ORCAMENTOS!I840="","",ORCAMENTOS!I840)</f>
        <v>28783.02</v>
      </c>
      <c r="I832" s="60" t="str">
        <f>IF(ORCAMENTOS!J840="","",ORCAMENTOS!J840)</f>
        <v/>
      </c>
      <c r="J832" s="40" t="str">
        <f>IF(ORCAMENTOS!L840="","",ORCAMENTOS!L840)</f>
        <v>CANCELADO</v>
      </c>
      <c r="K832" s="34" t="str">
        <f>IF(ORCAMENTOS!M840="","",ORCAMENTOS!M840)</f>
        <v>-</v>
      </c>
      <c r="L832" t="str">
        <f>IF(ORCAMENTOS!R840="","",ORCAMENTOS!R840)</f>
        <v/>
      </c>
    </row>
    <row r="833" spans="1:12" ht="15.75" hidden="1" customHeight="1" x14ac:dyDescent="0.25">
      <c r="A833" s="36">
        <f>IF(ORCAMENTOS!A841="","",ORCAMENTOS!A841)</f>
        <v>45796</v>
      </c>
      <c r="B833" s="46">
        <f>IF(ORCAMENTOS!B841="","",ORCAMENTOS!B841)</f>
        <v>831</v>
      </c>
      <c r="C833" s="46" t="str">
        <f>IF(ORCAMENTOS!C841="","",ORCAMENTOS!C841)</f>
        <v/>
      </c>
      <c r="D833" s="37" t="str">
        <f>IF(ORCAMENTOS!D841="","",ORCAMENTOS!D841)</f>
        <v>TERMOCLIMA</v>
      </c>
      <c r="E833" s="38" t="str">
        <f>IF(ORCAMENTOS!E841="","",ORCAMENTOS!E841)</f>
        <v>ASSAI - AV SANTA CATARINA - SP</v>
      </c>
      <c r="F833" s="37" t="str">
        <f>IF(ORCAMENTOS!G841="","",ORCAMENTOS!G841)</f>
        <v>Gabriel</v>
      </c>
      <c r="G833" s="37" t="str">
        <f>IF(ORCAMENTOS!H841="","",ORCAMENTOS!H841)</f>
        <v>Pedro</v>
      </c>
      <c r="H833" s="39">
        <f>IF(ORCAMENTOS!I841="","",ORCAMENTOS!I841)</f>
        <v>28611.88</v>
      </c>
      <c r="I833" s="60" t="str">
        <f>IF(ORCAMENTOS!J841="","",ORCAMENTOS!J841)</f>
        <v/>
      </c>
      <c r="J833" s="40" t="str">
        <f>IF(ORCAMENTOS!L841="","",ORCAMENTOS!L841)</f>
        <v>CANCELADO</v>
      </c>
      <c r="K833" s="34" t="str">
        <f>IF(ORCAMENTOS!M841="","",ORCAMENTOS!M841)</f>
        <v>-</v>
      </c>
      <c r="L833" t="str">
        <f>IF(ORCAMENTOS!R841="","",ORCAMENTOS!R841)</f>
        <v/>
      </c>
    </row>
    <row r="834" spans="1:12" ht="15.75" hidden="1" customHeight="1" x14ac:dyDescent="0.25">
      <c r="A834" s="36">
        <f>IF(ORCAMENTOS!A842="","",ORCAMENTOS!A842)</f>
        <v>45796</v>
      </c>
      <c r="B834" s="46">
        <f>IF(ORCAMENTOS!B842="","",ORCAMENTOS!B842)</f>
        <v>832</v>
      </c>
      <c r="C834" s="46" t="str">
        <f>IF(ORCAMENTOS!C842="","",ORCAMENTOS!C842)</f>
        <v>832 R2</v>
      </c>
      <c r="D834" s="37" t="str">
        <f>IF(ORCAMENTOS!D842="","",ORCAMENTOS!D842)</f>
        <v>TERMOCLIMA</v>
      </c>
      <c r="E834" s="38" t="str">
        <f>IF(ORCAMENTOS!E842="","",ORCAMENTOS!E842)</f>
        <v>ASSAI - AV SANTA CATARINA - SP</v>
      </c>
      <c r="F834" s="37" t="str">
        <f>IF(ORCAMENTOS!G842="","",ORCAMENTOS!G842)</f>
        <v>Gabriel</v>
      </c>
      <c r="G834" s="37" t="str">
        <f>IF(ORCAMENTOS!H842="","",ORCAMENTOS!H842)</f>
        <v>Pedro</v>
      </c>
      <c r="H834" s="39">
        <f>IF(ORCAMENTOS!I842="","",ORCAMENTOS!I842)</f>
        <v>57507.79</v>
      </c>
      <c r="I834" s="60">
        <f>IF(ORCAMENTOS!J842="","",ORCAMENTOS!J842)</f>
        <v>0.05</v>
      </c>
      <c r="J834" s="40" t="str">
        <f>IF(ORCAMENTOS!L842="","",ORCAMENTOS!L842)</f>
        <v>COMPRA</v>
      </c>
      <c r="K834" s="34" t="str">
        <f>IF(ORCAMENTOS!M842="","",ORCAMENTOS!M842)</f>
        <v>-</v>
      </c>
      <c r="L834" t="str">
        <f>IF(ORCAMENTOS!R842="","",ORCAMENTOS!R842)</f>
        <v/>
      </c>
    </row>
    <row r="835" spans="1:12" ht="15.75" hidden="1" customHeight="1" x14ac:dyDescent="0.25">
      <c r="A835" s="36">
        <f>IF(ORCAMENTOS!A843="","",ORCAMENTOS!A843)</f>
        <v>45797</v>
      </c>
      <c r="B835" s="46">
        <f>IF(ORCAMENTOS!B843="","",ORCAMENTOS!B843)</f>
        <v>833</v>
      </c>
      <c r="C835" s="46" t="str">
        <f>IF(ORCAMENTOS!C843="","",ORCAMENTOS!C843)</f>
        <v/>
      </c>
      <c r="D835" s="37" t="str">
        <f>IF(ORCAMENTOS!D843="","",ORCAMENTOS!D843)</f>
        <v>ARDUENG</v>
      </c>
      <c r="E835" s="38" t="str">
        <f>IF(ORCAMENTOS!E843="","",ORCAMENTOS!E843)</f>
        <v>VISTEON AMAZONAS</v>
      </c>
      <c r="F835" s="37" t="str">
        <f>IF(ORCAMENTOS!G843="","",ORCAMENTOS!G843)</f>
        <v>Michel</v>
      </c>
      <c r="G835" s="37" t="str">
        <f>IF(ORCAMENTOS!H843="","",ORCAMENTOS!H843)</f>
        <v>Flavio</v>
      </c>
      <c r="H835" s="39">
        <f>IF(ORCAMENTOS!I843="","",ORCAMENTOS!I843)</f>
        <v>55552.05</v>
      </c>
      <c r="I835" s="60" t="str">
        <f>IF(ORCAMENTOS!J843="","",ORCAMENTOS!J843)</f>
        <v/>
      </c>
      <c r="J835" s="40" t="str">
        <f>IF(ORCAMENTOS!L843="","",ORCAMENTOS!L843)</f>
        <v>CANCELADO</v>
      </c>
      <c r="K835" s="34" t="str">
        <f>IF(ORCAMENTOS!M843="","",ORCAMENTOS!M843)</f>
        <v>OPTOU POR CHAPA</v>
      </c>
      <c r="L835" t="str">
        <f>IF(ORCAMENTOS!R843="","",ORCAMENTOS!R843)</f>
        <v/>
      </c>
    </row>
    <row r="836" spans="1:12" ht="15.75" hidden="1" customHeight="1" x14ac:dyDescent="0.25">
      <c r="A836" s="36">
        <f>IF(ORCAMENTOS!A844="","",ORCAMENTOS!A844)</f>
        <v>45796</v>
      </c>
      <c r="B836" s="46">
        <f>IF(ORCAMENTOS!B844="","",ORCAMENTOS!B844)</f>
        <v>834</v>
      </c>
      <c r="C836" s="46" t="str">
        <f>IF(ORCAMENTOS!C844="","",ORCAMENTOS!C844)</f>
        <v/>
      </c>
      <c r="D836" s="37" t="str">
        <f>IF(ORCAMENTOS!D844="","",ORCAMENTOS!D844)</f>
        <v>M&amp;M SOLUCOES</v>
      </c>
      <c r="E836" s="38" t="str">
        <f>IF(ORCAMENTOS!E844="","",ORCAMENTOS!E844)</f>
        <v>AEROPORTO TEN CEL AVIADOR - CESAR BOMBONATO - UBERLANDIA - MG</v>
      </c>
      <c r="F836" s="37" t="str">
        <f>IF(ORCAMENTOS!G844="","",ORCAMENTOS!G844)</f>
        <v>Emanuel</v>
      </c>
      <c r="G836" s="37" t="str">
        <f>IF(ORCAMENTOS!H844="","",ORCAMENTOS!H844)</f>
        <v>Glaucia</v>
      </c>
      <c r="H836" s="39">
        <f>IF(ORCAMENTOS!I844="","",ORCAMENTOS!I844)</f>
        <v>1026677.32</v>
      </c>
      <c r="I836" s="60" t="str">
        <f>IF(ORCAMENTOS!J844="","",ORCAMENTOS!J844)</f>
        <v/>
      </c>
      <c r="J836" s="40" t="str">
        <f>IF(ORCAMENTOS!L844="","",ORCAMENTOS!L844)</f>
        <v>CANCELADO</v>
      </c>
      <c r="K836" s="34" t="str">
        <f>IF(ORCAMENTOS!M844="","",ORCAMENTOS!M844)</f>
        <v>-</v>
      </c>
      <c r="L836" t="str">
        <f>IF(ORCAMENTOS!R844="","",ORCAMENTOS!R844)</f>
        <v/>
      </c>
    </row>
    <row r="837" spans="1:12" ht="15.75" hidden="1" customHeight="1" x14ac:dyDescent="0.25">
      <c r="A837" s="36">
        <f>IF(ORCAMENTOS!A845="","",ORCAMENTOS!A845)</f>
        <v>45796</v>
      </c>
      <c r="B837" s="46">
        <f>IF(ORCAMENTOS!B845="","",ORCAMENTOS!B845)</f>
        <v>835</v>
      </c>
      <c r="C837" s="46" t="str">
        <f>IF(ORCAMENTOS!C845="","",ORCAMENTOS!C845)</f>
        <v/>
      </c>
      <c r="D837" s="37" t="str">
        <f>IF(ORCAMENTOS!D845="","",ORCAMENTOS!D845)</f>
        <v>M&amp;M SOLUCOES</v>
      </c>
      <c r="E837" s="38" t="str">
        <f>IF(ORCAMENTOS!E845="","",ORCAMENTOS!E845)</f>
        <v>AEROPORTO MARIO RIBEIRO - MONTES CLAROS</v>
      </c>
      <c r="F837" s="37" t="str">
        <f>IF(ORCAMENTOS!G845="","",ORCAMENTOS!G845)</f>
        <v>Emanuel</v>
      </c>
      <c r="G837" s="37" t="str">
        <f>IF(ORCAMENTOS!H845="","",ORCAMENTOS!H845)</f>
        <v>Glaucia</v>
      </c>
      <c r="H837" s="39">
        <f>IF(ORCAMENTOS!I845="","",ORCAMENTOS!I845)</f>
        <v>81485.509999999995</v>
      </c>
      <c r="I837" s="60" t="str">
        <f>IF(ORCAMENTOS!J845="","",ORCAMENTOS!J845)</f>
        <v/>
      </c>
      <c r="J837" s="40" t="str">
        <f>IF(ORCAMENTOS!L845="","",ORCAMENTOS!L845)</f>
        <v>CANCELADO</v>
      </c>
      <c r="K837" s="34" t="str">
        <f>IF(ORCAMENTOS!M845="","",ORCAMENTOS!M845)</f>
        <v>-</v>
      </c>
      <c r="L837" t="str">
        <f>IF(ORCAMENTOS!R845="","",ORCAMENTOS!R845)</f>
        <v/>
      </c>
    </row>
    <row r="838" spans="1:12" ht="15.75" hidden="1" customHeight="1" x14ac:dyDescent="0.25">
      <c r="A838" s="36">
        <f>IF(ORCAMENTOS!A846="","",ORCAMENTOS!A846)</f>
        <v>45796</v>
      </c>
      <c r="B838" s="46">
        <f>IF(ORCAMENTOS!B846="","",ORCAMENTOS!B846)</f>
        <v>836</v>
      </c>
      <c r="C838" s="46" t="str">
        <f>IF(ORCAMENTOS!C846="","",ORCAMENTOS!C846)</f>
        <v/>
      </c>
      <c r="D838" s="37" t="str">
        <f>IF(ORCAMENTOS!D846="","",ORCAMENTOS!D846)</f>
        <v>M&amp;M SOLUCOES</v>
      </c>
      <c r="E838" s="38" t="str">
        <f>IF(ORCAMENTOS!E846="","",ORCAMENTOS!E846)</f>
        <v>AEROPORTO MARIO DE ALMEIDA FRANCO - UBERABA - MG</v>
      </c>
      <c r="F838" s="37" t="str">
        <f>IF(ORCAMENTOS!G846="","",ORCAMENTOS!G846)</f>
        <v>Emanuel</v>
      </c>
      <c r="G838" s="37" t="str">
        <f>IF(ORCAMENTOS!H846="","",ORCAMENTOS!H846)</f>
        <v>Glaucia</v>
      </c>
      <c r="H838" s="39">
        <f>IF(ORCAMENTOS!I846="","",ORCAMENTOS!I846)</f>
        <v>136912.66</v>
      </c>
      <c r="I838" s="60" t="str">
        <f>IF(ORCAMENTOS!J846="","",ORCAMENTOS!J846)</f>
        <v/>
      </c>
      <c r="J838" s="40" t="str">
        <f>IF(ORCAMENTOS!L846="","",ORCAMENTOS!L846)</f>
        <v>CANCELADO</v>
      </c>
      <c r="K838" s="34" t="str">
        <f>IF(ORCAMENTOS!M846="","",ORCAMENTOS!M846)</f>
        <v>-</v>
      </c>
      <c r="L838" t="str">
        <f>IF(ORCAMENTOS!R846="","",ORCAMENTOS!R846)</f>
        <v/>
      </c>
    </row>
    <row r="839" spans="1:12" ht="15.75" hidden="1" customHeight="1" x14ac:dyDescent="0.25">
      <c r="A839" s="36">
        <f>IF(ORCAMENTOS!A847="","",ORCAMENTOS!A847)</f>
        <v>45797</v>
      </c>
      <c r="B839" s="46">
        <f>IF(ORCAMENTOS!B847="","",ORCAMENTOS!B847)</f>
        <v>837</v>
      </c>
      <c r="C839" s="46" t="str">
        <f>IF(ORCAMENTOS!C847="","",ORCAMENTOS!C847)</f>
        <v/>
      </c>
      <c r="D839" s="37" t="str">
        <f>IF(ORCAMENTOS!D847="","",ORCAMENTOS!D847)</f>
        <v>APICE CLIMA</v>
      </c>
      <c r="E839" s="38" t="str">
        <f>IF(ORCAMENTOS!E847="","",ORCAMENTOS!E847)</f>
        <v>-</v>
      </c>
      <c r="F839" s="37" t="str">
        <f>IF(ORCAMENTOS!G847="","",ORCAMENTOS!G847)</f>
        <v>Michel</v>
      </c>
      <c r="G839" s="37" t="str">
        <f>IF(ORCAMENTOS!H847="","",ORCAMENTOS!H847)</f>
        <v>Djair</v>
      </c>
      <c r="H839" s="39">
        <f>IF(ORCAMENTOS!I847="","",ORCAMENTOS!I847)</f>
        <v>789.1</v>
      </c>
      <c r="I839" s="60" t="str">
        <f>IF(ORCAMENTOS!J847="","",ORCAMENTOS!J847)</f>
        <v/>
      </c>
      <c r="J839" s="40" t="str">
        <f>IF(ORCAMENTOS!L847="","",ORCAMENTOS!L847)</f>
        <v>CANCELADO</v>
      </c>
      <c r="K839" s="34" t="str">
        <f>IF(ORCAMENTOS!M847="","",ORCAMENTOS!M847)</f>
        <v>-</v>
      </c>
      <c r="L839" t="str">
        <f>IF(ORCAMENTOS!R847="","",ORCAMENTOS!R847)</f>
        <v>-</v>
      </c>
    </row>
    <row r="840" spans="1:12" ht="15.75" hidden="1" customHeight="1" x14ac:dyDescent="0.25">
      <c r="A840" s="36">
        <f>IF(ORCAMENTOS!A848="","",ORCAMENTOS!A848)</f>
        <v>45797</v>
      </c>
      <c r="B840" s="46">
        <f>IF(ORCAMENTOS!B848="","",ORCAMENTOS!B848)</f>
        <v>838</v>
      </c>
      <c r="C840" s="46" t="str">
        <f>IF(ORCAMENTOS!C848="","",ORCAMENTOS!C848)</f>
        <v/>
      </c>
      <c r="D840" s="37" t="str">
        <f>IF(ORCAMENTOS!D848="","",ORCAMENTOS!D848)</f>
        <v>TERMOCLIMA</v>
      </c>
      <c r="E840" s="38" t="str">
        <f>IF(ORCAMENTOS!E848="","",ORCAMENTOS!E848)</f>
        <v>ASSAI - CAMPINAS - CENTRO</v>
      </c>
      <c r="F840" s="37" t="str">
        <f>IF(ORCAMENTOS!G848="","",ORCAMENTOS!G848)</f>
        <v>Gabriel</v>
      </c>
      <c r="G840" s="37" t="str">
        <f>IF(ORCAMENTOS!H848="","",ORCAMENTOS!H848)</f>
        <v>Pedro</v>
      </c>
      <c r="H840" s="39">
        <f>IF(ORCAMENTOS!I848="","",ORCAMENTOS!I848)</f>
        <v>23513.25</v>
      </c>
      <c r="I840" s="60" t="str">
        <f>IF(ORCAMENTOS!J848="","",ORCAMENTOS!J848)</f>
        <v/>
      </c>
      <c r="J840" s="40" t="str">
        <f>IF(ORCAMENTOS!L848="","",ORCAMENTOS!L848)</f>
        <v>CANCELADO</v>
      </c>
      <c r="K840" s="34" t="str">
        <f>IF(ORCAMENTOS!M848="","",ORCAMENTOS!M848)</f>
        <v>-</v>
      </c>
      <c r="L840" t="str">
        <f>IF(ORCAMENTOS!R848="","",ORCAMENTOS!R848)</f>
        <v/>
      </c>
    </row>
    <row r="841" spans="1:12" ht="15.75" hidden="1" customHeight="1" x14ac:dyDescent="0.25">
      <c r="A841" s="36">
        <f>IF(ORCAMENTOS!A849="","",ORCAMENTOS!A849)</f>
        <v>45797</v>
      </c>
      <c r="B841" s="46">
        <f>IF(ORCAMENTOS!B849="","",ORCAMENTOS!B849)</f>
        <v>839</v>
      </c>
      <c r="C841" s="46" t="str">
        <f>IF(ORCAMENTOS!C849="","",ORCAMENTOS!C849)</f>
        <v/>
      </c>
      <c r="D841" s="37" t="str">
        <f>IF(ORCAMENTOS!D849="","",ORCAMENTOS!D849)</f>
        <v>TERMOCLIMA</v>
      </c>
      <c r="E841" s="38" t="str">
        <f>IF(ORCAMENTOS!E849="","",ORCAMENTOS!E849)</f>
        <v>ASSAI - ITAVUVU - SOROCABA - SP</v>
      </c>
      <c r="F841" s="37" t="str">
        <f>IF(ORCAMENTOS!G849="","",ORCAMENTOS!G849)</f>
        <v>Gabriel</v>
      </c>
      <c r="G841" s="37" t="str">
        <f>IF(ORCAMENTOS!H849="","",ORCAMENTOS!H849)</f>
        <v>Pedro</v>
      </c>
      <c r="H841" s="39">
        <f>IF(ORCAMENTOS!I849="","",ORCAMENTOS!I849)</f>
        <v>28668.04</v>
      </c>
      <c r="I841" s="60" t="str">
        <f>IF(ORCAMENTOS!J849="","",ORCAMENTOS!J849)</f>
        <v/>
      </c>
      <c r="J841" s="40" t="str">
        <f>IF(ORCAMENTOS!L849="","",ORCAMENTOS!L849)</f>
        <v>CANCELADO</v>
      </c>
      <c r="K841" s="34" t="str">
        <f>IF(ORCAMENTOS!M849="","",ORCAMENTOS!M849)</f>
        <v>-</v>
      </c>
      <c r="L841" t="str">
        <f>IF(ORCAMENTOS!R849="","",ORCAMENTOS!R849)</f>
        <v/>
      </c>
    </row>
    <row r="842" spans="1:12" ht="15.75" hidden="1" customHeight="1" x14ac:dyDescent="0.25">
      <c r="A842" s="36">
        <f>IF(ORCAMENTOS!A850="","",ORCAMENTOS!A850)</f>
        <v>45797</v>
      </c>
      <c r="B842" s="46">
        <f>IF(ORCAMENTOS!B850="","",ORCAMENTOS!B850)</f>
        <v>840</v>
      </c>
      <c r="C842" s="46" t="str">
        <f>IF(ORCAMENTOS!C850="","",ORCAMENTOS!C850)</f>
        <v/>
      </c>
      <c r="D842" s="37" t="str">
        <f>IF(ORCAMENTOS!D850="","",ORCAMENTOS!D850)</f>
        <v>TERMOCLIMA</v>
      </c>
      <c r="E842" s="38" t="str">
        <f>IF(ORCAMENTOS!E850="","",ORCAMENTOS!E850)</f>
        <v>ASSAI - CASA VERDE - SP</v>
      </c>
      <c r="F842" s="37" t="str">
        <f>IF(ORCAMENTOS!G850="","",ORCAMENTOS!G850)</f>
        <v>Gabriel</v>
      </c>
      <c r="G842" s="37" t="str">
        <f>IF(ORCAMENTOS!H850="","",ORCAMENTOS!H850)</f>
        <v>Pedro</v>
      </c>
      <c r="H842" s="39">
        <f>IF(ORCAMENTOS!I850="","",ORCAMENTOS!I850)</f>
        <v>23624.79</v>
      </c>
      <c r="I842" s="60" t="str">
        <f>IF(ORCAMENTOS!J850="","",ORCAMENTOS!J850)</f>
        <v/>
      </c>
      <c r="J842" s="40" t="str">
        <f>IF(ORCAMENTOS!L850="","",ORCAMENTOS!L850)</f>
        <v>CANCELADO</v>
      </c>
      <c r="K842" s="34" t="str">
        <f>IF(ORCAMENTOS!M850="","",ORCAMENTOS!M850)</f>
        <v>-</v>
      </c>
      <c r="L842" t="str">
        <f>IF(ORCAMENTOS!R850="","",ORCAMENTOS!R850)</f>
        <v/>
      </c>
    </row>
    <row r="843" spans="1:12" ht="15.75" hidden="1" customHeight="1" x14ac:dyDescent="0.25">
      <c r="A843" s="36">
        <f>IF(ORCAMENTOS!A851="","",ORCAMENTOS!A851)</f>
        <v>45797</v>
      </c>
      <c r="B843" s="46">
        <f>IF(ORCAMENTOS!B851="","",ORCAMENTOS!B851)</f>
        <v>841</v>
      </c>
      <c r="C843" s="46" t="str">
        <f>IF(ORCAMENTOS!C851="","",ORCAMENTOS!C851)</f>
        <v/>
      </c>
      <c r="D843" s="37" t="str">
        <f>IF(ORCAMENTOS!D851="","",ORCAMENTOS!D851)</f>
        <v>TERMOCLIMA</v>
      </c>
      <c r="E843" s="38" t="str">
        <f>IF(ORCAMENTOS!E851="","",ORCAMENTOS!E851)</f>
        <v>ASSAI - LOJA OSASCO - SP</v>
      </c>
      <c r="F843" s="37" t="str">
        <f>IF(ORCAMENTOS!G851="","",ORCAMENTOS!G851)</f>
        <v>Gabriel</v>
      </c>
      <c r="G843" s="37" t="str">
        <f>IF(ORCAMENTOS!H851="","",ORCAMENTOS!H851)</f>
        <v>Pedro</v>
      </c>
      <c r="H843" s="39">
        <f>IF(ORCAMENTOS!I851="","",ORCAMENTOS!I851)</f>
        <v>23829.78</v>
      </c>
      <c r="I843" s="60" t="str">
        <f>IF(ORCAMENTOS!J851="","",ORCAMENTOS!J851)</f>
        <v/>
      </c>
      <c r="J843" s="40" t="str">
        <f>IF(ORCAMENTOS!L851="","",ORCAMENTOS!L851)</f>
        <v>CANCELADO</v>
      </c>
      <c r="K843" s="34" t="str">
        <f>IF(ORCAMENTOS!M851="","",ORCAMENTOS!M851)</f>
        <v>-</v>
      </c>
      <c r="L843" t="str">
        <f>IF(ORCAMENTOS!R851="","",ORCAMENTOS!R851)</f>
        <v/>
      </c>
    </row>
    <row r="844" spans="1:12" ht="15.75" hidden="1" customHeight="1" x14ac:dyDescent="0.25">
      <c r="A844" s="36">
        <f>IF(ORCAMENTOS!A852="","",ORCAMENTOS!A852)</f>
        <v>45797</v>
      </c>
      <c r="B844" s="46">
        <f>IF(ORCAMENTOS!B852="","",ORCAMENTOS!B852)</f>
        <v>842</v>
      </c>
      <c r="C844" s="46" t="str">
        <f>IF(ORCAMENTOS!C852="","",ORCAMENTOS!C852)</f>
        <v/>
      </c>
      <c r="D844" s="37" t="str">
        <f>IF(ORCAMENTOS!D852="","",ORCAMENTOS!D852)</f>
        <v>TERMOCLIMA</v>
      </c>
      <c r="E844" s="38" t="str">
        <f>IF(ORCAMENTOS!E852="","",ORCAMENTOS!E852)</f>
        <v>ASSAI - LOJA COTIA - SP</v>
      </c>
      <c r="F844" s="37" t="str">
        <f>IF(ORCAMENTOS!G852="","",ORCAMENTOS!G852)</f>
        <v>Gabriel</v>
      </c>
      <c r="G844" s="37" t="str">
        <f>IF(ORCAMENTOS!H852="","",ORCAMENTOS!H852)</f>
        <v>Pedro</v>
      </c>
      <c r="H844" s="39">
        <f>IF(ORCAMENTOS!I852="","",ORCAMENTOS!I852)</f>
        <v>31119.05</v>
      </c>
      <c r="I844" s="60" t="str">
        <f>IF(ORCAMENTOS!J852="","",ORCAMENTOS!J852)</f>
        <v/>
      </c>
      <c r="J844" s="40" t="str">
        <f>IF(ORCAMENTOS!L852="","",ORCAMENTOS!L852)</f>
        <v>CANCELADO</v>
      </c>
      <c r="K844" s="34" t="str">
        <f>IF(ORCAMENTOS!M852="","",ORCAMENTOS!M852)</f>
        <v>-</v>
      </c>
      <c r="L844" t="str">
        <f>IF(ORCAMENTOS!R852="","",ORCAMENTOS!R852)</f>
        <v/>
      </c>
    </row>
    <row r="845" spans="1:12" ht="15.75" hidden="1" customHeight="1" x14ac:dyDescent="0.25">
      <c r="A845" s="36">
        <f>IF(ORCAMENTOS!A853="","",ORCAMENTOS!A853)</f>
        <v>45797</v>
      </c>
      <c r="B845" s="46">
        <f>IF(ORCAMENTOS!B853="","",ORCAMENTOS!B853)</f>
        <v>843</v>
      </c>
      <c r="C845" s="46" t="str">
        <f>IF(ORCAMENTOS!C853="","",ORCAMENTOS!C853)</f>
        <v/>
      </c>
      <c r="D845" s="37" t="str">
        <f>IF(ORCAMENTOS!D853="","",ORCAMENTOS!D853)</f>
        <v>TERMOCLIMA</v>
      </c>
      <c r="E845" s="38" t="str">
        <f>IF(ORCAMENTOS!E853="","",ORCAMENTOS!E853)</f>
        <v>ASSAI - LOJA SANTO ANDRE - SP</v>
      </c>
      <c r="F845" s="37" t="str">
        <f>IF(ORCAMENTOS!G853="","",ORCAMENTOS!G853)</f>
        <v>Gabriel</v>
      </c>
      <c r="G845" s="37" t="str">
        <f>IF(ORCAMENTOS!H853="","",ORCAMENTOS!H853)</f>
        <v>Pedro</v>
      </c>
      <c r="H845" s="39">
        <f>IF(ORCAMENTOS!I853="","",ORCAMENTOS!I853)</f>
        <v>31208.51</v>
      </c>
      <c r="I845" s="60" t="str">
        <f>IF(ORCAMENTOS!J853="","",ORCAMENTOS!J853)</f>
        <v/>
      </c>
      <c r="J845" s="40" t="str">
        <f>IF(ORCAMENTOS!L853="","",ORCAMENTOS!L853)</f>
        <v>CANCELADO</v>
      </c>
      <c r="K845" s="34" t="str">
        <f>IF(ORCAMENTOS!M853="","",ORCAMENTOS!M853)</f>
        <v>-</v>
      </c>
      <c r="L845" t="str">
        <f>IF(ORCAMENTOS!R853="","",ORCAMENTOS!R853)</f>
        <v/>
      </c>
    </row>
    <row r="846" spans="1:12" ht="15.75" hidden="1" customHeight="1" x14ac:dyDescent="0.25">
      <c r="A846" s="36">
        <f>IF(ORCAMENTOS!A854="","",ORCAMENTOS!A854)</f>
        <v>45797</v>
      </c>
      <c r="B846" s="46">
        <f>IF(ORCAMENTOS!B854="","",ORCAMENTOS!B854)</f>
        <v>844</v>
      </c>
      <c r="C846" s="46" t="str">
        <f>IF(ORCAMENTOS!C854="","",ORCAMENTOS!C854)</f>
        <v/>
      </c>
      <c r="D846" s="37" t="str">
        <f>IF(ORCAMENTOS!D854="","",ORCAMENTOS!D854)</f>
        <v>TERMOCLIMA</v>
      </c>
      <c r="E846" s="38" t="str">
        <f>IF(ORCAMENTOS!E854="","",ORCAMENTOS!E854)</f>
        <v>ASSAI - PRAIA GRANDE - SP</v>
      </c>
      <c r="F846" s="37" t="str">
        <f>IF(ORCAMENTOS!G854="","",ORCAMENTOS!G854)</f>
        <v>Gabriel</v>
      </c>
      <c r="G846" s="37" t="str">
        <f>IF(ORCAMENTOS!H854="","",ORCAMENTOS!H854)</f>
        <v>Pedro</v>
      </c>
      <c r="H846" s="39">
        <f>IF(ORCAMENTOS!I854="","",ORCAMENTOS!I854)</f>
        <v>35951.56</v>
      </c>
      <c r="I846" s="60" t="str">
        <f>IF(ORCAMENTOS!J854="","",ORCAMENTOS!J854)</f>
        <v/>
      </c>
      <c r="J846" s="40" t="str">
        <f>IF(ORCAMENTOS!L854="","",ORCAMENTOS!L854)</f>
        <v>CANCELADO</v>
      </c>
      <c r="K846" s="34" t="str">
        <f>IF(ORCAMENTOS!M854="","",ORCAMENTOS!M854)</f>
        <v>-</v>
      </c>
      <c r="L846" t="str">
        <f>IF(ORCAMENTOS!R854="","",ORCAMENTOS!R854)</f>
        <v/>
      </c>
    </row>
    <row r="847" spans="1:12" ht="15.75" hidden="1" customHeight="1" x14ac:dyDescent="0.25">
      <c r="A847" s="36">
        <f>IF(ORCAMENTOS!A855="","",ORCAMENTOS!A855)</f>
        <v>45797</v>
      </c>
      <c r="B847" s="46">
        <f>IF(ORCAMENTOS!B855="","",ORCAMENTOS!B855)</f>
        <v>845</v>
      </c>
      <c r="C847" s="46" t="str">
        <f>IF(ORCAMENTOS!C855="","",ORCAMENTOS!C855)</f>
        <v/>
      </c>
      <c r="D847" s="37" t="str">
        <f>IF(ORCAMENTOS!D855="","",ORCAMENTOS!D855)</f>
        <v>PU DUTOS</v>
      </c>
      <c r="E847" s="38" t="str">
        <f>IF(ORCAMENTOS!E855="","",ORCAMENTOS!E855)</f>
        <v>-</v>
      </c>
      <c r="F847" s="37" t="str">
        <f>IF(ORCAMENTOS!G855="","",ORCAMENTOS!G855)</f>
        <v>Gabriel</v>
      </c>
      <c r="G847" s="37" t="str">
        <f>IF(ORCAMENTOS!H855="","",ORCAMENTOS!H855)</f>
        <v>Thiago</v>
      </c>
      <c r="H847" s="39">
        <f>IF(ORCAMENTOS!I855="","",ORCAMENTOS!I855)</f>
        <v>32701.64</v>
      </c>
      <c r="I847" s="60" t="str">
        <f>IF(ORCAMENTOS!J855="","",ORCAMENTOS!J855)</f>
        <v/>
      </c>
      <c r="J847" s="40" t="str">
        <f>IF(ORCAMENTOS!L855="","",ORCAMENTOS!L855)</f>
        <v>CANCELADO</v>
      </c>
      <c r="K847" s="34" t="str">
        <f>IF(ORCAMENTOS!M855="","",ORCAMENTOS!M855)</f>
        <v>-</v>
      </c>
      <c r="L847" t="str">
        <f>IF(ORCAMENTOS!R855="","",ORCAMENTOS!R855)</f>
        <v>-</v>
      </c>
    </row>
    <row r="848" spans="1:12" ht="15.75" hidden="1" customHeight="1" x14ac:dyDescent="0.25">
      <c r="A848" s="36">
        <f>IF(ORCAMENTOS!A856="","",ORCAMENTOS!A856)</f>
        <v>45798</v>
      </c>
      <c r="B848" s="46">
        <f>IF(ORCAMENTOS!B856="","",ORCAMENTOS!B856)</f>
        <v>846</v>
      </c>
      <c r="C848" s="46" t="str">
        <f>IF(ORCAMENTOS!C856="","",ORCAMENTOS!C856)</f>
        <v/>
      </c>
      <c r="D848" s="37" t="str">
        <f>IF(ORCAMENTOS!D856="","",ORCAMENTOS!D856)</f>
        <v>ADRIATIC</v>
      </c>
      <c r="E848" s="38" t="str">
        <f>IF(ORCAMENTOS!E856="","",ORCAMENTOS!E856)</f>
        <v>C&amp;A VALINHOS - COMPLEMENTO</v>
      </c>
      <c r="F848" s="37" t="str">
        <f>IF(ORCAMENTOS!G856="","",ORCAMENTOS!G856)</f>
        <v>Emanuel</v>
      </c>
      <c r="G848" s="37" t="str">
        <f>IF(ORCAMENTOS!H856="","",ORCAMENTOS!H856)</f>
        <v>Erika</v>
      </c>
      <c r="H848" s="39">
        <f>IF(ORCAMENTOS!I856="","",ORCAMENTOS!I856)</f>
        <v>9377.4</v>
      </c>
      <c r="I848" s="60" t="str">
        <f>IF(ORCAMENTOS!J856="","",ORCAMENTOS!J856)</f>
        <v/>
      </c>
      <c r="J848" s="40" t="str">
        <f>IF(ORCAMENTOS!L856="","",ORCAMENTOS!L856)</f>
        <v>FECHADO</v>
      </c>
      <c r="K848" s="34" t="str">
        <f>IF(ORCAMENTOS!M856="","",ORCAMENTOS!M856)</f>
        <v>-</v>
      </c>
      <c r="L848" t="str">
        <f>IF(ORCAMENTOS!R856="","",ORCAMENTOS!R856)</f>
        <v/>
      </c>
    </row>
    <row r="849" spans="1:12" ht="15.75" hidden="1" customHeight="1" x14ac:dyDescent="0.25">
      <c r="A849" s="36">
        <f>IF(ORCAMENTOS!A857="","",ORCAMENTOS!A857)</f>
        <v>45798</v>
      </c>
      <c r="B849" s="46">
        <f>IF(ORCAMENTOS!B857="","",ORCAMENTOS!B857)</f>
        <v>847</v>
      </c>
      <c r="C849" s="46" t="str">
        <f>IF(ORCAMENTOS!C857="","",ORCAMENTOS!C857)</f>
        <v/>
      </c>
      <c r="D849" s="37" t="str">
        <f>IF(ORCAMENTOS!D857="","",ORCAMENTOS!D857)</f>
        <v>ADRIATIC</v>
      </c>
      <c r="E849" s="38" t="str">
        <f>IF(ORCAMENTOS!E857="","",ORCAMENTOS!E857)</f>
        <v>C&amp;A CENTER NORTE - COMPLEMENTO</v>
      </c>
      <c r="F849" s="37" t="str">
        <f>IF(ORCAMENTOS!G857="","",ORCAMENTOS!G857)</f>
        <v>Emanuel</v>
      </c>
      <c r="G849" s="37" t="str">
        <f>IF(ORCAMENTOS!H857="","",ORCAMENTOS!H857)</f>
        <v>Erika</v>
      </c>
      <c r="H849" s="39">
        <f>IF(ORCAMENTOS!I857="","",ORCAMENTOS!I857)</f>
        <v>14896.58</v>
      </c>
      <c r="I849" s="60" t="str">
        <f>IF(ORCAMENTOS!J857="","",ORCAMENTOS!J857)</f>
        <v/>
      </c>
      <c r="J849" s="40" t="str">
        <f>IF(ORCAMENTOS!L857="","",ORCAMENTOS!L857)</f>
        <v>FECHADO</v>
      </c>
      <c r="K849" s="34" t="str">
        <f>IF(ORCAMENTOS!M857="","",ORCAMENTOS!M857)</f>
        <v>-</v>
      </c>
      <c r="L849" t="str">
        <f>IF(ORCAMENTOS!R857="","",ORCAMENTOS!R857)</f>
        <v>-</v>
      </c>
    </row>
    <row r="850" spans="1:12" ht="15.75" hidden="1" customHeight="1" x14ac:dyDescent="0.25">
      <c r="A850" s="36">
        <f>IF(ORCAMENTOS!A858="","",ORCAMENTOS!A858)</f>
        <v>45798</v>
      </c>
      <c r="B850" s="46">
        <f>IF(ORCAMENTOS!B858="","",ORCAMENTOS!B858)</f>
        <v>848</v>
      </c>
      <c r="C850" s="46" t="str">
        <f>IF(ORCAMENTOS!C858="","",ORCAMENTOS!C858)</f>
        <v/>
      </c>
      <c r="D850" s="37" t="str">
        <f>IF(ORCAMENTOS!D858="","",ORCAMENTOS!D858)</f>
        <v>ADRIATIC</v>
      </c>
      <c r="E850" s="38" t="str">
        <f>IF(ORCAMENTOS!E858="","",ORCAMENTOS!E858)</f>
        <v>CPD - SANTANDER - CAMPINAS-SP</v>
      </c>
      <c r="F850" s="37" t="str">
        <f>IF(ORCAMENTOS!G858="","",ORCAMENTOS!G858)</f>
        <v>Emanuel</v>
      </c>
      <c r="G850" s="37" t="str">
        <f>IF(ORCAMENTOS!H858="","",ORCAMENTOS!H858)</f>
        <v>Erika</v>
      </c>
      <c r="H850" s="39">
        <f>IF(ORCAMENTOS!I858="","",ORCAMENTOS!I858)</f>
        <v>40726.019999999997</v>
      </c>
      <c r="I850" s="60" t="str">
        <f>IF(ORCAMENTOS!J858="","",ORCAMENTOS!J858)</f>
        <v/>
      </c>
      <c r="J850" s="40" t="str">
        <f>IF(ORCAMENTOS!L858="","",ORCAMENTOS!L858)</f>
        <v>FECHADO</v>
      </c>
      <c r="K850" s="34" t="str">
        <f>IF(ORCAMENTOS!M858="","",ORCAMENTOS!M858)</f>
        <v>-</v>
      </c>
      <c r="L850" t="str">
        <f>IF(ORCAMENTOS!R858="","",ORCAMENTOS!R858)</f>
        <v>-</v>
      </c>
    </row>
    <row r="851" spans="1:12" ht="15.75" hidden="1" customHeight="1" x14ac:dyDescent="0.25">
      <c r="A851" s="36">
        <f>IF(ORCAMENTOS!A859="","",ORCAMENTOS!A859)</f>
        <v>45797</v>
      </c>
      <c r="B851" s="46">
        <f>IF(ORCAMENTOS!B859="","",ORCAMENTOS!B859)</f>
        <v>849</v>
      </c>
      <c r="C851" s="46" t="str">
        <f>IF(ORCAMENTOS!C859="","",ORCAMENTOS!C859)</f>
        <v/>
      </c>
      <c r="D851" s="37" t="str">
        <f>IF(ORCAMENTOS!D859="","",ORCAMENTOS!D859)</f>
        <v>SOLAR AR CONDICIONADO</v>
      </c>
      <c r="E851" s="38" t="str">
        <f>IF(ORCAMENTOS!E859="","",ORCAMENTOS!E859)</f>
        <v>LAVOSIER - SHOPPING UNIAO OSASCO - SP</v>
      </c>
      <c r="F851" s="37" t="str">
        <f>IF(ORCAMENTOS!G859="","",ORCAMENTOS!G859)</f>
        <v>Michel</v>
      </c>
      <c r="G851" s="37" t="str">
        <f>IF(ORCAMENTOS!H859="","",ORCAMENTOS!H859)</f>
        <v>Welly</v>
      </c>
      <c r="H851" s="39">
        <f>IF(ORCAMENTOS!I859="","",ORCAMENTOS!I859)</f>
        <v>9636.73</v>
      </c>
      <c r="I851" s="60" t="str">
        <f>IF(ORCAMENTOS!J859="","",ORCAMENTOS!J859)</f>
        <v/>
      </c>
      <c r="J851" s="40" t="str">
        <f>IF(ORCAMENTOS!L859="","",ORCAMENTOS!L859)</f>
        <v>CANCELADO</v>
      </c>
      <c r="K851" s="34" t="str">
        <f>IF(ORCAMENTOS!M859="","",ORCAMENTOS!M859)</f>
        <v>-</v>
      </c>
      <c r="L851" t="str">
        <f>IF(ORCAMENTOS!R859="","",ORCAMENTOS!R859)</f>
        <v>-</v>
      </c>
    </row>
    <row r="852" spans="1:12" ht="15.75" hidden="1" customHeight="1" x14ac:dyDescent="0.25">
      <c r="A852" s="36">
        <f>IF(ORCAMENTOS!A860="","",ORCAMENTOS!A860)</f>
        <v>45818</v>
      </c>
      <c r="B852" s="46">
        <f>IF(ORCAMENTOS!B860="","",ORCAMENTOS!B860)</f>
        <v>850</v>
      </c>
      <c r="C852" s="46" t="str">
        <f>IF(ORCAMENTOS!C860="","",ORCAMENTOS!C860)</f>
        <v/>
      </c>
      <c r="D852" s="37" t="str">
        <f>IF(ORCAMENTOS!D860="","",ORCAMENTOS!D860)</f>
        <v>CONSTARCO</v>
      </c>
      <c r="E852" s="38" t="str">
        <f>IF(ORCAMENTOS!E860="","",ORCAMENTOS!E860)</f>
        <v>PREDIO ADMINISTRATIVO - WSD - JARAGUA DO SUL - SC</v>
      </c>
      <c r="F852" s="37" t="str">
        <f>IF(ORCAMENTOS!G860="","",ORCAMENTOS!G860)</f>
        <v>Fernando</v>
      </c>
      <c r="G852" s="37" t="str">
        <f>IF(ORCAMENTOS!H860="","",ORCAMENTOS!H860)</f>
        <v>Francis</v>
      </c>
      <c r="H852" s="39">
        <f>IF(ORCAMENTOS!I860="","",ORCAMENTOS!I860)</f>
        <v>141006.14000000001</v>
      </c>
      <c r="I852" s="60" t="str">
        <f>IF(ORCAMENTOS!J860="","",ORCAMENTOS!J860)</f>
        <v/>
      </c>
      <c r="J852" s="40" t="str">
        <f>IF(ORCAMENTOS!L860="","",ORCAMENTOS!L860)</f>
        <v>PERDIDO</v>
      </c>
      <c r="K852" s="34" t="str">
        <f>IF(ORCAMENTOS!M860="","",ORCAMENTOS!M860)</f>
        <v>MULTIVAC</v>
      </c>
      <c r="L852" t="str">
        <f>IF(ORCAMENTOS!R860="","",ORCAMENTOS!R860)</f>
        <v/>
      </c>
    </row>
    <row r="853" spans="1:12" ht="15.75" hidden="1" customHeight="1" x14ac:dyDescent="0.25">
      <c r="A853" s="36">
        <f>IF(ORCAMENTOS!A861="","",ORCAMENTOS!A861)</f>
        <v>45797</v>
      </c>
      <c r="B853" s="46">
        <f>IF(ORCAMENTOS!B861="","",ORCAMENTOS!B861)</f>
        <v>851</v>
      </c>
      <c r="C853" s="46" t="str">
        <f>IF(ORCAMENTOS!C861="","",ORCAMENTOS!C861)</f>
        <v/>
      </c>
      <c r="D853" s="37" t="str">
        <f>IF(ORCAMENTOS!D861="","",ORCAMENTOS!D861)</f>
        <v>ASF SERVICOS</v>
      </c>
      <c r="E853" s="38" t="str">
        <f>IF(ORCAMENTOS!E861="","",ORCAMENTOS!E861)</f>
        <v>RAIA DROGASIL - RIBEIRAO PRETO - SP</v>
      </c>
      <c r="F853" s="37" t="str">
        <f>IF(ORCAMENTOS!G861="","",ORCAMENTOS!G861)</f>
        <v>Fernando</v>
      </c>
      <c r="G853" s="37" t="str">
        <f>IF(ORCAMENTOS!H861="","",ORCAMENTOS!H861)</f>
        <v>Andre</v>
      </c>
      <c r="H853" s="39">
        <f>IF(ORCAMENTOS!I861="","",ORCAMENTOS!I861)</f>
        <v>130443.8</v>
      </c>
      <c r="I853" s="60" t="str">
        <f>IF(ORCAMENTOS!J861="","",ORCAMENTOS!J861)</f>
        <v/>
      </c>
      <c r="J853" s="40" t="str">
        <f>IF(ORCAMENTOS!L861="","",ORCAMENTOS!L861)</f>
        <v>CANCELADO</v>
      </c>
      <c r="K853" s="34" t="str">
        <f>IF(ORCAMENTOS!M861="","",ORCAMENTOS!M861)</f>
        <v>-</v>
      </c>
      <c r="L853" t="str">
        <f>IF(ORCAMENTOS!R861="","",ORCAMENTOS!R861)</f>
        <v>MPU</v>
      </c>
    </row>
    <row r="854" spans="1:12" ht="15.75" hidden="1" customHeight="1" x14ac:dyDescent="0.25">
      <c r="A854" s="36">
        <f>IF(ORCAMENTOS!A862="","",ORCAMENTOS!A862)</f>
        <v>45797</v>
      </c>
      <c r="B854" s="46">
        <f>IF(ORCAMENTOS!B862="","",ORCAMENTOS!B862)</f>
        <v>852</v>
      </c>
      <c r="C854" s="46" t="str">
        <f>IF(ORCAMENTOS!C862="","",ORCAMENTOS!C862)</f>
        <v/>
      </c>
      <c r="D854" s="37" t="str">
        <f>IF(ORCAMENTOS!D862="","",ORCAMENTOS!D862)</f>
        <v>RAC ENGENHARIA</v>
      </c>
      <c r="E854" s="38" t="str">
        <f>IF(ORCAMENTOS!E862="","",ORCAMENTOS!E862)</f>
        <v>SHINNYO-EN BRASIL</v>
      </c>
      <c r="F854" s="37" t="str">
        <f>IF(ORCAMENTOS!G862="","",ORCAMENTOS!G862)</f>
        <v xml:space="preserve">Aldavir </v>
      </c>
      <c r="G854" s="37" t="str">
        <f>IF(ORCAMENTOS!H862="","",ORCAMENTOS!H862)</f>
        <v>Renata</v>
      </c>
      <c r="H854" s="39">
        <f>IF(ORCAMENTOS!I862="","",ORCAMENTOS!I862)</f>
        <v>4123.13</v>
      </c>
      <c r="I854" s="60" t="str">
        <f>IF(ORCAMENTOS!J862="","",ORCAMENTOS!J862)</f>
        <v/>
      </c>
      <c r="J854" s="40" t="str">
        <f>IF(ORCAMENTOS!L862="","",ORCAMENTOS!L862)</f>
        <v>FECHADO</v>
      </c>
      <c r="K854" s="34" t="str">
        <f>IF(ORCAMENTOS!M862="","",ORCAMENTOS!M862)</f>
        <v>-</v>
      </c>
      <c r="L854" t="str">
        <f>IF(ORCAMENTOS!R862="","",ORCAMENTOS!R862)</f>
        <v>-</v>
      </c>
    </row>
    <row r="855" spans="1:12" ht="15.75" hidden="1" customHeight="1" x14ac:dyDescent="0.25">
      <c r="A855" s="36">
        <f>IF(ORCAMENTOS!A863="","",ORCAMENTOS!A863)</f>
        <v>45797</v>
      </c>
      <c r="B855" s="46">
        <f>IF(ORCAMENTOS!B863="","",ORCAMENTOS!B863)</f>
        <v>853</v>
      </c>
      <c r="C855" s="46" t="str">
        <f>IF(ORCAMENTOS!C863="","",ORCAMENTOS!C863)</f>
        <v/>
      </c>
      <c r="D855" s="37" t="str">
        <f>IF(ORCAMENTOS!D863="","",ORCAMENTOS!D863)</f>
        <v>ASF SERVICOS</v>
      </c>
      <c r="E855" s="38" t="str">
        <f>IF(ORCAMENTOS!E863="","",ORCAMENTOS!E863)</f>
        <v>RAIA DROGASIL - JUNDIAI - SP</v>
      </c>
      <c r="F855" s="37" t="str">
        <f>IF(ORCAMENTOS!G863="","",ORCAMENTOS!G863)</f>
        <v>Fernando</v>
      </c>
      <c r="G855" s="37" t="str">
        <f>IF(ORCAMENTOS!H863="","",ORCAMENTOS!H863)</f>
        <v>Andre</v>
      </c>
      <c r="H855" s="39">
        <f>IF(ORCAMENTOS!I863="","",ORCAMENTOS!I863)</f>
        <v>561210.24</v>
      </c>
      <c r="I855" s="60" t="str">
        <f>IF(ORCAMENTOS!J863="","",ORCAMENTOS!J863)</f>
        <v/>
      </c>
      <c r="J855" s="40" t="str">
        <f>IF(ORCAMENTOS!L863="","",ORCAMENTOS!L863)</f>
        <v>CANCELADO</v>
      </c>
      <c r="K855" s="34" t="str">
        <f>IF(ORCAMENTOS!M863="","",ORCAMENTOS!M863)</f>
        <v>-</v>
      </c>
      <c r="L855" t="str">
        <f>IF(ORCAMENTOS!R863="","",ORCAMENTOS!R863)</f>
        <v>MPU</v>
      </c>
    </row>
    <row r="856" spans="1:12" ht="15.75" hidden="1" customHeight="1" x14ac:dyDescent="0.25">
      <c r="A856" s="36">
        <f>IF(ORCAMENTOS!A864="","",ORCAMENTOS!A864)</f>
        <v>45798</v>
      </c>
      <c r="B856" s="46">
        <f>IF(ORCAMENTOS!B864="","",ORCAMENTOS!B864)</f>
        <v>854</v>
      </c>
      <c r="C856" s="46" t="str">
        <f>IF(ORCAMENTOS!C864="","",ORCAMENTOS!C864)</f>
        <v/>
      </c>
      <c r="D856" s="37" t="str">
        <f>IF(ORCAMENTOS!D864="","",ORCAMENTOS!D864)</f>
        <v>COLD CONTROL</v>
      </c>
      <c r="E856" s="38" t="str">
        <f>IF(ORCAMENTOS!E864="","",ORCAMENTOS!E864)</f>
        <v>CCR JUNDIA</v>
      </c>
      <c r="F856" s="37" t="str">
        <f>IF(ORCAMENTOS!G864="","",ORCAMENTOS!G864)</f>
        <v>Emanuel</v>
      </c>
      <c r="G856" s="37" t="str">
        <f>IF(ORCAMENTOS!H864="","",ORCAMENTOS!H864)</f>
        <v>Armando</v>
      </c>
      <c r="H856" s="39">
        <f>IF(ORCAMENTOS!I864="","",ORCAMENTOS!I864)</f>
        <v>9354.01</v>
      </c>
      <c r="I856" s="60" t="str">
        <f>IF(ORCAMENTOS!J864="","",ORCAMENTOS!J864)</f>
        <v/>
      </c>
      <c r="J856" s="40" t="str">
        <f>IF(ORCAMENTOS!L864="","",ORCAMENTOS!L864)</f>
        <v>FECHADO</v>
      </c>
      <c r="K856" s="34" t="str">
        <f>IF(ORCAMENTOS!M864="","",ORCAMENTOS!M864)</f>
        <v>-</v>
      </c>
      <c r="L856" t="str">
        <f>IF(ORCAMENTOS!R864="","",ORCAMENTOS!R864)</f>
        <v>-</v>
      </c>
    </row>
    <row r="857" spans="1:12" ht="15.75" hidden="1" customHeight="1" x14ac:dyDescent="0.25">
      <c r="A857" s="36">
        <f>IF(ORCAMENTOS!A865="","",ORCAMENTOS!A865)</f>
        <v>45798</v>
      </c>
      <c r="B857" s="46">
        <f>IF(ORCAMENTOS!B865="","",ORCAMENTOS!B865)</f>
        <v>855</v>
      </c>
      <c r="C857" s="46" t="str">
        <f>IF(ORCAMENTOS!C865="","",ORCAMENTOS!C865)</f>
        <v/>
      </c>
      <c r="D857" s="37" t="str">
        <f>IF(ORCAMENTOS!D865="","",ORCAMENTOS!D865)</f>
        <v>PU DUTOS</v>
      </c>
      <c r="E857" s="38" t="str">
        <f>IF(ORCAMENTOS!E865="","",ORCAMENTOS!E865)</f>
        <v>-</v>
      </c>
      <c r="F857" s="37" t="str">
        <f>IF(ORCAMENTOS!G865="","",ORCAMENTOS!G865)</f>
        <v>Gabriel</v>
      </c>
      <c r="G857" s="37" t="str">
        <f>IF(ORCAMENTOS!H865="","",ORCAMENTOS!H865)</f>
        <v>Thiago</v>
      </c>
      <c r="H857" s="39">
        <f>IF(ORCAMENTOS!I865="","",ORCAMENTOS!I865)</f>
        <v>12060.42</v>
      </c>
      <c r="I857" s="60" t="str">
        <f>IF(ORCAMENTOS!J865="","",ORCAMENTOS!J865)</f>
        <v/>
      </c>
      <c r="J857" s="40" t="str">
        <f>IF(ORCAMENTOS!L865="","",ORCAMENTOS!L865)</f>
        <v>FECHADO</v>
      </c>
      <c r="K857" s="34" t="str">
        <f>IF(ORCAMENTOS!M865="","",ORCAMENTOS!M865)</f>
        <v>-</v>
      </c>
      <c r="L857" t="str">
        <f>IF(ORCAMENTOS!R865="","",ORCAMENTOS!R865)</f>
        <v>-</v>
      </c>
    </row>
    <row r="858" spans="1:12" ht="15.75" hidden="1" customHeight="1" x14ac:dyDescent="0.25">
      <c r="A858" s="36">
        <f>IF(ORCAMENTOS!A866="","",ORCAMENTOS!A866)</f>
        <v>45798</v>
      </c>
      <c r="B858" s="46">
        <f>IF(ORCAMENTOS!B866="","",ORCAMENTOS!B866)</f>
        <v>856</v>
      </c>
      <c r="C858" s="46" t="str">
        <f>IF(ORCAMENTOS!C866="","",ORCAMENTOS!C866)</f>
        <v/>
      </c>
      <c r="D858" s="37" t="str">
        <f>IF(ORCAMENTOS!D866="","",ORCAMENTOS!D866)</f>
        <v>ARPOL ENGENHARIA</v>
      </c>
      <c r="E858" s="38" t="str">
        <f>IF(ORCAMENTOS!E866="","",ORCAMENTOS!E866)</f>
        <v>Bradesco Ômega</v>
      </c>
      <c r="F858" s="37" t="str">
        <f>IF(ORCAMENTOS!G866="","",ORCAMENTOS!G866)</f>
        <v>Michel</v>
      </c>
      <c r="G858" s="37" t="str">
        <f>IF(ORCAMENTOS!H866="","",ORCAMENTOS!H866)</f>
        <v>Arnaldo</v>
      </c>
      <c r="H858" s="39">
        <f>IF(ORCAMENTOS!I866="","",ORCAMENTOS!I866)</f>
        <v>3006.41</v>
      </c>
      <c r="I858" s="60" t="str">
        <f>IF(ORCAMENTOS!J866="","",ORCAMENTOS!J866)</f>
        <v/>
      </c>
      <c r="J858" s="40" t="str">
        <f>IF(ORCAMENTOS!L866="","",ORCAMENTOS!L866)</f>
        <v>PERDIDO</v>
      </c>
      <c r="K858" s="34" t="str">
        <f>IF(ORCAMENTOS!M866="","",ORCAMENTOS!M866)</f>
        <v>MULTIVAC</v>
      </c>
      <c r="L858" t="str">
        <f>IF(ORCAMENTOS!R866="","",ORCAMENTOS!R866)</f>
        <v>-</v>
      </c>
    </row>
    <row r="859" spans="1:12" ht="15.75" hidden="1" customHeight="1" x14ac:dyDescent="0.25">
      <c r="A859" s="36">
        <f>IF(ORCAMENTOS!A867="","",ORCAMENTOS!A867)</f>
        <v>45798</v>
      </c>
      <c r="B859" s="46">
        <f>IF(ORCAMENTOS!B867="","",ORCAMENTOS!B867)</f>
        <v>857</v>
      </c>
      <c r="C859" s="46" t="str">
        <f>IF(ORCAMENTOS!C867="","",ORCAMENTOS!C867)</f>
        <v/>
      </c>
      <c r="D859" s="37" t="str">
        <f>IF(ORCAMENTOS!D867="","",ORCAMENTOS!D867)</f>
        <v>CONSORCIO ARC</v>
      </c>
      <c r="E859" s="38" t="str">
        <f>IF(ORCAMENTOS!E867="","",ORCAMENTOS!E867)</f>
        <v>-</v>
      </c>
      <c r="F859" s="37" t="str">
        <f>IF(ORCAMENTOS!G867="","",ORCAMENTOS!G867)</f>
        <v>Gabriel</v>
      </c>
      <c r="G859" s="37" t="str">
        <f>IF(ORCAMENTOS!H867="","",ORCAMENTOS!H867)</f>
        <v>Wagner</v>
      </c>
      <c r="H859" s="39">
        <f>IF(ORCAMENTOS!I867="","",ORCAMENTOS!I867)</f>
        <v>36000.120000000003</v>
      </c>
      <c r="I859" s="60" t="str">
        <f>IF(ORCAMENTOS!J867="","",ORCAMENTOS!J867)</f>
        <v/>
      </c>
      <c r="J859" s="40" t="str">
        <f>IF(ORCAMENTOS!L867="","",ORCAMENTOS!L867)</f>
        <v>FECHADO</v>
      </c>
      <c r="K859" s="34" t="str">
        <f>IF(ORCAMENTOS!M867="","",ORCAMENTOS!M867)</f>
        <v>-</v>
      </c>
      <c r="L859" t="str">
        <f>IF(ORCAMENTOS!R867="","",ORCAMENTOS!R867)</f>
        <v>-</v>
      </c>
    </row>
    <row r="860" spans="1:12" ht="15.75" hidden="1" customHeight="1" x14ac:dyDescent="0.25">
      <c r="A860" s="36">
        <f>IF(ORCAMENTOS!A868="","",ORCAMENTOS!A868)</f>
        <v>45798</v>
      </c>
      <c r="B860" s="46">
        <f>IF(ORCAMENTOS!B868="","",ORCAMENTOS!B868)</f>
        <v>858</v>
      </c>
      <c r="C860" s="46" t="str">
        <f>IF(ORCAMENTOS!C868="","",ORCAMENTOS!C868)</f>
        <v/>
      </c>
      <c r="D860" s="37" t="str">
        <f>IF(ORCAMENTOS!D868="","",ORCAMENTOS!D868)</f>
        <v>X AIR</v>
      </c>
      <c r="E860" s="38" t="str">
        <f>IF(ORCAMENTOS!E868="","",ORCAMENTOS!E868)</f>
        <v>HBR/MAIZ</v>
      </c>
      <c r="F860" s="37" t="str">
        <f>IF(ORCAMENTOS!G868="","",ORCAMENTOS!G868)</f>
        <v>Emanuel</v>
      </c>
      <c r="G860" s="37" t="str">
        <f>IF(ORCAMENTOS!H868="","",ORCAMENTOS!H868)</f>
        <v>Isabela</v>
      </c>
      <c r="H860" s="39">
        <f>IF(ORCAMENTOS!I868="","",ORCAMENTOS!I868)</f>
        <v>14084.71</v>
      </c>
      <c r="I860" s="60" t="str">
        <f>IF(ORCAMENTOS!J868="","",ORCAMENTOS!J868)</f>
        <v/>
      </c>
      <c r="J860" s="40" t="str">
        <f>IF(ORCAMENTOS!L868="","",ORCAMENTOS!L868)</f>
        <v>PERDIDO</v>
      </c>
      <c r="K860" s="34" t="str">
        <f>IF(ORCAMENTOS!M868="","",ORCAMENTOS!M868)</f>
        <v>ARCOTEC - PACOTE</v>
      </c>
      <c r="L860" t="str">
        <f>IF(ORCAMENTOS!R868="","",ORCAMENTOS!R868)</f>
        <v>-</v>
      </c>
    </row>
    <row r="861" spans="1:12" ht="15.75" hidden="1" customHeight="1" x14ac:dyDescent="0.25">
      <c r="A861" s="36">
        <f>IF(ORCAMENTOS!A869="","",ORCAMENTOS!A869)</f>
        <v>45798</v>
      </c>
      <c r="B861" s="46">
        <f>IF(ORCAMENTOS!B869="","",ORCAMENTOS!B869)</f>
        <v>859</v>
      </c>
      <c r="C861" s="46" t="str">
        <f>IF(ORCAMENTOS!C869="","",ORCAMENTOS!C869)</f>
        <v/>
      </c>
      <c r="D861" s="37" t="str">
        <f>IF(ORCAMENTOS!D869="","",ORCAMENTOS!D869)</f>
        <v>THERMOPOLO</v>
      </c>
      <c r="E861" s="38" t="str">
        <f>IF(ORCAMENTOS!E869="","",ORCAMENTOS!E869)</f>
        <v>-</v>
      </c>
      <c r="F861" s="37" t="str">
        <f>IF(ORCAMENTOS!G869="","",ORCAMENTOS!G869)</f>
        <v xml:space="preserve">Aldavir </v>
      </c>
      <c r="G861" s="37" t="str">
        <f>IF(ORCAMENTOS!H869="","",ORCAMENTOS!H869)</f>
        <v>Cecilia</v>
      </c>
      <c r="H861" s="39">
        <f>IF(ORCAMENTOS!I869="","",ORCAMENTOS!I869)</f>
        <v>3879.18</v>
      </c>
      <c r="I861" s="60" t="str">
        <f>IF(ORCAMENTOS!J869="","",ORCAMENTOS!J869)</f>
        <v/>
      </c>
      <c r="J861" s="40" t="str">
        <f>IF(ORCAMENTOS!L869="","",ORCAMENTOS!L869)</f>
        <v>CANCELADO</v>
      </c>
      <c r="K861" s="34" t="str">
        <f>IF(ORCAMENTOS!M869="","",ORCAMENTOS!M869)</f>
        <v>-</v>
      </c>
      <c r="L861" t="str">
        <f>IF(ORCAMENTOS!R869="","",ORCAMENTOS!R869)</f>
        <v>-</v>
      </c>
    </row>
    <row r="862" spans="1:12" ht="15.75" hidden="1" customHeight="1" x14ac:dyDescent="0.25">
      <c r="A862" s="36">
        <f>IF(ORCAMENTOS!A870="","",ORCAMENTOS!A870)</f>
        <v>45798</v>
      </c>
      <c r="B862" s="46">
        <f>IF(ORCAMENTOS!B870="","",ORCAMENTOS!B870)</f>
        <v>860</v>
      </c>
      <c r="C862" s="46" t="str">
        <f>IF(ORCAMENTOS!C870="","",ORCAMENTOS!C870)</f>
        <v/>
      </c>
      <c r="D862" s="37" t="str">
        <f>IF(ORCAMENTOS!D870="","",ORCAMENTOS!D870)</f>
        <v>FRIOCENTER</v>
      </c>
      <c r="E862" s="38" t="str">
        <f>IF(ORCAMENTOS!E870="","",ORCAMENTOS!E870)</f>
        <v>-</v>
      </c>
      <c r="F862" s="37" t="str">
        <f>IF(ORCAMENTOS!G870="","",ORCAMENTOS!G870)</f>
        <v>Gabriel</v>
      </c>
      <c r="G862" s="37" t="str">
        <f>IF(ORCAMENTOS!H870="","",ORCAMENTOS!H870)</f>
        <v>Fabio</v>
      </c>
      <c r="H862" s="39">
        <f>IF(ORCAMENTOS!I870="","",ORCAMENTOS!I870)</f>
        <v>36100.76</v>
      </c>
      <c r="I862" s="60" t="str">
        <f>IF(ORCAMENTOS!J870="","",ORCAMENTOS!J870)</f>
        <v/>
      </c>
      <c r="J862" s="40" t="str">
        <f>IF(ORCAMENTOS!L870="","",ORCAMENTOS!L870)</f>
        <v>CANCELADO</v>
      </c>
      <c r="K862" s="34" t="str">
        <f>IF(ORCAMENTOS!M870="","",ORCAMENTOS!M870)</f>
        <v>-</v>
      </c>
      <c r="L862" t="str">
        <f>IF(ORCAMENTOS!R870="","",ORCAMENTOS!R870)</f>
        <v>-</v>
      </c>
    </row>
    <row r="863" spans="1:12" ht="15.75" hidden="1" customHeight="1" x14ac:dyDescent="0.25">
      <c r="A863" s="36">
        <f>IF(ORCAMENTOS!A871="","",ORCAMENTOS!A871)</f>
        <v>45798</v>
      </c>
      <c r="B863" s="46">
        <f>IF(ORCAMENTOS!B871="","",ORCAMENTOS!B871)</f>
        <v>861</v>
      </c>
      <c r="C863" s="46" t="str">
        <f>IF(ORCAMENTOS!C871="","",ORCAMENTOS!C871)</f>
        <v/>
      </c>
      <c r="D863" s="37" t="str">
        <f>IF(ORCAMENTOS!D871="","",ORCAMENTOS!D871)</f>
        <v>MONTAGEM VIEIRA</v>
      </c>
      <c r="E863" s="38" t="str">
        <f>IF(ORCAMENTOS!E871="","",ORCAMENTOS!E871)</f>
        <v>-</v>
      </c>
      <c r="F863" s="37" t="str">
        <f>IF(ORCAMENTOS!G871="","",ORCAMENTOS!G871)</f>
        <v>Fernando</v>
      </c>
      <c r="G863" s="37" t="str">
        <f>IF(ORCAMENTOS!H871="","",ORCAMENTOS!H871)</f>
        <v>Sergio</v>
      </c>
      <c r="H863" s="39">
        <f>IF(ORCAMENTOS!I871="","",ORCAMENTOS!I871)</f>
        <v>4014.26</v>
      </c>
      <c r="I863" s="60" t="str">
        <f>IF(ORCAMENTOS!J871="","",ORCAMENTOS!J871)</f>
        <v/>
      </c>
      <c r="J863" s="40" t="str">
        <f>IF(ORCAMENTOS!L871="","",ORCAMENTOS!L871)</f>
        <v>FECHADO</v>
      </c>
      <c r="K863" s="34" t="str">
        <f>IF(ORCAMENTOS!M871="","",ORCAMENTOS!M871)</f>
        <v>-</v>
      </c>
      <c r="L863" t="str">
        <f>IF(ORCAMENTOS!R871="","",ORCAMENTOS!R871)</f>
        <v>-</v>
      </c>
    </row>
    <row r="864" spans="1:12" ht="15.75" hidden="1" customHeight="1" x14ac:dyDescent="0.25">
      <c r="A864" s="36">
        <f>IF(ORCAMENTOS!A872="","",ORCAMENTOS!A872)</f>
        <v>45798</v>
      </c>
      <c r="B864" s="46">
        <f>IF(ORCAMENTOS!B872="","",ORCAMENTOS!B872)</f>
        <v>862</v>
      </c>
      <c r="C864" s="46" t="str">
        <f>IF(ORCAMENTOS!C872="","",ORCAMENTOS!C872)</f>
        <v/>
      </c>
      <c r="D864" s="37" t="str">
        <f>IF(ORCAMENTOS!D872="","",ORCAMENTOS!D872)</f>
        <v>ARPOL ENGENHARIA</v>
      </c>
      <c r="E864" s="38" t="str">
        <f>IF(ORCAMENTOS!E872="","",ORCAMENTOS!E872)</f>
        <v>AEROPORTO INTERNACIONAL DE PONTA PORA - MS</v>
      </c>
      <c r="F864" s="37" t="str">
        <f>IF(ORCAMENTOS!G872="","",ORCAMENTOS!G872)</f>
        <v>Michel</v>
      </c>
      <c r="G864" s="37" t="str">
        <f>IF(ORCAMENTOS!H872="","",ORCAMENTOS!H872)</f>
        <v>William</v>
      </c>
      <c r="H864" s="39">
        <f>IF(ORCAMENTOS!I872="","",ORCAMENTOS!I872)</f>
        <v>195683.88</v>
      </c>
      <c r="I864" s="60" t="str">
        <f>IF(ORCAMENTOS!J872="","",ORCAMENTOS!J872)</f>
        <v/>
      </c>
      <c r="J864" s="40" t="str">
        <f>IF(ORCAMENTOS!L872="","",ORCAMENTOS!L872)</f>
        <v>CANCELADO</v>
      </c>
      <c r="K864" s="34" t="str">
        <f>IF(ORCAMENTOS!M872="","",ORCAMENTOS!M872)</f>
        <v>-</v>
      </c>
      <c r="L864" t="str">
        <f>IF(ORCAMENTOS!R872="","",ORCAMENTOS!R872)</f>
        <v>N/E</v>
      </c>
    </row>
    <row r="865" spans="1:12" ht="15.75" hidden="1" customHeight="1" x14ac:dyDescent="0.25">
      <c r="A865" s="36">
        <f>IF(ORCAMENTOS!A873="","",ORCAMENTOS!A873)</f>
        <v>45798</v>
      </c>
      <c r="B865" s="46">
        <f>IF(ORCAMENTOS!B873="","",ORCAMENTOS!B873)</f>
        <v>863</v>
      </c>
      <c r="C865" s="46" t="str">
        <f>IF(ORCAMENTOS!C873="","",ORCAMENTOS!C873)</f>
        <v/>
      </c>
      <c r="D865" s="37" t="str">
        <f>IF(ORCAMENTOS!D873="","",ORCAMENTOS!D873)</f>
        <v>AWA AR CONDICIONADO</v>
      </c>
      <c r="E865" s="38" t="str">
        <f>IF(ORCAMENTOS!E873="","",ORCAMENTOS!E873)</f>
        <v>-</v>
      </c>
      <c r="F865" s="37" t="str">
        <f>IF(ORCAMENTOS!G873="","",ORCAMENTOS!G873)</f>
        <v>Guilherme</v>
      </c>
      <c r="G865" s="37" t="str">
        <f>IF(ORCAMENTOS!H873="","",ORCAMENTOS!H873)</f>
        <v>Marcela</v>
      </c>
      <c r="H865" s="39">
        <f>IF(ORCAMENTOS!I873="","",ORCAMENTOS!I873)</f>
        <v>1137.4000000000001</v>
      </c>
      <c r="I865" s="60" t="str">
        <f>IF(ORCAMENTOS!J873="","",ORCAMENTOS!J873)</f>
        <v/>
      </c>
      <c r="J865" s="40" t="str">
        <f>IF(ORCAMENTOS!L873="","",ORCAMENTOS!L873)</f>
        <v>FECHADO</v>
      </c>
      <c r="K865" s="34" t="str">
        <f>IF(ORCAMENTOS!M873="","",ORCAMENTOS!M873)</f>
        <v>-</v>
      </c>
      <c r="L865" t="str">
        <f>IF(ORCAMENTOS!R873="","",ORCAMENTOS!R873)</f>
        <v>-</v>
      </c>
    </row>
    <row r="866" spans="1:12" ht="15.75" hidden="1" customHeight="1" x14ac:dyDescent="0.25">
      <c r="A866" s="36">
        <f>IF(ORCAMENTOS!A874="","",ORCAMENTOS!A874)</f>
        <v>45798</v>
      </c>
      <c r="B866" s="46">
        <f>IF(ORCAMENTOS!B874="","",ORCAMENTOS!B874)</f>
        <v>864</v>
      </c>
      <c r="C866" s="46" t="str">
        <f>IF(ORCAMENTOS!C874="","",ORCAMENTOS!C874)</f>
        <v/>
      </c>
      <c r="D866" s="37" t="str">
        <f>IF(ORCAMENTOS!D874="","",ORCAMENTOS!D874)</f>
        <v>AWA AR CONDICIONADO</v>
      </c>
      <c r="E866" s="38" t="str">
        <f>IF(ORCAMENTOS!E874="","",ORCAMENTOS!E874)</f>
        <v>HIPER TERESINA</v>
      </c>
      <c r="F866" s="37" t="str">
        <f>IF(ORCAMENTOS!G874="","",ORCAMENTOS!G874)</f>
        <v>Guilherme</v>
      </c>
      <c r="G866" s="37" t="str">
        <f>IF(ORCAMENTOS!H874="","",ORCAMENTOS!H874)</f>
        <v>Marcela</v>
      </c>
      <c r="H866" s="39">
        <f>IF(ORCAMENTOS!I874="","",ORCAMENTOS!I874)</f>
        <v>15845.63</v>
      </c>
      <c r="I866" s="60" t="str">
        <f>IF(ORCAMENTOS!J874="","",ORCAMENTOS!J874)</f>
        <v/>
      </c>
      <c r="J866" s="40" t="str">
        <f>IF(ORCAMENTOS!L874="","",ORCAMENTOS!L874)</f>
        <v>FECHADO</v>
      </c>
      <c r="K866" s="34" t="str">
        <f>IF(ORCAMENTOS!M874="","",ORCAMENTOS!M874)</f>
        <v>-</v>
      </c>
      <c r="L866" t="str">
        <f>IF(ORCAMENTOS!R874="","",ORCAMENTOS!R874)</f>
        <v>-</v>
      </c>
    </row>
    <row r="867" spans="1:12" ht="15.75" hidden="1" customHeight="1" x14ac:dyDescent="0.25">
      <c r="A867" s="36">
        <f>IF(ORCAMENTOS!A875="","",ORCAMENTOS!A875)</f>
        <v>45798</v>
      </c>
      <c r="B867" s="46">
        <f>IF(ORCAMENTOS!B875="","",ORCAMENTOS!B875)</f>
        <v>865</v>
      </c>
      <c r="C867" s="46" t="str">
        <f>IF(ORCAMENTOS!C875="","",ORCAMENTOS!C875)</f>
        <v/>
      </c>
      <c r="D867" s="37" t="str">
        <f>IF(ORCAMENTOS!D875="","",ORCAMENTOS!D875)</f>
        <v>ECOCLIMA</v>
      </c>
      <c r="E867" s="38" t="str">
        <f>IF(ORCAMENTOS!E875="","",ORCAMENTOS!E875)</f>
        <v>HSP CRISTO REDENTOR</v>
      </c>
      <c r="F867" s="37" t="str">
        <f>IF(ORCAMENTOS!G875="","",ORCAMENTOS!G875)</f>
        <v>Fernando</v>
      </c>
      <c r="G867" s="37" t="str">
        <f>IF(ORCAMENTOS!H875="","",ORCAMENTOS!H875)</f>
        <v>Antonio</v>
      </c>
      <c r="H867" s="39">
        <f>IF(ORCAMENTOS!I875="","",ORCAMENTOS!I875)</f>
        <v>101347.15</v>
      </c>
      <c r="I867" s="60" t="str">
        <f>IF(ORCAMENTOS!J875="","",ORCAMENTOS!J875)</f>
        <v/>
      </c>
      <c r="J867" s="40" t="str">
        <f>IF(ORCAMENTOS!L875="","",ORCAMENTOS!L875)</f>
        <v>CANCELADO</v>
      </c>
      <c r="K867" s="34" t="str">
        <f>IF(ORCAMENTOS!M875="","",ORCAMENTOS!M875)</f>
        <v>-</v>
      </c>
      <c r="L867" t="str">
        <f>IF(ORCAMENTOS!R875="","",ORCAMENTOS!R875)</f>
        <v>-</v>
      </c>
    </row>
    <row r="868" spans="1:12" ht="15.75" hidden="1" customHeight="1" x14ac:dyDescent="0.25">
      <c r="A868" s="36">
        <f>IF(ORCAMENTOS!A876="","",ORCAMENTOS!A876)</f>
        <v>45799</v>
      </c>
      <c r="B868" s="46">
        <f>IF(ORCAMENTOS!B876="","",ORCAMENTOS!B876)</f>
        <v>866</v>
      </c>
      <c r="C868" s="46" t="str">
        <f>IF(ORCAMENTOS!C876="","",ORCAMENTOS!C876)</f>
        <v/>
      </c>
      <c r="D868" s="37" t="str">
        <f>IF(ORCAMENTOS!D876="","",ORCAMENTOS!D876)</f>
        <v>APICE CLIMA</v>
      </c>
      <c r="E868" s="38" t="str">
        <f>IF(ORCAMENTOS!E876="","",ORCAMENTOS!E876)</f>
        <v>TEATRO JK - GOMES DE CARVALHO - SP</v>
      </c>
      <c r="F868" s="37" t="str">
        <f>IF(ORCAMENTOS!G876="","",ORCAMENTOS!G876)</f>
        <v>Michel</v>
      </c>
      <c r="G868" s="37" t="str">
        <f>IF(ORCAMENTOS!H876="","",ORCAMENTOS!H876)</f>
        <v>Luis</v>
      </c>
      <c r="H868" s="39">
        <f>IF(ORCAMENTOS!I876="","",ORCAMENTOS!I876)</f>
        <v>74769.63</v>
      </c>
      <c r="I868" s="60" t="str">
        <f>IF(ORCAMENTOS!J876="","",ORCAMENTOS!J876)</f>
        <v/>
      </c>
      <c r="J868" s="40" t="str">
        <f>IF(ORCAMENTOS!L876="","",ORCAMENTOS!L876)</f>
        <v>CANCELADO</v>
      </c>
      <c r="K868" s="34" t="str">
        <f>IF(ORCAMENTOS!M876="","",ORCAMENTOS!M876)</f>
        <v>-</v>
      </c>
      <c r="L868" t="str">
        <f>IF(ORCAMENTOS!R876="","",ORCAMENTOS!R876)</f>
        <v>-</v>
      </c>
    </row>
    <row r="869" spans="1:12" ht="15.75" hidden="1" customHeight="1" x14ac:dyDescent="0.25">
      <c r="A869" s="36">
        <f>IF(ORCAMENTOS!A877="","",ORCAMENTOS!A877)</f>
        <v>45803</v>
      </c>
      <c r="B869" s="46">
        <f>IF(ORCAMENTOS!B877="","",ORCAMENTOS!B877)</f>
        <v>867</v>
      </c>
      <c r="C869" s="46" t="str">
        <f>IF(ORCAMENTOS!C877="","",ORCAMENTOS!C877)</f>
        <v/>
      </c>
      <c r="D869" s="37" t="str">
        <f>IF(ORCAMENTOS!D877="","",ORCAMENTOS!D877)</f>
        <v>AWA AR CONDICIONADO</v>
      </c>
      <c r="E869" s="38" t="str">
        <f>IF(ORCAMENTOS!E877="","",ORCAMENTOS!E877)</f>
        <v>PREZUNIC - ESTRADA DO TINGUI - CAMPO GRANDE - RJ</v>
      </c>
      <c r="F869" s="37" t="str">
        <f>IF(ORCAMENTOS!G877="","",ORCAMENTOS!G877)</f>
        <v>Guilherme</v>
      </c>
      <c r="G869" s="37" t="str">
        <f>IF(ORCAMENTOS!H877="","",ORCAMENTOS!H877)</f>
        <v>Marcela</v>
      </c>
      <c r="H869" s="39">
        <f>IF(ORCAMENTOS!I877="","",ORCAMENTOS!I877)</f>
        <v>60177.56</v>
      </c>
      <c r="I869" s="60" t="str">
        <f>IF(ORCAMENTOS!J877="","",ORCAMENTOS!J877)</f>
        <v/>
      </c>
      <c r="J869" s="40" t="str">
        <f>IF(ORCAMENTOS!L877="","",ORCAMENTOS!L877)</f>
        <v>CANCELADO</v>
      </c>
      <c r="K869" s="34" t="str">
        <f>IF(ORCAMENTOS!M877="","",ORCAMENTOS!M877)</f>
        <v>-</v>
      </c>
      <c r="L869" t="str">
        <f>IF(ORCAMENTOS!R877="","",ORCAMENTOS!R877)</f>
        <v>-</v>
      </c>
    </row>
    <row r="870" spans="1:12" ht="15.75" hidden="1" customHeight="1" x14ac:dyDescent="0.25">
      <c r="A870" s="36">
        <f>IF(ORCAMENTOS!A878="","",ORCAMENTOS!A878)</f>
        <v>45799</v>
      </c>
      <c r="B870" s="46">
        <f>IF(ORCAMENTOS!B878="","",ORCAMENTOS!B878)</f>
        <v>868</v>
      </c>
      <c r="C870" s="46" t="str">
        <f>IF(ORCAMENTOS!C878="","",ORCAMENTOS!C878)</f>
        <v/>
      </c>
      <c r="D870" s="37" t="str">
        <f>IF(ORCAMENTOS!D878="","",ORCAMENTOS!D878)</f>
        <v>SESIL AR</v>
      </c>
      <c r="E870" s="38" t="str">
        <f>IF(ORCAMENTOS!E878="","",ORCAMENTOS!E878)</f>
        <v>RAIA DROGASIL - JUNDIAI - SP</v>
      </c>
      <c r="F870" s="37" t="str">
        <f>IF(ORCAMENTOS!G878="","",ORCAMENTOS!G878)</f>
        <v>Fernando</v>
      </c>
      <c r="G870" s="37" t="str">
        <f>IF(ORCAMENTOS!H878="","",ORCAMENTOS!H878)</f>
        <v>Luciana</v>
      </c>
      <c r="H870" s="39">
        <f>IF(ORCAMENTOS!I878="","",ORCAMENTOS!I878)</f>
        <v>654910.39</v>
      </c>
      <c r="I870" s="60" t="str">
        <f>IF(ORCAMENTOS!J878="","",ORCAMENTOS!J878)</f>
        <v/>
      </c>
      <c r="J870" s="40" t="str">
        <f>IF(ORCAMENTOS!L878="","",ORCAMENTOS!L878)</f>
        <v>CANCELADO</v>
      </c>
      <c r="K870" s="34" t="str">
        <f>IF(ORCAMENTOS!M878="","",ORCAMENTOS!M878)</f>
        <v>-</v>
      </c>
      <c r="L870" t="str">
        <f>IF(ORCAMENTOS!R878="","",ORCAMENTOS!R878)</f>
        <v>MPU</v>
      </c>
    </row>
    <row r="871" spans="1:12" ht="15.75" hidden="1" customHeight="1" x14ac:dyDescent="0.25">
      <c r="A871" s="36">
        <f>IF(ORCAMENTOS!A879="","",ORCAMENTOS!A879)</f>
        <v>45799</v>
      </c>
      <c r="B871" s="46">
        <f>IF(ORCAMENTOS!B879="","",ORCAMENTOS!B879)</f>
        <v>869</v>
      </c>
      <c r="C871" s="46" t="str">
        <f>IF(ORCAMENTOS!C879="","",ORCAMENTOS!C879)</f>
        <v/>
      </c>
      <c r="D871" s="37" t="str">
        <f>IF(ORCAMENTOS!D879="","",ORCAMENTOS!D879)</f>
        <v>NEWSET</v>
      </c>
      <c r="E871" s="38" t="str">
        <f>IF(ORCAMENTOS!E879="","",ORCAMENTOS!E879)</f>
        <v>DAJA JPR</v>
      </c>
      <c r="F871" s="37" t="str">
        <f>IF(ORCAMENTOS!G879="","",ORCAMENTOS!G879)</f>
        <v xml:space="preserve">Aldavir </v>
      </c>
      <c r="G871" s="37" t="str">
        <f>IF(ORCAMENTOS!H879="","",ORCAMENTOS!H879)</f>
        <v>Atila</v>
      </c>
      <c r="H871" s="39">
        <f>IF(ORCAMENTOS!I879="","",ORCAMENTOS!I879)</f>
        <v>230941.29</v>
      </c>
      <c r="I871" s="60" t="str">
        <f>IF(ORCAMENTOS!J879="","",ORCAMENTOS!J879)</f>
        <v/>
      </c>
      <c r="J871" s="40" t="str">
        <f>IF(ORCAMENTOS!L879="","",ORCAMENTOS!L879)</f>
        <v>CANCELADO</v>
      </c>
      <c r="K871" s="34" t="str">
        <f>IF(ORCAMENTOS!M879="","",ORCAMENTOS!M879)</f>
        <v>-</v>
      </c>
      <c r="L871" t="str">
        <f>IF(ORCAMENTOS!R879="","",ORCAMENTOS!R879)</f>
        <v>-</v>
      </c>
    </row>
    <row r="872" spans="1:12" ht="15.75" hidden="1" customHeight="1" x14ac:dyDescent="0.25">
      <c r="A872" s="36">
        <f>IF(ORCAMENTOS!A880="","",ORCAMENTOS!A880)</f>
        <v>45799</v>
      </c>
      <c r="B872" s="46">
        <f>IF(ORCAMENTOS!B880="","",ORCAMENTOS!B880)</f>
        <v>870</v>
      </c>
      <c r="C872" s="46" t="str">
        <f>IF(ORCAMENTOS!C880="","",ORCAMENTOS!C880)</f>
        <v/>
      </c>
      <c r="D872" s="37" t="str">
        <f>IF(ORCAMENTOS!D880="","",ORCAMENTOS!D880)</f>
        <v>PU DUTOS</v>
      </c>
      <c r="E872" s="38" t="str">
        <f>IF(ORCAMENTOS!E880="","",ORCAMENTOS!E880)</f>
        <v>-</v>
      </c>
      <c r="F872" s="37" t="str">
        <f>IF(ORCAMENTOS!G880="","",ORCAMENTOS!G880)</f>
        <v>Gabriel</v>
      </c>
      <c r="G872" s="37" t="str">
        <f>IF(ORCAMENTOS!H880="","",ORCAMENTOS!H880)</f>
        <v>Thiago</v>
      </c>
      <c r="H872" s="39">
        <f>IF(ORCAMENTOS!I880="","",ORCAMENTOS!I880)</f>
        <v>31155.08</v>
      </c>
      <c r="I872" s="60" t="str">
        <f>IF(ORCAMENTOS!J880="","",ORCAMENTOS!J880)</f>
        <v/>
      </c>
      <c r="J872" s="40" t="str">
        <f>IF(ORCAMENTOS!L880="","",ORCAMENTOS!L880)</f>
        <v>CANCELADO</v>
      </c>
      <c r="K872" s="34" t="str">
        <f>IF(ORCAMENTOS!M880="","",ORCAMENTOS!M880)</f>
        <v>-</v>
      </c>
      <c r="L872" t="str">
        <f>IF(ORCAMENTOS!R880="","",ORCAMENTOS!R880)</f>
        <v>-</v>
      </c>
    </row>
    <row r="873" spans="1:12" ht="15.75" hidden="1" customHeight="1" x14ac:dyDescent="0.25">
      <c r="A873" s="36">
        <f>IF(ORCAMENTOS!A881="","",ORCAMENTOS!A881)</f>
        <v>45799</v>
      </c>
      <c r="B873" s="46">
        <f>IF(ORCAMENTOS!B881="","",ORCAMENTOS!B881)</f>
        <v>871</v>
      </c>
      <c r="C873" s="46" t="str">
        <f>IF(ORCAMENTOS!C881="","",ORCAMENTOS!C881)</f>
        <v/>
      </c>
      <c r="D873" s="37" t="str">
        <f>IF(ORCAMENTOS!D881="","",ORCAMENTOS!D881)</f>
        <v>SATURNO AR</v>
      </c>
      <c r="E873" s="38" t="str">
        <f>IF(ORCAMENTOS!E881="","",ORCAMENTOS!E881)</f>
        <v>CLINICA LEGER - INDIANOPOLIS - SP</v>
      </c>
      <c r="F873" s="37" t="str">
        <f>IF(ORCAMENTOS!G881="","",ORCAMENTOS!G881)</f>
        <v>Gabriel</v>
      </c>
      <c r="G873" s="37" t="str">
        <f>IF(ORCAMENTOS!H881="","",ORCAMENTOS!H881)</f>
        <v>Sidnei</v>
      </c>
      <c r="H873" s="39">
        <f>IF(ORCAMENTOS!I881="","",ORCAMENTOS!I881)</f>
        <v>34426.089999999997</v>
      </c>
      <c r="I873" s="60" t="str">
        <f>IF(ORCAMENTOS!J881="","",ORCAMENTOS!J881)</f>
        <v/>
      </c>
      <c r="J873" s="40" t="str">
        <f>IF(ORCAMENTOS!L881="","",ORCAMENTOS!L881)</f>
        <v>CANCELADO</v>
      </c>
      <c r="K873" s="34" t="str">
        <f>IF(ORCAMENTOS!M881="","",ORCAMENTOS!M881)</f>
        <v>-</v>
      </c>
      <c r="L873" t="str">
        <f>IF(ORCAMENTOS!R881="","",ORCAMENTOS!R881)</f>
        <v>-</v>
      </c>
    </row>
    <row r="874" spans="1:12" ht="15.75" hidden="1" customHeight="1" x14ac:dyDescent="0.25">
      <c r="A874" s="36">
        <f>IF(ORCAMENTOS!A882="","",ORCAMENTOS!A882)</f>
        <v>45799</v>
      </c>
      <c r="B874" s="46">
        <f>IF(ORCAMENTOS!B882="","",ORCAMENTOS!B882)</f>
        <v>872</v>
      </c>
      <c r="C874" s="46" t="str">
        <f>IF(ORCAMENTOS!C882="","",ORCAMENTOS!C882)</f>
        <v/>
      </c>
      <c r="D874" s="37" t="str">
        <f>IF(ORCAMENTOS!D882="","",ORCAMENTOS!D882)</f>
        <v>AMS INSTALACOES</v>
      </c>
      <c r="E874" s="38" t="str">
        <f>IF(ORCAMENTOS!E882="","",ORCAMENTOS!E882)</f>
        <v>FORT ATACADISTA - ITAJAI - SC</v>
      </c>
      <c r="F874" s="37" t="str">
        <f>IF(ORCAMENTOS!G882="","",ORCAMENTOS!G882)</f>
        <v>Gabriel</v>
      </c>
      <c r="G874" s="37" t="str">
        <f>IF(ORCAMENTOS!H882="","",ORCAMENTOS!H882)</f>
        <v>Albertino</v>
      </c>
      <c r="H874" s="39">
        <f>IF(ORCAMENTOS!I882="","",ORCAMENTOS!I882)</f>
        <v>151787.92000000001</v>
      </c>
      <c r="I874" s="60" t="str">
        <f>IF(ORCAMENTOS!J882="","",ORCAMENTOS!J882)</f>
        <v/>
      </c>
      <c r="J874" s="40" t="str">
        <f>IF(ORCAMENTOS!L882="","",ORCAMENTOS!L882)</f>
        <v>CANCELADO</v>
      </c>
      <c r="K874" s="34" t="str">
        <f>IF(ORCAMENTOS!M882="","",ORCAMENTOS!M882)</f>
        <v>-</v>
      </c>
      <c r="L874" t="str">
        <f>IF(ORCAMENTOS!R882="","",ORCAMENTOS!R882)</f>
        <v>MPU</v>
      </c>
    </row>
    <row r="875" spans="1:12" ht="15.75" hidden="1" customHeight="1" x14ac:dyDescent="0.25">
      <c r="A875" s="36">
        <f>IF(ORCAMENTOS!A883="","",ORCAMENTOS!A883)</f>
        <v>45800</v>
      </c>
      <c r="B875" s="46">
        <f>IF(ORCAMENTOS!B883="","",ORCAMENTOS!B883)</f>
        <v>873</v>
      </c>
      <c r="C875" s="46" t="str">
        <f>IF(ORCAMENTOS!C883="","",ORCAMENTOS!C883)</f>
        <v/>
      </c>
      <c r="D875" s="37" t="str">
        <f>IF(ORCAMENTOS!D883="","",ORCAMENTOS!D883)</f>
        <v>HITECH</v>
      </c>
      <c r="E875" s="38" t="str">
        <f>IF(ORCAMENTOS!E883="","",ORCAMENTOS!E883)</f>
        <v>-</v>
      </c>
      <c r="F875" s="37" t="str">
        <f>IF(ORCAMENTOS!G883="","",ORCAMENTOS!G883)</f>
        <v>Gabriel</v>
      </c>
      <c r="G875" s="37" t="str">
        <f>IF(ORCAMENTOS!H883="","",ORCAMENTOS!H883)</f>
        <v/>
      </c>
      <c r="H875" s="39">
        <f>IF(ORCAMENTOS!I883="","",ORCAMENTOS!I883)</f>
        <v>5242.93</v>
      </c>
      <c r="I875" s="60" t="str">
        <f>IF(ORCAMENTOS!J883="","",ORCAMENTOS!J883)</f>
        <v/>
      </c>
      <c r="J875" s="40" t="str">
        <f>IF(ORCAMENTOS!L883="","",ORCAMENTOS!L883)</f>
        <v>CANCELADO</v>
      </c>
      <c r="K875" s="34" t="str">
        <f>IF(ORCAMENTOS!M883="","",ORCAMENTOS!M883)</f>
        <v>-</v>
      </c>
      <c r="L875" t="str">
        <f>IF(ORCAMENTOS!R883="","",ORCAMENTOS!R883)</f>
        <v>-</v>
      </c>
    </row>
    <row r="876" spans="1:12" ht="15.75" hidden="1" customHeight="1" x14ac:dyDescent="0.25">
      <c r="A876" s="36">
        <f>IF(ORCAMENTOS!A884="","",ORCAMENTOS!A884)</f>
        <v>45800</v>
      </c>
      <c r="B876" s="46">
        <f>IF(ORCAMENTOS!B884="","",ORCAMENTOS!B884)</f>
        <v>874</v>
      </c>
      <c r="C876" s="46" t="str">
        <f>IF(ORCAMENTOS!C884="","",ORCAMENTOS!C884)</f>
        <v/>
      </c>
      <c r="D876" s="37" t="str">
        <f>IF(ORCAMENTOS!D884="","",ORCAMENTOS!D884)</f>
        <v>THERMOCLIMA</v>
      </c>
      <c r="E876" s="38" t="str">
        <f>IF(ORCAMENTOS!E884="","",ORCAMENTOS!E884)</f>
        <v>9014-25 - AR CONDICIONADO</v>
      </c>
      <c r="F876" s="37" t="str">
        <f>IF(ORCAMENTOS!G884="","",ORCAMENTOS!G884)</f>
        <v>Fernando</v>
      </c>
      <c r="G876" s="37" t="str">
        <f>IF(ORCAMENTOS!H884="","",ORCAMENTOS!H884)</f>
        <v>Arnaldo</v>
      </c>
      <c r="H876" s="39">
        <f>IF(ORCAMENTOS!I884="","",ORCAMENTOS!I884)</f>
        <v>89451.03</v>
      </c>
      <c r="I876" s="60" t="str">
        <f>IF(ORCAMENTOS!J884="","",ORCAMENTOS!J884)</f>
        <v/>
      </c>
      <c r="J876" s="40" t="str">
        <f>IF(ORCAMENTOS!L884="","",ORCAMENTOS!L884)</f>
        <v>CANCELADO</v>
      </c>
      <c r="K876" s="34" t="str">
        <f>IF(ORCAMENTOS!M884="","",ORCAMENTOS!M884)</f>
        <v>PREV JULHO</v>
      </c>
      <c r="L876" t="str">
        <f>IF(ORCAMENTOS!R884="","",ORCAMENTOS!R884)</f>
        <v>-</v>
      </c>
    </row>
    <row r="877" spans="1:12" ht="15.75" hidden="1" customHeight="1" x14ac:dyDescent="0.25">
      <c r="A877" s="36">
        <f>IF(ORCAMENTOS!A885="","",ORCAMENTOS!A885)</f>
        <v>45800</v>
      </c>
      <c r="B877" s="46">
        <f>IF(ORCAMENTOS!B885="","",ORCAMENTOS!B885)</f>
        <v>875</v>
      </c>
      <c r="C877" s="46" t="str">
        <f>IF(ORCAMENTOS!C885="","",ORCAMENTOS!C885)</f>
        <v/>
      </c>
      <c r="D877" s="37" t="str">
        <f>IF(ORCAMENTOS!D885="","",ORCAMENTOS!D885)</f>
        <v>MOVE AR</v>
      </c>
      <c r="E877" s="38" t="str">
        <f>IF(ORCAMENTOS!E885="","",ORCAMENTOS!E885)</f>
        <v>-</v>
      </c>
      <c r="F877" s="37" t="str">
        <f>IF(ORCAMENTOS!G885="","",ORCAMENTOS!G885)</f>
        <v>Gabriel</v>
      </c>
      <c r="G877" s="37" t="str">
        <f>IF(ORCAMENTOS!H885="","",ORCAMENTOS!H885)</f>
        <v>Debora</v>
      </c>
      <c r="H877" s="39">
        <f>IF(ORCAMENTOS!I885="","",ORCAMENTOS!I885)</f>
        <v>2751.12</v>
      </c>
      <c r="I877" s="60" t="str">
        <f>IF(ORCAMENTOS!J885="","",ORCAMENTOS!J885)</f>
        <v/>
      </c>
      <c r="J877" s="40" t="str">
        <f>IF(ORCAMENTOS!L885="","",ORCAMENTOS!L885)</f>
        <v>CANCELADO</v>
      </c>
      <c r="K877" s="34" t="str">
        <f>IF(ORCAMENTOS!M885="","",ORCAMENTOS!M885)</f>
        <v>AGUARDANDO CONFIRMACAO DE PEDIDO</v>
      </c>
      <c r="L877" t="str">
        <f>IF(ORCAMENTOS!R885="","",ORCAMENTOS!R885)</f>
        <v>-</v>
      </c>
    </row>
    <row r="878" spans="1:12" ht="15.75" hidden="1" customHeight="1" x14ac:dyDescent="0.25">
      <c r="A878" s="36">
        <f>IF(ORCAMENTOS!A886="","",ORCAMENTOS!A886)</f>
        <v>45800</v>
      </c>
      <c r="B878" s="46">
        <f>IF(ORCAMENTOS!B886="","",ORCAMENTOS!B886)</f>
        <v>876</v>
      </c>
      <c r="C878" s="46" t="str">
        <f>IF(ORCAMENTOS!C886="","",ORCAMENTOS!C886)</f>
        <v/>
      </c>
      <c r="D878" s="37" t="str">
        <f>IF(ORCAMENTOS!D886="","",ORCAMENTOS!D886)</f>
        <v>TELHACO</v>
      </c>
      <c r="E878" s="38" t="str">
        <f>IF(ORCAMENTOS!E886="","",ORCAMENTOS!E886)</f>
        <v>-</v>
      </c>
      <c r="F878" s="37" t="str">
        <f>IF(ORCAMENTOS!G886="","",ORCAMENTOS!G886)</f>
        <v>Gabriel</v>
      </c>
      <c r="G878" s="37" t="str">
        <f>IF(ORCAMENTOS!H886="","",ORCAMENTOS!H886)</f>
        <v>Hugo</v>
      </c>
      <c r="H878" s="39">
        <f>IF(ORCAMENTOS!I886="","",ORCAMENTOS!I886)</f>
        <v>2536.0300000000002</v>
      </c>
      <c r="I878" s="60" t="str">
        <f>IF(ORCAMENTOS!J886="","",ORCAMENTOS!J886)</f>
        <v/>
      </c>
      <c r="J878" s="40" t="str">
        <f>IF(ORCAMENTOS!L886="","",ORCAMENTOS!L886)</f>
        <v>CANCELADO</v>
      </c>
      <c r="K878" s="34" t="str">
        <f>IF(ORCAMENTOS!M886="","",ORCAMENTOS!M886)</f>
        <v>-</v>
      </c>
      <c r="L878" t="str">
        <f>IF(ORCAMENTOS!R886="","",ORCAMENTOS!R886)</f>
        <v>-</v>
      </c>
    </row>
    <row r="879" spans="1:12" ht="15.75" hidden="1" customHeight="1" x14ac:dyDescent="0.25">
      <c r="A879" s="36">
        <f>IF(ORCAMENTOS!A887="","",ORCAMENTOS!A887)</f>
        <v>45800</v>
      </c>
      <c r="B879" s="46">
        <f>IF(ORCAMENTOS!B887="","",ORCAMENTOS!B887)</f>
        <v>877</v>
      </c>
      <c r="C879" s="46" t="str">
        <f>IF(ORCAMENTOS!C887="","",ORCAMENTOS!C887)</f>
        <v/>
      </c>
      <c r="D879" s="37" t="str">
        <f>IF(ORCAMENTOS!D887="","",ORCAMENTOS!D887)</f>
        <v>FL HVAC</v>
      </c>
      <c r="E879" s="38" t="str">
        <f>IF(ORCAMENTOS!E887="","",ORCAMENTOS!E887)</f>
        <v>RENNER FAROL - SUC A5 TUBARAO - SC</v>
      </c>
      <c r="F879" s="37" t="str">
        <f>IF(ORCAMENTOS!G887="","",ORCAMENTOS!G887)</f>
        <v>Guilherme</v>
      </c>
      <c r="G879" s="37" t="str">
        <f>IF(ORCAMENTOS!H887="","",ORCAMENTOS!H887)</f>
        <v>Alessandra</v>
      </c>
      <c r="H879" s="39">
        <f>IF(ORCAMENTOS!I887="","",ORCAMENTOS!I887)</f>
        <v>8101.61</v>
      </c>
      <c r="I879" s="60" t="str">
        <f>IF(ORCAMENTOS!J887="","",ORCAMENTOS!J887)</f>
        <v/>
      </c>
      <c r="J879" s="40" t="str">
        <f>IF(ORCAMENTOS!L887="","",ORCAMENTOS!L887)</f>
        <v>CANCELADO</v>
      </c>
      <c r="K879" s="34" t="str">
        <f>IF(ORCAMENTOS!M887="","",ORCAMENTOS!M887)</f>
        <v>-</v>
      </c>
      <c r="L879" t="str">
        <f>IF(ORCAMENTOS!R887="","",ORCAMENTOS!R887)</f>
        <v>-</v>
      </c>
    </row>
    <row r="880" spans="1:12" ht="15.75" hidden="1" customHeight="1" x14ac:dyDescent="0.25">
      <c r="A880" s="36">
        <f>IF(ORCAMENTOS!A888="","",ORCAMENTOS!A888)</f>
        <v>45800</v>
      </c>
      <c r="B880" s="46">
        <f>IF(ORCAMENTOS!B888="","",ORCAMENTOS!B888)</f>
        <v>878</v>
      </c>
      <c r="C880" s="46" t="str">
        <f>IF(ORCAMENTOS!C888="","",ORCAMENTOS!C888)</f>
        <v/>
      </c>
      <c r="D880" s="37" t="str">
        <f>IF(ORCAMENTOS!D888="","",ORCAMENTOS!D888)</f>
        <v>IVTEC ENGENHARIA</v>
      </c>
      <c r="E880" s="38" t="str">
        <f>IF(ORCAMENTOS!E888="","",ORCAMENTOS!E888)</f>
        <v>-</v>
      </c>
      <c r="F880" s="37" t="str">
        <f>IF(ORCAMENTOS!G888="","",ORCAMENTOS!G888)</f>
        <v>Gabriel</v>
      </c>
      <c r="G880" s="37" t="str">
        <f>IF(ORCAMENTOS!H888="","",ORCAMENTOS!H888)</f>
        <v>Matheus</v>
      </c>
      <c r="H880" s="39">
        <f>IF(ORCAMENTOS!I888="","",ORCAMENTOS!I888)</f>
        <v>18128.22</v>
      </c>
      <c r="I880" s="60" t="str">
        <f>IF(ORCAMENTOS!J888="","",ORCAMENTOS!J888)</f>
        <v/>
      </c>
      <c r="J880" s="40" t="str">
        <f>IF(ORCAMENTOS!L888="","",ORCAMENTOS!L888)</f>
        <v>FECHADO</v>
      </c>
      <c r="K880" s="34" t="str">
        <f>IF(ORCAMENTOS!M888="","",ORCAMENTOS!M888)</f>
        <v>-</v>
      </c>
      <c r="L880" t="str">
        <f>IF(ORCAMENTOS!R888="","",ORCAMENTOS!R888)</f>
        <v>-</v>
      </c>
    </row>
    <row r="881" spans="1:12" ht="15.75" hidden="1" customHeight="1" x14ac:dyDescent="0.25">
      <c r="A881" s="36">
        <f>IF(ORCAMENTOS!A889="","",ORCAMENTOS!A889)</f>
        <v>45800</v>
      </c>
      <c r="B881" s="46">
        <f>IF(ORCAMENTOS!B889="","",ORCAMENTOS!B889)</f>
        <v>879</v>
      </c>
      <c r="C881" s="46" t="str">
        <f>IF(ORCAMENTOS!C889="","",ORCAMENTOS!C889)</f>
        <v/>
      </c>
      <c r="D881" s="37" t="str">
        <f>IF(ORCAMENTOS!D889="","",ORCAMENTOS!D889)</f>
        <v>DUTOLEVE</v>
      </c>
      <c r="E881" s="38" t="str">
        <f>IF(ORCAMENTOS!E889="","",ORCAMENTOS!E889)</f>
        <v>BOSQUE DOS IPES - CAMPO GRANDE - MS</v>
      </c>
      <c r="F881" s="37" t="str">
        <f>IF(ORCAMENTOS!G889="","",ORCAMENTOS!G889)</f>
        <v>Gabriel</v>
      </c>
      <c r="G881" s="37" t="str">
        <f>IF(ORCAMENTOS!H889="","",ORCAMENTOS!H889)</f>
        <v>Newton</v>
      </c>
      <c r="H881" s="39">
        <f>IF(ORCAMENTOS!I889="","",ORCAMENTOS!I889)</f>
        <v>30490.63</v>
      </c>
      <c r="I881" s="60" t="str">
        <f>IF(ORCAMENTOS!J889="","",ORCAMENTOS!J889)</f>
        <v/>
      </c>
      <c r="J881" s="40" t="str">
        <f>IF(ORCAMENTOS!L889="","",ORCAMENTOS!L889)</f>
        <v>CANCELADO</v>
      </c>
      <c r="K881" s="34" t="str">
        <f>IF(ORCAMENTOS!M889="","",ORCAMENTOS!M889)</f>
        <v>-</v>
      </c>
      <c r="L881" t="str">
        <f>IF(ORCAMENTOS!R889="","",ORCAMENTOS!R889)</f>
        <v>-</v>
      </c>
    </row>
    <row r="882" spans="1:12" ht="15.75" hidden="1" customHeight="1" x14ac:dyDescent="0.25">
      <c r="A882" s="36">
        <f>IF(ORCAMENTOS!A890="","",ORCAMENTOS!A890)</f>
        <v>45800</v>
      </c>
      <c r="B882" s="46">
        <f>IF(ORCAMENTOS!B890="","",ORCAMENTOS!B890)</f>
        <v>880</v>
      </c>
      <c r="C882" s="46" t="str">
        <f>IF(ORCAMENTOS!C890="","",ORCAMENTOS!C890)</f>
        <v/>
      </c>
      <c r="D882" s="37" t="str">
        <f>IF(ORCAMENTOS!D890="","",ORCAMENTOS!D890)</f>
        <v>AWA AR CONDICIONADO</v>
      </c>
      <c r="E882" s="38" t="str">
        <f>IF(ORCAMENTOS!E890="","",ORCAMENTOS!E890)</f>
        <v>HIPER DOCAS - BELEM - PA</v>
      </c>
      <c r="F882" s="37" t="str">
        <f>IF(ORCAMENTOS!G890="","",ORCAMENTOS!G890)</f>
        <v>Guilherme</v>
      </c>
      <c r="G882" s="37" t="str">
        <f>IF(ORCAMENTOS!H890="","",ORCAMENTOS!H890)</f>
        <v>Guilherme</v>
      </c>
      <c r="H882" s="39">
        <f>IF(ORCAMENTOS!I890="","",ORCAMENTOS!I890)</f>
        <v>306232.57</v>
      </c>
      <c r="I882" s="60" t="str">
        <f>IF(ORCAMENTOS!J890="","",ORCAMENTOS!J890)</f>
        <v/>
      </c>
      <c r="J882" s="40" t="str">
        <f>IF(ORCAMENTOS!L890="","",ORCAMENTOS!L890)</f>
        <v>CANCELADO</v>
      </c>
      <c r="K882" s="34" t="str">
        <f>IF(ORCAMENTOS!M890="","",ORCAMENTOS!M890)</f>
        <v>-</v>
      </c>
      <c r="L882" t="str">
        <f>IF(ORCAMENTOS!R890="","",ORCAMENTOS!R890)</f>
        <v>-</v>
      </c>
    </row>
    <row r="883" spans="1:12" ht="15.75" hidden="1" customHeight="1" x14ac:dyDescent="0.25">
      <c r="A883" s="36">
        <f>IF(ORCAMENTOS!A891="","",ORCAMENTOS!A891)</f>
        <v>45800</v>
      </c>
      <c r="B883" s="46">
        <f>IF(ORCAMENTOS!B891="","",ORCAMENTOS!B891)</f>
        <v>881</v>
      </c>
      <c r="C883" s="46" t="str">
        <f>IF(ORCAMENTOS!C891="","",ORCAMENTOS!C891)</f>
        <v/>
      </c>
      <c r="D883" s="37" t="str">
        <f>IF(ORCAMENTOS!D891="","",ORCAMENTOS!D891)</f>
        <v>AWA AR CONDICIONADO</v>
      </c>
      <c r="E883" s="38" t="str">
        <f>IF(ORCAMENTOS!E891="","",ORCAMENTOS!E891)</f>
        <v>RAIA DROGASIL</v>
      </c>
      <c r="F883" s="37" t="str">
        <f>IF(ORCAMENTOS!G891="","",ORCAMENTOS!G891)</f>
        <v>Guilherme</v>
      </c>
      <c r="G883" s="37" t="str">
        <f>IF(ORCAMENTOS!H891="","",ORCAMENTOS!H891)</f>
        <v>Marcela</v>
      </c>
      <c r="H883" s="39">
        <f>IF(ORCAMENTOS!I891="","",ORCAMENTOS!I891)</f>
        <v>1471.68</v>
      </c>
      <c r="I883" s="60" t="str">
        <f>IF(ORCAMENTOS!J891="","",ORCAMENTOS!J891)</f>
        <v/>
      </c>
      <c r="J883" s="40" t="str">
        <f>IF(ORCAMENTOS!L891="","",ORCAMENTOS!L891)</f>
        <v>CANCELADO</v>
      </c>
      <c r="K883" s="34" t="str">
        <f>IF(ORCAMENTOS!M891="","",ORCAMENTOS!M891)</f>
        <v/>
      </c>
      <c r="L883" t="str">
        <f>IF(ORCAMENTOS!R891="","",ORCAMENTOS!R891)</f>
        <v>-</v>
      </c>
    </row>
    <row r="884" spans="1:12" ht="15.75" hidden="1" customHeight="1" x14ac:dyDescent="0.25">
      <c r="A884" s="36">
        <f>IF(ORCAMENTOS!A892="","",ORCAMENTOS!A892)</f>
        <v>45800</v>
      </c>
      <c r="B884" s="46">
        <f>IF(ORCAMENTOS!B892="","",ORCAMENTOS!B892)</f>
        <v>882</v>
      </c>
      <c r="C884" s="46" t="str">
        <f>IF(ORCAMENTOS!C892="","",ORCAMENTOS!C892)</f>
        <v/>
      </c>
      <c r="D884" s="37" t="str">
        <f>IF(ORCAMENTOS!D892="","",ORCAMENTOS!D892)</f>
        <v>GLOBAL CLIMA</v>
      </c>
      <c r="E884" s="38" t="str">
        <f>IF(ORCAMENTOS!E892="","",ORCAMENTOS!E892)</f>
        <v>-</v>
      </c>
      <c r="F884" s="37" t="str">
        <f>IF(ORCAMENTOS!G892="","",ORCAMENTOS!G892)</f>
        <v>Emanuel</v>
      </c>
      <c r="G884" s="37" t="str">
        <f>IF(ORCAMENTOS!H892="","",ORCAMENTOS!H892)</f>
        <v>Claudemir</v>
      </c>
      <c r="H884" s="39">
        <f>IF(ORCAMENTOS!I892="","",ORCAMENTOS!I892)</f>
        <v>35703.67</v>
      </c>
      <c r="I884" s="60" t="str">
        <f>IF(ORCAMENTOS!J892="","",ORCAMENTOS!J892)</f>
        <v/>
      </c>
      <c r="J884" s="40" t="str">
        <f>IF(ORCAMENTOS!L892="","",ORCAMENTOS!L892)</f>
        <v>CANCELADO</v>
      </c>
      <c r="K884" s="34" t="str">
        <f>IF(ORCAMENTOS!M892="","",ORCAMENTOS!M892)</f>
        <v>-</v>
      </c>
      <c r="L884" t="str">
        <f>IF(ORCAMENTOS!R892="","",ORCAMENTOS!R892)</f>
        <v>-</v>
      </c>
    </row>
    <row r="885" spans="1:12" ht="15.75" hidden="1" customHeight="1" x14ac:dyDescent="0.25">
      <c r="A885" s="36">
        <f>IF(ORCAMENTOS!A893="","",ORCAMENTOS!A893)</f>
        <v>45803</v>
      </c>
      <c r="B885" s="46">
        <f>IF(ORCAMENTOS!B893="","",ORCAMENTOS!B893)</f>
        <v>883</v>
      </c>
      <c r="C885" s="46" t="str">
        <f>IF(ORCAMENTOS!C893="","",ORCAMENTOS!C893)</f>
        <v/>
      </c>
      <c r="D885" s="37" t="str">
        <f>IF(ORCAMENTOS!D893="","",ORCAMENTOS!D893)</f>
        <v>INTERA ENGENHARIA</v>
      </c>
      <c r="E885" s="38" t="str">
        <f>IF(ORCAMENTOS!E893="","",ORCAMENTOS!E893)</f>
        <v>Adium Produtos Farmacêuticos S/A – Ampliação Fabril – Depósito VI</v>
      </c>
      <c r="F885" s="37" t="str">
        <f>IF(ORCAMENTOS!G893="","",ORCAMENTOS!G893)</f>
        <v>Michel</v>
      </c>
      <c r="G885" s="37" t="str">
        <f>IF(ORCAMENTOS!H893="","",ORCAMENTOS!H893)</f>
        <v>Daniel</v>
      </c>
      <c r="H885" s="39">
        <f>IF(ORCAMENTOS!I893="","",ORCAMENTOS!I893)</f>
        <v>277195.07</v>
      </c>
      <c r="I885" s="60" t="str">
        <f>IF(ORCAMENTOS!J893="","",ORCAMENTOS!J893)</f>
        <v/>
      </c>
      <c r="J885" s="40" t="str">
        <f>IF(ORCAMENTOS!L893="","",ORCAMENTOS!L893)</f>
        <v>CANCELADO</v>
      </c>
      <c r="K885" s="34" t="str">
        <f>IF(ORCAMENTOS!M893="","",ORCAMENTOS!M893)</f>
        <v>OBRA FECHADA ADALTA</v>
      </c>
      <c r="L885" t="str">
        <f>IF(ORCAMENTOS!R893="","",ORCAMENTOS!R893)</f>
        <v>-</v>
      </c>
    </row>
    <row r="886" spans="1:12" ht="15.75" hidden="1" customHeight="1" x14ac:dyDescent="0.25">
      <c r="A886" s="36">
        <f>IF(ORCAMENTOS!A894="","",ORCAMENTOS!A894)</f>
        <v>45804</v>
      </c>
      <c r="B886" s="46">
        <f>IF(ORCAMENTOS!B894="","",ORCAMENTOS!B894)</f>
        <v>884</v>
      </c>
      <c r="C886" s="46" t="str">
        <f>IF(ORCAMENTOS!C894="","",ORCAMENTOS!C894)</f>
        <v/>
      </c>
      <c r="D886" s="37" t="str">
        <f>IF(ORCAMENTOS!D894="","",ORCAMENTOS!D894)</f>
        <v>ETERNAMENTE AR</v>
      </c>
      <c r="E886" s="38" t="str">
        <f>IF(ORCAMENTOS!E894="","",ORCAMENTOS!E894)</f>
        <v>Fleury Campinas</v>
      </c>
      <c r="F886" s="37" t="str">
        <f>IF(ORCAMENTOS!G894="","",ORCAMENTOS!G894)</f>
        <v>Michel</v>
      </c>
      <c r="G886" s="37" t="str">
        <f>IF(ORCAMENTOS!H894="","",ORCAMENTOS!H894)</f>
        <v>Daniel</v>
      </c>
      <c r="H886" s="39">
        <f>IF(ORCAMENTOS!I894="","",ORCAMENTOS!I894)</f>
        <v>90925.59</v>
      </c>
      <c r="I886" s="60" t="str">
        <f>IF(ORCAMENTOS!J894="","",ORCAMENTOS!J894)</f>
        <v/>
      </c>
      <c r="J886" s="40" t="str">
        <f>IF(ORCAMENTOS!L894="","",ORCAMENTOS!L894)</f>
        <v>FECHADO</v>
      </c>
      <c r="K886" s="34" t="str">
        <f>IF(ORCAMENTOS!M894="","",ORCAMENTOS!M894)</f>
        <v>-</v>
      </c>
      <c r="L886" t="str">
        <f>IF(ORCAMENTOS!R894="","",ORCAMENTOS!R894)</f>
        <v>-</v>
      </c>
    </row>
    <row r="887" spans="1:12" ht="15.75" hidden="1" customHeight="1" x14ac:dyDescent="0.25">
      <c r="A887" s="36">
        <f>IF(ORCAMENTOS!A895="","",ORCAMENTOS!A895)</f>
        <v>45803</v>
      </c>
      <c r="B887" s="46">
        <f>IF(ORCAMENTOS!B895="","",ORCAMENTOS!B895)</f>
        <v>885</v>
      </c>
      <c r="C887" s="46" t="str">
        <f>IF(ORCAMENTOS!C895="","",ORCAMENTOS!C895)</f>
        <v/>
      </c>
      <c r="D887" s="37" t="str">
        <f>IF(ORCAMENTOS!D895="","",ORCAMENTOS!D895)</f>
        <v>AIR DESIGN</v>
      </c>
      <c r="E887" s="38" t="str">
        <f>IF(ORCAMENTOS!E895="","",ORCAMENTOS!E895)</f>
        <v>AMERICANA</v>
      </c>
      <c r="F887" s="37" t="str">
        <f>IF(ORCAMENTOS!G895="","",ORCAMENTOS!G895)</f>
        <v>Gabriel</v>
      </c>
      <c r="G887" s="37" t="str">
        <f>IF(ORCAMENTOS!H895="","",ORCAMENTOS!H895)</f>
        <v>Vanilda</v>
      </c>
      <c r="H887" s="39">
        <f>IF(ORCAMENTOS!I895="","",ORCAMENTOS!I895)</f>
        <v>274809.83</v>
      </c>
      <c r="I887" s="60" t="str">
        <f>IF(ORCAMENTOS!J895="","",ORCAMENTOS!J895)</f>
        <v/>
      </c>
      <c r="J887" s="40" t="str">
        <f>IF(ORCAMENTOS!L895="","",ORCAMENTOS!L895)</f>
        <v>CANCELADO</v>
      </c>
      <c r="K887" s="34" t="str">
        <f>IF(ORCAMENTOS!M895="","",ORCAMENTOS!M895)</f>
        <v>-</v>
      </c>
      <c r="L887" t="str">
        <f>IF(ORCAMENTOS!R895="","",ORCAMENTOS!R895)</f>
        <v>-</v>
      </c>
    </row>
    <row r="888" spans="1:12" ht="15.75" hidden="1" customHeight="1" x14ac:dyDescent="0.25">
      <c r="A888" s="36">
        <f>IF(ORCAMENTOS!A896="","",ORCAMENTOS!A896)</f>
        <v>45803</v>
      </c>
      <c r="B888" s="46">
        <f>IF(ORCAMENTOS!B896="","",ORCAMENTOS!B896)</f>
        <v>886</v>
      </c>
      <c r="C888" s="46" t="str">
        <f>IF(ORCAMENTOS!C896="","",ORCAMENTOS!C896)</f>
        <v/>
      </c>
      <c r="D888" s="37" t="str">
        <f>IF(ORCAMENTOS!D896="","",ORCAMENTOS!D896)</f>
        <v>AIRPLAN</v>
      </c>
      <c r="E888" s="38" t="str">
        <f>IF(ORCAMENTOS!E896="","",ORCAMENTOS!E896)</f>
        <v>YOUCOM SHOP BOULEVARD - TATUAPE</v>
      </c>
      <c r="F888" s="37" t="str">
        <f>IF(ORCAMENTOS!G896="","",ORCAMENTOS!G896)</f>
        <v>Guilherme</v>
      </c>
      <c r="G888" s="37" t="str">
        <f>IF(ORCAMENTOS!H896="","",ORCAMENTOS!H896)</f>
        <v>Laercio</v>
      </c>
      <c r="H888" s="39">
        <f>IF(ORCAMENTOS!I896="","",ORCAMENTOS!I896)</f>
        <v>18386.22</v>
      </c>
      <c r="I888" s="60" t="str">
        <f>IF(ORCAMENTOS!J896="","",ORCAMENTOS!J896)</f>
        <v/>
      </c>
      <c r="J888" s="40" t="str">
        <f>IF(ORCAMENTOS!L896="","",ORCAMENTOS!L896)</f>
        <v>CANCELADO</v>
      </c>
      <c r="K888" s="34" t="str">
        <f>IF(ORCAMENTOS!M896="","",ORCAMENTOS!M896)</f>
        <v>-</v>
      </c>
      <c r="L888" t="str">
        <f>IF(ORCAMENTOS!R896="","",ORCAMENTOS!R896)</f>
        <v>-</v>
      </c>
    </row>
    <row r="889" spans="1:12" ht="15.75" hidden="1" customHeight="1" x14ac:dyDescent="0.25">
      <c r="A889" s="36">
        <f>IF(ORCAMENTOS!A897="","",ORCAMENTOS!A897)</f>
        <v>45803</v>
      </c>
      <c r="B889" s="46">
        <f>IF(ORCAMENTOS!B897="","",ORCAMENTOS!B897)</f>
        <v>887</v>
      </c>
      <c r="C889" s="46" t="str">
        <f>IF(ORCAMENTOS!C897="","",ORCAMENTOS!C897)</f>
        <v/>
      </c>
      <c r="D889" s="37" t="str">
        <f>IF(ORCAMENTOS!D897="","",ORCAMENTOS!D897)</f>
        <v>COLD CONTROL</v>
      </c>
      <c r="E889" s="38" t="str">
        <f>IF(ORCAMENTOS!E897="","",ORCAMENTOS!E897)</f>
        <v>CCR JUNDIA</v>
      </c>
      <c r="F889" s="37" t="str">
        <f>IF(ORCAMENTOS!G897="","",ORCAMENTOS!G897)</f>
        <v>Emanuel</v>
      </c>
      <c r="G889" s="37" t="str">
        <f>IF(ORCAMENTOS!H897="","",ORCAMENTOS!H897)</f>
        <v>Armando</v>
      </c>
      <c r="H889" s="39">
        <f>IF(ORCAMENTOS!I897="","",ORCAMENTOS!I897)</f>
        <v>477.12</v>
      </c>
      <c r="I889" s="60" t="str">
        <f>IF(ORCAMENTOS!J897="","",ORCAMENTOS!J897)</f>
        <v/>
      </c>
      <c r="J889" s="40" t="str">
        <f>IF(ORCAMENTOS!L897="","",ORCAMENTOS!L897)</f>
        <v>CANCELADO</v>
      </c>
      <c r="K889" s="34" t="str">
        <f>IF(ORCAMENTOS!M897="","",ORCAMENTOS!M897)</f>
        <v>-</v>
      </c>
      <c r="L889" t="str">
        <f>IF(ORCAMENTOS!R897="","",ORCAMENTOS!R897)</f>
        <v>-</v>
      </c>
    </row>
    <row r="890" spans="1:12" ht="15.75" hidden="1" customHeight="1" x14ac:dyDescent="0.25">
      <c r="A890" s="36">
        <f>IF(ORCAMENTOS!A898="","",ORCAMENTOS!A898)</f>
        <v>45804</v>
      </c>
      <c r="B890" s="46">
        <f>IF(ORCAMENTOS!B898="","",ORCAMENTOS!B898)</f>
        <v>888</v>
      </c>
      <c r="C890" s="46" t="str">
        <f>IF(ORCAMENTOS!C898="","",ORCAMENTOS!C898)</f>
        <v/>
      </c>
      <c r="D890" s="37" t="str">
        <f>IF(ORCAMENTOS!D898="","",ORCAMENTOS!D898)</f>
        <v>PRESTMAN</v>
      </c>
      <c r="E890" s="38" t="str">
        <f>IF(ORCAMENTOS!E898="","",ORCAMENTOS!E898)</f>
        <v>-</v>
      </c>
      <c r="F890" s="37" t="str">
        <f>IF(ORCAMENTOS!G898="","",ORCAMENTOS!G898)</f>
        <v>Gabriel</v>
      </c>
      <c r="G890" s="37" t="str">
        <f>IF(ORCAMENTOS!H898="","",ORCAMENTOS!H898)</f>
        <v>Brunna</v>
      </c>
      <c r="H890" s="39">
        <f>IF(ORCAMENTOS!I898="","",ORCAMENTOS!I898)</f>
        <v>2087.5500000000002</v>
      </c>
      <c r="I890" s="60" t="str">
        <f>IF(ORCAMENTOS!J898="","",ORCAMENTOS!J898)</f>
        <v/>
      </c>
      <c r="J890" s="40" t="str">
        <f>IF(ORCAMENTOS!L898="","",ORCAMENTOS!L898)</f>
        <v>CANCELADO</v>
      </c>
      <c r="K890" s="34" t="str">
        <f>IF(ORCAMENTOS!M898="","",ORCAMENTOS!M898)</f>
        <v>-</v>
      </c>
      <c r="L890" t="str">
        <f>IF(ORCAMENTOS!R898="","",ORCAMENTOS!R898)</f>
        <v>-</v>
      </c>
    </row>
    <row r="891" spans="1:12" ht="15.75" hidden="1" customHeight="1" x14ac:dyDescent="0.25">
      <c r="A891" s="36">
        <f>IF(ORCAMENTOS!A899="","",ORCAMENTOS!A899)</f>
        <v>45804</v>
      </c>
      <c r="B891" s="46">
        <f>IF(ORCAMENTOS!B899="","",ORCAMENTOS!B899)</f>
        <v>889</v>
      </c>
      <c r="C891" s="46" t="str">
        <f>IF(ORCAMENTOS!C899="","",ORCAMENTOS!C899)</f>
        <v/>
      </c>
      <c r="D891" s="37" t="str">
        <f>IF(ORCAMENTOS!D899="","",ORCAMENTOS!D899)</f>
        <v>APICE CLIMA</v>
      </c>
      <c r="E891" s="38" t="str">
        <f>IF(ORCAMENTOS!E899="","",ORCAMENTOS!E899)</f>
        <v>CINE TEATRO - CORONEL RAYMUNDO - SANTANA DE PARNAIBA - SP</v>
      </c>
      <c r="F891" s="37" t="str">
        <f>IF(ORCAMENTOS!G899="","",ORCAMENTOS!G899)</f>
        <v>Gabriel</v>
      </c>
      <c r="G891" s="37" t="str">
        <f>IF(ORCAMENTOS!H899="","",ORCAMENTOS!H899)</f>
        <v>Luis</v>
      </c>
      <c r="H891" s="39">
        <f>IF(ORCAMENTOS!I899="","",ORCAMENTOS!I899)</f>
        <v>28295.46</v>
      </c>
      <c r="I891" s="60" t="str">
        <f>IF(ORCAMENTOS!J899="","",ORCAMENTOS!J899)</f>
        <v/>
      </c>
      <c r="J891" s="40" t="str">
        <f>IF(ORCAMENTOS!L899="","",ORCAMENTOS!L899)</f>
        <v>CANCELADO</v>
      </c>
      <c r="K891" s="34" t="str">
        <f>IF(ORCAMENTOS!M899="","",ORCAMENTOS!M899)</f>
        <v>-</v>
      </c>
      <c r="L891" t="str">
        <f>IF(ORCAMENTOS!R899="","",ORCAMENTOS!R899)</f>
        <v>MPU</v>
      </c>
    </row>
    <row r="892" spans="1:12" ht="15.75" hidden="1" customHeight="1" x14ac:dyDescent="0.25">
      <c r="A892" s="36">
        <f>IF(ORCAMENTOS!A900="","",ORCAMENTOS!A900)</f>
        <v>45804</v>
      </c>
      <c r="B892" s="46">
        <f>IF(ORCAMENTOS!B900="","",ORCAMENTOS!B900)</f>
        <v>890</v>
      </c>
      <c r="C892" s="46" t="str">
        <f>IF(ORCAMENTOS!C900="","",ORCAMENTOS!C900)</f>
        <v/>
      </c>
      <c r="D892" s="37" t="str">
        <f>IF(ORCAMENTOS!D900="","",ORCAMENTOS!D900)</f>
        <v>DUPLIX ENGENHARIA</v>
      </c>
      <c r="E892" s="38" t="str">
        <f>IF(ORCAMENTOS!E900="","",ORCAMENTOS!E900)</f>
        <v>AMBULATORIO ONCOLOGICO</v>
      </c>
      <c r="F892" s="37" t="str">
        <f>IF(ORCAMENTOS!G900="","",ORCAMENTOS!G900)</f>
        <v>Emanuel</v>
      </c>
      <c r="G892" s="37" t="str">
        <f>IF(ORCAMENTOS!H900="","",ORCAMENTOS!H900)</f>
        <v>Clodoaldo</v>
      </c>
      <c r="H892" s="39">
        <f>IF(ORCAMENTOS!I900="","",ORCAMENTOS!I900)</f>
        <v>61982.97</v>
      </c>
      <c r="I892" s="60" t="str">
        <f>IF(ORCAMENTOS!J900="","",ORCAMENTOS!J900)</f>
        <v/>
      </c>
      <c r="J892" s="40" t="str">
        <f>IF(ORCAMENTOS!L900="","",ORCAMENTOS!L900)</f>
        <v>FECHADO</v>
      </c>
      <c r="K892" s="34" t="str">
        <f>IF(ORCAMENTOS!M900="","",ORCAMENTOS!M900)</f>
        <v>-</v>
      </c>
      <c r="L892" t="str">
        <f>IF(ORCAMENTOS!R900="","",ORCAMENTOS!R900)</f>
        <v>MPU</v>
      </c>
    </row>
    <row r="893" spans="1:12" ht="15.75" hidden="1" customHeight="1" x14ac:dyDescent="0.25">
      <c r="A893" s="36">
        <f>IF(ORCAMENTOS!A901="","",ORCAMENTOS!A901)</f>
        <v>45805</v>
      </c>
      <c r="B893" s="46">
        <f>IF(ORCAMENTOS!B901="","",ORCAMENTOS!B901)</f>
        <v>891</v>
      </c>
      <c r="C893" s="46" t="str">
        <f>IF(ORCAMENTOS!C901="","",ORCAMENTOS!C901)</f>
        <v/>
      </c>
      <c r="D893" s="37" t="str">
        <f>IF(ORCAMENTOS!D901="","",ORCAMENTOS!D901)</f>
        <v>CLIMAPALA</v>
      </c>
      <c r="E893" s="38" t="str">
        <f>IF(ORCAMENTOS!E901="","",ORCAMENTOS!E901)</f>
        <v>-</v>
      </c>
      <c r="F893" s="37" t="str">
        <f>IF(ORCAMENTOS!G901="","",ORCAMENTOS!G901)</f>
        <v>Michel</v>
      </c>
      <c r="G893" s="37" t="str">
        <f>IF(ORCAMENTOS!H901="","",ORCAMENTOS!H901)</f>
        <v>Marcio</v>
      </c>
      <c r="H893" s="39">
        <f>IF(ORCAMENTOS!I901="","",ORCAMENTOS!I901)</f>
        <v>1618.6</v>
      </c>
      <c r="I893" s="60" t="str">
        <f>IF(ORCAMENTOS!J901="","",ORCAMENTOS!J901)</f>
        <v/>
      </c>
      <c r="J893" s="40" t="str">
        <f>IF(ORCAMENTOS!L901="","",ORCAMENTOS!L901)</f>
        <v>FECHADO</v>
      </c>
      <c r="K893" s="34" t="str">
        <f>IF(ORCAMENTOS!M901="","",ORCAMENTOS!M901)</f>
        <v>-</v>
      </c>
      <c r="L893" t="str">
        <f>IF(ORCAMENTOS!R901="","",ORCAMENTOS!R901)</f>
        <v>-</v>
      </c>
    </row>
    <row r="894" spans="1:12" ht="15.75" hidden="1" customHeight="1" x14ac:dyDescent="0.25">
      <c r="A894" s="36">
        <f>IF(ORCAMENTOS!A902="","",ORCAMENTOS!A902)</f>
        <v>45804</v>
      </c>
      <c r="B894" s="46">
        <f>IF(ORCAMENTOS!B902="","",ORCAMENTOS!B902)</f>
        <v>892</v>
      </c>
      <c r="C894" s="46" t="str">
        <f>IF(ORCAMENTOS!C902="","",ORCAMENTOS!C902)</f>
        <v/>
      </c>
      <c r="D894" s="37" t="str">
        <f>IF(ORCAMENTOS!D902="","",ORCAMENTOS!D902)</f>
        <v>SOLLO ENGENHARIA</v>
      </c>
      <c r="E894" s="38" t="str">
        <f>IF(ORCAMENTOS!E902="","",ORCAMENTOS!E902)</f>
        <v>-</v>
      </c>
      <c r="F894" s="37" t="str">
        <f>IF(ORCAMENTOS!G902="","",ORCAMENTOS!G902)</f>
        <v>Emanuel</v>
      </c>
      <c r="G894" s="37" t="str">
        <f>IF(ORCAMENTOS!H902="","",ORCAMENTOS!H902)</f>
        <v>Vanderlei</v>
      </c>
      <c r="H894" s="39">
        <f>IF(ORCAMENTOS!I902="","",ORCAMENTOS!I902)</f>
        <v>2540.1</v>
      </c>
      <c r="I894" s="60" t="str">
        <f>IF(ORCAMENTOS!J902="","",ORCAMENTOS!J902)</f>
        <v/>
      </c>
      <c r="J894" s="40" t="str">
        <f>IF(ORCAMENTOS!L902="","",ORCAMENTOS!L902)</f>
        <v>CANCELADO</v>
      </c>
      <c r="K894" s="34" t="str">
        <f>IF(ORCAMENTOS!M902="","",ORCAMENTOS!M902)</f>
        <v>-</v>
      </c>
      <c r="L894" t="str">
        <f>IF(ORCAMENTOS!R902="","",ORCAMENTOS!R902)</f>
        <v>-</v>
      </c>
    </row>
    <row r="895" spans="1:12" ht="15.75" hidden="1" customHeight="1" x14ac:dyDescent="0.25">
      <c r="A895" s="36">
        <f>IF(ORCAMENTOS!A903="","",ORCAMENTOS!A903)</f>
        <v>45805</v>
      </c>
      <c r="B895" s="46">
        <f>IF(ORCAMENTOS!B903="","",ORCAMENTOS!B903)</f>
        <v>893</v>
      </c>
      <c r="C895" s="46" t="str">
        <f>IF(ORCAMENTOS!C903="","",ORCAMENTOS!C903)</f>
        <v/>
      </c>
      <c r="D895" s="37" t="str">
        <f>IF(ORCAMENTOS!D903="","",ORCAMENTOS!D903)</f>
        <v>OPHTHALMOS</v>
      </c>
      <c r="E895" s="38" t="str">
        <f>IF(ORCAMENTOS!E903="","",ORCAMENTOS!E903)</f>
        <v>-</v>
      </c>
      <c r="F895" s="37" t="str">
        <f>IF(ORCAMENTOS!G903="","",ORCAMENTOS!G903)</f>
        <v>Gabriel</v>
      </c>
      <c r="G895" s="37" t="str">
        <f>IF(ORCAMENTOS!H903="","",ORCAMENTOS!H903)</f>
        <v>Thais</v>
      </c>
      <c r="H895" s="39">
        <f>IF(ORCAMENTOS!I903="","",ORCAMENTOS!I903)</f>
        <v>3774.85</v>
      </c>
      <c r="I895" s="60" t="str">
        <f>IF(ORCAMENTOS!J903="","",ORCAMENTOS!J903)</f>
        <v/>
      </c>
      <c r="J895" s="40" t="str">
        <f>IF(ORCAMENTOS!L903="","",ORCAMENTOS!L903)</f>
        <v>FECHADO</v>
      </c>
      <c r="K895" s="34" t="str">
        <f>IF(ORCAMENTOS!M903="","",ORCAMENTOS!M903)</f>
        <v>-</v>
      </c>
      <c r="L895" t="str">
        <f>IF(ORCAMENTOS!R903="","",ORCAMENTOS!R903)</f>
        <v>-</v>
      </c>
    </row>
    <row r="896" spans="1:12" ht="15.75" hidden="1" customHeight="1" x14ac:dyDescent="0.25">
      <c r="A896" s="36">
        <f>IF(ORCAMENTOS!A904="","",ORCAMENTOS!A904)</f>
        <v>45805</v>
      </c>
      <c r="B896" s="46">
        <f>IF(ORCAMENTOS!B904="","",ORCAMENTOS!B904)</f>
        <v>894</v>
      </c>
      <c r="C896" s="46" t="str">
        <f>IF(ORCAMENTOS!C904="","",ORCAMENTOS!C904)</f>
        <v/>
      </c>
      <c r="D896" s="37" t="str">
        <f>IF(ORCAMENTOS!D904="","",ORCAMENTOS!D904)</f>
        <v>CHD SISTEMAS</v>
      </c>
      <c r="E896" s="38" t="str">
        <f>IF(ORCAMENTOS!E904="","",ORCAMENTOS!E904)</f>
        <v>ESTOQUE</v>
      </c>
      <c r="F896" s="37" t="str">
        <f>IF(ORCAMENTOS!G904="","",ORCAMENTOS!G904)</f>
        <v>Fernando</v>
      </c>
      <c r="G896" s="37" t="str">
        <f>IF(ORCAMENTOS!H904="","",ORCAMENTOS!H904)</f>
        <v>Paulo</v>
      </c>
      <c r="H896" s="39">
        <f>IF(ORCAMENTOS!I904="","",ORCAMENTOS!I904)</f>
        <v>63086.75</v>
      </c>
      <c r="I896" s="60" t="str">
        <f>IF(ORCAMENTOS!J904="","",ORCAMENTOS!J904)</f>
        <v/>
      </c>
      <c r="J896" s="40" t="str">
        <f>IF(ORCAMENTOS!L904="","",ORCAMENTOS!L904)</f>
        <v>CANCELADO</v>
      </c>
      <c r="K896" s="34" t="str">
        <f>IF(ORCAMENTOS!M904="","",ORCAMENTOS!M904)</f>
        <v>PREV JULHO</v>
      </c>
      <c r="L896" t="str">
        <f>IF(ORCAMENTOS!R904="","",ORCAMENTOS!R904)</f>
        <v>-</v>
      </c>
    </row>
    <row r="897" spans="1:12" ht="15.75" hidden="1" customHeight="1" x14ac:dyDescent="0.25">
      <c r="A897" s="36">
        <f>IF(ORCAMENTOS!A905="","",ORCAMENTOS!A905)</f>
        <v>45805</v>
      </c>
      <c r="B897" s="46">
        <f>IF(ORCAMENTOS!B905="","",ORCAMENTOS!B905)</f>
        <v>895</v>
      </c>
      <c r="C897" s="46" t="str">
        <f>IF(ORCAMENTOS!C905="","",ORCAMENTOS!C905)</f>
        <v/>
      </c>
      <c r="D897" s="37" t="str">
        <f>IF(ORCAMENTOS!D905="","",ORCAMENTOS!D905)</f>
        <v>ISOLEV</v>
      </c>
      <c r="E897" s="38" t="str">
        <f>IF(ORCAMENTOS!E905="","",ORCAMENTOS!E905)</f>
        <v>AEROPORTO DE UBERABA</v>
      </c>
      <c r="F897" s="37" t="str">
        <f>IF(ORCAMENTOS!G905="","",ORCAMENTOS!G905)</f>
        <v>Michel</v>
      </c>
      <c r="G897" s="37" t="str">
        <f>IF(ORCAMENTOS!H905="","",ORCAMENTOS!H905)</f>
        <v>Edson</v>
      </c>
      <c r="H897" s="39">
        <f>IF(ORCAMENTOS!I905="","",ORCAMENTOS!I905)</f>
        <v>112956.35</v>
      </c>
      <c r="I897" s="60" t="str">
        <f>IF(ORCAMENTOS!J905="","",ORCAMENTOS!J905)</f>
        <v/>
      </c>
      <c r="J897" s="40" t="str">
        <f>IF(ORCAMENTOS!L905="","",ORCAMENTOS!L905)</f>
        <v>CANCELADO</v>
      </c>
      <c r="K897" s="34" t="str">
        <f>IF(ORCAMENTOS!M905="","",ORCAMENTOS!M905)</f>
        <v>-</v>
      </c>
      <c r="L897" t="str">
        <f>IF(ORCAMENTOS!R905="","",ORCAMENTOS!R905)</f>
        <v>-</v>
      </c>
    </row>
    <row r="898" spans="1:12" ht="15.75" hidden="1" customHeight="1" x14ac:dyDescent="0.25">
      <c r="A898" s="36">
        <f>IF(ORCAMENTOS!A906="","",ORCAMENTOS!A906)</f>
        <v>45805</v>
      </c>
      <c r="B898" s="46">
        <f>IF(ORCAMENTOS!B906="","",ORCAMENTOS!B906)</f>
        <v>896</v>
      </c>
      <c r="C898" s="46" t="str">
        <f>IF(ORCAMENTOS!C906="","",ORCAMENTOS!C906)</f>
        <v/>
      </c>
      <c r="D898" s="37" t="str">
        <f>IF(ORCAMENTOS!D906="","",ORCAMENTOS!D906)</f>
        <v>ARPOL ENGENHARIA</v>
      </c>
      <c r="E898" s="38" t="str">
        <f>IF(ORCAMENTOS!E906="","",ORCAMENTOS!E906)</f>
        <v>DIEBOLD NIXDORF</v>
      </c>
      <c r="F898" s="37" t="str">
        <f>IF(ORCAMENTOS!G906="","",ORCAMENTOS!G906)</f>
        <v>Michel</v>
      </c>
      <c r="G898" s="37" t="str">
        <f>IF(ORCAMENTOS!H906="","",ORCAMENTOS!H906)</f>
        <v>Marcela</v>
      </c>
      <c r="H898" s="39">
        <f>IF(ORCAMENTOS!I906="","",ORCAMENTOS!I906)</f>
        <v>24634.22</v>
      </c>
      <c r="I898" s="60" t="str">
        <f>IF(ORCAMENTOS!J906="","",ORCAMENTOS!J906)</f>
        <v/>
      </c>
      <c r="J898" s="40" t="str">
        <f>IF(ORCAMENTOS!L906="","",ORCAMENTOS!L906)</f>
        <v>CANCELADO</v>
      </c>
      <c r="K898" s="34" t="str">
        <f>IF(ORCAMENTOS!M906="","",ORCAMENTOS!M906)</f>
        <v>-</v>
      </c>
      <c r="L898" t="str">
        <f>IF(ORCAMENTOS!R906="","",ORCAMENTOS!R906)</f>
        <v>-</v>
      </c>
    </row>
    <row r="899" spans="1:12" ht="15.75" hidden="1" customHeight="1" x14ac:dyDescent="0.25">
      <c r="A899" s="36">
        <f>IF(ORCAMENTOS!A907="","",ORCAMENTOS!A907)</f>
        <v>45805</v>
      </c>
      <c r="B899" s="46">
        <f>IF(ORCAMENTOS!B907="","",ORCAMENTOS!B907)</f>
        <v>897</v>
      </c>
      <c r="C899" s="46" t="str">
        <f>IF(ORCAMENTOS!C907="","",ORCAMENTOS!C907)</f>
        <v/>
      </c>
      <c r="D899" s="37" t="str">
        <f>IF(ORCAMENTOS!D907="","",ORCAMENTOS!D907)</f>
        <v>EKO CLIMAX</v>
      </c>
      <c r="E899" s="38" t="str">
        <f>IF(ORCAMENTOS!E907="","",ORCAMENTOS!E907)</f>
        <v>-</v>
      </c>
      <c r="F899" s="37" t="str">
        <f>IF(ORCAMENTOS!G907="","",ORCAMENTOS!G907)</f>
        <v>Michel</v>
      </c>
      <c r="G899" s="37" t="str">
        <f>IF(ORCAMENTOS!H907="","",ORCAMENTOS!H907)</f>
        <v>Rogerio</v>
      </c>
      <c r="H899" s="39">
        <f>IF(ORCAMENTOS!I907="","",ORCAMENTOS!I907)</f>
        <v>6464.39</v>
      </c>
      <c r="I899" s="60" t="str">
        <f>IF(ORCAMENTOS!J907="","",ORCAMENTOS!J907)</f>
        <v/>
      </c>
      <c r="J899" s="40" t="str">
        <f>IF(ORCAMENTOS!L907="","",ORCAMENTOS!L907)</f>
        <v>FECHADO</v>
      </c>
      <c r="K899" s="34" t="str">
        <f>IF(ORCAMENTOS!M907="","",ORCAMENTOS!M907)</f>
        <v>-</v>
      </c>
      <c r="L899" t="str">
        <f>IF(ORCAMENTOS!R907="","",ORCAMENTOS!R907)</f>
        <v>-</v>
      </c>
    </row>
    <row r="900" spans="1:12" ht="15.75" hidden="1" customHeight="1" x14ac:dyDescent="0.25">
      <c r="A900" s="36">
        <f>IF(ORCAMENTOS!A908="","",ORCAMENTOS!A908)</f>
        <v>45805</v>
      </c>
      <c r="B900" s="46">
        <f>IF(ORCAMENTOS!B908="","",ORCAMENTOS!B908)</f>
        <v>898</v>
      </c>
      <c r="C900" s="46" t="str">
        <f>IF(ORCAMENTOS!C908="","",ORCAMENTOS!C908)</f>
        <v/>
      </c>
      <c r="D900" s="37" t="str">
        <f>IF(ORCAMENTOS!D908="","",ORCAMENTOS!D908)</f>
        <v>AMS INSTALACOES</v>
      </c>
      <c r="E900" s="38" t="str">
        <f>IF(ORCAMENTOS!E908="","",ORCAMENTOS!E908)</f>
        <v>ASSAI - JACANA - SP</v>
      </c>
      <c r="F900" s="37" t="str">
        <f>IF(ORCAMENTOS!G908="","",ORCAMENTOS!G908)</f>
        <v>Gabriel</v>
      </c>
      <c r="G900" s="37" t="str">
        <f>IF(ORCAMENTOS!H908="","",ORCAMENTOS!H908)</f>
        <v>Albertino</v>
      </c>
      <c r="H900" s="39">
        <f>IF(ORCAMENTOS!I908="","",ORCAMENTOS!I908)</f>
        <v>61505.85</v>
      </c>
      <c r="I900" s="60" t="str">
        <f>IF(ORCAMENTOS!J908="","",ORCAMENTOS!J908)</f>
        <v/>
      </c>
      <c r="J900" s="40" t="str">
        <f>IF(ORCAMENTOS!L908="","",ORCAMENTOS!L908)</f>
        <v>CANCELADO</v>
      </c>
      <c r="K900" s="34" t="str">
        <f>IF(ORCAMENTOS!M908="","",ORCAMENTOS!M908)</f>
        <v>-</v>
      </c>
      <c r="L900" t="str">
        <f>IF(ORCAMENTOS!R908="","",ORCAMENTOS!R908)</f>
        <v>MPU</v>
      </c>
    </row>
    <row r="901" spans="1:12" ht="15.75" hidden="1" customHeight="1" x14ac:dyDescent="0.25">
      <c r="A901" s="36">
        <f>IF(ORCAMENTOS!A909="","",ORCAMENTOS!A909)</f>
        <v>45805</v>
      </c>
      <c r="B901" s="46">
        <f>IF(ORCAMENTOS!B909="","",ORCAMENTOS!B909)</f>
        <v>899</v>
      </c>
      <c r="C901" s="46" t="str">
        <f>IF(ORCAMENTOS!C909="","",ORCAMENTOS!C909)</f>
        <v/>
      </c>
      <c r="D901" s="37" t="str">
        <f>IF(ORCAMENTOS!D909="","",ORCAMENTOS!D909)</f>
        <v>AMS INSTALACOES</v>
      </c>
      <c r="E901" s="38" t="str">
        <f>IF(ORCAMENTOS!E909="","",ORCAMENTOS!E909)</f>
        <v>ASSAI - LOJA 012 - JUNDIAI - SP</v>
      </c>
      <c r="F901" s="37" t="str">
        <f>IF(ORCAMENTOS!G909="","",ORCAMENTOS!G909)</f>
        <v>Gabriel</v>
      </c>
      <c r="G901" s="37" t="str">
        <f>IF(ORCAMENTOS!H909="","",ORCAMENTOS!H909)</f>
        <v>Albertino</v>
      </c>
      <c r="H901" s="39">
        <f>IF(ORCAMENTOS!I909="","",ORCAMENTOS!I909)</f>
        <v>37518.15</v>
      </c>
      <c r="I901" s="60" t="str">
        <f>IF(ORCAMENTOS!J909="","",ORCAMENTOS!J909)</f>
        <v/>
      </c>
      <c r="J901" s="40" t="str">
        <f>IF(ORCAMENTOS!L909="","",ORCAMENTOS!L909)</f>
        <v>CANCELADO</v>
      </c>
      <c r="K901" s="34" t="str">
        <f>IF(ORCAMENTOS!M909="","",ORCAMENTOS!M909)</f>
        <v>-</v>
      </c>
      <c r="L901" t="str">
        <f>IF(ORCAMENTOS!R909="","",ORCAMENTOS!R909)</f>
        <v>MPU</v>
      </c>
    </row>
    <row r="902" spans="1:12" ht="15.75" hidden="1" customHeight="1" x14ac:dyDescent="0.25">
      <c r="A902" s="36">
        <f>IF(ORCAMENTOS!A910="","",ORCAMENTOS!A910)</f>
        <v>45805</v>
      </c>
      <c r="B902" s="46">
        <f>IF(ORCAMENTOS!B910="","",ORCAMENTOS!B910)</f>
        <v>900</v>
      </c>
      <c r="C902" s="46" t="str">
        <f>IF(ORCAMENTOS!C910="","",ORCAMENTOS!C910)</f>
        <v/>
      </c>
      <c r="D902" s="37" t="str">
        <f>IF(ORCAMENTOS!D910="","",ORCAMENTOS!D910)</f>
        <v>AMS INSTALACOES</v>
      </c>
      <c r="E902" s="38" t="str">
        <f>IF(ORCAMENTOS!E910="","",ORCAMENTOS!E910)</f>
        <v>ASSAI - LOJA SÃO MIGUEL - SP</v>
      </c>
      <c r="F902" s="37" t="str">
        <f>IF(ORCAMENTOS!G910="","",ORCAMENTOS!G910)</f>
        <v>Gabriel</v>
      </c>
      <c r="G902" s="37" t="str">
        <f>IF(ORCAMENTOS!H910="","",ORCAMENTOS!H910)</f>
        <v>Albertino</v>
      </c>
      <c r="H902" s="39">
        <f>IF(ORCAMENTOS!I910="","",ORCAMENTOS!I910)</f>
        <v>28783.02</v>
      </c>
      <c r="I902" s="60" t="str">
        <f>IF(ORCAMENTOS!J910="","",ORCAMENTOS!J910)</f>
        <v/>
      </c>
      <c r="J902" s="40" t="str">
        <f>IF(ORCAMENTOS!L910="","",ORCAMENTOS!L910)</f>
        <v>CANCELADO</v>
      </c>
      <c r="K902" s="34" t="str">
        <f>IF(ORCAMENTOS!M910="","",ORCAMENTOS!M910)</f>
        <v>-</v>
      </c>
      <c r="L902" t="str">
        <f>IF(ORCAMENTOS!R910="","",ORCAMENTOS!R910)</f>
        <v>MPU</v>
      </c>
    </row>
    <row r="903" spans="1:12" ht="15.75" hidden="1" customHeight="1" x14ac:dyDescent="0.25">
      <c r="A903" s="36">
        <f>IF(ORCAMENTOS!A911="","",ORCAMENTOS!A911)</f>
        <v>45805</v>
      </c>
      <c r="B903" s="46">
        <f>IF(ORCAMENTOS!B911="","",ORCAMENTOS!B911)</f>
        <v>901</v>
      </c>
      <c r="C903" s="46" t="str">
        <f>IF(ORCAMENTOS!C911="","",ORCAMENTOS!C911)</f>
        <v/>
      </c>
      <c r="D903" s="37" t="str">
        <f>IF(ORCAMENTOS!D911="","",ORCAMENTOS!D911)</f>
        <v>AMS INSTALACOES</v>
      </c>
      <c r="E903" s="38" t="str">
        <f>IF(ORCAMENTOS!E911="","",ORCAMENTOS!E911)</f>
        <v>ASSAI - AV SANTA CATARINA - SP</v>
      </c>
      <c r="F903" s="37" t="str">
        <f>IF(ORCAMENTOS!G911="","",ORCAMENTOS!G911)</f>
        <v>Gabriel</v>
      </c>
      <c r="G903" s="37" t="str">
        <f>IF(ORCAMENTOS!H911="","",ORCAMENTOS!H911)</f>
        <v>Albertino</v>
      </c>
      <c r="H903" s="39">
        <f>IF(ORCAMENTOS!I911="","",ORCAMENTOS!I911)</f>
        <v>28611.88</v>
      </c>
      <c r="I903" s="60" t="str">
        <f>IF(ORCAMENTOS!J911="","",ORCAMENTOS!J911)</f>
        <v/>
      </c>
      <c r="J903" s="40" t="str">
        <f>IF(ORCAMENTOS!L911="","",ORCAMENTOS!L911)</f>
        <v>CANCELADO</v>
      </c>
      <c r="K903" s="34" t="str">
        <f>IF(ORCAMENTOS!M911="","",ORCAMENTOS!M911)</f>
        <v>-</v>
      </c>
      <c r="L903" t="str">
        <f>IF(ORCAMENTOS!R911="","",ORCAMENTOS!R911)</f>
        <v>MPU</v>
      </c>
    </row>
    <row r="904" spans="1:12" ht="15.75" hidden="1" customHeight="1" x14ac:dyDescent="0.25">
      <c r="A904" s="36">
        <f>IF(ORCAMENTOS!A912="","",ORCAMENTOS!A912)</f>
        <v>45805</v>
      </c>
      <c r="B904" s="46">
        <f>IF(ORCAMENTOS!B912="","",ORCAMENTOS!B912)</f>
        <v>902</v>
      </c>
      <c r="C904" s="46" t="str">
        <f>IF(ORCAMENTOS!C912="","",ORCAMENTOS!C912)</f>
        <v/>
      </c>
      <c r="D904" s="37" t="str">
        <f>IF(ORCAMENTOS!D912="","",ORCAMENTOS!D912)</f>
        <v>AMS INSTALACOES</v>
      </c>
      <c r="E904" s="38" t="str">
        <f>IF(ORCAMENTOS!E912="","",ORCAMENTOS!E912)</f>
        <v>ASSAI - AV SANTA CATARINA - SP</v>
      </c>
      <c r="F904" s="37" t="str">
        <f>IF(ORCAMENTOS!G912="","",ORCAMENTOS!G912)</f>
        <v>Gabriel</v>
      </c>
      <c r="G904" s="37" t="str">
        <f>IF(ORCAMENTOS!H912="","",ORCAMENTOS!H912)</f>
        <v>Albertino</v>
      </c>
      <c r="H904" s="39">
        <f>IF(ORCAMENTOS!I912="","",ORCAMENTOS!I912)</f>
        <v>68555.69</v>
      </c>
      <c r="I904" s="60" t="str">
        <f>IF(ORCAMENTOS!J912="","",ORCAMENTOS!J912)</f>
        <v/>
      </c>
      <c r="J904" s="40" t="str">
        <f>IF(ORCAMENTOS!L912="","",ORCAMENTOS!L912)</f>
        <v>CANCELADO</v>
      </c>
      <c r="K904" s="34" t="str">
        <f>IF(ORCAMENTOS!M912="","",ORCAMENTOS!M912)</f>
        <v>-</v>
      </c>
      <c r="L904" t="str">
        <f>IF(ORCAMENTOS!R912="","",ORCAMENTOS!R912)</f>
        <v>MPU</v>
      </c>
    </row>
    <row r="905" spans="1:12" ht="15.75" hidden="1" customHeight="1" x14ac:dyDescent="0.25">
      <c r="A905" s="36">
        <f>IF(ORCAMENTOS!A913="","",ORCAMENTOS!A913)</f>
        <v>45805</v>
      </c>
      <c r="B905" s="46">
        <f>IF(ORCAMENTOS!B913="","",ORCAMENTOS!B913)</f>
        <v>903</v>
      </c>
      <c r="C905" s="46" t="str">
        <f>IF(ORCAMENTOS!C913="","",ORCAMENTOS!C913)</f>
        <v/>
      </c>
      <c r="D905" s="37" t="str">
        <f>IF(ORCAMENTOS!D913="","",ORCAMENTOS!D913)</f>
        <v>AMS INSTALACOES</v>
      </c>
      <c r="E905" s="38" t="str">
        <f>IF(ORCAMENTOS!E913="","",ORCAMENTOS!E913)</f>
        <v>ASSAI - CAMPINAS - CENTRO</v>
      </c>
      <c r="F905" s="37" t="str">
        <f>IF(ORCAMENTOS!G913="","",ORCAMENTOS!G913)</f>
        <v>Gabriel</v>
      </c>
      <c r="G905" s="37" t="str">
        <f>IF(ORCAMENTOS!H913="","",ORCAMENTOS!H913)</f>
        <v>Albertino</v>
      </c>
      <c r="H905" s="39">
        <f>IF(ORCAMENTOS!I913="","",ORCAMENTOS!I913)</f>
        <v>23513.25</v>
      </c>
      <c r="I905" s="60" t="str">
        <f>IF(ORCAMENTOS!J913="","",ORCAMENTOS!J913)</f>
        <v/>
      </c>
      <c r="J905" s="40" t="str">
        <f>IF(ORCAMENTOS!L913="","",ORCAMENTOS!L913)</f>
        <v>CANCELADO</v>
      </c>
      <c r="K905" s="34" t="str">
        <f>IF(ORCAMENTOS!M913="","",ORCAMENTOS!M913)</f>
        <v>-</v>
      </c>
      <c r="L905" t="str">
        <f>IF(ORCAMENTOS!R913="","",ORCAMENTOS!R913)</f>
        <v>MPU</v>
      </c>
    </row>
    <row r="906" spans="1:12" ht="15.75" hidden="1" customHeight="1" x14ac:dyDescent="0.25">
      <c r="A906" s="36">
        <f>IF(ORCAMENTOS!A914="","",ORCAMENTOS!A914)</f>
        <v>45805</v>
      </c>
      <c r="B906" s="46">
        <f>IF(ORCAMENTOS!B914="","",ORCAMENTOS!B914)</f>
        <v>904</v>
      </c>
      <c r="C906" s="46" t="str">
        <f>IF(ORCAMENTOS!C914="","",ORCAMENTOS!C914)</f>
        <v/>
      </c>
      <c r="D906" s="37" t="str">
        <f>IF(ORCAMENTOS!D914="","",ORCAMENTOS!D914)</f>
        <v>AMS INSTALACOES</v>
      </c>
      <c r="E906" s="38" t="str">
        <f>IF(ORCAMENTOS!E914="","",ORCAMENTOS!E914)</f>
        <v>ASSAI - ITAVUVU - SOROCABA - SP</v>
      </c>
      <c r="F906" s="37" t="str">
        <f>IF(ORCAMENTOS!G914="","",ORCAMENTOS!G914)</f>
        <v>Gabriel</v>
      </c>
      <c r="G906" s="37" t="str">
        <f>IF(ORCAMENTOS!H914="","",ORCAMENTOS!H914)</f>
        <v>Albertino</v>
      </c>
      <c r="H906" s="39">
        <f>IF(ORCAMENTOS!I914="","",ORCAMENTOS!I914)</f>
        <v>28668.04</v>
      </c>
      <c r="I906" s="60" t="str">
        <f>IF(ORCAMENTOS!J914="","",ORCAMENTOS!J914)</f>
        <v/>
      </c>
      <c r="J906" s="40" t="str">
        <f>IF(ORCAMENTOS!L914="","",ORCAMENTOS!L914)</f>
        <v>CANCELADO</v>
      </c>
      <c r="K906" s="34" t="str">
        <f>IF(ORCAMENTOS!M914="","",ORCAMENTOS!M914)</f>
        <v>-</v>
      </c>
      <c r="L906" t="str">
        <f>IF(ORCAMENTOS!R914="","",ORCAMENTOS!R914)</f>
        <v>MPU</v>
      </c>
    </row>
    <row r="907" spans="1:12" ht="15.75" hidden="1" customHeight="1" x14ac:dyDescent="0.25">
      <c r="A907" s="36">
        <f>IF(ORCAMENTOS!A915="","",ORCAMENTOS!A915)</f>
        <v>45805</v>
      </c>
      <c r="B907" s="46">
        <f>IF(ORCAMENTOS!B915="","",ORCAMENTOS!B915)</f>
        <v>905</v>
      </c>
      <c r="C907" s="46" t="str">
        <f>IF(ORCAMENTOS!C915="","",ORCAMENTOS!C915)</f>
        <v/>
      </c>
      <c r="D907" s="37" t="str">
        <f>IF(ORCAMENTOS!D915="","",ORCAMENTOS!D915)</f>
        <v>AMS INSTALACOES</v>
      </c>
      <c r="E907" s="38" t="str">
        <f>IF(ORCAMENTOS!E915="","",ORCAMENTOS!E915)</f>
        <v>ASSAI - CASA VERDE - SP</v>
      </c>
      <c r="F907" s="37" t="str">
        <f>IF(ORCAMENTOS!G915="","",ORCAMENTOS!G915)</f>
        <v>Gabriel</v>
      </c>
      <c r="G907" s="37" t="str">
        <f>IF(ORCAMENTOS!H915="","",ORCAMENTOS!H915)</f>
        <v>Albertino</v>
      </c>
      <c r="H907" s="39">
        <f>IF(ORCAMENTOS!I915="","",ORCAMENTOS!I915)</f>
        <v>23624.79</v>
      </c>
      <c r="I907" s="60" t="str">
        <f>IF(ORCAMENTOS!J915="","",ORCAMENTOS!J915)</f>
        <v/>
      </c>
      <c r="J907" s="40" t="str">
        <f>IF(ORCAMENTOS!L915="","",ORCAMENTOS!L915)</f>
        <v>CANCELADO</v>
      </c>
      <c r="K907" s="34" t="str">
        <f>IF(ORCAMENTOS!M915="","",ORCAMENTOS!M915)</f>
        <v>-</v>
      </c>
      <c r="L907" t="str">
        <f>IF(ORCAMENTOS!R915="","",ORCAMENTOS!R915)</f>
        <v>MPU</v>
      </c>
    </row>
    <row r="908" spans="1:12" ht="15.75" hidden="1" customHeight="1" x14ac:dyDescent="0.25">
      <c r="A908" s="36">
        <f>IF(ORCAMENTOS!A916="","",ORCAMENTOS!A916)</f>
        <v>45805</v>
      </c>
      <c r="B908" s="46">
        <f>IF(ORCAMENTOS!B916="","",ORCAMENTOS!B916)</f>
        <v>906</v>
      </c>
      <c r="C908" s="46" t="str">
        <f>IF(ORCAMENTOS!C916="","",ORCAMENTOS!C916)</f>
        <v/>
      </c>
      <c r="D908" s="37" t="str">
        <f>IF(ORCAMENTOS!D916="","",ORCAMENTOS!D916)</f>
        <v>AMS INSTALACOES</v>
      </c>
      <c r="E908" s="38" t="str">
        <f>IF(ORCAMENTOS!E916="","",ORCAMENTOS!E916)</f>
        <v>ASSAI - LOJA OSASCO - SP</v>
      </c>
      <c r="F908" s="37" t="str">
        <f>IF(ORCAMENTOS!G916="","",ORCAMENTOS!G916)</f>
        <v>Gabriel</v>
      </c>
      <c r="G908" s="37" t="str">
        <f>IF(ORCAMENTOS!H916="","",ORCAMENTOS!H916)</f>
        <v>Albertino</v>
      </c>
      <c r="H908" s="39">
        <f>IF(ORCAMENTOS!I916="","",ORCAMENTOS!I916)</f>
        <v>23829.78</v>
      </c>
      <c r="I908" s="60" t="str">
        <f>IF(ORCAMENTOS!J916="","",ORCAMENTOS!J916)</f>
        <v/>
      </c>
      <c r="J908" s="40" t="str">
        <f>IF(ORCAMENTOS!L916="","",ORCAMENTOS!L916)</f>
        <v>CANCELADO</v>
      </c>
      <c r="K908" s="34" t="str">
        <f>IF(ORCAMENTOS!M916="","",ORCAMENTOS!M916)</f>
        <v>-</v>
      </c>
      <c r="L908" t="str">
        <f>IF(ORCAMENTOS!R916="","",ORCAMENTOS!R916)</f>
        <v>MPU</v>
      </c>
    </row>
    <row r="909" spans="1:12" ht="15.75" hidden="1" customHeight="1" x14ac:dyDescent="0.25">
      <c r="A909" s="36">
        <f>IF(ORCAMENTOS!A917="","",ORCAMENTOS!A917)</f>
        <v>45805</v>
      </c>
      <c r="B909" s="46">
        <f>IF(ORCAMENTOS!B917="","",ORCAMENTOS!B917)</f>
        <v>907</v>
      </c>
      <c r="C909" s="46" t="str">
        <f>IF(ORCAMENTOS!C917="","",ORCAMENTOS!C917)</f>
        <v/>
      </c>
      <c r="D909" s="37" t="str">
        <f>IF(ORCAMENTOS!D917="","",ORCAMENTOS!D917)</f>
        <v>AMS INSTALACOES</v>
      </c>
      <c r="E909" s="38" t="str">
        <f>IF(ORCAMENTOS!E917="","",ORCAMENTOS!E917)</f>
        <v>ASSAI - LOJA COTIA - SP</v>
      </c>
      <c r="F909" s="37" t="str">
        <f>IF(ORCAMENTOS!G917="","",ORCAMENTOS!G917)</f>
        <v>Gabriel</v>
      </c>
      <c r="G909" s="37" t="str">
        <f>IF(ORCAMENTOS!H917="","",ORCAMENTOS!H917)</f>
        <v>Albertino</v>
      </c>
      <c r="H909" s="39">
        <f>IF(ORCAMENTOS!I917="","",ORCAMENTOS!I917)</f>
        <v>31119.05</v>
      </c>
      <c r="I909" s="60" t="str">
        <f>IF(ORCAMENTOS!J917="","",ORCAMENTOS!J917)</f>
        <v/>
      </c>
      <c r="J909" s="40" t="str">
        <f>IF(ORCAMENTOS!L917="","",ORCAMENTOS!L917)</f>
        <v>CANCELADO</v>
      </c>
      <c r="K909" s="34" t="str">
        <f>IF(ORCAMENTOS!M917="","",ORCAMENTOS!M917)</f>
        <v>-</v>
      </c>
      <c r="L909" t="str">
        <f>IF(ORCAMENTOS!R917="","",ORCAMENTOS!R917)</f>
        <v>MPU</v>
      </c>
    </row>
    <row r="910" spans="1:12" ht="15.75" hidden="1" customHeight="1" x14ac:dyDescent="0.25">
      <c r="A910" s="36">
        <f>IF(ORCAMENTOS!A918="","",ORCAMENTOS!A918)</f>
        <v>45805</v>
      </c>
      <c r="B910" s="46">
        <f>IF(ORCAMENTOS!B918="","",ORCAMENTOS!B918)</f>
        <v>908</v>
      </c>
      <c r="C910" s="46" t="str">
        <f>IF(ORCAMENTOS!C918="","",ORCAMENTOS!C918)</f>
        <v/>
      </c>
      <c r="D910" s="37" t="str">
        <f>IF(ORCAMENTOS!D918="","",ORCAMENTOS!D918)</f>
        <v>AMS INSTALACOES</v>
      </c>
      <c r="E910" s="38" t="str">
        <f>IF(ORCAMENTOS!E918="","",ORCAMENTOS!E918)</f>
        <v>ASSAI - LOJA SANTO ANDRE - SP</v>
      </c>
      <c r="F910" s="37" t="str">
        <f>IF(ORCAMENTOS!G918="","",ORCAMENTOS!G918)</f>
        <v>Gabriel</v>
      </c>
      <c r="G910" s="37" t="str">
        <f>IF(ORCAMENTOS!H918="","",ORCAMENTOS!H918)</f>
        <v>Albertino</v>
      </c>
      <c r="H910" s="39">
        <f>IF(ORCAMENTOS!I918="","",ORCAMENTOS!I918)</f>
        <v>31208.51</v>
      </c>
      <c r="I910" s="60" t="str">
        <f>IF(ORCAMENTOS!J918="","",ORCAMENTOS!J918)</f>
        <v/>
      </c>
      <c r="J910" s="40" t="str">
        <f>IF(ORCAMENTOS!L918="","",ORCAMENTOS!L918)</f>
        <v>CANCELADO</v>
      </c>
      <c r="K910" s="34" t="str">
        <f>IF(ORCAMENTOS!M918="","",ORCAMENTOS!M918)</f>
        <v>-</v>
      </c>
      <c r="L910" t="str">
        <f>IF(ORCAMENTOS!R918="","",ORCAMENTOS!R918)</f>
        <v>MPU</v>
      </c>
    </row>
    <row r="911" spans="1:12" ht="15.75" hidden="1" customHeight="1" x14ac:dyDescent="0.25">
      <c r="A911" s="36">
        <f>IF(ORCAMENTOS!A919="","",ORCAMENTOS!A919)</f>
        <v>45805</v>
      </c>
      <c r="B911" s="46">
        <f>IF(ORCAMENTOS!B919="","",ORCAMENTOS!B919)</f>
        <v>909</v>
      </c>
      <c r="C911" s="46" t="str">
        <f>IF(ORCAMENTOS!C919="","",ORCAMENTOS!C919)</f>
        <v/>
      </c>
      <c r="D911" s="37" t="str">
        <f>IF(ORCAMENTOS!D919="","",ORCAMENTOS!D919)</f>
        <v>AMS INSTALACOES</v>
      </c>
      <c r="E911" s="38" t="str">
        <f>IF(ORCAMENTOS!E919="","",ORCAMENTOS!E919)</f>
        <v>ASSAI - PRAIA GRANDE - SP</v>
      </c>
      <c r="F911" s="37" t="str">
        <f>IF(ORCAMENTOS!G919="","",ORCAMENTOS!G919)</f>
        <v>Gabriel</v>
      </c>
      <c r="G911" s="37" t="str">
        <f>IF(ORCAMENTOS!H919="","",ORCAMENTOS!H919)</f>
        <v>Albertino</v>
      </c>
      <c r="H911" s="39">
        <f>IF(ORCAMENTOS!I919="","",ORCAMENTOS!I919)</f>
        <v>35951.56</v>
      </c>
      <c r="I911" s="60" t="str">
        <f>IF(ORCAMENTOS!J919="","",ORCAMENTOS!J919)</f>
        <v/>
      </c>
      <c r="J911" s="40" t="str">
        <f>IF(ORCAMENTOS!L919="","",ORCAMENTOS!L919)</f>
        <v>CANCELADO</v>
      </c>
      <c r="K911" s="34" t="str">
        <f>IF(ORCAMENTOS!M919="","",ORCAMENTOS!M919)</f>
        <v>-</v>
      </c>
      <c r="L911" t="str">
        <f>IF(ORCAMENTOS!R919="","",ORCAMENTOS!R919)</f>
        <v>MPU</v>
      </c>
    </row>
    <row r="912" spans="1:12" ht="15.75" hidden="1" customHeight="1" x14ac:dyDescent="0.25">
      <c r="A912" s="36">
        <f>IF(ORCAMENTOS!A920="","",ORCAMENTOS!A920)</f>
        <v>45805</v>
      </c>
      <c r="B912" s="46">
        <f>IF(ORCAMENTOS!B920="","",ORCAMENTOS!B920)</f>
        <v>910</v>
      </c>
      <c r="C912" s="46" t="str">
        <f>IF(ORCAMENTOS!C920="","",ORCAMENTOS!C920)</f>
        <v/>
      </c>
      <c r="D912" s="37" t="str">
        <f>IF(ORCAMENTOS!D920="","",ORCAMENTOS!D920)</f>
        <v>ENGPLAN</v>
      </c>
      <c r="E912" s="38" t="str">
        <f>IF(ORCAMENTOS!E920="","",ORCAMENTOS!E920)</f>
        <v>-</v>
      </c>
      <c r="F912" s="37" t="str">
        <f>IF(ORCAMENTOS!G920="","",ORCAMENTOS!G920)</f>
        <v>Fernando</v>
      </c>
      <c r="G912" s="37" t="str">
        <f>IF(ORCAMENTOS!H920="","",ORCAMENTOS!H920)</f>
        <v>Marco</v>
      </c>
      <c r="H912" s="39">
        <f>IF(ORCAMENTOS!I920="","",ORCAMENTOS!I920)</f>
        <v>6150.4</v>
      </c>
      <c r="I912" s="60" t="str">
        <f>IF(ORCAMENTOS!J920="","",ORCAMENTOS!J920)</f>
        <v/>
      </c>
      <c r="J912" s="40" t="str">
        <f>IF(ORCAMENTOS!L920="","",ORCAMENTOS!L920)</f>
        <v>FECHADO</v>
      </c>
      <c r="K912" s="34" t="str">
        <f>IF(ORCAMENTOS!M920="","",ORCAMENTOS!M920)</f>
        <v>-</v>
      </c>
      <c r="L912" t="str">
        <f>IF(ORCAMENTOS!R920="","",ORCAMENTOS!R920)</f>
        <v>-</v>
      </c>
    </row>
    <row r="913" spans="1:12" ht="15.75" hidden="1" customHeight="1" x14ac:dyDescent="0.25">
      <c r="A913" s="36">
        <f>IF(ORCAMENTOS!A921="","",ORCAMENTOS!A921)</f>
        <v>45806</v>
      </c>
      <c r="B913" s="46">
        <f>IF(ORCAMENTOS!B921="","",ORCAMENTOS!B921)</f>
        <v>911</v>
      </c>
      <c r="C913" s="46" t="str">
        <f>IF(ORCAMENTOS!C921="","",ORCAMENTOS!C921)</f>
        <v/>
      </c>
      <c r="D913" s="37" t="str">
        <f>IF(ORCAMENTOS!D921="","",ORCAMENTOS!D921)</f>
        <v>RDS SERVICOS</v>
      </c>
      <c r="E913" s="38" t="str">
        <f>IF(ORCAMENTOS!E921="","",ORCAMENTOS!E921)</f>
        <v>-</v>
      </c>
      <c r="F913" s="37" t="str">
        <f>IF(ORCAMENTOS!G921="","",ORCAMENTOS!G921)</f>
        <v>Gabriel</v>
      </c>
      <c r="G913" s="37" t="str">
        <f>IF(ORCAMENTOS!H921="","",ORCAMENTOS!H921)</f>
        <v>Brenda</v>
      </c>
      <c r="H913" s="39">
        <f>IF(ORCAMENTOS!I921="","",ORCAMENTOS!I921)</f>
        <v>35704.33</v>
      </c>
      <c r="I913" s="60" t="str">
        <f>IF(ORCAMENTOS!J921="","",ORCAMENTOS!J921)</f>
        <v/>
      </c>
      <c r="J913" s="40" t="str">
        <f>IF(ORCAMENTOS!L921="","",ORCAMENTOS!L921)</f>
        <v>CANCELADO</v>
      </c>
      <c r="K913" s="34" t="str">
        <f>IF(ORCAMENTOS!M921="","",ORCAMENTOS!M921)</f>
        <v>-</v>
      </c>
      <c r="L913" t="str">
        <f>IF(ORCAMENTOS!R921="","",ORCAMENTOS!R921)</f>
        <v>-</v>
      </c>
    </row>
    <row r="914" spans="1:12" ht="15.75" hidden="1" customHeight="1" x14ac:dyDescent="0.25">
      <c r="A914" s="36">
        <f>IF(ORCAMENTOS!A922="","",ORCAMENTOS!A922)</f>
        <v>45810</v>
      </c>
      <c r="B914" s="46">
        <f>IF(ORCAMENTOS!B922="","",ORCAMENTOS!B922)</f>
        <v>912</v>
      </c>
      <c r="C914" s="46" t="str">
        <f>IF(ORCAMENTOS!C922="","",ORCAMENTOS!C922)</f>
        <v/>
      </c>
      <c r="D914" s="37" t="str">
        <f>IF(ORCAMENTOS!D922="","",ORCAMENTOS!D922)</f>
        <v>X AIR</v>
      </c>
      <c r="E914" s="38" t="str">
        <f>IF(ORCAMENTOS!E922="","",ORCAMENTOS!E922)</f>
        <v>SECRETARIA DA CULTURA</v>
      </c>
      <c r="F914" s="37" t="str">
        <f>IF(ORCAMENTOS!G922="","",ORCAMENTOS!G922)</f>
        <v>Emanuel</v>
      </c>
      <c r="G914" s="37" t="str">
        <f>IF(ORCAMENTOS!H922="","",ORCAMENTOS!H922)</f>
        <v>Isabela</v>
      </c>
      <c r="H914" s="39">
        <f>IF(ORCAMENTOS!I922="","",ORCAMENTOS!I922)</f>
        <v>12727.73</v>
      </c>
      <c r="I914" s="60" t="str">
        <f>IF(ORCAMENTOS!J922="","",ORCAMENTOS!J922)</f>
        <v/>
      </c>
      <c r="J914" s="40" t="str">
        <f>IF(ORCAMENTOS!L922="","",ORCAMENTOS!L922)</f>
        <v>FECHADO</v>
      </c>
      <c r="K914" s="34" t="str">
        <f>IF(ORCAMENTOS!M922="","",ORCAMENTOS!M922)</f>
        <v>-</v>
      </c>
      <c r="L914" t="str">
        <f>IF(ORCAMENTOS!R922="","",ORCAMENTOS!R922)</f>
        <v>-</v>
      </c>
    </row>
    <row r="915" spans="1:12" ht="15.75" hidden="1" customHeight="1" x14ac:dyDescent="0.25">
      <c r="A915" s="36">
        <f>IF(ORCAMENTOS!A923="","",ORCAMENTOS!A923)</f>
        <v>45806</v>
      </c>
      <c r="B915" s="46">
        <f>IF(ORCAMENTOS!B923="","",ORCAMENTOS!B923)</f>
        <v>913</v>
      </c>
      <c r="C915" s="46" t="str">
        <f>IF(ORCAMENTOS!C923="","",ORCAMENTOS!C923)</f>
        <v/>
      </c>
      <c r="D915" s="37" t="str">
        <f>IF(ORCAMENTOS!D923="","",ORCAMENTOS!D923)</f>
        <v>AWA AR CONDICIONADO</v>
      </c>
      <c r="E915" s="38" t="str">
        <f>IF(ORCAMENTOS!E923="","",ORCAMENTOS!E923)</f>
        <v>NIKE RISE - IGUATEMI CAMPINAS</v>
      </c>
      <c r="F915" s="37" t="str">
        <f>IF(ORCAMENTOS!G923="","",ORCAMENTOS!G923)</f>
        <v>Guilherme</v>
      </c>
      <c r="G915" s="37" t="str">
        <f>IF(ORCAMENTOS!H923="","",ORCAMENTOS!H923)</f>
        <v>Guilherme</v>
      </c>
      <c r="H915" s="39">
        <f>IF(ORCAMENTOS!I923="","",ORCAMENTOS!I923)</f>
        <v>71020.69</v>
      </c>
      <c r="I915" s="60" t="str">
        <f>IF(ORCAMENTOS!J923="","",ORCAMENTOS!J923)</f>
        <v/>
      </c>
      <c r="J915" s="40" t="str">
        <f>IF(ORCAMENTOS!L923="","",ORCAMENTOS!L923)</f>
        <v>CANCELADO</v>
      </c>
      <c r="K915" s="34" t="str">
        <f>IF(ORCAMENTOS!M923="","",ORCAMENTOS!M923)</f>
        <v>FECHADO PELA AIRPLAN</v>
      </c>
      <c r="L915" t="str">
        <f>IF(ORCAMENTOS!R923="","",ORCAMENTOS!R923)</f>
        <v/>
      </c>
    </row>
    <row r="916" spans="1:12" ht="15.75" hidden="1" customHeight="1" x14ac:dyDescent="0.25">
      <c r="A916" s="36">
        <f>IF(ORCAMENTOS!A924="","",ORCAMENTOS!A924)</f>
        <v>45806</v>
      </c>
      <c r="B916" s="46">
        <f>IF(ORCAMENTOS!B924="","",ORCAMENTOS!B924)</f>
        <v>914</v>
      </c>
      <c r="C916" s="46" t="str">
        <f>IF(ORCAMENTOS!C924="","",ORCAMENTOS!C924)</f>
        <v/>
      </c>
      <c r="D916" s="37" t="str">
        <f>IF(ORCAMENTOS!D924="","",ORCAMENTOS!D924)</f>
        <v>HVAC ENGENHARIA</v>
      </c>
      <c r="E916" s="38" t="str">
        <f>IF(ORCAMENTOS!E924="","",ORCAMENTOS!E924)</f>
        <v>COOP AO</v>
      </c>
      <c r="F916" s="37" t="str">
        <f>IF(ORCAMENTOS!G924="","",ORCAMENTOS!G924)</f>
        <v>Michel</v>
      </c>
      <c r="G916" s="37" t="str">
        <f>IF(ORCAMENTOS!H924="","",ORCAMENTOS!H924)</f>
        <v>Alvaro</v>
      </c>
      <c r="H916" s="39">
        <f>IF(ORCAMENTOS!I924="","",ORCAMENTOS!I924)</f>
        <v>800.39</v>
      </c>
      <c r="I916" s="60" t="str">
        <f>IF(ORCAMENTOS!J924="","",ORCAMENTOS!J924)</f>
        <v/>
      </c>
      <c r="J916" s="40" t="str">
        <f>IF(ORCAMENTOS!L924="","",ORCAMENTOS!L924)</f>
        <v>FECHADO</v>
      </c>
      <c r="K916" s="34" t="str">
        <f>IF(ORCAMENTOS!M924="","",ORCAMENTOS!M924)</f>
        <v>-</v>
      </c>
      <c r="L916" t="str">
        <f>IF(ORCAMENTOS!R924="","",ORCAMENTOS!R924)</f>
        <v>-</v>
      </c>
    </row>
    <row r="917" spans="1:12" ht="15.75" hidden="1" customHeight="1" x14ac:dyDescent="0.25">
      <c r="A917" s="36">
        <f>IF(ORCAMENTOS!A925="","",ORCAMENTOS!A925)</f>
        <v>45806</v>
      </c>
      <c r="B917" s="46">
        <f>IF(ORCAMENTOS!B925="","",ORCAMENTOS!B925)</f>
        <v>915</v>
      </c>
      <c r="C917" s="46" t="str">
        <f>IF(ORCAMENTOS!C925="","",ORCAMENTOS!C925)</f>
        <v/>
      </c>
      <c r="D917" s="37" t="str">
        <f>IF(ORCAMENTOS!D925="","",ORCAMENTOS!D925)</f>
        <v>RDS SERVICOS</v>
      </c>
      <c r="E917" s="38" t="str">
        <f>IF(ORCAMENTOS!E925="","",ORCAMENTOS!E925)</f>
        <v>RD SAÚDE - CD ITUPEVA</v>
      </c>
      <c r="F917" s="37" t="str">
        <f>IF(ORCAMENTOS!G925="","",ORCAMENTOS!G925)</f>
        <v xml:space="preserve">Aldavir </v>
      </c>
      <c r="G917" s="37" t="str">
        <f>IF(ORCAMENTOS!H925="","",ORCAMENTOS!H925)</f>
        <v>Sandra</v>
      </c>
      <c r="H917" s="39">
        <f>IF(ORCAMENTOS!I925="","",ORCAMENTOS!I925)</f>
        <v>850397.96</v>
      </c>
      <c r="I917" s="60" t="str">
        <f>IF(ORCAMENTOS!J925="","",ORCAMENTOS!J925)</f>
        <v/>
      </c>
      <c r="J917" s="40" t="str">
        <f>IF(ORCAMENTOS!L925="","",ORCAMENTOS!L925)</f>
        <v>CANCELADO</v>
      </c>
      <c r="K917" s="34" t="str">
        <f>IF(ORCAMENTOS!M925="","",ORCAMENTOS!M925)</f>
        <v/>
      </c>
      <c r="L917" t="str">
        <f>IF(ORCAMENTOS!R925="","",ORCAMENTOS!R925)</f>
        <v/>
      </c>
    </row>
    <row r="918" spans="1:12" ht="15.75" hidden="1" customHeight="1" x14ac:dyDescent="0.25">
      <c r="A918" s="36">
        <f>IF(ORCAMENTOS!A926="","",ORCAMENTOS!A926)</f>
        <v>45806</v>
      </c>
      <c r="B918" s="46">
        <f>IF(ORCAMENTOS!B926="","",ORCAMENTOS!B926)</f>
        <v>916</v>
      </c>
      <c r="C918" s="46" t="str">
        <f>IF(ORCAMENTOS!C926="","",ORCAMENTOS!C926)</f>
        <v/>
      </c>
      <c r="D918" s="37" t="str">
        <f>IF(ORCAMENTOS!D926="","",ORCAMENTOS!D926)</f>
        <v>RAC ENGENHARIA</v>
      </c>
      <c r="E918" s="38" t="str">
        <f>IF(ORCAMENTOS!E926="","",ORCAMENTOS!E926)</f>
        <v>SHINNYO-EN BRASIL</v>
      </c>
      <c r="F918" s="37" t="str">
        <f>IF(ORCAMENTOS!G926="","",ORCAMENTOS!G926)</f>
        <v xml:space="preserve">Aldavir </v>
      </c>
      <c r="G918" s="37" t="str">
        <f>IF(ORCAMENTOS!H926="","",ORCAMENTOS!H926)</f>
        <v>Renata</v>
      </c>
      <c r="H918" s="39">
        <f>IF(ORCAMENTOS!I926="","",ORCAMENTOS!I926)</f>
        <v>5974.02</v>
      </c>
      <c r="I918" s="60" t="str">
        <f>IF(ORCAMENTOS!J926="","",ORCAMENTOS!J926)</f>
        <v/>
      </c>
      <c r="J918" s="40" t="str">
        <f>IF(ORCAMENTOS!L926="","",ORCAMENTOS!L926)</f>
        <v>FECHADO</v>
      </c>
      <c r="K918" s="34" t="str">
        <f>IF(ORCAMENTOS!M926="","",ORCAMENTOS!M926)</f>
        <v/>
      </c>
      <c r="L918" t="str">
        <f>IF(ORCAMENTOS!R926="","",ORCAMENTOS!R926)</f>
        <v/>
      </c>
    </row>
    <row r="919" spans="1:12" ht="15.75" hidden="1" customHeight="1" x14ac:dyDescent="0.25">
      <c r="A919" s="36">
        <f>IF(ORCAMENTOS!A927="","",ORCAMENTOS!A927)</f>
        <v>45810</v>
      </c>
      <c r="B919" s="46">
        <f>IF(ORCAMENTOS!B927="","",ORCAMENTOS!B927)</f>
        <v>917</v>
      </c>
      <c r="C919" s="46" t="str">
        <f>IF(ORCAMENTOS!C927="","",ORCAMENTOS!C927)</f>
        <v/>
      </c>
      <c r="D919" s="37" t="str">
        <f>IF(ORCAMENTOS!D927="","",ORCAMENTOS!D927)</f>
        <v>PROGERAR</v>
      </c>
      <c r="E919" s="38" t="str">
        <f>IF(ORCAMENTOS!E927="","",ORCAMENTOS!E927)</f>
        <v>-</v>
      </c>
      <c r="F919" s="37" t="str">
        <f>IF(ORCAMENTOS!G927="","",ORCAMENTOS!G927)</f>
        <v>Michel</v>
      </c>
      <c r="G919" s="37" t="str">
        <f>IF(ORCAMENTOS!H927="","",ORCAMENTOS!H927)</f>
        <v>Paulo</v>
      </c>
      <c r="H919" s="39">
        <f>IF(ORCAMENTOS!I927="","",ORCAMENTOS!I927)</f>
        <v>79606.240000000005</v>
      </c>
      <c r="I919" s="60" t="str">
        <f>IF(ORCAMENTOS!J927="","",ORCAMENTOS!J927)</f>
        <v/>
      </c>
      <c r="J919" s="40" t="str">
        <f>IF(ORCAMENTOS!L927="","",ORCAMENTOS!L927)</f>
        <v>CANCELADO</v>
      </c>
      <c r="K919" s="34" t="str">
        <f>IF(ORCAMENTOS!M927="","",ORCAMENTOS!M927)</f>
        <v>-</v>
      </c>
      <c r="L919" t="str">
        <f>IF(ORCAMENTOS!R927="","",ORCAMENTOS!R927)</f>
        <v>-</v>
      </c>
    </row>
    <row r="920" spans="1:12" ht="15.75" hidden="1" customHeight="1" x14ac:dyDescent="0.25">
      <c r="A920" s="36">
        <f>IF(ORCAMENTOS!A928="","",ORCAMENTOS!A928)</f>
        <v>45807</v>
      </c>
      <c r="B920" s="46">
        <f>IF(ORCAMENTOS!B928="","",ORCAMENTOS!B928)</f>
        <v>918</v>
      </c>
      <c r="C920" s="46" t="str">
        <f>IF(ORCAMENTOS!C928="","",ORCAMENTOS!C928)</f>
        <v/>
      </c>
      <c r="D920" s="37" t="str">
        <f>IF(ORCAMENTOS!D928="","",ORCAMENTOS!D928)</f>
        <v>EXAUSTOTEC</v>
      </c>
      <c r="E920" s="38" t="str">
        <f>IF(ORCAMENTOS!E928="","",ORCAMENTOS!E928)</f>
        <v>PREDIO P10A - TERREO</v>
      </c>
      <c r="F920" s="37" t="str">
        <f>IF(ORCAMENTOS!G928="","",ORCAMENTOS!G928)</f>
        <v>Gabriel</v>
      </c>
      <c r="G920" s="37" t="str">
        <f>IF(ORCAMENTOS!H928="","",ORCAMENTOS!H928)</f>
        <v>Pedro</v>
      </c>
      <c r="H920" s="39">
        <f>IF(ORCAMENTOS!I928="","",ORCAMENTOS!I928)</f>
        <v>20473.55</v>
      </c>
      <c r="I920" s="60" t="str">
        <f>IF(ORCAMENTOS!J928="","",ORCAMENTOS!J928)</f>
        <v/>
      </c>
      <c r="J920" s="40" t="str">
        <f>IF(ORCAMENTOS!L928="","",ORCAMENTOS!L928)</f>
        <v>CANCELADO</v>
      </c>
      <c r="K920" s="34" t="str">
        <f>IF(ORCAMENTOS!M928="","",ORCAMENTOS!M928)</f>
        <v>-</v>
      </c>
      <c r="L920" t="str">
        <f>IF(ORCAMENTOS!R928="","",ORCAMENTOS!R928)</f>
        <v>-</v>
      </c>
    </row>
    <row r="921" spans="1:12" ht="15.75" hidden="1" customHeight="1" x14ac:dyDescent="0.25">
      <c r="A921" s="36">
        <f>IF(ORCAMENTOS!A929="","",ORCAMENTOS!A929)</f>
        <v>45807</v>
      </c>
      <c r="B921" s="46">
        <f>IF(ORCAMENTOS!B929="","",ORCAMENTOS!B929)</f>
        <v>919</v>
      </c>
      <c r="C921" s="46" t="str">
        <f>IF(ORCAMENTOS!C929="","",ORCAMENTOS!C929)</f>
        <v/>
      </c>
      <c r="D921" s="37" t="str">
        <f>IF(ORCAMENTOS!D929="","",ORCAMENTOS!D929)</f>
        <v>AR SISTEMAS</v>
      </c>
      <c r="E921" s="38" t="str">
        <f>IF(ORCAMENTOS!E929="","",ORCAMENTOS!E929)</f>
        <v>SMART FIT - SUZANO - SP</v>
      </c>
      <c r="F921" s="37" t="str">
        <f>IF(ORCAMENTOS!G929="","",ORCAMENTOS!G929)</f>
        <v>Michel</v>
      </c>
      <c r="G921" s="37" t="str">
        <f>IF(ORCAMENTOS!H929="","",ORCAMENTOS!H929)</f>
        <v>Marcos</v>
      </c>
      <c r="H921" s="39">
        <f>IF(ORCAMENTOS!I929="","",ORCAMENTOS!I929)</f>
        <v>55660.06</v>
      </c>
      <c r="I921" s="60" t="str">
        <f>IF(ORCAMENTOS!J929="","",ORCAMENTOS!J929)</f>
        <v/>
      </c>
      <c r="J921" s="40" t="str">
        <f>IF(ORCAMENTOS!L929="","",ORCAMENTOS!L929)</f>
        <v>CANCELADO</v>
      </c>
      <c r="K921" s="34" t="str">
        <f>IF(ORCAMENTOS!M929="","",ORCAMENTOS!M929)</f>
        <v>-</v>
      </c>
      <c r="L921" t="str">
        <f>IF(ORCAMENTOS!R929="","",ORCAMENTOS!R929)</f>
        <v>-</v>
      </c>
    </row>
    <row r="922" spans="1:12" ht="15.75" hidden="1" customHeight="1" x14ac:dyDescent="0.25">
      <c r="A922" s="36">
        <f>IF(ORCAMENTOS!A930="","",ORCAMENTOS!A930)</f>
        <v>45807</v>
      </c>
      <c r="B922" s="46">
        <f>IF(ORCAMENTOS!B930="","",ORCAMENTOS!B930)</f>
        <v>920</v>
      </c>
      <c r="C922" s="46" t="str">
        <f>IF(ORCAMENTOS!C930="","",ORCAMENTOS!C930)</f>
        <v/>
      </c>
      <c r="D922" s="37" t="str">
        <f>IF(ORCAMENTOS!D930="","",ORCAMENTOS!D930)</f>
        <v>RECLIMA</v>
      </c>
      <c r="E922" s="38" t="str">
        <f>IF(ORCAMENTOS!E930="","",ORCAMENTOS!E930)</f>
        <v>-</v>
      </c>
      <c r="F922" s="37" t="str">
        <f>IF(ORCAMENTOS!G930="","",ORCAMENTOS!G930)</f>
        <v>Michel</v>
      </c>
      <c r="G922" s="37" t="str">
        <f>IF(ORCAMENTOS!H930="","",ORCAMENTOS!H930)</f>
        <v>Renata</v>
      </c>
      <c r="H922" s="39">
        <f>IF(ORCAMENTOS!I930="","",ORCAMENTOS!I930)</f>
        <v>568.70000000000005</v>
      </c>
      <c r="I922" s="60" t="str">
        <f>IF(ORCAMENTOS!J930="","",ORCAMENTOS!J930)</f>
        <v/>
      </c>
      <c r="J922" s="40" t="str">
        <f>IF(ORCAMENTOS!L930="","",ORCAMENTOS!L930)</f>
        <v>FECHADO</v>
      </c>
      <c r="K922" s="34" t="str">
        <f>IF(ORCAMENTOS!M930="","",ORCAMENTOS!M930)</f>
        <v>-</v>
      </c>
      <c r="L922" t="str">
        <f>IF(ORCAMENTOS!R930="","",ORCAMENTOS!R930)</f>
        <v>-</v>
      </c>
    </row>
    <row r="923" spans="1:12" ht="15.75" hidden="1" customHeight="1" x14ac:dyDescent="0.25">
      <c r="A923" s="36">
        <f>IF(ORCAMENTOS!A931="","",ORCAMENTOS!A931)</f>
        <v>45807</v>
      </c>
      <c r="B923" s="46">
        <f>IF(ORCAMENTOS!B931="","",ORCAMENTOS!B931)</f>
        <v>921</v>
      </c>
      <c r="C923" s="46" t="str">
        <f>IF(ORCAMENTOS!C931="","",ORCAMENTOS!C931)</f>
        <v/>
      </c>
      <c r="D923" s="37" t="str">
        <f>IF(ORCAMENTOS!D931="","",ORCAMENTOS!D931)</f>
        <v>AMS INSTALACOES</v>
      </c>
      <c r="E923" s="38" t="str">
        <f>IF(ORCAMENTOS!E931="","",ORCAMENTOS!E931)</f>
        <v>ASSAI - LOJA ITAQUERA - SP</v>
      </c>
      <c r="F923" s="37" t="str">
        <f>IF(ORCAMENTOS!G931="","",ORCAMENTOS!G931)</f>
        <v>Gabriel</v>
      </c>
      <c r="G923" s="37" t="str">
        <f>IF(ORCAMENTOS!H931="","",ORCAMENTOS!H931)</f>
        <v>Albertino</v>
      </c>
      <c r="H923" s="39">
        <f>IF(ORCAMENTOS!I931="","",ORCAMENTOS!I931)</f>
        <v>49456.160000000003</v>
      </c>
      <c r="I923" s="60" t="str">
        <f>IF(ORCAMENTOS!J931="","",ORCAMENTOS!J931)</f>
        <v/>
      </c>
      <c r="J923" s="40" t="str">
        <f>IF(ORCAMENTOS!L931="","",ORCAMENTOS!L931)</f>
        <v>CANCELADO</v>
      </c>
      <c r="K923" s="34" t="str">
        <f>IF(ORCAMENTOS!M931="","",ORCAMENTOS!M931)</f>
        <v>-</v>
      </c>
      <c r="L923" t="str">
        <f>IF(ORCAMENTOS!R931="","",ORCAMENTOS!R931)</f>
        <v>MPU</v>
      </c>
    </row>
    <row r="924" spans="1:12" ht="15.75" hidden="1" customHeight="1" x14ac:dyDescent="0.25">
      <c r="A924" s="36">
        <f>IF(ORCAMENTOS!A932="","",ORCAMENTOS!A932)</f>
        <v>45810</v>
      </c>
      <c r="B924" s="46">
        <f>IF(ORCAMENTOS!B932="","",ORCAMENTOS!B932)</f>
        <v>922</v>
      </c>
      <c r="C924" s="46" t="str">
        <f>IF(ORCAMENTOS!C932="","",ORCAMENTOS!C932)</f>
        <v/>
      </c>
      <c r="D924" s="37" t="str">
        <f>IF(ORCAMENTOS!D932="","",ORCAMENTOS!D932)</f>
        <v>AIR QUALITY</v>
      </c>
      <c r="E924" s="38" t="str">
        <f>IF(ORCAMENTOS!E932="","",ORCAMENTOS!E932)</f>
        <v>-</v>
      </c>
      <c r="F924" s="37" t="str">
        <f>IF(ORCAMENTOS!G932="","",ORCAMENTOS!G932)</f>
        <v>Gabriel</v>
      </c>
      <c r="G924" s="37" t="str">
        <f>IF(ORCAMENTOS!H932="","",ORCAMENTOS!H932)</f>
        <v>Antonio</v>
      </c>
      <c r="H924" s="39">
        <f>IF(ORCAMENTOS!I932="","",ORCAMENTOS!I932)</f>
        <v>26706.22</v>
      </c>
      <c r="I924" s="60" t="str">
        <f>IF(ORCAMENTOS!J932="","",ORCAMENTOS!J932)</f>
        <v/>
      </c>
      <c r="J924" s="40" t="str">
        <f>IF(ORCAMENTOS!L932="","",ORCAMENTOS!L932)</f>
        <v>CANCELADO</v>
      </c>
      <c r="K924" s="34" t="str">
        <f>IF(ORCAMENTOS!M932="","",ORCAMENTOS!M932)</f>
        <v>-</v>
      </c>
      <c r="L924" t="str">
        <f>IF(ORCAMENTOS!R932="","",ORCAMENTOS!R932)</f>
        <v>-</v>
      </c>
    </row>
    <row r="925" spans="1:12" ht="15.75" hidden="1" customHeight="1" x14ac:dyDescent="0.25">
      <c r="A925" s="36">
        <f>IF(ORCAMENTOS!A933="","",ORCAMENTOS!A933)</f>
        <v>45810</v>
      </c>
      <c r="B925" s="46">
        <f>IF(ORCAMENTOS!B933="","",ORCAMENTOS!B933)</f>
        <v>923</v>
      </c>
      <c r="C925" s="46" t="str">
        <f>IF(ORCAMENTOS!C933="","",ORCAMENTOS!C933)</f>
        <v/>
      </c>
      <c r="D925" s="37" t="str">
        <f>IF(ORCAMENTOS!D933="","",ORCAMENTOS!D933)</f>
        <v>WELLNESS</v>
      </c>
      <c r="E925" s="38" t="str">
        <f>IF(ORCAMENTOS!E933="","",ORCAMENTOS!E933)</f>
        <v>-</v>
      </c>
      <c r="F925" s="37" t="str">
        <f>IF(ORCAMENTOS!G933="","",ORCAMENTOS!G933)</f>
        <v>Gabriel</v>
      </c>
      <c r="G925" s="37" t="str">
        <f>IF(ORCAMENTOS!H933="","",ORCAMENTOS!H933)</f>
        <v>Ivanise</v>
      </c>
      <c r="H925" s="39">
        <f>IF(ORCAMENTOS!I933="","",ORCAMENTOS!I933)</f>
        <v>27078.99</v>
      </c>
      <c r="I925" s="60" t="str">
        <f>IF(ORCAMENTOS!J933="","",ORCAMENTOS!J933)</f>
        <v/>
      </c>
      <c r="J925" s="40" t="str">
        <f>IF(ORCAMENTOS!L933="","",ORCAMENTOS!L933)</f>
        <v>FECHADO</v>
      </c>
      <c r="K925" s="34" t="str">
        <f>IF(ORCAMENTOS!M933="","",ORCAMENTOS!M933)</f>
        <v>-</v>
      </c>
      <c r="L925" t="str">
        <f>IF(ORCAMENTOS!R933="","",ORCAMENTOS!R933)</f>
        <v>-</v>
      </c>
    </row>
    <row r="926" spans="1:12" ht="15.75" hidden="1" customHeight="1" x14ac:dyDescent="0.25">
      <c r="A926" s="36">
        <f>IF(ORCAMENTOS!A934="","",ORCAMENTOS!A934)</f>
        <v>45807</v>
      </c>
      <c r="B926" s="46">
        <f>IF(ORCAMENTOS!B934="","",ORCAMENTOS!B934)</f>
        <v>924</v>
      </c>
      <c r="C926" s="46" t="str">
        <f>IF(ORCAMENTOS!C934="","",ORCAMENTOS!C934)</f>
        <v/>
      </c>
      <c r="D926" s="37" t="str">
        <f>IF(ORCAMENTOS!D934="","",ORCAMENTOS!D934)</f>
        <v>GLOBAL CLIMA</v>
      </c>
      <c r="E926" s="38" t="str">
        <f>IF(ORCAMENTOS!E934="","",ORCAMENTOS!E934)</f>
        <v>Obra Hospital Aeroporto Bahia-BA</v>
      </c>
      <c r="F926" s="37" t="str">
        <f>IF(ORCAMENTOS!G934="","",ORCAMENTOS!G934)</f>
        <v>Emanuel</v>
      </c>
      <c r="G926" s="37" t="str">
        <f>IF(ORCAMENTOS!H934="","",ORCAMENTOS!H934)</f>
        <v>Claudemir</v>
      </c>
      <c r="H926" s="39">
        <f>IF(ORCAMENTOS!I934="","",ORCAMENTOS!I934)</f>
        <v>94428.79</v>
      </c>
      <c r="I926" s="60" t="str">
        <f>IF(ORCAMENTOS!J934="","",ORCAMENTOS!J934)</f>
        <v/>
      </c>
      <c r="J926" s="40" t="str">
        <f>IF(ORCAMENTOS!L934="","",ORCAMENTOS!L934)</f>
        <v>CANCELADO</v>
      </c>
      <c r="K926" s="34" t="str">
        <f>IF(ORCAMENTOS!M934="","",ORCAMENTOS!M934)</f>
        <v>-</v>
      </c>
      <c r="L926" t="str">
        <f>IF(ORCAMENTOS!R934="","",ORCAMENTOS!R934)</f>
        <v>-</v>
      </c>
    </row>
    <row r="927" spans="1:12" ht="15.75" hidden="1" customHeight="1" x14ac:dyDescent="0.25">
      <c r="A927" s="36">
        <f>IF(ORCAMENTOS!A935="","",ORCAMENTOS!A935)</f>
        <v>45807</v>
      </c>
      <c r="B927" s="46">
        <f>IF(ORCAMENTOS!B935="","",ORCAMENTOS!B935)</f>
        <v>925</v>
      </c>
      <c r="C927" s="46" t="str">
        <f>IF(ORCAMENTOS!C935="","",ORCAMENTOS!C935)</f>
        <v/>
      </c>
      <c r="D927" s="37" t="str">
        <f>IF(ORCAMENTOS!D935="","",ORCAMENTOS!D935)</f>
        <v>AR SET</v>
      </c>
      <c r="E927" s="38" t="str">
        <f>IF(ORCAMENTOS!E935="","",ORCAMENTOS!E935)</f>
        <v>ARDU INVEST INVESTIMENTOS - SETOR B</v>
      </c>
      <c r="F927" s="37" t="str">
        <f>IF(ORCAMENTOS!G935="","",ORCAMENTOS!G935)</f>
        <v>Fernando</v>
      </c>
      <c r="G927" s="37" t="str">
        <f>IF(ORCAMENTOS!H935="","",ORCAMENTOS!H935)</f>
        <v>Danilo</v>
      </c>
      <c r="H927" s="39">
        <f>IF(ORCAMENTOS!I935="","",ORCAMENTOS!I935)</f>
        <v>2669.6</v>
      </c>
      <c r="I927" s="60" t="str">
        <f>IF(ORCAMENTOS!J935="","",ORCAMENTOS!J935)</f>
        <v/>
      </c>
      <c r="J927" s="40" t="str">
        <f>IF(ORCAMENTOS!L935="","",ORCAMENTOS!L935)</f>
        <v>FECHADO</v>
      </c>
      <c r="K927" s="34" t="str">
        <f>IF(ORCAMENTOS!M935="","",ORCAMENTOS!M935)</f>
        <v>PREV JUNHO</v>
      </c>
      <c r="L927" t="str">
        <f>IF(ORCAMENTOS!R935="","",ORCAMENTOS!R935)</f>
        <v>-</v>
      </c>
    </row>
    <row r="928" spans="1:12" ht="15.75" hidden="1" customHeight="1" x14ac:dyDescent="0.25">
      <c r="A928" s="36">
        <f>IF(ORCAMENTOS!A936="","",ORCAMENTOS!A936)</f>
        <v>45810</v>
      </c>
      <c r="B928" s="46">
        <f>IF(ORCAMENTOS!B936="","",ORCAMENTOS!B936)</f>
        <v>926</v>
      </c>
      <c r="C928" s="46" t="str">
        <f>IF(ORCAMENTOS!C936="","",ORCAMENTOS!C936)</f>
        <v/>
      </c>
      <c r="D928" s="37" t="str">
        <f>IF(ORCAMENTOS!D936="","",ORCAMENTOS!D936)</f>
        <v>AR CLEAN</v>
      </c>
      <c r="E928" s="38" t="str">
        <f>IF(ORCAMENTOS!E936="","",ORCAMENTOS!E936)</f>
        <v>AMAZON CGH7 - CAJAMAR - SP</v>
      </c>
      <c r="F928" s="37" t="str">
        <f>IF(ORCAMENTOS!G936="","",ORCAMENTOS!G936)</f>
        <v xml:space="preserve">Aldavir </v>
      </c>
      <c r="G928" s="37" t="str">
        <f>IF(ORCAMENTOS!H936="","",ORCAMENTOS!H936)</f>
        <v>Melanie</v>
      </c>
      <c r="H928" s="39">
        <f>IF(ORCAMENTOS!I936="","",ORCAMENTOS!I936)</f>
        <v>211085.54</v>
      </c>
      <c r="I928" s="60" t="str">
        <f>IF(ORCAMENTOS!J936="","",ORCAMENTOS!J936)</f>
        <v/>
      </c>
      <c r="J928" s="40" t="str">
        <f>IF(ORCAMENTOS!L936="","",ORCAMENTOS!L936)</f>
        <v>FECHADO</v>
      </c>
      <c r="K928" s="34" t="str">
        <f>IF(ORCAMENTOS!M936="","",ORCAMENTOS!M936)</f>
        <v>-</v>
      </c>
      <c r="L928" t="str">
        <f>IF(ORCAMENTOS!R936="","",ORCAMENTOS!R936)</f>
        <v>-</v>
      </c>
    </row>
    <row r="929" spans="1:12" ht="15.75" hidden="1" customHeight="1" x14ac:dyDescent="0.25">
      <c r="A929" s="36">
        <f>IF(ORCAMENTOS!A937="","",ORCAMENTOS!A937)</f>
        <v>45812</v>
      </c>
      <c r="B929" s="46">
        <f>IF(ORCAMENTOS!B937="","",ORCAMENTOS!B937)</f>
        <v>927</v>
      </c>
      <c r="C929" s="46" t="str">
        <f>IF(ORCAMENTOS!C937="","",ORCAMENTOS!C937)</f>
        <v/>
      </c>
      <c r="D929" s="37" t="str">
        <f>IF(ORCAMENTOS!D937="","",ORCAMENTOS!D937)</f>
        <v>ECOLOGIC AIR</v>
      </c>
      <c r="E929" s="38" t="str">
        <f>IF(ORCAMENTOS!E937="","",ORCAMENTOS!E937)</f>
        <v>CENTAURO - SHOPPING - RIO PRETO</v>
      </c>
      <c r="F929" s="37" t="str">
        <f>IF(ORCAMENTOS!G937="","",ORCAMENTOS!G937)</f>
        <v>Michel</v>
      </c>
      <c r="G929" s="37" t="str">
        <f>IF(ORCAMENTOS!H937="","",ORCAMENTOS!H937)</f>
        <v>Vinicius</v>
      </c>
      <c r="H929" s="39">
        <f>IF(ORCAMENTOS!I937="","",ORCAMENTOS!I937)</f>
        <v>60658.53</v>
      </c>
      <c r="I929" s="60" t="str">
        <f>IF(ORCAMENTOS!J937="","",ORCAMENTOS!J937)</f>
        <v/>
      </c>
      <c r="J929" s="40" t="str">
        <f>IF(ORCAMENTOS!L937="","",ORCAMENTOS!L937)</f>
        <v>FECHADO</v>
      </c>
      <c r="K929" s="34" t="str">
        <f>IF(ORCAMENTOS!M937="","",ORCAMENTOS!M937)</f>
        <v>AGUARDANDO PEDIDO</v>
      </c>
      <c r="L929" t="str">
        <f>IF(ORCAMENTOS!R937="","",ORCAMENTOS!R937)</f>
        <v/>
      </c>
    </row>
    <row r="930" spans="1:12" ht="15.75" hidden="1" customHeight="1" x14ac:dyDescent="0.25">
      <c r="A930" s="36">
        <f>IF(ORCAMENTOS!A938="","",ORCAMENTOS!A938)</f>
        <v>45810</v>
      </c>
      <c r="B930" s="46">
        <f>IF(ORCAMENTOS!B938="","",ORCAMENTOS!B938)</f>
        <v>928</v>
      </c>
      <c r="C930" s="46" t="str">
        <f>IF(ORCAMENTOS!C938="","",ORCAMENTOS!C938)</f>
        <v/>
      </c>
      <c r="D930" s="37" t="str">
        <f>IF(ORCAMENTOS!D938="","",ORCAMENTOS!D938)</f>
        <v>COLD CONTROL</v>
      </c>
      <c r="E930" s="38" t="str">
        <f>IF(ORCAMENTOS!E938="","",ORCAMENTOS!E938)</f>
        <v>CCR JUNDIA</v>
      </c>
      <c r="F930" s="37" t="str">
        <f>IF(ORCAMENTOS!G938="","",ORCAMENTOS!G938)</f>
        <v>Emanuel</v>
      </c>
      <c r="G930" s="37" t="str">
        <f>IF(ORCAMENTOS!H938="","",ORCAMENTOS!H938)</f>
        <v>Armando</v>
      </c>
      <c r="H930" s="39">
        <f>IF(ORCAMENTOS!I938="","",ORCAMENTOS!I938)</f>
        <v>4766.0200000000004</v>
      </c>
      <c r="I930" s="60" t="str">
        <f>IF(ORCAMENTOS!J938="","",ORCAMENTOS!J938)</f>
        <v/>
      </c>
      <c r="J930" s="40" t="str">
        <f>IF(ORCAMENTOS!L938="","",ORCAMENTOS!L938)</f>
        <v>FECHADO</v>
      </c>
      <c r="K930" s="34" t="str">
        <f>IF(ORCAMENTOS!M938="","",ORCAMENTOS!M938)</f>
        <v>-</v>
      </c>
      <c r="L930" t="str">
        <f>IF(ORCAMENTOS!R938="","",ORCAMENTOS!R938)</f>
        <v>-</v>
      </c>
    </row>
    <row r="931" spans="1:12" ht="15.75" hidden="1" customHeight="1" x14ac:dyDescent="0.25">
      <c r="A931" s="36">
        <f>IF(ORCAMENTOS!A939="","",ORCAMENTOS!A939)</f>
        <v>45810</v>
      </c>
      <c r="B931" s="46">
        <f>IF(ORCAMENTOS!B939="","",ORCAMENTOS!B939)</f>
        <v>929</v>
      </c>
      <c r="C931" s="46" t="str">
        <f>IF(ORCAMENTOS!C939="","",ORCAMENTOS!C939)</f>
        <v/>
      </c>
      <c r="D931" s="37" t="str">
        <f>IF(ORCAMENTOS!D939="","",ORCAMENTOS!D939)</f>
        <v>SO AR CLIMATIZACAO</v>
      </c>
      <c r="E931" s="38" t="str">
        <f>IF(ORCAMENTOS!E939="","",ORCAMENTOS!E939)</f>
        <v>-</v>
      </c>
      <c r="F931" s="37" t="str">
        <f>IF(ORCAMENTOS!G939="","",ORCAMENTOS!G939)</f>
        <v>Gabriel</v>
      </c>
      <c r="G931" s="37" t="str">
        <f>IF(ORCAMENTOS!H939="","",ORCAMENTOS!H939)</f>
        <v>Gabriel</v>
      </c>
      <c r="H931" s="39">
        <f>IF(ORCAMENTOS!I939="","",ORCAMENTOS!I939)</f>
        <v>4120.13</v>
      </c>
      <c r="I931" s="60" t="str">
        <f>IF(ORCAMENTOS!J939="","",ORCAMENTOS!J939)</f>
        <v/>
      </c>
      <c r="J931" s="40" t="str">
        <f>IF(ORCAMENTOS!L939="","",ORCAMENTOS!L939)</f>
        <v>FECHADO</v>
      </c>
      <c r="K931" s="34" t="str">
        <f>IF(ORCAMENTOS!M939="","",ORCAMENTOS!M939)</f>
        <v>-</v>
      </c>
      <c r="L931" t="str">
        <f>IF(ORCAMENTOS!R939="","",ORCAMENTOS!R939)</f>
        <v>-</v>
      </c>
    </row>
    <row r="932" spans="1:12" ht="15.75" hidden="1" customHeight="1" x14ac:dyDescent="0.25">
      <c r="A932" s="36">
        <f>IF(ORCAMENTOS!A940="","",ORCAMENTOS!A940)</f>
        <v>45811</v>
      </c>
      <c r="B932" s="46">
        <f>IF(ORCAMENTOS!B940="","",ORCAMENTOS!B940)</f>
        <v>930</v>
      </c>
      <c r="C932" s="46" t="str">
        <f>IF(ORCAMENTOS!C940="","",ORCAMENTOS!C940)</f>
        <v/>
      </c>
      <c r="D932" s="37" t="str">
        <f>IF(ORCAMENTOS!D940="","",ORCAMENTOS!D940)</f>
        <v>CLIMAPALA</v>
      </c>
      <c r="E932" s="38" t="str">
        <f>IF(ORCAMENTOS!E940="","",ORCAMENTOS!E940)</f>
        <v>WEBEDIA INTERNET BRASIL S.A.</v>
      </c>
      <c r="F932" s="37" t="str">
        <f>IF(ORCAMENTOS!G940="","",ORCAMENTOS!G940)</f>
        <v>Michel</v>
      </c>
      <c r="G932" s="37" t="str">
        <f>IF(ORCAMENTOS!H940="","",ORCAMENTOS!H940)</f>
        <v>Marcio</v>
      </c>
      <c r="H932" s="39">
        <f>IF(ORCAMENTOS!I940="","",ORCAMENTOS!I940)</f>
        <v>4124.99</v>
      </c>
      <c r="I932" s="60" t="str">
        <f>IF(ORCAMENTOS!J940="","",ORCAMENTOS!J940)</f>
        <v/>
      </c>
      <c r="J932" s="40" t="str">
        <f>IF(ORCAMENTOS!L940="","",ORCAMENTOS!L940)</f>
        <v>CANCELADO</v>
      </c>
      <c r="K932" s="34" t="str">
        <f>IF(ORCAMENTOS!M940="","",ORCAMENTOS!M940)</f>
        <v>-</v>
      </c>
      <c r="L932" t="str">
        <f>IF(ORCAMENTOS!R940="","",ORCAMENTOS!R940)</f>
        <v>-</v>
      </c>
    </row>
    <row r="933" spans="1:12" ht="15.75" hidden="1" customHeight="1" x14ac:dyDescent="0.25">
      <c r="A933" s="36">
        <f>IF(ORCAMENTOS!A941="","",ORCAMENTOS!A941)</f>
        <v>45810</v>
      </c>
      <c r="B933" s="46">
        <f>IF(ORCAMENTOS!B941="","",ORCAMENTOS!B941)</f>
        <v>931</v>
      </c>
      <c r="C933" s="46" t="str">
        <f>IF(ORCAMENTOS!C941="","",ORCAMENTOS!C941)</f>
        <v/>
      </c>
      <c r="D933" s="37" t="str">
        <f>IF(ORCAMENTOS!D941="","",ORCAMENTOS!D941)</f>
        <v>ENGEMAC</v>
      </c>
      <c r="E933" s="38" t="str">
        <f>IF(ORCAMENTOS!E941="","",ORCAMENTOS!E941)</f>
        <v>UNIMED - CENTRO DE MEDICINA PREVENTIVA - PIRACICABA - SP</v>
      </c>
      <c r="F933" s="37" t="str">
        <f>IF(ORCAMENTOS!G941="","",ORCAMENTOS!G941)</f>
        <v>Fernando</v>
      </c>
      <c r="G933" s="37" t="str">
        <f>IF(ORCAMENTOS!H941="","",ORCAMENTOS!H941)</f>
        <v>Rodrigo</v>
      </c>
      <c r="H933" s="39">
        <f>IF(ORCAMENTOS!I941="","",ORCAMENTOS!I941)</f>
        <v>94826.22</v>
      </c>
      <c r="I933" s="60" t="str">
        <f>IF(ORCAMENTOS!J941="","",ORCAMENTOS!J941)</f>
        <v/>
      </c>
      <c r="J933" s="40" t="str">
        <f>IF(ORCAMENTOS!L941="","",ORCAMENTOS!L941)</f>
        <v>CANCELADO</v>
      </c>
      <c r="K933" s="34" t="str">
        <f>IF(ORCAMENTOS!M941="","",ORCAMENTOS!M941)</f>
        <v>EM NEGOCIAÇÃO</v>
      </c>
      <c r="L933" t="str">
        <f>IF(ORCAMENTOS!R941="","",ORCAMENTOS!R941)</f>
        <v>MPU</v>
      </c>
    </row>
    <row r="934" spans="1:12" ht="15.75" hidden="1" customHeight="1" x14ac:dyDescent="0.25">
      <c r="A934" s="36">
        <f>IF(ORCAMENTOS!A942="","",ORCAMENTOS!A942)</f>
        <v>45810</v>
      </c>
      <c r="B934" s="46">
        <f>IF(ORCAMENTOS!B942="","",ORCAMENTOS!B942)</f>
        <v>932</v>
      </c>
      <c r="C934" s="46" t="str">
        <f>IF(ORCAMENTOS!C942="","",ORCAMENTOS!C942)</f>
        <v/>
      </c>
      <c r="D934" s="37" t="str">
        <f>IF(ORCAMENTOS!D942="","",ORCAMENTOS!D942)</f>
        <v>MONDARC</v>
      </c>
      <c r="E934" s="38" t="str">
        <f>IF(ORCAMENTOS!E942="","",ORCAMENTOS!E942)</f>
        <v>NIKE RISE - IGUATEMI CAMPINAS</v>
      </c>
      <c r="F934" s="37" t="str">
        <f>IF(ORCAMENTOS!G942="","",ORCAMENTOS!G942)</f>
        <v>Michel</v>
      </c>
      <c r="G934" s="37" t="str">
        <f>IF(ORCAMENTOS!H942="","",ORCAMENTOS!H942)</f>
        <v>Fabiana</v>
      </c>
      <c r="H934" s="39">
        <f>IF(ORCAMENTOS!I942="","",ORCAMENTOS!I942)</f>
        <v>70525.63</v>
      </c>
      <c r="I934" s="60" t="str">
        <f>IF(ORCAMENTOS!J942="","",ORCAMENTOS!J942)</f>
        <v/>
      </c>
      <c r="J934" s="40" t="str">
        <f>IF(ORCAMENTOS!L942="","",ORCAMENTOS!L942)</f>
        <v>CANCELADO</v>
      </c>
      <c r="K934" s="34" t="str">
        <f>IF(ORCAMENTOS!M942="","",ORCAMENTOS!M942)</f>
        <v>FECHADO PELA AIRPLAN</v>
      </c>
      <c r="L934" t="str">
        <f>IF(ORCAMENTOS!R942="","",ORCAMENTOS!R942)</f>
        <v>MPU</v>
      </c>
    </row>
    <row r="935" spans="1:12" ht="15.75" hidden="1" customHeight="1" x14ac:dyDescent="0.25">
      <c r="A935" s="36">
        <f>IF(ORCAMENTOS!A943="","",ORCAMENTOS!A943)</f>
        <v>45810</v>
      </c>
      <c r="B935" s="46">
        <f>IF(ORCAMENTOS!B943="","",ORCAMENTOS!B943)</f>
        <v>933</v>
      </c>
      <c r="C935" s="46" t="str">
        <f>IF(ORCAMENTOS!C943="","",ORCAMENTOS!C943)</f>
        <v/>
      </c>
      <c r="D935" s="37" t="str">
        <f>IF(ORCAMENTOS!D943="","",ORCAMENTOS!D943)</f>
        <v>CACR ENGENHARIA</v>
      </c>
      <c r="E935" s="38" t="str">
        <f>IF(ORCAMENTOS!E943="","",ORCAMENTOS!E943)</f>
        <v>SKIN CHEMICAL</v>
      </c>
      <c r="F935" s="37" t="str">
        <f>IF(ORCAMENTOS!G943="","",ORCAMENTOS!G943)</f>
        <v xml:space="preserve">Aldavir </v>
      </c>
      <c r="G935" s="37" t="str">
        <f>IF(ORCAMENTOS!H943="","",ORCAMENTOS!H943)</f>
        <v>Leonardo</v>
      </c>
      <c r="H935" s="39">
        <f>IF(ORCAMENTOS!I943="","",ORCAMENTOS!I943)</f>
        <v>5427.4</v>
      </c>
      <c r="I935" s="60" t="str">
        <f>IF(ORCAMENTOS!J943="","",ORCAMENTOS!J943)</f>
        <v/>
      </c>
      <c r="J935" s="40" t="str">
        <f>IF(ORCAMENTOS!L943="","",ORCAMENTOS!L943)</f>
        <v>FECHADO</v>
      </c>
      <c r="K935" s="34" t="str">
        <f>IF(ORCAMENTOS!M943="","",ORCAMENTOS!M943)</f>
        <v/>
      </c>
      <c r="L935" t="str">
        <f>IF(ORCAMENTOS!R943="","",ORCAMENTOS!R943)</f>
        <v>-</v>
      </c>
    </row>
    <row r="936" spans="1:12" ht="15.75" hidden="1" customHeight="1" x14ac:dyDescent="0.25">
      <c r="A936" s="36">
        <f>IF(ORCAMENTOS!A944="","",ORCAMENTOS!A944)</f>
        <v>45811</v>
      </c>
      <c r="B936" s="46">
        <f>IF(ORCAMENTOS!B944="","",ORCAMENTOS!B944)</f>
        <v>934</v>
      </c>
      <c r="C936" s="46" t="str">
        <f>IF(ORCAMENTOS!C944="","",ORCAMENTOS!C944)</f>
        <v/>
      </c>
      <c r="D936" s="37" t="str">
        <f>IF(ORCAMENTOS!D944="","",ORCAMENTOS!D944)</f>
        <v>INOVECTOR</v>
      </c>
      <c r="E936" s="38" t="str">
        <f>IF(ORCAMENTOS!E944="","",ORCAMENTOS!E944)</f>
        <v>H. JABAQURA_UTI ADULTO</v>
      </c>
      <c r="F936" s="37" t="str">
        <f>IF(ORCAMENTOS!G944="","",ORCAMENTOS!G944)</f>
        <v>Fernando</v>
      </c>
      <c r="G936" s="37" t="str">
        <f>IF(ORCAMENTOS!H944="","",ORCAMENTOS!H944)</f>
        <v>Cristina</v>
      </c>
      <c r="H936" s="39">
        <f>IF(ORCAMENTOS!I944="","",ORCAMENTOS!I944)</f>
        <v>27191.09</v>
      </c>
      <c r="I936" s="60" t="str">
        <f>IF(ORCAMENTOS!J944="","",ORCAMENTOS!J944)</f>
        <v/>
      </c>
      <c r="J936" s="40" t="str">
        <f>IF(ORCAMENTOS!L944="","",ORCAMENTOS!L944)</f>
        <v>FECHADO</v>
      </c>
      <c r="K936" s="34" t="str">
        <f>IF(ORCAMENTOS!M944="","",ORCAMENTOS!M944)</f>
        <v>AGUARDANDO PEDIDO</v>
      </c>
      <c r="L936" t="str">
        <f>IF(ORCAMENTOS!R944="","",ORCAMENTOS!R944)</f>
        <v>-</v>
      </c>
    </row>
    <row r="937" spans="1:12" ht="15.75" hidden="1" customHeight="1" x14ac:dyDescent="0.25">
      <c r="A937" s="36">
        <f>IF(ORCAMENTOS!A945="","",ORCAMENTOS!A945)</f>
        <v>45811</v>
      </c>
      <c r="B937" s="46">
        <f>IF(ORCAMENTOS!B945="","",ORCAMENTOS!B945)</f>
        <v>935</v>
      </c>
      <c r="C937" s="46" t="str">
        <f>IF(ORCAMENTOS!C945="","",ORCAMENTOS!C945)</f>
        <v/>
      </c>
      <c r="D937" s="37" t="str">
        <f>IF(ORCAMENTOS!D945="","",ORCAMENTOS!D945)</f>
        <v>INOVECTOR</v>
      </c>
      <c r="E937" s="38" t="str">
        <f>IF(ORCAMENTOS!E945="","",ORCAMENTOS!E945)</f>
        <v>HOSP. JABAGUARA_CRIANÇA</v>
      </c>
      <c r="F937" s="37" t="str">
        <f>IF(ORCAMENTOS!G945="","",ORCAMENTOS!G945)</f>
        <v>Fernando</v>
      </c>
      <c r="G937" s="37" t="str">
        <f>IF(ORCAMENTOS!H945="","",ORCAMENTOS!H945)</f>
        <v>Cristina</v>
      </c>
      <c r="H937" s="39">
        <f>IF(ORCAMENTOS!I945="","",ORCAMENTOS!I945)</f>
        <v>38755.370000000003</v>
      </c>
      <c r="I937" s="60" t="str">
        <f>IF(ORCAMENTOS!J945="","",ORCAMENTOS!J945)</f>
        <v/>
      </c>
      <c r="J937" s="40" t="str">
        <f>IF(ORCAMENTOS!L945="","",ORCAMENTOS!L945)</f>
        <v>FECHADO</v>
      </c>
      <c r="K937" s="34" t="str">
        <f>IF(ORCAMENTOS!M945="","",ORCAMENTOS!M945)</f>
        <v>AGUARDANDO PEDIDO</v>
      </c>
      <c r="L937" t="str">
        <f>IF(ORCAMENTOS!R945="","",ORCAMENTOS!R945)</f>
        <v>-</v>
      </c>
    </row>
    <row r="938" spans="1:12" ht="15.75" hidden="1" customHeight="1" x14ac:dyDescent="0.25">
      <c r="A938" s="36">
        <f>IF(ORCAMENTOS!A946="","",ORCAMENTOS!A946)</f>
        <v>45810</v>
      </c>
      <c r="B938" s="46">
        <f>IF(ORCAMENTOS!B946="","",ORCAMENTOS!B946)</f>
        <v>936</v>
      </c>
      <c r="C938" s="46" t="str">
        <f>IF(ORCAMENTOS!C946="","",ORCAMENTOS!C946)</f>
        <v/>
      </c>
      <c r="D938" s="37" t="str">
        <f>IF(ORCAMENTOS!D946="","",ORCAMENTOS!D946)</f>
        <v>LKT AR CONDICIONADO</v>
      </c>
      <c r="E938" s="38" t="str">
        <f>IF(ORCAMENTOS!E946="","",ORCAMENTOS!E946)</f>
        <v>XP - JOÃO PESSOA</v>
      </c>
      <c r="F938" s="37" t="str">
        <f>IF(ORCAMENTOS!G946="","",ORCAMENTOS!G946)</f>
        <v>Fernando</v>
      </c>
      <c r="G938" s="37" t="str">
        <f>IF(ORCAMENTOS!H946="","",ORCAMENTOS!H946)</f>
        <v>Nicolas</v>
      </c>
      <c r="H938" s="39">
        <f>IF(ORCAMENTOS!I946="","",ORCAMENTOS!I946)</f>
        <v>12213.73</v>
      </c>
      <c r="I938" s="60" t="str">
        <f>IF(ORCAMENTOS!J946="","",ORCAMENTOS!J946)</f>
        <v/>
      </c>
      <c r="J938" s="40" t="str">
        <f>IF(ORCAMENTOS!L946="","",ORCAMENTOS!L946)</f>
        <v>CANCELADO</v>
      </c>
      <c r="K938" s="34" t="str">
        <f>IF(ORCAMENTOS!M946="","",ORCAMENTOS!M946)</f>
        <v>-</v>
      </c>
      <c r="L938" t="str">
        <f>IF(ORCAMENTOS!R946="","",ORCAMENTOS!R946)</f>
        <v>-</v>
      </c>
    </row>
    <row r="939" spans="1:12" ht="15.75" hidden="1" customHeight="1" x14ac:dyDescent="0.25">
      <c r="A939" s="36">
        <f>IF(ORCAMENTOS!A947="","",ORCAMENTOS!A947)</f>
        <v>45810</v>
      </c>
      <c r="B939" s="46">
        <f>IF(ORCAMENTOS!B947="","",ORCAMENTOS!B947)</f>
        <v>937</v>
      </c>
      <c r="C939" s="46" t="str">
        <f>IF(ORCAMENTOS!C947="","",ORCAMENTOS!C947)</f>
        <v/>
      </c>
      <c r="D939" s="37" t="str">
        <f>IF(ORCAMENTOS!D947="","",ORCAMENTOS!D947)</f>
        <v>CONFORTO ENGENHARIA</v>
      </c>
      <c r="E939" s="38" t="str">
        <f>IF(ORCAMENTOS!E947="","",ORCAMENTOS!E947)</f>
        <v>HOSP VARZEA PAULISTA</v>
      </c>
      <c r="F939" s="37" t="str">
        <f>IF(ORCAMENTOS!G947="","",ORCAMENTOS!G947)</f>
        <v>Michel</v>
      </c>
      <c r="G939" s="37" t="str">
        <f>IF(ORCAMENTOS!H947="","",ORCAMENTOS!H947)</f>
        <v>Kaine</v>
      </c>
      <c r="H939" s="39">
        <f>IF(ORCAMENTOS!I947="","",ORCAMENTOS!I947)</f>
        <v>47921.53</v>
      </c>
      <c r="I939" s="60" t="str">
        <f>IF(ORCAMENTOS!J947="","",ORCAMENTOS!J947)</f>
        <v/>
      </c>
      <c r="J939" s="40" t="str">
        <f>IF(ORCAMENTOS!L947="","",ORCAMENTOS!L947)</f>
        <v>CANCELADO</v>
      </c>
      <c r="K939" s="34" t="str">
        <f>IF(ORCAMENTOS!M947="","",ORCAMENTOS!M947)</f>
        <v>COMPLEMENTO</v>
      </c>
      <c r="L939" t="str">
        <f>IF(ORCAMENTOS!R947="","",ORCAMENTOS!R947)</f>
        <v>-</v>
      </c>
    </row>
    <row r="940" spans="1:12" ht="15.75" hidden="1" customHeight="1" x14ac:dyDescent="0.25">
      <c r="A940" s="36">
        <f>IF(ORCAMENTOS!A948="","",ORCAMENTOS!A948)</f>
        <v>45810</v>
      </c>
      <c r="B940" s="46">
        <f>IF(ORCAMENTOS!B948="","",ORCAMENTOS!B948)</f>
        <v>938</v>
      </c>
      <c r="C940" s="46" t="str">
        <f>IF(ORCAMENTOS!C948="","",ORCAMENTOS!C948)</f>
        <v/>
      </c>
      <c r="D940" s="37" t="str">
        <f>IF(ORCAMENTOS!D948="","",ORCAMENTOS!D948)</f>
        <v>AWA AR CONDICIONADO</v>
      </c>
      <c r="E940" s="38" t="str">
        <f>IF(ORCAMENTOS!E948="","",ORCAMENTOS!E948)</f>
        <v>-</v>
      </c>
      <c r="F940" s="37" t="str">
        <f>IF(ORCAMENTOS!G948="","",ORCAMENTOS!G948)</f>
        <v>Guilherme</v>
      </c>
      <c r="G940" s="37" t="str">
        <f>IF(ORCAMENTOS!H948="","",ORCAMENTOS!H948)</f>
        <v>Marcela</v>
      </c>
      <c r="H940" s="39">
        <f>IF(ORCAMENTOS!I948="","",ORCAMENTOS!I948)</f>
        <v>4578.76</v>
      </c>
      <c r="I940" s="60" t="str">
        <f>IF(ORCAMENTOS!J948="","",ORCAMENTOS!J948)</f>
        <v/>
      </c>
      <c r="J940" s="40" t="str">
        <f>IF(ORCAMENTOS!L948="","",ORCAMENTOS!L948)</f>
        <v>CANCELADO</v>
      </c>
      <c r="K940" s="34" t="str">
        <f>IF(ORCAMENTOS!M948="","",ORCAMENTOS!M948)</f>
        <v>-</v>
      </c>
      <c r="L940" t="str">
        <f>IF(ORCAMENTOS!R948="","",ORCAMENTOS!R948)</f>
        <v>-</v>
      </c>
    </row>
    <row r="941" spans="1:12" ht="15.75" hidden="1" customHeight="1" x14ac:dyDescent="0.25">
      <c r="A941" s="36">
        <f>IF(ORCAMENTOS!A949="","",ORCAMENTOS!A949)</f>
        <v>45810</v>
      </c>
      <c r="B941" s="46">
        <f>IF(ORCAMENTOS!B949="","",ORCAMENTOS!B949)</f>
        <v>939</v>
      </c>
      <c r="C941" s="46" t="str">
        <f>IF(ORCAMENTOS!C949="","",ORCAMENTOS!C949)</f>
        <v/>
      </c>
      <c r="D941" s="37" t="str">
        <f>IF(ORCAMENTOS!D949="","",ORCAMENTOS!D949)</f>
        <v>AR2 SOLUCOES</v>
      </c>
      <c r="E941" s="38" t="str">
        <f>IF(ORCAMENTOS!E949="","",ORCAMENTOS!E949)</f>
        <v>HAPVIDA - CLINICA TUCURUVI - SP</v>
      </c>
      <c r="F941" s="37" t="str">
        <f>IF(ORCAMENTOS!G949="","",ORCAMENTOS!G949)</f>
        <v>Gabriel</v>
      </c>
      <c r="G941" s="37" t="str">
        <f>IF(ORCAMENTOS!H949="","",ORCAMENTOS!H949)</f>
        <v>Ronilson</v>
      </c>
      <c r="H941" s="39">
        <f>IF(ORCAMENTOS!I949="","",ORCAMENTOS!I949)</f>
        <v>73609.19</v>
      </c>
      <c r="I941" s="60" t="str">
        <f>IF(ORCAMENTOS!J949="","",ORCAMENTOS!J949)</f>
        <v/>
      </c>
      <c r="J941" s="40" t="str">
        <f>IF(ORCAMENTOS!L949="","",ORCAMENTOS!L949)</f>
        <v>CANCELADO</v>
      </c>
      <c r="K941" s="34" t="str">
        <f>IF(ORCAMENTOS!M949="","",ORCAMENTOS!M949)</f>
        <v>-</v>
      </c>
      <c r="L941" t="str">
        <f>IF(ORCAMENTOS!R949="","",ORCAMENTOS!R949)</f>
        <v>-</v>
      </c>
    </row>
    <row r="942" spans="1:12" ht="15.75" hidden="1" customHeight="1" x14ac:dyDescent="0.25">
      <c r="A942" s="36">
        <f>IF(ORCAMENTOS!A950="","",ORCAMENTOS!A950)</f>
        <v>45810</v>
      </c>
      <c r="B942" s="46">
        <f>IF(ORCAMENTOS!B950="","",ORCAMENTOS!B950)</f>
        <v>940</v>
      </c>
      <c r="C942" s="46" t="str">
        <f>IF(ORCAMENTOS!C950="","",ORCAMENTOS!C950)</f>
        <v/>
      </c>
      <c r="D942" s="37" t="str">
        <f>IF(ORCAMENTOS!D950="","",ORCAMENTOS!D950)</f>
        <v>GLACIAL REFRIGERACOES</v>
      </c>
      <c r="E942" s="38" t="str">
        <f>IF(ORCAMENTOS!E950="","",ORCAMENTOS!E950)</f>
        <v>ACADEMIA GAVIOES - VILA MATILDE - SP</v>
      </c>
      <c r="F942" s="37" t="str">
        <f>IF(ORCAMENTOS!G950="","",ORCAMENTOS!G950)</f>
        <v>Fernando</v>
      </c>
      <c r="G942" s="37" t="str">
        <f>IF(ORCAMENTOS!H950="","",ORCAMENTOS!H950)</f>
        <v>Gilvan</v>
      </c>
      <c r="H942" s="39">
        <f>IF(ORCAMENTOS!I950="","",ORCAMENTOS!I950)</f>
        <v>50522</v>
      </c>
      <c r="I942" s="60" t="str">
        <f>IF(ORCAMENTOS!J950="","",ORCAMENTOS!J950)</f>
        <v/>
      </c>
      <c r="J942" s="40" t="str">
        <f>IF(ORCAMENTOS!L950="","",ORCAMENTOS!L950)</f>
        <v>CANCELADO</v>
      </c>
      <c r="K942" s="34" t="str">
        <f>IF(ORCAMENTOS!M950="","",ORCAMENTOS!M950)</f>
        <v>-</v>
      </c>
      <c r="L942" t="str">
        <f>IF(ORCAMENTOS!R950="","",ORCAMENTOS!R950)</f>
        <v>PAINEIS PRE ISOLADOS DE PU</v>
      </c>
    </row>
    <row r="943" spans="1:12" ht="15.75" hidden="1" customHeight="1" x14ac:dyDescent="0.25">
      <c r="A943" s="36">
        <f>IF(ORCAMENTOS!A951="","",ORCAMENTOS!A951)</f>
        <v>45810</v>
      </c>
      <c r="B943" s="46">
        <f>IF(ORCAMENTOS!B951="","",ORCAMENTOS!B951)</f>
        <v>941</v>
      </c>
      <c r="C943" s="46" t="str">
        <f>IF(ORCAMENTOS!C951="","",ORCAMENTOS!C951)</f>
        <v/>
      </c>
      <c r="D943" s="37" t="str">
        <f>IF(ORCAMENTOS!D951="","",ORCAMENTOS!D951)</f>
        <v>EXPANSAO AR</v>
      </c>
      <c r="E943" s="38" t="str">
        <f>IF(ORCAMENTOS!E951="","",ORCAMENTOS!E951)</f>
        <v>EDIFICIO BANDEIRANTES - SAO PAULO - SP</v>
      </c>
      <c r="F943" s="37" t="str">
        <f>IF(ORCAMENTOS!G951="","",ORCAMENTOS!G951)</f>
        <v>Gabriel</v>
      </c>
      <c r="G943" s="37" t="str">
        <f>IF(ORCAMENTOS!H951="","",ORCAMENTOS!H951)</f>
        <v>Natanael</v>
      </c>
      <c r="H943" s="39">
        <f>IF(ORCAMENTOS!I951="","",ORCAMENTOS!I951)</f>
        <v>23567.45</v>
      </c>
      <c r="I943" s="60" t="str">
        <f>IF(ORCAMENTOS!J951="","",ORCAMENTOS!J951)</f>
        <v/>
      </c>
      <c r="J943" s="40" t="str">
        <f>IF(ORCAMENTOS!L951="","",ORCAMENTOS!L951)</f>
        <v>CANCELADO</v>
      </c>
      <c r="K943" s="34" t="str">
        <f>IF(ORCAMENTOS!M951="","",ORCAMENTOS!M951)</f>
        <v>-</v>
      </c>
      <c r="L943" t="str">
        <f>IF(ORCAMENTOS!R951="","",ORCAMENTOS!R951)</f>
        <v>-</v>
      </c>
    </row>
    <row r="944" spans="1:12" ht="15.75" hidden="1" customHeight="1" x14ac:dyDescent="0.25">
      <c r="A944" s="36">
        <f>IF(ORCAMENTOS!A952="","",ORCAMENTOS!A952)</f>
        <v>45810</v>
      </c>
      <c r="B944" s="46">
        <f>IF(ORCAMENTOS!B952="","",ORCAMENTOS!B952)</f>
        <v>942</v>
      </c>
      <c r="C944" s="46" t="str">
        <f>IF(ORCAMENTOS!C952="","",ORCAMENTOS!C952)</f>
        <v/>
      </c>
      <c r="D944" s="37" t="str">
        <f>IF(ORCAMENTOS!D952="","",ORCAMENTOS!D952)</f>
        <v>FL HVAC</v>
      </c>
      <c r="E944" s="38" t="str">
        <f>IF(ORCAMENTOS!E952="","",ORCAMENTOS!E952)</f>
        <v>ESPACO LASER - TAMBORE</v>
      </c>
      <c r="F944" s="37" t="str">
        <f>IF(ORCAMENTOS!G952="","",ORCAMENTOS!G952)</f>
        <v>Guilherme</v>
      </c>
      <c r="G944" s="37" t="str">
        <f>IF(ORCAMENTOS!H952="","",ORCAMENTOS!H952)</f>
        <v>Filipe</v>
      </c>
      <c r="H944" s="39">
        <f>IF(ORCAMENTOS!I952="","",ORCAMENTOS!I952)</f>
        <v>5432</v>
      </c>
      <c r="I944" s="60" t="str">
        <f>IF(ORCAMENTOS!J952="","",ORCAMENTOS!J952)</f>
        <v/>
      </c>
      <c r="J944" s="40" t="str">
        <f>IF(ORCAMENTOS!L952="","",ORCAMENTOS!L952)</f>
        <v>CANCELADO</v>
      </c>
      <c r="K944" s="34" t="str">
        <f>IF(ORCAMENTOS!M952="","",ORCAMENTOS!M952)</f>
        <v>-</v>
      </c>
      <c r="L944" t="str">
        <f>IF(ORCAMENTOS!R952="","",ORCAMENTOS!R952)</f>
        <v>MPU</v>
      </c>
    </row>
    <row r="945" spans="1:12" ht="15.75" hidden="1" customHeight="1" x14ac:dyDescent="0.25">
      <c r="A945" s="36">
        <f>IF(ORCAMENTOS!A953="","",ORCAMENTOS!A953)</f>
        <v>45810</v>
      </c>
      <c r="B945" s="46">
        <f>IF(ORCAMENTOS!B953="","",ORCAMENTOS!B953)</f>
        <v>943</v>
      </c>
      <c r="C945" s="46" t="str">
        <f>IF(ORCAMENTOS!C953="","",ORCAMENTOS!C953)</f>
        <v/>
      </c>
      <c r="D945" s="37" t="str">
        <f>IF(ORCAMENTOS!D953="","",ORCAMENTOS!D953)</f>
        <v>CHRISTAR AR</v>
      </c>
      <c r="E945" s="38" t="str">
        <f>IF(ORCAMENTOS!E953="","",ORCAMENTOS!E953)</f>
        <v>SONY SJC</v>
      </c>
      <c r="F945" s="37" t="str">
        <f>IF(ORCAMENTOS!G953="","",ORCAMENTOS!G953)</f>
        <v xml:space="preserve">Aldavir </v>
      </c>
      <c r="G945" s="37" t="str">
        <f>IF(ORCAMENTOS!H953="","",ORCAMENTOS!H953)</f>
        <v>Anderson</v>
      </c>
      <c r="H945" s="39">
        <f>IF(ORCAMENTOS!I953="","",ORCAMENTOS!I953)</f>
        <v>28547.88</v>
      </c>
      <c r="I945" s="60" t="str">
        <f>IF(ORCAMENTOS!J953="","",ORCAMENTOS!J953)</f>
        <v/>
      </c>
      <c r="J945" s="40" t="str">
        <f>IF(ORCAMENTOS!L953="","",ORCAMENTOS!L953)</f>
        <v>CANCELADO</v>
      </c>
      <c r="K945" s="34" t="str">
        <f>IF(ORCAMENTOS!M953="","",ORCAMENTOS!M953)</f>
        <v/>
      </c>
      <c r="L945" t="str">
        <f>IF(ORCAMENTOS!R953="","",ORCAMENTOS!R953)</f>
        <v>-</v>
      </c>
    </row>
    <row r="946" spans="1:12" ht="15.75" hidden="1" customHeight="1" x14ac:dyDescent="0.25">
      <c r="A946" s="36">
        <f>IF(ORCAMENTOS!A954="","",ORCAMENTOS!A954)</f>
        <v>45812</v>
      </c>
      <c r="B946" s="46">
        <f>IF(ORCAMENTOS!B954="","",ORCAMENTOS!B954)</f>
        <v>944</v>
      </c>
      <c r="C946" s="46" t="str">
        <f>IF(ORCAMENTOS!C954="","",ORCAMENTOS!C954)</f>
        <v/>
      </c>
      <c r="D946" s="37" t="str">
        <f>IF(ORCAMENTOS!D954="","",ORCAMENTOS!D954)</f>
        <v>ARDORO CLIMATIZACAO</v>
      </c>
      <c r="E946" s="38" t="str">
        <f>IF(ORCAMENTOS!E954="","",ORCAMENTOS!E954)</f>
        <v>LANA</v>
      </c>
      <c r="F946" s="37" t="str">
        <f>IF(ORCAMENTOS!G954="","",ORCAMENTOS!G954)</f>
        <v>Emanuel</v>
      </c>
      <c r="G946" s="37" t="str">
        <f>IF(ORCAMENTOS!H954="","",ORCAMENTOS!H954)</f>
        <v>Andre</v>
      </c>
      <c r="H946" s="39">
        <f>IF(ORCAMENTOS!I954="","",ORCAMENTOS!I954)</f>
        <v>1946.07</v>
      </c>
      <c r="I946" s="60" t="str">
        <f>IF(ORCAMENTOS!J954="","",ORCAMENTOS!J954)</f>
        <v/>
      </c>
      <c r="J946" s="40" t="str">
        <f>IF(ORCAMENTOS!L954="","",ORCAMENTOS!L954)</f>
        <v>FECHADO</v>
      </c>
      <c r="K946" s="34" t="str">
        <f>IF(ORCAMENTOS!M954="","",ORCAMENTOS!M954)</f>
        <v>-</v>
      </c>
      <c r="L946" t="str">
        <f>IF(ORCAMENTOS!R954="","",ORCAMENTOS!R954)</f>
        <v>-</v>
      </c>
    </row>
    <row r="947" spans="1:12" ht="15.75" hidden="1" customHeight="1" x14ac:dyDescent="0.25">
      <c r="A947" s="36">
        <f>IF(ORCAMENTOS!A955="","",ORCAMENTOS!A955)</f>
        <v>45811</v>
      </c>
      <c r="B947" s="46">
        <f>IF(ORCAMENTOS!B955="","",ORCAMENTOS!B955)</f>
        <v>945</v>
      </c>
      <c r="C947" s="46" t="str">
        <f>IF(ORCAMENTOS!C955="","",ORCAMENTOS!C955)</f>
        <v/>
      </c>
      <c r="D947" s="37" t="str">
        <f>IF(ORCAMENTOS!D955="","",ORCAMENTOS!D955)</f>
        <v>ENEBRAS</v>
      </c>
      <c r="E947" s="38" t="str">
        <f>IF(ORCAMENTOS!E955="","",ORCAMENTOS!E955)</f>
        <v>HOSPITAL GRAAC - QUIMIOTERAPIA - SÃO PAULO - SP</v>
      </c>
      <c r="F947" s="37" t="str">
        <f>IF(ORCAMENTOS!G955="","",ORCAMENTOS!G955)</f>
        <v>Michel</v>
      </c>
      <c r="G947" s="37" t="str">
        <f>IF(ORCAMENTOS!H955="","",ORCAMENTOS!H955)</f>
        <v>Enzo</v>
      </c>
      <c r="H947" s="39">
        <f>IF(ORCAMENTOS!I955="","",ORCAMENTOS!I955)</f>
        <v>21448.19</v>
      </c>
      <c r="I947" s="60" t="str">
        <f>IF(ORCAMENTOS!J955="","",ORCAMENTOS!J955)</f>
        <v/>
      </c>
      <c r="J947" s="40" t="str">
        <f>IF(ORCAMENTOS!L955="","",ORCAMENTOS!L955)</f>
        <v>CANCELADO</v>
      </c>
      <c r="K947" s="34" t="str">
        <f>IF(ORCAMENTOS!M955="","",ORCAMENTOS!M955)</f>
        <v>-</v>
      </c>
      <c r="L947" t="str">
        <f>IF(ORCAMENTOS!R955="","",ORCAMENTOS!R955)</f>
        <v>-</v>
      </c>
    </row>
    <row r="948" spans="1:12" ht="15.75" hidden="1" customHeight="1" x14ac:dyDescent="0.25">
      <c r="A948" s="36">
        <f>IF(ORCAMENTOS!A956="","",ORCAMENTOS!A956)</f>
        <v>45811</v>
      </c>
      <c r="B948" s="46">
        <f>IF(ORCAMENTOS!B956="","",ORCAMENTOS!B956)</f>
        <v>946</v>
      </c>
      <c r="C948" s="46" t="str">
        <f>IF(ORCAMENTOS!C956="","",ORCAMENTOS!C956)</f>
        <v/>
      </c>
      <c r="D948" s="37" t="str">
        <f>IF(ORCAMENTOS!D956="","",ORCAMENTOS!D956)</f>
        <v>MJ CLIMATIZACAO</v>
      </c>
      <c r="E948" s="38" t="str">
        <f>IF(ORCAMENTOS!E956="","",ORCAMENTOS!E956)</f>
        <v>OBRAMAX - GUARULHOS - SP</v>
      </c>
      <c r="F948" s="37" t="str">
        <f>IF(ORCAMENTOS!G956="","",ORCAMENTOS!G956)</f>
        <v>Emanuel</v>
      </c>
      <c r="G948" s="37" t="str">
        <f>IF(ORCAMENTOS!H956="","",ORCAMENTOS!H956)</f>
        <v>Escobar</v>
      </c>
      <c r="H948" s="39">
        <f>IF(ORCAMENTOS!I956="","",ORCAMENTOS!I956)</f>
        <v>23081.45</v>
      </c>
      <c r="I948" s="60" t="str">
        <f>IF(ORCAMENTOS!J956="","",ORCAMENTOS!J956)</f>
        <v/>
      </c>
      <c r="J948" s="40" t="str">
        <f>IF(ORCAMENTOS!L956="","",ORCAMENTOS!L956)</f>
        <v>CANCELADO</v>
      </c>
      <c r="K948" s="34" t="str">
        <f>IF(ORCAMENTOS!M956="","",ORCAMENTOS!M956)</f>
        <v>-</v>
      </c>
      <c r="L948" t="str">
        <f>IF(ORCAMENTOS!R956="","",ORCAMENTOS!R956)</f>
        <v>N/E</v>
      </c>
    </row>
    <row r="949" spans="1:12" ht="15.75" hidden="1" customHeight="1" x14ac:dyDescent="0.25">
      <c r="A949" s="36">
        <f>IF(ORCAMENTOS!A957="","",ORCAMENTOS!A957)</f>
        <v>45811</v>
      </c>
      <c r="B949" s="46">
        <f>IF(ORCAMENTOS!B957="","",ORCAMENTOS!B957)</f>
        <v>947</v>
      </c>
      <c r="C949" s="46" t="str">
        <f>IF(ORCAMENTOS!C957="","",ORCAMENTOS!C957)</f>
        <v/>
      </c>
      <c r="D949" s="37" t="str">
        <f>IF(ORCAMENTOS!D957="","",ORCAMENTOS!D957)</f>
        <v>NOSSO AR</v>
      </c>
      <c r="E949" s="38" t="str">
        <f>IF(ORCAMENTOS!E957="","",ORCAMENTOS!E957)</f>
        <v>-</v>
      </c>
      <c r="F949" s="37" t="str">
        <f>IF(ORCAMENTOS!G957="","",ORCAMENTOS!G957)</f>
        <v>Gabriel</v>
      </c>
      <c r="G949" s="37" t="str">
        <f>IF(ORCAMENTOS!H957="","",ORCAMENTOS!H957)</f>
        <v>Camila</v>
      </c>
      <c r="H949" s="39">
        <f>IF(ORCAMENTOS!I957="","",ORCAMENTOS!I957)</f>
        <v>7561.39</v>
      </c>
      <c r="I949" s="60" t="str">
        <f>IF(ORCAMENTOS!J957="","",ORCAMENTOS!J957)</f>
        <v/>
      </c>
      <c r="J949" s="40" t="str">
        <f>IF(ORCAMENTOS!L957="","",ORCAMENTOS!L957)</f>
        <v>CANCELADO</v>
      </c>
      <c r="K949" s="34" t="str">
        <f>IF(ORCAMENTOS!M957="","",ORCAMENTOS!M957)</f>
        <v>-</v>
      </c>
      <c r="L949" t="str">
        <f>IF(ORCAMENTOS!R957="","",ORCAMENTOS!R957)</f>
        <v>-</v>
      </c>
    </row>
    <row r="950" spans="1:12" ht="15.75" hidden="1" customHeight="1" x14ac:dyDescent="0.25">
      <c r="A950" s="36">
        <f>IF(ORCAMENTOS!A958="","",ORCAMENTOS!A958)</f>
        <v>45811</v>
      </c>
      <c r="B950" s="46">
        <f>IF(ORCAMENTOS!B958="","",ORCAMENTOS!B958)</f>
        <v>948</v>
      </c>
      <c r="C950" s="46" t="str">
        <f>IF(ORCAMENTOS!C958="","",ORCAMENTOS!C958)</f>
        <v/>
      </c>
      <c r="D950" s="37" t="str">
        <f>IF(ORCAMENTOS!D958="","",ORCAMENTOS!D958)</f>
        <v>NOSSO AR</v>
      </c>
      <c r="E950" s="38" t="str">
        <f>IF(ORCAMENTOS!E958="","",ORCAMENTOS!E958)</f>
        <v>-</v>
      </c>
      <c r="F950" s="37" t="str">
        <f>IF(ORCAMENTOS!G958="","",ORCAMENTOS!G958)</f>
        <v>Gabriel</v>
      </c>
      <c r="G950" s="37" t="str">
        <f>IF(ORCAMENTOS!H958="","",ORCAMENTOS!H958)</f>
        <v>Camila</v>
      </c>
      <c r="H950" s="39">
        <f>IF(ORCAMENTOS!I958="","",ORCAMENTOS!I958)</f>
        <v>19185.75</v>
      </c>
      <c r="I950" s="60" t="str">
        <f>IF(ORCAMENTOS!J958="","",ORCAMENTOS!J958)</f>
        <v/>
      </c>
      <c r="J950" s="40" t="str">
        <f>IF(ORCAMENTOS!L958="","",ORCAMENTOS!L958)</f>
        <v>CANCELADO</v>
      </c>
      <c r="K950" s="34" t="str">
        <f>IF(ORCAMENTOS!M958="","",ORCAMENTOS!M958)</f>
        <v>-</v>
      </c>
      <c r="L950" t="str">
        <f>IF(ORCAMENTOS!R958="","",ORCAMENTOS!R958)</f>
        <v>-</v>
      </c>
    </row>
    <row r="951" spans="1:12" ht="15.75" hidden="1" customHeight="1" x14ac:dyDescent="0.25">
      <c r="A951" s="36">
        <f>IF(ORCAMENTOS!A959="","",ORCAMENTOS!A959)</f>
        <v>45811</v>
      </c>
      <c r="B951" s="46">
        <f>IF(ORCAMENTOS!B959="","",ORCAMENTOS!B959)</f>
        <v>949</v>
      </c>
      <c r="C951" s="46" t="str">
        <f>IF(ORCAMENTOS!C959="","",ORCAMENTOS!C959)</f>
        <v/>
      </c>
      <c r="D951" s="37" t="str">
        <f>IF(ORCAMENTOS!D959="","",ORCAMENTOS!D959)</f>
        <v>PROGERAR</v>
      </c>
      <c r="E951" s="38" t="str">
        <f>IF(ORCAMENTOS!E959="","",ORCAMENTOS!E959)</f>
        <v>FUNDACAO DORINA NOWIL - VILA CLEMENTINO - SP</v>
      </c>
      <c r="F951" s="37" t="str">
        <f>IF(ORCAMENTOS!G959="","",ORCAMENTOS!G959)</f>
        <v>Michel</v>
      </c>
      <c r="G951" s="37" t="str">
        <f>IF(ORCAMENTOS!H959="","",ORCAMENTOS!H959)</f>
        <v>Paulo</v>
      </c>
      <c r="H951" s="39">
        <f>IF(ORCAMENTOS!I959="","",ORCAMENTOS!I959)</f>
        <v>3639.35</v>
      </c>
      <c r="I951" s="60" t="str">
        <f>IF(ORCAMENTOS!J959="","",ORCAMENTOS!J959)</f>
        <v/>
      </c>
      <c r="J951" s="40" t="str">
        <f>IF(ORCAMENTOS!L959="","",ORCAMENTOS!L959)</f>
        <v>CANCELADO</v>
      </c>
      <c r="K951" s="34" t="str">
        <f>IF(ORCAMENTOS!M959="","",ORCAMENTOS!M959)</f>
        <v>-</v>
      </c>
      <c r="L951" t="str">
        <f>IF(ORCAMENTOS!R959="","",ORCAMENTOS!R959)</f>
        <v>-</v>
      </c>
    </row>
    <row r="952" spans="1:12" ht="15.75" hidden="1" customHeight="1" x14ac:dyDescent="0.25">
      <c r="A952" s="36">
        <f>IF(ORCAMENTOS!A960="","",ORCAMENTOS!A960)</f>
        <v>45811</v>
      </c>
      <c r="B952" s="46">
        <f>IF(ORCAMENTOS!B960="","",ORCAMENTOS!B960)</f>
        <v>950</v>
      </c>
      <c r="C952" s="46" t="str">
        <f>IF(ORCAMENTOS!C960="","",ORCAMENTOS!C960)</f>
        <v/>
      </c>
      <c r="D952" s="37" t="str">
        <f>IF(ORCAMENTOS!D960="","",ORCAMENTOS!D960)</f>
        <v>CLIMAPALA</v>
      </c>
      <c r="E952" s="38" t="str">
        <f>IF(ORCAMENTOS!E960="","",ORCAMENTOS!E960)</f>
        <v>WEBEDIA INTERNET BRASIL S.A.</v>
      </c>
      <c r="F952" s="37" t="str">
        <f>IF(ORCAMENTOS!G960="","",ORCAMENTOS!G960)</f>
        <v>Michel</v>
      </c>
      <c r="G952" s="37" t="str">
        <f>IF(ORCAMENTOS!H960="","",ORCAMENTOS!H960)</f>
        <v>Marcio</v>
      </c>
      <c r="H952" s="39">
        <f>IF(ORCAMENTOS!I960="","",ORCAMENTOS!I960)</f>
        <v>20119.400000000001</v>
      </c>
      <c r="I952" s="60" t="str">
        <f>IF(ORCAMENTOS!J960="","",ORCAMENTOS!J960)</f>
        <v/>
      </c>
      <c r="J952" s="40" t="str">
        <f>IF(ORCAMENTOS!L960="","",ORCAMENTOS!L960)</f>
        <v>CANCELADO</v>
      </c>
      <c r="K952" s="34" t="str">
        <f>IF(ORCAMENTOS!M960="","",ORCAMENTOS!M960)</f>
        <v>-</v>
      </c>
      <c r="L952" t="str">
        <f>IF(ORCAMENTOS!R960="","",ORCAMENTOS!R960)</f>
        <v>-</v>
      </c>
    </row>
    <row r="953" spans="1:12" ht="15.75" hidden="1" customHeight="1" x14ac:dyDescent="0.25">
      <c r="A953" s="36">
        <f>IF(ORCAMENTOS!A961="","",ORCAMENTOS!A961)</f>
        <v>45812</v>
      </c>
      <c r="B953" s="46">
        <f>IF(ORCAMENTOS!B961="","",ORCAMENTOS!B961)</f>
        <v>951</v>
      </c>
      <c r="C953" s="46" t="str">
        <f>IF(ORCAMENTOS!C961="","",ORCAMENTOS!C961)</f>
        <v/>
      </c>
      <c r="D953" s="37" t="str">
        <f>IF(ORCAMENTOS!D961="","",ORCAMENTOS!D961)</f>
        <v>SOLUTION CLIMATIZACAO</v>
      </c>
      <c r="E953" s="38" t="str">
        <f>IF(ORCAMENTOS!E961="","",ORCAMENTOS!E961)</f>
        <v>-</v>
      </c>
      <c r="F953" s="37" t="str">
        <f>IF(ORCAMENTOS!G961="","",ORCAMENTOS!G961)</f>
        <v>Gabriel</v>
      </c>
      <c r="G953" s="37" t="str">
        <f>IF(ORCAMENTOS!H961="","",ORCAMENTOS!H961)</f>
        <v>Vinicius</v>
      </c>
      <c r="H953" s="39">
        <f>IF(ORCAMENTOS!I961="","",ORCAMENTOS!I961)</f>
        <v>4939.2299999999996</v>
      </c>
      <c r="I953" s="60" t="str">
        <f>IF(ORCAMENTOS!J961="","",ORCAMENTOS!J961)</f>
        <v/>
      </c>
      <c r="J953" s="40" t="str">
        <f>IF(ORCAMENTOS!L961="","",ORCAMENTOS!L961)</f>
        <v>CANCELADO</v>
      </c>
      <c r="K953" s="34" t="str">
        <f>IF(ORCAMENTOS!M961="","",ORCAMENTOS!M961)</f>
        <v>-</v>
      </c>
      <c r="L953" t="str">
        <f>IF(ORCAMENTOS!R961="","",ORCAMENTOS!R961)</f>
        <v>-</v>
      </c>
    </row>
    <row r="954" spans="1:12" ht="15.75" hidden="1" customHeight="1" x14ac:dyDescent="0.25">
      <c r="A954" s="36">
        <f>IF(ORCAMENTOS!A962="","",ORCAMENTOS!A962)</f>
        <v>45812</v>
      </c>
      <c r="B954" s="46">
        <f>IF(ORCAMENTOS!B962="","",ORCAMENTOS!B962)</f>
        <v>952</v>
      </c>
      <c r="C954" s="46" t="str">
        <f>IF(ORCAMENTOS!C962="","",ORCAMENTOS!C962)</f>
        <v/>
      </c>
      <c r="D954" s="37" t="str">
        <f>IF(ORCAMENTOS!D962="","",ORCAMENTOS!D962)</f>
        <v>FANCOLD SERVICE</v>
      </c>
      <c r="E954" s="38" t="str">
        <f>IF(ORCAMENTOS!E962="","",ORCAMENTOS!E962)</f>
        <v>BAUDUCCO - SALA FERMENTOS E 1 IMPASTO - COMPLEMENTO</v>
      </c>
      <c r="F954" s="37" t="str">
        <f>IF(ORCAMENTOS!G962="","",ORCAMENTOS!G962)</f>
        <v>Michel</v>
      </c>
      <c r="G954" s="37" t="str">
        <f>IF(ORCAMENTOS!H962="","",ORCAMENTOS!H962)</f>
        <v>Emerson</v>
      </c>
      <c r="H954" s="39">
        <f>IF(ORCAMENTOS!I962="","",ORCAMENTOS!I962)</f>
        <v>695.91</v>
      </c>
      <c r="I954" s="60" t="str">
        <f>IF(ORCAMENTOS!J962="","",ORCAMENTOS!J962)</f>
        <v/>
      </c>
      <c r="J954" s="40" t="str">
        <f>IF(ORCAMENTOS!L962="","",ORCAMENTOS!L962)</f>
        <v>FECHADO</v>
      </c>
      <c r="K954" s="34" t="str">
        <f>IF(ORCAMENTOS!M962="","",ORCAMENTOS!M962)</f>
        <v>-</v>
      </c>
      <c r="L954" t="str">
        <f>IF(ORCAMENTOS!R962="","",ORCAMENTOS!R962)</f>
        <v>-</v>
      </c>
    </row>
    <row r="955" spans="1:12" ht="15.75" hidden="1" customHeight="1" x14ac:dyDescent="0.25">
      <c r="A955" s="36">
        <f>IF(ORCAMENTOS!A963="","",ORCAMENTOS!A963)</f>
        <v>45812</v>
      </c>
      <c r="B955" s="46">
        <f>IF(ORCAMENTOS!B963="","",ORCAMENTOS!B963)</f>
        <v>953</v>
      </c>
      <c r="C955" s="46" t="str">
        <f>IF(ORCAMENTOS!C963="","",ORCAMENTOS!C963)</f>
        <v/>
      </c>
      <c r="D955" s="37" t="str">
        <f>IF(ORCAMENTOS!D963="","",ORCAMENTOS!D963)</f>
        <v>GELOMAC</v>
      </c>
      <c r="E955" s="38" t="str">
        <f>IF(ORCAMENTOS!E963="","",ORCAMENTOS!E963)</f>
        <v>SUPERMERCADO FRADE - ILHABELA - SP</v>
      </c>
      <c r="F955" s="37" t="str">
        <f>IF(ORCAMENTOS!G963="","",ORCAMENTOS!G963)</f>
        <v>Gabriel</v>
      </c>
      <c r="G955" s="37" t="str">
        <f>IF(ORCAMENTOS!H963="","",ORCAMENTOS!H963)</f>
        <v>Fabio</v>
      </c>
      <c r="H955" s="39">
        <f>IF(ORCAMENTOS!I963="","",ORCAMENTOS!I963)</f>
        <v>34716.980000000003</v>
      </c>
      <c r="I955" s="60" t="str">
        <f>IF(ORCAMENTOS!J963="","",ORCAMENTOS!J963)</f>
        <v/>
      </c>
      <c r="J955" s="40" t="str">
        <f>IF(ORCAMENTOS!L963="","",ORCAMENTOS!L963)</f>
        <v>FECHADO</v>
      </c>
      <c r="K955" s="34" t="str">
        <f>IF(ORCAMENTOS!M963="","",ORCAMENTOS!M963)</f>
        <v>-</v>
      </c>
      <c r="L955" t="str">
        <f>IF(ORCAMENTOS!R963="","",ORCAMENTOS!R963)</f>
        <v>N/E</v>
      </c>
    </row>
    <row r="956" spans="1:12" ht="15.75" hidden="1" customHeight="1" x14ac:dyDescent="0.25">
      <c r="A956" s="36">
        <f>IF(ORCAMENTOS!A964="","",ORCAMENTOS!A964)</f>
        <v>45811</v>
      </c>
      <c r="B956" s="46">
        <f>IF(ORCAMENTOS!B964="","",ORCAMENTOS!B964)</f>
        <v>954</v>
      </c>
      <c r="C956" s="46" t="str">
        <f>IF(ORCAMENTOS!C964="","",ORCAMENTOS!C964)</f>
        <v/>
      </c>
      <c r="D956" s="37" t="str">
        <f>IF(ORCAMENTOS!D964="","",ORCAMENTOS!D964)</f>
        <v>THERMOPOLO</v>
      </c>
      <c r="E956" s="38" t="str">
        <f>IF(ORCAMENTOS!E964="","",ORCAMENTOS!E964)</f>
        <v>Projeto 009 – São Paulo Surf Club – Fase 02 Clube</v>
      </c>
      <c r="F956" s="37" t="str">
        <f>IF(ORCAMENTOS!G964="","",ORCAMENTOS!G964)</f>
        <v>Gabriel</v>
      </c>
      <c r="G956" s="37" t="str">
        <f>IF(ORCAMENTOS!H964="","",ORCAMENTOS!H964)</f>
        <v>Cecilia</v>
      </c>
      <c r="H956" s="39">
        <f>IF(ORCAMENTOS!I964="","",ORCAMENTOS!I964)</f>
        <v>25427.73</v>
      </c>
      <c r="I956" s="60" t="str">
        <f>IF(ORCAMENTOS!J964="","",ORCAMENTOS!J964)</f>
        <v/>
      </c>
      <c r="J956" s="40" t="str">
        <f>IF(ORCAMENTOS!L964="","",ORCAMENTOS!L964)</f>
        <v>FECHADO</v>
      </c>
      <c r="K956" s="34" t="str">
        <f>IF(ORCAMENTOS!M964="","",ORCAMENTOS!M964)</f>
        <v>-</v>
      </c>
      <c r="L956" t="str">
        <f>IF(ORCAMENTOS!R964="","",ORCAMENTOS!R964)</f>
        <v>-</v>
      </c>
    </row>
    <row r="957" spans="1:12" ht="15.75" hidden="1" customHeight="1" x14ac:dyDescent="0.25">
      <c r="A957" s="36">
        <f>IF(ORCAMENTOS!A965="","",ORCAMENTOS!A965)</f>
        <v>45811</v>
      </c>
      <c r="B957" s="46">
        <f>IF(ORCAMENTOS!B965="","",ORCAMENTOS!B965)</f>
        <v>955</v>
      </c>
      <c r="C957" s="46" t="str">
        <f>IF(ORCAMENTOS!C965="","",ORCAMENTOS!C965)</f>
        <v/>
      </c>
      <c r="D957" s="37" t="str">
        <f>IF(ORCAMENTOS!D965="","",ORCAMENTOS!D965)</f>
        <v>HARC INSTALACOES</v>
      </c>
      <c r="E957" s="38" t="str">
        <f>IF(ORCAMENTOS!E965="","",ORCAMENTOS!E965)</f>
        <v>-</v>
      </c>
      <c r="F957" s="37" t="str">
        <f>IF(ORCAMENTOS!G965="","",ORCAMENTOS!G965)</f>
        <v>Gabriel</v>
      </c>
      <c r="G957" s="37" t="str">
        <f>IF(ORCAMENTOS!H965="","",ORCAMENTOS!H965)</f>
        <v>Vinicius</v>
      </c>
      <c r="H957" s="39">
        <f>IF(ORCAMENTOS!I965="","",ORCAMENTOS!I965)</f>
        <v>5674.46</v>
      </c>
      <c r="I957" s="60" t="str">
        <f>IF(ORCAMENTOS!J965="","",ORCAMENTOS!J965)</f>
        <v/>
      </c>
      <c r="J957" s="40" t="str">
        <f>IF(ORCAMENTOS!L965="","",ORCAMENTOS!L965)</f>
        <v>CANCELADO</v>
      </c>
      <c r="K957" s="34" t="str">
        <f>IF(ORCAMENTOS!M965="","",ORCAMENTOS!M965)</f>
        <v>-</v>
      </c>
      <c r="L957" t="str">
        <f>IF(ORCAMENTOS!R965="","",ORCAMENTOS!R965)</f>
        <v>-</v>
      </c>
    </row>
    <row r="958" spans="1:12" ht="15.75" hidden="1" customHeight="1" x14ac:dyDescent="0.25">
      <c r="A958" s="36">
        <f>IF(ORCAMENTOS!A966="","",ORCAMENTOS!A966)</f>
        <v>45811</v>
      </c>
      <c r="B958" s="46">
        <f>IF(ORCAMENTOS!B966="","",ORCAMENTOS!B966)</f>
        <v>956</v>
      </c>
      <c r="C958" s="46" t="str">
        <f>IF(ORCAMENTOS!C966="","",ORCAMENTOS!C966)</f>
        <v/>
      </c>
      <c r="D958" s="37" t="str">
        <f>IF(ORCAMENTOS!D966="","",ORCAMENTOS!D966)</f>
        <v>ARCON AIR</v>
      </c>
      <c r="E958" s="38" t="str">
        <f>IF(ORCAMENTOS!E966="","",ORCAMENTOS!E966)</f>
        <v>-</v>
      </c>
      <c r="F958" s="37" t="str">
        <f>IF(ORCAMENTOS!G966="","",ORCAMENTOS!G966)</f>
        <v>Michel</v>
      </c>
      <c r="G958" s="37" t="str">
        <f>IF(ORCAMENTOS!H966="","",ORCAMENTOS!H966)</f>
        <v>Camila</v>
      </c>
      <c r="H958" s="39">
        <f>IF(ORCAMENTOS!I966="","",ORCAMENTOS!I966)</f>
        <v>4172.67</v>
      </c>
      <c r="I958" s="60" t="str">
        <f>IF(ORCAMENTOS!J966="","",ORCAMENTOS!J966)</f>
        <v/>
      </c>
      <c r="J958" s="40" t="str">
        <f>IF(ORCAMENTOS!L966="","",ORCAMENTOS!L966)</f>
        <v>FECHADO</v>
      </c>
      <c r="K958" s="34" t="str">
        <f>IF(ORCAMENTOS!M966="","",ORCAMENTOS!M966)</f>
        <v>-</v>
      </c>
      <c r="L958" t="str">
        <f>IF(ORCAMENTOS!R966="","",ORCAMENTOS!R966)</f>
        <v>-</v>
      </c>
    </row>
    <row r="959" spans="1:12" ht="15.75" hidden="1" customHeight="1" x14ac:dyDescent="0.25">
      <c r="A959" s="36">
        <f>IF(ORCAMENTOS!A967="","",ORCAMENTOS!A967)</f>
        <v>45812</v>
      </c>
      <c r="B959" s="46">
        <f>IF(ORCAMENTOS!B967="","",ORCAMENTOS!B967)</f>
        <v>957</v>
      </c>
      <c r="C959" s="46" t="str">
        <f>IF(ORCAMENTOS!C967="","",ORCAMENTOS!C967)</f>
        <v/>
      </c>
      <c r="D959" s="37" t="str">
        <f>IF(ORCAMENTOS!D967="","",ORCAMENTOS!D967)</f>
        <v>MONDARC</v>
      </c>
      <c r="E959" s="38" t="str">
        <f>IF(ORCAMENTOS!E967="","",ORCAMENTOS!E967)</f>
        <v>CENTAURO - SHOPPING RIO PRETO</v>
      </c>
      <c r="F959" s="37" t="str">
        <f>IF(ORCAMENTOS!G967="","",ORCAMENTOS!G967)</f>
        <v>Michel</v>
      </c>
      <c r="G959" s="37" t="str">
        <f>IF(ORCAMENTOS!H967="","",ORCAMENTOS!H967)</f>
        <v>Fabiana</v>
      </c>
      <c r="H959" s="39">
        <f>IF(ORCAMENTOS!I967="","",ORCAMENTOS!I967)</f>
        <v>68021.78</v>
      </c>
      <c r="I959" s="60" t="str">
        <f>IF(ORCAMENTOS!J967="","",ORCAMENTOS!J967)</f>
        <v/>
      </c>
      <c r="J959" s="40" t="str">
        <f>IF(ORCAMENTOS!L967="","",ORCAMENTOS!L967)</f>
        <v>CANCELADO</v>
      </c>
      <c r="K959" s="34" t="str">
        <f>IF(ORCAMENTOS!M967="","",ORCAMENTOS!M967)</f>
        <v>-</v>
      </c>
      <c r="L959" t="str">
        <f>IF(ORCAMENTOS!R967="","",ORCAMENTOS!R967)</f>
        <v>-</v>
      </c>
    </row>
    <row r="960" spans="1:12" ht="15.75" hidden="1" customHeight="1" x14ac:dyDescent="0.25">
      <c r="A960" s="36">
        <f>IF(ORCAMENTOS!A968="","",ORCAMENTOS!A968)</f>
        <v>45812</v>
      </c>
      <c r="B960" s="46">
        <f>IF(ORCAMENTOS!B968="","",ORCAMENTOS!B968)</f>
        <v>958</v>
      </c>
      <c r="C960" s="46" t="str">
        <f>IF(ORCAMENTOS!C968="","",ORCAMENTOS!C968)</f>
        <v/>
      </c>
      <c r="D960" s="37" t="str">
        <f>IF(ORCAMENTOS!D968="","",ORCAMENTOS!D968)</f>
        <v>ADALTA ENGENHARIA</v>
      </c>
      <c r="E960" s="38" t="str">
        <f>IF(ORCAMENTOS!E968="","",ORCAMENTOS!E968)</f>
        <v>Libbs</v>
      </c>
      <c r="F960" s="37" t="str">
        <f>IF(ORCAMENTOS!G968="","",ORCAMENTOS!G968)</f>
        <v>Fernando</v>
      </c>
      <c r="G960" s="37" t="str">
        <f>IF(ORCAMENTOS!H968="","",ORCAMENTOS!H968)</f>
        <v>Otavio</v>
      </c>
      <c r="H960" s="39">
        <f>IF(ORCAMENTOS!I968="","",ORCAMENTOS!I968)</f>
        <v>909.06</v>
      </c>
      <c r="I960" s="60" t="str">
        <f>IF(ORCAMENTOS!J968="","",ORCAMENTOS!J968)</f>
        <v/>
      </c>
      <c r="J960" s="40" t="str">
        <f>IF(ORCAMENTOS!L968="","",ORCAMENTOS!L968)</f>
        <v>CANCELADO</v>
      </c>
      <c r="K960" s="34" t="str">
        <f>IF(ORCAMENTOS!M968="","",ORCAMENTOS!M968)</f>
        <v>PREV JUNHO</v>
      </c>
      <c r="L960" t="str">
        <f>IF(ORCAMENTOS!R968="","",ORCAMENTOS!R968)</f>
        <v>-</v>
      </c>
    </row>
    <row r="961" spans="1:12" ht="15.75" hidden="1" customHeight="1" x14ac:dyDescent="0.25">
      <c r="A961" s="36">
        <f>IF(ORCAMENTOS!A969="","",ORCAMENTOS!A969)</f>
        <v>45812</v>
      </c>
      <c r="B961" s="46">
        <f>IF(ORCAMENTOS!B969="","",ORCAMENTOS!B969)</f>
        <v>959</v>
      </c>
      <c r="C961" s="46" t="str">
        <f>IF(ORCAMENTOS!C969="","",ORCAMENTOS!C969)</f>
        <v/>
      </c>
      <c r="D961" s="37" t="str">
        <f>IF(ORCAMENTOS!D969="","",ORCAMENTOS!D969)</f>
        <v>ERGO ENGENHARIA</v>
      </c>
      <c r="E961" s="38" t="str">
        <f>IF(ORCAMENTOS!E969="","",ORCAMENTOS!E969)</f>
        <v>HOSPITAL DA MULHER E MATERNIDADE ESTADUAL - PALMAS - TO</v>
      </c>
      <c r="F961" s="37" t="str">
        <f>IF(ORCAMENTOS!G969="","",ORCAMENTOS!G969)</f>
        <v xml:space="preserve">Aldavir </v>
      </c>
      <c r="G961" s="37" t="str">
        <f>IF(ORCAMENTOS!H969="","",ORCAMENTOS!H969)</f>
        <v>Genilson</v>
      </c>
      <c r="H961" s="39">
        <f>IF(ORCAMENTOS!I969="","",ORCAMENTOS!I969)</f>
        <v>340056.03</v>
      </c>
      <c r="I961" s="60" t="str">
        <f>IF(ORCAMENTOS!J969="","",ORCAMENTOS!J969)</f>
        <v/>
      </c>
      <c r="J961" s="40" t="str">
        <f>IF(ORCAMENTOS!L969="","",ORCAMENTOS!L969)</f>
        <v>CANCELADO</v>
      </c>
      <c r="K961" s="34" t="str">
        <f>IF(ORCAMENTOS!M969="","",ORCAMENTOS!M969)</f>
        <v>-</v>
      </c>
      <c r="L961" t="str">
        <f>IF(ORCAMENTOS!R969="","",ORCAMENTOS!R969)</f>
        <v>N/E</v>
      </c>
    </row>
    <row r="962" spans="1:12" ht="15.75" hidden="1" customHeight="1" x14ac:dyDescent="0.25">
      <c r="A962" s="36">
        <f>IF(ORCAMENTOS!A970="","",ORCAMENTOS!A970)</f>
        <v>45847</v>
      </c>
      <c r="B962" s="46">
        <f>IF(ORCAMENTOS!B970="","",ORCAMENTOS!B970)</f>
        <v>960</v>
      </c>
      <c r="C962" s="46" t="str">
        <f>IF(ORCAMENTOS!C970="","",ORCAMENTOS!C970)</f>
        <v/>
      </c>
      <c r="D962" s="37" t="str">
        <f>IF(ORCAMENTOS!D970="","",ORCAMENTOS!D970)</f>
        <v>SENSCO</v>
      </c>
      <c r="E962" s="38" t="str">
        <f>IF(ORCAMENTOS!E970="","",ORCAMENTOS!E970)</f>
        <v>UNIMED CAMPINAS</v>
      </c>
      <c r="F962" s="37" t="str">
        <f>IF(ORCAMENTOS!G970="","",ORCAMENTOS!G970)</f>
        <v>Michel</v>
      </c>
      <c r="G962" s="37" t="str">
        <f>IF(ORCAMENTOS!H970="","",ORCAMENTOS!H970)</f>
        <v>Gardner</v>
      </c>
      <c r="H962" s="39">
        <f>IF(ORCAMENTOS!I970="","",ORCAMENTOS!I970)</f>
        <v>13970</v>
      </c>
      <c r="I962" s="60" t="str">
        <f>IF(ORCAMENTOS!J970="","",ORCAMENTOS!J970)</f>
        <v/>
      </c>
      <c r="J962" s="40" t="str">
        <f>IF(ORCAMENTOS!L970="","",ORCAMENTOS!L970)</f>
        <v>PERDIDO</v>
      </c>
      <c r="K962" s="34" t="str">
        <f>IF(ORCAMENTOS!M970="","",ORCAMENTOS!M970)</f>
        <v>MULTIVAC</v>
      </c>
      <c r="L962" t="str">
        <f>IF(ORCAMENTOS!R970="","",ORCAMENTOS!R970)</f>
        <v>-</v>
      </c>
    </row>
    <row r="963" spans="1:12" ht="15.75" hidden="1" customHeight="1" x14ac:dyDescent="0.25">
      <c r="A963" s="36">
        <f>IF(ORCAMENTOS!A971="","",ORCAMENTOS!A971)</f>
        <v>45812</v>
      </c>
      <c r="B963" s="46">
        <f>IF(ORCAMENTOS!B971="","",ORCAMENTOS!B971)</f>
        <v>961</v>
      </c>
      <c r="C963" s="46" t="str">
        <f>IF(ORCAMENTOS!C971="","",ORCAMENTOS!C971)</f>
        <v/>
      </c>
      <c r="D963" s="37" t="str">
        <f>IF(ORCAMENTOS!D971="","",ORCAMENTOS!D971)</f>
        <v>SOLUFARMA</v>
      </c>
      <c r="E963" s="38" t="str">
        <f>IF(ORCAMENTOS!E971="","",ORCAMENTOS!E971)</f>
        <v>Hospital Universitário de Jundiaí SP</v>
      </c>
      <c r="F963" s="37" t="str">
        <f>IF(ORCAMENTOS!G971="","",ORCAMENTOS!G971)</f>
        <v>Gabriel</v>
      </c>
      <c r="G963" s="37" t="str">
        <f>IF(ORCAMENTOS!H971="","",ORCAMENTOS!H971)</f>
        <v>Leticia</v>
      </c>
      <c r="H963" s="39">
        <f>IF(ORCAMENTOS!I971="","",ORCAMENTOS!I971)</f>
        <v>76469.72</v>
      </c>
      <c r="I963" s="60" t="str">
        <f>IF(ORCAMENTOS!J971="","",ORCAMENTOS!J971)</f>
        <v/>
      </c>
      <c r="J963" s="40" t="str">
        <f>IF(ORCAMENTOS!L971="","",ORCAMENTOS!L971)</f>
        <v>CANCELADO</v>
      </c>
      <c r="K963" s="34" t="str">
        <f>IF(ORCAMENTOS!M971="","",ORCAMENTOS!M971)</f>
        <v>-</v>
      </c>
      <c r="L963" t="str">
        <f>IF(ORCAMENTOS!R971="","",ORCAMENTOS!R971)</f>
        <v>-</v>
      </c>
    </row>
    <row r="964" spans="1:12" ht="15.75" hidden="1" customHeight="1" x14ac:dyDescent="0.25">
      <c r="A964" s="36">
        <f>IF(ORCAMENTOS!A972="","",ORCAMENTOS!A972)</f>
        <v>45812</v>
      </c>
      <c r="B964" s="46">
        <f>IF(ORCAMENTOS!B972="","",ORCAMENTOS!B972)</f>
        <v>962</v>
      </c>
      <c r="C964" s="46" t="str">
        <f>IF(ORCAMENTOS!C972="","",ORCAMENTOS!C972)</f>
        <v/>
      </c>
      <c r="D964" s="37" t="str">
        <f>IF(ORCAMENTOS!D972="","",ORCAMENTOS!D972)</f>
        <v>EXAUSTAR</v>
      </c>
      <c r="E964" s="38" t="str">
        <f>IF(ORCAMENTOS!E972="","",ORCAMENTOS!E972)</f>
        <v>BK COMPER - JUCA GUARANA - CUIABA - MT</v>
      </c>
      <c r="F964" s="37" t="str">
        <f>IF(ORCAMENTOS!G972="","",ORCAMENTOS!G972)</f>
        <v>Gabriel</v>
      </c>
      <c r="G964" s="37" t="str">
        <f>IF(ORCAMENTOS!H972="","",ORCAMENTOS!H972)</f>
        <v>Matheus</v>
      </c>
      <c r="H964" s="39">
        <f>IF(ORCAMENTOS!I972="","",ORCAMENTOS!I972)</f>
        <v>19297.72</v>
      </c>
      <c r="I964" s="60" t="str">
        <f>IF(ORCAMENTOS!J972="","",ORCAMENTOS!J972)</f>
        <v/>
      </c>
      <c r="J964" s="40" t="str">
        <f>IF(ORCAMENTOS!L972="","",ORCAMENTOS!L972)</f>
        <v>CANCELADO</v>
      </c>
      <c r="K964" s="34" t="str">
        <f>IF(ORCAMENTOS!M972="","",ORCAMENTOS!M972)</f>
        <v>-</v>
      </c>
      <c r="L964" t="str">
        <f>IF(ORCAMENTOS!R972="","",ORCAMENTOS!R972)</f>
        <v/>
      </c>
    </row>
    <row r="965" spans="1:12" ht="15.75" hidden="1" customHeight="1" x14ac:dyDescent="0.25">
      <c r="A965" s="36">
        <f>IF(ORCAMENTOS!A973="","",ORCAMENTOS!A973)</f>
        <v>45812</v>
      </c>
      <c r="B965" s="46">
        <f>IF(ORCAMENTOS!B973="","",ORCAMENTOS!B973)</f>
        <v>963</v>
      </c>
      <c r="C965" s="46" t="str">
        <f>IF(ORCAMENTOS!C973="","",ORCAMENTOS!C973)</f>
        <v/>
      </c>
      <c r="D965" s="37" t="str">
        <f>IF(ORCAMENTOS!D973="","",ORCAMENTOS!D973)</f>
        <v>HVAC ENGENHARIA</v>
      </c>
      <c r="E965" s="38" t="str">
        <f>IF(ORCAMENTOS!E973="","",ORCAMENTOS!E973)</f>
        <v>-</v>
      </c>
      <c r="F965" s="37" t="str">
        <f>IF(ORCAMENTOS!G973="","",ORCAMENTOS!G973)</f>
        <v>Michel</v>
      </c>
      <c r="G965" s="37" t="str">
        <f>IF(ORCAMENTOS!H973="","",ORCAMENTOS!H973)</f>
        <v>Alvaro</v>
      </c>
      <c r="H965" s="39">
        <f>IF(ORCAMENTOS!I973="","",ORCAMENTOS!I973)</f>
        <v>720.68</v>
      </c>
      <c r="I965" s="60" t="str">
        <f>IF(ORCAMENTOS!J973="","",ORCAMENTOS!J973)</f>
        <v/>
      </c>
      <c r="J965" s="40" t="str">
        <f>IF(ORCAMENTOS!L973="","",ORCAMENTOS!L973)</f>
        <v>FECHADO</v>
      </c>
      <c r="K965" s="34" t="str">
        <f>IF(ORCAMENTOS!M973="","",ORCAMENTOS!M973)</f>
        <v>-</v>
      </c>
      <c r="L965" t="str">
        <f>IF(ORCAMENTOS!R973="","",ORCAMENTOS!R973)</f>
        <v>-</v>
      </c>
    </row>
    <row r="966" spans="1:12" ht="15.75" hidden="1" customHeight="1" x14ac:dyDescent="0.25">
      <c r="A966" s="36">
        <f>IF(ORCAMENTOS!A974="","",ORCAMENTOS!A974)</f>
        <v>45812</v>
      </c>
      <c r="B966" s="46">
        <f>IF(ORCAMENTOS!B974="","",ORCAMENTOS!B974)</f>
        <v>964</v>
      </c>
      <c r="C966" s="46" t="str">
        <f>IF(ORCAMENTOS!C974="","",ORCAMENTOS!C974)</f>
        <v/>
      </c>
      <c r="D966" s="37" t="str">
        <f>IF(ORCAMENTOS!D974="","",ORCAMENTOS!D974)</f>
        <v>FRIOCENTER</v>
      </c>
      <c r="E966" s="38" t="str">
        <f>IF(ORCAMENTOS!E974="","",ORCAMENTOS!E974)</f>
        <v>-</v>
      </c>
      <c r="F966" s="37" t="str">
        <f>IF(ORCAMENTOS!G974="","",ORCAMENTOS!G974)</f>
        <v>Gabriel</v>
      </c>
      <c r="G966" s="37" t="str">
        <f>IF(ORCAMENTOS!H974="","",ORCAMENTOS!H974)</f>
        <v>Fabio</v>
      </c>
      <c r="H966" s="39">
        <f>IF(ORCAMENTOS!I974="","",ORCAMENTOS!I974)</f>
        <v>79654.86</v>
      </c>
      <c r="I966" s="60" t="str">
        <f>IF(ORCAMENTOS!J974="","",ORCAMENTOS!J974)</f>
        <v/>
      </c>
      <c r="J966" s="40" t="str">
        <f>IF(ORCAMENTOS!L974="","",ORCAMENTOS!L974)</f>
        <v>CANCELADO</v>
      </c>
      <c r="K966" s="34" t="str">
        <f>IF(ORCAMENTOS!M974="","",ORCAMENTOS!M974)</f>
        <v>-</v>
      </c>
      <c r="L966" t="str">
        <f>IF(ORCAMENTOS!R974="","",ORCAMENTOS!R974)</f>
        <v>-</v>
      </c>
    </row>
    <row r="967" spans="1:12" ht="15.75" hidden="1" customHeight="1" x14ac:dyDescent="0.25">
      <c r="A967" s="36">
        <f>IF(ORCAMENTOS!A975="","",ORCAMENTOS!A975)</f>
        <v>45812</v>
      </c>
      <c r="B967" s="46">
        <f>IF(ORCAMENTOS!B975="","",ORCAMENTOS!B975)</f>
        <v>965</v>
      </c>
      <c r="C967" s="46" t="str">
        <f>IF(ORCAMENTOS!C975="","",ORCAMENTOS!C975)</f>
        <v/>
      </c>
      <c r="D967" s="37" t="str">
        <f>IF(ORCAMENTOS!D975="","",ORCAMENTOS!D975)</f>
        <v>SEPACO</v>
      </c>
      <c r="E967" s="38" t="str">
        <f>IF(ORCAMENTOS!E975="","",ORCAMENTOS!E975)</f>
        <v>-</v>
      </c>
      <c r="F967" s="37" t="str">
        <f>IF(ORCAMENTOS!G975="","",ORCAMENTOS!G975)</f>
        <v>Gabriel</v>
      </c>
      <c r="G967" s="37" t="str">
        <f>IF(ORCAMENTOS!H975="","",ORCAMENTOS!H975)</f>
        <v>Lenilson</v>
      </c>
      <c r="H967" s="39">
        <f>IF(ORCAMENTOS!I975="","",ORCAMENTOS!I975)</f>
        <v>146.86000000000001</v>
      </c>
      <c r="I967" s="60" t="str">
        <f>IF(ORCAMENTOS!J975="","",ORCAMENTOS!J975)</f>
        <v/>
      </c>
      <c r="J967" s="40" t="str">
        <f>IF(ORCAMENTOS!L975="","",ORCAMENTOS!L975)</f>
        <v>CANCELADO</v>
      </c>
      <c r="K967" s="34" t="str">
        <f>IF(ORCAMENTOS!M975="","",ORCAMENTOS!M975)</f>
        <v>-</v>
      </c>
      <c r="L967" t="str">
        <f>IF(ORCAMENTOS!R975="","",ORCAMENTOS!R975)</f>
        <v>-</v>
      </c>
    </row>
    <row r="968" spans="1:12" ht="15.75" hidden="1" customHeight="1" x14ac:dyDescent="0.25">
      <c r="A968" s="36">
        <f>IF(ORCAMENTOS!A976="","",ORCAMENTOS!A976)</f>
        <v>45813</v>
      </c>
      <c r="B968" s="46">
        <f>IF(ORCAMENTOS!B976="","",ORCAMENTOS!B976)</f>
        <v>966</v>
      </c>
      <c r="C968" s="46" t="str">
        <f>IF(ORCAMENTOS!C976="","",ORCAMENTOS!C976)</f>
        <v/>
      </c>
      <c r="D968" s="37" t="str">
        <f>IF(ORCAMENTOS!D976="","",ORCAMENTOS!D976)</f>
        <v>I4 ENGENHARIA</v>
      </c>
      <c r="E968" s="38" t="str">
        <f>IF(ORCAMENTOS!E976="","",ORCAMENTOS!E976)</f>
        <v>SEL - CAMPINAS / SP</v>
      </c>
      <c r="F968" s="37" t="str">
        <f>IF(ORCAMENTOS!G976="","",ORCAMENTOS!G976)</f>
        <v xml:space="preserve">Aldavir </v>
      </c>
      <c r="G968" s="37" t="str">
        <f>IF(ORCAMENTOS!H976="","",ORCAMENTOS!H976)</f>
        <v>Fabiano</v>
      </c>
      <c r="H968" s="39">
        <f>IF(ORCAMENTOS!I976="","",ORCAMENTOS!I976)</f>
        <v>63621.48</v>
      </c>
      <c r="I968" s="60" t="str">
        <f>IF(ORCAMENTOS!J976="","",ORCAMENTOS!J976)</f>
        <v/>
      </c>
      <c r="J968" s="40" t="str">
        <f>IF(ORCAMENTOS!L976="","",ORCAMENTOS!L976)</f>
        <v>CANCELADO</v>
      </c>
      <c r="K968" s="34" t="str">
        <f>IF(ORCAMENTOS!M976="","",ORCAMENTOS!M976)</f>
        <v/>
      </c>
      <c r="L968" t="str">
        <f>IF(ORCAMENTOS!R976="","",ORCAMENTOS!R976)</f>
        <v>-</v>
      </c>
    </row>
    <row r="969" spans="1:12" ht="15.75" hidden="1" customHeight="1" x14ac:dyDescent="0.25">
      <c r="A969" s="36">
        <f>IF(ORCAMENTOS!A977="","",ORCAMENTOS!A977)</f>
        <v>45813</v>
      </c>
      <c r="B969" s="46">
        <f>IF(ORCAMENTOS!B977="","",ORCAMENTOS!B977)</f>
        <v>967</v>
      </c>
      <c r="C969" s="46" t="str">
        <f>IF(ORCAMENTOS!C977="","",ORCAMENTOS!C977)</f>
        <v/>
      </c>
      <c r="D969" s="37" t="str">
        <f>IF(ORCAMENTOS!D977="","",ORCAMENTOS!D977)</f>
        <v>INOVECTOR</v>
      </c>
      <c r="E969" s="38" t="str">
        <f>IF(ORCAMENTOS!E977="","",ORCAMENTOS!E977)</f>
        <v>STA ISABEL - 3ºAND</v>
      </c>
      <c r="F969" s="37" t="str">
        <f>IF(ORCAMENTOS!G977="","",ORCAMENTOS!G977)</f>
        <v>Fernando</v>
      </c>
      <c r="G969" s="37" t="str">
        <f>IF(ORCAMENTOS!H977="","",ORCAMENTOS!H977)</f>
        <v>Cristina</v>
      </c>
      <c r="H969" s="39">
        <f>IF(ORCAMENTOS!I977="","",ORCAMENTOS!I977)</f>
        <v>98973.73</v>
      </c>
      <c r="I969" s="60" t="str">
        <f>IF(ORCAMENTOS!J977="","",ORCAMENTOS!J977)</f>
        <v/>
      </c>
      <c r="J969" s="40" t="str">
        <f>IF(ORCAMENTOS!L977="","",ORCAMENTOS!L977)</f>
        <v>CANCELADO</v>
      </c>
      <c r="K969" s="34" t="str">
        <f>IF(ORCAMENTOS!M977="","",ORCAMENTOS!M977)</f>
        <v>AGUARDANDO PEDIDO</v>
      </c>
      <c r="L969" t="str">
        <f>IF(ORCAMENTOS!R977="","",ORCAMENTOS!R977)</f>
        <v>-</v>
      </c>
    </row>
    <row r="970" spans="1:12" ht="15.75" hidden="1" customHeight="1" x14ac:dyDescent="0.25">
      <c r="A970" s="36">
        <f>IF(ORCAMENTOS!A978="","",ORCAMENTOS!A978)</f>
        <v>45813</v>
      </c>
      <c r="B970" s="46">
        <f>IF(ORCAMENTOS!B978="","",ORCAMENTOS!B978)</f>
        <v>968</v>
      </c>
      <c r="C970" s="46" t="str">
        <f>IF(ORCAMENTOS!C978="","",ORCAMENTOS!C978)</f>
        <v/>
      </c>
      <c r="D970" s="37" t="str">
        <f>IF(ORCAMENTOS!D978="","",ORCAMENTOS!D978)</f>
        <v>CONSTARCO</v>
      </c>
      <c r="E970" s="38" t="str">
        <f>IF(ORCAMENTOS!E978="","",ORCAMENTOS!E978)</f>
        <v>PREDIO ADMINISTRATIVO - CSC - JARAGUA DO SUL - SC</v>
      </c>
      <c r="F970" s="37" t="str">
        <f>IF(ORCAMENTOS!G978="","",ORCAMENTOS!G978)</f>
        <v>Fernando</v>
      </c>
      <c r="G970" s="37" t="str">
        <f>IF(ORCAMENTOS!H978="","",ORCAMENTOS!H978)</f>
        <v>Francis</v>
      </c>
      <c r="H970" s="39">
        <f>IF(ORCAMENTOS!I978="","",ORCAMENTOS!I978)</f>
        <v>103611.88</v>
      </c>
      <c r="I970" s="60" t="str">
        <f>IF(ORCAMENTOS!J978="","",ORCAMENTOS!J978)</f>
        <v/>
      </c>
      <c r="J970" s="40" t="str">
        <f>IF(ORCAMENTOS!L978="","",ORCAMENTOS!L978)</f>
        <v>PERDIDO</v>
      </c>
      <c r="K970" s="34" t="str">
        <f>IF(ORCAMENTOS!M978="","",ORCAMENTOS!M978)</f>
        <v>CONTINUAÇÃO DA OBRA EM MPU</v>
      </c>
      <c r="L970" t="str">
        <f>IF(ORCAMENTOS!R978="","",ORCAMENTOS!R978)</f>
        <v>N/E</v>
      </c>
    </row>
    <row r="971" spans="1:12" ht="15.75" hidden="1" customHeight="1" x14ac:dyDescent="0.25">
      <c r="A971" s="36">
        <f>IF(ORCAMENTOS!A979="","",ORCAMENTOS!A979)</f>
        <v>45813</v>
      </c>
      <c r="B971" s="46">
        <f>IF(ORCAMENTOS!B979="","",ORCAMENTOS!B979)</f>
        <v>969</v>
      </c>
      <c r="C971" s="46" t="str">
        <f>IF(ORCAMENTOS!C979="","",ORCAMENTOS!C979)</f>
        <v/>
      </c>
      <c r="D971" s="37" t="str">
        <f>IF(ORCAMENTOS!D979="","",ORCAMENTOS!D979)</f>
        <v>AWA AR CONDICIONADO</v>
      </c>
      <c r="E971" s="38" t="str">
        <f>IF(ORCAMENTOS!E979="","",ORCAMENTOS!E979)</f>
        <v>MIX MATEUS - ARAPIRACA - AL</v>
      </c>
      <c r="F971" s="37" t="str">
        <f>IF(ORCAMENTOS!G979="","",ORCAMENTOS!G979)</f>
        <v>Guilherme</v>
      </c>
      <c r="G971" s="37" t="str">
        <f>IF(ORCAMENTOS!H979="","",ORCAMENTOS!H979)</f>
        <v>Guilherme</v>
      </c>
      <c r="H971" s="39">
        <f>IF(ORCAMENTOS!I979="","",ORCAMENTOS!I979)</f>
        <v>240405.89</v>
      </c>
      <c r="I971" s="60" t="str">
        <f>IF(ORCAMENTOS!J979="","",ORCAMENTOS!J979)</f>
        <v/>
      </c>
      <c r="J971" s="40" t="str">
        <f>IF(ORCAMENTOS!L979="","",ORCAMENTOS!L979)</f>
        <v>CANCELADO</v>
      </c>
      <c r="K971" s="34" t="str">
        <f>IF(ORCAMENTOS!M979="","",ORCAMENTOS!M979)</f>
        <v>-</v>
      </c>
      <c r="L971" t="str">
        <f>IF(ORCAMENTOS!R979="","",ORCAMENTOS!R979)</f>
        <v>N/E</v>
      </c>
    </row>
    <row r="972" spans="1:12" ht="15.75" hidden="1" customHeight="1" x14ac:dyDescent="0.25">
      <c r="A972" s="36">
        <f>IF(ORCAMENTOS!A980="","",ORCAMENTOS!A980)</f>
        <v>45814</v>
      </c>
      <c r="B972" s="46">
        <f>IF(ORCAMENTOS!B980="","",ORCAMENTOS!B980)</f>
        <v>970</v>
      </c>
      <c r="C972" s="46" t="str">
        <f>IF(ORCAMENTOS!C980="","",ORCAMENTOS!C980)</f>
        <v/>
      </c>
      <c r="D972" s="37" t="str">
        <f>IF(ORCAMENTOS!D980="","",ORCAMENTOS!D980)</f>
        <v>RECLIMA</v>
      </c>
      <c r="E972" s="38" t="str">
        <f>IF(ORCAMENTOS!E980="","",ORCAMENTOS!E980)</f>
        <v>-</v>
      </c>
      <c r="F972" s="37" t="str">
        <f>IF(ORCAMENTOS!G980="","",ORCAMENTOS!G980)</f>
        <v>Michel</v>
      </c>
      <c r="G972" s="37" t="str">
        <f>IF(ORCAMENTOS!H980="","",ORCAMENTOS!H980)</f>
        <v>Renata</v>
      </c>
      <c r="H972" s="39">
        <f>IF(ORCAMENTOS!I980="","",ORCAMENTOS!I980)</f>
        <v>8658.23</v>
      </c>
      <c r="I972" s="60" t="str">
        <f>IF(ORCAMENTOS!J980="","",ORCAMENTOS!J980)</f>
        <v/>
      </c>
      <c r="J972" s="40" t="str">
        <f>IF(ORCAMENTOS!L980="","",ORCAMENTOS!L980)</f>
        <v>FECHADO</v>
      </c>
      <c r="K972" s="34" t="str">
        <f>IF(ORCAMENTOS!M980="","",ORCAMENTOS!M980)</f>
        <v>-</v>
      </c>
      <c r="L972" t="str">
        <f>IF(ORCAMENTOS!R980="","",ORCAMENTOS!R980)</f>
        <v>-</v>
      </c>
    </row>
    <row r="973" spans="1:12" ht="15.75" hidden="1" customHeight="1" x14ac:dyDescent="0.25">
      <c r="A973" s="36">
        <f>IF(ORCAMENTOS!A981="","",ORCAMENTOS!A981)</f>
        <v>45814</v>
      </c>
      <c r="B973" s="46">
        <f>IF(ORCAMENTOS!B981="","",ORCAMENTOS!B981)</f>
        <v>971</v>
      </c>
      <c r="C973" s="46" t="str">
        <f>IF(ORCAMENTOS!C981="","",ORCAMENTOS!C981)</f>
        <v/>
      </c>
      <c r="D973" s="37" t="str">
        <f>IF(ORCAMENTOS!D981="","",ORCAMENTOS!D981)</f>
        <v>HAITEC</v>
      </c>
      <c r="E973" s="38" t="str">
        <f>IF(ORCAMENTOS!E981="","",ORCAMENTOS!E981)</f>
        <v>VIVO - OSCAR FREIRE - SÃO PAULO - SP</v>
      </c>
      <c r="F973" s="37" t="str">
        <f>IF(ORCAMENTOS!G981="","",ORCAMENTOS!G981)</f>
        <v>Michel</v>
      </c>
      <c r="G973" s="37" t="str">
        <f>IF(ORCAMENTOS!H981="","",ORCAMENTOS!H981)</f>
        <v>Sileide</v>
      </c>
      <c r="H973" s="39">
        <f>IF(ORCAMENTOS!I981="","",ORCAMENTOS!I981)</f>
        <v>25363.22</v>
      </c>
      <c r="I973" s="60" t="str">
        <f>IF(ORCAMENTOS!J981="","",ORCAMENTOS!J981)</f>
        <v/>
      </c>
      <c r="J973" s="40" t="str">
        <f>IF(ORCAMENTOS!L981="","",ORCAMENTOS!L981)</f>
        <v>CANCELADO</v>
      </c>
      <c r="K973" s="34" t="str">
        <f>IF(ORCAMENTOS!M981="","",ORCAMENTOS!M981)</f>
        <v>-</v>
      </c>
      <c r="L973" t="str">
        <f>IF(ORCAMENTOS!R981="","",ORCAMENTOS!R981)</f>
        <v>-</v>
      </c>
    </row>
    <row r="974" spans="1:12" ht="15.75" hidden="1" customHeight="1" x14ac:dyDescent="0.25">
      <c r="A974" s="36">
        <f>IF(ORCAMENTOS!A982="","",ORCAMENTOS!A982)</f>
        <v>45814</v>
      </c>
      <c r="B974" s="46">
        <f>IF(ORCAMENTOS!B982="","",ORCAMENTOS!B982)</f>
        <v>972</v>
      </c>
      <c r="C974" s="46" t="str">
        <f>IF(ORCAMENTOS!C982="","",ORCAMENTOS!C982)</f>
        <v/>
      </c>
      <c r="D974" s="37" t="str">
        <f>IF(ORCAMENTOS!D982="","",ORCAMENTOS!D982)</f>
        <v>HVAC ENGENHARIA</v>
      </c>
      <c r="E974" s="38" t="str">
        <f>IF(ORCAMENTOS!E982="","",ORCAMENTOS!E982)</f>
        <v>SMURF</v>
      </c>
      <c r="F974" s="37" t="str">
        <f>IF(ORCAMENTOS!G982="","",ORCAMENTOS!G982)</f>
        <v>Michel</v>
      </c>
      <c r="G974" s="37" t="str">
        <f>IF(ORCAMENTOS!H982="","",ORCAMENTOS!H982)</f>
        <v>Brunna</v>
      </c>
      <c r="H974" s="39">
        <f>IF(ORCAMENTOS!I982="","",ORCAMENTOS!I982)</f>
        <v>119619.17</v>
      </c>
      <c r="I974" s="60" t="str">
        <f>IF(ORCAMENTOS!J982="","",ORCAMENTOS!J982)</f>
        <v/>
      </c>
      <c r="J974" s="40" t="str">
        <f>IF(ORCAMENTOS!L982="","",ORCAMENTOS!L982)</f>
        <v>FECHADO</v>
      </c>
      <c r="K974" s="34" t="str">
        <f>IF(ORCAMENTOS!M982="","",ORCAMENTOS!M982)</f>
        <v>-</v>
      </c>
      <c r="L974" t="str">
        <f>IF(ORCAMENTOS!R982="","",ORCAMENTOS!R982)</f>
        <v>-</v>
      </c>
    </row>
    <row r="975" spans="1:12" ht="15.75" hidden="1" customHeight="1" x14ac:dyDescent="0.25">
      <c r="A975" s="36">
        <f>IF(ORCAMENTOS!A983="","",ORCAMENTOS!A983)</f>
        <v>45814</v>
      </c>
      <c r="B975" s="46">
        <f>IF(ORCAMENTOS!B983="","",ORCAMENTOS!B983)</f>
        <v>973</v>
      </c>
      <c r="C975" s="46" t="str">
        <f>IF(ORCAMENTOS!C983="","",ORCAMENTOS!C983)</f>
        <v/>
      </c>
      <c r="D975" s="37" t="str">
        <f>IF(ORCAMENTOS!D983="","",ORCAMENTOS!D983)</f>
        <v>BMS ENGENHARIA</v>
      </c>
      <c r="E975" s="38" t="str">
        <f>IF(ORCAMENTOS!E983="","",ORCAMENTOS!E983)</f>
        <v>AUTOGLASS</v>
      </c>
      <c r="F975" s="37" t="str">
        <f>IF(ORCAMENTOS!G983="","",ORCAMENTOS!G983)</f>
        <v>Guilherme</v>
      </c>
      <c r="G975" s="37" t="str">
        <f>IF(ORCAMENTOS!H983="","",ORCAMENTOS!H983)</f>
        <v>Heber</v>
      </c>
      <c r="H975" s="39">
        <f>IF(ORCAMENTOS!I983="","",ORCAMENTOS!I983)</f>
        <v>94142.55</v>
      </c>
      <c r="I975" s="60" t="str">
        <f>IF(ORCAMENTOS!J983="","",ORCAMENTOS!J983)</f>
        <v/>
      </c>
      <c r="J975" s="40" t="str">
        <f>IF(ORCAMENTOS!L983="","",ORCAMENTOS!L983)</f>
        <v>CANCELADO</v>
      </c>
      <c r="K975" s="34" t="str">
        <f>IF(ORCAMENTOS!M983="","",ORCAMENTOS!M983)</f>
        <v>SUBSTITUIDO</v>
      </c>
      <c r="L975" t="str">
        <f>IF(ORCAMENTOS!R983="","",ORCAMENTOS!R983)</f>
        <v>-</v>
      </c>
    </row>
    <row r="976" spans="1:12" ht="15.75" hidden="1" customHeight="1" x14ac:dyDescent="0.25">
      <c r="A976" s="36">
        <f>IF(ORCAMENTOS!A984="","",ORCAMENTOS!A984)</f>
        <v>45814</v>
      </c>
      <c r="B976" s="46">
        <f>IF(ORCAMENTOS!B984="","",ORCAMENTOS!B984)</f>
        <v>974</v>
      </c>
      <c r="C976" s="46" t="str">
        <f>IF(ORCAMENTOS!C984="","",ORCAMENTOS!C984)</f>
        <v/>
      </c>
      <c r="D976" s="37" t="str">
        <f>IF(ORCAMENTOS!D984="","",ORCAMENTOS!D984)</f>
        <v>ADRIATIC</v>
      </c>
      <c r="E976" s="38" t="str">
        <f>IF(ORCAMENTOS!E984="","",ORCAMENTOS!E984)</f>
        <v>SANTANDER CAMPINAS - LADO A DC NORTE</v>
      </c>
      <c r="F976" s="37" t="str">
        <f>IF(ORCAMENTOS!G984="","",ORCAMENTOS!G984)</f>
        <v>Emanuel</v>
      </c>
      <c r="G976" s="37" t="str">
        <f>IF(ORCAMENTOS!H984="","",ORCAMENTOS!H984)</f>
        <v>Carlos</v>
      </c>
      <c r="H976" s="39">
        <f>IF(ORCAMENTOS!I984="","",ORCAMENTOS!I984)</f>
        <v>16495.2</v>
      </c>
      <c r="I976" s="60" t="str">
        <f>IF(ORCAMENTOS!J984="","",ORCAMENTOS!J984)</f>
        <v/>
      </c>
      <c r="J976" s="40" t="str">
        <f>IF(ORCAMENTOS!L984="","",ORCAMENTOS!L984)</f>
        <v>FECHADO</v>
      </c>
      <c r="K976" s="34" t="str">
        <f>IF(ORCAMENTOS!M984="","",ORCAMENTOS!M984)</f>
        <v>-</v>
      </c>
      <c r="L976" t="str">
        <f>IF(ORCAMENTOS!R984="","",ORCAMENTOS!R984)</f>
        <v>-</v>
      </c>
    </row>
    <row r="977" spans="1:12" ht="15.75" hidden="1" customHeight="1" x14ac:dyDescent="0.25">
      <c r="A977" s="36">
        <f>IF(ORCAMENTOS!A985="","",ORCAMENTOS!A985)</f>
        <v>45814</v>
      </c>
      <c r="B977" s="46">
        <f>IF(ORCAMENTOS!B985="","",ORCAMENTOS!B985)</f>
        <v>975</v>
      </c>
      <c r="C977" s="46" t="str">
        <f>IF(ORCAMENTOS!C985="","",ORCAMENTOS!C985)</f>
        <v/>
      </c>
      <c r="D977" s="37" t="str">
        <f>IF(ORCAMENTOS!D985="","",ORCAMENTOS!D985)</f>
        <v>CESTAC</v>
      </c>
      <c r="E977" s="38" t="str">
        <f>IF(ORCAMENTOS!E985="","",ORCAMENTOS!E985)</f>
        <v>-</v>
      </c>
      <c r="F977" s="37" t="str">
        <f>IF(ORCAMENTOS!G985="","",ORCAMENTOS!G985)</f>
        <v>Michel</v>
      </c>
      <c r="G977" s="37" t="str">
        <f>IF(ORCAMENTOS!H985="","",ORCAMENTOS!H985)</f>
        <v>Eduardo</v>
      </c>
      <c r="H977" s="39">
        <f>IF(ORCAMENTOS!I985="","",ORCAMENTOS!I985)</f>
        <v>9078.15</v>
      </c>
      <c r="I977" s="60" t="str">
        <f>IF(ORCAMENTOS!J985="","",ORCAMENTOS!J985)</f>
        <v/>
      </c>
      <c r="J977" s="40" t="str">
        <f>IF(ORCAMENTOS!L985="","",ORCAMENTOS!L985)</f>
        <v>CANCELADO</v>
      </c>
      <c r="K977" s="34" t="str">
        <f>IF(ORCAMENTOS!M985="","",ORCAMENTOS!M985)</f>
        <v>-</v>
      </c>
      <c r="L977" t="str">
        <f>IF(ORCAMENTOS!R985="","",ORCAMENTOS!R985)</f>
        <v>-</v>
      </c>
    </row>
    <row r="978" spans="1:12" ht="15.75" hidden="1" customHeight="1" x14ac:dyDescent="0.25">
      <c r="A978" s="36">
        <f>IF(ORCAMENTOS!A986="","",ORCAMENTOS!A986)</f>
        <v>45814</v>
      </c>
      <c r="B978" s="46">
        <f>IF(ORCAMENTOS!B986="","",ORCAMENTOS!B986)</f>
        <v>976</v>
      </c>
      <c r="C978" s="46" t="str">
        <f>IF(ORCAMENTOS!C986="","",ORCAMENTOS!C986)</f>
        <v/>
      </c>
      <c r="D978" s="37" t="str">
        <f>IF(ORCAMENTOS!D986="","",ORCAMENTOS!D986)</f>
        <v>FL HVAC</v>
      </c>
      <c r="E978" s="38" t="str">
        <f>IF(ORCAMENTOS!E986="","",ORCAMENTOS!E986)</f>
        <v>HAPVIDA - TATUAPE - SP</v>
      </c>
      <c r="F978" s="37" t="str">
        <f>IF(ORCAMENTOS!G986="","",ORCAMENTOS!G986)</f>
        <v>Guilherme</v>
      </c>
      <c r="G978" s="37" t="str">
        <f>IF(ORCAMENTOS!H986="","",ORCAMENTOS!H986)</f>
        <v>Alessandra</v>
      </c>
      <c r="H978" s="39">
        <f>IF(ORCAMENTOS!I986="","",ORCAMENTOS!I986)</f>
        <v>116277.61</v>
      </c>
      <c r="I978" s="60" t="str">
        <f>IF(ORCAMENTOS!J986="","",ORCAMENTOS!J986)</f>
        <v/>
      </c>
      <c r="J978" s="40" t="str">
        <f>IF(ORCAMENTOS!L986="","",ORCAMENTOS!L986)</f>
        <v>CANCELADO</v>
      </c>
      <c r="K978" s="34" t="str">
        <f>IF(ORCAMENTOS!M986="","",ORCAMENTOS!M986)</f>
        <v>PREV SETEMBRO</v>
      </c>
      <c r="L978" t="str">
        <f>IF(ORCAMENTOS!R986="","",ORCAMENTOS!R986)</f>
        <v>-</v>
      </c>
    </row>
    <row r="979" spans="1:12" ht="15.75" hidden="1" customHeight="1" x14ac:dyDescent="0.25">
      <c r="A979" s="36">
        <f>IF(ORCAMENTOS!A987="","",ORCAMENTOS!A987)</f>
        <v>45814</v>
      </c>
      <c r="B979" s="46">
        <f>IF(ORCAMENTOS!B987="","",ORCAMENTOS!B987)</f>
        <v>977</v>
      </c>
      <c r="C979" s="46" t="str">
        <f>IF(ORCAMENTOS!C987="","",ORCAMENTOS!C987)</f>
        <v/>
      </c>
      <c r="D979" s="37" t="str">
        <f>IF(ORCAMENTOS!D987="","",ORCAMENTOS!D987)</f>
        <v>AFRIOTHERM</v>
      </c>
      <c r="E979" s="38" t="str">
        <f>IF(ORCAMENTOS!E987="","",ORCAMENTOS!E987)</f>
        <v>GOLDEN WEST LINS</v>
      </c>
      <c r="F979" s="37" t="str">
        <f>IF(ORCAMENTOS!G987="","",ORCAMENTOS!G987)</f>
        <v>Emanuel</v>
      </c>
      <c r="G979" s="37" t="str">
        <f>IF(ORCAMENTOS!H987="","",ORCAMENTOS!H987)</f>
        <v>Iara</v>
      </c>
      <c r="H979" s="39">
        <f>IF(ORCAMENTOS!I987="","",ORCAMENTOS!I987)</f>
        <v>81101.7</v>
      </c>
      <c r="I979" s="60" t="str">
        <f>IF(ORCAMENTOS!J987="","",ORCAMENTOS!J987)</f>
        <v/>
      </c>
      <c r="J979" s="40" t="str">
        <f>IF(ORCAMENTOS!L987="","",ORCAMENTOS!L987)</f>
        <v>CANCELADO</v>
      </c>
      <c r="K979" s="34" t="str">
        <f>IF(ORCAMENTOS!M987="","",ORCAMENTOS!M987)</f>
        <v>-</v>
      </c>
      <c r="L979" t="str">
        <f>IF(ORCAMENTOS!R987="","",ORCAMENTOS!R987)</f>
        <v>-</v>
      </c>
    </row>
    <row r="980" spans="1:12" ht="15.75" hidden="1" customHeight="1" x14ac:dyDescent="0.25">
      <c r="A980" s="36">
        <f>IF(ORCAMENTOS!A988="","",ORCAMENTOS!A988)</f>
        <v>45814</v>
      </c>
      <c r="B980" s="46">
        <f>IF(ORCAMENTOS!B988="","",ORCAMENTOS!B988)</f>
        <v>978</v>
      </c>
      <c r="C980" s="46" t="str">
        <f>IF(ORCAMENTOS!C988="","",ORCAMENTOS!C988)</f>
        <v/>
      </c>
      <c r="D980" s="37" t="str">
        <f>IF(ORCAMENTOS!D988="","",ORCAMENTOS!D988)</f>
        <v>AIRLIX</v>
      </c>
      <c r="E980" s="38" t="str">
        <f>IF(ORCAMENTOS!E988="","",ORCAMENTOS!E988)</f>
        <v>OHANA BEACH PARK RESORT</v>
      </c>
      <c r="F980" s="37" t="str">
        <f>IF(ORCAMENTOS!G988="","",ORCAMENTOS!G988)</f>
        <v>Michel</v>
      </c>
      <c r="G980" s="37" t="str">
        <f>IF(ORCAMENTOS!H988="","",ORCAMENTOS!H988)</f>
        <v>Monica</v>
      </c>
      <c r="H980" s="39">
        <f>IF(ORCAMENTOS!I988="","",ORCAMENTOS!I988)</f>
        <v>5329.59</v>
      </c>
      <c r="I980" s="60" t="str">
        <f>IF(ORCAMENTOS!J988="","",ORCAMENTOS!J988)</f>
        <v/>
      </c>
      <c r="J980" s="40" t="str">
        <f>IF(ORCAMENTOS!L988="","",ORCAMENTOS!L988)</f>
        <v>CANCELADO</v>
      </c>
      <c r="K980" s="34" t="str">
        <f>IF(ORCAMENTOS!M988="","",ORCAMENTOS!M988)</f>
        <v>-</v>
      </c>
      <c r="L980" t="str">
        <f>IF(ORCAMENTOS!R988="","",ORCAMENTOS!R988)</f>
        <v>N/E</v>
      </c>
    </row>
    <row r="981" spans="1:12" ht="15.75" hidden="1" customHeight="1" x14ac:dyDescent="0.25">
      <c r="A981" s="36">
        <f>IF(ORCAMENTOS!A989="","",ORCAMENTOS!A989)</f>
        <v>45814</v>
      </c>
      <c r="B981" s="46">
        <f>IF(ORCAMENTOS!B989="","",ORCAMENTOS!B989)</f>
        <v>979</v>
      </c>
      <c r="C981" s="46" t="str">
        <f>IF(ORCAMENTOS!C989="","",ORCAMENTOS!C989)</f>
        <v/>
      </c>
      <c r="D981" s="37" t="str">
        <f>IF(ORCAMENTOS!D989="","",ORCAMENTOS!D989)</f>
        <v>SAUK ENGENHARIA</v>
      </c>
      <c r="E981" s="38" t="str">
        <f>IF(ORCAMENTOS!E989="","",ORCAMENTOS!E989)</f>
        <v>-</v>
      </c>
      <c r="F981" s="37" t="str">
        <f>IF(ORCAMENTOS!G989="","",ORCAMENTOS!G989)</f>
        <v>Gabriel</v>
      </c>
      <c r="G981" s="37" t="str">
        <f>IF(ORCAMENTOS!H989="","",ORCAMENTOS!H989)</f>
        <v>Luis</v>
      </c>
      <c r="H981" s="39">
        <f>IF(ORCAMENTOS!I989="","",ORCAMENTOS!I989)</f>
        <v>1809.15</v>
      </c>
      <c r="I981" s="60" t="str">
        <f>IF(ORCAMENTOS!J989="","",ORCAMENTOS!J989)</f>
        <v/>
      </c>
      <c r="J981" s="40" t="str">
        <f>IF(ORCAMENTOS!L989="","",ORCAMENTOS!L989)</f>
        <v>FECHADO</v>
      </c>
      <c r="K981" s="34" t="str">
        <f>IF(ORCAMENTOS!M989="","",ORCAMENTOS!M989)</f>
        <v>-</v>
      </c>
      <c r="L981" t="str">
        <f>IF(ORCAMENTOS!R989="","",ORCAMENTOS!R989)</f>
        <v>-</v>
      </c>
    </row>
    <row r="982" spans="1:12" ht="15.75" hidden="1" customHeight="1" x14ac:dyDescent="0.25">
      <c r="A982" s="36">
        <f>IF(ORCAMENTOS!A990="","",ORCAMENTOS!A990)</f>
        <v>45814</v>
      </c>
      <c r="B982" s="46">
        <f>IF(ORCAMENTOS!B990="","",ORCAMENTOS!B990)</f>
        <v>980</v>
      </c>
      <c r="C982" s="46" t="str">
        <f>IF(ORCAMENTOS!C990="","",ORCAMENTOS!C990)</f>
        <v/>
      </c>
      <c r="D982" s="37" t="str">
        <f>IF(ORCAMENTOS!D990="","",ORCAMENTOS!D990)</f>
        <v>HVAC ENGENHARIA</v>
      </c>
      <c r="E982" s="38" t="str">
        <f>IF(ORCAMENTOS!E990="","",ORCAMENTOS!E990)</f>
        <v>-</v>
      </c>
      <c r="F982" s="37" t="str">
        <f>IF(ORCAMENTOS!G990="","",ORCAMENTOS!G990)</f>
        <v>Michel</v>
      </c>
      <c r="G982" s="37" t="str">
        <f>IF(ORCAMENTOS!H990="","",ORCAMENTOS!H990)</f>
        <v>Alvaro</v>
      </c>
      <c r="H982" s="39">
        <f>IF(ORCAMENTOS!I990="","",ORCAMENTOS!I990)</f>
        <v>10277.92</v>
      </c>
      <c r="I982" s="60" t="str">
        <f>IF(ORCAMENTOS!J990="","",ORCAMENTOS!J990)</f>
        <v/>
      </c>
      <c r="J982" s="40" t="str">
        <f>IF(ORCAMENTOS!L990="","",ORCAMENTOS!L990)</f>
        <v>PERDIDO</v>
      </c>
      <c r="K982" s="34" t="str">
        <f>IF(ORCAMENTOS!M990="","",ORCAMENTOS!M990)</f>
        <v>PERDIDO ARCOTEC</v>
      </c>
      <c r="L982" t="str">
        <f>IF(ORCAMENTOS!R990="","",ORCAMENTOS!R990)</f>
        <v>-</v>
      </c>
    </row>
    <row r="983" spans="1:12" ht="15.75" hidden="1" customHeight="1" x14ac:dyDescent="0.25">
      <c r="A983" s="36">
        <f>IF(ORCAMENTOS!A991="","",ORCAMENTOS!A991)</f>
        <v>45817</v>
      </c>
      <c r="B983" s="46">
        <f>IF(ORCAMENTOS!B991="","",ORCAMENTOS!B991)</f>
        <v>981</v>
      </c>
      <c r="C983" s="46" t="str">
        <f>IF(ORCAMENTOS!C991="","",ORCAMENTOS!C991)</f>
        <v/>
      </c>
      <c r="D983" s="37" t="str">
        <f>IF(ORCAMENTOS!D991="","",ORCAMENTOS!D991)</f>
        <v>CESTAC</v>
      </c>
      <c r="E983" s="38" t="str">
        <f>IF(ORCAMENTOS!E991="","",ORCAMENTOS!E991)</f>
        <v>-</v>
      </c>
      <c r="F983" s="37" t="str">
        <f>IF(ORCAMENTOS!G991="","",ORCAMENTOS!G991)</f>
        <v>Michel</v>
      </c>
      <c r="G983" s="37" t="str">
        <f>IF(ORCAMENTOS!H991="","",ORCAMENTOS!H991)</f>
        <v>Eduardo</v>
      </c>
      <c r="H983" s="39">
        <f>IF(ORCAMENTOS!I991="","",ORCAMENTOS!I991)</f>
        <v>9078.15</v>
      </c>
      <c r="I983" s="60" t="str">
        <f>IF(ORCAMENTOS!J991="","",ORCAMENTOS!J991)</f>
        <v/>
      </c>
      <c r="J983" s="40" t="str">
        <f>IF(ORCAMENTOS!L991="","",ORCAMENTOS!L991)</f>
        <v>CANCELADO</v>
      </c>
      <c r="K983" s="34" t="str">
        <f>IF(ORCAMENTOS!M991="","",ORCAMENTOS!M991)</f>
        <v>-</v>
      </c>
      <c r="L983" t="str">
        <f>IF(ORCAMENTOS!R991="","",ORCAMENTOS!R991)</f>
        <v>-</v>
      </c>
    </row>
    <row r="984" spans="1:12" ht="15.75" hidden="1" customHeight="1" x14ac:dyDescent="0.25">
      <c r="A984" s="36">
        <f>IF(ORCAMENTOS!A992="","",ORCAMENTOS!A992)</f>
        <v>45817</v>
      </c>
      <c r="B984" s="46">
        <f>IF(ORCAMENTOS!B992="","",ORCAMENTOS!B992)</f>
        <v>982</v>
      </c>
      <c r="C984" s="46" t="str">
        <f>IF(ORCAMENTOS!C992="","",ORCAMENTOS!C992)</f>
        <v/>
      </c>
      <c r="D984" s="37" t="str">
        <f>IF(ORCAMENTOS!D992="","",ORCAMENTOS!D992)</f>
        <v>PRINSTARC</v>
      </c>
      <c r="E984" s="38" t="str">
        <f>IF(ORCAMENTOS!E992="","",ORCAMENTOS!E992)</f>
        <v>-</v>
      </c>
      <c r="F984" s="37" t="str">
        <f>IF(ORCAMENTOS!G992="","",ORCAMENTOS!G992)</f>
        <v>Gabriel</v>
      </c>
      <c r="G984" s="37" t="str">
        <f>IF(ORCAMENTOS!H992="","",ORCAMENTOS!H992)</f>
        <v>Glauco</v>
      </c>
      <c r="H984" s="39">
        <f>IF(ORCAMENTOS!I992="","",ORCAMENTOS!I992)</f>
        <v>127027.2</v>
      </c>
      <c r="I984" s="60" t="str">
        <f>IF(ORCAMENTOS!J992="","",ORCAMENTOS!J992)</f>
        <v/>
      </c>
      <c r="J984" s="40" t="str">
        <f>IF(ORCAMENTOS!L992="","",ORCAMENTOS!L992)</f>
        <v>CANCELADO</v>
      </c>
      <c r="K984" s="34" t="str">
        <f>IF(ORCAMENTOS!M992="","",ORCAMENTOS!M992)</f>
        <v>-</v>
      </c>
      <c r="L984" t="str">
        <f>IF(ORCAMENTOS!R992="","",ORCAMENTOS!R992)</f>
        <v>-</v>
      </c>
    </row>
    <row r="985" spans="1:12" ht="15.75" hidden="1" customHeight="1" x14ac:dyDescent="0.25">
      <c r="A985" s="36">
        <f>IF(ORCAMENTOS!A993="","",ORCAMENTOS!A993)</f>
        <v>45817</v>
      </c>
      <c r="B985" s="46">
        <f>IF(ORCAMENTOS!B993="","",ORCAMENTOS!B993)</f>
        <v>983</v>
      </c>
      <c r="C985" s="46" t="str">
        <f>IF(ORCAMENTOS!C993="","",ORCAMENTOS!C993)</f>
        <v/>
      </c>
      <c r="D985" s="37" t="str">
        <f>IF(ORCAMENTOS!D993="","",ORCAMENTOS!D993)</f>
        <v>AIR SOLUTION</v>
      </c>
      <c r="E985" s="38" t="str">
        <f>IF(ORCAMENTOS!E993="","",ORCAMENTOS!E993)</f>
        <v>-</v>
      </c>
      <c r="F985" s="37" t="str">
        <f>IF(ORCAMENTOS!G993="","",ORCAMENTOS!G993)</f>
        <v>Gabriel</v>
      </c>
      <c r="G985" s="37" t="str">
        <f>IF(ORCAMENTOS!H993="","",ORCAMENTOS!H993)</f>
        <v>Fernando</v>
      </c>
      <c r="H985" s="39">
        <f>IF(ORCAMENTOS!I993="","",ORCAMENTOS!I993)</f>
        <v>40.020000000000003</v>
      </c>
      <c r="I985" s="60" t="str">
        <f>IF(ORCAMENTOS!J993="","",ORCAMENTOS!J993)</f>
        <v/>
      </c>
      <c r="J985" s="40" t="str">
        <f>IF(ORCAMENTOS!L993="","",ORCAMENTOS!L993)</f>
        <v>CANCELADO</v>
      </c>
      <c r="K985" s="34" t="str">
        <f>IF(ORCAMENTOS!M993="","",ORCAMENTOS!M993)</f>
        <v>-</v>
      </c>
      <c r="L985" t="str">
        <f>IF(ORCAMENTOS!R993="","",ORCAMENTOS!R993)</f>
        <v>-</v>
      </c>
    </row>
    <row r="986" spans="1:12" ht="15.75" hidden="1" customHeight="1" x14ac:dyDescent="0.25">
      <c r="A986" s="36">
        <f>IF(ORCAMENTOS!A994="","",ORCAMENTOS!A994)</f>
        <v>45817</v>
      </c>
      <c r="B986" s="46">
        <f>IF(ORCAMENTOS!B994="","",ORCAMENTOS!B994)</f>
        <v>984</v>
      </c>
      <c r="C986" s="46" t="str">
        <f>IF(ORCAMENTOS!C994="","",ORCAMENTOS!C994)</f>
        <v/>
      </c>
      <c r="D986" s="37" t="str">
        <f>IF(ORCAMENTOS!D994="","",ORCAMENTOS!D994)</f>
        <v>ENEBRAS</v>
      </c>
      <c r="E986" s="38" t="str">
        <f>IF(ORCAMENTOS!E994="","",ORCAMENTOS!E994)</f>
        <v>HAPVIDA - CRUZEIRO DO SUL - OSASCO</v>
      </c>
      <c r="F986" s="37" t="str">
        <f>IF(ORCAMENTOS!G994="","",ORCAMENTOS!G994)</f>
        <v>Michel</v>
      </c>
      <c r="G986" s="37" t="str">
        <f>IF(ORCAMENTOS!H994="","",ORCAMENTOS!H994)</f>
        <v>Kaio</v>
      </c>
      <c r="H986" s="39">
        <f>IF(ORCAMENTOS!I994="","",ORCAMENTOS!I994)</f>
        <v>138725.06</v>
      </c>
      <c r="I986" s="60" t="str">
        <f>IF(ORCAMENTOS!J994="","",ORCAMENTOS!J994)</f>
        <v/>
      </c>
      <c r="J986" s="40" t="str">
        <f>IF(ORCAMENTOS!L994="","",ORCAMENTOS!L994)</f>
        <v>CANCELADO</v>
      </c>
      <c r="K986" s="34" t="str">
        <f>IF(ORCAMENTOS!M994="","",ORCAMENTOS!M994)</f>
        <v>-</v>
      </c>
      <c r="L986" t="str">
        <f>IF(ORCAMENTOS!R994="","",ORCAMENTOS!R994)</f>
        <v>-</v>
      </c>
    </row>
    <row r="987" spans="1:12" ht="15.75" hidden="1" customHeight="1" x14ac:dyDescent="0.25">
      <c r="A987" s="36">
        <f>IF(ORCAMENTOS!A995="","",ORCAMENTOS!A995)</f>
        <v>45818</v>
      </c>
      <c r="B987" s="46">
        <f>IF(ORCAMENTOS!B995="","",ORCAMENTOS!B995)</f>
        <v>985</v>
      </c>
      <c r="C987" s="46" t="str">
        <f>IF(ORCAMENTOS!C995="","",ORCAMENTOS!C995)</f>
        <v/>
      </c>
      <c r="D987" s="37" t="str">
        <f>IF(ORCAMENTOS!D995="","",ORCAMENTOS!D995)</f>
        <v>CONFORTO ENGENHARIA</v>
      </c>
      <c r="E987" s="38" t="str">
        <f>IF(ORCAMENTOS!E995="","",ORCAMENTOS!E995)</f>
        <v>HOSPITAL MUNICIPAL DE VARZEA PAULISTA - SP</v>
      </c>
      <c r="F987" s="37" t="str">
        <f>IF(ORCAMENTOS!G995="","",ORCAMENTOS!G995)</f>
        <v>Michel</v>
      </c>
      <c r="G987" s="37" t="str">
        <f>IF(ORCAMENTOS!H995="","",ORCAMENTOS!H995)</f>
        <v>Kaine</v>
      </c>
      <c r="H987" s="39">
        <f>IF(ORCAMENTOS!I995="","",ORCAMENTOS!I995)</f>
        <v>42838.21</v>
      </c>
      <c r="I987" s="60" t="str">
        <f>IF(ORCAMENTOS!J995="","",ORCAMENTOS!J995)</f>
        <v/>
      </c>
      <c r="J987" s="40" t="str">
        <f>IF(ORCAMENTOS!L995="","",ORCAMENTOS!L995)</f>
        <v>FECHADO</v>
      </c>
      <c r="K987" s="34" t="str">
        <f>IF(ORCAMENTOS!M995="","",ORCAMENTOS!M995)</f>
        <v>AGUARDANDO PEDIDO</v>
      </c>
      <c r="L987" t="str">
        <f>IF(ORCAMENTOS!R995="","",ORCAMENTOS!R995)</f>
        <v>-</v>
      </c>
    </row>
    <row r="988" spans="1:12" ht="15.75" hidden="1" customHeight="1" x14ac:dyDescent="0.25">
      <c r="A988" s="36">
        <f>IF(ORCAMENTOS!A996="","",ORCAMENTOS!A996)</f>
        <v>45817</v>
      </c>
      <c r="B988" s="46">
        <f>IF(ORCAMENTOS!B996="","",ORCAMENTOS!B996)</f>
        <v>986</v>
      </c>
      <c r="C988" s="46" t="str">
        <f>IF(ORCAMENTOS!C996="","",ORCAMENTOS!C996)</f>
        <v/>
      </c>
      <c r="D988" s="37" t="str">
        <f>IF(ORCAMENTOS!D996="","",ORCAMENTOS!D996)</f>
        <v>COLORTEL</v>
      </c>
      <c r="E988" s="38" t="str">
        <f>IF(ORCAMENTOS!E996="","",ORCAMENTOS!E996)</f>
        <v>REGIONAL SÃO PAULO</v>
      </c>
      <c r="F988" s="37" t="str">
        <f>IF(ORCAMENTOS!G996="","",ORCAMENTOS!G996)</f>
        <v>Gabriel</v>
      </c>
      <c r="G988" s="37" t="str">
        <f>IF(ORCAMENTOS!H996="","",ORCAMENTOS!H996)</f>
        <v>Renato</v>
      </c>
      <c r="H988" s="39">
        <f>IF(ORCAMENTOS!I996="","",ORCAMENTOS!I996)</f>
        <v>12327.93</v>
      </c>
      <c r="I988" s="60" t="str">
        <f>IF(ORCAMENTOS!J996="","",ORCAMENTOS!J996)</f>
        <v/>
      </c>
      <c r="J988" s="40" t="str">
        <f>IF(ORCAMENTOS!L996="","",ORCAMENTOS!L996)</f>
        <v>CANCELADO</v>
      </c>
      <c r="K988" s="34" t="str">
        <f>IF(ORCAMENTOS!M996="","",ORCAMENTOS!M996)</f>
        <v>-</v>
      </c>
      <c r="L988" t="str">
        <f>IF(ORCAMENTOS!R996="","",ORCAMENTOS!R996)</f>
        <v>-</v>
      </c>
    </row>
    <row r="989" spans="1:12" ht="15.75" hidden="1" customHeight="1" x14ac:dyDescent="0.25">
      <c r="A989" s="36">
        <f>IF(ORCAMENTOS!A997="","",ORCAMENTOS!A997)</f>
        <v>45817</v>
      </c>
      <c r="B989" s="46">
        <f>IF(ORCAMENTOS!B997="","",ORCAMENTOS!B997)</f>
        <v>987</v>
      </c>
      <c r="C989" s="46" t="str">
        <f>IF(ORCAMENTOS!C997="","",ORCAMENTOS!C997)</f>
        <v/>
      </c>
      <c r="D989" s="37" t="str">
        <f>IF(ORCAMENTOS!D997="","",ORCAMENTOS!D997)</f>
        <v>NEWSET</v>
      </c>
      <c r="E989" s="38" t="str">
        <f>IF(ORCAMENTOS!E997="","",ORCAMENTOS!E997)</f>
        <v>NSP 118.25 - REDE D'OR CAMPINAS</v>
      </c>
      <c r="F989" s="37" t="str">
        <f>IF(ORCAMENTOS!G997="","",ORCAMENTOS!G997)</f>
        <v xml:space="preserve">Aldavir </v>
      </c>
      <c r="G989" s="37" t="str">
        <f>IF(ORCAMENTOS!H997="","",ORCAMENTOS!H997)</f>
        <v>David</v>
      </c>
      <c r="H989" s="39">
        <f>IF(ORCAMENTOS!I997="","",ORCAMENTOS!I997)</f>
        <v>57425.64</v>
      </c>
      <c r="I989" s="60" t="str">
        <f>IF(ORCAMENTOS!J997="","",ORCAMENTOS!J997)</f>
        <v/>
      </c>
      <c r="J989" s="40" t="str">
        <f>IF(ORCAMENTOS!L997="","",ORCAMENTOS!L997)</f>
        <v>CANCELADO</v>
      </c>
      <c r="K989" s="34" t="str">
        <f>IF(ORCAMENTOS!M997="","",ORCAMENTOS!M997)</f>
        <v>-</v>
      </c>
      <c r="L989" t="str">
        <f>IF(ORCAMENTOS!R997="","",ORCAMENTOS!R997)</f>
        <v>-</v>
      </c>
    </row>
    <row r="990" spans="1:12" ht="15.75" hidden="1" customHeight="1" x14ac:dyDescent="0.25">
      <c r="A990" s="36">
        <f>IF(ORCAMENTOS!A998="","",ORCAMENTOS!A998)</f>
        <v>45817</v>
      </c>
      <c r="B990" s="46">
        <f>IF(ORCAMENTOS!B998="","",ORCAMENTOS!B998)</f>
        <v>988</v>
      </c>
      <c r="C990" s="46" t="str">
        <f>IF(ORCAMENTOS!C998="","",ORCAMENTOS!C998)</f>
        <v/>
      </c>
      <c r="D990" s="37" t="str">
        <f>IF(ORCAMENTOS!D998="","",ORCAMENTOS!D998)</f>
        <v>NEWSET</v>
      </c>
      <c r="E990" s="38" t="str">
        <f>IF(ORCAMENTOS!E998="","",ORCAMENTOS!E998)</f>
        <v>NSP 118.25 - REDE D'OR CAMPINAS</v>
      </c>
      <c r="F990" s="37" t="str">
        <f>IF(ORCAMENTOS!G998="","",ORCAMENTOS!G998)</f>
        <v xml:space="preserve">Aldavir </v>
      </c>
      <c r="G990" s="37" t="str">
        <f>IF(ORCAMENTOS!H998="","",ORCAMENTOS!H998)</f>
        <v>David</v>
      </c>
      <c r="H990" s="39">
        <f>IF(ORCAMENTOS!I998="","",ORCAMENTOS!I998)</f>
        <v>24678.23</v>
      </c>
      <c r="I990" s="60" t="str">
        <f>IF(ORCAMENTOS!J998="","",ORCAMENTOS!J998)</f>
        <v/>
      </c>
      <c r="J990" s="40" t="str">
        <f>IF(ORCAMENTOS!L998="","",ORCAMENTOS!L998)</f>
        <v>CANCELADO</v>
      </c>
      <c r="K990" s="34" t="str">
        <f>IF(ORCAMENTOS!M998="","",ORCAMENTOS!M998)</f>
        <v>-</v>
      </c>
      <c r="L990" t="str">
        <f>IF(ORCAMENTOS!R998="","",ORCAMENTOS!R998)</f>
        <v>-</v>
      </c>
    </row>
    <row r="991" spans="1:12" ht="15.75" hidden="1" customHeight="1" x14ac:dyDescent="0.25">
      <c r="A991" s="36">
        <f>IF(ORCAMENTOS!A999="","",ORCAMENTOS!A999)</f>
        <v>45817</v>
      </c>
      <c r="B991" s="46">
        <f>IF(ORCAMENTOS!B999="","",ORCAMENTOS!B999)</f>
        <v>989</v>
      </c>
      <c r="C991" s="46" t="str">
        <f>IF(ORCAMENTOS!C999="","",ORCAMENTOS!C999)</f>
        <v/>
      </c>
      <c r="D991" s="37" t="str">
        <f>IF(ORCAMENTOS!D999="","",ORCAMENTOS!D999)</f>
        <v>NEWSET</v>
      </c>
      <c r="E991" s="38" t="str">
        <f>IF(ORCAMENTOS!E999="","",ORCAMENTOS!E999)</f>
        <v>NSP 118.25 - REDE D'OR CAMPINAS</v>
      </c>
      <c r="F991" s="37" t="str">
        <f>IF(ORCAMENTOS!G999="","",ORCAMENTOS!G999)</f>
        <v xml:space="preserve">Aldavir </v>
      </c>
      <c r="G991" s="37" t="str">
        <f>IF(ORCAMENTOS!H999="","",ORCAMENTOS!H999)</f>
        <v>David</v>
      </c>
      <c r="H991" s="39">
        <f>IF(ORCAMENTOS!I999="","",ORCAMENTOS!I999)</f>
        <v>21308.59</v>
      </c>
      <c r="I991" s="60" t="str">
        <f>IF(ORCAMENTOS!J999="","",ORCAMENTOS!J999)</f>
        <v/>
      </c>
      <c r="J991" s="40" t="str">
        <f>IF(ORCAMENTOS!L999="","",ORCAMENTOS!L999)</f>
        <v>CANCELADO</v>
      </c>
      <c r="K991" s="34" t="str">
        <f>IF(ORCAMENTOS!M999="","",ORCAMENTOS!M999)</f>
        <v>-</v>
      </c>
      <c r="L991" t="str">
        <f>IF(ORCAMENTOS!R999="","",ORCAMENTOS!R999)</f>
        <v>-</v>
      </c>
    </row>
    <row r="992" spans="1:12" ht="15.75" hidden="1" customHeight="1" x14ac:dyDescent="0.25">
      <c r="A992" s="36">
        <f>IF(ORCAMENTOS!A1000="","",ORCAMENTOS!A1000)</f>
        <v>45817</v>
      </c>
      <c r="B992" s="46">
        <f>IF(ORCAMENTOS!B1000="","",ORCAMENTOS!B1000)</f>
        <v>990</v>
      </c>
      <c r="C992" s="46" t="str">
        <f>IF(ORCAMENTOS!C1000="","",ORCAMENTOS!C1000)</f>
        <v/>
      </c>
      <c r="D992" s="37" t="str">
        <f>IF(ORCAMENTOS!D1000="","",ORCAMENTOS!D1000)</f>
        <v>AWA AR CONDICIONADO</v>
      </c>
      <c r="E992" s="38" t="str">
        <f>IF(ORCAMENTOS!E1000="","",ORCAMENTOS!E1000)</f>
        <v>SUPER JACUNDA - JACUNDA - PA</v>
      </c>
      <c r="F992" s="37" t="str">
        <f>IF(ORCAMENTOS!G1000="","",ORCAMENTOS!G1000)</f>
        <v>Guilherme</v>
      </c>
      <c r="G992" s="37" t="str">
        <f>IF(ORCAMENTOS!H1000="","",ORCAMENTOS!H1000)</f>
        <v>Gustavo</v>
      </c>
      <c r="H992" s="39">
        <f>IF(ORCAMENTOS!I1000="","",ORCAMENTOS!I1000)</f>
        <v>69210.3</v>
      </c>
      <c r="I992" s="60" t="str">
        <f>IF(ORCAMENTOS!J1000="","",ORCAMENTOS!J1000)</f>
        <v/>
      </c>
      <c r="J992" s="40" t="str">
        <f>IF(ORCAMENTOS!L1000="","",ORCAMENTOS!L1000)</f>
        <v>CANCELADO</v>
      </c>
      <c r="K992" s="34" t="str">
        <f>IF(ORCAMENTOS!M1000="","",ORCAMENTOS!M1000)</f>
        <v>-</v>
      </c>
      <c r="L992" t="str">
        <f>IF(ORCAMENTOS!R1000="","",ORCAMENTOS!R1000)</f>
        <v>N/E</v>
      </c>
    </row>
    <row r="993" spans="1:12" ht="15.75" hidden="1" customHeight="1" x14ac:dyDescent="0.25">
      <c r="A993" s="36">
        <f>IF(ORCAMENTOS!A1001="","",ORCAMENTOS!A1001)</f>
        <v>45818</v>
      </c>
      <c r="B993" s="46">
        <f>IF(ORCAMENTOS!B1001="","",ORCAMENTOS!B1001)</f>
        <v>991</v>
      </c>
      <c r="C993" s="46" t="str">
        <f>IF(ORCAMENTOS!C1001="","",ORCAMENTOS!C1001)</f>
        <v/>
      </c>
      <c r="D993" s="37" t="str">
        <f>IF(ORCAMENTOS!D1001="","",ORCAMENTOS!D1001)</f>
        <v>ARCON AIR</v>
      </c>
      <c r="E993" s="38" t="str">
        <f>IF(ORCAMENTOS!E1001="","",ORCAMENTOS!E1001)</f>
        <v>HAP VID</v>
      </c>
      <c r="F993" s="37" t="str">
        <f>IF(ORCAMENTOS!G1001="","",ORCAMENTOS!G1001)</f>
        <v>Michel</v>
      </c>
      <c r="G993" s="37" t="str">
        <f>IF(ORCAMENTOS!H1001="","",ORCAMENTOS!H1001)</f>
        <v>Camila</v>
      </c>
      <c r="H993" s="39">
        <f>IF(ORCAMENTOS!I1001="","",ORCAMENTOS!I1001)</f>
        <v>32344.65</v>
      </c>
      <c r="I993" s="60" t="str">
        <f>IF(ORCAMENTOS!J1001="","",ORCAMENTOS!J1001)</f>
        <v/>
      </c>
      <c r="J993" s="40" t="str">
        <f>IF(ORCAMENTOS!L1001="","",ORCAMENTOS!L1001)</f>
        <v>FECHADO</v>
      </c>
      <c r="K993" s="34" t="str">
        <f>IF(ORCAMENTOS!M1001="","",ORCAMENTOS!M1001)</f>
        <v>-</v>
      </c>
      <c r="L993" t="str">
        <f>IF(ORCAMENTOS!R1001="","",ORCAMENTOS!R1001)</f>
        <v>-</v>
      </c>
    </row>
    <row r="994" spans="1:12" ht="15.75" hidden="1" customHeight="1" x14ac:dyDescent="0.25">
      <c r="A994" s="36">
        <f>IF(ORCAMENTOS!A1002="","",ORCAMENTOS!A1002)</f>
        <v>45819</v>
      </c>
      <c r="B994" s="46">
        <f>IF(ORCAMENTOS!B1002="","",ORCAMENTOS!B1002)</f>
        <v>992</v>
      </c>
      <c r="C994" s="46" t="str">
        <f>IF(ORCAMENTOS!C1002="","",ORCAMENTOS!C1002)</f>
        <v/>
      </c>
      <c r="D994" s="37" t="str">
        <f>IF(ORCAMENTOS!D1002="","",ORCAMENTOS!D1002)</f>
        <v>SO AR CLIMATIZACAO</v>
      </c>
      <c r="E994" s="38" t="str">
        <f>IF(ORCAMENTOS!E1002="","",ORCAMENTOS!E1002)</f>
        <v>-</v>
      </c>
      <c r="F994" s="37" t="str">
        <f>IF(ORCAMENTOS!G1002="","",ORCAMENTOS!G1002)</f>
        <v>Gabriel</v>
      </c>
      <c r="G994" s="37" t="str">
        <f>IF(ORCAMENTOS!H1002="","",ORCAMENTOS!H1002)</f>
        <v>Gabriel</v>
      </c>
      <c r="H994" s="39">
        <f>IF(ORCAMENTOS!I1002="","",ORCAMENTOS!I1002)</f>
        <v>10209.879999999999</v>
      </c>
      <c r="I994" s="60" t="str">
        <f>IF(ORCAMENTOS!J1002="","",ORCAMENTOS!J1002)</f>
        <v/>
      </c>
      <c r="J994" s="40" t="str">
        <f>IF(ORCAMENTOS!L1002="","",ORCAMENTOS!L1002)</f>
        <v>CANCELADO</v>
      </c>
      <c r="K994" s="34" t="str">
        <f>IF(ORCAMENTOS!M1002="","",ORCAMENTOS!M1002)</f>
        <v>-</v>
      </c>
      <c r="L994" t="str">
        <f>IF(ORCAMENTOS!R1002="","",ORCAMENTOS!R1002)</f>
        <v>-</v>
      </c>
    </row>
    <row r="995" spans="1:12" ht="15.75" hidden="1" customHeight="1" x14ac:dyDescent="0.25">
      <c r="A995" s="36">
        <f>IF(ORCAMENTOS!A1003="","",ORCAMENTOS!A1003)</f>
        <v>45818</v>
      </c>
      <c r="B995" s="46">
        <f>IF(ORCAMENTOS!B1003="","",ORCAMENTOS!B1003)</f>
        <v>993</v>
      </c>
      <c r="C995" s="46" t="str">
        <f>IF(ORCAMENTOS!C1003="","",ORCAMENTOS!C1003)</f>
        <v/>
      </c>
      <c r="D995" s="37" t="str">
        <f>IF(ORCAMENTOS!D1003="","",ORCAMENTOS!D1003)</f>
        <v>RM3 ENGENHARIA</v>
      </c>
      <c r="E995" s="38" t="str">
        <f>IF(ORCAMENTOS!E1003="","",ORCAMENTOS!E1003)</f>
        <v>HOSPITAL SÃO VICENTE DE PAULO - TRES DE MAIO - RS</v>
      </c>
      <c r="F995" s="37" t="str">
        <f>IF(ORCAMENTOS!G1003="","",ORCAMENTOS!G1003)</f>
        <v>Guilherme</v>
      </c>
      <c r="G995" s="37" t="str">
        <f>IF(ORCAMENTOS!H1003="","",ORCAMENTOS!H1003)</f>
        <v>Lenah</v>
      </c>
      <c r="H995" s="39">
        <f>IF(ORCAMENTOS!I1003="","",ORCAMENTOS!I1003)</f>
        <v>44212.86</v>
      </c>
      <c r="I995" s="60" t="str">
        <f>IF(ORCAMENTOS!J1003="","",ORCAMENTOS!J1003)</f>
        <v/>
      </c>
      <c r="J995" s="40" t="str">
        <f>IF(ORCAMENTOS!L1003="","",ORCAMENTOS!L1003)</f>
        <v>CANCELADO</v>
      </c>
      <c r="K995" s="34" t="str">
        <f>IF(ORCAMENTOS!M1003="","",ORCAMENTOS!M1003)</f>
        <v>-</v>
      </c>
      <c r="L995" t="str">
        <f>IF(ORCAMENTOS!R1003="","",ORCAMENTOS!R1003)</f>
        <v>MPU</v>
      </c>
    </row>
    <row r="996" spans="1:12" ht="15.75" hidden="1" customHeight="1" x14ac:dyDescent="0.25">
      <c r="A996" s="36">
        <f>IF(ORCAMENTOS!A1004="","",ORCAMENTOS!A1004)</f>
        <v>45818</v>
      </c>
      <c r="B996" s="46">
        <f>IF(ORCAMENTOS!B1004="","",ORCAMENTOS!B1004)</f>
        <v>994</v>
      </c>
      <c r="C996" s="46" t="str">
        <f>IF(ORCAMENTOS!C1004="","",ORCAMENTOS!C1004)</f>
        <v/>
      </c>
      <c r="D996" s="37" t="str">
        <f>IF(ORCAMENTOS!D1004="","",ORCAMENTOS!D1004)</f>
        <v>RM3 ENGENHARIA</v>
      </c>
      <c r="E996" s="38" t="str">
        <f>IF(ORCAMENTOS!E1004="","",ORCAMENTOS!E1004)</f>
        <v>HOSPITAL SÃO VICENTE DE PAULO - TRES DE MAIO - RS - 2º PAVIMENTO</v>
      </c>
      <c r="F996" s="37" t="str">
        <f>IF(ORCAMENTOS!G1004="","",ORCAMENTOS!G1004)</f>
        <v>Guilherme</v>
      </c>
      <c r="G996" s="37" t="str">
        <f>IF(ORCAMENTOS!H1004="","",ORCAMENTOS!H1004)</f>
        <v>Lenah</v>
      </c>
      <c r="H996" s="39">
        <f>IF(ORCAMENTOS!I1004="","",ORCAMENTOS!I1004)</f>
        <v>55697.31</v>
      </c>
      <c r="I996" s="60" t="str">
        <f>IF(ORCAMENTOS!J1004="","",ORCAMENTOS!J1004)</f>
        <v/>
      </c>
      <c r="J996" s="40" t="str">
        <f>IF(ORCAMENTOS!L1004="","",ORCAMENTOS!L1004)</f>
        <v>CANCELADO</v>
      </c>
      <c r="K996" s="34" t="str">
        <f>IF(ORCAMENTOS!M1004="","",ORCAMENTOS!M1004)</f>
        <v>-</v>
      </c>
      <c r="L996" t="str">
        <f>IF(ORCAMENTOS!R1004="","",ORCAMENTOS!R1004)</f>
        <v>MPU</v>
      </c>
    </row>
    <row r="997" spans="1:12" ht="15.75" hidden="1" customHeight="1" x14ac:dyDescent="0.25">
      <c r="A997" s="36">
        <f>IF(ORCAMENTOS!A1005="","",ORCAMENTOS!A1005)</f>
        <v>45818</v>
      </c>
      <c r="B997" s="46">
        <f>IF(ORCAMENTOS!B1005="","",ORCAMENTOS!B1005)</f>
        <v>995</v>
      </c>
      <c r="C997" s="46" t="str">
        <f>IF(ORCAMENTOS!C1005="","",ORCAMENTOS!C1005)</f>
        <v/>
      </c>
      <c r="D997" s="37" t="str">
        <f>IF(ORCAMENTOS!D1005="","",ORCAMENTOS!D1005)</f>
        <v>FAZENG</v>
      </c>
      <c r="E997" s="38" t="str">
        <f>IF(ORCAMENTOS!E1005="","",ORCAMENTOS!E1005)</f>
        <v>-</v>
      </c>
      <c r="F997" s="37" t="str">
        <f>IF(ORCAMENTOS!G1005="","",ORCAMENTOS!G1005)</f>
        <v>Gabriel</v>
      </c>
      <c r="G997" s="37" t="str">
        <f>IF(ORCAMENTOS!H1005="","",ORCAMENTOS!H1005)</f>
        <v>Joao</v>
      </c>
      <c r="H997" s="39">
        <f>IF(ORCAMENTOS!I1005="","",ORCAMENTOS!I1005)</f>
        <v>14844.09</v>
      </c>
      <c r="I997" s="60" t="str">
        <f>IF(ORCAMENTOS!J1005="","",ORCAMENTOS!J1005)</f>
        <v/>
      </c>
      <c r="J997" s="40" t="str">
        <f>IF(ORCAMENTOS!L1005="","",ORCAMENTOS!L1005)</f>
        <v>CANCELADO</v>
      </c>
      <c r="K997" s="34" t="str">
        <f>IF(ORCAMENTOS!M1005="","",ORCAMENTOS!M1005)</f>
        <v>-</v>
      </c>
      <c r="L997" t="str">
        <f>IF(ORCAMENTOS!R1005="","",ORCAMENTOS!R1005)</f>
        <v>-</v>
      </c>
    </row>
    <row r="998" spans="1:12" ht="15.75" hidden="1" customHeight="1" x14ac:dyDescent="0.25">
      <c r="A998" s="36">
        <f>IF(ORCAMENTOS!A1006="","",ORCAMENTOS!A1006)</f>
        <v>45818</v>
      </c>
      <c r="B998" s="46">
        <f>IF(ORCAMENTOS!B1006="","",ORCAMENTOS!B1006)</f>
        <v>996</v>
      </c>
      <c r="C998" s="46" t="str">
        <f>IF(ORCAMENTOS!C1006="","",ORCAMENTOS!C1006)</f>
        <v/>
      </c>
      <c r="D998" s="37" t="str">
        <f>IF(ORCAMENTOS!D1006="","",ORCAMENTOS!D1006)</f>
        <v>COLD CONTROL</v>
      </c>
      <c r="E998" s="38" t="str">
        <f>IF(ORCAMENTOS!E1006="","",ORCAMENTOS!E1006)</f>
        <v>-</v>
      </c>
      <c r="F998" s="37" t="str">
        <f>IF(ORCAMENTOS!G1006="","",ORCAMENTOS!G1006)</f>
        <v>Emanuel</v>
      </c>
      <c r="G998" s="37" t="str">
        <f>IF(ORCAMENTOS!H1006="","",ORCAMENTOS!H1006)</f>
        <v>Armando</v>
      </c>
      <c r="H998" s="39">
        <f>IF(ORCAMENTOS!I1006="","",ORCAMENTOS!I1006)</f>
        <v>4766.0200000000004</v>
      </c>
      <c r="I998" s="60" t="str">
        <f>IF(ORCAMENTOS!J1006="","",ORCAMENTOS!J1006)</f>
        <v/>
      </c>
      <c r="J998" s="40" t="str">
        <f>IF(ORCAMENTOS!L1006="","",ORCAMENTOS!L1006)</f>
        <v>FECHADO</v>
      </c>
      <c r="K998" s="34" t="str">
        <f>IF(ORCAMENTOS!M1006="","",ORCAMENTOS!M1006)</f>
        <v>-</v>
      </c>
      <c r="L998" t="str">
        <f>IF(ORCAMENTOS!R1006="","",ORCAMENTOS!R1006)</f>
        <v>-</v>
      </c>
    </row>
    <row r="999" spans="1:12" ht="15.75" hidden="1" customHeight="1" x14ac:dyDescent="0.25">
      <c r="A999" s="36">
        <f>IF(ORCAMENTOS!A1007="","",ORCAMENTOS!A1007)</f>
        <v>45818</v>
      </c>
      <c r="B999" s="46">
        <f>IF(ORCAMENTOS!B1007="","",ORCAMENTOS!B1007)</f>
        <v>997</v>
      </c>
      <c r="C999" s="46" t="str">
        <f>IF(ORCAMENTOS!C1007="","",ORCAMENTOS!C1007)</f>
        <v/>
      </c>
      <c r="D999" s="37" t="str">
        <f>IF(ORCAMENTOS!D1007="","",ORCAMENTOS!D1007)</f>
        <v>TECNO AIR</v>
      </c>
      <c r="E999" s="38" t="str">
        <f>IF(ORCAMENTOS!E1007="","",ORCAMENTOS!E1007)</f>
        <v>-</v>
      </c>
      <c r="F999" s="37" t="str">
        <f>IF(ORCAMENTOS!G1007="","",ORCAMENTOS!G1007)</f>
        <v>Emanuel</v>
      </c>
      <c r="G999" s="37" t="str">
        <f>IF(ORCAMENTOS!H1007="","",ORCAMENTOS!H1007)</f>
        <v>Sidnei</v>
      </c>
      <c r="H999" s="39">
        <f>IF(ORCAMENTOS!I1007="","",ORCAMENTOS!I1007)</f>
        <v>1044.0999999999999</v>
      </c>
      <c r="I999" s="60" t="str">
        <f>IF(ORCAMENTOS!J1007="","",ORCAMENTOS!J1007)</f>
        <v/>
      </c>
      <c r="J999" s="40" t="str">
        <f>IF(ORCAMENTOS!L1007="","",ORCAMENTOS!L1007)</f>
        <v>CANCELADO</v>
      </c>
      <c r="K999" s="34" t="str">
        <f>IF(ORCAMENTOS!M1007="","",ORCAMENTOS!M1007)</f>
        <v>-</v>
      </c>
      <c r="L999" t="str">
        <f>IF(ORCAMENTOS!R1007="","",ORCAMENTOS!R1007)</f>
        <v>-</v>
      </c>
    </row>
    <row r="1000" spans="1:12" ht="15.75" hidden="1" customHeight="1" x14ac:dyDescent="0.25">
      <c r="A1000" s="36">
        <f>IF(ORCAMENTOS!A1008="","",ORCAMENTOS!A1008)</f>
        <v>45818</v>
      </c>
      <c r="B1000" s="46">
        <f>IF(ORCAMENTOS!B1008="","",ORCAMENTOS!B1008)</f>
        <v>998</v>
      </c>
      <c r="C1000" s="46" t="str">
        <f>IF(ORCAMENTOS!C1008="","",ORCAMENTOS!C1008)</f>
        <v/>
      </c>
      <c r="D1000" s="37" t="str">
        <f>IF(ORCAMENTOS!D1008="","",ORCAMENTOS!D1008)</f>
        <v>ENERGY AIR</v>
      </c>
      <c r="E1000" s="38" t="str">
        <f>IF(ORCAMENTOS!E1008="","",ORCAMENTOS!E1008)</f>
        <v xml:space="preserve">CACAU SHOW ITAPEVI </v>
      </c>
      <c r="F1000" s="37" t="str">
        <f>IF(ORCAMENTOS!G1008="","",ORCAMENTOS!G1008)</f>
        <v xml:space="preserve">Aldavir </v>
      </c>
      <c r="G1000" s="37" t="str">
        <f>IF(ORCAMENTOS!H1008="","",ORCAMENTOS!H1008)</f>
        <v>Carlos</v>
      </c>
      <c r="H1000" s="39">
        <f>IF(ORCAMENTOS!I1008="","",ORCAMENTOS!I1008)</f>
        <v>392459.96</v>
      </c>
      <c r="I1000" s="60" t="str">
        <f>IF(ORCAMENTOS!J1008="","",ORCAMENTOS!J1008)</f>
        <v/>
      </c>
      <c r="J1000" s="40" t="str">
        <f>IF(ORCAMENTOS!L1008="","",ORCAMENTOS!L1008)</f>
        <v>CANCELADO</v>
      </c>
      <c r="K1000" s="34" t="str">
        <f>IF(ORCAMENTOS!M1008="","",ORCAMENTOS!M1008)</f>
        <v>PREV JUNHO</v>
      </c>
      <c r="L1000" t="str">
        <f>IF(ORCAMENTOS!R1008="","",ORCAMENTOS!R1008)</f>
        <v>-</v>
      </c>
    </row>
    <row r="1001" spans="1:12" ht="15.75" hidden="1" customHeight="1" x14ac:dyDescent="0.25">
      <c r="A1001" s="36">
        <f>IF(ORCAMENTOS!A1009="","",ORCAMENTOS!A1009)</f>
        <v>45818</v>
      </c>
      <c r="B1001" s="46">
        <f>IF(ORCAMENTOS!B1009="","",ORCAMENTOS!B1009)</f>
        <v>999</v>
      </c>
      <c r="C1001" s="46" t="str">
        <f>IF(ORCAMENTOS!C1009="","",ORCAMENTOS!C1009)</f>
        <v/>
      </c>
      <c r="D1001" s="37" t="str">
        <f>IF(ORCAMENTOS!D1009="","",ORCAMENTOS!D1009)</f>
        <v>NEWSET</v>
      </c>
      <c r="E1001" s="38" t="str">
        <f>IF(ORCAMENTOS!E1009="","",ORCAMENTOS!E1009)</f>
        <v>NSP 118.25 - REDE D'OR CAMPINAS</v>
      </c>
      <c r="F1001" s="37" t="str">
        <f>IF(ORCAMENTOS!G1009="","",ORCAMENTOS!G1009)</f>
        <v xml:space="preserve">Aldavir </v>
      </c>
      <c r="G1001" s="37" t="str">
        <f>IF(ORCAMENTOS!H1009="","",ORCAMENTOS!H1009)</f>
        <v>David</v>
      </c>
      <c r="H1001" s="39">
        <f>IF(ORCAMENTOS!I1009="","",ORCAMENTOS!I1009)</f>
        <v>46362.42</v>
      </c>
      <c r="I1001" s="60" t="str">
        <f>IF(ORCAMENTOS!J1009="","",ORCAMENTOS!J1009)</f>
        <v/>
      </c>
      <c r="J1001" s="40" t="str">
        <f>IF(ORCAMENTOS!L1009="","",ORCAMENTOS!L1009)</f>
        <v>CANCELADO</v>
      </c>
      <c r="K1001" s="34" t="str">
        <f>IF(ORCAMENTOS!M1009="","",ORCAMENTOS!M1009)</f>
        <v>EM NEGOCIAÇÃO</v>
      </c>
      <c r="L1001" t="str">
        <f>IF(ORCAMENTOS!R1009="","",ORCAMENTOS!R1009)</f>
        <v>-</v>
      </c>
    </row>
    <row r="1002" spans="1:12" ht="15.75" hidden="1" customHeight="1" x14ac:dyDescent="0.25">
      <c r="A1002" s="36">
        <f>IF(ORCAMENTOS!A1010="","",ORCAMENTOS!A1010)</f>
        <v>45818</v>
      </c>
      <c r="B1002" s="46">
        <f>IF(ORCAMENTOS!B1010="","",ORCAMENTOS!B1010)</f>
        <v>1000</v>
      </c>
      <c r="C1002" s="46" t="str">
        <f>IF(ORCAMENTOS!C1010="","",ORCAMENTOS!C1010)</f>
        <v/>
      </c>
      <c r="D1002" s="37" t="str">
        <f>IF(ORCAMENTOS!D1010="","",ORCAMENTOS!D1010)</f>
        <v>AWA AR CONDICIONADO</v>
      </c>
      <c r="E1002" s="38" t="str">
        <f>IF(ORCAMENTOS!E1010="","",ORCAMENTOS!E1010)</f>
        <v>PREZUNIC TINGUI</v>
      </c>
      <c r="F1002" s="37" t="str">
        <f>IF(ORCAMENTOS!G1010="","",ORCAMENTOS!G1010)</f>
        <v>Guilherme</v>
      </c>
      <c r="G1002" s="37" t="str">
        <f>IF(ORCAMENTOS!H1010="","",ORCAMENTOS!H1010)</f>
        <v>Marcela</v>
      </c>
      <c r="H1002" s="39">
        <f>IF(ORCAMENTOS!I1010="","",ORCAMENTOS!I1010)</f>
        <v>12627.97</v>
      </c>
      <c r="I1002" s="60" t="str">
        <f>IF(ORCAMENTOS!J1010="","",ORCAMENTOS!J1010)</f>
        <v/>
      </c>
      <c r="J1002" s="40" t="str">
        <f>IF(ORCAMENTOS!L1010="","",ORCAMENTOS!L1010)</f>
        <v>CANCELADO</v>
      </c>
      <c r="K1002" s="34" t="str">
        <f>IF(ORCAMENTOS!M1010="","",ORCAMENTOS!M1010)</f>
        <v>-</v>
      </c>
      <c r="L1002" t="str">
        <f>IF(ORCAMENTOS!R1010="","",ORCAMENTOS!R1010)</f>
        <v>-</v>
      </c>
    </row>
    <row r="1003" spans="1:12" ht="15.75" hidden="1" customHeight="1" x14ac:dyDescent="0.25">
      <c r="A1003" s="36">
        <f>IF(ORCAMENTOS!A1011="","",ORCAMENTOS!A1011)</f>
        <v>45819</v>
      </c>
      <c r="B1003" s="46">
        <f>IF(ORCAMENTOS!B1011="","",ORCAMENTOS!B1011)</f>
        <v>1001</v>
      </c>
      <c r="C1003" s="46" t="str">
        <f>IF(ORCAMENTOS!C1011="","",ORCAMENTOS!C1011)</f>
        <v/>
      </c>
      <c r="D1003" s="37" t="str">
        <f>IF(ORCAMENTOS!D1011="","",ORCAMENTOS!D1011)</f>
        <v>AMS INSTALACOES</v>
      </c>
      <c r="E1003" s="38" t="str">
        <f>IF(ORCAMENTOS!E1011="","",ORCAMENTOS!E1011)</f>
        <v>AEROPORTO DE GUARULHOS - SALA VIP - TERMINAL 3 - PISO DE EMBARQUE</v>
      </c>
      <c r="F1003" s="37" t="str">
        <f>IF(ORCAMENTOS!G1011="","",ORCAMENTOS!G1011)</f>
        <v>Gabriel</v>
      </c>
      <c r="G1003" s="37" t="str">
        <f>IF(ORCAMENTOS!H1011="","",ORCAMENTOS!H1011)</f>
        <v>Anderson</v>
      </c>
      <c r="H1003" s="39">
        <f>IF(ORCAMENTOS!I1011="","",ORCAMENTOS!I1011)</f>
        <v>21830.15</v>
      </c>
      <c r="I1003" s="60" t="str">
        <f>IF(ORCAMENTOS!J1011="","",ORCAMENTOS!J1011)</f>
        <v/>
      </c>
      <c r="J1003" s="40" t="str">
        <f>IF(ORCAMENTOS!L1011="","",ORCAMENTOS!L1011)</f>
        <v>CANCELADO</v>
      </c>
      <c r="K1003" s="34" t="str">
        <f>IF(ORCAMENTOS!M1011="","",ORCAMENTOS!M1011)</f>
        <v>-</v>
      </c>
      <c r="L1003" t="str">
        <f>IF(ORCAMENTOS!R1011="","",ORCAMENTOS!R1011)</f>
        <v>N/E</v>
      </c>
    </row>
    <row r="1004" spans="1:12" ht="15.75" hidden="1" customHeight="1" x14ac:dyDescent="0.25">
      <c r="A1004" s="36">
        <f>IF(ORCAMENTOS!A1012="","",ORCAMENTOS!A1012)</f>
        <v>45819</v>
      </c>
      <c r="B1004" s="46">
        <f>IF(ORCAMENTOS!B1012="","",ORCAMENTOS!B1012)</f>
        <v>1002</v>
      </c>
      <c r="C1004" s="46" t="str">
        <f>IF(ORCAMENTOS!C1012="","",ORCAMENTOS!C1012)</f>
        <v/>
      </c>
      <c r="D1004" s="37" t="str">
        <f>IF(ORCAMENTOS!D1012="","",ORCAMENTOS!D1012)</f>
        <v>AMS INSTALACOES</v>
      </c>
      <c r="E1004" s="38" t="str">
        <f>IF(ORCAMENTOS!E1012="","",ORCAMENTOS!E1012)</f>
        <v>ATAKAREJO - FEIRA DE SANTANA - BA</v>
      </c>
      <c r="F1004" s="37" t="str">
        <f>IF(ORCAMENTOS!G1012="","",ORCAMENTOS!G1012)</f>
        <v>Gabriel</v>
      </c>
      <c r="G1004" s="37" t="str">
        <f>IF(ORCAMENTOS!H1012="","",ORCAMENTOS!H1012)</f>
        <v>Renan</v>
      </c>
      <c r="H1004" s="39">
        <f>IF(ORCAMENTOS!I1012="","",ORCAMENTOS!I1012)</f>
        <v>253468.16</v>
      </c>
      <c r="I1004" s="60" t="str">
        <f>IF(ORCAMENTOS!J1012="","",ORCAMENTOS!J1012)</f>
        <v/>
      </c>
      <c r="J1004" s="40" t="str">
        <f>IF(ORCAMENTOS!L1012="","",ORCAMENTOS!L1012)</f>
        <v>CANCELADO</v>
      </c>
      <c r="K1004" s="34" t="str">
        <f>IF(ORCAMENTOS!M1012="","",ORCAMENTOS!M1012)</f>
        <v>-</v>
      </c>
      <c r="L1004" t="str">
        <f>IF(ORCAMENTOS!R1012="","",ORCAMENTOS!R1012)</f>
        <v>N/E</v>
      </c>
    </row>
    <row r="1005" spans="1:12" ht="15.75" hidden="1" customHeight="1" x14ac:dyDescent="0.25">
      <c r="A1005" s="36">
        <f>IF(ORCAMENTOS!A1013="","",ORCAMENTOS!A1013)</f>
        <v>45819</v>
      </c>
      <c r="B1005" s="46">
        <f>IF(ORCAMENTOS!B1013="","",ORCAMENTOS!B1013)</f>
        <v>1003</v>
      </c>
      <c r="C1005" s="46" t="str">
        <f>IF(ORCAMENTOS!C1013="","",ORCAMENTOS!C1013)</f>
        <v/>
      </c>
      <c r="D1005" s="37" t="str">
        <f>IF(ORCAMENTOS!D1013="","",ORCAMENTOS!D1013)</f>
        <v>AFRIOTHERM</v>
      </c>
      <c r="E1005" s="38" t="str">
        <f>IF(ORCAMENTOS!E1013="","",ORCAMENTOS!E1013)</f>
        <v>BIENAL</v>
      </c>
      <c r="F1005" s="37" t="str">
        <f>IF(ORCAMENTOS!G1013="","",ORCAMENTOS!G1013)</f>
        <v>Emanuel</v>
      </c>
      <c r="G1005" s="37" t="str">
        <f>IF(ORCAMENTOS!H1013="","",ORCAMENTOS!H1013)</f>
        <v>Iara</v>
      </c>
      <c r="H1005" s="39">
        <f>IF(ORCAMENTOS!I1013="","",ORCAMENTOS!I1013)</f>
        <v>48122.720000000001</v>
      </c>
      <c r="I1005" s="60" t="str">
        <f>IF(ORCAMENTOS!J1013="","",ORCAMENTOS!J1013)</f>
        <v/>
      </c>
      <c r="J1005" s="40" t="str">
        <f>IF(ORCAMENTOS!L1013="","",ORCAMENTOS!L1013)</f>
        <v>CANCELADO</v>
      </c>
      <c r="K1005" s="34" t="str">
        <f>IF(ORCAMENTOS!M1013="","",ORCAMENTOS!M1013)</f>
        <v>-</v>
      </c>
      <c r="L1005" t="str">
        <f>IF(ORCAMENTOS!R1013="","",ORCAMENTOS!R1013)</f>
        <v>-</v>
      </c>
    </row>
    <row r="1006" spans="1:12" ht="15.75" hidden="1" customHeight="1" x14ac:dyDescent="0.25">
      <c r="A1006" s="36">
        <f>IF(ORCAMENTOS!A1014="","",ORCAMENTOS!A1014)</f>
        <v>45819</v>
      </c>
      <c r="B1006" s="46">
        <f>IF(ORCAMENTOS!B1014="","",ORCAMENTOS!B1014)</f>
        <v>1004</v>
      </c>
      <c r="C1006" s="46" t="str">
        <f>IF(ORCAMENTOS!C1014="","",ORCAMENTOS!C1014)</f>
        <v/>
      </c>
      <c r="D1006" s="37" t="str">
        <f>IF(ORCAMENTOS!D1014="","",ORCAMENTOS!D1014)</f>
        <v>AMS INSTALACOES</v>
      </c>
      <c r="E1006" s="38" t="str">
        <f>IF(ORCAMENTOS!E1014="","",ORCAMENTOS!E1014)</f>
        <v>ASSAI - BUSSOCABA - OSASCO - SP - ADM</v>
      </c>
      <c r="F1006" s="37" t="str">
        <f>IF(ORCAMENTOS!G1014="","",ORCAMENTOS!G1014)</f>
        <v>Gabriel</v>
      </c>
      <c r="G1006" s="37" t="str">
        <f>IF(ORCAMENTOS!H1014="","",ORCAMENTOS!H1014)</f>
        <v>Albertino</v>
      </c>
      <c r="H1006" s="39">
        <f>IF(ORCAMENTOS!I1014="","",ORCAMENTOS!I1014)</f>
        <v>62824.3</v>
      </c>
      <c r="I1006" s="60" t="str">
        <f>IF(ORCAMENTOS!J1014="","",ORCAMENTOS!J1014)</f>
        <v/>
      </c>
      <c r="J1006" s="40" t="str">
        <f>IF(ORCAMENTOS!L1014="","",ORCAMENTOS!L1014)</f>
        <v>CANCELADO</v>
      </c>
      <c r="K1006" s="34" t="str">
        <f>IF(ORCAMENTOS!M1014="","",ORCAMENTOS!M1014)</f>
        <v>-</v>
      </c>
      <c r="L1006" t="str">
        <f>IF(ORCAMENTOS!R1014="","",ORCAMENTOS!R1014)</f>
        <v>MPU</v>
      </c>
    </row>
    <row r="1007" spans="1:12" ht="15.75" hidden="1" customHeight="1" x14ac:dyDescent="0.25">
      <c r="A1007" s="36">
        <f>IF(ORCAMENTOS!A1015="","",ORCAMENTOS!A1015)</f>
        <v>45819</v>
      </c>
      <c r="B1007" s="46">
        <f>IF(ORCAMENTOS!B1015="","",ORCAMENTOS!B1015)</f>
        <v>1005</v>
      </c>
      <c r="C1007" s="46" t="str">
        <f>IF(ORCAMENTOS!C1015="","",ORCAMENTOS!C1015)</f>
        <v/>
      </c>
      <c r="D1007" s="37" t="str">
        <f>IF(ORCAMENTOS!D1015="","",ORCAMENTOS!D1015)</f>
        <v>AMS INSTALACOES</v>
      </c>
      <c r="E1007" s="38" t="str">
        <f>IF(ORCAMENTOS!E1015="","",ORCAMENTOS!E1015)</f>
        <v>ASSAI - BUSSOCABA - OSASCO - SP - SALAO DE VENDAS</v>
      </c>
      <c r="F1007" s="37" t="str">
        <f>IF(ORCAMENTOS!G1015="","",ORCAMENTOS!G1015)</f>
        <v>Gabriel</v>
      </c>
      <c r="G1007" s="37" t="str">
        <f>IF(ORCAMENTOS!H1015="","",ORCAMENTOS!H1015)</f>
        <v>Albertino</v>
      </c>
      <c r="H1007" s="39">
        <f>IF(ORCAMENTOS!I1015="","",ORCAMENTOS!I1015)</f>
        <v>264927.55</v>
      </c>
      <c r="I1007" s="60" t="str">
        <f>IF(ORCAMENTOS!J1015="","",ORCAMENTOS!J1015)</f>
        <v/>
      </c>
      <c r="J1007" s="40" t="str">
        <f>IF(ORCAMENTOS!L1015="","",ORCAMENTOS!L1015)</f>
        <v>CANCELADO</v>
      </c>
      <c r="K1007" s="34" t="str">
        <f>IF(ORCAMENTOS!M1015="","",ORCAMENTOS!M1015)</f>
        <v>-</v>
      </c>
      <c r="L1007" t="str">
        <f>IF(ORCAMENTOS!R1015="","",ORCAMENTOS!R1015)</f>
        <v>MPU</v>
      </c>
    </row>
    <row r="1008" spans="1:12" ht="15.75" hidden="1" customHeight="1" x14ac:dyDescent="0.25">
      <c r="A1008" s="36">
        <f>IF(ORCAMENTOS!A1016="","",ORCAMENTOS!A1016)</f>
        <v>45847</v>
      </c>
      <c r="B1008" s="46">
        <f>IF(ORCAMENTOS!B1016="","",ORCAMENTOS!B1016)</f>
        <v>1006</v>
      </c>
      <c r="C1008" s="46" t="str">
        <f>IF(ORCAMENTOS!C1016="","",ORCAMENTOS!C1016)</f>
        <v/>
      </c>
      <c r="D1008" s="37" t="str">
        <f>IF(ORCAMENTOS!D1016="","",ORCAMENTOS!D1016)</f>
        <v>ENERGY AIR</v>
      </c>
      <c r="E1008" s="38" t="str">
        <f>IF(ORCAMENTOS!E1016="","",ORCAMENTOS!E1016)</f>
        <v xml:space="preserve">CACAU SHOW ITAPEVI </v>
      </c>
      <c r="F1008" s="37" t="str">
        <f>IF(ORCAMENTOS!G1016="","",ORCAMENTOS!G1016)</f>
        <v xml:space="preserve">Aldavir </v>
      </c>
      <c r="G1008" s="37" t="str">
        <f>IF(ORCAMENTOS!H1016="","",ORCAMENTOS!H1016)</f>
        <v>Carlos</v>
      </c>
      <c r="H1008" s="39">
        <f>IF(ORCAMENTOS!I1016="","",ORCAMENTOS!I1016)</f>
        <v>1229721.92</v>
      </c>
      <c r="I1008" s="60" t="str">
        <f>IF(ORCAMENTOS!J1016="","",ORCAMENTOS!J1016)</f>
        <v/>
      </c>
      <c r="J1008" s="40" t="str">
        <f>IF(ORCAMENTOS!L1016="","",ORCAMENTOS!L1016)</f>
        <v>PERDIDO</v>
      </c>
      <c r="K1008" s="34" t="str">
        <f>IF(ORCAMENTOS!M1016="","",ORCAMENTOS!M1016)</f>
        <v>MULTIVAC - PREÇO</v>
      </c>
      <c r="L1008" t="str">
        <f>IF(ORCAMENTOS!R1016="","",ORCAMENTOS!R1016)</f>
        <v>-</v>
      </c>
    </row>
    <row r="1009" spans="1:12" ht="15.75" hidden="1" customHeight="1" x14ac:dyDescent="0.25">
      <c r="A1009" s="36">
        <f>IF(ORCAMENTOS!A1017="","",ORCAMENTOS!A1017)</f>
        <v>45819</v>
      </c>
      <c r="B1009" s="46">
        <f>IF(ORCAMENTOS!B1017="","",ORCAMENTOS!B1017)</f>
        <v>1007</v>
      </c>
      <c r="C1009" s="46" t="str">
        <f>IF(ORCAMENTOS!C1017="","",ORCAMENTOS!C1017)</f>
        <v/>
      </c>
      <c r="D1009" s="37" t="str">
        <f>IF(ORCAMENTOS!D1017="","",ORCAMENTOS!D1017)</f>
        <v>NEWSET</v>
      </c>
      <c r="E1009" s="38" t="str">
        <f>IF(ORCAMENTOS!E1017="","",ORCAMENTOS!E1017)</f>
        <v>HOSPITAL SÃO LUIZ ITAIM - NOVA REMA BLOCO C</v>
      </c>
      <c r="F1009" s="37" t="str">
        <f>IF(ORCAMENTOS!G1017="","",ORCAMENTOS!G1017)</f>
        <v xml:space="preserve">Aldavir </v>
      </c>
      <c r="G1009" s="37" t="str">
        <f>IF(ORCAMENTOS!H1017="","",ORCAMENTOS!H1017)</f>
        <v>Thais</v>
      </c>
      <c r="H1009" s="39">
        <f>IF(ORCAMENTOS!I1017="","",ORCAMENTOS!I1017)</f>
        <v>2977.11</v>
      </c>
      <c r="I1009" s="60" t="str">
        <f>IF(ORCAMENTOS!J1017="","",ORCAMENTOS!J1017)</f>
        <v/>
      </c>
      <c r="J1009" s="40" t="str">
        <f>IF(ORCAMENTOS!L1017="","",ORCAMENTOS!L1017)</f>
        <v>FECHADO</v>
      </c>
      <c r="K1009" s="34" t="str">
        <f>IF(ORCAMENTOS!M1017="","",ORCAMENTOS!M1017)</f>
        <v>-</v>
      </c>
      <c r="L1009" t="str">
        <f>IF(ORCAMENTOS!R1017="","",ORCAMENTOS!R1017)</f>
        <v>-</v>
      </c>
    </row>
    <row r="1010" spans="1:12" ht="15.75" hidden="1" customHeight="1" x14ac:dyDescent="0.25">
      <c r="A1010" s="36">
        <f>IF(ORCAMENTOS!A1018="","",ORCAMENTOS!A1018)</f>
        <v>45819</v>
      </c>
      <c r="B1010" s="46">
        <f>IF(ORCAMENTOS!B1018="","",ORCAMENTOS!B1018)</f>
        <v>1008</v>
      </c>
      <c r="C1010" s="46" t="str">
        <f>IF(ORCAMENTOS!C1018="","",ORCAMENTOS!C1018)</f>
        <v/>
      </c>
      <c r="D1010" s="37" t="str">
        <f>IF(ORCAMENTOS!D1018="","",ORCAMENTOS!D1018)</f>
        <v>INOVECTOR</v>
      </c>
      <c r="E1010" s="38" t="str">
        <f>IF(ORCAMENTOS!E1018="","",ORCAMENTOS!E1018)</f>
        <v>STA ISABEL - TODOS PVTOS</v>
      </c>
      <c r="F1010" s="37" t="str">
        <f>IF(ORCAMENTOS!G1018="","",ORCAMENTOS!G1018)</f>
        <v>Fernando</v>
      </c>
      <c r="G1010" s="37" t="str">
        <f>IF(ORCAMENTOS!H1018="","",ORCAMENTOS!H1018)</f>
        <v>Cristina</v>
      </c>
      <c r="H1010" s="39">
        <f>IF(ORCAMENTOS!I1018="","",ORCAMENTOS!I1018)</f>
        <v>229969.81</v>
      </c>
      <c r="I1010" s="60" t="str">
        <f>IF(ORCAMENTOS!J1018="","",ORCAMENTOS!J1018)</f>
        <v/>
      </c>
      <c r="J1010" s="40" t="str">
        <f>IF(ORCAMENTOS!L1018="","",ORCAMENTOS!L1018)</f>
        <v>CANCELADO</v>
      </c>
      <c r="K1010" s="34" t="str">
        <f>IF(ORCAMENTOS!M1018="","",ORCAMENTOS!M1018)</f>
        <v>AGUARDANDO PEDIDO</v>
      </c>
      <c r="L1010" t="str">
        <f>IF(ORCAMENTOS!R1018="","",ORCAMENTOS!R1018)</f>
        <v>-</v>
      </c>
    </row>
    <row r="1011" spans="1:12" ht="15.75" hidden="1" customHeight="1" x14ac:dyDescent="0.25">
      <c r="A1011" s="36">
        <f>IF(ORCAMENTOS!A1019="","",ORCAMENTOS!A1019)</f>
        <v>45820</v>
      </c>
      <c r="B1011" s="46">
        <f>IF(ORCAMENTOS!B1019="","",ORCAMENTOS!B1019)</f>
        <v>1009</v>
      </c>
      <c r="C1011" s="46" t="str">
        <f>IF(ORCAMENTOS!C1019="","",ORCAMENTOS!C1019)</f>
        <v/>
      </c>
      <c r="D1011" s="37" t="str">
        <f>IF(ORCAMENTOS!D1019="","",ORCAMENTOS!D1019)</f>
        <v>FANCOLD SERVICE</v>
      </c>
      <c r="E1011" s="38" t="str">
        <f>IF(ORCAMENTOS!E1019="","",ORCAMENTOS!E1019)</f>
        <v>-</v>
      </c>
      <c r="F1011" s="37" t="str">
        <f>IF(ORCAMENTOS!G1019="","",ORCAMENTOS!G1019)</f>
        <v>Michel</v>
      </c>
      <c r="G1011" s="37" t="str">
        <f>IF(ORCAMENTOS!H1019="","",ORCAMENTOS!H1019)</f>
        <v>Emerson</v>
      </c>
      <c r="H1011" s="39">
        <f>IF(ORCAMENTOS!I1019="","",ORCAMENTOS!I1019)</f>
        <v>5958.43</v>
      </c>
      <c r="I1011" s="60" t="str">
        <f>IF(ORCAMENTOS!J1019="","",ORCAMENTOS!J1019)</f>
        <v/>
      </c>
      <c r="J1011" s="40" t="str">
        <f>IF(ORCAMENTOS!L1019="","",ORCAMENTOS!L1019)</f>
        <v>FECHADO</v>
      </c>
      <c r="K1011" s="34" t="str">
        <f>IF(ORCAMENTOS!M1019="","",ORCAMENTOS!M1019)</f>
        <v>-</v>
      </c>
      <c r="L1011" t="str">
        <f>IF(ORCAMENTOS!R1019="","",ORCAMENTOS!R1019)</f>
        <v>-</v>
      </c>
    </row>
    <row r="1012" spans="1:12" ht="15.75" hidden="1" customHeight="1" x14ac:dyDescent="0.25">
      <c r="A1012" s="36">
        <f>IF(ORCAMENTOS!A1020="","",ORCAMENTOS!A1020)</f>
        <v>45820</v>
      </c>
      <c r="B1012" s="46">
        <f>IF(ORCAMENTOS!B1020="","",ORCAMENTOS!B1020)</f>
        <v>1010</v>
      </c>
      <c r="C1012" s="46" t="str">
        <f>IF(ORCAMENTOS!C1020="","",ORCAMENTOS!C1020)</f>
        <v/>
      </c>
      <c r="D1012" s="37" t="str">
        <f>IF(ORCAMENTOS!D1020="","",ORCAMENTOS!D1020)</f>
        <v>SP CLIMAT</v>
      </c>
      <c r="E1012" s="38" t="str">
        <f>IF(ORCAMENTOS!E1020="","",ORCAMENTOS!E1020)</f>
        <v>LECLAIR BAURU</v>
      </c>
      <c r="F1012" s="37" t="str">
        <f>IF(ORCAMENTOS!G1020="","",ORCAMENTOS!G1020)</f>
        <v>Gabriel</v>
      </c>
      <c r="G1012" s="37" t="str">
        <f>IF(ORCAMENTOS!H1020="","",ORCAMENTOS!H1020)</f>
        <v>Samuel</v>
      </c>
      <c r="H1012" s="39">
        <f>IF(ORCAMENTOS!I1020="","",ORCAMENTOS!I1020)</f>
        <v>20697.72</v>
      </c>
      <c r="I1012" s="60" t="str">
        <f>IF(ORCAMENTOS!J1020="","",ORCAMENTOS!J1020)</f>
        <v/>
      </c>
      <c r="J1012" s="40" t="str">
        <f>IF(ORCAMENTOS!L1020="","",ORCAMENTOS!L1020)</f>
        <v>CANCELADO</v>
      </c>
      <c r="K1012" s="34" t="str">
        <f>IF(ORCAMENTOS!M1020="","",ORCAMENTOS!M1020)</f>
        <v>-</v>
      </c>
      <c r="L1012" t="str">
        <f>IF(ORCAMENTOS!R1020="","",ORCAMENTOS!R1020)</f>
        <v>-</v>
      </c>
    </row>
    <row r="1013" spans="1:12" ht="15.75" hidden="1" customHeight="1" x14ac:dyDescent="0.25">
      <c r="A1013" s="36">
        <f>IF(ORCAMENTOS!A1021="","",ORCAMENTOS!A1021)</f>
        <v>45820</v>
      </c>
      <c r="B1013" s="46">
        <f>IF(ORCAMENTOS!B1021="","",ORCAMENTOS!B1021)</f>
        <v>1011</v>
      </c>
      <c r="C1013" s="46" t="str">
        <f>IF(ORCAMENTOS!C1021="","",ORCAMENTOS!C1021)</f>
        <v/>
      </c>
      <c r="D1013" s="37" t="str">
        <f>IF(ORCAMENTOS!D1021="","",ORCAMENTOS!D1021)</f>
        <v>RODRIGUES REFRIGERACAO</v>
      </c>
      <c r="E1013" s="38" t="str">
        <f>IF(ORCAMENTOS!E1021="","",ORCAMENTOS!E1021)</f>
        <v>-</v>
      </c>
      <c r="F1013" s="37" t="str">
        <f>IF(ORCAMENTOS!G1021="","",ORCAMENTOS!G1021)</f>
        <v>Gabriel</v>
      </c>
      <c r="G1013" s="37" t="str">
        <f>IF(ORCAMENTOS!H1021="","",ORCAMENTOS!H1021)</f>
        <v>Michele</v>
      </c>
      <c r="H1013" s="39">
        <f>IF(ORCAMENTOS!I1021="","",ORCAMENTOS!I1021)</f>
        <v>3026.05</v>
      </c>
      <c r="I1013" s="60" t="str">
        <f>IF(ORCAMENTOS!J1021="","",ORCAMENTOS!J1021)</f>
        <v/>
      </c>
      <c r="J1013" s="40" t="str">
        <f>IF(ORCAMENTOS!L1021="","",ORCAMENTOS!L1021)</f>
        <v>CANCELADO</v>
      </c>
      <c r="K1013" s="34" t="str">
        <f>IF(ORCAMENTOS!M1021="","",ORCAMENTOS!M1021)</f>
        <v>-</v>
      </c>
      <c r="L1013" t="str">
        <f>IF(ORCAMENTOS!R1021="","",ORCAMENTOS!R1021)</f>
        <v>-</v>
      </c>
    </row>
    <row r="1014" spans="1:12" ht="15.75" hidden="1" customHeight="1" x14ac:dyDescent="0.25">
      <c r="A1014" s="36">
        <f>IF(ORCAMENTOS!A1022="","",ORCAMENTOS!A1022)</f>
        <v>45820</v>
      </c>
      <c r="B1014" s="46">
        <f>IF(ORCAMENTOS!B1022="","",ORCAMENTOS!B1022)</f>
        <v>1012</v>
      </c>
      <c r="C1014" s="46" t="str">
        <f>IF(ORCAMENTOS!C1022="","",ORCAMENTOS!C1022)</f>
        <v/>
      </c>
      <c r="D1014" s="37" t="str">
        <f>IF(ORCAMENTOS!D1022="","",ORCAMENTOS!D1022)</f>
        <v>FANCOLD SERVICE</v>
      </c>
      <c r="E1014" s="38" t="str">
        <f>IF(ORCAMENTOS!E1022="","",ORCAMENTOS!E1022)</f>
        <v>P&amp;G</v>
      </c>
      <c r="F1014" s="37" t="str">
        <f>IF(ORCAMENTOS!G1022="","",ORCAMENTOS!G1022)</f>
        <v>Michel</v>
      </c>
      <c r="G1014" s="37" t="str">
        <f>IF(ORCAMENTOS!H1022="","",ORCAMENTOS!H1022)</f>
        <v>Leandro</v>
      </c>
      <c r="H1014" s="39">
        <f>IF(ORCAMENTOS!I1022="","",ORCAMENTOS!I1022)</f>
        <v>42555.839999999997</v>
      </c>
      <c r="I1014" s="60" t="str">
        <f>IF(ORCAMENTOS!J1022="","",ORCAMENTOS!J1022)</f>
        <v/>
      </c>
      <c r="J1014" s="40" t="str">
        <f>IF(ORCAMENTOS!L1022="","",ORCAMENTOS!L1022)</f>
        <v>FECHADO</v>
      </c>
      <c r="K1014" s="34" t="str">
        <f>IF(ORCAMENTOS!M1022="","",ORCAMENTOS!M1022)</f>
        <v>AGUARDANDO LOCAL DE ENTREGA</v>
      </c>
      <c r="L1014" t="str">
        <f>IF(ORCAMENTOS!R1022="","",ORCAMENTOS!R1022)</f>
        <v>-</v>
      </c>
    </row>
    <row r="1015" spans="1:12" ht="15.75" hidden="1" customHeight="1" x14ac:dyDescent="0.25">
      <c r="A1015" s="36">
        <f>IF(ORCAMENTOS!A1023="","",ORCAMENTOS!A1023)</f>
        <v>45821</v>
      </c>
      <c r="B1015" s="46">
        <f>IF(ORCAMENTOS!B1023="","",ORCAMENTOS!B1023)</f>
        <v>1013</v>
      </c>
      <c r="C1015" s="46" t="str">
        <f>IF(ORCAMENTOS!C1023="","",ORCAMENTOS!C1023)</f>
        <v/>
      </c>
      <c r="D1015" s="37" t="str">
        <f>IF(ORCAMENTOS!D1023="","",ORCAMENTOS!D1023)</f>
        <v>IVTEC ENGENHARIA</v>
      </c>
      <c r="E1015" s="38" t="str">
        <f>IF(ORCAMENTOS!E1023="","",ORCAMENTOS!E1023)</f>
        <v>-</v>
      </c>
      <c r="F1015" s="37" t="str">
        <f>IF(ORCAMENTOS!G1023="","",ORCAMENTOS!G1023)</f>
        <v>Gabriel</v>
      </c>
      <c r="G1015" s="37" t="str">
        <f>IF(ORCAMENTOS!H1023="","",ORCAMENTOS!H1023)</f>
        <v>Matheus</v>
      </c>
      <c r="H1015" s="39">
        <f>IF(ORCAMENTOS!I1023="","",ORCAMENTOS!I1023)</f>
        <v>18111.830000000002</v>
      </c>
      <c r="I1015" s="60" t="str">
        <f>IF(ORCAMENTOS!J1023="","",ORCAMENTOS!J1023)</f>
        <v/>
      </c>
      <c r="J1015" s="40" t="str">
        <f>IF(ORCAMENTOS!L1023="","",ORCAMENTOS!L1023)</f>
        <v>COMPRA</v>
      </c>
      <c r="K1015" s="34" t="str">
        <f>IF(ORCAMENTOS!M1023="","",ORCAMENTOS!M1023)</f>
        <v>AGUARDANDO SINAL DE 30% PARA SEGUIRMOS COM O PEDIDO</v>
      </c>
      <c r="L1015" t="str">
        <f>IF(ORCAMENTOS!R1023="","",ORCAMENTOS!R1023)</f>
        <v>-</v>
      </c>
    </row>
    <row r="1016" spans="1:12" ht="15.75" hidden="1" customHeight="1" x14ac:dyDescent="0.25">
      <c r="A1016" s="36">
        <f>IF(ORCAMENTOS!A1024="","",ORCAMENTOS!A1024)</f>
        <v>45820</v>
      </c>
      <c r="B1016" s="46">
        <f>IF(ORCAMENTOS!B1024="","",ORCAMENTOS!B1024)</f>
        <v>1014</v>
      </c>
      <c r="C1016" s="46" t="str">
        <f>IF(ORCAMENTOS!C1024="","",ORCAMENTOS!C1024)</f>
        <v/>
      </c>
      <c r="D1016" s="37" t="str">
        <f>IF(ORCAMENTOS!D1024="","",ORCAMENTOS!D1024)</f>
        <v>RICH ENGENHARIA</v>
      </c>
      <c r="E1016" s="38" t="str">
        <f>IF(ORCAMENTOS!E1024="","",ORCAMENTOS!E1024)</f>
        <v>CLUBE TERMAS DE ITU - ACADEMIA TERRAS 2 - COBERTURA</v>
      </c>
      <c r="F1016" s="37" t="str">
        <f>IF(ORCAMENTOS!G1024="","",ORCAMENTOS!G1024)</f>
        <v>Guilherme</v>
      </c>
      <c r="G1016" s="37" t="str">
        <f>IF(ORCAMENTOS!H1024="","",ORCAMENTOS!H1024)</f>
        <v>Ricardo</v>
      </c>
      <c r="H1016" s="39">
        <f>IF(ORCAMENTOS!I1024="","",ORCAMENTOS!I1024)</f>
        <v>3440.45</v>
      </c>
      <c r="I1016" s="60" t="str">
        <f>IF(ORCAMENTOS!J1024="","",ORCAMENTOS!J1024)</f>
        <v/>
      </c>
      <c r="J1016" s="40" t="str">
        <f>IF(ORCAMENTOS!L1024="","",ORCAMENTOS!L1024)</f>
        <v>CANCELADO</v>
      </c>
      <c r="K1016" s="34" t="str">
        <f>IF(ORCAMENTOS!M1024="","",ORCAMENTOS!M1024)</f>
        <v>-</v>
      </c>
      <c r="L1016" t="str">
        <f>IF(ORCAMENTOS!R1024="","",ORCAMENTOS!R1024)</f>
        <v>-</v>
      </c>
    </row>
    <row r="1017" spans="1:12" ht="15.75" hidden="1" customHeight="1" x14ac:dyDescent="0.25">
      <c r="A1017" s="36">
        <f>IF(ORCAMENTOS!A1025="","",ORCAMENTOS!A1025)</f>
        <v>45820</v>
      </c>
      <c r="B1017" s="46">
        <f>IF(ORCAMENTOS!B1025="","",ORCAMENTOS!B1025)</f>
        <v>1015</v>
      </c>
      <c r="C1017" s="46" t="str">
        <f>IF(ORCAMENTOS!C1025="","",ORCAMENTOS!C1025)</f>
        <v/>
      </c>
      <c r="D1017" s="37" t="str">
        <f>IF(ORCAMENTOS!D1025="","",ORCAMENTOS!D1025)</f>
        <v>RICH ENGENHARIA</v>
      </c>
      <c r="E1017" s="38" t="str">
        <f>IF(ORCAMENTOS!E1025="","",ORCAMENTOS!E1025)</f>
        <v>CLUBE TERMAS DE ITU - ACADEMIA TERRAS 2 - TERREO</v>
      </c>
      <c r="F1017" s="37" t="str">
        <f>IF(ORCAMENTOS!G1025="","",ORCAMENTOS!G1025)</f>
        <v>Guilherme</v>
      </c>
      <c r="G1017" s="37" t="str">
        <f>IF(ORCAMENTOS!H1025="","",ORCAMENTOS!H1025)</f>
        <v>Ricardo</v>
      </c>
      <c r="H1017" s="39">
        <f>IF(ORCAMENTOS!I1025="","",ORCAMENTOS!I1025)</f>
        <v>6198.52</v>
      </c>
      <c r="I1017" s="60" t="str">
        <f>IF(ORCAMENTOS!J1025="","",ORCAMENTOS!J1025)</f>
        <v/>
      </c>
      <c r="J1017" s="40" t="str">
        <f>IF(ORCAMENTOS!L1025="","",ORCAMENTOS!L1025)</f>
        <v>CANCELADO</v>
      </c>
      <c r="K1017" s="34" t="str">
        <f>IF(ORCAMENTOS!M1025="","",ORCAMENTOS!M1025)</f>
        <v>-</v>
      </c>
      <c r="L1017" t="str">
        <f>IF(ORCAMENTOS!R1025="","",ORCAMENTOS!R1025)</f>
        <v>-</v>
      </c>
    </row>
    <row r="1018" spans="1:12" ht="15.75" hidden="1" customHeight="1" x14ac:dyDescent="0.25">
      <c r="A1018" s="36">
        <f>IF(ORCAMENTOS!A1026="","",ORCAMENTOS!A1026)</f>
        <v>45820</v>
      </c>
      <c r="B1018" s="46">
        <f>IF(ORCAMENTOS!B1026="","",ORCAMENTOS!B1026)</f>
        <v>1016</v>
      </c>
      <c r="C1018" s="46" t="str">
        <f>IF(ORCAMENTOS!C1026="","",ORCAMENTOS!C1026)</f>
        <v/>
      </c>
      <c r="D1018" s="37" t="str">
        <f>IF(ORCAMENTOS!D1026="","",ORCAMENTOS!D1026)</f>
        <v>RICH ENGENHARIA</v>
      </c>
      <c r="E1018" s="38" t="str">
        <f>IF(ORCAMENTOS!E1026="","",ORCAMENTOS!E1026)</f>
        <v>CLUBE TERMAS DE ITU - ACADEMIA TERRAS 2 - SUBSOLO</v>
      </c>
      <c r="F1018" s="37" t="str">
        <f>IF(ORCAMENTOS!G1026="","",ORCAMENTOS!G1026)</f>
        <v>Guilherme</v>
      </c>
      <c r="G1018" s="37" t="str">
        <f>IF(ORCAMENTOS!H1026="","",ORCAMENTOS!H1026)</f>
        <v>Ricardo</v>
      </c>
      <c r="H1018" s="39">
        <f>IF(ORCAMENTOS!I1026="","",ORCAMENTOS!I1026)</f>
        <v>3618.37</v>
      </c>
      <c r="I1018" s="60" t="str">
        <f>IF(ORCAMENTOS!J1026="","",ORCAMENTOS!J1026)</f>
        <v/>
      </c>
      <c r="J1018" s="40" t="str">
        <f>IF(ORCAMENTOS!L1026="","",ORCAMENTOS!L1026)</f>
        <v>CANCELADO</v>
      </c>
      <c r="K1018" s="34" t="str">
        <f>IF(ORCAMENTOS!M1026="","",ORCAMENTOS!M1026)</f>
        <v>PREV. MARÇO</v>
      </c>
      <c r="L1018" t="str">
        <f>IF(ORCAMENTOS!R1026="","",ORCAMENTOS!R1026)</f>
        <v>-</v>
      </c>
    </row>
    <row r="1019" spans="1:12" ht="15.75" hidden="1" customHeight="1" x14ac:dyDescent="0.25">
      <c r="A1019" s="36">
        <f>IF(ORCAMENTOS!A1027="","",ORCAMENTOS!A1027)</f>
        <v>45820</v>
      </c>
      <c r="B1019" s="46">
        <f>IF(ORCAMENTOS!B1027="","",ORCAMENTOS!B1027)</f>
        <v>1017</v>
      </c>
      <c r="C1019" s="46" t="str">
        <f>IF(ORCAMENTOS!C1027="","",ORCAMENTOS!C1027)</f>
        <v/>
      </c>
      <c r="D1019" s="37" t="str">
        <f>IF(ORCAMENTOS!D1027="","",ORCAMENTOS!D1027)</f>
        <v>ADALTA ENGENHARIA</v>
      </c>
      <c r="E1019" s="38" t="str">
        <f>IF(ORCAMENTOS!E1027="","",ORCAMENTOS!E1027)</f>
        <v>-</v>
      </c>
      <c r="F1019" s="37" t="str">
        <f>IF(ORCAMENTOS!G1027="","",ORCAMENTOS!G1027)</f>
        <v>Fernando</v>
      </c>
      <c r="G1019" s="37" t="str">
        <f>IF(ORCAMENTOS!H1027="","",ORCAMENTOS!H1027)</f>
        <v>Victoria</v>
      </c>
      <c r="H1019" s="39">
        <f>IF(ORCAMENTOS!I1027="","",ORCAMENTOS!I1027)</f>
        <v>2926.39</v>
      </c>
      <c r="I1019" s="60" t="str">
        <f>IF(ORCAMENTOS!J1027="","",ORCAMENTOS!J1027)</f>
        <v/>
      </c>
      <c r="J1019" s="40" t="str">
        <f>IF(ORCAMENTOS!L1027="","",ORCAMENTOS!L1027)</f>
        <v>CANCELADO</v>
      </c>
      <c r="K1019" s="34" t="str">
        <f>IF(ORCAMENTOS!M1027="","",ORCAMENTOS!M1027)</f>
        <v>PREV JULHO</v>
      </c>
      <c r="L1019" t="str">
        <f>IF(ORCAMENTOS!R1027="","",ORCAMENTOS!R1027)</f>
        <v>-</v>
      </c>
    </row>
    <row r="1020" spans="1:12" ht="15.75" hidden="1" customHeight="1" x14ac:dyDescent="0.25">
      <c r="A1020" s="36">
        <f>IF(ORCAMENTOS!A1028="","",ORCAMENTOS!A1028)</f>
        <v>45820</v>
      </c>
      <c r="B1020" s="46">
        <f>IF(ORCAMENTOS!B1028="","",ORCAMENTOS!B1028)</f>
        <v>1018</v>
      </c>
      <c r="C1020" s="46" t="str">
        <f>IF(ORCAMENTOS!C1028="","",ORCAMENTOS!C1028)</f>
        <v/>
      </c>
      <c r="D1020" s="37" t="str">
        <f>IF(ORCAMENTOS!D1028="","",ORCAMENTOS!D1028)</f>
        <v>VELTTER ENGENHARIA</v>
      </c>
      <c r="E1020" s="38" t="str">
        <f>IF(ORCAMENTOS!E1028="","",ORCAMENTOS!E1028)</f>
        <v>PROJETO RESIDENCIAL - OURINHOS - SP</v>
      </c>
      <c r="F1020" s="37" t="str">
        <f>IF(ORCAMENTOS!G1028="","",ORCAMENTOS!G1028)</f>
        <v>Gabriel</v>
      </c>
      <c r="G1020" s="37" t="str">
        <f>IF(ORCAMENTOS!H1028="","",ORCAMENTOS!H1028)</f>
        <v>Guilherme</v>
      </c>
      <c r="H1020" s="39">
        <f>IF(ORCAMENTOS!I1028="","",ORCAMENTOS!I1028)</f>
        <v>14752.32</v>
      </c>
      <c r="I1020" s="60" t="str">
        <f>IF(ORCAMENTOS!J1028="","",ORCAMENTOS!J1028)</f>
        <v/>
      </c>
      <c r="J1020" s="40" t="str">
        <f>IF(ORCAMENTOS!L1028="","",ORCAMENTOS!L1028)</f>
        <v>CANCELADO</v>
      </c>
      <c r="K1020" s="34" t="str">
        <f>IF(ORCAMENTOS!M1028="","",ORCAMENTOS!M1028)</f>
        <v>-</v>
      </c>
      <c r="L1020" t="str">
        <f>IF(ORCAMENTOS!R1028="","",ORCAMENTOS!R1028)</f>
        <v>-</v>
      </c>
    </row>
    <row r="1021" spans="1:12" ht="15.75" hidden="1" customHeight="1" x14ac:dyDescent="0.25">
      <c r="A1021" s="36">
        <f>IF(ORCAMENTOS!A1029="","",ORCAMENTOS!A1029)</f>
        <v>45820</v>
      </c>
      <c r="B1021" s="46">
        <f>IF(ORCAMENTOS!B1029="","",ORCAMENTOS!B1029)</f>
        <v>1019</v>
      </c>
      <c r="C1021" s="46" t="str">
        <f>IF(ORCAMENTOS!C1029="","",ORCAMENTOS!C1029)</f>
        <v/>
      </c>
      <c r="D1021" s="37" t="str">
        <f>IF(ORCAMENTOS!D1029="","",ORCAMENTOS!D1029)</f>
        <v>AMS INSTALACOES</v>
      </c>
      <c r="E1021" s="38" t="str">
        <f>IF(ORCAMENTOS!E1029="","",ORCAMENTOS!E1029)</f>
        <v>ATAKADAO - DIAS D AVILA - BA</v>
      </c>
      <c r="F1021" s="37" t="str">
        <f>IF(ORCAMENTOS!G1029="","",ORCAMENTOS!G1029)</f>
        <v>Gabriel</v>
      </c>
      <c r="G1021" s="37" t="str">
        <f>IF(ORCAMENTOS!H1029="","",ORCAMENTOS!H1029)</f>
        <v>Renan</v>
      </c>
      <c r="H1021" s="39">
        <f>IF(ORCAMENTOS!I1029="","",ORCAMENTOS!I1029)</f>
        <v>177680.81</v>
      </c>
      <c r="I1021" s="60" t="str">
        <f>IF(ORCAMENTOS!J1029="","",ORCAMENTOS!J1029)</f>
        <v/>
      </c>
      <c r="J1021" s="40" t="str">
        <f>IF(ORCAMENTOS!L1029="","",ORCAMENTOS!L1029)</f>
        <v>CANCELADO</v>
      </c>
      <c r="K1021" s="34" t="str">
        <f>IF(ORCAMENTOS!M1029="","",ORCAMENTOS!M1029)</f>
        <v>-</v>
      </c>
      <c r="L1021" t="str">
        <f>IF(ORCAMENTOS!R1029="","",ORCAMENTOS!R1029)</f>
        <v>MPU</v>
      </c>
    </row>
    <row r="1022" spans="1:12" ht="15.75" hidden="1" customHeight="1" x14ac:dyDescent="0.25">
      <c r="A1022" s="36">
        <f>IF(ORCAMENTOS!A1030="","",ORCAMENTOS!A1030)</f>
        <v>45821</v>
      </c>
      <c r="B1022" s="46">
        <f>IF(ORCAMENTOS!B1030="","",ORCAMENTOS!B1030)</f>
        <v>1020</v>
      </c>
      <c r="C1022" s="46" t="str">
        <f>IF(ORCAMENTOS!C1030="","",ORCAMENTOS!C1030)</f>
        <v/>
      </c>
      <c r="D1022" s="37" t="str">
        <f>IF(ORCAMENTOS!D1030="","",ORCAMENTOS!D1030)</f>
        <v>ECOTHERM</v>
      </c>
      <c r="E1022" s="38" t="str">
        <f>IF(ORCAMENTOS!E1030="","",ORCAMENTOS!E1030)</f>
        <v>HOSPITAL DE FRANCA</v>
      </c>
      <c r="F1022" s="37" t="str">
        <f>IF(ORCAMENTOS!G1030="","",ORCAMENTOS!G1030)</f>
        <v>Emanuel</v>
      </c>
      <c r="G1022" s="37" t="str">
        <f>IF(ORCAMENTOS!H1030="","",ORCAMENTOS!H1030)</f>
        <v>Selma</v>
      </c>
      <c r="H1022" s="39">
        <f>IF(ORCAMENTOS!I1030="","",ORCAMENTOS!I1030)</f>
        <v>44147.77</v>
      </c>
      <c r="I1022" s="60" t="str">
        <f>IF(ORCAMENTOS!J1030="","",ORCAMENTOS!J1030)</f>
        <v/>
      </c>
      <c r="J1022" s="40" t="str">
        <f>IF(ORCAMENTOS!L1030="","",ORCAMENTOS!L1030)</f>
        <v>PERDIDO</v>
      </c>
      <c r="K1022" s="34" t="str">
        <f>IF(ORCAMENTOS!M1030="","",ORCAMENTOS!M1030)</f>
        <v>FECHADO MULTIVAC</v>
      </c>
      <c r="L1022" t="str">
        <f>IF(ORCAMENTOS!R1030="","",ORCAMENTOS!R1030)</f>
        <v>-</v>
      </c>
    </row>
    <row r="1023" spans="1:12" ht="15.75" hidden="1" customHeight="1" x14ac:dyDescent="0.25">
      <c r="A1023" s="36">
        <f>IF(ORCAMENTOS!A1031="","",ORCAMENTOS!A1031)</f>
        <v>45821</v>
      </c>
      <c r="B1023" s="46">
        <f>IF(ORCAMENTOS!B1031="","",ORCAMENTOS!B1031)</f>
        <v>1021</v>
      </c>
      <c r="C1023" s="46" t="str">
        <f>IF(ORCAMENTOS!C1031="","",ORCAMENTOS!C1031)</f>
        <v/>
      </c>
      <c r="D1023" s="37" t="str">
        <f>IF(ORCAMENTOS!D1031="","",ORCAMENTOS!D1031)</f>
        <v>CONSORCIO ARC</v>
      </c>
      <c r="E1023" s="38" t="str">
        <f>IF(ORCAMENTOS!E1031="","",ORCAMENTOS!E1031)</f>
        <v>-</v>
      </c>
      <c r="F1023" s="37" t="str">
        <f>IF(ORCAMENTOS!G1031="","",ORCAMENTOS!G1031)</f>
        <v>Gabriel</v>
      </c>
      <c r="G1023" s="37" t="str">
        <f>IF(ORCAMENTOS!H1031="","",ORCAMENTOS!H1031)</f>
        <v>Wagner</v>
      </c>
      <c r="H1023" s="39">
        <f>IF(ORCAMENTOS!I1031="","",ORCAMENTOS!I1031)</f>
        <v>8192.25</v>
      </c>
      <c r="I1023" s="60" t="str">
        <f>IF(ORCAMENTOS!J1031="","",ORCAMENTOS!J1031)</f>
        <v/>
      </c>
      <c r="J1023" s="40" t="str">
        <f>IF(ORCAMENTOS!L1031="","",ORCAMENTOS!L1031)</f>
        <v>CANCELADO</v>
      </c>
      <c r="K1023" s="34" t="str">
        <f>IF(ORCAMENTOS!M1031="","",ORCAMENTOS!M1031)</f>
        <v>-</v>
      </c>
      <c r="L1023" t="str">
        <f>IF(ORCAMENTOS!R1031="","",ORCAMENTOS!R1031)</f>
        <v/>
      </c>
    </row>
    <row r="1024" spans="1:12" ht="15.75" hidden="1" customHeight="1" x14ac:dyDescent="0.25">
      <c r="A1024" s="36">
        <f>IF(ORCAMENTOS!A1032="","",ORCAMENTOS!A1032)</f>
        <v>45820</v>
      </c>
      <c r="B1024" s="46">
        <f>IF(ORCAMENTOS!B1032="","",ORCAMENTOS!B1032)</f>
        <v>1022</v>
      </c>
      <c r="C1024" s="46" t="str">
        <f>IF(ORCAMENTOS!C1032="","",ORCAMENTOS!C1032)</f>
        <v/>
      </c>
      <c r="D1024" s="37" t="str">
        <f>IF(ORCAMENTOS!D1032="","",ORCAMENTOS!D1032)</f>
        <v>VELTTER ENGENHARIA</v>
      </c>
      <c r="E1024" s="38" t="str">
        <f>IF(ORCAMENTOS!E1032="","",ORCAMENTOS!E1032)</f>
        <v>ELIANE PRADO PASCHOAL - BAURU - SP</v>
      </c>
      <c r="F1024" s="37" t="str">
        <f>IF(ORCAMENTOS!G1032="","",ORCAMENTOS!G1032)</f>
        <v>Gabriel</v>
      </c>
      <c r="G1024" s="37" t="str">
        <f>IF(ORCAMENTOS!H1032="","",ORCAMENTOS!H1032)</f>
        <v>Guilherme</v>
      </c>
      <c r="H1024" s="39">
        <f>IF(ORCAMENTOS!I1032="","",ORCAMENTOS!I1032)</f>
        <v>7303.54</v>
      </c>
      <c r="I1024" s="60" t="str">
        <f>IF(ORCAMENTOS!J1032="","",ORCAMENTOS!J1032)</f>
        <v/>
      </c>
      <c r="J1024" s="40" t="str">
        <f>IF(ORCAMENTOS!L1032="","",ORCAMENTOS!L1032)</f>
        <v>CANCELADO</v>
      </c>
      <c r="K1024" s="34" t="str">
        <f>IF(ORCAMENTOS!M1032="","",ORCAMENTOS!M1032)</f>
        <v>-</v>
      </c>
      <c r="L1024" t="str">
        <f>IF(ORCAMENTOS!R1032="","",ORCAMENTOS!R1032)</f>
        <v>N/E</v>
      </c>
    </row>
    <row r="1025" spans="1:12" ht="15.75" hidden="1" customHeight="1" x14ac:dyDescent="0.25">
      <c r="A1025" s="36">
        <f>IF(ORCAMENTOS!A1033="","",ORCAMENTOS!A1033)</f>
        <v>45821</v>
      </c>
      <c r="B1025" s="46">
        <f>IF(ORCAMENTOS!B1033="","",ORCAMENTOS!B1033)</f>
        <v>1023</v>
      </c>
      <c r="C1025" s="46" t="str">
        <f>IF(ORCAMENTOS!C1033="","",ORCAMENTOS!C1033)</f>
        <v/>
      </c>
      <c r="D1025" s="37" t="str">
        <f>IF(ORCAMENTOS!D1033="","",ORCAMENTOS!D1033)</f>
        <v>ADALTA ENGENHARIA</v>
      </c>
      <c r="E1025" s="38" t="str">
        <f>IF(ORCAMENTOS!E1033="","",ORCAMENTOS!E1033)</f>
        <v>Adium Produtos Farmacêuticos S/A – Ampliação Fabril – Depósito VI</v>
      </c>
      <c r="F1025" s="37" t="str">
        <f>IF(ORCAMENTOS!G1033="","",ORCAMENTOS!G1033)</f>
        <v>Fernando</v>
      </c>
      <c r="G1025" s="37" t="str">
        <f>IF(ORCAMENTOS!H1033="","",ORCAMENTOS!H1033)</f>
        <v>Victoria</v>
      </c>
      <c r="H1025" s="39">
        <f>IF(ORCAMENTOS!I1033="","",ORCAMENTOS!I1033)</f>
        <v>261880.92</v>
      </c>
      <c r="I1025" s="60" t="str">
        <f>IF(ORCAMENTOS!J1033="","",ORCAMENTOS!J1033)</f>
        <v/>
      </c>
      <c r="J1025" s="40" t="str">
        <f>IF(ORCAMENTOS!L1033="","",ORCAMENTOS!L1033)</f>
        <v>FECHADO</v>
      </c>
      <c r="K1025" s="34" t="str">
        <f>IF(ORCAMENTOS!M1033="","",ORCAMENTOS!M1033)</f>
        <v>AGUARDANDO PEDIDO</v>
      </c>
      <c r="L1025" t="str">
        <f>IF(ORCAMENTOS!R1033="","",ORCAMENTOS!R1033)</f>
        <v>-</v>
      </c>
    </row>
    <row r="1026" spans="1:12" ht="15.75" hidden="1" customHeight="1" x14ac:dyDescent="0.25">
      <c r="A1026" s="36">
        <f>IF(ORCAMENTOS!A1034="","",ORCAMENTOS!A1034)</f>
        <v>45821</v>
      </c>
      <c r="B1026" s="46">
        <f>IF(ORCAMENTOS!B1034="","",ORCAMENTOS!B1034)</f>
        <v>1024</v>
      </c>
      <c r="C1026" s="46" t="str">
        <f>IF(ORCAMENTOS!C1034="","",ORCAMENTOS!C1034)</f>
        <v/>
      </c>
      <c r="D1026" s="37" t="str">
        <f>IF(ORCAMENTOS!D1034="","",ORCAMENTOS!D1034)</f>
        <v>TETRA BASE</v>
      </c>
      <c r="E1026" s="38" t="str">
        <f>IF(ORCAMENTOS!E1034="","",ORCAMENTOS!E1034)</f>
        <v>-</v>
      </c>
      <c r="F1026" s="37" t="str">
        <f>IF(ORCAMENTOS!G1034="","",ORCAMENTOS!G1034)</f>
        <v>Gabriel</v>
      </c>
      <c r="G1026" s="37" t="str">
        <f>IF(ORCAMENTOS!H1034="","",ORCAMENTOS!H1034)</f>
        <v/>
      </c>
      <c r="H1026" s="39">
        <f>IF(ORCAMENTOS!I1034="","",ORCAMENTOS!I1034)</f>
        <v>19188.53</v>
      </c>
      <c r="I1026" s="60" t="str">
        <f>IF(ORCAMENTOS!J1034="","",ORCAMENTOS!J1034)</f>
        <v/>
      </c>
      <c r="J1026" s="40" t="str">
        <f>IF(ORCAMENTOS!L1034="","",ORCAMENTOS!L1034)</f>
        <v>CANCELADO</v>
      </c>
      <c r="K1026" s="34" t="str">
        <f>IF(ORCAMENTOS!M1034="","",ORCAMENTOS!M1034)</f>
        <v>-</v>
      </c>
      <c r="L1026" t="str">
        <f>IF(ORCAMENTOS!R1034="","",ORCAMENTOS!R1034)</f>
        <v>-</v>
      </c>
    </row>
    <row r="1027" spans="1:12" ht="15.75" hidden="1" customHeight="1" x14ac:dyDescent="0.25">
      <c r="A1027" s="36">
        <f>IF(ORCAMENTOS!A1035="","",ORCAMENTOS!A1035)</f>
        <v>45821</v>
      </c>
      <c r="B1027" s="46">
        <f>IF(ORCAMENTOS!B1035="","",ORCAMENTOS!B1035)</f>
        <v>1025</v>
      </c>
      <c r="C1027" s="46" t="str">
        <f>IF(ORCAMENTOS!C1035="","",ORCAMENTOS!C1035)</f>
        <v/>
      </c>
      <c r="D1027" s="37" t="str">
        <f>IF(ORCAMENTOS!D1035="","",ORCAMENTOS!D1035)</f>
        <v>RDS SERVICOS</v>
      </c>
      <c r="E1027" s="38" t="str">
        <f>IF(ORCAMENTOS!E1035="","",ORCAMENTOS!E1035)</f>
        <v>CYBELE OLIVEIRA SANTOS</v>
      </c>
      <c r="F1027" s="37" t="str">
        <f>IF(ORCAMENTOS!G1035="","",ORCAMENTOS!G1035)</f>
        <v xml:space="preserve">Aldavir </v>
      </c>
      <c r="G1027" s="37" t="str">
        <f>IF(ORCAMENTOS!H1035="","",ORCAMENTOS!H1035)</f>
        <v>Leandro</v>
      </c>
      <c r="H1027" s="39">
        <f>IF(ORCAMENTOS!I1035="","",ORCAMENTOS!I1035)</f>
        <v>7438.63</v>
      </c>
      <c r="I1027" s="60" t="str">
        <f>IF(ORCAMENTOS!J1035="","",ORCAMENTOS!J1035)</f>
        <v/>
      </c>
      <c r="J1027" s="40" t="str">
        <f>IF(ORCAMENTOS!L1035="","",ORCAMENTOS!L1035)</f>
        <v>CANCELADO</v>
      </c>
      <c r="K1027" s="34" t="str">
        <f>IF(ORCAMENTOS!M1035="","",ORCAMENTOS!M1035)</f>
        <v/>
      </c>
      <c r="L1027" t="str">
        <f>IF(ORCAMENTOS!R1035="","",ORCAMENTOS!R1035)</f>
        <v>-</v>
      </c>
    </row>
    <row r="1028" spans="1:12" ht="15.75" hidden="1" customHeight="1" x14ac:dyDescent="0.25">
      <c r="A1028" s="36">
        <f>IF(ORCAMENTOS!A1036="","",ORCAMENTOS!A1036)</f>
        <v>45821</v>
      </c>
      <c r="B1028" s="46">
        <f>IF(ORCAMENTOS!B1036="","",ORCAMENTOS!B1036)</f>
        <v>1026</v>
      </c>
      <c r="C1028" s="46" t="str">
        <f>IF(ORCAMENTOS!C1036="","",ORCAMENTOS!C1036)</f>
        <v/>
      </c>
      <c r="D1028" s="37" t="str">
        <f>IF(ORCAMENTOS!D1036="","",ORCAMENTOS!D1036)</f>
        <v>M&amp;M SOLUCOES</v>
      </c>
      <c r="E1028" s="38" t="str">
        <f>IF(ORCAMENTOS!E1036="","",ORCAMENTOS!E1036)</f>
        <v>CAMICADO - CAMPINAS</v>
      </c>
      <c r="F1028" s="37" t="str">
        <f>IF(ORCAMENTOS!G1036="","",ORCAMENTOS!G1036)</f>
        <v>Emanuel</v>
      </c>
      <c r="G1028" s="37" t="str">
        <f>IF(ORCAMENTOS!H1036="","",ORCAMENTOS!H1036)</f>
        <v>Hugo</v>
      </c>
      <c r="H1028" s="39">
        <f>IF(ORCAMENTOS!I1036="","",ORCAMENTOS!I1036)</f>
        <v>48300</v>
      </c>
      <c r="I1028" s="60" t="str">
        <f>IF(ORCAMENTOS!J1036="","",ORCAMENTOS!J1036)</f>
        <v/>
      </c>
      <c r="J1028" s="40" t="str">
        <f>IF(ORCAMENTOS!L1036="","",ORCAMENTOS!L1036)</f>
        <v>PERDIDO</v>
      </c>
      <c r="K1028" s="34" t="str">
        <f>IF(ORCAMENTOS!M1036="","",ORCAMENTOS!M1036)</f>
        <v>PERDIDO MULTIVAC - PREÇO</v>
      </c>
      <c r="L1028" t="str">
        <f>IF(ORCAMENTOS!R1036="","",ORCAMENTOS!R1036)</f>
        <v/>
      </c>
    </row>
    <row r="1029" spans="1:12" ht="15.75" hidden="1" customHeight="1" x14ac:dyDescent="0.25">
      <c r="A1029" s="36">
        <f>IF(ORCAMENTOS!A1037="","",ORCAMENTOS!A1037)</f>
        <v>45821</v>
      </c>
      <c r="B1029" s="46">
        <f>IF(ORCAMENTOS!B1037="","",ORCAMENTOS!B1037)</f>
        <v>1027</v>
      </c>
      <c r="C1029" s="46" t="str">
        <f>IF(ORCAMENTOS!C1037="","",ORCAMENTOS!C1037)</f>
        <v/>
      </c>
      <c r="D1029" s="37" t="str">
        <f>IF(ORCAMENTOS!D1037="","",ORCAMENTOS!D1037)</f>
        <v>THERMOPOLO</v>
      </c>
      <c r="E1029" s="38" t="str">
        <f>IF(ORCAMENTOS!E1037="","",ORCAMENTOS!E1037)</f>
        <v>-</v>
      </c>
      <c r="F1029" s="37" t="str">
        <f>IF(ORCAMENTOS!G1037="","",ORCAMENTOS!G1037)</f>
        <v xml:space="preserve">Aldavir </v>
      </c>
      <c r="G1029" s="37" t="str">
        <f>IF(ORCAMENTOS!H1037="","",ORCAMENTOS!H1037)</f>
        <v>Cecilia</v>
      </c>
      <c r="H1029" s="39">
        <f>IF(ORCAMENTOS!I1037="","",ORCAMENTOS!I1037)</f>
        <v>742.52</v>
      </c>
      <c r="I1029" s="60" t="str">
        <f>IF(ORCAMENTOS!J1037="","",ORCAMENTOS!J1037)</f>
        <v/>
      </c>
      <c r="J1029" s="40" t="str">
        <f>IF(ORCAMENTOS!L1037="","",ORCAMENTOS!L1037)</f>
        <v>FECHADO</v>
      </c>
      <c r="K1029" s="34" t="str">
        <f>IF(ORCAMENTOS!M1037="","",ORCAMENTOS!M1037)</f>
        <v>-</v>
      </c>
      <c r="L1029" t="str">
        <f>IF(ORCAMENTOS!R1037="","",ORCAMENTOS!R1037)</f>
        <v>-</v>
      </c>
    </row>
    <row r="1030" spans="1:12" ht="15.75" hidden="1" customHeight="1" x14ac:dyDescent="0.25">
      <c r="A1030" s="36">
        <f>IF(ORCAMENTOS!A1038="","",ORCAMENTOS!A1038)</f>
        <v>45821</v>
      </c>
      <c r="B1030" s="46">
        <f>IF(ORCAMENTOS!B1038="","",ORCAMENTOS!B1038)</f>
        <v>1028</v>
      </c>
      <c r="C1030" s="46" t="str">
        <f>IF(ORCAMENTOS!C1038="","",ORCAMENTOS!C1038)</f>
        <v/>
      </c>
      <c r="D1030" s="37" t="str">
        <f>IF(ORCAMENTOS!D1038="","",ORCAMENTOS!D1038)</f>
        <v>NEWSET</v>
      </c>
      <c r="E1030" s="38" t="str">
        <f>IF(ORCAMENTOS!E1038="","",ORCAMENTOS!E1038)</f>
        <v>UNIMED CAMPINAS - SEDE II - 3º PAVIMENTO</v>
      </c>
      <c r="F1030" s="37" t="str">
        <f>IF(ORCAMENTOS!G1038="","",ORCAMENTOS!G1038)</f>
        <v xml:space="preserve">Aldavir </v>
      </c>
      <c r="G1030" s="37" t="str">
        <f>IF(ORCAMENTOS!H1038="","",ORCAMENTOS!H1038)</f>
        <v>Gustavo</v>
      </c>
      <c r="H1030" s="39">
        <f>IF(ORCAMENTOS!I1038="","",ORCAMENTOS!I1038)</f>
        <v>9910.9</v>
      </c>
      <c r="I1030" s="60" t="str">
        <f>IF(ORCAMENTOS!J1038="","",ORCAMENTOS!J1038)</f>
        <v/>
      </c>
      <c r="J1030" s="40" t="str">
        <f>IF(ORCAMENTOS!L1038="","",ORCAMENTOS!L1038)</f>
        <v>CANCELADO</v>
      </c>
      <c r="K1030" s="34" t="str">
        <f>IF(ORCAMENTOS!M1038="","",ORCAMENTOS!M1038)</f>
        <v>-</v>
      </c>
      <c r="L1030" t="str">
        <f>IF(ORCAMENTOS!R1038="","",ORCAMENTOS!R1038)</f>
        <v>-</v>
      </c>
    </row>
    <row r="1031" spans="1:12" ht="15.75" hidden="1" customHeight="1" x14ac:dyDescent="0.25">
      <c r="A1031" s="36">
        <f>IF(ORCAMENTOS!A1039="","",ORCAMENTOS!A1039)</f>
        <v>45824</v>
      </c>
      <c r="B1031" s="46">
        <f>IF(ORCAMENTOS!B1039="","",ORCAMENTOS!B1039)</f>
        <v>1029</v>
      </c>
      <c r="C1031" s="46" t="str">
        <f>IF(ORCAMENTOS!C1039="","",ORCAMENTOS!C1039)</f>
        <v/>
      </c>
      <c r="D1031" s="37" t="str">
        <f>IF(ORCAMENTOS!D1039="","",ORCAMENTOS!D1039)</f>
        <v>AR SET</v>
      </c>
      <c r="E1031" s="38" t="str">
        <f>IF(ORCAMENTOS!E1039="","",ORCAMENTOS!E1039)</f>
        <v>MANOEL FRANCISCO BARBOSA</v>
      </c>
      <c r="F1031" s="37" t="str">
        <f>IF(ORCAMENTOS!G1039="","",ORCAMENTOS!G1039)</f>
        <v>Fernando</v>
      </c>
      <c r="G1031" s="37" t="str">
        <f>IF(ORCAMENTOS!H1039="","",ORCAMENTOS!H1039)</f>
        <v>Lais</v>
      </c>
      <c r="H1031" s="39">
        <f>IF(ORCAMENTOS!I1039="","",ORCAMENTOS!I1039)</f>
        <v>3699.78</v>
      </c>
      <c r="I1031" s="60" t="str">
        <f>IF(ORCAMENTOS!J1039="","",ORCAMENTOS!J1039)</f>
        <v/>
      </c>
      <c r="J1031" s="40" t="str">
        <f>IF(ORCAMENTOS!L1039="","",ORCAMENTOS!L1039)</f>
        <v>FECHADO</v>
      </c>
      <c r="K1031" s="34" t="str">
        <f>IF(ORCAMENTOS!M1039="","",ORCAMENTOS!M1039)</f>
        <v>-</v>
      </c>
      <c r="L1031" t="str">
        <f>IF(ORCAMENTOS!R1039="","",ORCAMENTOS!R1039)</f>
        <v>-</v>
      </c>
    </row>
    <row r="1032" spans="1:12" ht="15.75" hidden="1" customHeight="1" x14ac:dyDescent="0.25">
      <c r="A1032" s="36">
        <f>IF(ORCAMENTOS!A1040="","",ORCAMENTOS!A1040)</f>
        <v>45821</v>
      </c>
      <c r="B1032" s="46">
        <f>IF(ORCAMENTOS!B1040="","",ORCAMENTOS!B1040)</f>
        <v>1030</v>
      </c>
      <c r="C1032" s="46" t="str">
        <f>IF(ORCAMENTOS!C1040="","",ORCAMENTOS!C1040)</f>
        <v/>
      </c>
      <c r="D1032" s="37" t="str">
        <f>IF(ORCAMENTOS!D1040="","",ORCAMENTOS!D1040)</f>
        <v>ECOTHERM</v>
      </c>
      <c r="E1032" s="38" t="str">
        <f>IF(ORCAMENTOS!E1040="","",ORCAMENTOS!E1040)</f>
        <v>USP RIBEIRÃO PRETO</v>
      </c>
      <c r="F1032" s="37" t="str">
        <f>IF(ORCAMENTOS!G1040="","",ORCAMENTOS!G1040)</f>
        <v>Emanuel</v>
      </c>
      <c r="G1032" s="37" t="str">
        <f>IF(ORCAMENTOS!H1040="","",ORCAMENTOS!H1040)</f>
        <v>Selma</v>
      </c>
      <c r="H1032" s="39">
        <f>IF(ORCAMENTOS!I1040="","",ORCAMENTOS!I1040)</f>
        <v>67470.77</v>
      </c>
      <c r="I1032" s="60" t="str">
        <f>IF(ORCAMENTOS!J1040="","",ORCAMENTOS!J1040)</f>
        <v/>
      </c>
      <c r="J1032" s="40" t="str">
        <f>IF(ORCAMENTOS!L1040="","",ORCAMENTOS!L1040)</f>
        <v>PERDIDO</v>
      </c>
      <c r="K1032" s="34" t="str">
        <f>IF(ORCAMENTOS!M1040="","",ORCAMENTOS!M1040)</f>
        <v>PERDIDO MULTIVAC - PREÇO</v>
      </c>
      <c r="L1032" t="str">
        <f>IF(ORCAMENTOS!R1040="","",ORCAMENTOS!R1040)</f>
        <v>-</v>
      </c>
    </row>
    <row r="1033" spans="1:12" ht="15.75" hidden="1" customHeight="1" x14ac:dyDescent="0.25">
      <c r="A1033" s="36">
        <f>IF(ORCAMENTOS!A1041="","",ORCAMENTOS!A1041)</f>
        <v>45821</v>
      </c>
      <c r="B1033" s="46">
        <f>IF(ORCAMENTOS!B1041="","",ORCAMENTOS!B1041)</f>
        <v>1031</v>
      </c>
      <c r="C1033" s="46" t="str">
        <f>IF(ORCAMENTOS!C1041="","",ORCAMENTOS!C1041)</f>
        <v/>
      </c>
      <c r="D1033" s="37" t="str">
        <f>IF(ORCAMENTOS!D1041="","",ORCAMENTOS!D1041)</f>
        <v>INOVECTOR</v>
      </c>
      <c r="E1033" s="38" t="str">
        <f>IF(ORCAMENTOS!E1041="","",ORCAMENTOS!E1041)</f>
        <v>STA ISABEL - 5º ANDAR</v>
      </c>
      <c r="F1033" s="37" t="str">
        <f>IF(ORCAMENTOS!G1041="","",ORCAMENTOS!G1041)</f>
        <v>Fernando</v>
      </c>
      <c r="G1033" s="37" t="str">
        <f>IF(ORCAMENTOS!H1041="","",ORCAMENTOS!H1041)</f>
        <v>Cristina</v>
      </c>
      <c r="H1033" s="39">
        <f>IF(ORCAMENTOS!I1041="","",ORCAMENTOS!I1041)</f>
        <v>73941.009999999995</v>
      </c>
      <c r="I1033" s="60" t="str">
        <f>IF(ORCAMENTOS!J1041="","",ORCAMENTOS!J1041)</f>
        <v/>
      </c>
      <c r="J1033" s="40" t="str">
        <f>IF(ORCAMENTOS!L1041="","",ORCAMENTOS!L1041)</f>
        <v>COMPRA</v>
      </c>
      <c r="K1033" s="34" t="str">
        <f>IF(ORCAMENTOS!M1041="","",ORCAMENTOS!M1041)</f>
        <v>MUDANÇA DE PROJETO</v>
      </c>
      <c r="L1033" t="str">
        <f>IF(ORCAMENTOS!R1041="","",ORCAMENTOS!R1041)</f>
        <v>-</v>
      </c>
    </row>
    <row r="1034" spans="1:12" ht="15.75" hidden="1" customHeight="1" x14ac:dyDescent="0.25">
      <c r="A1034" s="36">
        <f>IF(ORCAMENTOS!A1042="","",ORCAMENTOS!A1042)</f>
        <v>45821</v>
      </c>
      <c r="B1034" s="46">
        <f>IF(ORCAMENTOS!B1042="","",ORCAMENTOS!B1042)</f>
        <v>1032</v>
      </c>
      <c r="C1034" s="46" t="str">
        <f>IF(ORCAMENTOS!C1042="","",ORCAMENTOS!C1042)</f>
        <v/>
      </c>
      <c r="D1034" s="37" t="str">
        <f>IF(ORCAMENTOS!D1042="","",ORCAMENTOS!D1042)</f>
        <v>INOVECTOR</v>
      </c>
      <c r="E1034" s="38" t="str">
        <f>IF(ORCAMENTOS!E1042="","",ORCAMENTOS!E1042)</f>
        <v>STA ISABEL - 6º ANDAR</v>
      </c>
      <c r="F1034" s="37" t="str">
        <f>IF(ORCAMENTOS!G1042="","",ORCAMENTOS!G1042)</f>
        <v>Fernando</v>
      </c>
      <c r="G1034" s="37" t="str">
        <f>IF(ORCAMENTOS!H1042="","",ORCAMENTOS!H1042)</f>
        <v>Cristina</v>
      </c>
      <c r="H1034" s="39">
        <f>IF(ORCAMENTOS!I1042="","",ORCAMENTOS!I1042)</f>
        <v>54449.26</v>
      </c>
      <c r="I1034" s="60" t="str">
        <f>IF(ORCAMENTOS!J1042="","",ORCAMENTOS!J1042)</f>
        <v/>
      </c>
      <c r="J1034" s="40" t="str">
        <f>IF(ORCAMENTOS!L1042="","",ORCAMENTOS!L1042)</f>
        <v>COMPRA</v>
      </c>
      <c r="K1034" s="34" t="str">
        <f>IF(ORCAMENTOS!M1042="","",ORCAMENTOS!M1042)</f>
        <v>MUDANÇA DE PROJETO</v>
      </c>
      <c r="L1034" t="str">
        <f>IF(ORCAMENTOS!R1042="","",ORCAMENTOS!R1042)</f>
        <v>-</v>
      </c>
    </row>
    <row r="1035" spans="1:12" ht="15.75" hidden="1" customHeight="1" x14ac:dyDescent="0.25">
      <c r="A1035" s="36">
        <f>IF(ORCAMENTOS!A1043="","",ORCAMENTOS!A1043)</f>
        <v>45821</v>
      </c>
      <c r="B1035" s="46">
        <f>IF(ORCAMENTOS!B1043="","",ORCAMENTOS!B1043)</f>
        <v>1033</v>
      </c>
      <c r="C1035" s="46" t="str">
        <f>IF(ORCAMENTOS!C1043="","",ORCAMENTOS!C1043)</f>
        <v/>
      </c>
      <c r="D1035" s="37" t="str">
        <f>IF(ORCAMENTOS!D1043="","",ORCAMENTOS!D1043)</f>
        <v>INOVECTOR</v>
      </c>
      <c r="E1035" s="38" t="str">
        <f>IF(ORCAMENTOS!E1043="","",ORCAMENTOS!E1043)</f>
        <v>STA ISABEL - 7º ANDAR</v>
      </c>
      <c r="F1035" s="37" t="str">
        <f>IF(ORCAMENTOS!G1043="","",ORCAMENTOS!G1043)</f>
        <v>Fernando</v>
      </c>
      <c r="G1035" s="37" t="str">
        <f>IF(ORCAMENTOS!H1043="","",ORCAMENTOS!H1043)</f>
        <v>Cristina</v>
      </c>
      <c r="H1035" s="39">
        <f>IF(ORCAMENTOS!I1043="","",ORCAMENTOS!I1043)</f>
        <v>50967.37</v>
      </c>
      <c r="I1035" s="60" t="str">
        <f>IF(ORCAMENTOS!J1043="","",ORCAMENTOS!J1043)</f>
        <v/>
      </c>
      <c r="J1035" s="40" t="str">
        <f>IF(ORCAMENTOS!L1043="","",ORCAMENTOS!L1043)</f>
        <v>COMPRA</v>
      </c>
      <c r="K1035" s="34" t="str">
        <f>IF(ORCAMENTOS!M1043="","",ORCAMENTOS!M1043)</f>
        <v>MUDANÇA DE PROJETO</v>
      </c>
      <c r="L1035" t="str">
        <f>IF(ORCAMENTOS!R1043="","",ORCAMENTOS!R1043)</f>
        <v/>
      </c>
    </row>
    <row r="1036" spans="1:12" ht="15.75" hidden="1" customHeight="1" x14ac:dyDescent="0.25">
      <c r="A1036" s="36">
        <f>IF(ORCAMENTOS!A1044="","",ORCAMENTOS!A1044)</f>
        <v>45821</v>
      </c>
      <c r="B1036" s="46">
        <f>IF(ORCAMENTOS!B1044="","",ORCAMENTOS!B1044)</f>
        <v>1034</v>
      </c>
      <c r="C1036" s="46" t="str">
        <f>IF(ORCAMENTOS!C1044="","",ORCAMENTOS!C1044)</f>
        <v/>
      </c>
      <c r="D1036" s="37" t="str">
        <f>IF(ORCAMENTOS!D1044="","",ORCAMENTOS!D1044)</f>
        <v>INOVECTOR</v>
      </c>
      <c r="E1036" s="38" t="str">
        <f>IF(ORCAMENTOS!E1044="","",ORCAMENTOS!E1044)</f>
        <v>STA ISABEL - 8º ANDAR</v>
      </c>
      <c r="F1036" s="37" t="str">
        <f>IF(ORCAMENTOS!G1044="","",ORCAMENTOS!G1044)</f>
        <v>Fernando</v>
      </c>
      <c r="G1036" s="37" t="str">
        <f>IF(ORCAMENTOS!H1044="","",ORCAMENTOS!H1044)</f>
        <v>Cristina</v>
      </c>
      <c r="H1036" s="39">
        <f>IF(ORCAMENTOS!I1044="","",ORCAMENTOS!I1044)</f>
        <v>62750.87</v>
      </c>
      <c r="I1036" s="60" t="str">
        <f>IF(ORCAMENTOS!J1044="","",ORCAMENTOS!J1044)</f>
        <v/>
      </c>
      <c r="J1036" s="40" t="str">
        <f>IF(ORCAMENTOS!L1044="","",ORCAMENTOS!L1044)</f>
        <v>COMPRA</v>
      </c>
      <c r="K1036" s="34" t="str">
        <f>IF(ORCAMENTOS!M1044="","",ORCAMENTOS!M1044)</f>
        <v>MUDANÇA DE PROJETO</v>
      </c>
      <c r="L1036" t="str">
        <f>IF(ORCAMENTOS!R1044="","",ORCAMENTOS!R1044)</f>
        <v>-</v>
      </c>
    </row>
    <row r="1037" spans="1:12" ht="15.75" hidden="1" customHeight="1" x14ac:dyDescent="0.25">
      <c r="A1037" s="36">
        <f>IF(ORCAMENTOS!A1045="","",ORCAMENTOS!A1045)</f>
        <v>45824</v>
      </c>
      <c r="B1037" s="46">
        <f>IF(ORCAMENTOS!B1045="","",ORCAMENTOS!B1045)</f>
        <v>1035</v>
      </c>
      <c r="C1037" s="46" t="str">
        <f>IF(ORCAMENTOS!C1045="","",ORCAMENTOS!C1045)</f>
        <v/>
      </c>
      <c r="D1037" s="37" t="str">
        <f>IF(ORCAMENTOS!D1045="","",ORCAMENTOS!D1045)</f>
        <v>INOVECTOR</v>
      </c>
      <c r="E1037" s="38" t="str">
        <f>IF(ORCAMENTOS!E1045="","",ORCAMENTOS!E1045)</f>
        <v>STA ISABEL - 3º ANDAR</v>
      </c>
      <c r="F1037" s="37" t="str">
        <f>IF(ORCAMENTOS!G1045="","",ORCAMENTOS!G1045)</f>
        <v>Fernando</v>
      </c>
      <c r="G1037" s="37" t="str">
        <f>IF(ORCAMENTOS!H1045="","",ORCAMENTOS!H1045)</f>
        <v>Cristina</v>
      </c>
      <c r="H1037" s="39">
        <f>IF(ORCAMENTOS!I1045="","",ORCAMENTOS!I1045)</f>
        <v>104348.21</v>
      </c>
      <c r="I1037" s="60" t="str">
        <f>IF(ORCAMENTOS!J1045="","",ORCAMENTOS!J1045)</f>
        <v/>
      </c>
      <c r="J1037" s="40" t="str">
        <f>IF(ORCAMENTOS!L1045="","",ORCAMENTOS!L1045)</f>
        <v>FECHADO</v>
      </c>
      <c r="K1037" s="34" t="str">
        <f>IF(ORCAMENTOS!M1045="","",ORCAMENTOS!M1045)</f>
        <v>AGUARDANDO PEDIDO</v>
      </c>
      <c r="L1037" t="str">
        <f>IF(ORCAMENTOS!R1045="","",ORCAMENTOS!R1045)</f>
        <v>-</v>
      </c>
    </row>
    <row r="1038" spans="1:12" ht="15.75" hidden="1" customHeight="1" x14ac:dyDescent="0.25">
      <c r="A1038" s="36">
        <f>IF(ORCAMENTOS!A1046="","",ORCAMENTOS!A1046)</f>
        <v>45824</v>
      </c>
      <c r="B1038" s="46">
        <f>IF(ORCAMENTOS!B1046="","",ORCAMENTOS!B1046)</f>
        <v>1036</v>
      </c>
      <c r="C1038" s="46" t="str">
        <f>IF(ORCAMENTOS!C1046="","",ORCAMENTOS!C1046)</f>
        <v/>
      </c>
      <c r="D1038" s="37" t="str">
        <f>IF(ORCAMENTOS!D1046="","",ORCAMENTOS!D1046)</f>
        <v>INOVECTOR</v>
      </c>
      <c r="E1038" s="38" t="str">
        <f>IF(ORCAMENTOS!E1046="","",ORCAMENTOS!E1046)</f>
        <v>-</v>
      </c>
      <c r="F1038" s="37" t="str">
        <f>IF(ORCAMENTOS!G1046="","",ORCAMENTOS!G1046)</f>
        <v>Fernando</v>
      </c>
      <c r="G1038" s="37" t="str">
        <f>IF(ORCAMENTOS!H1046="","",ORCAMENTOS!H1046)</f>
        <v>Cristina</v>
      </c>
      <c r="H1038" s="39">
        <f>IF(ORCAMENTOS!I1046="","",ORCAMENTOS!I1046)</f>
        <v>15818.93</v>
      </c>
      <c r="I1038" s="60" t="str">
        <f>IF(ORCAMENTOS!J1046="","",ORCAMENTOS!J1046)</f>
        <v/>
      </c>
      <c r="J1038" s="40" t="str">
        <f>IF(ORCAMENTOS!L1046="","",ORCAMENTOS!L1046)</f>
        <v>CANCELADO</v>
      </c>
      <c r="K1038" s="34" t="str">
        <f>IF(ORCAMENTOS!M1046="","",ORCAMENTOS!M1046)</f>
        <v>AGUARDANDO PEDIDO</v>
      </c>
      <c r="L1038" t="str">
        <f>IF(ORCAMENTOS!R1046="","",ORCAMENTOS!R1046)</f>
        <v>-</v>
      </c>
    </row>
    <row r="1039" spans="1:12" ht="15.75" hidden="1" customHeight="1" x14ac:dyDescent="0.25">
      <c r="A1039" s="36">
        <f>IF(ORCAMENTOS!A1047="","",ORCAMENTOS!A1047)</f>
        <v>45824</v>
      </c>
      <c r="B1039" s="46">
        <f>IF(ORCAMENTOS!B1047="","",ORCAMENTOS!B1047)</f>
        <v>1037</v>
      </c>
      <c r="C1039" s="46" t="str">
        <f>IF(ORCAMENTOS!C1047="","",ORCAMENTOS!C1047)</f>
        <v/>
      </c>
      <c r="D1039" s="37" t="str">
        <f>IF(ORCAMENTOS!D1047="","",ORCAMENTOS!D1047)</f>
        <v>K SET</v>
      </c>
      <c r="E1039" s="38" t="str">
        <f>IF(ORCAMENTOS!E1047="","",ORCAMENTOS!E1047)</f>
        <v>-</v>
      </c>
      <c r="F1039" s="37" t="str">
        <f>IF(ORCAMENTOS!G1047="","",ORCAMENTOS!G1047)</f>
        <v>Gabriel</v>
      </c>
      <c r="G1039" s="37" t="str">
        <f>IF(ORCAMENTOS!H1047="","",ORCAMENTOS!H1047)</f>
        <v>Lana</v>
      </c>
      <c r="H1039" s="39">
        <f>IF(ORCAMENTOS!I1047="","",ORCAMENTOS!I1047)</f>
        <v>1809.15</v>
      </c>
      <c r="I1039" s="60" t="str">
        <f>IF(ORCAMENTOS!J1047="","",ORCAMENTOS!J1047)</f>
        <v/>
      </c>
      <c r="J1039" s="40" t="str">
        <f>IF(ORCAMENTOS!L1047="","",ORCAMENTOS!L1047)</f>
        <v>FECHADO</v>
      </c>
      <c r="K1039" s="34" t="str">
        <f>IF(ORCAMENTOS!M1047="","",ORCAMENTOS!M1047)</f>
        <v>-</v>
      </c>
      <c r="L1039" t="str">
        <f>IF(ORCAMENTOS!R1047="","",ORCAMENTOS!R1047)</f>
        <v>-</v>
      </c>
    </row>
    <row r="1040" spans="1:12" ht="15.75" hidden="1" customHeight="1" x14ac:dyDescent="0.25">
      <c r="A1040" s="36">
        <f>IF(ORCAMENTOS!A1048="","",ORCAMENTOS!A1048)</f>
        <v>45824</v>
      </c>
      <c r="B1040" s="46">
        <f>IF(ORCAMENTOS!B1048="","",ORCAMENTOS!B1048)</f>
        <v>1038</v>
      </c>
      <c r="C1040" s="46" t="str">
        <f>IF(ORCAMENTOS!C1048="","",ORCAMENTOS!C1048)</f>
        <v/>
      </c>
      <c r="D1040" s="37" t="str">
        <f>IF(ORCAMENTOS!D1048="","",ORCAMENTOS!D1048)</f>
        <v>NOSSO AR</v>
      </c>
      <c r="E1040" s="38" t="str">
        <f>IF(ORCAMENTOS!E1048="","",ORCAMENTOS!E1048)</f>
        <v>JOANIN - LOJA 01 - SÃO CAETANO - SP</v>
      </c>
      <c r="F1040" s="37" t="str">
        <f>IF(ORCAMENTOS!G1048="","",ORCAMENTOS!G1048)</f>
        <v>Gabriel</v>
      </c>
      <c r="G1040" s="37" t="str">
        <f>IF(ORCAMENTOS!H1048="","",ORCAMENTOS!H1048)</f>
        <v>Larissa</v>
      </c>
      <c r="H1040" s="39">
        <f>IF(ORCAMENTOS!I1048="","",ORCAMENTOS!I1048)</f>
        <v>148305.82</v>
      </c>
      <c r="I1040" s="60" t="str">
        <f>IF(ORCAMENTOS!J1048="","",ORCAMENTOS!J1048)</f>
        <v/>
      </c>
      <c r="J1040" s="40" t="str">
        <f>IF(ORCAMENTOS!L1048="","",ORCAMENTOS!L1048)</f>
        <v>CANCELADO</v>
      </c>
      <c r="K1040" s="34" t="str">
        <f>IF(ORCAMENTOS!M1048="","",ORCAMENTOS!M1048)</f>
        <v>-</v>
      </c>
      <c r="L1040" t="str">
        <f>IF(ORCAMENTOS!R1048="","",ORCAMENTOS!R1048)</f>
        <v>-</v>
      </c>
    </row>
    <row r="1041" spans="1:12" ht="15.75" hidden="1" customHeight="1" x14ac:dyDescent="0.25">
      <c r="A1041" s="36">
        <f>IF(ORCAMENTOS!A1049="","",ORCAMENTOS!A1049)</f>
        <v>45824</v>
      </c>
      <c r="B1041" s="46">
        <f>IF(ORCAMENTOS!B1049="","",ORCAMENTOS!B1049)</f>
        <v>1039</v>
      </c>
      <c r="C1041" s="46" t="str">
        <f>IF(ORCAMENTOS!C1049="","",ORCAMENTOS!C1049)</f>
        <v/>
      </c>
      <c r="D1041" s="37" t="str">
        <f>IF(ORCAMENTOS!D1049="","",ORCAMENTOS!D1049)</f>
        <v>NOSSO AR</v>
      </c>
      <c r="E1041" s="38" t="str">
        <f>IF(ORCAMENTOS!E1049="","",ORCAMENTOS!E1049)</f>
        <v>JOANIN - LOJA 03 - SÃO CAETANO - SP</v>
      </c>
      <c r="F1041" s="37" t="str">
        <f>IF(ORCAMENTOS!G1049="","",ORCAMENTOS!G1049)</f>
        <v>Gabriel</v>
      </c>
      <c r="G1041" s="37" t="str">
        <f>IF(ORCAMENTOS!H1049="","",ORCAMENTOS!H1049)</f>
        <v>Larissa</v>
      </c>
      <c r="H1041" s="39">
        <f>IF(ORCAMENTOS!I1049="","",ORCAMENTOS!I1049)</f>
        <v>153517.4</v>
      </c>
      <c r="I1041" s="60" t="str">
        <f>IF(ORCAMENTOS!J1049="","",ORCAMENTOS!J1049)</f>
        <v/>
      </c>
      <c r="J1041" s="40" t="str">
        <f>IF(ORCAMENTOS!L1049="","",ORCAMENTOS!L1049)</f>
        <v>CANCELADO</v>
      </c>
      <c r="K1041" s="34" t="str">
        <f>IF(ORCAMENTOS!M1049="","",ORCAMENTOS!M1049)</f>
        <v>-</v>
      </c>
      <c r="L1041" t="str">
        <f>IF(ORCAMENTOS!R1049="","",ORCAMENTOS!R1049)</f>
        <v>-</v>
      </c>
    </row>
    <row r="1042" spans="1:12" ht="15.75" hidden="1" customHeight="1" x14ac:dyDescent="0.25">
      <c r="A1042" s="36">
        <f>IF(ORCAMENTOS!A1050="","",ORCAMENTOS!A1050)</f>
        <v>45824</v>
      </c>
      <c r="B1042" s="46">
        <f>IF(ORCAMENTOS!B1050="","",ORCAMENTOS!B1050)</f>
        <v>1040</v>
      </c>
      <c r="C1042" s="46" t="str">
        <f>IF(ORCAMENTOS!C1050="","",ORCAMENTOS!C1050)</f>
        <v/>
      </c>
      <c r="D1042" s="37" t="str">
        <f>IF(ORCAMENTOS!D1050="","",ORCAMENTOS!D1050)</f>
        <v>NOSSO AR</v>
      </c>
      <c r="E1042" s="38" t="str">
        <f>IF(ORCAMENTOS!E1050="","",ORCAMENTOS!E1050)</f>
        <v>JOANIN SBC</v>
      </c>
      <c r="F1042" s="37" t="str">
        <f>IF(ORCAMENTOS!G1050="","",ORCAMENTOS!G1050)</f>
        <v>Gabriel</v>
      </c>
      <c r="G1042" s="37" t="str">
        <f>IF(ORCAMENTOS!H1050="","",ORCAMENTOS!H1050)</f>
        <v>Gabrielle</v>
      </c>
      <c r="H1042" s="39">
        <f>IF(ORCAMENTOS!I1050="","",ORCAMENTOS!I1050)</f>
        <v>8518.17</v>
      </c>
      <c r="I1042" s="60" t="str">
        <f>IF(ORCAMENTOS!J1050="","",ORCAMENTOS!J1050)</f>
        <v/>
      </c>
      <c r="J1042" s="40" t="str">
        <f>IF(ORCAMENTOS!L1050="","",ORCAMENTOS!L1050)</f>
        <v>PERDIDO</v>
      </c>
      <c r="K1042" s="34" t="str">
        <f>IF(ORCAMENTOS!M1050="","",ORCAMENTOS!M1050)</f>
        <v>FECHOU POR 7K</v>
      </c>
      <c r="L1042" t="str">
        <f>IF(ORCAMENTOS!R1050="","",ORCAMENTOS!R1050)</f>
        <v>-</v>
      </c>
    </row>
    <row r="1043" spans="1:12" ht="15.75" hidden="1" customHeight="1" x14ac:dyDescent="0.25">
      <c r="A1043" s="36">
        <f>IF(ORCAMENTOS!A1051="","",ORCAMENTOS!A1051)</f>
        <v>45824</v>
      </c>
      <c r="B1043" s="46">
        <f>IF(ORCAMENTOS!B1051="","",ORCAMENTOS!B1051)</f>
        <v>1041</v>
      </c>
      <c r="C1043" s="46" t="str">
        <f>IF(ORCAMENTOS!C1051="","",ORCAMENTOS!C1051)</f>
        <v/>
      </c>
      <c r="D1043" s="37" t="str">
        <f>IF(ORCAMENTOS!D1051="","",ORCAMENTOS!D1051)</f>
        <v>RANKINE ENGENHARIA</v>
      </c>
      <c r="E1043" s="38" t="str">
        <f>IF(ORCAMENTOS!E1051="","",ORCAMENTOS!E1051)</f>
        <v>UNIMED PIRACICABA - PREDIO LEITO - PIRACICABA - SP - OPCAO 2</v>
      </c>
      <c r="F1043" s="37" t="str">
        <f>IF(ORCAMENTOS!G1051="","",ORCAMENTOS!G1051)</f>
        <v>Michel</v>
      </c>
      <c r="G1043" s="37" t="str">
        <f>IF(ORCAMENTOS!H1051="","",ORCAMENTOS!H1051)</f>
        <v>Carlos</v>
      </c>
      <c r="H1043" s="39">
        <f>IF(ORCAMENTOS!I1051="","",ORCAMENTOS!I1051)</f>
        <v>115642.9</v>
      </c>
      <c r="I1043" s="60" t="str">
        <f>IF(ORCAMENTOS!J1051="","",ORCAMENTOS!J1051)</f>
        <v/>
      </c>
      <c r="J1043" s="40" t="str">
        <f>IF(ORCAMENTOS!L1051="","",ORCAMENTOS!L1051)</f>
        <v>CANCELADO</v>
      </c>
      <c r="K1043" s="34" t="str">
        <f>IF(ORCAMENTOS!M1051="","",ORCAMENTOS!M1051)</f>
        <v>FECHOU EM CHAPA</v>
      </c>
      <c r="L1043" t="str">
        <f>IF(ORCAMENTOS!R1051="","",ORCAMENTOS!R1051)</f>
        <v>CHAPA GALVANIZADA</v>
      </c>
    </row>
    <row r="1044" spans="1:12" ht="15.75" hidden="1" customHeight="1" x14ac:dyDescent="0.25">
      <c r="A1044" s="36">
        <f>IF(ORCAMENTOS!A1052="","",ORCAMENTOS!A1052)</f>
        <v>45824</v>
      </c>
      <c r="B1044" s="46">
        <f>IF(ORCAMENTOS!B1052="","",ORCAMENTOS!B1052)</f>
        <v>1042</v>
      </c>
      <c r="C1044" s="46" t="str">
        <f>IF(ORCAMENTOS!C1052="","",ORCAMENTOS!C1052)</f>
        <v/>
      </c>
      <c r="D1044" s="37" t="str">
        <f>IF(ORCAMENTOS!D1052="","",ORCAMENTOS!D1052)</f>
        <v>RANKINE ENGENHARIA</v>
      </c>
      <c r="E1044" s="38" t="str">
        <f>IF(ORCAMENTOS!E1052="","",ORCAMENTOS!E1052)</f>
        <v>UNIMED PIRACICABA - PREDIO LEITO - PIRACICABA - SP - OPCAO 1</v>
      </c>
      <c r="F1044" s="37" t="str">
        <f>IF(ORCAMENTOS!G1052="","",ORCAMENTOS!G1052)</f>
        <v>Michel</v>
      </c>
      <c r="G1044" s="37" t="str">
        <f>IF(ORCAMENTOS!H1052="","",ORCAMENTOS!H1052)</f>
        <v>Carlos</v>
      </c>
      <c r="H1044" s="39">
        <f>IF(ORCAMENTOS!I1052="","",ORCAMENTOS!I1052)</f>
        <v>171613.79</v>
      </c>
      <c r="I1044" s="60" t="str">
        <f>IF(ORCAMENTOS!J1052="","",ORCAMENTOS!J1052)</f>
        <v/>
      </c>
      <c r="J1044" s="40" t="str">
        <f>IF(ORCAMENTOS!L1052="","",ORCAMENTOS!L1052)</f>
        <v>CANCELADO</v>
      </c>
      <c r="K1044" s="34" t="str">
        <f>IF(ORCAMENTOS!M1052="","",ORCAMENTOS!M1052)</f>
        <v>FECHOU EM CHAPA</v>
      </c>
      <c r="L1044" t="str">
        <f>IF(ORCAMENTOS!R1052="","",ORCAMENTOS!R1052)</f>
        <v>CHAPA GALVANIZADA</v>
      </c>
    </row>
    <row r="1045" spans="1:12" ht="15.75" hidden="1" customHeight="1" x14ac:dyDescent="0.25">
      <c r="A1045" s="36">
        <f>IF(ORCAMENTOS!A1053="","",ORCAMENTOS!A1053)</f>
        <v>45824</v>
      </c>
      <c r="B1045" s="46">
        <f>IF(ORCAMENTOS!B1053="","",ORCAMENTOS!B1053)</f>
        <v>1043</v>
      </c>
      <c r="C1045" s="46" t="str">
        <f>IF(ORCAMENTOS!C1053="","",ORCAMENTOS!C1053)</f>
        <v/>
      </c>
      <c r="D1045" s="37" t="str">
        <f>IF(ORCAMENTOS!D1053="","",ORCAMENTOS!D1053)</f>
        <v>AR SISTEMAS</v>
      </c>
      <c r="E1045" s="38" t="str">
        <f>IF(ORCAMENTOS!E1053="","",ORCAMENTOS!E1053)</f>
        <v>SMART FIT - POUPAKI OSASCO - SP</v>
      </c>
      <c r="F1045" s="37" t="str">
        <f>IF(ORCAMENTOS!G1053="","",ORCAMENTOS!G1053)</f>
        <v>Michel</v>
      </c>
      <c r="G1045" s="37" t="str">
        <f>IF(ORCAMENTOS!H1053="","",ORCAMENTOS!H1053)</f>
        <v>Marcos</v>
      </c>
      <c r="H1045" s="39">
        <f>IF(ORCAMENTOS!I1053="","",ORCAMENTOS!I1053)</f>
        <v>55253.02</v>
      </c>
      <c r="I1045" s="60" t="str">
        <f>IF(ORCAMENTOS!J1053="","",ORCAMENTOS!J1053)</f>
        <v/>
      </c>
      <c r="J1045" s="40" t="str">
        <f>IF(ORCAMENTOS!L1053="","",ORCAMENTOS!L1053)</f>
        <v>CANCELADO</v>
      </c>
      <c r="K1045" s="34" t="str">
        <f>IF(ORCAMENTOS!M1053="","",ORCAMENTOS!M1053)</f>
        <v>-</v>
      </c>
      <c r="L1045" t="str">
        <f>IF(ORCAMENTOS!R1053="","",ORCAMENTOS!R1053)</f>
        <v>MPU</v>
      </c>
    </row>
    <row r="1046" spans="1:12" ht="15.75" hidden="1" customHeight="1" x14ac:dyDescent="0.25">
      <c r="A1046" s="36">
        <f>IF(ORCAMENTOS!A1054="","",ORCAMENTOS!A1054)</f>
        <v>45824</v>
      </c>
      <c r="B1046" s="46">
        <f>IF(ORCAMENTOS!B1054="","",ORCAMENTOS!B1054)</f>
        <v>1044</v>
      </c>
      <c r="C1046" s="46" t="str">
        <f>IF(ORCAMENTOS!C1054="","",ORCAMENTOS!C1054)</f>
        <v/>
      </c>
      <c r="D1046" s="37" t="str">
        <f>IF(ORCAMENTOS!D1054="","",ORCAMENTOS!D1054)</f>
        <v>AR SISTEMAS</v>
      </c>
      <c r="E1046" s="38" t="str">
        <f>IF(ORCAMENTOS!E1054="","",ORCAMENTOS!E1054)</f>
        <v>SMART FIT - MALL CAIEIRAS - SP</v>
      </c>
      <c r="F1046" s="37" t="str">
        <f>IF(ORCAMENTOS!G1054="","",ORCAMENTOS!G1054)</f>
        <v>Michel</v>
      </c>
      <c r="G1046" s="37" t="str">
        <f>IF(ORCAMENTOS!H1054="","",ORCAMENTOS!H1054)</f>
        <v>Marcos</v>
      </c>
      <c r="H1046" s="39">
        <f>IF(ORCAMENTOS!I1054="","",ORCAMENTOS!I1054)</f>
        <v>87594.74</v>
      </c>
      <c r="I1046" s="60" t="str">
        <f>IF(ORCAMENTOS!J1054="","",ORCAMENTOS!J1054)</f>
        <v/>
      </c>
      <c r="J1046" s="40" t="str">
        <f>IF(ORCAMENTOS!L1054="","",ORCAMENTOS!L1054)</f>
        <v>CANCELADO</v>
      </c>
      <c r="K1046" s="34" t="str">
        <f>IF(ORCAMENTOS!M1054="","",ORCAMENTOS!M1054)</f>
        <v>-</v>
      </c>
      <c r="L1046" t="str">
        <f>IF(ORCAMENTOS!R1054="","",ORCAMENTOS!R1054)</f>
        <v>MPU</v>
      </c>
    </row>
    <row r="1047" spans="1:12" ht="15.75" hidden="1" customHeight="1" x14ac:dyDescent="0.25">
      <c r="A1047" s="36">
        <f>IF(ORCAMENTOS!A1055="","",ORCAMENTOS!A1055)</f>
        <v>45824</v>
      </c>
      <c r="B1047" s="46">
        <f>IF(ORCAMENTOS!B1055="","",ORCAMENTOS!B1055)</f>
        <v>1045</v>
      </c>
      <c r="C1047" s="46" t="str">
        <f>IF(ORCAMENTOS!C1055="","",ORCAMENTOS!C1055)</f>
        <v/>
      </c>
      <c r="D1047" s="37" t="str">
        <f>IF(ORCAMENTOS!D1055="","",ORCAMENTOS!D1055)</f>
        <v>R1 SOLUCOES</v>
      </c>
      <c r="E1047" s="38" t="str">
        <f>IF(ORCAMENTOS!E1055="","",ORCAMENTOS!E1055)</f>
        <v>-</v>
      </c>
      <c r="F1047" s="37" t="str">
        <f>IF(ORCAMENTOS!G1055="","",ORCAMENTOS!G1055)</f>
        <v>Gabriel</v>
      </c>
      <c r="G1047" s="37" t="str">
        <f>IF(ORCAMENTOS!H1055="","",ORCAMENTOS!H1055)</f>
        <v>Janaina</v>
      </c>
      <c r="H1047" s="39">
        <f>IF(ORCAMENTOS!I1055="","",ORCAMENTOS!I1055)</f>
        <v>1488.87</v>
      </c>
      <c r="I1047" s="60" t="str">
        <f>IF(ORCAMENTOS!J1055="","",ORCAMENTOS!J1055)</f>
        <v/>
      </c>
      <c r="J1047" s="40" t="str">
        <f>IF(ORCAMENTOS!L1055="","",ORCAMENTOS!L1055)</f>
        <v>CANCELADO</v>
      </c>
      <c r="K1047" s="34" t="str">
        <f>IF(ORCAMENTOS!M1055="","",ORCAMENTOS!M1055)</f>
        <v>-</v>
      </c>
      <c r="L1047" t="str">
        <f>IF(ORCAMENTOS!R1055="","",ORCAMENTOS!R1055)</f>
        <v>-</v>
      </c>
    </row>
    <row r="1048" spans="1:12" ht="15.75" hidden="1" customHeight="1" x14ac:dyDescent="0.25">
      <c r="A1048" s="36">
        <f>IF(ORCAMENTOS!A1056="","",ORCAMENTOS!A1056)</f>
        <v>45824</v>
      </c>
      <c r="B1048" s="46">
        <f>IF(ORCAMENTOS!B1056="","",ORCAMENTOS!B1056)</f>
        <v>1046</v>
      </c>
      <c r="C1048" s="46" t="str">
        <f>IF(ORCAMENTOS!C1056="","",ORCAMENTOS!C1056)</f>
        <v/>
      </c>
      <c r="D1048" s="37" t="str">
        <f>IF(ORCAMENTOS!D1056="","",ORCAMENTOS!D1056)</f>
        <v>REFRIARTEC</v>
      </c>
      <c r="E1048" s="38" t="str">
        <f>IF(ORCAMENTOS!E1056="","",ORCAMENTOS!E1056)</f>
        <v>SMART FIT - VILA FORMOSA - JUNDIAI - SP</v>
      </c>
      <c r="F1048" s="37" t="str">
        <f>IF(ORCAMENTOS!G1056="","",ORCAMENTOS!G1056)</f>
        <v>Gabriel</v>
      </c>
      <c r="G1048" s="37" t="str">
        <f>IF(ORCAMENTOS!H1056="","",ORCAMENTOS!H1056)</f>
        <v>Neusa</v>
      </c>
      <c r="H1048" s="39">
        <f>IF(ORCAMENTOS!I1056="","",ORCAMENTOS!I1056)</f>
        <v>63186.34</v>
      </c>
      <c r="I1048" s="60" t="str">
        <f>IF(ORCAMENTOS!J1056="","",ORCAMENTOS!J1056)</f>
        <v/>
      </c>
      <c r="J1048" s="40" t="str">
        <f>IF(ORCAMENTOS!L1056="","",ORCAMENTOS!L1056)</f>
        <v>CANCELADO</v>
      </c>
      <c r="K1048" s="34" t="str">
        <f>IF(ORCAMENTOS!M1056="","",ORCAMENTOS!M1056)</f>
        <v>-</v>
      </c>
      <c r="L1048" t="str">
        <f>IF(ORCAMENTOS!R1056="","",ORCAMENTOS!R1056)</f>
        <v>MPU</v>
      </c>
    </row>
    <row r="1049" spans="1:12" ht="15.75" hidden="1" customHeight="1" x14ac:dyDescent="0.25">
      <c r="A1049" s="36">
        <f>IF(ORCAMENTOS!A1057="","",ORCAMENTOS!A1057)</f>
        <v>45825</v>
      </c>
      <c r="B1049" s="46">
        <f>IF(ORCAMENTOS!B1057="","",ORCAMENTOS!B1057)</f>
        <v>1047</v>
      </c>
      <c r="C1049" s="46" t="str">
        <f>IF(ORCAMENTOS!C1057="","",ORCAMENTOS!C1057)</f>
        <v/>
      </c>
      <c r="D1049" s="37" t="str">
        <f>IF(ORCAMENTOS!D1057="","",ORCAMENTOS!D1057)</f>
        <v>SO AR CLIMATIZACAO</v>
      </c>
      <c r="E1049" s="38" t="str">
        <f>IF(ORCAMENTOS!E1057="","",ORCAMENTOS!E1057)</f>
        <v>-</v>
      </c>
      <c r="F1049" s="37" t="str">
        <f>IF(ORCAMENTOS!G1057="","",ORCAMENTOS!G1057)</f>
        <v>Gabriel</v>
      </c>
      <c r="G1049" s="37" t="str">
        <f>IF(ORCAMENTOS!H1057="","",ORCAMENTOS!H1057)</f>
        <v>Gabriel</v>
      </c>
      <c r="H1049" s="39">
        <f>IF(ORCAMENTOS!I1057="","",ORCAMENTOS!I1057)</f>
        <v>9908</v>
      </c>
      <c r="I1049" s="60" t="str">
        <f>IF(ORCAMENTOS!J1057="","",ORCAMENTOS!J1057)</f>
        <v/>
      </c>
      <c r="J1049" s="40" t="str">
        <f>IF(ORCAMENTOS!L1057="","",ORCAMENTOS!L1057)</f>
        <v>CANCELADO</v>
      </c>
      <c r="K1049" s="34" t="str">
        <f>IF(ORCAMENTOS!M1057="","",ORCAMENTOS!M1057)</f>
        <v>-</v>
      </c>
      <c r="L1049" t="str">
        <f>IF(ORCAMENTOS!R1057="","",ORCAMENTOS!R1057)</f>
        <v>-</v>
      </c>
    </row>
    <row r="1050" spans="1:12" ht="15.75" hidden="1" customHeight="1" x14ac:dyDescent="0.25">
      <c r="A1050" s="36">
        <f>IF(ORCAMENTOS!A1058="","",ORCAMENTOS!A1058)</f>
        <v>45825</v>
      </c>
      <c r="B1050" s="46">
        <f>IF(ORCAMENTOS!B1058="","",ORCAMENTOS!B1058)</f>
        <v>1048</v>
      </c>
      <c r="C1050" s="46" t="str">
        <f>IF(ORCAMENTOS!C1058="","",ORCAMENTOS!C1058)</f>
        <v/>
      </c>
      <c r="D1050" s="37" t="str">
        <f>IF(ORCAMENTOS!D1058="","",ORCAMENTOS!D1058)</f>
        <v>NOSSO AR</v>
      </c>
      <c r="E1050" s="38" t="str">
        <f>IF(ORCAMENTOS!E1058="","",ORCAMENTOS!E1058)</f>
        <v>-</v>
      </c>
      <c r="F1050" s="37" t="str">
        <f>IF(ORCAMENTOS!G1058="","",ORCAMENTOS!G1058)</f>
        <v>Gabriel</v>
      </c>
      <c r="G1050" s="37" t="str">
        <f>IF(ORCAMENTOS!H1058="","",ORCAMENTOS!H1058)</f>
        <v>Gabrielle</v>
      </c>
      <c r="H1050" s="39">
        <f>IF(ORCAMENTOS!I1058="","",ORCAMENTOS!I1058)</f>
        <v>139395.92000000001</v>
      </c>
      <c r="I1050" s="60" t="str">
        <f>IF(ORCAMENTOS!J1058="","",ORCAMENTOS!J1058)</f>
        <v/>
      </c>
      <c r="J1050" s="40" t="str">
        <f>IF(ORCAMENTOS!L1058="","",ORCAMENTOS!L1058)</f>
        <v>COMPRA</v>
      </c>
      <c r="K1050" s="34" t="str">
        <f>IF(ORCAMENTOS!M1058="","",ORCAMENTOS!M1058)</f>
        <v>-</v>
      </c>
      <c r="L1050" t="str">
        <f>IF(ORCAMENTOS!R1058="","",ORCAMENTOS!R1058)</f>
        <v>-</v>
      </c>
    </row>
    <row r="1051" spans="1:12" ht="15.75" hidden="1" customHeight="1" x14ac:dyDescent="0.25">
      <c r="A1051" s="36">
        <f>IF(ORCAMENTOS!A1059="","",ORCAMENTOS!A1059)</f>
        <v>45825</v>
      </c>
      <c r="B1051" s="46">
        <f>IF(ORCAMENTOS!B1059="","",ORCAMENTOS!B1059)</f>
        <v>1049</v>
      </c>
      <c r="C1051" s="46" t="str">
        <f>IF(ORCAMENTOS!C1059="","",ORCAMENTOS!C1059)</f>
        <v/>
      </c>
      <c r="D1051" s="37" t="str">
        <f>IF(ORCAMENTOS!D1059="","",ORCAMENTOS!D1059)</f>
        <v>ADALTA ENGENHARIA</v>
      </c>
      <c r="E1051" s="38" t="str">
        <f>IF(ORCAMENTOS!E1059="","",ORCAMENTOS!E1059)</f>
        <v>-</v>
      </c>
      <c r="F1051" s="37" t="str">
        <f>IF(ORCAMENTOS!G1059="","",ORCAMENTOS!G1059)</f>
        <v>Fernando</v>
      </c>
      <c r="G1051" s="37" t="str">
        <f>IF(ORCAMENTOS!H1059="","",ORCAMENTOS!H1059)</f>
        <v>Victoria</v>
      </c>
      <c r="H1051" s="39">
        <f>IF(ORCAMENTOS!I1059="","",ORCAMENTOS!I1059)</f>
        <v>54442.99</v>
      </c>
      <c r="I1051" s="60" t="str">
        <f>IF(ORCAMENTOS!J1059="","",ORCAMENTOS!J1059)</f>
        <v/>
      </c>
      <c r="J1051" s="40" t="str">
        <f>IF(ORCAMENTOS!L1059="","",ORCAMENTOS!L1059)</f>
        <v>FECHADO</v>
      </c>
      <c r="K1051" s="34" t="str">
        <f>IF(ORCAMENTOS!M1059="","",ORCAMENTOS!M1059)</f>
        <v>AGUARDANDO PEDIDO</v>
      </c>
      <c r="L1051" t="str">
        <f>IF(ORCAMENTOS!R1059="","",ORCAMENTOS!R1059)</f>
        <v>-</v>
      </c>
    </row>
    <row r="1052" spans="1:12" ht="15.75" hidden="1" customHeight="1" x14ac:dyDescent="0.25">
      <c r="A1052" s="36">
        <f>IF(ORCAMENTOS!A1060="","",ORCAMENTOS!A1060)</f>
        <v>45826</v>
      </c>
      <c r="B1052" s="46">
        <f>IF(ORCAMENTOS!B1060="","",ORCAMENTOS!B1060)</f>
        <v>1050</v>
      </c>
      <c r="C1052" s="46" t="str">
        <f>IF(ORCAMENTOS!C1060="","",ORCAMENTOS!C1060)</f>
        <v/>
      </c>
      <c r="D1052" s="37" t="str">
        <f>IF(ORCAMENTOS!D1060="","",ORCAMENTOS!D1060)</f>
        <v>CONSORCIO ARC</v>
      </c>
      <c r="E1052" s="38" t="str">
        <f>IF(ORCAMENTOS!E1060="","",ORCAMENTOS!E1060)</f>
        <v>COMPANHIA DO METROPOLITANO DE SÃO PAULO</v>
      </c>
      <c r="F1052" s="37" t="str">
        <f>IF(ORCAMENTOS!G1060="","",ORCAMENTOS!G1060)</f>
        <v>Gabriel</v>
      </c>
      <c r="G1052" s="37" t="str">
        <f>IF(ORCAMENTOS!H1060="","",ORCAMENTOS!H1060)</f>
        <v>Wagner</v>
      </c>
      <c r="H1052" s="39">
        <f>IF(ORCAMENTOS!I1060="","",ORCAMENTOS!I1060)</f>
        <v>4616.78</v>
      </c>
      <c r="I1052" s="60" t="str">
        <f>IF(ORCAMENTOS!J1060="","",ORCAMENTOS!J1060)</f>
        <v/>
      </c>
      <c r="J1052" s="40" t="str">
        <f>IF(ORCAMENTOS!L1060="","",ORCAMENTOS!L1060)</f>
        <v>COMPRA</v>
      </c>
      <c r="K1052" s="34" t="str">
        <f>IF(ORCAMENTOS!M1060="","",ORCAMENTOS!M1060)</f>
        <v>-</v>
      </c>
      <c r="L1052" t="str">
        <f>IF(ORCAMENTOS!R1060="","",ORCAMENTOS!R1060)</f>
        <v>-</v>
      </c>
    </row>
    <row r="1053" spans="1:12" ht="15.75" hidden="1" customHeight="1" x14ac:dyDescent="0.25">
      <c r="A1053" s="36">
        <f>IF(ORCAMENTOS!A1061="","",ORCAMENTOS!A1061)</f>
        <v>45825</v>
      </c>
      <c r="B1053" s="46">
        <f>IF(ORCAMENTOS!B1061="","",ORCAMENTOS!B1061)</f>
        <v>1051</v>
      </c>
      <c r="C1053" s="46" t="str">
        <f>IF(ORCAMENTOS!C1061="","",ORCAMENTOS!C1061)</f>
        <v/>
      </c>
      <c r="D1053" s="37" t="str">
        <f>IF(ORCAMENTOS!D1061="","",ORCAMENTOS!D1061)</f>
        <v>HAITEC</v>
      </c>
      <c r="E1053" s="38" t="str">
        <f>IF(ORCAMENTOS!E1061="","",ORCAMENTOS!E1061)</f>
        <v>MARIA FILO - IGUATEMI</v>
      </c>
      <c r="F1053" s="37" t="str">
        <f>IF(ORCAMENTOS!G1061="","",ORCAMENTOS!G1061)</f>
        <v>Michel</v>
      </c>
      <c r="G1053" s="37" t="str">
        <f>IF(ORCAMENTOS!H1061="","",ORCAMENTOS!H1061)</f>
        <v>Sileide</v>
      </c>
      <c r="H1053" s="39">
        <f>IF(ORCAMENTOS!I1061="","",ORCAMENTOS!I1061)</f>
        <v>7798.86</v>
      </c>
      <c r="I1053" s="60" t="str">
        <f>IF(ORCAMENTOS!J1061="","",ORCAMENTOS!J1061)</f>
        <v/>
      </c>
      <c r="J1053" s="40" t="str">
        <f>IF(ORCAMENTOS!L1061="","",ORCAMENTOS!L1061)</f>
        <v>CANCELADO</v>
      </c>
      <c r="K1053" s="34" t="str">
        <f>IF(ORCAMENTOS!M1061="","",ORCAMENTOS!M1061)</f>
        <v>-</v>
      </c>
      <c r="L1053" t="str">
        <f>IF(ORCAMENTOS!R1061="","",ORCAMENTOS!R1061)</f>
        <v>-</v>
      </c>
    </row>
    <row r="1054" spans="1:12" ht="15.75" hidden="1" customHeight="1" x14ac:dyDescent="0.25">
      <c r="A1054" s="36">
        <f>IF(ORCAMENTOS!A1062="","",ORCAMENTOS!A1062)</f>
        <v>45825</v>
      </c>
      <c r="B1054" s="46">
        <f>IF(ORCAMENTOS!B1062="","",ORCAMENTOS!B1062)</f>
        <v>1052</v>
      </c>
      <c r="C1054" s="46" t="str">
        <f>IF(ORCAMENTOS!C1062="","",ORCAMENTOS!C1062)</f>
        <v/>
      </c>
      <c r="D1054" s="37" t="str">
        <f>IF(ORCAMENTOS!D1062="","",ORCAMENTOS!D1062)</f>
        <v>M&amp;M SOLUCOES</v>
      </c>
      <c r="E1054" s="38" t="str">
        <f>IF(ORCAMENTOS!E1062="","",ORCAMENTOS!E1062)</f>
        <v>INSTITUTO MAUA - H100</v>
      </c>
      <c r="F1054" s="37" t="str">
        <f>IF(ORCAMENTOS!G1062="","",ORCAMENTOS!G1062)</f>
        <v>Emanuel</v>
      </c>
      <c r="G1054" s="37" t="str">
        <f>IF(ORCAMENTOS!H1062="","",ORCAMENTOS!H1062)</f>
        <v>Hugo</v>
      </c>
      <c r="H1054" s="39">
        <f>IF(ORCAMENTOS!I1062="","",ORCAMENTOS!I1062)</f>
        <v>25872.05</v>
      </c>
      <c r="I1054" s="60" t="str">
        <f>IF(ORCAMENTOS!J1062="","",ORCAMENTOS!J1062)</f>
        <v/>
      </c>
      <c r="J1054" s="40" t="str">
        <f>IF(ORCAMENTOS!L1062="","",ORCAMENTOS!L1062)</f>
        <v>CANCELADO</v>
      </c>
      <c r="K1054" s="34" t="str">
        <f>IF(ORCAMENTOS!M1062="","",ORCAMENTOS!M1062)</f>
        <v>-</v>
      </c>
      <c r="L1054" t="str">
        <f>IF(ORCAMENTOS!R1062="","",ORCAMENTOS!R1062)</f>
        <v/>
      </c>
    </row>
    <row r="1055" spans="1:12" ht="15.75" hidden="1" customHeight="1" x14ac:dyDescent="0.25">
      <c r="A1055" s="36">
        <f>IF(ORCAMENTOS!A1063="","",ORCAMENTOS!A1063)</f>
        <v>45825</v>
      </c>
      <c r="B1055" s="46">
        <f>IF(ORCAMENTOS!B1063="","",ORCAMENTOS!B1063)</f>
        <v>1053</v>
      </c>
      <c r="C1055" s="46" t="str">
        <f>IF(ORCAMENTOS!C1063="","",ORCAMENTOS!C1063)</f>
        <v/>
      </c>
      <c r="D1055" s="37" t="str">
        <f>IF(ORCAMENTOS!D1063="","",ORCAMENTOS!D1063)</f>
        <v>DUPLIX ENGENHARIA</v>
      </c>
      <c r="E1055" s="38" t="str">
        <f>IF(ORCAMENTOS!E1063="","",ORCAMENTOS!E1063)</f>
        <v>SICRED - CENTRO - MOGI DAS CRUZES - SP</v>
      </c>
      <c r="F1055" s="37" t="str">
        <f>IF(ORCAMENTOS!G1063="","",ORCAMENTOS!G1063)</f>
        <v>Emanuel</v>
      </c>
      <c r="G1055" s="37" t="str">
        <f>IF(ORCAMENTOS!H1063="","",ORCAMENTOS!H1063)</f>
        <v>Joao</v>
      </c>
      <c r="H1055" s="39">
        <f>IF(ORCAMENTOS!I1063="","",ORCAMENTOS!I1063)</f>
        <v>7973.92</v>
      </c>
      <c r="I1055" s="60" t="str">
        <f>IF(ORCAMENTOS!J1063="","",ORCAMENTOS!J1063)</f>
        <v/>
      </c>
      <c r="J1055" s="40" t="str">
        <f>IF(ORCAMENTOS!L1063="","",ORCAMENTOS!L1063)</f>
        <v>CANCELADO</v>
      </c>
      <c r="K1055" s="34" t="str">
        <f>IF(ORCAMENTOS!M1063="","",ORCAMENTOS!M1063)</f>
        <v>-</v>
      </c>
      <c r="L1055" t="str">
        <f>IF(ORCAMENTOS!R1063="","",ORCAMENTOS!R1063)</f>
        <v/>
      </c>
    </row>
    <row r="1056" spans="1:12" ht="15.75" hidden="1" customHeight="1" x14ac:dyDescent="0.25">
      <c r="A1056" s="36">
        <f>IF(ORCAMENTOS!A1064="","",ORCAMENTOS!A1064)</f>
        <v>45825</v>
      </c>
      <c r="B1056" s="46">
        <f>IF(ORCAMENTOS!B1064="","",ORCAMENTOS!B1064)</f>
        <v>1054</v>
      </c>
      <c r="C1056" s="46" t="str">
        <f>IF(ORCAMENTOS!C1064="","",ORCAMENTOS!C1064)</f>
        <v/>
      </c>
      <c r="D1056" s="37" t="str">
        <f>IF(ORCAMENTOS!D1064="","",ORCAMENTOS!D1064)</f>
        <v>AR SISTEMAS</v>
      </c>
      <c r="E1056" s="38" t="str">
        <f>IF(ORCAMENTOS!E1064="","",ORCAMENTOS!E1064)</f>
        <v>HEMODIALISE - HOSPITAL REGIONAL DO ALTO TIETE - SUZANO - SP</v>
      </c>
      <c r="F1056" s="37" t="str">
        <f>IF(ORCAMENTOS!G1064="","",ORCAMENTOS!G1064)</f>
        <v>Michel</v>
      </c>
      <c r="G1056" s="37" t="str">
        <f>IF(ORCAMENTOS!H1064="","",ORCAMENTOS!H1064)</f>
        <v>Anderson</v>
      </c>
      <c r="H1056" s="39">
        <f>IF(ORCAMENTOS!I1064="","",ORCAMENTOS!I1064)</f>
        <v>92515.37</v>
      </c>
      <c r="I1056" s="60" t="str">
        <f>IF(ORCAMENTOS!J1064="","",ORCAMENTOS!J1064)</f>
        <v/>
      </c>
      <c r="J1056" s="40" t="str">
        <f>IF(ORCAMENTOS!L1064="","",ORCAMENTOS!L1064)</f>
        <v>CANCELADO</v>
      </c>
      <c r="K1056" s="34" t="str">
        <f>IF(ORCAMENTOS!M1064="","",ORCAMENTOS!M1064)</f>
        <v>-</v>
      </c>
      <c r="L1056" t="str">
        <f>IF(ORCAMENTOS!R1064="","",ORCAMENTOS!R1064)</f>
        <v/>
      </c>
    </row>
    <row r="1057" spans="1:12" ht="15.75" hidden="1" customHeight="1" x14ac:dyDescent="0.25">
      <c r="A1057" s="36">
        <f>IF(ORCAMENTOS!A1065="","",ORCAMENTOS!A1065)</f>
        <v>45826</v>
      </c>
      <c r="B1057" s="46">
        <f>IF(ORCAMENTOS!B1065="","",ORCAMENTOS!B1065)</f>
        <v>1055</v>
      </c>
      <c r="C1057" s="46" t="str">
        <f>IF(ORCAMENTOS!C1065="","",ORCAMENTOS!C1065)</f>
        <v/>
      </c>
      <c r="D1057" s="37" t="str">
        <f>IF(ORCAMENTOS!D1065="","",ORCAMENTOS!D1065)</f>
        <v>ARCON AIR</v>
      </c>
      <c r="E1057" s="38" t="str">
        <f>IF(ORCAMENTOS!E1065="","",ORCAMENTOS!E1065)</f>
        <v>-</v>
      </c>
      <c r="F1057" s="37" t="str">
        <f>IF(ORCAMENTOS!G1065="","",ORCAMENTOS!G1065)</f>
        <v>Michel</v>
      </c>
      <c r="G1057" s="37" t="str">
        <f>IF(ORCAMENTOS!H1065="","",ORCAMENTOS!H1065)</f>
        <v>Camila</v>
      </c>
      <c r="H1057" s="39">
        <f>IF(ORCAMENTOS!I1065="","",ORCAMENTOS!I1065)</f>
        <v>9927.9</v>
      </c>
      <c r="I1057" s="60" t="str">
        <f>IF(ORCAMENTOS!J1065="","",ORCAMENTOS!J1065)</f>
        <v/>
      </c>
      <c r="J1057" s="40" t="str">
        <f>IF(ORCAMENTOS!L1065="","",ORCAMENTOS!L1065)</f>
        <v>FECHADO</v>
      </c>
      <c r="K1057" s="34" t="str">
        <f>IF(ORCAMENTOS!M1065="","",ORCAMENTOS!M1065)</f>
        <v>-</v>
      </c>
      <c r="L1057" t="str">
        <f>IF(ORCAMENTOS!R1065="","",ORCAMENTOS!R1065)</f>
        <v>-</v>
      </c>
    </row>
    <row r="1058" spans="1:12" ht="15.75" hidden="1" customHeight="1" x14ac:dyDescent="0.25">
      <c r="A1058" s="36">
        <f>IF(ORCAMENTOS!A1066="","",ORCAMENTOS!A1066)</f>
        <v>45833</v>
      </c>
      <c r="B1058" s="46">
        <f>IF(ORCAMENTOS!B1066="","",ORCAMENTOS!B1066)</f>
        <v>1056</v>
      </c>
      <c r="C1058" s="46" t="str">
        <f>IF(ORCAMENTOS!C1066="","",ORCAMENTOS!C1066)</f>
        <v/>
      </c>
      <c r="D1058" s="37" t="str">
        <f>IF(ORCAMENTOS!D1066="","",ORCAMENTOS!D1066)</f>
        <v>SESIL AR</v>
      </c>
      <c r="E1058" s="38" t="str">
        <f>IF(ORCAMENTOS!E1066="","",ORCAMENTOS!E1066)</f>
        <v>SMART FIT - JUNDIAI PINCINATO - SP</v>
      </c>
      <c r="F1058" s="37" t="str">
        <f>IF(ORCAMENTOS!G1066="","",ORCAMENTOS!G1066)</f>
        <v>Fernando</v>
      </c>
      <c r="G1058" s="37" t="str">
        <f>IF(ORCAMENTOS!H1066="","",ORCAMENTOS!H1066)</f>
        <v>Wagner</v>
      </c>
      <c r="H1058" s="39">
        <f>IF(ORCAMENTOS!I1066="","",ORCAMENTOS!I1066)</f>
        <v>67348.72</v>
      </c>
      <c r="I1058" s="60" t="str">
        <f>IF(ORCAMENTOS!J1066="","",ORCAMENTOS!J1066)</f>
        <v/>
      </c>
      <c r="J1058" s="40" t="str">
        <f>IF(ORCAMENTOS!L1066="","",ORCAMENTOS!L1066)</f>
        <v>FECHADO</v>
      </c>
      <c r="K1058" s="34" t="str">
        <f>IF(ORCAMENTOS!M1066="","",ORCAMENTOS!M1066)</f>
        <v>-</v>
      </c>
      <c r="L1058" t="str">
        <f>IF(ORCAMENTOS!R1066="","",ORCAMENTOS!R1066)</f>
        <v/>
      </c>
    </row>
    <row r="1059" spans="1:12" ht="15.75" hidden="1" customHeight="1" x14ac:dyDescent="0.25">
      <c r="A1059" s="36">
        <f>IF(ORCAMENTOS!A1067="","",ORCAMENTOS!A1067)</f>
        <v>45826</v>
      </c>
      <c r="B1059" s="46">
        <f>IF(ORCAMENTOS!B1067="","",ORCAMENTOS!B1067)</f>
        <v>1057</v>
      </c>
      <c r="C1059" s="46" t="str">
        <f>IF(ORCAMENTOS!C1067="","",ORCAMENTOS!C1067)</f>
        <v/>
      </c>
      <c r="D1059" s="37" t="str">
        <f>IF(ORCAMENTOS!D1067="","",ORCAMENTOS!D1067)</f>
        <v>NEWSET</v>
      </c>
      <c r="E1059" s="38" t="str">
        <f>IF(ORCAMENTOS!E1067="","",ORCAMENTOS!E1067)</f>
        <v>NSP 118.25 - REDE D'OR CAMPINAS</v>
      </c>
      <c r="F1059" s="37" t="str">
        <f>IF(ORCAMENTOS!G1067="","",ORCAMENTOS!G1067)</f>
        <v xml:space="preserve">Aldavir </v>
      </c>
      <c r="G1059" s="37" t="str">
        <f>IF(ORCAMENTOS!H1067="","",ORCAMENTOS!H1067)</f>
        <v>David</v>
      </c>
      <c r="H1059" s="39">
        <f>IF(ORCAMENTOS!I1067="","",ORCAMENTOS!I1067)</f>
        <v>108167.06</v>
      </c>
      <c r="I1059" s="60" t="str">
        <f>IF(ORCAMENTOS!J1067="","",ORCAMENTOS!J1067)</f>
        <v/>
      </c>
      <c r="J1059" s="40" t="str">
        <f>IF(ORCAMENTOS!L1067="","",ORCAMENTOS!L1067)</f>
        <v>CANCELADO</v>
      </c>
      <c r="K1059" s="34" t="str">
        <f>IF(ORCAMENTOS!M1067="","",ORCAMENTOS!M1067)</f>
        <v>-</v>
      </c>
      <c r="L1059" t="str">
        <f>IF(ORCAMENTOS!R1067="","",ORCAMENTOS!R1067)</f>
        <v>-</v>
      </c>
    </row>
    <row r="1060" spans="1:12" ht="15.75" hidden="1" customHeight="1" x14ac:dyDescent="0.25">
      <c r="A1060" s="36">
        <f>IF(ORCAMENTOS!A1068="","",ORCAMENTOS!A1068)</f>
        <v>45826</v>
      </c>
      <c r="B1060" s="46">
        <f>IF(ORCAMENTOS!B1068="","",ORCAMENTOS!B1068)</f>
        <v>1058</v>
      </c>
      <c r="C1060" s="46" t="str">
        <f>IF(ORCAMENTOS!C1068="","",ORCAMENTOS!C1068)</f>
        <v/>
      </c>
      <c r="D1060" s="37" t="str">
        <f>IF(ORCAMENTOS!D1068="","",ORCAMENTOS!D1068)</f>
        <v>RAC ENGENHARIA</v>
      </c>
      <c r="E1060" s="38" t="str">
        <f>IF(ORCAMENTOS!E1068="","",ORCAMENTOS!E1068)</f>
        <v>SHINNYO-EN BRASIL</v>
      </c>
      <c r="F1060" s="37" t="str">
        <f>IF(ORCAMENTOS!G1068="","",ORCAMENTOS!G1068)</f>
        <v xml:space="preserve">Aldavir </v>
      </c>
      <c r="G1060" s="37" t="str">
        <f>IF(ORCAMENTOS!H1068="","",ORCAMENTOS!H1068)</f>
        <v>Renata</v>
      </c>
      <c r="H1060" s="39">
        <f>IF(ORCAMENTOS!I1068="","",ORCAMENTOS!I1068)</f>
        <v>2458.14</v>
      </c>
      <c r="I1060" s="60" t="str">
        <f>IF(ORCAMENTOS!J1068="","",ORCAMENTOS!J1068)</f>
        <v/>
      </c>
      <c r="J1060" s="40" t="str">
        <f>IF(ORCAMENTOS!L1068="","",ORCAMENTOS!L1068)</f>
        <v>FECHADO</v>
      </c>
      <c r="K1060" s="34" t="str">
        <f>IF(ORCAMENTOS!M1068="","",ORCAMENTOS!M1068)</f>
        <v>-</v>
      </c>
      <c r="L1060" t="str">
        <f>IF(ORCAMENTOS!R1068="","",ORCAMENTOS!R1068)</f>
        <v>-</v>
      </c>
    </row>
    <row r="1061" spans="1:12" ht="15.75" hidden="1" customHeight="1" x14ac:dyDescent="0.25">
      <c r="A1061" s="36">
        <f>IF(ORCAMENTOS!A1069="","",ORCAMENTOS!A1069)</f>
        <v>45852</v>
      </c>
      <c r="B1061" s="46">
        <f>IF(ORCAMENTOS!B1069="","",ORCAMENTOS!B1069)</f>
        <v>1059</v>
      </c>
      <c r="C1061" s="46" t="str">
        <f>IF(ORCAMENTOS!C1069="","",ORCAMENTOS!C1069)</f>
        <v/>
      </c>
      <c r="D1061" s="37" t="str">
        <f>IF(ORCAMENTOS!D1069="","",ORCAMENTOS!D1069)</f>
        <v>M&amp;M ENGENHARIA</v>
      </c>
      <c r="E1061" s="38" t="str">
        <f>IF(ORCAMENTOS!E1069="","",ORCAMENTOS!E1069)</f>
        <v>AEROPORTO DE CORUMBA - MS</v>
      </c>
      <c r="F1061" s="37" t="str">
        <f>IF(ORCAMENTOS!G1069="","",ORCAMENTOS!G1069)</f>
        <v>Emanuel</v>
      </c>
      <c r="G1061" s="37" t="str">
        <f>IF(ORCAMENTOS!H1069="","",ORCAMENTOS!H1069)</f>
        <v>Hugo</v>
      </c>
      <c r="H1061" s="39">
        <f>IF(ORCAMENTOS!I1069="","",ORCAMENTOS!I1069)</f>
        <v>127670.87</v>
      </c>
      <c r="I1061" s="60" t="str">
        <f>IF(ORCAMENTOS!J1069="","",ORCAMENTOS!J1069)</f>
        <v/>
      </c>
      <c r="J1061" s="40" t="str">
        <f>IF(ORCAMENTOS!L1069="","",ORCAMENTOS!L1069)</f>
        <v>PERDIDO</v>
      </c>
      <c r="K1061" s="34" t="str">
        <f>IF(ORCAMENTOS!M1069="","",ORCAMENTOS!M1069)</f>
        <v>PERDIDO MULTIVAC - PREÇO</v>
      </c>
      <c r="L1061" t="str">
        <f>IF(ORCAMENTOS!R1069="","",ORCAMENTOS!R1069)</f>
        <v/>
      </c>
    </row>
    <row r="1062" spans="1:12" ht="15.75" hidden="1" customHeight="1" x14ac:dyDescent="0.25">
      <c r="A1062" s="36">
        <f>IF(ORCAMENTOS!A1070="","",ORCAMENTOS!A1070)</f>
        <v>45826</v>
      </c>
      <c r="B1062" s="46">
        <f>IF(ORCAMENTOS!B1070="","",ORCAMENTOS!B1070)</f>
        <v>1060</v>
      </c>
      <c r="C1062" s="46" t="str">
        <f>IF(ORCAMENTOS!C1070="","",ORCAMENTOS!C1070)</f>
        <v/>
      </c>
      <c r="D1062" s="37" t="str">
        <f>IF(ORCAMENTOS!D1070="","",ORCAMENTOS!D1070)</f>
        <v>PRINSTARC</v>
      </c>
      <c r="E1062" s="38" t="str">
        <f>IF(ORCAMENTOS!E1070="","",ORCAMENTOS!E1070)</f>
        <v>HAPVIDA - SÃO MIGUEL</v>
      </c>
      <c r="F1062" s="37" t="str">
        <f>IF(ORCAMENTOS!G1070="","",ORCAMENTOS!G1070)</f>
        <v>Gabriel</v>
      </c>
      <c r="G1062" s="37" t="str">
        <f>IF(ORCAMENTOS!H1070="","",ORCAMENTOS!H1070)</f>
        <v>Glauco</v>
      </c>
      <c r="H1062" s="39">
        <f>IF(ORCAMENTOS!I1070="","",ORCAMENTOS!I1070)</f>
        <v>58283.73</v>
      </c>
      <c r="I1062" s="60" t="str">
        <f>IF(ORCAMENTOS!J1070="","",ORCAMENTOS!J1070)</f>
        <v/>
      </c>
      <c r="J1062" s="40" t="str">
        <f>IF(ORCAMENTOS!L1070="","",ORCAMENTOS!L1070)</f>
        <v>CANCELADO</v>
      </c>
      <c r="K1062" s="34" t="str">
        <f>IF(ORCAMENTOS!M1070="","",ORCAMENTOS!M1070)</f>
        <v>-</v>
      </c>
      <c r="L1062" t="str">
        <f>IF(ORCAMENTOS!R1070="","",ORCAMENTOS!R1070)</f>
        <v>-</v>
      </c>
    </row>
    <row r="1063" spans="1:12" ht="15.75" hidden="1" customHeight="1" x14ac:dyDescent="0.25">
      <c r="A1063" s="36">
        <f>IF(ORCAMENTOS!A1071="","",ORCAMENTOS!A1071)</f>
        <v>45826</v>
      </c>
      <c r="B1063" s="46">
        <f>IF(ORCAMENTOS!B1071="","",ORCAMENTOS!B1071)</f>
        <v>1061</v>
      </c>
      <c r="C1063" s="46" t="str">
        <f>IF(ORCAMENTOS!C1071="","",ORCAMENTOS!C1071)</f>
        <v/>
      </c>
      <c r="D1063" s="37" t="str">
        <f>IF(ORCAMENTOS!D1071="","",ORCAMENTOS!D1071)</f>
        <v>CIVIL AR</v>
      </c>
      <c r="E1063" s="38" t="str">
        <f>IF(ORCAMENTOS!E1071="","",ORCAMENTOS!E1071)</f>
        <v>CORPORATIVO PAULISTA</v>
      </c>
      <c r="F1063" s="37" t="str">
        <f>IF(ORCAMENTOS!G1071="","",ORCAMENTOS!G1071)</f>
        <v>Fernando</v>
      </c>
      <c r="G1063" s="37" t="str">
        <f>IF(ORCAMENTOS!H1071="","",ORCAMENTOS!H1071)</f>
        <v>Carmen</v>
      </c>
      <c r="H1063" s="39">
        <f>IF(ORCAMENTOS!I1071="","",ORCAMENTOS!I1071)</f>
        <v>37909.03</v>
      </c>
      <c r="I1063" s="60" t="str">
        <f>IF(ORCAMENTOS!J1071="","",ORCAMENTOS!J1071)</f>
        <v/>
      </c>
      <c r="J1063" s="40" t="str">
        <f>IF(ORCAMENTOS!L1071="","",ORCAMENTOS!L1071)</f>
        <v>CANCELADO</v>
      </c>
      <c r="K1063" s="34" t="str">
        <f>IF(ORCAMENTOS!M1071="","",ORCAMENTOS!M1071)</f>
        <v>-</v>
      </c>
      <c r="L1063" t="str">
        <f>IF(ORCAMENTOS!R1071="","",ORCAMENTOS!R1071)</f>
        <v/>
      </c>
    </row>
    <row r="1064" spans="1:12" ht="15.75" hidden="1" customHeight="1" x14ac:dyDescent="0.25">
      <c r="A1064" s="36">
        <f>IF(ORCAMENTOS!A1072="","",ORCAMENTOS!A1072)</f>
        <v>45826</v>
      </c>
      <c r="B1064" s="46">
        <f>IF(ORCAMENTOS!B1072="","",ORCAMENTOS!B1072)</f>
        <v>1062</v>
      </c>
      <c r="C1064" s="46" t="str">
        <f>IF(ORCAMENTOS!C1072="","",ORCAMENTOS!C1072)</f>
        <v/>
      </c>
      <c r="D1064" s="37" t="str">
        <f>IF(ORCAMENTOS!D1072="","",ORCAMENTOS!D1072)</f>
        <v>AWA AR CONDICIONADO</v>
      </c>
      <c r="E1064" s="38" t="str">
        <f>IF(ORCAMENTOS!E1072="","",ORCAMENTOS!E1072)</f>
        <v>TENDA - LOJA ITU - SP</v>
      </c>
      <c r="F1064" s="37" t="str">
        <f>IF(ORCAMENTOS!G1072="","",ORCAMENTOS!G1072)</f>
        <v>Guilherme</v>
      </c>
      <c r="G1064" s="37" t="str">
        <f>IF(ORCAMENTOS!H1072="","",ORCAMENTOS!H1072)</f>
        <v>Guilherme</v>
      </c>
      <c r="H1064" s="39">
        <f>IF(ORCAMENTOS!I1072="","",ORCAMENTOS!I1072)</f>
        <v>148976.26</v>
      </c>
      <c r="I1064" s="60" t="str">
        <f>IF(ORCAMENTOS!J1072="","",ORCAMENTOS!J1072)</f>
        <v/>
      </c>
      <c r="J1064" s="40" t="str">
        <f>IF(ORCAMENTOS!L1072="","",ORCAMENTOS!L1072)</f>
        <v>CANCELADO</v>
      </c>
      <c r="K1064" s="34" t="str">
        <f>IF(ORCAMENTOS!M1072="","",ORCAMENTOS!M1072)</f>
        <v>PREV AGOSTO</v>
      </c>
      <c r="L1064" t="str">
        <f>IF(ORCAMENTOS!R1072="","",ORCAMENTOS!R1072)</f>
        <v>MPU</v>
      </c>
    </row>
    <row r="1065" spans="1:12" ht="15.75" hidden="1" customHeight="1" x14ac:dyDescent="0.25">
      <c r="A1065" s="36">
        <f>IF(ORCAMENTOS!A1073="","",ORCAMENTOS!A1073)</f>
        <v>45831</v>
      </c>
      <c r="B1065" s="46">
        <f>IF(ORCAMENTOS!B1073="","",ORCAMENTOS!B1073)</f>
        <v>1063</v>
      </c>
      <c r="C1065" s="46" t="str">
        <f>IF(ORCAMENTOS!C1073="","",ORCAMENTOS!C1073)</f>
        <v/>
      </c>
      <c r="D1065" s="37" t="str">
        <f>IF(ORCAMENTOS!D1073="","",ORCAMENTOS!D1073)</f>
        <v>RM3 ENGENHARIA</v>
      </c>
      <c r="E1065" s="38" t="str">
        <f>IF(ORCAMENTOS!E1073="","",ORCAMENTOS!E1073)</f>
        <v>HOSPITAL PEQUENO PRINCIPE</v>
      </c>
      <c r="F1065" s="37" t="str">
        <f>IF(ORCAMENTOS!G1073="","",ORCAMENTOS!G1073)</f>
        <v>Guilherme</v>
      </c>
      <c r="G1065" s="37" t="str">
        <f>IF(ORCAMENTOS!H1073="","",ORCAMENTOS!H1073)</f>
        <v>Lenah</v>
      </c>
      <c r="H1065" s="39">
        <f>IF(ORCAMENTOS!I1073="","",ORCAMENTOS!I1073)</f>
        <v>384717.77</v>
      </c>
      <c r="I1065" s="60" t="str">
        <f>IF(ORCAMENTOS!J1073="","",ORCAMENTOS!J1073)</f>
        <v/>
      </c>
      <c r="J1065" s="40" t="str">
        <f>IF(ORCAMENTOS!L1073="","",ORCAMENTOS!L1073)</f>
        <v>CANCELADO</v>
      </c>
      <c r="K1065" s="34" t="str">
        <f>IF(ORCAMENTOS!M1073="","",ORCAMENTOS!M1073)</f>
        <v>-</v>
      </c>
      <c r="L1065" t="str">
        <f>IF(ORCAMENTOS!R1073="","",ORCAMENTOS!R1073)</f>
        <v>-</v>
      </c>
    </row>
    <row r="1066" spans="1:12" ht="15.75" hidden="1" customHeight="1" x14ac:dyDescent="0.25">
      <c r="A1066" s="36">
        <f>IF(ORCAMENTOS!A1074="","",ORCAMENTOS!A1074)</f>
        <v>45826</v>
      </c>
      <c r="B1066" s="46">
        <f>IF(ORCAMENTOS!B1074="","",ORCAMENTOS!B1074)</f>
        <v>1064</v>
      </c>
      <c r="C1066" s="46" t="str">
        <f>IF(ORCAMENTOS!C1074="","",ORCAMENTOS!C1074)</f>
        <v/>
      </c>
      <c r="D1066" s="37" t="str">
        <f>IF(ORCAMENTOS!D1074="","",ORCAMENTOS!D1074)</f>
        <v>ENGEMAC</v>
      </c>
      <c r="E1066" s="38" t="str">
        <f>IF(ORCAMENTOS!E1074="","",ORCAMENTOS!E1074)</f>
        <v>-</v>
      </c>
      <c r="F1066" s="37" t="str">
        <f>IF(ORCAMENTOS!G1074="","",ORCAMENTOS!G1074)</f>
        <v>Fernando</v>
      </c>
      <c r="G1066" s="37" t="str">
        <f>IF(ORCAMENTOS!H1074="","",ORCAMENTOS!H1074)</f>
        <v>Carlos</v>
      </c>
      <c r="H1066" s="39">
        <f>IF(ORCAMENTOS!I1074="","",ORCAMENTOS!I1074)</f>
        <v>3265.67</v>
      </c>
      <c r="I1066" s="60" t="str">
        <f>IF(ORCAMENTOS!J1074="","",ORCAMENTOS!J1074)</f>
        <v/>
      </c>
      <c r="J1066" s="40" t="str">
        <f>IF(ORCAMENTOS!L1074="","",ORCAMENTOS!L1074)</f>
        <v>PERDIDO</v>
      </c>
      <c r="K1066" s="34" t="str">
        <f>IF(ORCAMENTOS!M1074="","",ORCAMENTOS!M1074)</f>
        <v>PERDIDO ARCOTEC</v>
      </c>
      <c r="L1066" t="str">
        <f>IF(ORCAMENTOS!R1074="","",ORCAMENTOS!R1074)</f>
        <v>-</v>
      </c>
    </row>
    <row r="1067" spans="1:12" ht="15.75" hidden="1" customHeight="1" x14ac:dyDescent="0.25">
      <c r="A1067" s="36">
        <f>IF(ORCAMENTOS!A1075="","",ORCAMENTOS!A1075)</f>
        <v>45826</v>
      </c>
      <c r="B1067" s="46">
        <f>IF(ORCAMENTOS!B1075="","",ORCAMENTOS!B1075)</f>
        <v>1065</v>
      </c>
      <c r="C1067" s="46" t="str">
        <f>IF(ORCAMENTOS!C1075="","",ORCAMENTOS!C1075)</f>
        <v/>
      </c>
      <c r="D1067" s="37" t="str">
        <f>IF(ORCAMENTOS!D1075="","",ORCAMENTOS!D1075)</f>
        <v>THERMOPOLO</v>
      </c>
      <c r="E1067" s="38" t="str">
        <f>IF(ORCAMENTOS!E1075="","",ORCAMENTOS!E1075)</f>
        <v>-</v>
      </c>
      <c r="F1067" s="37" t="str">
        <f>IF(ORCAMENTOS!G1075="","",ORCAMENTOS!G1075)</f>
        <v xml:space="preserve">Aldavir </v>
      </c>
      <c r="G1067" s="37" t="str">
        <f>IF(ORCAMENTOS!H1075="","",ORCAMENTOS!H1075)</f>
        <v>Cecilia</v>
      </c>
      <c r="H1067" s="39">
        <f>IF(ORCAMENTOS!I1075="","",ORCAMENTOS!I1075)</f>
        <v>4269.9399999999996</v>
      </c>
      <c r="I1067" s="60" t="str">
        <f>IF(ORCAMENTOS!J1075="","",ORCAMENTOS!J1075)</f>
        <v/>
      </c>
      <c r="J1067" s="40" t="str">
        <f>IF(ORCAMENTOS!L1075="","",ORCAMENTOS!L1075)</f>
        <v>FECHADO</v>
      </c>
      <c r="K1067" s="34" t="str">
        <f>IF(ORCAMENTOS!M1075="","",ORCAMENTOS!M1075)</f>
        <v>-</v>
      </c>
      <c r="L1067" t="str">
        <f>IF(ORCAMENTOS!R1075="","",ORCAMENTOS!R1075)</f>
        <v/>
      </c>
    </row>
    <row r="1068" spans="1:12" ht="15.75" hidden="1" customHeight="1" x14ac:dyDescent="0.25">
      <c r="A1068" s="36">
        <f>IF(ORCAMENTOS!A1076="","",ORCAMENTOS!A1076)</f>
        <v>45831</v>
      </c>
      <c r="B1068" s="46">
        <f>IF(ORCAMENTOS!B1076="","",ORCAMENTOS!B1076)</f>
        <v>1066</v>
      </c>
      <c r="C1068" s="46" t="str">
        <f>IF(ORCAMENTOS!C1076="","",ORCAMENTOS!C1076)</f>
        <v/>
      </c>
      <c r="D1068" s="37" t="str">
        <f>IF(ORCAMENTOS!D1076="","",ORCAMENTOS!D1076)</f>
        <v>K SET</v>
      </c>
      <c r="E1068" s="38" t="str">
        <f>IF(ORCAMENTOS!E1076="","",ORCAMENTOS!E1076)</f>
        <v>-</v>
      </c>
      <c r="F1068" s="37" t="str">
        <f>IF(ORCAMENTOS!G1076="","",ORCAMENTOS!G1076)</f>
        <v>Gabriel</v>
      </c>
      <c r="G1068" s="37" t="str">
        <f>IF(ORCAMENTOS!H1076="","",ORCAMENTOS!H1076)</f>
        <v>Lana</v>
      </c>
      <c r="H1068" s="39">
        <f>IF(ORCAMENTOS!I1076="","",ORCAMENTOS!I1076)</f>
        <v>1809.15</v>
      </c>
      <c r="I1068" s="60" t="str">
        <f>IF(ORCAMENTOS!J1076="","",ORCAMENTOS!J1076)</f>
        <v/>
      </c>
      <c r="J1068" s="40" t="str">
        <f>IF(ORCAMENTOS!L1076="","",ORCAMENTOS!L1076)</f>
        <v>FECHADO</v>
      </c>
      <c r="K1068" s="34" t="str">
        <f>IF(ORCAMENTOS!M1076="","",ORCAMENTOS!M1076)</f>
        <v>-</v>
      </c>
      <c r="L1068" t="str">
        <f>IF(ORCAMENTOS!R1076="","",ORCAMENTOS!R1076)</f>
        <v>-</v>
      </c>
    </row>
    <row r="1069" spans="1:12" ht="15.75" hidden="1" customHeight="1" x14ac:dyDescent="0.25">
      <c r="A1069" s="36">
        <f>IF(ORCAMENTOS!A1077="","",ORCAMENTOS!A1077)</f>
        <v>45831</v>
      </c>
      <c r="B1069" s="46">
        <f>IF(ORCAMENTOS!B1077="","",ORCAMENTOS!B1077)</f>
        <v>1067</v>
      </c>
      <c r="C1069" s="46" t="str">
        <f>IF(ORCAMENTOS!C1077="","",ORCAMENTOS!C1077)</f>
        <v/>
      </c>
      <c r="D1069" s="37" t="str">
        <f>IF(ORCAMENTOS!D1077="","",ORCAMENTOS!D1077)</f>
        <v>EKO CLIMAX</v>
      </c>
      <c r="E1069" s="38" t="str">
        <f>IF(ORCAMENTOS!E1077="","",ORCAMENTOS!E1077)</f>
        <v>-</v>
      </c>
      <c r="F1069" s="37" t="str">
        <f>IF(ORCAMENTOS!G1077="","",ORCAMENTOS!G1077)</f>
        <v>Michel</v>
      </c>
      <c r="G1069" s="37" t="str">
        <f>IF(ORCAMENTOS!H1077="","",ORCAMENTOS!H1077)</f>
        <v>Rogerio</v>
      </c>
      <c r="H1069" s="39">
        <f>IF(ORCAMENTOS!I1077="","",ORCAMENTOS!I1077)</f>
        <v>6642.96</v>
      </c>
      <c r="I1069" s="60" t="str">
        <f>IF(ORCAMENTOS!J1077="","",ORCAMENTOS!J1077)</f>
        <v/>
      </c>
      <c r="J1069" s="40" t="str">
        <f>IF(ORCAMENTOS!L1077="","",ORCAMENTOS!L1077)</f>
        <v>FECHADO</v>
      </c>
      <c r="K1069" s="34" t="str">
        <f>IF(ORCAMENTOS!M1077="","",ORCAMENTOS!M1077)</f>
        <v>-</v>
      </c>
      <c r="L1069" t="str">
        <f>IF(ORCAMENTOS!R1077="","",ORCAMENTOS!R1077)</f>
        <v>-</v>
      </c>
    </row>
    <row r="1070" spans="1:12" ht="15.75" hidden="1" customHeight="1" x14ac:dyDescent="0.25">
      <c r="A1070" s="36">
        <f>IF(ORCAMENTOS!A1078="","",ORCAMENTOS!A1078)</f>
        <v>45862</v>
      </c>
      <c r="B1070" s="46">
        <f>IF(ORCAMENTOS!B1078="","",ORCAMENTOS!B1078)</f>
        <v>1068</v>
      </c>
      <c r="C1070" s="46" t="str">
        <f>IF(ORCAMENTOS!C1078="","",ORCAMENTOS!C1078)</f>
        <v/>
      </c>
      <c r="D1070" s="37" t="str">
        <f>IF(ORCAMENTOS!D1078="","",ORCAMENTOS!D1078)</f>
        <v>PROGERAR</v>
      </c>
      <c r="E1070" s="38" t="str">
        <f>IF(ORCAMENTOS!E1078="","",ORCAMENTOS!E1078)</f>
        <v>IPP</v>
      </c>
      <c r="F1070" s="37" t="str">
        <f>IF(ORCAMENTOS!G1078="","",ORCAMENTOS!G1078)</f>
        <v>Michel</v>
      </c>
      <c r="G1070" s="37" t="str">
        <f>IF(ORCAMENTOS!H1078="","",ORCAMENTOS!H1078)</f>
        <v>Paulo</v>
      </c>
      <c r="H1070" s="39">
        <f>IF(ORCAMENTOS!I1078="","",ORCAMENTOS!I1078)</f>
        <v>69157.5</v>
      </c>
      <c r="I1070" s="60" t="str">
        <f>IF(ORCAMENTOS!J1078="","",ORCAMENTOS!J1078)</f>
        <v/>
      </c>
      <c r="J1070" s="40" t="str">
        <f>IF(ORCAMENTOS!L1078="","",ORCAMENTOS!L1078)</f>
        <v>PERDIDO</v>
      </c>
      <c r="K1070" s="34" t="str">
        <f>IF(ORCAMENTOS!M1078="","",ORCAMENTOS!M1078)</f>
        <v>COMPRADO DIRETO PELO CLIENTE FINAL</v>
      </c>
      <c r="L1070" t="str">
        <f>IF(ORCAMENTOS!R1078="","",ORCAMENTOS!R1078)</f>
        <v>-</v>
      </c>
    </row>
    <row r="1071" spans="1:12" ht="15.75" hidden="1" customHeight="1" x14ac:dyDescent="0.25">
      <c r="A1071" s="36">
        <f>IF(ORCAMENTOS!A1079="","",ORCAMENTOS!A1079)</f>
        <v>45831</v>
      </c>
      <c r="B1071" s="46">
        <f>IF(ORCAMENTOS!B1079="","",ORCAMENTOS!B1079)</f>
        <v>1069</v>
      </c>
      <c r="C1071" s="46" t="str">
        <f>IF(ORCAMENTOS!C1079="","",ORCAMENTOS!C1079)</f>
        <v/>
      </c>
      <c r="D1071" s="37" t="str">
        <f>IF(ORCAMENTOS!D1079="","",ORCAMENTOS!D1079)</f>
        <v>ARCON AIR</v>
      </c>
      <c r="E1071" s="38" t="str">
        <f>IF(ORCAMENTOS!E1079="","",ORCAMENTOS!E1079)</f>
        <v>-</v>
      </c>
      <c r="F1071" s="37" t="str">
        <f>IF(ORCAMENTOS!G1079="","",ORCAMENTOS!G1079)</f>
        <v>Michel</v>
      </c>
      <c r="G1071" s="37" t="str">
        <f>IF(ORCAMENTOS!H1079="","",ORCAMENTOS!H1079)</f>
        <v>Camila</v>
      </c>
      <c r="H1071" s="39">
        <f>IF(ORCAMENTOS!I1079="","",ORCAMENTOS!I1079)</f>
        <v>14303.22</v>
      </c>
      <c r="I1071" s="60" t="str">
        <f>IF(ORCAMENTOS!J1079="","",ORCAMENTOS!J1079)</f>
        <v/>
      </c>
      <c r="J1071" s="40" t="str">
        <f>IF(ORCAMENTOS!L1079="","",ORCAMENTOS!L1079)</f>
        <v>FECHADO</v>
      </c>
      <c r="K1071" s="34" t="str">
        <f>IF(ORCAMENTOS!M1079="","",ORCAMENTOS!M1079)</f>
        <v>-</v>
      </c>
      <c r="L1071" t="str">
        <f>IF(ORCAMENTOS!R1079="","",ORCAMENTOS!R1079)</f>
        <v/>
      </c>
    </row>
    <row r="1072" spans="1:12" ht="15.75" hidden="1" customHeight="1" x14ac:dyDescent="0.25">
      <c r="A1072" s="36">
        <f>IF(ORCAMENTOS!A1080="","",ORCAMENTOS!A1080)</f>
        <v>45831</v>
      </c>
      <c r="B1072" s="46">
        <f>IF(ORCAMENTOS!B1080="","",ORCAMENTOS!B1080)</f>
        <v>1070</v>
      </c>
      <c r="C1072" s="46" t="str">
        <f>IF(ORCAMENTOS!C1080="","",ORCAMENTOS!C1080)</f>
        <v/>
      </c>
      <c r="D1072" s="37" t="str">
        <f>IF(ORCAMENTOS!D1080="","",ORCAMENTOS!D1080)</f>
        <v>MOVE AR</v>
      </c>
      <c r="E1072" s="38" t="str">
        <f>IF(ORCAMENTOS!E1080="","",ORCAMENTOS!E1080)</f>
        <v>-</v>
      </c>
      <c r="F1072" s="37" t="str">
        <f>IF(ORCAMENTOS!G1080="","",ORCAMENTOS!G1080)</f>
        <v>Gabriel</v>
      </c>
      <c r="G1072" s="37" t="str">
        <f>IF(ORCAMENTOS!H1080="","",ORCAMENTOS!H1080)</f>
        <v>Debora</v>
      </c>
      <c r="H1072" s="39">
        <f>IF(ORCAMENTOS!I1080="","",ORCAMENTOS!I1080)</f>
        <v>756.51</v>
      </c>
      <c r="I1072" s="60" t="str">
        <f>IF(ORCAMENTOS!J1080="","",ORCAMENTOS!J1080)</f>
        <v/>
      </c>
      <c r="J1072" s="40" t="str">
        <f>IF(ORCAMENTOS!L1080="","",ORCAMENTOS!L1080)</f>
        <v>FECHADO</v>
      </c>
      <c r="K1072" s="34" t="str">
        <f>IF(ORCAMENTOS!M1080="","",ORCAMENTOS!M1080)</f>
        <v>-</v>
      </c>
      <c r="L1072" t="str">
        <f>IF(ORCAMENTOS!R1080="","",ORCAMENTOS!R1080)</f>
        <v>-</v>
      </c>
    </row>
    <row r="1073" spans="1:12" ht="15.75" hidden="1" customHeight="1" x14ac:dyDescent="0.25">
      <c r="A1073" s="36">
        <f>IF(ORCAMENTOS!A1081="","",ORCAMENTOS!A1081)</f>
        <v>45831</v>
      </c>
      <c r="B1073" s="46">
        <f>IF(ORCAMENTOS!B1081="","",ORCAMENTOS!B1081)</f>
        <v>1071</v>
      </c>
      <c r="C1073" s="46" t="str">
        <f>IF(ORCAMENTOS!C1081="","",ORCAMENTOS!C1081)</f>
        <v/>
      </c>
      <c r="D1073" s="37" t="str">
        <f>IF(ORCAMENTOS!D1081="","",ORCAMENTOS!D1081)</f>
        <v>AR CLEAN</v>
      </c>
      <c r="E1073" s="38" t="str">
        <f>IF(ORCAMENTOS!E1081="","",ORCAMENTOS!E1081)</f>
        <v>AMAZON CGH7 - CAJAMAR - SP - CENTRO DE CUSTO 319 / OBRA CGH7</v>
      </c>
      <c r="F1073" s="37" t="str">
        <f>IF(ORCAMENTOS!G1081="","",ORCAMENTOS!G1081)</f>
        <v xml:space="preserve">Aldavir </v>
      </c>
      <c r="G1073" s="37" t="str">
        <f>IF(ORCAMENTOS!H1081="","",ORCAMENTOS!H1081)</f>
        <v>Melanie</v>
      </c>
      <c r="H1073" s="39">
        <f>IF(ORCAMENTOS!I1081="","",ORCAMENTOS!I1081)</f>
        <v>13012.24</v>
      </c>
      <c r="I1073" s="60" t="str">
        <f>IF(ORCAMENTOS!J1081="","",ORCAMENTOS!J1081)</f>
        <v/>
      </c>
      <c r="J1073" s="40" t="str">
        <f>IF(ORCAMENTOS!L1081="","",ORCAMENTOS!L1081)</f>
        <v>FECHADO</v>
      </c>
      <c r="K1073" s="34" t="str">
        <f>IF(ORCAMENTOS!M1081="","",ORCAMENTOS!M1081)</f>
        <v>-</v>
      </c>
      <c r="L1073" t="str">
        <f>IF(ORCAMENTOS!R1081="","",ORCAMENTOS!R1081)</f>
        <v>-</v>
      </c>
    </row>
    <row r="1074" spans="1:12" ht="15.75" hidden="1" customHeight="1" x14ac:dyDescent="0.25">
      <c r="A1074" s="36">
        <f>IF(ORCAMENTOS!A1082="","",ORCAMENTOS!A1082)</f>
        <v>45831</v>
      </c>
      <c r="B1074" s="46">
        <f>IF(ORCAMENTOS!B1082="","",ORCAMENTOS!B1082)</f>
        <v>1072</v>
      </c>
      <c r="C1074" s="46" t="str">
        <f>IF(ORCAMENTOS!C1082="","",ORCAMENTOS!C1082)</f>
        <v/>
      </c>
      <c r="D1074" s="37" t="str">
        <f>IF(ORCAMENTOS!D1082="","",ORCAMENTOS!D1082)</f>
        <v>V3 DUTOS</v>
      </c>
      <c r="E1074" s="38" t="str">
        <f>IF(ORCAMENTOS!E1082="","",ORCAMENTOS!E1082)</f>
        <v>-</v>
      </c>
      <c r="F1074" s="37" t="str">
        <f>IF(ORCAMENTOS!G1082="","",ORCAMENTOS!G1082)</f>
        <v>Gabriel</v>
      </c>
      <c r="G1074" s="37" t="str">
        <f>IF(ORCAMENTOS!H1082="","",ORCAMENTOS!H1082)</f>
        <v>Divino</v>
      </c>
      <c r="H1074" s="39">
        <f>IF(ORCAMENTOS!I1082="","",ORCAMENTOS!I1082)</f>
        <v>8314.61</v>
      </c>
      <c r="I1074" s="60" t="str">
        <f>IF(ORCAMENTOS!J1082="","",ORCAMENTOS!J1082)</f>
        <v/>
      </c>
      <c r="J1074" s="40" t="str">
        <f>IF(ORCAMENTOS!L1082="","",ORCAMENTOS!L1082)</f>
        <v>CANCELADO</v>
      </c>
      <c r="K1074" s="34" t="str">
        <f>IF(ORCAMENTOS!M1082="","",ORCAMENTOS!M1082)</f>
        <v>-</v>
      </c>
      <c r="L1074" t="str">
        <f>IF(ORCAMENTOS!R1082="","",ORCAMENTOS!R1082)</f>
        <v>-</v>
      </c>
    </row>
    <row r="1075" spans="1:12" ht="15.75" hidden="1" customHeight="1" x14ac:dyDescent="0.25">
      <c r="A1075" s="36">
        <f>IF(ORCAMENTOS!A1083="","",ORCAMENTOS!A1083)</f>
        <v>45831</v>
      </c>
      <c r="B1075" s="46">
        <f>IF(ORCAMENTOS!B1083="","",ORCAMENTOS!B1083)</f>
        <v>1073</v>
      </c>
      <c r="C1075" s="46" t="str">
        <f>IF(ORCAMENTOS!C1083="","",ORCAMENTOS!C1083)</f>
        <v/>
      </c>
      <c r="D1075" s="37" t="str">
        <f>IF(ORCAMENTOS!D1083="","",ORCAMENTOS!D1083)</f>
        <v>AWA AR CONDICIONADO</v>
      </c>
      <c r="E1075" s="38" t="str">
        <f>IF(ORCAMENTOS!E1083="","",ORCAMENTOS!E1083)</f>
        <v>RENNER - LUCAS DO RIO VERDE - MT</v>
      </c>
      <c r="F1075" s="37" t="str">
        <f>IF(ORCAMENTOS!G1083="","",ORCAMENTOS!G1083)</f>
        <v>Guilherme</v>
      </c>
      <c r="G1075" s="37" t="str">
        <f>IF(ORCAMENTOS!H1083="","",ORCAMENTOS!H1083)</f>
        <v>Guilherme</v>
      </c>
      <c r="H1075" s="39">
        <f>IF(ORCAMENTOS!I1083="","",ORCAMENTOS!I1083)</f>
        <v>69159.289999999994</v>
      </c>
      <c r="I1075" s="60" t="str">
        <f>IF(ORCAMENTOS!J1083="","",ORCAMENTOS!J1083)</f>
        <v/>
      </c>
      <c r="J1075" s="40" t="str">
        <f>IF(ORCAMENTOS!L1083="","",ORCAMENTOS!L1083)</f>
        <v>CANCELADO</v>
      </c>
      <c r="K1075" s="34" t="str">
        <f>IF(ORCAMENTOS!M1083="","",ORCAMENTOS!M1083)</f>
        <v>-</v>
      </c>
      <c r="L1075" t="str">
        <f>IF(ORCAMENTOS!R1083="","",ORCAMENTOS!R1083)</f>
        <v/>
      </c>
    </row>
    <row r="1076" spans="1:12" ht="15.75" hidden="1" customHeight="1" x14ac:dyDescent="0.25">
      <c r="A1076" s="36">
        <f>IF(ORCAMENTOS!A1084="","",ORCAMENTOS!A1084)</f>
        <v>45831</v>
      </c>
      <c r="B1076" s="46">
        <f>IF(ORCAMENTOS!B1084="","",ORCAMENTOS!B1084)</f>
        <v>1074</v>
      </c>
      <c r="C1076" s="46" t="str">
        <f>IF(ORCAMENTOS!C1084="","",ORCAMENTOS!C1084)</f>
        <v/>
      </c>
      <c r="D1076" s="37" t="str">
        <f>IF(ORCAMENTOS!D1084="","",ORCAMENTOS!D1084)</f>
        <v>CLIMASPACE</v>
      </c>
      <c r="E1076" s="38" t="str">
        <f>IF(ORCAMENTOS!E1084="","",ORCAMENTOS!E1084)</f>
        <v>HOSPITAL MUNICIPAL JOSÉ SOARES HUNGRIA</v>
      </c>
      <c r="F1076" s="37" t="str">
        <f>IF(ORCAMENTOS!G1084="","",ORCAMENTOS!G1084)</f>
        <v xml:space="preserve">Aldavir </v>
      </c>
      <c r="G1076" s="37" t="str">
        <f>IF(ORCAMENTOS!H1084="","",ORCAMENTOS!H1084)</f>
        <v>André</v>
      </c>
      <c r="H1076" s="39">
        <f>IF(ORCAMENTOS!I1084="","",ORCAMENTOS!I1084)</f>
        <v>366038.01</v>
      </c>
      <c r="I1076" s="60" t="str">
        <f>IF(ORCAMENTOS!J1084="","",ORCAMENTOS!J1084)</f>
        <v/>
      </c>
      <c r="J1076" s="40" t="str">
        <f>IF(ORCAMENTOS!L1084="","",ORCAMENTOS!L1084)</f>
        <v>CANCELADO</v>
      </c>
      <c r="K1076" s="34" t="str">
        <f>IF(ORCAMENTOS!M1084="","",ORCAMENTOS!M1084)</f>
        <v>-</v>
      </c>
      <c r="L1076" t="str">
        <f>IF(ORCAMENTOS!R1084="","",ORCAMENTOS!R1084)</f>
        <v>-</v>
      </c>
    </row>
    <row r="1077" spans="1:12" ht="15.75" hidden="1" customHeight="1" x14ac:dyDescent="0.25">
      <c r="A1077" s="36">
        <f>IF(ORCAMENTOS!A1085="","",ORCAMENTOS!A1085)</f>
        <v>45831</v>
      </c>
      <c r="B1077" s="46">
        <f>IF(ORCAMENTOS!B1085="","",ORCAMENTOS!B1085)</f>
        <v>1075</v>
      </c>
      <c r="C1077" s="46" t="str">
        <f>IF(ORCAMENTOS!C1085="","",ORCAMENTOS!C1085)</f>
        <v/>
      </c>
      <c r="D1077" s="37" t="str">
        <f>IF(ORCAMENTOS!D1085="","",ORCAMENTOS!D1085)</f>
        <v>ACTEC ENGENHARIA</v>
      </c>
      <c r="E1077" s="38" t="str">
        <f>IF(ORCAMENTOS!E1085="","",ORCAMENTOS!E1085)</f>
        <v>HOSPITAL MUNICIPAL JOSÉ SOARES HUNGRIA</v>
      </c>
      <c r="F1077" s="37" t="str">
        <f>IF(ORCAMENTOS!G1085="","",ORCAMENTOS!G1085)</f>
        <v xml:space="preserve">Aldavir </v>
      </c>
      <c r="G1077" s="37" t="str">
        <f>IF(ORCAMENTOS!H1085="","",ORCAMENTOS!H1085)</f>
        <v>Genivon</v>
      </c>
      <c r="H1077" s="39">
        <f>IF(ORCAMENTOS!I1085="","",ORCAMENTOS!I1085)</f>
        <v>366038.01</v>
      </c>
      <c r="I1077" s="60" t="str">
        <f>IF(ORCAMENTOS!J1085="","",ORCAMENTOS!J1085)</f>
        <v/>
      </c>
      <c r="J1077" s="40" t="str">
        <f>IF(ORCAMENTOS!L1085="","",ORCAMENTOS!L1085)</f>
        <v>CANCELADO</v>
      </c>
      <c r="K1077" s="34" t="str">
        <f>IF(ORCAMENTOS!M1085="","",ORCAMENTOS!M1085)</f>
        <v>-</v>
      </c>
      <c r="L1077" t="str">
        <f>IF(ORCAMENTOS!R1085="","",ORCAMENTOS!R1085)</f>
        <v>-</v>
      </c>
    </row>
    <row r="1078" spans="1:12" ht="15.75" hidden="1" customHeight="1" x14ac:dyDescent="0.25">
      <c r="A1078" s="36">
        <f>IF(ORCAMENTOS!A1086="","",ORCAMENTOS!A1086)</f>
        <v>45831</v>
      </c>
      <c r="B1078" s="46">
        <f>IF(ORCAMENTOS!B1086="","",ORCAMENTOS!B1086)</f>
        <v>1076</v>
      </c>
      <c r="C1078" s="46" t="str">
        <f>IF(ORCAMENTOS!C1086="","",ORCAMENTOS!C1086)</f>
        <v/>
      </c>
      <c r="D1078" s="37" t="str">
        <f>IF(ORCAMENTOS!D1086="","",ORCAMENTOS!D1086)</f>
        <v>NEWSET</v>
      </c>
      <c r="E1078" s="38" t="str">
        <f>IF(ORCAMENTOS!E1086="","",ORCAMENTOS!E1086)</f>
        <v>NSP 149.25 - ANÁLIA FRANCO</v>
      </c>
      <c r="F1078" s="37" t="str">
        <f>IF(ORCAMENTOS!G1086="","",ORCAMENTOS!G1086)</f>
        <v xml:space="preserve">Aldavir </v>
      </c>
      <c r="G1078" s="37" t="str">
        <f>IF(ORCAMENTOS!H1086="","",ORCAMENTOS!H1086)</f>
        <v>David</v>
      </c>
      <c r="H1078" s="39">
        <f>IF(ORCAMENTOS!I1086="","",ORCAMENTOS!I1086)</f>
        <v>28379.01</v>
      </c>
      <c r="I1078" s="60" t="str">
        <f>IF(ORCAMENTOS!J1086="","",ORCAMENTOS!J1086)</f>
        <v/>
      </c>
      <c r="J1078" s="40" t="str">
        <f>IF(ORCAMENTOS!L1086="","",ORCAMENTOS!L1086)</f>
        <v>CANCELADO</v>
      </c>
      <c r="K1078" s="34" t="str">
        <f>IF(ORCAMENTOS!M1086="","",ORCAMENTOS!M1086)</f>
        <v>-</v>
      </c>
      <c r="L1078" t="str">
        <f>IF(ORCAMENTOS!R1086="","",ORCAMENTOS!R1086)</f>
        <v>-</v>
      </c>
    </row>
    <row r="1079" spans="1:12" ht="15.75" hidden="1" customHeight="1" x14ac:dyDescent="0.25">
      <c r="A1079" s="36">
        <f>IF(ORCAMENTOS!A1087="","",ORCAMENTOS!A1087)</f>
        <v>45832</v>
      </c>
      <c r="B1079" s="46">
        <f>IF(ORCAMENTOS!B1087="","",ORCAMENTOS!B1087)</f>
        <v>1077</v>
      </c>
      <c r="C1079" s="46" t="str">
        <f>IF(ORCAMENTOS!C1087="","",ORCAMENTOS!C1087)</f>
        <v/>
      </c>
      <c r="D1079" s="37" t="str">
        <f>IF(ORCAMENTOS!D1087="","",ORCAMENTOS!D1087)</f>
        <v>IVTEC ENGENHARIA</v>
      </c>
      <c r="E1079" s="38" t="str">
        <f>IF(ORCAMENTOS!E1087="","",ORCAMENTOS!E1087)</f>
        <v>-</v>
      </c>
      <c r="F1079" s="37" t="str">
        <f>IF(ORCAMENTOS!G1087="","",ORCAMENTOS!G1087)</f>
        <v>Gabriel</v>
      </c>
      <c r="G1079" s="37" t="str">
        <f>IF(ORCAMENTOS!H1087="","",ORCAMENTOS!H1087)</f>
        <v>Matheus</v>
      </c>
      <c r="H1079" s="39">
        <f>IF(ORCAMENTOS!I1087="","",ORCAMENTOS!I1087)</f>
        <v>13314.61</v>
      </c>
      <c r="I1079" s="60" t="str">
        <f>IF(ORCAMENTOS!J1087="","",ORCAMENTOS!J1087)</f>
        <v/>
      </c>
      <c r="J1079" s="40" t="str">
        <f>IF(ORCAMENTOS!L1087="","",ORCAMENTOS!L1087)</f>
        <v>FECHADO</v>
      </c>
      <c r="K1079" s="34" t="str">
        <f>IF(ORCAMENTOS!M1087="","",ORCAMENTOS!M1087)</f>
        <v>-</v>
      </c>
      <c r="L1079" t="str">
        <f>IF(ORCAMENTOS!R1087="","",ORCAMENTOS!R1087)</f>
        <v>-</v>
      </c>
    </row>
    <row r="1080" spans="1:12" ht="15.75" hidden="1" customHeight="1" x14ac:dyDescent="0.25">
      <c r="A1080" s="36">
        <f>IF(ORCAMENTOS!A1088="","",ORCAMENTOS!A1088)</f>
        <v>45831</v>
      </c>
      <c r="B1080" s="46">
        <f>IF(ORCAMENTOS!B1088="","",ORCAMENTOS!B1088)</f>
        <v>1078</v>
      </c>
      <c r="C1080" s="46" t="str">
        <f>IF(ORCAMENTOS!C1088="","",ORCAMENTOS!C1088)</f>
        <v/>
      </c>
      <c r="D1080" s="37" t="str">
        <f>IF(ORCAMENTOS!D1088="","",ORCAMENTOS!D1088)</f>
        <v>HVAC ENGENHARIA</v>
      </c>
      <c r="E1080" s="38" t="str">
        <f>IF(ORCAMENTOS!E1088="","",ORCAMENTOS!E1088)</f>
        <v>EDP</v>
      </c>
      <c r="F1080" s="37" t="str">
        <f>IF(ORCAMENTOS!G1088="","",ORCAMENTOS!G1088)</f>
        <v>Michel</v>
      </c>
      <c r="G1080" s="37" t="str">
        <f>IF(ORCAMENTOS!H1088="","",ORCAMENTOS!H1088)</f>
        <v>Alvaro</v>
      </c>
      <c r="H1080" s="39">
        <f>IF(ORCAMENTOS!I1088="","",ORCAMENTOS!I1088)</f>
        <v>71270.320000000007</v>
      </c>
      <c r="I1080" s="60" t="str">
        <f>IF(ORCAMENTOS!J1088="","",ORCAMENTOS!J1088)</f>
        <v/>
      </c>
      <c r="J1080" s="40" t="str">
        <f>IF(ORCAMENTOS!L1088="","",ORCAMENTOS!L1088)</f>
        <v>FECHADO</v>
      </c>
      <c r="K1080" s="34" t="str">
        <f>IF(ORCAMENTOS!M1088="","",ORCAMENTOS!M1088)</f>
        <v>-</v>
      </c>
      <c r="L1080" t="str">
        <f>IF(ORCAMENTOS!R1088="","",ORCAMENTOS!R1088)</f>
        <v>-</v>
      </c>
    </row>
    <row r="1081" spans="1:12" ht="15.75" hidden="1" customHeight="1" x14ac:dyDescent="0.25">
      <c r="A1081" s="36">
        <f>IF(ORCAMENTOS!A1089="","",ORCAMENTOS!A1089)</f>
        <v>45832</v>
      </c>
      <c r="B1081" s="46">
        <f>IF(ORCAMENTOS!B1089="","",ORCAMENTOS!B1089)</f>
        <v>1079</v>
      </c>
      <c r="C1081" s="46" t="str">
        <f>IF(ORCAMENTOS!C1089="","",ORCAMENTOS!C1089)</f>
        <v/>
      </c>
      <c r="D1081" s="37" t="str">
        <f>IF(ORCAMENTOS!D1089="","",ORCAMENTOS!D1089)</f>
        <v>IVTEC ENGENHARIA</v>
      </c>
      <c r="E1081" s="38" t="str">
        <f>IF(ORCAMENTOS!E1089="","",ORCAMENTOS!E1089)</f>
        <v>-</v>
      </c>
      <c r="F1081" s="37" t="str">
        <f>IF(ORCAMENTOS!G1089="","",ORCAMENTOS!G1089)</f>
        <v>Gabriel</v>
      </c>
      <c r="G1081" s="37" t="str">
        <f>IF(ORCAMENTOS!H1089="","",ORCAMENTOS!H1089)</f>
        <v>Matheus</v>
      </c>
      <c r="H1081" s="39">
        <f>IF(ORCAMENTOS!I1089="","",ORCAMENTOS!I1089)</f>
        <v>16111.68</v>
      </c>
      <c r="I1081" s="60" t="str">
        <f>IF(ORCAMENTOS!J1089="","",ORCAMENTOS!J1089)</f>
        <v/>
      </c>
      <c r="J1081" s="40" t="str">
        <f>IF(ORCAMENTOS!L1089="","",ORCAMENTOS!L1089)</f>
        <v>FECHADO</v>
      </c>
      <c r="K1081" s="34" t="str">
        <f>IF(ORCAMENTOS!M1089="","",ORCAMENTOS!M1089)</f>
        <v>-</v>
      </c>
      <c r="L1081" t="str">
        <f>IF(ORCAMENTOS!R1089="","",ORCAMENTOS!R1089)</f>
        <v>-</v>
      </c>
    </row>
    <row r="1082" spans="1:12" ht="15.75" hidden="1" customHeight="1" x14ac:dyDescent="0.25">
      <c r="A1082" s="36">
        <f>IF(ORCAMENTOS!A1090="","",ORCAMENTOS!A1090)</f>
        <v>45832</v>
      </c>
      <c r="B1082" s="46">
        <f>IF(ORCAMENTOS!B1090="","",ORCAMENTOS!B1090)</f>
        <v>1080</v>
      </c>
      <c r="C1082" s="46" t="str">
        <f>IF(ORCAMENTOS!C1090="","",ORCAMENTOS!C1090)</f>
        <v/>
      </c>
      <c r="D1082" s="37" t="str">
        <f>IF(ORCAMENTOS!D1090="","",ORCAMENTOS!D1090)</f>
        <v>DUTOLEVE</v>
      </c>
      <c r="E1082" s="38" t="str">
        <f>IF(ORCAMENTOS!E1090="","",ORCAMENTOS!E1090)</f>
        <v>SUPERMERCADO ALABARCE LTDA</v>
      </c>
      <c r="F1082" s="37" t="str">
        <f>IF(ORCAMENTOS!G1090="","",ORCAMENTOS!G1090)</f>
        <v>Gabriel</v>
      </c>
      <c r="G1082" s="37" t="str">
        <f>IF(ORCAMENTOS!H1090="","",ORCAMENTOS!H1090)</f>
        <v>Newton</v>
      </c>
      <c r="H1082" s="39">
        <f>IF(ORCAMENTOS!I1090="","",ORCAMENTOS!I1090)</f>
        <v>134999.99</v>
      </c>
      <c r="I1082" s="60" t="str">
        <f>IF(ORCAMENTOS!J1090="","",ORCAMENTOS!J1090)</f>
        <v/>
      </c>
      <c r="J1082" s="40" t="str">
        <f>IF(ORCAMENTOS!L1090="","",ORCAMENTOS!L1090)</f>
        <v>FECHADO</v>
      </c>
      <c r="K1082" s="34" t="str">
        <f>IF(ORCAMENTOS!M1090="","",ORCAMENTOS!M1090)</f>
        <v>-</v>
      </c>
      <c r="L1082" t="str">
        <f>IF(ORCAMENTOS!R1090="","",ORCAMENTOS!R1090)</f>
        <v>-</v>
      </c>
    </row>
    <row r="1083" spans="1:12" ht="15.75" hidden="1" customHeight="1" x14ac:dyDescent="0.25">
      <c r="A1083" s="36">
        <f>IF(ORCAMENTOS!A1091="","",ORCAMENTOS!A1091)</f>
        <v>45832</v>
      </c>
      <c r="B1083" s="46">
        <f>IF(ORCAMENTOS!B1091="","",ORCAMENTOS!B1091)</f>
        <v>1081</v>
      </c>
      <c r="C1083" s="46" t="str">
        <f>IF(ORCAMENTOS!C1091="","",ORCAMENTOS!C1091)</f>
        <v/>
      </c>
      <c r="D1083" s="37" t="str">
        <f>IF(ORCAMENTOS!D1091="","",ORCAMENTOS!D1091)</f>
        <v>AMS INSTALACOES</v>
      </c>
      <c r="E1083" s="38" t="str">
        <f>IF(ORCAMENTOS!E1091="","",ORCAMENTOS!E1091)</f>
        <v>FORT - SANTA CRUZ DO SUL</v>
      </c>
      <c r="F1083" s="37" t="str">
        <f>IF(ORCAMENTOS!G1091="","",ORCAMENTOS!G1091)</f>
        <v>Gabriel</v>
      </c>
      <c r="G1083" s="37" t="str">
        <f>IF(ORCAMENTOS!H1091="","",ORCAMENTOS!H1091)</f>
        <v>Felipe</v>
      </c>
      <c r="H1083" s="39">
        <f>IF(ORCAMENTOS!I1091="","",ORCAMENTOS!I1091)</f>
        <v>33310.17</v>
      </c>
      <c r="I1083" s="60" t="str">
        <f>IF(ORCAMENTOS!J1091="","",ORCAMENTOS!J1091)</f>
        <v/>
      </c>
      <c r="J1083" s="40" t="str">
        <f>IF(ORCAMENTOS!L1091="","",ORCAMENTOS!L1091)</f>
        <v>CANCELADO</v>
      </c>
      <c r="K1083" s="34" t="str">
        <f>IF(ORCAMENTOS!M1091="","",ORCAMENTOS!M1091)</f>
        <v>-</v>
      </c>
      <c r="L1083" t="str">
        <f>IF(ORCAMENTOS!R1091="","",ORCAMENTOS!R1091)</f>
        <v/>
      </c>
    </row>
    <row r="1084" spans="1:12" ht="15.75" hidden="1" customHeight="1" x14ac:dyDescent="0.25">
      <c r="A1084" s="36">
        <f>IF(ORCAMENTOS!A1092="","",ORCAMENTOS!A1092)</f>
        <v>45832</v>
      </c>
      <c r="B1084" s="46">
        <f>IF(ORCAMENTOS!B1092="","",ORCAMENTOS!B1092)</f>
        <v>1082</v>
      </c>
      <c r="C1084" s="46" t="str">
        <f>IF(ORCAMENTOS!C1092="","",ORCAMENTOS!C1092)</f>
        <v/>
      </c>
      <c r="D1084" s="37" t="str">
        <f>IF(ORCAMENTOS!D1092="","",ORCAMENTOS!D1092)</f>
        <v>AMS INSTALACOES</v>
      </c>
      <c r="E1084" s="38" t="str">
        <f>IF(ORCAMENTOS!E1092="","",ORCAMENTOS!E1092)</f>
        <v>COMPER - FORT ATACADISTA - CT AURORA - MT</v>
      </c>
      <c r="F1084" s="37" t="str">
        <f>IF(ORCAMENTOS!G1092="","",ORCAMENTOS!G1092)</f>
        <v>Gabriel</v>
      </c>
      <c r="G1084" s="37" t="str">
        <f>IF(ORCAMENTOS!H1092="","",ORCAMENTOS!H1092)</f>
        <v>Albertino</v>
      </c>
      <c r="H1084" s="39">
        <f>IF(ORCAMENTOS!I1092="","",ORCAMENTOS!I1092)</f>
        <v>154154.47</v>
      </c>
      <c r="I1084" s="60" t="str">
        <f>IF(ORCAMENTOS!J1092="","",ORCAMENTOS!J1092)</f>
        <v/>
      </c>
      <c r="J1084" s="40" t="str">
        <f>IF(ORCAMENTOS!L1092="","",ORCAMENTOS!L1092)</f>
        <v>FECHADO</v>
      </c>
      <c r="K1084" s="34" t="str">
        <f>IF(ORCAMENTOS!M1092="","",ORCAMENTOS!M1092)</f>
        <v>-</v>
      </c>
      <c r="L1084" t="str">
        <f>IF(ORCAMENTOS!R1092="","",ORCAMENTOS!R1092)</f>
        <v/>
      </c>
    </row>
    <row r="1085" spans="1:12" ht="15.75" hidden="1" customHeight="1" x14ac:dyDescent="0.25">
      <c r="A1085" s="36">
        <f>IF(ORCAMENTOS!A1093="","",ORCAMENTOS!A1093)</f>
        <v>45832</v>
      </c>
      <c r="B1085" s="46">
        <f>IF(ORCAMENTOS!B1093="","",ORCAMENTOS!B1093)</f>
        <v>1083</v>
      </c>
      <c r="C1085" s="46" t="str">
        <f>IF(ORCAMENTOS!C1093="","",ORCAMENTOS!C1093)</f>
        <v/>
      </c>
      <c r="D1085" s="37" t="str">
        <f>IF(ORCAMENTOS!D1093="","",ORCAMENTOS!D1093)</f>
        <v>COLDTERMICA</v>
      </c>
      <c r="E1085" s="38" t="str">
        <f>IF(ORCAMENTOS!E1093="","",ORCAMENTOS!E1093)</f>
        <v>RENNER RECIFE</v>
      </c>
      <c r="F1085" s="37" t="str">
        <f>IF(ORCAMENTOS!G1093="","",ORCAMENTOS!G1093)</f>
        <v>Gabriel</v>
      </c>
      <c r="G1085" s="37" t="str">
        <f>IF(ORCAMENTOS!H1093="","",ORCAMENTOS!H1093)</f>
        <v>Denis</v>
      </c>
      <c r="H1085" s="39">
        <f>IF(ORCAMENTOS!I1093="","",ORCAMENTOS!I1093)</f>
        <v>9698.67</v>
      </c>
      <c r="I1085" s="60" t="str">
        <f>IF(ORCAMENTOS!J1093="","",ORCAMENTOS!J1093)</f>
        <v/>
      </c>
      <c r="J1085" s="40" t="str">
        <f>IF(ORCAMENTOS!L1093="","",ORCAMENTOS!L1093)</f>
        <v>COMPRA</v>
      </c>
      <c r="K1085" s="34" t="str">
        <f>IF(ORCAMENTOS!M1093="","",ORCAMENTOS!M1093)</f>
        <v>-</v>
      </c>
      <c r="L1085" t="str">
        <f>IF(ORCAMENTOS!R1093="","",ORCAMENTOS!R1093)</f>
        <v>-</v>
      </c>
    </row>
    <row r="1086" spans="1:12" ht="15.75" hidden="1" customHeight="1" x14ac:dyDescent="0.25">
      <c r="A1086" s="36">
        <f>IF(ORCAMENTOS!A1094="","",ORCAMENTOS!A1094)</f>
        <v>45833</v>
      </c>
      <c r="B1086" s="46">
        <f>IF(ORCAMENTOS!B1094="","",ORCAMENTOS!B1094)</f>
        <v>1084</v>
      </c>
      <c r="C1086" s="46" t="str">
        <f>IF(ORCAMENTOS!C1094="","",ORCAMENTOS!C1094)</f>
        <v/>
      </c>
      <c r="D1086" s="37" t="str">
        <f>IF(ORCAMENTOS!D1094="","",ORCAMENTOS!D1094)</f>
        <v>ART AR</v>
      </c>
      <c r="E1086" s="38" t="str">
        <f>IF(ORCAMENTOS!E1094="","",ORCAMENTOS!E1094)</f>
        <v>-</v>
      </c>
      <c r="F1086" s="37" t="str">
        <f>IF(ORCAMENTOS!G1094="","",ORCAMENTOS!G1094)</f>
        <v>Emanuel</v>
      </c>
      <c r="G1086" s="37" t="str">
        <f>IF(ORCAMENTOS!H1094="","",ORCAMENTOS!H1094)</f>
        <v>Jorge</v>
      </c>
      <c r="H1086" s="39">
        <f>IF(ORCAMENTOS!I1094="","",ORCAMENTOS!I1094)</f>
        <v>3772.98</v>
      </c>
      <c r="I1086" s="60" t="str">
        <f>IF(ORCAMENTOS!J1094="","",ORCAMENTOS!J1094)</f>
        <v/>
      </c>
      <c r="J1086" s="40" t="str">
        <f>IF(ORCAMENTOS!L1094="","",ORCAMENTOS!L1094)</f>
        <v>FECHADO</v>
      </c>
      <c r="K1086" s="34" t="str">
        <f>IF(ORCAMENTOS!M1094="","",ORCAMENTOS!M1094)</f>
        <v>-</v>
      </c>
      <c r="L1086" t="str">
        <f>IF(ORCAMENTOS!R1094="","",ORCAMENTOS!R1094)</f>
        <v>-</v>
      </c>
    </row>
    <row r="1087" spans="1:12" ht="15.75" hidden="1" customHeight="1" x14ac:dyDescent="0.25">
      <c r="A1087" s="36">
        <f>IF(ORCAMENTOS!A1095="","",ORCAMENTOS!A1095)</f>
        <v>45832</v>
      </c>
      <c r="B1087" s="46">
        <f>IF(ORCAMENTOS!B1095="","",ORCAMENTOS!B1095)</f>
        <v>1085</v>
      </c>
      <c r="C1087" s="46" t="str">
        <f>IF(ORCAMENTOS!C1095="","",ORCAMENTOS!C1095)</f>
        <v/>
      </c>
      <c r="D1087" s="37" t="str">
        <f>IF(ORCAMENTOS!D1095="","",ORCAMENTOS!D1095)</f>
        <v>COLD CONTROL</v>
      </c>
      <c r="E1087" s="38" t="str">
        <f>IF(ORCAMENTOS!E1095="","",ORCAMENTOS!E1095)</f>
        <v>CCR JUNDIAI</v>
      </c>
      <c r="F1087" s="37" t="str">
        <f>IF(ORCAMENTOS!G1095="","",ORCAMENTOS!G1095)</f>
        <v>Emanuel</v>
      </c>
      <c r="G1087" s="37" t="str">
        <f>IF(ORCAMENTOS!H1095="","",ORCAMENTOS!H1095)</f>
        <v>Armando</v>
      </c>
      <c r="H1087" s="39">
        <f>IF(ORCAMENTOS!I1095="","",ORCAMENTOS!I1095)</f>
        <v>2587.94</v>
      </c>
      <c r="I1087" s="60" t="str">
        <f>IF(ORCAMENTOS!J1095="","",ORCAMENTOS!J1095)</f>
        <v/>
      </c>
      <c r="J1087" s="40" t="str">
        <f>IF(ORCAMENTOS!L1095="","",ORCAMENTOS!L1095)</f>
        <v>FECHADO</v>
      </c>
      <c r="K1087" s="34" t="str">
        <f>IF(ORCAMENTOS!M1095="","",ORCAMENTOS!M1095)</f>
        <v>-</v>
      </c>
      <c r="L1087" t="str">
        <f>IF(ORCAMENTOS!R1095="","",ORCAMENTOS!R1095)</f>
        <v>-</v>
      </c>
    </row>
    <row r="1088" spans="1:12" ht="15.75" hidden="1" customHeight="1" x14ac:dyDescent="0.25">
      <c r="A1088" s="36">
        <f>IF(ORCAMENTOS!A1096="","",ORCAMENTOS!A1096)</f>
        <v>45832</v>
      </c>
      <c r="B1088" s="46">
        <f>IF(ORCAMENTOS!B1096="","",ORCAMENTOS!B1096)</f>
        <v>1086</v>
      </c>
      <c r="C1088" s="46" t="str">
        <f>IF(ORCAMENTOS!C1096="","",ORCAMENTOS!C1096)</f>
        <v/>
      </c>
      <c r="D1088" s="37" t="str">
        <f>IF(ORCAMENTOS!D1096="","",ORCAMENTOS!D1096)</f>
        <v>NEW AIR</v>
      </c>
      <c r="E1088" s="38" t="str">
        <f>IF(ORCAMENTOS!E1096="","",ORCAMENTOS!E1096)</f>
        <v>-</v>
      </c>
      <c r="F1088" s="37" t="str">
        <f>IF(ORCAMENTOS!G1096="","",ORCAMENTOS!G1096)</f>
        <v>Fernando</v>
      </c>
      <c r="G1088" s="37" t="str">
        <f>IF(ORCAMENTOS!H1096="","",ORCAMENTOS!H1096)</f>
        <v>Igor</v>
      </c>
      <c r="H1088" s="39">
        <f>IF(ORCAMENTOS!I1096="","",ORCAMENTOS!I1096)</f>
        <v>2003.19</v>
      </c>
      <c r="I1088" s="60" t="str">
        <f>IF(ORCAMENTOS!J1096="","",ORCAMENTOS!J1096)</f>
        <v/>
      </c>
      <c r="J1088" s="40" t="str">
        <f>IF(ORCAMENTOS!L1096="","",ORCAMENTOS!L1096)</f>
        <v>FECHADO</v>
      </c>
      <c r="K1088" s="34" t="str">
        <f>IF(ORCAMENTOS!M1096="","",ORCAMENTOS!M1096)</f>
        <v>-</v>
      </c>
      <c r="L1088" t="str">
        <f>IF(ORCAMENTOS!R1096="","",ORCAMENTOS!R1096)</f>
        <v>-</v>
      </c>
    </row>
    <row r="1089" spans="1:12" ht="15.75" hidden="1" customHeight="1" x14ac:dyDescent="0.25">
      <c r="A1089" s="36">
        <f>IF(ORCAMENTOS!A1097="","",ORCAMENTOS!A1097)</f>
        <v>45833</v>
      </c>
      <c r="B1089" s="46">
        <f>IF(ORCAMENTOS!B1097="","",ORCAMENTOS!B1097)</f>
        <v>1087</v>
      </c>
      <c r="C1089" s="46" t="str">
        <f>IF(ORCAMENTOS!C1097="","",ORCAMENTOS!C1097)</f>
        <v/>
      </c>
      <c r="D1089" s="37" t="str">
        <f>IF(ORCAMENTOS!D1097="","",ORCAMENTOS!D1097)</f>
        <v>AR CLEAN</v>
      </c>
      <c r="E1089" s="38" t="str">
        <f>IF(ORCAMENTOS!E1097="","",ORCAMENTOS!E1097)</f>
        <v>-</v>
      </c>
      <c r="F1089" s="37" t="str">
        <f>IF(ORCAMENTOS!G1097="","",ORCAMENTOS!G1097)</f>
        <v xml:space="preserve">Aldavir </v>
      </c>
      <c r="G1089" s="37" t="str">
        <f>IF(ORCAMENTOS!H1097="","",ORCAMENTOS!H1097)</f>
        <v>Melanie</v>
      </c>
      <c r="H1089" s="39">
        <f>IF(ORCAMENTOS!I1097="","",ORCAMENTOS!I1097)</f>
        <v>3677.97</v>
      </c>
      <c r="I1089" s="60" t="str">
        <f>IF(ORCAMENTOS!J1097="","",ORCAMENTOS!J1097)</f>
        <v/>
      </c>
      <c r="J1089" s="40" t="str">
        <f>IF(ORCAMENTOS!L1097="","",ORCAMENTOS!L1097)</f>
        <v>FECHADO</v>
      </c>
      <c r="K1089" s="34" t="str">
        <f>IF(ORCAMENTOS!M1097="","",ORCAMENTOS!M1097)</f>
        <v>-</v>
      </c>
      <c r="L1089" t="str">
        <f>IF(ORCAMENTOS!R1097="","",ORCAMENTOS!R1097)</f>
        <v>-</v>
      </c>
    </row>
    <row r="1090" spans="1:12" ht="15.75" hidden="1" customHeight="1" x14ac:dyDescent="0.25">
      <c r="A1090" s="36">
        <f>IF(ORCAMENTOS!A1098="","",ORCAMENTOS!A1098)</f>
        <v>45833</v>
      </c>
      <c r="B1090" s="46">
        <f>IF(ORCAMENTOS!B1098="","",ORCAMENTOS!B1098)</f>
        <v>1088</v>
      </c>
      <c r="C1090" s="46" t="str">
        <f>IF(ORCAMENTOS!C1098="","",ORCAMENTOS!C1098)</f>
        <v/>
      </c>
      <c r="D1090" s="37" t="str">
        <f>IF(ORCAMENTOS!D1098="","",ORCAMENTOS!D1098)</f>
        <v>CONSORCIO ARC</v>
      </c>
      <c r="E1090" s="38" t="str">
        <f>IF(ORCAMENTOS!E1098="","",ORCAMENTOS!E1098)</f>
        <v>COMPANHIA DO METROPOLITANO DE SÃO PAULO</v>
      </c>
      <c r="F1090" s="37" t="str">
        <f>IF(ORCAMENTOS!G1098="","",ORCAMENTOS!G1098)</f>
        <v>Gabriel</v>
      </c>
      <c r="G1090" s="37" t="str">
        <f>IF(ORCAMENTOS!H1098="","",ORCAMENTOS!H1098)</f>
        <v>Wagner</v>
      </c>
      <c r="H1090" s="39">
        <f>IF(ORCAMENTOS!I1098="","",ORCAMENTOS!I1098)</f>
        <v>11154.41</v>
      </c>
      <c r="I1090" s="60" t="str">
        <f>IF(ORCAMENTOS!J1098="","",ORCAMENTOS!J1098)</f>
        <v/>
      </c>
      <c r="J1090" s="40" t="str">
        <f>IF(ORCAMENTOS!L1098="","",ORCAMENTOS!L1098)</f>
        <v>FECHADO</v>
      </c>
      <c r="K1090" s="34" t="str">
        <f>IF(ORCAMENTOS!M1098="","",ORCAMENTOS!M1098)</f>
        <v>-</v>
      </c>
      <c r="L1090" t="str">
        <f>IF(ORCAMENTOS!R1098="","",ORCAMENTOS!R1098)</f>
        <v>-</v>
      </c>
    </row>
    <row r="1091" spans="1:12" ht="15.75" hidden="1" customHeight="1" x14ac:dyDescent="0.25">
      <c r="A1091" s="36">
        <f>IF(ORCAMENTOS!A1099="","",ORCAMENTOS!A1099)</f>
        <v>45833</v>
      </c>
      <c r="B1091" s="46">
        <f>IF(ORCAMENTOS!B1099="","",ORCAMENTOS!B1099)</f>
        <v>1089</v>
      </c>
      <c r="C1091" s="46" t="str">
        <f>IF(ORCAMENTOS!C1099="","",ORCAMENTOS!C1099)</f>
        <v/>
      </c>
      <c r="D1091" s="37" t="str">
        <f>IF(ORCAMENTOS!D1099="","",ORCAMENTOS!D1099)</f>
        <v>IVTEC ENGENHARIA</v>
      </c>
      <c r="E1091" s="38" t="str">
        <f>IF(ORCAMENTOS!E1099="","",ORCAMENTOS!E1099)</f>
        <v>-</v>
      </c>
      <c r="F1091" s="37" t="str">
        <f>IF(ORCAMENTOS!G1099="","",ORCAMENTOS!G1099)</f>
        <v>Gabriel</v>
      </c>
      <c r="G1091" s="37" t="str">
        <f>IF(ORCAMENTOS!H1099="","",ORCAMENTOS!H1099)</f>
        <v>Matheus</v>
      </c>
      <c r="H1091" s="39">
        <f>IF(ORCAMENTOS!I1099="","",ORCAMENTOS!I1099)</f>
        <v>2725.8</v>
      </c>
      <c r="I1091" s="60" t="str">
        <f>IF(ORCAMENTOS!J1099="","",ORCAMENTOS!J1099)</f>
        <v/>
      </c>
      <c r="J1091" s="40" t="str">
        <f>IF(ORCAMENTOS!L1099="","",ORCAMENTOS!L1099)</f>
        <v>FECHADO</v>
      </c>
      <c r="K1091" s="34" t="str">
        <f>IF(ORCAMENTOS!M1099="","",ORCAMENTOS!M1099)</f>
        <v>-</v>
      </c>
      <c r="L1091" t="str">
        <f>IF(ORCAMENTOS!R1099="","",ORCAMENTOS!R1099)</f>
        <v>-</v>
      </c>
    </row>
    <row r="1092" spans="1:12" ht="15.75" hidden="1" customHeight="1" x14ac:dyDescent="0.25">
      <c r="A1092" s="36">
        <f>IF(ORCAMENTOS!A1100="","",ORCAMENTOS!A1100)</f>
        <v>45833</v>
      </c>
      <c r="B1092" s="46">
        <f>IF(ORCAMENTOS!B1100="","",ORCAMENTOS!B1100)</f>
        <v>1090</v>
      </c>
      <c r="C1092" s="46" t="str">
        <f>IF(ORCAMENTOS!C1100="","",ORCAMENTOS!C1100)</f>
        <v/>
      </c>
      <c r="D1092" s="37" t="str">
        <f>IF(ORCAMENTOS!D1100="","",ORCAMENTOS!D1100)</f>
        <v>DONIZETI SANTOS</v>
      </c>
      <c r="E1092" s="38" t="str">
        <f>IF(ORCAMENTOS!E1100="","",ORCAMENTOS!E1100)</f>
        <v>PAROQUIA SÃO BENEDITO</v>
      </c>
      <c r="F1092" s="37" t="str">
        <f>IF(ORCAMENTOS!G1100="","",ORCAMENTOS!G1100)</f>
        <v>Gabriel</v>
      </c>
      <c r="G1092" s="37" t="str">
        <f>IF(ORCAMENTOS!H1100="","",ORCAMENTOS!H1100)</f>
        <v>Donizeti</v>
      </c>
      <c r="H1092" s="39">
        <f>IF(ORCAMENTOS!I1100="","",ORCAMENTOS!I1100)</f>
        <v>116685.77</v>
      </c>
      <c r="I1092" s="60" t="str">
        <f>IF(ORCAMENTOS!J1100="","",ORCAMENTOS!J1100)</f>
        <v/>
      </c>
      <c r="J1092" s="40" t="str">
        <f>IF(ORCAMENTOS!L1100="","",ORCAMENTOS!L1100)</f>
        <v>CANCELADO</v>
      </c>
      <c r="K1092" s="34" t="str">
        <f>IF(ORCAMENTOS!M1100="","",ORCAMENTOS!M1100)</f>
        <v>-</v>
      </c>
      <c r="L1092" t="str">
        <f>IF(ORCAMENTOS!R1100="","",ORCAMENTOS!R1100)</f>
        <v>-</v>
      </c>
    </row>
    <row r="1093" spans="1:12" ht="15.75" hidden="1" customHeight="1" x14ac:dyDescent="0.25">
      <c r="A1093" s="36">
        <f>IF(ORCAMENTOS!A1101="","",ORCAMENTOS!A1101)</f>
        <v>45833</v>
      </c>
      <c r="B1093" s="46">
        <f>IF(ORCAMENTOS!B1101="","",ORCAMENTOS!B1101)</f>
        <v>1091</v>
      </c>
      <c r="C1093" s="46" t="str">
        <f>IF(ORCAMENTOS!C1101="","",ORCAMENTOS!C1101)</f>
        <v/>
      </c>
      <c r="D1093" s="37" t="str">
        <f>IF(ORCAMENTOS!D1101="","",ORCAMENTOS!D1101)</f>
        <v>INOVECTOR</v>
      </c>
      <c r="E1093" s="38" t="str">
        <f>IF(ORCAMENTOS!E1101="","",ORCAMENTOS!E1101)</f>
        <v>HOSP. MAUÁ_RX</v>
      </c>
      <c r="F1093" s="37" t="str">
        <f>IF(ORCAMENTOS!G1101="","",ORCAMENTOS!G1101)</f>
        <v>Fernando</v>
      </c>
      <c r="G1093" s="37" t="str">
        <f>IF(ORCAMENTOS!H1101="","",ORCAMENTOS!H1101)</f>
        <v>Eliete</v>
      </c>
      <c r="H1093" s="39">
        <f>IF(ORCAMENTOS!I1101="","",ORCAMENTOS!I1101)</f>
        <v>4537.3</v>
      </c>
      <c r="I1093" s="60" t="str">
        <f>IF(ORCAMENTOS!J1101="","",ORCAMENTOS!J1101)</f>
        <v/>
      </c>
      <c r="J1093" s="40" t="str">
        <f>IF(ORCAMENTOS!L1101="","",ORCAMENTOS!L1101)</f>
        <v>CANCELADO</v>
      </c>
      <c r="K1093" s="34" t="str">
        <f>IF(ORCAMENTOS!M1101="","",ORCAMENTOS!M1101)</f>
        <v>PREV SETEMBRO</v>
      </c>
      <c r="L1093" t="str">
        <f>IF(ORCAMENTOS!R1101="","",ORCAMENTOS!R1101)</f>
        <v>-</v>
      </c>
    </row>
    <row r="1094" spans="1:12" ht="15.75" hidden="1" customHeight="1" x14ac:dyDescent="0.25">
      <c r="A1094" s="36">
        <f>IF(ORCAMENTOS!A1102="","",ORCAMENTOS!A1102)</f>
        <v>45833</v>
      </c>
      <c r="B1094" s="46">
        <f>IF(ORCAMENTOS!B1102="","",ORCAMENTOS!B1102)</f>
        <v>1092</v>
      </c>
      <c r="C1094" s="46" t="str">
        <f>IF(ORCAMENTOS!C1102="","",ORCAMENTOS!C1102)</f>
        <v/>
      </c>
      <c r="D1094" s="37" t="str">
        <f>IF(ORCAMENTOS!D1102="","",ORCAMENTOS!D1102)</f>
        <v>R1 SOLUCOES</v>
      </c>
      <c r="E1094" s="38" t="str">
        <f>IF(ORCAMENTOS!E1102="","",ORCAMENTOS!E1102)</f>
        <v>CINEPOLIS MANAUS - SHOPPING PONTA NEGRA - AM</v>
      </c>
      <c r="F1094" s="37" t="str">
        <f>IF(ORCAMENTOS!G1102="","",ORCAMENTOS!G1102)</f>
        <v>Gabriel</v>
      </c>
      <c r="G1094" s="37" t="str">
        <f>IF(ORCAMENTOS!H1102="","",ORCAMENTOS!H1102)</f>
        <v>Janaina</v>
      </c>
      <c r="H1094" s="39">
        <f>IF(ORCAMENTOS!I1102="","",ORCAMENTOS!I1102)</f>
        <v>69669.67</v>
      </c>
      <c r="I1094" s="60" t="str">
        <f>IF(ORCAMENTOS!J1102="","",ORCAMENTOS!J1102)</f>
        <v/>
      </c>
      <c r="J1094" s="40" t="str">
        <f>IF(ORCAMENTOS!L1102="","",ORCAMENTOS!L1102)</f>
        <v>FECHADO</v>
      </c>
      <c r="K1094" s="34" t="str">
        <f>IF(ORCAMENTOS!M1102="","",ORCAMENTOS!M1102)</f>
        <v>-</v>
      </c>
      <c r="L1094" t="str">
        <f>IF(ORCAMENTOS!R1102="","",ORCAMENTOS!R1102)</f>
        <v>-</v>
      </c>
    </row>
    <row r="1095" spans="1:12" ht="15.75" hidden="1" customHeight="1" x14ac:dyDescent="0.25">
      <c r="A1095" s="36">
        <f>IF(ORCAMENTOS!A1103="","",ORCAMENTOS!A1103)</f>
        <v>45833</v>
      </c>
      <c r="B1095" s="46">
        <f>IF(ORCAMENTOS!B1103="","",ORCAMENTOS!B1103)</f>
        <v>1093</v>
      </c>
      <c r="C1095" s="46" t="str">
        <f>IF(ORCAMENTOS!C1103="","",ORCAMENTOS!C1103)</f>
        <v/>
      </c>
      <c r="D1095" s="37" t="str">
        <f>IF(ORCAMENTOS!D1103="","",ORCAMENTOS!D1103)</f>
        <v>CIVIL AR</v>
      </c>
      <c r="E1095" s="38" t="str">
        <f>IF(ORCAMENTOS!E1103="","",ORCAMENTOS!E1103)</f>
        <v>PILKINGTON</v>
      </c>
      <c r="F1095" s="37" t="str">
        <f>IF(ORCAMENTOS!G1103="","",ORCAMENTOS!G1103)</f>
        <v>Fernando</v>
      </c>
      <c r="G1095" s="37" t="str">
        <f>IF(ORCAMENTOS!H1103="","",ORCAMENTOS!H1103)</f>
        <v>Lucas</v>
      </c>
      <c r="H1095" s="39">
        <f>IF(ORCAMENTOS!I1103="","",ORCAMENTOS!I1103)</f>
        <v>70431.899999999994</v>
      </c>
      <c r="I1095" s="60" t="str">
        <f>IF(ORCAMENTOS!J1103="","",ORCAMENTOS!J1103)</f>
        <v/>
      </c>
      <c r="J1095" s="40" t="str">
        <f>IF(ORCAMENTOS!L1103="","",ORCAMENTOS!L1103)</f>
        <v>CANCELADO</v>
      </c>
      <c r="K1095" s="34" t="str">
        <f>IF(ORCAMENTOS!M1103="","",ORCAMENTOS!M1103)</f>
        <v>-</v>
      </c>
      <c r="L1095" t="str">
        <f>IF(ORCAMENTOS!R1103="","",ORCAMENTOS!R1103)</f>
        <v>-</v>
      </c>
    </row>
    <row r="1096" spans="1:12" ht="15.75" hidden="1" customHeight="1" x14ac:dyDescent="0.25">
      <c r="A1096" s="36">
        <f>IF(ORCAMENTOS!A1104="","",ORCAMENTOS!A1104)</f>
        <v>45833</v>
      </c>
      <c r="B1096" s="46">
        <f>IF(ORCAMENTOS!B1104="","",ORCAMENTOS!B1104)</f>
        <v>1094</v>
      </c>
      <c r="C1096" s="46" t="str">
        <f>IF(ORCAMENTOS!C1104="","",ORCAMENTOS!C1104)</f>
        <v/>
      </c>
      <c r="D1096" s="37" t="str">
        <f>IF(ORCAMENTOS!D1104="","",ORCAMENTOS!D1104)</f>
        <v>KONAR</v>
      </c>
      <c r="E1096" s="38" t="str">
        <f>IF(ORCAMENTOS!E1104="","",ORCAMENTOS!E1104)</f>
        <v>Ed. Brasilio Olimpo - 11º ao 15º</v>
      </c>
      <c r="F1096" s="37" t="str">
        <f>IF(ORCAMENTOS!G1104="","",ORCAMENTOS!G1104)</f>
        <v>Michel</v>
      </c>
      <c r="G1096" s="37" t="str">
        <f>IF(ORCAMENTOS!H1104="","",ORCAMENTOS!H1104)</f>
        <v>Fabio</v>
      </c>
      <c r="H1096" s="39">
        <f>IF(ORCAMENTOS!I1104="","",ORCAMENTOS!I1104)</f>
        <v>23739.37</v>
      </c>
      <c r="I1096" s="60" t="str">
        <f>IF(ORCAMENTOS!J1104="","",ORCAMENTOS!J1104)</f>
        <v/>
      </c>
      <c r="J1096" s="40" t="str">
        <f>IF(ORCAMENTOS!L1104="","",ORCAMENTOS!L1104)</f>
        <v>FECHADO</v>
      </c>
      <c r="K1096" s="34" t="str">
        <f>IF(ORCAMENTOS!M1104="","",ORCAMENTOS!M1104)</f>
        <v>-</v>
      </c>
      <c r="L1096" t="str">
        <f>IF(ORCAMENTOS!R1104="","",ORCAMENTOS!R1104)</f>
        <v>-</v>
      </c>
    </row>
    <row r="1097" spans="1:12" ht="15.75" hidden="1" customHeight="1" x14ac:dyDescent="0.25">
      <c r="A1097" s="36">
        <f>IF(ORCAMENTOS!A1105="","",ORCAMENTOS!A1105)</f>
        <v>45833</v>
      </c>
      <c r="B1097" s="46">
        <f>IF(ORCAMENTOS!B1105="","",ORCAMENTOS!B1105)</f>
        <v>1095</v>
      </c>
      <c r="C1097" s="46" t="str">
        <f>IF(ORCAMENTOS!C1105="","",ORCAMENTOS!C1105)</f>
        <v/>
      </c>
      <c r="D1097" s="37" t="str">
        <f>IF(ORCAMENTOS!D1105="","",ORCAMENTOS!D1105)</f>
        <v>KONAR</v>
      </c>
      <c r="E1097" s="38" t="str">
        <f>IF(ORCAMENTOS!E1105="","",ORCAMENTOS!E1105)</f>
        <v>EBM - GWS - FUNDO C25 - 11° e 15º Pav.</v>
      </c>
      <c r="F1097" s="37" t="str">
        <f>IF(ORCAMENTOS!G1105="","",ORCAMENTOS!G1105)</f>
        <v>Michel</v>
      </c>
      <c r="G1097" s="37" t="str">
        <f>IF(ORCAMENTOS!H1105="","",ORCAMENTOS!H1105)</f>
        <v>Fabio</v>
      </c>
      <c r="H1097" s="39">
        <f>IF(ORCAMENTOS!I1105="","",ORCAMENTOS!I1105)</f>
        <v>37250.99</v>
      </c>
      <c r="I1097" s="60" t="str">
        <f>IF(ORCAMENTOS!J1105="","",ORCAMENTOS!J1105)</f>
        <v/>
      </c>
      <c r="J1097" s="40" t="str">
        <f>IF(ORCAMENTOS!L1105="","",ORCAMENTOS!L1105)</f>
        <v>FECHADO</v>
      </c>
      <c r="K1097" s="34" t="str">
        <f>IF(ORCAMENTOS!M1105="","",ORCAMENTOS!M1105)</f>
        <v>-</v>
      </c>
      <c r="L1097" t="str">
        <f>IF(ORCAMENTOS!R1105="","",ORCAMENTOS!R1105)</f>
        <v>-</v>
      </c>
    </row>
    <row r="1098" spans="1:12" ht="15.75" hidden="1" customHeight="1" x14ac:dyDescent="0.25">
      <c r="A1098" s="36">
        <f>IF(ORCAMENTOS!A1106="","",ORCAMENTOS!A1106)</f>
        <v>45834</v>
      </c>
      <c r="B1098" s="46">
        <f>IF(ORCAMENTOS!B1106="","",ORCAMENTOS!B1106)</f>
        <v>1096</v>
      </c>
      <c r="C1098" s="46" t="str">
        <f>IF(ORCAMENTOS!C1106="","",ORCAMENTOS!C1106)</f>
        <v/>
      </c>
      <c r="D1098" s="37" t="str">
        <f>IF(ORCAMENTOS!D1106="","",ORCAMENTOS!D1106)</f>
        <v>SOLAR SERVIÇO</v>
      </c>
      <c r="E1098" s="38" t="str">
        <f>IF(ORCAMENTOS!E1106="","",ORCAMENTOS!E1106)</f>
        <v/>
      </c>
      <c r="F1098" s="37" t="str">
        <f>IF(ORCAMENTOS!G1106="","",ORCAMENTOS!G1106)</f>
        <v>Gabriel</v>
      </c>
      <c r="G1098" s="37" t="str">
        <f>IF(ORCAMENTOS!H1106="","",ORCAMENTOS!H1106)</f>
        <v>Graziele</v>
      </c>
      <c r="H1098" s="39">
        <f>IF(ORCAMENTOS!I1106="","",ORCAMENTOS!I1106)</f>
        <v>9148.34</v>
      </c>
      <c r="I1098" s="60" t="str">
        <f>IF(ORCAMENTOS!J1106="","",ORCAMENTOS!J1106)</f>
        <v/>
      </c>
      <c r="J1098" s="40" t="str">
        <f>IF(ORCAMENTOS!L1106="","",ORCAMENTOS!L1106)</f>
        <v>CANCELADO</v>
      </c>
      <c r="K1098" s="34" t="str">
        <f>IF(ORCAMENTOS!M1106="","",ORCAMENTOS!M1106)</f>
        <v/>
      </c>
      <c r="L1098" t="str">
        <f>IF(ORCAMENTOS!R1106="","",ORCAMENTOS!R1106)</f>
        <v/>
      </c>
    </row>
    <row r="1099" spans="1:12" ht="15.75" hidden="1" customHeight="1" x14ac:dyDescent="0.25">
      <c r="A1099" s="36">
        <f>IF(ORCAMENTOS!A1107="","",ORCAMENTOS!A1107)</f>
        <v>45834</v>
      </c>
      <c r="B1099" s="46">
        <f>IF(ORCAMENTOS!B1107="","",ORCAMENTOS!B1107)</f>
        <v>1097</v>
      </c>
      <c r="C1099" s="46" t="str">
        <f>IF(ORCAMENTOS!C1107="","",ORCAMENTOS!C1107)</f>
        <v/>
      </c>
      <c r="D1099" s="37" t="str">
        <f>IF(ORCAMENTOS!D1107="","",ORCAMENTOS!D1107)</f>
        <v>CLIMTEC</v>
      </c>
      <c r="E1099" s="38" t="str">
        <f>IF(ORCAMENTOS!E1107="","",ORCAMENTOS!E1107)</f>
        <v>HOSPITAL TATUAPÉ</v>
      </c>
      <c r="F1099" s="37" t="str">
        <f>IF(ORCAMENTOS!G1107="","",ORCAMENTOS!G1107)</f>
        <v>Emanuel</v>
      </c>
      <c r="G1099" s="37" t="str">
        <f>IF(ORCAMENTOS!H1107="","",ORCAMENTOS!H1107)</f>
        <v>Sergio</v>
      </c>
      <c r="H1099" s="39">
        <f>IF(ORCAMENTOS!I1107="","",ORCAMENTOS!I1107)</f>
        <v>21981.4</v>
      </c>
      <c r="I1099" s="60" t="str">
        <f>IF(ORCAMENTOS!J1107="","",ORCAMENTOS!J1107)</f>
        <v/>
      </c>
      <c r="J1099" s="40" t="str">
        <f>IF(ORCAMENTOS!L1107="","",ORCAMENTOS!L1107)</f>
        <v>FECHADO</v>
      </c>
      <c r="K1099" s="34" t="str">
        <f>IF(ORCAMENTOS!M1107="","",ORCAMENTOS!M1107)</f>
        <v/>
      </c>
      <c r="L1099" t="str">
        <f>IF(ORCAMENTOS!R1107="","",ORCAMENTOS!R1107)</f>
        <v/>
      </c>
    </row>
    <row r="1100" spans="1:12" ht="15.75" hidden="1" customHeight="1" x14ac:dyDescent="0.25">
      <c r="A1100" s="36">
        <f>IF(ORCAMENTOS!A1108="","",ORCAMENTOS!A1108)</f>
        <v>45834</v>
      </c>
      <c r="B1100" s="46">
        <f>IF(ORCAMENTOS!B1108="","",ORCAMENTOS!B1108)</f>
        <v>1098</v>
      </c>
      <c r="C1100" s="46" t="str">
        <f>IF(ORCAMENTOS!C1108="","",ORCAMENTOS!C1108)</f>
        <v/>
      </c>
      <c r="D1100" s="37" t="str">
        <f>IF(ORCAMENTOS!D1108="","",ORCAMENTOS!D1108)</f>
        <v>NOVA CRUZEIRO</v>
      </c>
      <c r="E1100" s="38" t="str">
        <f>IF(ORCAMENTOS!E1108="","",ORCAMENTOS!E1108)</f>
        <v/>
      </c>
      <c r="F1100" s="37" t="str">
        <f>IF(ORCAMENTOS!G1108="","",ORCAMENTOS!G1108)</f>
        <v>Gabriel</v>
      </c>
      <c r="G1100" s="37" t="str">
        <f>IF(ORCAMENTOS!H1108="","",ORCAMENTOS!H1108)</f>
        <v>Michel</v>
      </c>
      <c r="H1100" s="39">
        <f>IF(ORCAMENTOS!I1108="","",ORCAMENTOS!I1108)</f>
        <v>19268.73</v>
      </c>
      <c r="I1100" s="60" t="str">
        <f>IF(ORCAMENTOS!J1108="","",ORCAMENTOS!J1108)</f>
        <v/>
      </c>
      <c r="J1100" s="40" t="str">
        <f>IF(ORCAMENTOS!L1108="","",ORCAMENTOS!L1108)</f>
        <v>CANCELADO</v>
      </c>
      <c r="K1100" s="34" t="str">
        <f>IF(ORCAMENTOS!M1108="","",ORCAMENTOS!M1108)</f>
        <v/>
      </c>
      <c r="L1100" t="str">
        <f>IF(ORCAMENTOS!R1108="","",ORCAMENTOS!R1108)</f>
        <v/>
      </c>
    </row>
    <row r="1101" spans="1:12" ht="15.75" hidden="1" customHeight="1" x14ac:dyDescent="0.25">
      <c r="A1101" s="36">
        <f>IF(ORCAMENTOS!A1109="","",ORCAMENTOS!A1109)</f>
        <v>45834</v>
      </c>
      <c r="B1101" s="46">
        <f>IF(ORCAMENTOS!B1109="","",ORCAMENTOS!B1109)</f>
        <v>1099</v>
      </c>
      <c r="C1101" s="46" t="str">
        <f>IF(ORCAMENTOS!C1109="","",ORCAMENTOS!C1109)</f>
        <v/>
      </c>
      <c r="D1101" s="37" t="str">
        <f>IF(ORCAMENTOS!D1109="","",ORCAMENTOS!D1109)</f>
        <v>MG CLIMATIZAÇÃO</v>
      </c>
      <c r="E1101" s="38" t="str">
        <f>IF(ORCAMENTOS!E1109="","",ORCAMENTOS!E1109)</f>
        <v>CASA 2 - GUSTAVO CONDE</v>
      </c>
      <c r="F1101" s="37" t="str">
        <f>IF(ORCAMENTOS!G1109="","",ORCAMENTOS!G1109)</f>
        <v>Michel</v>
      </c>
      <c r="G1101" s="37" t="str">
        <f>IF(ORCAMENTOS!H1109="","",ORCAMENTOS!H1109)</f>
        <v>Mauricio</v>
      </c>
      <c r="H1101" s="39">
        <f>IF(ORCAMENTOS!I1109="","",ORCAMENTOS!I1109)</f>
        <v>14736.56</v>
      </c>
      <c r="I1101" s="60" t="str">
        <f>IF(ORCAMENTOS!J1109="","",ORCAMENTOS!J1109)</f>
        <v/>
      </c>
      <c r="J1101" s="40" t="str">
        <f>IF(ORCAMENTOS!L1109="","",ORCAMENTOS!L1109)</f>
        <v>CANCELADO</v>
      </c>
      <c r="K1101" s="34" t="str">
        <f>IF(ORCAMENTOS!M1109="","",ORCAMENTOS!M1109)</f>
        <v/>
      </c>
      <c r="L1101" t="str">
        <f>IF(ORCAMENTOS!R1109="","",ORCAMENTOS!R1109)</f>
        <v/>
      </c>
    </row>
    <row r="1102" spans="1:12" ht="15.75" hidden="1" customHeight="1" x14ac:dyDescent="0.25">
      <c r="A1102" s="36">
        <f>IF(ORCAMENTOS!A1110="","",ORCAMENTOS!A1110)</f>
        <v>45834</v>
      </c>
      <c r="B1102" s="46">
        <f>IF(ORCAMENTOS!B1110="","",ORCAMENTOS!B1110)</f>
        <v>1100</v>
      </c>
      <c r="C1102" s="46" t="str">
        <f>IF(ORCAMENTOS!C1110="","",ORCAMENTOS!C1110)</f>
        <v/>
      </c>
      <c r="D1102" s="37" t="str">
        <f>IF(ORCAMENTOS!D1110="","",ORCAMENTOS!D1110)</f>
        <v>ADL DUTOS</v>
      </c>
      <c r="E1102" s="38" t="str">
        <f>IF(ORCAMENTOS!E1110="","",ORCAMENTOS!E1110)</f>
        <v/>
      </c>
      <c r="F1102" s="37" t="str">
        <f>IF(ORCAMENTOS!G1110="","",ORCAMENTOS!G1110)</f>
        <v>Gabriel</v>
      </c>
      <c r="G1102" s="37" t="str">
        <f>IF(ORCAMENTOS!H1110="","",ORCAMENTOS!H1110)</f>
        <v>Andre</v>
      </c>
      <c r="H1102" s="39">
        <f>IF(ORCAMENTOS!I1110="","",ORCAMENTOS!I1110)</f>
        <v>4310.5200000000004</v>
      </c>
      <c r="I1102" s="60" t="str">
        <f>IF(ORCAMENTOS!J1110="","",ORCAMENTOS!J1110)</f>
        <v/>
      </c>
      <c r="J1102" s="40" t="str">
        <f>IF(ORCAMENTOS!L1110="","",ORCAMENTOS!L1110)</f>
        <v>CANCELADO</v>
      </c>
      <c r="K1102" s="34" t="str">
        <f>IF(ORCAMENTOS!M1110="","",ORCAMENTOS!M1110)</f>
        <v/>
      </c>
      <c r="L1102" t="str">
        <f>IF(ORCAMENTOS!R1110="","",ORCAMENTOS!R1110)</f>
        <v/>
      </c>
    </row>
    <row r="1103" spans="1:12" ht="15.75" hidden="1" customHeight="1" x14ac:dyDescent="0.25">
      <c r="A1103" s="36">
        <f>IF(ORCAMENTOS!A1111="","",ORCAMENTOS!A1111)</f>
        <v>45834</v>
      </c>
      <c r="B1103" s="46">
        <f>IF(ORCAMENTOS!B1111="","",ORCAMENTOS!B1111)</f>
        <v>1101</v>
      </c>
      <c r="C1103" s="46" t="str">
        <f>IF(ORCAMENTOS!C1111="","",ORCAMENTOS!C1111)</f>
        <v/>
      </c>
      <c r="D1103" s="37" t="str">
        <f>IF(ORCAMENTOS!D1111="","",ORCAMENTOS!D1111)</f>
        <v>NOSSO AR</v>
      </c>
      <c r="E1103" s="38" t="str">
        <f>IF(ORCAMENTOS!E1111="","",ORCAMENTOS!E1111)</f>
        <v>RD - ITUPEVA</v>
      </c>
      <c r="F1103" s="37" t="str">
        <f>IF(ORCAMENTOS!G1111="","",ORCAMENTOS!G1111)</f>
        <v>Gabriel</v>
      </c>
      <c r="G1103" s="37" t="str">
        <f>IF(ORCAMENTOS!H1111="","",ORCAMENTOS!H1111)</f>
        <v>Gabrielle</v>
      </c>
      <c r="H1103" s="39">
        <f>IF(ORCAMENTOS!I1111="","",ORCAMENTOS!I1111)</f>
        <v>556127.94999999995</v>
      </c>
      <c r="I1103" s="60" t="str">
        <f>IF(ORCAMENTOS!J1111="","",ORCAMENTOS!J1111)</f>
        <v/>
      </c>
      <c r="J1103" s="40" t="str">
        <f>IF(ORCAMENTOS!L1111="","",ORCAMENTOS!L1111)</f>
        <v>CANCELADO</v>
      </c>
      <c r="K1103" s="34" t="str">
        <f>IF(ORCAMENTOS!M1111="","",ORCAMENTOS!M1111)</f>
        <v/>
      </c>
      <c r="L1103" t="str">
        <f>IF(ORCAMENTOS!R1111="","",ORCAMENTOS!R1111)</f>
        <v/>
      </c>
    </row>
    <row r="1104" spans="1:12" ht="15.75" hidden="1" customHeight="1" x14ac:dyDescent="0.25">
      <c r="A1104" s="36">
        <f>IF(ORCAMENTOS!A1112="","",ORCAMENTOS!A1112)</f>
        <v>45834</v>
      </c>
      <c r="B1104" s="46">
        <f>IF(ORCAMENTOS!B1112="","",ORCAMENTOS!B1112)</f>
        <v>1102</v>
      </c>
      <c r="C1104" s="46" t="str">
        <f>IF(ORCAMENTOS!C1112="","",ORCAMENTOS!C1112)</f>
        <v/>
      </c>
      <c r="D1104" s="37" t="str">
        <f>IF(ORCAMENTOS!D1112="","",ORCAMENTOS!D1112)</f>
        <v>REWELL OTAVIO</v>
      </c>
      <c r="E1104" s="38" t="str">
        <f>IF(ORCAMENTOS!E1112="","",ORCAMENTOS!E1112)</f>
        <v>HOSPITAL VETERINARIO - PATOLOGIA - MARINGA - PR</v>
      </c>
      <c r="F1104" s="37" t="str">
        <f>IF(ORCAMENTOS!G1112="","",ORCAMENTOS!G1112)</f>
        <v>Gabriel</v>
      </c>
      <c r="G1104" s="37" t="str">
        <f>IF(ORCAMENTOS!H1112="","",ORCAMENTOS!H1112)</f>
        <v>Rewell</v>
      </c>
      <c r="H1104" s="39">
        <f>IF(ORCAMENTOS!I1112="","",ORCAMENTOS!I1112)</f>
        <v>39938.339999999997</v>
      </c>
      <c r="I1104" s="60" t="str">
        <f>IF(ORCAMENTOS!J1112="","",ORCAMENTOS!J1112)</f>
        <v/>
      </c>
      <c r="J1104" s="40" t="str">
        <f>IF(ORCAMENTOS!L1112="","",ORCAMENTOS!L1112)</f>
        <v>CANCELADO</v>
      </c>
      <c r="K1104" s="34" t="str">
        <f>IF(ORCAMENTOS!M1112="","",ORCAMENTOS!M1112)</f>
        <v/>
      </c>
      <c r="L1104" t="str">
        <f>IF(ORCAMENTOS!R1112="","",ORCAMENTOS!R1112)</f>
        <v/>
      </c>
    </row>
    <row r="1105" spans="1:12" ht="15.75" hidden="1" customHeight="1" x14ac:dyDescent="0.25">
      <c r="A1105" s="36">
        <f>IF(ORCAMENTOS!A1113="","",ORCAMENTOS!A1113)</f>
        <v>45834</v>
      </c>
      <c r="B1105" s="46">
        <f>IF(ORCAMENTOS!B1113="","",ORCAMENTOS!B1113)</f>
        <v>1103</v>
      </c>
      <c r="C1105" s="46" t="str">
        <f>IF(ORCAMENTOS!C1113="","",ORCAMENTOS!C1113)</f>
        <v/>
      </c>
      <c r="D1105" s="37" t="str">
        <f>IF(ORCAMENTOS!D1113="","",ORCAMENTOS!D1113)</f>
        <v>ENGEMAC</v>
      </c>
      <c r="E1105" s="38" t="str">
        <f>IF(ORCAMENTOS!E1113="","",ORCAMENTOS!E1113)</f>
        <v>LEGIAO DA BOA VONTADE - JARDIM ATENAS - SP - BLOCO A</v>
      </c>
      <c r="F1105" s="37" t="str">
        <f>IF(ORCAMENTOS!G1113="","",ORCAMENTOS!G1113)</f>
        <v>Fernando</v>
      </c>
      <c r="G1105" s="37" t="str">
        <f>IF(ORCAMENTOS!H1113="","",ORCAMENTOS!H1113)</f>
        <v>Edmilson</v>
      </c>
      <c r="H1105" s="39">
        <f>IF(ORCAMENTOS!I1113="","",ORCAMENTOS!I1113)</f>
        <v>10877.59</v>
      </c>
      <c r="I1105" s="60" t="str">
        <f>IF(ORCAMENTOS!J1113="","",ORCAMENTOS!J1113)</f>
        <v/>
      </c>
      <c r="J1105" s="40" t="str">
        <f>IF(ORCAMENTOS!L1113="","",ORCAMENTOS!L1113)</f>
        <v>CANCELADO</v>
      </c>
      <c r="K1105" s="34" t="str">
        <f>IF(ORCAMENTOS!M1113="","",ORCAMENTOS!M1113)</f>
        <v>EM NEGOCIAÇÃO BOAS CHANCES</v>
      </c>
      <c r="L1105" t="str">
        <f>IF(ORCAMENTOS!R1113="","",ORCAMENTOS!R1113)</f>
        <v/>
      </c>
    </row>
    <row r="1106" spans="1:12" ht="15.75" hidden="1" customHeight="1" x14ac:dyDescent="0.25">
      <c r="A1106" s="36">
        <f>IF(ORCAMENTOS!A1114="","",ORCAMENTOS!A1114)</f>
        <v>45834</v>
      </c>
      <c r="B1106" s="46">
        <f>IF(ORCAMENTOS!B1114="","",ORCAMENTOS!B1114)</f>
        <v>1104</v>
      </c>
      <c r="C1106" s="46" t="str">
        <f>IF(ORCAMENTOS!C1114="","",ORCAMENTOS!C1114)</f>
        <v/>
      </c>
      <c r="D1106" s="37" t="str">
        <f>IF(ORCAMENTOS!D1114="","",ORCAMENTOS!D1114)</f>
        <v>SENSCO</v>
      </c>
      <c r="E1106" s="38" t="str">
        <f>IF(ORCAMENTOS!E1114="","",ORCAMENTOS!E1114)</f>
        <v/>
      </c>
      <c r="F1106" s="37" t="str">
        <f>IF(ORCAMENTOS!G1114="","",ORCAMENTOS!G1114)</f>
        <v>Michel</v>
      </c>
      <c r="G1106" s="37" t="str">
        <f>IF(ORCAMENTOS!H1114="","",ORCAMENTOS!H1114)</f>
        <v>Gustavo</v>
      </c>
      <c r="H1106" s="39">
        <f>IF(ORCAMENTOS!I1114="","",ORCAMENTOS!I1114)</f>
        <v>15097.83</v>
      </c>
      <c r="I1106" s="60" t="str">
        <f>IF(ORCAMENTOS!J1114="","",ORCAMENTOS!J1114)</f>
        <v/>
      </c>
      <c r="J1106" s="40" t="str">
        <f>IF(ORCAMENTOS!L1114="","",ORCAMENTOS!L1114)</f>
        <v>CANCELADO</v>
      </c>
      <c r="K1106" s="34" t="str">
        <f>IF(ORCAMENTOS!M1114="","",ORCAMENTOS!M1114)</f>
        <v/>
      </c>
      <c r="L1106" t="str">
        <f>IF(ORCAMENTOS!R1114="","",ORCAMENTOS!R1114)</f>
        <v/>
      </c>
    </row>
    <row r="1107" spans="1:12" ht="15.75" hidden="1" customHeight="1" x14ac:dyDescent="0.25">
      <c r="A1107" s="36">
        <f>IF(ORCAMENTOS!A1115="","",ORCAMENTOS!A1115)</f>
        <v>45834</v>
      </c>
      <c r="B1107" s="46">
        <f>IF(ORCAMENTOS!B1115="","",ORCAMENTOS!B1115)</f>
        <v>1105</v>
      </c>
      <c r="C1107" s="46" t="str">
        <f>IF(ORCAMENTOS!C1115="","",ORCAMENTOS!C1115)</f>
        <v/>
      </c>
      <c r="D1107" s="37" t="str">
        <f>IF(ORCAMENTOS!D1115="","",ORCAMENTOS!D1115)</f>
        <v>IVTEC ENGENHARIA</v>
      </c>
      <c r="E1107" s="38" t="str">
        <f>IF(ORCAMENTOS!E1115="","",ORCAMENTOS!E1115)</f>
        <v/>
      </c>
      <c r="F1107" s="37" t="str">
        <f>IF(ORCAMENTOS!G1115="","",ORCAMENTOS!G1115)</f>
        <v>Gabriel</v>
      </c>
      <c r="G1107" s="37" t="str">
        <f>IF(ORCAMENTOS!H1115="","",ORCAMENTOS!H1115)</f>
        <v>Matheus</v>
      </c>
      <c r="H1107" s="39">
        <f>IF(ORCAMENTOS!I1115="","",ORCAMENTOS!I1115)</f>
        <v>1362.9</v>
      </c>
      <c r="I1107" s="60" t="str">
        <f>IF(ORCAMENTOS!J1115="","",ORCAMENTOS!J1115)</f>
        <v/>
      </c>
      <c r="J1107" s="40" t="str">
        <f>IF(ORCAMENTOS!L1115="","",ORCAMENTOS!L1115)</f>
        <v>CANCELADO</v>
      </c>
      <c r="K1107" s="34" t="str">
        <f>IF(ORCAMENTOS!M1115="","",ORCAMENTOS!M1115)</f>
        <v/>
      </c>
      <c r="L1107" t="str">
        <f>IF(ORCAMENTOS!R1115="","",ORCAMENTOS!R1115)</f>
        <v/>
      </c>
    </row>
    <row r="1108" spans="1:12" ht="15.75" hidden="1" customHeight="1" x14ac:dyDescent="0.25">
      <c r="A1108" s="36">
        <f>IF(ORCAMENTOS!A1116="","",ORCAMENTOS!A1116)</f>
        <v>45834</v>
      </c>
      <c r="B1108" s="46">
        <f>IF(ORCAMENTOS!B1116="","",ORCAMENTOS!B1116)</f>
        <v>1106</v>
      </c>
      <c r="C1108" s="46" t="str">
        <f>IF(ORCAMENTOS!C1116="","",ORCAMENTOS!C1116)</f>
        <v/>
      </c>
      <c r="D1108" s="37" t="str">
        <f>IF(ORCAMENTOS!D1116="","",ORCAMENTOS!D1116)</f>
        <v>CONSTRUTORA MULT</v>
      </c>
      <c r="E1108" s="38" t="str">
        <f>IF(ORCAMENTOS!E1116="","",ORCAMENTOS!E1116)</f>
        <v>SESC - RIBEIRAO PRETO - SP</v>
      </c>
      <c r="F1108" s="37" t="str">
        <f>IF(ORCAMENTOS!G1116="","",ORCAMENTOS!G1116)</f>
        <v>Gabriel</v>
      </c>
      <c r="G1108" s="37" t="str">
        <f>IF(ORCAMENTOS!H1116="","",ORCAMENTOS!H1116)</f>
        <v>Bruno</v>
      </c>
      <c r="H1108" s="39">
        <f>IF(ORCAMENTOS!I1116="","",ORCAMENTOS!I1116)</f>
        <v>28303.66</v>
      </c>
      <c r="I1108" s="60" t="str">
        <f>IF(ORCAMENTOS!J1116="","",ORCAMENTOS!J1116)</f>
        <v/>
      </c>
      <c r="J1108" s="40" t="str">
        <f>IF(ORCAMENTOS!L1116="","",ORCAMENTOS!L1116)</f>
        <v>CANCELADO</v>
      </c>
      <c r="K1108" s="34" t="str">
        <f>IF(ORCAMENTOS!M1116="","",ORCAMENTOS!M1116)</f>
        <v/>
      </c>
      <c r="L1108" t="str">
        <f>IF(ORCAMENTOS!R1116="","",ORCAMENTOS!R1116)</f>
        <v/>
      </c>
    </row>
    <row r="1109" spans="1:12" ht="15.75" hidden="1" customHeight="1" x14ac:dyDescent="0.25">
      <c r="A1109" s="36">
        <f>IF(ORCAMENTOS!A1117="","",ORCAMENTOS!A1117)</f>
        <v>45835</v>
      </c>
      <c r="B1109" s="46">
        <f>IF(ORCAMENTOS!B1117="","",ORCAMENTOS!B1117)</f>
        <v>1107</v>
      </c>
      <c r="C1109" s="46" t="str">
        <f>IF(ORCAMENTOS!C1117="","",ORCAMENTOS!C1117)</f>
        <v/>
      </c>
      <c r="D1109" s="37" t="str">
        <f>IF(ORCAMENTOS!D1117="","",ORCAMENTOS!D1117)</f>
        <v>RM3 ENGENHARIA</v>
      </c>
      <c r="E1109" s="38" t="str">
        <f>IF(ORCAMENTOS!E1117="","",ORCAMENTOS!E1117)</f>
        <v>TENDA - LOJA ITU - SP</v>
      </c>
      <c r="F1109" s="37" t="str">
        <f>IF(ORCAMENTOS!G1117="","",ORCAMENTOS!G1117)</f>
        <v>Guilherme</v>
      </c>
      <c r="G1109" s="37" t="str">
        <f>IF(ORCAMENTOS!H1117="","",ORCAMENTOS!H1117)</f>
        <v>Angelica</v>
      </c>
      <c r="H1109" s="39">
        <f>IF(ORCAMENTOS!I1117="","",ORCAMENTOS!I1117)</f>
        <v>149181.21</v>
      </c>
      <c r="I1109" s="60" t="str">
        <f>IF(ORCAMENTOS!J1117="","",ORCAMENTOS!J1117)</f>
        <v/>
      </c>
      <c r="J1109" s="40" t="str">
        <f>IF(ORCAMENTOS!L1117="","",ORCAMENTOS!L1117)</f>
        <v>CANCELADO</v>
      </c>
      <c r="K1109" s="34" t="str">
        <f>IF(ORCAMENTOS!M1117="","",ORCAMENTOS!M1117)</f>
        <v/>
      </c>
      <c r="L1109" t="str">
        <f>IF(ORCAMENTOS!R1117="","",ORCAMENTOS!R1117)</f>
        <v/>
      </c>
    </row>
    <row r="1110" spans="1:12" ht="15.75" hidden="1" customHeight="1" x14ac:dyDescent="0.25">
      <c r="A1110" s="36">
        <f>IF(ORCAMENTOS!A1118="","",ORCAMENTOS!A1118)</f>
        <v>45835</v>
      </c>
      <c r="B1110" s="46">
        <f>IF(ORCAMENTOS!B1118="","",ORCAMENTOS!B1118)</f>
        <v>1108</v>
      </c>
      <c r="C1110" s="46" t="str">
        <f>IF(ORCAMENTOS!C1118="","",ORCAMENTOS!C1118)</f>
        <v/>
      </c>
      <c r="D1110" s="37" t="str">
        <f>IF(ORCAMENTOS!D1118="","",ORCAMENTOS!D1118)</f>
        <v>CLIMTEC</v>
      </c>
      <c r="E1110" s="38" t="str">
        <f>IF(ORCAMENTOS!E1118="","",ORCAMENTOS!E1118)</f>
        <v/>
      </c>
      <c r="F1110" s="37" t="str">
        <f>IF(ORCAMENTOS!G1118="","",ORCAMENTOS!G1118)</f>
        <v>Emanuel</v>
      </c>
      <c r="G1110" s="37" t="str">
        <f>IF(ORCAMENTOS!H1118="","",ORCAMENTOS!H1118)</f>
        <v>Sergio</v>
      </c>
      <c r="H1110" s="39">
        <f>IF(ORCAMENTOS!I1118="","",ORCAMENTOS!I1118)</f>
        <v>225.96</v>
      </c>
      <c r="I1110" s="60" t="str">
        <f>IF(ORCAMENTOS!J1118="","",ORCAMENTOS!J1118)</f>
        <v/>
      </c>
      <c r="J1110" s="40" t="str">
        <f>IF(ORCAMENTOS!L1118="","",ORCAMENTOS!L1118)</f>
        <v>FECHADO</v>
      </c>
      <c r="K1110" s="34" t="str">
        <f>IF(ORCAMENTOS!M1118="","",ORCAMENTOS!M1118)</f>
        <v/>
      </c>
      <c r="L1110" t="str">
        <f>IF(ORCAMENTOS!R1118="","",ORCAMENTOS!R1118)</f>
        <v/>
      </c>
    </row>
    <row r="1111" spans="1:12" ht="15.75" hidden="1" customHeight="1" x14ac:dyDescent="0.25">
      <c r="A1111" s="36">
        <f>IF(ORCAMENTOS!A1119="","",ORCAMENTOS!A1119)</f>
        <v>45835</v>
      </c>
      <c r="B1111" s="46">
        <f>IF(ORCAMENTOS!B1119="","",ORCAMENTOS!B1119)</f>
        <v>1109</v>
      </c>
      <c r="C1111" s="46" t="str">
        <f>IF(ORCAMENTOS!C1119="","",ORCAMENTOS!C1119)</f>
        <v/>
      </c>
      <c r="D1111" s="37" t="str">
        <f>IF(ORCAMENTOS!D1119="","",ORCAMENTOS!D1119)</f>
        <v>ENGEMAC</v>
      </c>
      <c r="E1111" s="38" t="str">
        <f>IF(ORCAMENTOS!E1119="","",ORCAMENTOS!E1119)</f>
        <v>ARENA PARANA</v>
      </c>
      <c r="F1111" s="37" t="str">
        <f>IF(ORCAMENTOS!G1119="","",ORCAMENTOS!G1119)</f>
        <v>Fernando</v>
      </c>
      <c r="G1111" s="37" t="str">
        <f>IF(ORCAMENTOS!H1119="","",ORCAMENTOS!H1119)</f>
        <v>Edmilson</v>
      </c>
      <c r="H1111" s="39">
        <f>IF(ORCAMENTOS!I1119="","",ORCAMENTOS!I1119)</f>
        <v>730970</v>
      </c>
      <c r="I1111" s="60" t="str">
        <f>IF(ORCAMENTOS!J1119="","",ORCAMENTOS!J1119)</f>
        <v/>
      </c>
      <c r="J1111" s="40" t="str">
        <f>IF(ORCAMENTOS!L1119="","",ORCAMENTOS!L1119)</f>
        <v>CANCELADO</v>
      </c>
      <c r="K1111" s="34" t="str">
        <f>IF(ORCAMENTOS!M1119="","",ORCAMENTOS!M1119)</f>
        <v>ELABORANDO PROJETO</v>
      </c>
      <c r="L1111" t="str">
        <f>IF(ORCAMENTOS!R1119="","",ORCAMENTOS!R1119)</f>
        <v/>
      </c>
    </row>
    <row r="1112" spans="1:12" ht="15.75" hidden="1" customHeight="1" x14ac:dyDescent="0.25">
      <c r="A1112" s="36">
        <f>IF(ORCAMENTOS!A1120="","",ORCAMENTOS!A1120)</f>
        <v>45835</v>
      </c>
      <c r="B1112" s="46">
        <f>IF(ORCAMENTOS!B1120="","",ORCAMENTOS!B1120)</f>
        <v>1110</v>
      </c>
      <c r="C1112" s="46" t="str">
        <f>IF(ORCAMENTOS!C1120="","",ORCAMENTOS!C1120)</f>
        <v/>
      </c>
      <c r="D1112" s="37" t="str">
        <f>IF(ORCAMENTOS!D1120="","",ORCAMENTOS!D1120)</f>
        <v>NUHALA BEATRIZ</v>
      </c>
      <c r="E1112" s="38" t="str">
        <f>IF(ORCAMENTOS!E1120="","",ORCAMENTOS!E1120)</f>
        <v>21º PAVIMENTO - AV NACOES UNIDAS</v>
      </c>
      <c r="F1112" s="37" t="str">
        <f>IF(ORCAMENTOS!G1120="","",ORCAMENTOS!G1120)</f>
        <v>Gabriel</v>
      </c>
      <c r="G1112" s="37" t="str">
        <f>IF(ORCAMENTOS!H1120="","",ORCAMENTOS!H1120)</f>
        <v>Beatriz</v>
      </c>
      <c r="H1112" s="39">
        <f>IF(ORCAMENTOS!I1120="","",ORCAMENTOS!I1120)</f>
        <v>10676.75</v>
      </c>
      <c r="I1112" s="60" t="str">
        <f>IF(ORCAMENTOS!J1120="","",ORCAMENTOS!J1120)</f>
        <v/>
      </c>
      <c r="J1112" s="40" t="str">
        <f>IF(ORCAMENTOS!L1120="","",ORCAMENTOS!L1120)</f>
        <v>CANCELADO</v>
      </c>
      <c r="K1112" s="34" t="str">
        <f>IF(ORCAMENTOS!M1120="","",ORCAMENTOS!M1120)</f>
        <v/>
      </c>
      <c r="L1112" t="str">
        <f>IF(ORCAMENTOS!R1120="","",ORCAMENTOS!R1120)</f>
        <v/>
      </c>
    </row>
    <row r="1113" spans="1:12" ht="15.75" hidden="1" customHeight="1" x14ac:dyDescent="0.25">
      <c r="A1113" s="36">
        <f>IF(ORCAMENTOS!A1121="","",ORCAMENTOS!A1121)</f>
        <v>45840</v>
      </c>
      <c r="B1113" s="46">
        <f>IF(ORCAMENTOS!B1121="","",ORCAMENTOS!B1121)</f>
        <v>1111</v>
      </c>
      <c r="C1113" s="46" t="str">
        <f>IF(ORCAMENTOS!C1121="","",ORCAMENTOS!C1121)</f>
        <v/>
      </c>
      <c r="D1113" s="37" t="str">
        <f>IF(ORCAMENTOS!D1121="","",ORCAMENTOS!D1121)</f>
        <v>DUPLIX ENGENHARIA</v>
      </c>
      <c r="E1113" s="38" t="str">
        <f>IF(ORCAMENTOS!E1121="","",ORCAMENTOS!E1121)</f>
        <v>BENEFICENCIA NIPO BRASILEIRA</v>
      </c>
      <c r="F1113" s="37" t="str">
        <f>IF(ORCAMENTOS!G1121="","",ORCAMENTOS!G1121)</f>
        <v>Emanuel</v>
      </c>
      <c r="G1113" s="37" t="str">
        <f>IF(ORCAMENTOS!H1121="","",ORCAMENTOS!H1121)</f>
        <v>Joao</v>
      </c>
      <c r="H1113" s="39">
        <f>IF(ORCAMENTOS!I1121="","",ORCAMENTOS!I1121)</f>
        <v>5399.02</v>
      </c>
      <c r="I1113" s="60" t="str">
        <f>IF(ORCAMENTOS!J1121="","",ORCAMENTOS!J1121)</f>
        <v/>
      </c>
      <c r="J1113" s="40" t="str">
        <f>IF(ORCAMENTOS!L1121="","",ORCAMENTOS!L1121)</f>
        <v>FECHADO</v>
      </c>
      <c r="K1113" s="34" t="str">
        <f>IF(ORCAMENTOS!M1121="","",ORCAMENTOS!M1121)</f>
        <v/>
      </c>
      <c r="L1113" t="str">
        <f>IF(ORCAMENTOS!R1121="","",ORCAMENTOS!R1121)</f>
        <v/>
      </c>
    </row>
    <row r="1114" spans="1:12" ht="15.75" hidden="1" customHeight="1" x14ac:dyDescent="0.25">
      <c r="A1114" s="36">
        <f>IF(ORCAMENTOS!A1122="","",ORCAMENTOS!A1122)</f>
        <v>45835</v>
      </c>
      <c r="B1114" s="46">
        <f>IF(ORCAMENTOS!B1122="","",ORCAMENTOS!B1122)</f>
        <v>1112</v>
      </c>
      <c r="C1114" s="46" t="str">
        <f>IF(ORCAMENTOS!C1122="","",ORCAMENTOS!C1122)</f>
        <v/>
      </c>
      <c r="D1114" s="37" t="str">
        <f>IF(ORCAMENTOS!D1122="","",ORCAMENTOS!D1122)</f>
        <v>FL HVAC</v>
      </c>
      <c r="E1114" s="38" t="str">
        <f>IF(ORCAMENTOS!E1122="","",ORCAMENTOS!E1122)</f>
        <v>APARTAMENTO LAFER 424 - ITAIM BIBI - SP</v>
      </c>
      <c r="F1114" s="37" t="str">
        <f>IF(ORCAMENTOS!G1122="","",ORCAMENTOS!G1122)</f>
        <v>Guilherme</v>
      </c>
      <c r="G1114" s="37" t="str">
        <f>IF(ORCAMENTOS!H1122="","",ORCAMENTOS!H1122)</f>
        <v>Filipe</v>
      </c>
      <c r="H1114" s="39">
        <f>IF(ORCAMENTOS!I1122="","",ORCAMENTOS!I1122)</f>
        <v>12982.93</v>
      </c>
      <c r="I1114" s="60" t="str">
        <f>IF(ORCAMENTOS!J1122="","",ORCAMENTOS!J1122)</f>
        <v/>
      </c>
      <c r="J1114" s="40" t="str">
        <f>IF(ORCAMENTOS!L1122="","",ORCAMENTOS!L1122)</f>
        <v>CANCELADO</v>
      </c>
      <c r="K1114" s="34" t="str">
        <f>IF(ORCAMENTOS!M1122="","",ORCAMENTOS!M1122)</f>
        <v/>
      </c>
      <c r="L1114" t="str">
        <f>IF(ORCAMENTOS!R1122="","",ORCAMENTOS!R1122)</f>
        <v/>
      </c>
    </row>
    <row r="1115" spans="1:12" ht="15.75" hidden="1" customHeight="1" x14ac:dyDescent="0.25">
      <c r="A1115" s="36">
        <f>IF(ORCAMENTOS!A1123="","",ORCAMENTOS!A1123)</f>
        <v>45838</v>
      </c>
      <c r="B1115" s="46">
        <f>IF(ORCAMENTOS!B1123="","",ORCAMENTOS!B1123)</f>
        <v>1113</v>
      </c>
      <c r="C1115" s="46" t="str">
        <f>IF(ORCAMENTOS!C1123="","",ORCAMENTOS!C1123)</f>
        <v/>
      </c>
      <c r="D1115" s="37" t="str">
        <f>IF(ORCAMENTOS!D1123="","",ORCAMENTOS!D1123)</f>
        <v>JWA</v>
      </c>
      <c r="E1115" s="38" t="str">
        <f>IF(ORCAMENTOS!E1123="","",ORCAMENTOS!E1123)</f>
        <v/>
      </c>
      <c r="F1115" s="37" t="str">
        <f>IF(ORCAMENTOS!G1123="","",ORCAMENTOS!G1123)</f>
        <v>Gabriel</v>
      </c>
      <c r="G1115" s="37" t="str">
        <f>IF(ORCAMENTOS!H1123="","",ORCAMENTOS!H1123)</f>
        <v>Wesley</v>
      </c>
      <c r="H1115" s="39">
        <f>IF(ORCAMENTOS!I1123="","",ORCAMENTOS!I1123)</f>
        <v>7034.14</v>
      </c>
      <c r="I1115" s="60" t="str">
        <f>IF(ORCAMENTOS!J1123="","",ORCAMENTOS!J1123)</f>
        <v/>
      </c>
      <c r="J1115" s="40" t="str">
        <f>IF(ORCAMENTOS!L1123="","",ORCAMENTOS!L1123)</f>
        <v>CANCELADO</v>
      </c>
      <c r="K1115" s="34" t="str">
        <f>IF(ORCAMENTOS!M1123="","",ORCAMENTOS!M1123)</f>
        <v/>
      </c>
      <c r="L1115" t="str">
        <f>IF(ORCAMENTOS!R1123="","",ORCAMENTOS!R1123)</f>
        <v/>
      </c>
    </row>
    <row r="1116" spans="1:12" ht="15.75" hidden="1" customHeight="1" x14ac:dyDescent="0.25">
      <c r="A1116" s="36">
        <f>IF(ORCAMENTOS!A1124="","",ORCAMENTOS!A1124)</f>
        <v>45838</v>
      </c>
      <c r="B1116" s="46">
        <f>IF(ORCAMENTOS!B1124="","",ORCAMENTOS!B1124)</f>
        <v>1114</v>
      </c>
      <c r="C1116" s="46" t="str">
        <f>IF(ORCAMENTOS!C1124="","",ORCAMENTOS!C1124)</f>
        <v/>
      </c>
      <c r="D1116" s="37" t="str">
        <f>IF(ORCAMENTOS!D1124="","",ORCAMENTOS!D1124)</f>
        <v>MAXICLIMA</v>
      </c>
      <c r="E1116" s="38" t="str">
        <f>IF(ORCAMENTOS!E1124="","",ORCAMENTOS!E1124)</f>
        <v/>
      </c>
      <c r="F1116" s="37" t="str">
        <f>IF(ORCAMENTOS!G1124="","",ORCAMENTOS!G1124)</f>
        <v>Gabriel</v>
      </c>
      <c r="G1116" s="37" t="str">
        <f>IF(ORCAMENTOS!H1124="","",ORCAMENTOS!H1124)</f>
        <v>Paulo</v>
      </c>
      <c r="H1116" s="39">
        <f>IF(ORCAMENTOS!I1124="","",ORCAMENTOS!I1124)</f>
        <v>6978.39</v>
      </c>
      <c r="I1116" s="60" t="str">
        <f>IF(ORCAMENTOS!J1124="","",ORCAMENTOS!J1124)</f>
        <v/>
      </c>
      <c r="J1116" s="40" t="str">
        <f>IF(ORCAMENTOS!L1124="","",ORCAMENTOS!L1124)</f>
        <v>CANCELADO</v>
      </c>
      <c r="K1116" s="34" t="str">
        <f>IF(ORCAMENTOS!M1124="","",ORCAMENTOS!M1124)</f>
        <v/>
      </c>
      <c r="L1116" t="str">
        <f>IF(ORCAMENTOS!R1124="","",ORCAMENTOS!R1124)</f>
        <v/>
      </c>
    </row>
    <row r="1117" spans="1:12" ht="15.75" hidden="1" customHeight="1" x14ac:dyDescent="0.25">
      <c r="A1117" s="36">
        <f>IF(ORCAMENTOS!A1125="","",ORCAMENTOS!A1125)</f>
        <v>45838</v>
      </c>
      <c r="B1117" s="46">
        <f>IF(ORCAMENTOS!B1125="","",ORCAMENTOS!B1125)</f>
        <v>1115</v>
      </c>
      <c r="C1117" s="46" t="str">
        <f>IF(ORCAMENTOS!C1125="","",ORCAMENTOS!C1125)</f>
        <v/>
      </c>
      <c r="D1117" s="37" t="str">
        <f>IF(ORCAMENTOS!D1125="","",ORCAMENTOS!D1125)</f>
        <v>HITECH</v>
      </c>
      <c r="E1117" s="38" t="str">
        <f>IF(ORCAMENTOS!E1125="","",ORCAMENTOS!E1125)</f>
        <v/>
      </c>
      <c r="F1117" s="37" t="str">
        <f>IF(ORCAMENTOS!G1125="","",ORCAMENTOS!G1125)</f>
        <v>Gabriel</v>
      </c>
      <c r="G1117" s="37" t="str">
        <f>IF(ORCAMENTOS!H1125="","",ORCAMENTOS!H1125)</f>
        <v>Raimundo</v>
      </c>
      <c r="H1117" s="39">
        <f>IF(ORCAMENTOS!I1125="","",ORCAMENTOS!I1125)</f>
        <v>11951.64</v>
      </c>
      <c r="I1117" s="60" t="str">
        <f>IF(ORCAMENTOS!J1125="","",ORCAMENTOS!J1125)</f>
        <v/>
      </c>
      <c r="J1117" s="40" t="str">
        <f>IF(ORCAMENTOS!L1125="","",ORCAMENTOS!L1125)</f>
        <v>CANCELADO</v>
      </c>
      <c r="K1117" s="34" t="str">
        <f>IF(ORCAMENTOS!M1125="","",ORCAMENTOS!M1125)</f>
        <v/>
      </c>
      <c r="L1117" t="str">
        <f>IF(ORCAMENTOS!R1125="","",ORCAMENTOS!R1125)</f>
        <v/>
      </c>
    </row>
    <row r="1118" spans="1:12" ht="15.75" hidden="1" customHeight="1" x14ac:dyDescent="0.25">
      <c r="A1118" s="36">
        <f>IF(ORCAMENTOS!A1126="","",ORCAMENTOS!A1126)</f>
        <v>45838</v>
      </c>
      <c r="B1118" s="46">
        <f>IF(ORCAMENTOS!B1126="","",ORCAMENTOS!B1126)</f>
        <v>1116</v>
      </c>
      <c r="C1118" s="46" t="str">
        <f>IF(ORCAMENTOS!C1126="","",ORCAMENTOS!C1126)</f>
        <v/>
      </c>
      <c r="D1118" s="37" t="str">
        <f>IF(ORCAMENTOS!D1126="","",ORCAMENTOS!D1126)</f>
        <v>RA ENGENHARIAS</v>
      </c>
      <c r="E1118" s="38" t="str">
        <f>IF(ORCAMENTOS!E1126="","",ORCAMENTOS!E1126)</f>
        <v>HOTEL PRAÇA BENTO</v>
      </c>
      <c r="F1118" s="37" t="str">
        <f>IF(ORCAMENTOS!G1126="","",ORCAMENTOS!G1126)</f>
        <v>Gabriel</v>
      </c>
      <c r="G1118" s="37" t="str">
        <f>IF(ORCAMENTOS!H1126="","",ORCAMENTOS!H1126)</f>
        <v>Ailton</v>
      </c>
      <c r="H1118" s="39">
        <f>IF(ORCAMENTOS!I1126="","",ORCAMENTOS!I1126)</f>
        <v>9441.41</v>
      </c>
      <c r="I1118" s="60" t="str">
        <f>IF(ORCAMENTOS!J1126="","",ORCAMENTOS!J1126)</f>
        <v/>
      </c>
      <c r="J1118" s="40" t="str">
        <f>IF(ORCAMENTOS!L1126="","",ORCAMENTOS!L1126)</f>
        <v>CANCELADO</v>
      </c>
      <c r="K1118" s="34" t="str">
        <f>IF(ORCAMENTOS!M1126="","",ORCAMENTOS!M1126)</f>
        <v/>
      </c>
      <c r="L1118" t="str">
        <f>IF(ORCAMENTOS!R1126="","",ORCAMENTOS!R1126)</f>
        <v/>
      </c>
    </row>
    <row r="1119" spans="1:12" ht="15.75" hidden="1" customHeight="1" x14ac:dyDescent="0.25">
      <c r="A1119" s="36">
        <f>IF(ORCAMENTOS!A1127="","",ORCAMENTOS!A1127)</f>
        <v>45838</v>
      </c>
      <c r="B1119" s="46">
        <f>IF(ORCAMENTOS!B1127="","",ORCAMENTOS!B1127)</f>
        <v>1117</v>
      </c>
      <c r="C1119" s="46" t="str">
        <f>IF(ORCAMENTOS!C1127="","",ORCAMENTOS!C1127)</f>
        <v/>
      </c>
      <c r="D1119" s="37" t="str">
        <f>IF(ORCAMENTOS!D1127="","",ORCAMENTOS!D1127)</f>
        <v>AMS INSTALACOES</v>
      </c>
      <c r="E1119" s="38" t="str">
        <f>IF(ORCAMENTOS!E1127="","",ORCAMENTOS!E1127)</f>
        <v>ASSAÍ - LOJA ITAQUAQUECETUBA-SP</v>
      </c>
      <c r="F1119" s="37" t="str">
        <f>IF(ORCAMENTOS!G1127="","",ORCAMENTOS!G1127)</f>
        <v>Gabriel</v>
      </c>
      <c r="G1119" s="37" t="str">
        <f>IF(ORCAMENTOS!H1127="","",ORCAMENTOS!H1127)</f>
        <v>Albertino</v>
      </c>
      <c r="H1119" s="39">
        <f>IF(ORCAMENTOS!I1127="","",ORCAMENTOS!I1127)</f>
        <v>226743.26</v>
      </c>
      <c r="I1119" s="60" t="str">
        <f>IF(ORCAMENTOS!J1127="","",ORCAMENTOS!J1127)</f>
        <v/>
      </c>
      <c r="J1119" s="40" t="str">
        <f>IF(ORCAMENTOS!L1127="","",ORCAMENTOS!L1127)</f>
        <v>CANCELADO</v>
      </c>
      <c r="K1119" s="34" t="str">
        <f>IF(ORCAMENTOS!M1127="","",ORCAMENTOS!M1127)</f>
        <v/>
      </c>
      <c r="L1119" t="str">
        <f>IF(ORCAMENTOS!R1127="","",ORCAMENTOS!R1127)</f>
        <v/>
      </c>
    </row>
    <row r="1120" spans="1:12" ht="15.75" hidden="1" customHeight="1" x14ac:dyDescent="0.25">
      <c r="A1120" s="36">
        <f>IF(ORCAMENTOS!A1128="","",ORCAMENTOS!A1128)</f>
        <v>45838</v>
      </c>
      <c r="B1120" s="46">
        <f>IF(ORCAMENTOS!B1128="","",ORCAMENTOS!B1128)</f>
        <v>1118</v>
      </c>
      <c r="C1120" s="46" t="str">
        <f>IF(ORCAMENTOS!C1128="","",ORCAMENTOS!C1128)</f>
        <v/>
      </c>
      <c r="D1120" s="37" t="str">
        <f>IF(ORCAMENTOS!D1128="","",ORCAMENTOS!D1128)</f>
        <v>NEWSET</v>
      </c>
      <c r="E1120" s="38" t="str">
        <f>IF(ORCAMENTOS!E1128="","",ORCAMENTOS!E1128)</f>
        <v>NSP 160.25 - PET CET - 7º ANDAR</v>
      </c>
      <c r="F1120" s="37" t="str">
        <f>IF(ORCAMENTOS!G1128="","",ORCAMENTOS!G1128)</f>
        <v xml:space="preserve">Aldavir </v>
      </c>
      <c r="G1120" s="37" t="str">
        <f>IF(ORCAMENTOS!H1128="","",ORCAMENTOS!H1128)</f>
        <v>David</v>
      </c>
      <c r="H1120" s="39">
        <f>IF(ORCAMENTOS!I1128="","",ORCAMENTOS!I1128)</f>
        <v>44278.29</v>
      </c>
      <c r="I1120" s="60" t="str">
        <f>IF(ORCAMENTOS!J1128="","",ORCAMENTOS!J1128)</f>
        <v/>
      </c>
      <c r="J1120" s="40" t="str">
        <f>IF(ORCAMENTOS!L1128="","",ORCAMENTOS!L1128)</f>
        <v>CANCELADO</v>
      </c>
      <c r="K1120" s="34" t="str">
        <f>IF(ORCAMENTOS!M1128="","",ORCAMENTOS!M1128)</f>
        <v/>
      </c>
      <c r="L1120" t="str">
        <f>IF(ORCAMENTOS!R1128="","",ORCAMENTOS!R1128)</f>
        <v/>
      </c>
    </row>
    <row r="1121" spans="1:12" ht="15.75" hidden="1" customHeight="1" x14ac:dyDescent="0.25">
      <c r="A1121" s="36">
        <f>IF(ORCAMENTOS!A1129="","",ORCAMENTOS!A1129)</f>
        <v>45839</v>
      </c>
      <c r="B1121" s="46">
        <f>IF(ORCAMENTOS!B1129="","",ORCAMENTOS!B1129)</f>
        <v>1119</v>
      </c>
      <c r="C1121" s="46" t="str">
        <f>IF(ORCAMENTOS!C1129="","",ORCAMENTOS!C1129)</f>
        <v/>
      </c>
      <c r="D1121" s="37" t="str">
        <f>IF(ORCAMENTOS!D1129="","",ORCAMENTOS!D1129)</f>
        <v>ARIS NET</v>
      </c>
      <c r="E1121" s="38" t="str">
        <f>IF(ORCAMENTOS!E1129="","",ORCAMENTOS!E1129)</f>
        <v>Daiana e Daniel</v>
      </c>
      <c r="F1121" s="37" t="str">
        <f>IF(ORCAMENTOS!G1129="","",ORCAMENTOS!G1129)</f>
        <v>Fernando</v>
      </c>
      <c r="G1121" s="37" t="str">
        <f>IF(ORCAMENTOS!H1129="","",ORCAMENTOS!H1129)</f>
        <v>Adilson</v>
      </c>
      <c r="H1121" s="39">
        <f>IF(ORCAMENTOS!I1129="","",ORCAMENTOS!I1129)</f>
        <v>12522.46</v>
      </c>
      <c r="I1121" s="60" t="str">
        <f>IF(ORCAMENTOS!J1129="","",ORCAMENTOS!J1129)</f>
        <v/>
      </c>
      <c r="J1121" s="40" t="str">
        <f>IF(ORCAMENTOS!L1129="","",ORCAMENTOS!L1129)</f>
        <v>CANCELADO</v>
      </c>
      <c r="K1121" s="34" t="str">
        <f>IF(ORCAMENTOS!M1129="","",ORCAMENTOS!M1129)</f>
        <v>CLIENTE NEGOCIANDO</v>
      </c>
      <c r="L1121" t="str">
        <f>IF(ORCAMENTOS!R1129="","",ORCAMENTOS!R1129)</f>
        <v/>
      </c>
    </row>
    <row r="1122" spans="1:12" ht="15.75" hidden="1" customHeight="1" x14ac:dyDescent="0.25">
      <c r="A1122" s="36">
        <f>IF(ORCAMENTOS!A1130="","",ORCAMENTOS!A1130)</f>
        <v>45839</v>
      </c>
      <c r="B1122" s="46">
        <f>IF(ORCAMENTOS!B1130="","",ORCAMENTOS!B1130)</f>
        <v>1120</v>
      </c>
      <c r="C1122" s="46" t="str">
        <f>IF(ORCAMENTOS!C1130="","",ORCAMENTOS!C1130)</f>
        <v/>
      </c>
      <c r="D1122" s="37" t="str">
        <f>IF(ORCAMENTOS!D1130="","",ORCAMENTOS!D1130)</f>
        <v>DM SERVIÇOS</v>
      </c>
      <c r="E1122" s="38" t="str">
        <f>IF(ORCAMENTOS!E1130="","",ORCAMENTOS!E1130)</f>
        <v/>
      </c>
      <c r="F1122" s="37" t="str">
        <f>IF(ORCAMENTOS!G1130="","",ORCAMENTOS!G1130)</f>
        <v>Gabriel</v>
      </c>
      <c r="G1122" s="37" t="str">
        <f>IF(ORCAMENTOS!H1130="","",ORCAMENTOS!H1130)</f>
        <v>Thiago</v>
      </c>
      <c r="H1122" s="39">
        <f>IF(ORCAMENTOS!I1130="","",ORCAMENTOS!I1130)</f>
        <v>4715.63</v>
      </c>
      <c r="I1122" s="60" t="str">
        <f>IF(ORCAMENTOS!J1130="","",ORCAMENTOS!J1130)</f>
        <v/>
      </c>
      <c r="J1122" s="40" t="str">
        <f>IF(ORCAMENTOS!L1130="","",ORCAMENTOS!L1130)</f>
        <v>FECHADO</v>
      </c>
      <c r="K1122" s="34" t="str">
        <f>IF(ORCAMENTOS!M1130="","",ORCAMENTOS!M1130)</f>
        <v/>
      </c>
      <c r="L1122" t="str">
        <f>IF(ORCAMENTOS!R1130="","",ORCAMENTOS!R1130)</f>
        <v/>
      </c>
    </row>
    <row r="1123" spans="1:12" ht="15.75" hidden="1" customHeight="1" x14ac:dyDescent="0.25">
      <c r="A1123" s="36">
        <f>IF(ORCAMENTOS!A1131="","",ORCAMENTOS!A1131)</f>
        <v>45839</v>
      </c>
      <c r="B1123" s="46">
        <f>IF(ORCAMENTOS!B1131="","",ORCAMENTOS!B1131)</f>
        <v>1121</v>
      </c>
      <c r="C1123" s="46" t="str">
        <f>IF(ORCAMENTOS!C1131="","",ORCAMENTOS!C1131)</f>
        <v/>
      </c>
      <c r="D1123" s="37" t="str">
        <f>IF(ORCAMENTOS!D1131="","",ORCAMENTOS!D1131)</f>
        <v>PRODAC</v>
      </c>
      <c r="E1123" s="38" t="str">
        <f>IF(ORCAMENTOS!E1131="","",ORCAMENTOS!E1131)</f>
        <v>Hospital Dr. Benedicto Montenegro</v>
      </c>
      <c r="F1123" s="37" t="str">
        <f>IF(ORCAMENTOS!G1131="","",ORCAMENTOS!G1131)</f>
        <v>Fernando</v>
      </c>
      <c r="G1123" s="37" t="str">
        <f>IF(ORCAMENTOS!H1131="","",ORCAMENTOS!H1131)</f>
        <v>Talles</v>
      </c>
      <c r="H1123" s="39">
        <f>IF(ORCAMENTOS!I1131="","",ORCAMENTOS!I1131)</f>
        <v>156379.91</v>
      </c>
      <c r="I1123" s="60" t="str">
        <f>IF(ORCAMENTOS!J1131="","",ORCAMENTOS!J1131)</f>
        <v/>
      </c>
      <c r="J1123" s="40" t="str">
        <f>IF(ORCAMENTOS!L1131="","",ORCAMENTOS!L1131)</f>
        <v>ORCAMENTO</v>
      </c>
      <c r="K1123" s="34" t="str">
        <f>IF(ORCAMENTOS!M1131="","",ORCAMENTOS!M1131)</f>
        <v>EM ATUALIZAÇÃO</v>
      </c>
      <c r="L1123" t="str">
        <f>IF(ORCAMENTOS!R1131="","",ORCAMENTOS!R1131)</f>
        <v/>
      </c>
    </row>
    <row r="1124" spans="1:12" ht="15.75" hidden="1" customHeight="1" x14ac:dyDescent="0.25">
      <c r="A1124" s="36">
        <f>IF(ORCAMENTOS!A1132="","",ORCAMENTOS!A1132)</f>
        <v>45839</v>
      </c>
      <c r="B1124" s="46">
        <f>IF(ORCAMENTOS!B1132="","",ORCAMENTOS!B1132)</f>
        <v>1122</v>
      </c>
      <c r="C1124" s="46" t="str">
        <f>IF(ORCAMENTOS!C1132="","",ORCAMENTOS!C1132)</f>
        <v/>
      </c>
      <c r="D1124" s="37" t="str">
        <f>IF(ORCAMENTOS!D1132="","",ORCAMENTOS!D1132)</f>
        <v>NOSSO AR</v>
      </c>
      <c r="E1124" s="38" t="str">
        <f>IF(ORCAMENTOS!E1132="","",ORCAMENTOS!E1132)</f>
        <v>JOANINN</v>
      </c>
      <c r="F1124" s="37" t="str">
        <f>IF(ORCAMENTOS!G1132="","",ORCAMENTOS!G1132)</f>
        <v>Gabriel</v>
      </c>
      <c r="G1124" s="37" t="str">
        <f>IF(ORCAMENTOS!H1132="","",ORCAMENTOS!H1132)</f>
        <v>Gabrielle</v>
      </c>
      <c r="H1124" s="39">
        <f>IF(ORCAMENTOS!I1132="","",ORCAMENTOS!I1132)</f>
        <v>5923.66</v>
      </c>
      <c r="I1124" s="60" t="str">
        <f>IF(ORCAMENTOS!J1132="","",ORCAMENTOS!J1132)</f>
        <v/>
      </c>
      <c r="J1124" s="40" t="str">
        <f>IF(ORCAMENTOS!L1132="","",ORCAMENTOS!L1132)</f>
        <v>FECHADO</v>
      </c>
      <c r="K1124" s="34" t="str">
        <f>IF(ORCAMENTOS!M1132="","",ORCAMENTOS!M1132)</f>
        <v/>
      </c>
      <c r="L1124" t="str">
        <f>IF(ORCAMENTOS!R1132="","",ORCAMENTOS!R1132)</f>
        <v/>
      </c>
    </row>
    <row r="1125" spans="1:12" ht="15.75" hidden="1" customHeight="1" x14ac:dyDescent="0.25">
      <c r="A1125" s="36">
        <f>IF(ORCAMENTOS!A1133="","",ORCAMENTOS!A1133)</f>
        <v>45840</v>
      </c>
      <c r="B1125" s="46">
        <f>IF(ORCAMENTOS!B1133="","",ORCAMENTOS!B1133)</f>
        <v>1123</v>
      </c>
      <c r="C1125" s="46" t="str">
        <f>IF(ORCAMENTOS!C1133="","",ORCAMENTOS!C1133)</f>
        <v/>
      </c>
      <c r="D1125" s="37" t="str">
        <f>IF(ORCAMENTOS!D1133="","",ORCAMENTOS!D1133)</f>
        <v>AGK AR CONDICIONADO</v>
      </c>
      <c r="E1125" s="38" t="str">
        <f>IF(ORCAMENTOS!E1133="","",ORCAMENTOS!E1133)</f>
        <v>Alexandre Zolko Baleia</v>
      </c>
      <c r="F1125" s="37" t="str">
        <f>IF(ORCAMENTOS!G1133="","",ORCAMENTOS!G1133)</f>
        <v>Emanuel</v>
      </c>
      <c r="G1125" s="37" t="str">
        <f>IF(ORCAMENTOS!H1133="","",ORCAMENTOS!H1133)</f>
        <v>Alessandra</v>
      </c>
      <c r="H1125" s="39">
        <f>IF(ORCAMENTOS!I1133="","",ORCAMENTOS!I1133)</f>
        <v>7637.14</v>
      </c>
      <c r="I1125" s="60" t="str">
        <f>IF(ORCAMENTOS!J1133="","",ORCAMENTOS!J1133)</f>
        <v/>
      </c>
      <c r="J1125" s="40" t="str">
        <f>IF(ORCAMENTOS!L1133="","",ORCAMENTOS!L1133)</f>
        <v>CANCELADO</v>
      </c>
      <c r="K1125" s="34" t="str">
        <f>IF(ORCAMENTOS!M1133="","",ORCAMENTOS!M1133)</f>
        <v/>
      </c>
      <c r="L1125" t="str">
        <f>IF(ORCAMENTOS!R1133="","",ORCAMENTOS!R1133)</f>
        <v/>
      </c>
    </row>
    <row r="1126" spans="1:12" ht="15.75" hidden="1" customHeight="1" x14ac:dyDescent="0.25">
      <c r="A1126" s="36">
        <f>IF(ORCAMENTOS!A1134="","",ORCAMENTOS!A1134)</f>
        <v>45840</v>
      </c>
      <c r="B1126" s="46">
        <f>IF(ORCAMENTOS!B1134="","",ORCAMENTOS!B1134)</f>
        <v>1124</v>
      </c>
      <c r="C1126" s="46" t="str">
        <f>IF(ORCAMENTOS!C1134="","",ORCAMENTOS!C1134)</f>
        <v/>
      </c>
      <c r="D1126" s="37" t="str">
        <f>IF(ORCAMENTOS!D1134="","",ORCAMENTOS!D1134)</f>
        <v>NEWSET</v>
      </c>
      <c r="E1126" s="38" t="str">
        <f>IF(ORCAMENTOS!E1134="","",ORCAMENTOS!E1134)</f>
        <v>NSP 159.25 - CME - OSASCO</v>
      </c>
      <c r="F1126" s="37" t="str">
        <f>IF(ORCAMENTOS!G1134="","",ORCAMENTOS!G1134)</f>
        <v xml:space="preserve">Aldavir </v>
      </c>
      <c r="G1126" s="37" t="str">
        <f>IF(ORCAMENTOS!H1134="","",ORCAMENTOS!H1134)</f>
        <v>David</v>
      </c>
      <c r="H1126" s="39">
        <f>IF(ORCAMENTOS!I1134="","",ORCAMENTOS!I1134)</f>
        <v>29759.040000000001</v>
      </c>
      <c r="I1126" s="60" t="str">
        <f>IF(ORCAMENTOS!J1134="","",ORCAMENTOS!J1134)</f>
        <v/>
      </c>
      <c r="J1126" s="40" t="str">
        <f>IF(ORCAMENTOS!L1134="","",ORCAMENTOS!L1134)</f>
        <v>CANCELADO</v>
      </c>
      <c r="K1126" s="34" t="str">
        <f>IF(ORCAMENTOS!M1134="","",ORCAMENTOS!M1134)</f>
        <v/>
      </c>
      <c r="L1126" t="str">
        <f>IF(ORCAMENTOS!R1134="","",ORCAMENTOS!R1134)</f>
        <v/>
      </c>
    </row>
    <row r="1127" spans="1:12" ht="15.75" hidden="1" customHeight="1" x14ac:dyDescent="0.25">
      <c r="A1127" s="36">
        <f>IF(ORCAMENTOS!A1135="","",ORCAMENTOS!A1135)</f>
        <v>45961</v>
      </c>
      <c r="B1127" s="46">
        <f>IF(ORCAMENTOS!B1135="","",ORCAMENTOS!B1135)</f>
        <v>1125</v>
      </c>
      <c r="C1127" s="46" t="str">
        <f>IF(ORCAMENTOS!C1135="","",ORCAMENTOS!C1135)</f>
        <v/>
      </c>
      <c r="D1127" s="37" t="str">
        <f>IF(ORCAMENTOS!D1135="","",ORCAMENTOS!D1135)</f>
        <v>HARCO ENGENHARIA</v>
      </c>
      <c r="E1127" s="38" t="str">
        <f>IF(ORCAMENTOS!E1135="","",ORCAMENTOS!E1135)</f>
        <v>BRASTERRA EMPREENDIMENTOS IMOBILIARIOS</v>
      </c>
      <c r="F1127" s="37" t="str">
        <f>IF(ORCAMENTOS!G1135="","",ORCAMENTOS!G1135)</f>
        <v>Emanuel</v>
      </c>
      <c r="G1127" s="37" t="str">
        <f>IF(ORCAMENTOS!H1135="","",ORCAMENTOS!H1135)</f>
        <v>João</v>
      </c>
      <c r="H1127" s="39">
        <f>IF(ORCAMENTOS!I1135="","",ORCAMENTOS!I1135)</f>
        <v>44260.75</v>
      </c>
      <c r="I1127" s="60" t="str">
        <f>IF(ORCAMENTOS!J1135="","",ORCAMENTOS!J1135)</f>
        <v/>
      </c>
      <c r="J1127" s="40" t="str">
        <f>IF(ORCAMENTOS!L1135="","",ORCAMENTOS!L1135)</f>
        <v>PERDIDO</v>
      </c>
      <c r="K1127" s="34" t="str">
        <f>IF(ORCAMENTOS!M1135="","",ORCAMENTOS!M1135)</f>
        <v>MULTIVAC - PREFERÊNCIA</v>
      </c>
      <c r="L1127" t="str">
        <f>IF(ORCAMENTOS!R1135="","",ORCAMENTOS!R1135)</f>
        <v/>
      </c>
    </row>
    <row r="1128" spans="1:12" ht="15.75" hidden="1" customHeight="1" x14ac:dyDescent="0.25">
      <c r="A1128" s="36">
        <f>IF(ORCAMENTOS!A1136="","",ORCAMENTOS!A1136)</f>
        <v>45840</v>
      </c>
      <c r="B1128" s="46">
        <f>IF(ORCAMENTOS!B1136="","",ORCAMENTOS!B1136)</f>
        <v>1126</v>
      </c>
      <c r="C1128" s="46" t="str">
        <f>IF(ORCAMENTOS!C1136="","",ORCAMENTOS!C1136)</f>
        <v/>
      </c>
      <c r="D1128" s="37" t="str">
        <f>IF(ORCAMENTOS!D1136="","",ORCAMENTOS!D1136)</f>
        <v>SO-AR CLIMATIZAÇÃO</v>
      </c>
      <c r="E1128" s="38" t="str">
        <f>IF(ORCAMENTOS!E1136="","",ORCAMENTOS!E1136)</f>
        <v/>
      </c>
      <c r="F1128" s="37" t="str">
        <f>IF(ORCAMENTOS!G1136="","",ORCAMENTOS!G1136)</f>
        <v>Gabriel</v>
      </c>
      <c r="G1128" s="37" t="str">
        <f>IF(ORCAMENTOS!H1136="","",ORCAMENTOS!H1136)</f>
        <v>Gabriel Cerini</v>
      </c>
      <c r="H1128" s="39">
        <f>IF(ORCAMENTOS!I1136="","",ORCAMENTOS!I1136)</f>
        <v>94154.37</v>
      </c>
      <c r="I1128" s="60" t="str">
        <f>IF(ORCAMENTOS!J1136="","",ORCAMENTOS!J1136)</f>
        <v/>
      </c>
      <c r="J1128" s="40" t="str">
        <f>IF(ORCAMENTOS!L1136="","",ORCAMENTOS!L1136)</f>
        <v>CANCELADO</v>
      </c>
      <c r="K1128" s="34" t="str">
        <f>IF(ORCAMENTOS!M1136="","",ORCAMENTOS!M1136)</f>
        <v/>
      </c>
      <c r="L1128" t="str">
        <f>IF(ORCAMENTOS!R1136="","",ORCAMENTOS!R1136)</f>
        <v/>
      </c>
    </row>
    <row r="1129" spans="1:12" ht="15.75" hidden="1" customHeight="1" x14ac:dyDescent="0.25">
      <c r="A1129" s="36">
        <f>IF(ORCAMENTOS!A1137="","",ORCAMENTOS!A1137)</f>
        <v>45840</v>
      </c>
      <c r="B1129" s="46">
        <f>IF(ORCAMENTOS!B1137="","",ORCAMENTOS!B1137)</f>
        <v>1127</v>
      </c>
      <c r="C1129" s="46" t="str">
        <f>IF(ORCAMENTOS!C1137="","",ORCAMENTOS!C1137)</f>
        <v/>
      </c>
      <c r="D1129" s="37" t="str">
        <f>IF(ORCAMENTOS!D1137="","",ORCAMENTOS!D1137)</f>
        <v>CLIMA SPACE</v>
      </c>
      <c r="E1129" s="38" t="str">
        <f>IF(ORCAMENTOS!E1137="","",ORCAMENTOS!E1137)</f>
        <v>CENTRO MEDICO CAMPINAS</v>
      </c>
      <c r="F1129" s="37" t="str">
        <f>IF(ORCAMENTOS!G1137="","",ORCAMENTOS!G1137)</f>
        <v xml:space="preserve">Aldavir </v>
      </c>
      <c r="G1129" s="37" t="str">
        <f>IF(ORCAMENTOS!H1137="","",ORCAMENTOS!H1137)</f>
        <v>Andre</v>
      </c>
      <c r="H1129" s="39">
        <f>IF(ORCAMENTOS!I1137="","",ORCAMENTOS!I1137)</f>
        <v>8664.82</v>
      </c>
      <c r="I1129" s="60" t="str">
        <f>IF(ORCAMENTOS!J1137="","",ORCAMENTOS!J1137)</f>
        <v/>
      </c>
      <c r="J1129" s="40" t="str">
        <f>IF(ORCAMENTOS!L1137="","",ORCAMENTOS!L1137)</f>
        <v>CANCELADO</v>
      </c>
      <c r="K1129" s="34" t="str">
        <f>IF(ORCAMENTOS!M1137="","",ORCAMENTOS!M1137)</f>
        <v/>
      </c>
      <c r="L1129" t="str">
        <f>IF(ORCAMENTOS!R1137="","",ORCAMENTOS!R1137)</f>
        <v/>
      </c>
    </row>
    <row r="1130" spans="1:12" ht="15.75" hidden="1" customHeight="1" x14ac:dyDescent="0.25">
      <c r="A1130" s="36">
        <f>IF(ORCAMENTOS!A1138="","",ORCAMENTOS!A1138)</f>
        <v>45840</v>
      </c>
      <c r="B1130" s="46">
        <f>IF(ORCAMENTOS!B1138="","",ORCAMENTOS!B1138)</f>
        <v>1128</v>
      </c>
      <c r="C1130" s="46" t="str">
        <f>IF(ORCAMENTOS!C1138="","",ORCAMENTOS!C1138)</f>
        <v/>
      </c>
      <c r="D1130" s="37" t="str">
        <f>IF(ORCAMENTOS!D1138="","",ORCAMENTOS!D1138)</f>
        <v>AWA AR CONDICIONADO</v>
      </c>
      <c r="E1130" s="38" t="str">
        <f>IF(ORCAMENTOS!E1138="","",ORCAMENTOS!E1138)</f>
        <v>MARTMINAS - BARREIRO - MINAS GERAIS-MG</v>
      </c>
      <c r="F1130" s="37" t="str">
        <f>IF(ORCAMENTOS!G1138="","",ORCAMENTOS!G1138)</f>
        <v>Guilherme</v>
      </c>
      <c r="G1130" s="37" t="str">
        <f>IF(ORCAMENTOS!H1138="","",ORCAMENTOS!H1138)</f>
        <v>Paula</v>
      </c>
      <c r="H1130" s="39">
        <f>IF(ORCAMENTOS!I1138="","",ORCAMENTOS!I1138)</f>
        <v>289993.5</v>
      </c>
      <c r="I1130" s="60" t="str">
        <f>IF(ORCAMENTOS!J1138="","",ORCAMENTOS!J1138)</f>
        <v/>
      </c>
      <c r="J1130" s="40" t="str">
        <f>IF(ORCAMENTOS!L1138="","",ORCAMENTOS!L1138)</f>
        <v>CANCELADO</v>
      </c>
      <c r="K1130" s="34" t="str">
        <f>IF(ORCAMENTOS!M1138="","",ORCAMENTOS!M1138)</f>
        <v/>
      </c>
      <c r="L1130" t="str">
        <f>IF(ORCAMENTOS!R1138="","",ORCAMENTOS!R1138)</f>
        <v>MPU</v>
      </c>
    </row>
    <row r="1131" spans="1:12" ht="15.75" hidden="1" customHeight="1" x14ac:dyDescent="0.25">
      <c r="A1131" s="36">
        <f>IF(ORCAMENTOS!A1139="","",ORCAMENTOS!A1139)</f>
        <v>45840</v>
      </c>
      <c r="B1131" s="46">
        <f>IF(ORCAMENTOS!B1139="","",ORCAMENTOS!B1139)</f>
        <v>1129</v>
      </c>
      <c r="C1131" s="46" t="str">
        <f>IF(ORCAMENTOS!C1139="","",ORCAMENTOS!C1139)</f>
        <v/>
      </c>
      <c r="D1131" s="37" t="str">
        <f>IF(ORCAMENTOS!D1139="","",ORCAMENTOS!D1139)</f>
        <v>STEPHAN SCHAFER CONSERVACAO</v>
      </c>
      <c r="E1131" s="38" t="str">
        <f>IF(ORCAMENTOS!E1139="","",ORCAMENTOS!E1139)</f>
        <v/>
      </c>
      <c r="F1131" s="37" t="str">
        <f>IF(ORCAMENTOS!G1139="","",ORCAMENTOS!G1139)</f>
        <v>Gabriel</v>
      </c>
      <c r="G1131" s="37" t="str">
        <f>IF(ORCAMENTOS!H1139="","",ORCAMENTOS!H1139)</f>
        <v>Magda</v>
      </c>
      <c r="H1131" s="39">
        <f>IF(ORCAMENTOS!I1139="","",ORCAMENTOS!I1139)</f>
        <v>15488.7</v>
      </c>
      <c r="I1131" s="60" t="str">
        <f>IF(ORCAMENTOS!J1139="","",ORCAMENTOS!J1139)</f>
        <v/>
      </c>
      <c r="J1131" s="40" t="str">
        <f>IF(ORCAMENTOS!L1139="","",ORCAMENTOS!L1139)</f>
        <v>CANCELADO</v>
      </c>
      <c r="K1131" s="34" t="str">
        <f>IF(ORCAMENTOS!M1139="","",ORCAMENTOS!M1139)</f>
        <v/>
      </c>
      <c r="L1131" t="str">
        <f>IF(ORCAMENTOS!R1139="","",ORCAMENTOS!R1139)</f>
        <v/>
      </c>
    </row>
    <row r="1132" spans="1:12" ht="15.75" hidden="1" customHeight="1" x14ac:dyDescent="0.25">
      <c r="A1132" s="36">
        <f>IF(ORCAMENTOS!A1140="","",ORCAMENTOS!A1140)</f>
        <v>45840</v>
      </c>
      <c r="B1132" s="46">
        <f>IF(ORCAMENTOS!B1140="","",ORCAMENTOS!B1140)</f>
        <v>1130</v>
      </c>
      <c r="C1132" s="46" t="str">
        <f>IF(ORCAMENTOS!C1140="","",ORCAMENTOS!C1140)</f>
        <v/>
      </c>
      <c r="D1132" s="37" t="str">
        <f>IF(ORCAMENTOS!D1140="","",ORCAMENTOS!D1140)</f>
        <v>IVTEC ENGENHARIA</v>
      </c>
      <c r="E1132" s="38" t="str">
        <f>IF(ORCAMENTOS!E1140="","",ORCAMENTOS!E1140)</f>
        <v/>
      </c>
      <c r="F1132" s="37" t="str">
        <f>IF(ORCAMENTOS!G1140="","",ORCAMENTOS!G1140)</f>
        <v>Gabriel</v>
      </c>
      <c r="G1132" s="37" t="str">
        <f>IF(ORCAMENTOS!H1140="","",ORCAMENTOS!H1140)</f>
        <v>Matheus</v>
      </c>
      <c r="H1132" s="39">
        <f>IF(ORCAMENTOS!I1140="","",ORCAMENTOS!I1140)</f>
        <v>5520.29</v>
      </c>
      <c r="I1132" s="60" t="str">
        <f>IF(ORCAMENTOS!J1140="","",ORCAMENTOS!J1140)</f>
        <v/>
      </c>
      <c r="J1132" s="40" t="str">
        <f>IF(ORCAMENTOS!L1140="","",ORCAMENTOS!L1140)</f>
        <v>CANCELADO</v>
      </c>
      <c r="K1132" s="34" t="str">
        <f>IF(ORCAMENTOS!M1140="","",ORCAMENTOS!M1140)</f>
        <v/>
      </c>
      <c r="L1132" t="str">
        <f>IF(ORCAMENTOS!R1140="","",ORCAMENTOS!R1140)</f>
        <v/>
      </c>
    </row>
    <row r="1133" spans="1:12" ht="15.75" hidden="1" customHeight="1" x14ac:dyDescent="0.25">
      <c r="A1133" s="36">
        <f>IF(ORCAMENTOS!A1141="","",ORCAMENTOS!A1141)</f>
        <v>45840</v>
      </c>
      <c r="B1133" s="46">
        <f>IF(ORCAMENTOS!B1141="","",ORCAMENTOS!B1141)</f>
        <v>1131</v>
      </c>
      <c r="C1133" s="46" t="str">
        <f>IF(ORCAMENTOS!C1141="","",ORCAMENTOS!C1141)</f>
        <v/>
      </c>
      <c r="D1133" s="37" t="str">
        <f>IF(ORCAMENTOS!D1141="","",ORCAMENTOS!D1141)</f>
        <v>AWA AR CONDICIONADO</v>
      </c>
      <c r="E1133" s="38" t="str">
        <f>IF(ORCAMENTOS!E1141="","",ORCAMENTOS!E1141)</f>
        <v>HOSPITAL AMIL - PRAIA GRANDE/SP</v>
      </c>
      <c r="F1133" s="37" t="str">
        <f>IF(ORCAMENTOS!G1141="","",ORCAMENTOS!G1141)</f>
        <v>Guilherme</v>
      </c>
      <c r="G1133" s="37" t="str">
        <f>IF(ORCAMENTOS!H1141="","",ORCAMENTOS!H1141)</f>
        <v>Guilherme</v>
      </c>
      <c r="H1133" s="39">
        <f>IF(ORCAMENTOS!I1141="","",ORCAMENTOS!I1141)</f>
        <v>161869.63</v>
      </c>
      <c r="I1133" s="60" t="str">
        <f>IF(ORCAMENTOS!J1141="","",ORCAMENTOS!J1141)</f>
        <v/>
      </c>
      <c r="J1133" s="40" t="str">
        <f>IF(ORCAMENTOS!L1141="","",ORCAMENTOS!L1141)</f>
        <v>CANCELADO</v>
      </c>
      <c r="K1133" s="34" t="str">
        <f>IF(ORCAMENTOS!M1141="","",ORCAMENTOS!M1141)</f>
        <v/>
      </c>
      <c r="L1133" t="str">
        <f>IF(ORCAMENTOS!R1141="","",ORCAMENTOS!R1141)</f>
        <v/>
      </c>
    </row>
    <row r="1134" spans="1:12" ht="15.75" hidden="1" customHeight="1" x14ac:dyDescent="0.25">
      <c r="A1134" s="36">
        <f>IF(ORCAMENTOS!A1142="","",ORCAMENTOS!A1142)</f>
        <v>45840</v>
      </c>
      <c r="B1134" s="46">
        <f>IF(ORCAMENTOS!B1142="","",ORCAMENTOS!B1142)</f>
        <v>1132</v>
      </c>
      <c r="C1134" s="46" t="str">
        <f>IF(ORCAMENTOS!C1142="","",ORCAMENTOS!C1142)</f>
        <v/>
      </c>
      <c r="D1134" s="37" t="str">
        <f>IF(ORCAMENTOS!D1142="","",ORCAMENTOS!D1142)</f>
        <v>AWA AR CONDICIONADO</v>
      </c>
      <c r="E1134" s="38" t="str">
        <f>IF(ORCAMENTOS!E1142="","",ORCAMENTOS!E1142)</f>
        <v>YOUCOM - SHOPPING SUPER OSASCO</v>
      </c>
      <c r="F1134" s="37" t="str">
        <f>IF(ORCAMENTOS!G1142="","",ORCAMENTOS!G1142)</f>
        <v>Guilherme</v>
      </c>
      <c r="G1134" s="37" t="str">
        <f>IF(ORCAMENTOS!H1142="","",ORCAMENTOS!H1142)</f>
        <v>Guilherme</v>
      </c>
      <c r="H1134" s="39">
        <f>IF(ORCAMENTOS!I1142="","",ORCAMENTOS!I1142)</f>
        <v>25405.98</v>
      </c>
      <c r="I1134" s="60" t="str">
        <f>IF(ORCAMENTOS!J1142="","",ORCAMENTOS!J1142)</f>
        <v/>
      </c>
      <c r="J1134" s="40" t="str">
        <f>IF(ORCAMENTOS!L1142="","",ORCAMENTOS!L1142)</f>
        <v>CANCELADO</v>
      </c>
      <c r="K1134" s="34" t="str">
        <f>IF(ORCAMENTOS!M1142="","",ORCAMENTOS!M1142)</f>
        <v/>
      </c>
      <c r="L1134" t="str">
        <f>IF(ORCAMENTOS!R1142="","",ORCAMENTOS!R1142)</f>
        <v>MPU</v>
      </c>
    </row>
    <row r="1135" spans="1:12" ht="15.75" hidden="1" customHeight="1" x14ac:dyDescent="0.25">
      <c r="A1135" s="36">
        <f>IF(ORCAMENTOS!A1143="","",ORCAMENTOS!A1143)</f>
        <v>45840</v>
      </c>
      <c r="B1135" s="46">
        <f>IF(ORCAMENTOS!B1143="","",ORCAMENTOS!B1143)</f>
        <v>1133</v>
      </c>
      <c r="C1135" s="46" t="str">
        <f>IF(ORCAMENTOS!C1143="","",ORCAMENTOS!C1143)</f>
        <v/>
      </c>
      <c r="D1135" s="37" t="str">
        <f>IF(ORCAMENTOS!D1143="","",ORCAMENTOS!D1143)</f>
        <v>AIRPLAN</v>
      </c>
      <c r="E1135" s="38" t="str">
        <f>IF(ORCAMENTOS!E1143="","",ORCAMENTOS!E1143)</f>
        <v>YOUCOM - SHOPPING SUPER OSASCO</v>
      </c>
      <c r="F1135" s="37" t="str">
        <f>IF(ORCAMENTOS!G1143="","",ORCAMENTOS!G1143)</f>
        <v>Guilherme</v>
      </c>
      <c r="G1135" s="37" t="str">
        <f>IF(ORCAMENTOS!H1143="","",ORCAMENTOS!H1143)</f>
        <v>Junior</v>
      </c>
      <c r="H1135" s="39">
        <f>IF(ORCAMENTOS!I1143="","",ORCAMENTOS!I1143)</f>
        <v>25405.98</v>
      </c>
      <c r="I1135" s="60" t="str">
        <f>IF(ORCAMENTOS!J1143="","",ORCAMENTOS!J1143)</f>
        <v/>
      </c>
      <c r="J1135" s="40" t="str">
        <f>IF(ORCAMENTOS!L1143="","",ORCAMENTOS!L1143)</f>
        <v>CANCELADO</v>
      </c>
      <c r="K1135" s="34" t="str">
        <f>IF(ORCAMENTOS!M1143="","",ORCAMENTOS!M1143)</f>
        <v/>
      </c>
      <c r="L1135" t="str">
        <f>IF(ORCAMENTOS!R1143="","",ORCAMENTOS!R1143)</f>
        <v>MPU</v>
      </c>
    </row>
    <row r="1136" spans="1:12" ht="15.75" hidden="1" customHeight="1" x14ac:dyDescent="0.25">
      <c r="A1136" s="36">
        <f>IF(ORCAMENTOS!A1144="","",ORCAMENTOS!A1144)</f>
        <v>45840</v>
      </c>
      <c r="B1136" s="46">
        <f>IF(ORCAMENTOS!B1144="","",ORCAMENTOS!B1144)</f>
        <v>1134</v>
      </c>
      <c r="C1136" s="46" t="str">
        <f>IF(ORCAMENTOS!C1144="","",ORCAMENTOS!C1144)</f>
        <v/>
      </c>
      <c r="D1136" s="37" t="str">
        <f>IF(ORCAMENTOS!D1144="","",ORCAMENTOS!D1144)</f>
        <v>AMS INSTALACOES</v>
      </c>
      <c r="E1136" s="38" t="str">
        <f>IF(ORCAMENTOS!E1144="","",ORCAMENTOS!E1144)</f>
        <v>FORT ATACADISTA - SC</v>
      </c>
      <c r="F1136" s="37" t="str">
        <f>IF(ORCAMENTOS!G1144="","",ORCAMENTOS!G1144)</f>
        <v>Gabriel</v>
      </c>
      <c r="G1136" s="37" t="str">
        <f>IF(ORCAMENTOS!H1144="","",ORCAMENTOS!H1144)</f>
        <v>Albertino</v>
      </c>
      <c r="H1136" s="39">
        <f>IF(ORCAMENTOS!I1144="","",ORCAMENTOS!I1144)</f>
        <v>98207.679999999993</v>
      </c>
      <c r="I1136" s="60" t="str">
        <f>IF(ORCAMENTOS!J1144="","",ORCAMENTOS!J1144)</f>
        <v/>
      </c>
      <c r="J1136" s="40" t="str">
        <f>IF(ORCAMENTOS!L1144="","",ORCAMENTOS!L1144)</f>
        <v>CANCELADO</v>
      </c>
      <c r="K1136" s="34" t="str">
        <f>IF(ORCAMENTOS!M1144="","",ORCAMENTOS!M1144)</f>
        <v/>
      </c>
      <c r="L1136" t="str">
        <f>IF(ORCAMENTOS!R1144="","",ORCAMENTOS!R1144)</f>
        <v>MPU</v>
      </c>
    </row>
    <row r="1137" spans="1:12" ht="15.75" hidden="1" customHeight="1" x14ac:dyDescent="0.25">
      <c r="A1137" s="36">
        <f>IF(ORCAMENTOS!A1145="","",ORCAMENTOS!A1145)</f>
        <v>45840</v>
      </c>
      <c r="B1137" s="46">
        <f>IF(ORCAMENTOS!B1145="","",ORCAMENTOS!B1145)</f>
        <v>1135</v>
      </c>
      <c r="C1137" s="46" t="str">
        <f>IF(ORCAMENTOS!C1145="","",ORCAMENTOS!C1145)</f>
        <v/>
      </c>
      <c r="D1137" s="37" t="str">
        <f>IF(ORCAMENTOS!D1145="","",ORCAMENTOS!D1145)</f>
        <v>ENGITEL</v>
      </c>
      <c r="E1137" s="38" t="str">
        <f>IF(ORCAMENTOS!E1145="","",ORCAMENTOS!E1145)</f>
        <v>FORT ATACADISTA - SC</v>
      </c>
      <c r="F1137" s="37" t="str">
        <f>IF(ORCAMENTOS!G1145="","",ORCAMENTOS!G1145)</f>
        <v>Guilherme</v>
      </c>
      <c r="G1137" s="37" t="str">
        <f>IF(ORCAMENTOS!H1145="","",ORCAMENTOS!H1145)</f>
        <v>Rosana</v>
      </c>
      <c r="H1137" s="39">
        <f>IF(ORCAMENTOS!I1145="","",ORCAMENTOS!I1145)</f>
        <v>113579.22</v>
      </c>
      <c r="I1137" s="60" t="str">
        <f>IF(ORCAMENTOS!J1145="","",ORCAMENTOS!J1145)</f>
        <v/>
      </c>
      <c r="J1137" s="40" t="str">
        <f>IF(ORCAMENTOS!L1145="","",ORCAMENTOS!L1145)</f>
        <v>CANCELADO</v>
      </c>
      <c r="K1137" s="34" t="str">
        <f>IF(ORCAMENTOS!M1145="","",ORCAMENTOS!M1145)</f>
        <v/>
      </c>
      <c r="L1137" t="str">
        <f>IF(ORCAMENTOS!R1145="","",ORCAMENTOS!R1145)</f>
        <v>MPU</v>
      </c>
    </row>
    <row r="1138" spans="1:12" ht="15.75" hidden="1" customHeight="1" x14ac:dyDescent="0.25">
      <c r="A1138" s="36">
        <f>IF(ORCAMENTOS!A1146="","",ORCAMENTOS!A1146)</f>
        <v>45840</v>
      </c>
      <c r="B1138" s="46">
        <f>IF(ORCAMENTOS!B1146="","",ORCAMENTOS!B1146)</f>
        <v>1136</v>
      </c>
      <c r="C1138" s="46" t="str">
        <f>IF(ORCAMENTOS!C1146="","",ORCAMENTOS!C1146)</f>
        <v/>
      </c>
      <c r="D1138" s="37" t="str">
        <f>IF(ORCAMENTOS!D1146="","",ORCAMENTOS!D1146)</f>
        <v>PROGERAR</v>
      </c>
      <c r="E1138" s="38" t="str">
        <f>IF(ORCAMENTOS!E1146="","",ORCAMENTOS!E1146)</f>
        <v>CAMERA MUNICIPAL DE LIMEIRA</v>
      </c>
      <c r="F1138" s="37" t="str">
        <f>IF(ORCAMENTOS!G1146="","",ORCAMENTOS!G1146)</f>
        <v>Michel</v>
      </c>
      <c r="G1138" s="37" t="str">
        <f>IF(ORCAMENTOS!H1146="","",ORCAMENTOS!H1146)</f>
        <v>Paulo</v>
      </c>
      <c r="H1138" s="39">
        <f>IF(ORCAMENTOS!I1146="","",ORCAMENTOS!I1146)</f>
        <v>75209.8</v>
      </c>
      <c r="I1138" s="60" t="str">
        <f>IF(ORCAMENTOS!J1146="","",ORCAMENTOS!J1146)</f>
        <v/>
      </c>
      <c r="J1138" s="40" t="str">
        <f>IF(ORCAMENTOS!L1146="","",ORCAMENTOS!L1146)</f>
        <v>CANCELADO</v>
      </c>
      <c r="K1138" s="34" t="str">
        <f>IF(ORCAMENTOS!M1146="","",ORCAMENTOS!M1146)</f>
        <v/>
      </c>
      <c r="L1138" t="str">
        <f>IF(ORCAMENTOS!R1146="","",ORCAMENTOS!R1146)</f>
        <v>MPU</v>
      </c>
    </row>
    <row r="1139" spans="1:12" ht="15.75" hidden="1" customHeight="1" x14ac:dyDescent="0.25">
      <c r="A1139" s="36">
        <f>IF(ORCAMENTOS!A1147="","",ORCAMENTOS!A1147)</f>
        <v>45840</v>
      </c>
      <c r="B1139" s="46">
        <f>IF(ORCAMENTOS!B1147="","",ORCAMENTOS!B1147)</f>
        <v>1137</v>
      </c>
      <c r="C1139" s="46" t="str">
        <f>IF(ORCAMENTOS!C1147="","",ORCAMENTOS!C1147)</f>
        <v/>
      </c>
      <c r="D1139" s="37" t="str">
        <f>IF(ORCAMENTOS!D1147="","",ORCAMENTOS!D1147)</f>
        <v>NP CLIMATIZAÇÃO</v>
      </c>
      <c r="E1139" s="38" t="str">
        <f>IF(ORCAMENTOS!E1147="","",ORCAMENTOS!E1147)</f>
        <v>GIHAD</v>
      </c>
      <c r="F1139" s="37" t="str">
        <f>IF(ORCAMENTOS!G1147="","",ORCAMENTOS!G1147)</f>
        <v>Guilherme</v>
      </c>
      <c r="G1139" s="37" t="str">
        <f>IF(ORCAMENTOS!H1147="","",ORCAMENTOS!H1147)</f>
        <v>Maria Luisa</v>
      </c>
      <c r="H1139" s="39">
        <f>IF(ORCAMENTOS!I1147="","",ORCAMENTOS!I1147)</f>
        <v>5276.46</v>
      </c>
      <c r="I1139" s="60" t="str">
        <f>IF(ORCAMENTOS!J1147="","",ORCAMENTOS!J1147)</f>
        <v/>
      </c>
      <c r="J1139" s="40" t="str">
        <f>IF(ORCAMENTOS!L1147="","",ORCAMENTOS!L1147)</f>
        <v>FECHADO</v>
      </c>
      <c r="K1139" s="34" t="str">
        <f>IF(ORCAMENTOS!M1147="","",ORCAMENTOS!M1147)</f>
        <v>AGUARDANDO PEDIDO</v>
      </c>
      <c r="L1139" t="str">
        <f>IF(ORCAMENTOS!R1147="","",ORCAMENTOS!R1147)</f>
        <v/>
      </c>
    </row>
    <row r="1140" spans="1:12" ht="15.75" hidden="1" customHeight="1" x14ac:dyDescent="0.25">
      <c r="A1140" s="36">
        <f>IF(ORCAMENTOS!A1148="","",ORCAMENTOS!A1148)</f>
        <v>45840</v>
      </c>
      <c r="B1140" s="46">
        <f>IF(ORCAMENTOS!B1148="","",ORCAMENTOS!B1148)</f>
        <v>1138</v>
      </c>
      <c r="C1140" s="46" t="str">
        <f>IF(ORCAMENTOS!C1148="","",ORCAMENTOS!C1148)</f>
        <v/>
      </c>
      <c r="D1140" s="37" t="str">
        <f>IF(ORCAMENTOS!D1148="","",ORCAMENTOS!D1148)</f>
        <v>RM3 ENGENHARIA</v>
      </c>
      <c r="E1140" s="38" t="str">
        <f>IF(ORCAMENTOS!E1148="","",ORCAMENTOS!E1148)</f>
        <v>TENDA - ITU/SP</v>
      </c>
      <c r="F1140" s="37" t="str">
        <f>IF(ORCAMENTOS!G1148="","",ORCAMENTOS!G1148)</f>
        <v>Guilherme</v>
      </c>
      <c r="G1140" s="37" t="str">
        <f>IF(ORCAMENTOS!H1148="","",ORCAMENTOS!H1148)</f>
        <v>Angelica</v>
      </c>
      <c r="H1140" s="39">
        <f>IF(ORCAMENTOS!I1148="","",ORCAMENTOS!I1148)</f>
        <v>200389.95</v>
      </c>
      <c r="I1140" s="60" t="str">
        <f>IF(ORCAMENTOS!J1148="","",ORCAMENTOS!J1148)</f>
        <v/>
      </c>
      <c r="J1140" s="40" t="str">
        <f>IF(ORCAMENTOS!L1148="","",ORCAMENTOS!L1148)</f>
        <v>CANCELADO</v>
      </c>
      <c r="K1140" s="34" t="str">
        <f>IF(ORCAMENTOS!M1148="","",ORCAMENTOS!M1148)</f>
        <v>OBRA DA AWA</v>
      </c>
      <c r="L1140" t="str">
        <f>IF(ORCAMENTOS!R1148="","",ORCAMENTOS!R1148)</f>
        <v>MPU</v>
      </c>
    </row>
    <row r="1141" spans="1:12" ht="15.75" hidden="1" customHeight="1" x14ac:dyDescent="0.25">
      <c r="A1141" s="36">
        <f>IF(ORCAMENTOS!A1149="","",ORCAMENTOS!A1149)</f>
        <v>45840</v>
      </c>
      <c r="B1141" s="46">
        <f>IF(ORCAMENTOS!B1149="","",ORCAMENTOS!B1149)</f>
        <v>1139</v>
      </c>
      <c r="C1141" s="46" t="str">
        <f>IF(ORCAMENTOS!C1149="","",ORCAMENTOS!C1149)</f>
        <v/>
      </c>
      <c r="D1141" s="37" t="str">
        <f>IF(ORCAMENTOS!D1149="","",ORCAMENTOS!D1149)</f>
        <v>SOLAR AR CONDICIONADO</v>
      </c>
      <c r="E1141" s="38" t="str">
        <f>IF(ORCAMENTOS!E1149="","",ORCAMENTOS!E1149)</f>
        <v>SESC RIBEIRÃO PRETO/SP - GALPÃO EVENTOS</v>
      </c>
      <c r="F1141" s="37" t="str">
        <f>IF(ORCAMENTOS!G1149="","",ORCAMENTOS!G1149)</f>
        <v>Michel</v>
      </c>
      <c r="G1141" s="37" t="str">
        <f>IF(ORCAMENTOS!H1149="","",ORCAMENTOS!H1149)</f>
        <v>Welly</v>
      </c>
      <c r="H1141" s="39">
        <f>IF(ORCAMENTOS!I1149="","",ORCAMENTOS!I1149)</f>
        <v>53346.6</v>
      </c>
      <c r="I1141" s="60" t="str">
        <f>IF(ORCAMENTOS!J1149="","",ORCAMENTOS!J1149)</f>
        <v/>
      </c>
      <c r="J1141" s="40" t="str">
        <f>IF(ORCAMENTOS!L1149="","",ORCAMENTOS!L1149)</f>
        <v>CANCELADO</v>
      </c>
      <c r="K1141" s="34" t="str">
        <f>IF(ORCAMENTOS!M1149="","",ORCAMENTOS!M1149)</f>
        <v/>
      </c>
      <c r="L1141" t="str">
        <f>IF(ORCAMENTOS!R1149="","",ORCAMENTOS!R1149)</f>
        <v/>
      </c>
    </row>
    <row r="1142" spans="1:12" ht="15.75" hidden="1" customHeight="1" x14ac:dyDescent="0.25">
      <c r="A1142" s="36">
        <f>IF(ORCAMENTOS!A1150="","",ORCAMENTOS!A1150)</f>
        <v>45840</v>
      </c>
      <c r="B1142" s="46">
        <f>IF(ORCAMENTOS!B1150="","",ORCAMENTOS!B1150)</f>
        <v>1140</v>
      </c>
      <c r="C1142" s="46" t="str">
        <f>IF(ORCAMENTOS!C1150="","",ORCAMENTOS!C1150)</f>
        <v/>
      </c>
      <c r="D1142" s="37" t="str">
        <f>IF(ORCAMENTOS!D1150="","",ORCAMENTOS!D1150)</f>
        <v>SOLAR AR CONDICIONADO</v>
      </c>
      <c r="E1142" s="38" t="str">
        <f>IF(ORCAMENTOS!E1150="","",ORCAMENTOS!E1150)</f>
        <v>SESC RIBEIRÃO PRETO/SP - GALPÃO GMF</v>
      </c>
      <c r="F1142" s="37" t="str">
        <f>IF(ORCAMENTOS!G1150="","",ORCAMENTOS!G1150)</f>
        <v>Michel</v>
      </c>
      <c r="G1142" s="37" t="str">
        <f>IF(ORCAMENTOS!H1150="","",ORCAMENTOS!H1150)</f>
        <v>Welly</v>
      </c>
      <c r="H1142" s="39">
        <f>IF(ORCAMENTOS!I1150="","",ORCAMENTOS!I1150)</f>
        <v>5695.37</v>
      </c>
      <c r="I1142" s="60" t="str">
        <f>IF(ORCAMENTOS!J1150="","",ORCAMENTOS!J1150)</f>
        <v/>
      </c>
      <c r="J1142" s="40" t="str">
        <f>IF(ORCAMENTOS!L1150="","",ORCAMENTOS!L1150)</f>
        <v>CANCELADO</v>
      </c>
      <c r="K1142" s="34" t="str">
        <f>IF(ORCAMENTOS!M1150="","",ORCAMENTOS!M1150)</f>
        <v/>
      </c>
      <c r="L1142" t="str">
        <f>IF(ORCAMENTOS!R1150="","",ORCAMENTOS!R1150)</f>
        <v/>
      </c>
    </row>
    <row r="1143" spans="1:12" ht="15.75" hidden="1" customHeight="1" x14ac:dyDescent="0.25">
      <c r="A1143" s="36">
        <f>IF(ORCAMENTOS!A1151="","",ORCAMENTOS!A1151)</f>
        <v>45840</v>
      </c>
      <c r="B1143" s="46">
        <f>IF(ORCAMENTOS!B1151="","",ORCAMENTOS!B1151)</f>
        <v>1141</v>
      </c>
      <c r="C1143" s="46" t="str">
        <f>IF(ORCAMENTOS!C1151="","",ORCAMENTOS!C1151)</f>
        <v/>
      </c>
      <c r="D1143" s="37" t="str">
        <f>IF(ORCAMENTOS!D1151="","",ORCAMENTOS!D1151)</f>
        <v>ENEBRAS</v>
      </c>
      <c r="E1143" s="38" t="str">
        <f>IF(ORCAMENTOS!E1151="","",ORCAMENTOS!E1151)</f>
        <v>HOSPITAL SÃO LUIZ - OSASCO - 2º PAVTO - PARTE 1</v>
      </c>
      <c r="F1143" s="37" t="str">
        <f>IF(ORCAMENTOS!G1151="","",ORCAMENTOS!G1151)</f>
        <v>Michel</v>
      </c>
      <c r="G1143" s="37" t="str">
        <f>IF(ORCAMENTOS!H1151="","",ORCAMENTOS!H1151)</f>
        <v>Kaio</v>
      </c>
      <c r="H1143" s="39">
        <f>IF(ORCAMENTOS!I1151="","",ORCAMENTOS!I1151)</f>
        <v>37792.53</v>
      </c>
      <c r="I1143" s="60" t="str">
        <f>IF(ORCAMENTOS!J1151="","",ORCAMENTOS!J1151)</f>
        <v/>
      </c>
      <c r="J1143" s="40" t="str">
        <f>IF(ORCAMENTOS!L1151="","",ORCAMENTOS!L1151)</f>
        <v>CANCELADO</v>
      </c>
      <c r="K1143" s="34" t="str">
        <f>IF(ORCAMENTOS!M1151="","",ORCAMENTOS!M1151)</f>
        <v/>
      </c>
      <c r="L1143" t="str">
        <f>IF(ORCAMENTOS!R1151="","",ORCAMENTOS!R1151)</f>
        <v>MPU</v>
      </c>
    </row>
    <row r="1144" spans="1:12" ht="15.75" hidden="1" customHeight="1" x14ac:dyDescent="0.25">
      <c r="A1144" s="36">
        <f>IF(ORCAMENTOS!A1152="","",ORCAMENTOS!A1152)</f>
        <v>45840</v>
      </c>
      <c r="B1144" s="46">
        <f>IF(ORCAMENTOS!B1152="","",ORCAMENTOS!B1152)</f>
        <v>1142</v>
      </c>
      <c r="C1144" s="46" t="str">
        <f>IF(ORCAMENTOS!C1152="","",ORCAMENTOS!C1152)</f>
        <v/>
      </c>
      <c r="D1144" s="37" t="str">
        <f>IF(ORCAMENTOS!D1152="","",ORCAMENTOS!D1152)</f>
        <v>JEFFERSON DOS SANTOS</v>
      </c>
      <c r="E1144" s="38" t="str">
        <f>IF(ORCAMENTOS!E1152="","",ORCAMENTOS!E1152)</f>
        <v>TENDA - ITU/SP</v>
      </c>
      <c r="F1144" s="37" t="str">
        <f>IF(ORCAMENTOS!G1152="","",ORCAMENTOS!G1152)</f>
        <v>Gabriel</v>
      </c>
      <c r="G1144" s="37" t="str">
        <f>IF(ORCAMENTOS!H1152="","",ORCAMENTOS!H1152)</f>
        <v>Jefferson</v>
      </c>
      <c r="H1144" s="39">
        <f>IF(ORCAMENTOS!I1152="","",ORCAMENTOS!I1152)</f>
        <v>225516.87</v>
      </c>
      <c r="I1144" s="60" t="str">
        <f>IF(ORCAMENTOS!J1152="","",ORCAMENTOS!J1152)</f>
        <v/>
      </c>
      <c r="J1144" s="40" t="str">
        <f>IF(ORCAMENTOS!L1152="","",ORCAMENTOS!L1152)</f>
        <v>CANCELADO</v>
      </c>
      <c r="K1144" s="34" t="str">
        <f>IF(ORCAMENTOS!M1152="","",ORCAMENTOS!M1152)</f>
        <v/>
      </c>
      <c r="L1144" t="str">
        <f>IF(ORCAMENTOS!R1152="","",ORCAMENTOS!R1152)</f>
        <v>MPU</v>
      </c>
    </row>
    <row r="1145" spans="1:12" ht="15.75" hidden="1" customHeight="1" x14ac:dyDescent="0.25">
      <c r="A1145" s="36">
        <f>IF(ORCAMENTOS!A1153="","",ORCAMENTOS!A1153)</f>
        <v>45841</v>
      </c>
      <c r="B1145" s="46">
        <f>IF(ORCAMENTOS!B1153="","",ORCAMENTOS!B1153)</f>
        <v>1143</v>
      </c>
      <c r="C1145" s="46" t="str">
        <f>IF(ORCAMENTOS!C1153="","",ORCAMENTOS!C1153)</f>
        <v/>
      </c>
      <c r="D1145" s="37" t="str">
        <f>IF(ORCAMENTOS!D1153="","",ORCAMENTOS!D1153)</f>
        <v>EXAUSTOTEC</v>
      </c>
      <c r="E1145" s="38" t="str">
        <f>IF(ORCAMENTOS!E1153="","",ORCAMENTOS!E1153)</f>
        <v>PREDIO P05</v>
      </c>
      <c r="F1145" s="37" t="str">
        <f>IF(ORCAMENTOS!G1153="","",ORCAMENTOS!G1153)</f>
        <v>Michel</v>
      </c>
      <c r="G1145" s="37" t="str">
        <f>IF(ORCAMENTOS!H1153="","",ORCAMENTOS!H1153)</f>
        <v>Pedro</v>
      </c>
      <c r="H1145" s="39">
        <f>IF(ORCAMENTOS!I1153="","",ORCAMENTOS!I1153)</f>
        <v>8917.58</v>
      </c>
      <c r="I1145" s="60" t="str">
        <f>IF(ORCAMENTOS!J1153="","",ORCAMENTOS!J1153)</f>
        <v/>
      </c>
      <c r="J1145" s="40" t="str">
        <f>IF(ORCAMENTOS!L1153="","",ORCAMENTOS!L1153)</f>
        <v>FECHADO</v>
      </c>
      <c r="K1145" s="34" t="str">
        <f>IF(ORCAMENTOS!M1153="","",ORCAMENTOS!M1153)</f>
        <v/>
      </c>
      <c r="L1145" t="str">
        <f>IF(ORCAMENTOS!R1153="","",ORCAMENTOS!R1153)</f>
        <v/>
      </c>
    </row>
    <row r="1146" spans="1:12" ht="15.75" hidden="1" customHeight="1" x14ac:dyDescent="0.25">
      <c r="A1146" s="36">
        <f>IF(ORCAMENTOS!A1154="","",ORCAMENTOS!A1154)</f>
        <v>45841</v>
      </c>
      <c r="B1146" s="46">
        <f>IF(ORCAMENTOS!B1154="","",ORCAMENTOS!B1154)</f>
        <v>1144</v>
      </c>
      <c r="C1146" s="46" t="str">
        <f>IF(ORCAMENTOS!C1154="","",ORCAMENTOS!C1154)</f>
        <v/>
      </c>
      <c r="D1146" s="37" t="str">
        <f>IF(ORCAMENTOS!D1154="","",ORCAMENTOS!D1154)</f>
        <v>EXAUSTOTEC</v>
      </c>
      <c r="E1146" s="38" t="str">
        <f>IF(ORCAMENTOS!E1154="","",ORCAMENTOS!E1154)</f>
        <v>PREDIO P06</v>
      </c>
      <c r="F1146" s="37" t="str">
        <f>IF(ORCAMENTOS!G1154="","",ORCAMENTOS!G1154)</f>
        <v>Michel</v>
      </c>
      <c r="G1146" s="37" t="str">
        <f>IF(ORCAMENTOS!H1154="","",ORCAMENTOS!H1154)</f>
        <v>Pedro</v>
      </c>
      <c r="H1146" s="39">
        <f>IF(ORCAMENTOS!I1154="","",ORCAMENTOS!I1154)</f>
        <v>7273.43</v>
      </c>
      <c r="I1146" s="60" t="str">
        <f>IF(ORCAMENTOS!J1154="","",ORCAMENTOS!J1154)</f>
        <v/>
      </c>
      <c r="J1146" s="40" t="str">
        <f>IF(ORCAMENTOS!L1154="","",ORCAMENTOS!L1154)</f>
        <v>FECHADO</v>
      </c>
      <c r="K1146" s="34" t="str">
        <f>IF(ORCAMENTOS!M1154="","",ORCAMENTOS!M1154)</f>
        <v/>
      </c>
      <c r="L1146" t="str">
        <f>IF(ORCAMENTOS!R1154="","",ORCAMENTOS!R1154)</f>
        <v/>
      </c>
    </row>
    <row r="1147" spans="1:12" ht="15.75" hidden="1" customHeight="1" x14ac:dyDescent="0.25">
      <c r="A1147" s="36">
        <f>IF(ORCAMENTOS!A1155="","",ORCAMENTOS!A1155)</f>
        <v>45841</v>
      </c>
      <c r="B1147" s="46">
        <f>IF(ORCAMENTOS!B1155="","",ORCAMENTOS!B1155)</f>
        <v>1145</v>
      </c>
      <c r="C1147" s="46" t="str">
        <f>IF(ORCAMENTOS!C1155="","",ORCAMENTOS!C1155)</f>
        <v/>
      </c>
      <c r="D1147" s="37" t="str">
        <f>IF(ORCAMENTOS!D1155="","",ORCAMENTOS!D1155)</f>
        <v>VELTTER ENGENHARIA</v>
      </c>
      <c r="E1147" s="38" t="str">
        <f>IF(ORCAMENTOS!E1155="","",ORCAMENTOS!E1155)</f>
        <v/>
      </c>
      <c r="F1147" s="37" t="str">
        <f>IF(ORCAMENTOS!G1155="","",ORCAMENTOS!G1155)</f>
        <v>Gabriel</v>
      </c>
      <c r="G1147" s="37" t="str">
        <f>IF(ORCAMENTOS!H1155="","",ORCAMENTOS!H1155)</f>
        <v>Giovana</v>
      </c>
      <c r="H1147" s="39">
        <f>IF(ORCAMENTOS!I1155="","",ORCAMENTOS!I1155)</f>
        <v>721.22</v>
      </c>
      <c r="I1147" s="60" t="str">
        <f>IF(ORCAMENTOS!J1155="","",ORCAMENTOS!J1155)</f>
        <v/>
      </c>
      <c r="J1147" s="40" t="str">
        <f>IF(ORCAMENTOS!L1155="","",ORCAMENTOS!L1155)</f>
        <v>CANCELADO</v>
      </c>
      <c r="K1147" s="34" t="str">
        <f>IF(ORCAMENTOS!M1155="","",ORCAMENTOS!M1155)</f>
        <v/>
      </c>
      <c r="L1147" t="str">
        <f>IF(ORCAMENTOS!R1155="","",ORCAMENTOS!R1155)</f>
        <v/>
      </c>
    </row>
    <row r="1148" spans="1:12" ht="15.75" hidden="1" customHeight="1" x14ac:dyDescent="0.25">
      <c r="A1148" s="36">
        <f>IF(ORCAMENTOS!A1156="","",ORCAMENTOS!A1156)</f>
        <v>45862</v>
      </c>
      <c r="B1148" s="46">
        <f>IF(ORCAMENTOS!B1156="","",ORCAMENTOS!B1156)</f>
        <v>1146</v>
      </c>
      <c r="C1148" s="46" t="str">
        <f>IF(ORCAMENTOS!C1156="","",ORCAMENTOS!C1156)</f>
        <v/>
      </c>
      <c r="D1148" s="37" t="str">
        <f>IF(ORCAMENTOS!D1156="","",ORCAMENTOS!D1156)</f>
        <v>RECKTHERM</v>
      </c>
      <c r="E1148" s="38" t="str">
        <f>IF(ORCAMENTOS!E1156="","",ORCAMENTOS!E1156)</f>
        <v>HOSPITAL REGIONAL DE REGISTRO</v>
      </c>
      <c r="F1148" s="37" t="str">
        <f>IF(ORCAMENTOS!G1156="","",ORCAMENTOS!G1156)</f>
        <v>Emanuel</v>
      </c>
      <c r="G1148" s="37" t="str">
        <f>IF(ORCAMENTOS!H1156="","",ORCAMENTOS!H1156)</f>
        <v>Reginaldo</v>
      </c>
      <c r="H1148" s="39">
        <f>IF(ORCAMENTOS!I1156="","",ORCAMENTOS!I1156)</f>
        <v>44673.73</v>
      </c>
      <c r="I1148" s="60" t="str">
        <f>IF(ORCAMENTOS!J1156="","",ORCAMENTOS!J1156)</f>
        <v/>
      </c>
      <c r="J1148" s="40" t="str">
        <f>IF(ORCAMENTOS!L1156="","",ORCAMENTOS!L1156)</f>
        <v>PERDIDO</v>
      </c>
      <c r="K1148" s="34" t="str">
        <f>IF(ORCAMENTOS!M1156="","",ORCAMENTOS!M1156)</f>
        <v/>
      </c>
      <c r="L1148" t="str">
        <f>IF(ORCAMENTOS!R1156="","",ORCAMENTOS!R1156)</f>
        <v>MPU</v>
      </c>
    </row>
    <row r="1149" spans="1:12" ht="15.75" hidden="1" customHeight="1" x14ac:dyDescent="0.25">
      <c r="A1149" s="36">
        <f>IF(ORCAMENTOS!A1157="","",ORCAMENTOS!A1157)</f>
        <v>45841</v>
      </c>
      <c r="B1149" s="46">
        <f>IF(ORCAMENTOS!B1157="","",ORCAMENTOS!B1157)</f>
        <v>1147</v>
      </c>
      <c r="C1149" s="46" t="str">
        <f>IF(ORCAMENTOS!C1157="","",ORCAMENTOS!C1157)</f>
        <v/>
      </c>
      <c r="D1149" s="37" t="str">
        <f>IF(ORCAMENTOS!D1157="","",ORCAMENTOS!D1157)</f>
        <v>I4 ENGENHARIA</v>
      </c>
      <c r="E1149" s="38" t="str">
        <f>IF(ORCAMENTOS!E1157="","",ORCAMENTOS!E1157)</f>
        <v>CÂMERA MUNICIPAL DE LIMEIRA / SP</v>
      </c>
      <c r="F1149" s="37" t="str">
        <f>IF(ORCAMENTOS!G1157="","",ORCAMENTOS!G1157)</f>
        <v xml:space="preserve">Aldavir </v>
      </c>
      <c r="G1149" s="37" t="str">
        <f>IF(ORCAMENTOS!H1157="","",ORCAMENTOS!H1157)</f>
        <v>Fabiano</v>
      </c>
      <c r="H1149" s="39">
        <f>IF(ORCAMENTOS!I1157="","",ORCAMENTOS!I1157)</f>
        <v>117070.75</v>
      </c>
      <c r="I1149" s="60" t="str">
        <f>IF(ORCAMENTOS!J1157="","",ORCAMENTOS!J1157)</f>
        <v/>
      </c>
      <c r="J1149" s="40" t="str">
        <f>IF(ORCAMENTOS!L1157="","",ORCAMENTOS!L1157)</f>
        <v>CANCELADO</v>
      </c>
      <c r="K1149" s="34" t="str">
        <f>IF(ORCAMENTOS!M1157="","",ORCAMENTOS!M1157)</f>
        <v/>
      </c>
      <c r="L1149" t="str">
        <f>IF(ORCAMENTOS!R1157="","",ORCAMENTOS!R1157)</f>
        <v/>
      </c>
    </row>
    <row r="1150" spans="1:12" ht="15.75" hidden="1" customHeight="1" x14ac:dyDescent="0.25">
      <c r="A1150" s="36">
        <f>IF(ORCAMENTOS!A1158="","",ORCAMENTOS!A1158)</f>
        <v>45841</v>
      </c>
      <c r="B1150" s="46">
        <f>IF(ORCAMENTOS!B1158="","",ORCAMENTOS!B1158)</f>
        <v>1148</v>
      </c>
      <c r="C1150" s="46" t="str">
        <f>IF(ORCAMENTOS!C1158="","",ORCAMENTOS!C1158)</f>
        <v/>
      </c>
      <c r="D1150" s="37" t="str">
        <f>IF(ORCAMENTOS!D1158="","",ORCAMENTOS!D1158)</f>
        <v>RM3 ENGENHARIA</v>
      </c>
      <c r="E1150" s="38" t="str">
        <f>IF(ORCAMENTOS!E1158="","",ORCAMENTOS!E1158)</f>
        <v>SAVEGNAGO - INDAIATUBA/SP</v>
      </c>
      <c r="F1150" s="37" t="str">
        <f>IF(ORCAMENTOS!G1158="","",ORCAMENTOS!G1158)</f>
        <v>Guilherme</v>
      </c>
      <c r="G1150" s="37" t="str">
        <f>IF(ORCAMENTOS!H1158="","",ORCAMENTOS!H1158)</f>
        <v>Diego</v>
      </c>
      <c r="H1150" s="39">
        <f>IF(ORCAMENTOS!I1158="","",ORCAMENTOS!I1158)</f>
        <v>175186.23</v>
      </c>
      <c r="I1150" s="60" t="str">
        <f>IF(ORCAMENTOS!J1158="","",ORCAMENTOS!J1158)</f>
        <v/>
      </c>
      <c r="J1150" s="40" t="str">
        <f>IF(ORCAMENTOS!L1158="","",ORCAMENTOS!L1158)</f>
        <v>CANCELADO</v>
      </c>
      <c r="K1150" s="34" t="str">
        <f>IF(ORCAMENTOS!M1158="","",ORCAMENTOS!M1158)</f>
        <v xml:space="preserve">FECHADO </v>
      </c>
      <c r="L1150" t="str">
        <f>IF(ORCAMENTOS!R1158="","",ORCAMENTOS!R1158)</f>
        <v>MPU</v>
      </c>
    </row>
    <row r="1151" spans="1:12" ht="15.75" hidden="1" customHeight="1" x14ac:dyDescent="0.25">
      <c r="A1151" s="36">
        <f>IF(ORCAMENTOS!A1159="","",ORCAMENTOS!A1159)</f>
        <v>45841</v>
      </c>
      <c r="B1151" s="46">
        <f>IF(ORCAMENTOS!B1159="","",ORCAMENTOS!B1159)</f>
        <v>1149</v>
      </c>
      <c r="C1151" s="46" t="str">
        <f>IF(ORCAMENTOS!C1159="","",ORCAMENTOS!C1159)</f>
        <v/>
      </c>
      <c r="D1151" s="37" t="str">
        <f>IF(ORCAMENTOS!D1159="","",ORCAMENTOS!D1159)</f>
        <v>RM3 ENGENHARIA</v>
      </c>
      <c r="E1151" s="38" t="str">
        <f>IF(ORCAMENTOS!E1159="","",ORCAMENTOS!E1159)</f>
        <v>SAVEGNAGO - SERTÃOZINHO/SP</v>
      </c>
      <c r="F1151" s="37" t="str">
        <f>IF(ORCAMENTOS!G1159="","",ORCAMENTOS!G1159)</f>
        <v>Guilherme</v>
      </c>
      <c r="G1151" s="37" t="str">
        <f>IF(ORCAMENTOS!H1159="","",ORCAMENTOS!H1159)</f>
        <v>Diego</v>
      </c>
      <c r="H1151" s="39">
        <f>IF(ORCAMENTOS!I1159="","",ORCAMENTOS!I1159)</f>
        <v>148496.97</v>
      </c>
      <c r="I1151" s="60" t="str">
        <f>IF(ORCAMENTOS!J1159="","",ORCAMENTOS!J1159)</f>
        <v/>
      </c>
      <c r="J1151" s="40" t="str">
        <f>IF(ORCAMENTOS!L1159="","",ORCAMENTOS!L1159)</f>
        <v>CANCELADO</v>
      </c>
      <c r="K1151" s="34" t="str">
        <f>IF(ORCAMENTOS!M1159="","",ORCAMENTOS!M1159)</f>
        <v xml:space="preserve">FECHADO </v>
      </c>
      <c r="L1151" t="str">
        <f>IF(ORCAMENTOS!R1159="","",ORCAMENTOS!R1159)</f>
        <v>MPU</v>
      </c>
    </row>
    <row r="1152" spans="1:12" ht="15.75" hidden="1" customHeight="1" x14ac:dyDescent="0.25">
      <c r="A1152" s="36">
        <f>IF(ORCAMENTOS!A1160="","",ORCAMENTOS!A1160)</f>
        <v>45842</v>
      </c>
      <c r="B1152" s="46">
        <f>IF(ORCAMENTOS!B1160="","",ORCAMENTOS!B1160)</f>
        <v>1150</v>
      </c>
      <c r="C1152" s="46" t="str">
        <f>IF(ORCAMENTOS!C1160="","",ORCAMENTOS!C1160)</f>
        <v/>
      </c>
      <c r="D1152" s="37" t="str">
        <f>IF(ORCAMENTOS!D1160="","",ORCAMENTOS!D1160)</f>
        <v>AIR NET</v>
      </c>
      <c r="E1152" s="38" t="str">
        <f>IF(ORCAMENTOS!E1160="","",ORCAMENTOS!E1160)</f>
        <v>TEAG - TERMINAL DE EXPORTAÇÃO</v>
      </c>
      <c r="F1152" s="37" t="str">
        <f>IF(ORCAMENTOS!G1160="","",ORCAMENTOS!G1160)</f>
        <v>Fernando</v>
      </c>
      <c r="G1152" s="37" t="str">
        <f>IF(ORCAMENTOS!H1160="","",ORCAMENTOS!H1160)</f>
        <v>Thiago</v>
      </c>
      <c r="H1152" s="39">
        <f>IF(ORCAMENTOS!I1160="","",ORCAMENTOS!I1160)</f>
        <v>50233.33</v>
      </c>
      <c r="I1152" s="60" t="str">
        <f>IF(ORCAMENTOS!J1160="","",ORCAMENTOS!J1160)</f>
        <v/>
      </c>
      <c r="J1152" s="40" t="str">
        <f>IF(ORCAMENTOS!L1160="","",ORCAMENTOS!L1160)</f>
        <v>CANCELADO</v>
      </c>
      <c r="K1152" s="34" t="str">
        <f>IF(ORCAMENTOS!M1160="","",ORCAMENTOS!M1160)</f>
        <v>BOAS CHANCES</v>
      </c>
      <c r="L1152" t="str">
        <f>IF(ORCAMENTOS!R1160="","",ORCAMENTOS!R1160)</f>
        <v/>
      </c>
    </row>
    <row r="1153" spans="1:12" ht="15.75" hidden="1" customHeight="1" x14ac:dyDescent="0.25">
      <c r="A1153" s="36">
        <f>IF(ORCAMENTOS!A1161="","",ORCAMENTOS!A1161)</f>
        <v>45841</v>
      </c>
      <c r="B1153" s="46">
        <f>IF(ORCAMENTOS!B1161="","",ORCAMENTOS!B1161)</f>
        <v>1151</v>
      </c>
      <c r="C1153" s="46" t="str">
        <f>IF(ORCAMENTOS!C1161="","",ORCAMENTOS!C1161)</f>
        <v/>
      </c>
      <c r="D1153" s="37" t="str">
        <f>IF(ORCAMENTOS!D1161="","",ORCAMENTOS!D1161)</f>
        <v>MJ CLIMATIZACAO</v>
      </c>
      <c r="E1153" s="38" t="str">
        <f>IF(ORCAMENTOS!E1161="","",ORCAMENTOS!E1161)</f>
        <v>PETZ PARNAMIRIM</v>
      </c>
      <c r="F1153" s="37" t="str">
        <f>IF(ORCAMENTOS!G1161="","",ORCAMENTOS!G1161)</f>
        <v>Emanuel</v>
      </c>
      <c r="G1153" s="37" t="str">
        <f>IF(ORCAMENTOS!H1161="","",ORCAMENTOS!H1161)</f>
        <v>Escobar</v>
      </c>
      <c r="H1153" s="39">
        <f>IF(ORCAMENTOS!I1161="","",ORCAMENTOS!I1161)</f>
        <v>34244.720000000001</v>
      </c>
      <c r="I1153" s="60" t="str">
        <f>IF(ORCAMENTOS!J1161="","",ORCAMENTOS!J1161)</f>
        <v/>
      </c>
      <c r="J1153" s="40" t="str">
        <f>IF(ORCAMENTOS!L1161="","",ORCAMENTOS!L1161)</f>
        <v>CANCELADO</v>
      </c>
      <c r="K1153" s="34" t="str">
        <f>IF(ORCAMENTOS!M1161="","",ORCAMENTOS!M1161)</f>
        <v/>
      </c>
      <c r="L1153" t="str">
        <f>IF(ORCAMENTOS!R1161="","",ORCAMENTOS!R1161)</f>
        <v>MPU</v>
      </c>
    </row>
    <row r="1154" spans="1:12" ht="15.75" hidden="1" customHeight="1" x14ac:dyDescent="0.25">
      <c r="A1154" s="36">
        <f>IF(ORCAMENTOS!A1162="","",ORCAMENTOS!A1162)</f>
        <v>45691</v>
      </c>
      <c r="B1154" s="46">
        <f>IF(ORCAMENTOS!B1162="","",ORCAMENTOS!B1162)</f>
        <v>1152</v>
      </c>
      <c r="C1154" s="46" t="str">
        <f>IF(ORCAMENTOS!C1162="","",ORCAMENTOS!C1162)</f>
        <v/>
      </c>
      <c r="D1154" s="37" t="str">
        <f>IF(ORCAMENTOS!D1162="","",ORCAMENTOS!D1162)</f>
        <v>HERSA</v>
      </c>
      <c r="E1154" s="38" t="str">
        <f>IF(ORCAMENTOS!E1162="","",ORCAMENTOS!E1162)</f>
        <v>RECAP (PETROBRAS) - MAUA/SP</v>
      </c>
      <c r="F1154" s="37" t="str">
        <f>IF(ORCAMENTOS!G1162="","",ORCAMENTOS!G1162)</f>
        <v>Michel</v>
      </c>
      <c r="G1154" s="37" t="str">
        <f>IF(ORCAMENTOS!H1162="","",ORCAMENTOS!H1162)</f>
        <v>David</v>
      </c>
      <c r="H1154" s="39">
        <f>IF(ORCAMENTOS!I1162="","",ORCAMENTOS!I1162)</f>
        <v>133778.18</v>
      </c>
      <c r="I1154" s="60" t="str">
        <f>IF(ORCAMENTOS!J1162="","",ORCAMENTOS!J1162)</f>
        <v/>
      </c>
      <c r="J1154" s="40" t="str">
        <f>IF(ORCAMENTOS!L1162="","",ORCAMENTOS!L1162)</f>
        <v>CANCELADO</v>
      </c>
      <c r="K1154" s="34" t="str">
        <f>IF(ORCAMENTOS!M1162="","",ORCAMENTOS!M1162)</f>
        <v/>
      </c>
      <c r="L1154" t="str">
        <f>IF(ORCAMENTOS!R1162="","",ORCAMENTOS!R1162)</f>
        <v/>
      </c>
    </row>
    <row r="1155" spans="1:12" ht="15.75" hidden="1" customHeight="1" x14ac:dyDescent="0.25">
      <c r="A1155" s="36">
        <f>IF(ORCAMENTOS!A1163="","",ORCAMENTOS!A1163)</f>
        <v>45842</v>
      </c>
      <c r="B1155" s="46">
        <f>IF(ORCAMENTOS!B1163="","",ORCAMENTOS!B1163)</f>
        <v>1153</v>
      </c>
      <c r="C1155" s="46" t="str">
        <f>IF(ORCAMENTOS!C1163="","",ORCAMENTOS!C1163)</f>
        <v/>
      </c>
      <c r="D1155" s="37" t="str">
        <f>IF(ORCAMENTOS!D1163="","",ORCAMENTOS!D1163)</f>
        <v>BEST CLIMA</v>
      </c>
      <c r="E1155" s="38" t="str">
        <f>IF(ORCAMENTOS!E1163="","",ORCAMENTOS!E1163)</f>
        <v>BCGP 2503 - ALBA HOTELARIA</v>
      </c>
      <c r="F1155" s="37" t="str">
        <f>IF(ORCAMENTOS!G1163="","",ORCAMENTOS!G1163)</f>
        <v xml:space="preserve">Aldavir </v>
      </c>
      <c r="G1155" s="37" t="str">
        <f>IF(ORCAMENTOS!H1163="","",ORCAMENTOS!H1163)</f>
        <v>Arion</v>
      </c>
      <c r="H1155" s="39">
        <f>IF(ORCAMENTOS!I1163="","",ORCAMENTOS!I1163)</f>
        <v>35953.269999999997</v>
      </c>
      <c r="I1155" s="60" t="str">
        <f>IF(ORCAMENTOS!J1163="","",ORCAMENTOS!J1163)</f>
        <v/>
      </c>
      <c r="J1155" s="40" t="str">
        <f>IF(ORCAMENTOS!L1163="","",ORCAMENTOS!L1163)</f>
        <v>CANCELADO</v>
      </c>
      <c r="K1155" s="34" t="str">
        <f>IF(ORCAMENTOS!M1163="","",ORCAMENTOS!M1163)</f>
        <v>CHAPA</v>
      </c>
      <c r="L1155" t="str">
        <f>IF(ORCAMENTOS!R1163="","",ORCAMENTOS!R1163)</f>
        <v/>
      </c>
    </row>
    <row r="1156" spans="1:12" ht="15.75" hidden="1" customHeight="1" x14ac:dyDescent="0.25">
      <c r="A1156" s="36">
        <f>IF(ORCAMENTOS!A1164="","",ORCAMENTOS!A1164)</f>
        <v>45842</v>
      </c>
      <c r="B1156" s="46">
        <f>IF(ORCAMENTOS!B1164="","",ORCAMENTOS!B1164)</f>
        <v>1154</v>
      </c>
      <c r="C1156" s="46" t="str">
        <f>IF(ORCAMENTOS!C1164="","",ORCAMENTOS!C1164)</f>
        <v/>
      </c>
      <c r="D1156" s="37" t="str">
        <f>IF(ORCAMENTOS!D1164="","",ORCAMENTOS!D1164)</f>
        <v>PROGERAR</v>
      </c>
      <c r="E1156" s="38" t="str">
        <f>IF(ORCAMENTOS!E1164="","",ORCAMENTOS!E1164)</f>
        <v>HOSPITAL SÃO CAMILO - POMPÉIA</v>
      </c>
      <c r="F1156" s="37" t="str">
        <f>IF(ORCAMENTOS!G1164="","",ORCAMENTOS!G1164)</f>
        <v>Michel</v>
      </c>
      <c r="G1156" s="37" t="str">
        <f>IF(ORCAMENTOS!H1164="","",ORCAMENTOS!H1164)</f>
        <v>Paulo</v>
      </c>
      <c r="H1156" s="39">
        <f>IF(ORCAMENTOS!I1164="","",ORCAMENTOS!I1164)</f>
        <v>69468.89</v>
      </c>
      <c r="I1156" s="60" t="str">
        <f>IF(ORCAMENTOS!J1164="","",ORCAMENTOS!J1164)</f>
        <v/>
      </c>
      <c r="J1156" s="40" t="str">
        <f>IF(ORCAMENTOS!L1164="","",ORCAMENTOS!L1164)</f>
        <v>CANCELADO</v>
      </c>
      <c r="K1156" s="34" t="str">
        <f>IF(ORCAMENTOS!M1164="","",ORCAMENTOS!M1164)</f>
        <v/>
      </c>
      <c r="L1156" t="str">
        <f>IF(ORCAMENTOS!R1164="","",ORCAMENTOS!R1164)</f>
        <v/>
      </c>
    </row>
    <row r="1157" spans="1:12" ht="15.75" hidden="1" customHeight="1" x14ac:dyDescent="0.25">
      <c r="A1157" s="36">
        <f>IF(ORCAMENTOS!A1165="","",ORCAMENTOS!A1165)</f>
        <v>45842</v>
      </c>
      <c r="B1157" s="46">
        <f>IF(ORCAMENTOS!B1165="","",ORCAMENTOS!B1165)</f>
        <v>1155</v>
      </c>
      <c r="C1157" s="46" t="str">
        <f>IF(ORCAMENTOS!C1165="","",ORCAMENTOS!C1165)</f>
        <v/>
      </c>
      <c r="D1157" s="37" t="str">
        <f>IF(ORCAMENTOS!D1165="","",ORCAMENTOS!D1165)</f>
        <v>DUTOLEVE</v>
      </c>
      <c r="E1157" s="38" t="str">
        <f>IF(ORCAMENTOS!E1165="","",ORCAMENTOS!E1165)</f>
        <v>NISSIN FOODS DO BRASIL LTDA</v>
      </c>
      <c r="F1157" s="37" t="str">
        <f>IF(ORCAMENTOS!G1165="","",ORCAMENTOS!G1165)</f>
        <v>Gabriel</v>
      </c>
      <c r="G1157" s="37" t="str">
        <f>IF(ORCAMENTOS!H1165="","",ORCAMENTOS!H1165)</f>
        <v>Newton</v>
      </c>
      <c r="H1157" s="39">
        <f>IF(ORCAMENTOS!I1165="","",ORCAMENTOS!I1165)</f>
        <v>70000</v>
      </c>
      <c r="I1157" s="60" t="str">
        <f>IF(ORCAMENTOS!J1165="","",ORCAMENTOS!J1165)</f>
        <v/>
      </c>
      <c r="J1157" s="40" t="str">
        <f>IF(ORCAMENTOS!L1165="","",ORCAMENTOS!L1165)</f>
        <v>COMPRA</v>
      </c>
      <c r="K1157" s="34" t="str">
        <f>IF(ORCAMENTOS!M1165="","",ORCAMENTOS!M1165)</f>
        <v/>
      </c>
      <c r="L1157" t="str">
        <f>IF(ORCAMENTOS!R1165="","",ORCAMENTOS!R1165)</f>
        <v/>
      </c>
    </row>
    <row r="1158" spans="1:12" ht="15.75" hidden="1" customHeight="1" x14ac:dyDescent="0.25">
      <c r="A1158" s="36">
        <f>IF(ORCAMENTOS!A1166="","",ORCAMENTOS!A1166)</f>
        <v>45842</v>
      </c>
      <c r="B1158" s="46">
        <f>IF(ORCAMENTOS!B1166="","",ORCAMENTOS!B1166)</f>
        <v>1156</v>
      </c>
      <c r="C1158" s="46" t="str">
        <f>IF(ORCAMENTOS!C1166="","",ORCAMENTOS!C1166)</f>
        <v/>
      </c>
      <c r="D1158" s="37" t="str">
        <f>IF(ORCAMENTOS!D1166="","",ORCAMENTOS!D1166)</f>
        <v>SP1 ENGENHARIA</v>
      </c>
      <c r="E1158" s="38" t="str">
        <f>IF(ORCAMENTOS!E1166="","",ORCAMENTOS!E1166)</f>
        <v>ACHÊ - DOCAS - GUARULHOS/SP</v>
      </c>
      <c r="F1158" s="37" t="str">
        <f>IF(ORCAMENTOS!G1166="","",ORCAMENTOS!G1166)</f>
        <v>Gabriel</v>
      </c>
      <c r="G1158" s="37" t="str">
        <f>IF(ORCAMENTOS!H1166="","",ORCAMENTOS!H1166)</f>
        <v>Silvio</v>
      </c>
      <c r="H1158" s="39">
        <f>IF(ORCAMENTOS!I1166="","",ORCAMENTOS!I1166)</f>
        <v>23712.400000000001</v>
      </c>
      <c r="I1158" s="60" t="str">
        <f>IF(ORCAMENTOS!J1166="","",ORCAMENTOS!J1166)</f>
        <v/>
      </c>
      <c r="J1158" s="40" t="str">
        <f>IF(ORCAMENTOS!L1166="","",ORCAMENTOS!L1166)</f>
        <v>CANCELADO</v>
      </c>
      <c r="K1158" s="34" t="str">
        <f>IF(ORCAMENTOS!M1166="","",ORCAMENTOS!M1166)</f>
        <v/>
      </c>
      <c r="L1158" t="str">
        <f>IF(ORCAMENTOS!R1166="","",ORCAMENTOS!R1166)</f>
        <v>MPU</v>
      </c>
    </row>
    <row r="1159" spans="1:12" ht="15.75" hidden="1" customHeight="1" x14ac:dyDescent="0.25">
      <c r="A1159" s="36">
        <f>IF(ORCAMENTOS!A1167="","",ORCAMENTOS!A1167)</f>
        <v>45842</v>
      </c>
      <c r="B1159" s="46">
        <f>IF(ORCAMENTOS!B1167="","",ORCAMENTOS!B1167)</f>
        <v>1157</v>
      </c>
      <c r="C1159" s="46" t="str">
        <f>IF(ORCAMENTOS!C1167="","",ORCAMENTOS!C1167)</f>
        <v/>
      </c>
      <c r="D1159" s="37" t="str">
        <f>IF(ORCAMENTOS!D1167="","",ORCAMENTOS!D1167)</f>
        <v>ERGO ENGENHARIA</v>
      </c>
      <c r="E1159" s="38" t="str">
        <f>IF(ORCAMENTOS!E1167="","",ORCAMENTOS!E1167)</f>
        <v>CNPEM</v>
      </c>
      <c r="F1159" s="37" t="str">
        <f>IF(ORCAMENTOS!G1167="","",ORCAMENTOS!G1167)</f>
        <v xml:space="preserve">Aldavir </v>
      </c>
      <c r="G1159" s="37" t="str">
        <f>IF(ORCAMENTOS!H1167="","",ORCAMENTOS!H1167)</f>
        <v>José Vitor</v>
      </c>
      <c r="H1159" s="39">
        <f>IF(ORCAMENTOS!I1167="","",ORCAMENTOS!I1167)</f>
        <v>33149</v>
      </c>
      <c r="I1159" s="60" t="str">
        <f>IF(ORCAMENTOS!J1167="","",ORCAMENTOS!J1167)</f>
        <v/>
      </c>
      <c r="J1159" s="40" t="str">
        <f>IF(ORCAMENTOS!L1167="","",ORCAMENTOS!L1167)</f>
        <v>CANCELADO</v>
      </c>
      <c r="K1159" s="34" t="str">
        <f>IF(ORCAMENTOS!M1167="","",ORCAMENTOS!M1167)</f>
        <v/>
      </c>
      <c r="L1159" t="str">
        <f>IF(ORCAMENTOS!R1167="","",ORCAMENTOS!R1167)</f>
        <v>MPU</v>
      </c>
    </row>
    <row r="1160" spans="1:12" ht="15.75" hidden="1" customHeight="1" x14ac:dyDescent="0.25">
      <c r="A1160" s="36">
        <f>IF(ORCAMENTOS!A1168="","",ORCAMENTOS!A1168)</f>
        <v>45842</v>
      </c>
      <c r="B1160" s="46">
        <f>IF(ORCAMENTOS!B1168="","",ORCAMENTOS!B1168)</f>
        <v>1158</v>
      </c>
      <c r="C1160" s="46" t="str">
        <f>IF(ORCAMENTOS!C1168="","",ORCAMENTOS!C1168)</f>
        <v/>
      </c>
      <c r="D1160" s="37" t="str">
        <f>IF(ORCAMENTOS!D1168="","",ORCAMENTOS!D1168)</f>
        <v>COLDTERMICA</v>
      </c>
      <c r="E1160" s="38" t="str">
        <f>IF(ORCAMENTOS!E1168="","",ORCAMENTOS!E1168)</f>
        <v xml:space="preserve">LOJAS RENNER </v>
      </c>
      <c r="F1160" s="37" t="str">
        <f>IF(ORCAMENTOS!G1168="","",ORCAMENTOS!G1168)</f>
        <v>Gabriel</v>
      </c>
      <c r="G1160" s="37" t="str">
        <f>IF(ORCAMENTOS!H1168="","",ORCAMENTOS!H1168)</f>
        <v>Denis</v>
      </c>
      <c r="H1160" s="39">
        <f>IF(ORCAMENTOS!I1168="","",ORCAMENTOS!I1168)</f>
        <v>24820.38</v>
      </c>
      <c r="I1160" s="60" t="str">
        <f>IF(ORCAMENTOS!J1168="","",ORCAMENTOS!J1168)</f>
        <v/>
      </c>
      <c r="J1160" s="40" t="str">
        <f>IF(ORCAMENTOS!L1168="","",ORCAMENTOS!L1168)</f>
        <v>CANCELADO</v>
      </c>
      <c r="K1160" s="34" t="str">
        <f>IF(ORCAMENTOS!M1168="","",ORCAMENTOS!M1168)</f>
        <v/>
      </c>
      <c r="L1160" t="str">
        <f>IF(ORCAMENTOS!R1168="","",ORCAMENTOS!R1168)</f>
        <v/>
      </c>
    </row>
    <row r="1161" spans="1:12" ht="15.75" hidden="1" customHeight="1" x14ac:dyDescent="0.25">
      <c r="A1161" s="36">
        <f>IF(ORCAMENTOS!A1169="","",ORCAMENTOS!A1169)</f>
        <v>45842</v>
      </c>
      <c r="B1161" s="46">
        <f>IF(ORCAMENTOS!B1169="","",ORCAMENTOS!B1169)</f>
        <v>1159</v>
      </c>
      <c r="C1161" s="46" t="str">
        <f>IF(ORCAMENTOS!C1169="","",ORCAMENTOS!C1169)</f>
        <v/>
      </c>
      <c r="D1161" s="37" t="str">
        <f>IF(ORCAMENTOS!D1169="","",ORCAMENTOS!D1169)</f>
        <v>IVTEC ENGENHARIA</v>
      </c>
      <c r="E1161" s="38" t="str">
        <f>IF(ORCAMENTOS!E1169="","",ORCAMENTOS!E1169)</f>
        <v/>
      </c>
      <c r="F1161" s="37" t="str">
        <f>IF(ORCAMENTOS!G1169="","",ORCAMENTOS!G1169)</f>
        <v>Gabriel</v>
      </c>
      <c r="G1161" s="37" t="str">
        <f>IF(ORCAMENTOS!H1169="","",ORCAMENTOS!H1169)</f>
        <v>Matheus</v>
      </c>
      <c r="H1161" s="39">
        <f>IF(ORCAMENTOS!I1169="","",ORCAMENTOS!I1169)</f>
        <v>5061.8900000000003</v>
      </c>
      <c r="I1161" s="60" t="str">
        <f>IF(ORCAMENTOS!J1169="","",ORCAMENTOS!J1169)</f>
        <v/>
      </c>
      <c r="J1161" s="40" t="str">
        <f>IF(ORCAMENTOS!L1169="","",ORCAMENTOS!L1169)</f>
        <v>FECHADO</v>
      </c>
      <c r="K1161" s="34" t="str">
        <f>IF(ORCAMENTOS!M1169="","",ORCAMENTOS!M1169)</f>
        <v/>
      </c>
      <c r="L1161" t="str">
        <f>IF(ORCAMENTOS!R1169="","",ORCAMENTOS!R1169)</f>
        <v/>
      </c>
    </row>
    <row r="1162" spans="1:12" ht="15.75" hidden="1" customHeight="1" x14ac:dyDescent="0.25">
      <c r="A1162" s="36">
        <f>IF(ORCAMENTOS!A1170="","",ORCAMENTOS!A1170)</f>
        <v>45897</v>
      </c>
      <c r="B1162" s="46">
        <f>IF(ORCAMENTOS!B1170="","",ORCAMENTOS!B1170)</f>
        <v>1160</v>
      </c>
      <c r="C1162" s="46" t="str">
        <f>IF(ORCAMENTOS!C1170="","",ORCAMENTOS!C1170)</f>
        <v/>
      </c>
      <c r="D1162" s="37" t="str">
        <f>IF(ORCAMENTOS!D1170="","",ORCAMENTOS!D1170)</f>
        <v>STAR CENTER</v>
      </c>
      <c r="E1162" s="38" t="str">
        <f>IF(ORCAMENTOS!E1170="","",ORCAMENTOS!E1170)</f>
        <v/>
      </c>
      <c r="F1162" s="37" t="str">
        <f>IF(ORCAMENTOS!G1170="","",ORCAMENTOS!G1170)</f>
        <v>Guilherme</v>
      </c>
      <c r="G1162" s="37" t="str">
        <f>IF(ORCAMENTOS!H1170="","",ORCAMENTOS!H1170)</f>
        <v>Wilson</v>
      </c>
      <c r="H1162" s="39">
        <f>IF(ORCAMENTOS!I1170="","",ORCAMENTOS!I1170)</f>
        <v>3613.75</v>
      </c>
      <c r="I1162" s="60" t="str">
        <f>IF(ORCAMENTOS!J1170="","",ORCAMENTOS!J1170)</f>
        <v/>
      </c>
      <c r="J1162" s="40" t="str">
        <f>IF(ORCAMENTOS!L1170="","",ORCAMENTOS!L1170)</f>
        <v>PERDIDO</v>
      </c>
      <c r="K1162" s="34" t="str">
        <f>IF(ORCAMENTOS!M1170="","",ORCAMENTOS!M1170)</f>
        <v>PERDIDO ARCOTEC</v>
      </c>
      <c r="L1162" t="str">
        <f>IF(ORCAMENTOS!R1170="","",ORCAMENTOS!R1170)</f>
        <v/>
      </c>
    </row>
    <row r="1163" spans="1:12" ht="15.75" hidden="1" customHeight="1" x14ac:dyDescent="0.25">
      <c r="A1163" s="36">
        <f>IF(ORCAMENTOS!A1171="","",ORCAMENTOS!A1171)</f>
        <v>45845</v>
      </c>
      <c r="B1163" s="46">
        <f>IF(ORCAMENTOS!B1171="","",ORCAMENTOS!B1171)</f>
        <v>1161</v>
      </c>
      <c r="C1163" s="46" t="str">
        <f>IF(ORCAMENTOS!C1171="","",ORCAMENTOS!C1171)</f>
        <v/>
      </c>
      <c r="D1163" s="37" t="str">
        <f>IF(ORCAMENTOS!D1171="","",ORCAMENTOS!D1171)</f>
        <v>FL HVAC</v>
      </c>
      <c r="E1163" s="38" t="str">
        <f>IF(ORCAMENTOS!E1171="","",ORCAMENTOS!E1171)</f>
        <v>TOMMY HILFIGER - OUTLET SANTA MARIA</v>
      </c>
      <c r="F1163" s="37" t="str">
        <f>IF(ORCAMENTOS!G1171="","",ORCAMENTOS!G1171)</f>
        <v>Guilherme</v>
      </c>
      <c r="G1163" s="37" t="str">
        <f>IF(ORCAMENTOS!H1171="","",ORCAMENTOS!H1171)</f>
        <v>Alessandra</v>
      </c>
      <c r="H1163" s="39">
        <f>IF(ORCAMENTOS!I1171="","",ORCAMENTOS!I1171)</f>
        <v>19600.78</v>
      </c>
      <c r="I1163" s="60" t="str">
        <f>IF(ORCAMENTOS!J1171="","",ORCAMENTOS!J1171)</f>
        <v/>
      </c>
      <c r="J1163" s="40" t="str">
        <f>IF(ORCAMENTOS!L1171="","",ORCAMENTOS!L1171)</f>
        <v>CANCELADO</v>
      </c>
      <c r="K1163" s="34" t="str">
        <f>IF(ORCAMENTOS!M1171="","",ORCAMENTOS!M1171)</f>
        <v/>
      </c>
      <c r="L1163" t="str">
        <f>IF(ORCAMENTOS!R1171="","",ORCAMENTOS!R1171)</f>
        <v/>
      </c>
    </row>
    <row r="1164" spans="1:12" ht="15.75" hidden="1" customHeight="1" x14ac:dyDescent="0.25">
      <c r="A1164" s="36">
        <f>IF(ORCAMENTOS!A1172="","",ORCAMENTOS!A1172)</f>
        <v>45845</v>
      </c>
      <c r="B1164" s="46">
        <f>IF(ORCAMENTOS!B1172="","",ORCAMENTOS!B1172)</f>
        <v>1162</v>
      </c>
      <c r="C1164" s="46" t="str">
        <f>IF(ORCAMENTOS!C1172="","",ORCAMENTOS!C1172)</f>
        <v/>
      </c>
      <c r="D1164" s="37" t="str">
        <f>IF(ORCAMENTOS!D1172="","",ORCAMENTOS!D1172)</f>
        <v>SCS ENGENHARIA</v>
      </c>
      <c r="E1164" s="38" t="str">
        <f>IF(ORCAMENTOS!E1172="","",ORCAMENTOS!E1172)</f>
        <v>MANTIQUEIRA BRASIL - LORENA-SP</v>
      </c>
      <c r="F1164" s="37" t="str">
        <f>IF(ORCAMENTOS!G1172="","",ORCAMENTOS!G1172)</f>
        <v>Gabriel</v>
      </c>
      <c r="G1164" s="37" t="str">
        <f>IF(ORCAMENTOS!H1172="","",ORCAMENTOS!H1172)</f>
        <v>Silas</v>
      </c>
      <c r="H1164" s="39">
        <f>IF(ORCAMENTOS!I1172="","",ORCAMENTOS!I1172)</f>
        <v>323749.56</v>
      </c>
      <c r="I1164" s="60" t="str">
        <f>IF(ORCAMENTOS!J1172="","",ORCAMENTOS!J1172)</f>
        <v/>
      </c>
      <c r="J1164" s="40" t="str">
        <f>IF(ORCAMENTOS!L1172="","",ORCAMENTOS!L1172)</f>
        <v>CANCELADO</v>
      </c>
      <c r="K1164" s="34" t="str">
        <f>IF(ORCAMENTOS!M1172="","",ORCAMENTOS!M1172)</f>
        <v/>
      </c>
      <c r="L1164" t="str">
        <f>IF(ORCAMENTOS!R1172="","",ORCAMENTOS!R1172)</f>
        <v/>
      </c>
    </row>
    <row r="1165" spans="1:12" ht="15.75" hidden="1" customHeight="1" x14ac:dyDescent="0.25">
      <c r="A1165" s="36">
        <f>IF(ORCAMENTOS!A1173="","",ORCAMENTOS!A1173)</f>
        <v>45845</v>
      </c>
      <c r="B1165" s="46">
        <f>IF(ORCAMENTOS!B1173="","",ORCAMENTOS!B1173)</f>
        <v>1163</v>
      </c>
      <c r="C1165" s="46" t="str">
        <f>IF(ORCAMENTOS!C1173="","",ORCAMENTOS!C1173)</f>
        <v/>
      </c>
      <c r="D1165" s="37" t="str">
        <f>IF(ORCAMENTOS!D1173="","",ORCAMENTOS!D1173)</f>
        <v>ADRIATIC</v>
      </c>
      <c r="E1165" s="38" t="str">
        <f>IF(ORCAMENTOS!E1173="","",ORCAMENTOS!E1173)</f>
        <v>CPD - SANTANDER - CAMPINAS-SP</v>
      </c>
      <c r="F1165" s="37" t="str">
        <f>IF(ORCAMENTOS!G1173="","",ORCAMENTOS!G1173)</f>
        <v>Emanuel</v>
      </c>
      <c r="G1165" s="37" t="str">
        <f>IF(ORCAMENTOS!H1173="","",ORCAMENTOS!H1173)</f>
        <v>Walyson</v>
      </c>
      <c r="H1165" s="39">
        <f>IF(ORCAMENTOS!I1173="","",ORCAMENTOS!I1173)</f>
        <v>37329.93</v>
      </c>
      <c r="I1165" s="60" t="str">
        <f>IF(ORCAMENTOS!J1173="","",ORCAMENTOS!J1173)</f>
        <v/>
      </c>
      <c r="J1165" s="40" t="str">
        <f>IF(ORCAMENTOS!L1173="","",ORCAMENTOS!L1173)</f>
        <v>FECHADO</v>
      </c>
      <c r="K1165" s="34" t="str">
        <f>IF(ORCAMENTOS!M1173="","",ORCAMENTOS!M1173)</f>
        <v/>
      </c>
      <c r="L1165" t="str">
        <f>IF(ORCAMENTOS!R1173="","",ORCAMENTOS!R1173)</f>
        <v/>
      </c>
    </row>
    <row r="1166" spans="1:12" ht="15.75" hidden="1" customHeight="1" x14ac:dyDescent="0.25">
      <c r="A1166" s="36">
        <f>IF(ORCAMENTOS!A1174="","",ORCAMENTOS!A1174)</f>
        <v>45845</v>
      </c>
      <c r="B1166" s="46">
        <f>IF(ORCAMENTOS!B1174="","",ORCAMENTOS!B1174)</f>
        <v>1164</v>
      </c>
      <c r="C1166" s="46" t="str">
        <f>IF(ORCAMENTOS!C1174="","",ORCAMENTOS!C1174)</f>
        <v/>
      </c>
      <c r="D1166" s="37" t="str">
        <f>IF(ORCAMENTOS!D1174="","",ORCAMENTOS!D1174)</f>
        <v>EKO CLIMAX</v>
      </c>
      <c r="E1166" s="38" t="str">
        <f>IF(ORCAMENTOS!E1174="","",ORCAMENTOS!E1174)</f>
        <v/>
      </c>
      <c r="F1166" s="37" t="str">
        <f>IF(ORCAMENTOS!G1174="","",ORCAMENTOS!G1174)</f>
        <v>Michel</v>
      </c>
      <c r="G1166" s="37" t="str">
        <f>IF(ORCAMENTOS!H1174="","",ORCAMENTOS!H1174)</f>
        <v>Rogerio</v>
      </c>
      <c r="H1166" s="39">
        <f>IF(ORCAMENTOS!I1174="","",ORCAMENTOS!I1174)</f>
        <v>5284.87</v>
      </c>
      <c r="I1166" s="60" t="str">
        <f>IF(ORCAMENTOS!J1174="","",ORCAMENTOS!J1174)</f>
        <v/>
      </c>
      <c r="J1166" s="40" t="str">
        <f>IF(ORCAMENTOS!L1174="","",ORCAMENTOS!L1174)</f>
        <v>FECHADO</v>
      </c>
      <c r="K1166" s="34" t="str">
        <f>IF(ORCAMENTOS!M1174="","",ORCAMENTOS!M1174)</f>
        <v/>
      </c>
      <c r="L1166" t="str">
        <f>IF(ORCAMENTOS!R1174="","",ORCAMENTOS!R1174)</f>
        <v/>
      </c>
    </row>
    <row r="1167" spans="1:12" ht="15.75" hidden="1" customHeight="1" x14ac:dyDescent="0.25">
      <c r="A1167" s="36">
        <f>IF(ORCAMENTOS!A1175="","",ORCAMENTOS!A1175)</f>
        <v>45845</v>
      </c>
      <c r="B1167" s="46">
        <f>IF(ORCAMENTOS!B1175="","",ORCAMENTOS!B1175)</f>
        <v>1165</v>
      </c>
      <c r="C1167" s="46" t="str">
        <f>IF(ORCAMENTOS!C1175="","",ORCAMENTOS!C1175)</f>
        <v/>
      </c>
      <c r="D1167" s="37" t="str">
        <f>IF(ORCAMENTOS!D1175="","",ORCAMENTOS!D1175)</f>
        <v>NEWSET</v>
      </c>
      <c r="E1167" s="38" t="str">
        <f>IF(ORCAMENTOS!E1175="","",ORCAMENTOS!E1175)</f>
        <v>NSP094.25 - HOSP. REDE D'OR CENTRAL LESTE</v>
      </c>
      <c r="F1167" s="37" t="str">
        <f>IF(ORCAMENTOS!G1175="","",ORCAMENTOS!G1175)</f>
        <v xml:space="preserve">Aldavir </v>
      </c>
      <c r="G1167" s="37" t="str">
        <f>IF(ORCAMENTOS!H1175="","",ORCAMENTOS!H1175)</f>
        <v>David</v>
      </c>
      <c r="H1167" s="39">
        <f>IF(ORCAMENTOS!I1175="","",ORCAMENTOS!I1175)</f>
        <v>616595.99</v>
      </c>
      <c r="I1167" s="60" t="str">
        <f>IF(ORCAMENTOS!J1175="","",ORCAMENTOS!J1175)</f>
        <v/>
      </c>
      <c r="J1167" s="40" t="str">
        <f>IF(ORCAMENTOS!L1175="","",ORCAMENTOS!L1175)</f>
        <v>CANCELADO</v>
      </c>
      <c r="K1167" s="34" t="str">
        <f>IF(ORCAMENTOS!M1175="","",ORCAMENTOS!M1175)</f>
        <v/>
      </c>
      <c r="L1167" t="str">
        <f>IF(ORCAMENTOS!R1175="","",ORCAMENTOS!R1175)</f>
        <v/>
      </c>
    </row>
    <row r="1168" spans="1:12" ht="15.75" hidden="1" customHeight="1" x14ac:dyDescent="0.25">
      <c r="A1168" s="36">
        <f>IF(ORCAMENTOS!A1176="","",ORCAMENTOS!A1176)</f>
        <v>45845</v>
      </c>
      <c r="B1168" s="46">
        <f>IF(ORCAMENTOS!B1176="","",ORCAMENTOS!B1176)</f>
        <v>1166</v>
      </c>
      <c r="C1168" s="46" t="str">
        <f>IF(ORCAMENTOS!C1176="","",ORCAMENTOS!C1176)</f>
        <v/>
      </c>
      <c r="D1168" s="37" t="str">
        <f>IF(ORCAMENTOS!D1176="","",ORCAMENTOS!D1176)</f>
        <v>AWA AR CONDICIONADO</v>
      </c>
      <c r="E1168" s="38" t="str">
        <f>IF(ORCAMENTOS!E1176="","",ORCAMENTOS!E1176)</f>
        <v>LOJA SALTO - ROLDÃO SUPER ATACADO</v>
      </c>
      <c r="F1168" s="37" t="str">
        <f>IF(ORCAMENTOS!G1176="","",ORCAMENTOS!G1176)</f>
        <v>Guilherme</v>
      </c>
      <c r="G1168" s="37" t="str">
        <f>IF(ORCAMENTOS!H1176="","",ORCAMENTOS!H1176)</f>
        <v>Guilherme</v>
      </c>
      <c r="H1168" s="39">
        <f>IF(ORCAMENTOS!I1176="","",ORCAMENTOS!I1176)</f>
        <v>115474.79</v>
      </c>
      <c r="I1168" s="60" t="str">
        <f>IF(ORCAMENTOS!J1176="","",ORCAMENTOS!J1176)</f>
        <v/>
      </c>
      <c r="J1168" s="40" t="str">
        <f>IF(ORCAMENTOS!L1176="","",ORCAMENTOS!L1176)</f>
        <v>CANCELADO</v>
      </c>
      <c r="K1168" s="34" t="str">
        <f>IF(ORCAMENTOS!M1176="","",ORCAMENTOS!M1176)</f>
        <v/>
      </c>
      <c r="L1168" t="str">
        <f>IF(ORCAMENTOS!R1176="","",ORCAMENTOS!R1176)</f>
        <v/>
      </c>
    </row>
    <row r="1169" spans="1:12" ht="15.75" hidden="1" customHeight="1" x14ac:dyDescent="0.25">
      <c r="A1169" s="36">
        <f>IF(ORCAMENTOS!A1177="","",ORCAMENTOS!A1177)</f>
        <v>45846</v>
      </c>
      <c r="B1169" s="46">
        <f>IF(ORCAMENTOS!B1177="","",ORCAMENTOS!B1177)</f>
        <v>1167</v>
      </c>
      <c r="C1169" s="46" t="str">
        <f>IF(ORCAMENTOS!C1177="","",ORCAMENTOS!C1177)</f>
        <v/>
      </c>
      <c r="D1169" s="37" t="str">
        <f>IF(ORCAMENTOS!D1177="","",ORCAMENTOS!D1177)</f>
        <v>EXAUSTOTEC</v>
      </c>
      <c r="E1169" s="38" t="str">
        <f>IF(ORCAMENTOS!E1177="","",ORCAMENTOS!E1177)</f>
        <v>TTAIS ENGENHARIA - PREDIO 1 - OPCAO 3</v>
      </c>
      <c r="F1169" s="37" t="str">
        <f>IF(ORCAMENTOS!G1177="","",ORCAMENTOS!G1177)</f>
        <v>Michel</v>
      </c>
      <c r="G1169" s="37" t="str">
        <f>IF(ORCAMENTOS!H1177="","",ORCAMENTOS!H1177)</f>
        <v>Pedro</v>
      </c>
      <c r="H1169" s="39">
        <f>IF(ORCAMENTOS!I1177="","",ORCAMENTOS!I1177)</f>
        <v>7014.13</v>
      </c>
      <c r="I1169" s="60" t="str">
        <f>IF(ORCAMENTOS!J1177="","",ORCAMENTOS!J1177)</f>
        <v/>
      </c>
      <c r="J1169" s="40" t="str">
        <f>IF(ORCAMENTOS!L1177="","",ORCAMENTOS!L1177)</f>
        <v>CANCELADO</v>
      </c>
      <c r="K1169" s="34" t="str">
        <f>IF(ORCAMENTOS!M1177="","",ORCAMENTOS!M1177)</f>
        <v/>
      </c>
      <c r="L1169" t="str">
        <f>IF(ORCAMENTOS!R1177="","",ORCAMENTOS!R1177)</f>
        <v/>
      </c>
    </row>
    <row r="1170" spans="1:12" ht="15.75" hidden="1" customHeight="1" x14ac:dyDescent="0.25">
      <c r="A1170" s="36">
        <f>IF(ORCAMENTOS!A1178="","",ORCAMENTOS!A1178)</f>
        <v>45846</v>
      </c>
      <c r="B1170" s="46">
        <f>IF(ORCAMENTOS!B1178="","",ORCAMENTOS!B1178)</f>
        <v>1168</v>
      </c>
      <c r="C1170" s="46" t="str">
        <f>IF(ORCAMENTOS!C1178="","",ORCAMENTOS!C1178)</f>
        <v/>
      </c>
      <c r="D1170" s="37" t="str">
        <f>IF(ORCAMENTOS!D1178="","",ORCAMENTOS!D1178)</f>
        <v>CRIOVAC</v>
      </c>
      <c r="E1170" s="38" t="str">
        <f>IF(ORCAMENTOS!E1178="","",ORCAMENTOS!E1178)</f>
        <v/>
      </c>
      <c r="F1170" s="37" t="str">
        <f>IF(ORCAMENTOS!G1178="","",ORCAMENTOS!G1178)</f>
        <v>Emanuel</v>
      </c>
      <c r="G1170" s="37" t="str">
        <f>IF(ORCAMENTOS!H1178="","",ORCAMENTOS!H1178)</f>
        <v>Josue</v>
      </c>
      <c r="H1170" s="39">
        <f>IF(ORCAMENTOS!I1178="","",ORCAMENTOS!I1178)</f>
        <v>467.81</v>
      </c>
      <c r="I1170" s="60" t="str">
        <f>IF(ORCAMENTOS!J1178="","",ORCAMENTOS!J1178)</f>
        <v/>
      </c>
      <c r="J1170" s="40" t="str">
        <f>IF(ORCAMENTOS!L1178="","",ORCAMENTOS!L1178)</f>
        <v>FECHADO</v>
      </c>
      <c r="K1170" s="34" t="str">
        <f>IF(ORCAMENTOS!M1178="","",ORCAMENTOS!M1178)</f>
        <v/>
      </c>
      <c r="L1170" t="str">
        <f>IF(ORCAMENTOS!R1178="","",ORCAMENTOS!R1178)</f>
        <v/>
      </c>
    </row>
    <row r="1171" spans="1:12" ht="15.75" hidden="1" customHeight="1" x14ac:dyDescent="0.25">
      <c r="A1171" s="36">
        <f>IF(ORCAMENTOS!A1179="","",ORCAMENTOS!A1179)</f>
        <v>45846</v>
      </c>
      <c r="B1171" s="46">
        <f>IF(ORCAMENTOS!B1179="","",ORCAMENTOS!B1179)</f>
        <v>1169</v>
      </c>
      <c r="C1171" s="46" t="str">
        <f>IF(ORCAMENTOS!C1179="","",ORCAMENTOS!C1179)</f>
        <v/>
      </c>
      <c r="D1171" s="37" t="str">
        <f>IF(ORCAMENTOS!D1179="","",ORCAMENTOS!D1179)</f>
        <v>PRODAC</v>
      </c>
      <c r="E1171" s="38" t="str">
        <f>IF(ORCAMENTOS!E1179="","",ORCAMENTOS!E1179)</f>
        <v>STAR BRASÍLIA</v>
      </c>
      <c r="F1171" s="37" t="str">
        <f>IF(ORCAMENTOS!G1179="","",ORCAMENTOS!G1179)</f>
        <v>Fernando</v>
      </c>
      <c r="G1171" s="37" t="str">
        <f>IF(ORCAMENTOS!H1179="","",ORCAMENTOS!H1179)</f>
        <v>Luiz</v>
      </c>
      <c r="H1171" s="39">
        <f>IF(ORCAMENTOS!I1179="","",ORCAMENTOS!I1179)</f>
        <v>57613.5</v>
      </c>
      <c r="I1171" s="60" t="str">
        <f>IF(ORCAMENTOS!J1179="","",ORCAMENTOS!J1179)</f>
        <v/>
      </c>
      <c r="J1171" s="40" t="str">
        <f>IF(ORCAMENTOS!L1179="","",ORCAMENTOS!L1179)</f>
        <v>FECHADO</v>
      </c>
      <c r="K1171" s="34" t="str">
        <f>IF(ORCAMENTOS!M1179="","",ORCAMENTOS!M1179)</f>
        <v>PREV AGOSTO</v>
      </c>
      <c r="L1171" t="str">
        <f>IF(ORCAMENTOS!R1179="","",ORCAMENTOS!R1179)</f>
        <v/>
      </c>
    </row>
    <row r="1172" spans="1:12" ht="15.75" hidden="1" customHeight="1" x14ac:dyDescent="0.25">
      <c r="A1172" s="36">
        <f>IF(ORCAMENTOS!A1180="","",ORCAMENTOS!A1180)</f>
        <v>45846</v>
      </c>
      <c r="B1172" s="46">
        <f>IF(ORCAMENTOS!B1180="","",ORCAMENTOS!B1180)</f>
        <v>1170</v>
      </c>
      <c r="C1172" s="46" t="str">
        <f>IF(ORCAMENTOS!C1180="","",ORCAMENTOS!C1180)</f>
        <v/>
      </c>
      <c r="D1172" s="37" t="str">
        <f>IF(ORCAMENTOS!D1180="","",ORCAMENTOS!D1180)</f>
        <v>ECOTHERM</v>
      </c>
      <c r="E1172" s="38" t="str">
        <f>IF(ORCAMENTOS!E1180="","",ORCAMENTOS!E1180)</f>
        <v>HOSPITAL DE FRANCA</v>
      </c>
      <c r="F1172" s="37" t="str">
        <f>IF(ORCAMENTOS!G1180="","",ORCAMENTOS!G1180)</f>
        <v>Emanuel</v>
      </c>
      <c r="G1172" s="37" t="str">
        <f>IF(ORCAMENTOS!H1180="","",ORCAMENTOS!H1180)</f>
        <v>Selma</v>
      </c>
      <c r="H1172" s="39">
        <f>IF(ORCAMENTOS!I1180="","",ORCAMENTOS!I1180)</f>
        <v>26957.84</v>
      </c>
      <c r="I1172" s="60" t="str">
        <f>IF(ORCAMENTOS!J1180="","",ORCAMENTOS!J1180)</f>
        <v/>
      </c>
      <c r="J1172" s="40" t="str">
        <f>IF(ORCAMENTOS!L1180="","",ORCAMENTOS!L1180)</f>
        <v>FECHADO</v>
      </c>
      <c r="K1172" s="34" t="str">
        <f>IF(ORCAMENTOS!M1180="","",ORCAMENTOS!M1180)</f>
        <v/>
      </c>
      <c r="L1172" t="str">
        <f>IF(ORCAMENTOS!R1180="","",ORCAMENTOS!R1180)</f>
        <v/>
      </c>
    </row>
    <row r="1173" spans="1:12" ht="15.75" hidden="1" customHeight="1" x14ac:dyDescent="0.25">
      <c r="A1173" s="36">
        <f>IF(ORCAMENTOS!A1181="","",ORCAMENTOS!A1181)</f>
        <v>45846</v>
      </c>
      <c r="B1173" s="46">
        <f>IF(ORCAMENTOS!B1181="","",ORCAMENTOS!B1181)</f>
        <v>1171</v>
      </c>
      <c r="C1173" s="46" t="str">
        <f>IF(ORCAMENTOS!C1181="","",ORCAMENTOS!C1181)</f>
        <v/>
      </c>
      <c r="D1173" s="37" t="str">
        <f>IF(ORCAMENTOS!D1181="","",ORCAMENTOS!D1181)</f>
        <v>TARKAT REFRIGERACAO</v>
      </c>
      <c r="E1173" s="38" t="str">
        <f>IF(ORCAMENTOS!E1181="","",ORCAMENTOS!E1181)</f>
        <v/>
      </c>
      <c r="F1173" s="37" t="str">
        <f>IF(ORCAMENTOS!G1181="","",ORCAMENTOS!G1181)</f>
        <v>Michel</v>
      </c>
      <c r="G1173" s="37" t="str">
        <f>IF(ORCAMENTOS!H1181="","",ORCAMENTOS!H1181)</f>
        <v>Rebeca</v>
      </c>
      <c r="H1173" s="39">
        <f>IF(ORCAMENTOS!I1181="","",ORCAMENTOS!I1181)</f>
        <v>4683.62</v>
      </c>
      <c r="I1173" s="60" t="str">
        <f>IF(ORCAMENTOS!J1181="","",ORCAMENTOS!J1181)</f>
        <v/>
      </c>
      <c r="J1173" s="40" t="str">
        <f>IF(ORCAMENTOS!L1181="","",ORCAMENTOS!L1181)</f>
        <v>CANCELADO</v>
      </c>
      <c r="K1173" s="34" t="str">
        <f>IF(ORCAMENTOS!M1181="","",ORCAMENTOS!M1181)</f>
        <v/>
      </c>
      <c r="L1173" t="str">
        <f>IF(ORCAMENTOS!R1181="","",ORCAMENTOS!R1181)</f>
        <v/>
      </c>
    </row>
    <row r="1174" spans="1:12" ht="15.75" hidden="1" customHeight="1" x14ac:dyDescent="0.25">
      <c r="A1174" s="36">
        <f>IF(ORCAMENTOS!A1182="","",ORCAMENTOS!A1182)</f>
        <v>45846</v>
      </c>
      <c r="B1174" s="46">
        <f>IF(ORCAMENTOS!B1182="","",ORCAMENTOS!B1182)</f>
        <v>1172</v>
      </c>
      <c r="C1174" s="46" t="str">
        <f>IF(ORCAMENTOS!C1182="","",ORCAMENTOS!C1182)</f>
        <v/>
      </c>
      <c r="D1174" s="37" t="str">
        <f>IF(ORCAMENTOS!D1182="","",ORCAMENTOS!D1182)</f>
        <v>L MONTE</v>
      </c>
      <c r="E1174" s="38" t="str">
        <f>IF(ORCAMENTOS!E1182="","",ORCAMENTOS!E1182)</f>
        <v/>
      </c>
      <c r="F1174" s="37" t="str">
        <f>IF(ORCAMENTOS!G1182="","",ORCAMENTOS!G1182)</f>
        <v xml:space="preserve">Aldavir </v>
      </c>
      <c r="G1174" s="37" t="str">
        <f>IF(ORCAMENTOS!H1182="","",ORCAMENTOS!H1182)</f>
        <v>Gurgel</v>
      </c>
      <c r="H1174" s="39">
        <f>IF(ORCAMENTOS!I1182="","",ORCAMENTOS!I1182)</f>
        <v>6293.64</v>
      </c>
      <c r="I1174" s="60" t="str">
        <f>IF(ORCAMENTOS!J1182="","",ORCAMENTOS!J1182)</f>
        <v/>
      </c>
      <c r="J1174" s="40" t="str">
        <f>IF(ORCAMENTOS!L1182="","",ORCAMENTOS!L1182)</f>
        <v>CANCELADO</v>
      </c>
      <c r="K1174" s="34" t="str">
        <f>IF(ORCAMENTOS!M1182="","",ORCAMENTOS!M1182)</f>
        <v/>
      </c>
      <c r="L1174" t="str">
        <f>IF(ORCAMENTOS!R1182="","",ORCAMENTOS!R1182)</f>
        <v/>
      </c>
    </row>
    <row r="1175" spans="1:12" ht="15.75" hidden="1" customHeight="1" x14ac:dyDescent="0.25">
      <c r="A1175" s="36">
        <f>IF(ORCAMENTOS!A1183="","",ORCAMENTOS!A1183)</f>
        <v>45849</v>
      </c>
      <c r="B1175" s="46">
        <f>IF(ORCAMENTOS!B1183="","",ORCAMENTOS!B1183)</f>
        <v>1173</v>
      </c>
      <c r="C1175" s="46" t="str">
        <f>IF(ORCAMENTOS!C1183="","",ORCAMENTOS!C1183)</f>
        <v/>
      </c>
      <c r="D1175" s="37" t="str">
        <f>IF(ORCAMENTOS!D1183="","",ORCAMENTOS!D1183)</f>
        <v>RM3 ENGENHARIA</v>
      </c>
      <c r="E1175" s="38" t="str">
        <f>IF(ORCAMENTOS!E1183="","",ORCAMENTOS!E1183)</f>
        <v>RD - ITUPEVA</v>
      </c>
      <c r="F1175" s="37" t="str">
        <f>IF(ORCAMENTOS!G1183="","",ORCAMENTOS!G1183)</f>
        <v>Guilherme</v>
      </c>
      <c r="G1175" s="37" t="str">
        <f>IF(ORCAMENTOS!H1183="","",ORCAMENTOS!H1183)</f>
        <v>Diego</v>
      </c>
      <c r="H1175" s="39">
        <f>IF(ORCAMENTOS!I1183="","",ORCAMENTOS!I1183)</f>
        <v>552086.59</v>
      </c>
      <c r="I1175" s="60" t="str">
        <f>IF(ORCAMENTOS!J1183="","",ORCAMENTOS!J1183)</f>
        <v/>
      </c>
      <c r="J1175" s="40" t="str">
        <f>IF(ORCAMENTOS!L1183="","",ORCAMENTOS!L1183)</f>
        <v>CANCELADO</v>
      </c>
      <c r="K1175" s="34" t="str">
        <f>IF(ORCAMENTOS!M1183="","",ORCAMENTOS!M1183)</f>
        <v xml:space="preserve">FECHADO </v>
      </c>
      <c r="L1175" t="str">
        <f>IF(ORCAMENTOS!R1183="","",ORCAMENTOS!R1183)</f>
        <v/>
      </c>
    </row>
    <row r="1176" spans="1:12" ht="15.75" hidden="1" customHeight="1" x14ac:dyDescent="0.25">
      <c r="A1176" s="36">
        <f>IF(ORCAMENTOS!A1184="","",ORCAMENTOS!A1184)</f>
        <v>45848</v>
      </c>
      <c r="B1176" s="46">
        <f>IF(ORCAMENTOS!B1184="","",ORCAMENTOS!B1184)</f>
        <v>1174</v>
      </c>
      <c r="C1176" s="46" t="str">
        <f>IF(ORCAMENTOS!C1184="","",ORCAMENTOS!C1184)</f>
        <v/>
      </c>
      <c r="D1176" s="37" t="str">
        <f>IF(ORCAMENTOS!D1184="","",ORCAMENTOS!D1184)</f>
        <v>LS AR CONDICIONADO</v>
      </c>
      <c r="E1176" s="38" t="str">
        <f>IF(ORCAMENTOS!E1184="","",ORCAMENTOS!E1184)</f>
        <v>CENTAURO CARUARU</v>
      </c>
      <c r="F1176" s="37" t="str">
        <f>IF(ORCAMENTOS!G1184="","",ORCAMENTOS!G1184)</f>
        <v>Fernando</v>
      </c>
      <c r="G1176" s="37" t="str">
        <f>IF(ORCAMENTOS!H1184="","",ORCAMENTOS!H1184)</f>
        <v>André</v>
      </c>
      <c r="H1176" s="39">
        <f>IF(ORCAMENTOS!I1184="","",ORCAMENTOS!I1184)</f>
        <v>52163.56</v>
      </c>
      <c r="I1176" s="60" t="str">
        <f>IF(ORCAMENTOS!J1184="","",ORCAMENTOS!J1184)</f>
        <v/>
      </c>
      <c r="J1176" s="40" t="str">
        <f>IF(ORCAMENTOS!L1184="","",ORCAMENTOS!L1184)</f>
        <v>FECHADO</v>
      </c>
      <c r="K1176" s="34" t="str">
        <f>IF(ORCAMENTOS!M1184="","",ORCAMENTOS!M1184)</f>
        <v>AGUARDANDO PEDIDO</v>
      </c>
      <c r="L1176" t="str">
        <f>IF(ORCAMENTOS!R1184="","",ORCAMENTOS!R1184)</f>
        <v/>
      </c>
    </row>
    <row r="1177" spans="1:12" ht="15.75" hidden="1" customHeight="1" x14ac:dyDescent="0.25">
      <c r="A1177" s="36">
        <f>IF(ORCAMENTOS!A1185="","",ORCAMENTOS!A1185)</f>
        <v>45847</v>
      </c>
      <c r="B1177" s="46">
        <f>IF(ORCAMENTOS!B1185="","",ORCAMENTOS!B1185)</f>
        <v>1175</v>
      </c>
      <c r="C1177" s="46" t="str">
        <f>IF(ORCAMENTOS!C1185="","",ORCAMENTOS!C1185)</f>
        <v/>
      </c>
      <c r="D1177" s="37" t="str">
        <f>IF(ORCAMENTOS!D1185="","",ORCAMENTOS!D1185)</f>
        <v>AIRPLAN</v>
      </c>
      <c r="E1177" s="38" t="str">
        <f>IF(ORCAMENTOS!E1185="","",ORCAMENTOS!E1185)</f>
        <v>CENTAURO CASCAVEL</v>
      </c>
      <c r="F1177" s="37" t="str">
        <f>IF(ORCAMENTOS!G1185="","",ORCAMENTOS!G1185)</f>
        <v>Guilherme</v>
      </c>
      <c r="G1177" s="37" t="str">
        <f>IF(ORCAMENTOS!H1185="","",ORCAMENTOS!H1185)</f>
        <v>Junior</v>
      </c>
      <c r="H1177" s="39">
        <f>IF(ORCAMENTOS!I1185="","",ORCAMENTOS!I1185)</f>
        <v>40443.919999999998</v>
      </c>
      <c r="I1177" s="60" t="str">
        <f>IF(ORCAMENTOS!J1185="","",ORCAMENTOS!J1185)</f>
        <v/>
      </c>
      <c r="J1177" s="40" t="str">
        <f>IF(ORCAMENTOS!L1185="","",ORCAMENTOS!L1185)</f>
        <v>CANCELADO</v>
      </c>
      <c r="K1177" s="34" t="str">
        <f>IF(ORCAMENTOS!M1185="","",ORCAMENTOS!M1185)</f>
        <v/>
      </c>
      <c r="L1177" t="str">
        <f>IF(ORCAMENTOS!R1185="","",ORCAMENTOS!R1185)</f>
        <v/>
      </c>
    </row>
    <row r="1178" spans="1:12" ht="15.75" hidden="1" customHeight="1" x14ac:dyDescent="0.25">
      <c r="A1178" s="36">
        <f>IF(ORCAMENTOS!A1186="","",ORCAMENTOS!A1186)</f>
        <v>45847</v>
      </c>
      <c r="B1178" s="46">
        <f>IF(ORCAMENTOS!B1186="","",ORCAMENTOS!B1186)</f>
        <v>1176</v>
      </c>
      <c r="C1178" s="46" t="str">
        <f>IF(ORCAMENTOS!C1186="","",ORCAMENTOS!C1186)</f>
        <v/>
      </c>
      <c r="D1178" s="37" t="str">
        <f>IF(ORCAMENTOS!D1186="","",ORCAMENTOS!D1186)</f>
        <v>NOSSO AR</v>
      </c>
      <c r="E1178" s="38" t="str">
        <f>IF(ORCAMENTOS!E1186="","",ORCAMENTOS!E1186)</f>
        <v>RD - EXPANSÃO CD - RIBEIRÃO PRETO-SP</v>
      </c>
      <c r="F1178" s="37" t="str">
        <f>IF(ORCAMENTOS!G1186="","",ORCAMENTOS!G1186)</f>
        <v>Gabriel</v>
      </c>
      <c r="G1178" s="37" t="str">
        <f>IF(ORCAMENTOS!H1186="","",ORCAMENTOS!H1186)</f>
        <v>Larissa</v>
      </c>
      <c r="H1178" s="39">
        <f>IF(ORCAMENTOS!I1186="","",ORCAMENTOS!I1186)</f>
        <v>144255.79999999999</v>
      </c>
      <c r="I1178" s="60" t="str">
        <f>IF(ORCAMENTOS!J1186="","",ORCAMENTOS!J1186)</f>
        <v/>
      </c>
      <c r="J1178" s="40" t="str">
        <f>IF(ORCAMENTOS!L1186="","",ORCAMENTOS!L1186)</f>
        <v>CANCELADO</v>
      </c>
      <c r="K1178" s="34" t="str">
        <f>IF(ORCAMENTOS!M1186="","",ORCAMENTOS!M1186)</f>
        <v/>
      </c>
      <c r="L1178" t="str">
        <f>IF(ORCAMENTOS!R1186="","",ORCAMENTOS!R1186)</f>
        <v/>
      </c>
    </row>
    <row r="1179" spans="1:12" ht="15.75" hidden="1" customHeight="1" x14ac:dyDescent="0.25">
      <c r="A1179" s="36">
        <f>IF(ORCAMENTOS!A1187="","",ORCAMENTOS!A1187)</f>
        <v>45853</v>
      </c>
      <c r="B1179" s="46">
        <f>IF(ORCAMENTOS!B1187="","",ORCAMENTOS!B1187)</f>
        <v>1177</v>
      </c>
      <c r="C1179" s="46" t="str">
        <f>IF(ORCAMENTOS!C1187="","",ORCAMENTOS!C1187)</f>
        <v/>
      </c>
      <c r="D1179" s="37" t="str">
        <f>IF(ORCAMENTOS!D1187="","",ORCAMENTOS!D1187)</f>
        <v>CIVIL AR</v>
      </c>
      <c r="E1179" s="38" t="str">
        <f>IF(ORCAMENTOS!E1187="","",ORCAMENTOS!E1187)</f>
        <v>FOUR C - BAURU-SP</v>
      </c>
      <c r="F1179" s="37" t="str">
        <f>IF(ORCAMENTOS!G1187="","",ORCAMENTOS!G1187)</f>
        <v>Fernando</v>
      </c>
      <c r="G1179" s="37" t="str">
        <f>IF(ORCAMENTOS!H1187="","",ORCAMENTOS!H1187)</f>
        <v>Carmen</v>
      </c>
      <c r="H1179" s="39">
        <f>IF(ORCAMENTOS!I1187="","",ORCAMENTOS!I1187)</f>
        <v>49109.84</v>
      </c>
      <c r="I1179" s="60" t="str">
        <f>IF(ORCAMENTOS!J1187="","",ORCAMENTOS!J1187)</f>
        <v/>
      </c>
      <c r="J1179" s="40" t="str">
        <f>IF(ORCAMENTOS!L1187="","",ORCAMENTOS!L1187)</f>
        <v>CANCELADO</v>
      </c>
      <c r="K1179" s="34" t="str">
        <f>IF(ORCAMENTOS!M1187="","",ORCAMENTOS!M1187)</f>
        <v>EM NEGOCIAÇÃO BOAS CHANCES</v>
      </c>
      <c r="L1179" t="str">
        <f>IF(ORCAMENTOS!R1187="","",ORCAMENTOS!R1187)</f>
        <v/>
      </c>
    </row>
    <row r="1180" spans="1:12" ht="15.75" hidden="1" customHeight="1" x14ac:dyDescent="0.25">
      <c r="A1180" s="36">
        <f>IF(ORCAMENTOS!A1188="","",ORCAMENTOS!A1188)</f>
        <v>45848</v>
      </c>
      <c r="B1180" s="46">
        <f>IF(ORCAMENTOS!B1188="","",ORCAMENTOS!B1188)</f>
        <v>1179</v>
      </c>
      <c r="C1180" s="46" t="str">
        <f>IF(ORCAMENTOS!C1188="","",ORCAMENTOS!C1188)</f>
        <v/>
      </c>
      <c r="D1180" s="37" t="str">
        <f>IF(ORCAMENTOS!D1188="","",ORCAMENTOS!D1188)</f>
        <v>ECOTHERM</v>
      </c>
      <c r="E1180" s="38" t="str">
        <f>IF(ORCAMENTOS!E1188="","",ORCAMENTOS!E1188)</f>
        <v>USP RIBEIRÃO PRETO</v>
      </c>
      <c r="F1180" s="37" t="str">
        <f>IF(ORCAMENTOS!G1188="","",ORCAMENTOS!G1188)</f>
        <v>Emanuel</v>
      </c>
      <c r="G1180" s="37" t="str">
        <f>IF(ORCAMENTOS!H1188="","",ORCAMENTOS!H1188)</f>
        <v>Selma</v>
      </c>
      <c r="H1180" s="39">
        <f>IF(ORCAMENTOS!I1188="","",ORCAMENTOS!I1188)</f>
        <v>73513.34</v>
      </c>
      <c r="I1180" s="60" t="str">
        <f>IF(ORCAMENTOS!J1188="","",ORCAMENTOS!J1188)</f>
        <v/>
      </c>
      <c r="J1180" s="40" t="str">
        <f>IF(ORCAMENTOS!L1188="","",ORCAMENTOS!L1188)</f>
        <v>PERDIDO</v>
      </c>
      <c r="K1180" s="34" t="str">
        <f>IF(ORCAMENTOS!M1188="","",ORCAMENTOS!M1188)</f>
        <v>MULTIVAC - PREÇO</v>
      </c>
      <c r="L1180" t="str">
        <f>IF(ORCAMENTOS!R1188="","",ORCAMENTOS!R1188)</f>
        <v/>
      </c>
    </row>
    <row r="1181" spans="1:12" ht="15.75" hidden="1" customHeight="1" x14ac:dyDescent="0.25">
      <c r="A1181" s="36">
        <f>IF(ORCAMENTOS!A1189="","",ORCAMENTOS!A1189)</f>
        <v>45848</v>
      </c>
      <c r="B1181" s="46">
        <f>IF(ORCAMENTOS!B1189="","",ORCAMENTOS!B1189)</f>
        <v>1180</v>
      </c>
      <c r="C1181" s="46" t="str">
        <f>IF(ORCAMENTOS!C1189="","",ORCAMENTOS!C1189)</f>
        <v/>
      </c>
      <c r="D1181" s="37" t="str">
        <f>IF(ORCAMENTOS!D1189="","",ORCAMENTOS!D1189)</f>
        <v>BMS ENGENHARIA</v>
      </c>
      <c r="E1181" s="38" t="str">
        <f>IF(ORCAMENTOS!E1189="","",ORCAMENTOS!E1189)</f>
        <v>TENDA - ITU/SP</v>
      </c>
      <c r="F1181" s="37" t="str">
        <f>IF(ORCAMENTOS!G1189="","",ORCAMENTOS!G1189)</f>
        <v>Guilherme</v>
      </c>
      <c r="G1181" s="37" t="str">
        <f>IF(ORCAMENTOS!H1189="","",ORCAMENTOS!H1189)</f>
        <v>Aleison</v>
      </c>
      <c r="H1181" s="39">
        <f>IF(ORCAMENTOS!I1189="","",ORCAMENTOS!I1189)</f>
        <v>204943.27</v>
      </c>
      <c r="I1181" s="60" t="str">
        <f>IF(ORCAMENTOS!J1189="","",ORCAMENTOS!J1189)</f>
        <v/>
      </c>
      <c r="J1181" s="40" t="str">
        <f>IF(ORCAMENTOS!L1189="","",ORCAMENTOS!L1189)</f>
        <v>CANCELADO</v>
      </c>
      <c r="K1181" s="34" t="str">
        <f>IF(ORCAMENTOS!M1189="","",ORCAMENTOS!M1189)</f>
        <v>OBRA DA AWA</v>
      </c>
      <c r="L1181" t="str">
        <f>IF(ORCAMENTOS!R1189="","",ORCAMENTOS!R1189)</f>
        <v/>
      </c>
    </row>
    <row r="1182" spans="1:12" ht="15.75" hidden="1" customHeight="1" x14ac:dyDescent="0.25">
      <c r="A1182" s="36">
        <f>IF(ORCAMENTOS!A1190="","",ORCAMENTOS!A1190)</f>
        <v>45848</v>
      </c>
      <c r="B1182" s="46">
        <f>IF(ORCAMENTOS!B1190="","",ORCAMENTOS!B1190)</f>
        <v>1181</v>
      </c>
      <c r="C1182" s="46" t="str">
        <f>IF(ORCAMENTOS!C1190="","",ORCAMENTOS!C1190)</f>
        <v/>
      </c>
      <c r="D1182" s="37" t="str">
        <f>IF(ORCAMENTOS!D1190="","",ORCAMENTOS!D1190)</f>
        <v>F F SCHULTZ</v>
      </c>
      <c r="E1182" s="38" t="str">
        <f>IF(ORCAMENTOS!E1190="","",ORCAMENTOS!E1190)</f>
        <v/>
      </c>
      <c r="F1182" s="37" t="str">
        <f>IF(ORCAMENTOS!G1190="","",ORCAMENTOS!G1190)</f>
        <v>Gabriel</v>
      </c>
      <c r="G1182" s="37" t="str">
        <f>IF(ORCAMENTOS!H1190="","",ORCAMENTOS!H1190)</f>
        <v>Cesar</v>
      </c>
      <c r="H1182" s="39">
        <f>IF(ORCAMENTOS!I1190="","",ORCAMENTOS!I1190)</f>
        <v>2977.11</v>
      </c>
      <c r="I1182" s="60" t="str">
        <f>IF(ORCAMENTOS!J1190="","",ORCAMENTOS!J1190)</f>
        <v/>
      </c>
      <c r="J1182" s="40" t="str">
        <f>IF(ORCAMENTOS!L1190="","",ORCAMENTOS!L1190)</f>
        <v>CANCELADO</v>
      </c>
      <c r="K1182" s="34" t="str">
        <f>IF(ORCAMENTOS!M1190="","",ORCAMENTOS!M1190)</f>
        <v/>
      </c>
      <c r="L1182" t="str">
        <f>IF(ORCAMENTOS!R1190="","",ORCAMENTOS!R1190)</f>
        <v/>
      </c>
    </row>
    <row r="1183" spans="1:12" ht="15.75" hidden="1" customHeight="1" x14ac:dyDescent="0.25">
      <c r="A1183" s="36">
        <f>IF(ORCAMENTOS!A1191="","",ORCAMENTOS!A1191)</f>
        <v>45848</v>
      </c>
      <c r="B1183" s="46">
        <f>IF(ORCAMENTOS!B1191="","",ORCAMENTOS!B1191)</f>
        <v>1182</v>
      </c>
      <c r="C1183" s="46" t="str">
        <f>IF(ORCAMENTOS!C1191="","",ORCAMENTOS!C1191)</f>
        <v/>
      </c>
      <c r="D1183" s="37" t="str">
        <f>IF(ORCAMENTOS!D1191="","",ORCAMENTOS!D1191)</f>
        <v>IEDA DOS SANTOS ICO</v>
      </c>
      <c r="E1183" s="38" t="str">
        <f>IF(ORCAMENTOS!E1191="","",ORCAMENTOS!E1191)</f>
        <v/>
      </c>
      <c r="F1183" s="37" t="str">
        <f>IF(ORCAMENTOS!G1191="","",ORCAMENTOS!G1191)</f>
        <v>Gabriel</v>
      </c>
      <c r="G1183" s="37" t="str">
        <f>IF(ORCAMENTOS!H1191="","",ORCAMENTOS!H1191)</f>
        <v>Ieda</v>
      </c>
      <c r="H1183" s="39">
        <f>IF(ORCAMENTOS!I1191="","",ORCAMENTOS!I1191)</f>
        <v>68145</v>
      </c>
      <c r="I1183" s="60" t="str">
        <f>IF(ORCAMENTOS!J1191="","",ORCAMENTOS!J1191)</f>
        <v/>
      </c>
      <c r="J1183" s="40" t="str">
        <f>IF(ORCAMENTOS!L1191="","",ORCAMENTOS!L1191)</f>
        <v>CANCELADO</v>
      </c>
      <c r="K1183" s="34" t="str">
        <f>IF(ORCAMENTOS!M1191="","",ORCAMENTOS!M1191)</f>
        <v/>
      </c>
      <c r="L1183" t="str">
        <f>IF(ORCAMENTOS!R1191="","",ORCAMENTOS!R1191)</f>
        <v/>
      </c>
    </row>
    <row r="1184" spans="1:12" ht="15.75" hidden="1" customHeight="1" x14ac:dyDescent="0.25">
      <c r="A1184" s="36">
        <f>IF(ORCAMENTOS!A1192="","",ORCAMENTOS!A1192)</f>
        <v>45848</v>
      </c>
      <c r="B1184" s="46">
        <f>IF(ORCAMENTOS!B1192="","",ORCAMENTOS!B1192)</f>
        <v>1183</v>
      </c>
      <c r="C1184" s="46" t="str">
        <f>IF(ORCAMENTOS!C1192="","",ORCAMENTOS!C1192)</f>
        <v/>
      </c>
      <c r="D1184" s="37" t="str">
        <f>IF(ORCAMENTOS!D1192="","",ORCAMENTOS!D1192)</f>
        <v>GELOMAC</v>
      </c>
      <c r="E1184" s="38" t="str">
        <f>IF(ORCAMENTOS!E1192="","",ORCAMENTOS!E1192)</f>
        <v>SUPERMERCADO FRADE</v>
      </c>
      <c r="F1184" s="37" t="str">
        <f>IF(ORCAMENTOS!G1192="","",ORCAMENTOS!G1192)</f>
        <v>Gabriel</v>
      </c>
      <c r="G1184" s="37" t="str">
        <f>IF(ORCAMENTOS!H1192="","",ORCAMENTOS!H1192)</f>
        <v>Fabio</v>
      </c>
      <c r="H1184" s="39">
        <f>IF(ORCAMENTOS!I1192="","",ORCAMENTOS!I1192)</f>
        <v>24489.06</v>
      </c>
      <c r="I1184" s="60" t="str">
        <f>IF(ORCAMENTOS!J1192="","",ORCAMENTOS!J1192)</f>
        <v/>
      </c>
      <c r="J1184" s="40" t="str">
        <f>IF(ORCAMENTOS!L1192="","",ORCAMENTOS!L1192)</f>
        <v>FECHADO</v>
      </c>
      <c r="K1184" s="34" t="str">
        <f>IF(ORCAMENTOS!M1192="","",ORCAMENTOS!M1192)</f>
        <v/>
      </c>
      <c r="L1184" t="str">
        <f>IF(ORCAMENTOS!R1192="","",ORCAMENTOS!R1192)</f>
        <v/>
      </c>
    </row>
    <row r="1185" spans="1:12" ht="15.75" hidden="1" customHeight="1" x14ac:dyDescent="0.25">
      <c r="A1185" s="36">
        <f>IF(ORCAMENTOS!A1193="","",ORCAMENTOS!A1193)</f>
        <v>45848</v>
      </c>
      <c r="B1185" s="46">
        <f>IF(ORCAMENTOS!B1193="","",ORCAMENTOS!B1193)</f>
        <v>1184</v>
      </c>
      <c r="C1185" s="46" t="str">
        <f>IF(ORCAMENTOS!C1193="","",ORCAMENTOS!C1193)</f>
        <v/>
      </c>
      <c r="D1185" s="37" t="str">
        <f>IF(ORCAMENTOS!D1193="","",ORCAMENTOS!D1193)</f>
        <v>THERMOMATIC</v>
      </c>
      <c r="E1185" s="38" t="str">
        <f>IF(ORCAMENTOS!E1193="","",ORCAMENTOS!E1193)</f>
        <v/>
      </c>
      <c r="F1185" s="37" t="str">
        <f>IF(ORCAMENTOS!G1193="","",ORCAMENTOS!G1193)</f>
        <v>Gabriel</v>
      </c>
      <c r="G1185" s="37" t="str">
        <f>IF(ORCAMENTOS!H1193="","",ORCAMENTOS!H1193)</f>
        <v>Vinicius</v>
      </c>
      <c r="H1185" s="39">
        <f>IF(ORCAMENTOS!I1193="","",ORCAMENTOS!I1193)</f>
        <v>188.4</v>
      </c>
      <c r="I1185" s="60" t="str">
        <f>IF(ORCAMENTOS!J1193="","",ORCAMENTOS!J1193)</f>
        <v/>
      </c>
      <c r="J1185" s="40" t="str">
        <f>IF(ORCAMENTOS!L1193="","",ORCAMENTOS!L1193)</f>
        <v>FECHADO</v>
      </c>
      <c r="K1185" s="34" t="str">
        <f>IF(ORCAMENTOS!M1193="","",ORCAMENTOS!M1193)</f>
        <v/>
      </c>
      <c r="L1185" t="str">
        <f>IF(ORCAMENTOS!R1193="","",ORCAMENTOS!R1193)</f>
        <v/>
      </c>
    </row>
    <row r="1186" spans="1:12" ht="15.75" hidden="1" customHeight="1" x14ac:dyDescent="0.25">
      <c r="A1186" s="36">
        <f>IF(ORCAMENTOS!A1194="","",ORCAMENTOS!A1194)</f>
        <v>45848</v>
      </c>
      <c r="B1186" s="46">
        <f>IF(ORCAMENTOS!B1194="","",ORCAMENTOS!B1194)</f>
        <v>1185</v>
      </c>
      <c r="C1186" s="46" t="str">
        <f>IF(ORCAMENTOS!C1194="","",ORCAMENTOS!C1194)</f>
        <v/>
      </c>
      <c r="D1186" s="37" t="str">
        <f>IF(ORCAMENTOS!D1194="","",ORCAMENTOS!D1194)</f>
        <v>COLD CONTROL</v>
      </c>
      <c r="E1186" s="38" t="str">
        <f>IF(ORCAMENTOS!E1194="","",ORCAMENTOS!E1194)</f>
        <v/>
      </c>
      <c r="F1186" s="37" t="str">
        <f>IF(ORCAMENTOS!G1194="","",ORCAMENTOS!G1194)</f>
        <v>Emanuel</v>
      </c>
      <c r="G1186" s="37" t="str">
        <f>IF(ORCAMENTOS!H1194="","",ORCAMENTOS!H1194)</f>
        <v>Armando</v>
      </c>
      <c r="H1186" s="39">
        <f>IF(ORCAMENTOS!I1194="","",ORCAMENTOS!I1194)</f>
        <v>11042.26</v>
      </c>
      <c r="I1186" s="60" t="str">
        <f>IF(ORCAMENTOS!J1194="","",ORCAMENTOS!J1194)</f>
        <v/>
      </c>
      <c r="J1186" s="40" t="str">
        <f>IF(ORCAMENTOS!L1194="","",ORCAMENTOS!L1194)</f>
        <v>FECHADO</v>
      </c>
      <c r="K1186" s="34" t="str">
        <f>IF(ORCAMENTOS!M1194="","",ORCAMENTOS!M1194)</f>
        <v/>
      </c>
      <c r="L1186" t="str">
        <f>IF(ORCAMENTOS!R1194="","",ORCAMENTOS!R1194)</f>
        <v/>
      </c>
    </row>
    <row r="1187" spans="1:12" ht="15.75" hidden="1" customHeight="1" x14ac:dyDescent="0.25">
      <c r="A1187" s="36">
        <f>IF(ORCAMENTOS!A1195="","",ORCAMENTOS!A1195)</f>
        <v>45848</v>
      </c>
      <c r="B1187" s="46">
        <f>IF(ORCAMENTOS!B1195="","",ORCAMENTOS!B1195)</f>
        <v>1186</v>
      </c>
      <c r="C1187" s="46" t="str">
        <f>IF(ORCAMENTOS!C1195="","",ORCAMENTOS!C1195)</f>
        <v/>
      </c>
      <c r="D1187" s="37" t="str">
        <f>IF(ORCAMENTOS!D1195="","",ORCAMENTOS!D1195)</f>
        <v>ARCON AIR</v>
      </c>
      <c r="E1187" s="38" t="str">
        <f>IF(ORCAMENTOS!E1195="","",ORCAMENTOS!E1195)</f>
        <v>HP VIDA - BRIGADEIRO LUIZ ANTONIO</v>
      </c>
      <c r="F1187" s="37" t="str">
        <f>IF(ORCAMENTOS!G1195="","",ORCAMENTOS!G1195)</f>
        <v>Michel</v>
      </c>
      <c r="G1187" s="37" t="str">
        <f>IF(ORCAMENTOS!H1195="","",ORCAMENTOS!H1195)</f>
        <v>Camila</v>
      </c>
      <c r="H1187" s="39">
        <f>IF(ORCAMENTOS!I1195="","",ORCAMENTOS!I1195)</f>
        <v>8889.23</v>
      </c>
      <c r="I1187" s="60" t="str">
        <f>IF(ORCAMENTOS!J1195="","",ORCAMENTOS!J1195)</f>
        <v/>
      </c>
      <c r="J1187" s="40" t="str">
        <f>IF(ORCAMENTOS!L1195="","",ORCAMENTOS!L1195)</f>
        <v>FECHADO</v>
      </c>
      <c r="K1187" s="34" t="str">
        <f>IF(ORCAMENTOS!M1195="","",ORCAMENTOS!M1195)</f>
        <v/>
      </c>
      <c r="L1187" t="str">
        <f>IF(ORCAMENTOS!R1195="","",ORCAMENTOS!R1195)</f>
        <v/>
      </c>
    </row>
    <row r="1188" spans="1:12" ht="15.75" hidden="1" customHeight="1" x14ac:dyDescent="0.25">
      <c r="A1188" s="36">
        <f>IF(ORCAMENTOS!A1196="","",ORCAMENTOS!A1196)</f>
        <v>45849</v>
      </c>
      <c r="B1188" s="46">
        <f>IF(ORCAMENTOS!B1196="","",ORCAMENTOS!B1196)</f>
        <v>1187</v>
      </c>
      <c r="C1188" s="46" t="str">
        <f>IF(ORCAMENTOS!C1196="","",ORCAMENTOS!C1196)</f>
        <v/>
      </c>
      <c r="D1188" s="37" t="str">
        <f>IF(ORCAMENTOS!D1196="","",ORCAMENTOS!D1196)</f>
        <v>RM3 ENGENHARIA</v>
      </c>
      <c r="E1188" s="38" t="str">
        <f>IF(ORCAMENTOS!E1196="","",ORCAMENTOS!E1196)</f>
        <v>Aeroporto Internacional de Florianópolis - SC</v>
      </c>
      <c r="F1188" s="37" t="str">
        <f>IF(ORCAMENTOS!G1196="","",ORCAMENTOS!G1196)</f>
        <v>Guilherme</v>
      </c>
      <c r="G1188" s="37" t="str">
        <f>IF(ORCAMENTOS!H1196="","",ORCAMENTOS!H1196)</f>
        <v>Lenah</v>
      </c>
      <c r="H1188" s="39">
        <f>IF(ORCAMENTOS!I1196="","",ORCAMENTOS!I1196)</f>
        <v>60218.62</v>
      </c>
      <c r="I1188" s="60" t="str">
        <f>IF(ORCAMENTOS!J1196="","",ORCAMENTOS!J1196)</f>
        <v/>
      </c>
      <c r="J1188" s="40" t="str">
        <f>IF(ORCAMENTOS!L1196="","",ORCAMENTOS!L1196)</f>
        <v>CANCELADO</v>
      </c>
      <c r="K1188" s="34" t="str">
        <f>IF(ORCAMENTOS!M1196="","",ORCAMENTOS!M1196)</f>
        <v/>
      </c>
      <c r="L1188" t="str">
        <f>IF(ORCAMENTOS!R1196="","",ORCAMENTOS!R1196)</f>
        <v/>
      </c>
    </row>
    <row r="1189" spans="1:12" ht="15.75" hidden="1" customHeight="1" x14ac:dyDescent="0.25">
      <c r="A1189" s="36">
        <f>IF(ORCAMENTOS!A1197="","",ORCAMENTOS!A1197)</f>
        <v>45852</v>
      </c>
      <c r="B1189" s="46">
        <f>IF(ORCAMENTOS!B1197="","",ORCAMENTOS!B1197)</f>
        <v>1188</v>
      </c>
      <c r="C1189" s="46" t="str">
        <f>IF(ORCAMENTOS!C1197="","",ORCAMENTOS!C1197)</f>
        <v>R1</v>
      </c>
      <c r="D1189" s="37" t="str">
        <f>IF(ORCAMENTOS!D1197="","",ORCAMENTOS!D1197)</f>
        <v>NEWSET</v>
      </c>
      <c r="E1189" s="38" t="str">
        <f>IF(ORCAMENTOS!E1197="","",ORCAMENTOS!E1197)</f>
        <v>HOSPITAL AVICCENA - REDE DO'R TATUAPÉ</v>
      </c>
      <c r="F1189" s="37" t="str">
        <f>IF(ORCAMENTOS!G1197="","",ORCAMENTOS!G1197)</f>
        <v xml:space="preserve">Aldavir </v>
      </c>
      <c r="G1189" s="37" t="str">
        <f>IF(ORCAMENTOS!H1197="","",ORCAMENTOS!H1197)</f>
        <v>Atila</v>
      </c>
      <c r="H1189" s="39">
        <f>IF(ORCAMENTOS!I1197="","",ORCAMENTOS!I1197)</f>
        <v>378907.83</v>
      </c>
      <c r="I1189" s="60">
        <f>IF(ORCAMENTOS!J1197="","",ORCAMENTOS!J1197)</f>
        <v>7.0000000000000007E-2</v>
      </c>
      <c r="J1189" s="40" t="str">
        <f>IF(ORCAMENTOS!L1197="","",ORCAMENTOS!L1197)</f>
        <v>CANCELADO</v>
      </c>
      <c r="K1189" s="34" t="str">
        <f>IF(ORCAMENTOS!M1197="","",ORCAMENTOS!M1197)</f>
        <v/>
      </c>
      <c r="L1189" t="str">
        <f>IF(ORCAMENTOS!R1197="","",ORCAMENTOS!R1197)</f>
        <v/>
      </c>
    </row>
    <row r="1190" spans="1:12" ht="15.75" hidden="1" customHeight="1" x14ac:dyDescent="0.25">
      <c r="A1190" s="36">
        <f>IF(ORCAMENTOS!A1198="","",ORCAMENTOS!A1198)</f>
        <v>45852</v>
      </c>
      <c r="B1190" s="46">
        <f>IF(ORCAMENTOS!B1198="","",ORCAMENTOS!B1198)</f>
        <v>1189</v>
      </c>
      <c r="C1190" s="46" t="str">
        <f>IF(ORCAMENTOS!C1198="","",ORCAMENTOS!C1198)</f>
        <v/>
      </c>
      <c r="D1190" s="37" t="str">
        <f>IF(ORCAMENTOS!D1198="","",ORCAMENTOS!D1198)</f>
        <v>ARGUS CLIMATIZACAO</v>
      </c>
      <c r="E1190" s="38" t="str">
        <f>IF(ORCAMENTOS!E1198="","",ORCAMENTOS!E1198)</f>
        <v>Alberto Praia Baleia</v>
      </c>
      <c r="F1190" s="37" t="str">
        <f>IF(ORCAMENTOS!G1198="","",ORCAMENTOS!G1198)</f>
        <v>Emanuel</v>
      </c>
      <c r="G1190" s="37" t="str">
        <f>IF(ORCAMENTOS!H1198="","",ORCAMENTOS!H1198)</f>
        <v>Umberto</v>
      </c>
      <c r="H1190" s="39">
        <f>IF(ORCAMENTOS!I1198="","",ORCAMENTOS!I1198)</f>
        <v>14654.99</v>
      </c>
      <c r="I1190" s="60" t="str">
        <f>IF(ORCAMENTOS!J1198="","",ORCAMENTOS!J1198)</f>
        <v/>
      </c>
      <c r="J1190" s="40" t="str">
        <f>IF(ORCAMENTOS!L1198="","",ORCAMENTOS!L1198)</f>
        <v>CANCELADO</v>
      </c>
      <c r="K1190" s="34" t="str">
        <f>IF(ORCAMENTOS!M1198="","",ORCAMENTOS!M1198)</f>
        <v/>
      </c>
      <c r="L1190" t="str">
        <f>IF(ORCAMENTOS!R1198="","",ORCAMENTOS!R1198)</f>
        <v/>
      </c>
    </row>
    <row r="1191" spans="1:12" ht="15.75" hidden="1" customHeight="1" x14ac:dyDescent="0.25">
      <c r="A1191" s="36">
        <f>IF(ORCAMENTOS!A1199="","",ORCAMENTOS!A1199)</f>
        <v>45897</v>
      </c>
      <c r="B1191" s="46">
        <f>IF(ORCAMENTOS!B1199="","",ORCAMENTOS!B1199)</f>
        <v>1190</v>
      </c>
      <c r="C1191" s="46" t="str">
        <f>IF(ORCAMENTOS!C1199="","",ORCAMENTOS!C1199)</f>
        <v/>
      </c>
      <c r="D1191" s="37" t="str">
        <f>IF(ORCAMENTOS!D1199="","",ORCAMENTOS!D1199)</f>
        <v>FRIOCLIMAT</v>
      </c>
      <c r="E1191" s="38" t="str">
        <f>IF(ORCAMENTOS!E1199="","",ORCAMENTOS!E1199)</f>
        <v>BRUNO ZANINI - FAZENDA BOA VISTA</v>
      </c>
      <c r="F1191" s="37" t="str">
        <f>IF(ORCAMENTOS!G1199="","",ORCAMENTOS!G1199)</f>
        <v>Emanuel</v>
      </c>
      <c r="G1191" s="37" t="str">
        <f>IF(ORCAMENTOS!H1199="","",ORCAMENTOS!H1199)</f>
        <v>Marcelo</v>
      </c>
      <c r="H1191" s="39">
        <f>IF(ORCAMENTOS!I1199="","",ORCAMENTOS!I1199)</f>
        <v>8596.77</v>
      </c>
      <c r="I1191" s="60" t="str">
        <f>IF(ORCAMENTOS!J1199="","",ORCAMENTOS!J1199)</f>
        <v/>
      </c>
      <c r="J1191" s="40" t="str">
        <f>IF(ORCAMENTOS!L1199="","",ORCAMENTOS!L1199)</f>
        <v>PERDIDO</v>
      </c>
      <c r="K1191" s="34" t="str">
        <f>IF(ORCAMENTOS!M1199="","",ORCAMENTOS!M1199)</f>
        <v>FEITO EM CHAPA</v>
      </c>
      <c r="L1191" t="str">
        <f>IF(ORCAMENTOS!R1199="","",ORCAMENTOS!R1199)</f>
        <v/>
      </c>
    </row>
    <row r="1192" spans="1:12" ht="15.75" hidden="1" customHeight="1" x14ac:dyDescent="0.25">
      <c r="A1192" s="36">
        <f>IF(ORCAMENTOS!A1200="","",ORCAMENTOS!A1200)</f>
        <v>45852</v>
      </c>
      <c r="B1192" s="46">
        <f>IF(ORCAMENTOS!B1200="","",ORCAMENTOS!B1200)</f>
        <v>1191</v>
      </c>
      <c r="C1192" s="46" t="str">
        <f>IF(ORCAMENTOS!C1200="","",ORCAMENTOS!C1200)</f>
        <v/>
      </c>
      <c r="D1192" s="37" t="str">
        <f>IF(ORCAMENTOS!D1200="","",ORCAMENTOS!D1200)</f>
        <v>FL HVAC</v>
      </c>
      <c r="E1192" s="38" t="str">
        <f>IF(ORCAMENTOS!E1200="","",ORCAMENTOS!E1200)</f>
        <v>NIKE RISE BARIGUI</v>
      </c>
      <c r="F1192" s="37" t="str">
        <f>IF(ORCAMENTOS!G1200="","",ORCAMENTOS!G1200)</f>
        <v>Guilherme</v>
      </c>
      <c r="G1192" s="37" t="str">
        <f>IF(ORCAMENTOS!H1200="","",ORCAMENTOS!H1200)</f>
        <v>Alessandra</v>
      </c>
      <c r="H1192" s="39">
        <f>IF(ORCAMENTOS!I1200="","",ORCAMENTOS!I1200)</f>
        <v>103570.29</v>
      </c>
      <c r="I1192" s="60" t="str">
        <f>IF(ORCAMENTOS!J1200="","",ORCAMENTOS!J1200)</f>
        <v/>
      </c>
      <c r="J1192" s="40" t="str">
        <f>IF(ORCAMENTOS!L1200="","",ORCAMENTOS!L1200)</f>
        <v>CANCELADO</v>
      </c>
      <c r="K1192" s="34" t="str">
        <f>IF(ORCAMENTOS!M1200="","",ORCAMENTOS!M1200)</f>
        <v/>
      </c>
      <c r="L1192" t="str">
        <f>IF(ORCAMENTOS!R1200="","",ORCAMENTOS!R1200)</f>
        <v/>
      </c>
    </row>
    <row r="1193" spans="1:12" ht="15.75" hidden="1" customHeight="1" x14ac:dyDescent="0.25">
      <c r="A1193" s="36">
        <f>IF(ORCAMENTOS!A1201="","",ORCAMENTOS!A1201)</f>
        <v>45852</v>
      </c>
      <c r="B1193" s="46">
        <f>IF(ORCAMENTOS!B1201="","",ORCAMENTOS!B1201)</f>
        <v>1192</v>
      </c>
      <c r="C1193" s="46" t="str">
        <f>IF(ORCAMENTOS!C1201="","",ORCAMENTOS!C1201)</f>
        <v/>
      </c>
      <c r="D1193" s="37" t="str">
        <f>IF(ORCAMENTOS!D1201="","",ORCAMENTOS!D1201)</f>
        <v>SATURNO AR</v>
      </c>
      <c r="E1193" s="38" t="str">
        <f>IF(ORCAMENTOS!E1201="","",ORCAMENTOS!E1201)</f>
        <v>CENTAURO MAX JUNDIAÍ</v>
      </c>
      <c r="F1193" s="37" t="str">
        <f>IF(ORCAMENTOS!G1201="","",ORCAMENTOS!G1201)</f>
        <v>Gabriel</v>
      </c>
      <c r="G1193" s="37" t="str">
        <f>IF(ORCAMENTOS!H1201="","",ORCAMENTOS!H1201)</f>
        <v>Sidinei</v>
      </c>
      <c r="H1193" s="39">
        <f>IF(ORCAMENTOS!I1201="","",ORCAMENTOS!I1201)</f>
        <v>54416.42</v>
      </c>
      <c r="I1193" s="60" t="str">
        <f>IF(ORCAMENTOS!J1201="","",ORCAMENTOS!J1201)</f>
        <v/>
      </c>
      <c r="J1193" s="40" t="str">
        <f>IF(ORCAMENTOS!L1201="","",ORCAMENTOS!L1201)</f>
        <v>CANCELADO</v>
      </c>
      <c r="K1193" s="34" t="str">
        <f>IF(ORCAMENTOS!M1201="","",ORCAMENTOS!M1201)</f>
        <v/>
      </c>
      <c r="L1193" t="str">
        <f>IF(ORCAMENTOS!R1201="","",ORCAMENTOS!R1201)</f>
        <v/>
      </c>
    </row>
    <row r="1194" spans="1:12" ht="15.75" hidden="1" customHeight="1" x14ac:dyDescent="0.25">
      <c r="A1194" s="36">
        <f>IF(ORCAMENTOS!A1202="","",ORCAMENTOS!A1202)</f>
        <v>45852</v>
      </c>
      <c r="B1194" s="46">
        <f>IF(ORCAMENTOS!B1202="","",ORCAMENTOS!B1202)</f>
        <v>1193</v>
      </c>
      <c r="C1194" s="46" t="str">
        <f>IF(ORCAMENTOS!C1202="","",ORCAMENTOS!C1202)</f>
        <v/>
      </c>
      <c r="D1194" s="37" t="str">
        <f>IF(ORCAMENTOS!D1202="","",ORCAMENTOS!D1202)</f>
        <v>AIRPLAN</v>
      </c>
      <c r="E1194" s="38" t="str">
        <f>IF(ORCAMENTOS!E1202="","",ORCAMENTOS!E1202)</f>
        <v>CENTAURO MAX JUNDIAÍ</v>
      </c>
      <c r="F1194" s="37" t="str">
        <f>IF(ORCAMENTOS!G1202="","",ORCAMENTOS!G1202)</f>
        <v>Guilherme</v>
      </c>
      <c r="G1194" s="37" t="str">
        <f>IF(ORCAMENTOS!H1202="","",ORCAMENTOS!H1202)</f>
        <v>Junior</v>
      </c>
      <c r="H1194" s="39">
        <f>IF(ORCAMENTOS!I1202="","",ORCAMENTOS!I1202)</f>
        <v>54416.42</v>
      </c>
      <c r="I1194" s="60" t="str">
        <f>IF(ORCAMENTOS!J1202="","",ORCAMENTOS!J1202)</f>
        <v/>
      </c>
      <c r="J1194" s="40" t="str">
        <f>IF(ORCAMENTOS!L1202="","",ORCAMENTOS!L1202)</f>
        <v>CANCELADO</v>
      </c>
      <c r="K1194" s="34" t="str">
        <f>IF(ORCAMENTOS!M1202="","",ORCAMENTOS!M1202)</f>
        <v>OBRA DA ECOLOGIC AIR</v>
      </c>
      <c r="L1194" t="str">
        <f>IF(ORCAMENTOS!R1202="","",ORCAMENTOS!R1202)</f>
        <v/>
      </c>
    </row>
    <row r="1195" spans="1:12" ht="15.75" hidden="1" customHeight="1" x14ac:dyDescent="0.25">
      <c r="A1195" s="36">
        <f>IF(ORCAMENTOS!A1203="","",ORCAMENTOS!A1203)</f>
        <v>45852</v>
      </c>
      <c r="B1195" s="46">
        <f>IF(ORCAMENTOS!B1203="","",ORCAMENTOS!B1203)</f>
        <v>1194</v>
      </c>
      <c r="C1195" s="46" t="str">
        <f>IF(ORCAMENTOS!C1203="","",ORCAMENTOS!C1203)</f>
        <v/>
      </c>
      <c r="D1195" s="37" t="str">
        <f>IF(ORCAMENTOS!D1203="","",ORCAMENTOS!D1203)</f>
        <v>FL HVAC</v>
      </c>
      <c r="E1195" s="38" t="str">
        <f>IF(ORCAMENTOS!E1203="","",ORCAMENTOS!E1203)</f>
        <v>RENNER PARKSHOPPING CANOAS</v>
      </c>
      <c r="F1195" s="37" t="str">
        <f>IF(ORCAMENTOS!G1203="","",ORCAMENTOS!G1203)</f>
        <v>Guilherme</v>
      </c>
      <c r="G1195" s="37" t="str">
        <f>IF(ORCAMENTOS!H1203="","",ORCAMENTOS!H1203)</f>
        <v>Alessandra</v>
      </c>
      <c r="H1195" s="39">
        <f>IF(ORCAMENTOS!I1203="","",ORCAMENTOS!I1203)</f>
        <v>29685.86</v>
      </c>
      <c r="I1195" s="60" t="str">
        <f>IF(ORCAMENTOS!J1203="","",ORCAMENTOS!J1203)</f>
        <v/>
      </c>
      <c r="J1195" s="40" t="str">
        <f>IF(ORCAMENTOS!L1203="","",ORCAMENTOS!L1203)</f>
        <v>CANCELADO</v>
      </c>
      <c r="K1195" s="34" t="str">
        <f>IF(ORCAMENTOS!M1203="","",ORCAMENTOS!M1203)</f>
        <v/>
      </c>
      <c r="L1195" t="str">
        <f>IF(ORCAMENTOS!R1203="","",ORCAMENTOS!R1203)</f>
        <v/>
      </c>
    </row>
    <row r="1196" spans="1:12" ht="15.75" hidden="1" customHeight="1" x14ac:dyDescent="0.25">
      <c r="A1196" s="36">
        <f>IF(ORCAMENTOS!A1204="","",ORCAMENTOS!A1204)</f>
        <v>45852</v>
      </c>
      <c r="B1196" s="46">
        <f>IF(ORCAMENTOS!B1204="","",ORCAMENTOS!B1204)</f>
        <v>1195</v>
      </c>
      <c r="C1196" s="46" t="str">
        <f>IF(ORCAMENTOS!C1204="","",ORCAMENTOS!C1204)</f>
        <v/>
      </c>
      <c r="D1196" s="37" t="str">
        <f>IF(ORCAMENTOS!D1204="","",ORCAMENTOS!D1204)</f>
        <v>AIRPLAN</v>
      </c>
      <c r="E1196" s="38" t="str">
        <f>IF(ORCAMENTOS!E1204="","",ORCAMENTOS!E1204)</f>
        <v>YOUCOM - MANHATTAN SHOPPING</v>
      </c>
      <c r="F1196" s="37" t="str">
        <f>IF(ORCAMENTOS!G1204="","",ORCAMENTOS!G1204)</f>
        <v>Guilherme</v>
      </c>
      <c r="G1196" s="37" t="str">
        <f>IF(ORCAMENTOS!H1204="","",ORCAMENTOS!H1204)</f>
        <v>Junior</v>
      </c>
      <c r="H1196" s="39">
        <f>IF(ORCAMENTOS!I1204="","",ORCAMENTOS!I1204)</f>
        <v>18295.07</v>
      </c>
      <c r="I1196" s="60" t="str">
        <f>IF(ORCAMENTOS!J1204="","",ORCAMENTOS!J1204)</f>
        <v/>
      </c>
      <c r="J1196" s="40" t="str">
        <f>IF(ORCAMENTOS!L1204="","",ORCAMENTOS!L1204)</f>
        <v>CANCELADO</v>
      </c>
      <c r="K1196" s="34" t="str">
        <f>IF(ORCAMENTOS!M1204="","",ORCAMENTOS!M1204)</f>
        <v/>
      </c>
      <c r="L1196" t="str">
        <f>IF(ORCAMENTOS!R1204="","",ORCAMENTOS!R1204)</f>
        <v/>
      </c>
    </row>
    <row r="1197" spans="1:12" ht="15.75" hidden="1" customHeight="1" x14ac:dyDescent="0.25">
      <c r="A1197" s="36">
        <f>IF(ORCAMENTOS!A1205="","",ORCAMENTOS!A1205)</f>
        <v>45852</v>
      </c>
      <c r="B1197" s="46">
        <f>IF(ORCAMENTOS!B1205="","",ORCAMENTOS!B1205)</f>
        <v>1196</v>
      </c>
      <c r="C1197" s="46" t="str">
        <f>IF(ORCAMENTOS!C1205="","",ORCAMENTOS!C1205)</f>
        <v/>
      </c>
      <c r="D1197" s="37" t="str">
        <f>IF(ORCAMENTOS!D1205="","",ORCAMENTOS!D1205)</f>
        <v>AMS INSTALACOES</v>
      </c>
      <c r="E1197" s="38" t="str">
        <f>IF(ORCAMENTOS!E1205="","",ORCAMENTOS!E1205)</f>
        <v>FORT ATACADISTA - ITAJAÍ/SC</v>
      </c>
      <c r="F1197" s="37" t="str">
        <f>IF(ORCAMENTOS!G1205="","",ORCAMENTOS!G1205)</f>
        <v>Gabriel</v>
      </c>
      <c r="G1197" s="37" t="str">
        <f>IF(ORCAMENTOS!H1205="","",ORCAMENTOS!H1205)</f>
        <v>Albertino</v>
      </c>
      <c r="H1197" s="39">
        <f>IF(ORCAMENTOS!I1205="","",ORCAMENTOS!I1205)</f>
        <v>151505.99</v>
      </c>
      <c r="I1197" s="60" t="str">
        <f>IF(ORCAMENTOS!J1205="","",ORCAMENTOS!J1205)</f>
        <v/>
      </c>
      <c r="J1197" s="40" t="str">
        <f>IF(ORCAMENTOS!L1205="","",ORCAMENTOS!L1205)</f>
        <v>FECHADO</v>
      </c>
      <c r="K1197" s="34" t="str">
        <f>IF(ORCAMENTOS!M1205="","",ORCAMENTOS!M1205)</f>
        <v/>
      </c>
      <c r="L1197" t="str">
        <f>IF(ORCAMENTOS!R1205="","",ORCAMENTOS!R1205)</f>
        <v/>
      </c>
    </row>
    <row r="1198" spans="1:12" ht="15.75" hidden="1" customHeight="1" x14ac:dyDescent="0.25">
      <c r="A1198" s="36">
        <f>IF(ORCAMENTOS!A1206="","",ORCAMENTOS!A1206)</f>
        <v>45852</v>
      </c>
      <c r="B1198" s="46">
        <f>IF(ORCAMENTOS!B1206="","",ORCAMENTOS!B1206)</f>
        <v>1197</v>
      </c>
      <c r="C1198" s="46" t="str">
        <f>IF(ORCAMENTOS!C1206="","",ORCAMENTOS!C1206)</f>
        <v/>
      </c>
      <c r="D1198" s="37" t="str">
        <f>IF(ORCAMENTOS!D1206="","",ORCAMENTOS!D1206)</f>
        <v>SAMPAIO E MOURA</v>
      </c>
      <c r="E1198" s="38" t="str">
        <f>IF(ORCAMENTOS!E1206="","",ORCAMENTOS!E1206)</f>
        <v/>
      </c>
      <c r="F1198" s="37" t="str">
        <f>IF(ORCAMENTOS!G1206="","",ORCAMENTOS!G1206)</f>
        <v>Emanuel</v>
      </c>
      <c r="G1198" s="37" t="str">
        <f>IF(ORCAMENTOS!H1206="","",ORCAMENTOS!H1206)</f>
        <v>Yuri</v>
      </c>
      <c r="H1198" s="39">
        <f>IF(ORCAMENTOS!I1206="","",ORCAMENTOS!I1206)</f>
        <v>159.04</v>
      </c>
      <c r="I1198" s="60" t="str">
        <f>IF(ORCAMENTOS!J1206="","",ORCAMENTOS!J1206)</f>
        <v/>
      </c>
      <c r="J1198" s="40" t="str">
        <f>IF(ORCAMENTOS!L1206="","",ORCAMENTOS!L1206)</f>
        <v>FECHADO</v>
      </c>
      <c r="K1198" s="34" t="str">
        <f>IF(ORCAMENTOS!M1206="","",ORCAMENTOS!M1206)</f>
        <v/>
      </c>
      <c r="L1198" t="str">
        <f>IF(ORCAMENTOS!R1206="","",ORCAMENTOS!R1206)</f>
        <v/>
      </c>
    </row>
    <row r="1199" spans="1:12" ht="15.75" hidden="1" customHeight="1" x14ac:dyDescent="0.25">
      <c r="A1199" s="36">
        <f>IF(ORCAMENTOS!A1207="","",ORCAMENTOS!A1207)</f>
        <v>45852</v>
      </c>
      <c r="B1199" s="46">
        <f>IF(ORCAMENTOS!B1207="","",ORCAMENTOS!B1207)</f>
        <v>1198</v>
      </c>
      <c r="C1199" s="46" t="str">
        <f>IF(ORCAMENTOS!C1207="","",ORCAMENTOS!C1207)</f>
        <v/>
      </c>
      <c r="D1199" s="37" t="str">
        <f>IF(ORCAMENTOS!D1207="","",ORCAMENTOS!D1207)</f>
        <v xml:space="preserve">RECLIMA </v>
      </c>
      <c r="E1199" s="38" t="str">
        <f>IF(ORCAMENTOS!E1207="","",ORCAMENTOS!E1207)</f>
        <v/>
      </c>
      <c r="F1199" s="37" t="str">
        <f>IF(ORCAMENTOS!G1207="","",ORCAMENTOS!G1207)</f>
        <v>Michel</v>
      </c>
      <c r="G1199" s="37" t="str">
        <f>IF(ORCAMENTOS!H1207="","",ORCAMENTOS!H1207)</f>
        <v>Renata</v>
      </c>
      <c r="H1199" s="39">
        <f>IF(ORCAMENTOS!I1207="","",ORCAMENTOS!I1207)</f>
        <v>2082.7600000000002</v>
      </c>
      <c r="I1199" s="60" t="str">
        <f>IF(ORCAMENTOS!J1207="","",ORCAMENTOS!J1207)</f>
        <v/>
      </c>
      <c r="J1199" s="40" t="str">
        <f>IF(ORCAMENTOS!L1207="","",ORCAMENTOS!L1207)</f>
        <v>CANCELADO</v>
      </c>
      <c r="K1199" s="34" t="str">
        <f>IF(ORCAMENTOS!M1207="","",ORCAMENTOS!M1207)</f>
        <v/>
      </c>
      <c r="L1199" t="str">
        <f>IF(ORCAMENTOS!R1207="","",ORCAMENTOS!R1207)</f>
        <v/>
      </c>
    </row>
    <row r="1200" spans="1:12" ht="15.75" hidden="1" customHeight="1" x14ac:dyDescent="0.25">
      <c r="A1200" s="36">
        <f>IF(ORCAMENTOS!A1208="","",ORCAMENTOS!A1208)</f>
        <v>45852</v>
      </c>
      <c r="B1200" s="46">
        <f>IF(ORCAMENTOS!B1208="","",ORCAMENTOS!B1208)</f>
        <v>1199</v>
      </c>
      <c r="C1200" s="46" t="str">
        <f>IF(ORCAMENTOS!C1208="","",ORCAMENTOS!C1208)</f>
        <v/>
      </c>
      <c r="D1200" s="37" t="str">
        <f>IF(ORCAMENTOS!D1208="","",ORCAMENTOS!D1208)</f>
        <v>MECA MATERIAL ELETRICO</v>
      </c>
      <c r="E1200" s="38" t="str">
        <f>IF(ORCAMENTOS!E1208="","",ORCAMENTOS!E1208)</f>
        <v/>
      </c>
      <c r="F1200" s="37" t="str">
        <f>IF(ORCAMENTOS!G1208="","",ORCAMENTOS!G1208)</f>
        <v>Gabriel</v>
      </c>
      <c r="G1200" s="37" t="str">
        <f>IF(ORCAMENTOS!H1208="","",ORCAMENTOS!H1208)</f>
        <v>Gerardo</v>
      </c>
      <c r="H1200" s="39">
        <f>IF(ORCAMENTOS!I1208="","",ORCAMENTOS!I1208)</f>
        <v>1809.15</v>
      </c>
      <c r="I1200" s="60" t="str">
        <f>IF(ORCAMENTOS!J1208="","",ORCAMENTOS!J1208)</f>
        <v/>
      </c>
      <c r="J1200" s="40" t="str">
        <f>IF(ORCAMENTOS!L1208="","",ORCAMENTOS!L1208)</f>
        <v>CANCELADO</v>
      </c>
      <c r="K1200" s="34" t="str">
        <f>IF(ORCAMENTOS!M1208="","",ORCAMENTOS!M1208)</f>
        <v/>
      </c>
      <c r="L1200" t="str">
        <f>IF(ORCAMENTOS!R1208="","",ORCAMENTOS!R1208)</f>
        <v/>
      </c>
    </row>
    <row r="1201" spans="1:12" ht="15.75" hidden="1" customHeight="1" x14ac:dyDescent="0.25">
      <c r="A1201" s="36">
        <f>IF(ORCAMENTOS!A1209="","",ORCAMENTOS!A1209)</f>
        <v>45852</v>
      </c>
      <c r="B1201" s="46">
        <f>IF(ORCAMENTOS!B1209="","",ORCAMENTOS!B1209)</f>
        <v>1200</v>
      </c>
      <c r="C1201" s="46" t="str">
        <f>IF(ORCAMENTOS!C1209="","",ORCAMENTOS!C1209)</f>
        <v/>
      </c>
      <c r="D1201" s="37" t="str">
        <f>IF(ORCAMENTOS!D1209="","",ORCAMENTOS!D1209)</f>
        <v>AIR NET</v>
      </c>
      <c r="E1201" s="38" t="str">
        <f>IF(ORCAMENTOS!E1209="","",ORCAMENTOS!E1209)</f>
        <v>TEAG - GUARUJÁ/SP - FRETE FOB</v>
      </c>
      <c r="F1201" s="37" t="str">
        <f>IF(ORCAMENTOS!G1209="","",ORCAMENTOS!G1209)</f>
        <v>Fernando</v>
      </c>
      <c r="G1201" s="37" t="str">
        <f>IF(ORCAMENTOS!H1209="","",ORCAMENTOS!H1209)</f>
        <v xml:space="preserve">Thiago </v>
      </c>
      <c r="H1201" s="39">
        <f>IF(ORCAMENTOS!I1209="","",ORCAMENTOS!I1209)</f>
        <v>40404.300000000003</v>
      </c>
      <c r="I1201" s="60" t="str">
        <f>IF(ORCAMENTOS!J1209="","",ORCAMENTOS!J1209)</f>
        <v/>
      </c>
      <c r="J1201" s="40" t="str">
        <f>IF(ORCAMENTOS!L1209="","",ORCAMENTOS!L1209)</f>
        <v>FECHADO</v>
      </c>
      <c r="K1201" s="34" t="str">
        <f>IF(ORCAMENTOS!M1209="","",ORCAMENTOS!M1209)</f>
        <v/>
      </c>
      <c r="L1201" t="str">
        <f>IF(ORCAMENTOS!R1209="","",ORCAMENTOS!R1209)</f>
        <v/>
      </c>
    </row>
    <row r="1202" spans="1:12" ht="15.75" hidden="1" customHeight="1" x14ac:dyDescent="0.25">
      <c r="A1202" s="36">
        <f>IF(ORCAMENTOS!A1210="","",ORCAMENTOS!A1210)</f>
        <v>45852</v>
      </c>
      <c r="B1202" s="46">
        <f>IF(ORCAMENTOS!B1210="","",ORCAMENTOS!B1210)</f>
        <v>1201</v>
      </c>
      <c r="C1202" s="46" t="str">
        <f>IF(ORCAMENTOS!C1210="","",ORCAMENTOS!C1210)</f>
        <v/>
      </c>
      <c r="D1202" s="37" t="str">
        <f>IF(ORCAMENTOS!D1210="","",ORCAMENTOS!D1210)</f>
        <v>AIRPLAN</v>
      </c>
      <c r="E1202" s="38" t="str">
        <f>IF(ORCAMENTOS!E1210="","",ORCAMENTOS!E1210)</f>
        <v>NIKE - BALNEARIO SHOPPING/SC</v>
      </c>
      <c r="F1202" s="37" t="str">
        <f>IF(ORCAMENTOS!G1210="","",ORCAMENTOS!G1210)</f>
        <v>Guilherme</v>
      </c>
      <c r="G1202" s="37" t="str">
        <f>IF(ORCAMENTOS!H1210="","",ORCAMENTOS!H1210)</f>
        <v>Junior</v>
      </c>
      <c r="H1202" s="39">
        <f>IF(ORCAMENTOS!I1210="","",ORCAMENTOS!I1210)</f>
        <v>63724.72</v>
      </c>
      <c r="I1202" s="60" t="str">
        <f>IF(ORCAMENTOS!J1210="","",ORCAMENTOS!J1210)</f>
        <v/>
      </c>
      <c r="J1202" s="40" t="str">
        <f>IF(ORCAMENTOS!L1210="","",ORCAMENTOS!L1210)</f>
        <v>CANCELADO</v>
      </c>
      <c r="K1202" s="34" t="str">
        <f>IF(ORCAMENTOS!M1210="","",ORCAMENTOS!M1210)</f>
        <v>OBRA DA ECOLOGIC AIR</v>
      </c>
      <c r="L1202" t="str">
        <f>IF(ORCAMENTOS!R1210="","",ORCAMENTOS!R1210)</f>
        <v/>
      </c>
    </row>
    <row r="1203" spans="1:12" ht="15.75" hidden="1" customHeight="1" x14ac:dyDescent="0.25">
      <c r="A1203" s="36">
        <f>IF(ORCAMENTOS!A1211="","",ORCAMENTOS!A1211)</f>
        <v>45852</v>
      </c>
      <c r="B1203" s="46">
        <f>IF(ORCAMENTOS!B1211="","",ORCAMENTOS!B1211)</f>
        <v>1202</v>
      </c>
      <c r="C1203" s="46" t="str">
        <f>IF(ORCAMENTOS!C1211="","",ORCAMENTOS!C1211)</f>
        <v/>
      </c>
      <c r="D1203" s="37" t="str">
        <f>IF(ORCAMENTOS!D1211="","",ORCAMENTOS!D1211)</f>
        <v>SP1 ENGENHARIA</v>
      </c>
      <c r="E1203" s="38" t="str">
        <f>IF(ORCAMENTOS!E1211="","",ORCAMENTOS!E1211)</f>
        <v>LABORATÓRIO SANTA HELENA</v>
      </c>
      <c r="F1203" s="37" t="str">
        <f>IF(ORCAMENTOS!G1211="","",ORCAMENTOS!G1211)</f>
        <v>Gabriel</v>
      </c>
      <c r="G1203" s="37" t="str">
        <f>IF(ORCAMENTOS!H1211="","",ORCAMENTOS!H1211)</f>
        <v>Silvio</v>
      </c>
      <c r="H1203" s="39">
        <f>IF(ORCAMENTOS!I1211="","",ORCAMENTOS!I1211)</f>
        <v>10811.4</v>
      </c>
      <c r="I1203" s="60" t="str">
        <f>IF(ORCAMENTOS!J1211="","",ORCAMENTOS!J1211)</f>
        <v/>
      </c>
      <c r="J1203" s="40" t="str">
        <f>IF(ORCAMENTOS!L1211="","",ORCAMENTOS!L1211)</f>
        <v>CANCELADO</v>
      </c>
      <c r="K1203" s="34" t="str">
        <f>IF(ORCAMENTOS!M1211="","",ORCAMENTOS!M1211)</f>
        <v/>
      </c>
      <c r="L1203" t="str">
        <f>IF(ORCAMENTOS!R1211="","",ORCAMENTOS!R1211)</f>
        <v/>
      </c>
    </row>
    <row r="1204" spans="1:12" ht="15.75" hidden="1" customHeight="1" x14ac:dyDescent="0.25">
      <c r="A1204" s="36">
        <f>IF(ORCAMENTOS!A1212="","",ORCAMENTOS!A1212)</f>
        <v>45852</v>
      </c>
      <c r="B1204" s="46">
        <f>IF(ORCAMENTOS!B1212="","",ORCAMENTOS!B1212)</f>
        <v>1203</v>
      </c>
      <c r="C1204" s="46" t="str">
        <f>IF(ORCAMENTOS!C1212="","",ORCAMENTOS!C1212)</f>
        <v/>
      </c>
      <c r="D1204" s="37" t="str">
        <f>IF(ORCAMENTOS!D1212="","",ORCAMENTOS!D1212)</f>
        <v>DUPLIX ENGENHARIA</v>
      </c>
      <c r="E1204" s="38" t="str">
        <f>IF(ORCAMENTOS!E1212="","",ORCAMENTOS!E1212)</f>
        <v>CENTAURO MAX JUNDIAÍ</v>
      </c>
      <c r="F1204" s="37" t="str">
        <f>IF(ORCAMENTOS!G1212="","",ORCAMENTOS!G1212)</f>
        <v>Emanuel</v>
      </c>
      <c r="G1204" s="37" t="str">
        <f>IF(ORCAMENTOS!H1212="","",ORCAMENTOS!H1212)</f>
        <v>João</v>
      </c>
      <c r="H1204" s="39">
        <f>IF(ORCAMENTOS!I1212="","",ORCAMENTOS!I1212)</f>
        <v>54416.42</v>
      </c>
      <c r="I1204" s="60" t="str">
        <f>IF(ORCAMENTOS!J1212="","",ORCAMENTOS!J1212)</f>
        <v/>
      </c>
      <c r="J1204" s="40" t="str">
        <f>IF(ORCAMENTOS!L1212="","",ORCAMENTOS!L1212)</f>
        <v>CANCELADO</v>
      </c>
      <c r="K1204" s="34" t="str">
        <f>IF(ORCAMENTOS!M1212="","",ORCAMENTOS!M1212)</f>
        <v>OBRA DA ECOLOGIC AIR</v>
      </c>
      <c r="L1204" t="str">
        <f>IF(ORCAMENTOS!R1212="","",ORCAMENTOS!R1212)</f>
        <v/>
      </c>
    </row>
    <row r="1205" spans="1:12" ht="15.75" hidden="1" customHeight="1" x14ac:dyDescent="0.25">
      <c r="A1205" s="36">
        <f>IF(ORCAMENTOS!A1213="","",ORCAMENTOS!A1213)</f>
        <v>45854</v>
      </c>
      <c r="B1205" s="46">
        <f>IF(ORCAMENTOS!B1213="","",ORCAMENTOS!B1213)</f>
        <v>1204</v>
      </c>
      <c r="C1205" s="46" t="str">
        <f>IF(ORCAMENTOS!C1213="","",ORCAMENTOS!C1213)</f>
        <v/>
      </c>
      <c r="D1205" s="37" t="str">
        <f>IF(ORCAMENTOS!D1213="","",ORCAMENTOS!D1213)</f>
        <v>ADRIATIC</v>
      </c>
      <c r="E1205" s="38" t="str">
        <f>IF(ORCAMENTOS!E1213="","",ORCAMENTOS!E1213)</f>
        <v>C&amp;A AMR - SHOPPING AMERICANA MALL</v>
      </c>
      <c r="F1205" s="37" t="str">
        <f>IF(ORCAMENTOS!G1213="","",ORCAMENTOS!G1213)</f>
        <v>Emanuel</v>
      </c>
      <c r="G1205" s="37" t="str">
        <f>IF(ORCAMENTOS!H1213="","",ORCAMENTOS!H1213)</f>
        <v>Carlos</v>
      </c>
      <c r="H1205" s="39">
        <f>IF(ORCAMENTOS!I1213="","",ORCAMENTOS!I1213)</f>
        <v>140010.34</v>
      </c>
      <c r="I1205" s="60" t="str">
        <f>IF(ORCAMENTOS!J1213="","",ORCAMENTOS!J1213)</f>
        <v/>
      </c>
      <c r="J1205" s="40" t="str">
        <f>IF(ORCAMENTOS!L1213="","",ORCAMENTOS!L1213)</f>
        <v>CANCELADO</v>
      </c>
      <c r="K1205" s="34" t="str">
        <f>IF(ORCAMENTOS!M1213="","",ORCAMENTOS!M1213)</f>
        <v/>
      </c>
      <c r="L1205" t="str">
        <f>IF(ORCAMENTOS!R1213="","",ORCAMENTOS!R1213)</f>
        <v/>
      </c>
    </row>
    <row r="1206" spans="1:12" ht="15.75" hidden="1" customHeight="1" x14ac:dyDescent="0.25">
      <c r="A1206" s="36">
        <f>IF(ORCAMENTOS!A1214="","",ORCAMENTOS!A1214)</f>
        <v>45852</v>
      </c>
      <c r="B1206" s="46">
        <f>IF(ORCAMENTOS!B1214="","",ORCAMENTOS!B1214)</f>
        <v>1205</v>
      </c>
      <c r="C1206" s="46" t="str">
        <f>IF(ORCAMENTOS!C1214="","",ORCAMENTOS!C1214)</f>
        <v/>
      </c>
      <c r="D1206" s="37" t="str">
        <f>IF(ORCAMENTOS!D1214="","",ORCAMENTOS!D1214)</f>
        <v>AWA AR CONDICIONADO</v>
      </c>
      <c r="E1206" s="38" t="str">
        <f>IF(ORCAMENTOS!E1214="","",ORCAMENTOS!E1214)</f>
        <v>OBRAMAX - UBERLÂNDIA/MG</v>
      </c>
      <c r="F1206" s="37" t="str">
        <f>IF(ORCAMENTOS!G1214="","",ORCAMENTOS!G1214)</f>
        <v>Guilherme</v>
      </c>
      <c r="G1206" s="37" t="str">
        <f>IF(ORCAMENTOS!H1214="","",ORCAMENTOS!H1214)</f>
        <v>Paula</v>
      </c>
      <c r="H1206" s="39">
        <f>IF(ORCAMENTOS!I1214="","",ORCAMENTOS!I1214)</f>
        <v>171313.4</v>
      </c>
      <c r="I1206" s="60" t="str">
        <f>IF(ORCAMENTOS!J1214="","",ORCAMENTOS!J1214)</f>
        <v/>
      </c>
      <c r="J1206" s="40" t="str">
        <f>IF(ORCAMENTOS!L1214="","",ORCAMENTOS!L1214)</f>
        <v>FECHADO</v>
      </c>
      <c r="K1206" s="34" t="str">
        <f>IF(ORCAMENTOS!M1214="","",ORCAMENTOS!M1214)</f>
        <v/>
      </c>
      <c r="L1206" t="str">
        <f>IF(ORCAMENTOS!R1214="","",ORCAMENTOS!R1214)</f>
        <v/>
      </c>
    </row>
    <row r="1207" spans="1:12" ht="15.75" hidden="1" customHeight="1" x14ac:dyDescent="0.25">
      <c r="A1207" s="36">
        <f>IF(ORCAMENTOS!A1215="","",ORCAMENTOS!A1215)</f>
        <v>45852</v>
      </c>
      <c r="B1207" s="46">
        <f>IF(ORCAMENTOS!B1215="","",ORCAMENTOS!B1215)</f>
        <v>1206</v>
      </c>
      <c r="C1207" s="46" t="str">
        <f>IF(ORCAMENTOS!C1215="","",ORCAMENTOS!C1215)</f>
        <v/>
      </c>
      <c r="D1207" s="37" t="str">
        <f>IF(ORCAMENTOS!D1215="","",ORCAMENTOS!D1215)</f>
        <v>MONDARC</v>
      </c>
      <c r="E1207" s="38" t="str">
        <f>IF(ORCAMENTOS!E1215="","",ORCAMENTOS!E1215)</f>
        <v>NIKE RISE BARIGUI</v>
      </c>
      <c r="F1207" s="37" t="str">
        <f>IF(ORCAMENTOS!G1215="","",ORCAMENTOS!G1215)</f>
        <v>Michel</v>
      </c>
      <c r="G1207" s="37" t="str">
        <f>IF(ORCAMENTOS!H1215="","",ORCAMENTOS!H1215)</f>
        <v>Fabiana</v>
      </c>
      <c r="H1207" s="39">
        <f>IF(ORCAMENTOS!I1215="","",ORCAMENTOS!I1215)</f>
        <v>103570.29</v>
      </c>
      <c r="I1207" s="60" t="str">
        <f>IF(ORCAMENTOS!J1215="","",ORCAMENTOS!J1215)</f>
        <v/>
      </c>
      <c r="J1207" s="40" t="str">
        <f>IF(ORCAMENTOS!L1215="","",ORCAMENTOS!L1215)</f>
        <v>CANCELADO</v>
      </c>
      <c r="K1207" s="34" t="str">
        <f>IF(ORCAMENTOS!M1215="","",ORCAMENTOS!M1215)</f>
        <v/>
      </c>
      <c r="L1207" t="str">
        <f>IF(ORCAMENTOS!R1215="","",ORCAMENTOS!R1215)</f>
        <v/>
      </c>
    </row>
    <row r="1208" spans="1:12" ht="15.75" hidden="1" customHeight="1" x14ac:dyDescent="0.25">
      <c r="A1208" s="36">
        <f>IF(ORCAMENTOS!A1216="","",ORCAMENTOS!A1216)</f>
        <v>45852</v>
      </c>
      <c r="B1208" s="46">
        <f>IF(ORCAMENTOS!B1216="","",ORCAMENTOS!B1216)</f>
        <v>1207</v>
      </c>
      <c r="C1208" s="46" t="str">
        <f>IF(ORCAMENTOS!C1216="","",ORCAMENTOS!C1216)</f>
        <v/>
      </c>
      <c r="D1208" s="37" t="str">
        <f>IF(ORCAMENTOS!D1216="","",ORCAMENTOS!D1216)</f>
        <v>MONDARC</v>
      </c>
      <c r="E1208" s="38" t="str">
        <f>IF(ORCAMENTOS!E1216="","",ORCAMENTOS!E1216)</f>
        <v>NIKE - BALNEARIO SHOPPING/SC</v>
      </c>
      <c r="F1208" s="37" t="str">
        <f>IF(ORCAMENTOS!G1216="","",ORCAMENTOS!G1216)</f>
        <v>Michel</v>
      </c>
      <c r="G1208" s="37" t="str">
        <f>IF(ORCAMENTOS!H1216="","",ORCAMENTOS!H1216)</f>
        <v>Fabiana</v>
      </c>
      <c r="H1208" s="39">
        <f>IF(ORCAMENTOS!I1216="","",ORCAMENTOS!I1216)</f>
        <v>63724.72</v>
      </c>
      <c r="I1208" s="60" t="str">
        <f>IF(ORCAMENTOS!J1216="","",ORCAMENTOS!J1216)</f>
        <v/>
      </c>
      <c r="J1208" s="40" t="str">
        <f>IF(ORCAMENTOS!L1216="","",ORCAMENTOS!L1216)</f>
        <v>CANCELADO</v>
      </c>
      <c r="K1208" s="34" t="str">
        <f>IF(ORCAMENTOS!M1216="","",ORCAMENTOS!M1216)</f>
        <v>OBRA DA ECOLOGIC AIR</v>
      </c>
      <c r="L1208" t="str">
        <f>IF(ORCAMENTOS!R1216="","",ORCAMENTOS!R1216)</f>
        <v/>
      </c>
    </row>
    <row r="1209" spans="1:12" ht="15.75" hidden="1" customHeight="1" x14ac:dyDescent="0.25">
      <c r="A1209" s="36">
        <f>IF(ORCAMENTOS!A1217="","",ORCAMENTOS!A1217)</f>
        <v>45852</v>
      </c>
      <c r="B1209" s="46">
        <f>IF(ORCAMENTOS!B1217="","",ORCAMENTOS!B1217)</f>
        <v>1208</v>
      </c>
      <c r="C1209" s="46" t="str">
        <f>IF(ORCAMENTOS!C1217="","",ORCAMENTOS!C1217)</f>
        <v/>
      </c>
      <c r="D1209" s="37" t="str">
        <f>IF(ORCAMENTOS!D1217="","",ORCAMENTOS!D1217)</f>
        <v>AIRPLAN</v>
      </c>
      <c r="E1209" s="38" t="str">
        <f>IF(ORCAMENTOS!E1217="","",ORCAMENTOS!E1217)</f>
        <v>NIKE RISE BARIGUI</v>
      </c>
      <c r="F1209" s="37" t="str">
        <f>IF(ORCAMENTOS!G1217="","",ORCAMENTOS!G1217)</f>
        <v>Guilherme</v>
      </c>
      <c r="G1209" s="37" t="str">
        <f>IF(ORCAMENTOS!H1217="","",ORCAMENTOS!H1217)</f>
        <v>Junior</v>
      </c>
      <c r="H1209" s="39">
        <f>IF(ORCAMENTOS!I1217="","",ORCAMENTOS!I1217)</f>
        <v>103570.29</v>
      </c>
      <c r="I1209" s="60" t="str">
        <f>IF(ORCAMENTOS!J1217="","",ORCAMENTOS!J1217)</f>
        <v/>
      </c>
      <c r="J1209" s="40" t="str">
        <f>IF(ORCAMENTOS!L1217="","",ORCAMENTOS!L1217)</f>
        <v>CANCELADO</v>
      </c>
      <c r="K1209" s="34" t="str">
        <f>IF(ORCAMENTOS!M1217="","",ORCAMENTOS!M1217)</f>
        <v/>
      </c>
      <c r="L1209" t="str">
        <f>IF(ORCAMENTOS!R1217="","",ORCAMENTOS!R1217)</f>
        <v/>
      </c>
    </row>
    <row r="1210" spans="1:12" ht="15.75" hidden="1" customHeight="1" x14ac:dyDescent="0.25">
      <c r="A1210" s="36">
        <f>IF(ORCAMENTOS!A1218="","",ORCAMENTOS!A1218)</f>
        <v>45852</v>
      </c>
      <c r="B1210" s="46">
        <f>IF(ORCAMENTOS!B1218="","",ORCAMENTOS!B1218)</f>
        <v>1209</v>
      </c>
      <c r="C1210" s="46" t="str">
        <f>IF(ORCAMENTOS!C1218="","",ORCAMENTOS!C1218)</f>
        <v/>
      </c>
      <c r="D1210" s="37" t="str">
        <f>IF(ORCAMENTOS!D1218="","",ORCAMENTOS!D1218)</f>
        <v>CARLOS AUGUSTO AIELLO LACORTE</v>
      </c>
      <c r="E1210" s="38" t="str">
        <f>IF(ORCAMENTOS!E1218="","",ORCAMENTOS!E1218)</f>
        <v/>
      </c>
      <c r="F1210" s="37" t="str">
        <f>IF(ORCAMENTOS!G1218="","",ORCAMENTOS!G1218)</f>
        <v>Gabriel</v>
      </c>
      <c r="G1210" s="37" t="str">
        <f>IF(ORCAMENTOS!H1218="","",ORCAMENTOS!H1218)</f>
        <v>Carlos</v>
      </c>
      <c r="H1210" s="39">
        <f>IF(ORCAMENTOS!I1218="","",ORCAMENTOS!I1218)</f>
        <v>25985.17</v>
      </c>
      <c r="I1210" s="60" t="str">
        <f>IF(ORCAMENTOS!J1218="","",ORCAMENTOS!J1218)</f>
        <v/>
      </c>
      <c r="J1210" s="40" t="str">
        <f>IF(ORCAMENTOS!L1218="","",ORCAMENTOS!L1218)</f>
        <v>CANCELADO</v>
      </c>
      <c r="K1210" s="34" t="str">
        <f>IF(ORCAMENTOS!M1218="","",ORCAMENTOS!M1218)</f>
        <v/>
      </c>
      <c r="L1210" t="str">
        <f>IF(ORCAMENTOS!R1218="","",ORCAMENTOS!R1218)</f>
        <v/>
      </c>
    </row>
    <row r="1211" spans="1:12" ht="15.75" hidden="1" customHeight="1" x14ac:dyDescent="0.25">
      <c r="A1211" s="36">
        <f>IF(ORCAMENTOS!A1219="","",ORCAMENTOS!A1219)</f>
        <v>45852</v>
      </c>
      <c r="B1211" s="46">
        <f>IF(ORCAMENTOS!B1219="","",ORCAMENTOS!B1219)</f>
        <v>1210</v>
      </c>
      <c r="C1211" s="46" t="str">
        <f>IF(ORCAMENTOS!C1219="","",ORCAMENTOS!C1219)</f>
        <v/>
      </c>
      <c r="D1211" s="37" t="str">
        <f>IF(ORCAMENTOS!D1219="","",ORCAMENTOS!D1219)</f>
        <v>ENERGY AIR</v>
      </c>
      <c r="E1211" s="38" t="str">
        <f>IF(ORCAMENTOS!E1219="","",ORCAMENTOS!E1219)</f>
        <v>HOSPITAL DO RIM - PÓS-TRANSPLANTE</v>
      </c>
      <c r="F1211" s="37" t="str">
        <f>IF(ORCAMENTOS!G1219="","",ORCAMENTOS!G1219)</f>
        <v xml:space="preserve">Aldavir </v>
      </c>
      <c r="G1211" s="37" t="str">
        <f>IF(ORCAMENTOS!H1219="","",ORCAMENTOS!H1219)</f>
        <v>Bruno</v>
      </c>
      <c r="H1211" s="39">
        <f>IF(ORCAMENTOS!I1219="","",ORCAMENTOS!I1219)</f>
        <v>23017.200000000001</v>
      </c>
      <c r="I1211" s="60" t="str">
        <f>IF(ORCAMENTOS!J1219="","",ORCAMENTOS!J1219)</f>
        <v/>
      </c>
      <c r="J1211" s="40" t="str">
        <f>IF(ORCAMENTOS!L1219="","",ORCAMENTOS!L1219)</f>
        <v>CANCELADO</v>
      </c>
      <c r="K1211" s="34" t="str">
        <f>IF(ORCAMENTOS!M1219="","",ORCAMENTOS!M1219)</f>
        <v/>
      </c>
      <c r="L1211" t="str">
        <f>IF(ORCAMENTOS!R1219="","",ORCAMENTOS!R1219)</f>
        <v/>
      </c>
    </row>
    <row r="1212" spans="1:12" ht="15.75" hidden="1" customHeight="1" x14ac:dyDescent="0.25">
      <c r="A1212" s="36">
        <f>IF(ORCAMENTOS!A1220="","",ORCAMENTOS!A1220)</f>
        <v>45852</v>
      </c>
      <c r="B1212" s="46">
        <f>IF(ORCAMENTOS!B1220="","",ORCAMENTOS!B1220)</f>
        <v>1211</v>
      </c>
      <c r="C1212" s="46" t="str">
        <f>IF(ORCAMENTOS!C1220="","",ORCAMENTOS!C1220)</f>
        <v/>
      </c>
      <c r="D1212" s="37" t="str">
        <f>IF(ORCAMENTOS!D1220="","",ORCAMENTOS!D1220)</f>
        <v>SS MOURA TECNOLOGIA</v>
      </c>
      <c r="E1212" s="38" t="str">
        <f>IF(ORCAMENTOS!E1220="","",ORCAMENTOS!E1220)</f>
        <v/>
      </c>
      <c r="F1212" s="37" t="str">
        <f>IF(ORCAMENTOS!G1220="","",ORCAMENTOS!G1220)</f>
        <v>Gabriel</v>
      </c>
      <c r="G1212" s="37" t="str">
        <f>IF(ORCAMENTOS!H1220="","",ORCAMENTOS!H1220)</f>
        <v>Marco</v>
      </c>
      <c r="H1212" s="39">
        <f>IF(ORCAMENTOS!I1220="","",ORCAMENTOS!I1220)</f>
        <v>4850</v>
      </c>
      <c r="I1212" s="60" t="str">
        <f>IF(ORCAMENTOS!J1220="","",ORCAMENTOS!J1220)</f>
        <v/>
      </c>
      <c r="J1212" s="40" t="str">
        <f>IF(ORCAMENTOS!L1220="","",ORCAMENTOS!L1220)</f>
        <v>CANCELADO</v>
      </c>
      <c r="K1212" s="34" t="str">
        <f>IF(ORCAMENTOS!M1220="","",ORCAMENTOS!M1220)</f>
        <v/>
      </c>
      <c r="L1212" t="str">
        <f>IF(ORCAMENTOS!R1220="","",ORCAMENTOS!R1220)</f>
        <v/>
      </c>
    </row>
    <row r="1213" spans="1:12" ht="15.75" hidden="1" customHeight="1" x14ac:dyDescent="0.25">
      <c r="A1213" s="36">
        <f>IF(ORCAMENTOS!A1221="","",ORCAMENTOS!A1221)</f>
        <v>45852</v>
      </c>
      <c r="B1213" s="46">
        <f>IF(ORCAMENTOS!B1221="","",ORCAMENTOS!B1221)</f>
        <v>1212</v>
      </c>
      <c r="C1213" s="46" t="str">
        <f>IF(ORCAMENTOS!C1221="","",ORCAMENTOS!C1221)</f>
        <v/>
      </c>
      <c r="D1213" s="37" t="str">
        <f>IF(ORCAMENTOS!D1221="","",ORCAMENTOS!D1221)</f>
        <v>INOVECTOR</v>
      </c>
      <c r="E1213" s="38" t="str">
        <f>IF(ORCAMENTOS!E1221="","",ORCAMENTOS!E1221)</f>
        <v>25/007 - STA ISABEL - REQ 2.06</v>
      </c>
      <c r="F1213" s="37" t="str">
        <f>IF(ORCAMENTOS!G1221="","",ORCAMENTOS!G1221)</f>
        <v>Fernando</v>
      </c>
      <c r="G1213" s="37" t="str">
        <f>IF(ORCAMENTOS!H1221="","",ORCAMENTOS!H1221)</f>
        <v>Eliete</v>
      </c>
      <c r="H1213" s="39">
        <f>IF(ORCAMENTOS!I1221="","",ORCAMENTOS!I1221)</f>
        <v>1089.45</v>
      </c>
      <c r="I1213" s="60" t="str">
        <f>IF(ORCAMENTOS!J1221="","",ORCAMENTOS!J1221)</f>
        <v/>
      </c>
      <c r="J1213" s="40" t="str">
        <f>IF(ORCAMENTOS!L1221="","",ORCAMENTOS!L1221)</f>
        <v>CANCELADO</v>
      </c>
      <c r="K1213" s="34" t="str">
        <f>IF(ORCAMENTOS!M1221="","",ORCAMENTOS!M1221)</f>
        <v>ESTOQUE</v>
      </c>
      <c r="L1213" t="str">
        <f>IF(ORCAMENTOS!R1221="","",ORCAMENTOS!R1221)</f>
        <v/>
      </c>
    </row>
    <row r="1214" spans="1:12" ht="15.75" hidden="1" customHeight="1" x14ac:dyDescent="0.25">
      <c r="A1214" s="36">
        <f>IF(ORCAMENTOS!A1222="","",ORCAMENTOS!A1222)</f>
        <v>45852</v>
      </c>
      <c r="B1214" s="46">
        <f>IF(ORCAMENTOS!B1222="","",ORCAMENTOS!B1222)</f>
        <v>1213</v>
      </c>
      <c r="C1214" s="46" t="str">
        <f>IF(ORCAMENTOS!C1222="","",ORCAMENTOS!C1222)</f>
        <v/>
      </c>
      <c r="D1214" s="37" t="str">
        <f>IF(ORCAMENTOS!D1222="","",ORCAMENTOS!D1222)</f>
        <v>AWA AR CONDICIONADO</v>
      </c>
      <c r="E1214" s="38" t="str">
        <f>IF(ORCAMENTOS!E1222="","",ORCAMENTOS!E1222)</f>
        <v>MIX MATEUS IMPERATRIZ JK</v>
      </c>
      <c r="F1214" s="37" t="str">
        <f>IF(ORCAMENTOS!G1222="","",ORCAMENTOS!G1222)</f>
        <v>Guilherme</v>
      </c>
      <c r="G1214" s="37" t="str">
        <f>IF(ORCAMENTOS!H1222="","",ORCAMENTOS!H1222)</f>
        <v>Paula</v>
      </c>
      <c r="H1214" s="39">
        <f>IF(ORCAMENTOS!I1222="","",ORCAMENTOS!I1222)</f>
        <v>105208.72</v>
      </c>
      <c r="I1214" s="60" t="str">
        <f>IF(ORCAMENTOS!J1222="","",ORCAMENTOS!J1222)</f>
        <v/>
      </c>
      <c r="J1214" s="40" t="str">
        <f>IF(ORCAMENTOS!L1222="","",ORCAMENTOS!L1222)</f>
        <v>CANCELADO</v>
      </c>
      <c r="K1214" s="34" t="str">
        <f>IF(ORCAMENTOS!M1222="","",ORCAMENTOS!M1222)</f>
        <v/>
      </c>
      <c r="L1214" t="str">
        <f>IF(ORCAMENTOS!R1222="","",ORCAMENTOS!R1222)</f>
        <v/>
      </c>
    </row>
    <row r="1215" spans="1:12" ht="15.75" hidden="1" customHeight="1" x14ac:dyDescent="0.25">
      <c r="A1215" s="36">
        <f>IF(ORCAMENTOS!A1223="","",ORCAMENTOS!A1223)</f>
        <v>45852</v>
      </c>
      <c r="B1215" s="46">
        <f>IF(ORCAMENTOS!B1223="","",ORCAMENTOS!B1223)</f>
        <v>1214</v>
      </c>
      <c r="C1215" s="46" t="str">
        <f>IF(ORCAMENTOS!C1223="","",ORCAMENTOS!C1223)</f>
        <v/>
      </c>
      <c r="D1215" s="37" t="str">
        <f>IF(ORCAMENTOS!D1223="","",ORCAMENTOS!D1223)</f>
        <v>FRIOCLIMAT</v>
      </c>
      <c r="E1215" s="38" t="str">
        <f>IF(ORCAMENTOS!E1223="","",ORCAMENTOS!E1223)</f>
        <v>IGREJA ALEM DO VEU - SANTO ANDRE - SP</v>
      </c>
      <c r="F1215" s="37" t="str">
        <f>IF(ORCAMENTOS!G1223="","",ORCAMENTOS!G1223)</f>
        <v>Emanuel</v>
      </c>
      <c r="G1215" s="37" t="str">
        <f>IF(ORCAMENTOS!H1223="","",ORCAMENTOS!H1223)</f>
        <v>Marcelo</v>
      </c>
      <c r="H1215" s="39">
        <f>IF(ORCAMENTOS!I1223="","",ORCAMENTOS!I1223)</f>
        <v>586.04</v>
      </c>
      <c r="I1215" s="60" t="str">
        <f>IF(ORCAMENTOS!J1223="","",ORCAMENTOS!J1223)</f>
        <v/>
      </c>
      <c r="J1215" s="40" t="str">
        <f>IF(ORCAMENTOS!L1223="","",ORCAMENTOS!L1223)</f>
        <v>FECHADO</v>
      </c>
      <c r="K1215" s="34" t="str">
        <f>IF(ORCAMENTOS!M1223="","",ORCAMENTOS!M1223)</f>
        <v/>
      </c>
      <c r="L1215" t="str">
        <f>IF(ORCAMENTOS!R1223="","",ORCAMENTOS!R1223)</f>
        <v/>
      </c>
    </row>
    <row r="1216" spans="1:12" ht="15.75" hidden="1" customHeight="1" x14ac:dyDescent="0.25">
      <c r="A1216" s="36">
        <f>IF(ORCAMENTOS!A1224="","",ORCAMENTOS!A1224)</f>
        <v>45853</v>
      </c>
      <c r="B1216" s="46">
        <f>IF(ORCAMENTOS!B1224="","",ORCAMENTOS!B1224)</f>
        <v>1215</v>
      </c>
      <c r="C1216" s="46" t="str">
        <f>IF(ORCAMENTOS!C1224="","",ORCAMENTOS!C1224)</f>
        <v/>
      </c>
      <c r="D1216" s="37" t="str">
        <f>IF(ORCAMENTOS!D1224="","",ORCAMENTOS!D1224)</f>
        <v>RM3 ENGENHARIA</v>
      </c>
      <c r="E1216" s="38" t="str">
        <f>IF(ORCAMENTOS!E1224="","",ORCAMENTOS!E1224)</f>
        <v>SAVEGNAGO INDAIATUBA</v>
      </c>
      <c r="F1216" s="37" t="str">
        <f>IF(ORCAMENTOS!G1224="","",ORCAMENTOS!G1224)</f>
        <v>Guilherme</v>
      </c>
      <c r="G1216" s="37" t="str">
        <f>IF(ORCAMENTOS!H1224="","",ORCAMENTOS!H1224)</f>
        <v>Diego</v>
      </c>
      <c r="H1216" s="39">
        <f>IF(ORCAMENTOS!I1224="","",ORCAMENTOS!I1224)</f>
        <v>20811.990000000002</v>
      </c>
      <c r="I1216" s="60" t="str">
        <f>IF(ORCAMENTOS!J1224="","",ORCAMENTOS!J1224)</f>
        <v/>
      </c>
      <c r="J1216" s="40" t="str">
        <f>IF(ORCAMENTOS!L1224="","",ORCAMENTOS!L1224)</f>
        <v>FECHADO</v>
      </c>
      <c r="K1216" s="34" t="str">
        <f>IF(ORCAMENTOS!M1224="","",ORCAMENTOS!M1224)</f>
        <v/>
      </c>
      <c r="L1216" t="str">
        <f>IF(ORCAMENTOS!R1224="","",ORCAMENTOS!R1224)</f>
        <v/>
      </c>
    </row>
    <row r="1217" spans="1:12" ht="15.75" hidden="1" customHeight="1" x14ac:dyDescent="0.25">
      <c r="A1217" s="36">
        <f>IF(ORCAMENTOS!A1225="","",ORCAMENTOS!A1225)</f>
        <v>45853</v>
      </c>
      <c r="B1217" s="46">
        <f>IF(ORCAMENTOS!B1225="","",ORCAMENTOS!B1225)</f>
        <v>1216</v>
      </c>
      <c r="C1217" s="46" t="str">
        <f>IF(ORCAMENTOS!C1225="","",ORCAMENTOS!C1225)</f>
        <v/>
      </c>
      <c r="D1217" s="37" t="str">
        <f>IF(ORCAMENTOS!D1225="","",ORCAMENTOS!D1225)</f>
        <v>AR SET</v>
      </c>
      <c r="E1217" s="38" t="str">
        <f>IF(ORCAMENTOS!E1225="","",ORCAMENTOS!E1225)</f>
        <v>PANPHARMA</v>
      </c>
      <c r="F1217" s="37" t="str">
        <f>IF(ORCAMENTOS!G1225="","",ORCAMENTOS!G1225)</f>
        <v>Fernando</v>
      </c>
      <c r="G1217" s="37" t="str">
        <f>IF(ORCAMENTOS!H1225="","",ORCAMENTOS!H1225)</f>
        <v>Lais</v>
      </c>
      <c r="H1217" s="39">
        <f>IF(ORCAMENTOS!I1225="","",ORCAMENTOS!I1225)</f>
        <v>2015.13</v>
      </c>
      <c r="I1217" s="60" t="str">
        <f>IF(ORCAMENTOS!J1225="","",ORCAMENTOS!J1225)</f>
        <v/>
      </c>
      <c r="J1217" s="40" t="str">
        <f>IF(ORCAMENTOS!L1225="","",ORCAMENTOS!L1225)</f>
        <v>FECHADO</v>
      </c>
      <c r="K1217" s="34" t="str">
        <f>IF(ORCAMENTOS!M1225="","",ORCAMENTOS!M1225)</f>
        <v/>
      </c>
      <c r="L1217" t="str">
        <f>IF(ORCAMENTOS!R1225="","",ORCAMENTOS!R1225)</f>
        <v/>
      </c>
    </row>
    <row r="1218" spans="1:12" ht="15.75" hidden="1" customHeight="1" x14ac:dyDescent="0.25">
      <c r="A1218" s="36">
        <f>IF(ORCAMENTOS!A1226="","",ORCAMENTOS!A1226)</f>
        <v>45853</v>
      </c>
      <c r="B1218" s="46">
        <f>IF(ORCAMENTOS!B1226="","",ORCAMENTOS!B1226)</f>
        <v>1217</v>
      </c>
      <c r="C1218" s="46" t="str">
        <f>IF(ORCAMENTOS!C1226="","",ORCAMENTOS!C1226)</f>
        <v/>
      </c>
      <c r="D1218" s="37" t="str">
        <f>IF(ORCAMENTOS!D1226="","",ORCAMENTOS!D1226)</f>
        <v>PU DUTOS</v>
      </c>
      <c r="E1218" s="38" t="str">
        <f>IF(ORCAMENTOS!E1226="","",ORCAMENTOS!E1226)</f>
        <v>DIOGO FARIA MOREIRA - FRANCA-SP</v>
      </c>
      <c r="F1218" s="37" t="str">
        <f>IF(ORCAMENTOS!G1226="","",ORCAMENTOS!G1226)</f>
        <v>Gabriel</v>
      </c>
      <c r="G1218" s="37" t="str">
        <f>IF(ORCAMENTOS!H1226="","",ORCAMENTOS!H1226)</f>
        <v>Thiago</v>
      </c>
      <c r="H1218" s="39">
        <f>IF(ORCAMENTOS!I1226="","",ORCAMENTOS!I1226)</f>
        <v>25454.13</v>
      </c>
      <c r="I1218" s="60" t="str">
        <f>IF(ORCAMENTOS!J1226="","",ORCAMENTOS!J1226)</f>
        <v/>
      </c>
      <c r="J1218" s="40" t="str">
        <f>IF(ORCAMENTOS!L1226="","",ORCAMENTOS!L1226)</f>
        <v>CANCELADO</v>
      </c>
      <c r="K1218" s="34" t="str">
        <f>IF(ORCAMENTOS!M1226="","",ORCAMENTOS!M1226)</f>
        <v/>
      </c>
      <c r="L1218" t="str">
        <f>IF(ORCAMENTOS!R1226="","",ORCAMENTOS!R1226)</f>
        <v/>
      </c>
    </row>
    <row r="1219" spans="1:12" ht="15.75" hidden="1" customHeight="1" x14ac:dyDescent="0.25">
      <c r="A1219" s="36">
        <f>IF(ORCAMENTOS!A1227="","",ORCAMENTOS!A1227)</f>
        <v>45853</v>
      </c>
      <c r="B1219" s="46">
        <f>IF(ORCAMENTOS!B1227="","",ORCAMENTOS!B1227)</f>
        <v>1218</v>
      </c>
      <c r="C1219" s="46" t="str">
        <f>IF(ORCAMENTOS!C1227="","",ORCAMENTOS!C1227)</f>
        <v/>
      </c>
      <c r="D1219" s="37" t="str">
        <f>IF(ORCAMENTOS!D1227="","",ORCAMENTOS!D1227)</f>
        <v>AWA AR CONDICIONADO</v>
      </c>
      <c r="E1219" s="38" t="str">
        <f>IF(ORCAMENTOS!E1227="","",ORCAMENTOS!E1227)</f>
        <v>HIPER TERESINA</v>
      </c>
      <c r="F1219" s="37" t="str">
        <f>IF(ORCAMENTOS!G1227="","",ORCAMENTOS!G1227)</f>
        <v>Guilherme</v>
      </c>
      <c r="G1219" s="37" t="str">
        <f>IF(ORCAMENTOS!H1227="","",ORCAMENTOS!H1227)</f>
        <v>Marcela</v>
      </c>
      <c r="H1219" s="39">
        <f>IF(ORCAMENTOS!I1227="","",ORCAMENTOS!I1227)</f>
        <v>16914.23</v>
      </c>
      <c r="I1219" s="60" t="str">
        <f>IF(ORCAMENTOS!J1227="","",ORCAMENTOS!J1227)</f>
        <v/>
      </c>
      <c r="J1219" s="40" t="str">
        <f>IF(ORCAMENTOS!L1227="","",ORCAMENTOS!L1227)</f>
        <v>FECHADO</v>
      </c>
      <c r="K1219" s="34" t="str">
        <f>IF(ORCAMENTOS!M1227="","",ORCAMENTOS!M1227)</f>
        <v/>
      </c>
      <c r="L1219" t="str">
        <f>IF(ORCAMENTOS!R1227="","",ORCAMENTOS!R1227)</f>
        <v/>
      </c>
    </row>
    <row r="1220" spans="1:12" ht="15.75" hidden="1" customHeight="1" x14ac:dyDescent="0.25">
      <c r="A1220" s="36">
        <f>IF(ORCAMENTOS!A1228="","",ORCAMENTOS!A1228)</f>
        <v>45854</v>
      </c>
      <c r="B1220" s="46">
        <f>IF(ORCAMENTOS!B1228="","",ORCAMENTOS!B1228)</f>
        <v>1219</v>
      </c>
      <c r="C1220" s="46" t="str">
        <f>IF(ORCAMENTOS!C1228="","",ORCAMENTOS!C1228)</f>
        <v/>
      </c>
      <c r="D1220" s="37" t="str">
        <f>IF(ORCAMENTOS!D1228="","",ORCAMENTOS!D1228)</f>
        <v>R1 SOLUCOES</v>
      </c>
      <c r="E1220" s="38" t="str">
        <f>IF(ORCAMENTOS!E1228="","",ORCAMENTOS!E1228)</f>
        <v>CINEPOLIS MANAUS - SHOPPING PONTA NEGRA - AM</v>
      </c>
      <c r="F1220" s="37" t="str">
        <f>IF(ORCAMENTOS!G1228="","",ORCAMENTOS!G1228)</f>
        <v>Gabriel</v>
      </c>
      <c r="G1220" s="37" t="str">
        <f>IF(ORCAMENTOS!H1228="","",ORCAMENTOS!H1228)</f>
        <v>Janaina</v>
      </c>
      <c r="H1220" s="39">
        <f>IF(ORCAMENTOS!I1228="","",ORCAMENTOS!I1228)</f>
        <v>51885.35</v>
      </c>
      <c r="I1220" s="60" t="str">
        <f>IF(ORCAMENTOS!J1228="","",ORCAMENTOS!J1228)</f>
        <v/>
      </c>
      <c r="J1220" s="40" t="str">
        <f>IF(ORCAMENTOS!L1228="","",ORCAMENTOS!L1228)</f>
        <v>FECHADO</v>
      </c>
      <c r="K1220" s="34" t="str">
        <f>IF(ORCAMENTOS!M1228="","",ORCAMENTOS!M1228)</f>
        <v/>
      </c>
      <c r="L1220" t="str">
        <f>IF(ORCAMENTOS!R1228="","",ORCAMENTOS!R1228)</f>
        <v/>
      </c>
    </row>
    <row r="1221" spans="1:12" ht="15.75" hidden="1" customHeight="1" x14ac:dyDescent="0.25">
      <c r="A1221" s="36">
        <f>IF(ORCAMENTOS!A1229="","",ORCAMENTOS!A1229)</f>
        <v>45853</v>
      </c>
      <c r="B1221" s="46">
        <f>IF(ORCAMENTOS!B1229="","",ORCAMENTOS!B1229)</f>
        <v>1220</v>
      </c>
      <c r="C1221" s="46" t="str">
        <f>IF(ORCAMENTOS!C1229="","",ORCAMENTOS!C1229)</f>
        <v/>
      </c>
      <c r="D1221" s="37" t="str">
        <f>IF(ORCAMENTOS!D1229="","",ORCAMENTOS!D1229)</f>
        <v>TECON TECNOLOGIA</v>
      </c>
      <c r="E1221" s="38" t="str">
        <f>IF(ORCAMENTOS!E1229="","",ORCAMENTOS!E1229)</f>
        <v>FORO PELOTAS</v>
      </c>
      <c r="F1221" s="37" t="str">
        <f>IF(ORCAMENTOS!G1229="","",ORCAMENTOS!G1229)</f>
        <v>Guilherme</v>
      </c>
      <c r="G1221" s="37" t="str">
        <f>IF(ORCAMENTOS!H1229="","",ORCAMENTOS!H1229)</f>
        <v>Gerson</v>
      </c>
      <c r="H1221" s="39">
        <f>IF(ORCAMENTOS!I1229="","",ORCAMENTOS!I1229)</f>
        <v>619.9</v>
      </c>
      <c r="I1221" s="60" t="str">
        <f>IF(ORCAMENTOS!J1229="","",ORCAMENTOS!J1229)</f>
        <v/>
      </c>
      <c r="J1221" s="40" t="str">
        <f>IF(ORCAMENTOS!L1229="","",ORCAMENTOS!L1229)</f>
        <v>CANCELADO</v>
      </c>
      <c r="K1221" s="34" t="str">
        <f>IF(ORCAMENTOS!M1229="","",ORCAMENTOS!M1229)</f>
        <v/>
      </c>
      <c r="L1221" t="str">
        <f>IF(ORCAMENTOS!R1229="","",ORCAMENTOS!R1229)</f>
        <v/>
      </c>
    </row>
    <row r="1222" spans="1:12" ht="15.75" hidden="1" customHeight="1" x14ac:dyDescent="0.25">
      <c r="A1222" s="36">
        <f>IF(ORCAMENTOS!A1230="","",ORCAMENTOS!A1230)</f>
        <v>45854</v>
      </c>
      <c r="B1222" s="46">
        <f>IF(ORCAMENTOS!B1230="","",ORCAMENTOS!B1230)</f>
        <v>1221</v>
      </c>
      <c r="C1222" s="46" t="str">
        <f>IF(ORCAMENTOS!C1230="","",ORCAMENTOS!C1230)</f>
        <v/>
      </c>
      <c r="D1222" s="37" t="str">
        <f>IF(ORCAMENTOS!D1230="","",ORCAMENTOS!D1230)</f>
        <v>DUPLIX ENGENHARIA</v>
      </c>
      <c r="E1222" s="38" t="str">
        <f>IF(ORCAMENTOS!E1230="","",ORCAMENTOS!E1230)</f>
        <v/>
      </c>
      <c r="F1222" s="37" t="str">
        <f>IF(ORCAMENTOS!G1230="","",ORCAMENTOS!G1230)</f>
        <v>Emanuel</v>
      </c>
      <c r="G1222" s="37" t="str">
        <f>IF(ORCAMENTOS!H1230="","",ORCAMENTOS!H1230)</f>
        <v>João</v>
      </c>
      <c r="H1222" s="39">
        <f>IF(ORCAMENTOS!I1230="","",ORCAMENTOS!I1230)</f>
        <v>873.14</v>
      </c>
      <c r="I1222" s="60" t="str">
        <f>IF(ORCAMENTOS!J1230="","",ORCAMENTOS!J1230)</f>
        <v/>
      </c>
      <c r="J1222" s="40" t="str">
        <f>IF(ORCAMENTOS!L1230="","",ORCAMENTOS!L1230)</f>
        <v>FECHADO</v>
      </c>
      <c r="K1222" s="34" t="str">
        <f>IF(ORCAMENTOS!M1230="","",ORCAMENTOS!M1230)</f>
        <v/>
      </c>
      <c r="L1222" t="str">
        <f>IF(ORCAMENTOS!R1230="","",ORCAMENTOS!R1230)</f>
        <v/>
      </c>
    </row>
    <row r="1223" spans="1:12" ht="15.75" hidden="1" customHeight="1" x14ac:dyDescent="0.25">
      <c r="A1223" s="36">
        <f>IF(ORCAMENTOS!A1231="","",ORCAMENTOS!A1231)</f>
        <v>45854</v>
      </c>
      <c r="B1223" s="46">
        <f>IF(ORCAMENTOS!B1231="","",ORCAMENTOS!B1231)</f>
        <v>1222</v>
      </c>
      <c r="C1223" s="46" t="str">
        <f>IF(ORCAMENTOS!C1231="","",ORCAMENTOS!C1231)</f>
        <v/>
      </c>
      <c r="D1223" s="37" t="str">
        <f>IF(ORCAMENTOS!D1231="","",ORCAMENTOS!D1231)</f>
        <v>ART AR</v>
      </c>
      <c r="E1223" s="38" t="str">
        <f>IF(ORCAMENTOS!E1231="","",ORCAMENTOS!E1231)</f>
        <v>YOUCOM - SHOPPING LESTE ARICANDUVA - SP</v>
      </c>
      <c r="F1223" s="37" t="str">
        <f>IF(ORCAMENTOS!G1231="","",ORCAMENTOS!G1231)</f>
        <v>Emanuel</v>
      </c>
      <c r="G1223" s="37" t="str">
        <f>IF(ORCAMENTOS!H1231="","",ORCAMENTOS!H1231)</f>
        <v>Jorge</v>
      </c>
      <c r="H1223" s="39">
        <f>IF(ORCAMENTOS!I1231="","",ORCAMENTOS!I1231)</f>
        <v>3260.94</v>
      </c>
      <c r="I1223" s="60" t="str">
        <f>IF(ORCAMENTOS!J1231="","",ORCAMENTOS!J1231)</f>
        <v/>
      </c>
      <c r="J1223" s="40" t="str">
        <f>IF(ORCAMENTOS!L1231="","",ORCAMENTOS!L1231)</f>
        <v>FECHADO</v>
      </c>
      <c r="K1223" s="34" t="str">
        <f>IF(ORCAMENTOS!M1231="","",ORCAMENTOS!M1231)</f>
        <v/>
      </c>
      <c r="L1223" t="str">
        <f>IF(ORCAMENTOS!R1231="","",ORCAMENTOS!R1231)</f>
        <v/>
      </c>
    </row>
    <row r="1224" spans="1:12" ht="15.75" hidden="1" customHeight="1" x14ac:dyDescent="0.25">
      <c r="A1224" s="36">
        <f>IF(ORCAMENTOS!A1232="","",ORCAMENTOS!A1232)</f>
        <v>45853</v>
      </c>
      <c r="B1224" s="46">
        <f>IF(ORCAMENTOS!B1232="","",ORCAMENTOS!B1232)</f>
        <v>1223</v>
      </c>
      <c r="C1224" s="46" t="str">
        <f>IF(ORCAMENTOS!C1232="","",ORCAMENTOS!C1232)</f>
        <v/>
      </c>
      <c r="D1224" s="37" t="str">
        <f>IF(ORCAMENTOS!D1232="","",ORCAMENTOS!D1232)</f>
        <v>AR SET</v>
      </c>
      <c r="E1224" s="38" t="str">
        <f>IF(ORCAMENTOS!E1232="","",ORCAMENTOS!E1232)</f>
        <v/>
      </c>
      <c r="F1224" s="37" t="str">
        <f>IF(ORCAMENTOS!G1232="","",ORCAMENTOS!G1232)</f>
        <v>Fernando</v>
      </c>
      <c r="G1224" s="37" t="str">
        <f>IF(ORCAMENTOS!H1232="","",ORCAMENTOS!H1232)</f>
        <v>Lais</v>
      </c>
      <c r="H1224" s="39">
        <f>IF(ORCAMENTOS!I1232="","",ORCAMENTOS!I1232)</f>
        <v>2057.9699999999998</v>
      </c>
      <c r="I1224" s="60" t="str">
        <f>IF(ORCAMENTOS!J1232="","",ORCAMENTOS!J1232)</f>
        <v/>
      </c>
      <c r="J1224" s="40" t="str">
        <f>IF(ORCAMENTOS!L1232="","",ORCAMENTOS!L1232)</f>
        <v>FECHADO</v>
      </c>
      <c r="K1224" s="34" t="str">
        <f>IF(ORCAMENTOS!M1232="","",ORCAMENTOS!M1232)</f>
        <v/>
      </c>
      <c r="L1224" t="str">
        <f>IF(ORCAMENTOS!R1232="","",ORCAMENTOS!R1232)</f>
        <v/>
      </c>
    </row>
    <row r="1225" spans="1:12" ht="15.75" hidden="1" customHeight="1" x14ac:dyDescent="0.25">
      <c r="A1225" s="36">
        <f>IF(ORCAMENTOS!A1233="","",ORCAMENTOS!A1233)</f>
        <v>45854</v>
      </c>
      <c r="B1225" s="46">
        <f>IF(ORCAMENTOS!B1233="","",ORCAMENTOS!B1233)</f>
        <v>1224</v>
      </c>
      <c r="C1225" s="46" t="str">
        <f>IF(ORCAMENTOS!C1233="","",ORCAMENTOS!C1233)</f>
        <v/>
      </c>
      <c r="D1225" s="37" t="str">
        <f>IF(ORCAMENTOS!D1233="","",ORCAMENTOS!D1233)</f>
        <v>ARCLEAN</v>
      </c>
      <c r="E1225" s="38" t="str">
        <f>IF(ORCAMENTOS!E1233="","",ORCAMENTOS!E1233)</f>
        <v>AENA Campo Grande</v>
      </c>
      <c r="F1225" s="37" t="str">
        <f>IF(ORCAMENTOS!G1233="","",ORCAMENTOS!G1233)</f>
        <v xml:space="preserve">Aldavir </v>
      </c>
      <c r="G1225" s="37" t="str">
        <f>IF(ORCAMENTOS!H1233="","",ORCAMENTOS!H1233)</f>
        <v>Melanie</v>
      </c>
      <c r="H1225" s="39">
        <f>IF(ORCAMENTOS!I1233="","",ORCAMENTOS!I1233)</f>
        <v>266393.31</v>
      </c>
      <c r="I1225" s="60" t="str">
        <f>IF(ORCAMENTOS!J1233="","",ORCAMENTOS!J1233)</f>
        <v/>
      </c>
      <c r="J1225" s="40" t="str">
        <f>IF(ORCAMENTOS!L1233="","",ORCAMENTOS!L1233)</f>
        <v>CANCELADO</v>
      </c>
      <c r="K1225" s="34" t="str">
        <f>IF(ORCAMENTOS!M1233="","",ORCAMENTOS!M1233)</f>
        <v>OBRA DA M&amp;M</v>
      </c>
      <c r="L1225" t="str">
        <f>IF(ORCAMENTOS!R1233="","",ORCAMENTOS!R1233)</f>
        <v/>
      </c>
    </row>
    <row r="1226" spans="1:12" ht="15.75" hidden="1" customHeight="1" x14ac:dyDescent="0.25">
      <c r="A1226" s="36">
        <f>IF(ORCAMENTOS!A1234="","",ORCAMENTOS!A1234)</f>
        <v>45854</v>
      </c>
      <c r="B1226" s="46">
        <f>IF(ORCAMENTOS!B1234="","",ORCAMENTOS!B1234)</f>
        <v>1225</v>
      </c>
      <c r="C1226" s="46" t="str">
        <f>IF(ORCAMENTOS!C1234="","",ORCAMENTOS!C1234)</f>
        <v/>
      </c>
      <c r="D1226" s="37" t="str">
        <f>IF(ORCAMENTOS!D1234="","",ORCAMENTOS!D1234)</f>
        <v>AWA AR CONDICIONADO</v>
      </c>
      <c r="E1226" s="38" t="str">
        <f>IF(ORCAMENTOS!E1234="","",ORCAMENTOS!E1234)</f>
        <v>CS MOBI - MERCADO MUNICIPAL CUIABÁ</v>
      </c>
      <c r="F1226" s="37" t="str">
        <f>IF(ORCAMENTOS!G1234="","",ORCAMENTOS!G1234)</f>
        <v>Guilherme</v>
      </c>
      <c r="G1226" s="37" t="str">
        <f>IF(ORCAMENTOS!H1234="","",ORCAMENTOS!H1234)</f>
        <v>Paula</v>
      </c>
      <c r="H1226" s="39">
        <f>IF(ORCAMENTOS!I1234="","",ORCAMENTOS!I1234)</f>
        <v>100497.67</v>
      </c>
      <c r="I1226" s="60" t="str">
        <f>IF(ORCAMENTOS!J1234="","",ORCAMENTOS!J1234)</f>
        <v/>
      </c>
      <c r="J1226" s="40" t="str">
        <f>IF(ORCAMENTOS!L1234="","",ORCAMENTOS!L1234)</f>
        <v>FECHADO</v>
      </c>
      <c r="K1226" s="34" t="str">
        <f>IF(ORCAMENTOS!M1234="","",ORCAMENTOS!M1234)</f>
        <v>AGUARDANDO PEDIDO</v>
      </c>
      <c r="L1226" t="str">
        <f>IF(ORCAMENTOS!R1234="","",ORCAMENTOS!R1234)</f>
        <v/>
      </c>
    </row>
    <row r="1227" spans="1:12" ht="15.75" hidden="1" customHeight="1" x14ac:dyDescent="0.25">
      <c r="A1227" s="36">
        <f>IF(ORCAMENTOS!A1235="","",ORCAMENTOS!A1235)</f>
        <v>45854</v>
      </c>
      <c r="B1227" s="46">
        <f>IF(ORCAMENTOS!B1235="","",ORCAMENTOS!B1235)</f>
        <v>1226</v>
      </c>
      <c r="C1227" s="46" t="str">
        <f>IF(ORCAMENTOS!C1235="","",ORCAMENTOS!C1235)</f>
        <v/>
      </c>
      <c r="D1227" s="37" t="str">
        <f>IF(ORCAMENTOS!D1235="","",ORCAMENTOS!D1235)</f>
        <v>ARCON AIR</v>
      </c>
      <c r="E1227" s="38" t="str">
        <f>IF(ORCAMENTOS!E1235="","",ORCAMENTOS!E1235)</f>
        <v>HP VIDA - BRIGADEIRO LUIZ ANTONIO</v>
      </c>
      <c r="F1227" s="37" t="str">
        <f>IF(ORCAMENTOS!G1235="","",ORCAMENTOS!G1235)</f>
        <v>Michel</v>
      </c>
      <c r="G1227" s="37" t="str">
        <f>IF(ORCAMENTOS!H1235="","",ORCAMENTOS!H1235)</f>
        <v>Camila</v>
      </c>
      <c r="H1227" s="39">
        <f>IF(ORCAMENTOS!I1235="","",ORCAMENTOS!I1235)</f>
        <v>3026.05</v>
      </c>
      <c r="I1227" s="60" t="str">
        <f>IF(ORCAMENTOS!J1235="","",ORCAMENTOS!J1235)</f>
        <v/>
      </c>
      <c r="J1227" s="40" t="str">
        <f>IF(ORCAMENTOS!L1235="","",ORCAMENTOS!L1235)</f>
        <v>FECHADO</v>
      </c>
      <c r="K1227" s="34" t="str">
        <f>IF(ORCAMENTOS!M1235="","",ORCAMENTOS!M1235)</f>
        <v/>
      </c>
      <c r="L1227" t="str">
        <f>IF(ORCAMENTOS!R1235="","",ORCAMENTOS!R1235)</f>
        <v/>
      </c>
    </row>
    <row r="1228" spans="1:12" ht="15.75" hidden="1" customHeight="1" x14ac:dyDescent="0.25">
      <c r="A1228" s="36">
        <f>IF(ORCAMENTOS!A1236="","",ORCAMENTOS!A1236)</f>
        <v>45862</v>
      </c>
      <c r="B1228" s="46">
        <f>IF(ORCAMENTOS!B1236="","",ORCAMENTOS!B1236)</f>
        <v>1227</v>
      </c>
      <c r="C1228" s="46" t="str">
        <f>IF(ORCAMENTOS!C1236="","",ORCAMENTOS!C1236)</f>
        <v/>
      </c>
      <c r="D1228" s="37" t="str">
        <f>IF(ORCAMENTOS!D1236="","",ORCAMENTOS!D1236)</f>
        <v>LS AR CONDICIONADO</v>
      </c>
      <c r="E1228" s="38" t="str">
        <f>IF(ORCAMENTOS!E1236="","",ORCAMENTOS!E1236)</f>
        <v>GBA ADVOGADOS - SPARK - 11º PAVTO</v>
      </c>
      <c r="F1228" s="37" t="str">
        <f>IF(ORCAMENTOS!G1236="","",ORCAMENTOS!G1236)</f>
        <v>Fernando</v>
      </c>
      <c r="G1228" s="37" t="str">
        <f>IF(ORCAMENTOS!H1236="","",ORCAMENTOS!H1236)</f>
        <v>Leonardo</v>
      </c>
      <c r="H1228" s="39">
        <f>IF(ORCAMENTOS!I1236="","",ORCAMENTOS!I1236)</f>
        <v>30960.38</v>
      </c>
      <c r="I1228" s="60" t="str">
        <f>IF(ORCAMENTOS!J1236="","",ORCAMENTOS!J1236)</f>
        <v/>
      </c>
      <c r="J1228" s="40" t="str">
        <f>IF(ORCAMENTOS!L1236="","",ORCAMENTOS!L1236)</f>
        <v>PERDIDO</v>
      </c>
      <c r="K1228" s="34" t="str">
        <f>IF(ORCAMENTOS!M1236="","",ORCAMENTOS!M1236)</f>
        <v>MULTIVAC - PREÇO</v>
      </c>
      <c r="L1228" t="str">
        <f>IF(ORCAMENTOS!R1236="","",ORCAMENTOS!R1236)</f>
        <v/>
      </c>
    </row>
    <row r="1229" spans="1:12" ht="15.75" hidden="1" customHeight="1" x14ac:dyDescent="0.25">
      <c r="A1229" s="36">
        <f>IF(ORCAMENTOS!A1237="","",ORCAMENTOS!A1237)</f>
        <v>45854</v>
      </c>
      <c r="B1229" s="46">
        <f>IF(ORCAMENTOS!B1237="","",ORCAMENTOS!B1237)</f>
        <v>1228</v>
      </c>
      <c r="C1229" s="46" t="str">
        <f>IF(ORCAMENTOS!C1237="","",ORCAMENTOS!C1237)</f>
        <v/>
      </c>
      <c r="D1229" s="37" t="str">
        <f>IF(ORCAMENTOS!D1237="","",ORCAMENTOS!D1237)</f>
        <v>LS AR CONDICIONADO</v>
      </c>
      <c r="E1229" s="38" t="str">
        <f>IF(ORCAMENTOS!E1237="","",ORCAMENTOS!E1237)</f>
        <v>SMART FIT - EMBU DAS ARTES-SP</v>
      </c>
      <c r="F1229" s="37" t="str">
        <f>IF(ORCAMENTOS!G1237="","",ORCAMENTOS!G1237)</f>
        <v>Fernando</v>
      </c>
      <c r="G1229" s="37" t="str">
        <f>IF(ORCAMENTOS!H1237="","",ORCAMENTOS!H1237)</f>
        <v>André</v>
      </c>
      <c r="H1229" s="39">
        <f>IF(ORCAMENTOS!I1237="","",ORCAMENTOS!I1237)</f>
        <v>61436.77</v>
      </c>
      <c r="I1229" s="60" t="str">
        <f>IF(ORCAMENTOS!J1237="","",ORCAMENTOS!J1237)</f>
        <v/>
      </c>
      <c r="J1229" s="40" t="str">
        <f>IF(ORCAMENTOS!L1237="","",ORCAMENTOS!L1237)</f>
        <v>FECHADO</v>
      </c>
      <c r="K1229" s="34" t="str">
        <f>IF(ORCAMENTOS!M1237="","",ORCAMENTOS!M1237)</f>
        <v/>
      </c>
      <c r="L1229" t="str">
        <f>IF(ORCAMENTOS!R1237="","",ORCAMENTOS!R1237)</f>
        <v/>
      </c>
    </row>
    <row r="1230" spans="1:12" ht="15.75" hidden="1" customHeight="1" x14ac:dyDescent="0.25">
      <c r="A1230" s="36">
        <f>IF(ORCAMENTOS!A1238="","",ORCAMENTOS!A1238)</f>
        <v>45854</v>
      </c>
      <c r="B1230" s="46">
        <f>IF(ORCAMENTOS!B1238="","",ORCAMENTOS!B1238)</f>
        <v>1229</v>
      </c>
      <c r="C1230" s="46" t="str">
        <f>IF(ORCAMENTOS!C1238="","",ORCAMENTOS!C1238)</f>
        <v/>
      </c>
      <c r="D1230" s="37" t="str">
        <f>IF(ORCAMENTOS!D1238="","",ORCAMENTOS!D1238)</f>
        <v>RM3 ENGENHARIA</v>
      </c>
      <c r="E1230" s="38" t="str">
        <f>IF(ORCAMENTOS!E1238="","",ORCAMENTOS!E1238)</f>
        <v>SAVEGNAGO - INDAIATUBA/SP</v>
      </c>
      <c r="F1230" s="37" t="str">
        <f>IF(ORCAMENTOS!G1238="","",ORCAMENTOS!G1238)</f>
        <v>Guilherme</v>
      </c>
      <c r="G1230" s="37" t="str">
        <f>IF(ORCAMENTOS!H1238="","",ORCAMENTOS!H1238)</f>
        <v>Diego</v>
      </c>
      <c r="H1230" s="39">
        <f>IF(ORCAMENTOS!I1238="","",ORCAMENTOS!I1238)</f>
        <v>173304.61</v>
      </c>
      <c r="I1230" s="60" t="str">
        <f>IF(ORCAMENTOS!J1238="","",ORCAMENTOS!J1238)</f>
        <v/>
      </c>
      <c r="J1230" s="40" t="str">
        <f>IF(ORCAMENTOS!L1238="","",ORCAMENTOS!L1238)</f>
        <v>FECHADO</v>
      </c>
      <c r="K1230" s="34" t="str">
        <f>IF(ORCAMENTOS!M1238="","",ORCAMENTOS!M1238)</f>
        <v>AGUARDANDO PEDIDO</v>
      </c>
      <c r="L1230" t="str">
        <f>IF(ORCAMENTOS!R1238="","",ORCAMENTOS!R1238)</f>
        <v/>
      </c>
    </row>
    <row r="1231" spans="1:12" ht="15.75" hidden="1" customHeight="1" x14ac:dyDescent="0.25">
      <c r="A1231" s="36">
        <f>IF(ORCAMENTOS!A1239="","",ORCAMENTOS!A1239)</f>
        <v>45854</v>
      </c>
      <c r="B1231" s="46">
        <f>IF(ORCAMENTOS!B1239="","",ORCAMENTOS!B1239)</f>
        <v>1230</v>
      </c>
      <c r="C1231" s="46" t="str">
        <f>IF(ORCAMENTOS!C1239="","",ORCAMENTOS!C1239)</f>
        <v/>
      </c>
      <c r="D1231" s="37" t="str">
        <f>IF(ORCAMENTOS!D1239="","",ORCAMENTOS!D1239)</f>
        <v>RM3 ENGENHARIA</v>
      </c>
      <c r="E1231" s="38" t="str">
        <f>IF(ORCAMENTOS!E1239="","",ORCAMENTOS!E1239)</f>
        <v>SAVEGNAGO - SERTÃOZINHO/SP</v>
      </c>
      <c r="F1231" s="37" t="str">
        <f>IF(ORCAMENTOS!G1239="","",ORCAMENTOS!G1239)</f>
        <v>Guilherme</v>
      </c>
      <c r="G1231" s="37" t="str">
        <f>IF(ORCAMENTOS!H1239="","",ORCAMENTOS!H1239)</f>
        <v>Diego</v>
      </c>
      <c r="H1231" s="39">
        <f>IF(ORCAMENTOS!I1239="","",ORCAMENTOS!I1239)</f>
        <v>225665.78</v>
      </c>
      <c r="I1231" s="60" t="str">
        <f>IF(ORCAMENTOS!J1239="","",ORCAMENTOS!J1239)</f>
        <v/>
      </c>
      <c r="J1231" s="40" t="str">
        <f>IF(ORCAMENTOS!L1239="","",ORCAMENTOS!L1239)</f>
        <v>FECHADO</v>
      </c>
      <c r="K1231" s="34" t="str">
        <f>IF(ORCAMENTOS!M1239="","",ORCAMENTOS!M1239)</f>
        <v>AGUARDANDO PEDIDO</v>
      </c>
      <c r="L1231" t="str">
        <f>IF(ORCAMENTOS!R1239="","",ORCAMENTOS!R1239)</f>
        <v/>
      </c>
    </row>
    <row r="1232" spans="1:12" ht="15.75" hidden="1" customHeight="1" x14ac:dyDescent="0.25">
      <c r="A1232" s="36">
        <f>IF(ORCAMENTOS!A1240="","",ORCAMENTOS!A1240)</f>
        <v>45854</v>
      </c>
      <c r="B1232" s="46">
        <f>IF(ORCAMENTOS!B1240="","",ORCAMENTOS!B1240)</f>
        <v>1231</v>
      </c>
      <c r="C1232" s="46" t="str">
        <f>IF(ORCAMENTOS!C1240="","",ORCAMENTOS!C1240)</f>
        <v/>
      </c>
      <c r="D1232" s="37" t="str">
        <f>IF(ORCAMENTOS!D1240="","",ORCAMENTOS!D1240)</f>
        <v>RECLIMA</v>
      </c>
      <c r="E1232" s="38" t="str">
        <f>IF(ORCAMENTOS!E1240="","",ORCAMENTOS!E1240)</f>
        <v/>
      </c>
      <c r="F1232" s="37" t="str">
        <f>IF(ORCAMENTOS!G1240="","",ORCAMENTOS!G1240)</f>
        <v>Michel</v>
      </c>
      <c r="G1232" s="37" t="str">
        <f>IF(ORCAMENTOS!H1240="","",ORCAMENTOS!H1240)</f>
        <v>Renata</v>
      </c>
      <c r="H1232" s="39">
        <f>IF(ORCAMENTOS!I1240="","",ORCAMENTOS!I1240)</f>
        <v>8658.23</v>
      </c>
      <c r="I1232" s="60" t="str">
        <f>IF(ORCAMENTOS!J1240="","",ORCAMENTOS!J1240)</f>
        <v/>
      </c>
      <c r="J1232" s="40" t="str">
        <f>IF(ORCAMENTOS!L1240="","",ORCAMENTOS!L1240)</f>
        <v>FECHADO</v>
      </c>
      <c r="K1232" s="34" t="str">
        <f>IF(ORCAMENTOS!M1240="","",ORCAMENTOS!M1240)</f>
        <v/>
      </c>
      <c r="L1232" t="str">
        <f>IF(ORCAMENTOS!R1240="","",ORCAMENTOS!R1240)</f>
        <v/>
      </c>
    </row>
    <row r="1233" spans="1:12" ht="15.75" hidden="1" customHeight="1" x14ac:dyDescent="0.25">
      <c r="A1233" s="36">
        <f>IF(ORCAMENTOS!A1241="","",ORCAMENTOS!A1241)</f>
        <v>45854</v>
      </c>
      <c r="B1233" s="46">
        <f>IF(ORCAMENTOS!B1241="","",ORCAMENTOS!B1241)</f>
        <v>1232</v>
      </c>
      <c r="C1233" s="46" t="str">
        <f>IF(ORCAMENTOS!C1241="","",ORCAMENTOS!C1241)</f>
        <v/>
      </c>
      <c r="D1233" s="37" t="str">
        <f>IF(ORCAMENTOS!D1241="","",ORCAMENTOS!D1241)</f>
        <v>EKO CLIMAX</v>
      </c>
      <c r="E1233" s="38" t="str">
        <f>IF(ORCAMENTOS!E1241="","",ORCAMENTOS!E1241)</f>
        <v/>
      </c>
      <c r="F1233" s="37" t="str">
        <f>IF(ORCAMENTOS!G1241="","",ORCAMENTOS!G1241)</f>
        <v>Michel</v>
      </c>
      <c r="G1233" s="37" t="str">
        <f>IF(ORCAMENTOS!H1241="","",ORCAMENTOS!H1241)</f>
        <v>Rogerio</v>
      </c>
      <c r="H1233" s="39">
        <f>IF(ORCAMENTOS!I1241="","",ORCAMENTOS!I1241)</f>
        <v>6154.39</v>
      </c>
      <c r="I1233" s="60" t="str">
        <f>IF(ORCAMENTOS!J1241="","",ORCAMENTOS!J1241)</f>
        <v/>
      </c>
      <c r="J1233" s="40" t="str">
        <f>IF(ORCAMENTOS!L1241="","",ORCAMENTOS!L1241)</f>
        <v>FECHADO</v>
      </c>
      <c r="K1233" s="34" t="str">
        <f>IF(ORCAMENTOS!M1241="","",ORCAMENTOS!M1241)</f>
        <v/>
      </c>
      <c r="L1233" t="str">
        <f>IF(ORCAMENTOS!R1241="","",ORCAMENTOS!R1241)</f>
        <v/>
      </c>
    </row>
    <row r="1234" spans="1:12" ht="15.75" hidden="1" customHeight="1" x14ac:dyDescent="0.25">
      <c r="A1234" s="36">
        <f>IF(ORCAMENTOS!A1242="","",ORCAMENTOS!A1242)</f>
        <v>45854</v>
      </c>
      <c r="B1234" s="46">
        <f>IF(ORCAMENTOS!B1242="","",ORCAMENTOS!B1242)</f>
        <v>1233</v>
      </c>
      <c r="C1234" s="46" t="str">
        <f>IF(ORCAMENTOS!C1242="","",ORCAMENTOS!C1242)</f>
        <v/>
      </c>
      <c r="D1234" s="37" t="str">
        <f>IF(ORCAMENTOS!D1242="","",ORCAMENTOS!D1242)</f>
        <v>TEKNOAR</v>
      </c>
      <c r="E1234" s="38" t="str">
        <f>IF(ORCAMENTOS!E1242="","",ORCAMENTOS!E1242)</f>
        <v/>
      </c>
      <c r="F1234" s="37" t="str">
        <f>IF(ORCAMENTOS!G1242="","",ORCAMENTOS!G1242)</f>
        <v>Gabriel</v>
      </c>
      <c r="G1234" s="37" t="str">
        <f>IF(ORCAMENTOS!H1242="","",ORCAMENTOS!H1242)</f>
        <v>Mario</v>
      </c>
      <c r="H1234" s="39">
        <f>IF(ORCAMENTOS!I1242="","",ORCAMENTOS!I1242)</f>
        <v>2089.46</v>
      </c>
      <c r="I1234" s="60" t="str">
        <f>IF(ORCAMENTOS!J1242="","",ORCAMENTOS!J1242)</f>
        <v/>
      </c>
      <c r="J1234" s="40" t="str">
        <f>IF(ORCAMENTOS!L1242="","",ORCAMENTOS!L1242)</f>
        <v>FECHADO</v>
      </c>
      <c r="K1234" s="34" t="str">
        <f>IF(ORCAMENTOS!M1242="","",ORCAMENTOS!M1242)</f>
        <v/>
      </c>
      <c r="L1234" t="str">
        <f>IF(ORCAMENTOS!R1242="","",ORCAMENTOS!R1242)</f>
        <v/>
      </c>
    </row>
    <row r="1235" spans="1:12" ht="15.75" hidden="1" customHeight="1" x14ac:dyDescent="0.25">
      <c r="A1235" s="36">
        <f>IF(ORCAMENTOS!A1243="","",ORCAMENTOS!A1243)</f>
        <v>45854</v>
      </c>
      <c r="B1235" s="46">
        <f>IF(ORCAMENTOS!B1243="","",ORCAMENTOS!B1243)</f>
        <v>1234</v>
      </c>
      <c r="C1235" s="46" t="str">
        <f>IF(ORCAMENTOS!C1243="","",ORCAMENTOS!C1243)</f>
        <v/>
      </c>
      <c r="D1235" s="37" t="str">
        <f>IF(ORCAMENTOS!D1243="","",ORCAMENTOS!D1243)</f>
        <v>NP CLIMATIZAÇÃO</v>
      </c>
      <c r="E1235" s="38" t="str">
        <f>IF(ORCAMENTOS!E1243="","",ORCAMENTOS!E1243)</f>
        <v>CHAN YOUNG KOO</v>
      </c>
      <c r="F1235" s="37" t="str">
        <f>IF(ORCAMENTOS!G1243="","",ORCAMENTOS!G1243)</f>
        <v>Guilherme</v>
      </c>
      <c r="G1235" s="37" t="str">
        <f>IF(ORCAMENTOS!H1243="","",ORCAMENTOS!H1243)</f>
        <v>Maria Luisa</v>
      </c>
      <c r="H1235" s="39">
        <f>IF(ORCAMENTOS!I1243="","",ORCAMENTOS!I1243)</f>
        <v>5725.58</v>
      </c>
      <c r="I1235" s="60" t="str">
        <f>IF(ORCAMENTOS!J1243="","",ORCAMENTOS!J1243)</f>
        <v/>
      </c>
      <c r="J1235" s="40" t="str">
        <f>IF(ORCAMENTOS!L1243="","",ORCAMENTOS!L1243)</f>
        <v>FECHADO</v>
      </c>
      <c r="K1235" s="34" t="str">
        <f>IF(ORCAMENTOS!M1243="","",ORCAMENTOS!M1243)</f>
        <v>BOAS CHANCES</v>
      </c>
      <c r="L1235" t="str">
        <f>IF(ORCAMENTOS!R1243="","",ORCAMENTOS!R1243)</f>
        <v/>
      </c>
    </row>
    <row r="1236" spans="1:12" ht="15.75" hidden="1" customHeight="1" x14ac:dyDescent="0.25">
      <c r="A1236" s="36">
        <f>IF(ORCAMENTOS!A1244="","",ORCAMENTOS!A1244)</f>
        <v>45855</v>
      </c>
      <c r="B1236" s="46">
        <f>IF(ORCAMENTOS!B1244="","",ORCAMENTOS!B1244)</f>
        <v>1235</v>
      </c>
      <c r="C1236" s="46" t="str">
        <f>IF(ORCAMENTOS!C1244="","",ORCAMENTOS!C1244)</f>
        <v/>
      </c>
      <c r="D1236" s="37" t="str">
        <f>IF(ORCAMENTOS!D1244="","",ORCAMENTOS!D1244)</f>
        <v>CLIMAARC</v>
      </c>
      <c r="E1236" s="38" t="str">
        <f>IF(ORCAMENTOS!E1244="","",ORCAMENTOS!E1244)</f>
        <v>UNIMED CAPIVARI - EDIFICIO DE DIAGNÓSTICO</v>
      </c>
      <c r="F1236" s="37" t="str">
        <f>IF(ORCAMENTOS!G1244="","",ORCAMENTOS!G1244)</f>
        <v xml:space="preserve">Aldavir </v>
      </c>
      <c r="G1236" s="37" t="str">
        <f>IF(ORCAMENTOS!H1244="","",ORCAMENTOS!H1244)</f>
        <v>Israel</v>
      </c>
      <c r="H1236" s="39">
        <f>IF(ORCAMENTOS!I1244="","",ORCAMENTOS!I1244)</f>
        <v>51558.62</v>
      </c>
      <c r="I1236" s="60" t="str">
        <f>IF(ORCAMENTOS!J1244="","",ORCAMENTOS!J1244)</f>
        <v/>
      </c>
      <c r="J1236" s="40" t="str">
        <f>IF(ORCAMENTOS!L1244="","",ORCAMENTOS!L1244)</f>
        <v>CANCELADO</v>
      </c>
      <c r="K1236" s="34" t="str">
        <f>IF(ORCAMENTOS!M1244="","",ORCAMENTOS!M1244)</f>
        <v/>
      </c>
      <c r="L1236" t="str">
        <f>IF(ORCAMENTOS!R1244="","",ORCAMENTOS!R1244)</f>
        <v/>
      </c>
    </row>
    <row r="1237" spans="1:12" ht="15.75" hidden="1" customHeight="1" x14ac:dyDescent="0.25">
      <c r="A1237" s="36">
        <f>IF(ORCAMENTOS!A1245="","",ORCAMENTOS!A1245)</f>
        <v>45855</v>
      </c>
      <c r="B1237" s="46">
        <f>IF(ORCAMENTOS!B1245="","",ORCAMENTOS!B1245)</f>
        <v>1236</v>
      </c>
      <c r="C1237" s="46" t="str">
        <f>IF(ORCAMENTOS!C1245="","",ORCAMENTOS!C1245)</f>
        <v/>
      </c>
      <c r="D1237" s="37" t="str">
        <f>IF(ORCAMENTOS!D1245="","",ORCAMENTOS!D1245)</f>
        <v>ENGEMAC</v>
      </c>
      <c r="E1237" s="38" t="str">
        <f>IF(ORCAMENTOS!E1245="","",ORCAMENTOS!E1245)</f>
        <v/>
      </c>
      <c r="F1237" s="37" t="str">
        <f>IF(ORCAMENTOS!G1245="","",ORCAMENTOS!G1245)</f>
        <v>Fernando</v>
      </c>
      <c r="G1237" s="37" t="str">
        <f>IF(ORCAMENTOS!H1245="","",ORCAMENTOS!H1245)</f>
        <v>Carlos</v>
      </c>
      <c r="H1237" s="39">
        <f>IF(ORCAMENTOS!I1245="","",ORCAMENTOS!I1245)</f>
        <v>4850</v>
      </c>
      <c r="I1237" s="60" t="str">
        <f>IF(ORCAMENTOS!J1245="","",ORCAMENTOS!J1245)</f>
        <v/>
      </c>
      <c r="J1237" s="40" t="str">
        <f>IF(ORCAMENTOS!L1245="","",ORCAMENTOS!L1245)</f>
        <v>PERDIDO</v>
      </c>
      <c r="K1237" s="34" t="str">
        <f>IF(ORCAMENTOS!M1245="","",ORCAMENTOS!M1245)</f>
        <v>PERDIDO ARCOTEC</v>
      </c>
      <c r="L1237" t="str">
        <f>IF(ORCAMENTOS!R1245="","",ORCAMENTOS!R1245)</f>
        <v/>
      </c>
    </row>
    <row r="1238" spans="1:12" ht="15.75" hidden="1" customHeight="1" x14ac:dyDescent="0.25">
      <c r="A1238" s="36">
        <f>IF(ORCAMENTOS!A1246="","",ORCAMENTOS!A1246)</f>
        <v>45855</v>
      </c>
      <c r="B1238" s="46">
        <f>IF(ORCAMENTOS!B1246="","",ORCAMENTOS!B1246)</f>
        <v>1237</v>
      </c>
      <c r="C1238" s="46" t="str">
        <f>IF(ORCAMENTOS!C1246="","",ORCAMENTOS!C1246)</f>
        <v/>
      </c>
      <c r="D1238" s="37" t="str">
        <f>IF(ORCAMENTOS!D1246="","",ORCAMENTOS!D1246)</f>
        <v>FRIOCLIMAT</v>
      </c>
      <c r="E1238" s="38" t="str">
        <f>IF(ORCAMENTOS!E1246="","",ORCAMENTOS!E1246)</f>
        <v>IGREJA ALEM DO VEU - SANTO ANDRE - SP</v>
      </c>
      <c r="F1238" s="37" t="str">
        <f>IF(ORCAMENTOS!G1246="","",ORCAMENTOS!G1246)</f>
        <v>Emanuel</v>
      </c>
      <c r="G1238" s="37" t="str">
        <f>IF(ORCAMENTOS!H1246="","",ORCAMENTOS!H1246)</f>
        <v>Marcelo</v>
      </c>
      <c r="H1238" s="39">
        <f>IF(ORCAMENTOS!I1246="","",ORCAMENTOS!I1246)</f>
        <v>1738.08</v>
      </c>
      <c r="I1238" s="60" t="str">
        <f>IF(ORCAMENTOS!J1246="","",ORCAMENTOS!J1246)</f>
        <v/>
      </c>
      <c r="J1238" s="40" t="str">
        <f>IF(ORCAMENTOS!L1246="","",ORCAMENTOS!L1246)</f>
        <v>FECHADO</v>
      </c>
      <c r="K1238" s="34" t="str">
        <f>IF(ORCAMENTOS!M1246="","",ORCAMENTOS!M1246)</f>
        <v/>
      </c>
      <c r="L1238" t="str">
        <f>IF(ORCAMENTOS!R1246="","",ORCAMENTOS!R1246)</f>
        <v/>
      </c>
    </row>
    <row r="1239" spans="1:12" ht="15.75" hidden="1" customHeight="1" x14ac:dyDescent="0.25">
      <c r="A1239" s="36">
        <f>IF(ORCAMENTOS!A1247="","",ORCAMENTOS!A1247)</f>
        <v>45856</v>
      </c>
      <c r="B1239" s="46">
        <f>IF(ORCAMENTOS!B1247="","",ORCAMENTOS!B1247)</f>
        <v>1238</v>
      </c>
      <c r="C1239" s="46" t="str">
        <f>IF(ORCAMENTOS!C1247="","",ORCAMENTOS!C1247)</f>
        <v/>
      </c>
      <c r="D1239" s="37" t="str">
        <f>IF(ORCAMENTOS!D1247="","",ORCAMENTOS!D1247)</f>
        <v>SO AR CLIMATIZACAO</v>
      </c>
      <c r="E1239" s="38" t="str">
        <f>IF(ORCAMENTOS!E1247="","",ORCAMENTOS!E1247)</f>
        <v/>
      </c>
      <c r="F1239" s="37" t="str">
        <f>IF(ORCAMENTOS!G1247="","",ORCAMENTOS!G1247)</f>
        <v>Gabriel</v>
      </c>
      <c r="G1239" s="37" t="str">
        <f>IF(ORCAMENTOS!H1247="","",ORCAMENTOS!H1247)</f>
        <v>Gabriel Cerini</v>
      </c>
      <c r="H1239" s="39">
        <f>IF(ORCAMENTOS!I1247="","",ORCAMENTOS!I1247)</f>
        <v>2027.54</v>
      </c>
      <c r="I1239" s="60" t="str">
        <f>IF(ORCAMENTOS!J1247="","",ORCAMENTOS!J1247)</f>
        <v/>
      </c>
      <c r="J1239" s="40" t="str">
        <f>IF(ORCAMENTOS!L1247="","",ORCAMENTOS!L1247)</f>
        <v>FECHADO</v>
      </c>
      <c r="K1239" s="34" t="str">
        <f>IF(ORCAMENTOS!M1247="","",ORCAMENTOS!M1247)</f>
        <v/>
      </c>
      <c r="L1239" t="str">
        <f>IF(ORCAMENTOS!R1247="","",ORCAMENTOS!R1247)</f>
        <v/>
      </c>
    </row>
    <row r="1240" spans="1:12" ht="15.75" hidden="1" customHeight="1" x14ac:dyDescent="0.25">
      <c r="A1240" s="36">
        <f>IF(ORCAMENTOS!A1248="","",ORCAMENTOS!A1248)</f>
        <v>45855</v>
      </c>
      <c r="B1240" s="46">
        <f>IF(ORCAMENTOS!B1248="","",ORCAMENTOS!B1248)</f>
        <v>1239</v>
      </c>
      <c r="C1240" s="46" t="str">
        <f>IF(ORCAMENTOS!C1248="","",ORCAMENTOS!C1248)</f>
        <v/>
      </c>
      <c r="D1240" s="37" t="str">
        <f>IF(ORCAMENTOS!D1248="","",ORCAMENTOS!D1248)</f>
        <v>AWA AR CONDICIONADO</v>
      </c>
      <c r="E1240" s="38" t="str">
        <f>IF(ORCAMENTOS!E1248="","",ORCAMENTOS!E1248)</f>
        <v>RAIA DROGASIL</v>
      </c>
      <c r="F1240" s="37" t="str">
        <f>IF(ORCAMENTOS!G1248="","",ORCAMENTOS!G1248)</f>
        <v>Guilherme</v>
      </c>
      <c r="G1240" s="37" t="str">
        <f>IF(ORCAMENTOS!H1248="","",ORCAMENTOS!H1248)</f>
        <v>Marcela</v>
      </c>
      <c r="H1240" s="39">
        <f>IF(ORCAMENTOS!I1248="","",ORCAMENTOS!I1248)</f>
        <v>7126.57</v>
      </c>
      <c r="I1240" s="60" t="str">
        <f>IF(ORCAMENTOS!J1248="","",ORCAMENTOS!J1248)</f>
        <v/>
      </c>
      <c r="J1240" s="40" t="str">
        <f>IF(ORCAMENTOS!L1248="","",ORCAMENTOS!L1248)</f>
        <v>FECHADO</v>
      </c>
      <c r="K1240" s="34" t="str">
        <f>IF(ORCAMENTOS!M1248="","",ORCAMENTOS!M1248)</f>
        <v/>
      </c>
      <c r="L1240" t="str">
        <f>IF(ORCAMENTOS!R1248="","",ORCAMENTOS!R1248)</f>
        <v/>
      </c>
    </row>
    <row r="1241" spans="1:12" ht="15.75" hidden="1" customHeight="1" x14ac:dyDescent="0.25">
      <c r="A1241" s="36">
        <f>IF(ORCAMENTOS!A1249="","",ORCAMENTOS!A1249)</f>
        <v>45855</v>
      </c>
      <c r="B1241" s="46">
        <f>IF(ORCAMENTOS!B1249="","",ORCAMENTOS!B1249)</f>
        <v>1240</v>
      </c>
      <c r="C1241" s="46" t="str">
        <f>IF(ORCAMENTOS!C1249="","",ORCAMENTOS!C1249)</f>
        <v/>
      </c>
      <c r="D1241" s="37" t="str">
        <f>IF(ORCAMENTOS!D1249="","",ORCAMENTOS!D1249)</f>
        <v>FIDELISAR</v>
      </c>
      <c r="E1241" s="38" t="str">
        <f>IF(ORCAMENTOS!E1249="","",ORCAMENTOS!E1249)</f>
        <v>FR COMOLATTI</v>
      </c>
      <c r="F1241" s="37" t="str">
        <f>IF(ORCAMENTOS!G1249="","",ORCAMENTOS!G1249)</f>
        <v>Gabriel</v>
      </c>
      <c r="G1241" s="37" t="str">
        <f>IF(ORCAMENTOS!H1249="","",ORCAMENTOS!H1249)</f>
        <v>Edson</v>
      </c>
      <c r="H1241" s="39">
        <f>IF(ORCAMENTOS!I1249="","",ORCAMENTOS!I1249)</f>
        <v>34854.410000000003</v>
      </c>
      <c r="I1241" s="60" t="str">
        <f>IF(ORCAMENTOS!J1249="","",ORCAMENTOS!J1249)</f>
        <v/>
      </c>
      <c r="J1241" s="40" t="str">
        <f>IF(ORCAMENTOS!L1249="","",ORCAMENTOS!L1249)</f>
        <v>CANCELADO</v>
      </c>
      <c r="K1241" s="34" t="str">
        <f>IF(ORCAMENTOS!M1249="","",ORCAMENTOS!M1249)</f>
        <v/>
      </c>
      <c r="L1241" t="str">
        <f>IF(ORCAMENTOS!R1249="","",ORCAMENTOS!R1249)</f>
        <v/>
      </c>
    </row>
    <row r="1242" spans="1:12" ht="15.75" hidden="1" customHeight="1" x14ac:dyDescent="0.25">
      <c r="A1242" s="36">
        <f>IF(ORCAMENTOS!A1250="","",ORCAMENTOS!A1250)</f>
        <v>45855</v>
      </c>
      <c r="B1242" s="46">
        <f>IF(ORCAMENTOS!B1250="","",ORCAMENTOS!B1250)</f>
        <v>1241</v>
      </c>
      <c r="C1242" s="46" t="str">
        <f>IF(ORCAMENTOS!C1250="","",ORCAMENTOS!C1250)</f>
        <v/>
      </c>
      <c r="D1242" s="37" t="str">
        <f>IF(ORCAMENTOS!D1250="","",ORCAMENTOS!D1250)</f>
        <v>ENGEMAC</v>
      </c>
      <c r="E1242" s="38" t="str">
        <f>IF(ORCAMENTOS!E1250="","",ORCAMENTOS!E1250)</f>
        <v>Distrito Araraquara | Centro de Convenção</v>
      </c>
      <c r="F1242" s="37" t="str">
        <f>IF(ORCAMENTOS!G1250="","",ORCAMENTOS!G1250)</f>
        <v>Fernando</v>
      </c>
      <c r="G1242" s="37" t="str">
        <f>IF(ORCAMENTOS!H1250="","",ORCAMENTOS!H1250)</f>
        <v>Rodrigo</v>
      </c>
      <c r="H1242" s="39">
        <f>IF(ORCAMENTOS!I1250="","",ORCAMENTOS!I1250)</f>
        <v>31199.45</v>
      </c>
      <c r="I1242" s="60" t="str">
        <f>IF(ORCAMENTOS!J1250="","",ORCAMENTOS!J1250)</f>
        <v/>
      </c>
      <c r="J1242" s="40" t="str">
        <f>IF(ORCAMENTOS!L1250="","",ORCAMENTOS!L1250)</f>
        <v>CANCELADO</v>
      </c>
      <c r="K1242" s="34" t="str">
        <f>IF(ORCAMENTOS!M1250="","",ORCAMENTOS!M1250)</f>
        <v/>
      </c>
      <c r="L1242" t="str">
        <f>IF(ORCAMENTOS!R1250="","",ORCAMENTOS!R1250)</f>
        <v/>
      </c>
    </row>
    <row r="1243" spans="1:12" ht="15.75" hidden="1" customHeight="1" x14ac:dyDescent="0.25">
      <c r="A1243" s="36">
        <f>IF(ORCAMENTOS!A1251="","",ORCAMENTOS!A1251)</f>
        <v>45855</v>
      </c>
      <c r="B1243" s="46">
        <f>IF(ORCAMENTOS!B1251="","",ORCAMENTOS!B1251)</f>
        <v>1242</v>
      </c>
      <c r="C1243" s="46" t="str">
        <f>IF(ORCAMENTOS!C1251="","",ORCAMENTOS!C1251)</f>
        <v/>
      </c>
      <c r="D1243" s="37" t="str">
        <f>IF(ORCAMENTOS!D1251="","",ORCAMENTOS!D1251)</f>
        <v>CACR ENGENHARIA</v>
      </c>
      <c r="E1243" s="38" t="str">
        <f>IF(ORCAMENTOS!E1251="","",ORCAMENTOS!E1251)</f>
        <v/>
      </c>
      <c r="F1243" s="37" t="str">
        <f>IF(ORCAMENTOS!G1251="","",ORCAMENTOS!G1251)</f>
        <v xml:space="preserve">Aldavir </v>
      </c>
      <c r="G1243" s="37" t="str">
        <f>IF(ORCAMENTOS!H1251="","",ORCAMENTOS!H1251)</f>
        <v/>
      </c>
      <c r="H1243" s="39" t="str">
        <f>IF(ORCAMENTOS!I1251="","",ORCAMENTOS!I1251)</f>
        <v/>
      </c>
      <c r="I1243" s="60" t="str">
        <f>IF(ORCAMENTOS!J1251="","",ORCAMENTOS!J1251)</f>
        <v/>
      </c>
      <c r="J1243" s="40" t="str">
        <f>IF(ORCAMENTOS!L1251="","",ORCAMENTOS!L1251)</f>
        <v>CANCELADO</v>
      </c>
      <c r="K1243" s="34" t="str">
        <f>IF(ORCAMENTOS!M1251="","",ORCAMENTOS!M1251)</f>
        <v/>
      </c>
      <c r="L1243" t="str">
        <f>IF(ORCAMENTOS!R1251="","",ORCAMENTOS!R1251)</f>
        <v/>
      </c>
    </row>
    <row r="1244" spans="1:12" ht="15.75" hidden="1" customHeight="1" x14ac:dyDescent="0.25">
      <c r="A1244" s="36">
        <f>IF(ORCAMENTOS!A1252="","",ORCAMENTOS!A1252)</f>
        <v>45855</v>
      </c>
      <c r="B1244" s="46">
        <f>IF(ORCAMENTOS!B1252="","",ORCAMENTOS!B1252)</f>
        <v>1242</v>
      </c>
      <c r="C1244" s="46" t="str">
        <f>IF(ORCAMENTOS!C1252="","",ORCAMENTOS!C1252)</f>
        <v/>
      </c>
      <c r="D1244" s="37" t="str">
        <f>IF(ORCAMENTOS!D1252="","",ORCAMENTOS!D1252)</f>
        <v>ENEBRAS</v>
      </c>
      <c r="E1244" s="38" t="str">
        <f>IF(ORCAMENTOS!E1252="","",ORCAMENTOS!E1252)</f>
        <v>HOSPITAL AMIL - PRAIA GRANDE/SP</v>
      </c>
      <c r="F1244" s="37" t="str">
        <f>IF(ORCAMENTOS!G1252="","",ORCAMENTOS!G1252)</f>
        <v>Michel</v>
      </c>
      <c r="G1244" s="37" t="str">
        <f>IF(ORCAMENTOS!H1252="","",ORCAMENTOS!H1252)</f>
        <v xml:space="preserve">Lucas </v>
      </c>
      <c r="H1244" s="39">
        <f>IF(ORCAMENTOS!I1252="","",ORCAMENTOS!I1252)</f>
        <v>161869.63</v>
      </c>
      <c r="I1244" s="60" t="str">
        <f>IF(ORCAMENTOS!J1252="","",ORCAMENTOS!J1252)</f>
        <v/>
      </c>
      <c r="J1244" s="40" t="str">
        <f>IF(ORCAMENTOS!L1252="","",ORCAMENTOS!L1252)</f>
        <v>CANCELADO</v>
      </c>
      <c r="K1244" s="34" t="str">
        <f>IF(ORCAMENTOS!M1252="","",ORCAMENTOS!M1252)</f>
        <v/>
      </c>
      <c r="L1244" t="str">
        <f>IF(ORCAMENTOS!R1252="","",ORCAMENTOS!R1252)</f>
        <v/>
      </c>
    </row>
    <row r="1245" spans="1:12" ht="15.75" hidden="1" customHeight="1" x14ac:dyDescent="0.25">
      <c r="A1245" s="36">
        <f>IF(ORCAMENTOS!A1253="","",ORCAMENTOS!A1253)</f>
        <v>45855</v>
      </c>
      <c r="B1245" s="46">
        <f>IF(ORCAMENTOS!B1253="","",ORCAMENTOS!B1253)</f>
        <v>1243</v>
      </c>
      <c r="C1245" s="46" t="str">
        <f>IF(ORCAMENTOS!C1253="","",ORCAMENTOS!C1253)</f>
        <v/>
      </c>
      <c r="D1245" s="37" t="str">
        <f>IF(ORCAMENTOS!D1253="","",ORCAMENTOS!D1253)</f>
        <v>AR SISTEMAS</v>
      </c>
      <c r="E1245" s="38" t="str">
        <f>IF(ORCAMENTOS!E1253="","",ORCAMENTOS!E1253)</f>
        <v>RENNER SHOPPING LAVRAS</v>
      </c>
      <c r="F1245" s="37" t="str">
        <f>IF(ORCAMENTOS!G1253="","",ORCAMENTOS!G1253)</f>
        <v>Michel</v>
      </c>
      <c r="G1245" s="37" t="str">
        <f>IF(ORCAMENTOS!H1253="","",ORCAMENTOS!H1253)</f>
        <v>Silvia</v>
      </c>
      <c r="H1245" s="39">
        <f>IF(ORCAMENTOS!I1253="","",ORCAMENTOS!I1253)</f>
        <v>91035.520000000004</v>
      </c>
      <c r="I1245" s="60" t="str">
        <f>IF(ORCAMENTOS!J1253="","",ORCAMENTOS!J1253)</f>
        <v/>
      </c>
      <c r="J1245" s="40" t="str">
        <f>IF(ORCAMENTOS!L1253="","",ORCAMENTOS!L1253)</f>
        <v>CANCELADO</v>
      </c>
      <c r="K1245" s="34" t="str">
        <f>IF(ORCAMENTOS!M1253="","",ORCAMENTOS!M1253)</f>
        <v/>
      </c>
      <c r="L1245" t="str">
        <f>IF(ORCAMENTOS!R1253="","",ORCAMENTOS!R1253)</f>
        <v/>
      </c>
    </row>
    <row r="1246" spans="1:12" ht="15.75" hidden="1" customHeight="1" x14ac:dyDescent="0.25">
      <c r="A1246" s="36">
        <f>IF(ORCAMENTOS!A1254="","",ORCAMENTOS!A1254)</f>
        <v>45855</v>
      </c>
      <c r="B1246" s="46">
        <f>IF(ORCAMENTOS!B1254="","",ORCAMENTOS!B1254)</f>
        <v>1244</v>
      </c>
      <c r="C1246" s="46" t="str">
        <f>IF(ORCAMENTOS!C1254="","",ORCAMENTOS!C1254)</f>
        <v/>
      </c>
      <c r="D1246" s="37" t="str">
        <f>IF(ORCAMENTOS!D1254="","",ORCAMENTOS!D1254)</f>
        <v>HAITEC</v>
      </c>
      <c r="E1246" s="38" t="str">
        <f>IF(ORCAMENTOS!E1254="","",ORCAMENTOS!E1254)</f>
        <v>ANIMALE - SHOPPING JK IGUATEMI</v>
      </c>
      <c r="F1246" s="37" t="str">
        <f>IF(ORCAMENTOS!G1254="","",ORCAMENTOS!G1254)</f>
        <v>Michel</v>
      </c>
      <c r="G1246" s="37" t="str">
        <f>IF(ORCAMENTOS!H1254="","",ORCAMENTOS!H1254)</f>
        <v>Nilson</v>
      </c>
      <c r="H1246" s="39">
        <f>IF(ORCAMENTOS!I1254="","",ORCAMENTOS!I1254)</f>
        <v>19110.86</v>
      </c>
      <c r="I1246" s="60" t="str">
        <f>IF(ORCAMENTOS!J1254="","",ORCAMENTOS!J1254)</f>
        <v/>
      </c>
      <c r="J1246" s="40" t="str">
        <f>IF(ORCAMENTOS!L1254="","",ORCAMENTOS!L1254)</f>
        <v>CANCELADO</v>
      </c>
      <c r="K1246" s="34" t="str">
        <f>IF(ORCAMENTOS!M1254="","",ORCAMENTOS!M1254)</f>
        <v/>
      </c>
      <c r="L1246" t="str">
        <f>IF(ORCAMENTOS!R1254="","",ORCAMENTOS!R1254)</f>
        <v/>
      </c>
    </row>
    <row r="1247" spans="1:12" ht="15.75" hidden="1" customHeight="1" x14ac:dyDescent="0.25">
      <c r="A1247" s="36">
        <f>IF(ORCAMENTOS!A1255="","",ORCAMENTOS!A1255)</f>
        <v>45855</v>
      </c>
      <c r="B1247" s="46">
        <f>IF(ORCAMENTOS!B1255="","",ORCAMENTOS!B1255)</f>
        <v>1245</v>
      </c>
      <c r="C1247" s="46" t="str">
        <f>IF(ORCAMENTOS!C1255="","",ORCAMENTOS!C1255)</f>
        <v/>
      </c>
      <c r="D1247" s="37" t="str">
        <f>IF(ORCAMENTOS!D1255="","",ORCAMENTOS!D1255)</f>
        <v>COLD CONTROL</v>
      </c>
      <c r="E1247" s="38" t="str">
        <f>IF(ORCAMENTOS!E1255="","",ORCAMENTOS!E1255)</f>
        <v>HYUNDAI - PIRACICABA/SP</v>
      </c>
      <c r="F1247" s="37" t="str">
        <f>IF(ORCAMENTOS!G1255="","",ORCAMENTOS!G1255)</f>
        <v>Emanuel</v>
      </c>
      <c r="G1247" s="37" t="str">
        <f>IF(ORCAMENTOS!H1255="","",ORCAMENTOS!H1255)</f>
        <v>Felipe</v>
      </c>
      <c r="H1247" s="39">
        <f>IF(ORCAMENTOS!I1255="","",ORCAMENTOS!I1255)</f>
        <v>10262.790000000001</v>
      </c>
      <c r="I1247" s="60" t="str">
        <f>IF(ORCAMENTOS!J1255="","",ORCAMENTOS!J1255)</f>
        <v/>
      </c>
      <c r="J1247" s="40" t="str">
        <f>IF(ORCAMENTOS!L1255="","",ORCAMENTOS!L1255)</f>
        <v>CANCELADO</v>
      </c>
      <c r="K1247" s="34" t="str">
        <f>IF(ORCAMENTOS!M1255="","",ORCAMENTOS!M1255)</f>
        <v/>
      </c>
      <c r="L1247" t="str">
        <f>IF(ORCAMENTOS!R1255="","",ORCAMENTOS!R1255)</f>
        <v/>
      </c>
    </row>
    <row r="1248" spans="1:12" ht="15.75" hidden="1" customHeight="1" x14ac:dyDescent="0.25">
      <c r="A1248" s="36">
        <f>IF(ORCAMENTOS!A1256="","",ORCAMENTOS!A1256)</f>
        <v>45855</v>
      </c>
      <c r="B1248" s="46">
        <f>IF(ORCAMENTOS!B1256="","",ORCAMENTOS!B1256)</f>
        <v>1246</v>
      </c>
      <c r="C1248" s="46" t="str">
        <f>IF(ORCAMENTOS!C1256="","",ORCAMENTOS!C1256)</f>
        <v/>
      </c>
      <c r="D1248" s="37" t="str">
        <f>IF(ORCAMENTOS!D1256="","",ORCAMENTOS!D1256)</f>
        <v>GLOBAL CLIMA</v>
      </c>
      <c r="E1248" s="38" t="str">
        <f>IF(ORCAMENTOS!E1256="","",ORCAMENTOS!E1256)</f>
        <v>HYUNDAI</v>
      </c>
      <c r="F1248" s="37" t="str">
        <f>IF(ORCAMENTOS!G1256="","",ORCAMENTOS!G1256)</f>
        <v>Emanuel</v>
      </c>
      <c r="G1248" s="37" t="str">
        <f>IF(ORCAMENTOS!H1256="","",ORCAMENTOS!H1256)</f>
        <v>Ana</v>
      </c>
      <c r="H1248" s="39">
        <f>IF(ORCAMENTOS!I1256="","",ORCAMENTOS!I1256)</f>
        <v>10330.59</v>
      </c>
      <c r="I1248" s="60" t="str">
        <f>IF(ORCAMENTOS!J1256="","",ORCAMENTOS!J1256)</f>
        <v/>
      </c>
      <c r="J1248" s="40" t="str">
        <f>IF(ORCAMENTOS!L1256="","",ORCAMENTOS!L1256)</f>
        <v>CANCELADO</v>
      </c>
      <c r="K1248" s="34" t="str">
        <f>IF(ORCAMENTOS!M1256="","",ORCAMENTOS!M1256)</f>
        <v/>
      </c>
      <c r="L1248" t="str">
        <f>IF(ORCAMENTOS!R1256="","",ORCAMENTOS!R1256)</f>
        <v/>
      </c>
    </row>
    <row r="1249" spans="1:12" ht="15.75" hidden="1" customHeight="1" x14ac:dyDescent="0.25">
      <c r="A1249" s="36">
        <f>IF(ORCAMENTOS!A1257="","",ORCAMENTOS!A1257)</f>
        <v>45855</v>
      </c>
      <c r="B1249" s="46">
        <f>IF(ORCAMENTOS!B1257="","",ORCAMENTOS!B1257)</f>
        <v>1247</v>
      </c>
      <c r="C1249" s="46" t="str">
        <f>IF(ORCAMENTOS!C1257="","",ORCAMENTOS!C1257)</f>
        <v/>
      </c>
      <c r="D1249" s="37" t="str">
        <f>IF(ORCAMENTOS!D1257="","",ORCAMENTOS!D1257)</f>
        <v>APICE KLIMA</v>
      </c>
      <c r="E1249" s="38" t="str">
        <f>IF(ORCAMENTOS!E1257="","",ORCAMENTOS!E1257)</f>
        <v>SMART FIT - SOROCABA-SP</v>
      </c>
      <c r="F1249" s="37" t="str">
        <f>IF(ORCAMENTOS!G1257="","",ORCAMENTOS!G1257)</f>
        <v>Michel</v>
      </c>
      <c r="G1249" s="37" t="str">
        <f>IF(ORCAMENTOS!H1257="","",ORCAMENTOS!H1257)</f>
        <v>Luis Carlos</v>
      </c>
      <c r="H1249" s="39">
        <f>IF(ORCAMENTOS!I1257="","",ORCAMENTOS!I1257)</f>
        <v>68128.94</v>
      </c>
      <c r="I1249" s="60" t="str">
        <f>IF(ORCAMENTOS!J1257="","",ORCAMENTOS!J1257)</f>
        <v/>
      </c>
      <c r="J1249" s="40" t="str">
        <f>IF(ORCAMENTOS!L1257="","",ORCAMENTOS!L1257)</f>
        <v>CANCELADO</v>
      </c>
      <c r="K1249" s="34" t="str">
        <f>IF(ORCAMENTOS!M1257="","",ORCAMENTOS!M1257)</f>
        <v/>
      </c>
      <c r="L1249" t="str">
        <f>IF(ORCAMENTOS!R1257="","",ORCAMENTOS!R1257)</f>
        <v/>
      </c>
    </row>
    <row r="1250" spans="1:12" ht="15.75" hidden="1" customHeight="1" x14ac:dyDescent="0.25">
      <c r="A1250" s="36">
        <f>IF(ORCAMENTOS!A1258="","",ORCAMENTOS!A1258)</f>
        <v>45855</v>
      </c>
      <c r="B1250" s="46">
        <f>IF(ORCAMENTOS!B1258="","",ORCAMENTOS!B1258)</f>
        <v>1248</v>
      </c>
      <c r="C1250" s="46" t="str">
        <f>IF(ORCAMENTOS!C1258="","",ORCAMENTOS!C1258)</f>
        <v/>
      </c>
      <c r="D1250" s="37" t="str">
        <f>IF(ORCAMENTOS!D1258="","",ORCAMENTOS!D1258)</f>
        <v>AIR CONDYGIO</v>
      </c>
      <c r="E1250" s="38" t="str">
        <f>IF(ORCAMENTOS!E1258="","",ORCAMENTOS!E1258)</f>
        <v>NIKE - BALNEARIO SHOPPING/SC</v>
      </c>
      <c r="F1250" s="37" t="str">
        <f>IF(ORCAMENTOS!G1258="","",ORCAMENTOS!G1258)</f>
        <v>Gabriel</v>
      </c>
      <c r="G1250" s="37" t="str">
        <f>IF(ORCAMENTOS!H1258="","",ORCAMENTOS!H1258)</f>
        <v>Beatriz</v>
      </c>
      <c r="H1250" s="39">
        <f>IF(ORCAMENTOS!I1258="","",ORCAMENTOS!I1258)</f>
        <v>74817.679999999993</v>
      </c>
      <c r="I1250" s="60" t="str">
        <f>IF(ORCAMENTOS!J1258="","",ORCAMENTOS!J1258)</f>
        <v/>
      </c>
      <c r="J1250" s="40" t="str">
        <f>IF(ORCAMENTOS!L1258="","",ORCAMENTOS!L1258)</f>
        <v>CANCELADO</v>
      </c>
      <c r="K1250" s="34" t="str">
        <f>IF(ORCAMENTOS!M1258="","",ORCAMENTOS!M1258)</f>
        <v/>
      </c>
      <c r="L1250" t="str">
        <f>IF(ORCAMENTOS!R1258="","",ORCAMENTOS!R1258)</f>
        <v/>
      </c>
    </row>
    <row r="1251" spans="1:12" ht="15.75" hidden="1" customHeight="1" x14ac:dyDescent="0.25">
      <c r="A1251" s="36">
        <f>IF(ORCAMENTOS!A1259="","",ORCAMENTOS!A1259)</f>
        <v>45861</v>
      </c>
      <c r="B1251" s="46">
        <f>IF(ORCAMENTOS!B1259="","",ORCAMENTOS!B1259)</f>
        <v>1249</v>
      </c>
      <c r="C1251" s="46" t="str">
        <f>IF(ORCAMENTOS!C1259="","",ORCAMENTOS!C1259)</f>
        <v/>
      </c>
      <c r="D1251" s="37" t="str">
        <f>IF(ORCAMENTOS!D1259="","",ORCAMENTOS!D1259)</f>
        <v>GAME STATION</v>
      </c>
      <c r="E1251" s="38" t="str">
        <f>IF(ORCAMENTOS!E1259="","",ORCAMENTOS!E1259)</f>
        <v>GAME STATION - FORTALEZA</v>
      </c>
      <c r="F1251" s="37" t="str">
        <f>IF(ORCAMENTOS!G1259="","",ORCAMENTOS!G1259)</f>
        <v>Gabriel</v>
      </c>
      <c r="G1251" s="37" t="str">
        <f>IF(ORCAMENTOS!H1259="","",ORCAMENTOS!H1259)</f>
        <v>Adriana</v>
      </c>
      <c r="H1251" s="39">
        <f>IF(ORCAMENTOS!I1259="","",ORCAMENTOS!I1259)</f>
        <v>92698.48</v>
      </c>
      <c r="I1251" s="60" t="str">
        <f>IF(ORCAMENTOS!J1259="","",ORCAMENTOS!J1259)</f>
        <v/>
      </c>
      <c r="J1251" s="40" t="str">
        <f>IF(ORCAMENTOS!L1259="","",ORCAMENTOS!L1259)</f>
        <v>FECHADO</v>
      </c>
      <c r="K1251" s="34" t="str">
        <f>IF(ORCAMENTOS!M1259="","",ORCAMENTOS!M1259)</f>
        <v/>
      </c>
      <c r="L1251" t="str">
        <f>IF(ORCAMENTOS!R1259="","",ORCAMENTOS!R1259)</f>
        <v/>
      </c>
    </row>
    <row r="1252" spans="1:12" ht="15.75" hidden="1" customHeight="1" x14ac:dyDescent="0.25">
      <c r="A1252" s="36">
        <f>IF(ORCAMENTOS!A1260="","",ORCAMENTOS!A1260)</f>
        <v>45855</v>
      </c>
      <c r="B1252" s="46">
        <f>IF(ORCAMENTOS!B1260="","",ORCAMENTOS!B1260)</f>
        <v>1250</v>
      </c>
      <c r="C1252" s="46" t="str">
        <f>IF(ORCAMENTOS!C1260="","",ORCAMENTOS!C1260)</f>
        <v/>
      </c>
      <c r="D1252" s="37" t="str">
        <f>IF(ORCAMENTOS!D1260="","",ORCAMENTOS!D1260)</f>
        <v>APO ENGENHARIA</v>
      </c>
      <c r="E1252" s="38" t="str">
        <f>IF(ORCAMENTOS!E1260="","",ORCAMENTOS!E1260)</f>
        <v>Hospital das Clinicas - ICR</v>
      </c>
      <c r="F1252" s="37" t="str">
        <f>IF(ORCAMENTOS!G1260="","",ORCAMENTOS!G1260)</f>
        <v>Gabriel</v>
      </c>
      <c r="G1252" s="37" t="str">
        <f>IF(ORCAMENTOS!H1260="","",ORCAMENTOS!H1260)</f>
        <v>José de Araújo</v>
      </c>
      <c r="H1252" s="39">
        <f>IF(ORCAMENTOS!I1260="","",ORCAMENTOS!I1260)</f>
        <v>21682.5</v>
      </c>
      <c r="I1252" s="60" t="str">
        <f>IF(ORCAMENTOS!J1260="","",ORCAMENTOS!J1260)</f>
        <v/>
      </c>
      <c r="J1252" s="40" t="str">
        <f>IF(ORCAMENTOS!L1260="","",ORCAMENTOS!L1260)</f>
        <v>CANCELADO</v>
      </c>
      <c r="K1252" s="34" t="str">
        <f>IF(ORCAMENTOS!M1260="","",ORCAMENTOS!M1260)</f>
        <v/>
      </c>
      <c r="L1252" t="str">
        <f>IF(ORCAMENTOS!R1260="","",ORCAMENTOS!R1260)</f>
        <v/>
      </c>
    </row>
    <row r="1253" spans="1:12" ht="15.75" hidden="1" customHeight="1" x14ac:dyDescent="0.25">
      <c r="A1253" s="36">
        <f>IF(ORCAMENTOS!A1261="","",ORCAMENTOS!A1261)</f>
        <v>45879</v>
      </c>
      <c r="B1253" s="46">
        <f>IF(ORCAMENTOS!B1261="","",ORCAMENTOS!B1261)</f>
        <v>1251</v>
      </c>
      <c r="C1253" s="46" t="str">
        <f>IF(ORCAMENTOS!C1261="","",ORCAMENTOS!C1261)</f>
        <v/>
      </c>
      <c r="D1253" s="37" t="str">
        <f>IF(ORCAMENTOS!D1261="","",ORCAMENTOS!D1261)</f>
        <v>GLOBAL CLIMA</v>
      </c>
      <c r="E1253" s="38" t="str">
        <f>IF(ORCAMENTOS!E1261="","",ORCAMENTOS!E1261)</f>
        <v>SANTA MAGGIORE - UNIDADE HAVAÍ - 2º PAVTO</v>
      </c>
      <c r="F1253" s="37" t="str">
        <f>IF(ORCAMENTOS!G1261="","",ORCAMENTOS!G1261)</f>
        <v>Emanuel</v>
      </c>
      <c r="G1253" s="37" t="str">
        <f>IF(ORCAMENTOS!H1261="","",ORCAMENTOS!H1261)</f>
        <v>Claudemir</v>
      </c>
      <c r="H1253" s="39">
        <f>IF(ORCAMENTOS!I1261="","",ORCAMENTOS!I1261)</f>
        <v>11940.03</v>
      </c>
      <c r="I1253" s="60" t="str">
        <f>IF(ORCAMENTOS!J1261="","",ORCAMENTOS!J1261)</f>
        <v/>
      </c>
      <c r="J1253" s="40" t="str">
        <f>IF(ORCAMENTOS!L1261="","",ORCAMENTOS!L1261)</f>
        <v>PERDIDO</v>
      </c>
      <c r="K1253" s="34" t="str">
        <f>IF(ORCAMENTOS!M1261="","",ORCAMENTOS!M1261)</f>
        <v>FECHADO NO RJ</v>
      </c>
      <c r="L1253" t="str">
        <f>IF(ORCAMENTOS!R1261="","",ORCAMENTOS!R1261)</f>
        <v/>
      </c>
    </row>
    <row r="1254" spans="1:12" ht="15.75" hidden="1" customHeight="1" x14ac:dyDescent="0.25">
      <c r="A1254" s="36">
        <f>IF(ORCAMENTOS!A1262="","",ORCAMENTOS!A1262)</f>
        <v>45856</v>
      </c>
      <c r="B1254" s="46">
        <f>IF(ORCAMENTOS!B1262="","",ORCAMENTOS!B1262)</f>
        <v>1252</v>
      </c>
      <c r="C1254" s="46" t="str">
        <f>IF(ORCAMENTOS!C1262="","",ORCAMENTOS!C1262)</f>
        <v/>
      </c>
      <c r="D1254" s="37" t="str">
        <f>IF(ORCAMENTOS!D1262="","",ORCAMENTOS!D1262)</f>
        <v>AR2 SOLUÇÕES</v>
      </c>
      <c r="E1254" s="38" t="str">
        <f>IF(ORCAMENTOS!E1262="","",ORCAMENTOS!E1262)</f>
        <v/>
      </c>
      <c r="F1254" s="37" t="str">
        <f>IF(ORCAMENTOS!G1262="","",ORCAMENTOS!G1262)</f>
        <v>Gabriel</v>
      </c>
      <c r="G1254" s="37" t="str">
        <f>IF(ORCAMENTOS!H1262="","",ORCAMENTOS!H1262)</f>
        <v>Ronilson</v>
      </c>
      <c r="H1254" s="39">
        <f>IF(ORCAMENTOS!I1262="","",ORCAMENTOS!I1262)</f>
        <v>1073.48</v>
      </c>
      <c r="I1254" s="60" t="str">
        <f>IF(ORCAMENTOS!J1262="","",ORCAMENTOS!J1262)</f>
        <v/>
      </c>
      <c r="J1254" s="40" t="str">
        <f>IF(ORCAMENTOS!L1262="","",ORCAMENTOS!L1262)</f>
        <v>FECHADO</v>
      </c>
      <c r="K1254" s="34" t="str">
        <f>IF(ORCAMENTOS!M1262="","",ORCAMENTOS!M1262)</f>
        <v/>
      </c>
      <c r="L1254" t="str">
        <f>IF(ORCAMENTOS!R1262="","",ORCAMENTOS!R1262)</f>
        <v/>
      </c>
    </row>
    <row r="1255" spans="1:12" ht="15.75" hidden="1" customHeight="1" x14ac:dyDescent="0.25">
      <c r="A1255" s="36">
        <f>IF(ORCAMENTOS!A1263="","",ORCAMENTOS!A1263)</f>
        <v>45856</v>
      </c>
      <c r="B1255" s="46">
        <f>IF(ORCAMENTOS!B1263="","",ORCAMENTOS!B1263)</f>
        <v>1253</v>
      </c>
      <c r="C1255" s="46" t="str">
        <f>IF(ORCAMENTOS!C1263="","",ORCAMENTOS!C1263)</f>
        <v/>
      </c>
      <c r="D1255" s="37" t="str">
        <f>IF(ORCAMENTOS!D1263="","",ORCAMENTOS!D1263)</f>
        <v>WELLNESS SOLUTIONS</v>
      </c>
      <c r="E1255" s="38" t="str">
        <f>IF(ORCAMENTOS!E1263="","",ORCAMENTOS!E1263)</f>
        <v/>
      </c>
      <c r="F1255" s="37" t="str">
        <f>IF(ORCAMENTOS!G1263="","",ORCAMENTOS!G1263)</f>
        <v>Gabriel</v>
      </c>
      <c r="G1255" s="37" t="str">
        <f>IF(ORCAMENTOS!H1263="","",ORCAMENTOS!H1263)</f>
        <v>Ricardo</v>
      </c>
      <c r="H1255" s="39">
        <f>IF(ORCAMENTOS!I1263="","",ORCAMENTOS!I1263)</f>
        <v>20408.810000000001</v>
      </c>
      <c r="I1255" s="60" t="str">
        <f>IF(ORCAMENTOS!J1263="","",ORCAMENTOS!J1263)</f>
        <v/>
      </c>
      <c r="J1255" s="40" t="str">
        <f>IF(ORCAMENTOS!L1263="","",ORCAMENTOS!L1263)</f>
        <v>FECHADO</v>
      </c>
      <c r="K1255" s="34" t="str">
        <f>IF(ORCAMENTOS!M1263="","",ORCAMENTOS!M1263)</f>
        <v/>
      </c>
      <c r="L1255" t="str">
        <f>IF(ORCAMENTOS!R1263="","",ORCAMENTOS!R1263)</f>
        <v/>
      </c>
    </row>
    <row r="1256" spans="1:12" ht="15.75" hidden="1" customHeight="1" x14ac:dyDescent="0.25">
      <c r="A1256" s="36">
        <f>IF(ORCAMENTOS!A1264="","",ORCAMENTOS!A1264)</f>
        <v>45856</v>
      </c>
      <c r="B1256" s="46">
        <f>IF(ORCAMENTOS!B1264="","",ORCAMENTOS!B1264)</f>
        <v>1254</v>
      </c>
      <c r="C1256" s="46" t="str">
        <f>IF(ORCAMENTOS!C1264="","",ORCAMENTOS!C1264)</f>
        <v/>
      </c>
      <c r="D1256" s="37" t="str">
        <f>IF(ORCAMENTOS!D1264="","",ORCAMENTOS!D1264)</f>
        <v>EXAUSTOTEC</v>
      </c>
      <c r="E1256" s="38" t="str">
        <f>IF(ORCAMENTOS!E1264="","",ORCAMENTOS!E1264)</f>
        <v/>
      </c>
      <c r="F1256" s="37" t="str">
        <f>IF(ORCAMENTOS!G1264="","",ORCAMENTOS!G1264)</f>
        <v>Michel</v>
      </c>
      <c r="G1256" s="37" t="str">
        <f>IF(ORCAMENTOS!H1264="","",ORCAMENTOS!H1264)</f>
        <v>Pedro</v>
      </c>
      <c r="H1256" s="39">
        <f>IF(ORCAMENTOS!I1264="","",ORCAMENTOS!I1264)</f>
        <v>5222.83</v>
      </c>
      <c r="I1256" s="60" t="str">
        <f>IF(ORCAMENTOS!J1264="","",ORCAMENTOS!J1264)</f>
        <v/>
      </c>
      <c r="J1256" s="40" t="str">
        <f>IF(ORCAMENTOS!L1264="","",ORCAMENTOS!L1264)</f>
        <v>FECHADO</v>
      </c>
      <c r="K1256" s="34" t="str">
        <f>IF(ORCAMENTOS!M1264="","",ORCAMENTOS!M1264)</f>
        <v/>
      </c>
      <c r="L1256" t="str">
        <f>IF(ORCAMENTOS!R1264="","",ORCAMENTOS!R1264)</f>
        <v/>
      </c>
    </row>
    <row r="1257" spans="1:12" ht="15.75" hidden="1" customHeight="1" x14ac:dyDescent="0.25">
      <c r="A1257" s="36">
        <f>IF(ORCAMENTOS!A1265="","",ORCAMENTOS!A1265)</f>
        <v>45856</v>
      </c>
      <c r="B1257" s="46">
        <f>IF(ORCAMENTOS!B1265="","",ORCAMENTOS!B1265)</f>
        <v>1255</v>
      </c>
      <c r="C1257" s="46" t="str">
        <f>IF(ORCAMENTOS!C1265="","",ORCAMENTOS!C1265)</f>
        <v/>
      </c>
      <c r="D1257" s="37" t="str">
        <f>IF(ORCAMENTOS!D1265="","",ORCAMENTOS!D1265)</f>
        <v>AIRPLAN</v>
      </c>
      <c r="E1257" s="38" t="str">
        <f>IF(ORCAMENTOS!E1265="","",ORCAMENTOS!E1265)</f>
        <v>NIKE CAMPINAS</v>
      </c>
      <c r="F1257" s="37" t="str">
        <f>IF(ORCAMENTOS!G1265="","",ORCAMENTOS!G1265)</f>
        <v>Guilherme</v>
      </c>
      <c r="G1257" s="37" t="str">
        <f>IF(ORCAMENTOS!H1265="","",ORCAMENTOS!H1265)</f>
        <v>Henrique</v>
      </c>
      <c r="H1257" s="39">
        <f>IF(ORCAMENTOS!I1265="","",ORCAMENTOS!I1265)</f>
        <v>1488.56</v>
      </c>
      <c r="I1257" s="60" t="str">
        <f>IF(ORCAMENTOS!J1265="","",ORCAMENTOS!J1265)</f>
        <v/>
      </c>
      <c r="J1257" s="40" t="str">
        <f>IF(ORCAMENTOS!L1265="","",ORCAMENTOS!L1265)</f>
        <v>FECHADO</v>
      </c>
      <c r="K1257" s="34" t="str">
        <f>IF(ORCAMENTOS!M1265="","",ORCAMENTOS!M1265)</f>
        <v/>
      </c>
      <c r="L1257" t="str">
        <f>IF(ORCAMENTOS!R1265="","",ORCAMENTOS!R1265)</f>
        <v/>
      </c>
    </row>
    <row r="1258" spans="1:12" ht="15.75" hidden="1" customHeight="1" x14ac:dyDescent="0.25">
      <c r="A1258" s="36">
        <f>IF(ORCAMENTOS!A1266="","",ORCAMENTOS!A1266)</f>
        <v>45856</v>
      </c>
      <c r="B1258" s="46">
        <f>IF(ORCAMENTOS!B1266="","",ORCAMENTOS!B1266)</f>
        <v>1256</v>
      </c>
      <c r="C1258" s="46" t="str">
        <f>IF(ORCAMENTOS!C1266="","",ORCAMENTOS!C1266)</f>
        <v/>
      </c>
      <c r="D1258" s="37" t="str">
        <f>IF(ORCAMENTOS!D1266="","",ORCAMENTOS!D1266)</f>
        <v>M&amp;M ENGENHARIA</v>
      </c>
      <c r="E1258" s="38" t="str">
        <f>IF(ORCAMENTOS!E1266="","",ORCAMENTOS!E1266)</f>
        <v>AEROPORTO INTERNACIONAL DE PONTA PORÃ/MS</v>
      </c>
      <c r="F1258" s="37" t="str">
        <f>IF(ORCAMENTOS!G1266="","",ORCAMENTOS!G1266)</f>
        <v>Emanuel</v>
      </c>
      <c r="G1258" s="37" t="str">
        <f>IF(ORCAMENTOS!H1266="","",ORCAMENTOS!H1266)</f>
        <v>Hugo</v>
      </c>
      <c r="H1258" s="39">
        <f>IF(ORCAMENTOS!I1266="","",ORCAMENTOS!I1266)</f>
        <v>168289.15</v>
      </c>
      <c r="I1258" s="60" t="str">
        <f>IF(ORCAMENTOS!J1266="","",ORCAMENTOS!J1266)</f>
        <v/>
      </c>
      <c r="J1258" s="40" t="str">
        <f>IF(ORCAMENTOS!L1266="","",ORCAMENTOS!L1266)</f>
        <v>PERDIDO</v>
      </c>
      <c r="K1258" s="34" t="str">
        <f>IF(ORCAMENTOS!M1266="","",ORCAMENTOS!M1266)</f>
        <v>MULTIVAC - PREFERÊNCIA</v>
      </c>
      <c r="L1258" t="str">
        <f>IF(ORCAMENTOS!R1266="","",ORCAMENTOS!R1266)</f>
        <v/>
      </c>
    </row>
    <row r="1259" spans="1:12" ht="15.75" hidden="1" customHeight="1" x14ac:dyDescent="0.25">
      <c r="A1259" s="36">
        <f>IF(ORCAMENTOS!A1267="","",ORCAMENTOS!A1267)</f>
        <v>45856</v>
      </c>
      <c r="B1259" s="46">
        <f>IF(ORCAMENTOS!B1267="","",ORCAMENTOS!B1267)</f>
        <v>1257</v>
      </c>
      <c r="C1259" s="46" t="str">
        <f>IF(ORCAMENTOS!C1267="","",ORCAMENTOS!C1267)</f>
        <v/>
      </c>
      <c r="D1259" s="37" t="str">
        <f>IF(ORCAMENTOS!D1267="","",ORCAMENTOS!D1267)</f>
        <v>K SET</v>
      </c>
      <c r="E1259" s="38" t="str">
        <f>IF(ORCAMENTOS!E1267="","",ORCAMENTOS!E1267)</f>
        <v/>
      </c>
      <c r="F1259" s="37" t="str">
        <f>IF(ORCAMENTOS!G1267="","",ORCAMENTOS!G1267)</f>
        <v>Gabriel</v>
      </c>
      <c r="G1259" s="37" t="str">
        <f>IF(ORCAMENTOS!H1267="","",ORCAMENTOS!H1267)</f>
        <v>Lana</v>
      </c>
      <c r="H1259" s="39">
        <f>IF(ORCAMENTOS!I1267="","",ORCAMENTOS!I1267)</f>
        <v>653.37</v>
      </c>
      <c r="I1259" s="60" t="str">
        <f>IF(ORCAMENTOS!J1267="","",ORCAMENTOS!J1267)</f>
        <v/>
      </c>
      <c r="J1259" s="40" t="str">
        <f>IF(ORCAMENTOS!L1267="","",ORCAMENTOS!L1267)</f>
        <v>FECHADO</v>
      </c>
      <c r="K1259" s="34" t="str">
        <f>IF(ORCAMENTOS!M1267="","",ORCAMENTOS!M1267)</f>
        <v/>
      </c>
      <c r="L1259" t="str">
        <f>IF(ORCAMENTOS!R1267="","",ORCAMENTOS!R1267)</f>
        <v/>
      </c>
    </row>
    <row r="1260" spans="1:12" ht="15.75" hidden="1" customHeight="1" x14ac:dyDescent="0.25">
      <c r="A1260" s="36">
        <f>IF(ORCAMENTOS!A1268="","",ORCAMENTOS!A1268)</f>
        <v>45879</v>
      </c>
      <c r="B1260" s="46">
        <f>IF(ORCAMENTOS!B1268="","",ORCAMENTOS!B1268)</f>
        <v>1258</v>
      </c>
      <c r="C1260" s="46" t="str">
        <f>IF(ORCAMENTOS!C1268="","",ORCAMENTOS!C1268)</f>
        <v/>
      </c>
      <c r="D1260" s="37" t="str">
        <f>IF(ORCAMENTOS!D1268="","",ORCAMENTOS!D1268)</f>
        <v>GLOBAL CLIMA</v>
      </c>
      <c r="E1260" s="38" t="str">
        <f>IF(ORCAMENTOS!E1268="","",ORCAMENTOS!E1268)</f>
        <v>SANTA MAGGIORE - UNIDADE HAVAÍ - 4º PAVTO</v>
      </c>
      <c r="F1260" s="37" t="str">
        <f>IF(ORCAMENTOS!G1268="","",ORCAMENTOS!G1268)</f>
        <v>Emanuel</v>
      </c>
      <c r="G1260" s="37" t="str">
        <f>IF(ORCAMENTOS!H1268="","",ORCAMENTOS!H1268)</f>
        <v>Claudemir</v>
      </c>
      <c r="H1260" s="39">
        <f>IF(ORCAMENTOS!I1268="","",ORCAMENTOS!I1268)</f>
        <v>5542.69</v>
      </c>
      <c r="I1260" s="60" t="str">
        <f>IF(ORCAMENTOS!J1268="","",ORCAMENTOS!J1268)</f>
        <v/>
      </c>
      <c r="J1260" s="40" t="str">
        <f>IF(ORCAMENTOS!L1268="","",ORCAMENTOS!L1268)</f>
        <v>PERDIDO</v>
      </c>
      <c r="K1260" s="34" t="str">
        <f>IF(ORCAMENTOS!M1268="","",ORCAMENTOS!M1268)</f>
        <v>FECHADO NO RJ</v>
      </c>
      <c r="L1260" t="str">
        <f>IF(ORCAMENTOS!R1268="","",ORCAMENTOS!R1268)</f>
        <v/>
      </c>
    </row>
    <row r="1261" spans="1:12" ht="15.75" hidden="1" customHeight="1" x14ac:dyDescent="0.25">
      <c r="A1261" s="36">
        <f>IF(ORCAMENTOS!A1269="","",ORCAMENTOS!A1269)</f>
        <v>45856</v>
      </c>
      <c r="B1261" s="46">
        <f>IF(ORCAMENTOS!B1269="","",ORCAMENTOS!B1269)</f>
        <v>1259</v>
      </c>
      <c r="C1261" s="46" t="str">
        <f>IF(ORCAMENTOS!C1269="","",ORCAMENTOS!C1269)</f>
        <v/>
      </c>
      <c r="D1261" s="37" t="str">
        <f>IF(ORCAMENTOS!D1269="","",ORCAMENTOS!D1269)</f>
        <v>ECOWORK</v>
      </c>
      <c r="E1261" s="38" t="str">
        <f>IF(ORCAMENTOS!E1269="","",ORCAMENTOS!E1269)</f>
        <v/>
      </c>
      <c r="F1261" s="37" t="str">
        <f>IF(ORCAMENTOS!G1269="","",ORCAMENTOS!G1269)</f>
        <v>Emanuel</v>
      </c>
      <c r="G1261" s="37" t="str">
        <f>IF(ORCAMENTOS!H1269="","",ORCAMENTOS!H1269)</f>
        <v>Julyane</v>
      </c>
      <c r="H1261" s="39">
        <f>IF(ORCAMENTOS!I1269="","",ORCAMENTOS!I1269)</f>
        <v>12455.47</v>
      </c>
      <c r="I1261" s="60" t="str">
        <f>IF(ORCAMENTOS!J1269="","",ORCAMENTOS!J1269)</f>
        <v/>
      </c>
      <c r="J1261" s="40" t="str">
        <f>IF(ORCAMENTOS!L1269="","",ORCAMENTOS!L1269)</f>
        <v>CANCELADO</v>
      </c>
      <c r="K1261" s="34" t="str">
        <f>IF(ORCAMENTOS!M1269="","",ORCAMENTOS!M1269)</f>
        <v/>
      </c>
      <c r="L1261" t="str">
        <f>IF(ORCAMENTOS!R1269="","",ORCAMENTOS!R1269)</f>
        <v/>
      </c>
    </row>
    <row r="1262" spans="1:12" ht="15.75" hidden="1" customHeight="1" x14ac:dyDescent="0.25">
      <c r="A1262" s="36">
        <f>IF(ORCAMENTOS!A1270="","",ORCAMENTOS!A1270)</f>
        <v>45859</v>
      </c>
      <c r="B1262" s="46">
        <f>IF(ORCAMENTOS!B1270="","",ORCAMENTOS!B1270)</f>
        <v>1260</v>
      </c>
      <c r="C1262" s="46" t="str">
        <f>IF(ORCAMENTOS!C1270="","",ORCAMENTOS!C1270)</f>
        <v/>
      </c>
      <c r="D1262" s="37" t="str">
        <f>IF(ORCAMENTOS!D1270="","",ORCAMENTOS!D1270)</f>
        <v>AIR NET</v>
      </c>
      <c r="E1262" s="38" t="str">
        <f>IF(ORCAMENTOS!E1270="","",ORCAMENTOS!E1270)</f>
        <v>TAUSTE SUPERMERCADOS</v>
      </c>
      <c r="F1262" s="37" t="str">
        <f>IF(ORCAMENTOS!G1270="","",ORCAMENTOS!G1270)</f>
        <v>Fernando</v>
      </c>
      <c r="G1262" s="37" t="str">
        <f>IF(ORCAMENTOS!H1270="","",ORCAMENTOS!H1270)</f>
        <v>Thiago</v>
      </c>
      <c r="H1262" s="39">
        <f>IF(ORCAMENTOS!I1270="","",ORCAMENTOS!I1270)</f>
        <v>1494.34</v>
      </c>
      <c r="I1262" s="60" t="str">
        <f>IF(ORCAMENTOS!J1270="","",ORCAMENTOS!J1270)</f>
        <v/>
      </c>
      <c r="J1262" s="40" t="str">
        <f>IF(ORCAMENTOS!L1270="","",ORCAMENTOS!L1270)</f>
        <v>FECHADO</v>
      </c>
      <c r="K1262" s="34" t="str">
        <f>IF(ORCAMENTOS!M1270="","",ORCAMENTOS!M1270)</f>
        <v/>
      </c>
      <c r="L1262" t="str">
        <f>IF(ORCAMENTOS!R1270="","",ORCAMENTOS!R1270)</f>
        <v/>
      </c>
    </row>
    <row r="1263" spans="1:12" ht="15.75" hidden="1" customHeight="1" x14ac:dyDescent="0.25">
      <c r="A1263" s="36">
        <f>IF(ORCAMENTOS!A1271="","",ORCAMENTOS!A1271)</f>
        <v>45860</v>
      </c>
      <c r="B1263" s="46">
        <f>IF(ORCAMENTOS!B1271="","",ORCAMENTOS!B1271)</f>
        <v>1261</v>
      </c>
      <c r="C1263" s="46" t="str">
        <f>IF(ORCAMENTOS!C1271="","",ORCAMENTOS!C1271)</f>
        <v/>
      </c>
      <c r="D1263" s="37" t="str">
        <f>IF(ORCAMENTOS!D1271="","",ORCAMENTOS!D1271)</f>
        <v>SANTA CASA DE SOROCABA</v>
      </c>
      <c r="E1263" s="38" t="str">
        <f>IF(ORCAMENTOS!E1271="","",ORCAMENTOS!E1271)</f>
        <v>SANTA CASA DE MISERICÓRDIA DE SOROCABA</v>
      </c>
      <c r="F1263" s="37" t="str">
        <f>IF(ORCAMENTOS!G1271="","",ORCAMENTOS!G1271)</f>
        <v>Gabriel</v>
      </c>
      <c r="G1263" s="37" t="str">
        <f>IF(ORCAMENTOS!H1271="","",ORCAMENTOS!H1271)</f>
        <v>Daniel</v>
      </c>
      <c r="H1263" s="39">
        <f>IF(ORCAMENTOS!I1271="","",ORCAMENTOS!I1271)</f>
        <v>18797.09</v>
      </c>
      <c r="I1263" s="60" t="str">
        <f>IF(ORCAMENTOS!J1271="","",ORCAMENTOS!J1271)</f>
        <v/>
      </c>
      <c r="J1263" s="40" t="str">
        <f>IF(ORCAMENTOS!L1271="","",ORCAMENTOS!L1271)</f>
        <v>CANCELADO</v>
      </c>
      <c r="K1263" s="34" t="str">
        <f>IF(ORCAMENTOS!M1271="","",ORCAMENTOS!M1271)</f>
        <v/>
      </c>
      <c r="L1263" t="str">
        <f>IF(ORCAMENTOS!R1271="","",ORCAMENTOS!R1271)</f>
        <v/>
      </c>
    </row>
    <row r="1264" spans="1:12" ht="15.75" hidden="1" customHeight="1" x14ac:dyDescent="0.25">
      <c r="A1264" s="36">
        <f>IF(ORCAMENTOS!A1272="","",ORCAMENTOS!A1272)</f>
        <v>45859</v>
      </c>
      <c r="B1264" s="46">
        <f>IF(ORCAMENTOS!B1272="","",ORCAMENTOS!B1272)</f>
        <v>1262</v>
      </c>
      <c r="C1264" s="46" t="str">
        <f>IF(ORCAMENTOS!C1272="","",ORCAMENTOS!C1272)</f>
        <v/>
      </c>
      <c r="D1264" s="37" t="str">
        <f>IF(ORCAMENTOS!D1272="","",ORCAMENTOS!D1272)</f>
        <v>ARCON AIR</v>
      </c>
      <c r="E1264" s="38" t="str">
        <f>IF(ORCAMENTOS!E1272="","",ORCAMENTOS!E1272)</f>
        <v>TRIBASE CONSTRUTORA</v>
      </c>
      <c r="F1264" s="37" t="str">
        <f>IF(ORCAMENTOS!G1272="","",ORCAMENTOS!G1272)</f>
        <v>Michel</v>
      </c>
      <c r="G1264" s="37" t="str">
        <f>IF(ORCAMENTOS!H1272="","",ORCAMENTOS!H1272)</f>
        <v>Camila</v>
      </c>
      <c r="H1264" s="39">
        <f>IF(ORCAMENTOS!I1272="","",ORCAMENTOS!I1272)</f>
        <v>2117.25</v>
      </c>
      <c r="I1264" s="60" t="str">
        <f>IF(ORCAMENTOS!J1272="","",ORCAMENTOS!J1272)</f>
        <v/>
      </c>
      <c r="J1264" s="40" t="str">
        <f>IF(ORCAMENTOS!L1272="","",ORCAMENTOS!L1272)</f>
        <v>FECHADO</v>
      </c>
      <c r="K1264" s="34" t="str">
        <f>IF(ORCAMENTOS!M1272="","",ORCAMENTOS!M1272)</f>
        <v/>
      </c>
      <c r="L1264" t="str">
        <f>IF(ORCAMENTOS!R1272="","",ORCAMENTOS!R1272)</f>
        <v/>
      </c>
    </row>
    <row r="1265" spans="1:12" ht="15.75" hidden="1" customHeight="1" x14ac:dyDescent="0.25">
      <c r="A1265" s="36">
        <f>IF(ORCAMENTOS!A1273="","",ORCAMENTOS!A1273)</f>
        <v>45860</v>
      </c>
      <c r="B1265" s="46">
        <f>IF(ORCAMENTOS!B1273="","",ORCAMENTOS!B1273)</f>
        <v>1263</v>
      </c>
      <c r="C1265" s="46" t="str">
        <f>IF(ORCAMENTOS!C1273="","",ORCAMENTOS!C1273)</f>
        <v/>
      </c>
      <c r="D1265" s="37" t="str">
        <f>IF(ORCAMENTOS!D1273="","",ORCAMENTOS!D1273)</f>
        <v>FRIOCLIMAT</v>
      </c>
      <c r="E1265" s="38" t="str">
        <f>IF(ORCAMENTOS!E1273="","",ORCAMENTOS!E1273)</f>
        <v>IGREJA ALEM DO VEU - SANTO ANDRE - SP</v>
      </c>
      <c r="F1265" s="37" t="str">
        <f>IF(ORCAMENTOS!G1273="","",ORCAMENTOS!G1273)</f>
        <v>Emanuel</v>
      </c>
      <c r="G1265" s="37" t="str">
        <f>IF(ORCAMENTOS!H1273="","",ORCAMENTOS!H1273)</f>
        <v>Marcelo</v>
      </c>
      <c r="H1265" s="39">
        <f>IF(ORCAMENTOS!I1273="","",ORCAMENTOS!I1273)</f>
        <v>5954.22</v>
      </c>
      <c r="I1265" s="60" t="str">
        <f>IF(ORCAMENTOS!J1273="","",ORCAMENTOS!J1273)</f>
        <v/>
      </c>
      <c r="J1265" s="40" t="str">
        <f>IF(ORCAMENTOS!L1273="","",ORCAMENTOS!L1273)</f>
        <v>FECHADO</v>
      </c>
      <c r="K1265" s="34" t="str">
        <f>IF(ORCAMENTOS!M1273="","",ORCAMENTOS!M1273)</f>
        <v/>
      </c>
      <c r="L1265" t="str">
        <f>IF(ORCAMENTOS!R1273="","",ORCAMENTOS!R1273)</f>
        <v/>
      </c>
    </row>
    <row r="1266" spans="1:12" ht="15.75" hidden="1" customHeight="1" x14ac:dyDescent="0.25">
      <c r="A1266" s="36">
        <f>IF(ORCAMENTOS!A1274="","",ORCAMENTOS!A1274)</f>
        <v>45859</v>
      </c>
      <c r="B1266" s="46">
        <f>IF(ORCAMENTOS!B1274="","",ORCAMENTOS!B1274)</f>
        <v>1264</v>
      </c>
      <c r="C1266" s="46" t="str">
        <f>IF(ORCAMENTOS!C1274="","",ORCAMENTOS!C1274)</f>
        <v/>
      </c>
      <c r="D1266" s="37" t="str">
        <f>IF(ORCAMENTOS!D1274="","",ORCAMENTOS!D1274)</f>
        <v>ART AR</v>
      </c>
      <c r="E1266" s="38" t="str">
        <f>IF(ORCAMENTOS!E1274="","",ORCAMENTOS!E1274)</f>
        <v>YOUCOM - SHOPPING LESTE ARICANDUVA - SP</v>
      </c>
      <c r="F1266" s="37" t="str">
        <f>IF(ORCAMENTOS!G1274="","",ORCAMENTOS!G1274)</f>
        <v>Emanuel</v>
      </c>
      <c r="G1266" s="37" t="str">
        <f>IF(ORCAMENTOS!H1274="","",ORCAMENTOS!H1274)</f>
        <v>Jorge</v>
      </c>
      <c r="H1266" s="39">
        <f>IF(ORCAMENTOS!I1274="","",ORCAMENTOS!I1274)</f>
        <v>1604.15</v>
      </c>
      <c r="I1266" s="60" t="str">
        <f>IF(ORCAMENTOS!J1274="","",ORCAMENTOS!J1274)</f>
        <v/>
      </c>
      <c r="J1266" s="40" t="str">
        <f>IF(ORCAMENTOS!L1274="","",ORCAMENTOS!L1274)</f>
        <v>FECHADO</v>
      </c>
      <c r="K1266" s="34" t="str">
        <f>IF(ORCAMENTOS!M1274="","",ORCAMENTOS!M1274)</f>
        <v/>
      </c>
      <c r="L1266" t="str">
        <f>IF(ORCAMENTOS!R1274="","",ORCAMENTOS!R1274)</f>
        <v/>
      </c>
    </row>
    <row r="1267" spans="1:12" ht="15.75" hidden="1" customHeight="1" x14ac:dyDescent="0.25">
      <c r="A1267" s="36">
        <f>IF(ORCAMENTOS!A1275="","",ORCAMENTOS!A1275)</f>
        <v>45860</v>
      </c>
      <c r="B1267" s="46">
        <f>IF(ORCAMENTOS!B1275="","",ORCAMENTOS!B1275)</f>
        <v>1265</v>
      </c>
      <c r="C1267" s="46" t="str">
        <f>IF(ORCAMENTOS!C1275="","",ORCAMENTOS!C1275)</f>
        <v/>
      </c>
      <c r="D1267" s="37" t="str">
        <f>IF(ORCAMENTOS!D1275="","",ORCAMENTOS!D1275)</f>
        <v>ANDRE LUIS SILVA</v>
      </c>
      <c r="E1267" s="38" t="str">
        <f>IF(ORCAMENTOS!E1275="","",ORCAMENTOS!E1275)</f>
        <v/>
      </c>
      <c r="F1267" s="37" t="str">
        <f>IF(ORCAMENTOS!G1275="","",ORCAMENTOS!G1275)</f>
        <v>Gabriel</v>
      </c>
      <c r="G1267" s="37" t="str">
        <f>IF(ORCAMENTOS!H1275="","",ORCAMENTOS!H1275)</f>
        <v>Andre</v>
      </c>
      <c r="H1267" s="39">
        <f>IF(ORCAMENTOS!I1275="","",ORCAMENTOS!I1275)</f>
        <v>2139.34</v>
      </c>
      <c r="I1267" s="60" t="str">
        <f>IF(ORCAMENTOS!J1275="","",ORCAMENTOS!J1275)</f>
        <v/>
      </c>
      <c r="J1267" s="40" t="str">
        <f>IF(ORCAMENTOS!L1275="","",ORCAMENTOS!L1275)</f>
        <v>FECHADO</v>
      </c>
      <c r="K1267" s="34" t="str">
        <f>IF(ORCAMENTOS!M1275="","",ORCAMENTOS!M1275)</f>
        <v/>
      </c>
      <c r="L1267" t="str">
        <f>IF(ORCAMENTOS!R1275="","",ORCAMENTOS!R1275)</f>
        <v/>
      </c>
    </row>
    <row r="1268" spans="1:12" ht="15.75" hidden="1" customHeight="1" x14ac:dyDescent="0.25">
      <c r="A1268" s="36">
        <f>IF(ORCAMENTOS!A1276="","",ORCAMENTOS!A1276)</f>
        <v>45859</v>
      </c>
      <c r="B1268" s="46">
        <f>IF(ORCAMENTOS!B1276="","",ORCAMENTOS!B1276)</f>
        <v>1266</v>
      </c>
      <c r="C1268" s="46" t="str">
        <f>IF(ORCAMENTOS!C1276="","",ORCAMENTOS!C1276)</f>
        <v/>
      </c>
      <c r="D1268" s="37" t="str">
        <f>IF(ORCAMENTOS!D1276="","",ORCAMENTOS!D1276)</f>
        <v>POWERTECH</v>
      </c>
      <c r="E1268" s="38" t="str">
        <f>IF(ORCAMENTOS!E1276="","",ORCAMENTOS!E1276)</f>
        <v>PWT 986</v>
      </c>
      <c r="F1268" s="37" t="str">
        <f>IF(ORCAMENTOS!G1276="","",ORCAMENTOS!G1276)</f>
        <v>Emanuel</v>
      </c>
      <c r="G1268" s="37" t="str">
        <f>IF(ORCAMENTOS!H1276="","",ORCAMENTOS!H1276)</f>
        <v>Francisco</v>
      </c>
      <c r="H1268" s="39">
        <f>IF(ORCAMENTOS!I1276="","",ORCAMENTOS!I1276)</f>
        <v>18739.88</v>
      </c>
      <c r="I1268" s="60" t="str">
        <f>IF(ORCAMENTOS!J1276="","",ORCAMENTOS!J1276)</f>
        <v/>
      </c>
      <c r="J1268" s="40" t="str">
        <f>IF(ORCAMENTOS!L1276="","",ORCAMENTOS!L1276)</f>
        <v>CANCELADO</v>
      </c>
      <c r="K1268" s="34" t="str">
        <f>IF(ORCAMENTOS!M1276="","",ORCAMENTOS!M1276)</f>
        <v/>
      </c>
      <c r="L1268" t="str">
        <f>IF(ORCAMENTOS!R1276="","",ORCAMENTOS!R1276)</f>
        <v/>
      </c>
    </row>
    <row r="1269" spans="1:12" ht="15.75" hidden="1" customHeight="1" x14ac:dyDescent="0.25">
      <c r="A1269" s="36">
        <f>IF(ORCAMENTOS!A1277="","",ORCAMENTOS!A1277)</f>
        <v>45861</v>
      </c>
      <c r="B1269" s="46">
        <f>IF(ORCAMENTOS!B1277="","",ORCAMENTOS!B1277)</f>
        <v>1267</v>
      </c>
      <c r="C1269" s="46" t="str">
        <f>IF(ORCAMENTOS!C1277="","",ORCAMENTOS!C1277)</f>
        <v/>
      </c>
      <c r="D1269" s="37" t="str">
        <f>IF(ORCAMENTOS!D1277="","",ORCAMENTOS!D1277)</f>
        <v>CHD SISTEMAS</v>
      </c>
      <c r="E1269" s="38" t="str">
        <f>IF(ORCAMENTOS!E1277="","",ORCAMENTOS!E1277)</f>
        <v/>
      </c>
      <c r="F1269" s="37" t="str">
        <f>IF(ORCAMENTOS!G1277="","",ORCAMENTOS!G1277)</f>
        <v>Fernando</v>
      </c>
      <c r="G1269" s="37" t="str">
        <f>IF(ORCAMENTOS!H1277="","",ORCAMENTOS!H1277)</f>
        <v>Paulo</v>
      </c>
      <c r="H1269" s="39">
        <f>IF(ORCAMENTOS!I1277="","",ORCAMENTOS!I1277)</f>
        <v>76681.710000000006</v>
      </c>
      <c r="I1269" s="60" t="str">
        <f>IF(ORCAMENTOS!J1277="","",ORCAMENTOS!J1277)</f>
        <v/>
      </c>
      <c r="J1269" s="40" t="str">
        <f>IF(ORCAMENTOS!L1277="","",ORCAMENTOS!L1277)</f>
        <v>FECHADO</v>
      </c>
      <c r="K1269" s="34" t="str">
        <f>IF(ORCAMENTOS!M1277="","",ORCAMENTOS!M1277)</f>
        <v/>
      </c>
      <c r="L1269" t="str">
        <f>IF(ORCAMENTOS!R1277="","",ORCAMENTOS!R1277)</f>
        <v/>
      </c>
    </row>
    <row r="1270" spans="1:12" ht="15.75" hidden="1" customHeight="1" x14ac:dyDescent="0.25">
      <c r="A1270" s="36">
        <f>IF(ORCAMENTOS!A1278="","",ORCAMENTOS!A1278)</f>
        <v>45859</v>
      </c>
      <c r="B1270" s="46">
        <f>IF(ORCAMENTOS!B1278="","",ORCAMENTOS!B1278)</f>
        <v>1268</v>
      </c>
      <c r="C1270" s="46" t="str">
        <f>IF(ORCAMENTOS!C1278="","",ORCAMENTOS!C1278)</f>
        <v/>
      </c>
      <c r="D1270" s="37" t="str">
        <f>IF(ORCAMENTOS!D1278="","",ORCAMENTOS!D1278)</f>
        <v>FANCOLD SERVICE</v>
      </c>
      <c r="E1270" s="38" t="str">
        <f>IF(ORCAMENTOS!E1278="","",ORCAMENTOS!E1278)</f>
        <v>HOSPITAL SÃO RAFAEL - VILA MARIANA-SP</v>
      </c>
      <c r="F1270" s="37" t="str">
        <f>IF(ORCAMENTOS!G1278="","",ORCAMENTOS!G1278)</f>
        <v>Michel</v>
      </c>
      <c r="G1270" s="37" t="str">
        <f>IF(ORCAMENTOS!H1278="","",ORCAMENTOS!H1278)</f>
        <v>Denis</v>
      </c>
      <c r="H1270" s="39">
        <f>IF(ORCAMENTOS!I1278="","",ORCAMENTOS!I1278)</f>
        <v>26521.3</v>
      </c>
      <c r="I1270" s="60" t="str">
        <f>IF(ORCAMENTOS!J1278="","",ORCAMENTOS!J1278)</f>
        <v/>
      </c>
      <c r="J1270" s="40" t="str">
        <f>IF(ORCAMENTOS!L1278="","",ORCAMENTOS!L1278)</f>
        <v>CANCELADO</v>
      </c>
      <c r="K1270" s="34" t="str">
        <f>IF(ORCAMENTOS!M1278="","",ORCAMENTOS!M1278)</f>
        <v>CONC. DE CONSTRUTORA</v>
      </c>
      <c r="L1270" t="str">
        <f>IF(ORCAMENTOS!R1278="","",ORCAMENTOS!R1278)</f>
        <v/>
      </c>
    </row>
    <row r="1271" spans="1:12" ht="15.75" hidden="1" customHeight="1" x14ac:dyDescent="0.25">
      <c r="A1271" s="36">
        <f>IF(ORCAMENTOS!A1279="","",ORCAMENTOS!A1279)</f>
        <v>45860</v>
      </c>
      <c r="B1271" s="46">
        <f>IF(ORCAMENTOS!B1279="","",ORCAMENTOS!B1279)</f>
        <v>1269</v>
      </c>
      <c r="C1271" s="46" t="str">
        <f>IF(ORCAMENTOS!C1279="","",ORCAMENTOS!C1279)</f>
        <v/>
      </c>
      <c r="D1271" s="37" t="str">
        <f>IF(ORCAMENTOS!D1279="","",ORCAMENTOS!D1279)</f>
        <v>MATRES - CONSULTORIA</v>
      </c>
      <c r="E1271" s="38" t="str">
        <f>IF(ORCAMENTOS!E1279="","",ORCAMENTOS!E1279)</f>
        <v/>
      </c>
      <c r="F1271" s="37" t="str">
        <f>IF(ORCAMENTOS!G1279="","",ORCAMENTOS!G1279)</f>
        <v>Gabriel</v>
      </c>
      <c r="G1271" s="37" t="str">
        <f>IF(ORCAMENTOS!H1279="","",ORCAMENTOS!H1279)</f>
        <v>João</v>
      </c>
      <c r="H1271" s="39">
        <f>IF(ORCAMENTOS!I1279="","",ORCAMENTOS!I1279)</f>
        <v>14868</v>
      </c>
      <c r="I1271" s="60" t="str">
        <f>IF(ORCAMENTOS!J1279="","",ORCAMENTOS!J1279)</f>
        <v/>
      </c>
      <c r="J1271" s="40" t="str">
        <f>IF(ORCAMENTOS!L1279="","",ORCAMENTOS!L1279)</f>
        <v>CANCELADO</v>
      </c>
      <c r="K1271" s="34" t="str">
        <f>IF(ORCAMENTOS!M1279="","",ORCAMENTOS!M1279)</f>
        <v/>
      </c>
      <c r="L1271" t="str">
        <f>IF(ORCAMENTOS!R1279="","",ORCAMENTOS!R1279)</f>
        <v/>
      </c>
    </row>
    <row r="1272" spans="1:12" ht="15.75" hidden="1" customHeight="1" x14ac:dyDescent="0.25">
      <c r="A1272" s="36">
        <f>IF(ORCAMENTOS!A1280="","",ORCAMENTOS!A1280)</f>
        <v>45860</v>
      </c>
      <c r="B1272" s="46">
        <f>IF(ORCAMENTOS!B1280="","",ORCAMENTOS!B1280)</f>
        <v>1270</v>
      </c>
      <c r="C1272" s="46" t="str">
        <f>IF(ORCAMENTOS!C1280="","",ORCAMENTOS!C1280)</f>
        <v/>
      </c>
      <c r="D1272" s="37" t="str">
        <f>IF(ORCAMENTOS!D1280="","",ORCAMENTOS!D1280)</f>
        <v>FANCOLD SERVICE</v>
      </c>
      <c r="E1272" s="38" t="str">
        <f>IF(ORCAMENTOS!E1280="","",ORCAMENTOS!E1280)</f>
        <v>FUNDAÇÃO BUTANTAN - PRÉDIO P0306</v>
      </c>
      <c r="F1272" s="37" t="str">
        <f>IF(ORCAMENTOS!G1280="","",ORCAMENTOS!G1280)</f>
        <v>Michel</v>
      </c>
      <c r="G1272" s="37" t="str">
        <f>IF(ORCAMENTOS!H1280="","",ORCAMENTOS!H1280)</f>
        <v>Luis Rodrigues</v>
      </c>
      <c r="H1272" s="39">
        <f>IF(ORCAMENTOS!I1280="","",ORCAMENTOS!I1280)</f>
        <v>5608.6</v>
      </c>
      <c r="I1272" s="60" t="str">
        <f>IF(ORCAMENTOS!J1280="","",ORCAMENTOS!J1280)</f>
        <v/>
      </c>
      <c r="J1272" s="40" t="str">
        <f>IF(ORCAMENTOS!L1280="","",ORCAMENTOS!L1280)</f>
        <v>CANCELADO</v>
      </c>
      <c r="K1272" s="34" t="str">
        <f>IF(ORCAMENTOS!M1280="","",ORCAMENTOS!M1280)</f>
        <v/>
      </c>
      <c r="L1272" t="str">
        <f>IF(ORCAMENTOS!R1280="","",ORCAMENTOS!R1280)</f>
        <v/>
      </c>
    </row>
    <row r="1273" spans="1:12" ht="15.75" hidden="1" customHeight="1" x14ac:dyDescent="0.25">
      <c r="A1273" s="36">
        <f>IF(ORCAMENTOS!A1281="","",ORCAMENTOS!A1281)</f>
        <v>45860</v>
      </c>
      <c r="B1273" s="46">
        <f>IF(ORCAMENTOS!B1281="","",ORCAMENTOS!B1281)</f>
        <v>1271</v>
      </c>
      <c r="C1273" s="46" t="str">
        <f>IF(ORCAMENTOS!C1281="","",ORCAMENTOS!C1281)</f>
        <v/>
      </c>
      <c r="D1273" s="37" t="str">
        <f>IF(ORCAMENTOS!D1281="","",ORCAMENTOS!D1281)</f>
        <v>FL HVAC</v>
      </c>
      <c r="E1273" s="38" t="str">
        <f>IF(ORCAMENTOS!E1281="","",ORCAMENTOS!E1281)</f>
        <v>RENNER - SH FABRIKA MALL</v>
      </c>
      <c r="F1273" s="37" t="str">
        <f>IF(ORCAMENTOS!G1281="","",ORCAMENTOS!G1281)</f>
        <v>Guilherme</v>
      </c>
      <c r="G1273" s="37" t="str">
        <f>IF(ORCAMENTOS!H1281="","",ORCAMENTOS!H1281)</f>
        <v>Filipe</v>
      </c>
      <c r="H1273" s="39">
        <f>IF(ORCAMENTOS!I1281="","",ORCAMENTOS!I1281)</f>
        <v>106933.28</v>
      </c>
      <c r="I1273" s="60" t="str">
        <f>IF(ORCAMENTOS!J1281="","",ORCAMENTOS!J1281)</f>
        <v/>
      </c>
      <c r="J1273" s="40" t="str">
        <f>IF(ORCAMENTOS!L1281="","",ORCAMENTOS!L1281)</f>
        <v>CANCELADO</v>
      </c>
      <c r="K1273" s="34" t="str">
        <f>IF(ORCAMENTOS!M1281="","",ORCAMENTOS!M1281)</f>
        <v/>
      </c>
      <c r="L1273" t="str">
        <f>IF(ORCAMENTOS!R1281="","",ORCAMENTOS!R1281)</f>
        <v/>
      </c>
    </row>
    <row r="1274" spans="1:12" ht="15.75" hidden="1" customHeight="1" x14ac:dyDescent="0.25">
      <c r="A1274" s="36">
        <f>IF(ORCAMENTOS!A1282="","",ORCAMENTOS!A1282)</f>
        <v>45860</v>
      </c>
      <c r="B1274" s="46">
        <f>IF(ORCAMENTOS!B1282="","",ORCAMENTOS!B1282)</f>
        <v>1272</v>
      </c>
      <c r="C1274" s="46" t="str">
        <f>IF(ORCAMENTOS!C1282="","",ORCAMENTOS!C1282)</f>
        <v/>
      </c>
      <c r="D1274" s="37" t="str">
        <f>IF(ORCAMENTOS!D1282="","",ORCAMENTOS!D1282)</f>
        <v>PU DUTOS</v>
      </c>
      <c r="E1274" s="38" t="str">
        <f>IF(ORCAMENTOS!E1282="","",ORCAMENTOS!E1282)</f>
        <v>DIOGO FARIA MOREIRA - FRANCA-SP</v>
      </c>
      <c r="F1274" s="37" t="str">
        <f>IF(ORCAMENTOS!G1282="","",ORCAMENTOS!G1282)</f>
        <v>Gabriel</v>
      </c>
      <c r="G1274" s="37" t="str">
        <f>IF(ORCAMENTOS!H1282="","",ORCAMENTOS!H1282)</f>
        <v>Thiago</v>
      </c>
      <c r="H1274" s="39">
        <f>IF(ORCAMENTOS!I1282="","",ORCAMENTOS!I1282)</f>
        <v>8673</v>
      </c>
      <c r="I1274" s="60" t="str">
        <f>IF(ORCAMENTOS!J1282="","",ORCAMENTOS!J1282)</f>
        <v/>
      </c>
      <c r="J1274" s="40" t="str">
        <f>IF(ORCAMENTOS!L1282="","",ORCAMENTOS!L1282)</f>
        <v>CANCELADO</v>
      </c>
      <c r="K1274" s="34" t="str">
        <f>IF(ORCAMENTOS!M1282="","",ORCAMENTOS!M1282)</f>
        <v/>
      </c>
      <c r="L1274" t="str">
        <f>IF(ORCAMENTOS!R1282="","",ORCAMENTOS!R1282)</f>
        <v/>
      </c>
    </row>
    <row r="1275" spans="1:12" ht="15.75" hidden="1" customHeight="1" x14ac:dyDescent="0.25">
      <c r="A1275" s="36">
        <f>IF(ORCAMENTOS!A1283="","",ORCAMENTOS!A1283)</f>
        <v>45860</v>
      </c>
      <c r="B1275" s="46">
        <f>IF(ORCAMENTOS!B1283="","",ORCAMENTOS!B1283)</f>
        <v>1273</v>
      </c>
      <c r="C1275" s="46" t="str">
        <f>IF(ORCAMENTOS!C1283="","",ORCAMENTOS!C1283)</f>
        <v/>
      </c>
      <c r="D1275" s="37" t="str">
        <f>IF(ORCAMENTOS!D1283="","",ORCAMENTOS!D1283)</f>
        <v>ENGEMAC</v>
      </c>
      <c r="E1275" s="38" t="str">
        <f>IF(ORCAMENTOS!E1283="","",ORCAMENTOS!E1283)</f>
        <v>ITV - BELEM DO PARÁ</v>
      </c>
      <c r="F1275" s="37" t="str">
        <f>IF(ORCAMENTOS!G1283="","",ORCAMENTOS!G1283)</f>
        <v>Fernando</v>
      </c>
      <c r="G1275" s="37" t="str">
        <f>IF(ORCAMENTOS!H1283="","",ORCAMENTOS!H1283)</f>
        <v>Daniel</v>
      </c>
      <c r="H1275" s="39">
        <f>IF(ORCAMENTOS!I1283="","",ORCAMENTOS!I1283)</f>
        <v>227782.74</v>
      </c>
      <c r="I1275" s="60" t="str">
        <f>IF(ORCAMENTOS!J1283="","",ORCAMENTOS!J1283)</f>
        <v/>
      </c>
      <c r="J1275" s="40" t="str">
        <f>IF(ORCAMENTOS!L1283="","",ORCAMENTOS!L1283)</f>
        <v>CANCELADO</v>
      </c>
      <c r="K1275" s="34" t="str">
        <f>IF(ORCAMENTOS!M1283="","",ORCAMENTOS!M1283)</f>
        <v/>
      </c>
      <c r="L1275" t="str">
        <f>IF(ORCAMENTOS!R1283="","",ORCAMENTOS!R1283)</f>
        <v/>
      </c>
    </row>
    <row r="1276" spans="1:12" ht="15.75" hidden="1" customHeight="1" x14ac:dyDescent="0.25">
      <c r="A1276" s="36">
        <f>IF(ORCAMENTOS!A1284="","",ORCAMENTOS!A1284)</f>
        <v>45861</v>
      </c>
      <c r="B1276" s="46">
        <f>IF(ORCAMENTOS!B1284="","",ORCAMENTOS!B1284)</f>
        <v>1274</v>
      </c>
      <c r="C1276" s="46" t="str">
        <f>IF(ORCAMENTOS!C1284="","",ORCAMENTOS!C1284)</f>
        <v/>
      </c>
      <c r="D1276" s="37" t="str">
        <f>IF(ORCAMENTOS!D1284="","",ORCAMENTOS!D1284)</f>
        <v>NOSSO AR</v>
      </c>
      <c r="E1276" s="38" t="str">
        <f>IF(ORCAMENTOS!E1284="","",ORCAMENTOS!E1284)</f>
        <v>Gestão Joanin São Caetano Loja 03</v>
      </c>
      <c r="F1276" s="37" t="str">
        <f>IF(ORCAMENTOS!G1284="","",ORCAMENTOS!G1284)</f>
        <v>Gabriel</v>
      </c>
      <c r="G1276" s="37" t="str">
        <f>IF(ORCAMENTOS!H1284="","",ORCAMENTOS!H1284)</f>
        <v>Gabrielle</v>
      </c>
      <c r="H1276" s="39">
        <f>IF(ORCAMENTOS!I1284="","",ORCAMENTOS!I1284)</f>
        <v>76937.740000000005</v>
      </c>
      <c r="I1276" s="60" t="str">
        <f>IF(ORCAMENTOS!J1284="","",ORCAMENTOS!J1284)</f>
        <v/>
      </c>
      <c r="J1276" s="40" t="str">
        <f>IF(ORCAMENTOS!L1284="","",ORCAMENTOS!L1284)</f>
        <v>FECHADO</v>
      </c>
      <c r="K1276" s="34" t="str">
        <f>IF(ORCAMENTOS!M1284="","",ORCAMENTOS!M1284)</f>
        <v/>
      </c>
      <c r="L1276" t="str">
        <f>IF(ORCAMENTOS!R1284="","",ORCAMENTOS!R1284)</f>
        <v/>
      </c>
    </row>
    <row r="1277" spans="1:12" ht="15.75" hidden="1" customHeight="1" x14ac:dyDescent="0.25">
      <c r="A1277" s="36">
        <f>IF(ORCAMENTOS!A1285="","",ORCAMENTOS!A1285)</f>
        <v>45860</v>
      </c>
      <c r="B1277" s="46">
        <f>IF(ORCAMENTOS!B1285="","",ORCAMENTOS!B1285)</f>
        <v>1275</v>
      </c>
      <c r="C1277" s="46" t="str">
        <f>IF(ORCAMENTOS!C1285="","",ORCAMENTOS!C1285)</f>
        <v/>
      </c>
      <c r="D1277" s="37" t="str">
        <f>IF(ORCAMENTOS!D1285="","",ORCAMENTOS!D1285)</f>
        <v>AMS INSTALACOES</v>
      </c>
      <c r="E1277" s="38" t="str">
        <f>IF(ORCAMENTOS!E1285="","",ORCAMENTOS!E1285)</f>
        <v>ASSAÍ - LOJA VILHA VELHA-ES - GERAL</v>
      </c>
      <c r="F1277" s="37" t="str">
        <f>IF(ORCAMENTOS!G1285="","",ORCAMENTOS!G1285)</f>
        <v>Gabriel</v>
      </c>
      <c r="G1277" s="37" t="str">
        <f>IF(ORCAMENTOS!H1285="","",ORCAMENTOS!H1285)</f>
        <v>Albertino</v>
      </c>
      <c r="H1277" s="39">
        <f>IF(ORCAMENTOS!I1285="","",ORCAMENTOS!I1285)</f>
        <v>277978.42</v>
      </c>
      <c r="I1277" s="60" t="str">
        <f>IF(ORCAMENTOS!J1285="","",ORCAMENTOS!J1285)</f>
        <v/>
      </c>
      <c r="J1277" s="40" t="str">
        <f>IF(ORCAMENTOS!L1285="","",ORCAMENTOS!L1285)</f>
        <v>CANCELADO</v>
      </c>
      <c r="K1277" s="34" t="str">
        <f>IF(ORCAMENTOS!M1285="","",ORCAMENTOS!M1285)</f>
        <v/>
      </c>
      <c r="L1277" t="str">
        <f>IF(ORCAMENTOS!R1285="","",ORCAMENTOS!R1285)</f>
        <v/>
      </c>
    </row>
    <row r="1278" spans="1:12" ht="15.75" hidden="1" customHeight="1" x14ac:dyDescent="0.25">
      <c r="A1278" s="36">
        <f>IF(ORCAMENTOS!A1286="","",ORCAMENTOS!A1286)</f>
        <v>45860</v>
      </c>
      <c r="B1278" s="46">
        <f>IF(ORCAMENTOS!B1286="","",ORCAMENTOS!B1286)</f>
        <v>1276</v>
      </c>
      <c r="C1278" s="46" t="str">
        <f>IF(ORCAMENTOS!C1286="","",ORCAMENTOS!C1286)</f>
        <v/>
      </c>
      <c r="D1278" s="37" t="str">
        <f>IF(ORCAMENTOS!D1286="","",ORCAMENTOS!D1286)</f>
        <v>SOLAR SERVIÇO</v>
      </c>
      <c r="E1278" s="38" t="str">
        <f>IF(ORCAMENTOS!E1286="","",ORCAMENTOS!E1286)</f>
        <v/>
      </c>
      <c r="F1278" s="37" t="str">
        <f>IF(ORCAMENTOS!G1286="","",ORCAMENTOS!G1286)</f>
        <v>Gabriel</v>
      </c>
      <c r="G1278" s="37" t="str">
        <f>IF(ORCAMENTOS!H1286="","",ORCAMENTOS!H1286)</f>
        <v>Graziele</v>
      </c>
      <c r="H1278" s="39">
        <f>IF(ORCAMENTOS!I1286="","",ORCAMENTOS!I1286)</f>
        <v>6802.13</v>
      </c>
      <c r="I1278" s="60" t="str">
        <f>IF(ORCAMENTOS!J1286="","",ORCAMENTOS!J1286)</f>
        <v/>
      </c>
      <c r="J1278" s="40" t="str">
        <f>IF(ORCAMENTOS!L1286="","",ORCAMENTOS!L1286)</f>
        <v>CANCELADO</v>
      </c>
      <c r="K1278" s="34" t="str">
        <f>IF(ORCAMENTOS!M1286="","",ORCAMENTOS!M1286)</f>
        <v/>
      </c>
      <c r="L1278" t="str">
        <f>IF(ORCAMENTOS!R1286="","",ORCAMENTOS!R1286)</f>
        <v/>
      </c>
    </row>
    <row r="1279" spans="1:12" ht="15.75" hidden="1" customHeight="1" x14ac:dyDescent="0.25">
      <c r="A1279" s="36">
        <f>IF(ORCAMENTOS!A1287="","",ORCAMENTOS!A1287)</f>
        <v>45860</v>
      </c>
      <c r="B1279" s="46">
        <f>IF(ORCAMENTOS!B1287="","",ORCAMENTOS!B1287)</f>
        <v>1277</v>
      </c>
      <c r="C1279" s="46" t="str">
        <f>IF(ORCAMENTOS!C1287="","",ORCAMENTOS!C1287)</f>
        <v/>
      </c>
      <c r="D1279" s="37" t="str">
        <f>IF(ORCAMENTOS!D1287="","",ORCAMENTOS!D1287)</f>
        <v>R1 SOLUCOES</v>
      </c>
      <c r="E1279" s="38" t="str">
        <f>IF(ORCAMENTOS!E1287="","",ORCAMENTOS!E1287)</f>
        <v>CINÉPOLIS</v>
      </c>
      <c r="F1279" s="37" t="str">
        <f>IF(ORCAMENTOS!G1287="","",ORCAMENTOS!G1287)</f>
        <v>Gabriel</v>
      </c>
      <c r="G1279" s="37" t="str">
        <f>IF(ORCAMENTOS!H1287="","",ORCAMENTOS!H1287)</f>
        <v>Janaina</v>
      </c>
      <c r="H1279" s="39">
        <f>IF(ORCAMENTOS!I1287="","",ORCAMENTOS!I1287)</f>
        <v>101022.29</v>
      </c>
      <c r="I1279" s="60" t="str">
        <f>IF(ORCAMENTOS!J1287="","",ORCAMENTOS!J1287)</f>
        <v/>
      </c>
      <c r="J1279" s="40" t="str">
        <f>IF(ORCAMENTOS!L1287="","",ORCAMENTOS!L1287)</f>
        <v>COMPRA</v>
      </c>
      <c r="K1279" s="34" t="str">
        <f>IF(ORCAMENTOS!M1287="","",ORCAMENTOS!M1287)</f>
        <v/>
      </c>
      <c r="L1279" t="str">
        <f>IF(ORCAMENTOS!R1287="","",ORCAMENTOS!R1287)</f>
        <v/>
      </c>
    </row>
    <row r="1280" spans="1:12" ht="15.75" hidden="1" customHeight="1" x14ac:dyDescent="0.25">
      <c r="A1280" s="36">
        <f>IF(ORCAMENTOS!A1288="","",ORCAMENTOS!A1288)</f>
        <v>45860</v>
      </c>
      <c r="B1280" s="46">
        <f>IF(ORCAMENTOS!B1288="","",ORCAMENTOS!B1288)</f>
        <v>1278</v>
      </c>
      <c r="C1280" s="46" t="str">
        <f>IF(ORCAMENTOS!C1288="","",ORCAMENTOS!C1288)</f>
        <v/>
      </c>
      <c r="D1280" s="37" t="str">
        <f>IF(ORCAMENTOS!D1288="","",ORCAMENTOS!D1288)</f>
        <v>FR CLIMATIZAÇÃO</v>
      </c>
      <c r="E1280" s="38" t="str">
        <f>IF(ORCAMENTOS!E1288="","",ORCAMENTOS!E1288)</f>
        <v>FR COMOLATTI</v>
      </c>
      <c r="F1280" s="37" t="str">
        <f>IF(ORCAMENTOS!G1288="","",ORCAMENTOS!G1288)</f>
        <v>Michel</v>
      </c>
      <c r="G1280" s="37" t="str">
        <f>IF(ORCAMENTOS!H1288="","",ORCAMENTOS!H1288)</f>
        <v>Vagner</v>
      </c>
      <c r="H1280" s="39">
        <f>IF(ORCAMENTOS!I1288="","",ORCAMENTOS!I1288)</f>
        <v>34854.410000000003</v>
      </c>
      <c r="I1280" s="60" t="str">
        <f>IF(ORCAMENTOS!J1288="","",ORCAMENTOS!J1288)</f>
        <v/>
      </c>
      <c r="J1280" s="40" t="str">
        <f>IF(ORCAMENTOS!L1288="","",ORCAMENTOS!L1288)</f>
        <v>CANCELADO</v>
      </c>
      <c r="K1280" s="34" t="str">
        <f>IF(ORCAMENTOS!M1288="","",ORCAMENTOS!M1288)</f>
        <v/>
      </c>
      <c r="L1280" t="str">
        <f>IF(ORCAMENTOS!R1288="","",ORCAMENTOS!R1288)</f>
        <v/>
      </c>
    </row>
    <row r="1281" spans="1:12" ht="15.75" hidden="1" customHeight="1" x14ac:dyDescent="0.25">
      <c r="A1281" s="36">
        <f>IF(ORCAMENTOS!A1289="","",ORCAMENTOS!A1289)</f>
        <v>45861</v>
      </c>
      <c r="B1281" s="46">
        <f>IF(ORCAMENTOS!B1289="","",ORCAMENTOS!B1289)</f>
        <v>1279</v>
      </c>
      <c r="C1281" s="46" t="str">
        <f>IF(ORCAMENTOS!C1289="","",ORCAMENTOS!C1289)</f>
        <v/>
      </c>
      <c r="D1281" s="37" t="str">
        <f>IF(ORCAMENTOS!D1289="","",ORCAMENTOS!D1289)</f>
        <v>GRUPO GR SOLUÇÕES</v>
      </c>
      <c r="E1281" s="38" t="str">
        <f>IF(ORCAMENTOS!E1289="","",ORCAMENTOS!E1289)</f>
        <v>CLINICA GÁVEA</v>
      </c>
      <c r="F1281" s="37" t="str">
        <f>IF(ORCAMENTOS!G1289="","",ORCAMENTOS!G1289)</f>
        <v>Gabriel</v>
      </c>
      <c r="G1281" s="37" t="str">
        <f>IF(ORCAMENTOS!H1289="","",ORCAMENTOS!H1289)</f>
        <v>Felipe</v>
      </c>
      <c r="H1281" s="39">
        <f>IF(ORCAMENTOS!I1289="","",ORCAMENTOS!I1289)</f>
        <v>31747.03</v>
      </c>
      <c r="I1281" s="60" t="str">
        <f>IF(ORCAMENTOS!J1289="","",ORCAMENTOS!J1289)</f>
        <v/>
      </c>
      <c r="J1281" s="40" t="str">
        <f>IF(ORCAMENTOS!L1289="","",ORCAMENTOS!L1289)</f>
        <v>CANCELADO</v>
      </c>
      <c r="K1281" s="34" t="str">
        <f>IF(ORCAMENTOS!M1289="","",ORCAMENTOS!M1289)</f>
        <v/>
      </c>
      <c r="L1281" t="str">
        <f>IF(ORCAMENTOS!R1289="","",ORCAMENTOS!R1289)</f>
        <v/>
      </c>
    </row>
    <row r="1282" spans="1:12" ht="15.75" hidden="1" customHeight="1" x14ac:dyDescent="0.25">
      <c r="A1282" s="36">
        <f>IF(ORCAMENTOS!A1290="","",ORCAMENTOS!A1290)</f>
        <v>45861</v>
      </c>
      <c r="B1282" s="46">
        <f>IF(ORCAMENTOS!B1290="","",ORCAMENTOS!B1290)</f>
        <v>1280</v>
      </c>
      <c r="C1282" s="46" t="str">
        <f>IF(ORCAMENTOS!C1290="","",ORCAMENTOS!C1290)</f>
        <v/>
      </c>
      <c r="D1282" s="37" t="str">
        <f>IF(ORCAMENTOS!D1290="","",ORCAMENTOS!D1290)</f>
        <v>CAM ENERGY</v>
      </c>
      <c r="E1282" s="38" t="str">
        <f>IF(ORCAMENTOS!E1290="","",ORCAMENTOS!E1290)</f>
        <v/>
      </c>
      <c r="F1282" s="37" t="str">
        <f>IF(ORCAMENTOS!G1290="","",ORCAMENTOS!G1290)</f>
        <v>Gabriel</v>
      </c>
      <c r="G1282" s="37" t="str">
        <f>IF(ORCAMENTOS!H1290="","",ORCAMENTOS!H1290)</f>
        <v>Karina</v>
      </c>
      <c r="H1282" s="39">
        <f>IF(ORCAMENTOS!I1290="","",ORCAMENTOS!I1290)</f>
        <v>51351.040000000001</v>
      </c>
      <c r="I1282" s="60" t="str">
        <f>IF(ORCAMENTOS!J1290="","",ORCAMENTOS!J1290)</f>
        <v/>
      </c>
      <c r="J1282" s="40" t="str">
        <f>IF(ORCAMENTOS!L1290="","",ORCAMENTOS!L1290)</f>
        <v>CANCELADO</v>
      </c>
      <c r="K1282" s="34" t="str">
        <f>IF(ORCAMENTOS!M1290="","",ORCAMENTOS!M1290)</f>
        <v/>
      </c>
      <c r="L1282" t="str">
        <f>IF(ORCAMENTOS!R1290="","",ORCAMENTOS!R1290)</f>
        <v/>
      </c>
    </row>
    <row r="1283" spans="1:12" ht="15.75" hidden="1" customHeight="1" x14ac:dyDescent="0.25">
      <c r="A1283" s="36">
        <f>IF(ORCAMENTOS!A1291="","",ORCAMENTOS!A1291)</f>
        <v>45860</v>
      </c>
      <c r="B1283" s="46">
        <f>IF(ORCAMENTOS!B1291="","",ORCAMENTOS!B1291)</f>
        <v>1281</v>
      </c>
      <c r="C1283" s="46" t="str">
        <f>IF(ORCAMENTOS!C1291="","",ORCAMENTOS!C1291)</f>
        <v/>
      </c>
      <c r="D1283" s="37" t="str">
        <f>IF(ORCAMENTOS!D1291="","",ORCAMENTOS!D1291)</f>
        <v>LKT AR CONDICIONADO</v>
      </c>
      <c r="E1283" s="38" t="str">
        <f>IF(ORCAMENTOS!E1291="","",ORCAMENTOS!E1291)</f>
        <v>GV PORTO SÃO PEDRO</v>
      </c>
      <c r="F1283" s="37" t="str">
        <f>IF(ORCAMENTOS!G1291="","",ORCAMENTOS!G1291)</f>
        <v>Fernando</v>
      </c>
      <c r="G1283" s="37" t="str">
        <f>IF(ORCAMENTOS!H1291="","",ORCAMENTOS!H1291)</f>
        <v>Gabriel</v>
      </c>
      <c r="H1283" s="39">
        <f>IF(ORCAMENTOS!I1291="","",ORCAMENTOS!I1291)</f>
        <v>12914.3</v>
      </c>
      <c r="I1283" s="60" t="str">
        <f>IF(ORCAMENTOS!J1291="","",ORCAMENTOS!J1291)</f>
        <v/>
      </c>
      <c r="J1283" s="40" t="str">
        <f>IF(ORCAMENTOS!L1291="","",ORCAMENTOS!L1291)</f>
        <v>CANCELADO</v>
      </c>
      <c r="K1283" s="34" t="str">
        <f>IF(ORCAMENTOS!M1291="","",ORCAMENTOS!M1291)</f>
        <v/>
      </c>
      <c r="L1283" t="str">
        <f>IF(ORCAMENTOS!R1291="","",ORCAMENTOS!R1291)</f>
        <v/>
      </c>
    </row>
    <row r="1284" spans="1:12" ht="15.75" hidden="1" customHeight="1" x14ac:dyDescent="0.25">
      <c r="A1284" s="36">
        <f>IF(ORCAMENTOS!A1292="","",ORCAMENTOS!A1292)</f>
        <v>45860</v>
      </c>
      <c r="B1284" s="46">
        <f>IF(ORCAMENTOS!B1292="","",ORCAMENTOS!B1292)</f>
        <v>1282</v>
      </c>
      <c r="C1284" s="46" t="str">
        <f>IF(ORCAMENTOS!C1292="","",ORCAMENTOS!C1292)</f>
        <v/>
      </c>
      <c r="D1284" s="37" t="str">
        <f>IF(ORCAMENTOS!D1292="","",ORCAMENTOS!D1292)</f>
        <v>AWA AR CONDICIONADO</v>
      </c>
      <c r="E1284" s="38" t="str">
        <f>IF(ORCAMENTOS!E1292="","",ORCAMENTOS!E1292)</f>
        <v>TENDA ATACADO - LOJA TAUBATÉ-SP</v>
      </c>
      <c r="F1284" s="37" t="str">
        <f>IF(ORCAMENTOS!G1292="","",ORCAMENTOS!G1292)</f>
        <v>Guilherme</v>
      </c>
      <c r="G1284" s="37" t="str">
        <f>IF(ORCAMENTOS!H1292="","",ORCAMENTOS!H1292)</f>
        <v>Paula</v>
      </c>
      <c r="H1284" s="39">
        <f>IF(ORCAMENTOS!I1292="","",ORCAMENTOS!I1292)</f>
        <v>194143.25</v>
      </c>
      <c r="I1284" s="60" t="str">
        <f>IF(ORCAMENTOS!J1292="","",ORCAMENTOS!J1292)</f>
        <v/>
      </c>
      <c r="J1284" s="40" t="str">
        <f>IF(ORCAMENTOS!L1292="","",ORCAMENTOS!L1292)</f>
        <v>CANCELADO</v>
      </c>
      <c r="K1284" s="34" t="str">
        <f>IF(ORCAMENTOS!M1292="","",ORCAMENTOS!M1292)</f>
        <v>PREV AGOSTO</v>
      </c>
      <c r="L1284" t="str">
        <f>IF(ORCAMENTOS!R1292="","",ORCAMENTOS!R1292)</f>
        <v/>
      </c>
    </row>
    <row r="1285" spans="1:12" ht="15.75" hidden="1" customHeight="1" x14ac:dyDescent="0.25">
      <c r="A1285" s="36">
        <f>IF(ORCAMENTOS!A1293="","",ORCAMENTOS!A1293)</f>
        <v>45883</v>
      </c>
      <c r="B1285" s="46">
        <f>IF(ORCAMENTOS!B1293="","",ORCAMENTOS!B1293)</f>
        <v>1283</v>
      </c>
      <c r="C1285" s="46" t="str">
        <f>IF(ORCAMENTOS!C1293="","",ORCAMENTOS!C1293)</f>
        <v/>
      </c>
      <c r="D1285" s="37" t="str">
        <f>IF(ORCAMENTOS!D1293="","",ORCAMENTOS!D1293)</f>
        <v>ENGEMAC</v>
      </c>
      <c r="E1285" s="38" t="str">
        <f>IF(ORCAMENTOS!E1293="","",ORCAMENTOS!E1293)</f>
        <v>NAVES ENGENHARIA - NOVA SEDE - ITV BELÉM</v>
      </c>
      <c r="F1285" s="37" t="str">
        <f>IF(ORCAMENTOS!G1293="","",ORCAMENTOS!G1293)</f>
        <v>Fernando</v>
      </c>
      <c r="G1285" s="37" t="str">
        <f>IF(ORCAMENTOS!H1293="","",ORCAMENTOS!H1293)</f>
        <v>Edmilson</v>
      </c>
      <c r="H1285" s="39">
        <f>IF(ORCAMENTOS!I1293="","",ORCAMENTOS!I1293)</f>
        <v>203152.1</v>
      </c>
      <c r="I1285" s="60" t="str">
        <f>IF(ORCAMENTOS!J1293="","",ORCAMENTOS!J1293)</f>
        <v/>
      </c>
      <c r="J1285" s="40" t="str">
        <f>IF(ORCAMENTOS!L1293="","",ORCAMENTOS!L1293)</f>
        <v>PERDIDO</v>
      </c>
      <c r="K1285" s="34" t="str">
        <f>IF(ORCAMENTOS!M1293="","",ORCAMENTOS!M1293)</f>
        <v>MULTIVAC - PREÇO</v>
      </c>
      <c r="L1285" t="str">
        <f>IF(ORCAMENTOS!R1293="","",ORCAMENTOS!R1293)</f>
        <v/>
      </c>
    </row>
    <row r="1286" spans="1:12" ht="15.75" hidden="1" customHeight="1" x14ac:dyDescent="0.25">
      <c r="A1286" s="36">
        <f>IF(ORCAMENTOS!A1294="","",ORCAMENTOS!A1294)</f>
        <v>45861</v>
      </c>
      <c r="B1286" s="46">
        <f>IF(ORCAMENTOS!B1294="","",ORCAMENTOS!B1294)</f>
        <v>1284</v>
      </c>
      <c r="C1286" s="46" t="str">
        <f>IF(ORCAMENTOS!C1294="","",ORCAMENTOS!C1294)</f>
        <v/>
      </c>
      <c r="D1286" s="37" t="str">
        <f>IF(ORCAMENTOS!D1294="","",ORCAMENTOS!D1294)</f>
        <v>K SET</v>
      </c>
      <c r="E1286" s="38" t="str">
        <f>IF(ORCAMENTOS!E1294="","",ORCAMENTOS!E1294)</f>
        <v/>
      </c>
      <c r="F1286" s="37" t="str">
        <f>IF(ORCAMENTOS!G1294="","",ORCAMENTOS!G1294)</f>
        <v>Gabriel</v>
      </c>
      <c r="G1286" s="37" t="str">
        <f>IF(ORCAMENTOS!H1294="","",ORCAMENTOS!H1294)</f>
        <v>Lana</v>
      </c>
      <c r="H1286" s="39">
        <f>IF(ORCAMENTOS!I1294="","",ORCAMENTOS!I1294)</f>
        <v>1809.15</v>
      </c>
      <c r="I1286" s="60" t="str">
        <f>IF(ORCAMENTOS!J1294="","",ORCAMENTOS!J1294)</f>
        <v/>
      </c>
      <c r="J1286" s="40" t="str">
        <f>IF(ORCAMENTOS!L1294="","",ORCAMENTOS!L1294)</f>
        <v>FECHADO</v>
      </c>
      <c r="K1286" s="34" t="str">
        <f>IF(ORCAMENTOS!M1294="","",ORCAMENTOS!M1294)</f>
        <v/>
      </c>
      <c r="L1286" t="str">
        <f>IF(ORCAMENTOS!R1294="","",ORCAMENTOS!R1294)</f>
        <v/>
      </c>
    </row>
    <row r="1287" spans="1:12" ht="15.75" hidden="1" customHeight="1" x14ac:dyDescent="0.25">
      <c r="A1287" s="36">
        <f>IF(ORCAMENTOS!A1295="","",ORCAMENTOS!A1295)</f>
        <v>45861</v>
      </c>
      <c r="B1287" s="46">
        <f>IF(ORCAMENTOS!B1295="","",ORCAMENTOS!B1295)</f>
        <v>1285</v>
      </c>
      <c r="C1287" s="46" t="str">
        <f>IF(ORCAMENTOS!C1295="","",ORCAMENTOS!C1295)</f>
        <v/>
      </c>
      <c r="D1287" s="37" t="str">
        <f>IF(ORCAMENTOS!D1295="","",ORCAMENTOS!D1295)</f>
        <v>ENEBRAS</v>
      </c>
      <c r="E1287" s="38" t="str">
        <f>IF(ORCAMENTOS!E1295="","",ORCAMENTOS!E1295)</f>
        <v>GRAMA SINTÉTICA</v>
      </c>
      <c r="F1287" s="37" t="str">
        <f>IF(ORCAMENTOS!G1295="","",ORCAMENTOS!G1295)</f>
        <v>Michel</v>
      </c>
      <c r="G1287" s="37" t="str">
        <f>IF(ORCAMENTOS!H1295="","",ORCAMENTOS!H1295)</f>
        <v>Pedro Soares</v>
      </c>
      <c r="H1287" s="39">
        <f>IF(ORCAMENTOS!I1295="","",ORCAMENTOS!I1295)</f>
        <v>432</v>
      </c>
      <c r="I1287" s="60" t="str">
        <f>IF(ORCAMENTOS!J1295="","",ORCAMENTOS!J1295)</f>
        <v/>
      </c>
      <c r="J1287" s="40" t="str">
        <f>IF(ORCAMENTOS!L1295="","",ORCAMENTOS!L1295)</f>
        <v>CANCELADO</v>
      </c>
      <c r="K1287" s="34" t="str">
        <f>IF(ORCAMENTOS!M1295="","",ORCAMENTOS!M1295)</f>
        <v/>
      </c>
      <c r="L1287" t="str">
        <f>IF(ORCAMENTOS!R1295="","",ORCAMENTOS!R1295)</f>
        <v/>
      </c>
    </row>
    <row r="1288" spans="1:12" ht="15.75" hidden="1" customHeight="1" x14ac:dyDescent="0.25">
      <c r="A1288" s="36">
        <f>IF(ORCAMENTOS!A1296="","",ORCAMENTOS!A1296)</f>
        <v>45861</v>
      </c>
      <c r="B1288" s="46">
        <f>IF(ORCAMENTOS!B1296="","",ORCAMENTOS!B1296)</f>
        <v>1286</v>
      </c>
      <c r="C1288" s="46" t="str">
        <f>IF(ORCAMENTOS!C1296="","",ORCAMENTOS!C1296)</f>
        <v/>
      </c>
      <c r="D1288" s="37" t="str">
        <f>IF(ORCAMENTOS!D1296="","",ORCAMENTOS!D1296)</f>
        <v>FL HVAC</v>
      </c>
      <c r="E1288" s="38" t="str">
        <f>IF(ORCAMENTOS!E1296="","",ORCAMENTOS!E1296)</f>
        <v>RENNER LUCAS DO RIO VERDE</v>
      </c>
      <c r="F1288" s="37" t="str">
        <f>IF(ORCAMENTOS!G1296="","",ORCAMENTOS!G1296)</f>
        <v>Guilherme</v>
      </c>
      <c r="G1288" s="37" t="str">
        <f>IF(ORCAMENTOS!H1296="","",ORCAMENTOS!H1296)</f>
        <v>Filipe</v>
      </c>
      <c r="H1288" s="39">
        <f>IF(ORCAMENTOS!I1296="","",ORCAMENTOS!I1296)</f>
        <v>95955.05</v>
      </c>
      <c r="I1288" s="60" t="str">
        <f>IF(ORCAMENTOS!J1296="","",ORCAMENTOS!J1296)</f>
        <v/>
      </c>
      <c r="J1288" s="40" t="str">
        <f>IF(ORCAMENTOS!L1296="","",ORCAMENTOS!L1296)</f>
        <v>CANCELADO</v>
      </c>
      <c r="K1288" s="34" t="str">
        <f>IF(ORCAMENTOS!M1296="","",ORCAMENTOS!M1296)</f>
        <v/>
      </c>
      <c r="L1288" t="str">
        <f>IF(ORCAMENTOS!R1296="","",ORCAMENTOS!R1296)</f>
        <v/>
      </c>
    </row>
    <row r="1289" spans="1:12" ht="15.75" hidden="1" customHeight="1" x14ac:dyDescent="0.25">
      <c r="A1289" s="36">
        <f>IF(ORCAMENTOS!A1297="","",ORCAMENTOS!A1297)</f>
        <v>45877</v>
      </c>
      <c r="B1289" s="46">
        <f>IF(ORCAMENTOS!B1297="","",ORCAMENTOS!B1297)</f>
        <v>1287</v>
      </c>
      <c r="C1289" s="46" t="str">
        <f>IF(ORCAMENTOS!C1297="","",ORCAMENTOS!C1297)</f>
        <v/>
      </c>
      <c r="D1289" s="37" t="str">
        <f>IF(ORCAMENTOS!D1297="","",ORCAMENTOS!D1297)</f>
        <v>DIAGRAMA AR</v>
      </c>
      <c r="E1289" s="38" t="str">
        <f>IF(ORCAMENTOS!E1297="","",ORCAMENTOS!E1297)</f>
        <v>BRICK</v>
      </c>
      <c r="F1289" s="37" t="str">
        <f>IF(ORCAMENTOS!G1297="","",ORCAMENTOS!G1297)</f>
        <v>Guilherme</v>
      </c>
      <c r="G1289" s="37" t="str">
        <f>IF(ORCAMENTOS!H1297="","",ORCAMENTOS!H1297)</f>
        <v>Silvia</v>
      </c>
      <c r="H1289" s="39">
        <f>IF(ORCAMENTOS!I1297="","",ORCAMENTOS!I1297)</f>
        <v>1440.26</v>
      </c>
      <c r="I1289" s="60" t="str">
        <f>IF(ORCAMENTOS!J1297="","",ORCAMENTOS!J1297)</f>
        <v/>
      </c>
      <c r="J1289" s="40" t="str">
        <f>IF(ORCAMENTOS!L1297="","",ORCAMENTOS!L1297)</f>
        <v>PERDIDO</v>
      </c>
      <c r="K1289" s="34" t="str">
        <f>IF(ORCAMENTOS!M1297="","",ORCAMENTOS!M1297)</f>
        <v>ACESSÓRIOS</v>
      </c>
      <c r="L1289" t="str">
        <f>IF(ORCAMENTOS!R1297="","",ORCAMENTOS!R1297)</f>
        <v/>
      </c>
    </row>
    <row r="1290" spans="1:12" ht="15.75" hidden="1" customHeight="1" x14ac:dyDescent="0.25">
      <c r="A1290" s="36">
        <f>IF(ORCAMENTOS!A1298="","",ORCAMENTOS!A1298)</f>
        <v>45861</v>
      </c>
      <c r="B1290" s="46">
        <f>IF(ORCAMENTOS!B1298="","",ORCAMENTOS!B1298)</f>
        <v>1288</v>
      </c>
      <c r="C1290" s="46" t="str">
        <f>IF(ORCAMENTOS!C1298="","",ORCAMENTOS!C1298)</f>
        <v/>
      </c>
      <c r="D1290" s="37" t="str">
        <f>IF(ORCAMENTOS!D1298="","",ORCAMENTOS!D1298)</f>
        <v>AFRIOTHERM</v>
      </c>
      <c r="E1290" s="38" t="str">
        <f>IF(ORCAMENTOS!E1298="","",ORCAMENTOS!E1298)</f>
        <v/>
      </c>
      <c r="F1290" s="37" t="str">
        <f>IF(ORCAMENTOS!G1298="","",ORCAMENTOS!G1298)</f>
        <v>Emanuel</v>
      </c>
      <c r="G1290" s="37" t="str">
        <f>IF(ORCAMENTOS!H1298="","",ORCAMENTOS!H1298)</f>
        <v>João</v>
      </c>
      <c r="H1290" s="39">
        <f>IF(ORCAMENTOS!I1298="","",ORCAMENTOS!I1298)</f>
        <v>941.28</v>
      </c>
      <c r="I1290" s="60" t="str">
        <f>IF(ORCAMENTOS!J1298="","",ORCAMENTOS!J1298)</f>
        <v/>
      </c>
      <c r="J1290" s="40" t="str">
        <f>IF(ORCAMENTOS!L1298="","",ORCAMENTOS!L1298)</f>
        <v>CANCELADO</v>
      </c>
      <c r="K1290" s="34" t="str">
        <f>IF(ORCAMENTOS!M1298="","",ORCAMENTOS!M1298)</f>
        <v/>
      </c>
      <c r="L1290" t="str">
        <f>IF(ORCAMENTOS!R1298="","",ORCAMENTOS!R1298)</f>
        <v/>
      </c>
    </row>
    <row r="1291" spans="1:12" ht="15.75" hidden="1" customHeight="1" x14ac:dyDescent="0.25">
      <c r="A1291" s="36">
        <f>IF(ORCAMENTOS!A1299="","",ORCAMENTOS!A1299)</f>
        <v>45862</v>
      </c>
      <c r="B1291" s="46">
        <f>IF(ORCAMENTOS!B1299="","",ORCAMENTOS!B1299)</f>
        <v>1289</v>
      </c>
      <c r="C1291" s="46" t="str">
        <f>IF(ORCAMENTOS!C1299="","",ORCAMENTOS!C1299)</f>
        <v/>
      </c>
      <c r="D1291" s="37" t="str">
        <f>IF(ORCAMENTOS!D1299="","",ORCAMENTOS!D1299)</f>
        <v>WELLNESS SOLUTIONS</v>
      </c>
      <c r="E1291" s="38" t="str">
        <f>IF(ORCAMENTOS!E1299="","",ORCAMENTOS!E1299)</f>
        <v/>
      </c>
      <c r="F1291" s="37" t="str">
        <f>IF(ORCAMENTOS!G1299="","",ORCAMENTOS!G1299)</f>
        <v>Gabriel</v>
      </c>
      <c r="G1291" s="37" t="str">
        <f>IF(ORCAMENTOS!H1299="","",ORCAMENTOS!H1299)</f>
        <v>Ricardo</v>
      </c>
      <c r="H1291" s="39">
        <f>IF(ORCAMENTOS!I1299="","",ORCAMENTOS!I1299)</f>
        <v>6655.18</v>
      </c>
      <c r="I1291" s="60" t="str">
        <f>IF(ORCAMENTOS!J1299="","",ORCAMENTOS!J1299)</f>
        <v/>
      </c>
      <c r="J1291" s="40" t="str">
        <f>IF(ORCAMENTOS!L1299="","",ORCAMENTOS!L1299)</f>
        <v>FECHADO</v>
      </c>
      <c r="K1291" s="34" t="str">
        <f>IF(ORCAMENTOS!M1299="","",ORCAMENTOS!M1299)</f>
        <v/>
      </c>
      <c r="L1291" t="str">
        <f>IF(ORCAMENTOS!R1299="","",ORCAMENTOS!R1299)</f>
        <v/>
      </c>
    </row>
    <row r="1292" spans="1:12" ht="15.75" hidden="1" customHeight="1" x14ac:dyDescent="0.25">
      <c r="A1292" s="36">
        <f>IF(ORCAMENTOS!A1300="","",ORCAMENTOS!A1300)</f>
        <v>45862</v>
      </c>
      <c r="B1292" s="46">
        <f>IF(ORCAMENTOS!B1300="","",ORCAMENTOS!B1300)</f>
        <v>1290</v>
      </c>
      <c r="C1292" s="46" t="str">
        <f>IF(ORCAMENTOS!C1300="","",ORCAMENTOS!C1300)</f>
        <v/>
      </c>
      <c r="D1292" s="37" t="str">
        <f>IF(ORCAMENTOS!D1300="","",ORCAMENTOS!D1300)</f>
        <v>DUPLIX ENGENHARIA</v>
      </c>
      <c r="E1292" s="38" t="str">
        <f>IF(ORCAMENTOS!E1300="","",ORCAMENTOS!E1300)</f>
        <v>SICREDI - AG TIETÊ-SP</v>
      </c>
      <c r="F1292" s="37" t="str">
        <f>IF(ORCAMENTOS!G1300="","",ORCAMENTOS!G1300)</f>
        <v>Emanuel</v>
      </c>
      <c r="G1292" s="37" t="str">
        <f>IF(ORCAMENTOS!H1300="","",ORCAMENTOS!H1300)</f>
        <v>João Pedro</v>
      </c>
      <c r="H1292" s="39">
        <f>IF(ORCAMENTOS!I1300="","",ORCAMENTOS!I1300)</f>
        <v>7137.31</v>
      </c>
      <c r="I1292" s="60" t="str">
        <f>IF(ORCAMENTOS!J1300="","",ORCAMENTOS!J1300)</f>
        <v/>
      </c>
      <c r="J1292" s="40" t="str">
        <f>IF(ORCAMENTOS!L1300="","",ORCAMENTOS!L1300)</f>
        <v>CANCELADO</v>
      </c>
      <c r="K1292" s="34" t="str">
        <f>IF(ORCAMENTOS!M1300="","",ORCAMENTOS!M1300)</f>
        <v/>
      </c>
      <c r="L1292" t="str">
        <f>IF(ORCAMENTOS!R1300="","",ORCAMENTOS!R1300)</f>
        <v/>
      </c>
    </row>
    <row r="1293" spans="1:12" ht="15.75" hidden="1" customHeight="1" x14ac:dyDescent="0.25">
      <c r="A1293" s="36">
        <f>IF(ORCAMENTOS!A1301="","",ORCAMENTOS!A1301)</f>
        <v>45862</v>
      </c>
      <c r="B1293" s="46">
        <f>IF(ORCAMENTOS!B1301="","",ORCAMENTOS!B1301)</f>
        <v>1291</v>
      </c>
      <c r="C1293" s="46" t="str">
        <f>IF(ORCAMENTOS!C1301="","",ORCAMENTOS!C1301)</f>
        <v/>
      </c>
      <c r="D1293" s="37" t="str">
        <f>IF(ORCAMENTOS!D1301="","",ORCAMENTOS!D1301)</f>
        <v>NEWSET</v>
      </c>
      <c r="E1293" s="38" t="str">
        <f>IF(ORCAMENTOS!E1301="","",ORCAMENTOS!E1301)</f>
        <v>NSP115C25 - HCOR - TMO 2º PAVIMENTO</v>
      </c>
      <c r="F1293" s="37" t="str">
        <f>IF(ORCAMENTOS!G1301="","",ORCAMENTOS!G1301)</f>
        <v xml:space="preserve">Aldavir </v>
      </c>
      <c r="G1293" s="37" t="str">
        <f>IF(ORCAMENTOS!H1301="","",ORCAMENTOS!H1301)</f>
        <v>Gustavo</v>
      </c>
      <c r="H1293" s="39">
        <f>IF(ORCAMENTOS!I1301="","",ORCAMENTOS!I1301)</f>
        <v>28368.71</v>
      </c>
      <c r="I1293" s="60" t="str">
        <f>IF(ORCAMENTOS!J1301="","",ORCAMENTOS!J1301)</f>
        <v/>
      </c>
      <c r="J1293" s="40" t="str">
        <f>IF(ORCAMENTOS!L1301="","",ORCAMENTOS!L1301)</f>
        <v>CANCELADO</v>
      </c>
      <c r="K1293" s="34" t="str">
        <f>IF(ORCAMENTOS!M1301="","",ORCAMENTOS!M1301)</f>
        <v>CHAPA</v>
      </c>
      <c r="L1293" t="str">
        <f>IF(ORCAMENTOS!R1301="","",ORCAMENTOS!R1301)</f>
        <v/>
      </c>
    </row>
    <row r="1294" spans="1:12" ht="15.75" hidden="1" customHeight="1" x14ac:dyDescent="0.25">
      <c r="A1294" s="36">
        <f>IF(ORCAMENTOS!A1302="","",ORCAMENTOS!A1302)</f>
        <v>45862</v>
      </c>
      <c r="B1294" s="46">
        <f>IF(ORCAMENTOS!B1302="","",ORCAMENTOS!B1302)</f>
        <v>1292</v>
      </c>
      <c r="C1294" s="46" t="str">
        <f>IF(ORCAMENTOS!C1302="","",ORCAMENTOS!C1302)</f>
        <v/>
      </c>
      <c r="D1294" s="37" t="str">
        <f>IF(ORCAMENTOS!D1302="","",ORCAMENTOS!D1302)</f>
        <v>TARGINO AR CONDICIONADO</v>
      </c>
      <c r="E1294" s="38" t="str">
        <f>IF(ORCAMENTOS!E1302="","",ORCAMENTOS!E1302)</f>
        <v>MARCO E CIRLANDA MARACCINI</v>
      </c>
      <c r="F1294" s="37" t="str">
        <f>IF(ORCAMENTOS!G1302="","",ORCAMENTOS!G1302)</f>
        <v xml:space="preserve">Aldavir </v>
      </c>
      <c r="G1294" s="37" t="str">
        <f>IF(ORCAMENTOS!H1302="","",ORCAMENTOS!H1302)</f>
        <v>Rodrigo</v>
      </c>
      <c r="H1294" s="39">
        <f>IF(ORCAMENTOS!I1302="","",ORCAMENTOS!I1302)</f>
        <v>29241.11</v>
      </c>
      <c r="I1294" s="60" t="str">
        <f>IF(ORCAMENTOS!J1302="","",ORCAMENTOS!J1302)</f>
        <v/>
      </c>
      <c r="J1294" s="40" t="str">
        <f>IF(ORCAMENTOS!L1302="","",ORCAMENTOS!L1302)</f>
        <v>PERDIDO</v>
      </c>
      <c r="K1294" s="34" t="str">
        <f>IF(ORCAMENTOS!M1302="","",ORCAMENTOS!M1302)</f>
        <v>CHAPA</v>
      </c>
      <c r="L1294" t="str">
        <f>IF(ORCAMENTOS!R1302="","",ORCAMENTOS!R1302)</f>
        <v/>
      </c>
    </row>
    <row r="1295" spans="1:12" ht="15.75" hidden="1" customHeight="1" x14ac:dyDescent="0.25">
      <c r="A1295" s="36">
        <f>IF(ORCAMENTOS!A1303="","",ORCAMENTOS!A1303)</f>
        <v>45862</v>
      </c>
      <c r="B1295" s="46">
        <f>IF(ORCAMENTOS!B1303="","",ORCAMENTOS!B1303)</f>
        <v>1293</v>
      </c>
      <c r="C1295" s="46" t="str">
        <f>IF(ORCAMENTOS!C1303="","",ORCAMENTOS!C1303)</f>
        <v/>
      </c>
      <c r="D1295" s="37" t="str">
        <f>IF(ORCAMENTOS!D1303="","",ORCAMENTOS!D1303)</f>
        <v>AIR SOLUTION</v>
      </c>
      <c r="E1295" s="38" t="str">
        <f>IF(ORCAMENTOS!E1303="","",ORCAMENTOS!E1303)</f>
        <v>-</v>
      </c>
      <c r="F1295" s="37" t="str">
        <f>IF(ORCAMENTOS!G1303="","",ORCAMENTOS!G1303)</f>
        <v>Gabriel</v>
      </c>
      <c r="G1295" s="37" t="str">
        <f>IF(ORCAMENTOS!H1303="","",ORCAMENTOS!H1303)</f>
        <v>Talita</v>
      </c>
      <c r="H1295" s="39">
        <f>IF(ORCAMENTOS!I1303="","",ORCAMENTOS!I1303)</f>
        <v>16520</v>
      </c>
      <c r="I1295" s="60" t="str">
        <f>IF(ORCAMENTOS!J1303="","",ORCAMENTOS!J1303)</f>
        <v/>
      </c>
      <c r="J1295" s="40" t="str">
        <f>IF(ORCAMENTOS!L1303="","",ORCAMENTOS!L1303)</f>
        <v>CANCELADO</v>
      </c>
      <c r="K1295" s="34" t="str">
        <f>IF(ORCAMENTOS!M1303="","",ORCAMENTOS!M1303)</f>
        <v>-</v>
      </c>
      <c r="L1295" t="str">
        <f>IF(ORCAMENTOS!R1303="","",ORCAMENTOS!R1303)</f>
        <v>-</v>
      </c>
    </row>
    <row r="1296" spans="1:12" ht="15.75" hidden="1" customHeight="1" x14ac:dyDescent="0.25">
      <c r="A1296" s="36">
        <f>IF(ORCAMENTOS!A1304="","",ORCAMENTOS!A1304)</f>
        <v>45863</v>
      </c>
      <c r="B1296" s="46">
        <f>IF(ORCAMENTOS!B1304="","",ORCAMENTOS!B1304)</f>
        <v>1294</v>
      </c>
      <c r="C1296" s="46" t="str">
        <f>IF(ORCAMENTOS!C1304="","",ORCAMENTOS!C1304)</f>
        <v/>
      </c>
      <c r="D1296" s="37" t="str">
        <f>IF(ORCAMENTOS!D1304="","",ORCAMENTOS!D1304)</f>
        <v>CHD SISTEMAS</v>
      </c>
      <c r="E1296" s="38" t="str">
        <f>IF(ORCAMENTOS!E1304="","",ORCAMENTOS!E1304)</f>
        <v>-</v>
      </c>
      <c r="F1296" s="37" t="str">
        <f>IF(ORCAMENTOS!G1304="","",ORCAMENTOS!G1304)</f>
        <v>Fernando</v>
      </c>
      <c r="G1296" s="37" t="str">
        <f>IF(ORCAMENTOS!H1304="","",ORCAMENTOS!H1304)</f>
        <v>Paulo</v>
      </c>
      <c r="H1296" s="39">
        <f>IF(ORCAMENTOS!I1304="","",ORCAMENTOS!I1304)</f>
        <v>153626.71</v>
      </c>
      <c r="I1296" s="60" t="str">
        <f>IF(ORCAMENTOS!J1304="","",ORCAMENTOS!J1304)</f>
        <v/>
      </c>
      <c r="J1296" s="40" t="str">
        <f>IF(ORCAMENTOS!L1304="","",ORCAMENTOS!L1304)</f>
        <v>CANCELADO</v>
      </c>
      <c r="K1296" s="34" t="str">
        <f>IF(ORCAMENTOS!M1304="","",ORCAMENTOS!M1304)</f>
        <v>PREV AGOSTO</v>
      </c>
      <c r="L1296" t="str">
        <f>IF(ORCAMENTOS!R1304="","",ORCAMENTOS!R1304)</f>
        <v>-</v>
      </c>
    </row>
    <row r="1297" spans="1:12" ht="15.75" hidden="1" customHeight="1" x14ac:dyDescent="0.25">
      <c r="A1297" s="36">
        <f>IF(ORCAMENTOS!A1305="","",ORCAMENTOS!A1305)</f>
        <v>45862</v>
      </c>
      <c r="B1297" s="46">
        <f>IF(ORCAMENTOS!B1305="","",ORCAMENTOS!B1305)</f>
        <v>1295</v>
      </c>
      <c r="C1297" s="46" t="str">
        <f>IF(ORCAMENTOS!C1305="","",ORCAMENTOS!C1305)</f>
        <v/>
      </c>
      <c r="D1297" s="37" t="str">
        <f>IF(ORCAMENTOS!D1305="","",ORCAMENTOS!D1305)</f>
        <v>AIRPLAN</v>
      </c>
      <c r="E1297" s="38" t="str">
        <f>IF(ORCAMENTOS!E1305="","",ORCAMENTOS!E1305)</f>
        <v>RENNER PARKSHOPPING CANOAS</v>
      </c>
      <c r="F1297" s="37" t="str">
        <f>IF(ORCAMENTOS!G1305="","",ORCAMENTOS!G1305)</f>
        <v>Guilherme</v>
      </c>
      <c r="G1297" s="37" t="str">
        <f>IF(ORCAMENTOS!H1305="","",ORCAMENTOS!H1305)</f>
        <v>Junior</v>
      </c>
      <c r="H1297" s="39">
        <f>IF(ORCAMENTOS!I1305="","",ORCAMENTOS!I1305)</f>
        <v>29999.71</v>
      </c>
      <c r="I1297" s="60" t="str">
        <f>IF(ORCAMENTOS!J1305="","",ORCAMENTOS!J1305)</f>
        <v/>
      </c>
      <c r="J1297" s="40" t="str">
        <f>IF(ORCAMENTOS!L1305="","",ORCAMENTOS!L1305)</f>
        <v>CANCELADO</v>
      </c>
      <c r="K1297" s="34" t="str">
        <f>IF(ORCAMENTOS!M1305="","",ORCAMENTOS!M1305)</f>
        <v>-</v>
      </c>
      <c r="L1297" t="str">
        <f>IF(ORCAMENTOS!R1305="","",ORCAMENTOS!R1305)</f>
        <v>-</v>
      </c>
    </row>
    <row r="1298" spans="1:12" ht="15.75" hidden="1" customHeight="1" x14ac:dyDescent="0.25">
      <c r="A1298" s="36">
        <f>IF(ORCAMENTOS!A1306="","",ORCAMENTOS!A1306)</f>
        <v>45862</v>
      </c>
      <c r="B1298" s="46">
        <f>IF(ORCAMENTOS!B1306="","",ORCAMENTOS!B1306)</f>
        <v>1296</v>
      </c>
      <c r="C1298" s="46" t="str">
        <f>IF(ORCAMENTOS!C1306="","",ORCAMENTOS!C1306)</f>
        <v/>
      </c>
      <c r="D1298" s="37" t="str">
        <f>IF(ORCAMENTOS!D1306="","",ORCAMENTOS!D1306)</f>
        <v>EXPANSAO AR</v>
      </c>
      <c r="E1298" s="38" t="str">
        <f>IF(ORCAMENTOS!E1306="","",ORCAMENTOS!E1306)</f>
        <v>-</v>
      </c>
      <c r="F1298" s="37" t="str">
        <f>IF(ORCAMENTOS!G1306="","",ORCAMENTOS!G1306)</f>
        <v>Gabriel</v>
      </c>
      <c r="G1298" s="37" t="str">
        <f>IF(ORCAMENTOS!H1306="","",ORCAMENTOS!H1306)</f>
        <v>Natanael</v>
      </c>
      <c r="H1298" s="39">
        <f>IF(ORCAMENTOS!I1306="","",ORCAMENTOS!I1306)</f>
        <v>46001.01</v>
      </c>
      <c r="I1298" s="60" t="str">
        <f>IF(ORCAMENTOS!J1306="","",ORCAMENTOS!J1306)</f>
        <v/>
      </c>
      <c r="J1298" s="40" t="str">
        <f>IF(ORCAMENTOS!L1306="","",ORCAMENTOS!L1306)</f>
        <v>CANCELADO</v>
      </c>
      <c r="K1298" s="34" t="str">
        <f>IF(ORCAMENTOS!M1306="","",ORCAMENTOS!M1306)</f>
        <v>-</v>
      </c>
      <c r="L1298" t="str">
        <f>IF(ORCAMENTOS!R1306="","",ORCAMENTOS!R1306)</f>
        <v>-</v>
      </c>
    </row>
    <row r="1299" spans="1:12" ht="15.75" hidden="1" customHeight="1" x14ac:dyDescent="0.25">
      <c r="A1299" s="36">
        <f>IF(ORCAMENTOS!A1307="","",ORCAMENTOS!A1307)</f>
        <v>45862</v>
      </c>
      <c r="B1299" s="46">
        <f>IF(ORCAMENTOS!B1307="","",ORCAMENTOS!B1307)</f>
        <v>1297</v>
      </c>
      <c r="C1299" s="46" t="str">
        <f>IF(ORCAMENTOS!C1307="","",ORCAMENTOS!C1307)</f>
        <v/>
      </c>
      <c r="D1299" s="37" t="str">
        <f>IF(ORCAMENTOS!D1307="","",ORCAMENTOS!D1307)</f>
        <v>R1 SOLUCOES</v>
      </c>
      <c r="E1299" s="38" t="str">
        <f>IF(ORCAMENTOS!E1307="","",ORCAMENTOS!E1307)</f>
        <v>HOFFMAN D'AVLLA CÂNDIDO E SOUSA</v>
      </c>
      <c r="F1299" s="37" t="str">
        <f>IF(ORCAMENTOS!G1307="","",ORCAMENTOS!G1307)</f>
        <v>Gabriel</v>
      </c>
      <c r="G1299" s="37" t="str">
        <f>IF(ORCAMENTOS!H1307="","",ORCAMENTOS!H1307)</f>
        <v>Janaina</v>
      </c>
      <c r="H1299" s="39">
        <f>IF(ORCAMENTOS!I1307="","",ORCAMENTOS!I1307)</f>
        <v>6520.42</v>
      </c>
      <c r="I1299" s="60" t="str">
        <f>IF(ORCAMENTOS!J1307="","",ORCAMENTOS!J1307)</f>
        <v/>
      </c>
      <c r="J1299" s="40" t="str">
        <f>IF(ORCAMENTOS!L1307="","",ORCAMENTOS!L1307)</f>
        <v>CANCELADO</v>
      </c>
      <c r="K1299" s="34" t="str">
        <f>IF(ORCAMENTOS!M1307="","",ORCAMENTOS!M1307)</f>
        <v>-</v>
      </c>
      <c r="L1299" t="str">
        <f>IF(ORCAMENTOS!R1307="","",ORCAMENTOS!R1307)</f>
        <v>-</v>
      </c>
    </row>
    <row r="1300" spans="1:12" ht="15.75" hidden="1" customHeight="1" x14ac:dyDescent="0.25">
      <c r="A1300" s="36">
        <f>IF(ORCAMENTOS!A1308="","",ORCAMENTOS!A1308)</f>
        <v>45863</v>
      </c>
      <c r="B1300" s="46">
        <f>IF(ORCAMENTOS!B1308="","",ORCAMENTOS!B1308)</f>
        <v>1298</v>
      </c>
      <c r="C1300" s="46" t="str">
        <f>IF(ORCAMENTOS!C1308="","",ORCAMENTOS!C1308)</f>
        <v/>
      </c>
      <c r="D1300" s="37" t="str">
        <f>IF(ORCAMENTOS!D1308="","",ORCAMENTOS!D1308)</f>
        <v>AMS INSTALACOES</v>
      </c>
      <c r="E1300" s="38" t="str">
        <f>IF(ORCAMENTOS!E1308="","",ORCAMENTOS!E1308)</f>
        <v>ASSAÍ - LOJA SÃO JOSE DOS CAMPOS - JK</v>
      </c>
      <c r="F1300" s="37" t="str">
        <f>IF(ORCAMENTOS!G1308="","",ORCAMENTOS!G1308)</f>
        <v>Gabriel</v>
      </c>
      <c r="G1300" s="37" t="str">
        <f>IF(ORCAMENTOS!H1308="","",ORCAMENTOS!H1308)</f>
        <v>Albertino</v>
      </c>
      <c r="H1300" s="39">
        <f>IF(ORCAMENTOS!I1308="","",ORCAMENTOS!I1308)</f>
        <v>238239.78</v>
      </c>
      <c r="I1300" s="60" t="str">
        <f>IF(ORCAMENTOS!J1308="","",ORCAMENTOS!J1308)</f>
        <v/>
      </c>
      <c r="J1300" s="40" t="str">
        <f>IF(ORCAMENTOS!L1308="","",ORCAMENTOS!L1308)</f>
        <v>CANCELADO</v>
      </c>
      <c r="K1300" s="34" t="str">
        <f>IF(ORCAMENTOS!M1308="","",ORCAMENTOS!M1308)</f>
        <v>-</v>
      </c>
      <c r="L1300" t="str">
        <f>IF(ORCAMENTOS!R1308="","",ORCAMENTOS!R1308)</f>
        <v>-</v>
      </c>
    </row>
    <row r="1301" spans="1:12" ht="15.75" hidden="1" customHeight="1" x14ac:dyDescent="0.25">
      <c r="A1301" s="36">
        <f>IF(ORCAMENTOS!A1309="","",ORCAMENTOS!A1309)</f>
        <v>45867</v>
      </c>
      <c r="B1301" s="46">
        <f>IF(ORCAMENTOS!B1309="","",ORCAMENTOS!B1309)</f>
        <v>1299</v>
      </c>
      <c r="C1301" s="46" t="str">
        <f>IF(ORCAMENTOS!C1309="","",ORCAMENTOS!C1309)</f>
        <v/>
      </c>
      <c r="D1301" s="37" t="str">
        <f>IF(ORCAMENTOS!D1309="","",ORCAMENTOS!D1309)</f>
        <v>ACSISTEM</v>
      </c>
      <c r="E1301" s="38" t="str">
        <f>IF(ORCAMENTOS!E1309="","",ORCAMENTOS!E1309)</f>
        <v>SBRMGCNAZ01 - SUPERMERCADO OPA NAZARÉ</v>
      </c>
      <c r="F1301" s="37" t="str">
        <f>IF(ORCAMENTOS!G1309="","",ORCAMENTOS!G1309)</f>
        <v>Emanuel</v>
      </c>
      <c r="G1301" s="37" t="str">
        <f>IF(ORCAMENTOS!H1309="","",ORCAMENTOS!H1309)</f>
        <v>David</v>
      </c>
      <c r="H1301" s="39">
        <f>IF(ORCAMENTOS!I1309="","",ORCAMENTOS!I1309)</f>
        <v>67814.55</v>
      </c>
      <c r="I1301" s="60" t="str">
        <f>IF(ORCAMENTOS!J1309="","",ORCAMENTOS!J1309)</f>
        <v/>
      </c>
      <c r="J1301" s="40" t="str">
        <f>IF(ORCAMENTOS!L1309="","",ORCAMENTOS!L1309)</f>
        <v>FECHADO</v>
      </c>
      <c r="K1301" s="34" t="str">
        <f>IF(ORCAMENTOS!M1309="","",ORCAMENTOS!M1309)</f>
        <v>-</v>
      </c>
      <c r="L1301" t="str">
        <f>IF(ORCAMENTOS!R1309="","",ORCAMENTOS!R1309)</f>
        <v>-</v>
      </c>
    </row>
    <row r="1302" spans="1:12" ht="15.75" hidden="1" customHeight="1" x14ac:dyDescent="0.25">
      <c r="A1302" s="36">
        <f>IF(ORCAMENTOS!A1310="","",ORCAMENTOS!A1310)</f>
        <v>45867</v>
      </c>
      <c r="B1302" s="46">
        <f>IF(ORCAMENTOS!B1310="","",ORCAMENTOS!B1310)</f>
        <v>1300</v>
      </c>
      <c r="C1302" s="46" t="str">
        <f>IF(ORCAMENTOS!C1310="","",ORCAMENTOS!C1310)</f>
        <v/>
      </c>
      <c r="D1302" s="37" t="str">
        <f>IF(ORCAMENTOS!D1310="","",ORCAMENTOS!D1310)</f>
        <v>ACSISTEM</v>
      </c>
      <c r="E1302" s="38" t="str">
        <f>IF(ORCAMENTOS!E1310="","",ORCAMENTOS!E1310)</f>
        <v>SBRSPICAI01 - MALL CAIEIRAS</v>
      </c>
      <c r="F1302" s="37" t="str">
        <f>IF(ORCAMENTOS!G1310="","",ORCAMENTOS!G1310)</f>
        <v>Emanuel</v>
      </c>
      <c r="G1302" s="37" t="str">
        <f>IF(ORCAMENTOS!H1310="","",ORCAMENTOS!H1310)</f>
        <v>David</v>
      </c>
      <c r="H1302" s="39">
        <f>IF(ORCAMENTOS!I1310="","",ORCAMENTOS!I1310)</f>
        <v>69246.63</v>
      </c>
      <c r="I1302" s="60" t="str">
        <f>IF(ORCAMENTOS!J1310="","",ORCAMENTOS!J1310)</f>
        <v/>
      </c>
      <c r="J1302" s="40" t="str">
        <f>IF(ORCAMENTOS!L1310="","",ORCAMENTOS!L1310)</f>
        <v>FECHADO</v>
      </c>
      <c r="K1302" s="34" t="str">
        <f>IF(ORCAMENTOS!M1310="","",ORCAMENTOS!M1310)</f>
        <v>-</v>
      </c>
      <c r="L1302" t="str">
        <f>IF(ORCAMENTOS!R1310="","",ORCAMENTOS!R1310)</f>
        <v>-</v>
      </c>
    </row>
    <row r="1303" spans="1:12" ht="15.75" hidden="1" customHeight="1" x14ac:dyDescent="0.25">
      <c r="A1303" s="36">
        <f>IF(ORCAMENTOS!A1311="","",ORCAMENTOS!A1311)</f>
        <v>45866</v>
      </c>
      <c r="B1303" s="46">
        <f>IF(ORCAMENTOS!B1311="","",ORCAMENTOS!B1311)</f>
        <v>1301</v>
      </c>
      <c r="C1303" s="46" t="str">
        <f>IF(ORCAMENTOS!C1311="","",ORCAMENTOS!C1311)</f>
        <v/>
      </c>
      <c r="D1303" s="37" t="str">
        <f>IF(ORCAMENTOS!D1311="","",ORCAMENTOS!D1311)</f>
        <v>MANENG</v>
      </c>
      <c r="E1303" s="38" t="str">
        <f>IF(ORCAMENTOS!E1311="","",ORCAMENTOS!E1311)</f>
        <v>-</v>
      </c>
      <c r="F1303" s="37" t="str">
        <f>IF(ORCAMENTOS!G1311="","",ORCAMENTOS!G1311)</f>
        <v>Guilherme</v>
      </c>
      <c r="G1303" s="37" t="str">
        <f>IF(ORCAMENTOS!H1311="","",ORCAMENTOS!H1311)</f>
        <v>Hanna</v>
      </c>
      <c r="H1303" s="39">
        <f>IF(ORCAMENTOS!I1311="","",ORCAMENTOS!I1311)</f>
        <v>7885.91</v>
      </c>
      <c r="I1303" s="60" t="str">
        <f>IF(ORCAMENTOS!J1311="","",ORCAMENTOS!J1311)</f>
        <v/>
      </c>
      <c r="J1303" s="40" t="str">
        <f>IF(ORCAMENTOS!L1311="","",ORCAMENTOS!L1311)</f>
        <v>FECHADO</v>
      </c>
      <c r="K1303" s="34" t="str">
        <f>IF(ORCAMENTOS!M1311="","",ORCAMENTOS!M1311)</f>
        <v>-</v>
      </c>
      <c r="L1303" t="str">
        <f>IF(ORCAMENTOS!R1311="","",ORCAMENTOS!R1311)</f>
        <v>-</v>
      </c>
    </row>
    <row r="1304" spans="1:12" ht="15.75" hidden="1" customHeight="1" x14ac:dyDescent="0.25">
      <c r="A1304" s="36">
        <f>IF(ORCAMENTOS!A1312="","",ORCAMENTOS!A1312)</f>
        <v>45863</v>
      </c>
      <c r="B1304" s="46">
        <f>IF(ORCAMENTOS!B1312="","",ORCAMENTOS!B1312)</f>
        <v>1302</v>
      </c>
      <c r="C1304" s="46" t="str">
        <f>IF(ORCAMENTOS!C1312="","",ORCAMENTOS!C1312)</f>
        <v/>
      </c>
      <c r="D1304" s="37" t="str">
        <f>IF(ORCAMENTOS!D1312="","",ORCAMENTOS!D1312)</f>
        <v>AR SISTEMAS</v>
      </c>
      <c r="E1304" s="38" t="str">
        <f>IF(ORCAMENTOS!E1312="","",ORCAMENTOS!E1312)</f>
        <v>SMART FIT - JARDIM ADRIANA - GUARULHOS/SP</v>
      </c>
      <c r="F1304" s="37" t="str">
        <f>IF(ORCAMENTOS!G1312="","",ORCAMENTOS!G1312)</f>
        <v>Michel</v>
      </c>
      <c r="G1304" s="37" t="str">
        <f>IF(ORCAMENTOS!H1312="","",ORCAMENTOS!H1312)</f>
        <v>Andre</v>
      </c>
      <c r="H1304" s="39">
        <f>IF(ORCAMENTOS!I1312="","",ORCAMENTOS!I1312)</f>
        <v>18240.919999999998</v>
      </c>
      <c r="I1304" s="60" t="str">
        <f>IF(ORCAMENTOS!J1312="","",ORCAMENTOS!J1312)</f>
        <v/>
      </c>
      <c r="J1304" s="40" t="str">
        <f>IF(ORCAMENTOS!L1312="","",ORCAMENTOS!L1312)</f>
        <v>CANCELADO</v>
      </c>
      <c r="K1304" s="34" t="str">
        <f>IF(ORCAMENTOS!M1312="","",ORCAMENTOS!M1312)</f>
        <v>-</v>
      </c>
      <c r="L1304" t="str">
        <f>IF(ORCAMENTOS!R1312="","",ORCAMENTOS!R1312)</f>
        <v>-</v>
      </c>
    </row>
    <row r="1305" spans="1:12" ht="15.75" hidden="1" customHeight="1" x14ac:dyDescent="0.25">
      <c r="A1305" s="36">
        <f>IF(ORCAMENTOS!A1313="","",ORCAMENTOS!A1313)</f>
        <v>45866</v>
      </c>
      <c r="B1305" s="46">
        <f>IF(ORCAMENTOS!B1313="","",ORCAMENTOS!B1313)</f>
        <v>1303</v>
      </c>
      <c r="C1305" s="46" t="str">
        <f>IF(ORCAMENTOS!C1313="","",ORCAMENTOS!C1313)</f>
        <v/>
      </c>
      <c r="D1305" s="37" t="str">
        <f>IF(ORCAMENTOS!D1313="","",ORCAMENTOS!D1313)</f>
        <v>CELSO LIMA</v>
      </c>
      <c r="E1305" s="38" t="str">
        <f>IF(ORCAMENTOS!E1313="","",ORCAMENTOS!E1313)</f>
        <v>-</v>
      </c>
      <c r="F1305" s="37" t="str">
        <f>IF(ORCAMENTOS!G1313="","",ORCAMENTOS!G1313)</f>
        <v>Gabriel</v>
      </c>
      <c r="G1305" s="37" t="str">
        <f>IF(ORCAMENTOS!H1313="","",ORCAMENTOS!H1313)</f>
        <v>Celso</v>
      </c>
      <c r="H1305" s="39">
        <f>IF(ORCAMENTOS!I1313="","",ORCAMENTOS!I1313)</f>
        <v>2223.5500000000002</v>
      </c>
      <c r="I1305" s="60" t="str">
        <f>IF(ORCAMENTOS!J1313="","",ORCAMENTOS!J1313)</f>
        <v/>
      </c>
      <c r="J1305" s="40" t="str">
        <f>IF(ORCAMENTOS!L1313="","",ORCAMENTOS!L1313)</f>
        <v>FECHADO</v>
      </c>
      <c r="K1305" s="34" t="str">
        <f>IF(ORCAMENTOS!M1313="","",ORCAMENTOS!M1313)</f>
        <v>-</v>
      </c>
      <c r="L1305" t="str">
        <f>IF(ORCAMENTOS!R1313="","",ORCAMENTOS!R1313)</f>
        <v>-</v>
      </c>
    </row>
    <row r="1306" spans="1:12" ht="15.75" hidden="1" customHeight="1" x14ac:dyDescent="0.25">
      <c r="A1306" s="36">
        <f>IF(ORCAMENTOS!A1314="","",ORCAMENTOS!A1314)</f>
        <v>45866</v>
      </c>
      <c r="B1306" s="46">
        <f>IF(ORCAMENTOS!B1314="","",ORCAMENTOS!B1314)</f>
        <v>1304</v>
      </c>
      <c r="C1306" s="46" t="str">
        <f>IF(ORCAMENTOS!C1314="","",ORCAMENTOS!C1314)</f>
        <v/>
      </c>
      <c r="D1306" s="37" t="str">
        <f>IF(ORCAMENTOS!D1314="","",ORCAMENTOS!D1314)</f>
        <v>EXAUSTAR</v>
      </c>
      <c r="E1306" s="38" t="str">
        <f>IF(ORCAMENTOS!E1314="","",ORCAMENTOS!E1314)</f>
        <v>POPEYES - VALE SUL SHOPPING</v>
      </c>
      <c r="F1306" s="37" t="str">
        <f>IF(ORCAMENTOS!G1314="","",ORCAMENTOS!G1314)</f>
        <v>Gabriel</v>
      </c>
      <c r="G1306" s="37" t="str">
        <f>IF(ORCAMENTOS!H1314="","",ORCAMENTOS!H1314)</f>
        <v>Matheus</v>
      </c>
      <c r="H1306" s="39">
        <f>IF(ORCAMENTOS!I1314="","",ORCAMENTOS!I1314)</f>
        <v>11747.91</v>
      </c>
      <c r="I1306" s="60" t="str">
        <f>IF(ORCAMENTOS!J1314="","",ORCAMENTOS!J1314)</f>
        <v/>
      </c>
      <c r="J1306" s="40" t="str">
        <f>IF(ORCAMENTOS!L1314="","",ORCAMENTOS!L1314)</f>
        <v>CANCELADO</v>
      </c>
      <c r="K1306" s="34" t="str">
        <f>IF(ORCAMENTOS!M1314="","",ORCAMENTOS!M1314)</f>
        <v>-</v>
      </c>
      <c r="L1306" t="str">
        <f>IF(ORCAMENTOS!R1314="","",ORCAMENTOS!R1314)</f>
        <v>-</v>
      </c>
    </row>
    <row r="1307" spans="1:12" ht="15.75" hidden="1" customHeight="1" x14ac:dyDescent="0.25">
      <c r="A1307" s="36">
        <f>IF(ORCAMENTOS!A1315="","",ORCAMENTOS!A1315)</f>
        <v>45866</v>
      </c>
      <c r="B1307" s="46">
        <f>IF(ORCAMENTOS!B1315="","",ORCAMENTOS!B1315)</f>
        <v>1305</v>
      </c>
      <c r="C1307" s="46" t="str">
        <f>IF(ORCAMENTOS!C1315="","",ORCAMENTOS!C1315)</f>
        <v/>
      </c>
      <c r="D1307" s="37" t="str">
        <f>IF(ORCAMENTOS!D1315="","",ORCAMENTOS!D1315)</f>
        <v>NP CLIMATIZAÇÃO</v>
      </c>
      <c r="E1307" s="38" t="str">
        <f>IF(ORCAMENTOS!E1315="","",ORCAMENTOS!E1315)</f>
        <v>DECORADO OSCAR - TORRE A</v>
      </c>
      <c r="F1307" s="37" t="str">
        <f>IF(ORCAMENTOS!G1315="","",ORCAMENTOS!G1315)</f>
        <v>Guilherme</v>
      </c>
      <c r="G1307" s="37" t="str">
        <f>IF(ORCAMENTOS!H1315="","",ORCAMENTOS!H1315)</f>
        <v>Maria Luisa</v>
      </c>
      <c r="H1307" s="39">
        <f>IF(ORCAMENTOS!I1315="","",ORCAMENTOS!I1315)</f>
        <v>9623.6299999999992</v>
      </c>
      <c r="I1307" s="60" t="str">
        <f>IF(ORCAMENTOS!J1315="","",ORCAMENTOS!J1315)</f>
        <v/>
      </c>
      <c r="J1307" s="40" t="str">
        <f>IF(ORCAMENTOS!L1315="","",ORCAMENTOS!L1315)</f>
        <v>PERDIDO</v>
      </c>
      <c r="K1307" s="34" t="str">
        <f>IF(ORCAMENTOS!M1315="","",ORCAMENTOS!M1315)</f>
        <v>CHAPA</v>
      </c>
      <c r="L1307" t="str">
        <f>IF(ORCAMENTOS!R1315="","",ORCAMENTOS!R1315)</f>
        <v>-</v>
      </c>
    </row>
    <row r="1308" spans="1:12" ht="15.75" hidden="1" customHeight="1" x14ac:dyDescent="0.25">
      <c r="A1308" s="36">
        <f>IF(ORCAMENTOS!A1316="","",ORCAMENTOS!A1316)</f>
        <v>45866</v>
      </c>
      <c r="B1308" s="46">
        <f>IF(ORCAMENTOS!B1316="","",ORCAMENTOS!B1316)</f>
        <v>1306</v>
      </c>
      <c r="C1308" s="46" t="str">
        <f>IF(ORCAMENTOS!C1316="","",ORCAMENTOS!C1316)</f>
        <v/>
      </c>
      <c r="D1308" s="37" t="str">
        <f>IF(ORCAMENTOS!D1316="","",ORCAMENTOS!D1316)</f>
        <v>APICE KLIMA</v>
      </c>
      <c r="E1308" s="38" t="str">
        <f>IF(ORCAMENTOS!E1316="","",ORCAMENTOS!E1316)</f>
        <v>SMART FIT - JUNDIAI - CECAP - VILA FORMOSA</v>
      </c>
      <c r="F1308" s="37" t="str">
        <f>IF(ORCAMENTOS!G1316="","",ORCAMENTOS!G1316)</f>
        <v>Gabriel</v>
      </c>
      <c r="G1308" s="37" t="str">
        <f>IF(ORCAMENTOS!H1316="","",ORCAMENTOS!H1316)</f>
        <v>Luis</v>
      </c>
      <c r="H1308" s="39">
        <f>IF(ORCAMENTOS!I1316="","",ORCAMENTOS!I1316)</f>
        <v>61923.69</v>
      </c>
      <c r="I1308" s="60" t="str">
        <f>IF(ORCAMENTOS!J1316="","",ORCAMENTOS!J1316)</f>
        <v/>
      </c>
      <c r="J1308" s="40" t="str">
        <f>IF(ORCAMENTOS!L1316="","",ORCAMENTOS!L1316)</f>
        <v>CANCELADO</v>
      </c>
      <c r="K1308" s="34" t="str">
        <f>IF(ORCAMENTOS!M1316="","",ORCAMENTOS!M1316)</f>
        <v>-</v>
      </c>
      <c r="L1308" t="str">
        <f>IF(ORCAMENTOS!R1316="","",ORCAMENTOS!R1316)</f>
        <v>-</v>
      </c>
    </row>
    <row r="1309" spans="1:12" ht="15.75" hidden="1" customHeight="1" x14ac:dyDescent="0.25">
      <c r="A1309" s="36">
        <f>IF(ORCAMENTOS!A1317="","",ORCAMENTOS!A1317)</f>
        <v>45866</v>
      </c>
      <c r="B1309" s="46">
        <f>IF(ORCAMENTOS!B1317="","",ORCAMENTOS!B1317)</f>
        <v>1307</v>
      </c>
      <c r="C1309" s="46" t="str">
        <f>IF(ORCAMENTOS!C1317="","",ORCAMENTOS!C1317)</f>
        <v/>
      </c>
      <c r="D1309" s="37" t="str">
        <f>IF(ORCAMENTOS!D1317="","",ORCAMENTOS!D1317)</f>
        <v>AMS INSTALACOES</v>
      </c>
      <c r="E1309" s="38" t="str">
        <f>IF(ORCAMENTOS!E1317="","",ORCAMENTOS!E1317)</f>
        <v>ATACADAO - MARACANAU - CE</v>
      </c>
      <c r="F1309" s="37" t="str">
        <f>IF(ORCAMENTOS!G1317="","",ORCAMENTOS!G1317)</f>
        <v>Gabriel</v>
      </c>
      <c r="G1309" s="37" t="str">
        <f>IF(ORCAMENTOS!H1317="","",ORCAMENTOS!H1317)</f>
        <v>Felipe</v>
      </c>
      <c r="H1309" s="39">
        <f>IF(ORCAMENTOS!I1317="","",ORCAMENTOS!I1317)</f>
        <v>44441.47</v>
      </c>
      <c r="I1309" s="60" t="str">
        <f>IF(ORCAMENTOS!J1317="","",ORCAMENTOS!J1317)</f>
        <v/>
      </c>
      <c r="J1309" s="40" t="str">
        <f>IF(ORCAMENTOS!L1317="","",ORCAMENTOS!L1317)</f>
        <v>FECHADO</v>
      </c>
      <c r="K1309" s="34" t="str">
        <f>IF(ORCAMENTOS!M1317="","",ORCAMENTOS!M1317)</f>
        <v>-</v>
      </c>
      <c r="L1309" t="str">
        <f>IF(ORCAMENTOS!R1317="","",ORCAMENTOS!R1317)</f>
        <v>-</v>
      </c>
    </row>
    <row r="1310" spans="1:12" ht="15.75" hidden="1" customHeight="1" x14ac:dyDescent="0.25">
      <c r="A1310" s="36">
        <f>IF(ORCAMENTOS!A1318="","",ORCAMENTOS!A1318)</f>
        <v>45866</v>
      </c>
      <c r="B1310" s="46">
        <f>IF(ORCAMENTOS!B1318="","",ORCAMENTOS!B1318)</f>
        <v>1308</v>
      </c>
      <c r="C1310" s="46" t="str">
        <f>IF(ORCAMENTOS!C1318="","",ORCAMENTOS!C1318)</f>
        <v/>
      </c>
      <c r="D1310" s="37" t="str">
        <f>IF(ORCAMENTOS!D1318="","",ORCAMENTOS!D1318)</f>
        <v>TARGINO AR CONDICIONADO</v>
      </c>
      <c r="E1310" s="38" t="str">
        <f>IF(ORCAMENTOS!E1318="","",ORCAMENTOS!E1318)</f>
        <v>RAFAEL ANTONELLI</v>
      </c>
      <c r="F1310" s="37" t="str">
        <f>IF(ORCAMENTOS!G1318="","",ORCAMENTOS!G1318)</f>
        <v xml:space="preserve">Aldavir </v>
      </c>
      <c r="G1310" s="37" t="str">
        <f>IF(ORCAMENTOS!H1318="","",ORCAMENTOS!H1318)</f>
        <v>Rodrigo</v>
      </c>
      <c r="H1310" s="39">
        <f>IF(ORCAMENTOS!I1318="","",ORCAMENTOS!I1318)</f>
        <v>15074.84</v>
      </c>
      <c r="I1310" s="60" t="str">
        <f>IF(ORCAMENTOS!J1318="","",ORCAMENTOS!J1318)</f>
        <v/>
      </c>
      <c r="J1310" s="40" t="str">
        <f>IF(ORCAMENTOS!L1318="","",ORCAMENTOS!L1318)</f>
        <v>CANCELADO</v>
      </c>
      <c r="K1310" s="34" t="str">
        <f>IF(ORCAMENTOS!M1318="","",ORCAMENTOS!M1318)</f>
        <v>-</v>
      </c>
      <c r="L1310" t="str">
        <f>IF(ORCAMENTOS!R1318="","",ORCAMENTOS!R1318)</f>
        <v>-</v>
      </c>
    </row>
    <row r="1311" spans="1:12" ht="15.75" hidden="1" customHeight="1" x14ac:dyDescent="0.25">
      <c r="A1311" s="36">
        <f>IF(ORCAMENTOS!A1319="","",ORCAMENTOS!A1319)</f>
        <v>45866</v>
      </c>
      <c r="B1311" s="46">
        <f>IF(ORCAMENTOS!B1319="","",ORCAMENTOS!B1319)</f>
        <v>1309</v>
      </c>
      <c r="C1311" s="46" t="str">
        <f>IF(ORCAMENTOS!C1319="","",ORCAMENTOS!C1319)</f>
        <v/>
      </c>
      <c r="D1311" s="37" t="str">
        <f>IF(ORCAMENTOS!D1319="","",ORCAMENTOS!D1319)</f>
        <v>APICE KLIMA</v>
      </c>
      <c r="E1311" s="38" t="str">
        <f>IF(ORCAMENTOS!E1319="","",ORCAMENTOS!E1319)</f>
        <v>26/25 - BB IPIRANGA MONUMENTO</v>
      </c>
      <c r="F1311" s="37" t="str">
        <f>IF(ORCAMENTOS!G1319="","",ORCAMENTOS!G1319)</f>
        <v>Michel</v>
      </c>
      <c r="G1311" s="37" t="str">
        <f>IF(ORCAMENTOS!H1319="","",ORCAMENTOS!H1319)</f>
        <v>Djair</v>
      </c>
      <c r="H1311" s="39">
        <f>IF(ORCAMENTOS!I1319="","",ORCAMENTOS!I1319)</f>
        <v>8437.1299999999992</v>
      </c>
      <c r="I1311" s="60" t="str">
        <f>IF(ORCAMENTOS!J1319="","",ORCAMENTOS!J1319)</f>
        <v/>
      </c>
      <c r="J1311" s="40" t="str">
        <f>IF(ORCAMENTOS!L1319="","",ORCAMENTOS!L1319)</f>
        <v>FECHADO</v>
      </c>
      <c r="K1311" s="34" t="str">
        <f>IF(ORCAMENTOS!M1319="","",ORCAMENTOS!M1319)</f>
        <v>-</v>
      </c>
      <c r="L1311" t="str">
        <f>IF(ORCAMENTOS!R1319="","",ORCAMENTOS!R1319)</f>
        <v>-</v>
      </c>
    </row>
    <row r="1312" spans="1:12" ht="15.75" hidden="1" customHeight="1" x14ac:dyDescent="0.25">
      <c r="A1312" s="36">
        <f>IF(ORCAMENTOS!A1320="","",ORCAMENTOS!A1320)</f>
        <v>45867</v>
      </c>
      <c r="B1312" s="46">
        <f>IF(ORCAMENTOS!B1320="","",ORCAMENTOS!B1320)</f>
        <v>1310</v>
      </c>
      <c r="C1312" s="46" t="str">
        <f>IF(ORCAMENTOS!C1320="","",ORCAMENTOS!C1320)</f>
        <v/>
      </c>
      <c r="D1312" s="37" t="str">
        <f>IF(ORCAMENTOS!D1320="","",ORCAMENTOS!D1320)</f>
        <v>AWA AR CONDICIONADO</v>
      </c>
      <c r="E1312" s="38" t="str">
        <f>IF(ORCAMENTOS!E1320="","",ORCAMENTOS!E1320)</f>
        <v>RAIA DROGRASIL</v>
      </c>
      <c r="F1312" s="37" t="str">
        <f>IF(ORCAMENTOS!G1320="","",ORCAMENTOS!G1320)</f>
        <v>Guilherme</v>
      </c>
      <c r="G1312" s="37" t="str">
        <f>IF(ORCAMENTOS!H1320="","",ORCAMENTOS!H1320)</f>
        <v>Marcela</v>
      </c>
      <c r="H1312" s="39">
        <f>IF(ORCAMENTOS!I1320="","",ORCAMENTOS!I1320)</f>
        <v>14495.46</v>
      </c>
      <c r="I1312" s="60" t="str">
        <f>IF(ORCAMENTOS!J1320="","",ORCAMENTOS!J1320)</f>
        <v/>
      </c>
      <c r="J1312" s="40" t="str">
        <f>IF(ORCAMENTOS!L1320="","",ORCAMENTOS!L1320)</f>
        <v>PERDIDO</v>
      </c>
      <c r="K1312" s="34" t="str">
        <f>IF(ORCAMENTOS!M1320="","",ORCAMENTOS!M1320)</f>
        <v>COMPRARAM EM RECIFE</v>
      </c>
      <c r="L1312" t="str">
        <f>IF(ORCAMENTOS!R1320="","",ORCAMENTOS!R1320)</f>
        <v>-</v>
      </c>
    </row>
    <row r="1313" spans="1:12" ht="15.75" hidden="1" customHeight="1" x14ac:dyDescent="0.25">
      <c r="A1313" s="36">
        <f>IF(ORCAMENTOS!A1321="","",ORCAMENTOS!A1321)</f>
        <v>45866</v>
      </c>
      <c r="B1313" s="46">
        <f>IF(ORCAMENTOS!B1321="","",ORCAMENTOS!B1321)</f>
        <v>1311</v>
      </c>
      <c r="C1313" s="46" t="str">
        <f>IF(ORCAMENTOS!C1321="","",ORCAMENTOS!C1321)</f>
        <v/>
      </c>
      <c r="D1313" s="37" t="str">
        <f>IF(ORCAMENTOS!D1321="","",ORCAMENTOS!D1321)</f>
        <v>NEWSET</v>
      </c>
      <c r="E1313" s="38" t="str">
        <f>IF(ORCAMENTOS!E1321="","",ORCAMENTOS!E1321)</f>
        <v>SICOOB AGROGREDI - NOVA SEDE - GUAXUPE - MG</v>
      </c>
      <c r="F1313" s="37" t="str">
        <f>IF(ORCAMENTOS!G1321="","",ORCAMENTOS!G1321)</f>
        <v xml:space="preserve">Aldavir </v>
      </c>
      <c r="G1313" s="37" t="str">
        <f>IF(ORCAMENTOS!H1321="","",ORCAMENTOS!H1321)</f>
        <v>Rodrigo</v>
      </c>
      <c r="H1313" s="39">
        <f>IF(ORCAMENTOS!I1321="","",ORCAMENTOS!I1321)</f>
        <v>213604.79</v>
      </c>
      <c r="I1313" s="60" t="str">
        <f>IF(ORCAMENTOS!J1321="","",ORCAMENTOS!J1321)</f>
        <v/>
      </c>
      <c r="J1313" s="40" t="str">
        <f>IF(ORCAMENTOS!L1321="","",ORCAMENTOS!L1321)</f>
        <v>CANCELADO</v>
      </c>
      <c r="K1313" s="34" t="str">
        <f>IF(ORCAMENTOS!M1321="","",ORCAMENTOS!M1321)</f>
        <v>-</v>
      </c>
      <c r="L1313" t="str">
        <f>IF(ORCAMENTOS!R1321="","",ORCAMENTOS!R1321)</f>
        <v>-</v>
      </c>
    </row>
    <row r="1314" spans="1:12" ht="15.75" hidden="1" customHeight="1" x14ac:dyDescent="0.25">
      <c r="A1314" s="36">
        <f>IF(ORCAMENTOS!A1322="","",ORCAMENTOS!A1322)</f>
        <v>45867</v>
      </c>
      <c r="B1314" s="46">
        <f>IF(ORCAMENTOS!B1322="","",ORCAMENTOS!B1322)</f>
        <v>1312</v>
      </c>
      <c r="C1314" s="46" t="str">
        <f>IF(ORCAMENTOS!C1322="","",ORCAMENTOS!C1322)</f>
        <v/>
      </c>
      <c r="D1314" s="37" t="str">
        <f>IF(ORCAMENTOS!D1322="","",ORCAMENTOS!D1322)</f>
        <v>MICHELE VIEIRA</v>
      </c>
      <c r="E1314" s="38" t="str">
        <f>IF(ORCAMENTOS!E1322="","",ORCAMENTOS!E1322)</f>
        <v>-</v>
      </c>
      <c r="F1314" s="37" t="str">
        <f>IF(ORCAMENTOS!G1322="","",ORCAMENTOS!G1322)</f>
        <v>Gabriel</v>
      </c>
      <c r="G1314" s="37" t="str">
        <f>IF(ORCAMENTOS!H1322="","",ORCAMENTOS!H1322)</f>
        <v>Ernandes</v>
      </c>
      <c r="H1314" s="39">
        <f>IF(ORCAMENTOS!I1322="","",ORCAMENTOS!I1322)</f>
        <v>14000.34</v>
      </c>
      <c r="I1314" s="60" t="str">
        <f>IF(ORCAMENTOS!J1322="","",ORCAMENTOS!J1322)</f>
        <v/>
      </c>
      <c r="J1314" s="40" t="str">
        <f>IF(ORCAMENTOS!L1322="","",ORCAMENTOS!L1322)</f>
        <v>FECHADO</v>
      </c>
      <c r="K1314" s="34" t="str">
        <f>IF(ORCAMENTOS!M1322="","",ORCAMENTOS!M1322)</f>
        <v>-</v>
      </c>
      <c r="L1314" t="str">
        <f>IF(ORCAMENTOS!R1322="","",ORCAMENTOS!R1322)</f>
        <v>-</v>
      </c>
    </row>
    <row r="1315" spans="1:12" ht="15.75" hidden="1" customHeight="1" x14ac:dyDescent="0.25">
      <c r="A1315" s="36">
        <f>IF(ORCAMENTOS!A1323="","",ORCAMENTOS!A1323)</f>
        <v>45867</v>
      </c>
      <c r="B1315" s="46">
        <f>IF(ORCAMENTOS!B1323="","",ORCAMENTOS!B1323)</f>
        <v>1313</v>
      </c>
      <c r="C1315" s="46" t="str">
        <f>IF(ORCAMENTOS!C1323="","",ORCAMENTOS!C1323)</f>
        <v/>
      </c>
      <c r="D1315" s="37" t="str">
        <f>IF(ORCAMENTOS!D1323="","",ORCAMENTOS!D1323)</f>
        <v>GVHVAC</v>
      </c>
      <c r="E1315" s="38" t="str">
        <f>IF(ORCAMENTOS!E1323="","",ORCAMENTOS!E1323)</f>
        <v>HOSPITAL UNIDADE VIÇOSA - MG</v>
      </c>
      <c r="F1315" s="37" t="str">
        <f>IF(ORCAMENTOS!G1323="","",ORCAMENTOS!G1323)</f>
        <v>Guilherme</v>
      </c>
      <c r="G1315" s="37" t="str">
        <f>IF(ORCAMENTOS!H1323="","",ORCAMENTOS!H1323)</f>
        <v>Filipe</v>
      </c>
      <c r="H1315" s="39">
        <f>IF(ORCAMENTOS!I1323="","",ORCAMENTOS!I1323)</f>
        <v>44504.89</v>
      </c>
      <c r="I1315" s="60" t="str">
        <f>IF(ORCAMENTOS!J1323="","",ORCAMENTOS!J1323)</f>
        <v/>
      </c>
      <c r="J1315" s="40" t="str">
        <f>IF(ORCAMENTOS!L1323="","",ORCAMENTOS!L1323)</f>
        <v>CANCELADO</v>
      </c>
      <c r="K1315" s="34" t="str">
        <f>IF(ORCAMENTOS!M1323="","",ORCAMENTOS!M1323)</f>
        <v>-</v>
      </c>
      <c r="L1315" t="str">
        <f>IF(ORCAMENTOS!R1323="","",ORCAMENTOS!R1323)</f>
        <v>N/E</v>
      </c>
    </row>
    <row r="1316" spans="1:12" ht="15.75" hidden="1" customHeight="1" x14ac:dyDescent="0.25">
      <c r="A1316" s="36">
        <f>IF(ORCAMENTOS!A1324="","",ORCAMENTOS!A1324)</f>
        <v>45867</v>
      </c>
      <c r="B1316" s="46">
        <f>IF(ORCAMENTOS!B1324="","",ORCAMENTOS!B1324)</f>
        <v>1314</v>
      </c>
      <c r="C1316" s="46" t="str">
        <f>IF(ORCAMENTOS!C1324="","",ORCAMENTOS!C1324)</f>
        <v/>
      </c>
      <c r="D1316" s="37" t="str">
        <f>IF(ORCAMENTOS!D1324="","",ORCAMENTOS!D1324)</f>
        <v>KLIMATOS</v>
      </c>
      <c r="E1316" s="38" t="str">
        <f>IF(ORCAMENTOS!E1324="","",ORCAMENTOS!E1324)</f>
        <v>SMART FIT - JUNDIAI - CECAP - VILA FORMOSA</v>
      </c>
      <c r="F1316" s="37" t="str">
        <f>IF(ORCAMENTOS!G1324="","",ORCAMENTOS!G1324)</f>
        <v>Emanuel</v>
      </c>
      <c r="G1316" s="37" t="str">
        <f>IF(ORCAMENTOS!H1324="","",ORCAMENTOS!H1324)</f>
        <v>Robson</v>
      </c>
      <c r="H1316" s="39">
        <f>IF(ORCAMENTOS!I1324="","",ORCAMENTOS!I1324)</f>
        <v>61923.69</v>
      </c>
      <c r="I1316" s="60" t="str">
        <f>IF(ORCAMENTOS!J1324="","",ORCAMENTOS!J1324)</f>
        <v/>
      </c>
      <c r="J1316" s="40" t="str">
        <f>IF(ORCAMENTOS!L1324="","",ORCAMENTOS!L1324)</f>
        <v>CANCELADO</v>
      </c>
      <c r="K1316" s="34" t="str">
        <f>IF(ORCAMENTOS!M1324="","",ORCAMENTOS!M1324)</f>
        <v>OBRA DA CONTROLE E CLIMA</v>
      </c>
      <c r="L1316" t="str">
        <f>IF(ORCAMENTOS!R1324="","",ORCAMENTOS!R1324)</f>
        <v>MPU</v>
      </c>
    </row>
    <row r="1317" spans="1:12" ht="15.75" hidden="1" customHeight="1" x14ac:dyDescent="0.25">
      <c r="A1317" s="36">
        <f>IF(ORCAMENTOS!A1325="","",ORCAMENTOS!A1325)</f>
        <v>45867</v>
      </c>
      <c r="B1317" s="46">
        <f>IF(ORCAMENTOS!B1325="","",ORCAMENTOS!B1325)</f>
        <v>1315</v>
      </c>
      <c r="C1317" s="46" t="str">
        <f>IF(ORCAMENTOS!C1325="","",ORCAMENTOS!C1325)</f>
        <v/>
      </c>
      <c r="D1317" s="37" t="str">
        <f>IF(ORCAMENTOS!D1325="","",ORCAMENTOS!D1325)</f>
        <v>THERMOPOLO</v>
      </c>
      <c r="E1317" s="38" t="str">
        <f>IF(ORCAMENTOS!E1325="","",ORCAMENTOS!E1325)</f>
        <v>INSTITUTO DE PESQUISA EL DORADO</v>
      </c>
      <c r="F1317" s="37" t="str">
        <f>IF(ORCAMENTOS!G1325="","",ORCAMENTOS!G1325)</f>
        <v xml:space="preserve">Aldavir </v>
      </c>
      <c r="G1317" s="37" t="str">
        <f>IF(ORCAMENTOS!H1325="","",ORCAMENTOS!H1325)</f>
        <v>Veruza</v>
      </c>
      <c r="H1317" s="39">
        <f>IF(ORCAMENTOS!I1325="","",ORCAMENTOS!I1325)</f>
        <v>75852.070000000007</v>
      </c>
      <c r="I1317" s="60" t="str">
        <f>IF(ORCAMENTOS!J1325="","",ORCAMENTOS!J1325)</f>
        <v/>
      </c>
      <c r="J1317" s="40" t="str">
        <f>IF(ORCAMENTOS!L1325="","",ORCAMENTOS!L1325)</f>
        <v>PERDIDO</v>
      </c>
      <c r="K1317" s="34" t="str">
        <f>IF(ORCAMENTOS!M1325="","",ORCAMENTOS!M1325)</f>
        <v>CHAPA</v>
      </c>
      <c r="L1317" t="str">
        <f>IF(ORCAMENTOS!R1325="","",ORCAMENTOS!R1325)</f>
        <v>N/E</v>
      </c>
    </row>
    <row r="1318" spans="1:12" ht="15.75" hidden="1" customHeight="1" x14ac:dyDescent="0.25">
      <c r="A1318" s="36">
        <f>IF(ORCAMENTOS!A1326="","",ORCAMENTOS!A1326)</f>
        <v>45867</v>
      </c>
      <c r="B1318" s="46">
        <f>IF(ORCAMENTOS!B1326="","",ORCAMENTOS!B1326)</f>
        <v>1316</v>
      </c>
      <c r="C1318" s="46" t="str">
        <f>IF(ORCAMENTOS!C1326="","",ORCAMENTOS!C1326)</f>
        <v/>
      </c>
      <c r="D1318" s="37" t="str">
        <f>IF(ORCAMENTOS!D1326="","",ORCAMENTOS!D1326)</f>
        <v>ADALTA ENGENHARIA</v>
      </c>
      <c r="E1318" s="38" t="str">
        <f>IF(ORCAMENTOS!E1326="","",ORCAMENTOS!E1326)</f>
        <v>ADIUM</v>
      </c>
      <c r="F1318" s="37" t="str">
        <f>IF(ORCAMENTOS!G1326="","",ORCAMENTOS!G1326)</f>
        <v>Fernando</v>
      </c>
      <c r="G1318" s="37" t="str">
        <f>IF(ORCAMENTOS!H1326="","",ORCAMENTOS!H1326)</f>
        <v>Felicio</v>
      </c>
      <c r="H1318" s="39">
        <f>IF(ORCAMENTOS!I1326="","",ORCAMENTOS!I1326)</f>
        <v>2075.5700000000002</v>
      </c>
      <c r="I1318" s="60" t="str">
        <f>IF(ORCAMENTOS!J1326="","",ORCAMENTOS!J1326)</f>
        <v/>
      </c>
      <c r="J1318" s="40" t="str">
        <f>IF(ORCAMENTOS!L1326="","",ORCAMENTOS!L1326)</f>
        <v>CANCELADO</v>
      </c>
      <c r="K1318" s="34" t="str">
        <f>IF(ORCAMENTOS!M1326="","",ORCAMENTOS!M1326)</f>
        <v>-</v>
      </c>
      <c r="L1318" t="str">
        <f>IF(ORCAMENTOS!R1326="","",ORCAMENTOS!R1326)</f>
        <v>-</v>
      </c>
    </row>
    <row r="1319" spans="1:12" ht="15.75" hidden="1" customHeight="1" x14ac:dyDescent="0.25">
      <c r="A1319" s="36">
        <f>IF(ORCAMENTOS!A1327="","",ORCAMENTOS!A1327)</f>
        <v>45867</v>
      </c>
      <c r="B1319" s="46">
        <f>IF(ORCAMENTOS!B1327="","",ORCAMENTOS!B1327)</f>
        <v>1317</v>
      </c>
      <c r="C1319" s="46" t="str">
        <f>IF(ORCAMENTOS!C1327="","",ORCAMENTOS!C1327)</f>
        <v/>
      </c>
      <c r="D1319" s="37" t="str">
        <f>IF(ORCAMENTOS!D1327="","",ORCAMENTOS!D1327)</f>
        <v>AR SISTEMAS</v>
      </c>
      <c r="E1319" s="38" t="str">
        <f>IF(ORCAMENTOS!E1327="","",ORCAMENTOS!E1327)</f>
        <v>SMART FIT - EMBU DAS ARTES-SP</v>
      </c>
      <c r="F1319" s="37" t="str">
        <f>IF(ORCAMENTOS!G1327="","",ORCAMENTOS!G1327)</f>
        <v>Michel</v>
      </c>
      <c r="G1319" s="37" t="str">
        <f>IF(ORCAMENTOS!H1327="","",ORCAMENTOS!H1327)</f>
        <v>Joao</v>
      </c>
      <c r="H1319" s="39">
        <f>IF(ORCAMENTOS!I1327="","",ORCAMENTOS!I1327)</f>
        <v>74388.009999999995</v>
      </c>
      <c r="I1319" s="60" t="str">
        <f>IF(ORCAMENTOS!J1327="","",ORCAMENTOS!J1327)</f>
        <v/>
      </c>
      <c r="J1319" s="40" t="str">
        <f>IF(ORCAMENTOS!L1327="","",ORCAMENTOS!L1327)</f>
        <v>CANCELADO</v>
      </c>
      <c r="K1319" s="34" t="str">
        <f>IF(ORCAMENTOS!M1327="","",ORCAMENTOS!M1327)</f>
        <v>OBRA DA AFTERMICA</v>
      </c>
      <c r="L1319" t="str">
        <f>IF(ORCAMENTOS!R1327="","",ORCAMENTOS!R1327)</f>
        <v>N/E</v>
      </c>
    </row>
    <row r="1320" spans="1:12" ht="15.75" hidden="1" customHeight="1" x14ac:dyDescent="0.25">
      <c r="A1320" s="36">
        <f>IF(ORCAMENTOS!A1328="","",ORCAMENTOS!A1328)</f>
        <v>45867</v>
      </c>
      <c r="B1320" s="46">
        <f>IF(ORCAMENTOS!B1328="","",ORCAMENTOS!B1328)</f>
        <v>1318</v>
      </c>
      <c r="C1320" s="46" t="str">
        <f>IF(ORCAMENTOS!C1328="","",ORCAMENTOS!C1328)</f>
        <v/>
      </c>
      <c r="D1320" s="37" t="str">
        <f>IF(ORCAMENTOS!D1328="","",ORCAMENTOS!D1328)</f>
        <v>SOMMARE</v>
      </c>
      <c r="E1320" s="38" t="str">
        <f>IF(ORCAMENTOS!E1328="","",ORCAMENTOS!E1328)</f>
        <v>SURYHA E JORGE LUIZ ZENATTI - DOURADOS - MS</v>
      </c>
      <c r="F1320" s="37" t="str">
        <f>IF(ORCAMENTOS!G1328="","",ORCAMENTOS!G1328)</f>
        <v>Gabriel</v>
      </c>
      <c r="G1320" s="37" t="str">
        <f>IF(ORCAMENTOS!H1328="","",ORCAMENTOS!H1328)</f>
        <v>Carlos</v>
      </c>
      <c r="H1320" s="39">
        <f>IF(ORCAMENTOS!I1328="","",ORCAMENTOS!I1328)</f>
        <v>27333.18</v>
      </c>
      <c r="I1320" s="60" t="str">
        <f>IF(ORCAMENTOS!J1328="","",ORCAMENTOS!J1328)</f>
        <v/>
      </c>
      <c r="J1320" s="40" t="str">
        <f>IF(ORCAMENTOS!L1328="","",ORCAMENTOS!L1328)</f>
        <v>FECHADO</v>
      </c>
      <c r="K1320" s="34" t="str">
        <f>IF(ORCAMENTOS!M1328="","",ORCAMENTOS!M1328)</f>
        <v>-</v>
      </c>
      <c r="L1320" t="str">
        <f>IF(ORCAMENTOS!R1328="","",ORCAMENTOS!R1328)</f>
        <v>-</v>
      </c>
    </row>
    <row r="1321" spans="1:12" ht="15.75" hidden="1" customHeight="1" x14ac:dyDescent="0.25">
      <c r="A1321" s="36">
        <f>IF(ORCAMENTOS!A1329="","",ORCAMENTOS!A1329)</f>
        <v>45867</v>
      </c>
      <c r="B1321" s="46">
        <f>IF(ORCAMENTOS!B1329="","",ORCAMENTOS!B1329)</f>
        <v>1319</v>
      </c>
      <c r="C1321" s="46" t="str">
        <f>IF(ORCAMENTOS!C1329="","",ORCAMENTOS!C1329)</f>
        <v/>
      </c>
      <c r="D1321" s="37" t="str">
        <f>IF(ORCAMENTOS!D1329="","",ORCAMENTOS!D1329)</f>
        <v>AIRCAM</v>
      </c>
      <c r="E1321" s="38" t="str">
        <f>IF(ORCAMENTOS!E1329="","",ORCAMENTOS!E1329)</f>
        <v>-</v>
      </c>
      <c r="F1321" s="37" t="str">
        <f>IF(ORCAMENTOS!G1329="","",ORCAMENTOS!G1329)</f>
        <v>Gabriel</v>
      </c>
      <c r="G1321" s="37" t="str">
        <f>IF(ORCAMENTOS!H1329="","",ORCAMENTOS!H1329)</f>
        <v>Karina</v>
      </c>
      <c r="H1321" s="39">
        <f>IF(ORCAMENTOS!I1329="","",ORCAMENTOS!I1329)</f>
        <v>11554.95</v>
      </c>
      <c r="I1321" s="60" t="str">
        <f>IF(ORCAMENTOS!J1329="","",ORCAMENTOS!J1329)</f>
        <v/>
      </c>
      <c r="J1321" s="40" t="str">
        <f>IF(ORCAMENTOS!L1329="","",ORCAMENTOS!L1329)</f>
        <v>CANCELADO</v>
      </c>
      <c r="K1321" s="34" t="str">
        <f>IF(ORCAMENTOS!M1329="","",ORCAMENTOS!M1329)</f>
        <v>-</v>
      </c>
      <c r="L1321" t="str">
        <f>IF(ORCAMENTOS!R1329="","",ORCAMENTOS!R1329)</f>
        <v>-</v>
      </c>
    </row>
    <row r="1322" spans="1:12" ht="15.75" hidden="1" customHeight="1" x14ac:dyDescent="0.25">
      <c r="A1322" s="36">
        <f>IF(ORCAMENTOS!A1330="","",ORCAMENTOS!A1330)</f>
        <v>45867</v>
      </c>
      <c r="B1322" s="46">
        <f>IF(ORCAMENTOS!B1330="","",ORCAMENTOS!B1330)</f>
        <v>1320</v>
      </c>
      <c r="C1322" s="46" t="str">
        <f>IF(ORCAMENTOS!C1330="","",ORCAMENTOS!C1330)</f>
        <v/>
      </c>
      <c r="D1322" s="37" t="str">
        <f>IF(ORCAMENTOS!D1330="","",ORCAMENTOS!D1330)</f>
        <v>MH INSTALACOES</v>
      </c>
      <c r="E1322" s="38" t="str">
        <f>IF(ORCAMENTOS!E1330="","",ORCAMENTOS!E1330)</f>
        <v>CLINICA CIMED - MORUMBI</v>
      </c>
      <c r="F1322" s="37" t="str">
        <f>IF(ORCAMENTOS!G1330="","",ORCAMENTOS!G1330)</f>
        <v>Michel</v>
      </c>
      <c r="G1322" s="37" t="str">
        <f>IF(ORCAMENTOS!H1330="","",ORCAMENTOS!H1330)</f>
        <v>Alexandra</v>
      </c>
      <c r="H1322" s="39">
        <f>IF(ORCAMENTOS!I1330="","",ORCAMENTOS!I1330)</f>
        <v>4140.22</v>
      </c>
      <c r="I1322" s="60" t="str">
        <f>IF(ORCAMENTOS!J1330="","",ORCAMENTOS!J1330)</f>
        <v/>
      </c>
      <c r="J1322" s="40" t="str">
        <f>IF(ORCAMENTOS!L1330="","",ORCAMENTOS!L1330)</f>
        <v>CANCELADO</v>
      </c>
      <c r="K1322" s="34" t="str">
        <f>IF(ORCAMENTOS!M1330="","",ORCAMENTOS!M1330)</f>
        <v>-</v>
      </c>
      <c r="L1322" t="str">
        <f>IF(ORCAMENTOS!R1330="","",ORCAMENTOS!R1330)</f>
        <v>-</v>
      </c>
    </row>
    <row r="1323" spans="1:12" ht="15.75" hidden="1" customHeight="1" x14ac:dyDescent="0.25">
      <c r="A1323" s="36">
        <f>IF(ORCAMENTOS!A1331="","",ORCAMENTOS!A1331)</f>
        <v>45867</v>
      </c>
      <c r="B1323" s="46">
        <f>IF(ORCAMENTOS!B1331="","",ORCAMENTOS!B1331)</f>
        <v>1321</v>
      </c>
      <c r="C1323" s="46" t="str">
        <f>IF(ORCAMENTOS!C1331="","",ORCAMENTOS!C1331)</f>
        <v/>
      </c>
      <c r="D1323" s="37" t="str">
        <f>IF(ORCAMENTOS!D1331="","",ORCAMENTOS!D1331)</f>
        <v>WELLNESS</v>
      </c>
      <c r="E1323" s="38" t="str">
        <f>IF(ORCAMENTOS!E1331="","",ORCAMENTOS!E1331)</f>
        <v>-</v>
      </c>
      <c r="F1323" s="37" t="str">
        <f>IF(ORCAMENTOS!G1331="","",ORCAMENTOS!G1331)</f>
        <v>Gabriel</v>
      </c>
      <c r="G1323" s="37" t="str">
        <f>IF(ORCAMENTOS!H1331="","",ORCAMENTOS!H1331)</f>
        <v>Ricardo</v>
      </c>
      <c r="H1323" s="39">
        <f>IF(ORCAMENTOS!I1331="","",ORCAMENTOS!I1331)</f>
        <v>19580.259999999998</v>
      </c>
      <c r="I1323" s="60" t="str">
        <f>IF(ORCAMENTOS!J1331="","",ORCAMENTOS!J1331)</f>
        <v/>
      </c>
      <c r="J1323" s="40" t="str">
        <f>IF(ORCAMENTOS!L1331="","",ORCAMENTOS!L1331)</f>
        <v>FECHADO</v>
      </c>
      <c r="K1323" s="34" t="str">
        <f>IF(ORCAMENTOS!M1331="","",ORCAMENTOS!M1331)</f>
        <v>-</v>
      </c>
      <c r="L1323" t="str">
        <f>IF(ORCAMENTOS!R1331="","",ORCAMENTOS!R1331)</f>
        <v>-</v>
      </c>
    </row>
    <row r="1324" spans="1:12" ht="15.75" hidden="1" customHeight="1" x14ac:dyDescent="0.25">
      <c r="A1324" s="36">
        <f>IF(ORCAMENTOS!A1332="","",ORCAMENTOS!A1332)</f>
        <v>45867</v>
      </c>
      <c r="B1324" s="46">
        <f>IF(ORCAMENTOS!B1332="","",ORCAMENTOS!B1332)</f>
        <v>1322</v>
      </c>
      <c r="C1324" s="46" t="str">
        <f>IF(ORCAMENTOS!C1332="","",ORCAMENTOS!C1332)</f>
        <v/>
      </c>
      <c r="D1324" s="37" t="str">
        <f>IF(ORCAMENTOS!D1332="","",ORCAMENTOS!D1332)</f>
        <v>TERMOCLIMA</v>
      </c>
      <c r="E1324" s="38" t="str">
        <f>IF(ORCAMENTOS!E1332="","",ORCAMENTOS!E1332)</f>
        <v>SESI - SÃO JOSE DO RIO PRETO - SP</v>
      </c>
      <c r="F1324" s="37" t="str">
        <f>IF(ORCAMENTOS!G1332="","",ORCAMENTOS!G1332)</f>
        <v>Gabriel</v>
      </c>
      <c r="G1324" s="37" t="str">
        <f>IF(ORCAMENTOS!H1332="","",ORCAMENTOS!H1332)</f>
        <v>Luis</v>
      </c>
      <c r="H1324" s="39">
        <f>IF(ORCAMENTOS!I1332="","",ORCAMENTOS!I1332)</f>
        <v>50894.36</v>
      </c>
      <c r="I1324" s="60" t="str">
        <f>IF(ORCAMENTOS!J1332="","",ORCAMENTOS!J1332)</f>
        <v/>
      </c>
      <c r="J1324" s="40" t="str">
        <f>IF(ORCAMENTOS!L1332="","",ORCAMENTOS!L1332)</f>
        <v>CANCELADO</v>
      </c>
      <c r="K1324" s="34" t="str">
        <f>IF(ORCAMENTOS!M1332="","",ORCAMENTOS!M1332)</f>
        <v>-</v>
      </c>
      <c r="L1324" t="str">
        <f>IF(ORCAMENTOS!R1332="","",ORCAMENTOS!R1332)</f>
        <v>N/E</v>
      </c>
    </row>
    <row r="1325" spans="1:12" ht="15.75" hidden="1" customHeight="1" x14ac:dyDescent="0.25">
      <c r="A1325" s="36">
        <f>IF(ORCAMENTOS!A1333="","",ORCAMENTOS!A1333)</f>
        <v>45867</v>
      </c>
      <c r="B1325" s="46">
        <f>IF(ORCAMENTOS!B1333="","",ORCAMENTOS!B1333)</f>
        <v>1323</v>
      </c>
      <c r="C1325" s="46" t="str">
        <f>IF(ORCAMENTOS!C1333="","",ORCAMENTOS!C1333)</f>
        <v/>
      </c>
      <c r="D1325" s="37" t="str">
        <f>IF(ORCAMENTOS!D1333="","",ORCAMENTOS!D1333)</f>
        <v>TERESA GUARITA</v>
      </c>
      <c r="E1325" s="38" t="str">
        <f>IF(ORCAMENTOS!E1333="","",ORCAMENTOS!E1333)</f>
        <v>-</v>
      </c>
      <c r="F1325" s="37" t="str">
        <f>IF(ORCAMENTOS!G1333="","",ORCAMENTOS!G1333)</f>
        <v>Gabriel</v>
      </c>
      <c r="G1325" s="37" t="str">
        <f>IF(ORCAMENTOS!H1333="","",ORCAMENTOS!H1333)</f>
        <v>Paulo</v>
      </c>
      <c r="H1325" s="39">
        <f>IF(ORCAMENTOS!I1333="","",ORCAMENTOS!I1333)</f>
        <v>2379.38</v>
      </c>
      <c r="I1325" s="60" t="str">
        <f>IF(ORCAMENTOS!J1333="","",ORCAMENTOS!J1333)</f>
        <v/>
      </c>
      <c r="J1325" s="40" t="str">
        <f>IF(ORCAMENTOS!L1333="","",ORCAMENTOS!L1333)</f>
        <v>CANCELADO</v>
      </c>
      <c r="K1325" s="34" t="str">
        <f>IF(ORCAMENTOS!M1333="","",ORCAMENTOS!M1333)</f>
        <v>-</v>
      </c>
      <c r="L1325" t="str">
        <f>IF(ORCAMENTOS!R1333="","",ORCAMENTOS!R1333)</f>
        <v>-</v>
      </c>
    </row>
    <row r="1326" spans="1:12" ht="15.75" hidden="1" customHeight="1" x14ac:dyDescent="0.25">
      <c r="A1326" s="36">
        <f>IF(ORCAMENTOS!A1334="","",ORCAMENTOS!A1334)</f>
        <v>45867</v>
      </c>
      <c r="B1326" s="46">
        <f>IF(ORCAMENTOS!B1334="","",ORCAMENTOS!B1334)</f>
        <v>1324</v>
      </c>
      <c r="C1326" s="46" t="str">
        <f>IF(ORCAMENTOS!C1334="","",ORCAMENTOS!C1334)</f>
        <v/>
      </c>
      <c r="D1326" s="37" t="str">
        <f>IF(ORCAMENTOS!D1334="","",ORCAMENTOS!D1334)</f>
        <v>PRODAC</v>
      </c>
      <c r="E1326" s="38" t="str">
        <f>IF(ORCAMENTOS!E1334="","",ORCAMENTOS!E1334)</f>
        <v>HOSPITAL DF STAR II BRASILIA</v>
      </c>
      <c r="F1326" s="37" t="str">
        <f>IF(ORCAMENTOS!G1334="","",ORCAMENTOS!G1334)</f>
        <v>Fernando</v>
      </c>
      <c r="G1326" s="37" t="str">
        <f>IF(ORCAMENTOS!H1334="","",ORCAMENTOS!H1334)</f>
        <v>Luiz</v>
      </c>
      <c r="H1326" s="39">
        <f>IF(ORCAMENTOS!I1334="","",ORCAMENTOS!I1334)</f>
        <v>1221.67</v>
      </c>
      <c r="I1326" s="60" t="str">
        <f>IF(ORCAMENTOS!J1334="","",ORCAMENTOS!J1334)</f>
        <v/>
      </c>
      <c r="J1326" s="40" t="str">
        <f>IF(ORCAMENTOS!L1334="","",ORCAMENTOS!L1334)</f>
        <v>FECHADO</v>
      </c>
      <c r="K1326" s="34" t="str">
        <f>IF(ORCAMENTOS!M1334="","",ORCAMENTOS!M1334)</f>
        <v>PREV SETEMBRO</v>
      </c>
      <c r="L1326" t="str">
        <f>IF(ORCAMENTOS!R1334="","",ORCAMENTOS!R1334)</f>
        <v>-</v>
      </c>
    </row>
    <row r="1327" spans="1:12" ht="15.75" hidden="1" customHeight="1" x14ac:dyDescent="0.25">
      <c r="A1327" s="36">
        <f>IF(ORCAMENTOS!A1335="","",ORCAMENTOS!A1335)</f>
        <v>30.07</v>
      </c>
      <c r="B1327" s="46">
        <f>IF(ORCAMENTOS!B1335="","",ORCAMENTOS!B1335)</f>
        <v>1325</v>
      </c>
      <c r="C1327" s="46" t="str">
        <f>IF(ORCAMENTOS!C1335="","",ORCAMENTOS!C1335)</f>
        <v/>
      </c>
      <c r="D1327" s="37" t="str">
        <f>IF(ORCAMENTOS!D1335="","",ORCAMENTOS!D1335)</f>
        <v>ENEBRAS</v>
      </c>
      <c r="E1327" s="38" t="str">
        <f>IF(ORCAMENTOS!E1335="","",ORCAMENTOS!E1335)</f>
        <v>4424_QUIMIO - 4424-25 - GRAAC - 2º ANDAR - QUIMIOTERAPIA</v>
      </c>
      <c r="F1327" s="37" t="str">
        <f>IF(ORCAMENTOS!G1335="","",ORCAMENTOS!G1335)</f>
        <v>Michel</v>
      </c>
      <c r="G1327" s="37" t="str">
        <f>IF(ORCAMENTOS!H1335="","",ORCAMENTOS!H1335)</f>
        <v>Pedro</v>
      </c>
      <c r="H1327" s="39">
        <f>IF(ORCAMENTOS!I1335="","",ORCAMENTOS!I1335)</f>
        <v>18564.07</v>
      </c>
      <c r="I1327" s="60" t="str">
        <f>IF(ORCAMENTOS!J1335="","",ORCAMENTOS!J1335)</f>
        <v/>
      </c>
      <c r="J1327" s="40" t="str">
        <f>IF(ORCAMENTOS!L1335="","",ORCAMENTOS!L1335)</f>
        <v>CANCELADO</v>
      </c>
      <c r="K1327" s="34" t="str">
        <f>IF(ORCAMENTOS!M1335="","",ORCAMENTOS!M1335)</f>
        <v>-</v>
      </c>
      <c r="L1327" t="str">
        <f>IF(ORCAMENTOS!R1335="","",ORCAMENTOS!R1335)</f>
        <v>-</v>
      </c>
    </row>
    <row r="1328" spans="1:12" ht="15.75" hidden="1" customHeight="1" x14ac:dyDescent="0.25">
      <c r="A1328" s="36">
        <f>IF(ORCAMENTOS!A1336="","",ORCAMENTOS!A1336)</f>
        <v>45890</v>
      </c>
      <c r="B1328" s="46">
        <f>IF(ORCAMENTOS!B1336="","",ORCAMENTOS!B1336)</f>
        <v>1326</v>
      </c>
      <c r="C1328" s="46" t="str">
        <f>IF(ORCAMENTOS!C1336="","",ORCAMENTOS!C1336)</f>
        <v/>
      </c>
      <c r="D1328" s="37" t="str">
        <f>IF(ORCAMENTOS!D1336="","",ORCAMENTOS!D1336)</f>
        <v>INOVECTOR</v>
      </c>
      <c r="E1328" s="38" t="str">
        <f>IF(ORCAMENTOS!E1336="","",ORCAMENTOS!E1336)</f>
        <v>HOSP. ASSUNÇÃO - 3ºPAV</v>
      </c>
      <c r="F1328" s="37" t="str">
        <f>IF(ORCAMENTOS!G1336="","",ORCAMENTOS!G1336)</f>
        <v>Fernando</v>
      </c>
      <c r="G1328" s="37" t="str">
        <f>IF(ORCAMENTOS!H1336="","",ORCAMENTOS!H1336)</f>
        <v>Cristina</v>
      </c>
      <c r="H1328" s="39">
        <f>IF(ORCAMENTOS!I1336="","",ORCAMENTOS!I1336)</f>
        <v>30801.95</v>
      </c>
      <c r="I1328" s="60" t="str">
        <f>IF(ORCAMENTOS!J1336="","",ORCAMENTOS!J1336)</f>
        <v/>
      </c>
      <c r="J1328" s="40" t="str">
        <f>IF(ORCAMENTOS!L1336="","",ORCAMENTOS!L1336)</f>
        <v>PERDIDO</v>
      </c>
      <c r="K1328" s="34" t="str">
        <f>IF(ORCAMENTOS!M1336="","",ORCAMENTOS!M1336)</f>
        <v>MULTIVAC - PREÇO</v>
      </c>
      <c r="L1328" t="str">
        <f>IF(ORCAMENTOS!R1336="","",ORCAMENTOS!R1336)</f>
        <v>-</v>
      </c>
    </row>
    <row r="1329" spans="1:12" ht="15.75" hidden="1" customHeight="1" x14ac:dyDescent="0.25">
      <c r="A1329" s="36">
        <f>IF(ORCAMENTOS!A1337="","",ORCAMENTOS!A1337)</f>
        <v>45890</v>
      </c>
      <c r="B1329" s="46">
        <f>IF(ORCAMENTOS!B1337="","",ORCAMENTOS!B1337)</f>
        <v>1327</v>
      </c>
      <c r="C1329" s="46" t="str">
        <f>IF(ORCAMENTOS!C1337="","",ORCAMENTOS!C1337)</f>
        <v/>
      </c>
      <c r="D1329" s="37" t="str">
        <f>IF(ORCAMENTOS!D1337="","",ORCAMENTOS!D1337)</f>
        <v>INOVECTOR</v>
      </c>
      <c r="E1329" s="38" t="str">
        <f>IF(ORCAMENTOS!E1337="","",ORCAMENTOS!E1337)</f>
        <v>HOSP. ASSUNÇÃO - 1ºPAV</v>
      </c>
      <c r="F1329" s="37" t="str">
        <f>IF(ORCAMENTOS!G1337="","",ORCAMENTOS!G1337)</f>
        <v>Fernando</v>
      </c>
      <c r="G1329" s="37" t="str">
        <f>IF(ORCAMENTOS!H1337="","",ORCAMENTOS!H1337)</f>
        <v>Cristina</v>
      </c>
      <c r="H1329" s="39">
        <f>IF(ORCAMENTOS!I1337="","",ORCAMENTOS!I1337)</f>
        <v>2133.2399999999998</v>
      </c>
      <c r="I1329" s="60" t="str">
        <f>IF(ORCAMENTOS!J1337="","",ORCAMENTOS!J1337)</f>
        <v/>
      </c>
      <c r="J1329" s="40" t="str">
        <f>IF(ORCAMENTOS!L1337="","",ORCAMENTOS!L1337)</f>
        <v>PERDIDO</v>
      </c>
      <c r="K1329" s="34" t="str">
        <f>IF(ORCAMENTOS!M1337="","",ORCAMENTOS!M1337)</f>
        <v>MULTIVAC - PREÇO</v>
      </c>
      <c r="L1329" t="str">
        <f>IF(ORCAMENTOS!R1337="","",ORCAMENTOS!R1337)</f>
        <v>-</v>
      </c>
    </row>
    <row r="1330" spans="1:12" ht="15.75" hidden="1" customHeight="1" x14ac:dyDescent="0.25">
      <c r="A1330" s="36">
        <f>IF(ORCAMENTOS!A1338="","",ORCAMENTOS!A1338)</f>
        <v>45890</v>
      </c>
      <c r="B1330" s="46">
        <f>IF(ORCAMENTOS!B1338="","",ORCAMENTOS!B1338)</f>
        <v>1328</v>
      </c>
      <c r="C1330" s="46" t="str">
        <f>IF(ORCAMENTOS!C1338="","",ORCAMENTOS!C1338)</f>
        <v/>
      </c>
      <c r="D1330" s="37" t="str">
        <f>IF(ORCAMENTOS!D1338="","",ORCAMENTOS!D1338)</f>
        <v>INOVECTOR</v>
      </c>
      <c r="E1330" s="38" t="str">
        <f>IF(ORCAMENTOS!E1338="","",ORCAMENTOS!E1338)</f>
        <v>HOSP. ASSUNÇÃO - TERREO</v>
      </c>
      <c r="F1330" s="37" t="str">
        <f>IF(ORCAMENTOS!G1338="","",ORCAMENTOS!G1338)</f>
        <v>Fernando</v>
      </c>
      <c r="G1330" s="37" t="str">
        <f>IF(ORCAMENTOS!H1338="","",ORCAMENTOS!H1338)</f>
        <v>Cristina</v>
      </c>
      <c r="H1330" s="39">
        <f>IF(ORCAMENTOS!I1338="","",ORCAMENTOS!I1338)</f>
        <v>3835.52</v>
      </c>
      <c r="I1330" s="60" t="str">
        <f>IF(ORCAMENTOS!J1338="","",ORCAMENTOS!J1338)</f>
        <v/>
      </c>
      <c r="J1330" s="40" t="str">
        <f>IF(ORCAMENTOS!L1338="","",ORCAMENTOS!L1338)</f>
        <v>FECHADO</v>
      </c>
      <c r="K1330" s="34" t="str">
        <f>IF(ORCAMENTOS!M1338="","",ORCAMENTOS!M1338)</f>
        <v>-</v>
      </c>
      <c r="L1330" t="str">
        <f>IF(ORCAMENTOS!R1338="","",ORCAMENTOS!R1338)</f>
        <v>-</v>
      </c>
    </row>
    <row r="1331" spans="1:12" ht="15.75" hidden="1" customHeight="1" x14ac:dyDescent="0.25">
      <c r="A1331" s="36">
        <f>IF(ORCAMENTOS!A1339="","",ORCAMENTOS!A1339)</f>
        <v>45868</v>
      </c>
      <c r="B1331" s="46">
        <f>IF(ORCAMENTOS!B1339="","",ORCAMENTOS!B1339)</f>
        <v>1329</v>
      </c>
      <c r="C1331" s="46" t="str">
        <f>IF(ORCAMENTOS!C1339="","",ORCAMENTOS!C1339)</f>
        <v/>
      </c>
      <c r="D1331" s="37" t="str">
        <f>IF(ORCAMENTOS!D1339="","",ORCAMENTOS!D1339)</f>
        <v>AIRCONDYGUI</v>
      </c>
      <c r="E1331" s="38" t="str">
        <f>IF(ORCAMENTOS!E1339="","",ORCAMENTOS!E1339)</f>
        <v>YOUCOM - SHOPPING ANALIA FRANCO - SP</v>
      </c>
      <c r="F1331" s="37" t="str">
        <f>IF(ORCAMENTOS!G1339="","",ORCAMENTOS!G1339)</f>
        <v>Gabriel</v>
      </c>
      <c r="G1331" s="37" t="str">
        <f>IF(ORCAMENTOS!H1339="","",ORCAMENTOS!H1339)</f>
        <v>David</v>
      </c>
      <c r="H1331" s="39">
        <f>IF(ORCAMENTOS!I1339="","",ORCAMENTOS!I1339)</f>
        <v>26027.52</v>
      </c>
      <c r="I1331" s="60" t="str">
        <f>IF(ORCAMENTOS!J1339="","",ORCAMENTOS!J1339)</f>
        <v/>
      </c>
      <c r="J1331" s="40" t="str">
        <f>IF(ORCAMENTOS!L1339="","",ORCAMENTOS!L1339)</f>
        <v>CANCELADO</v>
      </c>
      <c r="K1331" s="34" t="str">
        <f>IF(ORCAMENTOS!M1339="","",ORCAMENTOS!M1339)</f>
        <v>-</v>
      </c>
      <c r="L1331" t="str">
        <f>IF(ORCAMENTOS!R1339="","",ORCAMENTOS!R1339)</f>
        <v>MPU</v>
      </c>
    </row>
    <row r="1332" spans="1:12" ht="15.75" hidden="1" customHeight="1" x14ac:dyDescent="0.25">
      <c r="A1332" s="36">
        <f>IF(ORCAMENTOS!A1340="","",ORCAMENTOS!A1340)</f>
        <v>45868</v>
      </c>
      <c r="B1332" s="46">
        <f>IF(ORCAMENTOS!B1340="","",ORCAMENTOS!B1340)</f>
        <v>1330</v>
      </c>
      <c r="C1332" s="46" t="str">
        <f>IF(ORCAMENTOS!C1340="","",ORCAMENTOS!C1340)</f>
        <v/>
      </c>
      <c r="D1332" s="37" t="str">
        <f>IF(ORCAMENTOS!D1340="","",ORCAMENTOS!D1340)</f>
        <v>JGTEC</v>
      </c>
      <c r="E1332" s="38" t="str">
        <f>IF(ORCAMENTOS!E1340="","",ORCAMENTOS!E1340)</f>
        <v>-</v>
      </c>
      <c r="F1332" s="37" t="str">
        <f>IF(ORCAMENTOS!G1340="","",ORCAMENTOS!G1340)</f>
        <v>Michel</v>
      </c>
      <c r="G1332" s="37" t="str">
        <f>IF(ORCAMENTOS!H1340="","",ORCAMENTOS!H1340)</f>
        <v>Milena</v>
      </c>
      <c r="H1332" s="39">
        <f>IF(ORCAMENTOS!I1340="","",ORCAMENTOS!I1340)</f>
        <v>1828.5</v>
      </c>
      <c r="I1332" s="60" t="str">
        <f>IF(ORCAMENTOS!J1340="","",ORCAMENTOS!J1340)</f>
        <v/>
      </c>
      <c r="J1332" s="40" t="str">
        <f>IF(ORCAMENTOS!L1340="","",ORCAMENTOS!L1340)</f>
        <v>PERDIDO</v>
      </c>
      <c r="K1332" s="34" t="str">
        <f>IF(ORCAMENTOS!M1340="","",ORCAMENTOS!M1340)</f>
        <v>PERDIDO MULTIVAC - PREÇO</v>
      </c>
      <c r="L1332" t="str">
        <f>IF(ORCAMENTOS!R1340="","",ORCAMENTOS!R1340)</f>
        <v>-</v>
      </c>
    </row>
    <row r="1333" spans="1:12" ht="15.75" hidden="1" customHeight="1" x14ac:dyDescent="0.25">
      <c r="A1333" s="36">
        <f>IF(ORCAMENTOS!A1341="","",ORCAMENTOS!A1341)</f>
        <v>45868</v>
      </c>
      <c r="B1333" s="46">
        <f>IF(ORCAMENTOS!B1341="","",ORCAMENTOS!B1341)</f>
        <v>1331</v>
      </c>
      <c r="C1333" s="46" t="str">
        <f>IF(ORCAMENTOS!C1341="","",ORCAMENTOS!C1341)</f>
        <v/>
      </c>
      <c r="D1333" s="37" t="str">
        <f>IF(ORCAMENTOS!D1341="","",ORCAMENTOS!D1341)</f>
        <v>AMS INSTALACOES</v>
      </c>
      <c r="E1333" s="38" t="str">
        <f>IF(ORCAMENTOS!E1341="","",ORCAMENTOS!E1341)</f>
        <v>ASSAI - ARAGUAIANA - TO</v>
      </c>
      <c r="F1333" s="37" t="str">
        <f>IF(ORCAMENTOS!G1341="","",ORCAMENTOS!G1341)</f>
        <v>Gabriel</v>
      </c>
      <c r="G1333" s="37" t="str">
        <f>IF(ORCAMENTOS!H1341="","",ORCAMENTOS!H1341)</f>
        <v>Felipe</v>
      </c>
      <c r="H1333" s="39">
        <f>IF(ORCAMENTOS!I1341="","",ORCAMENTOS!I1341)</f>
        <v>292956.08</v>
      </c>
      <c r="I1333" s="60" t="str">
        <f>IF(ORCAMENTOS!J1341="","",ORCAMENTOS!J1341)</f>
        <v/>
      </c>
      <c r="J1333" s="40" t="str">
        <f>IF(ORCAMENTOS!L1341="","",ORCAMENTOS!L1341)</f>
        <v>FECHADO</v>
      </c>
      <c r="K1333" s="34" t="str">
        <f>IF(ORCAMENTOS!M1341="","",ORCAMENTOS!M1341)</f>
        <v>-</v>
      </c>
      <c r="L1333" t="str">
        <f>IF(ORCAMENTOS!R1341="","",ORCAMENTOS!R1341)</f>
        <v>PAINEL DE POLIURETANO</v>
      </c>
    </row>
    <row r="1334" spans="1:12" ht="15.75" hidden="1" customHeight="1" x14ac:dyDescent="0.25">
      <c r="A1334" s="36">
        <f>IF(ORCAMENTOS!A1342="","",ORCAMENTOS!A1342)</f>
        <v>45868</v>
      </c>
      <c r="B1334" s="46">
        <f>IF(ORCAMENTOS!B1342="","",ORCAMENTOS!B1342)</f>
        <v>1332</v>
      </c>
      <c r="C1334" s="46" t="str">
        <f>IF(ORCAMENTOS!C1342="","",ORCAMENTOS!C1342)</f>
        <v/>
      </c>
      <c r="D1334" s="37" t="str">
        <f>IF(ORCAMENTOS!D1342="","",ORCAMENTOS!D1342)</f>
        <v>WSR REFRIGERACAO</v>
      </c>
      <c r="E1334" s="38" t="str">
        <f>IF(ORCAMENTOS!E1342="","",ORCAMENTOS!E1342)</f>
        <v>-</v>
      </c>
      <c r="F1334" s="37" t="str">
        <f>IF(ORCAMENTOS!G1342="","",ORCAMENTOS!G1342)</f>
        <v>Gabriel</v>
      </c>
      <c r="G1334" s="37" t="str">
        <f>IF(ORCAMENTOS!H1342="","",ORCAMENTOS!H1342)</f>
        <v>Willy</v>
      </c>
      <c r="H1334" s="39">
        <f>IF(ORCAMENTOS!I1342="","",ORCAMENTOS!I1342)</f>
        <v>1809.15</v>
      </c>
      <c r="I1334" s="60" t="str">
        <f>IF(ORCAMENTOS!J1342="","",ORCAMENTOS!J1342)</f>
        <v/>
      </c>
      <c r="J1334" s="40" t="str">
        <f>IF(ORCAMENTOS!L1342="","",ORCAMENTOS!L1342)</f>
        <v>CANCELADO</v>
      </c>
      <c r="K1334" s="34" t="str">
        <f>IF(ORCAMENTOS!M1342="","",ORCAMENTOS!M1342)</f>
        <v>-</v>
      </c>
      <c r="L1334" t="str">
        <f>IF(ORCAMENTOS!R1342="","",ORCAMENTOS!R1342)</f>
        <v>-</v>
      </c>
    </row>
    <row r="1335" spans="1:12" ht="15.75" hidden="1" customHeight="1" x14ac:dyDescent="0.25">
      <c r="A1335" s="36">
        <f>IF(ORCAMENTOS!A1343="","",ORCAMENTOS!A1343)</f>
        <v>45868</v>
      </c>
      <c r="B1335" s="46">
        <f>IF(ORCAMENTOS!B1343="","",ORCAMENTOS!B1343)</f>
        <v>1333</v>
      </c>
      <c r="C1335" s="46" t="str">
        <f>IF(ORCAMENTOS!C1343="","",ORCAMENTOS!C1343)</f>
        <v/>
      </c>
      <c r="D1335" s="37" t="str">
        <f>IF(ORCAMENTOS!D1343="","",ORCAMENTOS!D1343)</f>
        <v>RM3 ENGENHARIA</v>
      </c>
      <c r="E1335" s="38" t="str">
        <f>IF(ORCAMENTOS!E1343="","",ORCAMENTOS!E1343)</f>
        <v>SAVEGNAGO SERTÃOZINHO - JD DAS PALMEIRAS</v>
      </c>
      <c r="F1335" s="37" t="str">
        <f>IF(ORCAMENTOS!G1343="","",ORCAMENTOS!G1343)</f>
        <v>Guilherme</v>
      </c>
      <c r="G1335" s="37" t="str">
        <f>IF(ORCAMENTOS!H1343="","",ORCAMENTOS!H1343)</f>
        <v>Janice</v>
      </c>
      <c r="H1335" s="39">
        <f>IF(ORCAMENTOS!I1343="","",ORCAMENTOS!I1343)</f>
        <v>19992.02</v>
      </c>
      <c r="I1335" s="60" t="str">
        <f>IF(ORCAMENTOS!J1343="","",ORCAMENTOS!J1343)</f>
        <v/>
      </c>
      <c r="J1335" s="40" t="str">
        <f>IF(ORCAMENTOS!L1343="","",ORCAMENTOS!L1343)</f>
        <v>FECHADO</v>
      </c>
      <c r="K1335" s="34" t="str">
        <f>IF(ORCAMENTOS!M1343="","",ORCAMENTOS!M1343)</f>
        <v>-</v>
      </c>
      <c r="L1335" t="str">
        <f>IF(ORCAMENTOS!R1343="","",ORCAMENTOS!R1343)</f>
        <v>-</v>
      </c>
    </row>
    <row r="1336" spans="1:12" ht="15.75" hidden="1" customHeight="1" x14ac:dyDescent="0.25">
      <c r="A1336" s="36">
        <f>IF(ORCAMENTOS!A1344="","",ORCAMENTOS!A1344)</f>
        <v>45868</v>
      </c>
      <c r="B1336" s="46">
        <f>IF(ORCAMENTOS!B1344="","",ORCAMENTOS!B1344)</f>
        <v>1334</v>
      </c>
      <c r="C1336" s="46" t="str">
        <f>IF(ORCAMENTOS!C1344="","",ORCAMENTOS!C1344)</f>
        <v/>
      </c>
      <c r="D1336" s="37" t="str">
        <f>IF(ORCAMENTOS!D1344="","",ORCAMENTOS!D1344)</f>
        <v>REWELL OTAVIO</v>
      </c>
      <c r="E1336" s="38" t="str">
        <f>IF(ORCAMENTOS!E1344="","",ORCAMENTOS!E1344)</f>
        <v>RESIDENCIA UNIFAMILIAR - MARINA E ALESSANDRO</v>
      </c>
      <c r="F1336" s="37" t="str">
        <f>IF(ORCAMENTOS!G1344="","",ORCAMENTOS!G1344)</f>
        <v>Gabriel</v>
      </c>
      <c r="G1336" s="37" t="str">
        <f>IF(ORCAMENTOS!H1344="","",ORCAMENTOS!H1344)</f>
        <v>Rewell</v>
      </c>
      <c r="H1336" s="39">
        <f>IF(ORCAMENTOS!I1344="","",ORCAMENTOS!I1344)</f>
        <v>7616.84</v>
      </c>
      <c r="I1336" s="60" t="str">
        <f>IF(ORCAMENTOS!J1344="","",ORCAMENTOS!J1344)</f>
        <v/>
      </c>
      <c r="J1336" s="40" t="str">
        <f>IF(ORCAMENTOS!L1344="","",ORCAMENTOS!L1344)</f>
        <v>CANCELADO</v>
      </c>
      <c r="K1336" s="34" t="str">
        <f>IF(ORCAMENTOS!M1344="","",ORCAMENTOS!M1344)</f>
        <v>-</v>
      </c>
      <c r="L1336" t="str">
        <f>IF(ORCAMENTOS!R1344="","",ORCAMENTOS!R1344)</f>
        <v>CHAPA DE ACO GALVANIZADO</v>
      </c>
    </row>
    <row r="1337" spans="1:12" ht="15.75" hidden="1" customHeight="1" x14ac:dyDescent="0.25">
      <c r="A1337" s="36">
        <f>IF(ORCAMENTOS!A1345="","",ORCAMENTOS!A1345)</f>
        <v>45868</v>
      </c>
      <c r="B1337" s="46">
        <f>IF(ORCAMENTOS!B1345="","",ORCAMENTOS!B1345)</f>
        <v>1335</v>
      </c>
      <c r="C1337" s="46" t="str">
        <f>IF(ORCAMENTOS!C1345="","",ORCAMENTOS!C1345)</f>
        <v/>
      </c>
      <c r="D1337" s="37" t="str">
        <f>IF(ORCAMENTOS!D1345="","",ORCAMENTOS!D1345)</f>
        <v>AWA AR CONDICIONADO</v>
      </c>
      <c r="E1337" s="38" t="str">
        <f>IF(ORCAMENTOS!E1345="","",ORCAMENTOS!E1345)</f>
        <v>DARKSTORE - SÃO LUIS - MA</v>
      </c>
      <c r="F1337" s="37" t="str">
        <f>IF(ORCAMENTOS!G1345="","",ORCAMENTOS!G1345)</f>
        <v>Guilherme</v>
      </c>
      <c r="G1337" s="37" t="str">
        <f>IF(ORCAMENTOS!H1345="","",ORCAMENTOS!H1345)</f>
        <v>Paula</v>
      </c>
      <c r="H1337" s="39">
        <f>IF(ORCAMENTOS!I1345="","",ORCAMENTOS!I1345)</f>
        <v>128502.42</v>
      </c>
      <c r="I1337" s="60" t="str">
        <f>IF(ORCAMENTOS!J1345="","",ORCAMENTOS!J1345)</f>
        <v/>
      </c>
      <c r="J1337" s="40" t="str">
        <f>IF(ORCAMENTOS!L1345="","",ORCAMENTOS!L1345)</f>
        <v>CANCELADO</v>
      </c>
      <c r="K1337" s="34" t="str">
        <f>IF(ORCAMENTOS!M1345="","",ORCAMENTOS!M1345)</f>
        <v>-</v>
      </c>
      <c r="L1337" t="str">
        <f>IF(ORCAMENTOS!R1345="","",ORCAMENTOS!R1345)</f>
        <v>MPU</v>
      </c>
    </row>
    <row r="1338" spans="1:12" ht="15.75" hidden="1" customHeight="1" x14ac:dyDescent="0.25">
      <c r="A1338" s="36">
        <f>IF(ORCAMENTOS!A1346="","",ORCAMENTOS!A1346)</f>
        <v>45868</v>
      </c>
      <c r="B1338" s="46">
        <f>IF(ORCAMENTOS!B1346="","",ORCAMENTOS!B1346)</f>
        <v>1336</v>
      </c>
      <c r="C1338" s="46" t="str">
        <f>IF(ORCAMENTOS!C1346="","",ORCAMENTOS!C1346)</f>
        <v/>
      </c>
      <c r="D1338" s="37" t="str">
        <f>IF(ORCAMENTOS!D1346="","",ORCAMENTOS!D1346)</f>
        <v>NOSSO AR</v>
      </c>
      <c r="E1338" s="38" t="str">
        <f>IF(ORCAMENTOS!E1346="","",ORCAMENTOS!E1346)</f>
        <v>Joanin SBC - 1527.2023</v>
      </c>
      <c r="F1338" s="37" t="str">
        <f>IF(ORCAMENTOS!G1346="","",ORCAMENTOS!G1346)</f>
        <v>Gabriel</v>
      </c>
      <c r="G1338" s="37" t="str">
        <f>IF(ORCAMENTOS!H1346="","",ORCAMENTOS!H1346)</f>
        <v>Gabrielle</v>
      </c>
      <c r="H1338" s="39">
        <f>IF(ORCAMENTOS!I1346="","",ORCAMENTOS!I1346)</f>
        <v>6024.68</v>
      </c>
      <c r="I1338" s="60" t="str">
        <f>IF(ORCAMENTOS!J1346="","",ORCAMENTOS!J1346)</f>
        <v/>
      </c>
      <c r="J1338" s="40" t="str">
        <f>IF(ORCAMENTOS!L1346="","",ORCAMENTOS!L1346)</f>
        <v>FECHADO</v>
      </c>
      <c r="K1338" s="34" t="str">
        <f>IF(ORCAMENTOS!M1346="","",ORCAMENTOS!M1346)</f>
        <v>-</v>
      </c>
      <c r="L1338" t="str">
        <f>IF(ORCAMENTOS!R1346="","",ORCAMENTOS!R1346)</f>
        <v>-</v>
      </c>
    </row>
    <row r="1339" spans="1:12" ht="15.75" hidden="1" customHeight="1" x14ac:dyDescent="0.25">
      <c r="A1339" s="36">
        <f>IF(ORCAMENTOS!A1347="","",ORCAMENTOS!A1347)</f>
        <v>45868</v>
      </c>
      <c r="B1339" s="46">
        <f>IF(ORCAMENTOS!B1347="","",ORCAMENTOS!B1347)</f>
        <v>1337</v>
      </c>
      <c r="C1339" s="46" t="str">
        <f>IF(ORCAMENTOS!C1347="","",ORCAMENTOS!C1347)</f>
        <v/>
      </c>
      <c r="D1339" s="37" t="str">
        <f>IF(ORCAMENTOS!D1347="","",ORCAMENTOS!D1347)</f>
        <v>ECOTHERM</v>
      </c>
      <c r="E1339" s="38" t="str">
        <f>IF(ORCAMENTOS!E1347="","",ORCAMENTOS!E1347)</f>
        <v>USP RIBEIRÃO PRETO</v>
      </c>
      <c r="F1339" s="37" t="str">
        <f>IF(ORCAMENTOS!G1347="","",ORCAMENTOS!G1347)</f>
        <v>Emanuel</v>
      </c>
      <c r="G1339" s="37" t="str">
        <f>IF(ORCAMENTOS!H1347="","",ORCAMENTOS!H1347)</f>
        <v>Selma</v>
      </c>
      <c r="H1339" s="39">
        <f>IF(ORCAMENTOS!I1347="","",ORCAMENTOS!I1347)</f>
        <v>56168</v>
      </c>
      <c r="I1339" s="60" t="str">
        <f>IF(ORCAMENTOS!J1347="","",ORCAMENTOS!J1347)</f>
        <v/>
      </c>
      <c r="J1339" s="40" t="str">
        <f>IF(ORCAMENTOS!L1347="","",ORCAMENTOS!L1347)</f>
        <v>PERDIDO</v>
      </c>
      <c r="K1339" s="34" t="str">
        <f>IF(ORCAMENTOS!M1347="","",ORCAMENTOS!M1347)</f>
        <v>PERDIDO MULTIVAC - PREÇO</v>
      </c>
      <c r="L1339" t="str">
        <f>IF(ORCAMENTOS!R1347="","",ORCAMENTOS!R1347)</f>
        <v>-</v>
      </c>
    </row>
    <row r="1340" spans="1:12" ht="15.75" hidden="1" customHeight="1" x14ac:dyDescent="0.25">
      <c r="A1340" s="36">
        <f>IF(ORCAMENTOS!A1348="","",ORCAMENTOS!A1348)</f>
        <v>45868</v>
      </c>
      <c r="B1340" s="46">
        <f>IF(ORCAMENTOS!B1348="","",ORCAMENTOS!B1348)</f>
        <v>1338</v>
      </c>
      <c r="C1340" s="46" t="str">
        <f>IF(ORCAMENTOS!C1348="","",ORCAMENTOS!C1348)</f>
        <v/>
      </c>
      <c r="D1340" s="37" t="str">
        <f>IF(ORCAMENTOS!D1348="","",ORCAMENTOS!D1348)</f>
        <v>R1 SOLUCOES</v>
      </c>
      <c r="E1340" s="38" t="str">
        <f>IF(ORCAMENTOS!E1348="","",ORCAMENTOS!E1348)</f>
        <v>-</v>
      </c>
      <c r="F1340" s="37" t="str">
        <f>IF(ORCAMENTOS!G1348="","",ORCAMENTOS!G1348)</f>
        <v>Gabriel</v>
      </c>
      <c r="G1340" s="37" t="str">
        <f>IF(ORCAMENTOS!H1348="","",ORCAMENTOS!H1348)</f>
        <v>Ary</v>
      </c>
      <c r="H1340" s="39">
        <f>IF(ORCAMENTOS!I1348="","",ORCAMENTOS!I1348)</f>
        <v>7763.85</v>
      </c>
      <c r="I1340" s="60" t="str">
        <f>IF(ORCAMENTOS!J1348="","",ORCAMENTOS!J1348)</f>
        <v/>
      </c>
      <c r="J1340" s="40" t="str">
        <f>IF(ORCAMENTOS!L1348="","",ORCAMENTOS!L1348)</f>
        <v>CANCELADO</v>
      </c>
      <c r="K1340" s="34" t="str">
        <f>IF(ORCAMENTOS!M1348="","",ORCAMENTOS!M1348)</f>
        <v>-</v>
      </c>
      <c r="L1340" t="str">
        <f>IF(ORCAMENTOS!R1348="","",ORCAMENTOS!R1348)</f>
        <v>-</v>
      </c>
    </row>
    <row r="1341" spans="1:12" ht="15.75" hidden="1" customHeight="1" x14ac:dyDescent="0.25">
      <c r="A1341" s="36">
        <f>IF(ORCAMENTOS!A1349="","",ORCAMENTOS!A1349)</f>
        <v>45869</v>
      </c>
      <c r="B1341" s="46">
        <f>IF(ORCAMENTOS!B1349="","",ORCAMENTOS!B1349)</f>
        <v>1339</v>
      </c>
      <c r="C1341" s="46" t="str">
        <f>IF(ORCAMENTOS!C1349="","",ORCAMENTOS!C1349)</f>
        <v/>
      </c>
      <c r="D1341" s="37" t="str">
        <f>IF(ORCAMENTOS!D1349="","",ORCAMENTOS!D1349)</f>
        <v>POLO NORTE</v>
      </c>
      <c r="E1341" s="38" t="str">
        <f>IF(ORCAMENTOS!E1349="","",ORCAMENTOS!E1349)</f>
        <v>RESIDENCIA JOSEF SOUED - GUARUJA - SP</v>
      </c>
      <c r="F1341" s="37" t="str">
        <f>IF(ORCAMENTOS!G1349="","",ORCAMENTOS!G1349)</f>
        <v>Emanuel</v>
      </c>
      <c r="G1341" s="37" t="str">
        <f>IF(ORCAMENTOS!H1349="","",ORCAMENTOS!H1349)</f>
        <v>Graziele</v>
      </c>
      <c r="H1341" s="39">
        <f>IF(ORCAMENTOS!I1349="","",ORCAMENTOS!I1349)</f>
        <v>28039.19</v>
      </c>
      <c r="I1341" s="60" t="str">
        <f>IF(ORCAMENTOS!J1349="","",ORCAMENTOS!J1349)</f>
        <v/>
      </c>
      <c r="J1341" s="40" t="str">
        <f>IF(ORCAMENTOS!L1349="","",ORCAMENTOS!L1349)</f>
        <v>FECHADO</v>
      </c>
      <c r="K1341" s="34" t="str">
        <f>IF(ORCAMENTOS!M1349="","",ORCAMENTOS!M1349)</f>
        <v/>
      </c>
      <c r="L1341" t="str">
        <f>IF(ORCAMENTOS!R1349="","",ORCAMENTOS!R1349)</f>
        <v>N/E</v>
      </c>
    </row>
    <row r="1342" spans="1:12" ht="15.75" hidden="1" customHeight="1" x14ac:dyDescent="0.25">
      <c r="A1342" s="36">
        <f>IF(ORCAMENTOS!A1350="","",ORCAMENTOS!A1350)</f>
        <v>45869</v>
      </c>
      <c r="B1342" s="46">
        <f>IF(ORCAMENTOS!B1350="","",ORCAMENTOS!B1350)</f>
        <v>1340</v>
      </c>
      <c r="C1342" s="46" t="str">
        <f>IF(ORCAMENTOS!C1350="","",ORCAMENTOS!C1350)</f>
        <v/>
      </c>
      <c r="D1342" s="37" t="str">
        <f>IF(ORCAMENTOS!D1350="","",ORCAMENTOS!D1350)</f>
        <v>MANENG</v>
      </c>
      <c r="E1342" s="38" t="str">
        <f>IF(ORCAMENTOS!E1350="","",ORCAMENTOS!E1350)</f>
        <v>-</v>
      </c>
      <c r="F1342" s="37" t="str">
        <f>IF(ORCAMENTOS!G1350="","",ORCAMENTOS!G1350)</f>
        <v>Guilherme</v>
      </c>
      <c r="G1342" s="37" t="str">
        <f>IF(ORCAMENTOS!H1350="","",ORCAMENTOS!H1350)</f>
        <v>Hanna</v>
      </c>
      <c r="H1342" s="39">
        <f>IF(ORCAMENTOS!I1350="","",ORCAMENTOS!I1350)</f>
        <v>39267.56</v>
      </c>
      <c r="I1342" s="60" t="str">
        <f>IF(ORCAMENTOS!J1350="","",ORCAMENTOS!J1350)</f>
        <v/>
      </c>
      <c r="J1342" s="40" t="str">
        <f>IF(ORCAMENTOS!L1350="","",ORCAMENTOS!L1350)</f>
        <v>FECHADO</v>
      </c>
      <c r="K1342" s="34" t="str">
        <f>IF(ORCAMENTOS!M1350="","",ORCAMENTOS!M1350)</f>
        <v>-</v>
      </c>
      <c r="L1342" t="str">
        <f>IF(ORCAMENTOS!R1350="","",ORCAMENTOS!R1350)</f>
        <v>-</v>
      </c>
    </row>
    <row r="1343" spans="1:12" ht="15.75" hidden="1" customHeight="1" x14ac:dyDescent="0.25">
      <c r="A1343" s="36">
        <f>IF(ORCAMENTOS!A1351="","",ORCAMENTOS!A1351)</f>
        <v>45870</v>
      </c>
      <c r="B1343" s="46">
        <f>IF(ORCAMENTOS!B1351="","",ORCAMENTOS!B1351)</f>
        <v>1341</v>
      </c>
      <c r="C1343" s="46" t="str">
        <f>IF(ORCAMENTOS!C1351="","",ORCAMENTOS!C1351)</f>
        <v/>
      </c>
      <c r="D1343" s="37" t="str">
        <f>IF(ORCAMENTOS!D1351="","",ORCAMENTOS!D1351)</f>
        <v>CHD SISTEMAS</v>
      </c>
      <c r="E1343" s="38" t="str">
        <f>IF(ORCAMENTOS!E1351="","",ORCAMENTOS!E1351)</f>
        <v>AVENIDA WASHINGTON LUIS, S/Nº, AEROPORTO DE SÃO PAULO/CONGONHAS</v>
      </c>
      <c r="F1343" s="37" t="str">
        <f>IF(ORCAMENTOS!G1351="","",ORCAMENTOS!G1351)</f>
        <v>Fernando</v>
      </c>
      <c r="G1343" s="37" t="str">
        <f>IF(ORCAMENTOS!H1351="","",ORCAMENTOS!H1351)</f>
        <v>Paulo</v>
      </c>
      <c r="H1343" s="39">
        <f>IF(ORCAMENTOS!I1351="","",ORCAMENTOS!I1351)</f>
        <v>76681.710000000006</v>
      </c>
      <c r="I1343" s="60" t="str">
        <f>IF(ORCAMENTOS!J1351="","",ORCAMENTOS!J1351)</f>
        <v/>
      </c>
      <c r="J1343" s="40" t="str">
        <f>IF(ORCAMENTOS!L1351="","",ORCAMENTOS!L1351)</f>
        <v>FECHADO</v>
      </c>
      <c r="K1343" s="34" t="str">
        <f>IF(ORCAMENTOS!M1351="","",ORCAMENTOS!M1351)</f>
        <v>-</v>
      </c>
      <c r="L1343" t="str">
        <f>IF(ORCAMENTOS!R1351="","",ORCAMENTOS!R1351)</f>
        <v>-</v>
      </c>
    </row>
    <row r="1344" spans="1:12" ht="15.75" hidden="1" customHeight="1" x14ac:dyDescent="0.25">
      <c r="A1344" s="36">
        <f>IF(ORCAMENTOS!A1352="","",ORCAMENTOS!A1352)</f>
        <v>45869</v>
      </c>
      <c r="B1344" s="46">
        <f>IF(ORCAMENTOS!B1352="","",ORCAMENTOS!B1352)</f>
        <v>1342</v>
      </c>
      <c r="C1344" s="46" t="str">
        <f>IF(ORCAMENTOS!C1352="","",ORCAMENTOS!C1352)</f>
        <v/>
      </c>
      <c r="D1344" s="37" t="str">
        <f>IF(ORCAMENTOS!D1352="","",ORCAMENTOS!D1352)</f>
        <v>ENEBRAS</v>
      </c>
      <c r="E1344" s="38" t="str">
        <f>IF(ORCAMENTOS!E1352="","",ORCAMENTOS!E1352)</f>
        <v>CENTRO DE PESQUISA FUNDAMENTAL - CEP MORUMBI</v>
      </c>
      <c r="F1344" s="37" t="str">
        <f>IF(ORCAMENTOS!G1352="","",ORCAMENTOS!G1352)</f>
        <v>Michel</v>
      </c>
      <c r="G1344" s="37" t="str">
        <f>IF(ORCAMENTOS!H1352="","",ORCAMENTOS!H1352)</f>
        <v>Kaio</v>
      </c>
      <c r="H1344" s="39">
        <f>IF(ORCAMENTOS!I1352="","",ORCAMENTOS!I1352)</f>
        <v>41138.86</v>
      </c>
      <c r="I1344" s="60" t="str">
        <f>IF(ORCAMENTOS!J1352="","",ORCAMENTOS!J1352)</f>
        <v/>
      </c>
      <c r="J1344" s="40" t="str">
        <f>IF(ORCAMENTOS!L1352="","",ORCAMENTOS!L1352)</f>
        <v>CANCELADO</v>
      </c>
      <c r="K1344" s="34" t="str">
        <f>IF(ORCAMENTOS!M1352="","",ORCAMENTOS!M1352)</f>
        <v>-</v>
      </c>
      <c r="L1344" t="str">
        <f>IF(ORCAMENTOS!R1352="","",ORCAMENTOS!R1352)</f>
        <v>-</v>
      </c>
    </row>
    <row r="1345" spans="1:12" ht="15.75" hidden="1" customHeight="1" x14ac:dyDescent="0.25">
      <c r="A1345" s="36">
        <f>IF(ORCAMENTOS!A1353="","",ORCAMENTOS!A1353)</f>
        <v>45869</v>
      </c>
      <c r="B1345" s="46">
        <f>IF(ORCAMENTOS!B1353="","",ORCAMENTOS!B1353)</f>
        <v>1343</v>
      </c>
      <c r="C1345" s="46" t="str">
        <f>IF(ORCAMENTOS!C1353="","",ORCAMENTOS!C1353)</f>
        <v/>
      </c>
      <c r="D1345" s="37" t="str">
        <f>IF(ORCAMENTOS!D1353="","",ORCAMENTOS!D1353)</f>
        <v>SOLAR SERVIÇO</v>
      </c>
      <c r="E1345" s="38" t="str">
        <f>IF(ORCAMENTOS!E1353="","",ORCAMENTOS!E1353)</f>
        <v>-</v>
      </c>
      <c r="F1345" s="37" t="str">
        <f>IF(ORCAMENTOS!G1353="","",ORCAMENTOS!G1353)</f>
        <v>Gabriel</v>
      </c>
      <c r="G1345" s="37" t="str">
        <f>IF(ORCAMENTOS!H1353="","",ORCAMENTOS!H1353)</f>
        <v>Graziele</v>
      </c>
      <c r="H1345" s="39">
        <f>IF(ORCAMENTOS!I1353="","",ORCAMENTOS!I1353)</f>
        <v>4594.54</v>
      </c>
      <c r="I1345" s="60" t="str">
        <f>IF(ORCAMENTOS!J1353="","",ORCAMENTOS!J1353)</f>
        <v/>
      </c>
      <c r="J1345" s="40" t="str">
        <f>IF(ORCAMENTOS!L1353="","",ORCAMENTOS!L1353)</f>
        <v>CANCELADO</v>
      </c>
      <c r="K1345" s="34" t="str">
        <f>IF(ORCAMENTOS!M1353="","",ORCAMENTOS!M1353)</f>
        <v>-</v>
      </c>
      <c r="L1345" t="str">
        <f>IF(ORCAMENTOS!R1353="","",ORCAMENTOS!R1353)</f>
        <v>-</v>
      </c>
    </row>
    <row r="1346" spans="1:12" ht="15.75" hidden="1" customHeight="1" x14ac:dyDescent="0.25">
      <c r="A1346" s="36">
        <f>IF(ORCAMENTOS!A1354="","",ORCAMENTOS!A1354)</f>
        <v>45869</v>
      </c>
      <c r="B1346" s="46">
        <f>IF(ORCAMENTOS!B1354="","",ORCAMENTOS!B1354)</f>
        <v>1344</v>
      </c>
      <c r="C1346" s="46" t="str">
        <f>IF(ORCAMENTOS!C1354="","",ORCAMENTOS!C1354)</f>
        <v/>
      </c>
      <c r="D1346" s="37" t="str">
        <f>IF(ORCAMENTOS!D1354="","",ORCAMENTOS!D1354)</f>
        <v>APOLLO CLIMA</v>
      </c>
      <c r="E1346" s="38" t="str">
        <f>IF(ORCAMENTOS!E1354="","",ORCAMENTOS!E1354)</f>
        <v>SMART FIT - JUNDIAI - CECAP - VILA FORMOSA</v>
      </c>
      <c r="F1346" s="37" t="str">
        <f>IF(ORCAMENTOS!G1354="","",ORCAMENTOS!G1354)</f>
        <v>Emanuel</v>
      </c>
      <c r="G1346" s="37" t="str">
        <f>IF(ORCAMENTOS!H1354="","",ORCAMENTOS!H1354)</f>
        <v>Cleverson</v>
      </c>
      <c r="H1346" s="39">
        <f>IF(ORCAMENTOS!I1354="","",ORCAMENTOS!I1354)</f>
        <v>3800</v>
      </c>
      <c r="I1346" s="60" t="str">
        <f>IF(ORCAMENTOS!J1354="","",ORCAMENTOS!J1354)</f>
        <v/>
      </c>
      <c r="J1346" s="40" t="str">
        <f>IF(ORCAMENTOS!L1354="","",ORCAMENTOS!L1354)</f>
        <v>FECHADO</v>
      </c>
      <c r="K1346" s="34" t="str">
        <f>IF(ORCAMENTOS!M1354="","",ORCAMENTOS!M1354)</f>
        <v>-</v>
      </c>
      <c r="L1346" t="str">
        <f>IF(ORCAMENTOS!R1354="","",ORCAMENTOS!R1354)</f>
        <v>-</v>
      </c>
    </row>
    <row r="1347" spans="1:12" ht="15.75" hidden="1" customHeight="1" x14ac:dyDescent="0.25">
      <c r="A1347" s="36">
        <f>IF(ORCAMENTOS!A1355="","",ORCAMENTOS!A1355)</f>
        <v>45869</v>
      </c>
      <c r="B1347" s="46">
        <f>IF(ORCAMENTOS!B1355="","",ORCAMENTOS!B1355)</f>
        <v>1345</v>
      </c>
      <c r="C1347" s="46" t="str">
        <f>IF(ORCAMENTOS!C1355="","",ORCAMENTOS!C1355)</f>
        <v/>
      </c>
      <c r="D1347" s="37" t="str">
        <f>IF(ORCAMENTOS!D1355="","",ORCAMENTOS!D1355)</f>
        <v>AWA AR CONDICIONADO</v>
      </c>
      <c r="E1347" s="38" t="str">
        <f>IF(ORCAMENTOS!E1355="","",ORCAMENTOS!E1355)</f>
        <v>NOVO ATACAREJO GARANHUNS</v>
      </c>
      <c r="F1347" s="37" t="str">
        <f>IF(ORCAMENTOS!G1355="","",ORCAMENTOS!G1355)</f>
        <v>Guilherme</v>
      </c>
      <c r="G1347" s="37" t="str">
        <f>IF(ORCAMENTOS!H1355="","",ORCAMENTOS!H1355)</f>
        <v>Paula</v>
      </c>
      <c r="H1347" s="39">
        <f>IF(ORCAMENTOS!I1355="","",ORCAMENTOS!I1355)</f>
        <v>135748.60999999999</v>
      </c>
      <c r="I1347" s="60" t="str">
        <f>IF(ORCAMENTOS!J1355="","",ORCAMENTOS!J1355)</f>
        <v/>
      </c>
      <c r="J1347" s="40" t="str">
        <f>IF(ORCAMENTOS!L1355="","",ORCAMENTOS!L1355)</f>
        <v>CANCELADO</v>
      </c>
      <c r="K1347" s="34" t="str">
        <f>IF(ORCAMENTOS!M1355="","",ORCAMENTOS!M1355)</f>
        <v>-</v>
      </c>
      <c r="L1347" t="str">
        <f>IF(ORCAMENTOS!R1355="","",ORCAMENTOS!R1355)</f>
        <v>N/E</v>
      </c>
    </row>
    <row r="1348" spans="1:12" ht="15.75" hidden="1" customHeight="1" x14ac:dyDescent="0.25">
      <c r="A1348" s="36">
        <f>IF(ORCAMENTOS!A1356="","",ORCAMENTOS!A1356)</f>
        <v>45870</v>
      </c>
      <c r="B1348" s="46">
        <f>IF(ORCAMENTOS!B1356="","",ORCAMENTOS!B1356)</f>
        <v>1346</v>
      </c>
      <c r="C1348" s="46" t="str">
        <f>IF(ORCAMENTOS!C1356="","",ORCAMENTOS!C1356)</f>
        <v/>
      </c>
      <c r="D1348" s="37" t="str">
        <f>IF(ORCAMENTOS!D1356="","",ORCAMENTOS!D1356)</f>
        <v>COLDTERMICA</v>
      </c>
      <c r="E1348" s="38" t="str">
        <f>IF(ORCAMENTOS!E1356="","",ORCAMENTOS!E1356)</f>
        <v>RIACHUELO PONTA GROSSA PR</v>
      </c>
      <c r="F1348" s="37" t="str">
        <f>IF(ORCAMENTOS!G1356="","",ORCAMENTOS!G1356)</f>
        <v>Gabriel</v>
      </c>
      <c r="G1348" s="37" t="str">
        <f>IF(ORCAMENTOS!H1356="","",ORCAMENTOS!H1356)</f>
        <v>Denis</v>
      </c>
      <c r="H1348" s="39">
        <f>IF(ORCAMENTOS!I1356="","",ORCAMENTOS!I1356)</f>
        <v>48590.98</v>
      </c>
      <c r="I1348" s="60" t="str">
        <f>IF(ORCAMENTOS!J1356="","",ORCAMENTOS!J1356)</f>
        <v/>
      </c>
      <c r="J1348" s="40" t="str">
        <f>IF(ORCAMENTOS!L1356="","",ORCAMENTOS!L1356)</f>
        <v>FECHADO</v>
      </c>
      <c r="K1348" s="34" t="str">
        <f>IF(ORCAMENTOS!M1356="","",ORCAMENTOS!M1356)</f>
        <v>-</v>
      </c>
      <c r="L1348" t="str">
        <f>IF(ORCAMENTOS!R1356="","",ORCAMENTOS!R1356)</f>
        <v>-</v>
      </c>
    </row>
    <row r="1349" spans="1:12" ht="15.75" hidden="1" customHeight="1" x14ac:dyDescent="0.25">
      <c r="A1349" s="36">
        <f>IF(ORCAMENTOS!A1357="","",ORCAMENTOS!A1357)</f>
        <v>45870</v>
      </c>
      <c r="B1349" s="46">
        <f>IF(ORCAMENTOS!B1357="","",ORCAMENTOS!B1357)</f>
        <v>1347</v>
      </c>
      <c r="C1349" s="46" t="str">
        <f>IF(ORCAMENTOS!C1357="","",ORCAMENTOS!C1357)</f>
        <v/>
      </c>
      <c r="D1349" s="37" t="str">
        <f>IF(ORCAMENTOS!D1357="","",ORCAMENTOS!D1357)</f>
        <v>AWA AR CONDICIONADO</v>
      </c>
      <c r="E1349" s="38" t="str">
        <f>IF(ORCAMENTOS!E1357="","",ORCAMENTOS!E1357)</f>
        <v>NOVO ATACAREJO IGARASSU</v>
      </c>
      <c r="F1349" s="37" t="str">
        <f>IF(ORCAMENTOS!G1357="","",ORCAMENTOS!G1357)</f>
        <v>Guilherme</v>
      </c>
      <c r="G1349" s="37" t="str">
        <f>IF(ORCAMENTOS!H1357="","",ORCAMENTOS!H1357)</f>
        <v>Paula</v>
      </c>
      <c r="H1349" s="39">
        <f>IF(ORCAMENTOS!I1357="","",ORCAMENTOS!I1357)</f>
        <v>119257.88</v>
      </c>
      <c r="I1349" s="60" t="str">
        <f>IF(ORCAMENTOS!J1357="","",ORCAMENTOS!J1357)</f>
        <v/>
      </c>
      <c r="J1349" s="40" t="str">
        <f>IF(ORCAMENTOS!L1357="","",ORCAMENTOS!L1357)</f>
        <v>CANCELADO</v>
      </c>
      <c r="K1349" s="34" t="str">
        <f>IF(ORCAMENTOS!M1357="","",ORCAMENTOS!M1357)</f>
        <v>-</v>
      </c>
      <c r="L1349" t="str">
        <f>IF(ORCAMENTOS!R1357="","",ORCAMENTOS!R1357)</f>
        <v>N/E</v>
      </c>
    </row>
    <row r="1350" spans="1:12" ht="15.75" hidden="1" customHeight="1" x14ac:dyDescent="0.25">
      <c r="A1350" s="36">
        <f>IF(ORCAMENTOS!A1358="","",ORCAMENTOS!A1358)</f>
        <v>45870</v>
      </c>
      <c r="B1350" s="46">
        <f>IF(ORCAMENTOS!B1358="","",ORCAMENTOS!B1358)</f>
        <v>1348</v>
      </c>
      <c r="C1350" s="46" t="str">
        <f>IF(ORCAMENTOS!C1358="","",ORCAMENTOS!C1358)</f>
        <v/>
      </c>
      <c r="D1350" s="37" t="str">
        <f>IF(ORCAMENTOS!D1358="","",ORCAMENTOS!D1358)</f>
        <v>ARSERVICE</v>
      </c>
      <c r="E1350" s="38" t="str">
        <f>IF(ORCAMENTOS!E1358="","",ORCAMENTOS!E1358)</f>
        <v>ADITIVO CENTER NORTE</v>
      </c>
      <c r="F1350" s="37" t="str">
        <f>IF(ORCAMENTOS!G1358="","",ORCAMENTOS!G1358)</f>
        <v>Gabriel</v>
      </c>
      <c r="G1350" s="37" t="str">
        <f>IF(ORCAMENTOS!H1358="","",ORCAMENTOS!H1358)</f>
        <v>Joao</v>
      </c>
      <c r="H1350" s="39">
        <f>IF(ORCAMENTOS!I1358="","",ORCAMENTOS!I1358)</f>
        <v>14357.18</v>
      </c>
      <c r="I1350" s="60" t="str">
        <f>IF(ORCAMENTOS!J1358="","",ORCAMENTOS!J1358)</f>
        <v/>
      </c>
      <c r="J1350" s="40" t="str">
        <f>IF(ORCAMENTOS!L1358="","",ORCAMENTOS!L1358)</f>
        <v>FECHADO</v>
      </c>
      <c r="K1350" s="34" t="str">
        <f>IF(ORCAMENTOS!M1358="","",ORCAMENTOS!M1358)</f>
        <v>-</v>
      </c>
      <c r="L1350" t="str">
        <f>IF(ORCAMENTOS!R1358="","",ORCAMENTOS!R1358)</f>
        <v>-</v>
      </c>
    </row>
    <row r="1351" spans="1:12" ht="15.75" hidden="1" customHeight="1" x14ac:dyDescent="0.25">
      <c r="A1351" s="36">
        <f>IF(ORCAMENTOS!A1359="","",ORCAMENTOS!A1359)</f>
        <v>45875</v>
      </c>
      <c r="B1351" s="46">
        <f>IF(ORCAMENTOS!B1359="","",ORCAMENTOS!B1359)</f>
        <v>1349</v>
      </c>
      <c r="C1351" s="46" t="str">
        <f>IF(ORCAMENTOS!C1359="","",ORCAMENTOS!C1359)</f>
        <v/>
      </c>
      <c r="D1351" s="37" t="str">
        <f>IF(ORCAMENTOS!D1359="","",ORCAMENTOS!D1359)</f>
        <v>ECOLOGIC AIR</v>
      </c>
      <c r="E1351" s="38" t="str">
        <f>IF(ORCAMENTOS!E1359="","",ORCAMENTOS!E1359)</f>
        <v>CENTAURO MAX JUNDIAÍ</v>
      </c>
      <c r="F1351" s="37" t="str">
        <f>IF(ORCAMENTOS!G1359="","",ORCAMENTOS!G1359)</f>
        <v>Michel</v>
      </c>
      <c r="G1351" s="37" t="str">
        <f>IF(ORCAMENTOS!H1359="","",ORCAMENTOS!H1359)</f>
        <v>Wellington</v>
      </c>
      <c r="H1351" s="39">
        <f>IF(ORCAMENTOS!I1359="","",ORCAMENTOS!I1359)</f>
        <v>47155.41</v>
      </c>
      <c r="I1351" s="60" t="str">
        <f>IF(ORCAMENTOS!J1359="","",ORCAMENTOS!J1359)</f>
        <v/>
      </c>
      <c r="J1351" s="40" t="str">
        <f>IF(ORCAMENTOS!L1359="","",ORCAMENTOS!L1359)</f>
        <v>FECHADO</v>
      </c>
      <c r="K1351" s="34" t="str">
        <f>IF(ORCAMENTOS!M1359="","",ORCAMENTOS!M1359)</f>
        <v>AGUARDANDO PEDIDO</v>
      </c>
      <c r="L1351" t="str">
        <f>IF(ORCAMENTOS!R1359="","",ORCAMENTOS!R1359)</f>
        <v>-</v>
      </c>
    </row>
    <row r="1352" spans="1:12" ht="15.75" hidden="1" customHeight="1" x14ac:dyDescent="0.25">
      <c r="A1352" s="36">
        <f>IF(ORCAMENTOS!A1360="","",ORCAMENTOS!A1360)</f>
        <v>45890</v>
      </c>
      <c r="B1352" s="46">
        <f>IF(ORCAMENTOS!B1360="","",ORCAMENTOS!B1360)</f>
        <v>1350</v>
      </c>
      <c r="C1352" s="46" t="str">
        <f>IF(ORCAMENTOS!C1360="","",ORCAMENTOS!C1360)</f>
        <v/>
      </c>
      <c r="D1352" s="37" t="str">
        <f>IF(ORCAMENTOS!D1360="","",ORCAMENTOS!D1360)</f>
        <v>INOVECTOR</v>
      </c>
      <c r="E1352" s="38" t="str">
        <f>IF(ORCAMENTOS!E1360="","",ORCAMENTOS!E1360)</f>
        <v>HOSP. ASSUNÇÃO - 3ºPAV</v>
      </c>
      <c r="F1352" s="37" t="str">
        <f>IF(ORCAMENTOS!G1360="","",ORCAMENTOS!G1360)</f>
        <v>Fernando</v>
      </c>
      <c r="G1352" s="37" t="str">
        <f>IF(ORCAMENTOS!H1360="","",ORCAMENTOS!H1360)</f>
        <v>Cristina</v>
      </c>
      <c r="H1352" s="39">
        <f>IF(ORCAMENTOS!I1360="","",ORCAMENTOS!I1360)</f>
        <v>30801.95</v>
      </c>
      <c r="I1352" s="60" t="str">
        <f>IF(ORCAMENTOS!J1360="","",ORCAMENTOS!J1360)</f>
        <v/>
      </c>
      <c r="J1352" s="40" t="str">
        <f>IF(ORCAMENTOS!L1360="","",ORCAMENTOS!L1360)</f>
        <v>CANCELADO</v>
      </c>
      <c r="K1352" s="34" t="str">
        <f>IF(ORCAMENTOS!M1360="","",ORCAMENTOS!M1360)</f>
        <v>-</v>
      </c>
      <c r="L1352" t="str">
        <f>IF(ORCAMENTOS!R1360="","",ORCAMENTOS!R1360)</f>
        <v>-</v>
      </c>
    </row>
    <row r="1353" spans="1:12" ht="15.75" hidden="1" customHeight="1" x14ac:dyDescent="0.25">
      <c r="A1353" s="36">
        <f>IF(ORCAMENTOS!A1361="","",ORCAMENTOS!A1361)</f>
        <v>45873</v>
      </c>
      <c r="B1353" s="46">
        <f>IF(ORCAMENTOS!B1361="","",ORCAMENTOS!B1361)</f>
        <v>1351</v>
      </c>
      <c r="C1353" s="46" t="str">
        <f>IF(ORCAMENTOS!C1361="","",ORCAMENTOS!C1361)</f>
        <v/>
      </c>
      <c r="D1353" s="37" t="str">
        <f>IF(ORCAMENTOS!D1361="","",ORCAMENTOS!D1361)</f>
        <v>PU DUTOS</v>
      </c>
      <c r="E1353" s="38" t="str">
        <f>IF(ORCAMENTOS!E1361="","",ORCAMENTOS!E1361)</f>
        <v>-</v>
      </c>
      <c r="F1353" s="37" t="str">
        <f>IF(ORCAMENTOS!G1361="","",ORCAMENTOS!G1361)</f>
        <v>Gabriel</v>
      </c>
      <c r="G1353" s="37" t="str">
        <f>IF(ORCAMENTOS!H1361="","",ORCAMENTOS!H1361)</f>
        <v>Thiago</v>
      </c>
      <c r="H1353" s="39">
        <f>IF(ORCAMENTOS!I1361="","",ORCAMENTOS!I1361)</f>
        <v>22465.1</v>
      </c>
      <c r="I1353" s="60" t="str">
        <f>IF(ORCAMENTOS!J1361="","",ORCAMENTOS!J1361)</f>
        <v/>
      </c>
      <c r="J1353" s="40" t="str">
        <f>IF(ORCAMENTOS!L1361="","",ORCAMENTOS!L1361)</f>
        <v>FECHADO</v>
      </c>
      <c r="K1353" s="34" t="str">
        <f>IF(ORCAMENTOS!M1361="","",ORCAMENTOS!M1361)</f>
        <v>-</v>
      </c>
      <c r="L1353" t="str">
        <f>IF(ORCAMENTOS!R1361="","",ORCAMENTOS!R1361)</f>
        <v>-</v>
      </c>
    </row>
    <row r="1354" spans="1:12" ht="15.75" hidden="1" customHeight="1" x14ac:dyDescent="0.25">
      <c r="A1354" s="36">
        <f>IF(ORCAMENTOS!A1362="","",ORCAMENTOS!A1362)</f>
        <v>45873</v>
      </c>
      <c r="B1354" s="46">
        <f>IF(ORCAMENTOS!B1362="","",ORCAMENTOS!B1362)</f>
        <v>1352</v>
      </c>
      <c r="C1354" s="46" t="str">
        <f>IF(ORCAMENTOS!C1362="","",ORCAMENTOS!C1362)</f>
        <v/>
      </c>
      <c r="D1354" s="37" t="str">
        <f>IF(ORCAMENTOS!D1362="","",ORCAMENTOS!D1362)</f>
        <v>ATHOS CONSTRUCOES</v>
      </c>
      <c r="E1354" s="38" t="str">
        <f>IF(ORCAMENTOS!E1362="","",ORCAMENTOS!E1362)</f>
        <v>HOSPITAL NOSSA SENHORA DA CONCEIÇÃO - FORTALEZA</v>
      </c>
      <c r="F1354" s="37" t="str">
        <f>IF(ORCAMENTOS!G1362="","",ORCAMENTOS!G1362)</f>
        <v xml:space="preserve">Aldavir </v>
      </c>
      <c r="G1354" s="37" t="str">
        <f>IF(ORCAMENTOS!H1362="","",ORCAMENTOS!H1362)</f>
        <v>Anderson</v>
      </c>
      <c r="H1354" s="39">
        <f>IF(ORCAMENTOS!I1362="","",ORCAMENTOS!I1362)</f>
        <v>37605.769999999997</v>
      </c>
      <c r="I1354" s="60" t="str">
        <f>IF(ORCAMENTOS!J1362="","",ORCAMENTOS!J1362)</f>
        <v/>
      </c>
      <c r="J1354" s="40" t="str">
        <f>IF(ORCAMENTOS!L1362="","",ORCAMENTOS!L1362)</f>
        <v>PERDIDO</v>
      </c>
      <c r="K1354" s="34" t="str">
        <f>IF(ORCAMENTOS!M1362="","",ORCAMENTOS!M1362)</f>
        <v>CHAPA</v>
      </c>
      <c r="L1354" t="str">
        <f>IF(ORCAMENTOS!R1362="","",ORCAMENTOS!R1362)</f>
        <v>-</v>
      </c>
    </row>
    <row r="1355" spans="1:12" ht="15.75" hidden="1" customHeight="1" x14ac:dyDescent="0.25">
      <c r="A1355" s="36">
        <f>IF(ORCAMENTOS!A1363="","",ORCAMENTOS!A1363)</f>
        <v>45873</v>
      </c>
      <c r="B1355" s="46">
        <f>IF(ORCAMENTOS!B1363="","",ORCAMENTOS!B1363)</f>
        <v>1353</v>
      </c>
      <c r="C1355" s="46" t="str">
        <f>IF(ORCAMENTOS!C1363="","",ORCAMENTOS!C1363)</f>
        <v/>
      </c>
      <c r="D1355" s="37" t="str">
        <f>IF(ORCAMENTOS!D1363="","",ORCAMENTOS!D1363)</f>
        <v>AWA AR CONDICIONADO</v>
      </c>
      <c r="E1355" s="38" t="str">
        <f>IF(ORCAMENTOS!E1363="","",ORCAMENTOS!E1363)</f>
        <v>YOUCOM - SH JARAGUA - ARARAQUARA -</v>
      </c>
      <c r="F1355" s="37" t="str">
        <f>IF(ORCAMENTOS!G1363="","",ORCAMENTOS!G1363)</f>
        <v>Guilherme</v>
      </c>
      <c r="G1355" s="37" t="str">
        <f>IF(ORCAMENTOS!H1363="","",ORCAMENTOS!H1363)</f>
        <v>Guilherme</v>
      </c>
      <c r="H1355" s="39">
        <f>IF(ORCAMENTOS!I1363="","",ORCAMENTOS!I1363)</f>
        <v>16588.96</v>
      </c>
      <c r="I1355" s="60" t="str">
        <f>IF(ORCAMENTOS!J1363="","",ORCAMENTOS!J1363)</f>
        <v/>
      </c>
      <c r="J1355" s="40" t="str">
        <f>IF(ORCAMENTOS!L1363="","",ORCAMENTOS!L1363)</f>
        <v>CANCELADO</v>
      </c>
      <c r="K1355" s="34" t="str">
        <f>IF(ORCAMENTOS!M1363="","",ORCAMENTOS!M1363)</f>
        <v>-</v>
      </c>
      <c r="L1355" t="str">
        <f>IF(ORCAMENTOS!R1363="","",ORCAMENTOS!R1363)</f>
        <v>MPU</v>
      </c>
    </row>
    <row r="1356" spans="1:12" ht="15.75" hidden="1" customHeight="1" x14ac:dyDescent="0.25">
      <c r="A1356" s="36">
        <f>IF(ORCAMENTOS!A1364="","",ORCAMENTOS!A1364)</f>
        <v>45873</v>
      </c>
      <c r="B1356" s="46">
        <f>IF(ORCAMENTOS!B1364="","",ORCAMENTOS!B1364)</f>
        <v>1354</v>
      </c>
      <c r="C1356" s="46" t="str">
        <f>IF(ORCAMENTOS!C1364="","",ORCAMENTOS!C1364)</f>
        <v/>
      </c>
      <c r="D1356" s="37" t="str">
        <f>IF(ORCAMENTOS!D1364="","",ORCAMENTOS!D1364)</f>
        <v>FL HVAC</v>
      </c>
      <c r="E1356" s="38" t="str">
        <f>IF(ORCAMENTOS!E1364="","",ORCAMENTOS!E1364)</f>
        <v>DR CONSULTA - SANTO ANDRE - SP</v>
      </c>
      <c r="F1356" s="37" t="str">
        <f>IF(ORCAMENTOS!G1364="","",ORCAMENTOS!G1364)</f>
        <v>Guilherme</v>
      </c>
      <c r="G1356" s="37" t="str">
        <f>IF(ORCAMENTOS!H1364="","",ORCAMENTOS!H1364)</f>
        <v>Filipe</v>
      </c>
      <c r="H1356" s="39">
        <f>IF(ORCAMENTOS!I1364="","",ORCAMENTOS!I1364)</f>
        <v>42166.49</v>
      </c>
      <c r="I1356" s="60" t="str">
        <f>IF(ORCAMENTOS!J1364="","",ORCAMENTOS!J1364)</f>
        <v/>
      </c>
      <c r="J1356" s="40" t="str">
        <f>IF(ORCAMENTOS!L1364="","",ORCAMENTOS!L1364)</f>
        <v>CANCELADO</v>
      </c>
      <c r="K1356" s="34" t="str">
        <f>IF(ORCAMENTOS!M1364="","",ORCAMENTOS!M1364)</f>
        <v>-</v>
      </c>
      <c r="L1356" t="str">
        <f>IF(ORCAMENTOS!R1364="","",ORCAMENTOS!R1364)</f>
        <v>N/E</v>
      </c>
    </row>
    <row r="1357" spans="1:12" ht="15.75" hidden="1" customHeight="1" x14ac:dyDescent="0.25">
      <c r="A1357" s="36">
        <f>IF(ORCAMENTOS!A1365="","",ORCAMENTOS!A1365)</f>
        <v>45873</v>
      </c>
      <c r="B1357" s="46">
        <f>IF(ORCAMENTOS!B1365="","",ORCAMENTOS!B1365)</f>
        <v>1355</v>
      </c>
      <c r="C1357" s="46" t="str">
        <f>IF(ORCAMENTOS!C1365="","",ORCAMENTOS!C1365)</f>
        <v/>
      </c>
      <c r="D1357" s="37" t="str">
        <f>IF(ORCAMENTOS!D1365="","",ORCAMENTOS!D1365)</f>
        <v>BMS ENGENHARIA</v>
      </c>
      <c r="E1357" s="38" t="str">
        <f>IF(ORCAMENTOS!E1365="","",ORCAMENTOS!E1365)</f>
        <v>NISSIN - MEZANINO - FABRICA 3 - IBIUNA - SP</v>
      </c>
      <c r="F1357" s="37" t="str">
        <f>IF(ORCAMENTOS!G1365="","",ORCAMENTOS!G1365)</f>
        <v>Guilherme</v>
      </c>
      <c r="G1357" s="37" t="str">
        <f>IF(ORCAMENTOS!H1365="","",ORCAMENTOS!H1365)</f>
        <v>Matheus</v>
      </c>
      <c r="H1357" s="39">
        <f>IF(ORCAMENTOS!I1365="","",ORCAMENTOS!I1365)</f>
        <v>8120.65</v>
      </c>
      <c r="I1357" s="60" t="str">
        <f>IF(ORCAMENTOS!J1365="","",ORCAMENTOS!J1365)</f>
        <v/>
      </c>
      <c r="J1357" s="40" t="str">
        <f>IF(ORCAMENTOS!L1365="","",ORCAMENTOS!L1365)</f>
        <v>CANCELADO</v>
      </c>
      <c r="K1357" s="34" t="str">
        <f>IF(ORCAMENTOS!M1365="","",ORCAMENTOS!M1365)</f>
        <v>-</v>
      </c>
      <c r="L1357" t="str">
        <f>IF(ORCAMENTOS!R1365="","",ORCAMENTOS!R1365)</f>
        <v>-</v>
      </c>
    </row>
    <row r="1358" spans="1:12" ht="15.75" hidden="1" customHeight="1" x14ac:dyDescent="0.25">
      <c r="A1358" s="36">
        <f>IF(ORCAMENTOS!A1366="","",ORCAMENTOS!A1366)</f>
        <v>45873</v>
      </c>
      <c r="B1358" s="46">
        <f>IF(ORCAMENTOS!B1366="","",ORCAMENTOS!B1366)</f>
        <v>1356</v>
      </c>
      <c r="C1358" s="46" t="str">
        <f>IF(ORCAMENTOS!C1366="","",ORCAMENTOS!C1366)</f>
        <v/>
      </c>
      <c r="D1358" s="37" t="str">
        <f>IF(ORCAMENTOS!D1366="","",ORCAMENTOS!D1366)</f>
        <v>EXAUSTOTEC</v>
      </c>
      <c r="E1358" s="38" t="str">
        <f>IF(ORCAMENTOS!E1366="","",ORCAMENTOS!E1366)</f>
        <v>-</v>
      </c>
      <c r="F1358" s="37" t="str">
        <f>IF(ORCAMENTOS!G1366="","",ORCAMENTOS!G1366)</f>
        <v>Michel</v>
      </c>
      <c r="G1358" s="37" t="str">
        <f>IF(ORCAMENTOS!H1366="","",ORCAMENTOS!H1366)</f>
        <v>Rodolfo</v>
      </c>
      <c r="H1358" s="39">
        <f>IF(ORCAMENTOS!I1366="","",ORCAMENTOS!I1366)</f>
        <v>6076.13</v>
      </c>
      <c r="I1358" s="60" t="str">
        <f>IF(ORCAMENTOS!J1366="","",ORCAMENTOS!J1366)</f>
        <v/>
      </c>
      <c r="J1358" s="40" t="str">
        <f>IF(ORCAMENTOS!L1366="","",ORCAMENTOS!L1366)</f>
        <v>FECHADO</v>
      </c>
      <c r="K1358" s="34" t="str">
        <f>IF(ORCAMENTOS!M1366="","",ORCAMENTOS!M1366)</f>
        <v>-</v>
      </c>
      <c r="L1358" t="str">
        <f>IF(ORCAMENTOS!R1366="","",ORCAMENTOS!R1366)</f>
        <v>-</v>
      </c>
    </row>
    <row r="1359" spans="1:12" ht="15.75" hidden="1" customHeight="1" x14ac:dyDescent="0.25">
      <c r="A1359" s="36">
        <f>IF(ORCAMENTOS!A1367="","",ORCAMENTOS!A1367)</f>
        <v>45873</v>
      </c>
      <c r="B1359" s="46">
        <f>IF(ORCAMENTOS!B1367="","",ORCAMENTOS!B1367)</f>
        <v>1357</v>
      </c>
      <c r="C1359" s="46" t="str">
        <f>IF(ORCAMENTOS!C1367="","",ORCAMENTOS!C1367)</f>
        <v/>
      </c>
      <c r="D1359" s="37" t="str">
        <f>IF(ORCAMENTOS!D1367="","",ORCAMENTOS!D1367)</f>
        <v>IVTEC ENGENHARIA</v>
      </c>
      <c r="E1359" s="38" t="str">
        <f>IF(ORCAMENTOS!E1367="","",ORCAMENTOS!E1367)</f>
        <v>-</v>
      </c>
      <c r="F1359" s="37" t="str">
        <f>IF(ORCAMENTOS!G1367="","",ORCAMENTOS!G1367)</f>
        <v>Gabriel</v>
      </c>
      <c r="G1359" s="37" t="str">
        <f>IF(ORCAMENTOS!H1367="","",ORCAMENTOS!H1367)</f>
        <v>Matheus</v>
      </c>
      <c r="H1359" s="39">
        <f>IF(ORCAMENTOS!I1367="","",ORCAMENTOS!I1367)</f>
        <v>9491.36</v>
      </c>
      <c r="I1359" s="60" t="str">
        <f>IF(ORCAMENTOS!J1367="","",ORCAMENTOS!J1367)</f>
        <v/>
      </c>
      <c r="J1359" s="40" t="str">
        <f>IF(ORCAMENTOS!L1367="","",ORCAMENTOS!L1367)</f>
        <v>FECHADO</v>
      </c>
      <c r="K1359" s="34" t="str">
        <f>IF(ORCAMENTOS!M1367="","",ORCAMENTOS!M1367)</f>
        <v>-</v>
      </c>
      <c r="L1359" t="str">
        <f>IF(ORCAMENTOS!R1367="","",ORCAMENTOS!R1367)</f>
        <v>-</v>
      </c>
    </row>
    <row r="1360" spans="1:12" ht="15.75" hidden="1" customHeight="1" x14ac:dyDescent="0.25">
      <c r="A1360" s="36">
        <f>IF(ORCAMENTOS!A1368="","",ORCAMENTOS!A1368)</f>
        <v>45874</v>
      </c>
      <c r="B1360" s="46">
        <f>IF(ORCAMENTOS!B1368="","",ORCAMENTOS!B1368)</f>
        <v>1358</v>
      </c>
      <c r="C1360" s="46" t="str">
        <f>IF(ORCAMENTOS!C1368="","",ORCAMENTOS!C1368)</f>
        <v/>
      </c>
      <c r="D1360" s="37" t="str">
        <f>IF(ORCAMENTOS!D1368="","",ORCAMENTOS!D1368)</f>
        <v>RECLIMA</v>
      </c>
      <c r="E1360" s="38" t="str">
        <f>IF(ORCAMENTOS!E1368="","",ORCAMENTOS!E1368)</f>
        <v>-</v>
      </c>
      <c r="F1360" s="37" t="str">
        <f>IF(ORCAMENTOS!G1368="","",ORCAMENTOS!G1368)</f>
        <v>Michel</v>
      </c>
      <c r="G1360" s="37" t="str">
        <f>IF(ORCAMENTOS!H1368="","",ORCAMENTOS!H1368)</f>
        <v>Renata</v>
      </c>
      <c r="H1360" s="39">
        <f>IF(ORCAMENTOS!I1368="","",ORCAMENTOS!I1368)</f>
        <v>2034.95</v>
      </c>
      <c r="I1360" s="60" t="str">
        <f>IF(ORCAMENTOS!J1368="","",ORCAMENTOS!J1368)</f>
        <v/>
      </c>
      <c r="J1360" s="40" t="str">
        <f>IF(ORCAMENTOS!L1368="","",ORCAMENTOS!L1368)</f>
        <v>FECHADO</v>
      </c>
      <c r="K1360" s="34" t="str">
        <f>IF(ORCAMENTOS!M1368="","",ORCAMENTOS!M1368)</f>
        <v>-</v>
      </c>
      <c r="L1360" t="str">
        <f>IF(ORCAMENTOS!R1368="","",ORCAMENTOS!R1368)</f>
        <v>-</v>
      </c>
    </row>
    <row r="1361" spans="1:12" ht="15.75" hidden="1" customHeight="1" x14ac:dyDescent="0.25">
      <c r="A1361" s="36">
        <f>IF(ORCAMENTOS!A1369="","",ORCAMENTOS!A1369)</f>
        <v>45874</v>
      </c>
      <c r="B1361" s="46">
        <f>IF(ORCAMENTOS!B1369="","",ORCAMENTOS!B1369)</f>
        <v>1359</v>
      </c>
      <c r="C1361" s="46" t="str">
        <f>IF(ORCAMENTOS!C1369="","",ORCAMENTOS!C1369)</f>
        <v/>
      </c>
      <c r="D1361" s="37" t="str">
        <f>IF(ORCAMENTOS!D1369="","",ORCAMENTOS!D1369)</f>
        <v>AWA AR CONDICIONADO</v>
      </c>
      <c r="E1361" s="38" t="str">
        <f>IF(ORCAMENTOS!E1369="","",ORCAMENTOS!E1369)</f>
        <v>MIX SANTA INES - MA</v>
      </c>
      <c r="F1361" s="37" t="str">
        <f>IF(ORCAMENTOS!G1369="","",ORCAMENTOS!G1369)</f>
        <v>Guilherme</v>
      </c>
      <c r="G1361" s="37" t="str">
        <f>IF(ORCAMENTOS!H1369="","",ORCAMENTOS!H1369)</f>
        <v>Gustavo</v>
      </c>
      <c r="H1361" s="39">
        <f>IF(ORCAMENTOS!I1369="","",ORCAMENTOS!I1369)</f>
        <v>297607.86</v>
      </c>
      <c r="I1361" s="60" t="str">
        <f>IF(ORCAMENTOS!J1369="","",ORCAMENTOS!J1369)</f>
        <v/>
      </c>
      <c r="J1361" s="40" t="str">
        <f>IF(ORCAMENTOS!L1369="","",ORCAMENTOS!L1369)</f>
        <v>CANCELADO</v>
      </c>
      <c r="K1361" s="34" t="str">
        <f>IF(ORCAMENTOS!M1369="","",ORCAMENTOS!M1369)</f>
        <v>-</v>
      </c>
      <c r="L1361" t="str">
        <f>IF(ORCAMENTOS!R1369="","",ORCAMENTOS!R1369)</f>
        <v>N/E</v>
      </c>
    </row>
    <row r="1362" spans="1:12" ht="15.75" hidden="1" customHeight="1" x14ac:dyDescent="0.25">
      <c r="A1362" s="36">
        <f>IF(ORCAMENTOS!A1370="","",ORCAMENTOS!A1370)</f>
        <v>45875</v>
      </c>
      <c r="B1362" s="46">
        <f>IF(ORCAMENTOS!B1370="","",ORCAMENTOS!B1370)</f>
        <v>1360</v>
      </c>
      <c r="C1362" s="46" t="str">
        <f>IF(ORCAMENTOS!C1370="","",ORCAMENTOS!C1370)</f>
        <v/>
      </c>
      <c r="D1362" s="37" t="str">
        <f>IF(ORCAMENTOS!D1370="","",ORCAMENTOS!D1370)</f>
        <v>PROFORT</v>
      </c>
      <c r="E1362" s="38" t="str">
        <f>IF(ORCAMENTOS!E1370="","",ORCAMENTOS!E1370)</f>
        <v>VILA STARTUPS - CAMPINAS - SP</v>
      </c>
      <c r="F1362" s="37" t="str">
        <f>IF(ORCAMENTOS!G1370="","",ORCAMENTOS!G1370)</f>
        <v>Michel</v>
      </c>
      <c r="G1362" s="37" t="str">
        <f>IF(ORCAMENTOS!H1370="","",ORCAMENTOS!H1370)</f>
        <v>Leonardo</v>
      </c>
      <c r="H1362" s="39">
        <f>IF(ORCAMENTOS!I1370="","",ORCAMENTOS!I1370)</f>
        <v>50267.3</v>
      </c>
      <c r="I1362" s="60" t="str">
        <f>IF(ORCAMENTOS!J1370="","",ORCAMENTOS!J1370)</f>
        <v/>
      </c>
      <c r="J1362" s="40" t="str">
        <f>IF(ORCAMENTOS!L1370="","",ORCAMENTOS!L1370)</f>
        <v>CANCELADO</v>
      </c>
      <c r="K1362" s="34" t="str">
        <f>IF(ORCAMENTOS!M1370="","",ORCAMENTOS!M1370)</f>
        <v>-</v>
      </c>
      <c r="L1362" t="str">
        <f>IF(ORCAMENTOS!R1370="","",ORCAMENTOS!R1370)</f>
        <v>CHAPA DE ACO GALVANIZADO</v>
      </c>
    </row>
    <row r="1363" spans="1:12" ht="15.75" hidden="1" customHeight="1" x14ac:dyDescent="0.25">
      <c r="A1363" s="36">
        <f>IF(ORCAMENTOS!A1371="","",ORCAMENTOS!A1371)</f>
        <v>45875</v>
      </c>
      <c r="B1363" s="46">
        <f>IF(ORCAMENTOS!B1371="","",ORCAMENTOS!B1371)</f>
        <v>1361</v>
      </c>
      <c r="C1363" s="46" t="str">
        <f>IF(ORCAMENTOS!C1371="","",ORCAMENTOS!C1371)</f>
        <v/>
      </c>
      <c r="D1363" s="37" t="str">
        <f>IF(ORCAMENTOS!D1371="","",ORCAMENTOS!D1371)</f>
        <v>RM3 ENGENHARIA</v>
      </c>
      <c r="E1363" s="38" t="str">
        <f>IF(ORCAMENTOS!E1371="","",ORCAMENTOS!E1371)</f>
        <v>SICOOB - GUAXUPE MG</v>
      </c>
      <c r="F1363" s="37" t="str">
        <f>IF(ORCAMENTOS!G1371="","",ORCAMENTOS!G1371)</f>
        <v>Guilherme</v>
      </c>
      <c r="G1363" s="37" t="str">
        <f>IF(ORCAMENTOS!H1371="","",ORCAMENTOS!H1371)</f>
        <v>Lenah</v>
      </c>
      <c r="H1363" s="39">
        <f>IF(ORCAMENTOS!I1371="","",ORCAMENTOS!I1371)</f>
        <v>239856.94</v>
      </c>
      <c r="I1363" s="60" t="str">
        <f>IF(ORCAMENTOS!J1371="","",ORCAMENTOS!J1371)</f>
        <v/>
      </c>
      <c r="J1363" s="40" t="str">
        <f>IF(ORCAMENTOS!L1371="","",ORCAMENTOS!L1371)</f>
        <v>CANCELADO</v>
      </c>
      <c r="K1363" s="34" t="str">
        <f>IF(ORCAMENTOS!M1371="","",ORCAMENTOS!M1371)</f>
        <v>-</v>
      </c>
      <c r="L1363" t="str">
        <f>IF(ORCAMENTOS!R1371="","",ORCAMENTOS!R1371)</f>
        <v>-</v>
      </c>
    </row>
    <row r="1364" spans="1:12" ht="15.75" hidden="1" customHeight="1" x14ac:dyDescent="0.25">
      <c r="A1364" s="36">
        <f>IF(ORCAMENTOS!A1372="","",ORCAMENTOS!A1372)</f>
        <v>45875</v>
      </c>
      <c r="B1364" s="46">
        <f>IF(ORCAMENTOS!B1372="","",ORCAMENTOS!B1372)</f>
        <v>1362</v>
      </c>
      <c r="C1364" s="46" t="str">
        <f>IF(ORCAMENTOS!C1372="","",ORCAMENTOS!C1372)</f>
        <v/>
      </c>
      <c r="D1364" s="37" t="str">
        <f>IF(ORCAMENTOS!D1372="","",ORCAMENTOS!D1372)</f>
        <v>NEWSET</v>
      </c>
      <c r="E1364" s="38" t="str">
        <f>IF(ORCAMENTOS!E1372="","",ORCAMENTOS!E1372)</f>
        <v>HOSPITAL SÃO LUIZ ITAIM</v>
      </c>
      <c r="F1364" s="37" t="str">
        <f>IF(ORCAMENTOS!G1372="","",ORCAMENTOS!G1372)</f>
        <v xml:space="preserve">Aldavir </v>
      </c>
      <c r="G1364" s="37" t="str">
        <f>IF(ORCAMENTOS!H1372="","",ORCAMENTOS!H1372)</f>
        <v>Tassya</v>
      </c>
      <c r="H1364" s="39">
        <f>IF(ORCAMENTOS!I1372="","",ORCAMENTOS!I1372)</f>
        <v>1975.3</v>
      </c>
      <c r="I1364" s="60" t="str">
        <f>IF(ORCAMENTOS!J1372="","",ORCAMENTOS!J1372)</f>
        <v/>
      </c>
      <c r="J1364" s="40" t="str">
        <f>IF(ORCAMENTOS!L1372="","",ORCAMENTOS!L1372)</f>
        <v>FECHADO</v>
      </c>
      <c r="K1364" s="34" t="str">
        <f>IF(ORCAMENTOS!M1372="","",ORCAMENTOS!M1372)</f>
        <v>-</v>
      </c>
      <c r="L1364" t="str">
        <f>IF(ORCAMENTOS!R1372="","",ORCAMENTOS!R1372)</f>
        <v>-</v>
      </c>
    </row>
    <row r="1365" spans="1:12" ht="15.75" hidden="1" customHeight="1" x14ac:dyDescent="0.25">
      <c r="A1365" s="36">
        <f>IF(ORCAMENTOS!A1373="","",ORCAMENTOS!A1373)</f>
        <v>45875</v>
      </c>
      <c r="B1365" s="46">
        <f>IF(ORCAMENTOS!B1373="","",ORCAMENTOS!B1373)</f>
        <v>1363</v>
      </c>
      <c r="C1365" s="46" t="str">
        <f>IF(ORCAMENTOS!C1373="","",ORCAMENTOS!C1373)</f>
        <v/>
      </c>
      <c r="D1365" s="37" t="str">
        <f>IF(ORCAMENTOS!D1373="","",ORCAMENTOS!D1373)</f>
        <v>AMS INSTALACOES</v>
      </c>
      <c r="E1365" s="38" t="str">
        <f>IF(ORCAMENTOS!E1373="","",ORCAMENTOS!E1373)</f>
        <v>ASSAI - UTINGA - SANTO ANDRE- SP - ADM</v>
      </c>
      <c r="F1365" s="37" t="str">
        <f>IF(ORCAMENTOS!G1373="","",ORCAMENTOS!G1373)</f>
        <v>Gabriel</v>
      </c>
      <c r="G1365" s="37" t="str">
        <f>IF(ORCAMENTOS!H1373="","",ORCAMENTOS!H1373)</f>
        <v>Albertino</v>
      </c>
      <c r="H1365" s="39">
        <f>IF(ORCAMENTOS!I1373="","",ORCAMENTOS!I1373)</f>
        <v>59653.97</v>
      </c>
      <c r="I1365" s="60" t="str">
        <f>IF(ORCAMENTOS!J1373="","",ORCAMENTOS!J1373)</f>
        <v/>
      </c>
      <c r="J1365" s="40" t="str">
        <f>IF(ORCAMENTOS!L1373="","",ORCAMENTOS!L1373)</f>
        <v>CANCELADO</v>
      </c>
      <c r="K1365" s="34" t="str">
        <f>IF(ORCAMENTOS!M1373="","",ORCAMENTOS!M1373)</f>
        <v>-</v>
      </c>
      <c r="L1365" t="str">
        <f>IF(ORCAMENTOS!R1373="","",ORCAMENTOS!R1373)</f>
        <v>N/E</v>
      </c>
    </row>
    <row r="1366" spans="1:12" ht="15.75" hidden="1" customHeight="1" x14ac:dyDescent="0.25">
      <c r="A1366" s="36">
        <f>IF(ORCAMENTOS!A1374="","",ORCAMENTOS!A1374)</f>
        <v>45875</v>
      </c>
      <c r="B1366" s="46">
        <f>IF(ORCAMENTOS!B1374="","",ORCAMENTOS!B1374)</f>
        <v>1364</v>
      </c>
      <c r="C1366" s="46" t="str">
        <f>IF(ORCAMENTOS!C1374="","",ORCAMENTOS!C1374)</f>
        <v/>
      </c>
      <c r="D1366" s="37" t="str">
        <f>IF(ORCAMENTOS!D1374="","",ORCAMENTOS!D1374)</f>
        <v>AMS INSTALACOES</v>
      </c>
      <c r="E1366" s="38" t="str">
        <f>IF(ORCAMENTOS!E1374="","",ORCAMENTOS!E1374)</f>
        <v>ASSAI - UTINGA - SANTO ANDRE- SP - SALAO DE VENDAS</v>
      </c>
      <c r="F1366" s="37" t="str">
        <f>IF(ORCAMENTOS!G1374="","",ORCAMENTOS!G1374)</f>
        <v>Gabriel</v>
      </c>
      <c r="G1366" s="37" t="str">
        <f>IF(ORCAMENTOS!H1374="","",ORCAMENTOS!H1374)</f>
        <v>Albertino</v>
      </c>
      <c r="H1366" s="39">
        <f>IF(ORCAMENTOS!I1374="","",ORCAMENTOS!I1374)</f>
        <v>300273.89</v>
      </c>
      <c r="I1366" s="60" t="str">
        <f>IF(ORCAMENTOS!J1374="","",ORCAMENTOS!J1374)</f>
        <v/>
      </c>
      <c r="J1366" s="40" t="str">
        <f>IF(ORCAMENTOS!L1374="","",ORCAMENTOS!L1374)</f>
        <v>CANCELADO</v>
      </c>
      <c r="K1366" s="34" t="str">
        <f>IF(ORCAMENTOS!M1374="","",ORCAMENTOS!M1374)</f>
        <v>-</v>
      </c>
      <c r="L1366" t="str">
        <f>IF(ORCAMENTOS!R1374="","",ORCAMENTOS!R1374)</f>
        <v>N/E</v>
      </c>
    </row>
    <row r="1367" spans="1:12" ht="15.75" hidden="1" customHeight="1" x14ac:dyDescent="0.25">
      <c r="A1367" s="36">
        <f>IF(ORCAMENTOS!A1375="","",ORCAMENTOS!A1375)</f>
        <v>45875</v>
      </c>
      <c r="B1367" s="46">
        <f>IF(ORCAMENTOS!B1375="","",ORCAMENTOS!B1375)</f>
        <v>1365</v>
      </c>
      <c r="C1367" s="46" t="str">
        <f>IF(ORCAMENTOS!C1375="","",ORCAMENTOS!C1375)</f>
        <v/>
      </c>
      <c r="D1367" s="37" t="str">
        <f>IF(ORCAMENTOS!D1375="","",ORCAMENTOS!D1375)</f>
        <v>NEWSET</v>
      </c>
      <c r="E1367" s="38" t="str">
        <f>IF(ORCAMENTOS!E1375="","",ORCAMENTOS!E1375)</f>
        <v>JPR DASA</v>
      </c>
      <c r="F1367" s="37" t="str">
        <f>IF(ORCAMENTOS!G1375="","",ORCAMENTOS!G1375)</f>
        <v xml:space="preserve">Aldavir </v>
      </c>
      <c r="G1367" s="37" t="str">
        <f>IF(ORCAMENTOS!H1375="","",ORCAMENTOS!H1375)</f>
        <v>Tassya</v>
      </c>
      <c r="H1367" s="39">
        <f>IF(ORCAMENTOS!I1375="","",ORCAMENTOS!I1375)</f>
        <v>226795.31</v>
      </c>
      <c r="I1367" s="60" t="str">
        <f>IF(ORCAMENTOS!J1375="","",ORCAMENTOS!J1375)</f>
        <v/>
      </c>
      <c r="J1367" s="40" t="str">
        <f>IF(ORCAMENTOS!L1375="","",ORCAMENTOS!L1375)</f>
        <v>CANCELADO</v>
      </c>
      <c r="K1367" s="34" t="str">
        <f>IF(ORCAMENTOS!M1375="","",ORCAMENTOS!M1375)</f>
        <v>CHAPA</v>
      </c>
      <c r="L1367" t="str">
        <f>IF(ORCAMENTOS!R1375="","",ORCAMENTOS!R1375)</f>
        <v>-</v>
      </c>
    </row>
    <row r="1368" spans="1:12" ht="15.75" hidden="1" customHeight="1" x14ac:dyDescent="0.25">
      <c r="A1368" s="36">
        <f>IF(ORCAMENTOS!A1376="","",ORCAMENTOS!A1376)</f>
        <v>45875</v>
      </c>
      <c r="B1368" s="46">
        <f>IF(ORCAMENTOS!B1376="","",ORCAMENTOS!B1376)</f>
        <v>1366</v>
      </c>
      <c r="C1368" s="46" t="str">
        <f>IF(ORCAMENTOS!C1376="","",ORCAMENTOS!C1376)</f>
        <v/>
      </c>
      <c r="D1368" s="37" t="str">
        <f>IF(ORCAMENTOS!D1376="","",ORCAMENTOS!D1376)</f>
        <v>ARCLEAN</v>
      </c>
      <c r="E1368" s="38" t="str">
        <f>IF(ORCAMENTOS!E1376="","",ORCAMENTOS!E1376)</f>
        <v>CSM TUBE DO BRASIL</v>
      </c>
      <c r="F1368" s="37" t="str">
        <f>IF(ORCAMENTOS!G1376="","",ORCAMENTOS!G1376)</f>
        <v xml:space="preserve">Aldavir </v>
      </c>
      <c r="G1368" s="37" t="str">
        <f>IF(ORCAMENTOS!H1376="","",ORCAMENTOS!H1376)</f>
        <v>Melanie</v>
      </c>
      <c r="H1368" s="39">
        <f>IF(ORCAMENTOS!I1376="","",ORCAMENTOS!I1376)</f>
        <v>3504.67</v>
      </c>
      <c r="I1368" s="60" t="str">
        <f>IF(ORCAMENTOS!J1376="","",ORCAMENTOS!J1376)</f>
        <v/>
      </c>
      <c r="J1368" s="40" t="str">
        <f>IF(ORCAMENTOS!L1376="","",ORCAMENTOS!L1376)</f>
        <v>FECHADO</v>
      </c>
      <c r="K1368" s="34" t="str">
        <f>IF(ORCAMENTOS!M1376="","",ORCAMENTOS!M1376)</f>
        <v>-</v>
      </c>
      <c r="L1368" t="str">
        <f>IF(ORCAMENTOS!R1376="","",ORCAMENTOS!R1376)</f>
        <v>N/E</v>
      </c>
    </row>
    <row r="1369" spans="1:12" ht="15.75" hidden="1" customHeight="1" x14ac:dyDescent="0.25">
      <c r="A1369" s="36">
        <f>IF(ORCAMENTOS!A1377="","",ORCAMENTOS!A1377)</f>
        <v>45875</v>
      </c>
      <c r="B1369" s="46">
        <f>IF(ORCAMENTOS!B1377="","",ORCAMENTOS!B1377)</f>
        <v>1367</v>
      </c>
      <c r="C1369" s="46" t="str">
        <f>IF(ORCAMENTOS!C1377="","",ORCAMENTOS!C1377)</f>
        <v/>
      </c>
      <c r="D1369" s="37" t="str">
        <f>IF(ORCAMENTOS!D1377="","",ORCAMENTOS!D1377)</f>
        <v>LUCIANO DA CRUZ</v>
      </c>
      <c r="E1369" s="38" t="str">
        <f>IF(ORCAMENTOS!E1377="","",ORCAMENTOS!E1377)</f>
        <v>NIKE - BALNEARIO SHOPPING - SC</v>
      </c>
      <c r="F1369" s="37" t="str">
        <f>IF(ORCAMENTOS!G1377="","",ORCAMENTOS!G1377)</f>
        <v>Gabriel</v>
      </c>
      <c r="G1369" s="37" t="str">
        <f>IF(ORCAMENTOS!H1377="","",ORCAMENTOS!H1377)</f>
        <v>Luciano</v>
      </c>
      <c r="H1369" s="39">
        <f>IF(ORCAMENTOS!I1377="","",ORCAMENTOS!I1377)</f>
        <v>63495.68</v>
      </c>
      <c r="I1369" s="60" t="str">
        <f>IF(ORCAMENTOS!J1377="","",ORCAMENTOS!J1377)</f>
        <v/>
      </c>
      <c r="J1369" s="40" t="str">
        <f>IF(ORCAMENTOS!L1377="","",ORCAMENTOS!L1377)</f>
        <v>COMPRA</v>
      </c>
      <c r="K1369" s="34" t="str">
        <f>IF(ORCAMENTOS!M1377="","",ORCAMENTOS!M1377)</f>
        <v>ORCAMENTO ENCAMINHADA AO CLIENTE PARA SEGUIR COM O PEDIDO</v>
      </c>
      <c r="L1369" t="str">
        <f>IF(ORCAMENTOS!R1377="","",ORCAMENTOS!R1377)</f>
        <v>-</v>
      </c>
    </row>
    <row r="1370" spans="1:12" ht="15.75" hidden="1" customHeight="1" x14ac:dyDescent="0.25">
      <c r="A1370" s="36">
        <f>IF(ORCAMENTOS!A1378="","",ORCAMENTOS!A1378)</f>
        <v>45875</v>
      </c>
      <c r="B1370" s="46">
        <f>IF(ORCAMENTOS!B1378="","",ORCAMENTOS!B1378)</f>
        <v>1368</v>
      </c>
      <c r="C1370" s="46" t="str">
        <f>IF(ORCAMENTOS!C1378="","",ORCAMENTOS!C1378)</f>
        <v/>
      </c>
      <c r="D1370" s="37" t="str">
        <f>IF(ORCAMENTOS!D1378="","",ORCAMENTOS!D1378)</f>
        <v>HAITEC AR CONDICIONADO</v>
      </c>
      <c r="E1370" s="38" t="str">
        <f>IF(ORCAMENTOS!E1378="","",ORCAMENTOS!E1378)</f>
        <v>SHOPPING JK IGUATEM</v>
      </c>
      <c r="F1370" s="37" t="str">
        <f>IF(ORCAMENTOS!G1378="","",ORCAMENTOS!G1378)</f>
        <v>Michel</v>
      </c>
      <c r="G1370" s="37" t="str">
        <f>IF(ORCAMENTOS!H1378="","",ORCAMENTOS!H1378)</f>
        <v>Nilton</v>
      </c>
      <c r="H1370" s="39">
        <f>IF(ORCAMENTOS!I1378="","",ORCAMENTOS!I1378)</f>
        <v>9901.68</v>
      </c>
      <c r="I1370" s="60" t="str">
        <f>IF(ORCAMENTOS!J1378="","",ORCAMENTOS!J1378)</f>
        <v/>
      </c>
      <c r="J1370" s="40" t="str">
        <f>IF(ORCAMENTOS!L1378="","",ORCAMENTOS!L1378)</f>
        <v>CANCELADO</v>
      </c>
      <c r="K1370" s="34" t="str">
        <f>IF(ORCAMENTOS!M1378="","",ORCAMENTOS!M1378)</f>
        <v>-</v>
      </c>
      <c r="L1370" t="str">
        <f>IF(ORCAMENTOS!R1378="","",ORCAMENTOS!R1378)</f>
        <v>CHAPA DE ACO GALVANIZADO</v>
      </c>
    </row>
    <row r="1371" spans="1:12" ht="15.75" hidden="1" customHeight="1" x14ac:dyDescent="0.25">
      <c r="A1371" s="36">
        <f>IF(ORCAMENTOS!A1379="","",ORCAMENTOS!A1379)</f>
        <v>45875</v>
      </c>
      <c r="B1371" s="46">
        <f>IF(ORCAMENTOS!B1379="","",ORCAMENTOS!B1379)</f>
        <v>1369</v>
      </c>
      <c r="C1371" s="46" t="str">
        <f>IF(ORCAMENTOS!C1379="","",ORCAMENTOS!C1379)</f>
        <v/>
      </c>
      <c r="D1371" s="37" t="str">
        <f>IF(ORCAMENTOS!D1379="","",ORCAMENTOS!D1379)</f>
        <v>AIRPLAN</v>
      </c>
      <c r="E1371" s="38" t="str">
        <f>IF(ORCAMENTOS!E1379="","",ORCAMENTOS!E1379)</f>
        <v>YOUCOM - SH JARAGUA - ARARAQUARA - SP</v>
      </c>
      <c r="F1371" s="37" t="str">
        <f>IF(ORCAMENTOS!G1379="","",ORCAMENTOS!G1379)</f>
        <v>Guilherme</v>
      </c>
      <c r="G1371" s="37" t="str">
        <f>IF(ORCAMENTOS!H1379="","",ORCAMENTOS!H1379)</f>
        <v>Laercio</v>
      </c>
      <c r="H1371" s="39">
        <f>IF(ORCAMENTOS!I1379="","",ORCAMENTOS!I1379)</f>
        <v>16588.96</v>
      </c>
      <c r="I1371" s="60" t="str">
        <f>IF(ORCAMENTOS!J1379="","",ORCAMENTOS!J1379)</f>
        <v/>
      </c>
      <c r="J1371" s="40" t="str">
        <f>IF(ORCAMENTOS!L1379="","",ORCAMENTOS!L1379)</f>
        <v>CANCELADO</v>
      </c>
      <c r="K1371" s="34" t="str">
        <f>IF(ORCAMENTOS!M1379="","",ORCAMENTOS!M1379)</f>
        <v>-</v>
      </c>
      <c r="L1371" t="str">
        <f>IF(ORCAMENTOS!R1379="","",ORCAMENTOS!R1379)</f>
        <v>MPU</v>
      </c>
    </row>
    <row r="1372" spans="1:12" ht="15.75" hidden="1" customHeight="1" x14ac:dyDescent="0.25">
      <c r="A1372" s="36">
        <f>IF(ORCAMENTOS!A1380="","",ORCAMENTOS!A1380)</f>
        <v>45875</v>
      </c>
      <c r="B1372" s="46">
        <f>IF(ORCAMENTOS!B1380="","",ORCAMENTOS!B1380)</f>
        <v>1370</v>
      </c>
      <c r="C1372" s="46" t="str">
        <f>IF(ORCAMENTOS!C1380="","",ORCAMENTOS!C1380)</f>
        <v/>
      </c>
      <c r="D1372" s="37" t="str">
        <f>IF(ORCAMENTOS!D1380="","",ORCAMENTOS!D1380)</f>
        <v>AIRPLAN</v>
      </c>
      <c r="E1372" s="38" t="str">
        <f>IF(ORCAMENTOS!E1380="","",ORCAMENTOS!E1380)</f>
        <v>YOUCOM - AMERICANA MALL</v>
      </c>
      <c r="F1372" s="37" t="str">
        <f>IF(ORCAMENTOS!G1380="","",ORCAMENTOS!G1380)</f>
        <v>Guilherme</v>
      </c>
      <c r="G1372" s="37" t="str">
        <f>IF(ORCAMENTOS!H1380="","",ORCAMENTOS!H1380)</f>
        <v>Laercio</v>
      </c>
      <c r="H1372" s="39">
        <f>IF(ORCAMENTOS!I1380="","",ORCAMENTOS!I1380)</f>
        <v>11764.86</v>
      </c>
      <c r="I1372" s="60" t="str">
        <f>IF(ORCAMENTOS!J1380="","",ORCAMENTOS!J1380)</f>
        <v/>
      </c>
      <c r="J1372" s="40" t="str">
        <f>IF(ORCAMENTOS!L1380="","",ORCAMENTOS!L1380)</f>
        <v>CANCELADO</v>
      </c>
      <c r="K1372" s="34" t="str">
        <f>IF(ORCAMENTOS!M1380="","",ORCAMENTOS!M1380)</f>
        <v>-</v>
      </c>
      <c r="L1372" t="str">
        <f>IF(ORCAMENTOS!R1380="","",ORCAMENTOS!R1380)</f>
        <v>MPU</v>
      </c>
    </row>
    <row r="1373" spans="1:12" ht="15.75" hidden="1" customHeight="1" x14ac:dyDescent="0.25">
      <c r="A1373" s="36">
        <f>IF(ORCAMENTOS!A1381="","",ORCAMENTOS!A1381)</f>
        <v>45876</v>
      </c>
      <c r="B1373" s="46">
        <f>IF(ORCAMENTOS!B1381="","",ORCAMENTOS!B1381)</f>
        <v>1371</v>
      </c>
      <c r="C1373" s="46" t="str">
        <f>IF(ORCAMENTOS!C1381="","",ORCAMENTOS!C1381)</f>
        <v/>
      </c>
      <c r="D1373" s="37" t="str">
        <f>IF(ORCAMENTOS!D1381="","",ORCAMENTOS!D1381)</f>
        <v>NOSSO AR</v>
      </c>
      <c r="E1373" s="38" t="str">
        <f>IF(ORCAMENTOS!E1381="","",ORCAMENTOS!E1381)</f>
        <v>Joanin São Caetano Loja 03</v>
      </c>
      <c r="F1373" s="37" t="str">
        <f>IF(ORCAMENTOS!G1381="","",ORCAMENTOS!G1381)</f>
        <v>Gabriel</v>
      </c>
      <c r="G1373" s="37" t="str">
        <f>IF(ORCAMENTOS!H1381="","",ORCAMENTOS!H1381)</f>
        <v>Gabrielle</v>
      </c>
      <c r="H1373" s="39">
        <f>IF(ORCAMENTOS!I1381="","",ORCAMENTOS!I1381)</f>
        <v>90970.44</v>
      </c>
      <c r="I1373" s="60" t="str">
        <f>IF(ORCAMENTOS!J1381="","",ORCAMENTOS!J1381)</f>
        <v/>
      </c>
      <c r="J1373" s="40" t="str">
        <f>IF(ORCAMENTOS!L1381="","",ORCAMENTOS!L1381)</f>
        <v>FECHADO</v>
      </c>
      <c r="K1373" s="34" t="str">
        <f>IF(ORCAMENTOS!M1381="","",ORCAMENTOS!M1381)</f>
        <v>-</v>
      </c>
      <c r="L1373" t="str">
        <f>IF(ORCAMENTOS!R1381="","",ORCAMENTOS!R1381)</f>
        <v>-</v>
      </c>
    </row>
    <row r="1374" spans="1:12" ht="15.75" hidden="1" customHeight="1" x14ac:dyDescent="0.25">
      <c r="A1374" s="36">
        <f>IF(ORCAMENTOS!A1382="","",ORCAMENTOS!A1382)</f>
        <v>45876</v>
      </c>
      <c r="B1374" s="46">
        <f>IF(ORCAMENTOS!B1382="","",ORCAMENTOS!B1382)</f>
        <v>1372</v>
      </c>
      <c r="C1374" s="46" t="str">
        <f>IF(ORCAMENTOS!C1382="","",ORCAMENTOS!C1382)</f>
        <v/>
      </c>
      <c r="D1374" s="37" t="str">
        <f>IF(ORCAMENTOS!D1382="","",ORCAMENTOS!D1382)</f>
        <v>MZAA ENGENHARIA</v>
      </c>
      <c r="E1374" s="38" t="str">
        <f>IF(ORCAMENTOS!E1382="","",ORCAMENTOS!E1382)</f>
        <v>ACADEMIA</v>
      </c>
      <c r="F1374" s="37" t="str">
        <f>IF(ORCAMENTOS!G1382="","",ORCAMENTOS!G1382)</f>
        <v xml:space="preserve">Aldavir </v>
      </c>
      <c r="G1374" s="37" t="str">
        <f>IF(ORCAMENTOS!H1382="","",ORCAMENTOS!H1382)</f>
        <v>Afonso</v>
      </c>
      <c r="H1374" s="39">
        <f>IF(ORCAMENTOS!I1382="","",ORCAMENTOS!I1382)</f>
        <v>14114.74</v>
      </c>
      <c r="I1374" s="60" t="str">
        <f>IF(ORCAMENTOS!J1382="","",ORCAMENTOS!J1382)</f>
        <v/>
      </c>
      <c r="J1374" s="40" t="str">
        <f>IF(ORCAMENTOS!L1382="","",ORCAMENTOS!L1382)</f>
        <v>CANCELADO</v>
      </c>
      <c r="K1374" s="34" t="str">
        <f>IF(ORCAMENTOS!M1382="","",ORCAMENTOS!M1382)</f>
        <v>-</v>
      </c>
      <c r="L1374" t="str">
        <f>IF(ORCAMENTOS!R1382="","",ORCAMENTOS!R1382)</f>
        <v>-</v>
      </c>
    </row>
    <row r="1375" spans="1:12" ht="15.75" hidden="1" customHeight="1" x14ac:dyDescent="0.25">
      <c r="A1375" s="36">
        <f>IF(ORCAMENTOS!A1383="","",ORCAMENTOS!A1383)</f>
        <v>45876</v>
      </c>
      <c r="B1375" s="46">
        <f>IF(ORCAMENTOS!B1383="","",ORCAMENTOS!B1383)</f>
        <v>1373</v>
      </c>
      <c r="C1375" s="46" t="str">
        <f>IF(ORCAMENTOS!C1383="","",ORCAMENTOS!C1383)</f>
        <v/>
      </c>
      <c r="D1375" s="37" t="str">
        <f>IF(ORCAMENTOS!D1383="","",ORCAMENTOS!D1383)</f>
        <v>GELOMAC</v>
      </c>
      <c r="E1375" s="38" t="str">
        <f>IF(ORCAMENTOS!E1383="","",ORCAMENTOS!E1383)</f>
        <v>ACADEMIA SANTOS - SP</v>
      </c>
      <c r="F1375" s="37" t="str">
        <f>IF(ORCAMENTOS!G1383="","",ORCAMENTOS!G1383)</f>
        <v>Gabriel</v>
      </c>
      <c r="G1375" s="37" t="str">
        <f>IF(ORCAMENTOS!H1383="","",ORCAMENTOS!H1383)</f>
        <v>Fabio</v>
      </c>
      <c r="H1375" s="39">
        <f>IF(ORCAMENTOS!I1383="","",ORCAMENTOS!I1383)</f>
        <v>8270.3799999999992</v>
      </c>
      <c r="I1375" s="60" t="str">
        <f>IF(ORCAMENTOS!J1383="","",ORCAMENTOS!J1383)</f>
        <v/>
      </c>
      <c r="J1375" s="40" t="str">
        <f>IF(ORCAMENTOS!L1383="","",ORCAMENTOS!L1383)</f>
        <v>CANCELADO</v>
      </c>
      <c r="K1375" s="34" t="str">
        <f>IF(ORCAMENTOS!M1383="","",ORCAMENTOS!M1383)</f>
        <v>-</v>
      </c>
      <c r="L1375" t="str">
        <f>IF(ORCAMENTOS!R1383="","",ORCAMENTOS!R1383)</f>
        <v>MPU</v>
      </c>
    </row>
    <row r="1376" spans="1:12" ht="15.75" hidden="1" customHeight="1" x14ac:dyDescent="0.25">
      <c r="A1376" s="36">
        <f>IF(ORCAMENTOS!A1384="","",ORCAMENTOS!A1384)</f>
        <v>45876</v>
      </c>
      <c r="B1376" s="46">
        <f>IF(ORCAMENTOS!B1384="","",ORCAMENTOS!B1384)</f>
        <v>1374</v>
      </c>
      <c r="C1376" s="46" t="str">
        <f>IF(ORCAMENTOS!C1384="","",ORCAMENTOS!C1384)</f>
        <v/>
      </c>
      <c r="D1376" s="37" t="str">
        <f>IF(ORCAMENTOS!D1384="","",ORCAMENTOS!D1384)</f>
        <v>SESIL AR</v>
      </c>
      <c r="E1376" s="38" t="str">
        <f>IF(ORCAMENTOS!E1384="","",ORCAMENTOS!E1384)</f>
        <v>SMART FIT - D' AVO - SÃO MIGUEL</v>
      </c>
      <c r="F1376" s="37" t="str">
        <f>IF(ORCAMENTOS!G1384="","",ORCAMENTOS!G1384)</f>
        <v>Fernando</v>
      </c>
      <c r="G1376" s="37" t="str">
        <f>IF(ORCAMENTOS!H1384="","",ORCAMENTOS!H1384)</f>
        <v>Wagner</v>
      </c>
      <c r="H1376" s="39">
        <f>IF(ORCAMENTOS!I1384="","",ORCAMENTOS!I1384)</f>
        <v>72469.45</v>
      </c>
      <c r="I1376" s="60" t="str">
        <f>IF(ORCAMENTOS!J1384="","",ORCAMENTOS!J1384)</f>
        <v/>
      </c>
      <c r="J1376" s="40" t="str">
        <f>IF(ORCAMENTOS!L1384="","",ORCAMENTOS!L1384)</f>
        <v>FECHADO</v>
      </c>
      <c r="K1376" s="34" t="str">
        <f>IF(ORCAMENTOS!M1384="","",ORCAMENTOS!M1384)</f>
        <v>-</v>
      </c>
      <c r="L1376" t="str">
        <f>IF(ORCAMENTOS!R1384="","",ORCAMENTOS!R1384)</f>
        <v>MPU</v>
      </c>
    </row>
    <row r="1377" spans="1:12" ht="15.75" hidden="1" customHeight="1" x14ac:dyDescent="0.25">
      <c r="A1377" s="36">
        <f>IF(ORCAMENTOS!A1385="","",ORCAMENTOS!A1385)</f>
        <v>46037</v>
      </c>
      <c r="B1377" s="46">
        <f>IF(ORCAMENTOS!B1385="","",ORCAMENTOS!B1385)</f>
        <v>1375</v>
      </c>
      <c r="C1377" s="46" t="str">
        <f>IF(ORCAMENTOS!C1385="","",ORCAMENTOS!C1385)</f>
        <v/>
      </c>
      <c r="D1377" s="37" t="str">
        <f>IF(ORCAMENTOS!D1385="","",ORCAMENTOS!D1385)</f>
        <v>AWA AR CONDICIONADO</v>
      </c>
      <c r="E1377" s="38" t="str">
        <f>IF(ORCAMENTOS!E1385="","",ORCAMENTOS!E1385)</f>
        <v>TENDA ATACADO - TAUBATE - SP</v>
      </c>
      <c r="F1377" s="37" t="str">
        <f>IF(ORCAMENTOS!G1385="","",ORCAMENTOS!G1385)</f>
        <v>Guilherme</v>
      </c>
      <c r="G1377" s="37" t="str">
        <f>IF(ORCAMENTOS!H1385="","",ORCAMENTOS!H1385)</f>
        <v>Marcela</v>
      </c>
      <c r="H1377" s="39">
        <f>IF(ORCAMENTOS!I1385="","",ORCAMENTOS!I1385)</f>
        <v>187494.05</v>
      </c>
      <c r="I1377" s="60" t="str">
        <f>IF(ORCAMENTOS!J1385="","",ORCAMENTOS!J1385)</f>
        <v/>
      </c>
      <c r="J1377" s="40" t="str">
        <f>IF(ORCAMENTOS!L1385="","",ORCAMENTOS!L1385)</f>
        <v>PERDIDO</v>
      </c>
      <c r="K1377" s="34" t="str">
        <f>IF(ORCAMENTOS!M1385="","",ORCAMENTOS!M1385)</f>
        <v>MULTIVAC - PREÇO</v>
      </c>
      <c r="L1377" t="str">
        <f>IF(ORCAMENTOS!R1385="","",ORCAMENTOS!R1385)</f>
        <v>PLACA DE POLIURETANO</v>
      </c>
    </row>
    <row r="1378" spans="1:12" ht="15.75" hidden="1" customHeight="1" x14ac:dyDescent="0.25">
      <c r="A1378" s="36">
        <f>IF(ORCAMENTOS!A1386="","",ORCAMENTOS!A1386)</f>
        <v>45877</v>
      </c>
      <c r="B1378" s="46">
        <f>IF(ORCAMENTOS!B1386="","",ORCAMENTOS!B1386)</f>
        <v>1376</v>
      </c>
      <c r="C1378" s="46" t="str">
        <f>IF(ORCAMENTOS!C1386="","",ORCAMENTOS!C1386)</f>
        <v/>
      </c>
      <c r="D1378" s="37" t="str">
        <f>IF(ORCAMENTOS!D1386="","",ORCAMENTOS!D1386)</f>
        <v>AWA AR CONDICIONADO</v>
      </c>
      <c r="E1378" s="38" t="str">
        <f>IF(ORCAMENTOS!E1386="","",ORCAMENTOS!E1386)</f>
        <v>TENDA - LOJA ITU - SP</v>
      </c>
      <c r="F1378" s="37" t="str">
        <f>IF(ORCAMENTOS!G1386="","",ORCAMENTOS!G1386)</f>
        <v>Guilherme</v>
      </c>
      <c r="G1378" s="37" t="str">
        <f>IF(ORCAMENTOS!H1386="","",ORCAMENTOS!H1386)</f>
        <v>Paula</v>
      </c>
      <c r="H1378" s="39">
        <f>IF(ORCAMENTOS!I1386="","",ORCAMENTOS!I1386)</f>
        <v>140134.59</v>
      </c>
      <c r="I1378" s="60" t="str">
        <f>IF(ORCAMENTOS!J1386="","",ORCAMENTOS!J1386)</f>
        <v/>
      </c>
      <c r="J1378" s="40" t="str">
        <f>IF(ORCAMENTOS!L1386="","",ORCAMENTOS!L1386)</f>
        <v>FECHADO</v>
      </c>
      <c r="K1378" s="34" t="str">
        <f>IF(ORCAMENTOS!M1386="","",ORCAMENTOS!M1386)</f>
        <v>-</v>
      </c>
      <c r="L1378" t="str">
        <f>IF(ORCAMENTOS!R1386="","",ORCAMENTOS!R1386)</f>
        <v>PLACA DE POLIURETANO</v>
      </c>
    </row>
    <row r="1379" spans="1:12" ht="15.75" hidden="1" customHeight="1" x14ac:dyDescent="0.25">
      <c r="A1379" s="36">
        <f>IF(ORCAMENTOS!A1387="","",ORCAMENTOS!A1387)</f>
        <v>45876</v>
      </c>
      <c r="B1379" s="46">
        <f>IF(ORCAMENTOS!B1387="","",ORCAMENTOS!B1387)</f>
        <v>1377</v>
      </c>
      <c r="C1379" s="46" t="str">
        <f>IF(ORCAMENTOS!C1387="","",ORCAMENTOS!C1387)</f>
        <v/>
      </c>
      <c r="D1379" s="37" t="str">
        <f>IF(ORCAMENTOS!D1387="","",ORCAMENTOS!D1387)</f>
        <v>SLH ENGENHARIA</v>
      </c>
      <c r="E1379" s="38" t="str">
        <f>IF(ORCAMENTOS!E1387="","",ORCAMENTOS!E1387)</f>
        <v>-</v>
      </c>
      <c r="F1379" s="37" t="str">
        <f>IF(ORCAMENTOS!G1387="","",ORCAMENTOS!G1387)</f>
        <v>Gabriel</v>
      </c>
      <c r="G1379" s="37" t="str">
        <f>IF(ORCAMENTOS!H1387="","",ORCAMENTOS!H1387)</f>
        <v>Sergio</v>
      </c>
      <c r="H1379" s="39">
        <f>IF(ORCAMENTOS!I1387="","",ORCAMENTOS!I1387)</f>
        <v>13931.86</v>
      </c>
      <c r="I1379" s="60" t="str">
        <f>IF(ORCAMENTOS!J1387="","",ORCAMENTOS!J1387)</f>
        <v/>
      </c>
      <c r="J1379" s="40" t="str">
        <f>IF(ORCAMENTOS!L1387="","",ORCAMENTOS!L1387)</f>
        <v>CANCELADO</v>
      </c>
      <c r="K1379" s="34" t="str">
        <f>IF(ORCAMENTOS!M1387="","",ORCAMENTOS!M1387)</f>
        <v>-</v>
      </c>
      <c r="L1379" t="str">
        <f>IF(ORCAMENTOS!R1387="","",ORCAMENTOS!R1387)</f>
        <v>-</v>
      </c>
    </row>
    <row r="1380" spans="1:12" ht="15.75" hidden="1" customHeight="1" x14ac:dyDescent="0.25">
      <c r="A1380" s="36">
        <f>IF(ORCAMENTOS!A1388="","",ORCAMENTOS!A1388)</f>
        <v>45876</v>
      </c>
      <c r="B1380" s="46">
        <f>IF(ORCAMENTOS!B1388="","",ORCAMENTOS!B1388)</f>
        <v>1378</v>
      </c>
      <c r="C1380" s="46" t="str">
        <f>IF(ORCAMENTOS!C1388="","",ORCAMENTOS!C1388)</f>
        <v/>
      </c>
      <c r="D1380" s="37" t="str">
        <f>IF(ORCAMENTOS!D1388="","",ORCAMENTOS!D1388)</f>
        <v>CHARLES NASCIMENTO</v>
      </c>
      <c r="E1380" s="38" t="str">
        <f>IF(ORCAMENTOS!E1388="","",ORCAMENTOS!E1388)</f>
        <v>-</v>
      </c>
      <c r="F1380" s="37" t="str">
        <f>IF(ORCAMENTOS!G1388="","",ORCAMENTOS!G1388)</f>
        <v>Gabriel</v>
      </c>
      <c r="G1380" s="37" t="str">
        <f>IF(ORCAMENTOS!H1388="","",ORCAMENTOS!H1388)</f>
        <v>Charles</v>
      </c>
      <c r="H1380" s="39">
        <f>IF(ORCAMENTOS!I1388="","",ORCAMENTOS!I1388)</f>
        <v>7236.59</v>
      </c>
      <c r="I1380" s="60" t="str">
        <f>IF(ORCAMENTOS!J1388="","",ORCAMENTOS!J1388)</f>
        <v/>
      </c>
      <c r="J1380" s="40" t="str">
        <f>IF(ORCAMENTOS!L1388="","",ORCAMENTOS!L1388)</f>
        <v>CANCELADO</v>
      </c>
      <c r="K1380" s="34" t="str">
        <f>IF(ORCAMENTOS!M1388="","",ORCAMENTOS!M1388)</f>
        <v>-</v>
      </c>
      <c r="L1380" t="str">
        <f>IF(ORCAMENTOS!R1388="","",ORCAMENTOS!R1388)</f>
        <v>-</v>
      </c>
    </row>
    <row r="1381" spans="1:12" ht="15.75" hidden="1" customHeight="1" x14ac:dyDescent="0.25">
      <c r="A1381" s="36">
        <f>IF(ORCAMENTOS!A1389="","",ORCAMENTOS!A1389)</f>
        <v>45877</v>
      </c>
      <c r="B1381" s="46">
        <f>IF(ORCAMENTOS!B1389="","",ORCAMENTOS!B1389)</f>
        <v>1379</v>
      </c>
      <c r="C1381" s="46" t="str">
        <f>IF(ORCAMENTOS!C1389="","",ORCAMENTOS!C1389)</f>
        <v/>
      </c>
      <c r="D1381" s="37" t="str">
        <f>IF(ORCAMENTOS!D1389="","",ORCAMENTOS!D1389)</f>
        <v>THERMOPOLO</v>
      </c>
      <c r="E1381" s="38" t="str">
        <f>IF(ORCAMENTOS!E1389="","",ORCAMENTOS!E1389)</f>
        <v>TENDA - LOJA ITU - SP</v>
      </c>
      <c r="F1381" s="37" t="str">
        <f>IF(ORCAMENTOS!G1389="","",ORCAMENTOS!G1389)</f>
        <v xml:space="preserve">Aldavir </v>
      </c>
      <c r="G1381" s="37" t="str">
        <f>IF(ORCAMENTOS!H1389="","",ORCAMENTOS!H1389)</f>
        <v>Nelia</v>
      </c>
      <c r="H1381" s="39">
        <f>IF(ORCAMENTOS!I1389="","",ORCAMENTOS!I1389)</f>
        <v>25755.48</v>
      </c>
      <c r="I1381" s="60" t="str">
        <f>IF(ORCAMENTOS!J1389="","",ORCAMENTOS!J1389)</f>
        <v/>
      </c>
      <c r="J1381" s="40" t="str">
        <f>IF(ORCAMENTOS!L1389="","",ORCAMENTOS!L1389)</f>
        <v>CANCELADO</v>
      </c>
      <c r="K1381" s="34" t="str">
        <f>IF(ORCAMENTOS!M1389="","",ORCAMENTOS!M1389)</f>
        <v>OBRA DA AWA</v>
      </c>
      <c r="L1381" t="str">
        <f>IF(ORCAMENTOS!R1389="","",ORCAMENTOS!R1389)</f>
        <v>-</v>
      </c>
    </row>
    <row r="1382" spans="1:12" ht="15.75" hidden="1" customHeight="1" x14ac:dyDescent="0.25">
      <c r="A1382" s="36">
        <f>IF(ORCAMENTOS!A1390="","",ORCAMENTOS!A1390)</f>
        <v>45876</v>
      </c>
      <c r="B1382" s="46">
        <f>IF(ORCAMENTOS!B1390="","",ORCAMENTOS!B1390)</f>
        <v>1380</v>
      </c>
      <c r="C1382" s="46" t="str">
        <f>IF(ORCAMENTOS!C1390="","",ORCAMENTOS!C1390)</f>
        <v/>
      </c>
      <c r="D1382" s="37" t="str">
        <f>IF(ORCAMENTOS!D1390="","",ORCAMENTOS!D1390)</f>
        <v>KLIMATOS</v>
      </c>
      <c r="E1382" s="38" t="str">
        <f>IF(ORCAMENTOS!E1390="","",ORCAMENTOS!E1390)</f>
        <v>CINE TEATRO CORONEL RAYMUNDO - SANTANA DO PARNAÍBA</v>
      </c>
      <c r="F1382" s="37" t="str">
        <f>IF(ORCAMENTOS!G1390="","",ORCAMENTOS!G1390)</f>
        <v>Emanuel</v>
      </c>
      <c r="G1382" s="37" t="str">
        <f>IF(ORCAMENTOS!H1390="","",ORCAMENTOS!H1390)</f>
        <v>Robson</v>
      </c>
      <c r="H1382" s="39">
        <f>IF(ORCAMENTOS!I1390="","",ORCAMENTOS!I1390)</f>
        <v>14033.12</v>
      </c>
      <c r="I1382" s="60" t="str">
        <f>IF(ORCAMENTOS!J1390="","",ORCAMENTOS!J1390)</f>
        <v/>
      </c>
      <c r="J1382" s="40" t="str">
        <f>IF(ORCAMENTOS!L1390="","",ORCAMENTOS!L1390)</f>
        <v>CANCELADO</v>
      </c>
      <c r="K1382" s="34" t="str">
        <f>IF(ORCAMENTOS!M1390="","",ORCAMENTOS!M1390)</f>
        <v>-</v>
      </c>
      <c r="L1382" t="str">
        <f>IF(ORCAMENTOS!R1390="","",ORCAMENTOS!R1390)</f>
        <v>N/E</v>
      </c>
    </row>
    <row r="1383" spans="1:12" ht="15.75" hidden="1" customHeight="1" x14ac:dyDescent="0.25">
      <c r="A1383" s="36">
        <f>IF(ORCAMENTOS!A1391="","",ORCAMENTOS!A1391)</f>
        <v>45876</v>
      </c>
      <c r="B1383" s="46">
        <f>IF(ORCAMENTOS!B1391="","",ORCAMENTOS!B1391)</f>
        <v>1381</v>
      </c>
      <c r="C1383" s="46" t="str">
        <f>IF(ORCAMENTOS!C1391="","",ORCAMENTOS!C1391)</f>
        <v/>
      </c>
      <c r="D1383" s="37" t="str">
        <f>IF(ORCAMENTOS!D1391="","",ORCAMENTOS!D1391)</f>
        <v>AIRPLAN</v>
      </c>
      <c r="E1383" s="38" t="str">
        <f>IF(ORCAMENTOS!E1391="","",ORCAMENTOS!E1391)</f>
        <v>RENNER - TRAVESSA CASALBUONO - LOJA N502</v>
      </c>
      <c r="F1383" s="37" t="str">
        <f>IF(ORCAMENTOS!G1391="","",ORCAMENTOS!G1391)</f>
        <v>Guilherme</v>
      </c>
      <c r="G1383" s="37" t="str">
        <f>IF(ORCAMENTOS!H1391="","",ORCAMENTOS!H1391)</f>
        <v>Laercio</v>
      </c>
      <c r="H1383" s="39">
        <f>IF(ORCAMENTOS!I1391="","",ORCAMENTOS!I1391)</f>
        <v>21287.93</v>
      </c>
      <c r="I1383" s="60" t="str">
        <f>IF(ORCAMENTOS!J1391="","",ORCAMENTOS!J1391)</f>
        <v/>
      </c>
      <c r="J1383" s="40" t="str">
        <f>IF(ORCAMENTOS!L1391="","",ORCAMENTOS!L1391)</f>
        <v>CANCELADO</v>
      </c>
      <c r="K1383" s="34" t="str">
        <f>IF(ORCAMENTOS!M1391="","",ORCAMENTOS!M1391)</f>
        <v>-</v>
      </c>
      <c r="L1383" t="str">
        <f>IF(ORCAMENTOS!R1391="","",ORCAMENTOS!R1391)</f>
        <v>MPU</v>
      </c>
    </row>
    <row r="1384" spans="1:12" ht="15.75" hidden="1" customHeight="1" x14ac:dyDescent="0.25">
      <c r="A1384" s="36">
        <f>IF(ORCAMENTOS!A1392="","",ORCAMENTOS!A1392)</f>
        <v>45876</v>
      </c>
      <c r="B1384" s="46">
        <f>IF(ORCAMENTOS!B1392="","",ORCAMENTOS!B1392)</f>
        <v>1382</v>
      </c>
      <c r="C1384" s="46" t="str">
        <f>IF(ORCAMENTOS!C1392="","",ORCAMENTOS!C1392)</f>
        <v/>
      </c>
      <c r="D1384" s="37" t="str">
        <f>IF(ORCAMENTOS!D1392="","",ORCAMENTOS!D1392)</f>
        <v>BMS ENGENHARIA</v>
      </c>
      <c r="E1384" s="38" t="str">
        <f>IF(ORCAMENTOS!E1392="","",ORCAMENTOS!E1392)</f>
        <v>REDE DOR - SÃO LUIZ CAMPINAS - SP - 2º PAVIMENTO</v>
      </c>
      <c r="F1384" s="37" t="str">
        <f>IF(ORCAMENTOS!G1392="","",ORCAMENTOS!G1392)</f>
        <v>Guilherme</v>
      </c>
      <c r="G1384" s="37" t="str">
        <f>IF(ORCAMENTOS!H1392="","",ORCAMENTOS!H1392)</f>
        <v>Aleison</v>
      </c>
      <c r="H1384" s="39">
        <f>IF(ORCAMENTOS!I1392="","",ORCAMENTOS!I1392)</f>
        <v>2700.9</v>
      </c>
      <c r="I1384" s="60" t="str">
        <f>IF(ORCAMENTOS!J1392="","",ORCAMENTOS!J1392)</f>
        <v/>
      </c>
      <c r="J1384" s="40" t="str">
        <f>IF(ORCAMENTOS!L1392="","",ORCAMENTOS!L1392)</f>
        <v>CANCELADO</v>
      </c>
      <c r="K1384" s="34" t="str">
        <f>IF(ORCAMENTOS!M1392="","",ORCAMENTOS!M1392)</f>
        <v>-</v>
      </c>
      <c r="L1384" t="str">
        <f>IF(ORCAMENTOS!R1392="","",ORCAMENTOS!R1392)</f>
        <v>-</v>
      </c>
    </row>
    <row r="1385" spans="1:12" ht="15.75" hidden="1" customHeight="1" x14ac:dyDescent="0.25">
      <c r="A1385" s="36">
        <f>IF(ORCAMENTOS!A1393="","",ORCAMENTOS!A1393)</f>
        <v>45876</v>
      </c>
      <c r="B1385" s="46">
        <f>IF(ORCAMENTOS!B1393="","",ORCAMENTOS!B1393)</f>
        <v>1383</v>
      </c>
      <c r="C1385" s="46" t="str">
        <f>IF(ORCAMENTOS!C1393="","",ORCAMENTOS!C1393)</f>
        <v/>
      </c>
      <c r="D1385" s="37" t="str">
        <f>IF(ORCAMENTOS!D1393="","",ORCAMENTOS!D1393)</f>
        <v>BMS ENGENHARIA</v>
      </c>
      <c r="E1385" s="38" t="str">
        <f>IF(ORCAMENTOS!E1393="","",ORCAMENTOS!E1393)</f>
        <v>REDE DOR - SÃO LUIZ CAMPINAS - SP - 3º PAVIMENTO</v>
      </c>
      <c r="F1385" s="37" t="str">
        <f>IF(ORCAMENTOS!G1393="","",ORCAMENTOS!G1393)</f>
        <v>Guilherme</v>
      </c>
      <c r="G1385" s="37" t="str">
        <f>IF(ORCAMENTOS!H1393="","",ORCAMENTOS!H1393)</f>
        <v>Aleison</v>
      </c>
      <c r="H1385" s="39">
        <f>IF(ORCAMENTOS!I1393="","",ORCAMENTOS!I1393)</f>
        <v>3082.08</v>
      </c>
      <c r="I1385" s="60" t="str">
        <f>IF(ORCAMENTOS!J1393="","",ORCAMENTOS!J1393)</f>
        <v/>
      </c>
      <c r="J1385" s="40" t="str">
        <f>IF(ORCAMENTOS!L1393="","",ORCAMENTOS!L1393)</f>
        <v>CANCELADO</v>
      </c>
      <c r="K1385" s="34" t="str">
        <f>IF(ORCAMENTOS!M1393="","",ORCAMENTOS!M1393)</f>
        <v>-</v>
      </c>
      <c r="L1385" t="str">
        <f>IF(ORCAMENTOS!R1393="","",ORCAMENTOS!R1393)</f>
        <v>-</v>
      </c>
    </row>
    <row r="1386" spans="1:12" ht="15.75" hidden="1" customHeight="1" x14ac:dyDescent="0.25">
      <c r="A1386" s="36">
        <f>IF(ORCAMENTOS!A1394="","",ORCAMENTOS!A1394)</f>
        <v>45876</v>
      </c>
      <c r="B1386" s="46">
        <f>IF(ORCAMENTOS!B1394="","",ORCAMENTOS!B1394)</f>
        <v>1384</v>
      </c>
      <c r="C1386" s="46" t="str">
        <f>IF(ORCAMENTOS!C1394="","",ORCAMENTOS!C1394)</f>
        <v/>
      </c>
      <c r="D1386" s="37" t="str">
        <f>IF(ORCAMENTOS!D1394="","",ORCAMENTOS!D1394)</f>
        <v>CONTROLE CLIMA</v>
      </c>
      <c r="E1386" s="38" t="str">
        <f>IF(ORCAMENTOS!E1394="","",ORCAMENTOS!E1394)</f>
        <v>CINE TEATRO CORONEL RAYMUNDO - SANTANA DO PARNAÍBA</v>
      </c>
      <c r="F1386" s="37" t="str">
        <f>IF(ORCAMENTOS!G1394="","",ORCAMENTOS!G1394)</f>
        <v>Gabriel</v>
      </c>
      <c r="G1386" s="37" t="str">
        <f>IF(ORCAMENTOS!H1394="","",ORCAMENTOS!H1394)</f>
        <v>Edimario</v>
      </c>
      <c r="H1386" s="39">
        <f>IF(ORCAMENTOS!I1394="","",ORCAMENTOS!I1394)</f>
        <v>12005.49</v>
      </c>
      <c r="I1386" s="60" t="str">
        <f>IF(ORCAMENTOS!J1394="","",ORCAMENTOS!J1394)</f>
        <v/>
      </c>
      <c r="J1386" s="40" t="str">
        <f>IF(ORCAMENTOS!L1394="","",ORCAMENTOS!L1394)</f>
        <v>CANCELADO</v>
      </c>
      <c r="K1386" s="34" t="str">
        <f>IF(ORCAMENTOS!M1394="","",ORCAMENTOS!M1394)</f>
        <v>-</v>
      </c>
      <c r="L1386" t="str">
        <f>IF(ORCAMENTOS!R1394="","",ORCAMENTOS!R1394)</f>
        <v>N/E</v>
      </c>
    </row>
    <row r="1387" spans="1:12" ht="15.75" hidden="1" customHeight="1" x14ac:dyDescent="0.25">
      <c r="A1387" s="36">
        <f>IF(ORCAMENTOS!A1395="","",ORCAMENTOS!A1395)</f>
        <v>45876</v>
      </c>
      <c r="B1387" s="46">
        <f>IF(ORCAMENTOS!B1395="","",ORCAMENTOS!B1395)</f>
        <v>1385</v>
      </c>
      <c r="C1387" s="46" t="str">
        <f>IF(ORCAMENTOS!C1395="","",ORCAMENTOS!C1395)</f>
        <v/>
      </c>
      <c r="D1387" s="37" t="str">
        <f>IF(ORCAMENTOS!D1395="","",ORCAMENTOS!D1395)</f>
        <v>PU DUTOS</v>
      </c>
      <c r="E1387" s="38" t="str">
        <f>IF(ORCAMENTOS!E1395="","",ORCAMENTOS!E1395)</f>
        <v>-</v>
      </c>
      <c r="F1387" s="37" t="str">
        <f>IF(ORCAMENTOS!G1395="","",ORCAMENTOS!G1395)</f>
        <v>Gabriel</v>
      </c>
      <c r="G1387" s="37" t="str">
        <f>IF(ORCAMENTOS!H1395="","",ORCAMENTOS!H1395)</f>
        <v>Thiago</v>
      </c>
      <c r="H1387" s="39">
        <f>IF(ORCAMENTOS!I1395="","",ORCAMENTOS!I1395)</f>
        <v>20372.18</v>
      </c>
      <c r="I1387" s="60" t="str">
        <f>IF(ORCAMENTOS!J1395="","",ORCAMENTOS!J1395)</f>
        <v/>
      </c>
      <c r="J1387" s="40" t="str">
        <f>IF(ORCAMENTOS!L1395="","",ORCAMENTOS!L1395)</f>
        <v>CANCELADO</v>
      </c>
      <c r="K1387" s="34" t="str">
        <f>IF(ORCAMENTOS!M1395="","",ORCAMENTOS!M1395)</f>
        <v>-</v>
      </c>
      <c r="L1387" t="str">
        <f>IF(ORCAMENTOS!R1395="","",ORCAMENTOS!R1395)</f>
        <v>-</v>
      </c>
    </row>
    <row r="1388" spans="1:12" ht="15.75" hidden="1" customHeight="1" x14ac:dyDescent="0.25">
      <c r="A1388" s="36">
        <f>IF(ORCAMENTOS!A1396="","",ORCAMENTOS!A1396)</f>
        <v>45877</v>
      </c>
      <c r="B1388" s="46">
        <f>IF(ORCAMENTOS!B1396="","",ORCAMENTOS!B1396)</f>
        <v>1386</v>
      </c>
      <c r="C1388" s="46" t="str">
        <f>IF(ORCAMENTOS!C1396="","",ORCAMENTOS!C1396)</f>
        <v/>
      </c>
      <c r="D1388" s="37" t="str">
        <f>IF(ORCAMENTOS!D1396="","",ORCAMENTOS!D1396)</f>
        <v>GLOBAL QUALITY</v>
      </c>
      <c r="E1388" s="38" t="str">
        <f>IF(ORCAMENTOS!E1396="","",ORCAMENTOS!E1396)</f>
        <v>-</v>
      </c>
      <c r="F1388" s="37" t="str">
        <f>IF(ORCAMENTOS!G1396="","",ORCAMENTOS!G1396)</f>
        <v>Fernando</v>
      </c>
      <c r="G1388" s="37" t="str">
        <f>IF(ORCAMENTOS!H1396="","",ORCAMENTOS!H1396)</f>
        <v>Guilherme</v>
      </c>
      <c r="H1388" s="39">
        <f>IF(ORCAMENTOS!I1396="","",ORCAMENTOS!I1396)</f>
        <v>3699.62</v>
      </c>
      <c r="I1388" s="60" t="str">
        <f>IF(ORCAMENTOS!J1396="","",ORCAMENTOS!J1396)</f>
        <v/>
      </c>
      <c r="J1388" s="40" t="str">
        <f>IF(ORCAMENTOS!L1396="","",ORCAMENTOS!L1396)</f>
        <v>FECHADO</v>
      </c>
      <c r="K1388" s="34" t="str">
        <f>IF(ORCAMENTOS!M1396="","",ORCAMENTOS!M1396)</f>
        <v>-</v>
      </c>
      <c r="L1388" t="str">
        <f>IF(ORCAMENTOS!R1396="","",ORCAMENTOS!R1396)</f>
        <v>-</v>
      </c>
    </row>
    <row r="1389" spans="1:12" ht="15.75" hidden="1" customHeight="1" x14ac:dyDescent="0.25">
      <c r="A1389" s="36">
        <f>IF(ORCAMENTOS!A1397="","",ORCAMENTOS!A1397)</f>
        <v>45877</v>
      </c>
      <c r="B1389" s="46">
        <f>IF(ORCAMENTOS!B1397="","",ORCAMENTOS!B1397)</f>
        <v>1387</v>
      </c>
      <c r="C1389" s="46" t="str">
        <f>IF(ORCAMENTOS!C1397="","",ORCAMENTOS!C1397)</f>
        <v/>
      </c>
      <c r="D1389" s="37" t="str">
        <f>IF(ORCAMENTOS!D1397="","",ORCAMENTOS!D1397)</f>
        <v>CHARLES NASCIMENTO</v>
      </c>
      <c r="E1389" s="38" t="str">
        <f>IF(ORCAMENTOS!E1397="","",ORCAMENTOS!E1397)</f>
        <v>-</v>
      </c>
      <c r="F1389" s="37" t="str">
        <f>IF(ORCAMENTOS!G1397="","",ORCAMENTOS!G1397)</f>
        <v>Gabriel</v>
      </c>
      <c r="G1389" s="37" t="str">
        <f>IF(ORCAMENTOS!H1397="","",ORCAMENTOS!H1397)</f>
        <v>Charles</v>
      </c>
      <c r="H1389" s="39">
        <f>IF(ORCAMENTOS!I1397="","",ORCAMENTOS!I1397)</f>
        <v>15601.95</v>
      </c>
      <c r="I1389" s="60" t="str">
        <f>IF(ORCAMENTOS!J1397="","",ORCAMENTOS!J1397)</f>
        <v/>
      </c>
      <c r="J1389" s="40" t="str">
        <f>IF(ORCAMENTOS!L1397="","",ORCAMENTOS!L1397)</f>
        <v>CANCELADO</v>
      </c>
      <c r="K1389" s="34" t="str">
        <f>IF(ORCAMENTOS!M1397="","",ORCAMENTOS!M1397)</f>
        <v>-</v>
      </c>
      <c r="L1389" t="str">
        <f>IF(ORCAMENTOS!R1397="","",ORCAMENTOS!R1397)</f>
        <v>-</v>
      </c>
    </row>
    <row r="1390" spans="1:12" ht="15.75" hidden="1" customHeight="1" x14ac:dyDescent="0.25">
      <c r="A1390" s="36">
        <f>IF(ORCAMENTOS!A1398="","",ORCAMENTOS!A1398)</f>
        <v>45877</v>
      </c>
      <c r="B1390" s="46">
        <f>IF(ORCAMENTOS!B1398="","",ORCAMENTOS!B1398)</f>
        <v>1388</v>
      </c>
      <c r="C1390" s="46" t="str">
        <f>IF(ORCAMENTOS!C1398="","",ORCAMENTOS!C1398)</f>
        <v/>
      </c>
      <c r="D1390" s="37" t="str">
        <f>IF(ORCAMENTOS!D1398="","",ORCAMENTOS!D1398)</f>
        <v>ENEBRAS</v>
      </c>
      <c r="E1390" s="38" t="str">
        <f>IF(ORCAMENTOS!E1398="","",ORCAMENTOS!E1398)</f>
        <v>GRAAC</v>
      </c>
      <c r="F1390" s="37" t="str">
        <f>IF(ORCAMENTOS!G1398="","",ORCAMENTOS!G1398)</f>
        <v>Michel</v>
      </c>
      <c r="G1390" s="37" t="str">
        <f>IF(ORCAMENTOS!H1398="","",ORCAMENTOS!H1398)</f>
        <v>Pedro</v>
      </c>
      <c r="H1390" s="39">
        <f>IF(ORCAMENTOS!I1398="","",ORCAMENTOS!I1398)</f>
        <v>6327.57</v>
      </c>
      <c r="I1390" s="60" t="str">
        <f>IF(ORCAMENTOS!J1398="","",ORCAMENTOS!J1398)</f>
        <v/>
      </c>
      <c r="J1390" s="40" t="str">
        <f>IF(ORCAMENTOS!L1398="","",ORCAMENTOS!L1398)</f>
        <v>CANCELADO</v>
      </c>
      <c r="K1390" s="34" t="str">
        <f>IF(ORCAMENTOS!M1398="","",ORCAMENTOS!M1398)</f>
        <v>AGUARDANDO APROVAÇÃO</v>
      </c>
      <c r="L1390" t="str">
        <f>IF(ORCAMENTOS!R1398="","",ORCAMENTOS!R1398)</f>
        <v>-</v>
      </c>
    </row>
    <row r="1391" spans="1:12" ht="15.75" hidden="1" customHeight="1" x14ac:dyDescent="0.25">
      <c r="A1391" s="36">
        <f>IF(ORCAMENTOS!A1399="","",ORCAMENTOS!A1399)</f>
        <v>45877</v>
      </c>
      <c r="B1391" s="46">
        <f>IF(ORCAMENTOS!B1399="","",ORCAMENTOS!B1399)</f>
        <v>1389</v>
      </c>
      <c r="C1391" s="46" t="str">
        <f>IF(ORCAMENTOS!C1399="","",ORCAMENTOS!C1399)</f>
        <v/>
      </c>
      <c r="D1391" s="37" t="str">
        <f>IF(ORCAMENTOS!D1399="","",ORCAMENTOS!D1399)</f>
        <v>ECOTHERM</v>
      </c>
      <c r="E1391" s="38" t="str">
        <f>IF(ORCAMENTOS!E1399="","",ORCAMENTOS!E1399)</f>
        <v>HOSPITAL FRANCA</v>
      </c>
      <c r="F1391" s="37" t="str">
        <f>IF(ORCAMENTOS!G1399="","",ORCAMENTOS!G1399)</f>
        <v>Emanuel</v>
      </c>
      <c r="G1391" s="37" t="str">
        <f>IF(ORCAMENTOS!H1399="","",ORCAMENTOS!H1399)</f>
        <v>Selma</v>
      </c>
      <c r="H1391" s="39">
        <f>IF(ORCAMENTOS!I1399="","",ORCAMENTOS!I1399)</f>
        <v>63389.8</v>
      </c>
      <c r="I1391" s="60" t="str">
        <f>IF(ORCAMENTOS!J1399="","",ORCAMENTOS!J1399)</f>
        <v/>
      </c>
      <c r="J1391" s="40" t="str">
        <f>IF(ORCAMENTOS!L1399="","",ORCAMENTOS!L1399)</f>
        <v>FECHADO</v>
      </c>
      <c r="K1391" s="34" t="str">
        <f>IF(ORCAMENTOS!M1399="","",ORCAMENTOS!M1399)</f>
        <v>-</v>
      </c>
      <c r="L1391" t="str">
        <f>IF(ORCAMENTOS!R1399="","",ORCAMENTOS!R1399)</f>
        <v>-</v>
      </c>
    </row>
    <row r="1392" spans="1:12" ht="15.75" hidden="1" customHeight="1" x14ac:dyDescent="0.25">
      <c r="A1392" s="36">
        <f>IF(ORCAMENTOS!A1400="","",ORCAMENTOS!A1400)</f>
        <v>45877</v>
      </c>
      <c r="B1392" s="46">
        <f>IF(ORCAMENTOS!B1400="","",ORCAMENTOS!B1400)</f>
        <v>1390</v>
      </c>
      <c r="C1392" s="46" t="str">
        <f>IF(ORCAMENTOS!C1400="","",ORCAMENTOS!C1400)</f>
        <v/>
      </c>
      <c r="D1392" s="37" t="str">
        <f>IF(ORCAMENTOS!D1400="","",ORCAMENTOS!D1400)</f>
        <v>THERMOPOLO</v>
      </c>
      <c r="E1392" s="38" t="str">
        <f>IF(ORCAMENTOS!E1400="","",ORCAMENTOS!E1400)</f>
        <v>JHSF - PORTO FELIZ - SÃO PAULO</v>
      </c>
      <c r="F1392" s="37" t="str">
        <f>IF(ORCAMENTOS!G1400="","",ORCAMENTOS!G1400)</f>
        <v xml:space="preserve">Aldavir </v>
      </c>
      <c r="G1392" s="37" t="str">
        <f>IF(ORCAMENTOS!H1400="","",ORCAMENTOS!H1400)</f>
        <v>Veruza</v>
      </c>
      <c r="H1392" s="39">
        <f>IF(ORCAMENTOS!I1400="","",ORCAMENTOS!I1400)</f>
        <v>29938.49</v>
      </c>
      <c r="I1392" s="60" t="str">
        <f>IF(ORCAMENTOS!J1400="","",ORCAMENTOS!J1400)</f>
        <v/>
      </c>
      <c r="J1392" s="40" t="str">
        <f>IF(ORCAMENTOS!L1400="","",ORCAMENTOS!L1400)</f>
        <v>CANCELADO</v>
      </c>
      <c r="K1392" s="34" t="str">
        <f>IF(ORCAMENTOS!M1400="","",ORCAMENTOS!M1400)</f>
        <v>-</v>
      </c>
      <c r="L1392" t="str">
        <f>IF(ORCAMENTOS!R1400="","",ORCAMENTOS!R1400)</f>
        <v>MPU</v>
      </c>
    </row>
    <row r="1393" spans="1:12" ht="15.75" hidden="1" customHeight="1" x14ac:dyDescent="0.25">
      <c r="A1393" s="36">
        <f>IF(ORCAMENTOS!A1401="","",ORCAMENTOS!A1401)</f>
        <v>45877</v>
      </c>
      <c r="B1393" s="46">
        <f>IF(ORCAMENTOS!B1401="","",ORCAMENTOS!B1401)</f>
        <v>1391</v>
      </c>
      <c r="C1393" s="46" t="str">
        <f>IF(ORCAMENTOS!C1401="","",ORCAMENTOS!C1401)</f>
        <v/>
      </c>
      <c r="D1393" s="37" t="str">
        <f>IF(ORCAMENTOS!D1401="","",ORCAMENTOS!D1401)</f>
        <v>SATURNO AR</v>
      </c>
      <c r="E1393" s="38" t="str">
        <f>IF(ORCAMENTOS!E1401="","",ORCAMENTOS!E1401)</f>
        <v>SMART FIT - TATUAPE - SP</v>
      </c>
      <c r="F1393" s="37" t="str">
        <f>IF(ORCAMENTOS!G1401="","",ORCAMENTOS!G1401)</f>
        <v>Gabriel</v>
      </c>
      <c r="G1393" s="37" t="str">
        <f>IF(ORCAMENTOS!H1401="","",ORCAMENTOS!H1401)</f>
        <v>Sidinei</v>
      </c>
      <c r="H1393" s="39">
        <f>IF(ORCAMENTOS!I1401="","",ORCAMENTOS!I1401)</f>
        <v>81508.53</v>
      </c>
      <c r="I1393" s="60" t="str">
        <f>IF(ORCAMENTOS!J1401="","",ORCAMENTOS!J1401)</f>
        <v/>
      </c>
      <c r="J1393" s="40" t="str">
        <f>IF(ORCAMENTOS!L1401="","",ORCAMENTOS!L1401)</f>
        <v>FECHADO</v>
      </c>
      <c r="K1393" s="34" t="str">
        <f>IF(ORCAMENTOS!M1401="","",ORCAMENTOS!M1401)</f>
        <v>-</v>
      </c>
      <c r="L1393" t="str">
        <f>IF(ORCAMENTOS!R1401="","",ORCAMENTOS!R1401)</f>
        <v>MPU</v>
      </c>
    </row>
    <row r="1394" spans="1:12" ht="15.75" hidden="1" customHeight="1" x14ac:dyDescent="0.25">
      <c r="A1394" s="36">
        <f>IF(ORCAMENTOS!A1402="","",ORCAMENTOS!A1402)</f>
        <v>45877</v>
      </c>
      <c r="B1394" s="46">
        <f>IF(ORCAMENTOS!B1402="","",ORCAMENTOS!B1402)</f>
        <v>1392</v>
      </c>
      <c r="C1394" s="46" t="str">
        <f>IF(ORCAMENTOS!C1402="","",ORCAMENTOS!C1402)</f>
        <v/>
      </c>
      <c r="D1394" s="37" t="str">
        <f>IF(ORCAMENTOS!D1402="","",ORCAMENTOS!D1402)</f>
        <v>FL HVAC</v>
      </c>
      <c r="E1394" s="38" t="str">
        <f>IF(ORCAMENTOS!E1402="","",ORCAMENTOS!E1402)</f>
        <v>RENNER - TRAVESSA CASALBUONO - LOJA N502</v>
      </c>
      <c r="F1394" s="37" t="str">
        <f>IF(ORCAMENTOS!G1402="","",ORCAMENTOS!G1402)</f>
        <v>Guilherme</v>
      </c>
      <c r="G1394" s="37" t="str">
        <f>IF(ORCAMENTOS!H1402="","",ORCAMENTOS!H1402)</f>
        <v>Alessandra</v>
      </c>
      <c r="H1394" s="39">
        <f>IF(ORCAMENTOS!I1402="","",ORCAMENTOS!I1402)</f>
        <v>21690.19</v>
      </c>
      <c r="I1394" s="60" t="str">
        <f>IF(ORCAMENTOS!J1402="","",ORCAMENTOS!J1402)</f>
        <v/>
      </c>
      <c r="J1394" s="40" t="str">
        <f>IF(ORCAMENTOS!L1402="","",ORCAMENTOS!L1402)</f>
        <v>CANCELADO</v>
      </c>
      <c r="K1394" s="34" t="str">
        <f>IF(ORCAMENTOS!M1402="","",ORCAMENTOS!M1402)</f>
        <v>-</v>
      </c>
      <c r="L1394" t="str">
        <f>IF(ORCAMENTOS!R1402="","",ORCAMENTOS!R1402)</f>
        <v>MPU</v>
      </c>
    </row>
    <row r="1395" spans="1:12" ht="15.75" hidden="1" customHeight="1" x14ac:dyDescent="0.25">
      <c r="A1395" s="36">
        <f>IF(ORCAMENTOS!A1403="","",ORCAMENTOS!A1403)</f>
        <v>45877</v>
      </c>
      <c r="B1395" s="46">
        <f>IF(ORCAMENTOS!B1403="","",ORCAMENTOS!B1403)</f>
        <v>1393</v>
      </c>
      <c r="C1395" s="46" t="str">
        <f>IF(ORCAMENTOS!C1403="","",ORCAMENTOS!C1403)</f>
        <v/>
      </c>
      <c r="D1395" s="37" t="str">
        <f>IF(ORCAMENTOS!D1403="","",ORCAMENTOS!D1403)</f>
        <v>GELOMAC</v>
      </c>
      <c r="E1395" s="38" t="str">
        <f>IF(ORCAMENTOS!E1403="","",ORCAMENTOS!E1403)</f>
        <v>-</v>
      </c>
      <c r="F1395" s="37" t="str">
        <f>IF(ORCAMENTOS!G1403="","",ORCAMENTOS!G1403)</f>
        <v>Gabriel</v>
      </c>
      <c r="G1395" s="37" t="str">
        <f>IF(ORCAMENTOS!H1403="","",ORCAMENTOS!H1403)</f>
        <v>Gabriel</v>
      </c>
      <c r="H1395" s="39">
        <f>IF(ORCAMENTOS!I1403="","",ORCAMENTOS!I1403)</f>
        <v>1367.1</v>
      </c>
      <c r="I1395" s="60" t="str">
        <f>IF(ORCAMENTOS!J1403="","",ORCAMENTOS!J1403)</f>
        <v/>
      </c>
      <c r="J1395" s="40" t="str">
        <f>IF(ORCAMENTOS!L1403="","",ORCAMENTOS!L1403)</f>
        <v>CANCELADO</v>
      </c>
      <c r="K1395" s="34" t="str">
        <f>IF(ORCAMENTOS!M1403="","",ORCAMENTOS!M1403)</f>
        <v>-</v>
      </c>
      <c r="L1395" t="str">
        <f>IF(ORCAMENTOS!R1403="","",ORCAMENTOS!R1403)</f>
        <v>-</v>
      </c>
    </row>
    <row r="1396" spans="1:12" ht="15.75" hidden="1" customHeight="1" x14ac:dyDescent="0.25">
      <c r="A1396" s="36">
        <f>IF(ORCAMENTOS!A1404="","",ORCAMENTOS!A1404)</f>
        <v>45877</v>
      </c>
      <c r="B1396" s="46">
        <f>IF(ORCAMENTOS!B1404="","",ORCAMENTOS!B1404)</f>
        <v>1394</v>
      </c>
      <c r="C1396" s="46" t="str">
        <f>IF(ORCAMENTOS!C1404="","",ORCAMENTOS!C1404)</f>
        <v/>
      </c>
      <c r="D1396" s="37" t="str">
        <f>IF(ORCAMENTOS!D1404="","",ORCAMENTOS!D1404)</f>
        <v>SESIL AR</v>
      </c>
      <c r="E1396" s="38" t="str">
        <f>IF(ORCAMENTOS!E1404="","",ORCAMENTOS!E1404)</f>
        <v>SMART FIT - ROLDAO SÃO VICENTE - SP</v>
      </c>
      <c r="F1396" s="37" t="str">
        <f>IF(ORCAMENTOS!G1404="","",ORCAMENTOS!G1404)</f>
        <v>Fernando</v>
      </c>
      <c r="G1396" s="37" t="str">
        <f>IF(ORCAMENTOS!H1404="","",ORCAMENTOS!H1404)</f>
        <v>Wagner</v>
      </c>
      <c r="H1396" s="39">
        <f>IF(ORCAMENTOS!I1404="","",ORCAMENTOS!I1404)</f>
        <v>49028.94</v>
      </c>
      <c r="I1396" s="60" t="str">
        <f>IF(ORCAMENTOS!J1404="","",ORCAMENTOS!J1404)</f>
        <v/>
      </c>
      <c r="J1396" s="40" t="str">
        <f>IF(ORCAMENTOS!L1404="","",ORCAMENTOS!L1404)</f>
        <v>FECHADO</v>
      </c>
      <c r="K1396" s="34" t="str">
        <f>IF(ORCAMENTOS!M1404="","",ORCAMENTOS!M1404)</f>
        <v>-</v>
      </c>
      <c r="L1396" t="str">
        <f>IF(ORCAMENTOS!R1404="","",ORCAMENTOS!R1404)</f>
        <v>MPU</v>
      </c>
    </row>
    <row r="1397" spans="1:12" ht="15.75" hidden="1" customHeight="1" x14ac:dyDescent="0.25">
      <c r="A1397" s="36">
        <f>IF(ORCAMENTOS!A1405="","",ORCAMENTOS!A1405)</f>
        <v>45877</v>
      </c>
      <c r="B1397" s="46">
        <f>IF(ORCAMENTOS!B1405="","",ORCAMENTOS!B1405)</f>
        <v>1395</v>
      </c>
      <c r="C1397" s="46" t="str">
        <f>IF(ORCAMENTOS!C1405="","",ORCAMENTOS!C1405)</f>
        <v/>
      </c>
      <c r="D1397" s="37" t="str">
        <f>IF(ORCAMENTOS!D1405="","",ORCAMENTOS!D1405)</f>
        <v>AIRPLAN</v>
      </c>
      <c r="E1397" s="38" t="str">
        <f>IF(ORCAMENTOS!E1405="","",ORCAMENTOS!E1405)</f>
        <v>IGREJA BATISTA - OSASCO - SP</v>
      </c>
      <c r="F1397" s="37" t="str">
        <f>IF(ORCAMENTOS!G1405="","",ORCAMENTOS!G1405)</f>
        <v>Guilherme</v>
      </c>
      <c r="G1397" s="37" t="str">
        <f>IF(ORCAMENTOS!H1405="","",ORCAMENTOS!H1405)</f>
        <v>Laercio</v>
      </c>
      <c r="H1397" s="39">
        <f>IF(ORCAMENTOS!I1405="","",ORCAMENTOS!I1405)</f>
        <v>71213.19</v>
      </c>
      <c r="I1397" s="60" t="str">
        <f>IF(ORCAMENTOS!J1405="","",ORCAMENTOS!J1405)</f>
        <v/>
      </c>
      <c r="J1397" s="40" t="str">
        <f>IF(ORCAMENTOS!L1405="","",ORCAMENTOS!L1405)</f>
        <v>FECHADO</v>
      </c>
      <c r="K1397" s="34" t="str">
        <f>IF(ORCAMENTOS!M1405="","",ORCAMENTOS!M1405)</f>
        <v>AGUARDANDO PEDIDO</v>
      </c>
      <c r="L1397" t="str">
        <f>IF(ORCAMENTOS!R1405="","",ORCAMENTOS!R1405)</f>
        <v>MPU</v>
      </c>
    </row>
    <row r="1398" spans="1:12" ht="15.75" hidden="1" customHeight="1" x14ac:dyDescent="0.25">
      <c r="A1398" s="36">
        <f>IF(ORCAMENTOS!A1406="","",ORCAMENTOS!A1406)</f>
        <v>45880</v>
      </c>
      <c r="B1398" s="46">
        <f>IF(ORCAMENTOS!B1406="","",ORCAMENTOS!B1406)</f>
        <v>1396</v>
      </c>
      <c r="C1398" s="46" t="str">
        <f>IF(ORCAMENTOS!C1406="","",ORCAMENTOS!C1406)</f>
        <v/>
      </c>
      <c r="D1398" s="37" t="str">
        <f>IF(ORCAMENTOS!D1406="","",ORCAMENTOS!D1406)</f>
        <v>PRODAC</v>
      </c>
      <c r="E1398" s="38" t="str">
        <f>IF(ORCAMENTOS!E1406="","",ORCAMENTOS!E1406)</f>
        <v>Shopping Maceió</v>
      </c>
      <c r="F1398" s="37" t="str">
        <f>IF(ORCAMENTOS!G1406="","",ORCAMENTOS!G1406)</f>
        <v>Fernando</v>
      </c>
      <c r="G1398" s="37" t="str">
        <f>IF(ORCAMENTOS!H1406="","",ORCAMENTOS!H1406)</f>
        <v>Henrique</v>
      </c>
      <c r="H1398" s="39">
        <f>IF(ORCAMENTOS!I1406="","",ORCAMENTOS!I1406)</f>
        <v>7954.36</v>
      </c>
      <c r="I1398" s="60" t="str">
        <f>IF(ORCAMENTOS!J1406="","",ORCAMENTOS!J1406)</f>
        <v/>
      </c>
      <c r="J1398" s="40" t="str">
        <f>IF(ORCAMENTOS!L1406="","",ORCAMENTOS!L1406)</f>
        <v>FECHADO</v>
      </c>
      <c r="K1398" s="34" t="str">
        <f>IF(ORCAMENTOS!M1406="","",ORCAMENTOS!M1406)</f>
        <v>-</v>
      </c>
      <c r="L1398" t="str">
        <f>IF(ORCAMENTOS!R1406="","",ORCAMENTOS!R1406)</f>
        <v>-</v>
      </c>
    </row>
    <row r="1399" spans="1:12" ht="15.75" hidden="1" customHeight="1" x14ac:dyDescent="0.25">
      <c r="A1399" s="36">
        <f>IF(ORCAMENTOS!A1407="","",ORCAMENTOS!A1407)</f>
        <v>45877</v>
      </c>
      <c r="B1399" s="46">
        <f>IF(ORCAMENTOS!B1407="","",ORCAMENTOS!B1407)</f>
        <v>1397</v>
      </c>
      <c r="C1399" s="46" t="str">
        <f>IF(ORCAMENTOS!C1407="","",ORCAMENTOS!C1407)</f>
        <v/>
      </c>
      <c r="D1399" s="37" t="str">
        <f>IF(ORCAMENTOS!D1407="","",ORCAMENTOS!D1407)</f>
        <v>AR SISTEMAS</v>
      </c>
      <c r="E1399" s="38" t="str">
        <f>IF(ORCAMENTOS!E1407="","",ORCAMENTOS!E1407)</f>
        <v>AC CAMARGO CANCER</v>
      </c>
      <c r="F1399" s="37" t="str">
        <f>IF(ORCAMENTOS!G1407="","",ORCAMENTOS!G1407)</f>
        <v>Michel</v>
      </c>
      <c r="G1399" s="37" t="str">
        <f>IF(ORCAMENTOS!H1407="","",ORCAMENTOS!H1407)</f>
        <v>Marcos</v>
      </c>
      <c r="H1399" s="39">
        <f>IF(ORCAMENTOS!I1407="","",ORCAMENTOS!I1407)</f>
        <v>11513.61</v>
      </c>
      <c r="I1399" s="60" t="str">
        <f>IF(ORCAMENTOS!J1407="","",ORCAMENTOS!J1407)</f>
        <v/>
      </c>
      <c r="J1399" s="40" t="str">
        <f>IF(ORCAMENTOS!L1407="","",ORCAMENTOS!L1407)</f>
        <v>CANCELADO</v>
      </c>
      <c r="K1399" s="34" t="str">
        <f>IF(ORCAMENTOS!M1407="","",ORCAMENTOS!M1407)</f>
        <v>-</v>
      </c>
      <c r="L1399" t="str">
        <f>IF(ORCAMENTOS!R1407="","",ORCAMENTOS!R1407)</f>
        <v>MPU</v>
      </c>
    </row>
    <row r="1400" spans="1:12" ht="15.75" hidden="1" customHeight="1" x14ac:dyDescent="0.25">
      <c r="A1400" s="36">
        <f>IF(ORCAMENTOS!A1408="","",ORCAMENTOS!A1408)</f>
        <v>45877</v>
      </c>
      <c r="B1400" s="46">
        <f>IF(ORCAMENTOS!B1408="","",ORCAMENTOS!B1408)</f>
        <v>1398</v>
      </c>
      <c r="C1400" s="46" t="str">
        <f>IF(ORCAMENTOS!C1408="","",ORCAMENTOS!C1408)</f>
        <v/>
      </c>
      <c r="D1400" s="37" t="str">
        <f>IF(ORCAMENTOS!D1408="","",ORCAMENTOS!D1408)</f>
        <v>SIARCON</v>
      </c>
      <c r="E1400" s="38" t="str">
        <f>IF(ORCAMENTOS!E1408="","",ORCAMENTOS!E1408)</f>
        <v>-</v>
      </c>
      <c r="F1400" s="37" t="str">
        <f>IF(ORCAMENTOS!G1408="","",ORCAMENTOS!G1408)</f>
        <v xml:space="preserve">Aldavir </v>
      </c>
      <c r="G1400" s="37" t="str">
        <f>IF(ORCAMENTOS!H1408="","",ORCAMENTOS!H1408)</f>
        <v>Aline</v>
      </c>
      <c r="H1400" s="39">
        <f>IF(ORCAMENTOS!I1408="","",ORCAMENTOS!I1408)</f>
        <v>15230.12</v>
      </c>
      <c r="I1400" s="60" t="str">
        <f>IF(ORCAMENTOS!J1408="","",ORCAMENTOS!J1408)</f>
        <v/>
      </c>
      <c r="J1400" s="40" t="str">
        <f>IF(ORCAMENTOS!L1408="","",ORCAMENTOS!L1408)</f>
        <v>CANCELADO</v>
      </c>
      <c r="K1400" s="34" t="str">
        <f>IF(ORCAMENTOS!M1408="","",ORCAMENTOS!M1408)</f>
        <v>-</v>
      </c>
      <c r="L1400" t="str">
        <f>IF(ORCAMENTOS!R1408="","",ORCAMENTOS!R1408)</f>
        <v>-</v>
      </c>
    </row>
    <row r="1401" spans="1:12" ht="15.75" hidden="1" customHeight="1" x14ac:dyDescent="0.25">
      <c r="A1401" s="36">
        <f>IF(ORCAMENTOS!A1409="","",ORCAMENTOS!A1409)</f>
        <v>45880</v>
      </c>
      <c r="B1401" s="46">
        <f>IF(ORCAMENTOS!B1409="","",ORCAMENTOS!B1409)</f>
        <v>1399</v>
      </c>
      <c r="C1401" s="46" t="str">
        <f>IF(ORCAMENTOS!C1409="","",ORCAMENTOS!C1409)</f>
        <v/>
      </c>
      <c r="D1401" s="37" t="str">
        <f>IF(ORCAMENTOS!D1409="","",ORCAMENTOS!D1409)</f>
        <v>VIVACE ADM</v>
      </c>
      <c r="E1401" s="38" t="str">
        <f>IF(ORCAMENTOS!E1409="","",ORCAMENTOS!E1409)</f>
        <v>-</v>
      </c>
      <c r="F1401" s="37" t="str">
        <f>IF(ORCAMENTOS!G1409="","",ORCAMENTOS!G1409)</f>
        <v>Gabriel</v>
      </c>
      <c r="G1401" s="37" t="str">
        <f>IF(ORCAMENTOS!H1409="","",ORCAMENTOS!H1409)</f>
        <v>Graziele</v>
      </c>
      <c r="H1401" s="39">
        <f>IF(ORCAMENTOS!I1409="","",ORCAMENTOS!I1409)</f>
        <v>27318.62</v>
      </c>
      <c r="I1401" s="60" t="str">
        <f>IF(ORCAMENTOS!J1409="","",ORCAMENTOS!J1409)</f>
        <v/>
      </c>
      <c r="J1401" s="40" t="str">
        <f>IF(ORCAMENTOS!L1409="","",ORCAMENTOS!L1409)</f>
        <v>CANCELADO</v>
      </c>
      <c r="K1401" s="34" t="str">
        <f>IF(ORCAMENTOS!M1409="","",ORCAMENTOS!M1409)</f>
        <v>-</v>
      </c>
      <c r="L1401" t="str">
        <f>IF(ORCAMENTOS!R1409="","",ORCAMENTOS!R1409)</f>
        <v>-</v>
      </c>
    </row>
    <row r="1402" spans="1:12" ht="15.75" hidden="1" customHeight="1" x14ac:dyDescent="0.25">
      <c r="A1402" s="36">
        <f>IF(ORCAMENTOS!A1410="","",ORCAMENTOS!A1410)</f>
        <v>45880</v>
      </c>
      <c r="B1402" s="46">
        <f>IF(ORCAMENTOS!B1410="","",ORCAMENTOS!B1410)</f>
        <v>1400</v>
      </c>
      <c r="C1402" s="46" t="str">
        <f>IF(ORCAMENTOS!C1410="","",ORCAMENTOS!C1410)</f>
        <v/>
      </c>
      <c r="D1402" s="37" t="str">
        <f>IF(ORCAMENTOS!D1410="","",ORCAMENTOS!D1410)</f>
        <v>CANCELADO</v>
      </c>
      <c r="E1402" s="38" t="str">
        <f>IF(ORCAMENTOS!E1410="","",ORCAMENTOS!E1410)</f>
        <v>CANCELADO</v>
      </c>
      <c r="F1402" s="37" t="str">
        <f>IF(ORCAMENTOS!G1410="","",ORCAMENTOS!G1410)</f>
        <v/>
      </c>
      <c r="G1402" s="37" t="str">
        <f>IF(ORCAMENTOS!H1410="","",ORCAMENTOS!H1410)</f>
        <v/>
      </c>
      <c r="H1402" s="39" t="str">
        <f>IF(ORCAMENTOS!I1410="","",ORCAMENTOS!I1410)</f>
        <v/>
      </c>
      <c r="I1402" s="60" t="str">
        <f>IF(ORCAMENTOS!J1410="","",ORCAMENTOS!J1410)</f>
        <v/>
      </c>
      <c r="J1402" s="40" t="str">
        <f>IF(ORCAMENTOS!L1410="","",ORCAMENTOS!L1410)</f>
        <v>CANCELADO</v>
      </c>
      <c r="K1402" s="34" t="str">
        <f>IF(ORCAMENTOS!M1410="","",ORCAMENTOS!M1410)</f>
        <v>-</v>
      </c>
      <c r="L1402" t="str">
        <f>IF(ORCAMENTOS!R1410="","",ORCAMENTOS!R1410)</f>
        <v>-</v>
      </c>
    </row>
    <row r="1403" spans="1:12" ht="15.75" hidden="1" customHeight="1" x14ac:dyDescent="0.25">
      <c r="A1403" s="36">
        <f>IF(ORCAMENTOS!A1411="","",ORCAMENTOS!A1411)</f>
        <v>45880</v>
      </c>
      <c r="B1403" s="46">
        <f>IF(ORCAMENTOS!B1411="","",ORCAMENTOS!B1411)</f>
        <v>1401</v>
      </c>
      <c r="C1403" s="46" t="str">
        <f>IF(ORCAMENTOS!C1411="","",ORCAMENTOS!C1411)</f>
        <v/>
      </c>
      <c r="D1403" s="37" t="str">
        <f>IF(ORCAMENTOS!D1411="","",ORCAMENTOS!D1411)</f>
        <v>HARCO ENGENHARIA</v>
      </c>
      <c r="E1403" s="38" t="str">
        <f>IF(ORCAMENTOS!E1411="","",ORCAMENTOS!E1411)</f>
        <v>D'BRESCIA - SAO BERNARDO</v>
      </c>
      <c r="F1403" s="37" t="str">
        <f>IF(ORCAMENTOS!G1411="","",ORCAMENTOS!G1411)</f>
        <v>Emanuel</v>
      </c>
      <c r="G1403" s="37" t="str">
        <f>IF(ORCAMENTOS!H1411="","",ORCAMENTOS!H1411)</f>
        <v>Andre</v>
      </c>
      <c r="H1403" s="39">
        <f>IF(ORCAMENTOS!I1411="","",ORCAMENTOS!I1411)</f>
        <v>22372.92</v>
      </c>
      <c r="I1403" s="60" t="str">
        <f>IF(ORCAMENTOS!J1411="","",ORCAMENTOS!J1411)</f>
        <v/>
      </c>
      <c r="J1403" s="40" t="str">
        <f>IF(ORCAMENTOS!L1411="","",ORCAMENTOS!L1411)</f>
        <v>CANCELADO</v>
      </c>
      <c r="K1403" s="34" t="str">
        <f>IF(ORCAMENTOS!M1411="","",ORCAMENTOS!M1411)</f>
        <v>-</v>
      </c>
      <c r="L1403" t="str">
        <f>IF(ORCAMENTOS!R1411="","",ORCAMENTOS!R1411)</f>
        <v>N/E</v>
      </c>
    </row>
    <row r="1404" spans="1:12" ht="15.75" hidden="1" customHeight="1" x14ac:dyDescent="0.25">
      <c r="A1404" s="36">
        <f>IF(ORCAMENTOS!A1412="","",ORCAMENTOS!A1412)</f>
        <v>45880</v>
      </c>
      <c r="B1404" s="46">
        <f>IF(ORCAMENTOS!B1412="","",ORCAMENTOS!B1412)</f>
        <v>1402</v>
      </c>
      <c r="C1404" s="46" t="str">
        <f>IF(ORCAMENTOS!C1412="","",ORCAMENTOS!C1412)</f>
        <v/>
      </c>
      <c r="D1404" s="37" t="str">
        <f>IF(ORCAMENTOS!D1412="","",ORCAMENTOS!D1412)</f>
        <v>DUTOPLAN</v>
      </c>
      <c r="E1404" s="38" t="str">
        <f>IF(ORCAMENTOS!E1412="","",ORCAMENTOS!E1412)</f>
        <v>-</v>
      </c>
      <c r="F1404" s="37" t="str">
        <f>IF(ORCAMENTOS!G1412="","",ORCAMENTOS!G1412)</f>
        <v>Gabriel</v>
      </c>
      <c r="G1404" s="37" t="str">
        <f>IF(ORCAMENTOS!H1412="","",ORCAMENTOS!H1412)</f>
        <v>Valmy</v>
      </c>
      <c r="H1404" s="39">
        <f>IF(ORCAMENTOS!I1412="","",ORCAMENTOS!I1412)</f>
        <v>5451.6</v>
      </c>
      <c r="I1404" s="60" t="str">
        <f>IF(ORCAMENTOS!J1412="","",ORCAMENTOS!J1412)</f>
        <v/>
      </c>
      <c r="J1404" s="40" t="str">
        <f>IF(ORCAMENTOS!L1412="","",ORCAMENTOS!L1412)</f>
        <v>FECHADO</v>
      </c>
      <c r="K1404" s="34" t="str">
        <f>IF(ORCAMENTOS!M1412="","",ORCAMENTOS!M1412)</f>
        <v>-</v>
      </c>
      <c r="L1404" t="str">
        <f>IF(ORCAMENTOS!R1412="","",ORCAMENTOS!R1412)</f>
        <v>-</v>
      </c>
    </row>
    <row r="1405" spans="1:12" ht="15.75" hidden="1" customHeight="1" x14ac:dyDescent="0.25">
      <c r="A1405" s="36">
        <f>IF(ORCAMENTOS!A1413="","",ORCAMENTOS!A1413)</f>
        <v>45880</v>
      </c>
      <c r="B1405" s="46">
        <f>IF(ORCAMENTOS!B1413="","",ORCAMENTOS!B1413)</f>
        <v>1403</v>
      </c>
      <c r="C1405" s="46" t="str">
        <f>IF(ORCAMENTOS!C1413="","",ORCAMENTOS!C1413)</f>
        <v/>
      </c>
      <c r="D1405" s="37" t="str">
        <f>IF(ORCAMENTOS!D1413="","",ORCAMENTOS!D1413)</f>
        <v>SIARCON</v>
      </c>
      <c r="E1405" s="38" t="str">
        <f>IF(ORCAMENTOS!E1413="","",ORCAMENTOS!E1413)</f>
        <v>SICOOB - GUAXUPE - MG</v>
      </c>
      <c r="F1405" s="37" t="str">
        <f>IF(ORCAMENTOS!G1413="","",ORCAMENTOS!G1413)</f>
        <v xml:space="preserve">Aldavir </v>
      </c>
      <c r="G1405" s="37" t="str">
        <f>IF(ORCAMENTOS!H1413="","",ORCAMENTOS!H1413)</f>
        <v>Victor</v>
      </c>
      <c r="H1405" s="39">
        <f>IF(ORCAMENTOS!I1413="","",ORCAMENTOS!I1413)</f>
        <v>152122.57</v>
      </c>
      <c r="I1405" s="60" t="str">
        <f>IF(ORCAMENTOS!J1413="","",ORCAMENTOS!J1413)</f>
        <v/>
      </c>
      <c r="J1405" s="40" t="str">
        <f>IF(ORCAMENTOS!L1413="","",ORCAMENTOS!L1413)</f>
        <v>CANCELADO</v>
      </c>
      <c r="K1405" s="34" t="str">
        <f>IF(ORCAMENTOS!M1413="","",ORCAMENTOS!M1413)</f>
        <v>-</v>
      </c>
      <c r="L1405" t="str">
        <f>IF(ORCAMENTOS!R1413="","",ORCAMENTOS!R1413)</f>
        <v>-</v>
      </c>
    </row>
    <row r="1406" spans="1:12" ht="15.75" hidden="1" customHeight="1" x14ac:dyDescent="0.25">
      <c r="A1406" s="36">
        <f>IF(ORCAMENTOS!A1414="","",ORCAMENTOS!A1414)</f>
        <v>45880</v>
      </c>
      <c r="B1406" s="46">
        <f>IF(ORCAMENTOS!B1414="","",ORCAMENTOS!B1414)</f>
        <v>1404</v>
      </c>
      <c r="C1406" s="46" t="str">
        <f>IF(ORCAMENTOS!C1414="","",ORCAMENTOS!C1414)</f>
        <v/>
      </c>
      <c r="D1406" s="37" t="str">
        <f>IF(ORCAMENTOS!D1414="","",ORCAMENTOS!D1414)</f>
        <v>AIRCAM</v>
      </c>
      <c r="E1406" s="38" t="str">
        <f>IF(ORCAMENTOS!E1414="","",ORCAMENTOS!E1414)</f>
        <v>-</v>
      </c>
      <c r="F1406" s="37" t="str">
        <f>IF(ORCAMENTOS!G1414="","",ORCAMENTOS!G1414)</f>
        <v>Gabriel</v>
      </c>
      <c r="G1406" s="37" t="str">
        <f>IF(ORCAMENTOS!H1414="","",ORCAMENTOS!H1414)</f>
        <v>Karina</v>
      </c>
      <c r="H1406" s="39">
        <f>IF(ORCAMENTOS!I1414="","",ORCAMENTOS!I1414)</f>
        <v>543.36</v>
      </c>
      <c r="I1406" s="60" t="str">
        <f>IF(ORCAMENTOS!J1414="","",ORCAMENTOS!J1414)</f>
        <v/>
      </c>
      <c r="J1406" s="40" t="str">
        <f>IF(ORCAMENTOS!L1414="","",ORCAMENTOS!L1414)</f>
        <v>FECHADO</v>
      </c>
      <c r="K1406" s="34" t="str">
        <f>IF(ORCAMENTOS!M1414="","",ORCAMENTOS!M1414)</f>
        <v>-</v>
      </c>
      <c r="L1406" t="str">
        <f>IF(ORCAMENTOS!R1414="","",ORCAMENTOS!R1414)</f>
        <v>-</v>
      </c>
    </row>
    <row r="1407" spans="1:12" ht="15.75" hidden="1" customHeight="1" x14ac:dyDescent="0.25">
      <c r="A1407" s="36">
        <f>IF(ORCAMENTOS!A1415="","",ORCAMENTOS!A1415)</f>
        <v>45882</v>
      </c>
      <c r="B1407" s="46">
        <f>IF(ORCAMENTOS!B1415="","",ORCAMENTOS!B1415)</f>
        <v>1405</v>
      </c>
      <c r="C1407" s="46" t="str">
        <f>IF(ORCAMENTOS!C1415="","",ORCAMENTOS!C1415)</f>
        <v/>
      </c>
      <c r="D1407" s="37" t="str">
        <f>IF(ORCAMENTOS!D1415="","",ORCAMENTOS!D1415)</f>
        <v>RM3 ENGENHARIA</v>
      </c>
      <c r="E1407" s="38" t="str">
        <f>IF(ORCAMENTOS!E1415="","",ORCAMENTOS!E1415)</f>
        <v>ACHE - DOCAS</v>
      </c>
      <c r="F1407" s="37" t="str">
        <f>IF(ORCAMENTOS!G1415="","",ORCAMENTOS!G1415)</f>
        <v>Guilherme</v>
      </c>
      <c r="G1407" s="37" t="str">
        <f>IF(ORCAMENTOS!H1415="","",ORCAMENTOS!H1415)</f>
        <v>Diego</v>
      </c>
      <c r="H1407" s="39">
        <f>IF(ORCAMENTOS!I1415="","",ORCAMENTOS!I1415)</f>
        <v>20875.36</v>
      </c>
      <c r="I1407" s="60" t="str">
        <f>IF(ORCAMENTOS!J1415="","",ORCAMENTOS!J1415)</f>
        <v/>
      </c>
      <c r="J1407" s="40" t="str">
        <f>IF(ORCAMENTOS!L1415="","",ORCAMENTOS!L1415)</f>
        <v>CANCELADO</v>
      </c>
      <c r="K1407" s="34" t="str">
        <f>IF(ORCAMENTOS!M1415="","",ORCAMENTOS!M1415)</f>
        <v>PREV AGOSTO</v>
      </c>
      <c r="L1407" t="str">
        <f>IF(ORCAMENTOS!R1415="","",ORCAMENTOS!R1415)</f>
        <v>MPU</v>
      </c>
    </row>
    <row r="1408" spans="1:12" ht="15.75" hidden="1" customHeight="1" x14ac:dyDescent="0.25">
      <c r="A1408" s="36">
        <f>IF(ORCAMENTOS!A1416="","",ORCAMENTOS!A1416)</f>
        <v>45880</v>
      </c>
      <c r="B1408" s="46">
        <f>IF(ORCAMENTOS!B1416="","",ORCAMENTOS!B1416)</f>
        <v>1406</v>
      </c>
      <c r="C1408" s="46" t="str">
        <f>IF(ORCAMENTOS!C1416="","",ORCAMENTOS!C1416)</f>
        <v/>
      </c>
      <c r="D1408" s="37" t="str">
        <f>IF(ORCAMENTOS!D1416="","",ORCAMENTOS!D1416)</f>
        <v>MONDARC</v>
      </c>
      <c r="E1408" s="38" t="str">
        <f>IF(ORCAMENTOS!E1416="","",ORCAMENTOS!E1416)</f>
        <v>YOUCOM - AMERICANA HALL</v>
      </c>
      <c r="F1408" s="37" t="str">
        <f>IF(ORCAMENTOS!G1416="","",ORCAMENTOS!G1416)</f>
        <v>Michel</v>
      </c>
      <c r="G1408" s="37" t="str">
        <f>IF(ORCAMENTOS!H1416="","",ORCAMENTOS!H1416)</f>
        <v>Fabiana</v>
      </c>
      <c r="H1408" s="39">
        <f>IF(ORCAMENTOS!I1416="","",ORCAMENTOS!I1416)</f>
        <v>11552.86</v>
      </c>
      <c r="I1408" s="60" t="str">
        <f>IF(ORCAMENTOS!J1416="","",ORCAMENTOS!J1416)</f>
        <v/>
      </c>
      <c r="J1408" s="40" t="str">
        <f>IF(ORCAMENTOS!L1416="","",ORCAMENTOS!L1416)</f>
        <v>CANCELADO</v>
      </c>
      <c r="K1408" s="34" t="str">
        <f>IF(ORCAMENTOS!M1416="","",ORCAMENTOS!M1416)</f>
        <v>-</v>
      </c>
      <c r="L1408" t="str">
        <f>IF(ORCAMENTOS!R1416="","",ORCAMENTOS!R1416)</f>
        <v>MPU</v>
      </c>
    </row>
    <row r="1409" spans="1:12" ht="15.75" hidden="1" customHeight="1" x14ac:dyDescent="0.25">
      <c r="A1409" s="36">
        <f>IF(ORCAMENTOS!A1417="","",ORCAMENTOS!A1417)</f>
        <v>45880</v>
      </c>
      <c r="B1409" s="46">
        <f>IF(ORCAMENTOS!B1417="","",ORCAMENTOS!B1417)</f>
        <v>1407</v>
      </c>
      <c r="C1409" s="46" t="str">
        <f>IF(ORCAMENTOS!C1417="","",ORCAMENTOS!C1417)</f>
        <v/>
      </c>
      <c r="D1409" s="37" t="str">
        <f>IF(ORCAMENTOS!D1417="","",ORCAMENTOS!D1417)</f>
        <v>HAITEC AR CONDICIONADO</v>
      </c>
      <c r="E1409" s="38" t="str">
        <f>IF(ORCAMENTOS!E1417="","",ORCAMENTOS!E1417)</f>
        <v>ANIMALE - MORUMBI SHOPPING</v>
      </c>
      <c r="F1409" s="37" t="str">
        <f>IF(ORCAMENTOS!G1417="","",ORCAMENTOS!G1417)</f>
        <v>Michel</v>
      </c>
      <c r="G1409" s="37" t="str">
        <f>IF(ORCAMENTOS!H1417="","",ORCAMENTOS!H1417)</f>
        <v>Nilson</v>
      </c>
      <c r="H1409" s="39">
        <f>IF(ORCAMENTOS!I1417="","",ORCAMENTOS!I1417)</f>
        <v>12684.12</v>
      </c>
      <c r="I1409" s="60" t="str">
        <f>IF(ORCAMENTOS!J1417="","",ORCAMENTOS!J1417)</f>
        <v/>
      </c>
      <c r="J1409" s="40" t="str">
        <f>IF(ORCAMENTOS!L1417="","",ORCAMENTOS!L1417)</f>
        <v>CANCELADO</v>
      </c>
      <c r="K1409" s="34" t="str">
        <f>IF(ORCAMENTOS!M1417="","",ORCAMENTOS!M1417)</f>
        <v>-</v>
      </c>
      <c r="L1409" t="str">
        <f>IF(ORCAMENTOS!R1417="","",ORCAMENTOS!R1417)</f>
        <v>CHAPA DE ACO GALVANIZADO</v>
      </c>
    </row>
    <row r="1410" spans="1:12" ht="15.75" hidden="1" customHeight="1" x14ac:dyDescent="0.25">
      <c r="A1410" s="36">
        <f>IF(ORCAMENTOS!A1418="","",ORCAMENTOS!A1418)</f>
        <v>45880</v>
      </c>
      <c r="B1410" s="46">
        <f>IF(ORCAMENTOS!B1418="","",ORCAMENTOS!B1418)</f>
        <v>1408</v>
      </c>
      <c r="C1410" s="46" t="str">
        <f>IF(ORCAMENTOS!C1418="","",ORCAMENTOS!C1418)</f>
        <v/>
      </c>
      <c r="D1410" s="37" t="str">
        <f>IF(ORCAMENTOS!D1418="","",ORCAMENTOS!D1418)</f>
        <v>AWA AR CONDICIONADO</v>
      </c>
      <c r="E1410" s="38" t="str">
        <f>IF(ORCAMENTOS!E1418="","",ORCAMENTOS!E1418)</f>
        <v>MIX MATEUS - GUARARAPES - FORTALEZA - CE</v>
      </c>
      <c r="F1410" s="37" t="str">
        <f>IF(ORCAMENTOS!G1418="","",ORCAMENTOS!G1418)</f>
        <v>Guilherme</v>
      </c>
      <c r="G1410" s="37" t="str">
        <f>IF(ORCAMENTOS!H1418="","",ORCAMENTOS!H1418)</f>
        <v>Guilherme</v>
      </c>
      <c r="H1410" s="39">
        <f>IF(ORCAMENTOS!I1418="","",ORCAMENTOS!I1418)</f>
        <v>190967.54</v>
      </c>
      <c r="I1410" s="60" t="str">
        <f>IF(ORCAMENTOS!J1418="","",ORCAMENTOS!J1418)</f>
        <v/>
      </c>
      <c r="J1410" s="40" t="str">
        <f>IF(ORCAMENTOS!L1418="","",ORCAMENTOS!L1418)</f>
        <v>CANCELADO</v>
      </c>
      <c r="K1410" s="34" t="str">
        <f>IF(ORCAMENTOS!M1418="","",ORCAMENTOS!M1418)</f>
        <v>-</v>
      </c>
      <c r="L1410" t="str">
        <f>IF(ORCAMENTOS!R1418="","",ORCAMENTOS!R1418)</f>
        <v>N/E</v>
      </c>
    </row>
    <row r="1411" spans="1:12" ht="15.75" hidden="1" customHeight="1" x14ac:dyDescent="0.25">
      <c r="A1411" s="36">
        <f>IF(ORCAMENTOS!A1419="","",ORCAMENTOS!A1419)</f>
        <v>45881</v>
      </c>
      <c r="B1411" s="46">
        <f>IF(ORCAMENTOS!B1419="","",ORCAMENTOS!B1419)</f>
        <v>1409</v>
      </c>
      <c r="C1411" s="46" t="str">
        <f>IF(ORCAMENTOS!C1419="","",ORCAMENTOS!C1419)</f>
        <v/>
      </c>
      <c r="D1411" s="37" t="str">
        <f>IF(ORCAMENTOS!D1419="","",ORCAMENTOS!D1419)</f>
        <v>BMS ENGENHARIA</v>
      </c>
      <c r="E1411" s="38" t="str">
        <f>IF(ORCAMENTOS!E1419="","",ORCAMENTOS!E1419)</f>
        <v>AUTOGLASS - VILA VELHA - ES</v>
      </c>
      <c r="F1411" s="37" t="str">
        <f>IF(ORCAMENTOS!G1419="","",ORCAMENTOS!G1419)</f>
        <v>Guilherme</v>
      </c>
      <c r="G1411" s="37" t="str">
        <f>IF(ORCAMENTOS!H1419="","",ORCAMENTOS!H1419)</f>
        <v>Jesse</v>
      </c>
      <c r="H1411" s="39">
        <f>IF(ORCAMENTOS!I1419="","",ORCAMENTOS!I1419)</f>
        <v>76534.460000000006</v>
      </c>
      <c r="I1411" s="60" t="str">
        <f>IF(ORCAMENTOS!J1419="","",ORCAMENTOS!J1419)</f>
        <v/>
      </c>
      <c r="J1411" s="40" t="str">
        <f>IF(ORCAMENTOS!L1419="","",ORCAMENTOS!L1419)</f>
        <v>FECHADO</v>
      </c>
      <c r="K1411" s="34" t="str">
        <f>IF(ORCAMENTOS!M1419="","",ORCAMENTOS!M1419)</f>
        <v>AGUARDANDO PEDIDO</v>
      </c>
      <c r="L1411" t="str">
        <f>IF(ORCAMENTOS!R1419="","",ORCAMENTOS!R1419)</f>
        <v>MPU</v>
      </c>
    </row>
    <row r="1412" spans="1:12" ht="15.75" hidden="1" customHeight="1" x14ac:dyDescent="0.25">
      <c r="A1412" s="36">
        <f>IF(ORCAMENTOS!A1420="","",ORCAMENTOS!A1420)</f>
        <v>45880</v>
      </c>
      <c r="B1412" s="46">
        <f>IF(ORCAMENTOS!B1420="","",ORCAMENTOS!B1420)</f>
        <v>1410</v>
      </c>
      <c r="C1412" s="46" t="str">
        <f>IF(ORCAMENTOS!C1420="","",ORCAMENTOS!C1420)</f>
        <v/>
      </c>
      <c r="D1412" s="37" t="str">
        <f>IF(ORCAMENTOS!D1420="","",ORCAMENTOS!D1420)</f>
        <v>PROINJECT</v>
      </c>
      <c r="E1412" s="38" t="str">
        <f>IF(ORCAMENTOS!E1420="","",ORCAMENTOS!E1420)</f>
        <v>-</v>
      </c>
      <c r="F1412" s="37" t="str">
        <f>IF(ORCAMENTOS!G1420="","",ORCAMENTOS!G1420)</f>
        <v>Gabriel</v>
      </c>
      <c r="G1412" s="37" t="str">
        <f>IF(ORCAMENTOS!H1420="","",ORCAMENTOS!H1420)</f>
        <v>Gustavo</v>
      </c>
      <c r="H1412" s="39">
        <f>IF(ORCAMENTOS!I1420="","",ORCAMENTOS!I1420)</f>
        <v>8431.7000000000007</v>
      </c>
      <c r="I1412" s="60" t="str">
        <f>IF(ORCAMENTOS!J1420="","",ORCAMENTOS!J1420)</f>
        <v/>
      </c>
      <c r="J1412" s="40" t="str">
        <f>IF(ORCAMENTOS!L1420="","",ORCAMENTOS!L1420)</f>
        <v>FECHADO</v>
      </c>
      <c r="K1412" s="34" t="str">
        <f>IF(ORCAMENTOS!M1420="","",ORCAMENTOS!M1420)</f>
        <v>-</v>
      </c>
      <c r="L1412" t="str">
        <f>IF(ORCAMENTOS!R1420="","",ORCAMENTOS!R1420)</f>
        <v>-</v>
      </c>
    </row>
    <row r="1413" spans="1:12" ht="15.75" hidden="1" customHeight="1" x14ac:dyDescent="0.25">
      <c r="A1413" s="36">
        <f>IF(ORCAMENTOS!A1421="","",ORCAMENTOS!A1421)</f>
        <v>45881</v>
      </c>
      <c r="B1413" s="46">
        <f>IF(ORCAMENTOS!B1421="","",ORCAMENTOS!B1421)</f>
        <v>1411</v>
      </c>
      <c r="C1413" s="46" t="str">
        <f>IF(ORCAMENTOS!C1421="","",ORCAMENTOS!C1421)</f>
        <v/>
      </c>
      <c r="D1413" s="37" t="str">
        <f>IF(ORCAMENTOS!D1421="","",ORCAMENTOS!D1421)</f>
        <v>EKOCLIMAX</v>
      </c>
      <c r="E1413" s="38" t="str">
        <f>IF(ORCAMENTOS!E1421="","",ORCAMENTOS!E1421)</f>
        <v>-</v>
      </c>
      <c r="F1413" s="37" t="str">
        <f>IF(ORCAMENTOS!G1421="","",ORCAMENTOS!G1421)</f>
        <v>Michel</v>
      </c>
      <c r="G1413" s="37" t="str">
        <f>IF(ORCAMENTOS!H1421="","",ORCAMENTOS!H1421)</f>
        <v>Rogerio</v>
      </c>
      <c r="H1413" s="39">
        <f>IF(ORCAMENTOS!I1421="","",ORCAMENTOS!I1421)</f>
        <v>4053.24</v>
      </c>
      <c r="I1413" s="60" t="str">
        <f>IF(ORCAMENTOS!J1421="","",ORCAMENTOS!J1421)</f>
        <v/>
      </c>
      <c r="J1413" s="40" t="str">
        <f>IF(ORCAMENTOS!L1421="","",ORCAMENTOS!L1421)</f>
        <v>FECHADO</v>
      </c>
      <c r="K1413" s="34" t="str">
        <f>IF(ORCAMENTOS!M1421="","",ORCAMENTOS!M1421)</f>
        <v>-</v>
      </c>
      <c r="L1413" t="str">
        <f>IF(ORCAMENTOS!R1421="","",ORCAMENTOS!R1421)</f>
        <v>-</v>
      </c>
    </row>
    <row r="1414" spans="1:12" ht="15.75" hidden="1" customHeight="1" x14ac:dyDescent="0.25">
      <c r="A1414" s="36">
        <f>IF(ORCAMENTOS!A1422="","",ORCAMENTOS!A1422)</f>
        <v>45881</v>
      </c>
      <c r="B1414" s="46">
        <f>IF(ORCAMENTOS!B1422="","",ORCAMENTOS!B1422)</f>
        <v>1412</v>
      </c>
      <c r="C1414" s="46" t="str">
        <f>IF(ORCAMENTOS!C1422="","",ORCAMENTOS!C1422)</f>
        <v/>
      </c>
      <c r="D1414" s="37" t="str">
        <f>IF(ORCAMENTOS!D1422="","",ORCAMENTOS!D1422)</f>
        <v>ARCOSERV</v>
      </c>
      <c r="E1414" s="38" t="str">
        <f>IF(ORCAMENTOS!E1422="","",ORCAMENTOS!E1422)</f>
        <v>PORTO SÃO PEDRO</v>
      </c>
      <c r="F1414" s="37" t="str">
        <f>IF(ORCAMENTOS!G1422="","",ORCAMENTOS!G1422)</f>
        <v xml:space="preserve">Aldavir </v>
      </c>
      <c r="G1414" s="37" t="str">
        <f>IF(ORCAMENTOS!H1422="","",ORCAMENTOS!H1422)</f>
        <v>Rubens</v>
      </c>
      <c r="H1414" s="39">
        <f>IF(ORCAMENTOS!I1422="","",ORCAMENTOS!I1422)</f>
        <v>7679.05</v>
      </c>
      <c r="I1414" s="60" t="str">
        <f>IF(ORCAMENTOS!J1422="","",ORCAMENTOS!J1422)</f>
        <v/>
      </c>
      <c r="J1414" s="40" t="str">
        <f>IF(ORCAMENTOS!L1422="","",ORCAMENTOS!L1422)</f>
        <v>CANCELADO</v>
      </c>
      <c r="K1414" s="34" t="str">
        <f>IF(ORCAMENTOS!M1422="","",ORCAMENTOS!M1422)</f>
        <v>-</v>
      </c>
      <c r="L1414" t="str">
        <f>IF(ORCAMENTOS!R1422="","",ORCAMENTOS!R1422)</f>
        <v>-</v>
      </c>
    </row>
    <row r="1415" spans="1:12" ht="15.75" hidden="1" customHeight="1" x14ac:dyDescent="0.25">
      <c r="A1415" s="36">
        <f>IF(ORCAMENTOS!A1423="","",ORCAMENTOS!A1423)</f>
        <v>45881</v>
      </c>
      <c r="B1415" s="46">
        <f>IF(ORCAMENTOS!B1423="","",ORCAMENTOS!B1423)</f>
        <v>1413</v>
      </c>
      <c r="C1415" s="46" t="str">
        <f>IF(ORCAMENTOS!C1423="","",ORCAMENTOS!C1423)</f>
        <v/>
      </c>
      <c r="D1415" s="37" t="str">
        <f>IF(ORCAMENTOS!D1423="","",ORCAMENTOS!D1423)</f>
        <v>CHRISTAR</v>
      </c>
      <c r="E1415" s="38" t="str">
        <f>IF(ORCAMENTOS!E1423="","",ORCAMENTOS!E1423)</f>
        <v>SMARTI FIT - TATUAPÉ / SP</v>
      </c>
      <c r="F1415" s="37" t="str">
        <f>IF(ORCAMENTOS!G1423="","",ORCAMENTOS!G1423)</f>
        <v xml:space="preserve">Aldavir </v>
      </c>
      <c r="G1415" s="37" t="str">
        <f>IF(ORCAMENTOS!H1423="","",ORCAMENTOS!H1423)</f>
        <v>Anerson</v>
      </c>
      <c r="H1415" s="39">
        <f>IF(ORCAMENTOS!I1423="","",ORCAMENTOS!I1423)</f>
        <v>185778.32</v>
      </c>
      <c r="I1415" s="60" t="str">
        <f>IF(ORCAMENTOS!J1423="","",ORCAMENTOS!J1423)</f>
        <v/>
      </c>
      <c r="J1415" s="40" t="str">
        <f>IF(ORCAMENTOS!L1423="","",ORCAMENTOS!L1423)</f>
        <v>CANCELADO</v>
      </c>
      <c r="K1415" s="34" t="str">
        <f>IF(ORCAMENTOS!M1423="","",ORCAMENTOS!M1423)</f>
        <v>OBRA DA SATURNO AR</v>
      </c>
      <c r="L1415" t="str">
        <f>IF(ORCAMENTOS!R1423="","",ORCAMENTOS!R1423)</f>
        <v>-</v>
      </c>
    </row>
    <row r="1416" spans="1:12" ht="15.75" hidden="1" customHeight="1" x14ac:dyDescent="0.25">
      <c r="A1416" s="36">
        <f>IF(ORCAMENTOS!A1424="","",ORCAMENTOS!A1424)</f>
        <v>45881</v>
      </c>
      <c r="B1416" s="46">
        <f>IF(ORCAMENTOS!B1424="","",ORCAMENTOS!B1424)</f>
        <v>1414</v>
      </c>
      <c r="C1416" s="46" t="str">
        <f>IF(ORCAMENTOS!C1424="","",ORCAMENTOS!C1424)</f>
        <v/>
      </c>
      <c r="D1416" s="37" t="str">
        <f>IF(ORCAMENTOS!D1424="","",ORCAMENTOS!D1424)</f>
        <v>ENGEMAC</v>
      </c>
      <c r="E1416" s="38" t="str">
        <f>IF(ORCAMENTOS!E1424="","",ORCAMENTOS!E1424)</f>
        <v>LIB - LABORATORIO DE IMAGNES BIOLOGICAS - CAMPINAS - SP</v>
      </c>
      <c r="F1416" s="37" t="str">
        <f>IF(ORCAMENTOS!G1424="","",ORCAMENTOS!G1424)</f>
        <v>Fernando</v>
      </c>
      <c r="G1416" s="37" t="str">
        <f>IF(ORCAMENTOS!H1424="","",ORCAMENTOS!H1424)</f>
        <v>Rodrigo</v>
      </c>
      <c r="H1416" s="39">
        <f>IF(ORCAMENTOS!I1424="","",ORCAMENTOS!I1424)</f>
        <v>28393.72</v>
      </c>
      <c r="I1416" s="60" t="str">
        <f>IF(ORCAMENTOS!J1424="","",ORCAMENTOS!J1424)</f>
        <v/>
      </c>
      <c r="J1416" s="40" t="str">
        <f>IF(ORCAMENTOS!L1424="","",ORCAMENTOS!L1424)</f>
        <v>CANCELADO</v>
      </c>
      <c r="K1416" s="34" t="str">
        <f>IF(ORCAMENTOS!M1424="","",ORCAMENTOS!M1424)</f>
        <v>PERDERAM</v>
      </c>
      <c r="L1416" t="str">
        <f>IF(ORCAMENTOS!R1424="","",ORCAMENTOS!R1424)</f>
        <v>N/E</v>
      </c>
    </row>
    <row r="1417" spans="1:12" ht="15.75" hidden="1" customHeight="1" x14ac:dyDescent="0.25">
      <c r="A1417" s="36">
        <f>IF(ORCAMENTOS!A1425="","",ORCAMENTOS!A1425)</f>
        <v>45882</v>
      </c>
      <c r="B1417" s="46">
        <f>IF(ORCAMENTOS!B1425="","",ORCAMENTOS!B1425)</f>
        <v>1415</v>
      </c>
      <c r="C1417" s="46" t="str">
        <f>IF(ORCAMENTOS!C1425="","",ORCAMENTOS!C1425)</f>
        <v/>
      </c>
      <c r="D1417" s="37" t="str">
        <f>IF(ORCAMENTOS!D1425="","",ORCAMENTOS!D1425)</f>
        <v>RECLIMA</v>
      </c>
      <c r="E1417" s="38" t="str">
        <f>IF(ORCAMENTOS!E1425="","",ORCAMENTOS!E1425)</f>
        <v>-</v>
      </c>
      <c r="F1417" s="37" t="str">
        <f>IF(ORCAMENTOS!G1425="","",ORCAMENTOS!G1425)</f>
        <v>Michel</v>
      </c>
      <c r="G1417" s="37" t="str">
        <f>IF(ORCAMENTOS!H1425="","",ORCAMENTOS!H1425)</f>
        <v>Renata</v>
      </c>
      <c r="H1417" s="39">
        <f>IF(ORCAMENTOS!I1425="","",ORCAMENTOS!I1425)</f>
        <v>14180.67</v>
      </c>
      <c r="I1417" s="60" t="str">
        <f>IF(ORCAMENTOS!J1425="","",ORCAMENTOS!J1425)</f>
        <v/>
      </c>
      <c r="J1417" s="40" t="str">
        <f>IF(ORCAMENTOS!L1425="","",ORCAMENTOS!L1425)</f>
        <v>FECHADO</v>
      </c>
      <c r="K1417" s="34" t="str">
        <f>IF(ORCAMENTOS!M1425="","",ORCAMENTOS!M1425)</f>
        <v>-</v>
      </c>
      <c r="L1417" t="str">
        <f>IF(ORCAMENTOS!R1425="","",ORCAMENTOS!R1425)</f>
        <v>-</v>
      </c>
    </row>
    <row r="1418" spans="1:12" ht="15.75" hidden="1" customHeight="1" x14ac:dyDescent="0.25">
      <c r="A1418" s="36">
        <f>IF(ORCAMENTOS!A1426="","",ORCAMENTOS!A1426)</f>
        <v>45881</v>
      </c>
      <c r="B1418" s="46">
        <f>IF(ORCAMENTOS!B1426="","",ORCAMENTOS!B1426)</f>
        <v>1416</v>
      </c>
      <c r="C1418" s="46" t="str">
        <f>IF(ORCAMENTOS!C1426="","",ORCAMENTOS!C1426)</f>
        <v/>
      </c>
      <c r="D1418" s="37" t="str">
        <f>IF(ORCAMENTOS!D1426="","",ORCAMENTOS!D1426)</f>
        <v>VELTTER ENGENHARIA</v>
      </c>
      <c r="E1418" s="38" t="str">
        <f>IF(ORCAMENTOS!E1426="","",ORCAMENTOS!E1426)</f>
        <v>GUILHERME RODRIGUES - OURINHOS - SP</v>
      </c>
      <c r="F1418" s="37" t="str">
        <f>IF(ORCAMENTOS!G1426="","",ORCAMENTOS!G1426)</f>
        <v>Gabriel</v>
      </c>
      <c r="G1418" s="37" t="str">
        <f>IF(ORCAMENTOS!H1426="","",ORCAMENTOS!H1426)</f>
        <v>Guilherme</v>
      </c>
      <c r="H1418" s="39">
        <f>IF(ORCAMENTOS!I1426="","",ORCAMENTOS!I1426)</f>
        <v>5498.67</v>
      </c>
      <c r="I1418" s="60" t="str">
        <f>IF(ORCAMENTOS!J1426="","",ORCAMENTOS!J1426)</f>
        <v/>
      </c>
      <c r="J1418" s="40" t="str">
        <f>IF(ORCAMENTOS!L1426="","",ORCAMENTOS!L1426)</f>
        <v>FECHADO</v>
      </c>
      <c r="K1418" s="34" t="str">
        <f>IF(ORCAMENTOS!M1426="","",ORCAMENTOS!M1426)</f>
        <v>-</v>
      </c>
      <c r="L1418" t="str">
        <f>IF(ORCAMENTOS!R1426="","",ORCAMENTOS!R1426)</f>
        <v>N/E</v>
      </c>
    </row>
    <row r="1419" spans="1:12" ht="15.75" hidden="1" customHeight="1" x14ac:dyDescent="0.25">
      <c r="A1419" s="36">
        <f>IF(ORCAMENTOS!A1427="","",ORCAMENTOS!A1427)</f>
        <v>45882</v>
      </c>
      <c r="B1419" s="46">
        <f>IF(ORCAMENTOS!B1427="","",ORCAMENTOS!B1427)</f>
        <v>1417</v>
      </c>
      <c r="C1419" s="46" t="str">
        <f>IF(ORCAMENTOS!C1427="","",ORCAMENTOS!C1427)</f>
        <v/>
      </c>
      <c r="D1419" s="37" t="str">
        <f>IF(ORCAMENTOS!D1427="","",ORCAMENTOS!D1427)</f>
        <v>CHARLES NASCIMENTO</v>
      </c>
      <c r="E1419" s="38" t="str">
        <f>IF(ORCAMENTOS!E1427="","",ORCAMENTOS!E1427)</f>
        <v>-</v>
      </c>
      <c r="F1419" s="37" t="str">
        <f>IF(ORCAMENTOS!G1427="","",ORCAMENTOS!G1427)</f>
        <v>Gabriel</v>
      </c>
      <c r="G1419" s="37" t="str">
        <f>IF(ORCAMENTOS!H1427="","",ORCAMENTOS!H1427)</f>
        <v>Charles</v>
      </c>
      <c r="H1419" s="39">
        <f>IF(ORCAMENTOS!I1427="","",ORCAMENTOS!I1427)</f>
        <v>16722.66</v>
      </c>
      <c r="I1419" s="60" t="str">
        <f>IF(ORCAMENTOS!J1427="","",ORCAMENTOS!J1427)</f>
        <v/>
      </c>
      <c r="J1419" s="40" t="str">
        <f>IF(ORCAMENTOS!L1427="","",ORCAMENTOS!L1427)</f>
        <v>FECHADO</v>
      </c>
      <c r="K1419" s="34" t="str">
        <f>IF(ORCAMENTOS!M1427="","",ORCAMENTOS!M1427)</f>
        <v>-</v>
      </c>
      <c r="L1419" t="str">
        <f>IF(ORCAMENTOS!R1427="","",ORCAMENTOS!R1427)</f>
        <v>-</v>
      </c>
    </row>
    <row r="1420" spans="1:12" ht="15.75" hidden="1" customHeight="1" x14ac:dyDescent="0.25">
      <c r="A1420" s="36">
        <f>IF(ORCAMENTOS!A1428="","",ORCAMENTOS!A1428)</f>
        <v>45882</v>
      </c>
      <c r="B1420" s="46">
        <f>IF(ORCAMENTOS!B1428="","",ORCAMENTOS!B1428)</f>
        <v>1418</v>
      </c>
      <c r="C1420" s="46" t="str">
        <f>IF(ORCAMENTOS!C1428="","",ORCAMENTOS!C1428)</f>
        <v/>
      </c>
      <c r="D1420" s="37" t="str">
        <f>IF(ORCAMENTOS!D1428="","",ORCAMENTOS!D1428)</f>
        <v>ENGEMAC</v>
      </c>
      <c r="E1420" s="38" t="str">
        <f>IF(ORCAMENTOS!E1428="","",ORCAMENTOS!E1428)</f>
        <v>ACADEMIA GAVIOES - CAJAMAR</v>
      </c>
      <c r="F1420" s="37" t="str">
        <f>IF(ORCAMENTOS!G1428="","",ORCAMENTOS!G1428)</f>
        <v>Fernando</v>
      </c>
      <c r="G1420" s="37" t="str">
        <f>IF(ORCAMENTOS!H1428="","",ORCAMENTOS!H1428)</f>
        <v>Rodrigo</v>
      </c>
      <c r="H1420" s="39">
        <f>IF(ORCAMENTOS!I1428="","",ORCAMENTOS!I1428)</f>
        <v>50602.63</v>
      </c>
      <c r="I1420" s="60" t="str">
        <f>IF(ORCAMENTOS!J1428="","",ORCAMENTOS!J1428)</f>
        <v/>
      </c>
      <c r="J1420" s="40" t="str">
        <f>IF(ORCAMENTOS!L1428="","",ORCAMENTOS!L1428)</f>
        <v>CANCELADO</v>
      </c>
      <c r="K1420" s="34" t="str">
        <f>IF(ORCAMENTOS!M1428="","",ORCAMENTOS!M1428)</f>
        <v>BOAS CHANCES</v>
      </c>
      <c r="L1420" t="str">
        <f>IF(ORCAMENTOS!R1428="","",ORCAMENTOS!R1428)</f>
        <v>-</v>
      </c>
    </row>
    <row r="1421" spans="1:12" ht="15.75" hidden="1" customHeight="1" x14ac:dyDescent="0.25">
      <c r="A1421" s="36">
        <f>IF(ORCAMENTOS!A1429="","",ORCAMENTOS!A1429)</f>
        <v>45882</v>
      </c>
      <c r="B1421" s="46">
        <f>IF(ORCAMENTOS!B1429="","",ORCAMENTOS!B1429)</f>
        <v>1419</v>
      </c>
      <c r="C1421" s="46" t="str">
        <f>IF(ORCAMENTOS!C1429="","",ORCAMENTOS!C1429)</f>
        <v/>
      </c>
      <c r="D1421" s="37" t="str">
        <f>IF(ORCAMENTOS!D1429="","",ORCAMENTOS!D1429)</f>
        <v>BIOSAFE</v>
      </c>
      <c r="E1421" s="38" t="str">
        <f>IF(ORCAMENTOS!E1429="","",ORCAMENTOS!E1429)</f>
        <v>-</v>
      </c>
      <c r="F1421" s="37" t="str">
        <f>IF(ORCAMENTOS!G1429="","",ORCAMENTOS!G1429)</f>
        <v>Michel</v>
      </c>
      <c r="G1421" s="37" t="str">
        <f>IF(ORCAMENTOS!H1429="","",ORCAMENTOS!H1429)</f>
        <v>Marcia</v>
      </c>
      <c r="H1421" s="39">
        <f>IF(ORCAMENTOS!I1429="","",ORCAMENTOS!I1429)</f>
        <v>43773.24</v>
      </c>
      <c r="I1421" s="60" t="str">
        <f>IF(ORCAMENTOS!J1429="","",ORCAMENTOS!J1429)</f>
        <v/>
      </c>
      <c r="J1421" s="40" t="str">
        <f>IF(ORCAMENTOS!L1429="","",ORCAMENTOS!L1429)</f>
        <v>PERDIDO</v>
      </c>
      <c r="K1421" s="34" t="str">
        <f>IF(ORCAMENTOS!M1429="","",ORCAMENTOS!M1429)</f>
        <v>MPU E ARCOTEC</v>
      </c>
      <c r="L1421" t="str">
        <f>IF(ORCAMENTOS!R1429="","",ORCAMENTOS!R1429)</f>
        <v>-</v>
      </c>
    </row>
    <row r="1422" spans="1:12" ht="15.75" hidden="1" customHeight="1" x14ac:dyDescent="0.25">
      <c r="A1422" s="36">
        <f>IF(ORCAMENTOS!A1430="","",ORCAMENTOS!A1430)</f>
        <v>45882</v>
      </c>
      <c r="B1422" s="46">
        <f>IF(ORCAMENTOS!B1430="","",ORCAMENTOS!B1430)</f>
        <v>1420</v>
      </c>
      <c r="C1422" s="46" t="str">
        <f>IF(ORCAMENTOS!C1430="","",ORCAMENTOS!C1430)</f>
        <v/>
      </c>
      <c r="D1422" s="37" t="str">
        <f>IF(ORCAMENTOS!D1430="","",ORCAMENTOS!D1430)</f>
        <v>AMS INSTALACOES</v>
      </c>
      <c r="E1422" s="38" t="str">
        <f>IF(ORCAMENTOS!E1430="","",ORCAMENTOS!E1430)</f>
        <v>ASSAI - SUMARE - SP - ADM</v>
      </c>
      <c r="F1422" s="37" t="str">
        <f>IF(ORCAMENTOS!G1430="","",ORCAMENTOS!G1430)</f>
        <v>Gabriel</v>
      </c>
      <c r="G1422" s="37" t="str">
        <f>IF(ORCAMENTOS!H1430="","",ORCAMENTOS!H1430)</f>
        <v>Albertino</v>
      </c>
      <c r="H1422" s="39">
        <f>IF(ORCAMENTOS!I1430="","",ORCAMENTOS!I1430)</f>
        <v>56245.43</v>
      </c>
      <c r="I1422" s="60" t="str">
        <f>IF(ORCAMENTOS!J1430="","",ORCAMENTOS!J1430)</f>
        <v/>
      </c>
      <c r="J1422" s="40" t="str">
        <f>IF(ORCAMENTOS!L1430="","",ORCAMENTOS!L1430)</f>
        <v>FECHADO</v>
      </c>
      <c r="K1422" s="34" t="str">
        <f>IF(ORCAMENTOS!M1430="","",ORCAMENTOS!M1430)</f>
        <v>-</v>
      </c>
      <c r="L1422" t="str">
        <f>IF(ORCAMENTOS!R1430="","",ORCAMENTOS!R1430)</f>
        <v>MPU</v>
      </c>
    </row>
    <row r="1423" spans="1:12" ht="15.75" hidden="1" customHeight="1" x14ac:dyDescent="0.25">
      <c r="A1423" s="36">
        <f>IF(ORCAMENTOS!A1431="","",ORCAMENTOS!A1431)</f>
        <v>45882</v>
      </c>
      <c r="B1423" s="46">
        <f>IF(ORCAMENTOS!B1431="","",ORCAMENTOS!B1431)</f>
        <v>1421</v>
      </c>
      <c r="C1423" s="46" t="str">
        <f>IF(ORCAMENTOS!C1431="","",ORCAMENTOS!C1431)</f>
        <v/>
      </c>
      <c r="D1423" s="37" t="str">
        <f>IF(ORCAMENTOS!D1431="","",ORCAMENTOS!D1431)</f>
        <v>AMS INSTALACOES</v>
      </c>
      <c r="E1423" s="38" t="str">
        <f>IF(ORCAMENTOS!E1431="","",ORCAMENTOS!E1431)</f>
        <v>ASSAI - SUMARE - SP - SALAO DE VENDAS</v>
      </c>
      <c r="F1423" s="37" t="str">
        <f>IF(ORCAMENTOS!G1431="","",ORCAMENTOS!G1431)</f>
        <v>Gabriel</v>
      </c>
      <c r="G1423" s="37" t="str">
        <f>IF(ORCAMENTOS!H1431="","",ORCAMENTOS!H1431)</f>
        <v>Albertino</v>
      </c>
      <c r="H1423" s="39">
        <f>IF(ORCAMENTOS!I1431="","",ORCAMENTOS!I1431)</f>
        <v>148607.22</v>
      </c>
      <c r="I1423" s="60" t="str">
        <f>IF(ORCAMENTOS!J1431="","",ORCAMENTOS!J1431)</f>
        <v/>
      </c>
      <c r="J1423" s="40" t="str">
        <f>IF(ORCAMENTOS!L1431="","",ORCAMENTOS!L1431)</f>
        <v>FECHADO</v>
      </c>
      <c r="K1423" s="34" t="str">
        <f>IF(ORCAMENTOS!M1431="","",ORCAMENTOS!M1431)</f>
        <v>-</v>
      </c>
      <c r="L1423" t="str">
        <f>IF(ORCAMENTOS!R1431="","",ORCAMENTOS!R1431)</f>
        <v>MPU</v>
      </c>
    </row>
    <row r="1424" spans="1:12" ht="15.75" hidden="1" customHeight="1" x14ac:dyDescent="0.25">
      <c r="A1424" s="36">
        <f>IF(ORCAMENTOS!A1432="","",ORCAMENTOS!A1432)</f>
        <v>45882</v>
      </c>
      <c r="B1424" s="46">
        <f>IF(ORCAMENTOS!B1432="","",ORCAMENTOS!B1432)</f>
        <v>1422</v>
      </c>
      <c r="C1424" s="46" t="str">
        <f>IF(ORCAMENTOS!C1432="","",ORCAMENTOS!C1432)</f>
        <v/>
      </c>
      <c r="D1424" s="37" t="str">
        <f>IF(ORCAMENTOS!D1432="","",ORCAMENTOS!D1432)</f>
        <v>SERTTA ENGENHARIA</v>
      </c>
      <c r="E1424" s="38" t="str">
        <f>IF(ORCAMENTOS!E1432="","",ORCAMENTOS!E1432)</f>
        <v>ENERGISA - VITORIA - ES</v>
      </c>
      <c r="F1424" s="37" t="str">
        <f>IF(ORCAMENTOS!G1432="","",ORCAMENTOS!G1432)</f>
        <v>Emanuel</v>
      </c>
      <c r="G1424" s="37" t="str">
        <f>IF(ORCAMENTOS!H1432="","",ORCAMENTOS!H1432)</f>
        <v>Liliane</v>
      </c>
      <c r="H1424" s="39">
        <f>IF(ORCAMENTOS!I1432="","",ORCAMENTOS!I1432)</f>
        <v>18286.63</v>
      </c>
      <c r="I1424" s="60" t="str">
        <f>IF(ORCAMENTOS!J1432="","",ORCAMENTOS!J1432)</f>
        <v/>
      </c>
      <c r="J1424" s="40" t="str">
        <f>IF(ORCAMENTOS!L1432="","",ORCAMENTOS!L1432)</f>
        <v>FECHADO</v>
      </c>
      <c r="K1424" s="34" t="str">
        <f>IF(ORCAMENTOS!M1432="","",ORCAMENTOS!M1432)</f>
        <v>AGUARDANDO PEDIDO</v>
      </c>
      <c r="L1424" t="str">
        <f>IF(ORCAMENTOS!R1432="","",ORCAMENTOS!R1432)</f>
        <v>-</v>
      </c>
    </row>
    <row r="1425" spans="1:12" ht="15.75" hidden="1" customHeight="1" x14ac:dyDescent="0.25">
      <c r="A1425" s="36">
        <f>IF(ORCAMENTOS!A1433="","",ORCAMENTOS!A1433)</f>
        <v>45882</v>
      </c>
      <c r="B1425" s="46">
        <f>IF(ORCAMENTOS!B1433="","",ORCAMENTOS!B1433)</f>
        <v>1423</v>
      </c>
      <c r="C1425" s="46" t="str">
        <f>IF(ORCAMENTOS!C1433="","",ORCAMENTOS!C1433)</f>
        <v/>
      </c>
      <c r="D1425" s="37" t="str">
        <f>IF(ORCAMENTOS!D1433="","",ORCAMENTOS!D1433)</f>
        <v>RM3 ENGENHARIA</v>
      </c>
      <c r="E1425" s="38" t="str">
        <f>IF(ORCAMENTOS!E1433="","",ORCAMENTOS!E1433)</f>
        <v>SAVEGNAGO INDAIATUBA</v>
      </c>
      <c r="F1425" s="37" t="str">
        <f>IF(ORCAMENTOS!G1433="","",ORCAMENTOS!G1433)</f>
        <v>Guilherme</v>
      </c>
      <c r="G1425" s="37" t="str">
        <f>IF(ORCAMENTOS!H1433="","",ORCAMENTOS!H1433)</f>
        <v>Janice</v>
      </c>
      <c r="H1425" s="39">
        <f>IF(ORCAMENTOS!I1433="","",ORCAMENTOS!I1433)</f>
        <v>11766.67</v>
      </c>
      <c r="I1425" s="60" t="str">
        <f>IF(ORCAMENTOS!J1433="","",ORCAMENTOS!J1433)</f>
        <v/>
      </c>
      <c r="J1425" s="40" t="str">
        <f>IF(ORCAMENTOS!L1433="","",ORCAMENTOS!L1433)</f>
        <v>FECHADO</v>
      </c>
      <c r="K1425" s="34" t="str">
        <f>IF(ORCAMENTOS!M1433="","",ORCAMENTOS!M1433)</f>
        <v>-</v>
      </c>
      <c r="L1425" t="str">
        <f>IF(ORCAMENTOS!R1433="","",ORCAMENTOS!R1433)</f>
        <v>-</v>
      </c>
    </row>
    <row r="1426" spans="1:12" ht="15.75" hidden="1" customHeight="1" x14ac:dyDescent="0.25">
      <c r="A1426" s="36">
        <f>IF(ORCAMENTOS!A1434="","",ORCAMENTOS!A1434)</f>
        <v>45882</v>
      </c>
      <c r="B1426" s="46">
        <f>IF(ORCAMENTOS!B1434="","",ORCAMENTOS!B1434)</f>
        <v>1424</v>
      </c>
      <c r="C1426" s="46" t="str">
        <f>IF(ORCAMENTOS!C1434="","",ORCAMENTOS!C1434)</f>
        <v/>
      </c>
      <c r="D1426" s="37" t="str">
        <f>IF(ORCAMENTOS!D1434="","",ORCAMENTOS!D1434)</f>
        <v>TERMOCLIMA</v>
      </c>
      <c r="E1426" s="38" t="str">
        <f>IF(ORCAMENTOS!E1434="","",ORCAMENTOS!E1434)</f>
        <v>ASSAI - LOJA ITAQUERA - SP</v>
      </c>
      <c r="F1426" s="37" t="str">
        <f>IF(ORCAMENTOS!G1434="","",ORCAMENTOS!G1434)</f>
        <v>Gabriel</v>
      </c>
      <c r="G1426" s="37" t="str">
        <f>IF(ORCAMENTOS!H1434="","",ORCAMENTOS!H1434)</f>
        <v>Pedro</v>
      </c>
      <c r="H1426" s="39">
        <f>IF(ORCAMENTOS!I1434="","",ORCAMENTOS!I1434)</f>
        <v>49041.11</v>
      </c>
      <c r="I1426" s="60" t="str">
        <f>IF(ORCAMENTOS!J1434="","",ORCAMENTOS!J1434)</f>
        <v/>
      </c>
      <c r="J1426" s="40" t="str">
        <f>IF(ORCAMENTOS!L1434="","",ORCAMENTOS!L1434)</f>
        <v>CANCELADO</v>
      </c>
      <c r="K1426" s="34" t="str">
        <f>IF(ORCAMENTOS!M1434="","",ORCAMENTOS!M1434)</f>
        <v>-</v>
      </c>
      <c r="L1426" t="str">
        <f>IF(ORCAMENTOS!R1434="","",ORCAMENTOS!R1434)</f>
        <v>MPU</v>
      </c>
    </row>
    <row r="1427" spans="1:12" ht="15.75" hidden="1" customHeight="1" x14ac:dyDescent="0.25">
      <c r="A1427" s="36">
        <f>IF(ORCAMENTOS!A1435="","",ORCAMENTOS!A1435)</f>
        <v>45882</v>
      </c>
      <c r="B1427" s="46">
        <f>IF(ORCAMENTOS!B1435="","",ORCAMENTOS!B1435)</f>
        <v>1425</v>
      </c>
      <c r="C1427" s="46" t="str">
        <f>IF(ORCAMENTOS!C1435="","",ORCAMENTOS!C1435)</f>
        <v/>
      </c>
      <c r="D1427" s="37" t="str">
        <f>IF(ORCAMENTOS!D1435="","",ORCAMENTOS!D1435)</f>
        <v>SOMMARE</v>
      </c>
      <c r="E1427" s="38" t="str">
        <f>IF(ORCAMENTOS!E1435="","",ORCAMENTOS!E1435)</f>
        <v>HOSPITAL UNIVERSITARIO DA UFGD - DOURADOS - MS</v>
      </c>
      <c r="F1427" s="37" t="str">
        <f>IF(ORCAMENTOS!G1435="","",ORCAMENTOS!G1435)</f>
        <v>Gabriel</v>
      </c>
      <c r="G1427" s="37" t="str">
        <f>IF(ORCAMENTOS!H1435="","",ORCAMENTOS!H1435)</f>
        <v>Carlos</v>
      </c>
      <c r="H1427" s="39">
        <f>IF(ORCAMENTOS!I1435="","",ORCAMENTOS!I1435)</f>
        <v>72562.179999999993</v>
      </c>
      <c r="I1427" s="60" t="str">
        <f>IF(ORCAMENTOS!J1435="","",ORCAMENTOS!J1435)</f>
        <v/>
      </c>
      <c r="J1427" s="40" t="str">
        <f>IF(ORCAMENTOS!L1435="","",ORCAMENTOS!L1435)</f>
        <v>CANCELADO</v>
      </c>
      <c r="K1427" s="34" t="str">
        <f>IF(ORCAMENTOS!M1435="","",ORCAMENTOS!M1435)</f>
        <v>-</v>
      </c>
      <c r="L1427" t="str">
        <f>IF(ORCAMENTOS!R1435="","",ORCAMENTOS!R1435)</f>
        <v>MPU</v>
      </c>
    </row>
    <row r="1428" spans="1:12" ht="15.75" hidden="1" customHeight="1" x14ac:dyDescent="0.25">
      <c r="A1428" s="36">
        <f>IF(ORCAMENTOS!A1436="","",ORCAMENTOS!A1436)</f>
        <v>45882</v>
      </c>
      <c r="B1428" s="46">
        <f>IF(ORCAMENTOS!B1436="","",ORCAMENTOS!B1436)</f>
        <v>1426</v>
      </c>
      <c r="C1428" s="46" t="str">
        <f>IF(ORCAMENTOS!C1436="","",ORCAMENTOS!C1436)</f>
        <v/>
      </c>
      <c r="D1428" s="37" t="str">
        <f>IF(ORCAMENTOS!D1436="","",ORCAMENTOS!D1436)</f>
        <v>ECOLOGIC AIR</v>
      </c>
      <c r="E1428" s="38" t="str">
        <f>IF(ORCAMENTOS!E1436="","",ORCAMENTOS!E1436)</f>
        <v>NIKE - BALNEARIO SHOPPING/SC</v>
      </c>
      <c r="F1428" s="37" t="str">
        <f>IF(ORCAMENTOS!G1436="","",ORCAMENTOS!G1436)</f>
        <v>Michel</v>
      </c>
      <c r="G1428" s="37" t="str">
        <f>IF(ORCAMENTOS!H1436="","",ORCAMENTOS!H1436)</f>
        <v>Vinicius</v>
      </c>
      <c r="H1428" s="39">
        <f>IF(ORCAMENTOS!I1436="","",ORCAMENTOS!I1436)</f>
        <v>60000</v>
      </c>
      <c r="I1428" s="60" t="str">
        <f>IF(ORCAMENTOS!J1436="","",ORCAMENTOS!J1436)</f>
        <v/>
      </c>
      <c r="J1428" s="40" t="str">
        <f>IF(ORCAMENTOS!L1436="","",ORCAMENTOS!L1436)</f>
        <v>FECHADO</v>
      </c>
      <c r="K1428" s="34" t="str">
        <f>IF(ORCAMENTOS!M1436="","",ORCAMENTOS!M1436)</f>
        <v>-</v>
      </c>
      <c r="L1428" t="str">
        <f>IF(ORCAMENTOS!R1436="","",ORCAMENTOS!R1436)</f>
        <v>N/E</v>
      </c>
    </row>
    <row r="1429" spans="1:12" ht="15.75" hidden="1" customHeight="1" x14ac:dyDescent="0.25">
      <c r="A1429" s="36">
        <f>IF(ORCAMENTOS!A1437="","",ORCAMENTOS!A1437)</f>
        <v>45882</v>
      </c>
      <c r="B1429" s="46">
        <f>IF(ORCAMENTOS!B1437="","",ORCAMENTOS!B1437)</f>
        <v>1427</v>
      </c>
      <c r="C1429" s="46" t="str">
        <f>IF(ORCAMENTOS!C1437="","",ORCAMENTOS!C1437)</f>
        <v/>
      </c>
      <c r="D1429" s="37" t="str">
        <f>IF(ORCAMENTOS!D1437="","",ORCAMENTOS!D1437)</f>
        <v>PU DUTOS</v>
      </c>
      <c r="E1429" s="38" t="str">
        <f>IF(ORCAMENTOS!E1437="","",ORCAMENTOS!E1437)</f>
        <v>-</v>
      </c>
      <c r="F1429" s="37" t="str">
        <f>IF(ORCAMENTOS!G1437="","",ORCAMENTOS!G1437)</f>
        <v>Gabriel</v>
      </c>
      <c r="G1429" s="37" t="str">
        <f>IF(ORCAMENTOS!H1437="","",ORCAMENTOS!H1437)</f>
        <v>Thiago</v>
      </c>
      <c r="H1429" s="39">
        <f>IF(ORCAMENTOS!I1437="","",ORCAMENTOS!I1437)</f>
        <v>3528.55</v>
      </c>
      <c r="I1429" s="60" t="str">
        <f>IF(ORCAMENTOS!J1437="","",ORCAMENTOS!J1437)</f>
        <v/>
      </c>
      <c r="J1429" s="40" t="str">
        <f>IF(ORCAMENTOS!L1437="","",ORCAMENTOS!L1437)</f>
        <v>CANCELADO</v>
      </c>
      <c r="K1429" s="34" t="str">
        <f>IF(ORCAMENTOS!M1437="","",ORCAMENTOS!M1437)</f>
        <v>-</v>
      </c>
      <c r="L1429" t="str">
        <f>IF(ORCAMENTOS!R1437="","",ORCAMENTOS!R1437)</f>
        <v>-</v>
      </c>
    </row>
    <row r="1430" spans="1:12" ht="15.75" hidden="1" customHeight="1" x14ac:dyDescent="0.25">
      <c r="A1430" s="36">
        <f>IF(ORCAMENTOS!A1438="","",ORCAMENTOS!A1438)</f>
        <v>45883</v>
      </c>
      <c r="B1430" s="46">
        <f>IF(ORCAMENTOS!B1438="","",ORCAMENTOS!B1438)</f>
        <v>1428</v>
      </c>
      <c r="C1430" s="46" t="str">
        <f>IF(ORCAMENTOS!C1438="","",ORCAMENTOS!C1438)</f>
        <v/>
      </c>
      <c r="D1430" s="37" t="str">
        <f>IF(ORCAMENTOS!D1438="","",ORCAMENTOS!D1438)</f>
        <v>PU DUTOS</v>
      </c>
      <c r="E1430" s="38" t="str">
        <f>IF(ORCAMENTOS!E1438="","",ORCAMENTOS!E1438)</f>
        <v>-</v>
      </c>
      <c r="F1430" s="37" t="str">
        <f>IF(ORCAMENTOS!G1438="","",ORCAMENTOS!G1438)</f>
        <v>Gabriel</v>
      </c>
      <c r="G1430" s="37" t="str">
        <f>IF(ORCAMENTOS!H1438="","",ORCAMENTOS!H1438)</f>
        <v>Thiago</v>
      </c>
      <c r="H1430" s="39">
        <f>IF(ORCAMENTOS!I1438="","",ORCAMENTOS!I1438)</f>
        <v>13373.12</v>
      </c>
      <c r="I1430" s="60" t="str">
        <f>IF(ORCAMENTOS!J1438="","",ORCAMENTOS!J1438)</f>
        <v/>
      </c>
      <c r="J1430" s="40" t="str">
        <f>IF(ORCAMENTOS!L1438="","",ORCAMENTOS!L1438)</f>
        <v>CANCELADO</v>
      </c>
      <c r="K1430" s="34" t="str">
        <f>IF(ORCAMENTOS!M1438="","",ORCAMENTOS!M1438)</f>
        <v>-</v>
      </c>
      <c r="L1430" t="str">
        <f>IF(ORCAMENTOS!R1438="","",ORCAMENTOS!R1438)</f>
        <v>-</v>
      </c>
    </row>
    <row r="1431" spans="1:12" ht="15.75" hidden="1" customHeight="1" x14ac:dyDescent="0.25">
      <c r="A1431" s="36">
        <f>IF(ORCAMENTOS!A1439="","",ORCAMENTOS!A1439)</f>
        <v>45883</v>
      </c>
      <c r="B1431" s="46">
        <f>IF(ORCAMENTOS!B1439="","",ORCAMENTOS!B1439)</f>
        <v>1429</v>
      </c>
      <c r="C1431" s="46" t="str">
        <f>IF(ORCAMENTOS!C1439="","",ORCAMENTOS!C1439)</f>
        <v/>
      </c>
      <c r="D1431" s="37" t="str">
        <f>IF(ORCAMENTOS!D1439="","",ORCAMENTOS!D1439)</f>
        <v>MANENG</v>
      </c>
      <c r="E1431" s="38" t="str">
        <f>IF(ORCAMENTOS!E1439="","",ORCAMENTOS!E1439)</f>
        <v>-</v>
      </c>
      <c r="F1431" s="37" t="str">
        <f>IF(ORCAMENTOS!G1439="","",ORCAMENTOS!G1439)</f>
        <v>Guilherme</v>
      </c>
      <c r="G1431" s="37" t="str">
        <f>IF(ORCAMENTOS!H1439="","",ORCAMENTOS!H1439)</f>
        <v>Hanna</v>
      </c>
      <c r="H1431" s="39">
        <f>IF(ORCAMENTOS!I1439="","",ORCAMENTOS!I1439)</f>
        <v>37922.25</v>
      </c>
      <c r="I1431" s="60" t="str">
        <f>IF(ORCAMENTOS!J1439="","",ORCAMENTOS!J1439)</f>
        <v/>
      </c>
      <c r="J1431" s="40" t="str">
        <f>IF(ORCAMENTOS!L1439="","",ORCAMENTOS!L1439)</f>
        <v>FECHADO</v>
      </c>
      <c r="K1431" s="34" t="str">
        <f>IF(ORCAMENTOS!M1439="","",ORCAMENTOS!M1439)</f>
        <v>-</v>
      </c>
      <c r="L1431" t="str">
        <f>IF(ORCAMENTOS!R1439="","",ORCAMENTOS!R1439)</f>
        <v>-</v>
      </c>
    </row>
    <row r="1432" spans="1:12" ht="15.75" hidden="1" customHeight="1" x14ac:dyDescent="0.25">
      <c r="A1432" s="36">
        <f>IF(ORCAMENTOS!A1440="","",ORCAMENTOS!A1440)</f>
        <v>45883</v>
      </c>
      <c r="B1432" s="46">
        <f>IF(ORCAMENTOS!B1440="","",ORCAMENTOS!B1440)</f>
        <v>1430</v>
      </c>
      <c r="C1432" s="46" t="str">
        <f>IF(ORCAMENTOS!C1440="","",ORCAMENTOS!C1440)</f>
        <v/>
      </c>
      <c r="D1432" s="37" t="str">
        <f>IF(ORCAMENTOS!D1440="","",ORCAMENTOS!D1440)</f>
        <v>MONDARC</v>
      </c>
      <c r="E1432" s="38" t="str">
        <f>IF(ORCAMENTOS!E1440="","",ORCAMENTOS!E1440)</f>
        <v>YOUCOM - SHOPPING ESPLANADA - VOTORANTIM - SP</v>
      </c>
      <c r="F1432" s="37" t="str">
        <f>IF(ORCAMENTOS!G1440="","",ORCAMENTOS!G1440)</f>
        <v>Michel</v>
      </c>
      <c r="G1432" s="37" t="str">
        <f>IF(ORCAMENTOS!H1440="","",ORCAMENTOS!H1440)</f>
        <v>Fabiana</v>
      </c>
      <c r="H1432" s="39">
        <f>IF(ORCAMENTOS!I1440="","",ORCAMENTOS!I1440)</f>
        <v>18176.39</v>
      </c>
      <c r="I1432" s="60" t="str">
        <f>IF(ORCAMENTOS!J1440="","",ORCAMENTOS!J1440)</f>
        <v/>
      </c>
      <c r="J1432" s="40" t="str">
        <f>IF(ORCAMENTOS!L1440="","",ORCAMENTOS!L1440)</f>
        <v>CANCELADO</v>
      </c>
      <c r="K1432" s="34" t="str">
        <f>IF(ORCAMENTOS!M1440="","",ORCAMENTOS!M1440)</f>
        <v>-</v>
      </c>
      <c r="L1432" t="str">
        <f>IF(ORCAMENTOS!R1440="","",ORCAMENTOS!R1440)</f>
        <v>MPU</v>
      </c>
    </row>
    <row r="1433" spans="1:12" ht="15.75" hidden="1" customHeight="1" x14ac:dyDescent="0.25">
      <c r="A1433" s="36">
        <f>IF(ORCAMENTOS!A1441="","",ORCAMENTOS!A1441)</f>
        <v>45883</v>
      </c>
      <c r="B1433" s="46">
        <f>IF(ORCAMENTOS!B1441="","",ORCAMENTOS!B1441)</f>
        <v>1431</v>
      </c>
      <c r="C1433" s="46" t="str">
        <f>IF(ORCAMENTOS!C1441="","",ORCAMENTOS!C1441)</f>
        <v/>
      </c>
      <c r="D1433" s="37" t="str">
        <f>IF(ORCAMENTOS!D1441="","",ORCAMENTOS!D1441)</f>
        <v>ECOLOGIC AIR</v>
      </c>
      <c r="E1433" s="38" t="str">
        <f>IF(ORCAMENTOS!E1441="","",ORCAMENTOS!E1441)</f>
        <v>ATACADAO - LOJA AL MARE - SÃO JOSE DE RIBAMAR - MA</v>
      </c>
      <c r="F1433" s="37" t="str">
        <f>IF(ORCAMENTOS!G1441="","",ORCAMENTOS!G1441)</f>
        <v>Michel</v>
      </c>
      <c r="G1433" s="37" t="str">
        <f>IF(ORCAMENTOS!H1441="","",ORCAMENTOS!H1441)</f>
        <v>Wellington</v>
      </c>
      <c r="H1433" s="39">
        <f>IF(ORCAMENTOS!I1441="","",ORCAMENTOS!I1441)</f>
        <v>186880.53</v>
      </c>
      <c r="I1433" s="60" t="str">
        <f>IF(ORCAMENTOS!J1441="","",ORCAMENTOS!J1441)</f>
        <v/>
      </c>
      <c r="J1433" s="40" t="str">
        <f>IF(ORCAMENTOS!L1441="","",ORCAMENTOS!L1441)</f>
        <v>CANCELADO</v>
      </c>
      <c r="K1433" s="34" t="str">
        <f>IF(ORCAMENTOS!M1441="","",ORCAMENTOS!M1441)</f>
        <v>-</v>
      </c>
      <c r="L1433" t="str">
        <f>IF(ORCAMENTOS!R1441="","",ORCAMENTOS!R1441)</f>
        <v>PAINEL DE POLIURETANO</v>
      </c>
    </row>
    <row r="1434" spans="1:12" ht="15.75" hidden="1" customHeight="1" x14ac:dyDescent="0.25">
      <c r="A1434" s="36">
        <f>IF(ORCAMENTOS!A1442="","",ORCAMENTOS!A1442)</f>
        <v>45883</v>
      </c>
      <c r="B1434" s="46">
        <f>IF(ORCAMENTOS!B1442="","",ORCAMENTOS!B1442)</f>
        <v>1432</v>
      </c>
      <c r="C1434" s="46" t="str">
        <f>IF(ORCAMENTOS!C1442="","",ORCAMENTOS!C1442)</f>
        <v/>
      </c>
      <c r="D1434" s="37" t="str">
        <f>IF(ORCAMENTOS!D1442="","",ORCAMENTOS!D1442)</f>
        <v>AMS INSTALACOES</v>
      </c>
      <c r="E1434" s="38" t="str">
        <f>IF(ORCAMENTOS!E1442="","",ORCAMENTOS!E1442)</f>
        <v>ASSAI - UTINGA - SANTO ANDRE- SP</v>
      </c>
      <c r="F1434" s="37" t="str">
        <f>IF(ORCAMENTOS!G1442="","",ORCAMENTOS!G1442)</f>
        <v>Gabriel</v>
      </c>
      <c r="G1434" s="37" t="str">
        <f>IF(ORCAMENTOS!H1442="","",ORCAMENTOS!H1442)</f>
        <v>Albertino</v>
      </c>
      <c r="H1434" s="39">
        <f>IF(ORCAMENTOS!I1442="","",ORCAMENTOS!I1442)</f>
        <v>323707.68</v>
      </c>
      <c r="I1434" s="60" t="str">
        <f>IF(ORCAMENTOS!J1442="","",ORCAMENTOS!J1442)</f>
        <v/>
      </c>
      <c r="J1434" s="40" t="str">
        <f>IF(ORCAMENTOS!L1442="","",ORCAMENTOS!L1442)</f>
        <v>CANCELADO</v>
      </c>
      <c r="K1434" s="34" t="str">
        <f>IF(ORCAMENTOS!M1442="","",ORCAMENTOS!M1442)</f>
        <v>-</v>
      </c>
      <c r="L1434" t="str">
        <f>IF(ORCAMENTOS!R1442="","",ORCAMENTOS!R1442)</f>
        <v>MPU</v>
      </c>
    </row>
    <row r="1435" spans="1:12" ht="15.75" hidden="1" customHeight="1" x14ac:dyDescent="0.25">
      <c r="A1435" s="36">
        <f>IF(ORCAMENTOS!A1443="","",ORCAMENTOS!A1443)</f>
        <v>45883</v>
      </c>
      <c r="B1435" s="46">
        <f>IF(ORCAMENTOS!B1443="","",ORCAMENTOS!B1443)</f>
        <v>1433</v>
      </c>
      <c r="C1435" s="46" t="str">
        <f>IF(ORCAMENTOS!C1443="","",ORCAMENTOS!C1443)</f>
        <v/>
      </c>
      <c r="D1435" s="37" t="str">
        <f>IF(ORCAMENTOS!D1443="","",ORCAMENTOS!D1443)</f>
        <v>AWA AR CONDICIONADO</v>
      </c>
      <c r="E1435" s="38" t="str">
        <f>IF(ORCAMENTOS!E1443="","",ORCAMENTOS!E1443)</f>
        <v>MATEUS - MIX TIMON - MA</v>
      </c>
      <c r="F1435" s="37" t="str">
        <f>IF(ORCAMENTOS!G1443="","",ORCAMENTOS!G1443)</f>
        <v>Guilherme</v>
      </c>
      <c r="G1435" s="37" t="str">
        <f>IF(ORCAMENTOS!H1443="","",ORCAMENTOS!H1443)</f>
        <v>Gustavo</v>
      </c>
      <c r="H1435" s="39">
        <f>IF(ORCAMENTOS!I1443="","",ORCAMENTOS!I1443)</f>
        <v>467713.25</v>
      </c>
      <c r="I1435" s="60" t="str">
        <f>IF(ORCAMENTOS!J1443="","",ORCAMENTOS!J1443)</f>
        <v/>
      </c>
      <c r="J1435" s="40" t="str">
        <f>IF(ORCAMENTOS!L1443="","",ORCAMENTOS!L1443)</f>
        <v>CANCELADO</v>
      </c>
      <c r="K1435" s="34" t="str">
        <f>IF(ORCAMENTOS!M1443="","",ORCAMENTOS!M1443)</f>
        <v>-</v>
      </c>
      <c r="L1435" t="str">
        <f>IF(ORCAMENTOS!R1443="","",ORCAMENTOS!R1443)</f>
        <v>MPU</v>
      </c>
    </row>
    <row r="1436" spans="1:12" ht="15.75" hidden="1" customHeight="1" x14ac:dyDescent="0.25">
      <c r="A1436" s="36">
        <f>IF(ORCAMENTOS!A1444="","",ORCAMENTOS!A1444)</f>
        <v>45938</v>
      </c>
      <c r="B1436" s="46">
        <f>IF(ORCAMENTOS!B1444="","",ORCAMENTOS!B1444)</f>
        <v>1434</v>
      </c>
      <c r="C1436" s="46" t="str">
        <f>IF(ORCAMENTOS!C1444="","",ORCAMENTOS!C1444)</f>
        <v/>
      </c>
      <c r="D1436" s="37" t="str">
        <f>IF(ORCAMENTOS!D1444="","",ORCAMENTOS!D1444)</f>
        <v>THERMOPOLO</v>
      </c>
      <c r="E1436" s="38" t="str">
        <f>IF(ORCAMENTOS!E1444="","",ORCAMENTOS!E1444)</f>
        <v>COSMO - VINHEDO - SP</v>
      </c>
      <c r="F1436" s="37" t="str">
        <f>IF(ORCAMENTOS!G1444="","",ORCAMENTOS!G1444)</f>
        <v xml:space="preserve">Aldavir </v>
      </c>
      <c r="G1436" s="37" t="str">
        <f>IF(ORCAMENTOS!H1444="","",ORCAMENTOS!H1444)</f>
        <v>Gilmar</v>
      </c>
      <c r="H1436" s="39">
        <f>IF(ORCAMENTOS!I1444="","",ORCAMENTOS!I1444)</f>
        <v>41096.26</v>
      </c>
      <c r="I1436" s="60" t="str">
        <f>IF(ORCAMENTOS!J1444="","",ORCAMENTOS!J1444)</f>
        <v/>
      </c>
      <c r="J1436" s="40" t="str">
        <f>IF(ORCAMENTOS!L1444="","",ORCAMENTOS!L1444)</f>
        <v>PERDIDO</v>
      </c>
      <c r="K1436" s="34" t="str">
        <f>IF(ORCAMENTOS!M1444="","",ORCAMENTOS!M1444)</f>
        <v>CHAPA</v>
      </c>
      <c r="L1436" t="str">
        <f>IF(ORCAMENTOS!R1444="","",ORCAMENTOS!R1444)</f>
        <v>-</v>
      </c>
    </row>
    <row r="1437" spans="1:12" ht="15.75" hidden="1" customHeight="1" x14ac:dyDescent="0.25">
      <c r="A1437" s="36">
        <f>IF(ORCAMENTOS!A1445="","",ORCAMENTOS!A1445)</f>
        <v>45884</v>
      </c>
      <c r="B1437" s="46">
        <f>IF(ORCAMENTOS!B1445="","",ORCAMENTOS!B1445)</f>
        <v>1435</v>
      </c>
      <c r="C1437" s="46" t="str">
        <f>IF(ORCAMENTOS!C1445="","",ORCAMENTOS!C1445)</f>
        <v/>
      </c>
      <c r="D1437" s="37" t="str">
        <f>IF(ORCAMENTOS!D1445="","",ORCAMENTOS!D1445)</f>
        <v>NEWSET</v>
      </c>
      <c r="E1437" s="38" t="str">
        <f>IF(ORCAMENTOS!E1445="","",ORCAMENTOS!E1445)</f>
        <v>SC 8034 - OS2128 - HCOR</v>
      </c>
      <c r="F1437" s="37" t="str">
        <f>IF(ORCAMENTOS!G1445="","",ORCAMENTOS!G1445)</f>
        <v xml:space="preserve">Aldavir </v>
      </c>
      <c r="G1437" s="37" t="str">
        <f>IF(ORCAMENTOS!H1445="","",ORCAMENTOS!H1445)</f>
        <v>Hiago</v>
      </c>
      <c r="H1437" s="39">
        <f>IF(ORCAMENTOS!I1445="","",ORCAMENTOS!I1445)</f>
        <v>27866.41</v>
      </c>
      <c r="I1437" s="60" t="str">
        <f>IF(ORCAMENTOS!J1445="","",ORCAMENTOS!J1445)</f>
        <v/>
      </c>
      <c r="J1437" s="40" t="str">
        <f>IF(ORCAMENTOS!L1445="","",ORCAMENTOS!L1445)</f>
        <v>CANCELADO</v>
      </c>
      <c r="K1437" s="34" t="str">
        <f>IF(ORCAMENTOS!M1445="","",ORCAMENTOS!M1445)</f>
        <v>-</v>
      </c>
      <c r="L1437" t="str">
        <f>IF(ORCAMENTOS!R1445="","",ORCAMENTOS!R1445)</f>
        <v>-</v>
      </c>
    </row>
    <row r="1438" spans="1:12" ht="15.75" hidden="1" customHeight="1" x14ac:dyDescent="0.25">
      <c r="A1438" s="36">
        <f>IF(ORCAMENTOS!A1446="","",ORCAMENTOS!A1446)</f>
        <v>45887</v>
      </c>
      <c r="B1438" s="46">
        <f>IF(ORCAMENTOS!B1446="","",ORCAMENTOS!B1446)</f>
        <v>1436</v>
      </c>
      <c r="C1438" s="46" t="str">
        <f>IF(ORCAMENTOS!C1446="","",ORCAMENTOS!C1446)</f>
        <v/>
      </c>
      <c r="D1438" s="37" t="str">
        <f>IF(ORCAMENTOS!D1446="","",ORCAMENTOS!D1446)</f>
        <v>NP CLIMATIZAÇÃO</v>
      </c>
      <c r="E1438" s="38" t="str">
        <f>IF(ORCAMENTOS!E1446="","",ORCAMENTOS!E1446)</f>
        <v>XORORO</v>
      </c>
      <c r="F1438" s="37" t="str">
        <f>IF(ORCAMENTOS!G1446="","",ORCAMENTOS!G1446)</f>
        <v>Guilherme</v>
      </c>
      <c r="G1438" s="37" t="str">
        <f>IF(ORCAMENTOS!H1446="","",ORCAMENTOS!H1446)</f>
        <v>Maria Luisa</v>
      </c>
      <c r="H1438" s="39">
        <f>IF(ORCAMENTOS!I1446="","",ORCAMENTOS!I1446)</f>
        <v>8831.9599999999991</v>
      </c>
      <c r="I1438" s="60" t="str">
        <f>IF(ORCAMENTOS!J1446="","",ORCAMENTOS!J1446)</f>
        <v/>
      </c>
      <c r="J1438" s="40" t="str">
        <f>IF(ORCAMENTOS!L1446="","",ORCAMENTOS!L1446)</f>
        <v>FECHADO</v>
      </c>
      <c r="K1438" s="34" t="str">
        <f>IF(ORCAMENTOS!M1446="","",ORCAMENTOS!M1446)</f>
        <v>-</v>
      </c>
      <c r="L1438" t="str">
        <f>IF(ORCAMENTOS!R1446="","",ORCAMENTOS!R1446)</f>
        <v>-</v>
      </c>
    </row>
    <row r="1439" spans="1:12" ht="15.75" hidden="1" customHeight="1" x14ac:dyDescent="0.25">
      <c r="A1439" s="36">
        <f>IF(ORCAMENTOS!A1447="","",ORCAMENTOS!A1447)</f>
        <v>45883</v>
      </c>
      <c r="B1439" s="46">
        <f>IF(ORCAMENTOS!B1447="","",ORCAMENTOS!B1447)</f>
        <v>1437</v>
      </c>
      <c r="C1439" s="46" t="str">
        <f>IF(ORCAMENTOS!C1447="","",ORCAMENTOS!C1447)</f>
        <v/>
      </c>
      <c r="D1439" s="37" t="str">
        <f>IF(ORCAMENTOS!D1447="","",ORCAMENTOS!D1447)</f>
        <v>AR SET</v>
      </c>
      <c r="E1439" s="38" t="str">
        <f>IF(ORCAMENTOS!E1447="","",ORCAMENTOS!E1447)</f>
        <v>RAIZEN - PIRACICABA - SP</v>
      </c>
      <c r="F1439" s="37" t="str">
        <f>IF(ORCAMENTOS!G1447="","",ORCAMENTOS!G1447)</f>
        <v>Fernando</v>
      </c>
      <c r="G1439" s="37" t="str">
        <f>IF(ORCAMENTOS!H1447="","",ORCAMENTOS!H1447)</f>
        <v>Luiz</v>
      </c>
      <c r="H1439" s="39">
        <f>IF(ORCAMENTOS!I1447="","",ORCAMENTOS!I1447)</f>
        <v>46502.07</v>
      </c>
      <c r="I1439" s="60" t="str">
        <f>IF(ORCAMENTOS!J1447="","",ORCAMENTOS!J1447)</f>
        <v/>
      </c>
      <c r="J1439" s="40" t="str">
        <f>IF(ORCAMENTOS!L1447="","",ORCAMENTOS!L1447)</f>
        <v>CANCELADO</v>
      </c>
      <c r="K1439" s="34" t="str">
        <f>IF(ORCAMENTOS!M1447="","",ORCAMENTOS!M1447)</f>
        <v>-</v>
      </c>
      <c r="L1439" t="str">
        <f>IF(ORCAMENTOS!R1447="","",ORCAMENTOS!R1447)</f>
        <v>N/E</v>
      </c>
    </row>
    <row r="1440" spans="1:12" ht="15.75" hidden="1" customHeight="1" x14ac:dyDescent="0.25">
      <c r="A1440" s="36">
        <f>IF(ORCAMENTOS!A1448="","",ORCAMENTOS!A1448)</f>
        <v>45884</v>
      </c>
      <c r="B1440" s="46">
        <f>IF(ORCAMENTOS!B1448="","",ORCAMENTOS!B1448)</f>
        <v>1438</v>
      </c>
      <c r="C1440" s="46" t="str">
        <f>IF(ORCAMENTOS!C1448="","",ORCAMENTOS!C1448)</f>
        <v/>
      </c>
      <c r="D1440" s="37" t="str">
        <f>IF(ORCAMENTOS!D1448="","",ORCAMENTOS!D1448)</f>
        <v>MONDARC</v>
      </c>
      <c r="E1440" s="38" t="str">
        <f>IF(ORCAMENTOS!E1448="","",ORCAMENTOS!E1448)</f>
        <v>CAMICADO - SHOPPING AURORA - LONDRINA - PR</v>
      </c>
      <c r="F1440" s="37" t="str">
        <f>IF(ORCAMENTOS!G1448="","",ORCAMENTOS!G1448)</f>
        <v>Michel</v>
      </c>
      <c r="G1440" s="37" t="str">
        <f>IF(ORCAMENTOS!H1448="","",ORCAMENTOS!H1448)</f>
        <v>Fabiana</v>
      </c>
      <c r="H1440" s="39">
        <f>IF(ORCAMENTOS!I1448="","",ORCAMENTOS!I1448)</f>
        <v>26743.74</v>
      </c>
      <c r="I1440" s="60" t="str">
        <f>IF(ORCAMENTOS!J1448="","",ORCAMENTOS!J1448)</f>
        <v/>
      </c>
      <c r="J1440" s="40" t="str">
        <f>IF(ORCAMENTOS!L1448="","",ORCAMENTOS!L1448)</f>
        <v>CANCELADO</v>
      </c>
      <c r="K1440" s="34" t="str">
        <f>IF(ORCAMENTOS!M1448="","",ORCAMENTOS!M1448)</f>
        <v>-</v>
      </c>
      <c r="L1440" t="str">
        <f>IF(ORCAMENTOS!R1448="","",ORCAMENTOS!R1448)</f>
        <v>MPU</v>
      </c>
    </row>
    <row r="1441" spans="1:12" ht="15.75" hidden="1" customHeight="1" x14ac:dyDescent="0.25">
      <c r="A1441" s="36">
        <f>IF(ORCAMENTOS!A1449="","",ORCAMENTOS!A1449)</f>
        <v>45884</v>
      </c>
      <c r="B1441" s="46">
        <f>IF(ORCAMENTOS!B1449="","",ORCAMENTOS!B1449)</f>
        <v>1439</v>
      </c>
      <c r="C1441" s="46" t="str">
        <f>IF(ORCAMENTOS!C1449="","",ORCAMENTOS!C1449)</f>
        <v/>
      </c>
      <c r="D1441" s="37" t="str">
        <f>IF(ORCAMENTOS!D1449="","",ORCAMENTOS!D1449)</f>
        <v>SP1 AR CONDICIONADO</v>
      </c>
      <c r="E1441" s="38" t="str">
        <f>IF(ORCAMENTOS!E1449="","",ORCAMENTOS!E1449)</f>
        <v>PAROQUIA NOSSA SENHORA DA SOLEDADE - VISTA VERDE - SP</v>
      </c>
      <c r="F1441" s="37" t="str">
        <f>IF(ORCAMENTOS!G1449="","",ORCAMENTOS!G1449)</f>
        <v>Emanuel</v>
      </c>
      <c r="G1441" s="37" t="str">
        <f>IF(ORCAMENTOS!H1449="","",ORCAMENTOS!H1449)</f>
        <v>Karla</v>
      </c>
      <c r="H1441" s="39">
        <f>IF(ORCAMENTOS!I1449="","",ORCAMENTOS!I1449)</f>
        <v>53780.93</v>
      </c>
      <c r="I1441" s="60" t="str">
        <f>IF(ORCAMENTOS!J1449="","",ORCAMENTOS!J1449)</f>
        <v/>
      </c>
      <c r="J1441" s="40" t="str">
        <f>IF(ORCAMENTOS!L1449="","",ORCAMENTOS!L1449)</f>
        <v>CANCELADO</v>
      </c>
      <c r="K1441" s="34" t="str">
        <f>IF(ORCAMENTOS!M1449="","",ORCAMENTOS!M1449)</f>
        <v>CHAPA</v>
      </c>
      <c r="L1441" t="str">
        <f>IF(ORCAMENTOS!R1449="","",ORCAMENTOS!R1449)</f>
        <v>N/E</v>
      </c>
    </row>
    <row r="1442" spans="1:12" ht="15.75" hidden="1" customHeight="1" x14ac:dyDescent="0.25">
      <c r="A1442" s="36">
        <f>IF(ORCAMENTOS!A1450="","",ORCAMENTOS!A1450)</f>
        <v>45887</v>
      </c>
      <c r="B1442" s="46">
        <f>IF(ORCAMENTOS!B1450="","",ORCAMENTOS!B1450)</f>
        <v>1440</v>
      </c>
      <c r="C1442" s="46" t="str">
        <f>IF(ORCAMENTOS!C1450="","",ORCAMENTOS!C1450)</f>
        <v/>
      </c>
      <c r="D1442" s="37" t="str">
        <f>IF(ORCAMENTOS!D1450="","",ORCAMENTOS!D1450)</f>
        <v>AR SET</v>
      </c>
      <c r="E1442" s="38" t="str">
        <f>IF(ORCAMENTOS!E1450="","",ORCAMENTOS!E1450)</f>
        <v>-</v>
      </c>
      <c r="F1442" s="37" t="str">
        <f>IF(ORCAMENTOS!G1450="","",ORCAMENTOS!G1450)</f>
        <v>Fernando</v>
      </c>
      <c r="G1442" s="37" t="str">
        <f>IF(ORCAMENTOS!H1450="","",ORCAMENTOS!H1450)</f>
        <v>Lais</v>
      </c>
      <c r="H1442" s="39">
        <f>IF(ORCAMENTOS!I1450="","",ORCAMENTOS!I1450)</f>
        <v>965.15</v>
      </c>
      <c r="I1442" s="60" t="str">
        <f>IF(ORCAMENTOS!J1450="","",ORCAMENTOS!J1450)</f>
        <v/>
      </c>
      <c r="J1442" s="40" t="str">
        <f>IF(ORCAMENTOS!L1450="","",ORCAMENTOS!L1450)</f>
        <v>FECHADO</v>
      </c>
      <c r="K1442" s="34" t="str">
        <f>IF(ORCAMENTOS!M1450="","",ORCAMENTOS!M1450)</f>
        <v>-</v>
      </c>
      <c r="L1442" t="str">
        <f>IF(ORCAMENTOS!R1450="","",ORCAMENTOS!R1450)</f>
        <v>-</v>
      </c>
    </row>
    <row r="1443" spans="1:12" ht="15.75" hidden="1" customHeight="1" x14ac:dyDescent="0.25">
      <c r="A1443" s="36">
        <f>IF(ORCAMENTOS!A1451="","",ORCAMENTOS!A1451)</f>
        <v>45884</v>
      </c>
      <c r="B1443" s="46">
        <f>IF(ORCAMENTOS!B1451="","",ORCAMENTOS!B1451)</f>
        <v>1441</v>
      </c>
      <c r="C1443" s="46" t="str">
        <f>IF(ORCAMENTOS!C1451="","",ORCAMENTOS!C1451)</f>
        <v/>
      </c>
      <c r="D1443" s="37" t="str">
        <f>IF(ORCAMENTOS!D1451="","",ORCAMENTOS!D1451)</f>
        <v>CLIMATIZAR</v>
      </c>
      <c r="E1443" s="38" t="str">
        <f>IF(ORCAMENTOS!E1451="","",ORCAMENTOS!E1451)</f>
        <v>PREFEITURA MUNICIPAL DE GARCA - SP</v>
      </c>
      <c r="F1443" s="37" t="str">
        <f>IF(ORCAMENTOS!G1451="","",ORCAMENTOS!G1451)</f>
        <v>Gabriel</v>
      </c>
      <c r="G1443" s="37" t="str">
        <f>IF(ORCAMENTOS!H1451="","",ORCAMENTOS!H1451)</f>
        <v>Giovanni</v>
      </c>
      <c r="H1443" s="39">
        <f>IF(ORCAMENTOS!I1451="","",ORCAMENTOS!I1451)</f>
        <v>27234.9</v>
      </c>
      <c r="I1443" s="60" t="str">
        <f>IF(ORCAMENTOS!J1451="","",ORCAMENTOS!J1451)</f>
        <v/>
      </c>
      <c r="J1443" s="40" t="str">
        <f>IF(ORCAMENTOS!L1451="","",ORCAMENTOS!L1451)</f>
        <v>CANCELADO</v>
      </c>
      <c r="K1443" s="34" t="str">
        <f>IF(ORCAMENTOS!M1451="","",ORCAMENTOS!M1451)</f>
        <v>-</v>
      </c>
      <c r="L1443" t="str">
        <f>IF(ORCAMENTOS!R1451="","",ORCAMENTOS!R1451)</f>
        <v>CHAPA GALVANIZADA</v>
      </c>
    </row>
    <row r="1444" spans="1:12" ht="15.75" hidden="1" customHeight="1" x14ac:dyDescent="0.25">
      <c r="A1444" s="36">
        <f>IF(ORCAMENTOS!A1452="","",ORCAMENTOS!A1452)</f>
        <v>45884</v>
      </c>
      <c r="B1444" s="46">
        <f>IF(ORCAMENTOS!B1452="","",ORCAMENTOS!B1452)</f>
        <v>1442</v>
      </c>
      <c r="C1444" s="46" t="str">
        <f>IF(ORCAMENTOS!C1452="","",ORCAMENTOS!C1452)</f>
        <v/>
      </c>
      <c r="D1444" s="37" t="str">
        <f>IF(ORCAMENTOS!D1452="","",ORCAMENTOS!D1452)</f>
        <v>K SET</v>
      </c>
      <c r="E1444" s="38" t="str">
        <f>IF(ORCAMENTOS!E1452="","",ORCAMENTOS!E1452)</f>
        <v>-</v>
      </c>
      <c r="F1444" s="37" t="str">
        <f>IF(ORCAMENTOS!G1452="","",ORCAMENTOS!G1452)</f>
        <v>Gabriel</v>
      </c>
      <c r="G1444" s="37" t="str">
        <f>IF(ORCAMENTOS!H1452="","",ORCAMENTOS!H1452)</f>
        <v>Camila</v>
      </c>
      <c r="H1444" s="39">
        <f>IF(ORCAMENTOS!I1452="","",ORCAMENTOS!I1452)</f>
        <v>3618.29</v>
      </c>
      <c r="I1444" s="60" t="str">
        <f>IF(ORCAMENTOS!J1452="","",ORCAMENTOS!J1452)</f>
        <v/>
      </c>
      <c r="J1444" s="40" t="str">
        <f>IF(ORCAMENTOS!L1452="","",ORCAMENTOS!L1452)</f>
        <v>CANCELADO</v>
      </c>
      <c r="K1444" s="34" t="str">
        <f>IF(ORCAMENTOS!M1452="","",ORCAMENTOS!M1452)</f>
        <v>NÃO PRECISAM MAIS NO MOMENTO</v>
      </c>
      <c r="L1444" t="str">
        <f>IF(ORCAMENTOS!R1452="","",ORCAMENTOS!R1452)</f>
        <v>-</v>
      </c>
    </row>
    <row r="1445" spans="1:12" ht="15.75" hidden="1" customHeight="1" x14ac:dyDescent="0.25">
      <c r="A1445" s="36">
        <f>IF(ORCAMENTOS!A1453="","",ORCAMENTOS!A1453)</f>
        <v>45884</v>
      </c>
      <c r="B1445" s="46">
        <f>IF(ORCAMENTOS!B1453="","",ORCAMENTOS!B1453)</f>
        <v>1443</v>
      </c>
      <c r="C1445" s="46" t="str">
        <f>IF(ORCAMENTOS!C1453="","",ORCAMENTOS!C1453)</f>
        <v/>
      </c>
      <c r="D1445" s="37" t="str">
        <f>IF(ORCAMENTOS!D1453="","",ORCAMENTOS!D1453)</f>
        <v>AMS INSTALACOES</v>
      </c>
      <c r="E1445" s="38" t="str">
        <f>IF(ORCAMENTOS!E1453="","",ORCAMENTOS!E1453)</f>
        <v>ASSAI - SUMARE - SP</v>
      </c>
      <c r="F1445" s="37" t="str">
        <f>IF(ORCAMENTOS!G1453="","",ORCAMENTOS!G1453)</f>
        <v>Gabriel</v>
      </c>
      <c r="G1445" s="37" t="str">
        <f>IF(ORCAMENTOS!H1453="","",ORCAMENTOS!H1453)</f>
        <v>Albertino</v>
      </c>
      <c r="H1445" s="39">
        <f>IF(ORCAMENTOS!I1453="","",ORCAMENTOS!I1453)</f>
        <v>191600.04</v>
      </c>
      <c r="I1445" s="60" t="str">
        <f>IF(ORCAMENTOS!J1453="","",ORCAMENTOS!J1453)</f>
        <v/>
      </c>
      <c r="J1445" s="40" t="str">
        <f>IF(ORCAMENTOS!L1453="","",ORCAMENTOS!L1453)</f>
        <v>FECHADO</v>
      </c>
      <c r="K1445" s="34" t="str">
        <f>IF(ORCAMENTOS!M1453="","",ORCAMENTOS!M1453)</f>
        <v>-</v>
      </c>
      <c r="L1445" t="str">
        <f>IF(ORCAMENTOS!R1453="","",ORCAMENTOS!R1453)</f>
        <v>MPU</v>
      </c>
    </row>
    <row r="1446" spans="1:12" ht="15.75" hidden="1" customHeight="1" x14ac:dyDescent="0.25">
      <c r="A1446" s="36">
        <f>IF(ORCAMENTOS!A1454="","",ORCAMENTOS!A1454)</f>
        <v>45884</v>
      </c>
      <c r="B1446" s="46">
        <f>IF(ORCAMENTOS!B1454="","",ORCAMENTOS!B1454)</f>
        <v>1444</v>
      </c>
      <c r="C1446" s="46" t="str">
        <f>IF(ORCAMENTOS!C1454="","",ORCAMENTOS!C1454)</f>
        <v/>
      </c>
      <c r="D1446" s="37" t="str">
        <f>IF(ORCAMENTOS!D1454="","",ORCAMENTOS!D1454)</f>
        <v>VNS SOLUCOES</v>
      </c>
      <c r="E1446" s="38" t="str">
        <f>IF(ORCAMENTOS!E1454="","",ORCAMENTOS!E1454)</f>
        <v>-</v>
      </c>
      <c r="F1446" s="37" t="str">
        <f>IF(ORCAMENTOS!G1454="","",ORCAMENTOS!G1454)</f>
        <v>Gabriel</v>
      </c>
      <c r="G1446" s="37" t="str">
        <f>IF(ORCAMENTOS!H1454="","",ORCAMENTOS!H1454)</f>
        <v>Vinicius</v>
      </c>
      <c r="H1446" s="39">
        <f>IF(ORCAMENTOS!I1454="","",ORCAMENTOS!I1454)</f>
        <v>8518.4599999999991</v>
      </c>
      <c r="I1446" s="60" t="str">
        <f>IF(ORCAMENTOS!J1454="","",ORCAMENTOS!J1454)</f>
        <v/>
      </c>
      <c r="J1446" s="40" t="str">
        <f>IF(ORCAMENTOS!L1454="","",ORCAMENTOS!L1454)</f>
        <v>CANCELADO</v>
      </c>
      <c r="K1446" s="34" t="str">
        <f>IF(ORCAMENTOS!M1454="","",ORCAMENTOS!M1454)</f>
        <v>-</v>
      </c>
      <c r="L1446" t="str">
        <f>IF(ORCAMENTOS!R1454="","",ORCAMENTOS!R1454)</f>
        <v>-</v>
      </c>
    </row>
    <row r="1447" spans="1:12" ht="15.75" hidden="1" customHeight="1" x14ac:dyDescent="0.25">
      <c r="A1447" s="36">
        <f>IF(ORCAMENTOS!A1455="","",ORCAMENTOS!A1455)</f>
        <v>45884</v>
      </c>
      <c r="B1447" s="46">
        <f>IF(ORCAMENTOS!B1455="","",ORCAMENTOS!B1455)</f>
        <v>1445</v>
      </c>
      <c r="C1447" s="46" t="str">
        <f>IF(ORCAMENTOS!C1455="","",ORCAMENTOS!C1455)</f>
        <v/>
      </c>
      <c r="D1447" s="37" t="str">
        <f>IF(ORCAMENTOS!D1455="","",ORCAMENTOS!D1455)</f>
        <v>EKO CLIMAX</v>
      </c>
      <c r="E1447" s="38" t="str">
        <f>IF(ORCAMENTOS!E1455="","",ORCAMENTOS!E1455)</f>
        <v>-</v>
      </c>
      <c r="F1447" s="37" t="str">
        <f>IF(ORCAMENTOS!G1455="","",ORCAMENTOS!G1455)</f>
        <v>Michel</v>
      </c>
      <c r="G1447" s="37" t="str">
        <f>IF(ORCAMENTOS!H1455="","",ORCAMENTOS!H1455)</f>
        <v>Rogerio</v>
      </c>
      <c r="H1447" s="39">
        <f>IF(ORCAMENTOS!I1455="","",ORCAMENTOS!I1455)</f>
        <v>6623.28</v>
      </c>
      <c r="I1447" s="60" t="str">
        <f>IF(ORCAMENTOS!J1455="","",ORCAMENTOS!J1455)</f>
        <v/>
      </c>
      <c r="J1447" s="40" t="str">
        <f>IF(ORCAMENTOS!L1455="","",ORCAMENTOS!L1455)</f>
        <v>FECHADO</v>
      </c>
      <c r="K1447" s="34" t="str">
        <f>IF(ORCAMENTOS!M1455="","",ORCAMENTOS!M1455)</f>
        <v>-</v>
      </c>
      <c r="L1447" t="str">
        <f>IF(ORCAMENTOS!R1455="","",ORCAMENTOS!R1455)</f>
        <v>-</v>
      </c>
    </row>
    <row r="1448" spans="1:12" ht="15.75" hidden="1" customHeight="1" x14ac:dyDescent="0.25">
      <c r="A1448" s="36">
        <f>IF(ORCAMENTOS!A1456="","",ORCAMENTOS!A1456)</f>
        <v>45887</v>
      </c>
      <c r="B1448" s="46">
        <f>IF(ORCAMENTOS!B1456="","",ORCAMENTOS!B1456)</f>
        <v>1446</v>
      </c>
      <c r="C1448" s="46" t="str">
        <f>IF(ORCAMENTOS!C1456="","",ORCAMENTOS!C1456)</f>
        <v/>
      </c>
      <c r="D1448" s="37" t="str">
        <f>IF(ORCAMENTOS!D1456="","",ORCAMENTOS!D1456)</f>
        <v>CHARLES NASCIMENTO</v>
      </c>
      <c r="E1448" s="38" t="str">
        <f>IF(ORCAMENTOS!E1456="","",ORCAMENTOS!E1456)</f>
        <v>CASA JABUTICABEIRAS</v>
      </c>
      <c r="F1448" s="37" t="str">
        <f>IF(ORCAMENTOS!G1456="","",ORCAMENTOS!G1456)</f>
        <v>Gabriel</v>
      </c>
      <c r="G1448" s="37" t="str">
        <f>IF(ORCAMENTOS!H1456="","",ORCAMENTOS!H1456)</f>
        <v>Charles</v>
      </c>
      <c r="H1448" s="39">
        <f>IF(ORCAMENTOS!I1456="","",ORCAMENTOS!I1456)</f>
        <v>23236.67</v>
      </c>
      <c r="I1448" s="60" t="str">
        <f>IF(ORCAMENTOS!J1456="","",ORCAMENTOS!J1456)</f>
        <v/>
      </c>
      <c r="J1448" s="40" t="str">
        <f>IF(ORCAMENTOS!L1456="","",ORCAMENTOS!L1456)</f>
        <v>CANCELADO</v>
      </c>
      <c r="K1448" s="34" t="str">
        <f>IF(ORCAMENTOS!M1456="","",ORCAMENTOS!M1456)</f>
        <v>-</v>
      </c>
      <c r="L1448" t="str">
        <f>IF(ORCAMENTOS!R1456="","",ORCAMENTOS!R1456)</f>
        <v>-</v>
      </c>
    </row>
    <row r="1449" spans="1:12" ht="15.75" hidden="1" customHeight="1" x14ac:dyDescent="0.25">
      <c r="A1449" s="36">
        <f>IF(ORCAMENTOS!A1457="","",ORCAMENTOS!A1457)</f>
        <v>45887</v>
      </c>
      <c r="B1449" s="46">
        <f>IF(ORCAMENTOS!B1457="","",ORCAMENTOS!B1457)</f>
        <v>1447</v>
      </c>
      <c r="C1449" s="46" t="str">
        <f>IF(ORCAMENTOS!C1457="","",ORCAMENTOS!C1457)</f>
        <v/>
      </c>
      <c r="D1449" s="37" t="str">
        <f>IF(ORCAMENTOS!D1457="","",ORCAMENTOS!D1457)</f>
        <v>RICH ENGENHARIA</v>
      </c>
      <c r="E1449" s="38" t="str">
        <f>IF(ORCAMENTOS!E1457="","",ORCAMENTOS!E1457)</f>
        <v>CRH - HUNTINGTON - PINHEIROS - SP</v>
      </c>
      <c r="F1449" s="37" t="str">
        <f>IF(ORCAMENTOS!G1457="","",ORCAMENTOS!G1457)</f>
        <v>Guilherme</v>
      </c>
      <c r="G1449" s="37" t="str">
        <f>IF(ORCAMENTOS!H1457="","",ORCAMENTOS!H1457)</f>
        <v>Ricardo</v>
      </c>
      <c r="H1449" s="39">
        <f>IF(ORCAMENTOS!I1457="","",ORCAMENTOS!I1457)</f>
        <v>102357.04</v>
      </c>
      <c r="I1449" s="60" t="str">
        <f>IF(ORCAMENTOS!J1457="","",ORCAMENTOS!J1457)</f>
        <v/>
      </c>
      <c r="J1449" s="40" t="str">
        <f>IF(ORCAMENTOS!L1457="","",ORCAMENTOS!L1457)</f>
        <v>CANCELADO</v>
      </c>
      <c r="K1449" s="34" t="str">
        <f>IF(ORCAMENTOS!M1457="","",ORCAMENTOS!M1457)</f>
        <v>-</v>
      </c>
      <c r="L1449" t="str">
        <f>IF(ORCAMENTOS!R1457="","",ORCAMENTOS!R1457)</f>
        <v>MPU</v>
      </c>
    </row>
    <row r="1450" spans="1:12" ht="15.75" hidden="1" customHeight="1" x14ac:dyDescent="0.25">
      <c r="A1450" s="36">
        <f>IF(ORCAMENTOS!A1458="","",ORCAMENTOS!A1458)</f>
        <v>45887</v>
      </c>
      <c r="B1450" s="46">
        <f>IF(ORCAMENTOS!B1458="","",ORCAMENTOS!B1458)</f>
        <v>1448</v>
      </c>
      <c r="C1450" s="46" t="str">
        <f>IF(ORCAMENTOS!C1458="","",ORCAMENTOS!C1458)</f>
        <v/>
      </c>
      <c r="D1450" s="37" t="str">
        <f>IF(ORCAMENTOS!D1458="","",ORCAMENTOS!D1458)</f>
        <v>CONTROLE CLIMA</v>
      </c>
      <c r="E1450" s="38" t="str">
        <f>IF(ORCAMENTOS!E1458="","",ORCAMENTOS!E1458)</f>
        <v>-</v>
      </c>
      <c r="F1450" s="37" t="str">
        <f>IF(ORCAMENTOS!G1458="","",ORCAMENTOS!G1458)</f>
        <v>Gabriel</v>
      </c>
      <c r="G1450" s="37" t="str">
        <f>IF(ORCAMENTOS!H1458="","",ORCAMENTOS!H1458)</f>
        <v>Edimario</v>
      </c>
      <c r="H1450" s="39">
        <f>IF(ORCAMENTOS!I1458="","",ORCAMENTOS!I1458)</f>
        <v>1606.62</v>
      </c>
      <c r="I1450" s="60" t="str">
        <f>IF(ORCAMENTOS!J1458="","",ORCAMENTOS!J1458)</f>
        <v/>
      </c>
      <c r="J1450" s="40" t="str">
        <f>IF(ORCAMENTOS!L1458="","",ORCAMENTOS!L1458)</f>
        <v>FECHADO</v>
      </c>
      <c r="K1450" s="34" t="str">
        <f>IF(ORCAMENTOS!M1458="","",ORCAMENTOS!M1458)</f>
        <v>-</v>
      </c>
      <c r="L1450" t="str">
        <f>IF(ORCAMENTOS!R1458="","",ORCAMENTOS!R1458)</f>
        <v>-</v>
      </c>
    </row>
    <row r="1451" spans="1:12" ht="15.75" hidden="1" customHeight="1" x14ac:dyDescent="0.25">
      <c r="A1451" s="36">
        <f>IF(ORCAMENTOS!A1459="","",ORCAMENTOS!A1459)</f>
        <v>45888</v>
      </c>
      <c r="B1451" s="46">
        <f>IF(ORCAMENTOS!B1459="","",ORCAMENTOS!B1459)</f>
        <v>1449</v>
      </c>
      <c r="C1451" s="46" t="str">
        <f>IF(ORCAMENTOS!C1459="","",ORCAMENTOS!C1459)</f>
        <v/>
      </c>
      <c r="D1451" s="37" t="str">
        <f>IF(ORCAMENTOS!D1459="","",ORCAMENTOS!D1459)</f>
        <v>LS AR CONDICIONADO</v>
      </c>
      <c r="E1451" s="38" t="str">
        <f>IF(ORCAMENTOS!E1459="","",ORCAMENTOS!E1459)</f>
        <v>CASA CENTAURO</v>
      </c>
      <c r="F1451" s="37" t="str">
        <f>IF(ORCAMENTOS!G1459="","",ORCAMENTOS!G1459)</f>
        <v>Fernando</v>
      </c>
      <c r="G1451" s="37" t="str">
        <f>IF(ORCAMENTOS!H1459="","",ORCAMENTOS!H1459)</f>
        <v>Leonardo</v>
      </c>
      <c r="H1451" s="39">
        <f>IF(ORCAMENTOS!I1459="","",ORCAMENTOS!I1459)</f>
        <v>71112.22</v>
      </c>
      <c r="I1451" s="60" t="str">
        <f>IF(ORCAMENTOS!J1459="","",ORCAMENTOS!J1459)</f>
        <v/>
      </c>
      <c r="J1451" s="40" t="str">
        <f>IF(ORCAMENTOS!L1459="","",ORCAMENTOS!L1459)</f>
        <v>FECHADO</v>
      </c>
      <c r="K1451" s="34" t="str">
        <f>IF(ORCAMENTOS!M1459="","",ORCAMENTOS!M1459)</f>
        <v>-</v>
      </c>
      <c r="L1451" t="str">
        <f>IF(ORCAMENTOS!R1459="","",ORCAMENTOS!R1459)</f>
        <v>-</v>
      </c>
    </row>
    <row r="1452" spans="1:12" ht="15.75" hidden="1" customHeight="1" x14ac:dyDescent="0.25">
      <c r="A1452" s="36">
        <f>IF(ORCAMENTOS!A1460="","",ORCAMENTOS!A1460)</f>
        <v>45887</v>
      </c>
      <c r="B1452" s="46">
        <f>IF(ORCAMENTOS!B1460="","",ORCAMENTOS!B1460)</f>
        <v>1450</v>
      </c>
      <c r="C1452" s="46" t="str">
        <f>IF(ORCAMENTOS!C1460="","",ORCAMENTOS!C1460)</f>
        <v/>
      </c>
      <c r="D1452" s="37" t="str">
        <f>IF(ORCAMENTOS!D1460="","",ORCAMENTOS!D1460)</f>
        <v>AMS INSTALACOES</v>
      </c>
      <c r="E1452" s="38" t="str">
        <f>IF(ORCAMENTOS!E1460="","",ORCAMENTOS!E1460)</f>
        <v>ATACADAO - LOJA AL MARE - SÃO JOSE DE RIBAMAR - MA</v>
      </c>
      <c r="F1452" s="37" t="str">
        <f>IF(ORCAMENTOS!G1460="","",ORCAMENTOS!G1460)</f>
        <v>Gabriel</v>
      </c>
      <c r="G1452" s="37" t="str">
        <f>IF(ORCAMENTOS!H1460="","",ORCAMENTOS!H1460)</f>
        <v>Albertino</v>
      </c>
      <c r="H1452" s="39">
        <f>IF(ORCAMENTOS!I1460="","",ORCAMENTOS!I1460)</f>
        <v>188689.68</v>
      </c>
      <c r="I1452" s="60" t="str">
        <f>IF(ORCAMENTOS!J1460="","",ORCAMENTOS!J1460)</f>
        <v/>
      </c>
      <c r="J1452" s="40" t="str">
        <f>IF(ORCAMENTOS!L1460="","",ORCAMENTOS!L1460)</f>
        <v>CANCELADO</v>
      </c>
      <c r="K1452" s="34" t="str">
        <f>IF(ORCAMENTOS!M1460="","",ORCAMENTOS!M1460)</f>
        <v>-</v>
      </c>
      <c r="L1452" t="str">
        <f>IF(ORCAMENTOS!R1460="","",ORCAMENTOS!R1460)</f>
        <v>MPU</v>
      </c>
    </row>
    <row r="1453" spans="1:12" ht="15.75" hidden="1" customHeight="1" x14ac:dyDescent="0.25">
      <c r="A1453" s="36">
        <f>IF(ORCAMENTOS!A1461="","",ORCAMENTOS!A1461)</f>
        <v>45887</v>
      </c>
      <c r="B1453" s="46">
        <f>IF(ORCAMENTOS!B1461="","",ORCAMENTOS!B1461)</f>
        <v>1451</v>
      </c>
      <c r="C1453" s="46" t="str">
        <f>IF(ORCAMENTOS!C1461="","",ORCAMENTOS!C1461)</f>
        <v/>
      </c>
      <c r="D1453" s="37" t="str">
        <f>IF(ORCAMENTOS!D1461="","",ORCAMENTOS!D1461)</f>
        <v>AWA AR CONDICIONADO</v>
      </c>
      <c r="E1453" s="38" t="str">
        <f>IF(ORCAMENTOS!E1461="","",ORCAMENTOS!E1461)</f>
        <v>ATACADAO - LOJA AL MARE - SÃO JOSE DE RIBAMAR - MA</v>
      </c>
      <c r="F1453" s="37" t="str">
        <f>IF(ORCAMENTOS!G1461="","",ORCAMENTOS!G1461)</f>
        <v>Guilherme</v>
      </c>
      <c r="G1453" s="37" t="str">
        <f>IF(ORCAMENTOS!H1461="","",ORCAMENTOS!H1461)</f>
        <v>Paula</v>
      </c>
      <c r="H1453" s="39">
        <f>IF(ORCAMENTOS!I1461="","",ORCAMENTOS!I1461)</f>
        <v>186880.53</v>
      </c>
      <c r="I1453" s="60" t="str">
        <f>IF(ORCAMENTOS!J1461="","",ORCAMENTOS!J1461)</f>
        <v/>
      </c>
      <c r="J1453" s="40" t="str">
        <f>IF(ORCAMENTOS!L1461="","",ORCAMENTOS!L1461)</f>
        <v>CANCELADO</v>
      </c>
      <c r="K1453" s="34" t="str">
        <f>IF(ORCAMENTOS!M1461="","",ORCAMENTOS!M1461)</f>
        <v>-</v>
      </c>
      <c r="L1453" t="str">
        <f>IF(ORCAMENTOS!R1461="","",ORCAMENTOS!R1461)</f>
        <v>MPU</v>
      </c>
    </row>
    <row r="1454" spans="1:12" ht="15.75" hidden="1" customHeight="1" x14ac:dyDescent="0.25">
      <c r="A1454" s="36">
        <f>IF(ORCAMENTOS!A1462="","",ORCAMENTOS!A1462)</f>
        <v>45887</v>
      </c>
      <c r="B1454" s="46">
        <f>IF(ORCAMENTOS!B1462="","",ORCAMENTOS!B1462)</f>
        <v>1452</v>
      </c>
      <c r="C1454" s="46" t="str">
        <f>IF(ORCAMENTOS!C1462="","",ORCAMENTOS!C1462)</f>
        <v/>
      </c>
      <c r="D1454" s="37" t="str">
        <f>IF(ORCAMENTOS!D1462="","",ORCAMENTOS!D1462)</f>
        <v>NEWSET</v>
      </c>
      <c r="E1454" s="38" t="str">
        <f>IF(ORCAMENTOS!E1462="","",ORCAMENTOS!E1462)</f>
        <v>UNIAZUL - NOVO SIMILADOR DE VOO - CAMPINAS - SP</v>
      </c>
      <c r="F1454" s="37" t="str">
        <f>IF(ORCAMENTOS!G1462="","",ORCAMENTOS!G1462)</f>
        <v xml:space="preserve">Aldavir </v>
      </c>
      <c r="G1454" s="37" t="str">
        <f>IF(ORCAMENTOS!H1462="","",ORCAMENTOS!H1462)</f>
        <v>Andressa</v>
      </c>
      <c r="H1454" s="39">
        <f>IF(ORCAMENTOS!I1462="","",ORCAMENTOS!I1462)</f>
        <v>6354.55</v>
      </c>
      <c r="I1454" s="60" t="str">
        <f>IF(ORCAMENTOS!J1462="","",ORCAMENTOS!J1462)</f>
        <v/>
      </c>
      <c r="J1454" s="40" t="str">
        <f>IF(ORCAMENTOS!L1462="","",ORCAMENTOS!L1462)</f>
        <v>CANCELADO</v>
      </c>
      <c r="K1454" s="34" t="str">
        <f>IF(ORCAMENTOS!M1462="","",ORCAMENTOS!M1462)</f>
        <v>-</v>
      </c>
      <c r="L1454" t="str">
        <f>IF(ORCAMENTOS!R1462="","",ORCAMENTOS!R1462)</f>
        <v>-</v>
      </c>
    </row>
    <row r="1455" spans="1:12" ht="15.75" hidden="1" customHeight="1" x14ac:dyDescent="0.25">
      <c r="A1455" s="36">
        <f>IF(ORCAMENTOS!A1463="","",ORCAMENTOS!A1463)</f>
        <v>45887</v>
      </c>
      <c r="B1455" s="46">
        <f>IF(ORCAMENTOS!B1463="","",ORCAMENTOS!B1463)</f>
        <v>1453</v>
      </c>
      <c r="C1455" s="46" t="str">
        <f>IF(ORCAMENTOS!C1463="","",ORCAMENTOS!C1463)</f>
        <v/>
      </c>
      <c r="D1455" s="37" t="str">
        <f>IF(ORCAMENTOS!D1463="","",ORCAMENTOS!D1463)</f>
        <v>AWA AR CONDICIONADO</v>
      </c>
      <c r="E1455" s="38" t="str">
        <f>IF(ORCAMENTOS!E1463="","",ORCAMENTOS!E1463)</f>
        <v>OBRAMAX UBERLÂNDIA</v>
      </c>
      <c r="F1455" s="37" t="str">
        <f>IF(ORCAMENTOS!G1463="","",ORCAMENTOS!G1463)</f>
        <v>Guilherme</v>
      </c>
      <c r="G1455" s="37" t="str">
        <f>IF(ORCAMENTOS!H1463="","",ORCAMENTOS!H1463)</f>
        <v>Isabela</v>
      </c>
      <c r="H1455" s="39">
        <f>IF(ORCAMENTOS!I1463="","",ORCAMENTOS!I1463)</f>
        <v>59093.279999999999</v>
      </c>
      <c r="I1455" s="60" t="str">
        <f>IF(ORCAMENTOS!J1463="","",ORCAMENTOS!J1463)</f>
        <v/>
      </c>
      <c r="J1455" s="40" t="str">
        <f>IF(ORCAMENTOS!L1463="","",ORCAMENTOS!L1463)</f>
        <v>CANCELADO</v>
      </c>
      <c r="K1455" s="34" t="str">
        <f>IF(ORCAMENTOS!M1463="","",ORCAMENTOS!M1463)</f>
        <v>-</v>
      </c>
      <c r="L1455" t="str">
        <f>IF(ORCAMENTOS!R1463="","",ORCAMENTOS!R1463)</f>
        <v>-</v>
      </c>
    </row>
    <row r="1456" spans="1:12" ht="15.75" hidden="1" customHeight="1" x14ac:dyDescent="0.25">
      <c r="A1456" s="36">
        <f>IF(ORCAMENTOS!A1464="","",ORCAMENTOS!A1464)</f>
        <v>45888</v>
      </c>
      <c r="B1456" s="46">
        <f>IF(ORCAMENTOS!B1464="","",ORCAMENTOS!B1464)</f>
        <v>1454</v>
      </c>
      <c r="C1456" s="46" t="str">
        <f>IF(ORCAMENTOS!C1464="","",ORCAMENTOS!C1464)</f>
        <v/>
      </c>
      <c r="D1456" s="37" t="str">
        <f>IF(ORCAMENTOS!D1464="","",ORCAMENTOS!D1464)</f>
        <v>AMBIKONTROL</v>
      </c>
      <c r="E1456" s="38" t="str">
        <f>IF(ORCAMENTOS!E1464="","",ORCAMENTOS!E1464)</f>
        <v>-</v>
      </c>
      <c r="F1456" s="37" t="str">
        <f>IF(ORCAMENTOS!G1464="","",ORCAMENTOS!G1464)</f>
        <v>Gabriel</v>
      </c>
      <c r="G1456" s="37" t="str">
        <f>IF(ORCAMENTOS!H1464="","",ORCAMENTOS!H1464)</f>
        <v>Bianca</v>
      </c>
      <c r="H1456" s="39">
        <f>IF(ORCAMENTOS!I1464="","",ORCAMENTOS!I1464)</f>
        <v>72446.539999999994</v>
      </c>
      <c r="I1456" s="60" t="str">
        <f>IF(ORCAMENTOS!J1464="","",ORCAMENTOS!J1464)</f>
        <v/>
      </c>
      <c r="J1456" s="40" t="str">
        <f>IF(ORCAMENTOS!L1464="","",ORCAMENTOS!L1464)</f>
        <v>CANCELADO</v>
      </c>
      <c r="K1456" s="34" t="str">
        <f>IF(ORCAMENTOS!M1464="","",ORCAMENTOS!M1464)</f>
        <v>-</v>
      </c>
      <c r="L1456" t="str">
        <f>IF(ORCAMENTOS!R1464="","",ORCAMENTOS!R1464)</f>
        <v>-</v>
      </c>
    </row>
    <row r="1457" spans="1:12" ht="15.75" hidden="1" customHeight="1" x14ac:dyDescent="0.25">
      <c r="A1457" s="36">
        <f>IF(ORCAMENTOS!A1465="","",ORCAMENTOS!A1465)</f>
        <v>45888</v>
      </c>
      <c r="B1457" s="46">
        <f>IF(ORCAMENTOS!B1465="","",ORCAMENTOS!B1465)</f>
        <v>1455</v>
      </c>
      <c r="C1457" s="46" t="str">
        <f>IF(ORCAMENTOS!C1465="","",ORCAMENTOS!C1465)</f>
        <v/>
      </c>
      <c r="D1457" s="37" t="str">
        <f>IF(ORCAMENTOS!D1465="","",ORCAMENTOS!D1465)</f>
        <v>MONTAGEM VIEIRA</v>
      </c>
      <c r="E1457" s="38" t="str">
        <f>IF(ORCAMENTOS!E1465="","",ORCAMENTOS!E1465)</f>
        <v>LUPO - ARARAQUARA - SP</v>
      </c>
      <c r="F1457" s="37" t="str">
        <f>IF(ORCAMENTOS!G1465="","",ORCAMENTOS!G1465)</f>
        <v>Fernando</v>
      </c>
      <c r="G1457" s="37" t="str">
        <f>IF(ORCAMENTOS!H1465="","",ORCAMENTOS!H1465)</f>
        <v>Sergio</v>
      </c>
      <c r="H1457" s="39">
        <f>IF(ORCAMENTOS!I1465="","",ORCAMENTOS!I1465)</f>
        <v>138719.54</v>
      </c>
      <c r="I1457" s="60" t="str">
        <f>IF(ORCAMENTOS!J1465="","",ORCAMENTOS!J1465)</f>
        <v/>
      </c>
      <c r="J1457" s="40" t="str">
        <f>IF(ORCAMENTOS!L1465="","",ORCAMENTOS!L1465)</f>
        <v>CANCELADO</v>
      </c>
      <c r="K1457" s="34" t="str">
        <f>IF(ORCAMENTOS!M1465="","",ORCAMENTOS!M1465)</f>
        <v>PREV. MARÇO</v>
      </c>
      <c r="L1457" t="str">
        <f>IF(ORCAMENTOS!R1465="","",ORCAMENTOS!R1465)</f>
        <v>CHAPA DE ACO CARBONO</v>
      </c>
    </row>
    <row r="1458" spans="1:12" ht="15.75" hidden="1" customHeight="1" x14ac:dyDescent="0.25">
      <c r="A1458" s="36">
        <f>IF(ORCAMENTOS!A1466="","",ORCAMENTOS!A1466)</f>
        <v>45888</v>
      </c>
      <c r="B1458" s="46">
        <f>IF(ORCAMENTOS!B1466="","",ORCAMENTOS!B1466)</f>
        <v>1456</v>
      </c>
      <c r="C1458" s="46" t="str">
        <f>IF(ORCAMENTOS!C1466="","",ORCAMENTOS!C1466)</f>
        <v/>
      </c>
      <c r="D1458" s="37" t="str">
        <f>IF(ORCAMENTOS!D1466="","",ORCAMENTOS!D1466)</f>
        <v>EBM ENGENHARIA</v>
      </c>
      <c r="E1458" s="38" t="str">
        <f>IF(ORCAMENTOS!E1466="","",ORCAMENTOS!E1466)</f>
        <v>TDT_MAN01 - 25_0613</v>
      </c>
      <c r="F1458" s="37" t="str">
        <f>IF(ORCAMENTOS!G1466="","",ORCAMENTOS!G1466)</f>
        <v>Emanuel</v>
      </c>
      <c r="G1458" s="37" t="str">
        <f>IF(ORCAMENTOS!H1466="","",ORCAMENTOS!H1466)</f>
        <v>Laelda</v>
      </c>
      <c r="H1458" s="39">
        <f>IF(ORCAMENTOS!I1466="","",ORCAMENTOS!I1466)</f>
        <v>113406.55</v>
      </c>
      <c r="I1458" s="60" t="str">
        <f>IF(ORCAMENTOS!J1466="","",ORCAMENTOS!J1466)</f>
        <v/>
      </c>
      <c r="J1458" s="40" t="str">
        <f>IF(ORCAMENTOS!L1466="","",ORCAMENTOS!L1466)</f>
        <v>CANCELADO</v>
      </c>
      <c r="K1458" s="34" t="str">
        <f>IF(ORCAMENTOS!M1466="","",ORCAMENTOS!M1466)</f>
        <v>-</v>
      </c>
      <c r="L1458" t="str">
        <f>IF(ORCAMENTOS!R1466="","",ORCAMENTOS!R1466)</f>
        <v>-</v>
      </c>
    </row>
    <row r="1459" spans="1:12" ht="15.75" hidden="1" customHeight="1" x14ac:dyDescent="0.25">
      <c r="A1459" s="36">
        <f>IF(ORCAMENTOS!A1467="","",ORCAMENTOS!A1467)</f>
        <v>45888</v>
      </c>
      <c r="B1459" s="46">
        <f>IF(ORCAMENTOS!B1467="","",ORCAMENTOS!B1467)</f>
        <v>1457</v>
      </c>
      <c r="C1459" s="46" t="str">
        <f>IF(ORCAMENTOS!C1467="","",ORCAMENTOS!C1467)</f>
        <v/>
      </c>
      <c r="D1459" s="37" t="str">
        <f>IF(ORCAMENTOS!D1467="","",ORCAMENTOS!D1467)</f>
        <v>NEWSET</v>
      </c>
      <c r="E1459" s="38" t="str">
        <f>IF(ORCAMENTOS!E1467="","",ORCAMENTOS!E1467)</f>
        <v>UNIAZUL</v>
      </c>
      <c r="F1459" s="37" t="str">
        <f>IF(ORCAMENTOS!G1467="","",ORCAMENTOS!G1467)</f>
        <v xml:space="preserve">Aldavir </v>
      </c>
      <c r="G1459" s="37" t="str">
        <f>IF(ORCAMENTOS!H1467="","",ORCAMENTOS!H1467)</f>
        <v>Hiago</v>
      </c>
      <c r="H1459" s="39">
        <f>IF(ORCAMENTOS!I1467="","",ORCAMENTOS!I1467)</f>
        <v>7744.87</v>
      </c>
      <c r="I1459" s="60" t="str">
        <f>IF(ORCAMENTOS!J1467="","",ORCAMENTOS!J1467)</f>
        <v/>
      </c>
      <c r="J1459" s="40" t="str">
        <f>IF(ORCAMENTOS!L1467="","",ORCAMENTOS!L1467)</f>
        <v>CANCELADO</v>
      </c>
      <c r="K1459" s="34" t="str">
        <f>IF(ORCAMENTOS!M1467="","",ORCAMENTOS!M1467)</f>
        <v>-</v>
      </c>
      <c r="L1459" t="str">
        <f>IF(ORCAMENTOS!R1467="","",ORCAMENTOS!R1467)</f>
        <v>-</v>
      </c>
    </row>
    <row r="1460" spans="1:12" ht="15.75" hidden="1" customHeight="1" x14ac:dyDescent="0.25">
      <c r="A1460" s="36">
        <f>IF(ORCAMENTOS!A1468="","",ORCAMENTOS!A1468)</f>
        <v>45888</v>
      </c>
      <c r="B1460" s="46">
        <f>IF(ORCAMENTOS!B1468="","",ORCAMENTOS!B1468)</f>
        <v>1458</v>
      </c>
      <c r="C1460" s="46" t="str">
        <f>IF(ORCAMENTOS!C1468="","",ORCAMENTOS!C1468)</f>
        <v/>
      </c>
      <c r="D1460" s="37" t="str">
        <f>IF(ORCAMENTOS!D1468="","",ORCAMENTOS!D1468)</f>
        <v>NOSSO AR</v>
      </c>
      <c r="E1460" s="38" t="str">
        <f>IF(ORCAMENTOS!E1468="","",ORCAMENTOS!E1468)</f>
        <v>-</v>
      </c>
      <c r="F1460" s="37" t="str">
        <f>IF(ORCAMENTOS!G1468="","",ORCAMENTOS!G1468)</f>
        <v>Gabriel</v>
      </c>
      <c r="G1460" s="37" t="str">
        <f>IF(ORCAMENTOS!H1468="","",ORCAMENTOS!H1468)</f>
        <v>Camila</v>
      </c>
      <c r="H1460" s="39">
        <f>IF(ORCAMENTOS!I1468="","",ORCAMENTOS!I1468)</f>
        <v>7236.59</v>
      </c>
      <c r="I1460" s="60" t="str">
        <f>IF(ORCAMENTOS!J1468="","",ORCAMENTOS!J1468)</f>
        <v/>
      </c>
      <c r="J1460" s="40" t="str">
        <f>IF(ORCAMENTOS!L1468="","",ORCAMENTOS!L1468)</f>
        <v>CANCELADO</v>
      </c>
      <c r="K1460" s="34" t="str">
        <f>IF(ORCAMENTOS!M1468="","",ORCAMENTOS!M1468)</f>
        <v>-</v>
      </c>
      <c r="L1460" t="str">
        <f>IF(ORCAMENTOS!R1468="","",ORCAMENTOS!R1468)</f>
        <v>-</v>
      </c>
    </row>
    <row r="1461" spans="1:12" ht="15.75" hidden="1" customHeight="1" x14ac:dyDescent="0.25">
      <c r="A1461" s="36">
        <f>IF(ORCAMENTOS!A1469="","",ORCAMENTOS!A1469)</f>
        <v>45888</v>
      </c>
      <c r="B1461" s="46">
        <f>IF(ORCAMENTOS!B1469="","",ORCAMENTOS!B1469)</f>
        <v>1459</v>
      </c>
      <c r="C1461" s="46" t="str">
        <f>IF(ORCAMENTOS!C1469="","",ORCAMENTOS!C1469)</f>
        <v/>
      </c>
      <c r="D1461" s="37" t="str">
        <f>IF(ORCAMENTOS!D1469="","",ORCAMENTOS!D1469)</f>
        <v>DUTOMAX</v>
      </c>
      <c r="E1461" s="38" t="str">
        <f>IF(ORCAMENTOS!E1469="","",ORCAMENTOS!E1469)</f>
        <v>AP MAURO MUTRAN - HAUS MITRE JARDIM - SP</v>
      </c>
      <c r="F1461" s="37" t="str">
        <f>IF(ORCAMENTOS!G1469="","",ORCAMENTOS!G1469)</f>
        <v>Gabriel</v>
      </c>
      <c r="G1461" s="37" t="str">
        <f>IF(ORCAMENTOS!H1469="","",ORCAMENTOS!H1469)</f>
        <v>Jura</v>
      </c>
      <c r="H1461" s="39">
        <f>IF(ORCAMENTOS!I1469="","",ORCAMENTOS!I1469)</f>
        <v>4903.57</v>
      </c>
      <c r="I1461" s="60" t="str">
        <f>IF(ORCAMENTOS!J1469="","",ORCAMENTOS!J1469)</f>
        <v/>
      </c>
      <c r="J1461" s="40" t="str">
        <f>IF(ORCAMENTOS!L1469="","",ORCAMENTOS!L1469)</f>
        <v>CANCELADO</v>
      </c>
      <c r="K1461" s="34" t="str">
        <f>IF(ORCAMENTOS!M1469="","",ORCAMENTOS!M1469)</f>
        <v>-</v>
      </c>
      <c r="L1461" t="str">
        <f>IF(ORCAMENTOS!R1469="","",ORCAMENTOS!R1469)</f>
        <v>MPU</v>
      </c>
    </row>
    <row r="1462" spans="1:12" ht="15.75" hidden="1" customHeight="1" x14ac:dyDescent="0.25">
      <c r="A1462" s="36">
        <f>IF(ORCAMENTOS!A1470="","",ORCAMENTOS!A1470)</f>
        <v>45888</v>
      </c>
      <c r="B1462" s="46">
        <f>IF(ORCAMENTOS!B1470="","",ORCAMENTOS!B1470)</f>
        <v>1460</v>
      </c>
      <c r="C1462" s="46" t="str">
        <f>IF(ORCAMENTOS!C1470="","",ORCAMENTOS!C1470)</f>
        <v/>
      </c>
      <c r="D1462" s="37" t="str">
        <f>IF(ORCAMENTOS!D1470="","",ORCAMENTOS!D1470)</f>
        <v>AR SISTEMAS</v>
      </c>
      <c r="E1462" s="38" t="str">
        <f>IF(ORCAMENTOS!E1470="","",ORCAMENTOS!E1470)</f>
        <v>SMART FIT - VILA NOVA CACHOEIRINHA - SP</v>
      </c>
      <c r="F1462" s="37" t="str">
        <f>IF(ORCAMENTOS!G1470="","",ORCAMENTOS!G1470)</f>
        <v>Michel</v>
      </c>
      <c r="G1462" s="37" t="str">
        <f>IF(ORCAMENTOS!H1470="","",ORCAMENTOS!H1470)</f>
        <v>Marcos</v>
      </c>
      <c r="H1462" s="39">
        <f>IF(ORCAMENTOS!I1470="","",ORCAMENTOS!I1470)</f>
        <v>26740.16</v>
      </c>
      <c r="I1462" s="60" t="str">
        <f>IF(ORCAMENTOS!J1470="","",ORCAMENTOS!J1470)</f>
        <v/>
      </c>
      <c r="J1462" s="40" t="str">
        <f>IF(ORCAMENTOS!L1470="","",ORCAMENTOS!L1470)</f>
        <v>CANCELADO</v>
      </c>
      <c r="K1462" s="34" t="str">
        <f>IF(ORCAMENTOS!M1470="","",ORCAMENTOS!M1470)</f>
        <v>-</v>
      </c>
      <c r="L1462" t="str">
        <f>IF(ORCAMENTOS!R1470="","",ORCAMENTOS!R1470)</f>
        <v>ACO GALVANIZADO</v>
      </c>
    </row>
    <row r="1463" spans="1:12" ht="15.75" hidden="1" customHeight="1" x14ac:dyDescent="0.25">
      <c r="A1463" s="36">
        <f>IF(ORCAMENTOS!A1471="","",ORCAMENTOS!A1471)</f>
        <v>45888</v>
      </c>
      <c r="B1463" s="46">
        <f>IF(ORCAMENTOS!B1471="","",ORCAMENTOS!B1471)</f>
        <v>1461</v>
      </c>
      <c r="C1463" s="46" t="str">
        <f>IF(ORCAMENTOS!C1471="","",ORCAMENTOS!C1471)</f>
        <v/>
      </c>
      <c r="D1463" s="37" t="str">
        <f>IF(ORCAMENTOS!D1471="","",ORCAMENTOS!D1471)</f>
        <v>BEST CLIMA</v>
      </c>
      <c r="E1463" s="38" t="str">
        <f>IF(ORCAMENTOS!E1471="","",ORCAMENTOS!E1471)</f>
        <v>BCGP 2420 Racional Google</v>
      </c>
      <c r="F1463" s="37" t="str">
        <f>IF(ORCAMENTOS!G1471="","",ORCAMENTOS!G1471)</f>
        <v xml:space="preserve">Aldavir </v>
      </c>
      <c r="G1463" s="37" t="str">
        <f>IF(ORCAMENTOS!H1471="","",ORCAMENTOS!H1471)</f>
        <v>Arion</v>
      </c>
      <c r="H1463" s="39">
        <f>IF(ORCAMENTOS!I1471="","",ORCAMENTOS!I1471)</f>
        <v>4100.1099999999997</v>
      </c>
      <c r="I1463" s="60" t="str">
        <f>IF(ORCAMENTOS!J1471="","",ORCAMENTOS!J1471)</f>
        <v/>
      </c>
      <c r="J1463" s="40" t="str">
        <f>IF(ORCAMENTOS!L1471="","",ORCAMENTOS!L1471)</f>
        <v>FECHADO</v>
      </c>
      <c r="K1463" s="34" t="str">
        <f>IF(ORCAMENTOS!M1471="","",ORCAMENTOS!M1471)</f>
        <v>-</v>
      </c>
      <c r="L1463" t="str">
        <f>IF(ORCAMENTOS!R1471="","",ORCAMENTOS!R1471)</f>
        <v>-</v>
      </c>
    </row>
    <row r="1464" spans="1:12" ht="15.75" hidden="1" customHeight="1" x14ac:dyDescent="0.25">
      <c r="A1464" s="36">
        <f>IF(ORCAMENTOS!A1472="","",ORCAMENTOS!A1472)</f>
        <v>45888</v>
      </c>
      <c r="B1464" s="46">
        <f>IF(ORCAMENTOS!B1472="","",ORCAMENTOS!B1472)</f>
        <v>1462</v>
      </c>
      <c r="C1464" s="46" t="str">
        <f>IF(ORCAMENTOS!C1472="","",ORCAMENTOS!C1472)</f>
        <v/>
      </c>
      <c r="D1464" s="37" t="str">
        <f>IF(ORCAMENTOS!D1472="","",ORCAMENTOS!D1472)</f>
        <v>HAITEC AR CONDICIONADO</v>
      </c>
      <c r="E1464" s="38" t="str">
        <f>IF(ORCAMENTOS!E1472="","",ORCAMENTOS!E1472)</f>
        <v>FARM - RIBEIRAO PRETO - SP</v>
      </c>
      <c r="F1464" s="37" t="str">
        <f>IF(ORCAMENTOS!G1472="","",ORCAMENTOS!G1472)</f>
        <v>Michel</v>
      </c>
      <c r="G1464" s="37" t="str">
        <f>IF(ORCAMENTOS!H1472="","",ORCAMENTOS!H1472)</f>
        <v>Nilson</v>
      </c>
      <c r="H1464" s="39">
        <f>IF(ORCAMENTOS!I1472="","",ORCAMENTOS!I1472)</f>
        <v>13806.78</v>
      </c>
      <c r="I1464" s="60" t="str">
        <f>IF(ORCAMENTOS!J1472="","",ORCAMENTOS!J1472)</f>
        <v/>
      </c>
      <c r="J1464" s="40" t="str">
        <f>IF(ORCAMENTOS!L1472="","",ORCAMENTOS!L1472)</f>
        <v>CANCELADO</v>
      </c>
      <c r="K1464" s="34" t="str">
        <f>IF(ORCAMENTOS!M1472="","",ORCAMENTOS!M1472)</f>
        <v>-</v>
      </c>
      <c r="L1464" t="str">
        <f>IF(ORCAMENTOS!R1472="","",ORCAMENTOS!R1472)</f>
        <v>ACO GALVANIZADO</v>
      </c>
    </row>
    <row r="1465" spans="1:12" ht="15.75" hidden="1" customHeight="1" x14ac:dyDescent="0.25">
      <c r="A1465" s="36">
        <f>IF(ORCAMENTOS!A1473="","",ORCAMENTOS!A1473)</f>
        <v>45888</v>
      </c>
      <c r="B1465" s="46">
        <f>IF(ORCAMENTOS!B1473="","",ORCAMENTOS!B1473)</f>
        <v>1463</v>
      </c>
      <c r="C1465" s="46" t="str">
        <f>IF(ORCAMENTOS!C1473="","",ORCAMENTOS!C1473)</f>
        <v/>
      </c>
      <c r="D1465" s="37" t="str">
        <f>IF(ORCAMENTOS!D1473="","",ORCAMENTOS!D1473)</f>
        <v>NP CLIMATIZAÇÃO</v>
      </c>
      <c r="E1465" s="38" t="str">
        <f>IF(ORCAMENTOS!E1473="","",ORCAMENTOS!E1473)</f>
        <v>EDUARDO SAMPAIO</v>
      </c>
      <c r="F1465" s="37" t="str">
        <f>IF(ORCAMENTOS!G1473="","",ORCAMENTOS!G1473)</f>
        <v>Guilherme</v>
      </c>
      <c r="G1465" s="37" t="str">
        <f>IF(ORCAMENTOS!H1473="","",ORCAMENTOS!H1473)</f>
        <v>Maria Luisa</v>
      </c>
      <c r="H1465" s="39">
        <f>IF(ORCAMENTOS!I1473="","",ORCAMENTOS!I1473)</f>
        <v>12634.63</v>
      </c>
      <c r="I1465" s="60" t="str">
        <f>IF(ORCAMENTOS!J1473="","",ORCAMENTOS!J1473)</f>
        <v/>
      </c>
      <c r="J1465" s="40" t="str">
        <f>IF(ORCAMENTOS!L1473="","",ORCAMENTOS!L1473)</f>
        <v>CANCELADO</v>
      </c>
      <c r="K1465" s="34" t="str">
        <f>IF(ORCAMENTOS!M1473="","",ORCAMENTOS!M1473)</f>
        <v>-</v>
      </c>
      <c r="L1465" t="str">
        <f>IF(ORCAMENTOS!R1473="","",ORCAMENTOS!R1473)</f>
        <v>-</v>
      </c>
    </row>
    <row r="1466" spans="1:12" ht="15.75" hidden="1" customHeight="1" x14ac:dyDescent="0.25">
      <c r="A1466" s="36">
        <f>IF(ORCAMENTOS!A1474="","",ORCAMENTOS!A1474)</f>
        <v>45888</v>
      </c>
      <c r="B1466" s="46">
        <f>IF(ORCAMENTOS!B1474="","",ORCAMENTOS!B1474)</f>
        <v>1464</v>
      </c>
      <c r="C1466" s="46" t="str">
        <f>IF(ORCAMENTOS!C1474="","",ORCAMENTOS!C1474)</f>
        <v/>
      </c>
      <c r="D1466" s="37" t="str">
        <f>IF(ORCAMENTOS!D1474="","",ORCAMENTOS!D1474)</f>
        <v>NP CLIMATIZAÇÃO</v>
      </c>
      <c r="E1466" s="38" t="str">
        <f>IF(ORCAMENTOS!E1474="","",ORCAMENTOS!E1474)</f>
        <v>RODRIGO BIANCA</v>
      </c>
      <c r="F1466" s="37" t="str">
        <f>IF(ORCAMENTOS!G1474="","",ORCAMENTOS!G1474)</f>
        <v>Guilherme</v>
      </c>
      <c r="G1466" s="37" t="str">
        <f>IF(ORCAMENTOS!H1474="","",ORCAMENTOS!H1474)</f>
        <v>Maria Luisa</v>
      </c>
      <c r="H1466" s="39">
        <f>IF(ORCAMENTOS!I1474="","",ORCAMENTOS!I1474)</f>
        <v>5403.69</v>
      </c>
      <c r="I1466" s="60" t="str">
        <f>IF(ORCAMENTOS!J1474="","",ORCAMENTOS!J1474)</f>
        <v/>
      </c>
      <c r="J1466" s="40" t="str">
        <f>IF(ORCAMENTOS!L1474="","",ORCAMENTOS!L1474)</f>
        <v>CANCELADO</v>
      </c>
      <c r="K1466" s="34" t="str">
        <f>IF(ORCAMENTOS!M1474="","",ORCAMENTOS!M1474)</f>
        <v>-</v>
      </c>
      <c r="L1466" t="str">
        <f>IF(ORCAMENTOS!R1474="","",ORCAMENTOS!R1474)</f>
        <v>-</v>
      </c>
    </row>
    <row r="1467" spans="1:12" ht="15.75" hidden="1" customHeight="1" x14ac:dyDescent="0.25">
      <c r="A1467" s="36">
        <f>IF(ORCAMENTOS!A1475="","",ORCAMENTOS!A1475)</f>
        <v>45888</v>
      </c>
      <c r="B1467" s="46">
        <f>IF(ORCAMENTOS!B1475="","",ORCAMENTOS!B1475)</f>
        <v>1465</v>
      </c>
      <c r="C1467" s="46" t="str">
        <f>IF(ORCAMENTOS!C1475="","",ORCAMENTOS!C1475)</f>
        <v/>
      </c>
      <c r="D1467" s="37" t="str">
        <f>IF(ORCAMENTOS!D1475="","",ORCAMENTOS!D1475)</f>
        <v>EKO CLIMAX</v>
      </c>
      <c r="E1467" s="38" t="str">
        <f>IF(ORCAMENTOS!E1475="","",ORCAMENTOS!E1475)</f>
        <v>-</v>
      </c>
      <c r="F1467" s="37" t="str">
        <f>IF(ORCAMENTOS!G1475="","",ORCAMENTOS!G1475)</f>
        <v>Michel</v>
      </c>
      <c r="G1467" s="37" t="str">
        <f>IF(ORCAMENTOS!H1475="","",ORCAMENTOS!H1475)</f>
        <v>Rogerio</v>
      </c>
      <c r="H1467" s="39">
        <f>IF(ORCAMENTOS!I1475="","",ORCAMENTOS!I1475)</f>
        <v>4417.3999999999996</v>
      </c>
      <c r="I1467" s="60" t="str">
        <f>IF(ORCAMENTOS!J1475="","",ORCAMENTOS!J1475)</f>
        <v/>
      </c>
      <c r="J1467" s="40" t="str">
        <f>IF(ORCAMENTOS!L1475="","",ORCAMENTOS!L1475)</f>
        <v>FECHADO</v>
      </c>
      <c r="K1467" s="34" t="str">
        <f>IF(ORCAMENTOS!M1475="","",ORCAMENTOS!M1475)</f>
        <v>-</v>
      </c>
      <c r="L1467" t="str">
        <f>IF(ORCAMENTOS!R1475="","",ORCAMENTOS!R1475)</f>
        <v>-</v>
      </c>
    </row>
    <row r="1468" spans="1:12" ht="15.75" hidden="1" customHeight="1" x14ac:dyDescent="0.25">
      <c r="A1468" s="36">
        <f>IF(ORCAMENTOS!A1476="","",ORCAMENTOS!A1476)</f>
        <v>45888</v>
      </c>
      <c r="B1468" s="46">
        <f>IF(ORCAMENTOS!B1476="","",ORCAMENTOS!B1476)</f>
        <v>1466</v>
      </c>
      <c r="C1468" s="46" t="str">
        <f>IF(ORCAMENTOS!C1476="","",ORCAMENTOS!C1476)</f>
        <v/>
      </c>
      <c r="D1468" s="37" t="str">
        <f>IF(ORCAMENTOS!D1476="","",ORCAMENTOS!D1476)</f>
        <v>LKT AR CONDICIONADO</v>
      </c>
      <c r="E1468" s="38" t="str">
        <f>IF(ORCAMENTOS!E1476="","",ORCAMENTOS!E1476)</f>
        <v>CASSI - FLORIANOPOLIS</v>
      </c>
      <c r="F1468" s="37" t="str">
        <f>IF(ORCAMENTOS!G1476="","",ORCAMENTOS!G1476)</f>
        <v>Fernando</v>
      </c>
      <c r="G1468" s="37" t="str">
        <f>IF(ORCAMENTOS!H1476="","",ORCAMENTOS!H1476)</f>
        <v>Rafael</v>
      </c>
      <c r="H1468" s="39">
        <f>IF(ORCAMENTOS!I1476="","",ORCAMENTOS!I1476)</f>
        <v>36062.089999999997</v>
      </c>
      <c r="I1468" s="60" t="str">
        <f>IF(ORCAMENTOS!J1476="","",ORCAMENTOS!J1476)</f>
        <v/>
      </c>
      <c r="J1468" s="40" t="str">
        <f>IF(ORCAMENTOS!L1476="","",ORCAMENTOS!L1476)</f>
        <v>CANCELADO</v>
      </c>
      <c r="K1468" s="34" t="str">
        <f>IF(ORCAMENTOS!M1476="","",ORCAMENTOS!M1476)</f>
        <v>FECHADO PELA LS AR CONDICIONADO</v>
      </c>
      <c r="L1468" t="str">
        <f>IF(ORCAMENTOS!R1476="","",ORCAMENTOS!R1476)</f>
        <v>-</v>
      </c>
    </row>
    <row r="1469" spans="1:12" ht="15.75" hidden="1" customHeight="1" x14ac:dyDescent="0.25">
      <c r="A1469" s="36">
        <f>IF(ORCAMENTOS!A1477="","",ORCAMENTOS!A1477)</f>
        <v>45888</v>
      </c>
      <c r="B1469" s="46">
        <f>IF(ORCAMENTOS!B1477="","",ORCAMENTOS!B1477)</f>
        <v>1467</v>
      </c>
      <c r="C1469" s="46" t="str">
        <f>IF(ORCAMENTOS!C1477="","",ORCAMENTOS!C1477)</f>
        <v/>
      </c>
      <c r="D1469" s="37" t="str">
        <f>IF(ORCAMENTOS!D1477="","",ORCAMENTOS!D1477)</f>
        <v>AWA AR CONDICIONADO</v>
      </c>
      <c r="E1469" s="38" t="str">
        <f>IF(ORCAMENTOS!E1477="","",ORCAMENTOS!E1477)</f>
        <v>SPAZIO MATEUS - OLHO D AGUA - SÃO LUIS - MS</v>
      </c>
      <c r="F1469" s="37" t="str">
        <f>IF(ORCAMENTOS!G1477="","",ORCAMENTOS!G1477)</f>
        <v>Guilherme</v>
      </c>
      <c r="G1469" s="37" t="str">
        <f>IF(ORCAMENTOS!H1477="","",ORCAMENTOS!H1477)</f>
        <v>Paula</v>
      </c>
      <c r="H1469" s="39">
        <f>IF(ORCAMENTOS!I1477="","",ORCAMENTOS!I1477)</f>
        <v>69495.31</v>
      </c>
      <c r="I1469" s="60" t="str">
        <f>IF(ORCAMENTOS!J1477="","",ORCAMENTOS!J1477)</f>
        <v/>
      </c>
      <c r="J1469" s="40" t="str">
        <f>IF(ORCAMENTOS!L1477="","",ORCAMENTOS!L1477)</f>
        <v>CANCELADO</v>
      </c>
      <c r="K1469" s="34" t="str">
        <f>IF(ORCAMENTOS!M1477="","",ORCAMENTOS!M1477)</f>
        <v>-</v>
      </c>
      <c r="L1469" t="str">
        <f>IF(ORCAMENTOS!R1477="","",ORCAMENTOS!R1477)</f>
        <v>MPU</v>
      </c>
    </row>
    <row r="1470" spans="1:12" ht="15.75" hidden="1" customHeight="1" x14ac:dyDescent="0.25">
      <c r="A1470" s="36">
        <f>IF(ORCAMENTOS!A1478="","",ORCAMENTOS!A1478)</f>
        <v>45888</v>
      </c>
      <c r="B1470" s="46">
        <f>IF(ORCAMENTOS!B1478="","",ORCAMENTOS!B1478)</f>
        <v>1468</v>
      </c>
      <c r="C1470" s="46" t="str">
        <f>IF(ORCAMENTOS!C1478="","",ORCAMENTOS!C1478)</f>
        <v/>
      </c>
      <c r="D1470" s="37" t="str">
        <f>IF(ORCAMENTOS!D1478="","",ORCAMENTOS!D1478)</f>
        <v>COLDTERMICA</v>
      </c>
      <c r="E1470" s="38" t="str">
        <f>IF(ORCAMENTOS!E1478="","",ORCAMENTOS!E1478)</f>
        <v>RIACHUELO PONTA GROSSA PR</v>
      </c>
      <c r="F1470" s="37" t="str">
        <f>IF(ORCAMENTOS!G1478="","",ORCAMENTOS!G1478)</f>
        <v>Gabriel</v>
      </c>
      <c r="G1470" s="37" t="str">
        <f>IF(ORCAMENTOS!H1478="","",ORCAMENTOS!H1478)</f>
        <v>Denis</v>
      </c>
      <c r="H1470" s="39">
        <f>IF(ORCAMENTOS!I1478="","",ORCAMENTOS!I1478)</f>
        <v>5559.29</v>
      </c>
      <c r="I1470" s="60" t="str">
        <f>IF(ORCAMENTOS!J1478="","",ORCAMENTOS!J1478)</f>
        <v/>
      </c>
      <c r="J1470" s="40" t="str">
        <f>IF(ORCAMENTOS!L1478="","",ORCAMENTOS!L1478)</f>
        <v>FECHADO</v>
      </c>
      <c r="K1470" s="34" t="str">
        <f>IF(ORCAMENTOS!M1478="","",ORCAMENTOS!M1478)</f>
        <v>-</v>
      </c>
      <c r="L1470" t="str">
        <f>IF(ORCAMENTOS!R1478="","",ORCAMENTOS!R1478)</f>
        <v>-</v>
      </c>
    </row>
    <row r="1471" spans="1:12" ht="15.75" hidden="1" customHeight="1" x14ac:dyDescent="0.25">
      <c r="A1471" s="36">
        <f>IF(ORCAMENTOS!A1479="","",ORCAMENTOS!A1479)</f>
        <v>45889</v>
      </c>
      <c r="B1471" s="46">
        <f>IF(ORCAMENTOS!B1479="","",ORCAMENTOS!B1479)</f>
        <v>1469</v>
      </c>
      <c r="C1471" s="46" t="str">
        <f>IF(ORCAMENTOS!C1479="","",ORCAMENTOS!C1479)</f>
        <v/>
      </c>
      <c r="D1471" s="37" t="str">
        <f>IF(ORCAMENTOS!D1479="","",ORCAMENTOS!D1479)</f>
        <v>DUCTBUSTERS</v>
      </c>
      <c r="E1471" s="38" t="str">
        <f>IF(ORCAMENTOS!E1479="","",ORCAMENTOS!E1479)</f>
        <v>-</v>
      </c>
      <c r="F1471" s="37" t="str">
        <f>IF(ORCAMENTOS!G1479="","",ORCAMENTOS!G1479)</f>
        <v>Michel</v>
      </c>
      <c r="G1471" s="37" t="str">
        <f>IF(ORCAMENTOS!H1479="","",ORCAMENTOS!H1479)</f>
        <v>Camila</v>
      </c>
      <c r="H1471" s="39">
        <f>IF(ORCAMENTOS!I1479="","",ORCAMENTOS!I1479)</f>
        <v>1000.49</v>
      </c>
      <c r="I1471" s="60" t="str">
        <f>IF(ORCAMENTOS!J1479="","",ORCAMENTOS!J1479)</f>
        <v/>
      </c>
      <c r="J1471" s="40" t="str">
        <f>IF(ORCAMENTOS!L1479="","",ORCAMENTOS!L1479)</f>
        <v>CANCELADO</v>
      </c>
      <c r="K1471" s="34" t="str">
        <f>IF(ORCAMENTOS!M1479="","",ORCAMENTOS!M1479)</f>
        <v>-</v>
      </c>
      <c r="L1471" t="str">
        <f>IF(ORCAMENTOS!R1479="","",ORCAMENTOS!R1479)</f>
        <v>-</v>
      </c>
    </row>
    <row r="1472" spans="1:12" ht="15.75" hidden="1" customHeight="1" x14ac:dyDescent="0.25">
      <c r="A1472" s="36">
        <f>IF(ORCAMENTOS!A1480="","",ORCAMENTOS!A1480)</f>
        <v>45889</v>
      </c>
      <c r="B1472" s="46">
        <f>IF(ORCAMENTOS!B1480="","",ORCAMENTOS!B1480)</f>
        <v>1470</v>
      </c>
      <c r="C1472" s="46" t="str">
        <f>IF(ORCAMENTOS!C1480="","",ORCAMENTOS!C1480)</f>
        <v/>
      </c>
      <c r="D1472" s="37" t="str">
        <f>IF(ORCAMENTOS!D1480="","",ORCAMENTOS!D1480)</f>
        <v>EXPANSAO AR</v>
      </c>
      <c r="E1472" s="38" t="str">
        <f>IF(ORCAMENTOS!E1480="","",ORCAMENTOS!E1480)</f>
        <v>EDIFICIO VIRGINIA - SÃO PAULO - SP</v>
      </c>
      <c r="F1472" s="37" t="str">
        <f>IF(ORCAMENTOS!G1480="","",ORCAMENTOS!G1480)</f>
        <v>Gabriel</v>
      </c>
      <c r="G1472" s="37" t="str">
        <f>IF(ORCAMENTOS!H1480="","",ORCAMENTOS!H1480)</f>
        <v>Natanael</v>
      </c>
      <c r="H1472" s="39">
        <f>IF(ORCAMENTOS!I1480="","",ORCAMENTOS!I1480)</f>
        <v>3557.37</v>
      </c>
      <c r="I1472" s="60" t="str">
        <f>IF(ORCAMENTOS!J1480="","",ORCAMENTOS!J1480)</f>
        <v/>
      </c>
      <c r="J1472" s="40" t="str">
        <f>IF(ORCAMENTOS!L1480="","",ORCAMENTOS!L1480)</f>
        <v>CANCELADO</v>
      </c>
      <c r="K1472" s="34" t="str">
        <f>IF(ORCAMENTOS!M1480="","",ORCAMENTOS!M1480)</f>
        <v>-</v>
      </c>
      <c r="L1472" t="str">
        <f>IF(ORCAMENTOS!R1480="","",ORCAMENTOS!R1480)</f>
        <v>N/E</v>
      </c>
    </row>
    <row r="1473" spans="1:12" ht="15.75" hidden="1" customHeight="1" x14ac:dyDescent="0.25">
      <c r="A1473" s="36">
        <f>IF(ORCAMENTOS!A1481="","",ORCAMENTOS!A1481)</f>
        <v>45889</v>
      </c>
      <c r="B1473" s="46">
        <f>IF(ORCAMENTOS!B1481="","",ORCAMENTOS!B1481)</f>
        <v>1471</v>
      </c>
      <c r="C1473" s="46" t="str">
        <f>IF(ORCAMENTOS!C1481="","",ORCAMENTOS!C1481)</f>
        <v/>
      </c>
      <c r="D1473" s="37" t="str">
        <f>IF(ORCAMENTOS!D1481="","",ORCAMENTOS!D1481)</f>
        <v>AGEPLAN</v>
      </c>
      <c r="E1473" s="38" t="str">
        <f>IF(ORCAMENTOS!E1481="","",ORCAMENTOS!E1481)</f>
        <v>ELEA MANJUBA</v>
      </c>
      <c r="F1473" s="37" t="str">
        <f>IF(ORCAMENTOS!G1481="","",ORCAMENTOS!G1481)</f>
        <v>Fernando</v>
      </c>
      <c r="G1473" s="37" t="str">
        <f>IF(ORCAMENTOS!H1481="","",ORCAMENTOS!H1481)</f>
        <v>Felipe</v>
      </c>
      <c r="H1473" s="39">
        <f>IF(ORCAMENTOS!I1481="","",ORCAMENTOS!I1481)</f>
        <v>20342</v>
      </c>
      <c r="I1473" s="60" t="str">
        <f>IF(ORCAMENTOS!J1481="","",ORCAMENTOS!J1481)</f>
        <v/>
      </c>
      <c r="J1473" s="40" t="str">
        <f>IF(ORCAMENTOS!L1481="","",ORCAMENTOS!L1481)</f>
        <v>CANCELADO</v>
      </c>
      <c r="K1473" s="34" t="str">
        <f>IF(ORCAMENTOS!M1481="","",ORCAMENTOS!M1481)</f>
        <v>BOAS CHANCES</v>
      </c>
      <c r="L1473" t="str">
        <f>IF(ORCAMENTOS!R1481="","",ORCAMENTOS!R1481)</f>
        <v>MPU</v>
      </c>
    </row>
    <row r="1474" spans="1:12" ht="15.75" hidden="1" customHeight="1" x14ac:dyDescent="0.25">
      <c r="A1474" s="36">
        <f>IF(ORCAMENTOS!A1482="","",ORCAMENTOS!A1482)</f>
        <v>45889</v>
      </c>
      <c r="B1474" s="46">
        <f>IF(ORCAMENTOS!B1482="","",ORCAMENTOS!B1482)</f>
        <v>1472</v>
      </c>
      <c r="C1474" s="46" t="str">
        <f>IF(ORCAMENTOS!C1482="","",ORCAMENTOS!C1482)</f>
        <v/>
      </c>
      <c r="D1474" s="37" t="str">
        <f>IF(ORCAMENTOS!D1482="","",ORCAMENTOS!D1482)</f>
        <v>CONTROLE CLIMA</v>
      </c>
      <c r="E1474" s="38" t="str">
        <f>IF(ORCAMENTOS!E1482="","",ORCAMENTOS!E1482)</f>
        <v>-</v>
      </c>
      <c r="F1474" s="37" t="str">
        <f>IF(ORCAMENTOS!G1482="","",ORCAMENTOS!G1482)</f>
        <v>Michel</v>
      </c>
      <c r="G1474" s="37" t="str">
        <f>IF(ORCAMENTOS!H1482="","",ORCAMENTOS!H1482)</f>
        <v>Patricia</v>
      </c>
      <c r="H1474" s="39">
        <f>IF(ORCAMENTOS!I1482="","",ORCAMENTOS!I1482)</f>
        <v>397.6</v>
      </c>
      <c r="I1474" s="60" t="str">
        <f>IF(ORCAMENTOS!J1482="","",ORCAMENTOS!J1482)</f>
        <v/>
      </c>
      <c r="J1474" s="40" t="str">
        <f>IF(ORCAMENTOS!L1482="","",ORCAMENTOS!L1482)</f>
        <v>FECHADO</v>
      </c>
      <c r="K1474" s="34" t="str">
        <f>IF(ORCAMENTOS!M1482="","",ORCAMENTOS!M1482)</f>
        <v>-</v>
      </c>
      <c r="L1474" t="str">
        <f>IF(ORCAMENTOS!R1482="","",ORCAMENTOS!R1482)</f>
        <v>-</v>
      </c>
    </row>
    <row r="1475" spans="1:12" ht="15.75" hidden="1" customHeight="1" x14ac:dyDescent="0.25">
      <c r="A1475" s="36">
        <f>IF(ORCAMENTOS!A1483="","",ORCAMENTOS!A1483)</f>
        <v>45889</v>
      </c>
      <c r="B1475" s="46">
        <f>IF(ORCAMENTOS!B1483="","",ORCAMENTOS!B1483)</f>
        <v>1473</v>
      </c>
      <c r="C1475" s="46" t="str">
        <f>IF(ORCAMENTOS!C1483="","",ORCAMENTOS!C1483)</f>
        <v/>
      </c>
      <c r="D1475" s="37" t="str">
        <f>IF(ORCAMENTOS!D1483="","",ORCAMENTOS!D1483)</f>
        <v>MANENG</v>
      </c>
      <c r="E1475" s="38" t="str">
        <f>IF(ORCAMENTOS!E1483="","",ORCAMENTOS!E1483)</f>
        <v>-</v>
      </c>
      <c r="F1475" s="37" t="str">
        <f>IF(ORCAMENTOS!G1483="","",ORCAMENTOS!G1483)</f>
        <v>Guilherme</v>
      </c>
      <c r="G1475" s="37" t="str">
        <f>IF(ORCAMENTOS!H1483="","",ORCAMENTOS!H1483)</f>
        <v>Hanna</v>
      </c>
      <c r="H1475" s="39">
        <f>IF(ORCAMENTOS!I1483="","",ORCAMENTOS!I1483)</f>
        <v>27503.96</v>
      </c>
      <c r="I1475" s="60" t="str">
        <f>IF(ORCAMENTOS!J1483="","",ORCAMENTOS!J1483)</f>
        <v/>
      </c>
      <c r="J1475" s="40" t="str">
        <f>IF(ORCAMENTOS!L1483="","",ORCAMENTOS!L1483)</f>
        <v>FECHADO</v>
      </c>
      <c r="K1475" s="34" t="str">
        <f>IF(ORCAMENTOS!M1483="","",ORCAMENTOS!M1483)</f>
        <v>-</v>
      </c>
      <c r="L1475" t="str">
        <f>IF(ORCAMENTOS!R1483="","",ORCAMENTOS!R1483)</f>
        <v>-</v>
      </c>
    </row>
    <row r="1476" spans="1:12" ht="15.75" hidden="1" customHeight="1" x14ac:dyDescent="0.25">
      <c r="A1476" s="36">
        <f>IF(ORCAMENTOS!A1484="","",ORCAMENTOS!A1484)</f>
        <v>45895</v>
      </c>
      <c r="B1476" s="46">
        <f>IF(ORCAMENTOS!B1484="","",ORCAMENTOS!B1484)</f>
        <v>1474</v>
      </c>
      <c r="C1476" s="46" t="str">
        <f>IF(ORCAMENTOS!C1484="","",ORCAMENTOS!C1484)</f>
        <v/>
      </c>
      <c r="D1476" s="37" t="str">
        <f>IF(ORCAMENTOS!D1484="","",ORCAMENTOS!D1484)</f>
        <v>MIT ENGENHARIA</v>
      </c>
      <c r="E1476" s="38" t="str">
        <f>IF(ORCAMENTOS!E1484="","",ORCAMENTOS!E1484)</f>
        <v>GOOGLE - BOULEVARD TOWER</v>
      </c>
      <c r="F1476" s="37" t="str">
        <f>IF(ORCAMENTOS!G1484="","",ORCAMENTOS!G1484)</f>
        <v>Guilherme</v>
      </c>
      <c r="G1476" s="37" t="str">
        <f>IF(ORCAMENTOS!H1484="","",ORCAMENTOS!H1484)</f>
        <v>Daniela</v>
      </c>
      <c r="H1476" s="39">
        <f>IF(ORCAMENTOS!I1484="","",ORCAMENTOS!I1484)</f>
        <v>27690.95</v>
      </c>
      <c r="I1476" s="60" t="str">
        <f>IF(ORCAMENTOS!J1484="","",ORCAMENTOS!J1484)</f>
        <v/>
      </c>
      <c r="J1476" s="40" t="str">
        <f>IF(ORCAMENTOS!L1484="","",ORCAMENTOS!L1484)</f>
        <v>CANCELADO</v>
      </c>
      <c r="K1476" s="34" t="str">
        <f>IF(ORCAMENTOS!M1484="","",ORCAMENTOS!M1484)</f>
        <v>-</v>
      </c>
      <c r="L1476" t="str">
        <f>IF(ORCAMENTOS!R1484="","",ORCAMENTOS!R1484)</f>
        <v>MPU</v>
      </c>
    </row>
    <row r="1477" spans="1:12" ht="15.75" hidden="1" customHeight="1" x14ac:dyDescent="0.25">
      <c r="A1477" s="36">
        <f>IF(ORCAMENTOS!A1485="","",ORCAMENTOS!A1485)</f>
        <v>45890</v>
      </c>
      <c r="B1477" s="46">
        <f>IF(ORCAMENTOS!B1485="","",ORCAMENTOS!B1485)</f>
        <v>1475</v>
      </c>
      <c r="C1477" s="46" t="str">
        <f>IF(ORCAMENTOS!C1485="","",ORCAMENTOS!C1485)</f>
        <v/>
      </c>
      <c r="D1477" s="37" t="str">
        <f>IF(ORCAMENTOS!D1485="","",ORCAMENTOS!D1485)</f>
        <v>CONSORCIO ARC</v>
      </c>
      <c r="E1477" s="38" t="str">
        <f>IF(ORCAMENTOS!E1485="","",ORCAMENTOS!E1485)</f>
        <v>CPTM - LINHA AZUL</v>
      </c>
      <c r="F1477" s="37" t="str">
        <f>IF(ORCAMENTOS!G1485="","",ORCAMENTOS!G1485)</f>
        <v>Gabriel</v>
      </c>
      <c r="G1477" s="37" t="str">
        <f>IF(ORCAMENTOS!H1485="","",ORCAMENTOS!H1485)</f>
        <v>Wagner</v>
      </c>
      <c r="H1477" s="39">
        <f>IF(ORCAMENTOS!I1485="","",ORCAMENTOS!I1485)</f>
        <v>62663.69</v>
      </c>
      <c r="I1477" s="60" t="str">
        <f>IF(ORCAMENTOS!J1485="","",ORCAMENTOS!J1485)</f>
        <v/>
      </c>
      <c r="J1477" s="40" t="str">
        <f>IF(ORCAMENTOS!L1485="","",ORCAMENTOS!L1485)</f>
        <v>CANCELADO</v>
      </c>
      <c r="K1477" s="34" t="str">
        <f>IF(ORCAMENTOS!M1485="","",ORCAMENTOS!M1485)</f>
        <v>-</v>
      </c>
      <c r="L1477" t="str">
        <f>IF(ORCAMENTOS!R1485="","",ORCAMENTOS!R1485)</f>
        <v>CHAPA DE ACO GALVANIZADO</v>
      </c>
    </row>
    <row r="1478" spans="1:12" ht="15.75" hidden="1" customHeight="1" x14ac:dyDescent="0.25">
      <c r="A1478" s="36">
        <f>IF(ORCAMENTOS!A1486="","",ORCAMENTOS!A1486)</f>
        <v>45890</v>
      </c>
      <c r="B1478" s="46">
        <f>IF(ORCAMENTOS!B1486="","",ORCAMENTOS!B1486)</f>
        <v>1476</v>
      </c>
      <c r="C1478" s="46" t="str">
        <f>IF(ORCAMENTOS!C1486="","",ORCAMENTOS!C1486)</f>
        <v/>
      </c>
      <c r="D1478" s="37" t="str">
        <f>IF(ORCAMENTOS!D1486="","",ORCAMENTOS!D1486)</f>
        <v>AWA AR CONDICIONADO</v>
      </c>
      <c r="E1478" s="38" t="str">
        <f>IF(ORCAMENTOS!E1486="","",ORCAMENTOS!E1486)</f>
        <v>OBRAMAX - UBERLANDIA - MG</v>
      </c>
      <c r="F1478" s="37" t="str">
        <f>IF(ORCAMENTOS!G1486="","",ORCAMENTOS!G1486)</f>
        <v>Guilherme</v>
      </c>
      <c r="G1478" s="37" t="str">
        <f>IF(ORCAMENTOS!H1486="","",ORCAMENTOS!H1486)</f>
        <v>Paula</v>
      </c>
      <c r="H1478" s="39">
        <f>IF(ORCAMENTOS!I1486="","",ORCAMENTOS!I1486)</f>
        <v>215015.85</v>
      </c>
      <c r="I1478" s="60" t="str">
        <f>IF(ORCAMENTOS!J1486="","",ORCAMENTOS!J1486)</f>
        <v/>
      </c>
      <c r="J1478" s="40" t="str">
        <f>IF(ORCAMENTOS!L1486="","",ORCAMENTOS!L1486)</f>
        <v>CANCELADO</v>
      </c>
      <c r="K1478" s="34" t="str">
        <f>IF(ORCAMENTOS!M1486="","",ORCAMENTOS!M1486)</f>
        <v>-</v>
      </c>
      <c r="L1478" t="str">
        <f>IF(ORCAMENTOS!R1486="","",ORCAMENTOS!R1486)</f>
        <v>MPU</v>
      </c>
    </row>
    <row r="1479" spans="1:12" ht="15.75" hidden="1" customHeight="1" x14ac:dyDescent="0.25">
      <c r="A1479" s="36">
        <f>IF(ORCAMENTOS!A1487="","",ORCAMENTOS!A1487)</f>
        <v>45890</v>
      </c>
      <c r="B1479" s="46">
        <f>IF(ORCAMENTOS!B1487="","",ORCAMENTOS!B1487)</f>
        <v>1477</v>
      </c>
      <c r="C1479" s="46" t="str">
        <f>IF(ORCAMENTOS!C1487="","",ORCAMENTOS!C1487)</f>
        <v/>
      </c>
      <c r="D1479" s="37" t="str">
        <f>IF(ORCAMENTOS!D1487="","",ORCAMENTOS!D1487)</f>
        <v>R1 SOLUCOES</v>
      </c>
      <c r="E1479" s="38" t="str">
        <f>IF(ORCAMENTOS!E1487="","",ORCAMENTOS!E1487)</f>
        <v>-</v>
      </c>
      <c r="F1479" s="37" t="str">
        <f>IF(ORCAMENTOS!G1487="","",ORCAMENTOS!G1487)</f>
        <v>Gabriel</v>
      </c>
      <c r="G1479" s="37" t="str">
        <f>IF(ORCAMENTOS!H1487="","",ORCAMENTOS!H1487)</f>
        <v>Ary</v>
      </c>
      <c r="H1479" s="39">
        <f>IF(ORCAMENTOS!I1487="","",ORCAMENTOS!I1487)</f>
        <v>77422.06</v>
      </c>
      <c r="I1479" s="60" t="str">
        <f>IF(ORCAMENTOS!J1487="","",ORCAMENTOS!J1487)</f>
        <v/>
      </c>
      <c r="J1479" s="40" t="str">
        <f>IF(ORCAMENTOS!L1487="","",ORCAMENTOS!L1487)</f>
        <v>COMPRA</v>
      </c>
      <c r="K1479" s="34" t="str">
        <f>IF(ORCAMENTOS!M1487="","",ORCAMENTOS!M1487)</f>
        <v>VÃO REVISAR AS PLACAS</v>
      </c>
      <c r="L1479" t="str">
        <f>IF(ORCAMENTOS!R1487="","",ORCAMENTOS!R1487)</f>
        <v>-</v>
      </c>
    </row>
    <row r="1480" spans="1:12" ht="15.75" hidden="1" customHeight="1" x14ac:dyDescent="0.25">
      <c r="A1480" s="36">
        <f>IF(ORCAMENTOS!A1488="","",ORCAMENTOS!A1488)</f>
        <v>45890</v>
      </c>
      <c r="B1480" s="46">
        <f>IF(ORCAMENTOS!B1488="","",ORCAMENTOS!B1488)</f>
        <v>1478</v>
      </c>
      <c r="C1480" s="46" t="str">
        <f>IF(ORCAMENTOS!C1488="","",ORCAMENTOS!C1488)</f>
        <v/>
      </c>
      <c r="D1480" s="37" t="str">
        <f>IF(ORCAMENTOS!D1488="","",ORCAMENTOS!D1488)</f>
        <v>NP CLIMATIZAÇÃO</v>
      </c>
      <c r="E1480" s="38" t="str">
        <f>IF(ORCAMENTOS!E1488="","",ORCAMENTOS!E1488)</f>
        <v>GRANADA</v>
      </c>
      <c r="F1480" s="37" t="str">
        <f>IF(ORCAMENTOS!G1488="","",ORCAMENTOS!G1488)</f>
        <v>Guilherme</v>
      </c>
      <c r="G1480" s="37" t="str">
        <f>IF(ORCAMENTOS!H1488="","",ORCAMENTOS!H1488)</f>
        <v>Maria Luisa</v>
      </c>
      <c r="H1480" s="39">
        <f>IF(ORCAMENTOS!I1488="","",ORCAMENTOS!I1488)</f>
        <v>3141.34</v>
      </c>
      <c r="I1480" s="60" t="str">
        <f>IF(ORCAMENTOS!J1488="","",ORCAMENTOS!J1488)</f>
        <v/>
      </c>
      <c r="J1480" s="40" t="str">
        <f>IF(ORCAMENTOS!L1488="","",ORCAMENTOS!L1488)</f>
        <v>FECHADO</v>
      </c>
      <c r="K1480" s="34" t="str">
        <f>IF(ORCAMENTOS!M1488="","",ORCAMENTOS!M1488)</f>
        <v>-</v>
      </c>
      <c r="L1480" t="str">
        <f>IF(ORCAMENTOS!R1488="","",ORCAMENTOS!R1488)</f>
        <v>-</v>
      </c>
    </row>
    <row r="1481" spans="1:12" ht="15.75" hidden="1" customHeight="1" x14ac:dyDescent="0.25">
      <c r="A1481" s="36">
        <f>IF(ORCAMENTOS!A1489="","",ORCAMENTOS!A1489)</f>
        <v>45905</v>
      </c>
      <c r="B1481" s="46">
        <f>IF(ORCAMENTOS!B1489="","",ORCAMENTOS!B1489)</f>
        <v>1479</v>
      </c>
      <c r="C1481" s="46" t="str">
        <f>IF(ORCAMENTOS!C1489="","",ORCAMENTOS!C1489)</f>
        <v/>
      </c>
      <c r="D1481" s="37" t="str">
        <f>IF(ORCAMENTOS!D1489="","",ORCAMENTOS!D1489)</f>
        <v>AWA AR CONDICIONADO</v>
      </c>
      <c r="E1481" s="38" t="str">
        <f>IF(ORCAMENTOS!E1489="","",ORCAMENTOS!E1489)</f>
        <v>RENNER - PATIO CENTRAL SHOPPING - PATOS DE MINAS - MG</v>
      </c>
      <c r="F1481" s="37" t="str">
        <f>IF(ORCAMENTOS!G1489="","",ORCAMENTOS!G1489)</f>
        <v>Guilherme</v>
      </c>
      <c r="G1481" s="37" t="str">
        <f>IF(ORCAMENTOS!H1489="","",ORCAMENTOS!H1489)</f>
        <v>Gustavo</v>
      </c>
      <c r="H1481" s="39">
        <f>IF(ORCAMENTOS!I1489="","",ORCAMENTOS!I1489)</f>
        <v>96676.98</v>
      </c>
      <c r="I1481" s="60" t="str">
        <f>IF(ORCAMENTOS!J1489="","",ORCAMENTOS!J1489)</f>
        <v/>
      </c>
      <c r="J1481" s="40" t="str">
        <f>IF(ORCAMENTOS!L1489="","",ORCAMENTOS!L1489)</f>
        <v>PERDIDO</v>
      </c>
      <c r="K1481" s="34" t="str">
        <f>IF(ORCAMENTOS!M1489="","",ORCAMENTOS!M1489)</f>
        <v>MULTIVAC</v>
      </c>
      <c r="L1481" t="str">
        <f>IF(ORCAMENTOS!R1489="","",ORCAMENTOS!R1489)</f>
        <v>MPU</v>
      </c>
    </row>
    <row r="1482" spans="1:12" ht="15.75" hidden="1" customHeight="1" x14ac:dyDescent="0.25">
      <c r="A1482" s="36">
        <f>IF(ORCAMENTOS!A1490="","",ORCAMENTOS!A1490)</f>
        <v>45890</v>
      </c>
      <c r="B1482" s="46">
        <f>IF(ORCAMENTOS!B1490="","",ORCAMENTOS!B1490)</f>
        <v>1480</v>
      </c>
      <c r="C1482" s="46" t="str">
        <f>IF(ORCAMENTOS!C1490="","",ORCAMENTOS!C1490)</f>
        <v/>
      </c>
      <c r="D1482" s="37" t="str">
        <f>IF(ORCAMENTOS!D1490="","",ORCAMENTOS!D1490)</f>
        <v>LKT AR CONDICIONADO</v>
      </c>
      <c r="E1482" s="38" t="str">
        <f>IF(ORCAMENTOS!E1490="","",ORCAMENTOS!E1490)</f>
        <v>CARPA</v>
      </c>
      <c r="F1482" s="37" t="str">
        <f>IF(ORCAMENTOS!G1490="","",ORCAMENTOS!G1490)</f>
        <v>Fernando</v>
      </c>
      <c r="G1482" s="37" t="str">
        <f>IF(ORCAMENTOS!H1490="","",ORCAMENTOS!H1490)</f>
        <v>Gabriel</v>
      </c>
      <c r="H1482" s="39">
        <f>IF(ORCAMENTOS!I1490="","",ORCAMENTOS!I1490)</f>
        <v>32235.47</v>
      </c>
      <c r="I1482" s="60" t="str">
        <f>IF(ORCAMENTOS!J1490="","",ORCAMENTOS!J1490)</f>
        <v/>
      </c>
      <c r="J1482" s="40" t="str">
        <f>IF(ORCAMENTOS!L1490="","",ORCAMENTOS!L1490)</f>
        <v>CANCELADO</v>
      </c>
      <c r="K1482" s="34" t="str">
        <f>IF(ORCAMENTOS!M1490="","",ORCAMENTOS!M1490)</f>
        <v>BOAS CHANCES</v>
      </c>
      <c r="L1482" t="str">
        <f>IF(ORCAMENTOS!R1490="","",ORCAMENTOS!R1490)</f>
        <v>-</v>
      </c>
    </row>
    <row r="1483" spans="1:12" ht="15.75" hidden="1" customHeight="1" x14ac:dyDescent="0.25">
      <c r="A1483" s="36">
        <f>IF(ORCAMENTOS!A1491="","",ORCAMENTOS!A1491)</f>
        <v>45891</v>
      </c>
      <c r="B1483" s="46">
        <f>IF(ORCAMENTOS!B1491="","",ORCAMENTOS!B1491)</f>
        <v>1481</v>
      </c>
      <c r="C1483" s="46" t="str">
        <f>IF(ORCAMENTOS!C1491="","",ORCAMENTOS!C1491)</f>
        <v/>
      </c>
      <c r="D1483" s="37" t="str">
        <f>IF(ORCAMENTOS!D1491="","",ORCAMENTOS!D1491)</f>
        <v>GRUPO CHAMA</v>
      </c>
      <c r="E1483" s="38" t="str">
        <f>IF(ORCAMENTOS!E1491="","",ORCAMENTOS!E1491)</f>
        <v>-</v>
      </c>
      <c r="F1483" s="37" t="str">
        <f>IF(ORCAMENTOS!G1491="","",ORCAMENTOS!G1491)</f>
        <v>Gabriel</v>
      </c>
      <c r="G1483" s="37" t="str">
        <f>IF(ORCAMENTOS!H1491="","",ORCAMENTOS!H1491)</f>
        <v>Vitoria</v>
      </c>
      <c r="H1483" s="39">
        <f>IF(ORCAMENTOS!I1491="","",ORCAMENTOS!I1491)</f>
        <v>47654.38</v>
      </c>
      <c r="I1483" s="60" t="str">
        <f>IF(ORCAMENTOS!J1491="","",ORCAMENTOS!J1491)</f>
        <v/>
      </c>
      <c r="J1483" s="40" t="str">
        <f>IF(ORCAMENTOS!L1491="","",ORCAMENTOS!L1491)</f>
        <v>FECHADO</v>
      </c>
      <c r="K1483" s="34" t="str">
        <f>IF(ORCAMENTOS!M1491="","",ORCAMENTOS!M1491)</f>
        <v>-</v>
      </c>
      <c r="L1483" t="str">
        <f>IF(ORCAMENTOS!R1491="","",ORCAMENTOS!R1491)</f>
        <v>-</v>
      </c>
    </row>
    <row r="1484" spans="1:12" ht="15.75" hidden="1" customHeight="1" x14ac:dyDescent="0.25">
      <c r="A1484" s="36">
        <f>IF(ORCAMENTOS!A1492="","",ORCAMENTOS!A1492)</f>
        <v>45896</v>
      </c>
      <c r="B1484" s="46">
        <f>IF(ORCAMENTOS!B1492="","",ORCAMENTOS!B1492)</f>
        <v>1482</v>
      </c>
      <c r="C1484" s="46" t="str">
        <f>IF(ORCAMENTOS!C1492="","",ORCAMENTOS!C1492)</f>
        <v/>
      </c>
      <c r="D1484" s="37" t="str">
        <f>IF(ORCAMENTOS!D1492="","",ORCAMENTOS!D1492)</f>
        <v>INOVECTOR</v>
      </c>
      <c r="E1484" s="38" t="str">
        <f>IF(ORCAMENTOS!E1492="","",ORCAMENTOS!E1492)</f>
        <v>H. ANÁLIA FRANCO_PET-CT</v>
      </c>
      <c r="F1484" s="37" t="str">
        <f>IF(ORCAMENTOS!G1492="","",ORCAMENTOS!G1492)</f>
        <v>Fernando</v>
      </c>
      <c r="G1484" s="37" t="str">
        <f>IF(ORCAMENTOS!H1492="","",ORCAMENTOS!H1492)</f>
        <v>Eliete</v>
      </c>
      <c r="H1484" s="39">
        <f>IF(ORCAMENTOS!I1492="","",ORCAMENTOS!I1492)</f>
        <v>25586.62</v>
      </c>
      <c r="I1484" s="60" t="str">
        <f>IF(ORCAMENTOS!J1492="","",ORCAMENTOS!J1492)</f>
        <v/>
      </c>
      <c r="J1484" s="40" t="str">
        <f>IF(ORCAMENTOS!L1492="","",ORCAMENTOS!L1492)</f>
        <v>FECHADO</v>
      </c>
      <c r="K1484" s="34" t="str">
        <f>IF(ORCAMENTOS!M1492="","",ORCAMENTOS!M1492)</f>
        <v>-</v>
      </c>
      <c r="L1484" t="str">
        <f>IF(ORCAMENTOS!R1492="","",ORCAMENTOS!R1492)</f>
        <v>-</v>
      </c>
    </row>
    <row r="1485" spans="1:12" ht="15.75" hidden="1" customHeight="1" x14ac:dyDescent="0.25">
      <c r="A1485" s="36">
        <f>IF(ORCAMENTOS!A1493="","",ORCAMENTOS!A1493)</f>
        <v>45891</v>
      </c>
      <c r="B1485" s="46">
        <f>IF(ORCAMENTOS!B1493="","",ORCAMENTOS!B1493)</f>
        <v>1483</v>
      </c>
      <c r="C1485" s="46" t="str">
        <f>IF(ORCAMENTOS!C1493="","",ORCAMENTOS!C1493)</f>
        <v/>
      </c>
      <c r="D1485" s="37" t="str">
        <f>IF(ORCAMENTOS!D1493="","",ORCAMENTOS!D1493)</f>
        <v>AWA AR CONDICIONADO</v>
      </c>
      <c r="E1485" s="38" t="str">
        <f>IF(ORCAMENTOS!E1493="","",ORCAMENTOS!E1493)</f>
        <v>YOUCOM - PARK SHOPPING - CAMPO GRANDE - RJ</v>
      </c>
      <c r="F1485" s="37" t="str">
        <f>IF(ORCAMENTOS!G1493="","",ORCAMENTOS!G1493)</f>
        <v>Guilherme</v>
      </c>
      <c r="G1485" s="37" t="str">
        <f>IF(ORCAMENTOS!H1493="","",ORCAMENTOS!H1493)</f>
        <v>Guilherme</v>
      </c>
      <c r="H1485" s="39">
        <f>IF(ORCAMENTOS!I1493="","",ORCAMENTOS!I1493)</f>
        <v>14550.09</v>
      </c>
      <c r="I1485" s="60" t="str">
        <f>IF(ORCAMENTOS!J1493="","",ORCAMENTOS!J1493)</f>
        <v/>
      </c>
      <c r="J1485" s="40" t="str">
        <f>IF(ORCAMENTOS!L1493="","",ORCAMENTOS!L1493)</f>
        <v>CANCELADO</v>
      </c>
      <c r="K1485" s="34" t="str">
        <f>IF(ORCAMENTOS!M1493="","",ORCAMENTOS!M1493)</f>
        <v>-</v>
      </c>
      <c r="L1485" t="str">
        <f>IF(ORCAMENTOS!R1493="","",ORCAMENTOS!R1493)</f>
        <v>MPU</v>
      </c>
    </row>
    <row r="1486" spans="1:12" ht="15.75" hidden="1" customHeight="1" x14ac:dyDescent="0.25">
      <c r="A1486" s="36">
        <f>IF(ORCAMENTOS!A1494="","",ORCAMENTOS!A1494)</f>
        <v>45891</v>
      </c>
      <c r="B1486" s="46">
        <f>IF(ORCAMENTOS!B1494="","",ORCAMENTOS!B1494)</f>
        <v>1484</v>
      </c>
      <c r="C1486" s="46" t="str">
        <f>IF(ORCAMENTOS!C1494="","",ORCAMENTOS!C1494)</f>
        <v/>
      </c>
      <c r="D1486" s="37" t="str">
        <f>IF(ORCAMENTOS!D1494="","",ORCAMENTOS!D1494)</f>
        <v>AIRPLAN</v>
      </c>
      <c r="E1486" s="38" t="str">
        <f>IF(ORCAMENTOS!E1494="","",ORCAMENTOS!E1494)</f>
        <v>YOUCOM - PARK SHOPPING - CAMPO GRANDE - RJ</v>
      </c>
      <c r="F1486" s="37" t="str">
        <f>IF(ORCAMENTOS!G1494="","",ORCAMENTOS!G1494)</f>
        <v>Guilherme</v>
      </c>
      <c r="G1486" s="37" t="str">
        <f>IF(ORCAMENTOS!H1494="","",ORCAMENTOS!H1494)</f>
        <v>Laercio</v>
      </c>
      <c r="H1486" s="39">
        <f>IF(ORCAMENTOS!I1494="","",ORCAMENTOS!I1494)</f>
        <v>14550.09</v>
      </c>
      <c r="I1486" s="60" t="str">
        <f>IF(ORCAMENTOS!J1494="","",ORCAMENTOS!J1494)</f>
        <v/>
      </c>
      <c r="J1486" s="40" t="str">
        <f>IF(ORCAMENTOS!L1494="","",ORCAMENTOS!L1494)</f>
        <v>CANCELADO</v>
      </c>
      <c r="K1486" s="34" t="str">
        <f>IF(ORCAMENTOS!M1494="","",ORCAMENTOS!M1494)</f>
        <v>-</v>
      </c>
      <c r="L1486" t="str">
        <f>IF(ORCAMENTOS!R1494="","",ORCAMENTOS!R1494)</f>
        <v>MPU</v>
      </c>
    </row>
    <row r="1487" spans="1:12" ht="15.75" hidden="1" customHeight="1" x14ac:dyDescent="0.25">
      <c r="A1487" s="36">
        <f>IF(ORCAMENTOS!A1495="","",ORCAMENTOS!A1495)</f>
        <v>45891</v>
      </c>
      <c r="B1487" s="46">
        <f>IF(ORCAMENTOS!B1495="","",ORCAMENTOS!B1495)</f>
        <v>1485</v>
      </c>
      <c r="C1487" s="46" t="str">
        <f>IF(ORCAMENTOS!C1495="","",ORCAMENTOS!C1495)</f>
        <v/>
      </c>
      <c r="D1487" s="37" t="str">
        <f>IF(ORCAMENTOS!D1495="","",ORCAMENTOS!D1495)</f>
        <v>AMS INSTALACOES</v>
      </c>
      <c r="E1487" s="38" t="str">
        <f>IF(ORCAMENTOS!E1495="","",ORCAMENTOS!E1495)</f>
        <v>FORT ATACADISTA - CAMBORIU - SC</v>
      </c>
      <c r="F1487" s="37" t="str">
        <f>IF(ORCAMENTOS!G1495="","",ORCAMENTOS!G1495)</f>
        <v>Gabriel</v>
      </c>
      <c r="G1487" s="37" t="str">
        <f>IF(ORCAMENTOS!H1495="","",ORCAMENTOS!H1495)</f>
        <v>Albertino</v>
      </c>
      <c r="H1487" s="39">
        <f>IF(ORCAMENTOS!I1495="","",ORCAMENTOS!I1495)</f>
        <v>171650.69</v>
      </c>
      <c r="I1487" s="60" t="str">
        <f>IF(ORCAMENTOS!J1495="","",ORCAMENTOS!J1495)</f>
        <v/>
      </c>
      <c r="J1487" s="40" t="str">
        <f>IF(ORCAMENTOS!L1495="","",ORCAMENTOS!L1495)</f>
        <v>CANCELADO</v>
      </c>
      <c r="K1487" s="34" t="str">
        <f>IF(ORCAMENTOS!M1495="","",ORCAMENTOS!M1495)</f>
        <v>-</v>
      </c>
      <c r="L1487" t="str">
        <f>IF(ORCAMENTOS!R1495="","",ORCAMENTOS!R1495)</f>
        <v>MPU</v>
      </c>
    </row>
    <row r="1488" spans="1:12" ht="15.75" hidden="1" customHeight="1" x14ac:dyDescent="0.25">
      <c r="A1488" s="36">
        <f>IF(ORCAMENTOS!A1496="","",ORCAMENTOS!A1496)</f>
        <v>45894</v>
      </c>
      <c r="B1488" s="46">
        <f>IF(ORCAMENTOS!B1496="","",ORCAMENTOS!B1496)</f>
        <v>1486</v>
      </c>
      <c r="C1488" s="46" t="str">
        <f>IF(ORCAMENTOS!C1496="","",ORCAMENTOS!C1496)</f>
        <v/>
      </c>
      <c r="D1488" s="37" t="str">
        <f>IF(ORCAMENTOS!D1496="","",ORCAMENTOS!D1496)</f>
        <v>INOVECTOR</v>
      </c>
      <c r="E1488" s="38" t="str">
        <f>IF(ORCAMENTOS!E1496="","",ORCAMENTOS!E1496)</f>
        <v>H. VILA NOVA STAR</v>
      </c>
      <c r="F1488" s="37" t="str">
        <f>IF(ORCAMENTOS!G1496="","",ORCAMENTOS!G1496)</f>
        <v>Fernando</v>
      </c>
      <c r="G1488" s="37" t="str">
        <f>IF(ORCAMENTOS!H1496="","",ORCAMENTOS!H1496)</f>
        <v>Eliete</v>
      </c>
      <c r="H1488" s="39">
        <f>IF(ORCAMENTOS!I1496="","",ORCAMENTOS!I1496)</f>
        <v>43161.36</v>
      </c>
      <c r="I1488" s="60" t="str">
        <f>IF(ORCAMENTOS!J1496="","",ORCAMENTOS!J1496)</f>
        <v/>
      </c>
      <c r="J1488" s="40" t="str">
        <f>IF(ORCAMENTOS!L1496="","",ORCAMENTOS!L1496)</f>
        <v>CANCELADO</v>
      </c>
      <c r="K1488" s="34" t="str">
        <f>IF(ORCAMENTOS!M1496="","",ORCAMENTOS!M1496)</f>
        <v>AGUARDANDO PEDIDO</v>
      </c>
      <c r="L1488" t="str">
        <f>IF(ORCAMENTOS!R1496="","",ORCAMENTOS!R1496)</f>
        <v>-</v>
      </c>
    </row>
    <row r="1489" spans="1:12" ht="15.75" hidden="1" customHeight="1" x14ac:dyDescent="0.25">
      <c r="A1489" s="36">
        <f>IF(ORCAMENTOS!A1497="","",ORCAMENTOS!A1497)</f>
        <v>45891</v>
      </c>
      <c r="B1489" s="46">
        <f>IF(ORCAMENTOS!B1497="","",ORCAMENTOS!B1497)</f>
        <v>1487</v>
      </c>
      <c r="C1489" s="46" t="str">
        <f>IF(ORCAMENTOS!C1497="","",ORCAMENTOS!C1497)</f>
        <v/>
      </c>
      <c r="D1489" s="37" t="str">
        <f>IF(ORCAMENTOS!D1497="","",ORCAMENTOS!D1497)</f>
        <v>ACSISTEM</v>
      </c>
      <c r="E1489" s="38" t="str">
        <f>IF(ORCAMENTOS!E1497="","",ORCAMENTOS!E1497)</f>
        <v>-</v>
      </c>
      <c r="F1489" s="37" t="str">
        <f>IF(ORCAMENTOS!G1497="","",ORCAMENTOS!G1497)</f>
        <v>Emanuel</v>
      </c>
      <c r="G1489" s="37" t="str">
        <f>IF(ORCAMENTOS!H1497="","",ORCAMENTOS!H1497)</f>
        <v>Matheus</v>
      </c>
      <c r="H1489" s="39">
        <f>IF(ORCAMENTOS!I1497="","",ORCAMENTOS!I1497)</f>
        <v>52843.83</v>
      </c>
      <c r="I1489" s="60" t="str">
        <f>IF(ORCAMENTOS!J1497="","",ORCAMENTOS!J1497)</f>
        <v/>
      </c>
      <c r="J1489" s="40" t="str">
        <f>IF(ORCAMENTOS!L1497="","",ORCAMENTOS!L1497)</f>
        <v>CANCELADO</v>
      </c>
      <c r="K1489" s="34" t="str">
        <f>IF(ORCAMENTOS!M1497="","",ORCAMENTOS!M1497)</f>
        <v>-</v>
      </c>
      <c r="L1489" t="str">
        <f>IF(ORCAMENTOS!R1497="","",ORCAMENTOS!R1497)</f>
        <v>-</v>
      </c>
    </row>
    <row r="1490" spans="1:12" ht="15.75" hidden="1" customHeight="1" x14ac:dyDescent="0.25">
      <c r="A1490" s="36">
        <f>IF(ORCAMENTOS!A1498="","",ORCAMENTOS!A1498)</f>
        <v>45891</v>
      </c>
      <c r="B1490" s="46">
        <f>IF(ORCAMENTOS!B1498="","",ORCAMENTOS!B1498)</f>
        <v>1488</v>
      </c>
      <c r="C1490" s="46" t="str">
        <f>IF(ORCAMENTOS!C1498="","",ORCAMENTOS!C1498)</f>
        <v/>
      </c>
      <c r="D1490" s="37" t="str">
        <f>IF(ORCAMENTOS!D1498="","",ORCAMENTOS!D1498)</f>
        <v>CATELAN</v>
      </c>
      <c r="E1490" s="38" t="str">
        <f>IF(ORCAMENTOS!E1498="","",ORCAMENTOS!E1498)</f>
        <v>-</v>
      </c>
      <c r="F1490" s="37" t="str">
        <f>IF(ORCAMENTOS!G1498="","",ORCAMENTOS!G1498)</f>
        <v>Michel</v>
      </c>
      <c r="G1490" s="37" t="str">
        <f>IF(ORCAMENTOS!H1498="","",ORCAMENTOS!H1498)</f>
        <v>Danilo</v>
      </c>
      <c r="H1490" s="39">
        <f>IF(ORCAMENTOS!I1498="","",ORCAMENTOS!I1498)</f>
        <v>11649.38</v>
      </c>
      <c r="I1490" s="60" t="str">
        <f>IF(ORCAMENTOS!J1498="","",ORCAMENTOS!J1498)</f>
        <v/>
      </c>
      <c r="J1490" s="40" t="str">
        <f>IF(ORCAMENTOS!L1498="","",ORCAMENTOS!L1498)</f>
        <v>CANCELADO</v>
      </c>
      <c r="K1490" s="34" t="str">
        <f>IF(ORCAMENTOS!M1498="","",ORCAMENTOS!M1498)</f>
        <v>-</v>
      </c>
      <c r="L1490" t="str">
        <f>IF(ORCAMENTOS!R1498="","",ORCAMENTOS!R1498)</f>
        <v>-</v>
      </c>
    </row>
    <row r="1491" spans="1:12" ht="15.75" hidden="1" customHeight="1" x14ac:dyDescent="0.25">
      <c r="A1491" s="36">
        <f>IF(ORCAMENTOS!A1499="","",ORCAMENTOS!A1499)</f>
        <v>45891</v>
      </c>
      <c r="B1491" s="46">
        <f>IF(ORCAMENTOS!B1499="","",ORCAMENTOS!B1499)</f>
        <v>1489</v>
      </c>
      <c r="C1491" s="46" t="str">
        <f>IF(ORCAMENTOS!C1499="","",ORCAMENTOS!C1499)</f>
        <v/>
      </c>
      <c r="D1491" s="37" t="str">
        <f>IF(ORCAMENTOS!D1499="","",ORCAMENTOS!D1499)</f>
        <v>ARDORO</v>
      </c>
      <c r="E1491" s="38" t="str">
        <f>IF(ORCAMENTOS!E1499="","",ORCAMENTOS!E1499)</f>
        <v>-</v>
      </c>
      <c r="F1491" s="37" t="str">
        <f>IF(ORCAMENTOS!G1499="","",ORCAMENTOS!G1499)</f>
        <v>Emanuel</v>
      </c>
      <c r="G1491" s="37" t="str">
        <f>IF(ORCAMENTOS!H1499="","",ORCAMENTOS!H1499)</f>
        <v>Andre</v>
      </c>
      <c r="H1491" s="39">
        <f>IF(ORCAMENTOS!I1499="","",ORCAMENTOS!I1499)</f>
        <v>19564.2</v>
      </c>
      <c r="I1491" s="60" t="str">
        <f>IF(ORCAMENTOS!J1499="","",ORCAMENTOS!J1499)</f>
        <v/>
      </c>
      <c r="J1491" s="40" t="str">
        <f>IF(ORCAMENTOS!L1499="","",ORCAMENTOS!L1499)</f>
        <v>CANCELADO</v>
      </c>
      <c r="K1491" s="34" t="str">
        <f>IF(ORCAMENTOS!M1499="","",ORCAMENTOS!M1499)</f>
        <v>-</v>
      </c>
      <c r="L1491" t="str">
        <f>IF(ORCAMENTOS!R1499="","",ORCAMENTOS!R1499)</f>
        <v>-</v>
      </c>
    </row>
    <row r="1492" spans="1:12" ht="15.75" hidden="1" customHeight="1" x14ac:dyDescent="0.25">
      <c r="A1492" s="36">
        <f>IF(ORCAMENTOS!A1500="","",ORCAMENTOS!A1500)</f>
        <v>45891</v>
      </c>
      <c r="B1492" s="46">
        <f>IF(ORCAMENTOS!B1500="","",ORCAMENTOS!B1500)</f>
        <v>1490</v>
      </c>
      <c r="C1492" s="46" t="str">
        <f>IF(ORCAMENTOS!C1500="","",ORCAMENTOS!C1500)</f>
        <v/>
      </c>
      <c r="D1492" s="37" t="str">
        <f>IF(ORCAMENTOS!D1500="","",ORCAMENTOS!D1500)</f>
        <v>CATELAN</v>
      </c>
      <c r="E1492" s="38" t="str">
        <f>IF(ORCAMENTOS!E1500="","",ORCAMENTOS!E1500)</f>
        <v>-</v>
      </c>
      <c r="F1492" s="37" t="str">
        <f>IF(ORCAMENTOS!G1500="","",ORCAMENTOS!G1500)</f>
        <v>Michel</v>
      </c>
      <c r="G1492" s="37" t="str">
        <f>IF(ORCAMENTOS!H1500="","",ORCAMENTOS!H1500)</f>
        <v>Danilo</v>
      </c>
      <c r="H1492" s="39">
        <f>IF(ORCAMENTOS!I1500="","",ORCAMENTOS!I1500)</f>
        <v>6231.36</v>
      </c>
      <c r="I1492" s="60" t="str">
        <f>IF(ORCAMENTOS!J1500="","",ORCAMENTOS!J1500)</f>
        <v/>
      </c>
      <c r="J1492" s="40" t="str">
        <f>IF(ORCAMENTOS!L1500="","",ORCAMENTOS!L1500)</f>
        <v>FECHADO</v>
      </c>
      <c r="K1492" s="34" t="str">
        <f>IF(ORCAMENTOS!M1500="","",ORCAMENTOS!M1500)</f>
        <v>-</v>
      </c>
      <c r="L1492" t="str">
        <f>IF(ORCAMENTOS!R1500="","",ORCAMENTOS!R1500)</f>
        <v>-</v>
      </c>
    </row>
    <row r="1493" spans="1:12" ht="15.75" hidden="1" customHeight="1" x14ac:dyDescent="0.25">
      <c r="A1493" s="36">
        <f>IF(ORCAMENTOS!A1501="","",ORCAMENTOS!A1501)</f>
        <v>45894</v>
      </c>
      <c r="B1493" s="46">
        <f>IF(ORCAMENTOS!B1501="","",ORCAMENTOS!B1501)</f>
        <v>1491</v>
      </c>
      <c r="C1493" s="46" t="str">
        <f>IF(ORCAMENTOS!C1501="","",ORCAMENTOS!C1501)</f>
        <v/>
      </c>
      <c r="D1493" s="37" t="str">
        <f>IF(ORCAMENTOS!D1501="","",ORCAMENTOS!D1501)</f>
        <v>AIRCAM</v>
      </c>
      <c r="E1493" s="38" t="str">
        <f>IF(ORCAMENTOS!E1501="","",ORCAMENTOS!E1501)</f>
        <v>-</v>
      </c>
      <c r="F1493" s="37" t="str">
        <f>IF(ORCAMENTOS!G1501="","",ORCAMENTOS!G1501)</f>
        <v>Gabriel</v>
      </c>
      <c r="G1493" s="37" t="str">
        <f>IF(ORCAMENTOS!H1501="","",ORCAMENTOS!H1501)</f>
        <v>Karina</v>
      </c>
      <c r="H1493" s="39">
        <f>IF(ORCAMENTOS!I1501="","",ORCAMENTOS!I1501)</f>
        <v>2371.3000000000002</v>
      </c>
      <c r="I1493" s="60" t="str">
        <f>IF(ORCAMENTOS!J1501="","",ORCAMENTOS!J1501)</f>
        <v/>
      </c>
      <c r="J1493" s="40" t="str">
        <f>IF(ORCAMENTOS!L1501="","",ORCAMENTOS!L1501)</f>
        <v>FECHADO</v>
      </c>
      <c r="K1493" s="34" t="str">
        <f>IF(ORCAMENTOS!M1501="","",ORCAMENTOS!M1501)</f>
        <v>-</v>
      </c>
      <c r="L1493" t="str">
        <f>IF(ORCAMENTOS!R1501="","",ORCAMENTOS!R1501)</f>
        <v>-</v>
      </c>
    </row>
    <row r="1494" spans="1:12" ht="15.75" hidden="1" customHeight="1" x14ac:dyDescent="0.25">
      <c r="A1494" s="36">
        <f>IF(ORCAMENTOS!A1502="","",ORCAMENTOS!A1502)</f>
        <v>45894</v>
      </c>
      <c r="B1494" s="46">
        <f>IF(ORCAMENTOS!B1502="","",ORCAMENTOS!B1502)</f>
        <v>1492</v>
      </c>
      <c r="C1494" s="46" t="str">
        <f>IF(ORCAMENTOS!C1502="","",ORCAMENTOS!C1502)</f>
        <v/>
      </c>
      <c r="D1494" s="37" t="str">
        <f>IF(ORCAMENTOS!D1502="","",ORCAMENTOS!D1502)</f>
        <v>ELEMAX ENGENHARIA</v>
      </c>
      <c r="E1494" s="38" t="str">
        <f>IF(ORCAMENTOS!E1502="","",ORCAMENTOS!E1502)</f>
        <v>VOLKSWAGEN CAMINHÕES E ONIBUS - RESENDE / RJ</v>
      </c>
      <c r="F1494" s="37" t="str">
        <f>IF(ORCAMENTOS!G1502="","",ORCAMENTOS!G1502)</f>
        <v xml:space="preserve">Aldavir </v>
      </c>
      <c r="G1494" s="37" t="str">
        <f>IF(ORCAMENTOS!H1502="","",ORCAMENTOS!H1502)</f>
        <v>Joel</v>
      </c>
      <c r="H1494" s="39">
        <f>IF(ORCAMENTOS!I1502="","",ORCAMENTOS!I1502)</f>
        <v>122224.61</v>
      </c>
      <c r="I1494" s="60" t="str">
        <f>IF(ORCAMENTOS!J1502="","",ORCAMENTOS!J1502)</f>
        <v/>
      </c>
      <c r="J1494" s="40" t="str">
        <f>IF(ORCAMENTOS!L1502="","",ORCAMENTOS!L1502)</f>
        <v>CANCELADO</v>
      </c>
      <c r="K1494" s="34" t="str">
        <f>IF(ORCAMENTOS!M1502="","",ORCAMENTOS!M1502)</f>
        <v>-</v>
      </c>
      <c r="L1494" t="str">
        <f>IF(ORCAMENTOS!R1502="","",ORCAMENTOS!R1502)</f>
        <v>-</v>
      </c>
    </row>
    <row r="1495" spans="1:12" ht="15.75" hidden="1" customHeight="1" x14ac:dyDescent="0.25">
      <c r="A1495" s="36">
        <f>IF(ORCAMENTOS!A1503="","",ORCAMENTOS!A1503)</f>
        <v>45894</v>
      </c>
      <c r="B1495" s="46">
        <f>IF(ORCAMENTOS!B1503="","",ORCAMENTOS!B1503)</f>
        <v>1493</v>
      </c>
      <c r="C1495" s="46" t="str">
        <f>IF(ORCAMENTOS!C1503="","",ORCAMENTOS!C1503)</f>
        <v/>
      </c>
      <c r="D1495" s="37" t="str">
        <f>IF(ORCAMENTOS!D1503="","",ORCAMENTOS!D1503)</f>
        <v>PU DUTOS</v>
      </c>
      <c r="E1495" s="38" t="str">
        <f>IF(ORCAMENTOS!E1503="","",ORCAMENTOS!E1503)</f>
        <v>-</v>
      </c>
      <c r="F1495" s="37" t="str">
        <f>IF(ORCAMENTOS!G1503="","",ORCAMENTOS!G1503)</f>
        <v>Gabriel</v>
      </c>
      <c r="G1495" s="37" t="str">
        <f>IF(ORCAMENTOS!H1503="","",ORCAMENTOS!H1503)</f>
        <v>Thiago</v>
      </c>
      <c r="H1495" s="39">
        <f>IF(ORCAMENTOS!I1503="","",ORCAMENTOS!I1503)</f>
        <v>33338.1</v>
      </c>
      <c r="I1495" s="60" t="str">
        <f>IF(ORCAMENTOS!J1503="","",ORCAMENTOS!J1503)</f>
        <v/>
      </c>
      <c r="J1495" s="40" t="str">
        <f>IF(ORCAMENTOS!L1503="","",ORCAMENTOS!L1503)</f>
        <v>CANCELADO</v>
      </c>
      <c r="K1495" s="34" t="str">
        <f>IF(ORCAMENTOS!M1503="","",ORCAMENTOS!M1503)</f>
        <v>-</v>
      </c>
      <c r="L1495" t="str">
        <f>IF(ORCAMENTOS!R1503="","",ORCAMENTOS!R1503)</f>
        <v>-</v>
      </c>
    </row>
    <row r="1496" spans="1:12" ht="15.75" hidden="1" customHeight="1" x14ac:dyDescent="0.25">
      <c r="A1496" s="36">
        <f>IF(ORCAMENTOS!A1504="","",ORCAMENTOS!A1504)</f>
        <v>45894</v>
      </c>
      <c r="B1496" s="46">
        <f>IF(ORCAMENTOS!B1504="","",ORCAMENTOS!B1504)</f>
        <v>1494</v>
      </c>
      <c r="C1496" s="46" t="str">
        <f>IF(ORCAMENTOS!C1504="","",ORCAMENTOS!C1504)</f>
        <v/>
      </c>
      <c r="D1496" s="37" t="str">
        <f>IF(ORCAMENTOS!D1504="","",ORCAMENTOS!D1504)</f>
        <v>TTAC ENGENHARIA</v>
      </c>
      <c r="E1496" s="38" t="str">
        <f>IF(ORCAMENTOS!E1504="","",ORCAMENTOS!E1504)</f>
        <v>AMA PERI PERI</v>
      </c>
      <c r="F1496" s="37" t="str">
        <f>IF(ORCAMENTOS!G1504="","",ORCAMENTOS!G1504)</f>
        <v>Guilherme</v>
      </c>
      <c r="G1496" s="37" t="str">
        <f>IF(ORCAMENTOS!H1504="","",ORCAMENTOS!H1504)</f>
        <v>Karina</v>
      </c>
      <c r="H1496" s="39">
        <f>IF(ORCAMENTOS!I1504="","",ORCAMENTOS!I1504)</f>
        <v>326700.06</v>
      </c>
      <c r="I1496" s="60" t="str">
        <f>IF(ORCAMENTOS!J1504="","",ORCAMENTOS!J1504)</f>
        <v/>
      </c>
      <c r="J1496" s="40" t="str">
        <f>IF(ORCAMENTOS!L1504="","",ORCAMENTOS!L1504)</f>
        <v>CANCELADO</v>
      </c>
      <c r="K1496" s="34" t="str">
        <f>IF(ORCAMENTOS!M1504="","",ORCAMENTOS!M1504)</f>
        <v>EM DEFINIÇÃO DE PROJETO</v>
      </c>
      <c r="L1496" t="str">
        <f>IF(ORCAMENTOS!R1504="","",ORCAMENTOS!R1504)</f>
        <v>CHAPA DE ACO</v>
      </c>
    </row>
    <row r="1497" spans="1:12" ht="15.75" hidden="1" customHeight="1" x14ac:dyDescent="0.25">
      <c r="A1497" s="36">
        <f>IF(ORCAMENTOS!A1505="","",ORCAMENTOS!A1505)</f>
        <v>45895</v>
      </c>
      <c r="B1497" s="46">
        <f>IF(ORCAMENTOS!B1505="","",ORCAMENTOS!B1505)</f>
        <v>1495</v>
      </c>
      <c r="C1497" s="46" t="str">
        <f>IF(ORCAMENTOS!C1505="","",ORCAMENTOS!C1505)</f>
        <v/>
      </c>
      <c r="D1497" s="37" t="str">
        <f>IF(ORCAMENTOS!D1505="","",ORCAMENTOS!D1505)</f>
        <v>TECNOTHERM</v>
      </c>
      <c r="E1497" s="38" t="str">
        <f>IF(ORCAMENTOS!E1505="","",ORCAMENTOS!E1505)</f>
        <v>CLUBE FASE 2</v>
      </c>
      <c r="F1497" s="37" t="str">
        <f>IF(ORCAMENTOS!G1505="","",ORCAMENTOS!G1505)</f>
        <v>Gabriel</v>
      </c>
      <c r="G1497" s="37" t="str">
        <f>IF(ORCAMENTOS!H1505="","",ORCAMENTOS!H1505)</f>
        <v>Mario</v>
      </c>
      <c r="H1497" s="39">
        <f>IF(ORCAMENTOS!I1505="","",ORCAMENTOS!I1505)</f>
        <v>6980.17</v>
      </c>
      <c r="I1497" s="60" t="str">
        <f>IF(ORCAMENTOS!J1505="","",ORCAMENTOS!J1505)</f>
        <v/>
      </c>
      <c r="J1497" s="40" t="str">
        <f>IF(ORCAMENTOS!L1505="","",ORCAMENTOS!L1505)</f>
        <v>CANCELADO</v>
      </c>
      <c r="K1497" s="34" t="str">
        <f>IF(ORCAMENTOS!M1505="","",ORCAMENTOS!M1505)</f>
        <v>-</v>
      </c>
      <c r="L1497" t="str">
        <f>IF(ORCAMENTOS!R1505="","",ORCAMENTOS!R1505)</f>
        <v>-</v>
      </c>
    </row>
    <row r="1498" spans="1:12" ht="15.75" hidden="1" customHeight="1" x14ac:dyDescent="0.25">
      <c r="A1498" s="36">
        <f>IF(ORCAMENTOS!A1506="","",ORCAMENTOS!A1506)</f>
        <v>45895</v>
      </c>
      <c r="B1498" s="46">
        <f>IF(ORCAMENTOS!B1506="","",ORCAMENTOS!B1506)</f>
        <v>1496</v>
      </c>
      <c r="C1498" s="46" t="str">
        <f>IF(ORCAMENTOS!C1506="","",ORCAMENTOS!C1506)</f>
        <v/>
      </c>
      <c r="D1498" s="37" t="str">
        <f>IF(ORCAMENTOS!D1506="","",ORCAMENTOS!D1506)</f>
        <v>EXAUSTOTEC</v>
      </c>
      <c r="E1498" s="38" t="str">
        <f>IF(ORCAMENTOS!E1506="","",ORCAMENTOS!E1506)</f>
        <v>-</v>
      </c>
      <c r="F1498" s="37" t="str">
        <f>IF(ORCAMENTOS!G1506="","",ORCAMENTOS!G1506)</f>
        <v>Michel</v>
      </c>
      <c r="G1498" s="37" t="str">
        <f>IF(ORCAMENTOS!H1506="","",ORCAMENTOS!H1506)</f>
        <v>Pedro</v>
      </c>
      <c r="H1498" s="39">
        <f>IF(ORCAMENTOS!I1506="","",ORCAMENTOS!I1506)</f>
        <v>4737.79</v>
      </c>
      <c r="I1498" s="60" t="str">
        <f>IF(ORCAMENTOS!J1506="","",ORCAMENTOS!J1506)</f>
        <v/>
      </c>
      <c r="J1498" s="40" t="str">
        <f>IF(ORCAMENTOS!L1506="","",ORCAMENTOS!L1506)</f>
        <v>FECHADO</v>
      </c>
      <c r="K1498" s="34" t="str">
        <f>IF(ORCAMENTOS!M1506="","",ORCAMENTOS!M1506)</f>
        <v>-</v>
      </c>
      <c r="L1498" t="str">
        <f>IF(ORCAMENTOS!R1506="","",ORCAMENTOS!R1506)</f>
        <v>-</v>
      </c>
    </row>
    <row r="1499" spans="1:12" ht="15.75" hidden="1" customHeight="1" x14ac:dyDescent="0.25">
      <c r="A1499" s="36">
        <f>IF(ORCAMENTOS!A1507="","",ORCAMENTOS!A1507)</f>
        <v>45895</v>
      </c>
      <c r="B1499" s="46">
        <f>IF(ORCAMENTOS!B1507="","",ORCAMENTOS!B1507)</f>
        <v>1497</v>
      </c>
      <c r="C1499" s="46" t="str">
        <f>IF(ORCAMENTOS!C1507="","",ORCAMENTOS!C1507)</f>
        <v/>
      </c>
      <c r="D1499" s="37" t="str">
        <f>IF(ORCAMENTOS!D1507="","",ORCAMENTOS!D1507)</f>
        <v>AR2 SOLUCOES</v>
      </c>
      <c r="E1499" s="38" t="str">
        <f>IF(ORCAMENTOS!E1507="","",ORCAMENTOS!E1507)</f>
        <v>-</v>
      </c>
      <c r="F1499" s="37" t="str">
        <f>IF(ORCAMENTOS!G1507="","",ORCAMENTOS!G1507)</f>
        <v>Gabriel</v>
      </c>
      <c r="G1499" s="37" t="str">
        <f>IF(ORCAMENTOS!H1507="","",ORCAMENTOS!H1507)</f>
        <v>Ronilson</v>
      </c>
      <c r="H1499" s="39">
        <f>IF(ORCAMENTOS!I1507="","",ORCAMENTOS!I1507)</f>
        <v>5275.25</v>
      </c>
      <c r="I1499" s="60" t="str">
        <f>IF(ORCAMENTOS!J1507="","",ORCAMENTOS!J1507)</f>
        <v/>
      </c>
      <c r="J1499" s="40" t="str">
        <f>IF(ORCAMENTOS!L1507="","",ORCAMENTOS!L1507)</f>
        <v>FECHADO</v>
      </c>
      <c r="K1499" s="34" t="str">
        <f>IF(ORCAMENTOS!M1507="","",ORCAMENTOS!M1507)</f>
        <v>-</v>
      </c>
      <c r="L1499" t="str">
        <f>IF(ORCAMENTOS!R1507="","",ORCAMENTOS!R1507)</f>
        <v>-</v>
      </c>
    </row>
    <row r="1500" spans="1:12" ht="15.75" hidden="1" customHeight="1" x14ac:dyDescent="0.25">
      <c r="A1500" s="36">
        <f>IF(ORCAMENTOS!A1508="","",ORCAMENTOS!A1508)</f>
        <v>45895</v>
      </c>
      <c r="B1500" s="46">
        <f>IF(ORCAMENTOS!B1508="","",ORCAMENTOS!B1508)</f>
        <v>1498</v>
      </c>
      <c r="C1500" s="46" t="str">
        <f>IF(ORCAMENTOS!C1508="","",ORCAMENTOS!C1508)</f>
        <v/>
      </c>
      <c r="D1500" s="37" t="str">
        <f>IF(ORCAMENTOS!D1508="","",ORCAMENTOS!D1508)</f>
        <v>AWA AR CONDICIONADO</v>
      </c>
      <c r="E1500" s="38" t="str">
        <f>IF(ORCAMENTOS!E1508="","",ORCAMENTOS!E1508)</f>
        <v>SUPER MATEUS - CAXIAS - MA</v>
      </c>
      <c r="F1500" s="37" t="str">
        <f>IF(ORCAMENTOS!G1508="","",ORCAMENTOS!G1508)</f>
        <v>Guilherme</v>
      </c>
      <c r="G1500" s="37" t="str">
        <f>IF(ORCAMENTOS!H1508="","",ORCAMENTOS!H1508)</f>
        <v>Gustavo</v>
      </c>
      <c r="H1500" s="39">
        <f>IF(ORCAMENTOS!I1508="","",ORCAMENTOS!I1508)</f>
        <v>59221.62</v>
      </c>
      <c r="I1500" s="60" t="str">
        <f>IF(ORCAMENTOS!J1508="","",ORCAMENTOS!J1508)</f>
        <v/>
      </c>
      <c r="J1500" s="40" t="str">
        <f>IF(ORCAMENTOS!L1508="","",ORCAMENTOS!L1508)</f>
        <v>CANCELADO</v>
      </c>
      <c r="K1500" s="34" t="str">
        <f>IF(ORCAMENTOS!M1508="","",ORCAMENTOS!M1508)</f>
        <v>-</v>
      </c>
      <c r="L1500" t="str">
        <f>IF(ORCAMENTOS!R1508="","",ORCAMENTOS!R1508)</f>
        <v>N/E</v>
      </c>
    </row>
    <row r="1501" spans="1:12" ht="15.75" hidden="1" customHeight="1" x14ac:dyDescent="0.25">
      <c r="A1501" s="36">
        <f>IF(ORCAMENTOS!A1509="","",ORCAMENTOS!A1509)</f>
        <v>45895</v>
      </c>
      <c r="B1501" s="46">
        <f>IF(ORCAMENTOS!B1509="","",ORCAMENTOS!B1509)</f>
        <v>1499</v>
      </c>
      <c r="C1501" s="46" t="str">
        <f>IF(ORCAMENTOS!C1509="","",ORCAMENTOS!C1509)</f>
        <v/>
      </c>
      <c r="D1501" s="37" t="str">
        <f>IF(ORCAMENTOS!D1509="","",ORCAMENTOS!D1509)</f>
        <v>ADRIATIC</v>
      </c>
      <c r="E1501" s="38" t="str">
        <f>IF(ORCAMENTOS!E1509="","",ORCAMENTOS!E1509)</f>
        <v>C&amp;A - CATANDUVA GARDEN SHOPPING - SP</v>
      </c>
      <c r="F1501" s="37" t="str">
        <f>IF(ORCAMENTOS!G1509="","",ORCAMENTOS!G1509)</f>
        <v>Emanuel</v>
      </c>
      <c r="G1501" s="37" t="str">
        <f>IF(ORCAMENTOS!H1509="","",ORCAMENTOS!H1509)</f>
        <v>Carlos</v>
      </c>
      <c r="H1501" s="39">
        <f>IF(ORCAMENTOS!I1509="","",ORCAMENTOS!I1509)</f>
        <v>88638.02</v>
      </c>
      <c r="I1501" s="60" t="str">
        <f>IF(ORCAMENTOS!J1509="","",ORCAMENTOS!J1509)</f>
        <v/>
      </c>
      <c r="J1501" s="40" t="str">
        <f>IF(ORCAMENTOS!L1509="","",ORCAMENTOS!L1509)</f>
        <v>CANCELADO</v>
      </c>
      <c r="K1501" s="34" t="str">
        <f>IF(ORCAMENTOS!M1509="","",ORCAMENTOS!M1509)</f>
        <v>-</v>
      </c>
      <c r="L1501" t="str">
        <f>IF(ORCAMENTOS!R1509="","",ORCAMENTOS!R1509)</f>
        <v>MPU</v>
      </c>
    </row>
    <row r="1502" spans="1:12" ht="15.75" hidden="1" customHeight="1" x14ac:dyDescent="0.25">
      <c r="A1502" s="36">
        <f>IF(ORCAMENTOS!A1510="","",ORCAMENTOS!A1510)</f>
        <v>45905</v>
      </c>
      <c r="B1502" s="46">
        <f>IF(ORCAMENTOS!B1510="","",ORCAMENTOS!B1510)</f>
        <v>1500</v>
      </c>
      <c r="C1502" s="46" t="str">
        <f>IF(ORCAMENTOS!C1510="","",ORCAMENTOS!C1510)</f>
        <v/>
      </c>
      <c r="D1502" s="37" t="str">
        <f>IF(ORCAMENTOS!D1510="","",ORCAMENTOS!D1510)</f>
        <v>COLDTERMICA</v>
      </c>
      <c r="E1502" s="38" t="str">
        <f>IF(ORCAMENTOS!E1510="","",ORCAMENTOS!E1510)</f>
        <v>RENNER LAVRAS MG</v>
      </c>
      <c r="F1502" s="37" t="str">
        <f>IF(ORCAMENTOS!G1510="","",ORCAMENTOS!G1510)</f>
        <v>Gabriel</v>
      </c>
      <c r="G1502" s="37" t="str">
        <f>IF(ORCAMENTOS!H1510="","",ORCAMENTOS!H1510)</f>
        <v>Denis</v>
      </c>
      <c r="H1502" s="39">
        <f>IF(ORCAMENTOS!I1510="","",ORCAMENTOS!I1510)</f>
        <v>68017.649999999994</v>
      </c>
      <c r="I1502" s="60" t="str">
        <f>IF(ORCAMENTOS!J1510="","",ORCAMENTOS!J1510)</f>
        <v/>
      </c>
      <c r="J1502" s="40" t="str">
        <f>IF(ORCAMENTOS!L1510="","",ORCAMENTOS!L1510)</f>
        <v>PERDIDO</v>
      </c>
      <c r="K1502" s="34" t="str">
        <f>IF(ORCAMENTOS!M1510="","",ORCAMENTOS!M1510)</f>
        <v>MULTIVAC</v>
      </c>
      <c r="L1502" t="str">
        <f>IF(ORCAMENTOS!R1510="","",ORCAMENTOS!R1510)</f>
        <v>-</v>
      </c>
    </row>
    <row r="1503" spans="1:12" ht="15.75" hidden="1" customHeight="1" x14ac:dyDescent="0.25">
      <c r="A1503" s="36">
        <f>IF(ORCAMENTOS!A1511="","",ORCAMENTOS!A1511)</f>
        <v>45895</v>
      </c>
      <c r="B1503" s="46">
        <f>IF(ORCAMENTOS!B1511="","",ORCAMENTOS!B1511)</f>
        <v>1501</v>
      </c>
      <c r="C1503" s="46" t="str">
        <f>IF(ORCAMENTOS!C1511="","",ORCAMENTOS!C1511)</f>
        <v/>
      </c>
      <c r="D1503" s="37" t="str">
        <f>IF(ORCAMENTOS!D1511="","",ORCAMENTOS!D1511)</f>
        <v>AWA AR CONDICIONADO</v>
      </c>
      <c r="E1503" s="38" t="str">
        <f>IF(ORCAMENTOS!E1511="","",ORCAMENTOS!E1511)</f>
        <v>-</v>
      </c>
      <c r="F1503" s="37" t="str">
        <f>IF(ORCAMENTOS!G1511="","",ORCAMENTOS!G1511)</f>
        <v>Guilherme</v>
      </c>
      <c r="G1503" s="37" t="str">
        <f>IF(ORCAMENTOS!H1511="","",ORCAMENTOS!H1511)</f>
        <v>Paula</v>
      </c>
      <c r="H1503" s="39">
        <f>IF(ORCAMENTOS!I1511="","",ORCAMENTOS!I1511)</f>
        <v>7117.2</v>
      </c>
      <c r="I1503" s="60" t="str">
        <f>IF(ORCAMENTOS!J1511="","",ORCAMENTOS!J1511)</f>
        <v/>
      </c>
      <c r="J1503" s="40" t="str">
        <f>IF(ORCAMENTOS!L1511="","",ORCAMENTOS!L1511)</f>
        <v>CANCELADO</v>
      </c>
      <c r="K1503" s="34" t="str">
        <f>IF(ORCAMENTOS!M1511="","",ORCAMENTOS!M1511)</f>
        <v>-</v>
      </c>
      <c r="L1503" t="str">
        <f>IF(ORCAMENTOS!R1511="","",ORCAMENTOS!R1511)</f>
        <v>-</v>
      </c>
    </row>
    <row r="1504" spans="1:12" ht="15.75" hidden="1" customHeight="1" x14ac:dyDescent="0.25">
      <c r="A1504" s="36">
        <f>IF(ORCAMENTOS!A1512="","",ORCAMENTOS!A1512)</f>
        <v>45895</v>
      </c>
      <c r="B1504" s="46">
        <f>IF(ORCAMENTOS!B1512="","",ORCAMENTOS!B1512)</f>
        <v>1502</v>
      </c>
      <c r="C1504" s="46" t="str">
        <f>IF(ORCAMENTOS!C1512="","",ORCAMENTOS!C1512)</f>
        <v/>
      </c>
      <c r="D1504" s="37" t="str">
        <f>IF(ORCAMENTOS!D1512="","",ORCAMENTOS!D1512)</f>
        <v>CACR ENGENHARIA</v>
      </c>
      <c r="E1504" s="38" t="str">
        <f>IF(ORCAMENTOS!E1512="","",ORCAMENTOS!E1512)</f>
        <v>ASPEN - Sampaio.</v>
      </c>
      <c r="F1504" s="37" t="str">
        <f>IF(ORCAMENTOS!G1512="","",ORCAMENTOS!G1512)</f>
        <v xml:space="preserve">Aldavir </v>
      </c>
      <c r="G1504" s="37" t="str">
        <f>IF(ORCAMENTOS!H1512="","",ORCAMENTOS!H1512)</f>
        <v>Marcelo</v>
      </c>
      <c r="H1504" s="39">
        <f>IF(ORCAMENTOS!I1512="","",ORCAMENTOS!I1512)</f>
        <v>948.18</v>
      </c>
      <c r="I1504" s="60" t="str">
        <f>IF(ORCAMENTOS!J1512="","",ORCAMENTOS!J1512)</f>
        <v/>
      </c>
      <c r="J1504" s="40" t="str">
        <f>IF(ORCAMENTOS!L1512="","",ORCAMENTOS!L1512)</f>
        <v>FECHADO</v>
      </c>
      <c r="K1504" s="34" t="str">
        <f>IF(ORCAMENTOS!M1512="","",ORCAMENTOS!M1512)</f>
        <v>-</v>
      </c>
      <c r="L1504" t="str">
        <f>IF(ORCAMENTOS!R1512="","",ORCAMENTOS!R1512)</f>
        <v>-</v>
      </c>
    </row>
    <row r="1505" spans="1:12" ht="15.75" hidden="1" customHeight="1" x14ac:dyDescent="0.25">
      <c r="A1505" s="36">
        <f>IF(ORCAMENTOS!A1513="","",ORCAMENTOS!A1513)</f>
        <v>45895</v>
      </c>
      <c r="B1505" s="46">
        <f>IF(ORCAMENTOS!B1513="","",ORCAMENTOS!B1513)</f>
        <v>1503</v>
      </c>
      <c r="C1505" s="46" t="str">
        <f>IF(ORCAMENTOS!C1513="","",ORCAMENTOS!C1513)</f>
        <v/>
      </c>
      <c r="D1505" s="37" t="str">
        <f>IF(ORCAMENTOS!D1513="","",ORCAMENTOS!D1513)</f>
        <v>ENEBRAS</v>
      </c>
      <c r="E1505" s="38" t="str">
        <f>IF(ORCAMENTOS!E1513="","",ORCAMENTOS!E1513)</f>
        <v>DR CONSULTA - SANTO ANDRÉ</v>
      </c>
      <c r="F1505" s="37" t="str">
        <f>IF(ORCAMENTOS!G1513="","",ORCAMENTOS!G1513)</f>
        <v>Michel</v>
      </c>
      <c r="G1505" s="37" t="str">
        <f>IF(ORCAMENTOS!H1513="","",ORCAMENTOS!H1513)</f>
        <v>Pedro</v>
      </c>
      <c r="H1505" s="39">
        <f>IF(ORCAMENTOS!I1513="","",ORCAMENTOS!I1513)</f>
        <v>12872.41</v>
      </c>
      <c r="I1505" s="60" t="str">
        <f>IF(ORCAMENTOS!J1513="","",ORCAMENTOS!J1513)</f>
        <v/>
      </c>
      <c r="J1505" s="40" t="str">
        <f>IF(ORCAMENTOS!L1513="","",ORCAMENTOS!L1513)</f>
        <v>CANCELADO</v>
      </c>
      <c r="K1505" s="34" t="str">
        <f>IF(ORCAMENTOS!M1513="","",ORCAMENTOS!M1513)</f>
        <v>-</v>
      </c>
      <c r="L1505" t="str">
        <f>IF(ORCAMENTOS!R1513="","",ORCAMENTOS!R1513)</f>
        <v>-</v>
      </c>
    </row>
    <row r="1506" spans="1:12" ht="15.75" hidden="1" customHeight="1" x14ac:dyDescent="0.25">
      <c r="A1506" s="36">
        <f>IF(ORCAMENTOS!A1514="","",ORCAMENTOS!A1514)</f>
        <v>45895</v>
      </c>
      <c r="B1506" s="46">
        <f>IF(ORCAMENTOS!B1514="","",ORCAMENTOS!B1514)</f>
        <v>1504</v>
      </c>
      <c r="C1506" s="46" t="str">
        <f>IF(ORCAMENTOS!C1514="","",ORCAMENTOS!C1514)</f>
        <v/>
      </c>
      <c r="D1506" s="37" t="str">
        <f>IF(ORCAMENTOS!D1514="","",ORCAMENTOS!D1514)</f>
        <v>ENGPLAN</v>
      </c>
      <c r="E1506" s="38" t="str">
        <f>IF(ORCAMENTOS!E1514="","",ORCAMENTOS!E1514)</f>
        <v>-</v>
      </c>
      <c r="F1506" s="37" t="str">
        <f>IF(ORCAMENTOS!G1514="","",ORCAMENTOS!G1514)</f>
        <v>Fernando</v>
      </c>
      <c r="G1506" s="37" t="str">
        <f>IF(ORCAMENTOS!H1514="","",ORCAMENTOS!H1514)</f>
        <v>Kassia</v>
      </c>
      <c r="H1506" s="39">
        <f>IF(ORCAMENTOS!I1514="","",ORCAMENTOS!I1514)</f>
        <v>9973.9500000000007</v>
      </c>
      <c r="I1506" s="60" t="str">
        <f>IF(ORCAMENTOS!J1514="","",ORCAMENTOS!J1514)</f>
        <v/>
      </c>
      <c r="J1506" s="40" t="str">
        <f>IF(ORCAMENTOS!L1514="","",ORCAMENTOS!L1514)</f>
        <v>FECHADO</v>
      </c>
      <c r="K1506" s="34" t="str">
        <f>IF(ORCAMENTOS!M1514="","",ORCAMENTOS!M1514)</f>
        <v>-</v>
      </c>
      <c r="L1506" t="str">
        <f>IF(ORCAMENTOS!R1514="","",ORCAMENTOS!R1514)</f>
        <v>-</v>
      </c>
    </row>
    <row r="1507" spans="1:12" ht="15.75" hidden="1" customHeight="1" x14ac:dyDescent="0.25">
      <c r="A1507" s="36">
        <f>IF(ORCAMENTOS!A1515="","",ORCAMENTOS!A1515)</f>
        <v>45895</v>
      </c>
      <c r="B1507" s="46">
        <f>IF(ORCAMENTOS!B1515="","",ORCAMENTOS!B1515)</f>
        <v>1505</v>
      </c>
      <c r="C1507" s="46" t="str">
        <f>IF(ORCAMENTOS!C1515="","",ORCAMENTOS!C1515)</f>
        <v/>
      </c>
      <c r="D1507" s="37" t="str">
        <f>IF(ORCAMENTOS!D1515="","",ORCAMENTOS!D1515)</f>
        <v>BMS ENGENHARIA</v>
      </c>
      <c r="E1507" s="38" t="str">
        <f>IF(ORCAMENTOS!E1515="","",ORCAMENTOS!E1515)</f>
        <v>GRUPO AUTOGLASS - VILA VELHA - ES</v>
      </c>
      <c r="F1507" s="37" t="str">
        <f>IF(ORCAMENTOS!G1515="","",ORCAMENTOS!G1515)</f>
        <v>Guilherme</v>
      </c>
      <c r="G1507" s="37" t="str">
        <f>IF(ORCAMENTOS!H1515="","",ORCAMENTOS!H1515)</f>
        <v>Matheus</v>
      </c>
      <c r="H1507" s="39">
        <f>IF(ORCAMENTOS!I1515="","",ORCAMENTOS!I1515)</f>
        <v>3666</v>
      </c>
      <c r="I1507" s="60" t="str">
        <f>IF(ORCAMENTOS!J1515="","",ORCAMENTOS!J1515)</f>
        <v/>
      </c>
      <c r="J1507" s="40" t="str">
        <f>IF(ORCAMENTOS!L1515="","",ORCAMENTOS!L1515)</f>
        <v>CANCELADO</v>
      </c>
      <c r="K1507" s="34" t="str">
        <f>IF(ORCAMENTOS!M1515="","",ORCAMENTOS!M1515)</f>
        <v>ADICIONAL - NOVA FASE</v>
      </c>
      <c r="L1507" t="str">
        <f>IF(ORCAMENTOS!R1515="","",ORCAMENTOS!R1515)</f>
        <v>PAINEIS PRE ISOLADOS</v>
      </c>
    </row>
    <row r="1508" spans="1:12" ht="15.75" hidden="1" customHeight="1" x14ac:dyDescent="0.25">
      <c r="A1508" s="36">
        <f>IF(ORCAMENTOS!A1516="","",ORCAMENTOS!A1516)</f>
        <v>45895</v>
      </c>
      <c r="B1508" s="46">
        <f>IF(ORCAMENTOS!B1516="","",ORCAMENTOS!B1516)</f>
        <v>1506</v>
      </c>
      <c r="C1508" s="46" t="str">
        <f>IF(ORCAMENTOS!C1516="","",ORCAMENTOS!C1516)</f>
        <v/>
      </c>
      <c r="D1508" s="37" t="str">
        <f>IF(ORCAMENTOS!D1516="","",ORCAMENTOS!D1516)</f>
        <v>M&amp;M ENGENHARIA</v>
      </c>
      <c r="E1508" s="38" t="str">
        <f>IF(ORCAMENTOS!E1516="","",ORCAMENTOS!E1516)</f>
        <v>AEROPORTO INTERNACIONAL DE PONTA PORA</v>
      </c>
      <c r="F1508" s="37" t="str">
        <f>IF(ORCAMENTOS!G1516="","",ORCAMENTOS!G1516)</f>
        <v>Gabriel</v>
      </c>
      <c r="G1508" s="37" t="str">
        <f>IF(ORCAMENTOS!H1516="","",ORCAMENTOS!H1516)</f>
        <v>Lucas</v>
      </c>
      <c r="H1508" s="39">
        <f>IF(ORCAMENTOS!I1516="","",ORCAMENTOS!I1516)</f>
        <v>131363.67000000001</v>
      </c>
      <c r="I1508" s="60" t="str">
        <f>IF(ORCAMENTOS!J1516="","",ORCAMENTOS!J1516)</f>
        <v/>
      </c>
      <c r="J1508" s="40" t="str">
        <f>IF(ORCAMENTOS!L1516="","",ORCAMENTOS!L1516)</f>
        <v>CANCELADO</v>
      </c>
      <c r="K1508" s="34" t="str">
        <f>IF(ORCAMENTOS!M1516="","",ORCAMENTOS!M1516)</f>
        <v>-</v>
      </c>
      <c r="L1508" t="str">
        <f>IF(ORCAMENTOS!R1516="","",ORCAMENTOS!R1516)</f>
        <v>N/E</v>
      </c>
    </row>
    <row r="1509" spans="1:12" ht="15.75" hidden="1" customHeight="1" x14ac:dyDescent="0.25">
      <c r="A1509" s="36">
        <f>IF(ORCAMENTOS!A1517="","",ORCAMENTOS!A1517)</f>
        <v>45905</v>
      </c>
      <c r="B1509" s="46">
        <f>IF(ORCAMENTOS!B1517="","",ORCAMENTOS!B1517)</f>
        <v>1507</v>
      </c>
      <c r="C1509" s="46" t="str">
        <f>IF(ORCAMENTOS!C1517="","",ORCAMENTOS!C1517)</f>
        <v/>
      </c>
      <c r="D1509" s="37" t="str">
        <f>IF(ORCAMENTOS!D1517="","",ORCAMENTOS!D1517)</f>
        <v>AWA AR CONDICIONADO</v>
      </c>
      <c r="E1509" s="38" t="str">
        <f>IF(ORCAMENTOS!E1517="","",ORCAMENTOS!E1517)</f>
        <v>RENNER - SHOPPING APARECIDA DE GOIANIA - GO</v>
      </c>
      <c r="F1509" s="37" t="str">
        <f>IF(ORCAMENTOS!G1517="","",ORCAMENTOS!G1517)</f>
        <v>Guilherme</v>
      </c>
      <c r="G1509" s="37" t="str">
        <f>IF(ORCAMENTOS!H1517="","",ORCAMENTOS!H1517)</f>
        <v>Gustavo</v>
      </c>
      <c r="H1509" s="39">
        <f>IF(ORCAMENTOS!I1517="","",ORCAMENTOS!I1517)</f>
        <v>52292.800000000003</v>
      </c>
      <c r="I1509" s="60" t="str">
        <f>IF(ORCAMENTOS!J1517="","",ORCAMENTOS!J1517)</f>
        <v/>
      </c>
      <c r="J1509" s="40" t="str">
        <f>IF(ORCAMENTOS!L1517="","",ORCAMENTOS!L1517)</f>
        <v>PERDIDO</v>
      </c>
      <c r="K1509" s="34" t="str">
        <f>IF(ORCAMENTOS!M1517="","",ORCAMENTOS!M1517)</f>
        <v>MULTIVAC</v>
      </c>
      <c r="L1509" t="str">
        <f>IF(ORCAMENTOS!R1517="","",ORCAMENTOS!R1517)</f>
        <v>MPU</v>
      </c>
    </row>
    <row r="1510" spans="1:12" ht="15.75" hidden="1" customHeight="1" x14ac:dyDescent="0.25">
      <c r="A1510" s="36">
        <f>IF(ORCAMENTOS!A1518="","",ORCAMENTOS!A1518)</f>
        <v>45896</v>
      </c>
      <c r="B1510" s="46">
        <f>IF(ORCAMENTOS!B1518="","",ORCAMENTOS!B1518)</f>
        <v>1508</v>
      </c>
      <c r="C1510" s="46" t="str">
        <f>IF(ORCAMENTOS!C1518="","",ORCAMENTOS!C1518)</f>
        <v/>
      </c>
      <c r="D1510" s="37" t="str">
        <f>IF(ORCAMENTOS!D1518="","",ORCAMENTOS!D1518)</f>
        <v>NP CLIMATIZAÇÃO</v>
      </c>
      <c r="E1510" s="38" t="str">
        <f>IF(ORCAMENTOS!E1518="","",ORCAMENTOS!E1518)</f>
        <v>MARIO CRISTIANE</v>
      </c>
      <c r="F1510" s="37" t="str">
        <f>IF(ORCAMENTOS!G1518="","",ORCAMENTOS!G1518)</f>
        <v>Guilherme</v>
      </c>
      <c r="G1510" s="37" t="str">
        <f>IF(ORCAMENTOS!H1518="","",ORCAMENTOS!H1518)</f>
        <v>Maria Luisa</v>
      </c>
      <c r="H1510" s="39">
        <f>IF(ORCAMENTOS!I1518="","",ORCAMENTOS!I1518)</f>
        <v>5164.18</v>
      </c>
      <c r="I1510" s="60" t="str">
        <f>IF(ORCAMENTOS!J1518="","",ORCAMENTOS!J1518)</f>
        <v/>
      </c>
      <c r="J1510" s="40" t="str">
        <f>IF(ORCAMENTOS!L1518="","",ORCAMENTOS!L1518)</f>
        <v>FECHADO</v>
      </c>
      <c r="K1510" s="34" t="str">
        <f>IF(ORCAMENTOS!M1518="","",ORCAMENTOS!M1518)</f>
        <v>AGUARDANDO PEDIDO</v>
      </c>
      <c r="L1510" t="str">
        <f>IF(ORCAMENTOS!R1518="","",ORCAMENTOS!R1518)</f>
        <v>-</v>
      </c>
    </row>
    <row r="1511" spans="1:12" ht="15.75" hidden="1" customHeight="1" x14ac:dyDescent="0.25">
      <c r="A1511" s="36">
        <f>IF(ORCAMENTOS!A1519="","",ORCAMENTOS!A1519)</f>
        <v>45896</v>
      </c>
      <c r="B1511" s="46">
        <f>IF(ORCAMENTOS!B1519="","",ORCAMENTOS!B1519)</f>
        <v>1509</v>
      </c>
      <c r="C1511" s="46" t="str">
        <f>IF(ORCAMENTOS!C1519="","",ORCAMENTOS!C1519)</f>
        <v/>
      </c>
      <c r="D1511" s="37" t="str">
        <f>IF(ORCAMENTOS!D1519="","",ORCAMENTOS!D1519)</f>
        <v>ARSERVICE</v>
      </c>
      <c r="E1511" s="38" t="str">
        <f>IF(ORCAMENTOS!E1519="","",ORCAMENTOS!E1519)</f>
        <v>-</v>
      </c>
      <c r="F1511" s="37" t="str">
        <f>IF(ORCAMENTOS!G1519="","",ORCAMENTOS!G1519)</f>
        <v>Gabriel</v>
      </c>
      <c r="G1511" s="37" t="str">
        <f>IF(ORCAMENTOS!H1519="","",ORCAMENTOS!H1519)</f>
        <v>Joao</v>
      </c>
      <c r="H1511" s="39">
        <f>IF(ORCAMENTOS!I1519="","",ORCAMENTOS!I1519)</f>
        <v>2490.39</v>
      </c>
      <c r="I1511" s="60" t="str">
        <f>IF(ORCAMENTOS!J1519="","",ORCAMENTOS!J1519)</f>
        <v/>
      </c>
      <c r="J1511" s="40" t="str">
        <f>IF(ORCAMENTOS!L1519="","",ORCAMENTOS!L1519)</f>
        <v>CANCELADO</v>
      </c>
      <c r="K1511" s="34" t="str">
        <f>IF(ORCAMENTOS!M1519="","",ORCAMENTOS!M1519)</f>
        <v>-</v>
      </c>
      <c r="L1511" t="str">
        <f>IF(ORCAMENTOS!R1519="","",ORCAMENTOS!R1519)</f>
        <v>-</v>
      </c>
    </row>
    <row r="1512" spans="1:12" ht="15.75" hidden="1" customHeight="1" x14ac:dyDescent="0.25">
      <c r="A1512" s="36">
        <f>IF(ORCAMENTOS!A1520="","",ORCAMENTOS!A1520)</f>
        <v>45896</v>
      </c>
      <c r="B1512" s="46">
        <f>IF(ORCAMENTOS!B1520="","",ORCAMENTOS!B1520)</f>
        <v>1510</v>
      </c>
      <c r="C1512" s="46" t="str">
        <f>IF(ORCAMENTOS!C1520="","",ORCAMENTOS!C1520)</f>
        <v/>
      </c>
      <c r="D1512" s="37" t="str">
        <f>IF(ORCAMENTOS!D1520="","",ORCAMENTOS!D1520)</f>
        <v>M&amp;M ENGENHARIA</v>
      </c>
      <c r="E1512" s="38" t="str">
        <f>IF(ORCAMENTOS!E1520="","",ORCAMENTOS!E1520)</f>
        <v>AEROPORTO INTERNACIONAL DE PONTA PORA - PARTE 2</v>
      </c>
      <c r="F1512" s="37" t="str">
        <f>IF(ORCAMENTOS!G1520="","",ORCAMENTOS!G1520)</f>
        <v>Gabriel</v>
      </c>
      <c r="G1512" s="37" t="str">
        <f>IF(ORCAMENTOS!H1520="","",ORCAMENTOS!H1520)</f>
        <v>Lucas</v>
      </c>
      <c r="H1512" s="39">
        <f>IF(ORCAMENTOS!I1520="","",ORCAMENTOS!I1520)</f>
        <v>57844.84</v>
      </c>
      <c r="I1512" s="60" t="str">
        <f>IF(ORCAMENTOS!J1520="","",ORCAMENTOS!J1520)</f>
        <v/>
      </c>
      <c r="J1512" s="40" t="str">
        <f>IF(ORCAMENTOS!L1520="","",ORCAMENTOS!L1520)</f>
        <v>CANCELADO</v>
      </c>
      <c r="K1512" s="34" t="str">
        <f>IF(ORCAMENTOS!M1520="","",ORCAMENTOS!M1520)</f>
        <v>-</v>
      </c>
      <c r="L1512" t="str">
        <f>IF(ORCAMENTOS!R1520="","",ORCAMENTOS!R1520)</f>
        <v>N/E</v>
      </c>
    </row>
    <row r="1513" spans="1:12" ht="15.75" hidden="1" customHeight="1" x14ac:dyDescent="0.25">
      <c r="A1513" s="36">
        <f>IF(ORCAMENTOS!A1521="","",ORCAMENTOS!A1521)</f>
        <v>45896</v>
      </c>
      <c r="B1513" s="46">
        <f>IF(ORCAMENTOS!B1521="","",ORCAMENTOS!B1521)</f>
        <v>1511</v>
      </c>
      <c r="C1513" s="46" t="str">
        <f>IF(ORCAMENTOS!C1521="","",ORCAMENTOS!C1521)</f>
        <v/>
      </c>
      <c r="D1513" s="37" t="str">
        <f>IF(ORCAMENTOS!D1521="","",ORCAMENTOS!D1521)</f>
        <v>AFTERMICA</v>
      </c>
      <c r="E1513" s="38" t="str">
        <f>IF(ORCAMENTOS!E1521="","",ORCAMENTOS!E1521)</f>
        <v>BIORECIFE - RECIFE - PE</v>
      </c>
      <c r="F1513" s="37" t="str">
        <f>IF(ORCAMENTOS!G1521="","",ORCAMENTOS!G1521)</f>
        <v>Fernando</v>
      </c>
      <c r="G1513" s="37" t="str">
        <f>IF(ORCAMENTOS!H1521="","",ORCAMENTOS!H1521)</f>
        <v>Andre</v>
      </c>
      <c r="H1513" s="39">
        <f>IF(ORCAMENTOS!I1521="","",ORCAMENTOS!I1521)</f>
        <v>309749.08</v>
      </c>
      <c r="I1513" s="60" t="str">
        <f>IF(ORCAMENTOS!J1521="","",ORCAMENTOS!J1521)</f>
        <v/>
      </c>
      <c r="J1513" s="40" t="str">
        <f>IF(ORCAMENTOS!L1521="","",ORCAMENTOS!L1521)</f>
        <v>CANCELADO</v>
      </c>
      <c r="K1513" s="34" t="str">
        <f>IF(ORCAMENTOS!M1521="","",ORCAMENTOS!M1521)</f>
        <v>BOAS CHANCES</v>
      </c>
      <c r="L1513" t="str">
        <f>IF(ORCAMENTOS!R1521="","",ORCAMENTOS!R1521)</f>
        <v>MPU</v>
      </c>
    </row>
    <row r="1514" spans="1:12" ht="15.75" hidden="1" customHeight="1" x14ac:dyDescent="0.25">
      <c r="A1514" s="36">
        <f>IF(ORCAMENTOS!A1522="","",ORCAMENTOS!A1522)</f>
        <v>45896</v>
      </c>
      <c r="B1514" s="46">
        <f>IF(ORCAMENTOS!B1522="","",ORCAMENTOS!B1522)</f>
        <v>1512</v>
      </c>
      <c r="C1514" s="46" t="str">
        <f>IF(ORCAMENTOS!C1522="","",ORCAMENTOS!C1522)</f>
        <v/>
      </c>
      <c r="D1514" s="37" t="str">
        <f>IF(ORCAMENTOS!D1522="","",ORCAMENTOS!D1522)</f>
        <v>ECOTHERM</v>
      </c>
      <c r="E1514" s="38" t="str">
        <f>IF(ORCAMENTOS!E1522="","",ORCAMENTOS!E1522)</f>
        <v>USP RIBEIRÃO PRETO</v>
      </c>
      <c r="F1514" s="37" t="str">
        <f>IF(ORCAMENTOS!G1522="","",ORCAMENTOS!G1522)</f>
        <v>Emanuel</v>
      </c>
      <c r="G1514" s="37" t="str">
        <f>IF(ORCAMENTOS!H1522="","",ORCAMENTOS!H1522)</f>
        <v>Selma</v>
      </c>
      <c r="H1514" s="39">
        <f>IF(ORCAMENTOS!I1522="","",ORCAMENTOS!I1522)</f>
        <v>89587.87</v>
      </c>
      <c r="I1514" s="60" t="str">
        <f>IF(ORCAMENTOS!J1522="","",ORCAMENTOS!J1522)</f>
        <v/>
      </c>
      <c r="J1514" s="40" t="str">
        <f>IF(ORCAMENTOS!L1522="","",ORCAMENTOS!L1522)</f>
        <v>FECHADO</v>
      </c>
      <c r="K1514" s="34" t="str">
        <f>IF(ORCAMENTOS!M1522="","",ORCAMENTOS!M1522)</f>
        <v>-</v>
      </c>
      <c r="L1514" t="str">
        <f>IF(ORCAMENTOS!R1522="","",ORCAMENTOS!R1522)</f>
        <v>-</v>
      </c>
    </row>
    <row r="1515" spans="1:12" ht="15.75" hidden="1" customHeight="1" x14ac:dyDescent="0.25">
      <c r="A1515" s="36">
        <f>IF(ORCAMENTOS!A1523="","",ORCAMENTOS!A1523)</f>
        <v>45896</v>
      </c>
      <c r="B1515" s="46">
        <f>IF(ORCAMENTOS!B1523="","",ORCAMENTOS!B1523)</f>
        <v>1513</v>
      </c>
      <c r="C1515" s="46" t="str">
        <f>IF(ORCAMENTOS!C1523="","",ORCAMENTOS!C1523)</f>
        <v/>
      </c>
      <c r="D1515" s="37" t="str">
        <f>IF(ORCAMENTOS!D1523="","",ORCAMENTOS!D1523)</f>
        <v>HERSA</v>
      </c>
      <c r="E1515" s="38" t="str">
        <f>IF(ORCAMENTOS!E1523="","",ORCAMENTOS!E1523)</f>
        <v>SESI - OSCAR RODRIGUES ALVES - IPIRANGA - SP</v>
      </c>
      <c r="F1515" s="37" t="str">
        <f>IF(ORCAMENTOS!G1523="","",ORCAMENTOS!G1523)</f>
        <v>Michel</v>
      </c>
      <c r="G1515" s="37" t="str">
        <f>IF(ORCAMENTOS!H1523="","",ORCAMENTOS!H1523)</f>
        <v>David</v>
      </c>
      <c r="H1515" s="39">
        <f>IF(ORCAMENTOS!I1523="","",ORCAMENTOS!I1523)</f>
        <v>46845.35</v>
      </c>
      <c r="I1515" s="60" t="str">
        <f>IF(ORCAMENTOS!J1523="","",ORCAMENTOS!J1523)</f>
        <v/>
      </c>
      <c r="J1515" s="40" t="str">
        <f>IF(ORCAMENTOS!L1523="","",ORCAMENTOS!L1523)</f>
        <v>CANCELADO</v>
      </c>
      <c r="K1515" s="34" t="str">
        <f>IF(ORCAMENTOS!M1523="","",ORCAMENTOS!M1523)</f>
        <v>-</v>
      </c>
      <c r="L1515" t="str">
        <f>IF(ORCAMENTOS!R1523="","",ORCAMENTOS!R1523)</f>
        <v>-</v>
      </c>
    </row>
    <row r="1516" spans="1:12" ht="15.75" hidden="1" customHeight="1" x14ac:dyDescent="0.25">
      <c r="A1516" s="36">
        <f>IF(ORCAMENTOS!A1524="","",ORCAMENTOS!A1524)</f>
        <v>45961</v>
      </c>
      <c r="B1516" s="46">
        <f>IF(ORCAMENTOS!B1524="","",ORCAMENTOS!B1524)</f>
        <v>1514</v>
      </c>
      <c r="C1516" s="46" t="str">
        <f>IF(ORCAMENTOS!C1524="","",ORCAMENTOS!C1524)</f>
        <v/>
      </c>
      <c r="D1516" s="37" t="str">
        <f>IF(ORCAMENTOS!D1524="","",ORCAMENTOS!D1524)</f>
        <v>AFTERMICA</v>
      </c>
      <c r="E1516" s="38" t="str">
        <f>IF(ORCAMENTOS!E1524="","",ORCAMENTOS!E1524)</f>
        <v>SMART FIT - VILA NOVA CACHOEIRINHA - SP</v>
      </c>
      <c r="F1516" s="37" t="str">
        <f>IF(ORCAMENTOS!G1524="","",ORCAMENTOS!G1524)</f>
        <v>Fernando</v>
      </c>
      <c r="G1516" s="37" t="str">
        <f>IF(ORCAMENTOS!H1524="","",ORCAMENTOS!H1524)</f>
        <v>Andre</v>
      </c>
      <c r="H1516" s="39">
        <f>IF(ORCAMENTOS!I1524="","",ORCAMENTOS!I1524)</f>
        <v>21947.21</v>
      </c>
      <c r="I1516" s="60" t="str">
        <f>IF(ORCAMENTOS!J1524="","",ORCAMENTOS!J1524)</f>
        <v/>
      </c>
      <c r="J1516" s="40" t="str">
        <f>IF(ORCAMENTOS!L1524="","",ORCAMENTOS!L1524)</f>
        <v>PERDIDO</v>
      </c>
      <c r="K1516" s="34" t="str">
        <f>IF(ORCAMENTOS!M1524="","",ORCAMENTOS!M1524)</f>
        <v>ARCOTEC</v>
      </c>
      <c r="L1516" t="str">
        <f>IF(ORCAMENTOS!R1524="","",ORCAMENTOS!R1524)</f>
        <v>CHAPA DE ACO GALVANIZADO</v>
      </c>
    </row>
    <row r="1517" spans="1:12" ht="15.75" hidden="1" customHeight="1" x14ac:dyDescent="0.25">
      <c r="A1517" s="36">
        <f>IF(ORCAMENTOS!A1525="","",ORCAMENTOS!A1525)</f>
        <v>45897</v>
      </c>
      <c r="B1517" s="46">
        <f>IF(ORCAMENTOS!B1525="","",ORCAMENTOS!B1525)</f>
        <v>1515</v>
      </c>
      <c r="C1517" s="46" t="str">
        <f>IF(ORCAMENTOS!C1525="","",ORCAMENTOS!C1525)</f>
        <v/>
      </c>
      <c r="D1517" s="37" t="str">
        <f>IF(ORCAMENTOS!D1525="","",ORCAMENTOS!D1525)</f>
        <v>AFTERMICA</v>
      </c>
      <c r="E1517" s="38" t="str">
        <f>IF(ORCAMENTOS!E1525="","",ORCAMENTOS!E1525)</f>
        <v>SMART FIT - ALEM PONTE - SOROCABA - SP</v>
      </c>
      <c r="F1517" s="37" t="str">
        <f>IF(ORCAMENTOS!G1525="","",ORCAMENTOS!G1525)</f>
        <v>Fernando</v>
      </c>
      <c r="G1517" s="37" t="str">
        <f>IF(ORCAMENTOS!H1525="","",ORCAMENTOS!H1525)</f>
        <v>Andre</v>
      </c>
      <c r="H1517" s="39">
        <f>IF(ORCAMENTOS!I1525="","",ORCAMENTOS!I1525)</f>
        <v>81089.7</v>
      </c>
      <c r="I1517" s="60" t="str">
        <f>IF(ORCAMENTOS!J1525="","",ORCAMENTOS!J1525)</f>
        <v/>
      </c>
      <c r="J1517" s="40" t="str">
        <f>IF(ORCAMENTOS!L1525="","",ORCAMENTOS!L1525)</f>
        <v>FECHADO</v>
      </c>
      <c r="K1517" s="34" t="str">
        <f>IF(ORCAMENTOS!M1525="","",ORCAMENTOS!M1525)</f>
        <v>AGUARDANDO PEDIDO</v>
      </c>
      <c r="L1517" t="str">
        <f>IF(ORCAMENTOS!R1525="","",ORCAMENTOS!R1525)</f>
        <v>MPU</v>
      </c>
    </row>
    <row r="1518" spans="1:12" ht="15.75" hidden="1" customHeight="1" x14ac:dyDescent="0.25">
      <c r="A1518" s="36">
        <f>IF(ORCAMENTOS!A1526="","",ORCAMENTOS!A1526)</f>
        <v>45897</v>
      </c>
      <c r="B1518" s="46">
        <f>IF(ORCAMENTOS!B1526="","",ORCAMENTOS!B1526)</f>
        <v>1516</v>
      </c>
      <c r="C1518" s="46" t="str">
        <f>IF(ORCAMENTOS!C1526="","",ORCAMENTOS!C1526)</f>
        <v/>
      </c>
      <c r="D1518" s="37" t="str">
        <f>IF(ORCAMENTOS!D1526="","",ORCAMENTOS!D1526)</f>
        <v>AWA AR CONDICIONADO</v>
      </c>
      <c r="E1518" s="38" t="str">
        <f>IF(ORCAMENTOS!E1526="","",ORCAMENTOS!E1526)</f>
        <v>SUPER MATEUS - FREI SERAFIM - JACUNDA - PA</v>
      </c>
      <c r="F1518" s="37" t="str">
        <f>IF(ORCAMENTOS!G1526="","",ORCAMENTOS!G1526)</f>
        <v>Guilherme</v>
      </c>
      <c r="G1518" s="37" t="str">
        <f>IF(ORCAMENTOS!H1526="","",ORCAMENTOS!H1526)</f>
        <v>Guilherme</v>
      </c>
      <c r="H1518" s="39">
        <f>IF(ORCAMENTOS!I1526="","",ORCAMENTOS!I1526)</f>
        <v>319592.01</v>
      </c>
      <c r="I1518" s="60" t="str">
        <f>IF(ORCAMENTOS!J1526="","",ORCAMENTOS!J1526)</f>
        <v/>
      </c>
      <c r="J1518" s="40" t="str">
        <f>IF(ORCAMENTOS!L1526="","",ORCAMENTOS!L1526)</f>
        <v>CANCELADO</v>
      </c>
      <c r="K1518" s="34" t="str">
        <f>IF(ORCAMENTOS!M1526="","",ORCAMENTOS!M1526)</f>
        <v>-</v>
      </c>
      <c r="L1518" t="str">
        <f>IF(ORCAMENTOS!R1526="","",ORCAMENTOS!R1526)</f>
        <v>N/E</v>
      </c>
    </row>
    <row r="1519" spans="1:12" ht="15.75" hidden="1" customHeight="1" x14ac:dyDescent="0.25">
      <c r="A1519" s="36">
        <f>IF(ORCAMENTOS!A1527="","",ORCAMENTOS!A1527)</f>
        <v>45897</v>
      </c>
      <c r="B1519" s="46">
        <f>IF(ORCAMENTOS!B1527="","",ORCAMENTOS!B1527)</f>
        <v>1517</v>
      </c>
      <c r="C1519" s="46" t="str">
        <f>IF(ORCAMENTOS!C1527="","",ORCAMENTOS!C1527)</f>
        <v/>
      </c>
      <c r="D1519" s="37" t="str">
        <f>IF(ORCAMENTOS!D1527="","",ORCAMENTOS!D1527)</f>
        <v>TERMOCLIMA</v>
      </c>
      <c r="E1519" s="38" t="str">
        <f>IF(ORCAMENTOS!E1527="","",ORCAMENTOS!E1527)</f>
        <v>LOJAS AMERICANAS - RIO DE JANEIRO - RJ</v>
      </c>
      <c r="F1519" s="37" t="str">
        <f>IF(ORCAMENTOS!G1527="","",ORCAMENTOS!G1527)</f>
        <v>Gabriel</v>
      </c>
      <c r="G1519" s="37" t="str">
        <f>IF(ORCAMENTOS!H1527="","",ORCAMENTOS!H1527)</f>
        <v>Pedro</v>
      </c>
      <c r="H1519" s="39">
        <f>IF(ORCAMENTOS!I1527="","",ORCAMENTOS!I1527)</f>
        <v>52985.59</v>
      </c>
      <c r="I1519" s="60" t="str">
        <f>IF(ORCAMENTOS!J1527="","",ORCAMENTOS!J1527)</f>
        <v/>
      </c>
      <c r="J1519" s="40" t="str">
        <f>IF(ORCAMENTOS!L1527="","",ORCAMENTOS!L1527)</f>
        <v>CANCELADO</v>
      </c>
      <c r="K1519" s="34" t="str">
        <f>IF(ORCAMENTOS!M1527="","",ORCAMENTOS!M1527)</f>
        <v>-</v>
      </c>
      <c r="L1519" t="str">
        <f>IF(ORCAMENTOS!R1527="","",ORCAMENTOS!R1527)</f>
        <v>CHAPA DE ACO GALVANIZADO</v>
      </c>
    </row>
    <row r="1520" spans="1:12" ht="15.75" hidden="1" customHeight="1" x14ac:dyDescent="0.25">
      <c r="A1520" s="36">
        <f>IF(ORCAMENTOS!A1528="","",ORCAMENTOS!A1528)</f>
        <v>45897</v>
      </c>
      <c r="B1520" s="46">
        <f>IF(ORCAMENTOS!B1528="","",ORCAMENTOS!B1528)</f>
        <v>1518</v>
      </c>
      <c r="C1520" s="46" t="str">
        <f>IF(ORCAMENTOS!C1528="","",ORCAMENTOS!C1528)</f>
        <v/>
      </c>
      <c r="D1520" s="37" t="str">
        <f>IF(ORCAMENTOS!D1528="","",ORCAMENTOS!D1528)</f>
        <v>SIARCON</v>
      </c>
      <c r="E1520" s="38" t="str">
        <f>IF(ORCAMENTOS!E1528="","",ORCAMENTOS!E1528)</f>
        <v>GRANJA MANTIQUEIRA - LORENA - SP</v>
      </c>
      <c r="F1520" s="37" t="str">
        <f>IF(ORCAMENTOS!G1528="","",ORCAMENTOS!G1528)</f>
        <v xml:space="preserve">Aldavir </v>
      </c>
      <c r="G1520" s="37" t="str">
        <f>IF(ORCAMENTOS!H1528="","",ORCAMENTOS!H1528)</f>
        <v>Joao</v>
      </c>
      <c r="H1520" s="39">
        <f>IF(ORCAMENTOS!I1528="","",ORCAMENTOS!I1528)</f>
        <v>159058.54999999999</v>
      </c>
      <c r="I1520" s="60" t="str">
        <f>IF(ORCAMENTOS!J1528="","",ORCAMENTOS!J1528)</f>
        <v/>
      </c>
      <c r="J1520" s="40" t="str">
        <f>IF(ORCAMENTOS!L1528="","",ORCAMENTOS!L1528)</f>
        <v>FECHADO</v>
      </c>
      <c r="K1520" s="34" t="str">
        <f>IF(ORCAMENTOS!M1528="","",ORCAMENTOS!M1528)</f>
        <v>AGUARDANDO PEDIDO</v>
      </c>
      <c r="L1520" t="str">
        <f>IF(ORCAMENTOS!R1528="","",ORCAMENTOS!R1528)</f>
        <v>N/E</v>
      </c>
    </row>
    <row r="1521" spans="1:12" ht="15.75" hidden="1" customHeight="1" x14ac:dyDescent="0.25">
      <c r="A1521" s="36">
        <f>IF(ORCAMENTOS!A1529="","",ORCAMENTOS!A1529)</f>
        <v>45897</v>
      </c>
      <c r="B1521" s="46">
        <f>IF(ORCAMENTOS!B1529="","",ORCAMENTOS!B1529)</f>
        <v>1519</v>
      </c>
      <c r="C1521" s="46" t="str">
        <f>IF(ORCAMENTOS!C1529="","",ORCAMENTOS!C1529)</f>
        <v/>
      </c>
      <c r="D1521" s="37" t="str">
        <f>IF(ORCAMENTOS!D1529="","",ORCAMENTOS!D1529)</f>
        <v>COLD CONTROL</v>
      </c>
      <c r="E1521" s="38" t="str">
        <f>IF(ORCAMENTOS!E1529="","",ORCAMENTOS!E1529)</f>
        <v>CCR JUNDIA</v>
      </c>
      <c r="F1521" s="37" t="str">
        <f>IF(ORCAMENTOS!G1529="","",ORCAMENTOS!G1529)</f>
        <v>Emanuel</v>
      </c>
      <c r="G1521" s="37" t="str">
        <f>IF(ORCAMENTOS!H1529="","",ORCAMENTOS!H1529)</f>
        <v>Armando</v>
      </c>
      <c r="H1521" s="39">
        <f>IF(ORCAMENTOS!I1529="","",ORCAMENTOS!I1529)</f>
        <v>8897.81</v>
      </c>
      <c r="I1521" s="60" t="str">
        <f>IF(ORCAMENTOS!J1529="","",ORCAMENTOS!J1529)</f>
        <v/>
      </c>
      <c r="J1521" s="40" t="str">
        <f>IF(ORCAMENTOS!L1529="","",ORCAMENTOS!L1529)</f>
        <v>FECHADO</v>
      </c>
      <c r="K1521" s="34" t="str">
        <f>IF(ORCAMENTOS!M1529="","",ORCAMENTOS!M1529)</f>
        <v>-</v>
      </c>
      <c r="L1521" t="str">
        <f>IF(ORCAMENTOS!R1529="","",ORCAMENTOS!R1529)</f>
        <v>-</v>
      </c>
    </row>
    <row r="1522" spans="1:12" ht="15.75" hidden="1" customHeight="1" x14ac:dyDescent="0.25">
      <c r="A1522" s="36">
        <f>IF(ORCAMENTOS!A1530="","",ORCAMENTOS!A1530)</f>
        <v>45897</v>
      </c>
      <c r="B1522" s="46">
        <f>IF(ORCAMENTOS!B1530="","",ORCAMENTOS!B1530)</f>
        <v>1520</v>
      </c>
      <c r="C1522" s="46" t="str">
        <f>IF(ORCAMENTOS!C1530="","",ORCAMENTOS!C1530)</f>
        <v/>
      </c>
      <c r="D1522" s="37" t="str">
        <f>IF(ORCAMENTOS!D1530="","",ORCAMENTOS!D1530)</f>
        <v>COLD CONTROL</v>
      </c>
      <c r="E1522" s="38" t="str">
        <f>IF(ORCAMENTOS!E1530="","",ORCAMENTOS!E1530)</f>
        <v>PORTO SÃO PEDRO - PORTO FELIZ - SP</v>
      </c>
      <c r="F1522" s="37" t="str">
        <f>IF(ORCAMENTOS!G1530="","",ORCAMENTOS!G1530)</f>
        <v>Emanuel</v>
      </c>
      <c r="G1522" s="37" t="str">
        <f>IF(ORCAMENTOS!H1530="","",ORCAMENTOS!H1530)</f>
        <v>Marcelo</v>
      </c>
      <c r="H1522" s="39">
        <f>IF(ORCAMENTOS!I1530="","",ORCAMENTOS!I1530)</f>
        <v>11748.29</v>
      </c>
      <c r="I1522" s="60" t="str">
        <f>IF(ORCAMENTOS!J1530="","",ORCAMENTOS!J1530)</f>
        <v/>
      </c>
      <c r="J1522" s="40" t="str">
        <f>IF(ORCAMENTOS!L1530="","",ORCAMENTOS!L1530)</f>
        <v>CANCELADO</v>
      </c>
      <c r="K1522" s="34" t="str">
        <f>IF(ORCAMENTOS!M1530="","",ORCAMENTOS!M1530)</f>
        <v>-</v>
      </c>
      <c r="L1522" t="str">
        <f>IF(ORCAMENTOS!R1530="","",ORCAMENTOS!R1530)</f>
        <v>MPU</v>
      </c>
    </row>
    <row r="1523" spans="1:12" ht="15.75" hidden="1" customHeight="1" x14ac:dyDescent="0.25">
      <c r="A1523" s="36">
        <f>IF(ORCAMENTOS!A1531="","",ORCAMENTOS!A1531)</f>
        <v>45901</v>
      </c>
      <c r="B1523" s="46">
        <f>IF(ORCAMENTOS!B1531="","",ORCAMENTOS!B1531)</f>
        <v>1521</v>
      </c>
      <c r="C1523" s="46" t="str">
        <f>IF(ORCAMENTOS!C1531="","",ORCAMENTOS!C1531)</f>
        <v/>
      </c>
      <c r="D1523" s="37" t="str">
        <f>IF(ORCAMENTOS!D1531="","",ORCAMENTOS!D1531)</f>
        <v>COLD CONTROL</v>
      </c>
      <c r="E1523" s="38" t="str">
        <f>IF(ORCAMENTOS!E1531="","",ORCAMENTOS!E1531)</f>
        <v>AMCHAM</v>
      </c>
      <c r="F1523" s="37" t="str">
        <f>IF(ORCAMENTOS!G1531="","",ORCAMENTOS!G1531)</f>
        <v>Emanuel</v>
      </c>
      <c r="G1523" s="37" t="str">
        <f>IF(ORCAMENTOS!H1531="","",ORCAMENTOS!H1531)</f>
        <v>Armando</v>
      </c>
      <c r="H1523" s="39">
        <f>IF(ORCAMENTOS!I1531="","",ORCAMENTOS!I1531)</f>
        <v>32511.54</v>
      </c>
      <c r="I1523" s="60" t="str">
        <f>IF(ORCAMENTOS!J1531="","",ORCAMENTOS!J1531)</f>
        <v/>
      </c>
      <c r="J1523" s="40" t="str">
        <f>IF(ORCAMENTOS!L1531="","",ORCAMENTOS!L1531)</f>
        <v>FECHADO</v>
      </c>
      <c r="K1523" s="34" t="str">
        <f>IF(ORCAMENTOS!M1531="","",ORCAMENTOS!M1531)</f>
        <v>-</v>
      </c>
      <c r="L1523" t="str">
        <f>IF(ORCAMENTOS!R1531="","",ORCAMENTOS!R1531)</f>
        <v>-</v>
      </c>
    </row>
    <row r="1524" spans="1:12" ht="15.75" hidden="1" customHeight="1" x14ac:dyDescent="0.25">
      <c r="A1524" s="36">
        <f>IF(ORCAMENTOS!A1532="","",ORCAMENTOS!A1532)</f>
        <v>45897</v>
      </c>
      <c r="B1524" s="46">
        <f>IF(ORCAMENTOS!B1532="","",ORCAMENTOS!B1532)</f>
        <v>1522</v>
      </c>
      <c r="C1524" s="46" t="str">
        <f>IF(ORCAMENTOS!C1532="","",ORCAMENTOS!C1532)</f>
        <v/>
      </c>
      <c r="D1524" s="37" t="str">
        <f>IF(ORCAMENTOS!D1532="","",ORCAMENTOS!D1532)</f>
        <v>SP1 AR CONDICIONADO</v>
      </c>
      <c r="E1524" s="38" t="str">
        <f>IF(ORCAMENTOS!E1532="","",ORCAMENTOS!E1532)</f>
        <v>HOSPITAL ORTO - SAO JOSE DOS CAMPOS - SP</v>
      </c>
      <c r="F1524" s="37" t="str">
        <f>IF(ORCAMENTOS!G1532="","",ORCAMENTOS!G1532)</f>
        <v>Emanuel</v>
      </c>
      <c r="G1524" s="37" t="str">
        <f>IF(ORCAMENTOS!H1532="","",ORCAMENTOS!H1532)</f>
        <v>Silvio</v>
      </c>
      <c r="H1524" s="39">
        <f>IF(ORCAMENTOS!I1532="","",ORCAMENTOS!I1532)</f>
        <v>12212.06</v>
      </c>
      <c r="I1524" s="60" t="str">
        <f>IF(ORCAMENTOS!J1532="","",ORCAMENTOS!J1532)</f>
        <v/>
      </c>
      <c r="J1524" s="40" t="str">
        <f>IF(ORCAMENTOS!L1532="","",ORCAMENTOS!L1532)</f>
        <v>CANCELADO</v>
      </c>
      <c r="K1524" s="34" t="str">
        <f>IF(ORCAMENTOS!M1532="","",ORCAMENTOS!M1532)</f>
        <v>-</v>
      </c>
      <c r="L1524" t="str">
        <f>IF(ORCAMENTOS!R1532="","",ORCAMENTOS!R1532)</f>
        <v>CHAPA DE ALUMINIO</v>
      </c>
    </row>
    <row r="1525" spans="1:12" ht="15.75" hidden="1" customHeight="1" x14ac:dyDescent="0.25">
      <c r="A1525" s="36">
        <f>IF(ORCAMENTOS!A1533="","",ORCAMENTOS!A1533)</f>
        <v>45897</v>
      </c>
      <c r="B1525" s="46">
        <f>IF(ORCAMENTOS!B1533="","",ORCAMENTOS!B1533)</f>
        <v>1523</v>
      </c>
      <c r="C1525" s="46" t="str">
        <f>IF(ORCAMENTOS!C1533="","",ORCAMENTOS!C1533)</f>
        <v/>
      </c>
      <c r="D1525" s="37" t="str">
        <f>IF(ORCAMENTOS!D1533="","",ORCAMENTOS!D1533)</f>
        <v>AMS INSTALACOES</v>
      </c>
      <c r="E1525" s="38" t="str">
        <f>IF(ORCAMENTOS!E1533="","",ORCAMENTOS!E1533)</f>
        <v>FORT ATACADISTA 245 - ITAJAI - SC - SALAO DE VENDAS</v>
      </c>
      <c r="F1525" s="37" t="str">
        <f>IF(ORCAMENTOS!G1533="","",ORCAMENTOS!G1533)</f>
        <v>Gabriel</v>
      </c>
      <c r="G1525" s="37" t="str">
        <f>IF(ORCAMENTOS!H1533="","",ORCAMENTOS!H1533)</f>
        <v>Renan</v>
      </c>
      <c r="H1525" s="39">
        <f>IF(ORCAMENTOS!I1533="","",ORCAMENTOS!I1533)</f>
        <v>101703.71</v>
      </c>
      <c r="I1525" s="60" t="str">
        <f>IF(ORCAMENTOS!J1533="","",ORCAMENTOS!J1533)</f>
        <v/>
      </c>
      <c r="J1525" s="40" t="str">
        <f>IF(ORCAMENTOS!L1533="","",ORCAMENTOS!L1533)</f>
        <v>FECHADO</v>
      </c>
      <c r="K1525" s="34" t="str">
        <f>IF(ORCAMENTOS!M1533="","",ORCAMENTOS!M1533)</f>
        <v>-</v>
      </c>
      <c r="L1525" t="str">
        <f>IF(ORCAMENTOS!R1533="","",ORCAMENTOS!R1533)</f>
        <v>MPU</v>
      </c>
    </row>
    <row r="1526" spans="1:12" ht="15.75" hidden="1" customHeight="1" x14ac:dyDescent="0.25">
      <c r="A1526" s="36">
        <f>IF(ORCAMENTOS!A1534="","",ORCAMENTOS!A1534)</f>
        <v>45898</v>
      </c>
      <c r="B1526" s="46">
        <f>IF(ORCAMENTOS!B1534="","",ORCAMENTOS!B1534)</f>
        <v>1524</v>
      </c>
      <c r="C1526" s="46" t="str">
        <f>IF(ORCAMENTOS!C1534="","",ORCAMENTOS!C1534)</f>
        <v/>
      </c>
      <c r="D1526" s="37" t="str">
        <f>IF(ORCAMENTOS!D1534="","",ORCAMENTOS!D1534)</f>
        <v>GOLD AR CONDICIONADO</v>
      </c>
      <c r="E1526" s="38" t="str">
        <f>IF(ORCAMENTOS!E1534="","",ORCAMENTOS!E1534)</f>
        <v>UNIMED ARARAS - (em levantamento)</v>
      </c>
      <c r="F1526" s="37" t="str">
        <f>IF(ORCAMENTOS!G1534="","",ORCAMENTOS!G1534)</f>
        <v xml:space="preserve">Aldavir </v>
      </c>
      <c r="G1526" s="37" t="str">
        <f>IF(ORCAMENTOS!H1534="","",ORCAMENTOS!H1534)</f>
        <v/>
      </c>
      <c r="H1526" s="39" t="str">
        <f>IF(ORCAMENTOS!I1534="","",ORCAMENTOS!I1534)</f>
        <v/>
      </c>
      <c r="I1526" s="60" t="str">
        <f>IF(ORCAMENTOS!J1534="","",ORCAMENTOS!J1534)</f>
        <v/>
      </c>
      <c r="J1526" s="40" t="str">
        <f>IF(ORCAMENTOS!L1534="","",ORCAMENTOS!L1534)</f>
        <v>CANCELADO</v>
      </c>
      <c r="K1526" s="34" t="str">
        <f>IF(ORCAMENTOS!M1534="","",ORCAMENTOS!M1534)</f>
        <v/>
      </c>
      <c r="L1526" t="str">
        <f>IF(ORCAMENTOS!R1534="","",ORCAMENTOS!R1534)</f>
        <v/>
      </c>
    </row>
    <row r="1527" spans="1:12" ht="15.75" hidden="1" customHeight="1" x14ac:dyDescent="0.25">
      <c r="A1527" s="36">
        <f>IF(ORCAMENTOS!A1535="","",ORCAMENTOS!A1535)</f>
        <v>45898</v>
      </c>
      <c r="B1527" s="46">
        <f>IF(ORCAMENTOS!B1535="","",ORCAMENTOS!B1535)</f>
        <v>1525</v>
      </c>
      <c r="C1527" s="46" t="str">
        <f>IF(ORCAMENTOS!C1535="","",ORCAMENTOS!C1535)</f>
        <v/>
      </c>
      <c r="D1527" s="37" t="str">
        <f>IF(ORCAMENTOS!D1535="","",ORCAMENTOS!D1535)</f>
        <v>AMS INSTALACOES</v>
      </c>
      <c r="E1527" s="38" t="str">
        <f>IF(ORCAMENTOS!E1535="","",ORCAMENTOS!E1535)</f>
        <v>FORT ATACADISTA 245 - ITAJAI - SC - RESTAURANTE</v>
      </c>
      <c r="F1527" s="37" t="str">
        <f>IF(ORCAMENTOS!G1535="","",ORCAMENTOS!G1535)</f>
        <v>Gabriel</v>
      </c>
      <c r="G1527" s="37" t="str">
        <f>IF(ORCAMENTOS!H1535="","",ORCAMENTOS!H1535)</f>
        <v>Renan</v>
      </c>
      <c r="H1527" s="39">
        <f>IF(ORCAMENTOS!I1535="","",ORCAMENTOS!I1535)</f>
        <v>18539.14</v>
      </c>
      <c r="I1527" s="60" t="str">
        <f>IF(ORCAMENTOS!J1535="","",ORCAMENTOS!J1535)</f>
        <v/>
      </c>
      <c r="J1527" s="40" t="str">
        <f>IF(ORCAMENTOS!L1535="","",ORCAMENTOS!L1535)</f>
        <v>FECHADO</v>
      </c>
      <c r="K1527" s="34" t="str">
        <f>IF(ORCAMENTOS!M1535="","",ORCAMENTOS!M1535)</f>
        <v>-</v>
      </c>
      <c r="L1527" t="str">
        <f>IF(ORCAMENTOS!R1535="","",ORCAMENTOS!R1535)</f>
        <v>MPU</v>
      </c>
    </row>
    <row r="1528" spans="1:12" ht="15.75" hidden="1" customHeight="1" x14ac:dyDescent="0.25">
      <c r="A1528" s="36">
        <f>IF(ORCAMENTOS!A1536="","",ORCAMENTOS!A1536)</f>
        <v>45898</v>
      </c>
      <c r="B1528" s="46">
        <f>IF(ORCAMENTOS!B1536="","",ORCAMENTOS!B1536)</f>
        <v>1526</v>
      </c>
      <c r="C1528" s="46" t="str">
        <f>IF(ORCAMENTOS!C1536="","",ORCAMENTOS!C1536)</f>
        <v/>
      </c>
      <c r="D1528" s="37" t="str">
        <f>IF(ORCAMENTOS!D1536="","",ORCAMENTOS!D1536)</f>
        <v>HAITEC AR CONDICIONADO</v>
      </c>
      <c r="E1528" s="38" t="str">
        <f>IF(ORCAMENTOS!E1536="","",ORCAMENTOS!E1536)</f>
        <v>SHOPPING PATIO HIGIENOPOLIS</v>
      </c>
      <c r="F1528" s="37" t="str">
        <f>IF(ORCAMENTOS!G1536="","",ORCAMENTOS!G1536)</f>
        <v>Michel</v>
      </c>
      <c r="G1528" s="37" t="str">
        <f>IF(ORCAMENTOS!H1536="","",ORCAMENTOS!H1536)</f>
        <v>Nilson</v>
      </c>
      <c r="H1528" s="39">
        <f>IF(ORCAMENTOS!I1536="","",ORCAMENTOS!I1536)</f>
        <v>5080.9799999999996</v>
      </c>
      <c r="I1528" s="60" t="str">
        <f>IF(ORCAMENTOS!J1536="","",ORCAMENTOS!J1536)</f>
        <v/>
      </c>
      <c r="J1528" s="40" t="str">
        <f>IF(ORCAMENTOS!L1536="","",ORCAMENTOS!L1536)</f>
        <v>CANCELADO</v>
      </c>
      <c r="K1528" s="34" t="str">
        <f>IF(ORCAMENTOS!M1536="","",ORCAMENTOS!M1536)</f>
        <v>-</v>
      </c>
      <c r="L1528" t="str">
        <f>IF(ORCAMENTOS!R1536="","",ORCAMENTOS!R1536)</f>
        <v>ACO GALVANIZADO</v>
      </c>
    </row>
    <row r="1529" spans="1:12" ht="15.75" hidden="1" customHeight="1" x14ac:dyDescent="0.25">
      <c r="A1529" s="36">
        <f>IF(ORCAMENTOS!A1537="","",ORCAMENTOS!A1537)</f>
        <v>45898</v>
      </c>
      <c r="B1529" s="46">
        <f>IF(ORCAMENTOS!B1537="","",ORCAMENTOS!B1537)</f>
        <v>1527</v>
      </c>
      <c r="C1529" s="46" t="str">
        <f>IF(ORCAMENTOS!C1537="","",ORCAMENTOS!C1537)</f>
        <v/>
      </c>
      <c r="D1529" s="37" t="str">
        <f>IF(ORCAMENTOS!D1537="","",ORCAMENTOS!D1537)</f>
        <v>ECOLOGIC AIR</v>
      </c>
      <c r="E1529" s="38" t="str">
        <f>IF(ORCAMENTOS!E1537="","",ORCAMENTOS!E1537)</f>
        <v>-</v>
      </c>
      <c r="F1529" s="37" t="str">
        <f>IF(ORCAMENTOS!G1537="","",ORCAMENTOS!G1537)</f>
        <v>Michel</v>
      </c>
      <c r="G1529" s="37" t="str">
        <f>IF(ORCAMENTOS!H1537="","",ORCAMENTOS!H1537)</f>
        <v>Vinicius</v>
      </c>
      <c r="H1529" s="39">
        <f>IF(ORCAMENTOS!I1537="","",ORCAMENTOS!I1537)</f>
        <v>758.27</v>
      </c>
      <c r="I1529" s="60" t="str">
        <f>IF(ORCAMENTOS!J1537="","",ORCAMENTOS!J1537)</f>
        <v/>
      </c>
      <c r="J1529" s="40" t="str">
        <f>IF(ORCAMENTOS!L1537="","",ORCAMENTOS!L1537)</f>
        <v>CANCELADO</v>
      </c>
      <c r="K1529" s="34" t="str">
        <f>IF(ORCAMENTOS!M1537="","",ORCAMENTOS!M1537)</f>
        <v>-</v>
      </c>
      <c r="L1529" t="str">
        <f>IF(ORCAMENTOS!R1537="","",ORCAMENTOS!R1537)</f>
        <v>-</v>
      </c>
    </row>
    <row r="1530" spans="1:12" ht="15.75" hidden="1" customHeight="1" x14ac:dyDescent="0.25">
      <c r="A1530" s="36">
        <f>IF(ORCAMENTOS!A1538="","",ORCAMENTOS!A1538)</f>
        <v>45898</v>
      </c>
      <c r="B1530" s="46">
        <f>IF(ORCAMENTOS!B1538="","",ORCAMENTOS!B1538)</f>
        <v>1528</v>
      </c>
      <c r="C1530" s="46" t="str">
        <f>IF(ORCAMENTOS!C1538="","",ORCAMENTOS!C1538)</f>
        <v/>
      </c>
      <c r="D1530" s="37" t="str">
        <f>IF(ORCAMENTOS!D1538="","",ORCAMENTOS!D1538)</f>
        <v>DIAGRAMA AR</v>
      </c>
      <c r="E1530" s="38" t="str">
        <f>IF(ORCAMENTOS!E1538="","",ORCAMENTOS!E1538)</f>
        <v>-</v>
      </c>
      <c r="F1530" s="37" t="str">
        <f>IF(ORCAMENTOS!G1538="","",ORCAMENTOS!G1538)</f>
        <v>Guilherme</v>
      </c>
      <c r="G1530" s="37" t="str">
        <f>IF(ORCAMENTOS!H1538="","",ORCAMENTOS!H1538)</f>
        <v>Thaina</v>
      </c>
      <c r="H1530" s="39">
        <f>IF(ORCAMENTOS!I1538="","",ORCAMENTOS!I1538)</f>
        <v>88805.81</v>
      </c>
      <c r="I1530" s="60" t="str">
        <f>IF(ORCAMENTOS!J1538="","",ORCAMENTOS!J1538)</f>
        <v/>
      </c>
      <c r="J1530" s="40" t="str">
        <f>IF(ORCAMENTOS!L1538="","",ORCAMENTOS!L1538)</f>
        <v>CANCELADO</v>
      </c>
      <c r="K1530" s="34" t="str">
        <f>IF(ORCAMENTOS!M1538="","",ORCAMENTOS!M1538)</f>
        <v>-</v>
      </c>
      <c r="L1530" t="str">
        <f>IF(ORCAMENTOS!R1538="","",ORCAMENTOS!R1538)</f>
        <v>-</v>
      </c>
    </row>
    <row r="1531" spans="1:12" ht="15.75" hidden="1" customHeight="1" x14ac:dyDescent="0.25">
      <c r="A1531" s="36">
        <f>IF(ORCAMENTOS!A1539="","",ORCAMENTOS!A1539)</f>
        <v>45901</v>
      </c>
      <c r="B1531" s="46">
        <f>IF(ORCAMENTOS!B1539="","",ORCAMENTOS!B1539)</f>
        <v>1529</v>
      </c>
      <c r="C1531" s="46" t="str">
        <f>IF(ORCAMENTOS!C1539="","",ORCAMENTOS!C1539)</f>
        <v/>
      </c>
      <c r="D1531" s="37" t="str">
        <f>IF(ORCAMENTOS!D1539="","",ORCAMENTOS!D1539)</f>
        <v>COLDTERMICA</v>
      </c>
      <c r="E1531" s="38" t="str">
        <f>IF(ORCAMENTOS!E1539="","",ORCAMENTOS!E1539)</f>
        <v>RENNER APUCARANA PR</v>
      </c>
      <c r="F1531" s="37" t="str">
        <f>IF(ORCAMENTOS!G1539="","",ORCAMENTOS!G1539)</f>
        <v>Gabriel</v>
      </c>
      <c r="G1531" s="37" t="str">
        <f>IF(ORCAMENTOS!H1539="","",ORCAMENTOS!H1539)</f>
        <v>Denis</v>
      </c>
      <c r="H1531" s="39">
        <f>IF(ORCAMENTOS!I1539="","",ORCAMENTOS!I1539)</f>
        <v>65000</v>
      </c>
      <c r="I1531" s="60" t="str">
        <f>IF(ORCAMENTOS!J1539="","",ORCAMENTOS!J1539)</f>
        <v/>
      </c>
      <c r="J1531" s="40" t="str">
        <f>IF(ORCAMENTOS!L1539="","",ORCAMENTOS!L1539)</f>
        <v>FECHADO</v>
      </c>
      <c r="K1531" s="34" t="str">
        <f>IF(ORCAMENTOS!M1539="","",ORCAMENTOS!M1539)</f>
        <v>-</v>
      </c>
      <c r="L1531" t="str">
        <f>IF(ORCAMENTOS!R1539="","",ORCAMENTOS!R1539)</f>
        <v>-</v>
      </c>
    </row>
    <row r="1532" spans="1:12" ht="15.75" hidden="1" customHeight="1" x14ac:dyDescent="0.25">
      <c r="A1532" s="36">
        <f>IF(ORCAMENTOS!A1540="","",ORCAMENTOS!A1540)</f>
        <v>45898</v>
      </c>
      <c r="B1532" s="46">
        <f>IF(ORCAMENTOS!B1540="","",ORCAMENTOS!B1540)</f>
        <v>1530</v>
      </c>
      <c r="C1532" s="46" t="str">
        <f>IF(ORCAMENTOS!C1540="","",ORCAMENTOS!C1540)</f>
        <v/>
      </c>
      <c r="D1532" s="37" t="str">
        <f>IF(ORCAMENTOS!D1540="","",ORCAMENTOS!D1540)</f>
        <v>JOSE CARLOS DOS SANTOS</v>
      </c>
      <c r="E1532" s="38" t="str">
        <f>IF(ORCAMENTOS!E1540="","",ORCAMENTOS!E1540)</f>
        <v>-</v>
      </c>
      <c r="F1532" s="37" t="str">
        <f>IF(ORCAMENTOS!G1540="","",ORCAMENTOS!G1540)</f>
        <v>Gabriel</v>
      </c>
      <c r="G1532" s="37" t="str">
        <f>IF(ORCAMENTOS!H1540="","",ORCAMENTOS!H1540)</f>
        <v>Carlos</v>
      </c>
      <c r="H1532" s="39">
        <f>IF(ORCAMENTOS!I1540="","",ORCAMENTOS!I1540)</f>
        <v>31123.29</v>
      </c>
      <c r="I1532" s="60" t="str">
        <f>IF(ORCAMENTOS!J1540="","",ORCAMENTOS!J1540)</f>
        <v/>
      </c>
      <c r="J1532" s="40" t="str">
        <f>IF(ORCAMENTOS!L1540="","",ORCAMENTOS!L1540)</f>
        <v>CANCELADO</v>
      </c>
      <c r="K1532" s="34" t="str">
        <f>IF(ORCAMENTOS!M1540="","",ORCAMENTOS!M1540)</f>
        <v>-</v>
      </c>
      <c r="L1532" t="str">
        <f>IF(ORCAMENTOS!R1540="","",ORCAMENTOS!R1540)</f>
        <v>-</v>
      </c>
    </row>
    <row r="1533" spans="1:12" ht="15.75" hidden="1" customHeight="1" x14ac:dyDescent="0.25">
      <c r="A1533" s="36">
        <f>IF(ORCAMENTOS!A1541="","",ORCAMENTOS!A1541)</f>
        <v>45905</v>
      </c>
      <c r="B1533" s="46">
        <f>IF(ORCAMENTOS!B1541="","",ORCAMENTOS!B1541)</f>
        <v>1531</v>
      </c>
      <c r="C1533" s="46" t="str">
        <f>IF(ORCAMENTOS!C1541="","",ORCAMENTOS!C1541)</f>
        <v/>
      </c>
      <c r="D1533" s="37" t="str">
        <f>IF(ORCAMENTOS!D1541="","",ORCAMENTOS!D1541)</f>
        <v>AIR NET</v>
      </c>
      <c r="E1533" s="38" t="str">
        <f>IF(ORCAMENTOS!E1541="","",ORCAMENTOS!E1541)</f>
        <v>EDIFICACOES TEAG</v>
      </c>
      <c r="F1533" s="37" t="str">
        <f>IF(ORCAMENTOS!G1541="","",ORCAMENTOS!G1541)</f>
        <v>Fernando</v>
      </c>
      <c r="G1533" s="37" t="str">
        <f>IF(ORCAMENTOS!H1541="","",ORCAMENTOS!H1541)</f>
        <v>Rafael</v>
      </c>
      <c r="H1533" s="39">
        <f>IF(ORCAMENTOS!I1541="","",ORCAMENTOS!I1541)</f>
        <v>57797.02</v>
      </c>
      <c r="I1533" s="60" t="str">
        <f>IF(ORCAMENTOS!J1541="","",ORCAMENTOS!J1541)</f>
        <v/>
      </c>
      <c r="J1533" s="40" t="str">
        <f>IF(ORCAMENTOS!L1541="","",ORCAMENTOS!L1541)</f>
        <v>PERDIDO</v>
      </c>
      <c r="K1533" s="34" t="str">
        <f>IF(ORCAMENTOS!M1541="","",ORCAMENTOS!M1541)</f>
        <v>MULTIVAC</v>
      </c>
      <c r="L1533" t="str">
        <f>IF(ORCAMENTOS!R1541="","",ORCAMENTOS!R1541)</f>
        <v>CHAPA DE ACO GALVANIZADO</v>
      </c>
    </row>
    <row r="1534" spans="1:12" ht="15.75" hidden="1" customHeight="1" x14ac:dyDescent="0.25">
      <c r="A1534" s="36">
        <f>IF(ORCAMENTOS!A1542="","",ORCAMENTOS!A1542)</f>
        <v>45898</v>
      </c>
      <c r="B1534" s="46">
        <f>IF(ORCAMENTOS!B1542="","",ORCAMENTOS!B1542)</f>
        <v>1532</v>
      </c>
      <c r="C1534" s="46" t="str">
        <f>IF(ORCAMENTOS!C1542="","",ORCAMENTOS!C1542)</f>
        <v/>
      </c>
      <c r="D1534" s="37" t="str">
        <f>IF(ORCAMENTOS!D1542="","",ORCAMENTOS!D1542)</f>
        <v>MONDARC</v>
      </c>
      <c r="E1534" s="38" t="str">
        <f>IF(ORCAMENTOS!E1542="","",ORCAMENTOS!E1542)</f>
        <v>YOUCOM - SHOP CITY - OUTLET PREMIUM - PR</v>
      </c>
      <c r="F1534" s="37" t="str">
        <f>IF(ORCAMENTOS!G1542="","",ORCAMENTOS!G1542)</f>
        <v>Michel</v>
      </c>
      <c r="G1534" s="37" t="str">
        <f>IF(ORCAMENTOS!H1542="","",ORCAMENTOS!H1542)</f>
        <v>Fabiana</v>
      </c>
      <c r="H1534" s="39">
        <f>IF(ORCAMENTOS!I1542="","",ORCAMENTOS!I1542)</f>
        <v>2422.25</v>
      </c>
      <c r="I1534" s="60" t="str">
        <f>IF(ORCAMENTOS!J1542="","",ORCAMENTOS!J1542)</f>
        <v/>
      </c>
      <c r="J1534" s="40" t="str">
        <f>IF(ORCAMENTOS!L1542="","",ORCAMENTOS!L1542)</f>
        <v>CANCELADO</v>
      </c>
      <c r="K1534" s="34" t="str">
        <f>IF(ORCAMENTOS!M1542="","",ORCAMENTOS!M1542)</f>
        <v>-</v>
      </c>
      <c r="L1534" t="str">
        <f>IF(ORCAMENTOS!R1542="","",ORCAMENTOS!R1542)</f>
        <v>MPU</v>
      </c>
    </row>
    <row r="1535" spans="1:12" ht="15.75" hidden="1" customHeight="1" x14ac:dyDescent="0.25">
      <c r="A1535" s="36">
        <f>IF(ORCAMENTOS!A1543="","",ORCAMENTOS!A1543)</f>
        <v>45901</v>
      </c>
      <c r="B1535" s="46">
        <f>IF(ORCAMENTOS!B1543="","",ORCAMENTOS!B1543)</f>
        <v>1533</v>
      </c>
      <c r="C1535" s="46" t="str">
        <f>IF(ORCAMENTOS!C1543="","",ORCAMENTOS!C1543)</f>
        <v/>
      </c>
      <c r="D1535" s="37" t="str">
        <f>IF(ORCAMENTOS!D1543="","",ORCAMENTOS!D1543)</f>
        <v>HAITEC AR CONDICIONADO</v>
      </c>
      <c r="E1535" s="38" t="str">
        <f>IF(ORCAMENTOS!E1543="","",ORCAMENTOS!E1543)</f>
        <v>CAROL BASSI - IGUATEMI - CAMPINAS - SP</v>
      </c>
      <c r="F1535" s="37" t="str">
        <f>IF(ORCAMENTOS!G1543="","",ORCAMENTOS!G1543)</f>
        <v>Michel</v>
      </c>
      <c r="G1535" s="37" t="str">
        <f>IF(ORCAMENTOS!H1543="","",ORCAMENTOS!H1543)</f>
        <v>Nilson</v>
      </c>
      <c r="H1535" s="39">
        <f>IF(ORCAMENTOS!I1543="","",ORCAMENTOS!I1543)</f>
        <v>10423.700000000001</v>
      </c>
      <c r="I1535" s="60" t="str">
        <f>IF(ORCAMENTOS!J1543="","",ORCAMENTOS!J1543)</f>
        <v/>
      </c>
      <c r="J1535" s="40" t="str">
        <f>IF(ORCAMENTOS!L1543="","",ORCAMENTOS!L1543)</f>
        <v>CANCELADO</v>
      </c>
      <c r="K1535" s="34" t="str">
        <f>IF(ORCAMENTOS!M1543="","",ORCAMENTOS!M1543)</f>
        <v>-</v>
      </c>
      <c r="L1535" t="str">
        <f>IF(ORCAMENTOS!R1543="","",ORCAMENTOS!R1543)</f>
        <v>CHAPA DE ACO GALVANIZADO</v>
      </c>
    </row>
    <row r="1536" spans="1:12" ht="15.75" hidden="1" customHeight="1" x14ac:dyDescent="0.25">
      <c r="A1536" s="36">
        <f>IF(ORCAMENTOS!A1544="","",ORCAMENTOS!A1544)</f>
        <v>45901</v>
      </c>
      <c r="B1536" s="46">
        <f>IF(ORCAMENTOS!B1544="","",ORCAMENTOS!B1544)</f>
        <v>1534</v>
      </c>
      <c r="C1536" s="46" t="str">
        <f>IF(ORCAMENTOS!C1544="","",ORCAMENTOS!C1544)</f>
        <v/>
      </c>
      <c r="D1536" s="37" t="str">
        <f>IF(ORCAMENTOS!D1544="","",ORCAMENTOS!D1544)</f>
        <v>RECLIMA</v>
      </c>
      <c r="E1536" s="38" t="str">
        <f>IF(ORCAMENTOS!E1544="","",ORCAMENTOS!E1544)</f>
        <v>-</v>
      </c>
      <c r="F1536" s="37" t="str">
        <f>IF(ORCAMENTOS!G1544="","",ORCAMENTOS!G1544)</f>
        <v>Michel</v>
      </c>
      <c r="G1536" s="37" t="str">
        <f>IF(ORCAMENTOS!H1544="","",ORCAMENTOS!H1544)</f>
        <v>Renata</v>
      </c>
      <c r="H1536" s="39">
        <f>IF(ORCAMENTOS!I1544="","",ORCAMENTOS!I1544)</f>
        <v>4607.5</v>
      </c>
      <c r="I1536" s="60" t="str">
        <f>IF(ORCAMENTOS!J1544="","",ORCAMENTOS!J1544)</f>
        <v/>
      </c>
      <c r="J1536" s="40" t="str">
        <f>IF(ORCAMENTOS!L1544="","",ORCAMENTOS!L1544)</f>
        <v>CANCELADO</v>
      </c>
      <c r="K1536" s="34" t="str">
        <f>IF(ORCAMENTOS!M1544="","",ORCAMENTOS!M1544)</f>
        <v>-</v>
      </c>
      <c r="L1536" t="str">
        <f>IF(ORCAMENTOS!R1544="","",ORCAMENTOS!R1544)</f>
        <v>-</v>
      </c>
    </row>
    <row r="1537" spans="1:12" ht="15.75" hidden="1" customHeight="1" x14ac:dyDescent="0.25">
      <c r="A1537" s="36">
        <f>IF(ORCAMENTOS!A1545="","",ORCAMENTOS!A1545)</f>
        <v>45901</v>
      </c>
      <c r="B1537" s="46">
        <f>IF(ORCAMENTOS!B1545="","",ORCAMENTOS!B1545)</f>
        <v>1535</v>
      </c>
      <c r="C1537" s="46" t="str">
        <f>IF(ORCAMENTOS!C1545="","",ORCAMENTOS!C1545)</f>
        <v/>
      </c>
      <c r="D1537" s="37" t="str">
        <f>IF(ORCAMENTOS!D1545="","",ORCAMENTOS!D1545)</f>
        <v>HELP AIR</v>
      </c>
      <c r="E1537" s="38" t="str">
        <f>IF(ORCAMENTOS!E1545="","",ORCAMENTOS!E1545)</f>
        <v>-</v>
      </c>
      <c r="F1537" s="37" t="str">
        <f>IF(ORCAMENTOS!G1545="","",ORCAMENTOS!G1545)</f>
        <v>Gabriel</v>
      </c>
      <c r="G1537" s="37" t="str">
        <f>IF(ORCAMENTOS!H1545="","",ORCAMENTOS!H1545)</f>
        <v/>
      </c>
      <c r="H1537" s="39">
        <f>IF(ORCAMENTOS!I1545="","",ORCAMENTOS!I1545)</f>
        <v>141167.89000000001</v>
      </c>
      <c r="I1537" s="60" t="str">
        <f>IF(ORCAMENTOS!J1545="","",ORCAMENTOS!J1545)</f>
        <v/>
      </c>
      <c r="J1537" s="40" t="str">
        <f>IF(ORCAMENTOS!L1545="","",ORCAMENTOS!L1545)</f>
        <v>CANCELADO</v>
      </c>
      <c r="K1537" s="34" t="str">
        <f>IF(ORCAMENTOS!M1545="","",ORCAMENTOS!M1545)</f>
        <v>-</v>
      </c>
      <c r="L1537" t="str">
        <f>IF(ORCAMENTOS!R1545="","",ORCAMENTOS!R1545)</f>
        <v>-</v>
      </c>
    </row>
    <row r="1538" spans="1:12" ht="15.75" hidden="1" customHeight="1" x14ac:dyDescent="0.25">
      <c r="A1538" s="36">
        <f>IF(ORCAMENTOS!A1546="","",ORCAMENTOS!A1546)</f>
        <v>45901</v>
      </c>
      <c r="B1538" s="46">
        <f>IF(ORCAMENTOS!B1546="","",ORCAMENTOS!B1546)</f>
        <v>1536</v>
      </c>
      <c r="C1538" s="46" t="str">
        <f>IF(ORCAMENTOS!C1546="","",ORCAMENTOS!C1546)</f>
        <v/>
      </c>
      <c r="D1538" s="37" t="str">
        <f>IF(ORCAMENTOS!D1546="","",ORCAMENTOS!D1546)</f>
        <v>AR SISTEMAS</v>
      </c>
      <c r="E1538" s="38" t="str">
        <f>IF(ORCAMENTOS!E1546="","",ORCAMENTOS!E1546)</f>
        <v>LIEBHERR LAB02 - GUARATINGUETA - SP</v>
      </c>
      <c r="F1538" s="37" t="str">
        <f>IF(ORCAMENTOS!G1546="","",ORCAMENTOS!G1546)</f>
        <v>Michel</v>
      </c>
      <c r="G1538" s="37" t="str">
        <f>IF(ORCAMENTOS!H1546="","",ORCAMENTOS!H1546)</f>
        <v>Anderson</v>
      </c>
      <c r="H1538" s="39">
        <f>IF(ORCAMENTOS!I1546="","",ORCAMENTOS!I1546)</f>
        <v>165462.28</v>
      </c>
      <c r="I1538" s="60" t="str">
        <f>IF(ORCAMENTOS!J1546="","",ORCAMENTOS!J1546)</f>
        <v/>
      </c>
      <c r="J1538" s="40" t="str">
        <f>IF(ORCAMENTOS!L1546="","",ORCAMENTOS!L1546)</f>
        <v>CANCELADO</v>
      </c>
      <c r="K1538" s="34" t="str">
        <f>IF(ORCAMENTOS!M1546="","",ORCAMENTOS!M1546)</f>
        <v>-</v>
      </c>
      <c r="L1538" t="str">
        <f>IF(ORCAMENTOS!R1546="","",ORCAMENTOS!R1546)</f>
        <v>MPU</v>
      </c>
    </row>
    <row r="1539" spans="1:12" ht="15.75" hidden="1" customHeight="1" x14ac:dyDescent="0.25">
      <c r="A1539" s="36">
        <f>IF(ORCAMENTOS!A1547="","",ORCAMENTOS!A1547)</f>
        <v>45901</v>
      </c>
      <c r="B1539" s="46">
        <f>IF(ORCAMENTOS!B1547="","",ORCAMENTOS!B1547)</f>
        <v>1537</v>
      </c>
      <c r="C1539" s="46" t="str">
        <f>IF(ORCAMENTOS!C1547="","",ORCAMENTOS!C1547)</f>
        <v/>
      </c>
      <c r="D1539" s="37" t="str">
        <f>IF(ORCAMENTOS!D1547="","",ORCAMENTOS!D1547)</f>
        <v>HEATING COOLING</v>
      </c>
      <c r="E1539" s="38" t="str">
        <f>IF(ORCAMENTOS!E1547="","",ORCAMENTOS!E1547)</f>
        <v>LIEBHERR LAB02 - GUARATINGUETA - SP</v>
      </c>
      <c r="F1539" s="37" t="str">
        <f>IF(ORCAMENTOS!G1547="","",ORCAMENTOS!G1547)</f>
        <v>Gabriel</v>
      </c>
      <c r="G1539" s="37" t="str">
        <f>IF(ORCAMENTOS!H1547="","",ORCAMENTOS!H1547)</f>
        <v>Ligia</v>
      </c>
      <c r="H1539" s="39">
        <f>IF(ORCAMENTOS!I1547="","",ORCAMENTOS!I1547)</f>
        <v>165462.28</v>
      </c>
      <c r="I1539" s="60" t="str">
        <f>IF(ORCAMENTOS!J1547="","",ORCAMENTOS!J1547)</f>
        <v/>
      </c>
      <c r="J1539" s="40" t="str">
        <f>IF(ORCAMENTOS!L1547="","",ORCAMENTOS!L1547)</f>
        <v>CANCELADO</v>
      </c>
      <c r="K1539" s="34" t="str">
        <f>IF(ORCAMENTOS!M1547="","",ORCAMENTOS!M1547)</f>
        <v>-</v>
      </c>
      <c r="L1539" t="str">
        <f>IF(ORCAMENTOS!R1547="","",ORCAMENTOS!R1547)</f>
        <v>MPU</v>
      </c>
    </row>
    <row r="1540" spans="1:12" ht="15.75" hidden="1" customHeight="1" x14ac:dyDescent="0.25">
      <c r="A1540" s="36">
        <f>IF(ORCAMENTOS!A1548="","",ORCAMENTOS!A1548)</f>
        <v>45901</v>
      </c>
      <c r="B1540" s="46">
        <f>IF(ORCAMENTOS!B1548="","",ORCAMENTOS!B1548)</f>
        <v>1538</v>
      </c>
      <c r="C1540" s="46" t="str">
        <f>IF(ORCAMENTOS!C1548="","",ORCAMENTOS!C1548)</f>
        <v>R2</v>
      </c>
      <c r="D1540" s="37" t="str">
        <f>IF(ORCAMENTOS!D1548="","",ORCAMENTOS!D1548)</f>
        <v>NP CLIMATIZAÇÃO</v>
      </c>
      <c r="E1540" s="38" t="str">
        <f>IF(ORCAMENTOS!E1548="","",ORCAMENTOS!E1548)</f>
        <v>WANDERLEY</v>
      </c>
      <c r="F1540" s="37" t="str">
        <f>IF(ORCAMENTOS!G1548="","",ORCAMENTOS!G1548)</f>
        <v>Guilherme</v>
      </c>
      <c r="G1540" s="37" t="str">
        <f>IF(ORCAMENTOS!H1548="","",ORCAMENTOS!H1548)</f>
        <v>Maria Luisa</v>
      </c>
      <c r="H1540" s="39">
        <f>IF(ORCAMENTOS!I1548="","",ORCAMENTOS!I1548)</f>
        <v>5815.56</v>
      </c>
      <c r="I1540" s="60" t="str">
        <f>IF(ORCAMENTOS!J1548="","",ORCAMENTOS!J1548)</f>
        <v/>
      </c>
      <c r="J1540" s="40" t="str">
        <f>IF(ORCAMENTOS!L1548="","",ORCAMENTOS!L1548)</f>
        <v>FECHADO</v>
      </c>
      <c r="K1540" s="34" t="str">
        <f>IF(ORCAMENTOS!M1548="","",ORCAMENTOS!M1548)</f>
        <v>AGUARDANDO DEFINIÇÃO</v>
      </c>
      <c r="L1540" t="str">
        <f>IF(ORCAMENTOS!R1548="","",ORCAMENTOS!R1548)</f>
        <v>-</v>
      </c>
    </row>
    <row r="1541" spans="1:12" ht="15.75" hidden="1" customHeight="1" x14ac:dyDescent="0.25">
      <c r="A1541" s="36">
        <f>IF(ORCAMENTOS!A1549="","",ORCAMENTOS!A1549)</f>
        <v>45901</v>
      </c>
      <c r="B1541" s="46">
        <f>IF(ORCAMENTOS!B1549="","",ORCAMENTOS!B1549)</f>
        <v>1539</v>
      </c>
      <c r="C1541" s="46" t="str">
        <f>IF(ORCAMENTOS!C1549="","",ORCAMENTOS!C1549)</f>
        <v/>
      </c>
      <c r="D1541" s="37" t="str">
        <f>IF(ORCAMENTOS!D1549="","",ORCAMENTOS!D1549)</f>
        <v>NP CLIMATIZAÇÃO</v>
      </c>
      <c r="E1541" s="38" t="str">
        <f>IF(ORCAMENTOS!E1549="","",ORCAMENTOS!E1549)</f>
        <v>MONICA</v>
      </c>
      <c r="F1541" s="37" t="str">
        <f>IF(ORCAMENTOS!G1549="","",ORCAMENTOS!G1549)</f>
        <v>Guilherme</v>
      </c>
      <c r="G1541" s="37" t="str">
        <f>IF(ORCAMENTOS!H1549="","",ORCAMENTOS!H1549)</f>
        <v>Maria Luisa</v>
      </c>
      <c r="H1541" s="39">
        <f>IF(ORCAMENTOS!I1549="","",ORCAMENTOS!I1549)</f>
        <v>18069.37</v>
      </c>
      <c r="I1541" s="60" t="str">
        <f>IF(ORCAMENTOS!J1549="","",ORCAMENTOS!J1549)</f>
        <v/>
      </c>
      <c r="J1541" s="40" t="str">
        <f>IF(ORCAMENTOS!L1549="","",ORCAMENTOS!L1549)</f>
        <v>CANCELADO</v>
      </c>
      <c r="K1541" s="34" t="str">
        <f>IF(ORCAMENTOS!M1549="","",ORCAMENTOS!M1549)</f>
        <v>-</v>
      </c>
      <c r="L1541" t="str">
        <f>IF(ORCAMENTOS!R1549="","",ORCAMENTOS!R1549)</f>
        <v>-</v>
      </c>
    </row>
    <row r="1542" spans="1:12" ht="15.75" hidden="1" customHeight="1" x14ac:dyDescent="0.25">
      <c r="A1542" s="36">
        <f>IF(ORCAMENTOS!A1550="","",ORCAMENTOS!A1550)</f>
        <v>45901</v>
      </c>
      <c r="B1542" s="46">
        <f>IF(ORCAMENTOS!B1550="","",ORCAMENTOS!B1550)</f>
        <v>1540</v>
      </c>
      <c r="C1542" s="46" t="str">
        <f>IF(ORCAMENTOS!C1550="","",ORCAMENTOS!C1550)</f>
        <v/>
      </c>
      <c r="D1542" s="37" t="str">
        <f>IF(ORCAMENTOS!D1550="","",ORCAMENTOS!D1550)</f>
        <v>NP CLIMATIZAÇÃO</v>
      </c>
      <c r="E1542" s="38" t="str">
        <f>IF(ORCAMENTOS!E1550="","",ORCAMENTOS!E1550)</f>
        <v>GARDEN HOUSE</v>
      </c>
      <c r="F1542" s="37" t="str">
        <f>IF(ORCAMENTOS!G1550="","",ORCAMENTOS!G1550)</f>
        <v>Guilherme</v>
      </c>
      <c r="G1542" s="37" t="str">
        <f>IF(ORCAMENTOS!H1550="","",ORCAMENTOS!H1550)</f>
        <v>Maria Luisa</v>
      </c>
      <c r="H1542" s="39">
        <f>IF(ORCAMENTOS!I1550="","",ORCAMENTOS!I1550)</f>
        <v>5493.1</v>
      </c>
      <c r="I1542" s="60" t="str">
        <f>IF(ORCAMENTOS!J1550="","",ORCAMENTOS!J1550)</f>
        <v/>
      </c>
      <c r="J1542" s="40" t="str">
        <f>IF(ORCAMENTOS!L1550="","",ORCAMENTOS!L1550)</f>
        <v>CANCELADO</v>
      </c>
      <c r="K1542" s="34" t="str">
        <f>IF(ORCAMENTOS!M1550="","",ORCAMENTOS!M1550)</f>
        <v>BOAS CHANCES</v>
      </c>
      <c r="L1542" t="str">
        <f>IF(ORCAMENTOS!R1550="","",ORCAMENTOS!R1550)</f>
        <v>-</v>
      </c>
    </row>
    <row r="1543" spans="1:12" ht="15.75" hidden="1" customHeight="1" x14ac:dyDescent="0.25">
      <c r="A1543" s="36">
        <f>IF(ORCAMENTOS!A1551="","",ORCAMENTOS!A1551)</f>
        <v>45901</v>
      </c>
      <c r="B1543" s="46">
        <f>IF(ORCAMENTOS!B1551="","",ORCAMENTOS!B1551)</f>
        <v>1541</v>
      </c>
      <c r="C1543" s="46" t="str">
        <f>IF(ORCAMENTOS!C1551="","",ORCAMENTOS!C1551)</f>
        <v/>
      </c>
      <c r="D1543" s="37" t="str">
        <f>IF(ORCAMENTOS!D1551="","",ORCAMENTOS!D1551)</f>
        <v>NP CLIMATIZAÇÃO</v>
      </c>
      <c r="E1543" s="38" t="str">
        <f>IF(ORCAMENTOS!E1551="","",ORCAMENTOS!E1551)</f>
        <v>ZE LOPES</v>
      </c>
      <c r="F1543" s="37" t="str">
        <f>IF(ORCAMENTOS!G1551="","",ORCAMENTOS!G1551)</f>
        <v>Guilherme</v>
      </c>
      <c r="G1543" s="37" t="str">
        <f>IF(ORCAMENTOS!H1551="","",ORCAMENTOS!H1551)</f>
        <v>Maria Luisa</v>
      </c>
      <c r="H1543" s="39">
        <f>IF(ORCAMENTOS!I1551="","",ORCAMENTOS!I1551)</f>
        <v>5301.26</v>
      </c>
      <c r="I1543" s="60" t="str">
        <f>IF(ORCAMENTOS!J1551="","",ORCAMENTOS!J1551)</f>
        <v/>
      </c>
      <c r="J1543" s="40" t="str">
        <f>IF(ORCAMENTOS!L1551="","",ORCAMENTOS!L1551)</f>
        <v>CANCELADO</v>
      </c>
      <c r="K1543" s="34" t="str">
        <f>IF(ORCAMENTOS!M1551="","",ORCAMENTOS!M1551)</f>
        <v>-</v>
      </c>
      <c r="L1543" t="str">
        <f>IF(ORCAMENTOS!R1551="","",ORCAMENTOS!R1551)</f>
        <v>-</v>
      </c>
    </row>
    <row r="1544" spans="1:12" ht="15.75" hidden="1" customHeight="1" x14ac:dyDescent="0.25">
      <c r="A1544" s="36">
        <f>IF(ORCAMENTOS!A1552="","",ORCAMENTOS!A1552)</f>
        <v>45901</v>
      </c>
      <c r="B1544" s="46">
        <f>IF(ORCAMENTOS!B1552="","",ORCAMENTOS!B1552)</f>
        <v>1542</v>
      </c>
      <c r="C1544" s="46" t="str">
        <f>IF(ORCAMENTOS!C1552="","",ORCAMENTOS!C1552)</f>
        <v/>
      </c>
      <c r="D1544" s="37" t="str">
        <f>IF(ORCAMENTOS!D1552="","",ORCAMENTOS!D1552)</f>
        <v>COLDTERMICA</v>
      </c>
      <c r="E1544" s="38" t="str">
        <f>IF(ORCAMENTOS!E1552="","",ORCAMENTOS!E1552)</f>
        <v>-</v>
      </c>
      <c r="F1544" s="37" t="str">
        <f>IF(ORCAMENTOS!G1552="","",ORCAMENTOS!G1552)</f>
        <v>Gabriel</v>
      </c>
      <c r="G1544" s="37" t="str">
        <f>IF(ORCAMENTOS!H1552="","",ORCAMENTOS!H1552)</f>
        <v>Denis</v>
      </c>
      <c r="H1544" s="39">
        <f>IF(ORCAMENTOS!I1552="","",ORCAMENTOS!I1552)</f>
        <v>308.16000000000003</v>
      </c>
      <c r="I1544" s="60" t="str">
        <f>IF(ORCAMENTOS!J1552="","",ORCAMENTOS!J1552)</f>
        <v/>
      </c>
      <c r="J1544" s="40" t="str">
        <f>IF(ORCAMENTOS!L1552="","",ORCAMENTOS!L1552)</f>
        <v>FECHADO</v>
      </c>
      <c r="K1544" s="34" t="str">
        <f>IF(ORCAMENTOS!M1552="","",ORCAMENTOS!M1552)</f>
        <v>-</v>
      </c>
      <c r="L1544" t="str">
        <f>IF(ORCAMENTOS!R1552="","",ORCAMENTOS!R1552)</f>
        <v>-</v>
      </c>
    </row>
    <row r="1545" spans="1:12" ht="15.75" hidden="1" customHeight="1" x14ac:dyDescent="0.25">
      <c r="A1545" s="36">
        <f>IF(ORCAMENTOS!A1553="","",ORCAMENTOS!A1553)</f>
        <v>45903</v>
      </c>
      <c r="B1545" s="46">
        <f>IF(ORCAMENTOS!B1553="","",ORCAMENTOS!B1553)</f>
        <v>1543</v>
      </c>
      <c r="C1545" s="46" t="str">
        <f>IF(ORCAMENTOS!C1553="","",ORCAMENTOS!C1553)</f>
        <v/>
      </c>
      <c r="D1545" s="37" t="str">
        <f>IF(ORCAMENTOS!D1553="","",ORCAMENTOS!D1553)</f>
        <v>SESIL AR</v>
      </c>
      <c r="E1545" s="38" t="str">
        <f>IF(ORCAMENTOS!E1553="","",ORCAMENTOS!E1553)</f>
        <v>SMART FIT - SUZANO DOCELAR SUPERMERCADOS - SP</v>
      </c>
      <c r="F1545" s="37" t="str">
        <f>IF(ORCAMENTOS!G1553="","",ORCAMENTOS!G1553)</f>
        <v>Fernando</v>
      </c>
      <c r="G1545" s="37" t="str">
        <f>IF(ORCAMENTOS!H1553="","",ORCAMENTOS!H1553)</f>
        <v>Wagner</v>
      </c>
      <c r="H1545" s="39">
        <f>IF(ORCAMENTOS!I1553="","",ORCAMENTOS!I1553)</f>
        <v>49500.160000000003</v>
      </c>
      <c r="I1545" s="60" t="str">
        <f>IF(ORCAMENTOS!J1553="","",ORCAMENTOS!J1553)</f>
        <v/>
      </c>
      <c r="J1545" s="40" t="str">
        <f>IF(ORCAMENTOS!L1553="","",ORCAMENTOS!L1553)</f>
        <v>FECHADO</v>
      </c>
      <c r="K1545" s="34" t="str">
        <f>IF(ORCAMENTOS!M1553="","",ORCAMENTOS!M1553)</f>
        <v>-</v>
      </c>
      <c r="L1545" t="str">
        <f>IF(ORCAMENTOS!R1553="","",ORCAMENTOS!R1553)</f>
        <v>MPU</v>
      </c>
    </row>
    <row r="1546" spans="1:12" ht="15.75" hidden="1" customHeight="1" x14ac:dyDescent="0.25">
      <c r="A1546" s="36">
        <f>IF(ORCAMENTOS!A1554="","",ORCAMENTOS!A1554)</f>
        <v>45901</v>
      </c>
      <c r="B1546" s="46">
        <f>IF(ORCAMENTOS!B1554="","",ORCAMENTOS!B1554)</f>
        <v>1544</v>
      </c>
      <c r="C1546" s="46" t="str">
        <f>IF(ORCAMENTOS!C1554="","",ORCAMENTOS!C1554)</f>
        <v/>
      </c>
      <c r="D1546" s="37" t="str">
        <f>IF(ORCAMENTOS!D1554="","",ORCAMENTOS!D1554)</f>
        <v>GUILHERME HENRIQUE</v>
      </c>
      <c r="E1546" s="38" t="str">
        <f>IF(ORCAMENTOS!E1554="","",ORCAMENTOS!E1554)</f>
        <v>-</v>
      </c>
      <c r="F1546" s="37" t="str">
        <f>IF(ORCAMENTOS!G1554="","",ORCAMENTOS!G1554)</f>
        <v>Gabriel</v>
      </c>
      <c r="G1546" s="37" t="str">
        <f>IF(ORCAMENTOS!H1554="","",ORCAMENTOS!H1554)</f>
        <v>Guilherme</v>
      </c>
      <c r="H1546" s="39">
        <f>IF(ORCAMENTOS!I1554="","",ORCAMENTOS!I1554)</f>
        <v>2421.41</v>
      </c>
      <c r="I1546" s="60" t="str">
        <f>IF(ORCAMENTOS!J1554="","",ORCAMENTOS!J1554)</f>
        <v/>
      </c>
      <c r="J1546" s="40" t="str">
        <f>IF(ORCAMENTOS!L1554="","",ORCAMENTOS!L1554)</f>
        <v>FECHADO</v>
      </c>
      <c r="K1546" s="34" t="str">
        <f>IF(ORCAMENTOS!M1554="","",ORCAMENTOS!M1554)</f>
        <v>-</v>
      </c>
      <c r="L1546" t="str">
        <f>IF(ORCAMENTOS!R1554="","",ORCAMENTOS!R1554)</f>
        <v>-</v>
      </c>
    </row>
    <row r="1547" spans="1:12" ht="15.75" hidden="1" customHeight="1" x14ac:dyDescent="0.25">
      <c r="A1547" s="36">
        <f>IF(ORCAMENTOS!A1555="","",ORCAMENTOS!A1555)</f>
        <v>45902</v>
      </c>
      <c r="B1547" s="46">
        <f>IF(ORCAMENTOS!B1555="","",ORCAMENTOS!B1555)</f>
        <v>1545</v>
      </c>
      <c r="C1547" s="46" t="str">
        <f>IF(ORCAMENTOS!C1555="","",ORCAMENTOS!C1555)</f>
        <v/>
      </c>
      <c r="D1547" s="37" t="str">
        <f>IF(ORCAMENTOS!D1555="","",ORCAMENTOS!D1555)</f>
        <v>NEWSET</v>
      </c>
      <c r="E1547" s="38" t="str">
        <f>IF(ORCAMENTOS!E1555="","",ORCAMENTOS!E1555)</f>
        <v>REDE DOR - HOSPITAL CAMPINAS</v>
      </c>
      <c r="F1547" s="37" t="str">
        <f>IF(ORCAMENTOS!G1555="","",ORCAMENTOS!G1555)</f>
        <v xml:space="preserve">Aldavir </v>
      </c>
      <c r="G1547" s="37" t="str">
        <f>IF(ORCAMENTOS!H1555="","",ORCAMENTOS!H1555)</f>
        <v>Rafael</v>
      </c>
      <c r="H1547" s="39">
        <f>IF(ORCAMENTOS!I1555="","",ORCAMENTOS!I1555)</f>
        <v>108123.79</v>
      </c>
      <c r="I1547" s="60" t="str">
        <f>IF(ORCAMENTOS!J1555="","",ORCAMENTOS!J1555)</f>
        <v/>
      </c>
      <c r="J1547" s="40" t="str">
        <f>IF(ORCAMENTOS!L1555="","",ORCAMENTOS!L1555)</f>
        <v>CANCELADO</v>
      </c>
      <c r="K1547" s="34" t="str">
        <f>IF(ORCAMENTOS!M1555="","",ORCAMENTOS!M1555)</f>
        <v>-</v>
      </c>
      <c r="L1547" t="str">
        <f>IF(ORCAMENTOS!R1555="","",ORCAMENTOS!R1555)</f>
        <v>N/E</v>
      </c>
    </row>
    <row r="1548" spans="1:12" ht="15.75" hidden="1" customHeight="1" x14ac:dyDescent="0.25">
      <c r="A1548" s="36">
        <f>IF(ORCAMENTOS!A1556="","",ORCAMENTOS!A1556)</f>
        <v>45901</v>
      </c>
      <c r="B1548" s="46">
        <f>IF(ORCAMENTOS!B1556="","",ORCAMENTOS!B1556)</f>
        <v>1546</v>
      </c>
      <c r="C1548" s="46" t="str">
        <f>IF(ORCAMENTOS!C1556="","",ORCAMENTOS!C1556)</f>
        <v/>
      </c>
      <c r="D1548" s="37" t="str">
        <f>IF(ORCAMENTOS!D1556="","",ORCAMENTOS!D1556)</f>
        <v>GLOBAL AR CONDICIONADO</v>
      </c>
      <c r="E1548" s="38" t="str">
        <f>IF(ORCAMENTOS!E1556="","",ORCAMENTOS!E1556)</f>
        <v>SETIN INCORPORADORA - SÃO PAULO - SP</v>
      </c>
      <c r="F1548" s="37" t="str">
        <f>IF(ORCAMENTOS!G1556="","",ORCAMENTOS!G1556)</f>
        <v>Emanuel</v>
      </c>
      <c r="G1548" s="37" t="str">
        <f>IF(ORCAMENTOS!H1556="","",ORCAMENTOS!H1556)</f>
        <v>Claudemir</v>
      </c>
      <c r="H1548" s="39">
        <f>IF(ORCAMENTOS!I1556="","",ORCAMENTOS!I1556)</f>
        <v>8459.14</v>
      </c>
      <c r="I1548" s="60" t="str">
        <f>IF(ORCAMENTOS!J1556="","",ORCAMENTOS!J1556)</f>
        <v/>
      </c>
      <c r="J1548" s="40" t="str">
        <f>IF(ORCAMENTOS!L1556="","",ORCAMENTOS!L1556)</f>
        <v>CANCELADO</v>
      </c>
      <c r="K1548" s="34" t="str">
        <f>IF(ORCAMENTOS!M1556="","",ORCAMENTOS!M1556)</f>
        <v>-</v>
      </c>
      <c r="L1548" t="str">
        <f>IF(ORCAMENTOS!R1556="","",ORCAMENTOS!R1556)</f>
        <v>N/E</v>
      </c>
    </row>
    <row r="1549" spans="1:12" ht="15.75" hidden="1" customHeight="1" x14ac:dyDescent="0.25">
      <c r="A1549" s="36">
        <f>IF(ORCAMENTOS!A1557="","",ORCAMENTOS!A1557)</f>
        <v>45902</v>
      </c>
      <c r="B1549" s="46">
        <f>IF(ORCAMENTOS!B1557="","",ORCAMENTOS!B1557)</f>
        <v>1547</v>
      </c>
      <c r="C1549" s="46" t="str">
        <f>IF(ORCAMENTOS!C1557="","",ORCAMENTOS!C1557)</f>
        <v/>
      </c>
      <c r="D1549" s="37" t="str">
        <f>IF(ORCAMENTOS!D1557="","",ORCAMENTOS!D1557)</f>
        <v>INTEG MONTAGEM</v>
      </c>
      <c r="E1549" s="38" t="str">
        <f>IF(ORCAMENTOS!E1557="","",ORCAMENTOS!E1557)</f>
        <v>-</v>
      </c>
      <c r="F1549" s="37" t="str">
        <f>IF(ORCAMENTOS!G1557="","",ORCAMENTOS!G1557)</f>
        <v>Fernando</v>
      </c>
      <c r="G1549" s="37" t="str">
        <f>IF(ORCAMENTOS!H1557="","",ORCAMENTOS!H1557)</f>
        <v>Angela</v>
      </c>
      <c r="H1549" s="39">
        <f>IF(ORCAMENTOS!I1557="","",ORCAMENTOS!I1557)</f>
        <v>49467</v>
      </c>
      <c r="I1549" s="60" t="str">
        <f>IF(ORCAMENTOS!J1557="","",ORCAMENTOS!J1557)</f>
        <v/>
      </c>
      <c r="J1549" s="40" t="str">
        <f>IF(ORCAMENTOS!L1557="","",ORCAMENTOS!L1557)</f>
        <v>FECHADO</v>
      </c>
      <c r="K1549" s="34" t="str">
        <f>IF(ORCAMENTOS!M1557="","",ORCAMENTOS!M1557)</f>
        <v>-</v>
      </c>
      <c r="L1549" t="str">
        <f>IF(ORCAMENTOS!R1557="","",ORCAMENTOS!R1557)</f>
        <v>-</v>
      </c>
    </row>
    <row r="1550" spans="1:12" ht="15.75" hidden="1" customHeight="1" x14ac:dyDescent="0.25">
      <c r="A1550" s="36">
        <f>IF(ORCAMENTOS!A1558="","",ORCAMENTOS!A1558)</f>
        <v>45901</v>
      </c>
      <c r="B1550" s="46">
        <f>IF(ORCAMENTOS!B1558="","",ORCAMENTOS!B1558)</f>
        <v>1548</v>
      </c>
      <c r="C1550" s="46" t="str">
        <f>IF(ORCAMENTOS!C1558="","",ORCAMENTOS!C1558)</f>
        <v/>
      </c>
      <c r="D1550" s="37" t="str">
        <f>IF(ORCAMENTOS!D1558="","",ORCAMENTOS!D1558)</f>
        <v>CDT AR CONDICIONADO</v>
      </c>
      <c r="E1550" s="38" t="str">
        <f>IF(ORCAMENTOS!E1558="","",ORCAMENTOS!E1558)</f>
        <v>HOSPITAL DO RIM RECEB</v>
      </c>
      <c r="F1550" s="37" t="str">
        <f>IF(ORCAMENTOS!G1558="","",ORCAMENTOS!G1558)</f>
        <v>Fernando</v>
      </c>
      <c r="G1550" s="37" t="str">
        <f>IF(ORCAMENTOS!H1558="","",ORCAMENTOS!H1558)</f>
        <v>Caio</v>
      </c>
      <c r="H1550" s="39">
        <f>IF(ORCAMENTOS!I1558="","",ORCAMENTOS!I1558)</f>
        <v>2246.2600000000002</v>
      </c>
      <c r="I1550" s="60" t="str">
        <f>IF(ORCAMENTOS!J1558="","",ORCAMENTOS!J1558)</f>
        <v/>
      </c>
      <c r="J1550" s="40" t="str">
        <f>IF(ORCAMENTOS!L1558="","",ORCAMENTOS!L1558)</f>
        <v>CANCELADO</v>
      </c>
      <c r="K1550" s="34" t="str">
        <f>IF(ORCAMENTOS!M1558="","",ORCAMENTOS!M1558)</f>
        <v>CLIENTE NEGOCIANDO</v>
      </c>
      <c r="L1550" t="str">
        <f>IF(ORCAMENTOS!R1558="","",ORCAMENTOS!R1558)</f>
        <v>-</v>
      </c>
    </row>
    <row r="1551" spans="1:12" ht="15.75" hidden="1" customHeight="1" x14ac:dyDescent="0.25">
      <c r="A1551" s="36">
        <f>IF(ORCAMENTOS!A1559="","",ORCAMENTOS!A1559)</f>
        <v>45902</v>
      </c>
      <c r="B1551" s="46">
        <f>IF(ORCAMENTOS!B1559="","",ORCAMENTOS!B1559)</f>
        <v>1549</v>
      </c>
      <c r="C1551" s="46" t="str">
        <f>IF(ORCAMENTOS!C1559="","",ORCAMENTOS!C1559)</f>
        <v/>
      </c>
      <c r="D1551" s="37" t="str">
        <f>IF(ORCAMENTOS!D1559="","",ORCAMENTOS!D1559)</f>
        <v>DUPLIX ENGENHARIA</v>
      </c>
      <c r="E1551" s="38" t="str">
        <f>IF(ORCAMENTOS!E1559="","",ORCAMENTOS!E1559)</f>
        <v>Sicredi - Tiete SP</v>
      </c>
      <c r="F1551" s="37" t="str">
        <f>IF(ORCAMENTOS!G1559="","",ORCAMENTOS!G1559)</f>
        <v>Emanuel</v>
      </c>
      <c r="G1551" s="37" t="str">
        <f>IF(ORCAMENTOS!H1559="","",ORCAMENTOS!H1559)</f>
        <v>Joao</v>
      </c>
      <c r="H1551" s="39">
        <f>IF(ORCAMENTOS!I1559="","",ORCAMENTOS!I1559)</f>
        <v>596.54999999999995</v>
      </c>
      <c r="I1551" s="60" t="str">
        <f>IF(ORCAMENTOS!J1559="","",ORCAMENTOS!J1559)</f>
        <v/>
      </c>
      <c r="J1551" s="40" t="str">
        <f>IF(ORCAMENTOS!L1559="","",ORCAMENTOS!L1559)</f>
        <v>CANCELADO</v>
      </c>
      <c r="K1551" s="34" t="str">
        <f>IF(ORCAMENTOS!M1559="","",ORCAMENTOS!M1559)</f>
        <v>-</v>
      </c>
      <c r="L1551" t="str">
        <f>IF(ORCAMENTOS!R1559="","",ORCAMENTOS!R1559)</f>
        <v>-</v>
      </c>
    </row>
    <row r="1552" spans="1:12" ht="15.75" hidden="1" customHeight="1" x14ac:dyDescent="0.25">
      <c r="A1552" s="36">
        <f>IF(ORCAMENTOS!A1560="","",ORCAMENTOS!A1560)</f>
        <v>45903</v>
      </c>
      <c r="B1552" s="46">
        <f>IF(ORCAMENTOS!B1560="","",ORCAMENTOS!B1560)</f>
        <v>1550</v>
      </c>
      <c r="C1552" s="46" t="str">
        <f>IF(ORCAMENTOS!C1560="","",ORCAMENTOS!C1560)</f>
        <v/>
      </c>
      <c r="D1552" s="37" t="str">
        <f>IF(ORCAMENTOS!D1560="","",ORCAMENTOS!D1560)</f>
        <v>CONFORTO ENGENHARIA</v>
      </c>
      <c r="E1552" s="38" t="str">
        <f>IF(ORCAMENTOS!E1560="","",ORCAMENTOS!E1560)</f>
        <v>HOSP VARZEA</v>
      </c>
      <c r="F1552" s="37" t="str">
        <f>IF(ORCAMENTOS!G1560="","",ORCAMENTOS!G1560)</f>
        <v>Michel</v>
      </c>
      <c r="G1552" s="37" t="str">
        <f>IF(ORCAMENTOS!H1560="","",ORCAMENTOS!H1560)</f>
        <v>Thiago</v>
      </c>
      <c r="H1552" s="39">
        <f>IF(ORCAMENTOS!I1560="","",ORCAMENTOS!I1560)</f>
        <v>37878.800000000003</v>
      </c>
      <c r="I1552" s="60" t="str">
        <f>IF(ORCAMENTOS!J1560="","",ORCAMENTOS!J1560)</f>
        <v/>
      </c>
      <c r="J1552" s="40" t="str">
        <f>IF(ORCAMENTOS!L1560="","",ORCAMENTOS!L1560)</f>
        <v>FECHADO</v>
      </c>
      <c r="K1552" s="34" t="str">
        <f>IF(ORCAMENTOS!M1560="","",ORCAMENTOS!M1560)</f>
        <v>-</v>
      </c>
      <c r="L1552" t="str">
        <f>IF(ORCAMENTOS!R1560="","",ORCAMENTOS!R1560)</f>
        <v>-</v>
      </c>
    </row>
    <row r="1553" spans="1:12" ht="15.75" hidden="1" customHeight="1" x14ac:dyDescent="0.25">
      <c r="A1553" s="36">
        <f>IF(ORCAMENTOS!A1561="","",ORCAMENTOS!A1561)</f>
        <v>45902</v>
      </c>
      <c r="B1553" s="46">
        <f>IF(ORCAMENTOS!B1561="","",ORCAMENTOS!B1561)</f>
        <v>1551</v>
      </c>
      <c r="C1553" s="46" t="str">
        <f>IF(ORCAMENTOS!C1561="","",ORCAMENTOS!C1561)</f>
        <v/>
      </c>
      <c r="D1553" s="37" t="str">
        <f>IF(ORCAMENTOS!D1561="","",ORCAMENTOS!D1561)</f>
        <v>REWELL</v>
      </c>
      <c r="E1553" s="38" t="str">
        <f>IF(ORCAMENTOS!E1561="","",ORCAMENTOS!E1561)</f>
        <v>RESIDENCIA UNIFAMILIAR - DIEGO MESTRINER - ARACATUBA - SP</v>
      </c>
      <c r="F1553" s="37" t="str">
        <f>IF(ORCAMENTOS!G1561="","",ORCAMENTOS!G1561)</f>
        <v>Gabriel</v>
      </c>
      <c r="G1553" s="37" t="str">
        <f>IF(ORCAMENTOS!H1561="","",ORCAMENTOS!H1561)</f>
        <v>Rewell</v>
      </c>
      <c r="H1553" s="39">
        <f>IF(ORCAMENTOS!I1561="","",ORCAMENTOS!I1561)</f>
        <v>6245.9</v>
      </c>
      <c r="I1553" s="60" t="str">
        <f>IF(ORCAMENTOS!J1561="","",ORCAMENTOS!J1561)</f>
        <v/>
      </c>
      <c r="J1553" s="40" t="str">
        <f>IF(ORCAMENTOS!L1561="","",ORCAMENTOS!L1561)</f>
        <v>CANCELADO</v>
      </c>
      <c r="K1553" s="34" t="str">
        <f>IF(ORCAMENTOS!M1561="","",ORCAMENTOS!M1561)</f>
        <v>-</v>
      </c>
      <c r="L1553" t="str">
        <f>IF(ORCAMENTOS!R1561="","",ORCAMENTOS!R1561)</f>
        <v>CHAPA DE ACO GALVANIZADO</v>
      </c>
    </row>
    <row r="1554" spans="1:12" ht="15.75" hidden="1" customHeight="1" x14ac:dyDescent="0.25">
      <c r="A1554" s="36">
        <f>IF(ORCAMENTOS!A1562="","",ORCAMENTOS!A1562)</f>
        <v>45902</v>
      </c>
      <c r="B1554" s="46">
        <f>IF(ORCAMENTOS!B1562="","",ORCAMENTOS!B1562)</f>
        <v>1552</v>
      </c>
      <c r="C1554" s="46" t="str">
        <f>IF(ORCAMENTOS!C1562="","",ORCAMENTOS!C1562)</f>
        <v/>
      </c>
      <c r="D1554" s="37" t="str">
        <f>IF(ORCAMENTOS!D1562="","",ORCAMENTOS!D1562)</f>
        <v>REWELL</v>
      </c>
      <c r="E1554" s="38" t="str">
        <f>IF(ORCAMENTOS!E1562="","",ORCAMENTOS!E1562)</f>
        <v>RESIDENCIA UNIFAMILIAR - ARMANDO E VERA GOTTARDI - ARACATUBA - SP</v>
      </c>
      <c r="F1554" s="37" t="str">
        <f>IF(ORCAMENTOS!G1562="","",ORCAMENTOS!G1562)</f>
        <v>Gabriel</v>
      </c>
      <c r="G1554" s="37" t="str">
        <f>IF(ORCAMENTOS!H1562="","",ORCAMENTOS!H1562)</f>
        <v>Rewell</v>
      </c>
      <c r="H1554" s="39">
        <f>IF(ORCAMENTOS!I1562="","",ORCAMENTOS!I1562)</f>
        <v>20218.580000000002</v>
      </c>
      <c r="I1554" s="60" t="str">
        <f>IF(ORCAMENTOS!J1562="","",ORCAMENTOS!J1562)</f>
        <v/>
      </c>
      <c r="J1554" s="40" t="str">
        <f>IF(ORCAMENTOS!L1562="","",ORCAMENTOS!L1562)</f>
        <v>CANCELADO</v>
      </c>
      <c r="K1554" s="34" t="str">
        <f>IF(ORCAMENTOS!M1562="","",ORCAMENTOS!M1562)</f>
        <v>-</v>
      </c>
      <c r="L1554" t="str">
        <f>IF(ORCAMENTOS!R1562="","",ORCAMENTOS!R1562)</f>
        <v>CHAPA DE ACO GALVANIZADO</v>
      </c>
    </row>
    <row r="1555" spans="1:12" ht="15.75" hidden="1" customHeight="1" x14ac:dyDescent="0.25">
      <c r="A1555" s="36">
        <f>IF(ORCAMENTOS!A1563="","",ORCAMENTOS!A1563)</f>
        <v>45902</v>
      </c>
      <c r="B1555" s="46">
        <f>IF(ORCAMENTOS!B1563="","",ORCAMENTOS!B1563)</f>
        <v>1553</v>
      </c>
      <c r="C1555" s="46" t="str">
        <f>IF(ORCAMENTOS!C1563="","",ORCAMENTOS!C1563)</f>
        <v/>
      </c>
      <c r="D1555" s="37" t="str">
        <f>IF(ORCAMENTOS!D1563="","",ORCAMENTOS!D1563)</f>
        <v>REWELL</v>
      </c>
      <c r="E1555" s="38" t="str">
        <f>IF(ORCAMENTOS!E1563="","",ORCAMENTOS!E1563)</f>
        <v>RESIDENCIA UNIFAMILIAR - GEISA E CARLOS LEMOS</v>
      </c>
      <c r="F1555" s="37" t="str">
        <f>IF(ORCAMENTOS!G1563="","",ORCAMENTOS!G1563)</f>
        <v>Gabriel</v>
      </c>
      <c r="G1555" s="37" t="str">
        <f>IF(ORCAMENTOS!H1563="","",ORCAMENTOS!H1563)</f>
        <v>Rewell</v>
      </c>
      <c r="H1555" s="39">
        <f>IF(ORCAMENTOS!I1563="","",ORCAMENTOS!I1563)</f>
        <v>11056.02</v>
      </c>
      <c r="I1555" s="60" t="str">
        <f>IF(ORCAMENTOS!J1563="","",ORCAMENTOS!J1563)</f>
        <v/>
      </c>
      <c r="J1555" s="40" t="str">
        <f>IF(ORCAMENTOS!L1563="","",ORCAMENTOS!L1563)</f>
        <v>CANCELADO</v>
      </c>
      <c r="K1555" s="34" t="str">
        <f>IF(ORCAMENTOS!M1563="","",ORCAMENTOS!M1563)</f>
        <v>-</v>
      </c>
      <c r="L1555" t="str">
        <f>IF(ORCAMENTOS!R1563="","",ORCAMENTOS!R1563)</f>
        <v>CHAPA DE ACO GALVANIZADO</v>
      </c>
    </row>
    <row r="1556" spans="1:12" ht="15.75" hidden="1" customHeight="1" x14ac:dyDescent="0.25">
      <c r="A1556" s="36">
        <f>IF(ORCAMENTOS!A1564="","",ORCAMENTOS!A1564)</f>
        <v>45902</v>
      </c>
      <c r="B1556" s="46">
        <f>IF(ORCAMENTOS!B1564="","",ORCAMENTOS!B1564)</f>
        <v>1554</v>
      </c>
      <c r="C1556" s="46" t="str">
        <f>IF(ORCAMENTOS!C1564="","",ORCAMENTOS!C1564)</f>
        <v/>
      </c>
      <c r="D1556" s="37" t="str">
        <f>IF(ORCAMENTOS!D1564="","",ORCAMENTOS!D1564)</f>
        <v>REWELL</v>
      </c>
      <c r="E1556" s="38" t="str">
        <f>IF(ORCAMENTOS!E1564="","",ORCAMENTOS!E1564)</f>
        <v>RESIDENCIA UNIFAMILIAR - FABIO GOTTARDI - ARACATUBA - SP</v>
      </c>
      <c r="F1556" s="37" t="str">
        <f>IF(ORCAMENTOS!G1564="","",ORCAMENTOS!G1564)</f>
        <v>Gabriel</v>
      </c>
      <c r="G1556" s="37" t="str">
        <f>IF(ORCAMENTOS!H1564="","",ORCAMENTOS!H1564)</f>
        <v>Rewell</v>
      </c>
      <c r="H1556" s="39">
        <f>IF(ORCAMENTOS!I1564="","",ORCAMENTOS!I1564)</f>
        <v>7937.35</v>
      </c>
      <c r="I1556" s="60" t="str">
        <f>IF(ORCAMENTOS!J1564="","",ORCAMENTOS!J1564)</f>
        <v/>
      </c>
      <c r="J1556" s="40" t="str">
        <f>IF(ORCAMENTOS!L1564="","",ORCAMENTOS!L1564)</f>
        <v>CANCELADO</v>
      </c>
      <c r="K1556" s="34" t="str">
        <f>IF(ORCAMENTOS!M1564="","",ORCAMENTOS!M1564)</f>
        <v>-</v>
      </c>
      <c r="L1556" t="str">
        <f>IF(ORCAMENTOS!R1564="","",ORCAMENTOS!R1564)</f>
        <v>CHAPA DE ACO GALVANIZADO</v>
      </c>
    </row>
    <row r="1557" spans="1:12" ht="15.75" hidden="1" customHeight="1" x14ac:dyDescent="0.25">
      <c r="A1557" s="36">
        <f>IF(ORCAMENTOS!A1565="","",ORCAMENTOS!A1565)</f>
        <v>45902</v>
      </c>
      <c r="B1557" s="46">
        <f>IF(ORCAMENTOS!B1565="","",ORCAMENTOS!B1565)</f>
        <v>1555</v>
      </c>
      <c r="C1557" s="46" t="str">
        <f>IF(ORCAMENTOS!C1565="","",ORCAMENTOS!C1565)</f>
        <v/>
      </c>
      <c r="D1557" s="37" t="str">
        <f>IF(ORCAMENTOS!D1565="","",ORCAMENTOS!D1565)</f>
        <v>DIAGRAMA AR</v>
      </c>
      <c r="E1557" s="38" t="str">
        <f>IF(ORCAMENTOS!E1565="","",ORCAMENTOS!E1565)</f>
        <v>PAULINIA CASCATA</v>
      </c>
      <c r="F1557" s="37" t="str">
        <f>IF(ORCAMENTOS!G1565="","",ORCAMENTOS!G1565)</f>
        <v>Guilherme</v>
      </c>
      <c r="G1557" s="37" t="str">
        <f>IF(ORCAMENTOS!H1565="","",ORCAMENTOS!H1565)</f>
        <v>Sandra</v>
      </c>
      <c r="H1557" s="39">
        <f>IF(ORCAMENTOS!I1565="","",ORCAMENTOS!I1565)</f>
        <v>564006.98</v>
      </c>
      <c r="I1557" s="60" t="str">
        <f>IF(ORCAMENTOS!J1565="","",ORCAMENTOS!J1565)</f>
        <v/>
      </c>
      <c r="J1557" s="40" t="str">
        <f>IF(ORCAMENTOS!L1565="","",ORCAMENTOS!L1565)</f>
        <v>CANCELADO</v>
      </c>
      <c r="K1557" s="34" t="str">
        <f>IF(ORCAMENTOS!M1565="","",ORCAMENTOS!M1565)</f>
        <v>-</v>
      </c>
      <c r="L1557" t="str">
        <f>IF(ORCAMENTOS!R1565="","",ORCAMENTOS!R1565)</f>
        <v>-</v>
      </c>
    </row>
    <row r="1558" spans="1:12" ht="15.75" hidden="1" customHeight="1" x14ac:dyDescent="0.25">
      <c r="A1558" s="36">
        <f>IF(ORCAMENTOS!A1566="","",ORCAMENTOS!A1566)</f>
        <v>45903</v>
      </c>
      <c r="B1558" s="46">
        <f>IF(ORCAMENTOS!B1566="","",ORCAMENTOS!B1566)</f>
        <v>1556</v>
      </c>
      <c r="C1558" s="46" t="str">
        <f>IF(ORCAMENTOS!C1566="","",ORCAMENTOS!C1566)</f>
        <v/>
      </c>
      <c r="D1558" s="37" t="str">
        <f>IF(ORCAMENTOS!D1566="","",ORCAMENTOS!D1566)</f>
        <v>AWA AR CONDICIONADO</v>
      </c>
      <c r="E1558" s="38" t="str">
        <f>IF(ORCAMENTOS!E1566="","",ORCAMENTOS!E1566)</f>
        <v>MAX UBERLANDIA</v>
      </c>
      <c r="F1558" s="37" t="str">
        <f>IF(ORCAMENTOS!G1566="","",ORCAMENTOS!G1566)</f>
        <v>Guilherme</v>
      </c>
      <c r="G1558" s="37" t="str">
        <f>IF(ORCAMENTOS!H1566="","",ORCAMENTOS!H1566)</f>
        <v>Marcela</v>
      </c>
      <c r="H1558" s="39">
        <f>IF(ORCAMENTOS!I1566="","",ORCAMENTOS!I1566)</f>
        <v>36304.35</v>
      </c>
      <c r="I1558" s="60" t="str">
        <f>IF(ORCAMENTOS!J1566="","",ORCAMENTOS!J1566)</f>
        <v/>
      </c>
      <c r="J1558" s="40" t="str">
        <f>IF(ORCAMENTOS!L1566="","",ORCAMENTOS!L1566)</f>
        <v>FECHADO</v>
      </c>
      <c r="K1558" s="34" t="str">
        <f>IF(ORCAMENTOS!M1566="","",ORCAMENTOS!M1566)</f>
        <v>-</v>
      </c>
      <c r="L1558" t="str">
        <f>IF(ORCAMENTOS!R1566="","",ORCAMENTOS!R1566)</f>
        <v>-</v>
      </c>
    </row>
    <row r="1559" spans="1:12" ht="15.75" hidden="1" customHeight="1" x14ac:dyDescent="0.25">
      <c r="A1559" s="36">
        <f>IF(ORCAMENTOS!A1567="","",ORCAMENTOS!A1567)</f>
        <v>45902</v>
      </c>
      <c r="B1559" s="46">
        <f>IF(ORCAMENTOS!B1567="","",ORCAMENTOS!B1567)</f>
        <v>1557</v>
      </c>
      <c r="C1559" s="46" t="str">
        <f>IF(ORCAMENTOS!C1567="","",ORCAMENTOS!C1567)</f>
        <v/>
      </c>
      <c r="D1559" s="37" t="str">
        <f>IF(ORCAMENTOS!D1567="","",ORCAMENTOS!D1567)</f>
        <v>TECNO AIR</v>
      </c>
      <c r="E1559" s="38" t="str">
        <f>IF(ORCAMENTOS!E1567="","",ORCAMENTOS!E1567)</f>
        <v>-</v>
      </c>
      <c r="F1559" s="37" t="str">
        <f>IF(ORCAMENTOS!G1567="","",ORCAMENTOS!G1567)</f>
        <v>Emanuel</v>
      </c>
      <c r="G1559" s="37" t="str">
        <f>IF(ORCAMENTOS!H1567="","",ORCAMENTOS!H1567)</f>
        <v>Sidnei</v>
      </c>
      <c r="H1559" s="39">
        <f>IF(ORCAMENTOS!I1567="","",ORCAMENTOS!I1567)</f>
        <v>3026.05</v>
      </c>
      <c r="I1559" s="60" t="str">
        <f>IF(ORCAMENTOS!J1567="","",ORCAMENTOS!J1567)</f>
        <v/>
      </c>
      <c r="J1559" s="40" t="str">
        <f>IF(ORCAMENTOS!L1567="","",ORCAMENTOS!L1567)</f>
        <v>CANCELADO</v>
      </c>
      <c r="K1559" s="34" t="str">
        <f>IF(ORCAMENTOS!M1567="","",ORCAMENTOS!M1567)</f>
        <v>-</v>
      </c>
      <c r="L1559" t="str">
        <f>IF(ORCAMENTOS!R1567="","",ORCAMENTOS!R1567)</f>
        <v>-</v>
      </c>
    </row>
    <row r="1560" spans="1:12" ht="15.75" hidden="1" customHeight="1" x14ac:dyDescent="0.25">
      <c r="A1560" s="36">
        <f>IF(ORCAMENTOS!A1568="","",ORCAMENTOS!A1568)</f>
        <v>45903</v>
      </c>
      <c r="B1560" s="46">
        <f>IF(ORCAMENTOS!B1568="","",ORCAMENTOS!B1568)</f>
        <v>1558</v>
      </c>
      <c r="C1560" s="46" t="str">
        <f>IF(ORCAMENTOS!C1568="","",ORCAMENTOS!C1568)</f>
        <v/>
      </c>
      <c r="D1560" s="37" t="str">
        <f>IF(ORCAMENTOS!D1568="","",ORCAMENTOS!D1568)</f>
        <v>PU DUTOS</v>
      </c>
      <c r="E1560" s="38" t="str">
        <f>IF(ORCAMENTOS!E1568="","",ORCAMENTOS!E1568)</f>
        <v>-</v>
      </c>
      <c r="F1560" s="37" t="str">
        <f>IF(ORCAMENTOS!G1568="","",ORCAMENTOS!G1568)</f>
        <v>Gabriel</v>
      </c>
      <c r="G1560" s="37" t="str">
        <f>IF(ORCAMENTOS!H1568="","",ORCAMENTOS!H1568)</f>
        <v>Thiago</v>
      </c>
      <c r="H1560" s="39">
        <f>IF(ORCAMENTOS!I1568="","",ORCAMENTOS!I1568)</f>
        <v>16360.66</v>
      </c>
      <c r="I1560" s="60" t="str">
        <f>IF(ORCAMENTOS!J1568="","",ORCAMENTOS!J1568)</f>
        <v/>
      </c>
      <c r="J1560" s="40" t="str">
        <f>IF(ORCAMENTOS!L1568="","",ORCAMENTOS!L1568)</f>
        <v>FECHADO</v>
      </c>
      <c r="K1560" s="34" t="str">
        <f>IF(ORCAMENTOS!M1568="","",ORCAMENTOS!M1568)</f>
        <v>-</v>
      </c>
      <c r="L1560" t="str">
        <f>IF(ORCAMENTOS!R1568="","",ORCAMENTOS!R1568)</f>
        <v>-</v>
      </c>
    </row>
    <row r="1561" spans="1:12" ht="15.75" hidden="1" customHeight="1" x14ac:dyDescent="0.25">
      <c r="A1561" s="36">
        <f>IF(ORCAMENTOS!A1569="","",ORCAMENTOS!A1569)</f>
        <v>45903</v>
      </c>
      <c r="B1561" s="46">
        <f>IF(ORCAMENTOS!B1569="","",ORCAMENTOS!B1569)</f>
        <v>1559</v>
      </c>
      <c r="C1561" s="46" t="str">
        <f>IF(ORCAMENTOS!C1569="","",ORCAMENTOS!C1569)</f>
        <v/>
      </c>
      <c r="D1561" s="37" t="str">
        <f>IF(ORCAMENTOS!D1569="","",ORCAMENTOS!D1569)</f>
        <v>HEATING COOLING</v>
      </c>
      <c r="E1561" s="38" t="str">
        <f>IF(ORCAMENTOS!E1569="","",ORCAMENTOS!E1569)</f>
        <v>-</v>
      </c>
      <c r="F1561" s="37" t="str">
        <f>IF(ORCAMENTOS!G1569="","",ORCAMENTOS!G1569)</f>
        <v>Gabriel</v>
      </c>
      <c r="G1561" s="37" t="str">
        <f>IF(ORCAMENTOS!H1569="","",ORCAMENTOS!H1569)</f>
        <v>Cleo</v>
      </c>
      <c r="H1561" s="39">
        <f>IF(ORCAMENTOS!I1569="","",ORCAMENTOS!I1569)</f>
        <v>620444.59</v>
      </c>
      <c r="I1561" s="60" t="str">
        <f>IF(ORCAMENTOS!J1569="","",ORCAMENTOS!J1569)</f>
        <v/>
      </c>
      <c r="J1561" s="40" t="str">
        <f>IF(ORCAMENTOS!L1569="","",ORCAMENTOS!L1569)</f>
        <v>CANCELADO</v>
      </c>
      <c r="K1561" s="34" t="str">
        <f>IF(ORCAMENTOS!M1569="","",ORCAMENTOS!M1569)</f>
        <v>-</v>
      </c>
      <c r="L1561" t="str">
        <f>IF(ORCAMENTOS!R1569="","",ORCAMENTOS!R1569)</f>
        <v>-</v>
      </c>
    </row>
    <row r="1562" spans="1:12" ht="15.75" hidden="1" customHeight="1" x14ac:dyDescent="0.25">
      <c r="A1562" s="36">
        <f>IF(ORCAMENTOS!A1570="","",ORCAMENTOS!A1570)</f>
        <v>45903</v>
      </c>
      <c r="B1562" s="46">
        <f>IF(ORCAMENTOS!B1570="","",ORCAMENTOS!B1570)</f>
        <v>1560</v>
      </c>
      <c r="C1562" s="46" t="str">
        <f>IF(ORCAMENTOS!C1570="","",ORCAMENTOS!C1570)</f>
        <v/>
      </c>
      <c r="D1562" s="37" t="str">
        <f>IF(ORCAMENTOS!D1570="","",ORCAMENTOS!D1570)</f>
        <v>CE PRIME</v>
      </c>
      <c r="E1562" s="38" t="str">
        <f>IF(ORCAMENTOS!E1570="","",ORCAMENTOS!E1570)</f>
        <v>REDE DOR SÃO LUIZ - GAMA - BRASILIA</v>
      </c>
      <c r="F1562" s="37" t="str">
        <f>IF(ORCAMENTOS!G1570="","",ORCAMENTOS!G1570)</f>
        <v>Michel</v>
      </c>
      <c r="G1562" s="37" t="str">
        <f>IF(ORCAMENTOS!H1570="","",ORCAMENTOS!H1570)</f>
        <v>Danilo</v>
      </c>
      <c r="H1562" s="39">
        <f>IF(ORCAMENTOS!I1570="","",ORCAMENTOS!I1570)</f>
        <v>18348.11</v>
      </c>
      <c r="I1562" s="60" t="str">
        <f>IF(ORCAMENTOS!J1570="","",ORCAMENTOS!J1570)</f>
        <v/>
      </c>
      <c r="J1562" s="40" t="str">
        <f>IF(ORCAMENTOS!L1570="","",ORCAMENTOS!L1570)</f>
        <v>CANCELADO</v>
      </c>
      <c r="K1562" s="34" t="str">
        <f>IF(ORCAMENTOS!M1570="","",ORCAMENTOS!M1570)</f>
        <v>-</v>
      </c>
      <c r="L1562" t="str">
        <f>IF(ORCAMENTOS!R1570="","",ORCAMENTOS!R1570)</f>
        <v>-</v>
      </c>
    </row>
    <row r="1563" spans="1:12" ht="15.75" hidden="1" customHeight="1" x14ac:dyDescent="0.25">
      <c r="A1563" s="36">
        <f>IF(ORCAMENTOS!A1571="","",ORCAMENTOS!A1571)</f>
        <v>45903</v>
      </c>
      <c r="B1563" s="46">
        <f>IF(ORCAMENTOS!B1571="","",ORCAMENTOS!B1571)</f>
        <v>1561</v>
      </c>
      <c r="C1563" s="46" t="str">
        <f>IF(ORCAMENTOS!C1571="","",ORCAMENTOS!C1571)</f>
        <v/>
      </c>
      <c r="D1563" s="37" t="str">
        <f>IF(ORCAMENTOS!D1571="","",ORCAMENTOS!D1571)</f>
        <v>R REFRIGERACAO</v>
      </c>
      <c r="E1563" s="38" t="str">
        <f>IF(ORCAMENTOS!E1571="","",ORCAMENTOS!E1571)</f>
        <v>-</v>
      </c>
      <c r="F1563" s="37" t="str">
        <f>IF(ORCAMENTOS!G1571="","",ORCAMENTOS!G1571)</f>
        <v>Gabriel</v>
      </c>
      <c r="G1563" s="37" t="str">
        <f>IF(ORCAMENTOS!H1571="","",ORCAMENTOS!H1571)</f>
        <v>Michele</v>
      </c>
      <c r="H1563" s="39">
        <f>IF(ORCAMENTOS!I1571="","",ORCAMENTOS!I1571)</f>
        <v>3146.11</v>
      </c>
      <c r="I1563" s="60" t="str">
        <f>IF(ORCAMENTOS!J1571="","",ORCAMENTOS!J1571)</f>
        <v/>
      </c>
      <c r="J1563" s="40" t="str">
        <f>IF(ORCAMENTOS!L1571="","",ORCAMENTOS!L1571)</f>
        <v>FECHADO</v>
      </c>
      <c r="K1563" s="34" t="str">
        <f>IF(ORCAMENTOS!M1571="","",ORCAMENTOS!M1571)</f>
        <v>-</v>
      </c>
      <c r="L1563" t="str">
        <f>IF(ORCAMENTOS!R1571="","",ORCAMENTOS!R1571)</f>
        <v>-</v>
      </c>
    </row>
    <row r="1564" spans="1:12" ht="15.75" hidden="1" customHeight="1" x14ac:dyDescent="0.25">
      <c r="A1564" s="36">
        <f>IF(ORCAMENTOS!A1572="","",ORCAMENTOS!A1572)</f>
        <v>45903</v>
      </c>
      <c r="B1564" s="46">
        <f>IF(ORCAMENTOS!B1572="","",ORCAMENTOS!B1572)</f>
        <v>1562</v>
      </c>
      <c r="C1564" s="46" t="str">
        <f>IF(ORCAMENTOS!C1572="","",ORCAMENTOS!C1572)</f>
        <v/>
      </c>
      <c r="D1564" s="37" t="str">
        <f>IF(ORCAMENTOS!D1572="","",ORCAMENTOS!D1572)</f>
        <v>COLDTERMICA</v>
      </c>
      <c r="E1564" s="38" t="str">
        <f>IF(ORCAMENTOS!E1572="","",ORCAMENTOS!E1572)</f>
        <v>-</v>
      </c>
      <c r="F1564" s="37" t="str">
        <f>IF(ORCAMENTOS!G1572="","",ORCAMENTOS!G1572)</f>
        <v>Gabriel</v>
      </c>
      <c r="G1564" s="37" t="str">
        <f>IF(ORCAMENTOS!H1572="","",ORCAMENTOS!H1572)</f>
        <v>Denis</v>
      </c>
      <c r="H1564" s="39">
        <f>IF(ORCAMENTOS!I1572="","",ORCAMENTOS!I1572)</f>
        <v>303.18</v>
      </c>
      <c r="I1564" s="60" t="str">
        <f>IF(ORCAMENTOS!J1572="","",ORCAMENTOS!J1572)</f>
        <v/>
      </c>
      <c r="J1564" s="40" t="str">
        <f>IF(ORCAMENTOS!L1572="","",ORCAMENTOS!L1572)</f>
        <v>FECHADO</v>
      </c>
      <c r="K1564" s="34" t="str">
        <f>IF(ORCAMENTOS!M1572="","",ORCAMENTOS!M1572)</f>
        <v>-</v>
      </c>
      <c r="L1564" t="str">
        <f>IF(ORCAMENTOS!R1572="","",ORCAMENTOS!R1572)</f>
        <v>-</v>
      </c>
    </row>
    <row r="1565" spans="1:12" ht="15.75" hidden="1" customHeight="1" x14ac:dyDescent="0.25">
      <c r="A1565" s="36">
        <f>IF(ORCAMENTOS!A1573="","",ORCAMENTOS!A1573)</f>
        <v>45872</v>
      </c>
      <c r="B1565" s="46">
        <f>IF(ORCAMENTOS!B1573="","",ORCAMENTOS!B1573)</f>
        <v>1563</v>
      </c>
      <c r="C1565" s="46" t="str">
        <f>IF(ORCAMENTOS!C1573="","",ORCAMENTOS!C1573)</f>
        <v/>
      </c>
      <c r="D1565" s="37" t="str">
        <f>IF(ORCAMENTOS!D1573="","",ORCAMENTOS!D1573)</f>
        <v>NEWSET</v>
      </c>
      <c r="E1565" s="38" t="str">
        <f>IF(ORCAMENTOS!E1573="","",ORCAMENTOS!E1573)</f>
        <v>RECKITT - CLIMATIZAÇÃO DE GALPÃO</v>
      </c>
      <c r="F1565" s="37" t="str">
        <f>IF(ORCAMENTOS!G1573="","",ORCAMENTOS!G1573)</f>
        <v xml:space="preserve">Aldavir </v>
      </c>
      <c r="G1565" s="37" t="str">
        <f>IF(ORCAMENTOS!H1573="","",ORCAMENTOS!H1573)</f>
        <v>Alisson</v>
      </c>
      <c r="H1565" s="39">
        <f>IF(ORCAMENTOS!I1573="","",ORCAMENTOS!I1573)</f>
        <v>49348.1</v>
      </c>
      <c r="I1565" s="60" t="str">
        <f>IF(ORCAMENTOS!J1573="","",ORCAMENTOS!J1573)</f>
        <v/>
      </c>
      <c r="J1565" s="40" t="str">
        <f>IF(ORCAMENTOS!L1573="","",ORCAMENTOS!L1573)</f>
        <v>CANCELADO</v>
      </c>
      <c r="K1565" s="34" t="str">
        <f>IF(ORCAMENTOS!M1573="","",ORCAMENTOS!M1573)</f>
        <v/>
      </c>
      <c r="L1565" t="str">
        <f>IF(ORCAMENTOS!R1573="","",ORCAMENTOS!R1573)</f>
        <v/>
      </c>
    </row>
    <row r="1566" spans="1:12" ht="15.75" hidden="1" customHeight="1" x14ac:dyDescent="0.25">
      <c r="A1566" s="36">
        <f>IF(ORCAMENTOS!A1574="","",ORCAMENTOS!A1574)</f>
        <v>45903</v>
      </c>
      <c r="B1566" s="46">
        <f>IF(ORCAMENTOS!B1574="","",ORCAMENTOS!B1574)</f>
        <v>1564</v>
      </c>
      <c r="C1566" s="46" t="str">
        <f>IF(ORCAMENTOS!C1574="","",ORCAMENTOS!C1574)</f>
        <v/>
      </c>
      <c r="D1566" s="37" t="str">
        <f>IF(ORCAMENTOS!D1574="","",ORCAMENTOS!D1574)</f>
        <v>AMS INSTALACOES</v>
      </c>
      <c r="E1566" s="38" t="str">
        <f>IF(ORCAMENTOS!E1574="","",ORCAMENTOS!E1574)</f>
        <v>ATAKADAO - ARACAJU II - TAMBASA - SE</v>
      </c>
      <c r="F1566" s="37" t="str">
        <f>IF(ORCAMENTOS!G1574="","",ORCAMENTOS!G1574)</f>
        <v>Gabriel</v>
      </c>
      <c r="G1566" s="37" t="str">
        <f>IF(ORCAMENTOS!H1574="","",ORCAMENTOS!H1574)</f>
        <v>Renan</v>
      </c>
      <c r="H1566" s="39">
        <f>IF(ORCAMENTOS!I1574="","",ORCAMENTOS!I1574)</f>
        <v>203304.38</v>
      </c>
      <c r="I1566" s="60" t="str">
        <f>IF(ORCAMENTOS!J1574="","",ORCAMENTOS!J1574)</f>
        <v/>
      </c>
      <c r="J1566" s="40" t="str">
        <f>IF(ORCAMENTOS!L1574="","",ORCAMENTOS!L1574)</f>
        <v>CANCELADO</v>
      </c>
      <c r="K1566" s="34" t="str">
        <f>IF(ORCAMENTOS!M1574="","",ORCAMENTOS!M1574)</f>
        <v>-</v>
      </c>
      <c r="L1566" t="str">
        <f>IF(ORCAMENTOS!R1574="","",ORCAMENTOS!R1574)</f>
        <v>MPU</v>
      </c>
    </row>
    <row r="1567" spans="1:12" ht="15.75" hidden="1" customHeight="1" x14ac:dyDescent="0.25">
      <c r="A1567" s="36">
        <f>IF(ORCAMENTOS!A1575="","",ORCAMENTOS!A1575)</f>
        <v>45903</v>
      </c>
      <c r="B1567" s="46">
        <f>IF(ORCAMENTOS!B1575="","",ORCAMENTOS!B1575)</f>
        <v>1565</v>
      </c>
      <c r="C1567" s="46" t="str">
        <f>IF(ORCAMENTOS!C1575="","",ORCAMENTOS!C1575)</f>
        <v/>
      </c>
      <c r="D1567" s="37" t="str">
        <f>IF(ORCAMENTOS!D1575="","",ORCAMENTOS!D1575)</f>
        <v>AMS INSTALACOES</v>
      </c>
      <c r="E1567" s="38" t="str">
        <f>IF(ORCAMENTOS!E1575="","",ORCAMENTOS!E1575)</f>
        <v>ASSAI ATACADISTA - APARECIDA DE GOIANIA - GO</v>
      </c>
      <c r="F1567" s="37" t="str">
        <f>IF(ORCAMENTOS!G1575="","",ORCAMENTOS!G1575)</f>
        <v>Gabriel</v>
      </c>
      <c r="G1567" s="37" t="str">
        <f>IF(ORCAMENTOS!H1575="","",ORCAMENTOS!H1575)</f>
        <v>Albertino</v>
      </c>
      <c r="H1567" s="39">
        <f>IF(ORCAMENTOS!I1575="","",ORCAMENTOS!I1575)</f>
        <v>75899.259999999995</v>
      </c>
      <c r="I1567" s="60" t="str">
        <f>IF(ORCAMENTOS!J1575="","",ORCAMENTOS!J1575)</f>
        <v/>
      </c>
      <c r="J1567" s="40" t="str">
        <f>IF(ORCAMENTOS!L1575="","",ORCAMENTOS!L1575)</f>
        <v>CANCELADO</v>
      </c>
      <c r="K1567" s="34" t="str">
        <f>IF(ORCAMENTOS!M1575="","",ORCAMENTOS!M1575)</f>
        <v>-</v>
      </c>
      <c r="L1567" t="str">
        <f>IF(ORCAMENTOS!R1575="","",ORCAMENTOS!R1575)</f>
        <v>MPU</v>
      </c>
    </row>
    <row r="1568" spans="1:12" ht="15.75" hidden="1" customHeight="1" x14ac:dyDescent="0.25">
      <c r="A1568" s="36">
        <f>IF(ORCAMENTOS!A1576="","",ORCAMENTOS!A1576)</f>
        <v>45903</v>
      </c>
      <c r="B1568" s="46">
        <f>IF(ORCAMENTOS!B1576="","",ORCAMENTOS!B1576)</f>
        <v>1566</v>
      </c>
      <c r="C1568" s="46" t="str">
        <f>IF(ORCAMENTOS!C1576="","",ORCAMENTOS!C1576)</f>
        <v/>
      </c>
      <c r="D1568" s="37" t="str">
        <f>IF(ORCAMENTOS!D1576="","",ORCAMENTOS!D1576)</f>
        <v>AMS INSTALACOES</v>
      </c>
      <c r="E1568" s="38" t="str">
        <f>IF(ORCAMENTOS!E1576="","",ORCAMENTOS!E1576)</f>
        <v>ASSAI ATACADISTA - APARECIDA DE GOIANIA - GO - SALAO DE VENDAS</v>
      </c>
      <c r="F1568" s="37" t="str">
        <f>IF(ORCAMENTOS!G1576="","",ORCAMENTOS!G1576)</f>
        <v>Gabriel</v>
      </c>
      <c r="G1568" s="37" t="str">
        <f>IF(ORCAMENTOS!H1576="","",ORCAMENTOS!H1576)</f>
        <v>Albertino</v>
      </c>
      <c r="H1568" s="39">
        <f>IF(ORCAMENTOS!I1576="","",ORCAMENTOS!I1576)</f>
        <v>193019.4</v>
      </c>
      <c r="I1568" s="60" t="str">
        <f>IF(ORCAMENTOS!J1576="","",ORCAMENTOS!J1576)</f>
        <v/>
      </c>
      <c r="J1568" s="40" t="str">
        <f>IF(ORCAMENTOS!L1576="","",ORCAMENTOS!L1576)</f>
        <v>CANCELADO</v>
      </c>
      <c r="K1568" s="34" t="str">
        <f>IF(ORCAMENTOS!M1576="","",ORCAMENTOS!M1576)</f>
        <v>-</v>
      </c>
      <c r="L1568" t="str">
        <f>IF(ORCAMENTOS!R1576="","",ORCAMENTOS!R1576)</f>
        <v>MPU</v>
      </c>
    </row>
    <row r="1569" spans="1:12" ht="15.75" hidden="1" customHeight="1" x14ac:dyDescent="0.25">
      <c r="A1569" s="36">
        <f>IF(ORCAMENTOS!A1577="","",ORCAMENTOS!A1577)</f>
        <v>45903</v>
      </c>
      <c r="B1569" s="46">
        <f>IF(ORCAMENTOS!B1577="","",ORCAMENTOS!B1577)</f>
        <v>1567</v>
      </c>
      <c r="C1569" s="46" t="str">
        <f>IF(ORCAMENTOS!C1577="","",ORCAMENTOS!C1577)</f>
        <v/>
      </c>
      <c r="D1569" s="37" t="str">
        <f>IF(ORCAMENTOS!D1577="","",ORCAMENTOS!D1577)</f>
        <v>IVTEC ENGENHARIA</v>
      </c>
      <c r="E1569" s="38" t="str">
        <f>IF(ORCAMENTOS!E1577="","",ORCAMENTOS!E1577)</f>
        <v>-</v>
      </c>
      <c r="F1569" s="37" t="str">
        <f>IF(ORCAMENTOS!G1577="","",ORCAMENTOS!G1577)</f>
        <v>Gabriel</v>
      </c>
      <c r="G1569" s="37" t="str">
        <f>IF(ORCAMENTOS!H1577="","",ORCAMENTOS!H1577)</f>
        <v>Matheus</v>
      </c>
      <c r="H1569" s="39">
        <f>IF(ORCAMENTOS!I1577="","",ORCAMENTOS!I1577)</f>
        <v>5427.44</v>
      </c>
      <c r="I1569" s="60" t="str">
        <f>IF(ORCAMENTOS!J1577="","",ORCAMENTOS!J1577)</f>
        <v/>
      </c>
      <c r="J1569" s="40" t="str">
        <f>IF(ORCAMENTOS!L1577="","",ORCAMENTOS!L1577)</f>
        <v>CANCELADO</v>
      </c>
      <c r="K1569" s="34" t="str">
        <f>IF(ORCAMENTOS!M1577="","",ORCAMENTOS!M1577)</f>
        <v>-</v>
      </c>
      <c r="L1569" t="str">
        <f>IF(ORCAMENTOS!R1577="","",ORCAMENTOS!R1577)</f>
        <v>-</v>
      </c>
    </row>
    <row r="1570" spans="1:12" ht="15.75" hidden="1" customHeight="1" x14ac:dyDescent="0.25">
      <c r="A1570" s="36">
        <f>IF(ORCAMENTOS!A1578="","",ORCAMENTOS!A1578)</f>
        <v>45903</v>
      </c>
      <c r="B1570" s="46">
        <f>IF(ORCAMENTOS!B1578="","",ORCAMENTOS!B1578)</f>
        <v>1568</v>
      </c>
      <c r="C1570" s="46" t="str">
        <f>IF(ORCAMENTOS!C1578="","",ORCAMENTOS!C1578)</f>
        <v/>
      </c>
      <c r="D1570" s="37" t="str">
        <f>IF(ORCAMENTOS!D1578="","",ORCAMENTOS!D1578)</f>
        <v>G&amp;A AR CONDICIONADO</v>
      </c>
      <c r="E1570" s="38" t="str">
        <f>IF(ORCAMENTOS!E1578="","",ORCAMENTOS!E1578)</f>
        <v>-</v>
      </c>
      <c r="F1570" s="37" t="str">
        <f>IF(ORCAMENTOS!G1578="","",ORCAMENTOS!G1578)</f>
        <v>Gabriel</v>
      </c>
      <c r="G1570" s="37" t="str">
        <f>IF(ORCAMENTOS!H1578="","",ORCAMENTOS!H1578)</f>
        <v>Gabrielle</v>
      </c>
      <c r="H1570" s="39">
        <f>IF(ORCAMENTOS!I1578="","",ORCAMENTOS!I1578)</f>
        <v>2867.02</v>
      </c>
      <c r="I1570" s="60" t="str">
        <f>IF(ORCAMENTOS!J1578="","",ORCAMENTOS!J1578)</f>
        <v/>
      </c>
      <c r="J1570" s="40" t="str">
        <f>IF(ORCAMENTOS!L1578="","",ORCAMENTOS!L1578)</f>
        <v>CANCELADO</v>
      </c>
      <c r="K1570" s="34" t="str">
        <f>IF(ORCAMENTOS!M1578="","",ORCAMENTOS!M1578)</f>
        <v>-</v>
      </c>
      <c r="L1570" t="str">
        <f>IF(ORCAMENTOS!R1578="","",ORCAMENTOS!R1578)</f>
        <v>-</v>
      </c>
    </row>
    <row r="1571" spans="1:12" ht="15.75" hidden="1" customHeight="1" x14ac:dyDescent="0.25">
      <c r="A1571" s="36">
        <f>IF(ORCAMENTOS!A1579="","",ORCAMENTOS!A1579)</f>
        <v>45903</v>
      </c>
      <c r="B1571" s="46">
        <f>IF(ORCAMENTOS!B1579="","",ORCAMENTOS!B1579)</f>
        <v>1569</v>
      </c>
      <c r="C1571" s="46" t="str">
        <f>IF(ORCAMENTOS!C1579="","",ORCAMENTOS!C1579)</f>
        <v/>
      </c>
      <c r="D1571" s="37" t="str">
        <f>IF(ORCAMENTOS!D1579="","",ORCAMENTOS!D1579)</f>
        <v>GUILHERME HENRIQUE</v>
      </c>
      <c r="E1571" s="38" t="str">
        <f>IF(ORCAMENTOS!E1579="","",ORCAMENTOS!E1579)</f>
        <v>-</v>
      </c>
      <c r="F1571" s="37" t="str">
        <f>IF(ORCAMENTOS!G1579="","",ORCAMENTOS!G1579)</f>
        <v>Gabriel</v>
      </c>
      <c r="G1571" s="37" t="str">
        <f>IF(ORCAMENTOS!H1579="","",ORCAMENTOS!H1579)</f>
        <v>Guilherme</v>
      </c>
      <c r="H1571" s="39">
        <f>IF(ORCAMENTOS!I1579="","",ORCAMENTOS!I1579)</f>
        <v>7905.23</v>
      </c>
      <c r="I1571" s="60" t="str">
        <f>IF(ORCAMENTOS!J1579="","",ORCAMENTOS!J1579)</f>
        <v/>
      </c>
      <c r="J1571" s="40" t="str">
        <f>IF(ORCAMENTOS!L1579="","",ORCAMENTOS!L1579)</f>
        <v>CANCELADO</v>
      </c>
      <c r="K1571" s="34" t="str">
        <f>IF(ORCAMENTOS!M1579="","",ORCAMENTOS!M1579)</f>
        <v>-</v>
      </c>
      <c r="L1571" t="str">
        <f>IF(ORCAMENTOS!R1579="","",ORCAMENTOS!R1579)</f>
        <v>-</v>
      </c>
    </row>
    <row r="1572" spans="1:12" ht="15.75" hidden="1" customHeight="1" x14ac:dyDescent="0.25">
      <c r="A1572" s="36">
        <f>IF(ORCAMENTOS!A1580="","",ORCAMENTOS!A1580)</f>
        <v>45903</v>
      </c>
      <c r="B1572" s="46">
        <f>IF(ORCAMENTOS!B1580="","",ORCAMENTOS!B1580)</f>
        <v>1570</v>
      </c>
      <c r="C1572" s="46" t="str">
        <f>IF(ORCAMENTOS!C1580="","",ORCAMENTOS!C1580)</f>
        <v/>
      </c>
      <c r="D1572" s="37" t="str">
        <f>IF(ORCAMENTOS!D1580="","",ORCAMENTOS!D1580)</f>
        <v>AFTERMICA</v>
      </c>
      <c r="E1572" s="38" t="str">
        <f>IF(ORCAMENTOS!E1580="","",ORCAMENTOS!E1580)</f>
        <v>CASA CENTAURO</v>
      </c>
      <c r="F1572" s="37" t="str">
        <f>IF(ORCAMENTOS!G1580="","",ORCAMENTOS!G1580)</f>
        <v>Fernando</v>
      </c>
      <c r="G1572" s="37" t="str">
        <f>IF(ORCAMENTOS!H1580="","",ORCAMENTOS!H1580)</f>
        <v>Andre</v>
      </c>
      <c r="H1572" s="39">
        <f>IF(ORCAMENTOS!I1580="","",ORCAMENTOS!I1580)</f>
        <v>132482.49</v>
      </c>
      <c r="I1572" s="60" t="str">
        <f>IF(ORCAMENTOS!J1580="","",ORCAMENTOS!J1580)</f>
        <v/>
      </c>
      <c r="J1572" s="40" t="str">
        <f>IF(ORCAMENTOS!L1580="","",ORCAMENTOS!L1580)</f>
        <v>FECHADO</v>
      </c>
      <c r="K1572" s="34" t="str">
        <f>IF(ORCAMENTOS!M1580="","",ORCAMENTOS!M1580)</f>
        <v>AGUARDANDO PEDIDO</v>
      </c>
      <c r="L1572" t="str">
        <f>IF(ORCAMENTOS!R1580="","",ORCAMENTOS!R1580)</f>
        <v>-</v>
      </c>
    </row>
    <row r="1573" spans="1:12" ht="15.75" hidden="1" customHeight="1" x14ac:dyDescent="0.25">
      <c r="A1573" s="36">
        <f>IF(ORCAMENTOS!A1581="","",ORCAMENTOS!A1581)</f>
        <v>45904</v>
      </c>
      <c r="B1573" s="46">
        <f>IF(ORCAMENTOS!B1581="","",ORCAMENTOS!B1581)</f>
        <v>1571</v>
      </c>
      <c r="C1573" s="46" t="str">
        <f>IF(ORCAMENTOS!C1581="","",ORCAMENTOS!C1581)</f>
        <v/>
      </c>
      <c r="D1573" s="37" t="str">
        <f>IF(ORCAMENTOS!D1581="","",ORCAMENTOS!D1581)</f>
        <v>DOCTOR ICE</v>
      </c>
      <c r="E1573" s="38" t="str">
        <f>IF(ORCAMENTOS!E1581="","",ORCAMENTOS!E1581)</f>
        <v>-</v>
      </c>
      <c r="F1573" s="37" t="str">
        <f>IF(ORCAMENTOS!G1581="","",ORCAMENTOS!G1581)</f>
        <v>Gabriel</v>
      </c>
      <c r="G1573" s="37" t="str">
        <f>IF(ORCAMENTOS!H1581="","",ORCAMENTOS!H1581)</f>
        <v>Maykonn</v>
      </c>
      <c r="H1573" s="39">
        <f>IF(ORCAMENTOS!I1581="","",ORCAMENTOS!I1581)</f>
        <v>51393.73</v>
      </c>
      <c r="I1573" s="60" t="str">
        <f>IF(ORCAMENTOS!J1581="","",ORCAMENTOS!J1581)</f>
        <v/>
      </c>
      <c r="J1573" s="40" t="str">
        <f>IF(ORCAMENTOS!L1581="","",ORCAMENTOS!L1581)</f>
        <v>CANCELADO</v>
      </c>
      <c r="K1573" s="34" t="str">
        <f>IF(ORCAMENTOS!M1581="","",ORCAMENTOS!M1581)</f>
        <v>-</v>
      </c>
      <c r="L1573" t="str">
        <f>IF(ORCAMENTOS!R1581="","",ORCAMENTOS!R1581)</f>
        <v>-</v>
      </c>
    </row>
    <row r="1574" spans="1:12" ht="15.75" hidden="1" customHeight="1" x14ac:dyDescent="0.25">
      <c r="A1574" s="36">
        <f>IF(ORCAMENTOS!A1582="","",ORCAMENTOS!A1582)</f>
        <v>45904</v>
      </c>
      <c r="B1574" s="46">
        <f>IF(ORCAMENTOS!B1582="","",ORCAMENTOS!B1582)</f>
        <v>1572</v>
      </c>
      <c r="C1574" s="46" t="str">
        <f>IF(ORCAMENTOS!C1582="","",ORCAMENTOS!C1582)</f>
        <v/>
      </c>
      <c r="D1574" s="37" t="str">
        <f>IF(ORCAMENTOS!D1582="","",ORCAMENTOS!D1582)</f>
        <v>SESIL AR</v>
      </c>
      <c r="E1574" s="38" t="str">
        <f>IF(ORCAMENTOS!E1582="","",ORCAMENTOS!E1582)</f>
        <v>SMART FIT - MAX MUFFATO MOGI - SP</v>
      </c>
      <c r="F1574" s="37" t="str">
        <f>IF(ORCAMENTOS!G1582="","",ORCAMENTOS!G1582)</f>
        <v>Fernando</v>
      </c>
      <c r="G1574" s="37" t="str">
        <f>IF(ORCAMENTOS!H1582="","",ORCAMENTOS!H1582)</f>
        <v>Wagner</v>
      </c>
      <c r="H1574" s="39">
        <f>IF(ORCAMENTOS!I1582="","",ORCAMENTOS!I1582)</f>
        <v>79316.63</v>
      </c>
      <c r="I1574" s="60" t="str">
        <f>IF(ORCAMENTOS!J1582="","",ORCAMENTOS!J1582)</f>
        <v/>
      </c>
      <c r="J1574" s="40" t="str">
        <f>IF(ORCAMENTOS!L1582="","",ORCAMENTOS!L1582)</f>
        <v>FECHADO</v>
      </c>
      <c r="K1574" s="34" t="str">
        <f>IF(ORCAMENTOS!M1582="","",ORCAMENTOS!M1582)</f>
        <v>-</v>
      </c>
      <c r="L1574" t="str">
        <f>IF(ORCAMENTOS!R1582="","",ORCAMENTOS!R1582)</f>
        <v>MPU</v>
      </c>
    </row>
    <row r="1575" spans="1:12" ht="15.75" hidden="1" customHeight="1" x14ac:dyDescent="0.25">
      <c r="A1575" s="36">
        <f>IF(ORCAMENTOS!A1583="","",ORCAMENTOS!A1583)</f>
        <v>45904</v>
      </c>
      <c r="B1575" s="46">
        <f>IF(ORCAMENTOS!B1583="","",ORCAMENTOS!B1583)</f>
        <v>1573</v>
      </c>
      <c r="C1575" s="46" t="str">
        <f>IF(ORCAMENTOS!C1583="","",ORCAMENTOS!C1583)</f>
        <v/>
      </c>
      <c r="D1575" s="37" t="str">
        <f>IF(ORCAMENTOS!D1583="","",ORCAMENTOS!D1583)</f>
        <v>LINEAR MULT</v>
      </c>
      <c r="E1575" s="38" t="str">
        <f>IF(ORCAMENTOS!E1583="","",ORCAMENTOS!E1583)</f>
        <v>-</v>
      </c>
      <c r="F1575" s="37" t="str">
        <f>IF(ORCAMENTOS!G1583="","",ORCAMENTOS!G1583)</f>
        <v>Gabriel</v>
      </c>
      <c r="G1575" s="37" t="str">
        <f>IF(ORCAMENTOS!H1583="","",ORCAMENTOS!H1583)</f>
        <v>Jean</v>
      </c>
      <c r="H1575" s="39">
        <f>IF(ORCAMENTOS!I1583="","",ORCAMENTOS!I1583)</f>
        <v>4801.5</v>
      </c>
      <c r="I1575" s="60" t="str">
        <f>IF(ORCAMENTOS!J1583="","",ORCAMENTOS!J1583)</f>
        <v/>
      </c>
      <c r="J1575" s="40" t="str">
        <f>IF(ORCAMENTOS!L1583="","",ORCAMENTOS!L1583)</f>
        <v>CANCELADO</v>
      </c>
      <c r="K1575" s="34" t="str">
        <f>IF(ORCAMENTOS!M1583="","",ORCAMENTOS!M1583)</f>
        <v>-</v>
      </c>
      <c r="L1575" t="str">
        <f>IF(ORCAMENTOS!R1583="","",ORCAMENTOS!R1583)</f>
        <v>-</v>
      </c>
    </row>
    <row r="1576" spans="1:12" ht="15.75" hidden="1" customHeight="1" x14ac:dyDescent="0.25">
      <c r="A1576" s="36">
        <f>IF(ORCAMENTOS!A1584="","",ORCAMENTOS!A1584)</f>
        <v>45905</v>
      </c>
      <c r="B1576" s="46">
        <f>IF(ORCAMENTOS!B1584="","",ORCAMENTOS!B1584)</f>
        <v>1574</v>
      </c>
      <c r="C1576" s="46" t="str">
        <f>IF(ORCAMENTOS!C1584="","",ORCAMENTOS!C1584)</f>
        <v/>
      </c>
      <c r="D1576" s="37" t="str">
        <f>IF(ORCAMENTOS!D1584="","",ORCAMENTOS!D1584)</f>
        <v>KONAR</v>
      </c>
      <c r="E1576" s="38" t="str">
        <f>IF(ORCAMENTOS!E1584="","",ORCAMENTOS!E1584)</f>
        <v>RETROFIT EBM - GW</v>
      </c>
      <c r="F1576" s="37" t="str">
        <f>IF(ORCAMENTOS!G1584="","",ORCAMENTOS!G1584)</f>
        <v>Michel</v>
      </c>
      <c r="G1576" s="37" t="str">
        <f>IF(ORCAMENTOS!H1584="","",ORCAMENTOS!H1584)</f>
        <v>Fabio</v>
      </c>
      <c r="H1576" s="39">
        <f>IF(ORCAMENTOS!I1584="","",ORCAMENTOS!I1584)</f>
        <v>24300.33</v>
      </c>
      <c r="I1576" s="60" t="str">
        <f>IF(ORCAMENTOS!J1584="","",ORCAMENTOS!J1584)</f>
        <v/>
      </c>
      <c r="J1576" s="40" t="str">
        <f>IF(ORCAMENTOS!L1584="","",ORCAMENTOS!L1584)</f>
        <v>PERDIDO</v>
      </c>
      <c r="K1576" s="34" t="str">
        <f>IF(ORCAMENTOS!M1584="","",ORCAMENTOS!M1584)</f>
        <v>ARCOTEC</v>
      </c>
      <c r="L1576" t="str">
        <f>IF(ORCAMENTOS!R1584="","",ORCAMENTOS!R1584)</f>
        <v>-</v>
      </c>
    </row>
    <row r="1577" spans="1:12" ht="15.75" hidden="1" customHeight="1" x14ac:dyDescent="0.25">
      <c r="A1577" s="36">
        <f>IF(ORCAMENTOS!A1585="","",ORCAMENTOS!A1585)</f>
        <v>45904</v>
      </c>
      <c r="B1577" s="46">
        <f>IF(ORCAMENTOS!B1585="","",ORCAMENTOS!B1585)</f>
        <v>1575</v>
      </c>
      <c r="C1577" s="46" t="str">
        <f>IF(ORCAMENTOS!C1585="","",ORCAMENTOS!C1585)</f>
        <v/>
      </c>
      <c r="D1577" s="37" t="str">
        <f>IF(ORCAMENTOS!D1585="","",ORCAMENTOS!D1585)</f>
        <v>HAITEC AR CONDICIONADO</v>
      </c>
      <c r="E1577" s="38" t="str">
        <f>IF(ORCAMENTOS!E1585="","",ORCAMENTOS!E1585)</f>
        <v>SHOPPING JK IGUATEMI</v>
      </c>
      <c r="F1577" s="37" t="str">
        <f>IF(ORCAMENTOS!G1585="","",ORCAMENTOS!G1585)</f>
        <v>Michel</v>
      </c>
      <c r="G1577" s="37" t="str">
        <f>IF(ORCAMENTOS!H1585="","",ORCAMENTOS!H1585)</f>
        <v>Nilson</v>
      </c>
      <c r="H1577" s="39">
        <f>IF(ORCAMENTOS!I1585="","",ORCAMENTOS!I1585)</f>
        <v>5177.18</v>
      </c>
      <c r="I1577" s="60" t="str">
        <f>IF(ORCAMENTOS!J1585="","",ORCAMENTOS!J1585)</f>
        <v/>
      </c>
      <c r="J1577" s="40" t="str">
        <f>IF(ORCAMENTOS!L1585="","",ORCAMENTOS!L1585)</f>
        <v>CANCELADO</v>
      </c>
      <c r="K1577" s="34" t="str">
        <f>IF(ORCAMENTOS!M1585="","",ORCAMENTOS!M1585)</f>
        <v>-</v>
      </c>
      <c r="L1577" t="str">
        <f>IF(ORCAMENTOS!R1585="","",ORCAMENTOS!R1585)</f>
        <v>ACO GALVANIZADO</v>
      </c>
    </row>
    <row r="1578" spans="1:12" ht="15.75" hidden="1" customHeight="1" x14ac:dyDescent="0.25">
      <c r="A1578" s="36">
        <f>IF(ORCAMENTOS!A1586="","",ORCAMENTOS!A1586)</f>
        <v>45904</v>
      </c>
      <c r="B1578" s="46">
        <f>IF(ORCAMENTOS!B1586="","",ORCAMENTOS!B1586)</f>
        <v>1576</v>
      </c>
      <c r="C1578" s="46" t="str">
        <f>IF(ORCAMENTOS!C1586="","",ORCAMENTOS!C1586)</f>
        <v/>
      </c>
      <c r="D1578" s="37" t="str">
        <f>IF(ORCAMENTOS!D1586="","",ORCAMENTOS!D1586)</f>
        <v>AR SISTEMAS</v>
      </c>
      <c r="E1578" s="38" t="str">
        <f>IF(ORCAMENTOS!E1586="","",ORCAMENTOS!E1586)</f>
        <v>HOSPITAL JABAQUARA - ENDOSCOPIA E BRONCOSPIA - SP</v>
      </c>
      <c r="F1578" s="37" t="str">
        <f>IF(ORCAMENTOS!G1586="","",ORCAMENTOS!G1586)</f>
        <v>Michel</v>
      </c>
      <c r="G1578" s="37" t="str">
        <f>IF(ORCAMENTOS!H1586="","",ORCAMENTOS!H1586)</f>
        <v>Silvia</v>
      </c>
      <c r="H1578" s="39">
        <f>IF(ORCAMENTOS!I1586="","",ORCAMENTOS!I1586)</f>
        <v>50906.7</v>
      </c>
      <c r="I1578" s="60" t="str">
        <f>IF(ORCAMENTOS!J1586="","",ORCAMENTOS!J1586)</f>
        <v/>
      </c>
      <c r="J1578" s="40" t="str">
        <f>IF(ORCAMENTOS!L1586="","",ORCAMENTOS!L1586)</f>
        <v>CANCELADO</v>
      </c>
      <c r="K1578" s="34" t="str">
        <f>IF(ORCAMENTOS!M1586="","",ORCAMENTOS!M1586)</f>
        <v>-</v>
      </c>
      <c r="L1578" t="str">
        <f>IF(ORCAMENTOS!R1586="","",ORCAMENTOS!R1586)</f>
        <v>N/E</v>
      </c>
    </row>
    <row r="1579" spans="1:12" ht="15.75" hidden="1" customHeight="1" x14ac:dyDescent="0.25">
      <c r="A1579" s="36">
        <f>IF(ORCAMENTOS!A1587="","",ORCAMENTOS!A1587)</f>
        <v>45904</v>
      </c>
      <c r="B1579" s="46">
        <f>IF(ORCAMENTOS!B1587="","",ORCAMENTOS!B1587)</f>
        <v>1577</v>
      </c>
      <c r="C1579" s="46" t="str">
        <f>IF(ORCAMENTOS!C1587="","",ORCAMENTOS!C1587)</f>
        <v>R1</v>
      </c>
      <c r="D1579" s="37" t="str">
        <f>IF(ORCAMENTOS!D1587="","",ORCAMENTOS!D1587)</f>
        <v>ARCLEAN</v>
      </c>
      <c r="E1579" s="38" t="str">
        <f>IF(ORCAMENTOS!E1587="","",ORCAMENTOS!E1587)</f>
        <v>AUTOZONE - CASCATA - PAULINIA - SP</v>
      </c>
      <c r="F1579" s="37" t="str">
        <f>IF(ORCAMENTOS!G1587="","",ORCAMENTOS!G1587)</f>
        <v xml:space="preserve">Aldavir </v>
      </c>
      <c r="G1579" s="37" t="str">
        <f>IF(ORCAMENTOS!H1587="","",ORCAMENTOS!H1587)</f>
        <v>Melanie</v>
      </c>
      <c r="H1579" s="39">
        <f>IF(ORCAMENTOS!I1587="","",ORCAMENTOS!I1587)</f>
        <v>649075.49</v>
      </c>
      <c r="I1579" s="60" t="str">
        <f>IF(ORCAMENTOS!J1587="","",ORCAMENTOS!J1587)</f>
        <v/>
      </c>
      <c r="J1579" s="40" t="str">
        <f>IF(ORCAMENTOS!L1587="","",ORCAMENTOS!L1587)</f>
        <v>CANCELADO</v>
      </c>
      <c r="K1579" s="34" t="str">
        <f>IF(ORCAMENTOS!M1587="","",ORCAMENTOS!M1587)</f>
        <v>-</v>
      </c>
      <c r="L1579" t="str">
        <f>IF(ORCAMENTOS!R1587="","",ORCAMENTOS!R1587)</f>
        <v>ACO GALVANIZADO - PU</v>
      </c>
    </row>
    <row r="1580" spans="1:12" ht="15.75" hidden="1" customHeight="1" x14ac:dyDescent="0.25">
      <c r="A1580" s="36">
        <f>IF(ORCAMENTOS!A1588="","",ORCAMENTOS!A1588)</f>
        <v>45904</v>
      </c>
      <c r="B1580" s="46">
        <f>IF(ORCAMENTOS!B1588="","",ORCAMENTOS!B1588)</f>
        <v>1578</v>
      </c>
      <c r="C1580" s="46" t="str">
        <f>IF(ORCAMENTOS!C1588="","",ORCAMENTOS!C1588)</f>
        <v/>
      </c>
      <c r="D1580" s="37" t="str">
        <f>IF(ORCAMENTOS!D1588="","",ORCAMENTOS!D1588)</f>
        <v>ARCOSERV</v>
      </c>
      <c r="E1580" s="38" t="str">
        <f>IF(ORCAMENTOS!E1588="","",ORCAMENTOS!E1588)</f>
        <v>SANTA ANGELA EMPREENDIMENTO IMOBILIARIO 42</v>
      </c>
      <c r="F1580" s="37" t="str">
        <f>IF(ORCAMENTOS!G1588="","",ORCAMENTOS!G1588)</f>
        <v xml:space="preserve">Aldavir </v>
      </c>
      <c r="G1580" s="37" t="str">
        <f>IF(ORCAMENTOS!H1588="","",ORCAMENTOS!H1588)</f>
        <v>Rubens</v>
      </c>
      <c r="H1580" s="39">
        <f>IF(ORCAMENTOS!I1588="","",ORCAMENTOS!I1588)</f>
        <v>17897.88</v>
      </c>
      <c r="I1580" s="60" t="str">
        <f>IF(ORCAMENTOS!J1588="","",ORCAMENTOS!J1588)</f>
        <v/>
      </c>
      <c r="J1580" s="40" t="str">
        <f>IF(ORCAMENTOS!L1588="","",ORCAMENTOS!L1588)</f>
        <v>FECHADO</v>
      </c>
      <c r="K1580" s="34" t="str">
        <f>IF(ORCAMENTOS!M1588="","",ORCAMENTOS!M1588)</f>
        <v/>
      </c>
      <c r="L1580" t="str">
        <f>IF(ORCAMENTOS!R1588="","",ORCAMENTOS!R1588)</f>
        <v/>
      </c>
    </row>
    <row r="1581" spans="1:12" ht="15.75" hidden="1" customHeight="1" x14ac:dyDescent="0.25">
      <c r="A1581" s="36">
        <f>IF(ORCAMENTOS!A1589="","",ORCAMENTOS!A1589)</f>
        <v>45904</v>
      </c>
      <c r="B1581" s="46">
        <f>IF(ORCAMENTOS!B1589="","",ORCAMENTOS!B1589)</f>
        <v>1579</v>
      </c>
      <c r="C1581" s="46" t="str">
        <f>IF(ORCAMENTOS!C1589="","",ORCAMENTOS!C1589)</f>
        <v/>
      </c>
      <c r="D1581" s="37" t="str">
        <f>IF(ORCAMENTOS!D1589="","",ORCAMENTOS!D1589)</f>
        <v>DUCTBUSTERS</v>
      </c>
      <c r="E1581" s="38" t="str">
        <f>IF(ORCAMENTOS!E1589="","",ORCAMENTOS!E1589)</f>
        <v>-</v>
      </c>
      <c r="F1581" s="37" t="str">
        <f>IF(ORCAMENTOS!G1589="","",ORCAMENTOS!G1589)</f>
        <v>Michel</v>
      </c>
      <c r="G1581" s="37" t="str">
        <f>IF(ORCAMENTOS!H1589="","",ORCAMENTOS!H1589)</f>
        <v>Renata</v>
      </c>
      <c r="H1581" s="39">
        <f>IF(ORCAMENTOS!I1589="","",ORCAMENTOS!I1589)</f>
        <v>18795.169999999998</v>
      </c>
      <c r="I1581" s="60" t="str">
        <f>IF(ORCAMENTOS!J1589="","",ORCAMENTOS!J1589)</f>
        <v/>
      </c>
      <c r="J1581" s="40" t="str">
        <f>IF(ORCAMENTOS!L1589="","",ORCAMENTOS!L1589)</f>
        <v>CANCELADO</v>
      </c>
      <c r="K1581" s="34" t="str">
        <f>IF(ORCAMENTOS!M1589="","",ORCAMENTOS!M1589)</f>
        <v>-</v>
      </c>
      <c r="L1581" t="str">
        <f>IF(ORCAMENTOS!R1589="","",ORCAMENTOS!R1589)</f>
        <v>-</v>
      </c>
    </row>
    <row r="1582" spans="1:12" ht="15.75" hidden="1" customHeight="1" x14ac:dyDescent="0.25">
      <c r="A1582" s="36">
        <f>IF(ORCAMENTOS!A1590="","",ORCAMENTOS!A1590)</f>
        <v>45904</v>
      </c>
      <c r="B1582" s="46">
        <f>IF(ORCAMENTOS!B1590="","",ORCAMENTOS!B1590)</f>
        <v>1580</v>
      </c>
      <c r="C1582" s="46" t="str">
        <f>IF(ORCAMENTOS!C1590="","",ORCAMENTOS!C1590)</f>
        <v/>
      </c>
      <c r="D1582" s="37" t="str">
        <f>IF(ORCAMENTOS!D1590="","",ORCAMENTOS!D1590)</f>
        <v>EKO CLIMAX</v>
      </c>
      <c r="E1582" s="38" t="str">
        <f>IF(ORCAMENTOS!E1590="","",ORCAMENTOS!E1590)</f>
        <v>-</v>
      </c>
      <c r="F1582" s="37" t="str">
        <f>IF(ORCAMENTOS!G1590="","",ORCAMENTOS!G1590)</f>
        <v>Michel</v>
      </c>
      <c r="G1582" s="37" t="str">
        <f>IF(ORCAMENTOS!H1590="","",ORCAMENTOS!H1590)</f>
        <v>Rogerio</v>
      </c>
      <c r="H1582" s="39">
        <f>IF(ORCAMENTOS!I1590="","",ORCAMENTOS!I1590)</f>
        <v>6623.28</v>
      </c>
      <c r="I1582" s="60" t="str">
        <f>IF(ORCAMENTOS!J1590="","",ORCAMENTOS!J1590)</f>
        <v/>
      </c>
      <c r="J1582" s="40" t="str">
        <f>IF(ORCAMENTOS!L1590="","",ORCAMENTOS!L1590)</f>
        <v>FECHADO</v>
      </c>
      <c r="K1582" s="34" t="str">
        <f>IF(ORCAMENTOS!M1590="","",ORCAMENTOS!M1590)</f>
        <v>-</v>
      </c>
      <c r="L1582" t="str">
        <f>IF(ORCAMENTOS!R1590="","",ORCAMENTOS!R1590)</f>
        <v>-</v>
      </c>
    </row>
    <row r="1583" spans="1:12" ht="15.75" hidden="1" customHeight="1" x14ac:dyDescent="0.25">
      <c r="A1583" s="36">
        <f>IF(ORCAMENTOS!A1591="","",ORCAMENTOS!A1591)</f>
        <v>45910</v>
      </c>
      <c r="B1583" s="46">
        <f>IF(ORCAMENTOS!B1591="","",ORCAMENTOS!B1591)</f>
        <v>1581</v>
      </c>
      <c r="C1583" s="46" t="str">
        <f>IF(ORCAMENTOS!C1591="","",ORCAMENTOS!C1591)</f>
        <v/>
      </c>
      <c r="D1583" s="37" t="str">
        <f>IF(ORCAMENTOS!D1591="","",ORCAMENTOS!D1591)</f>
        <v>X AIR</v>
      </c>
      <c r="E1583" s="38" t="str">
        <f>IF(ORCAMENTOS!E1591="","",ORCAMENTOS!E1591)</f>
        <v>SANTA CASA DE ARARAQUARA - SP</v>
      </c>
      <c r="F1583" s="37" t="str">
        <f>IF(ORCAMENTOS!G1591="","",ORCAMENTOS!G1591)</f>
        <v>Emanuel</v>
      </c>
      <c r="G1583" s="37" t="str">
        <f>IF(ORCAMENTOS!H1591="","",ORCAMENTOS!H1591)</f>
        <v>Isabela</v>
      </c>
      <c r="H1583" s="39">
        <f>IF(ORCAMENTOS!I1591="","",ORCAMENTOS!I1591)</f>
        <v>203287.5</v>
      </c>
      <c r="I1583" s="60" t="str">
        <f>IF(ORCAMENTOS!J1591="","",ORCAMENTOS!J1591)</f>
        <v/>
      </c>
      <c r="J1583" s="40" t="str">
        <f>IF(ORCAMENTOS!L1591="","",ORCAMENTOS!L1591)</f>
        <v>FECHADO</v>
      </c>
      <c r="K1583" s="34" t="str">
        <f>IF(ORCAMENTOS!M1591="","",ORCAMENTOS!M1591)</f>
        <v>-</v>
      </c>
      <c r="L1583" t="str">
        <f>IF(ORCAMENTOS!R1591="","",ORCAMENTOS!R1591)</f>
        <v>MPU</v>
      </c>
    </row>
    <row r="1584" spans="1:12" ht="15.75" hidden="1" customHeight="1" x14ac:dyDescent="0.25">
      <c r="A1584" s="36">
        <f>IF(ORCAMENTOS!A1592="","",ORCAMENTOS!A1592)</f>
        <v>45905</v>
      </c>
      <c r="B1584" s="46">
        <f>IF(ORCAMENTOS!B1592="","",ORCAMENTOS!B1592)</f>
        <v>1582</v>
      </c>
      <c r="C1584" s="46" t="str">
        <f>IF(ORCAMENTOS!C1592="","",ORCAMENTOS!C1592)</f>
        <v/>
      </c>
      <c r="D1584" s="37" t="str">
        <f>IF(ORCAMENTOS!D1592="","",ORCAMENTOS!D1592)</f>
        <v>NOSSO AR</v>
      </c>
      <c r="E1584" s="38" t="str">
        <f>IF(ORCAMENTOS!E1592="","",ORCAMENTOS!E1592)</f>
        <v>Joanin São Caetano Loja 01</v>
      </c>
      <c r="F1584" s="37" t="str">
        <f>IF(ORCAMENTOS!G1592="","",ORCAMENTOS!G1592)</f>
        <v>Gabriel</v>
      </c>
      <c r="G1584" s="37" t="str">
        <f>IF(ORCAMENTOS!H1592="","",ORCAMENTOS!H1592)</f>
        <v>Lucimere</v>
      </c>
      <c r="H1584" s="39">
        <f>IF(ORCAMENTOS!I1592="","",ORCAMENTOS!I1592)</f>
        <v>2135.3200000000002</v>
      </c>
      <c r="I1584" s="60" t="str">
        <f>IF(ORCAMENTOS!J1592="","",ORCAMENTOS!J1592)</f>
        <v/>
      </c>
      <c r="J1584" s="40" t="str">
        <f>IF(ORCAMENTOS!L1592="","",ORCAMENTOS!L1592)</f>
        <v>FECHADO</v>
      </c>
      <c r="K1584" s="34" t="str">
        <f>IF(ORCAMENTOS!M1592="","",ORCAMENTOS!M1592)</f>
        <v>-</v>
      </c>
      <c r="L1584" t="str">
        <f>IF(ORCAMENTOS!R1592="","",ORCAMENTOS!R1592)</f>
        <v>-</v>
      </c>
    </row>
    <row r="1585" spans="1:12" ht="15.75" hidden="1" customHeight="1" x14ac:dyDescent="0.25">
      <c r="A1585" s="36">
        <f>IF(ORCAMENTOS!A1593="","",ORCAMENTOS!A1593)</f>
        <v>45905</v>
      </c>
      <c r="B1585" s="46">
        <f>IF(ORCAMENTOS!B1593="","",ORCAMENTOS!B1593)</f>
        <v>1583</v>
      </c>
      <c r="C1585" s="46" t="str">
        <f>IF(ORCAMENTOS!C1593="","",ORCAMENTOS!C1593)</f>
        <v/>
      </c>
      <c r="D1585" s="37" t="str">
        <f>IF(ORCAMENTOS!D1593="","",ORCAMENTOS!D1593)</f>
        <v>TELMEC</v>
      </c>
      <c r="E1585" s="38" t="str">
        <f>IF(ORCAMENTOS!E1593="","",ORCAMENTOS!E1593)</f>
        <v>AEROPORTO INTERNACIONAL DE SÃO PAULO - GUARULHOS - SP</v>
      </c>
      <c r="F1585" s="37" t="str">
        <f>IF(ORCAMENTOS!G1593="","",ORCAMENTOS!G1593)</f>
        <v>Gabriel</v>
      </c>
      <c r="G1585" s="37" t="str">
        <f>IF(ORCAMENTOS!H1593="","",ORCAMENTOS!H1593)</f>
        <v>Emerson</v>
      </c>
      <c r="H1585" s="39">
        <f>IF(ORCAMENTOS!I1593="","",ORCAMENTOS!I1593)</f>
        <v>259689.91</v>
      </c>
      <c r="I1585" s="60" t="str">
        <f>IF(ORCAMENTOS!J1593="","",ORCAMENTOS!J1593)</f>
        <v/>
      </c>
      <c r="J1585" s="40" t="str">
        <f>IF(ORCAMENTOS!L1593="","",ORCAMENTOS!L1593)</f>
        <v>CANCELADO</v>
      </c>
      <c r="K1585" s="34" t="str">
        <f>IF(ORCAMENTOS!M1593="","",ORCAMENTOS!M1593)</f>
        <v>-</v>
      </c>
      <c r="L1585" t="str">
        <f>IF(ORCAMENTOS!R1593="","",ORCAMENTOS!R1593)</f>
        <v>-</v>
      </c>
    </row>
    <row r="1586" spans="1:12" ht="15.75" hidden="1" customHeight="1" x14ac:dyDescent="0.25">
      <c r="A1586" s="36">
        <f>IF(ORCAMENTOS!A1594="","",ORCAMENTOS!A1594)</f>
        <v>45905</v>
      </c>
      <c r="B1586" s="46">
        <f>IF(ORCAMENTOS!B1594="","",ORCAMENTOS!B1594)</f>
        <v>1584</v>
      </c>
      <c r="C1586" s="46" t="str">
        <f>IF(ORCAMENTOS!C1594="","",ORCAMENTOS!C1594)</f>
        <v/>
      </c>
      <c r="D1586" s="37" t="str">
        <f>IF(ORCAMENTOS!D1594="","",ORCAMENTOS!D1594)</f>
        <v>CONFORTO ENGENHARIA</v>
      </c>
      <c r="E1586" s="38" t="str">
        <f>IF(ORCAMENTOS!E1594="","",ORCAMENTOS!E1594)</f>
        <v>-</v>
      </c>
      <c r="F1586" s="37" t="str">
        <f>IF(ORCAMENTOS!G1594="","",ORCAMENTOS!G1594)</f>
        <v>Michel</v>
      </c>
      <c r="G1586" s="37" t="str">
        <f>IF(ORCAMENTOS!H1594="","",ORCAMENTOS!H1594)</f>
        <v>Kaine</v>
      </c>
      <c r="H1586" s="39">
        <f>IF(ORCAMENTOS!I1594="","",ORCAMENTOS!I1594)</f>
        <v>994</v>
      </c>
      <c r="I1586" s="60" t="str">
        <f>IF(ORCAMENTOS!J1594="","",ORCAMENTOS!J1594)</f>
        <v/>
      </c>
      <c r="J1586" s="40" t="str">
        <f>IF(ORCAMENTOS!L1594="","",ORCAMENTOS!L1594)</f>
        <v>FECHADO</v>
      </c>
      <c r="K1586" s="34" t="str">
        <f>IF(ORCAMENTOS!M1594="","",ORCAMENTOS!M1594)</f>
        <v>-</v>
      </c>
      <c r="L1586" t="str">
        <f>IF(ORCAMENTOS!R1594="","",ORCAMENTOS!R1594)</f>
        <v>-</v>
      </c>
    </row>
    <row r="1587" spans="1:12" ht="15.75" hidden="1" customHeight="1" x14ac:dyDescent="0.25">
      <c r="A1587" s="36">
        <f>IF(ORCAMENTOS!A1595="","",ORCAMENTOS!A1595)</f>
        <v>45905</v>
      </c>
      <c r="B1587" s="46">
        <f>IF(ORCAMENTOS!B1595="","",ORCAMENTOS!B1595)</f>
        <v>1585</v>
      </c>
      <c r="C1587" s="46" t="str">
        <f>IF(ORCAMENTOS!C1595="","",ORCAMENTOS!C1595)</f>
        <v/>
      </c>
      <c r="D1587" s="37" t="str">
        <f>IF(ORCAMENTOS!D1595="","",ORCAMENTOS!D1595)</f>
        <v>ECOLOGIC AIR</v>
      </c>
      <c r="E1587" s="38" t="str">
        <f>IF(ORCAMENTOS!E1595="","",ORCAMENTOS!E1595)</f>
        <v>-</v>
      </c>
      <c r="F1587" s="37" t="str">
        <f>IF(ORCAMENTOS!G1595="","",ORCAMENTOS!G1595)</f>
        <v>Michel</v>
      </c>
      <c r="G1587" s="37" t="str">
        <f>IF(ORCAMENTOS!H1595="","",ORCAMENTOS!H1595)</f>
        <v>Vinicius</v>
      </c>
      <c r="H1587" s="39">
        <f>IF(ORCAMENTOS!I1595="","",ORCAMENTOS!I1595)</f>
        <v>1712.95</v>
      </c>
      <c r="I1587" s="60" t="str">
        <f>IF(ORCAMENTOS!J1595="","",ORCAMENTOS!J1595)</f>
        <v/>
      </c>
      <c r="J1587" s="40" t="str">
        <f>IF(ORCAMENTOS!L1595="","",ORCAMENTOS!L1595)</f>
        <v>FECHADO</v>
      </c>
      <c r="K1587" s="34" t="str">
        <f>IF(ORCAMENTOS!M1595="","",ORCAMENTOS!M1595)</f>
        <v>-</v>
      </c>
      <c r="L1587" t="str">
        <f>IF(ORCAMENTOS!R1595="","",ORCAMENTOS!R1595)</f>
        <v>-</v>
      </c>
    </row>
    <row r="1588" spans="1:12" ht="15.75" hidden="1" customHeight="1" x14ac:dyDescent="0.25">
      <c r="A1588" s="36">
        <f>IF(ORCAMENTOS!A1596="","",ORCAMENTOS!A1596)</f>
        <v>45905</v>
      </c>
      <c r="B1588" s="46">
        <f>IF(ORCAMENTOS!B1596="","",ORCAMENTOS!B1596)</f>
        <v>1586</v>
      </c>
      <c r="C1588" s="46" t="str">
        <f>IF(ORCAMENTOS!C1596="","",ORCAMENTOS!C1596)</f>
        <v/>
      </c>
      <c r="D1588" s="37" t="str">
        <f>IF(ORCAMENTOS!D1596="","",ORCAMENTOS!D1596)</f>
        <v>PU DUTOS</v>
      </c>
      <c r="E1588" s="38" t="str">
        <f>IF(ORCAMENTOS!E1596="","",ORCAMENTOS!E1596)</f>
        <v>RESIDENCIAL IBI ARAM II - SÃO PAULO - SP</v>
      </c>
      <c r="F1588" s="37" t="str">
        <f>IF(ORCAMENTOS!G1596="","",ORCAMENTOS!G1596)</f>
        <v>Gabriel</v>
      </c>
      <c r="G1588" s="37" t="str">
        <f>IF(ORCAMENTOS!H1596="","",ORCAMENTOS!H1596)</f>
        <v>Thiago</v>
      </c>
      <c r="H1588" s="39">
        <f>IF(ORCAMENTOS!I1596="","",ORCAMENTOS!I1596)</f>
        <v>8019.29</v>
      </c>
      <c r="I1588" s="60" t="str">
        <f>IF(ORCAMENTOS!J1596="","",ORCAMENTOS!J1596)</f>
        <v/>
      </c>
      <c r="J1588" s="40" t="str">
        <f>IF(ORCAMENTOS!L1596="","",ORCAMENTOS!L1596)</f>
        <v>CANCELADO</v>
      </c>
      <c r="K1588" s="34" t="str">
        <f>IF(ORCAMENTOS!M1596="","",ORCAMENTOS!M1596)</f>
        <v>-</v>
      </c>
      <c r="L1588" t="str">
        <f>IF(ORCAMENTOS!R1596="","",ORCAMENTOS!R1596)</f>
        <v>AVO GALVANIZADO</v>
      </c>
    </row>
    <row r="1589" spans="1:12" ht="15.75" hidden="1" customHeight="1" x14ac:dyDescent="0.25">
      <c r="A1589" s="36">
        <f>IF(ORCAMENTOS!A1597="","",ORCAMENTOS!A1597)</f>
        <v>45910</v>
      </c>
      <c r="B1589" s="46">
        <f>IF(ORCAMENTOS!B1597="","",ORCAMENTOS!B1597)</f>
        <v>1587</v>
      </c>
      <c r="C1589" s="46" t="str">
        <f>IF(ORCAMENTOS!C1597="","",ORCAMENTOS!C1597)</f>
        <v/>
      </c>
      <c r="D1589" s="37" t="str">
        <f>IF(ORCAMENTOS!D1597="","",ORCAMENTOS!D1597)</f>
        <v>TELMEC</v>
      </c>
      <c r="E1589" s="38" t="str">
        <f>IF(ORCAMENTOS!E1597="","",ORCAMENTOS!E1597)</f>
        <v>AEROPORTO INTERNACIONAL DE SÃO PAULO - GUARULHOS - SP - TERMINAL DE PASSAGEIROS</v>
      </c>
      <c r="F1589" s="37" t="str">
        <f>IF(ORCAMENTOS!G1597="","",ORCAMENTOS!G1597)</f>
        <v>Gabriel</v>
      </c>
      <c r="G1589" s="37" t="str">
        <f>IF(ORCAMENTOS!H1597="","",ORCAMENTOS!H1597)</f>
        <v>Emerson</v>
      </c>
      <c r="H1589" s="39">
        <f>IF(ORCAMENTOS!I1597="","",ORCAMENTOS!I1597)</f>
        <v>84911.69</v>
      </c>
      <c r="I1589" s="60" t="str">
        <f>IF(ORCAMENTOS!J1597="","",ORCAMENTOS!J1597)</f>
        <v/>
      </c>
      <c r="J1589" s="40" t="str">
        <f>IF(ORCAMENTOS!L1597="","",ORCAMENTOS!L1597)</f>
        <v>CANCELADO</v>
      </c>
      <c r="K1589" s="34" t="str">
        <f>IF(ORCAMENTOS!M1597="","",ORCAMENTOS!M1597)</f>
        <v>-</v>
      </c>
      <c r="L1589" t="str">
        <f>IF(ORCAMENTOS!R1597="","",ORCAMENTOS!R1597)</f>
        <v>-</v>
      </c>
    </row>
    <row r="1590" spans="1:12" ht="15.75" hidden="1" customHeight="1" x14ac:dyDescent="0.25">
      <c r="A1590" s="36">
        <f>IF(ORCAMENTOS!A1598="","",ORCAMENTOS!A1598)</f>
        <v>45910</v>
      </c>
      <c r="B1590" s="46">
        <f>IF(ORCAMENTOS!B1598="","",ORCAMENTOS!B1598)</f>
        <v>1588</v>
      </c>
      <c r="C1590" s="46" t="str">
        <f>IF(ORCAMENTOS!C1598="","",ORCAMENTOS!C1598)</f>
        <v/>
      </c>
      <c r="D1590" s="37" t="str">
        <f>IF(ORCAMENTOS!D1598="","",ORCAMENTOS!D1598)</f>
        <v>THERMOCOP</v>
      </c>
      <c r="E1590" s="38" t="str">
        <f>IF(ORCAMENTOS!E1598="","",ORCAMENTOS!E1598)</f>
        <v>-</v>
      </c>
      <c r="F1590" s="37" t="str">
        <f>IF(ORCAMENTOS!G1598="","",ORCAMENTOS!G1598)</f>
        <v xml:space="preserve">Aldavir </v>
      </c>
      <c r="G1590" s="37" t="str">
        <f>IF(ORCAMENTOS!H1598="","",ORCAMENTOS!H1598)</f>
        <v>-</v>
      </c>
      <c r="H1590" s="39" t="str">
        <f>IF(ORCAMENTOS!I1598="","",ORCAMENTOS!I1598)</f>
        <v>-</v>
      </c>
      <c r="I1590" s="60" t="str">
        <f>IF(ORCAMENTOS!J1598="","",ORCAMENTOS!J1598)</f>
        <v/>
      </c>
      <c r="J1590" s="40" t="str">
        <f>IF(ORCAMENTOS!L1598="","",ORCAMENTOS!L1598)</f>
        <v>CANCELADO</v>
      </c>
      <c r="K1590" s="34" t="str">
        <f>IF(ORCAMENTOS!M1598="","",ORCAMENTOS!M1598)</f>
        <v>-</v>
      </c>
      <c r="L1590" t="str">
        <f>IF(ORCAMENTOS!R1598="","",ORCAMENTOS!R1598)</f>
        <v>-</v>
      </c>
    </row>
    <row r="1591" spans="1:12" ht="15.75" hidden="1" customHeight="1" x14ac:dyDescent="0.25">
      <c r="A1591" s="36">
        <f>IF(ORCAMENTOS!A1599="","",ORCAMENTOS!A1599)</f>
        <v>45908</v>
      </c>
      <c r="B1591" s="46">
        <f>IF(ORCAMENTOS!B1599="","",ORCAMENTOS!B1599)</f>
        <v>1589</v>
      </c>
      <c r="C1591" s="46" t="str">
        <f>IF(ORCAMENTOS!C1599="","",ORCAMENTOS!C1599)</f>
        <v/>
      </c>
      <c r="D1591" s="37" t="str">
        <f>IF(ORCAMENTOS!D1599="","",ORCAMENTOS!D1599)</f>
        <v>ISOLEV</v>
      </c>
      <c r="E1591" s="38" t="str">
        <f>IF(ORCAMENTOS!E1599="","",ORCAMENTOS!E1599)</f>
        <v>CENTRO DE EVENTOS DE CARAPINA</v>
      </c>
      <c r="F1591" s="37" t="str">
        <f>IF(ORCAMENTOS!G1599="","",ORCAMENTOS!G1599)</f>
        <v>Michel</v>
      </c>
      <c r="G1591" s="37" t="str">
        <f>IF(ORCAMENTOS!H1599="","",ORCAMENTOS!H1599)</f>
        <v>Edson</v>
      </c>
      <c r="H1591" s="39">
        <f>IF(ORCAMENTOS!I1599="","",ORCAMENTOS!I1599)</f>
        <v>882010.3</v>
      </c>
      <c r="I1591" s="60" t="str">
        <f>IF(ORCAMENTOS!J1599="","",ORCAMENTOS!J1599)</f>
        <v/>
      </c>
      <c r="J1591" s="40" t="str">
        <f>IF(ORCAMENTOS!L1599="","",ORCAMENTOS!L1599)</f>
        <v>CANCELADO</v>
      </c>
      <c r="K1591" s="34" t="str">
        <f>IF(ORCAMENTOS!M1599="","",ORCAMENTOS!M1599)</f>
        <v>-</v>
      </c>
      <c r="L1591" t="str">
        <f>IF(ORCAMENTOS!R1599="","",ORCAMENTOS!R1599)</f>
        <v>-</v>
      </c>
    </row>
    <row r="1592" spans="1:12" ht="15.75" hidden="1" customHeight="1" x14ac:dyDescent="0.25">
      <c r="A1592" s="36">
        <f>IF(ORCAMENTOS!A1600="","",ORCAMENTOS!A1600)</f>
        <v>45908</v>
      </c>
      <c r="B1592" s="46">
        <f>IF(ORCAMENTOS!B1600="","",ORCAMENTOS!B1600)</f>
        <v>1590</v>
      </c>
      <c r="C1592" s="46" t="str">
        <f>IF(ORCAMENTOS!C1600="","",ORCAMENTOS!C1600)</f>
        <v/>
      </c>
      <c r="D1592" s="37" t="str">
        <f>IF(ORCAMENTOS!D1600="","",ORCAMENTOS!D1600)</f>
        <v>SO AR CLIMATIZACAO</v>
      </c>
      <c r="E1592" s="38" t="str">
        <f>IF(ORCAMENTOS!E1600="","",ORCAMENTOS!E1600)</f>
        <v>-</v>
      </c>
      <c r="F1592" s="37" t="str">
        <f>IF(ORCAMENTOS!G1600="","",ORCAMENTOS!G1600)</f>
        <v>Gabriel</v>
      </c>
      <c r="G1592" s="37" t="str">
        <f>IF(ORCAMENTOS!H1600="","",ORCAMENTOS!H1600)</f>
        <v>Gabriel</v>
      </c>
      <c r="H1592" s="39">
        <f>IF(ORCAMENTOS!I1600="","",ORCAMENTOS!I1600)</f>
        <v>1922.51</v>
      </c>
      <c r="I1592" s="60" t="str">
        <f>IF(ORCAMENTOS!J1600="","",ORCAMENTOS!J1600)</f>
        <v/>
      </c>
      <c r="J1592" s="40" t="str">
        <f>IF(ORCAMENTOS!L1600="","",ORCAMENTOS!L1600)</f>
        <v>CANCELADO</v>
      </c>
      <c r="K1592" s="34" t="str">
        <f>IF(ORCAMENTOS!M1600="","",ORCAMENTOS!M1600)</f>
        <v>-</v>
      </c>
      <c r="L1592" t="str">
        <f>IF(ORCAMENTOS!R1600="","",ORCAMENTOS!R1600)</f>
        <v>-</v>
      </c>
    </row>
    <row r="1593" spans="1:12" ht="15.75" hidden="1" customHeight="1" x14ac:dyDescent="0.25">
      <c r="A1593" s="36">
        <f>IF(ORCAMENTOS!A1601="","",ORCAMENTOS!A1601)</f>
        <v>45908</v>
      </c>
      <c r="B1593" s="46">
        <f>IF(ORCAMENTOS!B1601="","",ORCAMENTOS!B1601)</f>
        <v>1591</v>
      </c>
      <c r="C1593" s="46" t="str">
        <f>IF(ORCAMENTOS!C1601="","",ORCAMENTOS!C1601)</f>
        <v/>
      </c>
      <c r="D1593" s="37" t="str">
        <f>IF(ORCAMENTOS!D1601="","",ORCAMENTOS!D1601)</f>
        <v>AIRPLAN</v>
      </c>
      <c r="E1593" s="38" t="str">
        <f>IF(ORCAMENTOS!E1601="","",ORCAMENTOS!E1601)</f>
        <v>ACADEMIA GAVIOES - SANTOS DUMONT FORTALEZA</v>
      </c>
      <c r="F1593" s="37" t="str">
        <f>IF(ORCAMENTOS!G1601="","",ORCAMENTOS!G1601)</f>
        <v>Guilherme</v>
      </c>
      <c r="G1593" s="37" t="str">
        <f>IF(ORCAMENTOS!H1601="","",ORCAMENTOS!H1601)</f>
        <v>Laercio</v>
      </c>
      <c r="H1593" s="39">
        <f>IF(ORCAMENTOS!I1601="","",ORCAMENTOS!I1601)</f>
        <v>71580.59</v>
      </c>
      <c r="I1593" s="60" t="str">
        <f>IF(ORCAMENTOS!J1601="","",ORCAMENTOS!J1601)</f>
        <v/>
      </c>
      <c r="J1593" s="40" t="str">
        <f>IF(ORCAMENTOS!L1601="","",ORCAMENTOS!L1601)</f>
        <v>FECHADO</v>
      </c>
      <c r="K1593" s="34" t="str">
        <f>IF(ORCAMENTOS!M1601="","",ORCAMENTOS!M1601)</f>
        <v>AGUARDANDO PEDIDO</v>
      </c>
      <c r="L1593" t="str">
        <f>IF(ORCAMENTOS!R1601="","",ORCAMENTOS!R1601)</f>
        <v>MPU</v>
      </c>
    </row>
    <row r="1594" spans="1:12" ht="15.75" hidden="1" customHeight="1" x14ac:dyDescent="0.25">
      <c r="A1594" s="36">
        <f>IF(ORCAMENTOS!A1602="","",ORCAMENTOS!A1602)</f>
        <v>45908</v>
      </c>
      <c r="B1594" s="46">
        <f>IF(ORCAMENTOS!B1602="","",ORCAMENTOS!B1602)</f>
        <v>1592</v>
      </c>
      <c r="C1594" s="46" t="str">
        <f>IF(ORCAMENTOS!C1602="","",ORCAMENTOS!C1602)</f>
        <v/>
      </c>
      <c r="D1594" s="37" t="str">
        <f>IF(ORCAMENTOS!D1602="","",ORCAMENTOS!D1602)</f>
        <v>AIRPLAN</v>
      </c>
      <c r="E1594" s="38" t="str">
        <f>IF(ORCAMENTOS!E1602="","",ORCAMENTOS!E1602)</f>
        <v>ACADEMIA GAVIOES - MONDUBIM - CE</v>
      </c>
      <c r="F1594" s="37" t="str">
        <f>IF(ORCAMENTOS!G1602="","",ORCAMENTOS!G1602)</f>
        <v>Guilherme</v>
      </c>
      <c r="G1594" s="37" t="str">
        <f>IF(ORCAMENTOS!H1602="","",ORCAMENTOS!H1602)</f>
        <v>Laercio</v>
      </c>
      <c r="H1594" s="39">
        <f>IF(ORCAMENTOS!I1602="","",ORCAMENTOS!I1602)</f>
        <v>56698.25</v>
      </c>
      <c r="I1594" s="60" t="str">
        <f>IF(ORCAMENTOS!J1602="","",ORCAMENTOS!J1602)</f>
        <v/>
      </c>
      <c r="J1594" s="40" t="str">
        <f>IF(ORCAMENTOS!L1602="","",ORCAMENTOS!L1602)</f>
        <v>FECHADO</v>
      </c>
      <c r="K1594" s="34" t="str">
        <f>IF(ORCAMENTOS!M1602="","",ORCAMENTOS!M1602)</f>
        <v>AGUARDANDO PEDIDO</v>
      </c>
      <c r="L1594" t="str">
        <f>IF(ORCAMENTOS!R1602="","",ORCAMENTOS!R1602)</f>
        <v>MPU</v>
      </c>
    </row>
    <row r="1595" spans="1:12" ht="15.75" hidden="1" customHeight="1" x14ac:dyDescent="0.25">
      <c r="A1595" s="36">
        <f>IF(ORCAMENTOS!A1603="","",ORCAMENTOS!A1603)</f>
        <v>45908</v>
      </c>
      <c r="B1595" s="46">
        <f>IF(ORCAMENTOS!B1603="","",ORCAMENTOS!B1603)</f>
        <v>1593</v>
      </c>
      <c r="C1595" s="46" t="str">
        <f>IF(ORCAMENTOS!C1603="","",ORCAMENTOS!C1603)</f>
        <v/>
      </c>
      <c r="D1595" s="37" t="str">
        <f>IF(ORCAMENTOS!D1603="","",ORCAMENTOS!D1603)</f>
        <v>EXPANSAO AR</v>
      </c>
      <c r="E1595" s="38" t="str">
        <f>IF(ORCAMENTOS!E1603="","",ORCAMENTOS!E1603)</f>
        <v>TJMG - TRIBUNAL DE JUSTICA DO ESTADO DE MINAS GERAIS</v>
      </c>
      <c r="F1595" s="37" t="str">
        <f>IF(ORCAMENTOS!G1603="","",ORCAMENTOS!G1603)</f>
        <v>Gabriel</v>
      </c>
      <c r="G1595" s="37" t="str">
        <f>IF(ORCAMENTOS!H1603="","",ORCAMENTOS!H1603)</f>
        <v>Natanael</v>
      </c>
      <c r="H1595" s="39">
        <f>IF(ORCAMENTOS!I1603="","",ORCAMENTOS!I1603)</f>
        <v>30243.03</v>
      </c>
      <c r="I1595" s="60" t="str">
        <f>IF(ORCAMENTOS!J1603="","",ORCAMENTOS!J1603)</f>
        <v/>
      </c>
      <c r="J1595" s="40" t="str">
        <f>IF(ORCAMENTOS!L1603="","",ORCAMENTOS!L1603)</f>
        <v>CANCELADO</v>
      </c>
      <c r="K1595" s="34" t="str">
        <f>IF(ORCAMENTOS!M1603="","",ORCAMENTOS!M1603)</f>
        <v>-</v>
      </c>
      <c r="L1595" t="str">
        <f>IF(ORCAMENTOS!R1603="","",ORCAMENTOS!R1603)</f>
        <v>N/E</v>
      </c>
    </row>
    <row r="1596" spans="1:12" ht="15.75" hidden="1" customHeight="1" x14ac:dyDescent="0.25">
      <c r="A1596" s="36">
        <f>IF(ORCAMENTOS!A1604="","",ORCAMENTOS!A1604)</f>
        <v>45908</v>
      </c>
      <c r="B1596" s="46">
        <f>IF(ORCAMENTOS!B1604="","",ORCAMENTOS!B1604)</f>
        <v>1594</v>
      </c>
      <c r="C1596" s="46" t="str">
        <f>IF(ORCAMENTOS!C1604="","",ORCAMENTOS!C1604)</f>
        <v/>
      </c>
      <c r="D1596" s="37" t="str">
        <f>IF(ORCAMENTOS!D1604="","",ORCAMENTOS!D1604)</f>
        <v>PROGERAR</v>
      </c>
      <c r="E1596" s="38" t="str">
        <f>IF(ORCAMENTOS!E1604="","",ORCAMENTOS!E1604)</f>
        <v>-</v>
      </c>
      <c r="F1596" s="37" t="str">
        <f>IF(ORCAMENTOS!G1604="","",ORCAMENTOS!G1604)</f>
        <v>Michel</v>
      </c>
      <c r="G1596" s="37" t="str">
        <f>IF(ORCAMENTOS!H1604="","",ORCAMENTOS!H1604)</f>
        <v>Paulo</v>
      </c>
      <c r="H1596" s="39">
        <f>IF(ORCAMENTOS!I1604="","",ORCAMENTOS!I1604)</f>
        <v>104090.27</v>
      </c>
      <c r="I1596" s="60" t="str">
        <f>IF(ORCAMENTOS!J1604="","",ORCAMENTOS!J1604)</f>
        <v/>
      </c>
      <c r="J1596" s="40" t="str">
        <f>IF(ORCAMENTOS!L1604="","",ORCAMENTOS!L1604)</f>
        <v>CANCELADO</v>
      </c>
      <c r="K1596" s="34" t="str">
        <f>IF(ORCAMENTOS!M1604="","",ORCAMENTOS!M1604)</f>
        <v>-</v>
      </c>
      <c r="L1596" t="str">
        <f>IF(ORCAMENTOS!R1604="","",ORCAMENTOS!R1604)</f>
        <v>-</v>
      </c>
    </row>
    <row r="1597" spans="1:12" ht="15.75" hidden="1" customHeight="1" x14ac:dyDescent="0.25">
      <c r="A1597" s="36">
        <f>IF(ORCAMENTOS!A1605="","",ORCAMENTOS!A1605)</f>
        <v>45910</v>
      </c>
      <c r="B1597" s="46">
        <f>IF(ORCAMENTOS!B1605="","",ORCAMENTOS!B1605)</f>
        <v>1595</v>
      </c>
      <c r="C1597" s="46" t="str">
        <f>IF(ORCAMENTOS!C1605="","",ORCAMENTOS!C1605)</f>
        <v/>
      </c>
      <c r="D1597" s="37" t="str">
        <f>IF(ORCAMENTOS!D1605="","",ORCAMENTOS!D1605)</f>
        <v>KONAR</v>
      </c>
      <c r="E1597" s="38" t="str">
        <f>IF(ORCAMENTOS!E1605="","",ORCAMENTOS!E1605)</f>
        <v>Silvio Romero</v>
      </c>
      <c r="F1597" s="37" t="str">
        <f>IF(ORCAMENTOS!G1605="","",ORCAMENTOS!G1605)</f>
        <v>Michel</v>
      </c>
      <c r="G1597" s="37" t="str">
        <f>IF(ORCAMENTOS!H1605="","",ORCAMENTOS!H1605)</f>
        <v>Fabio</v>
      </c>
      <c r="H1597" s="39">
        <f>IF(ORCAMENTOS!I1605="","",ORCAMENTOS!I1605)</f>
        <v>57684.81</v>
      </c>
      <c r="I1597" s="60" t="str">
        <f>IF(ORCAMENTOS!J1605="","",ORCAMENTOS!J1605)</f>
        <v/>
      </c>
      <c r="J1597" s="40" t="str">
        <f>IF(ORCAMENTOS!L1605="","",ORCAMENTOS!L1605)</f>
        <v>FECHADO</v>
      </c>
      <c r="K1597" s="34" t="str">
        <f>IF(ORCAMENTOS!M1605="","",ORCAMENTOS!M1605)</f>
        <v>-</v>
      </c>
      <c r="L1597" t="str">
        <f>IF(ORCAMENTOS!R1605="","",ORCAMENTOS!R1605)</f>
        <v>-</v>
      </c>
    </row>
    <row r="1598" spans="1:12" ht="15.75" hidden="1" customHeight="1" x14ac:dyDescent="0.25">
      <c r="A1598" s="36">
        <f>IF(ORCAMENTOS!A1606="","",ORCAMENTOS!A1606)</f>
        <v>45908</v>
      </c>
      <c r="B1598" s="46">
        <f>IF(ORCAMENTOS!B1606="","",ORCAMENTOS!B1606)</f>
        <v>1596</v>
      </c>
      <c r="C1598" s="46" t="str">
        <f>IF(ORCAMENTOS!C1606="","",ORCAMENTOS!C1606)</f>
        <v/>
      </c>
      <c r="D1598" s="37" t="str">
        <f>IF(ORCAMENTOS!D1606="","",ORCAMENTOS!D1606)</f>
        <v>RM3 ENGENHARIA</v>
      </c>
      <c r="E1598" s="38" t="str">
        <f>IF(ORCAMENTOS!E1606="","",ORCAMENTOS!E1606)</f>
        <v>EDIFICIO DE DIAGNOSTICO E TRATAMENTO MEDICO - CAPIVARI - SP</v>
      </c>
      <c r="F1598" s="37" t="str">
        <f>IF(ORCAMENTOS!G1606="","",ORCAMENTOS!G1606)</f>
        <v>Guilherme</v>
      </c>
      <c r="G1598" s="37" t="str">
        <f>IF(ORCAMENTOS!H1606="","",ORCAMENTOS!H1606)</f>
        <v>Diego</v>
      </c>
      <c r="H1598" s="39">
        <f>IF(ORCAMENTOS!I1606="","",ORCAMENTOS!I1606)</f>
        <v>40003.65</v>
      </c>
      <c r="I1598" s="60" t="str">
        <f>IF(ORCAMENTOS!J1606="","",ORCAMENTOS!J1606)</f>
        <v/>
      </c>
      <c r="J1598" s="40" t="str">
        <f>IF(ORCAMENTOS!L1606="","",ORCAMENTOS!L1606)</f>
        <v>CANCELADO</v>
      </c>
      <c r="K1598" s="34" t="str">
        <f>IF(ORCAMENTOS!M1606="","",ORCAMENTOS!M1606)</f>
        <v>-</v>
      </c>
      <c r="L1598" t="str">
        <f>IF(ORCAMENTOS!R1606="","",ORCAMENTOS!R1606)</f>
        <v>-</v>
      </c>
    </row>
    <row r="1599" spans="1:12" ht="15.75" hidden="1" customHeight="1" x14ac:dyDescent="0.25">
      <c r="A1599" s="36">
        <f>IF(ORCAMENTOS!A1607="","",ORCAMENTOS!A1607)</f>
        <v>45908</v>
      </c>
      <c r="B1599" s="46">
        <f>IF(ORCAMENTOS!B1607="","",ORCAMENTOS!B1607)</f>
        <v>1597</v>
      </c>
      <c r="C1599" s="46" t="str">
        <f>IF(ORCAMENTOS!C1607="","",ORCAMENTOS!C1607)</f>
        <v/>
      </c>
      <c r="D1599" s="37" t="str">
        <f>IF(ORCAMENTOS!D1607="","",ORCAMENTOS!D1607)</f>
        <v>AIR NET</v>
      </c>
      <c r="E1599" s="38" t="str">
        <f>IF(ORCAMENTOS!E1607="","",ORCAMENTOS!E1607)</f>
        <v>-</v>
      </c>
      <c r="F1599" s="37" t="str">
        <f>IF(ORCAMENTOS!G1607="","",ORCAMENTOS!G1607)</f>
        <v>Fernando</v>
      </c>
      <c r="G1599" s="37" t="str">
        <f>IF(ORCAMENTOS!H1607="","",ORCAMENTOS!H1607)</f>
        <v>Thiago</v>
      </c>
      <c r="H1599" s="39">
        <f>IF(ORCAMENTOS!I1607="","",ORCAMENTOS!I1607)</f>
        <v>6052.1</v>
      </c>
      <c r="I1599" s="60" t="str">
        <f>IF(ORCAMENTOS!J1607="","",ORCAMENTOS!J1607)</f>
        <v/>
      </c>
      <c r="J1599" s="40" t="str">
        <f>IF(ORCAMENTOS!L1607="","",ORCAMENTOS!L1607)</f>
        <v>CANCELADO</v>
      </c>
      <c r="K1599" s="34" t="str">
        <f>IF(ORCAMENTOS!M1607="","",ORCAMENTOS!M1607)</f>
        <v>-</v>
      </c>
      <c r="L1599" t="str">
        <f>IF(ORCAMENTOS!R1607="","",ORCAMENTOS!R1607)</f>
        <v>-</v>
      </c>
    </row>
    <row r="1600" spans="1:12" ht="15.75" hidden="1" customHeight="1" x14ac:dyDescent="0.25">
      <c r="A1600" s="36">
        <f>IF(ORCAMENTOS!A1608="","",ORCAMENTOS!A1608)</f>
        <v>45909</v>
      </c>
      <c r="B1600" s="46">
        <f>IF(ORCAMENTOS!B1608="","",ORCAMENTOS!B1608)</f>
        <v>1598</v>
      </c>
      <c r="C1600" s="46" t="str">
        <f>IF(ORCAMENTOS!C1608="","",ORCAMENTOS!C1608)</f>
        <v/>
      </c>
      <c r="D1600" s="37" t="str">
        <f>IF(ORCAMENTOS!D1608="","",ORCAMENTOS!D1608)</f>
        <v>COLD CONTROL</v>
      </c>
      <c r="E1600" s="38" t="str">
        <f>IF(ORCAMENTOS!E1608="","",ORCAMENTOS!E1608)</f>
        <v>AMCHAM</v>
      </c>
      <c r="F1600" s="37" t="str">
        <f>IF(ORCAMENTOS!G1608="","",ORCAMENTOS!G1608)</f>
        <v>Emanuel</v>
      </c>
      <c r="G1600" s="37" t="str">
        <f>IF(ORCAMENTOS!H1608="","",ORCAMENTOS!H1608)</f>
        <v>Armando</v>
      </c>
      <c r="H1600" s="39">
        <f>IF(ORCAMENTOS!I1608="","",ORCAMENTOS!I1608)</f>
        <v>1453.28</v>
      </c>
      <c r="I1600" s="60" t="str">
        <f>IF(ORCAMENTOS!J1608="","",ORCAMENTOS!J1608)</f>
        <v/>
      </c>
      <c r="J1600" s="40" t="str">
        <f>IF(ORCAMENTOS!L1608="","",ORCAMENTOS!L1608)</f>
        <v>PERDIDO</v>
      </c>
      <c r="K1600" s="34" t="str">
        <f>IF(ORCAMENTOS!M1608="","",ORCAMENTOS!M1608)</f>
        <v>MULTIVAC - PRAZO</v>
      </c>
      <c r="L1600" t="str">
        <f>IF(ORCAMENTOS!R1608="","",ORCAMENTOS!R1608)</f>
        <v>-</v>
      </c>
    </row>
    <row r="1601" spans="1:12" ht="15.75" hidden="1" customHeight="1" x14ac:dyDescent="0.25">
      <c r="A1601" s="36">
        <f>IF(ORCAMENTOS!A1609="","",ORCAMENTOS!A1609)</f>
        <v>45910</v>
      </c>
      <c r="B1601" s="46">
        <f>IF(ORCAMENTOS!B1609="","",ORCAMENTOS!B1609)</f>
        <v>1599</v>
      </c>
      <c r="C1601" s="46" t="str">
        <f>IF(ORCAMENTOS!C1609="","",ORCAMENTOS!C1609)</f>
        <v/>
      </c>
      <c r="D1601" s="37" t="str">
        <f>IF(ORCAMENTOS!D1609="","",ORCAMENTOS!D1609)</f>
        <v>PRODAC</v>
      </c>
      <c r="E1601" s="38" t="str">
        <f>IF(ORCAMENTOS!E1609="","",ORCAMENTOS!E1609)</f>
        <v>Hospital DF Star II Brasilia</v>
      </c>
      <c r="F1601" s="37" t="str">
        <f>IF(ORCAMENTOS!G1609="","",ORCAMENTOS!G1609)</f>
        <v>Fernando</v>
      </c>
      <c r="G1601" s="37" t="str">
        <f>IF(ORCAMENTOS!H1609="","",ORCAMENTOS!H1609)</f>
        <v>Luiz</v>
      </c>
      <c r="H1601" s="39">
        <f>IF(ORCAMENTOS!I1609="","",ORCAMENTOS!I1609)</f>
        <v>51551.45</v>
      </c>
      <c r="I1601" s="60" t="str">
        <f>IF(ORCAMENTOS!J1609="","",ORCAMENTOS!J1609)</f>
        <v/>
      </c>
      <c r="J1601" s="40" t="str">
        <f>IF(ORCAMENTOS!L1609="","",ORCAMENTOS!L1609)</f>
        <v>FECHADO</v>
      </c>
      <c r="K1601" s="34" t="str">
        <f>IF(ORCAMENTOS!M1609="","",ORCAMENTOS!M1609)</f>
        <v>-</v>
      </c>
      <c r="L1601" t="str">
        <f>IF(ORCAMENTOS!R1609="","",ORCAMENTOS!R1609)</f>
        <v>-</v>
      </c>
    </row>
    <row r="1602" spans="1:12" ht="15.75" hidden="1" customHeight="1" x14ac:dyDescent="0.25">
      <c r="A1602" s="36">
        <f>IF(ORCAMENTOS!A1610="","",ORCAMENTOS!A1610)</f>
        <v>45909</v>
      </c>
      <c r="B1602" s="46">
        <f>IF(ORCAMENTOS!B1610="","",ORCAMENTOS!B1610)</f>
        <v>1600</v>
      </c>
      <c r="C1602" s="46" t="str">
        <f>IF(ORCAMENTOS!C1610="","",ORCAMENTOS!C1610)</f>
        <v/>
      </c>
      <c r="D1602" s="37" t="str">
        <f>IF(ORCAMENTOS!D1610="","",ORCAMENTOS!D1610)</f>
        <v>COLDTERMICA</v>
      </c>
      <c r="E1602" s="38" t="str">
        <f>IF(ORCAMENTOS!E1610="","",ORCAMENTOS!E1610)</f>
        <v>Renner Peixoto - SE</v>
      </c>
      <c r="F1602" s="37" t="str">
        <f>IF(ORCAMENTOS!G1610="","",ORCAMENTOS!G1610)</f>
        <v>Gabriel</v>
      </c>
      <c r="G1602" s="37" t="str">
        <f>IF(ORCAMENTOS!H1610="","",ORCAMENTOS!H1610)</f>
        <v>Denis</v>
      </c>
      <c r="H1602" s="39">
        <f>IF(ORCAMENTOS!I1610="","",ORCAMENTOS!I1610)</f>
        <v>60887.11</v>
      </c>
      <c r="I1602" s="60" t="str">
        <f>IF(ORCAMENTOS!J1610="","",ORCAMENTOS!J1610)</f>
        <v/>
      </c>
      <c r="J1602" s="40" t="str">
        <f>IF(ORCAMENTOS!L1610="","",ORCAMENTOS!L1610)</f>
        <v>PERDIDO</v>
      </c>
      <c r="K1602" s="34" t="str">
        <f>IF(ORCAMENTOS!M1610="","",ORCAMENTOS!M1610)</f>
        <v>MULTIVAC - PREFERÊNCIA</v>
      </c>
      <c r="L1602" t="str">
        <f>IF(ORCAMENTOS!R1610="","",ORCAMENTOS!R1610)</f>
        <v>-</v>
      </c>
    </row>
    <row r="1603" spans="1:12" ht="15.75" hidden="1" customHeight="1" x14ac:dyDescent="0.25">
      <c r="A1603" s="36">
        <f>IF(ORCAMENTOS!A1611="","",ORCAMENTOS!A1611)</f>
        <v>45909</v>
      </c>
      <c r="B1603" s="46">
        <f>IF(ORCAMENTOS!B1611="","",ORCAMENTOS!B1611)</f>
        <v>1601</v>
      </c>
      <c r="C1603" s="46" t="str">
        <f>IF(ORCAMENTOS!C1611="","",ORCAMENTOS!C1611)</f>
        <v/>
      </c>
      <c r="D1603" s="37" t="str">
        <f>IF(ORCAMENTOS!D1611="","",ORCAMENTOS!D1611)</f>
        <v>SENSCO</v>
      </c>
      <c r="E1603" s="38" t="str">
        <f>IF(ORCAMENTOS!E1611="","",ORCAMENTOS!E1611)</f>
        <v>-</v>
      </c>
      <c r="F1603" s="37" t="str">
        <f>IF(ORCAMENTOS!G1611="","",ORCAMENTOS!G1611)</f>
        <v>Michel</v>
      </c>
      <c r="G1603" s="37" t="str">
        <f>IF(ORCAMENTOS!H1611="","",ORCAMENTOS!H1611)</f>
        <v>Gardner</v>
      </c>
      <c r="H1603" s="39">
        <f>IF(ORCAMENTOS!I1611="","",ORCAMENTOS!I1611)</f>
        <v>4365</v>
      </c>
      <c r="I1603" s="60" t="str">
        <f>IF(ORCAMENTOS!J1611="","",ORCAMENTOS!J1611)</f>
        <v/>
      </c>
      <c r="J1603" s="40" t="str">
        <f>IF(ORCAMENTOS!L1611="","",ORCAMENTOS!L1611)</f>
        <v>CANCELADO</v>
      </c>
      <c r="K1603" s="34" t="str">
        <f>IF(ORCAMENTOS!M1611="","",ORCAMENTOS!M1611)</f>
        <v>-</v>
      </c>
      <c r="L1603" t="str">
        <f>IF(ORCAMENTOS!R1611="","",ORCAMENTOS!R1611)</f>
        <v>-</v>
      </c>
    </row>
    <row r="1604" spans="1:12" ht="15.75" hidden="1" customHeight="1" x14ac:dyDescent="0.25">
      <c r="A1604" s="36">
        <f>IF(ORCAMENTOS!A1612="","",ORCAMENTOS!A1612)</f>
        <v>45909</v>
      </c>
      <c r="B1604" s="46">
        <f>IF(ORCAMENTOS!B1612="","",ORCAMENTOS!B1612)</f>
        <v>1602</v>
      </c>
      <c r="C1604" s="46" t="str">
        <f>IF(ORCAMENTOS!C1612="","",ORCAMENTOS!C1612)</f>
        <v/>
      </c>
      <c r="D1604" s="37" t="str">
        <f>IF(ORCAMENTOS!D1612="","",ORCAMENTOS!D1612)</f>
        <v>PRODAC</v>
      </c>
      <c r="E1604" s="38" t="str">
        <f>IF(ORCAMENTOS!E1612="","",ORCAMENTOS!E1612)</f>
        <v>-</v>
      </c>
      <c r="F1604" s="37" t="str">
        <f>IF(ORCAMENTOS!G1612="","",ORCAMENTOS!G1612)</f>
        <v>Fernando</v>
      </c>
      <c r="G1604" s="37" t="str">
        <f>IF(ORCAMENTOS!H1612="","",ORCAMENTOS!H1612)</f>
        <v>Luiz</v>
      </c>
      <c r="H1604" s="39">
        <f>IF(ORCAMENTOS!I1612="","",ORCAMENTOS!I1612)</f>
        <v>2079.37</v>
      </c>
      <c r="I1604" s="60" t="str">
        <f>IF(ORCAMENTOS!J1612="","",ORCAMENTOS!J1612)</f>
        <v/>
      </c>
      <c r="J1604" s="40" t="str">
        <f>IF(ORCAMENTOS!L1612="","",ORCAMENTOS!L1612)</f>
        <v>FECHADO</v>
      </c>
      <c r="K1604" s="34" t="str">
        <f>IF(ORCAMENTOS!M1612="","",ORCAMENTOS!M1612)</f>
        <v>-</v>
      </c>
      <c r="L1604" t="str">
        <f>IF(ORCAMENTOS!R1612="","",ORCAMENTOS!R1612)</f>
        <v>-</v>
      </c>
    </row>
    <row r="1605" spans="1:12" ht="15.75" hidden="1" customHeight="1" x14ac:dyDescent="0.25">
      <c r="A1605" s="36">
        <f>IF(ORCAMENTOS!A1613="","",ORCAMENTOS!A1613)</f>
        <v>45910</v>
      </c>
      <c r="B1605" s="46">
        <f>IF(ORCAMENTOS!B1613="","",ORCAMENTOS!B1613)</f>
        <v>1603</v>
      </c>
      <c r="C1605" s="46" t="str">
        <f>IF(ORCAMENTOS!C1613="","",ORCAMENTOS!C1613)</f>
        <v/>
      </c>
      <c r="D1605" s="37" t="str">
        <f>IF(ORCAMENTOS!D1613="","",ORCAMENTOS!D1613)</f>
        <v>AIR NET</v>
      </c>
      <c r="E1605" s="38" t="str">
        <f>IF(ORCAMENTOS!E1613="","",ORCAMENTOS!E1613)</f>
        <v>TAUSTE</v>
      </c>
      <c r="F1605" s="37" t="str">
        <f>IF(ORCAMENTOS!G1613="","",ORCAMENTOS!G1613)</f>
        <v>Fernando</v>
      </c>
      <c r="G1605" s="37" t="str">
        <f>IF(ORCAMENTOS!H1613="","",ORCAMENTOS!H1613)</f>
        <v>Fernando</v>
      </c>
      <c r="H1605" s="39">
        <f>IF(ORCAMENTOS!I1613="","",ORCAMENTOS!I1613)</f>
        <v>7172.16</v>
      </c>
      <c r="I1605" s="60" t="str">
        <f>IF(ORCAMENTOS!J1613="","",ORCAMENTOS!J1613)</f>
        <v/>
      </c>
      <c r="J1605" s="40" t="str">
        <f>IF(ORCAMENTOS!L1613="","",ORCAMENTOS!L1613)</f>
        <v>CANCELADO</v>
      </c>
      <c r="K1605" s="34" t="str">
        <f>IF(ORCAMENTOS!M1613="","",ORCAMENTOS!M1613)</f>
        <v>PREV. NOVEMBRO</v>
      </c>
      <c r="L1605" t="str">
        <f>IF(ORCAMENTOS!R1613="","",ORCAMENTOS!R1613)</f>
        <v>-</v>
      </c>
    </row>
    <row r="1606" spans="1:12" ht="15.75" hidden="1" customHeight="1" x14ac:dyDescent="0.25">
      <c r="A1606" s="36">
        <f>IF(ORCAMENTOS!A1614="","",ORCAMENTOS!A1614)</f>
        <v>45910</v>
      </c>
      <c r="B1606" s="46">
        <f>IF(ORCAMENTOS!B1614="","",ORCAMENTOS!B1614)</f>
        <v>1604</v>
      </c>
      <c r="C1606" s="46" t="str">
        <f>IF(ORCAMENTOS!C1614="","",ORCAMENTOS!C1614)</f>
        <v/>
      </c>
      <c r="D1606" s="37" t="str">
        <f>IF(ORCAMENTOS!D1614="","",ORCAMENTOS!D1614)</f>
        <v>REFRIARTEC</v>
      </c>
      <c r="E1606" s="38" t="str">
        <f>IF(ORCAMENTOS!E1614="","",ORCAMENTOS!E1614)</f>
        <v>-</v>
      </c>
      <c r="F1606" s="37" t="str">
        <f>IF(ORCAMENTOS!G1614="","",ORCAMENTOS!G1614)</f>
        <v>Gabriel</v>
      </c>
      <c r="G1606" s="37" t="str">
        <f>IF(ORCAMENTOS!H1614="","",ORCAMENTOS!H1614)</f>
        <v>Neusa</v>
      </c>
      <c r="H1606" s="39">
        <f>IF(ORCAMENTOS!I1614="","",ORCAMENTOS!I1614)</f>
        <v>3163.79</v>
      </c>
      <c r="I1606" s="60" t="str">
        <f>IF(ORCAMENTOS!J1614="","",ORCAMENTOS!J1614)</f>
        <v/>
      </c>
      <c r="J1606" s="40" t="str">
        <f>IF(ORCAMENTOS!L1614="","",ORCAMENTOS!L1614)</f>
        <v>CANCELADO</v>
      </c>
      <c r="K1606" s="34" t="str">
        <f>IF(ORCAMENTOS!M1614="","",ORCAMENTOS!M1614)</f>
        <v>-</v>
      </c>
      <c r="L1606" t="str">
        <f>IF(ORCAMENTOS!R1614="","",ORCAMENTOS!R1614)</f>
        <v>-</v>
      </c>
    </row>
    <row r="1607" spans="1:12" ht="15.75" hidden="1" customHeight="1" x14ac:dyDescent="0.25">
      <c r="A1607" s="36">
        <f>IF(ORCAMENTOS!A1615="","",ORCAMENTOS!A1615)</f>
        <v>45910</v>
      </c>
      <c r="B1607" s="46">
        <f>IF(ORCAMENTOS!B1615="","",ORCAMENTOS!B1615)</f>
        <v>1605</v>
      </c>
      <c r="C1607" s="46" t="str">
        <f>IF(ORCAMENTOS!C1615="","",ORCAMENTOS!C1615)</f>
        <v/>
      </c>
      <c r="D1607" s="37" t="str">
        <f>IF(ORCAMENTOS!D1615="","",ORCAMENTOS!D1615)</f>
        <v>PU DUTOS</v>
      </c>
      <c r="E1607" s="38" t="str">
        <f>IF(ORCAMENTOS!E1615="","",ORCAMENTOS!E1615)</f>
        <v>-</v>
      </c>
      <c r="F1607" s="37" t="str">
        <f>IF(ORCAMENTOS!G1615="","",ORCAMENTOS!G1615)</f>
        <v>Gabriel</v>
      </c>
      <c r="G1607" s="37" t="str">
        <f>IF(ORCAMENTOS!H1615="","",ORCAMENTOS!H1615)</f>
        <v>Thiago</v>
      </c>
      <c r="H1607" s="39">
        <f>IF(ORCAMENTOS!I1615="","",ORCAMENTOS!I1615)</f>
        <v>20214.12</v>
      </c>
      <c r="I1607" s="60" t="str">
        <f>IF(ORCAMENTOS!J1615="","",ORCAMENTOS!J1615)</f>
        <v/>
      </c>
      <c r="J1607" s="40" t="str">
        <f>IF(ORCAMENTOS!L1615="","",ORCAMENTOS!L1615)</f>
        <v>CANCELADO</v>
      </c>
      <c r="K1607" s="34" t="str">
        <f>IF(ORCAMENTOS!M1615="","",ORCAMENTOS!M1615)</f>
        <v>-</v>
      </c>
      <c r="L1607" t="str">
        <f>IF(ORCAMENTOS!R1615="","",ORCAMENTOS!R1615)</f>
        <v>-</v>
      </c>
    </row>
    <row r="1608" spans="1:12" ht="15.75" hidden="1" customHeight="1" x14ac:dyDescent="0.25">
      <c r="A1608" s="36">
        <f>IF(ORCAMENTOS!A1616="","",ORCAMENTOS!A1616)</f>
        <v>45910</v>
      </c>
      <c r="B1608" s="46">
        <f>IF(ORCAMENTOS!B1616="","",ORCAMENTOS!B1616)</f>
        <v>1606</v>
      </c>
      <c r="C1608" s="46" t="str">
        <f>IF(ORCAMENTOS!C1616="","",ORCAMENTOS!C1616)</f>
        <v/>
      </c>
      <c r="D1608" s="37" t="str">
        <f>IF(ORCAMENTOS!D1616="","",ORCAMENTOS!D1616)</f>
        <v>CONTROLE CLIMA</v>
      </c>
      <c r="E1608" s="38" t="str">
        <f>IF(ORCAMENTOS!E1616="","",ORCAMENTOS!E1616)</f>
        <v>-</v>
      </c>
      <c r="F1608" s="37" t="str">
        <f>IF(ORCAMENTOS!G1616="","",ORCAMENTOS!G1616)</f>
        <v>Emanuel</v>
      </c>
      <c r="G1608" s="37" t="str">
        <f>IF(ORCAMENTOS!H1616="","",ORCAMENTOS!H1616)</f>
        <v>Kleverson</v>
      </c>
      <c r="H1608" s="39">
        <f>IF(ORCAMENTOS!I1616="","",ORCAMENTOS!I1616)</f>
        <v>29981.71</v>
      </c>
      <c r="I1608" s="60" t="str">
        <f>IF(ORCAMENTOS!J1616="","",ORCAMENTOS!J1616)</f>
        <v/>
      </c>
      <c r="J1608" s="40" t="str">
        <f>IF(ORCAMENTOS!L1616="","",ORCAMENTOS!L1616)</f>
        <v>FECHADO</v>
      </c>
      <c r="K1608" s="34" t="str">
        <f>IF(ORCAMENTOS!M1616="","",ORCAMENTOS!M1616)</f>
        <v>-</v>
      </c>
      <c r="L1608" t="str">
        <f>IF(ORCAMENTOS!R1616="","",ORCAMENTOS!R1616)</f>
        <v>-</v>
      </c>
    </row>
    <row r="1609" spans="1:12" ht="15.75" hidden="1" customHeight="1" x14ac:dyDescent="0.25">
      <c r="A1609" s="36">
        <f>IF(ORCAMENTOS!A1617="","",ORCAMENTOS!A1617)</f>
        <v>45910</v>
      </c>
      <c r="B1609" s="46">
        <f>IF(ORCAMENTOS!B1617="","",ORCAMENTOS!B1617)</f>
        <v>1607</v>
      </c>
      <c r="C1609" s="46" t="str">
        <f>IF(ORCAMENTOS!C1617="","",ORCAMENTOS!C1617)</f>
        <v/>
      </c>
      <c r="D1609" s="37" t="str">
        <f>IF(ORCAMENTOS!D1617="","",ORCAMENTOS!D1617)</f>
        <v>MECALOR</v>
      </c>
      <c r="E1609" s="38" t="str">
        <f>IF(ORCAMENTOS!E1617="","",ORCAMENTOS!E1617)</f>
        <v>-</v>
      </c>
      <c r="F1609" s="37" t="str">
        <f>IF(ORCAMENTOS!G1617="","",ORCAMENTOS!G1617)</f>
        <v>Gabriel</v>
      </c>
      <c r="G1609" s="37" t="str">
        <f>IF(ORCAMENTOS!H1617="","",ORCAMENTOS!H1617)</f>
        <v>Lucas</v>
      </c>
      <c r="H1609" s="39">
        <f>IF(ORCAMENTOS!I1617="","",ORCAMENTOS!I1617)</f>
        <v>194.94</v>
      </c>
      <c r="I1609" s="60" t="str">
        <f>IF(ORCAMENTOS!J1617="","",ORCAMENTOS!J1617)</f>
        <v/>
      </c>
      <c r="J1609" s="40" t="str">
        <f>IF(ORCAMENTOS!L1617="","",ORCAMENTOS!L1617)</f>
        <v>FECHADO</v>
      </c>
      <c r="K1609" s="34" t="str">
        <f>IF(ORCAMENTOS!M1617="","",ORCAMENTOS!M1617)</f>
        <v>-</v>
      </c>
      <c r="L1609" t="str">
        <f>IF(ORCAMENTOS!R1617="","",ORCAMENTOS!R1617)</f>
        <v>-</v>
      </c>
    </row>
    <row r="1610" spans="1:12" ht="15.75" hidden="1" customHeight="1" x14ac:dyDescent="0.25">
      <c r="A1610" s="36">
        <f>IF(ORCAMENTOS!A1618="","",ORCAMENTOS!A1618)</f>
        <v>45910</v>
      </c>
      <c r="B1610" s="46">
        <f>IF(ORCAMENTOS!B1618="","",ORCAMENTOS!B1618)</f>
        <v>1608</v>
      </c>
      <c r="C1610" s="46" t="str">
        <f>IF(ORCAMENTOS!C1618="","",ORCAMENTOS!C1618)</f>
        <v/>
      </c>
      <c r="D1610" s="37" t="str">
        <f>IF(ORCAMENTOS!D1618="","",ORCAMENTOS!D1618)</f>
        <v>CONTROLE CLIMA</v>
      </c>
      <c r="E1610" s="38" t="str">
        <f>IF(ORCAMENTOS!E1618="","",ORCAMENTOS!E1618)</f>
        <v>STA PARNAIBA</v>
      </c>
      <c r="F1610" s="37" t="str">
        <f>IF(ORCAMENTOS!G1618="","",ORCAMENTOS!G1618)</f>
        <v>Emanuel</v>
      </c>
      <c r="G1610" s="37" t="str">
        <f>IF(ORCAMENTOS!H1618="","",ORCAMENTOS!H1618)</f>
        <v>Kleverson</v>
      </c>
      <c r="H1610" s="39">
        <f>IF(ORCAMENTOS!I1618="","",ORCAMENTOS!I1618)</f>
        <v>11856.26</v>
      </c>
      <c r="I1610" s="60" t="str">
        <f>IF(ORCAMENTOS!J1618="","",ORCAMENTOS!J1618)</f>
        <v/>
      </c>
      <c r="J1610" s="40" t="str">
        <f>IF(ORCAMENTOS!L1618="","",ORCAMENTOS!L1618)</f>
        <v>FECHADO</v>
      </c>
      <c r="K1610" s="34" t="str">
        <f>IF(ORCAMENTOS!M1618="","",ORCAMENTOS!M1618)</f>
        <v>-</v>
      </c>
      <c r="L1610" t="str">
        <f>IF(ORCAMENTOS!R1618="","",ORCAMENTOS!R1618)</f>
        <v>-</v>
      </c>
    </row>
    <row r="1611" spans="1:12" ht="15.75" hidden="1" customHeight="1" x14ac:dyDescent="0.25">
      <c r="A1611" s="36">
        <f>IF(ORCAMENTOS!A1619="","",ORCAMENTOS!A1619)</f>
        <v>45910</v>
      </c>
      <c r="B1611" s="46">
        <f>IF(ORCAMENTOS!B1619="","",ORCAMENTOS!B1619)</f>
        <v>1609</v>
      </c>
      <c r="C1611" s="46" t="str">
        <f>IF(ORCAMENTOS!C1619="","",ORCAMENTOS!C1619)</f>
        <v/>
      </c>
      <c r="D1611" s="37" t="str">
        <f>IF(ORCAMENTOS!D1619="","",ORCAMENTOS!D1619)</f>
        <v>RM3 ENGENHARIA</v>
      </c>
      <c r="E1611" s="38" t="str">
        <f>IF(ORCAMENTOS!E1619="","",ORCAMENTOS!E1619)</f>
        <v>SAVEGNAGO INDAIATUBA</v>
      </c>
      <c r="F1611" s="37" t="str">
        <f>IF(ORCAMENTOS!G1619="","",ORCAMENTOS!G1619)</f>
        <v>Guilherme</v>
      </c>
      <c r="G1611" s="37" t="str">
        <f>IF(ORCAMENTOS!H1619="","",ORCAMENTOS!H1619)</f>
        <v>Janice</v>
      </c>
      <c r="H1611" s="39">
        <f>IF(ORCAMENTOS!I1619="","",ORCAMENTOS!I1619)</f>
        <v>11745.6</v>
      </c>
      <c r="I1611" s="60" t="str">
        <f>IF(ORCAMENTOS!J1619="","",ORCAMENTOS!J1619)</f>
        <v/>
      </c>
      <c r="J1611" s="40" t="str">
        <f>IF(ORCAMENTOS!L1619="","",ORCAMENTOS!L1619)</f>
        <v>FECHADO</v>
      </c>
      <c r="K1611" s="34" t="str">
        <f>IF(ORCAMENTOS!M1619="","",ORCAMENTOS!M1619)</f>
        <v>-</v>
      </c>
      <c r="L1611" t="str">
        <f>IF(ORCAMENTOS!R1619="","",ORCAMENTOS!R1619)</f>
        <v>-</v>
      </c>
    </row>
    <row r="1612" spans="1:12" ht="15.75" hidden="1" customHeight="1" x14ac:dyDescent="0.25">
      <c r="A1612" s="36">
        <f>IF(ORCAMENTOS!A1620="","",ORCAMENTOS!A1620)</f>
        <v>45910</v>
      </c>
      <c r="B1612" s="46">
        <f>IF(ORCAMENTOS!B1620="","",ORCAMENTOS!B1620)</f>
        <v>1610</v>
      </c>
      <c r="C1612" s="46" t="str">
        <f>IF(ORCAMENTOS!C1620="","",ORCAMENTOS!C1620)</f>
        <v/>
      </c>
      <c r="D1612" s="37" t="str">
        <f>IF(ORCAMENTOS!D1620="","",ORCAMENTOS!D1620)</f>
        <v>INFINITY</v>
      </c>
      <c r="E1612" s="38" t="str">
        <f>IF(ORCAMENTOS!E1620="","",ORCAMENTOS!E1620)</f>
        <v>Apto Caio Fonseca</v>
      </c>
      <c r="F1612" s="37" t="str">
        <f>IF(ORCAMENTOS!G1620="","",ORCAMENTOS!G1620)</f>
        <v>Emanuel</v>
      </c>
      <c r="G1612" s="37" t="str">
        <f>IF(ORCAMENTOS!H1620="","",ORCAMENTOS!H1620)</f>
        <v>Natalia</v>
      </c>
      <c r="H1612" s="39">
        <f>IF(ORCAMENTOS!I1620="","",ORCAMENTOS!I1620)</f>
        <v>2039.36</v>
      </c>
      <c r="I1612" s="60" t="str">
        <f>IF(ORCAMENTOS!J1620="","",ORCAMENTOS!J1620)</f>
        <v/>
      </c>
      <c r="J1612" s="40" t="str">
        <f>IF(ORCAMENTOS!L1620="","",ORCAMENTOS!L1620)</f>
        <v>CANCELADO</v>
      </c>
      <c r="K1612" s="34" t="str">
        <f>IF(ORCAMENTOS!M1620="","",ORCAMENTOS!M1620)</f>
        <v>-</v>
      </c>
      <c r="L1612" t="str">
        <f>IF(ORCAMENTOS!R1620="","",ORCAMENTOS!R1620)</f>
        <v>-</v>
      </c>
    </row>
    <row r="1613" spans="1:12" ht="15.75" hidden="1" customHeight="1" x14ac:dyDescent="0.25">
      <c r="A1613" s="36">
        <f>IF(ORCAMENTOS!A1621="","",ORCAMENTOS!A1621)</f>
        <v>45910</v>
      </c>
      <c r="B1613" s="46">
        <f>IF(ORCAMENTOS!B1621="","",ORCAMENTOS!B1621)</f>
        <v>1611</v>
      </c>
      <c r="C1613" s="46" t="str">
        <f>IF(ORCAMENTOS!C1621="","",ORCAMENTOS!C1621)</f>
        <v/>
      </c>
      <c r="D1613" s="37" t="str">
        <f>IF(ORCAMENTOS!D1621="","",ORCAMENTOS!D1621)</f>
        <v>QUALIENG</v>
      </c>
      <c r="E1613" s="38" t="str">
        <f>IF(ORCAMENTOS!E1621="","",ORCAMENTOS!E1621)</f>
        <v>-</v>
      </c>
      <c r="F1613" s="37" t="str">
        <f>IF(ORCAMENTOS!G1621="","",ORCAMENTOS!G1621)</f>
        <v>Gabriel</v>
      </c>
      <c r="G1613" s="37" t="str">
        <f>IF(ORCAMENTOS!H1621="","",ORCAMENTOS!H1621)</f>
        <v>Jose</v>
      </c>
      <c r="H1613" s="39">
        <f>IF(ORCAMENTOS!I1621="","",ORCAMENTOS!I1621)</f>
        <v>4611.5200000000004</v>
      </c>
      <c r="I1613" s="60" t="str">
        <f>IF(ORCAMENTOS!J1621="","",ORCAMENTOS!J1621)</f>
        <v/>
      </c>
      <c r="J1613" s="40" t="str">
        <f>IF(ORCAMENTOS!L1621="","",ORCAMENTOS!L1621)</f>
        <v>FECHADO</v>
      </c>
      <c r="K1613" s="34" t="str">
        <f>IF(ORCAMENTOS!M1621="","",ORCAMENTOS!M1621)</f>
        <v>-</v>
      </c>
      <c r="L1613" t="str">
        <f>IF(ORCAMENTOS!R1621="","",ORCAMENTOS!R1621)</f>
        <v>-</v>
      </c>
    </row>
    <row r="1614" spans="1:12" ht="15.75" hidden="1" customHeight="1" x14ac:dyDescent="0.25">
      <c r="A1614" s="36">
        <f>IF(ORCAMENTOS!A1622="","",ORCAMENTOS!A1622)</f>
        <v>45910</v>
      </c>
      <c r="B1614" s="46">
        <f>IF(ORCAMENTOS!B1622="","",ORCAMENTOS!B1622)</f>
        <v>1612</v>
      </c>
      <c r="C1614" s="46" t="str">
        <f>IF(ORCAMENTOS!C1622="","",ORCAMENTOS!C1622)</f>
        <v/>
      </c>
      <c r="D1614" s="37" t="str">
        <f>IF(ORCAMENTOS!D1622="","",ORCAMENTOS!D1622)</f>
        <v>ACSISTEM</v>
      </c>
      <c r="E1614" s="38" t="str">
        <f>IF(ORCAMENTOS!E1622="","",ORCAMENTOS!E1622)</f>
        <v>-</v>
      </c>
      <c r="F1614" s="37" t="str">
        <f>IF(ORCAMENTOS!G1622="","",ORCAMENTOS!G1622)</f>
        <v>Emanuel</v>
      </c>
      <c r="G1614" s="37" t="str">
        <f>IF(ORCAMENTOS!H1622="","",ORCAMENTOS!H1622)</f>
        <v>David</v>
      </c>
      <c r="H1614" s="39">
        <f>IF(ORCAMENTOS!I1622="","",ORCAMENTOS!I1622)</f>
        <v>49069.120000000003</v>
      </c>
      <c r="I1614" s="60" t="str">
        <f>IF(ORCAMENTOS!J1622="","",ORCAMENTOS!J1622)</f>
        <v/>
      </c>
      <c r="J1614" s="40" t="str">
        <f>IF(ORCAMENTOS!L1622="","",ORCAMENTOS!L1622)</f>
        <v>FECHADO</v>
      </c>
      <c r="K1614" s="34" t="str">
        <f>IF(ORCAMENTOS!M1622="","",ORCAMENTOS!M1622)</f>
        <v>-</v>
      </c>
      <c r="L1614" t="str">
        <f>IF(ORCAMENTOS!R1622="","",ORCAMENTOS!R1622)</f>
        <v>-</v>
      </c>
    </row>
    <row r="1615" spans="1:12" ht="15.75" hidden="1" customHeight="1" x14ac:dyDescent="0.25">
      <c r="A1615" s="36">
        <f>IF(ORCAMENTOS!A1623="","",ORCAMENTOS!A1623)</f>
        <v>45910</v>
      </c>
      <c r="B1615" s="46">
        <f>IF(ORCAMENTOS!B1623="","",ORCAMENTOS!B1623)</f>
        <v>1613</v>
      </c>
      <c r="C1615" s="46" t="str">
        <f>IF(ORCAMENTOS!C1623="","",ORCAMENTOS!C1623)</f>
        <v/>
      </c>
      <c r="D1615" s="37" t="str">
        <f>IF(ORCAMENTOS!D1623="","",ORCAMENTOS!D1623)</f>
        <v>CONFORTO ENGENHARIA</v>
      </c>
      <c r="E1615" s="38" t="str">
        <f>IF(ORCAMENTOS!E1623="","",ORCAMENTOS!E1623)</f>
        <v>GALPAO LIGISTICO</v>
      </c>
      <c r="F1615" s="37" t="str">
        <f>IF(ORCAMENTOS!G1623="","",ORCAMENTOS!G1623)</f>
        <v>Michel</v>
      </c>
      <c r="G1615" s="37" t="str">
        <f>IF(ORCAMENTOS!H1623="","",ORCAMENTOS!H1623)</f>
        <v>Domicio</v>
      </c>
      <c r="H1615" s="39">
        <f>IF(ORCAMENTOS!I1623="","",ORCAMENTOS!I1623)</f>
        <v>1386016</v>
      </c>
      <c r="I1615" s="60" t="str">
        <f>IF(ORCAMENTOS!J1623="","",ORCAMENTOS!J1623)</f>
        <v/>
      </c>
      <c r="J1615" s="40" t="str">
        <f>IF(ORCAMENTOS!L1623="","",ORCAMENTOS!L1623)</f>
        <v>CANCELADO</v>
      </c>
      <c r="K1615" s="34" t="str">
        <f>IF(ORCAMENTOS!M1623="","",ORCAMENTOS!M1623)</f>
        <v>-</v>
      </c>
      <c r="L1615" t="str">
        <f>IF(ORCAMENTOS!R1623="","",ORCAMENTOS!R1623)</f>
        <v>-</v>
      </c>
    </row>
    <row r="1616" spans="1:12" ht="15.75" hidden="1" customHeight="1" x14ac:dyDescent="0.25">
      <c r="A1616" s="36">
        <f>IF(ORCAMENTOS!A1624="","",ORCAMENTOS!A1624)</f>
        <v>45910</v>
      </c>
      <c r="B1616" s="46">
        <f>IF(ORCAMENTOS!B1624="","",ORCAMENTOS!B1624)</f>
        <v>1614</v>
      </c>
      <c r="C1616" s="46" t="str">
        <f>IF(ORCAMENTOS!C1624="","",ORCAMENTOS!C1624)</f>
        <v/>
      </c>
      <c r="D1616" s="37" t="str">
        <f>IF(ORCAMENTOS!D1624="","",ORCAMENTOS!D1624)</f>
        <v>STAR CENTER</v>
      </c>
      <c r="E1616" s="38" t="str">
        <f>IF(ORCAMENTOS!E1624="","",ORCAMENTOS!E1624)</f>
        <v>-</v>
      </c>
      <c r="F1616" s="37" t="str">
        <f>IF(ORCAMENTOS!G1624="","",ORCAMENTOS!G1624)</f>
        <v>Guilherme</v>
      </c>
      <c r="G1616" s="37" t="str">
        <f>IF(ORCAMENTOS!H1624="","",ORCAMENTOS!H1624)</f>
        <v>Ayra</v>
      </c>
      <c r="H1616" s="39">
        <f>IF(ORCAMENTOS!I1624="","",ORCAMENTOS!I1624)</f>
        <v>1683616.89</v>
      </c>
      <c r="I1616" s="60" t="str">
        <f>IF(ORCAMENTOS!J1624="","",ORCAMENTOS!J1624)</f>
        <v/>
      </c>
      <c r="J1616" s="40" t="str">
        <f>IF(ORCAMENTOS!L1624="","",ORCAMENTOS!L1624)</f>
        <v>CANCELADO</v>
      </c>
      <c r="K1616" s="34" t="str">
        <f>IF(ORCAMENTOS!M1624="","",ORCAMENTOS!M1624)</f>
        <v>-</v>
      </c>
      <c r="L1616" t="str">
        <f>IF(ORCAMENTOS!R1624="","",ORCAMENTOS!R1624)</f>
        <v>-</v>
      </c>
    </row>
    <row r="1617" spans="1:12" ht="15.75" hidden="1" customHeight="1" x14ac:dyDescent="0.25">
      <c r="A1617" s="36">
        <f>IF(ORCAMENTOS!A1625="","",ORCAMENTOS!A1625)</f>
        <v>45910</v>
      </c>
      <c r="B1617" s="46">
        <f>IF(ORCAMENTOS!B1625="","",ORCAMENTOS!B1625)</f>
        <v>1615</v>
      </c>
      <c r="C1617" s="46" t="str">
        <f>IF(ORCAMENTOS!C1625="","",ORCAMENTOS!C1625)</f>
        <v/>
      </c>
      <c r="D1617" s="37" t="str">
        <f>IF(ORCAMENTOS!D1625="","",ORCAMENTOS!D1625)</f>
        <v>REWELL</v>
      </c>
      <c r="E1617" s="38" t="str">
        <f>IF(ORCAMENTOS!E1625="","",ORCAMENTOS!E1625)</f>
        <v>ESCOLA SENAI MIRASSOL - CENTRO - SP</v>
      </c>
      <c r="F1617" s="37" t="str">
        <f>IF(ORCAMENTOS!G1625="","",ORCAMENTOS!G1625)</f>
        <v>Gabriel</v>
      </c>
      <c r="G1617" s="37" t="str">
        <f>IF(ORCAMENTOS!H1625="","",ORCAMENTOS!H1625)</f>
        <v>Rewell</v>
      </c>
      <c r="H1617" s="39">
        <f>IF(ORCAMENTOS!I1625="","",ORCAMENTOS!I1625)</f>
        <v>11154.88</v>
      </c>
      <c r="I1617" s="60" t="str">
        <f>IF(ORCAMENTOS!J1625="","",ORCAMENTOS!J1625)</f>
        <v/>
      </c>
      <c r="J1617" s="40" t="str">
        <f>IF(ORCAMENTOS!L1625="","",ORCAMENTOS!L1625)</f>
        <v>CANCELADO</v>
      </c>
      <c r="K1617" s="34" t="str">
        <f>IF(ORCAMENTOS!M1625="","",ORCAMENTOS!M1625)</f>
        <v>-</v>
      </c>
      <c r="L1617" t="str">
        <f>IF(ORCAMENTOS!R1625="","",ORCAMENTOS!R1625)</f>
        <v>CHAPA GALVANIZADA</v>
      </c>
    </row>
    <row r="1618" spans="1:12" ht="15.75" hidden="1" customHeight="1" x14ac:dyDescent="0.25">
      <c r="A1618" s="36">
        <f>IF(ORCAMENTOS!A1626="","",ORCAMENTOS!A1626)</f>
        <v>45910</v>
      </c>
      <c r="B1618" s="46">
        <f>IF(ORCAMENTOS!B1626="","",ORCAMENTOS!B1626)</f>
        <v>1616</v>
      </c>
      <c r="C1618" s="46" t="str">
        <f>IF(ORCAMENTOS!C1626="","",ORCAMENTOS!C1626)</f>
        <v/>
      </c>
      <c r="D1618" s="37" t="str">
        <f>IF(ORCAMENTOS!D1626="","",ORCAMENTOS!D1626)</f>
        <v>VALTER ARAUJO</v>
      </c>
      <c r="E1618" s="38" t="str">
        <f>IF(ORCAMENTOS!E1626="","",ORCAMENTOS!E1626)</f>
        <v>VILA TRAMPOLIM - RIBEIRAO SHOPPING - SP</v>
      </c>
      <c r="F1618" s="37" t="str">
        <f>IF(ORCAMENTOS!G1626="","",ORCAMENTOS!G1626)</f>
        <v>Gabriel</v>
      </c>
      <c r="G1618" s="37" t="str">
        <f>IF(ORCAMENTOS!H1626="","",ORCAMENTOS!H1626)</f>
        <v>Valter</v>
      </c>
      <c r="H1618" s="39">
        <f>IF(ORCAMENTOS!I1626="","",ORCAMENTOS!I1626)</f>
        <v>24284.560000000001</v>
      </c>
      <c r="I1618" s="60" t="str">
        <f>IF(ORCAMENTOS!J1626="","",ORCAMENTOS!J1626)</f>
        <v/>
      </c>
      <c r="J1618" s="40" t="str">
        <f>IF(ORCAMENTOS!L1626="","",ORCAMENTOS!L1626)</f>
        <v>CANCELADO</v>
      </c>
      <c r="K1618" s="34" t="str">
        <f>IF(ORCAMENTOS!M1626="","",ORCAMENTOS!M1626)</f>
        <v>-</v>
      </c>
      <c r="L1618" t="str">
        <f>IF(ORCAMENTOS!R1626="","",ORCAMENTOS!R1626)</f>
        <v>MPU</v>
      </c>
    </row>
    <row r="1619" spans="1:12" ht="15.75" hidden="1" customHeight="1" x14ac:dyDescent="0.25">
      <c r="A1619" s="36">
        <f>IF(ORCAMENTOS!A1627="","",ORCAMENTOS!A1627)</f>
        <v>45911</v>
      </c>
      <c r="B1619" s="46">
        <f>IF(ORCAMENTOS!B1627="","",ORCAMENTOS!B1627)</f>
        <v>1617</v>
      </c>
      <c r="C1619" s="46" t="str">
        <f>IF(ORCAMENTOS!C1627="","",ORCAMENTOS!C1627)</f>
        <v/>
      </c>
      <c r="D1619" s="37" t="str">
        <f>IF(ORCAMENTOS!D1627="","",ORCAMENTOS!D1627)</f>
        <v>CONTROLE CLIMA</v>
      </c>
      <c r="E1619" s="38" t="str">
        <f>IF(ORCAMENTOS!E1627="","",ORCAMENTOS!E1627)</f>
        <v>SMART ABC</v>
      </c>
      <c r="F1619" s="37" t="str">
        <f>IF(ORCAMENTOS!G1627="","",ORCAMENTOS!G1627)</f>
        <v>Emanuel</v>
      </c>
      <c r="G1619" s="37" t="str">
        <f>IF(ORCAMENTOS!H1627="","",ORCAMENTOS!H1627)</f>
        <v>Cleverson</v>
      </c>
      <c r="H1619" s="39">
        <f>IF(ORCAMENTOS!I1627="","",ORCAMENTOS!I1627)</f>
        <v>23987.16</v>
      </c>
      <c r="I1619" s="60" t="str">
        <f>IF(ORCAMENTOS!J1627="","",ORCAMENTOS!J1627)</f>
        <v/>
      </c>
      <c r="J1619" s="40" t="str">
        <f>IF(ORCAMENTOS!L1627="","",ORCAMENTOS!L1627)</f>
        <v>FECHADO</v>
      </c>
      <c r="K1619" s="34" t="str">
        <f>IF(ORCAMENTOS!M1627="","",ORCAMENTOS!M1627)</f>
        <v>-</v>
      </c>
      <c r="L1619" t="str">
        <f>IF(ORCAMENTOS!R1627="","",ORCAMENTOS!R1627)</f>
        <v>-</v>
      </c>
    </row>
    <row r="1620" spans="1:12" ht="15.75" hidden="1" customHeight="1" x14ac:dyDescent="0.25">
      <c r="A1620" s="36">
        <f>IF(ORCAMENTOS!A1628="","",ORCAMENTOS!A1628)</f>
        <v>45911</v>
      </c>
      <c r="B1620" s="46">
        <f>IF(ORCAMENTOS!B1628="","",ORCAMENTOS!B1628)</f>
        <v>1618</v>
      </c>
      <c r="C1620" s="46" t="str">
        <f>IF(ORCAMENTOS!C1628="","",ORCAMENTOS!C1628)</f>
        <v/>
      </c>
      <c r="D1620" s="37" t="str">
        <f>IF(ORCAMENTOS!D1628="","",ORCAMENTOS!D1628)</f>
        <v>CE PRIME</v>
      </c>
      <c r="E1620" s="38" t="str">
        <f>IF(ORCAMENTOS!E1628="","",ORCAMENTOS!E1628)</f>
        <v>REDE DOR SÃO LUIZ - GAMA - BRASILIA</v>
      </c>
      <c r="F1620" s="37" t="str">
        <f>IF(ORCAMENTOS!G1628="","",ORCAMENTOS!G1628)</f>
        <v>Michel</v>
      </c>
      <c r="G1620" s="37" t="str">
        <f>IF(ORCAMENTOS!H1628="","",ORCAMENTOS!H1628)</f>
        <v>Danilo</v>
      </c>
      <c r="H1620" s="39">
        <f>IF(ORCAMENTOS!I1628="","",ORCAMENTOS!I1628)</f>
        <v>33831.730000000003</v>
      </c>
      <c r="I1620" s="60" t="str">
        <f>IF(ORCAMENTOS!J1628="","",ORCAMENTOS!J1628)</f>
        <v/>
      </c>
      <c r="J1620" s="40" t="str">
        <f>IF(ORCAMENTOS!L1628="","",ORCAMENTOS!L1628)</f>
        <v>CANCELADO</v>
      </c>
      <c r="K1620" s="34" t="str">
        <f>IF(ORCAMENTOS!M1628="","",ORCAMENTOS!M1628)</f>
        <v>-</v>
      </c>
      <c r="L1620" t="str">
        <f>IF(ORCAMENTOS!R1628="","",ORCAMENTOS!R1628)</f>
        <v>-</v>
      </c>
    </row>
    <row r="1621" spans="1:12" ht="15.75" hidden="1" customHeight="1" x14ac:dyDescent="0.25">
      <c r="A1621" s="36">
        <f>IF(ORCAMENTOS!A1629="","",ORCAMENTOS!A1629)</f>
        <v>45911</v>
      </c>
      <c r="B1621" s="46">
        <f>IF(ORCAMENTOS!B1629="","",ORCAMENTOS!B1629)</f>
        <v>1619</v>
      </c>
      <c r="C1621" s="46" t="str">
        <f>IF(ORCAMENTOS!C1629="","",ORCAMENTOS!C1629)</f>
        <v/>
      </c>
      <c r="D1621" s="37" t="str">
        <f>IF(ORCAMENTOS!D1629="","",ORCAMENTOS!D1629)</f>
        <v>NOSSO AR</v>
      </c>
      <c r="E1621" s="38" t="str">
        <f>IF(ORCAMENTOS!E1629="","",ORCAMENTOS!E1629)</f>
        <v>-</v>
      </c>
      <c r="F1621" s="37" t="str">
        <f>IF(ORCAMENTOS!G1629="","",ORCAMENTOS!G1629)</f>
        <v>Gabriel</v>
      </c>
      <c r="G1621" s="37" t="str">
        <f>IF(ORCAMENTOS!H1629="","",ORCAMENTOS!H1629)</f>
        <v>Leonardo</v>
      </c>
      <c r="H1621" s="39">
        <f>IF(ORCAMENTOS!I1629="","",ORCAMENTOS!I1629)</f>
        <v>617.22</v>
      </c>
      <c r="I1621" s="60" t="str">
        <f>IF(ORCAMENTOS!J1629="","",ORCAMENTOS!J1629)</f>
        <v/>
      </c>
      <c r="J1621" s="40" t="str">
        <f>IF(ORCAMENTOS!L1629="","",ORCAMENTOS!L1629)</f>
        <v>FECHADO</v>
      </c>
      <c r="K1621" s="34" t="str">
        <f>IF(ORCAMENTOS!M1629="","",ORCAMENTOS!M1629)</f>
        <v>-</v>
      </c>
      <c r="L1621" t="str">
        <f>IF(ORCAMENTOS!R1629="","",ORCAMENTOS!R1629)</f>
        <v>-</v>
      </c>
    </row>
    <row r="1622" spans="1:12" ht="15.75" hidden="1" customHeight="1" x14ac:dyDescent="0.25">
      <c r="A1622" s="36">
        <f>IF(ORCAMENTOS!A1630="","",ORCAMENTOS!A1630)</f>
        <v>45917</v>
      </c>
      <c r="B1622" s="46">
        <f>IF(ORCAMENTOS!B1630="","",ORCAMENTOS!B1630)</f>
        <v>1620</v>
      </c>
      <c r="C1622" s="46" t="str">
        <f>IF(ORCAMENTOS!C1630="","",ORCAMENTOS!C1630)</f>
        <v/>
      </c>
      <c r="D1622" s="37" t="str">
        <f>IF(ORCAMENTOS!D1630="","",ORCAMENTOS!D1630)</f>
        <v>RECLIMA</v>
      </c>
      <c r="E1622" s="38" t="str">
        <f>IF(ORCAMENTOS!E1630="","",ORCAMENTOS!E1630)</f>
        <v>-</v>
      </c>
      <c r="F1622" s="37" t="str">
        <f>IF(ORCAMENTOS!G1630="","",ORCAMENTOS!G1630)</f>
        <v>Michel</v>
      </c>
      <c r="G1622" s="37" t="str">
        <f>IF(ORCAMENTOS!H1630="","",ORCAMENTOS!H1630)</f>
        <v>Renata</v>
      </c>
      <c r="H1622" s="39">
        <f>IF(ORCAMENTOS!I1630="","",ORCAMENTOS!I1630)</f>
        <v>1640.87</v>
      </c>
      <c r="I1622" s="60" t="str">
        <f>IF(ORCAMENTOS!J1630="","",ORCAMENTOS!J1630)</f>
        <v/>
      </c>
      <c r="J1622" s="40" t="str">
        <f>IF(ORCAMENTOS!L1630="","",ORCAMENTOS!L1630)</f>
        <v>FECHADO</v>
      </c>
      <c r="K1622" s="34" t="str">
        <f>IF(ORCAMENTOS!M1630="","",ORCAMENTOS!M1630)</f>
        <v>-</v>
      </c>
      <c r="L1622" t="str">
        <f>IF(ORCAMENTOS!R1630="","",ORCAMENTOS!R1630)</f>
        <v>-</v>
      </c>
    </row>
    <row r="1623" spans="1:12" ht="15.75" hidden="1" customHeight="1" x14ac:dyDescent="0.25">
      <c r="A1623" s="36">
        <f>IF(ORCAMENTOS!A1631="","",ORCAMENTOS!A1631)</f>
        <v>45912</v>
      </c>
      <c r="B1623" s="46">
        <f>IF(ORCAMENTOS!B1631="","",ORCAMENTOS!B1631)</f>
        <v>1621</v>
      </c>
      <c r="C1623" s="46" t="str">
        <f>IF(ORCAMENTOS!C1631="","",ORCAMENTOS!C1631)</f>
        <v/>
      </c>
      <c r="D1623" s="37" t="str">
        <f>IF(ORCAMENTOS!D1631="","",ORCAMENTOS!D1631)</f>
        <v>DIAGRAMA AR</v>
      </c>
      <c r="E1623" s="38" t="str">
        <f>IF(ORCAMENTOS!E1631="","",ORCAMENTOS!E1631)</f>
        <v>AEROPORTO UBERLANDIA - MG</v>
      </c>
      <c r="F1623" s="37" t="str">
        <f>IF(ORCAMENTOS!G1631="","",ORCAMENTOS!G1631)</f>
        <v>Guilherme</v>
      </c>
      <c r="G1623" s="37" t="str">
        <f>IF(ORCAMENTOS!H1631="","",ORCAMENTOS!H1631)</f>
        <v>Silvia</v>
      </c>
      <c r="H1623" s="39">
        <f>IF(ORCAMENTOS!I1631="","",ORCAMENTOS!I1631)</f>
        <v>257372.99</v>
      </c>
      <c r="I1623" s="60" t="str">
        <f>IF(ORCAMENTOS!J1631="","",ORCAMENTOS!J1631)</f>
        <v/>
      </c>
      <c r="J1623" s="40" t="str">
        <f>IF(ORCAMENTOS!L1631="","",ORCAMENTOS!L1631)</f>
        <v>PERDIDO</v>
      </c>
      <c r="K1623" s="34" t="str">
        <f>IF(ORCAMENTOS!M1631="","",ORCAMENTOS!M1631)</f>
        <v>MULTIVAC - PREÇO</v>
      </c>
      <c r="L1623" t="str">
        <f>IF(ORCAMENTOS!R1631="","",ORCAMENTOS!R1631)</f>
        <v>-</v>
      </c>
    </row>
    <row r="1624" spans="1:12" ht="15.75" hidden="1" customHeight="1" x14ac:dyDescent="0.25">
      <c r="A1624" s="36">
        <f>IF(ORCAMENTOS!A1632="","",ORCAMENTOS!A1632)</f>
        <v>45912</v>
      </c>
      <c r="B1624" s="46">
        <f>IF(ORCAMENTOS!B1632="","",ORCAMENTOS!B1632)</f>
        <v>1622</v>
      </c>
      <c r="C1624" s="46" t="str">
        <f>IF(ORCAMENTOS!C1632="","",ORCAMENTOS!C1632)</f>
        <v/>
      </c>
      <c r="D1624" s="37" t="str">
        <f>IF(ORCAMENTOS!D1632="","",ORCAMENTOS!D1632)</f>
        <v>CONTROLE CLIMA</v>
      </c>
      <c r="E1624" s="38" t="str">
        <f>IF(ORCAMENTOS!E1632="","",ORCAMENTOS!E1632)</f>
        <v>SMART SBC</v>
      </c>
      <c r="F1624" s="37" t="str">
        <f>IF(ORCAMENTOS!G1632="","",ORCAMENTOS!G1632)</f>
        <v>Emanuel</v>
      </c>
      <c r="G1624" s="37" t="str">
        <f>IF(ORCAMENTOS!H1632="","",ORCAMENTOS!H1632)</f>
        <v>Cleverson</v>
      </c>
      <c r="H1624" s="39">
        <f>IF(ORCAMENTOS!I1632="","",ORCAMENTOS!I1632)</f>
        <v>24345</v>
      </c>
      <c r="I1624" s="60" t="str">
        <f>IF(ORCAMENTOS!J1632="","",ORCAMENTOS!J1632)</f>
        <v/>
      </c>
      <c r="J1624" s="40" t="str">
        <f>IF(ORCAMENTOS!L1632="","",ORCAMENTOS!L1632)</f>
        <v>CANCELADO</v>
      </c>
      <c r="K1624" s="34" t="str">
        <f>IF(ORCAMENTOS!M1632="","",ORCAMENTOS!M1632)</f>
        <v>-</v>
      </c>
      <c r="L1624" t="str">
        <f>IF(ORCAMENTOS!R1632="","",ORCAMENTOS!R1632)</f>
        <v>-</v>
      </c>
    </row>
    <row r="1625" spans="1:12" ht="15.75" hidden="1" customHeight="1" x14ac:dyDescent="0.25">
      <c r="A1625" s="36">
        <f>IF(ORCAMENTOS!A1633="","",ORCAMENTOS!A1633)</f>
        <v>45912</v>
      </c>
      <c r="B1625" s="46">
        <f>IF(ORCAMENTOS!B1633="","",ORCAMENTOS!B1633)</f>
        <v>1623</v>
      </c>
      <c r="C1625" s="46" t="str">
        <f>IF(ORCAMENTOS!C1633="","",ORCAMENTOS!C1633)</f>
        <v/>
      </c>
      <c r="D1625" s="37" t="str">
        <f>IF(ORCAMENTOS!D1633="","",ORCAMENTOS!D1633)</f>
        <v>PRODAC</v>
      </c>
      <c r="E1625" s="38" t="str">
        <f>IF(ORCAMENTOS!E1633="","",ORCAMENTOS!E1633)</f>
        <v>TITULO DE CORTESIA</v>
      </c>
      <c r="F1625" s="37" t="str">
        <f>IF(ORCAMENTOS!G1633="","",ORCAMENTOS!G1633)</f>
        <v>Fernando</v>
      </c>
      <c r="G1625" s="37" t="str">
        <f>IF(ORCAMENTOS!H1633="","",ORCAMENTOS!H1633)</f>
        <v>Luiz</v>
      </c>
      <c r="H1625" s="39">
        <f>IF(ORCAMENTOS!I1633="","",ORCAMENTOS!I1633)</f>
        <v>4365</v>
      </c>
      <c r="I1625" s="60" t="str">
        <f>IF(ORCAMENTOS!J1633="","",ORCAMENTOS!J1633)</f>
        <v/>
      </c>
      <c r="J1625" s="40" t="str">
        <f>IF(ORCAMENTOS!L1633="","",ORCAMENTOS!L1633)</f>
        <v>CANCELADO</v>
      </c>
      <c r="K1625" s="34" t="str">
        <f>IF(ORCAMENTOS!M1633="","",ORCAMENTOS!M1633)</f>
        <v>-</v>
      </c>
      <c r="L1625" t="str">
        <f>IF(ORCAMENTOS!R1633="","",ORCAMENTOS!R1633)</f>
        <v>-</v>
      </c>
    </row>
    <row r="1626" spans="1:12" ht="15.75" hidden="1" customHeight="1" x14ac:dyDescent="0.25">
      <c r="A1626" s="36">
        <f>IF(ORCAMENTOS!A1634="","",ORCAMENTOS!A1634)</f>
        <v>45915</v>
      </c>
      <c r="B1626" s="46">
        <f>IF(ORCAMENTOS!B1634="","",ORCAMENTOS!B1634)</f>
        <v>1624</v>
      </c>
      <c r="C1626" s="46" t="str">
        <f>IF(ORCAMENTOS!C1634="","",ORCAMENTOS!C1634)</f>
        <v/>
      </c>
      <c r="D1626" s="37" t="str">
        <f>IF(ORCAMENTOS!D1634="","",ORCAMENTOS!D1634)</f>
        <v>NEWSET</v>
      </c>
      <c r="E1626" s="38" t="str">
        <f>IF(ORCAMENTOS!E1634="","",ORCAMENTOS!E1634)</f>
        <v>NSS333.25 - AGC</v>
      </c>
      <c r="F1626" s="37" t="str">
        <f>IF(ORCAMENTOS!G1634="","",ORCAMENTOS!G1634)</f>
        <v xml:space="preserve">Aldavir </v>
      </c>
      <c r="G1626" s="37" t="str">
        <f>IF(ORCAMENTOS!H1634="","",ORCAMENTOS!H1634)</f>
        <v>Graziele</v>
      </c>
      <c r="H1626" s="39">
        <f>IF(ORCAMENTOS!I1634="","",ORCAMENTOS!I1634)</f>
        <v>21161.08</v>
      </c>
      <c r="I1626" s="60" t="str">
        <f>IF(ORCAMENTOS!J1634="","",ORCAMENTOS!J1634)</f>
        <v/>
      </c>
      <c r="J1626" s="40" t="str">
        <f>IF(ORCAMENTOS!L1634="","",ORCAMENTOS!L1634)</f>
        <v>CANCELADO</v>
      </c>
      <c r="K1626" s="34" t="str">
        <f>IF(ORCAMENTOS!M1634="","",ORCAMENTOS!M1634)</f>
        <v>-</v>
      </c>
      <c r="L1626" t="str">
        <f>IF(ORCAMENTOS!R1634="","",ORCAMENTOS!R1634)</f>
        <v>-</v>
      </c>
    </row>
    <row r="1627" spans="1:12" ht="15.75" hidden="1" customHeight="1" x14ac:dyDescent="0.25">
      <c r="A1627" s="36">
        <f>IF(ORCAMENTOS!A1635="","",ORCAMENTOS!A1635)</f>
        <v>45917</v>
      </c>
      <c r="B1627" s="46">
        <f>IF(ORCAMENTOS!B1635="","",ORCAMENTOS!B1635)</f>
        <v>1625</v>
      </c>
      <c r="C1627" s="46" t="str">
        <f>IF(ORCAMENTOS!C1635="","",ORCAMENTOS!C1635)</f>
        <v/>
      </c>
      <c r="D1627" s="37" t="str">
        <f>IF(ORCAMENTOS!D1635="","",ORCAMENTOS!D1635)</f>
        <v>PANTERAMONT</v>
      </c>
      <c r="E1627" s="38" t="str">
        <f>IF(ORCAMENTOS!E1635="","",ORCAMENTOS!E1635)</f>
        <v>-</v>
      </c>
      <c r="F1627" s="37" t="str">
        <f>IF(ORCAMENTOS!G1635="","",ORCAMENTOS!G1635)</f>
        <v>Gabriel</v>
      </c>
      <c r="G1627" s="37" t="str">
        <f>IF(ORCAMENTOS!H1635="","",ORCAMENTOS!H1635)</f>
        <v>Marcelo</v>
      </c>
      <c r="H1627" s="39">
        <f>IF(ORCAMENTOS!I1635="","",ORCAMENTOS!I1635)</f>
        <v>185000</v>
      </c>
      <c r="I1627" s="60" t="str">
        <f>IF(ORCAMENTOS!J1635="","",ORCAMENTOS!J1635)</f>
        <v/>
      </c>
      <c r="J1627" s="40" t="str">
        <f>IF(ORCAMENTOS!L1635="","",ORCAMENTOS!L1635)</f>
        <v>FECHADO</v>
      </c>
      <c r="K1627" s="34" t="str">
        <f>IF(ORCAMENTOS!M1635="","",ORCAMENTOS!M1635)</f>
        <v>-</v>
      </c>
      <c r="L1627" t="str">
        <f>IF(ORCAMENTOS!R1635="","",ORCAMENTOS!R1635)</f>
        <v>-</v>
      </c>
    </row>
    <row r="1628" spans="1:12" ht="15.75" hidden="1" customHeight="1" x14ac:dyDescent="0.25">
      <c r="A1628" s="36">
        <f>IF(ORCAMENTOS!A1636="","",ORCAMENTOS!A1636)</f>
        <v>45912</v>
      </c>
      <c r="B1628" s="46">
        <f>IF(ORCAMENTOS!B1636="","",ORCAMENTOS!B1636)</f>
        <v>1626</v>
      </c>
      <c r="C1628" s="46" t="str">
        <f>IF(ORCAMENTOS!C1636="","",ORCAMENTOS!C1636)</f>
        <v/>
      </c>
      <c r="D1628" s="37" t="str">
        <f>IF(ORCAMENTOS!D1636="","",ORCAMENTOS!D1636)</f>
        <v>THERMOMATIC</v>
      </c>
      <c r="E1628" s="38" t="str">
        <f>IF(ORCAMENTOS!E1636="","",ORCAMENTOS!E1636)</f>
        <v>-</v>
      </c>
      <c r="F1628" s="37" t="str">
        <f>IF(ORCAMENTOS!G1636="","",ORCAMENTOS!G1636)</f>
        <v>Gabriel</v>
      </c>
      <c r="G1628" s="37" t="str">
        <f>IF(ORCAMENTOS!H1636="","",ORCAMENTOS!H1636)</f>
        <v>Vinicius</v>
      </c>
      <c r="H1628" s="39">
        <f>IF(ORCAMENTOS!I1636="","",ORCAMENTOS!I1636)</f>
        <v>455.52</v>
      </c>
      <c r="I1628" s="60" t="str">
        <f>IF(ORCAMENTOS!J1636="","",ORCAMENTOS!J1636)</f>
        <v/>
      </c>
      <c r="J1628" s="40" t="str">
        <f>IF(ORCAMENTOS!L1636="","",ORCAMENTOS!L1636)</f>
        <v>CANCELADO</v>
      </c>
      <c r="K1628" s="34" t="str">
        <f>IF(ORCAMENTOS!M1636="","",ORCAMENTOS!M1636)</f>
        <v>-</v>
      </c>
      <c r="L1628" t="str">
        <f>IF(ORCAMENTOS!R1636="","",ORCAMENTOS!R1636)</f>
        <v>-</v>
      </c>
    </row>
    <row r="1629" spans="1:12" ht="15.75" hidden="1" customHeight="1" x14ac:dyDescent="0.25">
      <c r="A1629" s="36">
        <f>IF(ORCAMENTOS!A1637="","",ORCAMENTOS!A1637)</f>
        <v>45916</v>
      </c>
      <c r="B1629" s="46">
        <f>IF(ORCAMENTOS!B1637="","",ORCAMENTOS!B1637)</f>
        <v>1627</v>
      </c>
      <c r="C1629" s="46" t="str">
        <f>IF(ORCAMENTOS!C1637="","",ORCAMENTOS!C1637)</f>
        <v/>
      </c>
      <c r="D1629" s="37" t="str">
        <f>IF(ORCAMENTOS!D1637="","",ORCAMENTOS!D1637)</f>
        <v>QUALIAR</v>
      </c>
      <c r="E1629" s="38" t="str">
        <f>IF(ORCAMENTOS!E1637="","",ORCAMENTOS!E1637)</f>
        <v>-</v>
      </c>
      <c r="F1629" s="37" t="str">
        <f>IF(ORCAMENTOS!G1637="","",ORCAMENTOS!G1637)</f>
        <v>Gabriel</v>
      </c>
      <c r="G1629" s="37" t="str">
        <f>IF(ORCAMENTOS!H1637="","",ORCAMENTOS!H1637)</f>
        <v>Andre</v>
      </c>
      <c r="H1629" s="39">
        <f>IF(ORCAMENTOS!I1637="","",ORCAMENTOS!I1637)</f>
        <v>7219.86</v>
      </c>
      <c r="I1629" s="60" t="str">
        <f>IF(ORCAMENTOS!J1637="","",ORCAMENTOS!J1637)</f>
        <v/>
      </c>
      <c r="J1629" s="40" t="str">
        <f>IF(ORCAMENTOS!L1637="","",ORCAMENTOS!L1637)</f>
        <v>FECHADO</v>
      </c>
      <c r="K1629" s="34" t="str">
        <f>IF(ORCAMENTOS!M1637="","",ORCAMENTOS!M1637)</f>
        <v>-</v>
      </c>
      <c r="L1629" t="str">
        <f>IF(ORCAMENTOS!R1637="","",ORCAMENTOS!R1637)</f>
        <v>-</v>
      </c>
    </row>
    <row r="1630" spans="1:12" ht="15.75" hidden="1" customHeight="1" x14ac:dyDescent="0.25">
      <c r="A1630" s="36">
        <f>IF(ORCAMENTOS!A1638="","",ORCAMENTOS!A1638)</f>
        <v>45915</v>
      </c>
      <c r="B1630" s="46">
        <f>IF(ORCAMENTOS!B1638="","",ORCAMENTOS!B1638)</f>
        <v>1628</v>
      </c>
      <c r="C1630" s="46" t="str">
        <f>IF(ORCAMENTOS!C1638="","",ORCAMENTOS!C1638)</f>
        <v/>
      </c>
      <c r="D1630" s="37" t="str">
        <f>IF(ORCAMENTOS!D1638="","",ORCAMENTOS!D1638)</f>
        <v>NEWSET</v>
      </c>
      <c r="E1630" s="38" t="str">
        <f>IF(ORCAMENTOS!E1638="","",ORCAMENTOS!E1638)</f>
        <v>RECKITT BENCKISER</v>
      </c>
      <c r="F1630" s="37" t="str">
        <f>IF(ORCAMENTOS!G1638="","",ORCAMENTOS!G1638)</f>
        <v xml:space="preserve">Aldavir </v>
      </c>
      <c r="G1630" s="37" t="str">
        <f>IF(ORCAMENTOS!H1638="","",ORCAMENTOS!H1638)</f>
        <v>HIago</v>
      </c>
      <c r="H1630" s="39">
        <f>IF(ORCAMENTOS!I1638="","",ORCAMENTOS!I1638)</f>
        <v>50185.120000000003</v>
      </c>
      <c r="I1630" s="60" t="str">
        <f>IF(ORCAMENTOS!J1638="","",ORCAMENTOS!J1638)</f>
        <v/>
      </c>
      <c r="J1630" s="40" t="str">
        <f>IF(ORCAMENTOS!L1638="","",ORCAMENTOS!L1638)</f>
        <v>CANCELADO</v>
      </c>
      <c r="K1630" s="34" t="str">
        <f>IF(ORCAMENTOS!M1638="","",ORCAMENTOS!M1638)</f>
        <v>-</v>
      </c>
      <c r="L1630" t="str">
        <f>IF(ORCAMENTOS!R1638="","",ORCAMENTOS!R1638)</f>
        <v>-</v>
      </c>
    </row>
    <row r="1631" spans="1:12" ht="15.75" hidden="1" customHeight="1" x14ac:dyDescent="0.25">
      <c r="A1631" s="36">
        <f>IF(ORCAMENTOS!A1639="","",ORCAMENTOS!A1639)</f>
        <v>45915</v>
      </c>
      <c r="B1631" s="46">
        <f>IF(ORCAMENTOS!B1639="","",ORCAMENTOS!B1639)</f>
        <v>1629</v>
      </c>
      <c r="C1631" s="46" t="str">
        <f>IF(ORCAMENTOS!C1639="","",ORCAMENTOS!C1639)</f>
        <v/>
      </c>
      <c r="D1631" s="37" t="str">
        <f>IF(ORCAMENTOS!D1639="","",ORCAMENTOS!D1639)</f>
        <v>TRANSPORTAINER</v>
      </c>
      <c r="E1631" s="38" t="str">
        <f>IF(ORCAMENTOS!E1639="","",ORCAMENTOS!E1639)</f>
        <v>-</v>
      </c>
      <c r="F1631" s="37" t="str">
        <f>IF(ORCAMENTOS!G1639="","",ORCAMENTOS!G1639)</f>
        <v>Gabriel</v>
      </c>
      <c r="G1631" s="37" t="str">
        <f>IF(ORCAMENTOS!H1639="","",ORCAMENTOS!H1639)</f>
        <v>Diego</v>
      </c>
      <c r="H1631" s="39">
        <f>IF(ORCAMENTOS!I1639="","",ORCAMENTOS!I1639)</f>
        <v>2372.89</v>
      </c>
      <c r="I1631" s="60" t="str">
        <f>IF(ORCAMENTOS!J1639="","",ORCAMENTOS!J1639)</f>
        <v/>
      </c>
      <c r="J1631" s="40" t="str">
        <f>IF(ORCAMENTOS!L1639="","",ORCAMENTOS!L1639)</f>
        <v>CANCELADO</v>
      </c>
      <c r="K1631" s="34" t="str">
        <f>IF(ORCAMENTOS!M1639="","",ORCAMENTOS!M1639)</f>
        <v>-</v>
      </c>
      <c r="L1631" t="str">
        <f>IF(ORCAMENTOS!R1639="","",ORCAMENTOS!R1639)</f>
        <v>-</v>
      </c>
    </row>
    <row r="1632" spans="1:12" ht="15.75" hidden="1" customHeight="1" x14ac:dyDescent="0.25">
      <c r="A1632" s="36">
        <f>IF(ORCAMENTOS!A1640="","",ORCAMENTOS!A1640)</f>
        <v>45915</v>
      </c>
      <c r="B1632" s="46">
        <f>IF(ORCAMENTOS!B1640="","",ORCAMENTOS!B1640)</f>
        <v>1630</v>
      </c>
      <c r="C1632" s="46" t="str">
        <f>IF(ORCAMENTOS!C1640="","",ORCAMENTOS!C1640)</f>
        <v/>
      </c>
      <c r="D1632" s="37" t="str">
        <f>IF(ORCAMENTOS!D1640="","",ORCAMENTOS!D1640)</f>
        <v>AMS INSTALACOES</v>
      </c>
      <c r="E1632" s="38" t="str">
        <f>IF(ORCAMENTOS!E1640="","",ORCAMENTOS!E1640)</f>
        <v>AEROPORTO INTERNACIONAL DE SÃO PAULO - GUARULHOS - LOUNGE ITAU</v>
      </c>
      <c r="F1632" s="37" t="str">
        <f>IF(ORCAMENTOS!G1640="","",ORCAMENTOS!G1640)</f>
        <v>Gabriel</v>
      </c>
      <c r="G1632" s="37" t="str">
        <f>IF(ORCAMENTOS!H1640="","",ORCAMENTOS!H1640)</f>
        <v>Albertino</v>
      </c>
      <c r="H1632" s="39">
        <f>IF(ORCAMENTOS!I1640="","",ORCAMENTOS!I1640)</f>
        <v>114311.39</v>
      </c>
      <c r="I1632" s="60" t="str">
        <f>IF(ORCAMENTOS!J1640="","",ORCAMENTOS!J1640)</f>
        <v/>
      </c>
      <c r="J1632" s="40" t="str">
        <f>IF(ORCAMENTOS!L1640="","",ORCAMENTOS!L1640)</f>
        <v>CANCELADO</v>
      </c>
      <c r="K1632" s="34" t="str">
        <f>IF(ORCAMENTOS!M1640="","",ORCAMENTOS!M1640)</f>
        <v>-</v>
      </c>
      <c r="L1632" t="str">
        <f>IF(ORCAMENTOS!R1640="","",ORCAMENTOS!R1640)</f>
        <v>TDC EM CHAPA GALVANIZADA</v>
      </c>
    </row>
    <row r="1633" spans="1:12" ht="15.75" hidden="1" customHeight="1" x14ac:dyDescent="0.25">
      <c r="A1633" s="36">
        <f>IF(ORCAMENTOS!A1641="","",ORCAMENTOS!A1641)</f>
        <v>45915</v>
      </c>
      <c r="B1633" s="46">
        <f>IF(ORCAMENTOS!B1641="","",ORCAMENTOS!B1641)</f>
        <v>1631</v>
      </c>
      <c r="C1633" s="46" t="str">
        <f>IF(ORCAMENTOS!C1641="","",ORCAMENTOS!C1641)</f>
        <v/>
      </c>
      <c r="D1633" s="37" t="str">
        <f>IF(ORCAMENTOS!D1641="","",ORCAMENTOS!D1641)</f>
        <v>AWA AR CONDICIONADO</v>
      </c>
      <c r="E1633" s="38" t="str">
        <f>IF(ORCAMENTOS!E1641="","",ORCAMENTOS!E1641)</f>
        <v>TENDA ITU</v>
      </c>
      <c r="F1633" s="37" t="str">
        <f>IF(ORCAMENTOS!G1641="","",ORCAMENTOS!G1641)</f>
        <v>Guilherme</v>
      </c>
      <c r="G1633" s="37" t="str">
        <f>IF(ORCAMENTOS!H1641="","",ORCAMENTOS!H1641)</f>
        <v>Marcela</v>
      </c>
      <c r="H1633" s="39">
        <f>IF(ORCAMENTOS!I1641="","",ORCAMENTOS!I1641)</f>
        <v>18091.47</v>
      </c>
      <c r="I1633" s="60" t="str">
        <f>IF(ORCAMENTOS!J1641="","",ORCAMENTOS!J1641)</f>
        <v/>
      </c>
      <c r="J1633" s="40" t="str">
        <f>IF(ORCAMENTOS!L1641="","",ORCAMENTOS!L1641)</f>
        <v>FECHADO</v>
      </c>
      <c r="K1633" s="34" t="str">
        <f>IF(ORCAMENTOS!M1641="","",ORCAMENTOS!M1641)</f>
        <v>-</v>
      </c>
      <c r="L1633" t="str">
        <f>IF(ORCAMENTOS!R1641="","",ORCAMENTOS!R1641)</f>
        <v>-</v>
      </c>
    </row>
    <row r="1634" spans="1:12" ht="15.75" hidden="1" customHeight="1" x14ac:dyDescent="0.25">
      <c r="A1634" s="36">
        <f>IF(ORCAMENTOS!A1642="","",ORCAMENTOS!A1642)</f>
        <v>45915</v>
      </c>
      <c r="B1634" s="46">
        <f>IF(ORCAMENTOS!B1642="","",ORCAMENTOS!B1642)</f>
        <v>1632</v>
      </c>
      <c r="C1634" s="46" t="str">
        <f>IF(ORCAMENTOS!C1642="","",ORCAMENTOS!C1642)</f>
        <v/>
      </c>
      <c r="D1634" s="37" t="str">
        <f>IF(ORCAMENTOS!D1642="","",ORCAMENTOS!D1642)</f>
        <v>CIVIL AR</v>
      </c>
      <c r="E1634" s="38" t="str">
        <f>IF(ORCAMENTOS!E1642="","",ORCAMENTOS!E1642)</f>
        <v>HOSPITAL UNIMED - UNIDADE ANHANGUERA - JUNDIAI - SP</v>
      </c>
      <c r="F1634" s="37" t="str">
        <f>IF(ORCAMENTOS!G1642="","",ORCAMENTOS!G1642)</f>
        <v>Fernando</v>
      </c>
      <c r="G1634" s="37" t="str">
        <f>IF(ORCAMENTOS!H1642="","",ORCAMENTOS!H1642)</f>
        <v>Carmen</v>
      </c>
      <c r="H1634" s="39">
        <f>IF(ORCAMENTOS!I1642="","",ORCAMENTOS!I1642)</f>
        <v>687902.18</v>
      </c>
      <c r="I1634" s="60" t="str">
        <f>IF(ORCAMENTOS!J1642="","",ORCAMENTOS!J1642)</f>
        <v/>
      </c>
      <c r="J1634" s="40" t="str">
        <f>IF(ORCAMENTOS!L1642="","",ORCAMENTOS!L1642)</f>
        <v>CANCELADO</v>
      </c>
      <c r="K1634" s="34" t="str">
        <f>IF(ORCAMENTOS!M1642="","",ORCAMENTOS!M1642)</f>
        <v>CLIENTE NEGOCIANDO</v>
      </c>
      <c r="L1634" t="str">
        <f>IF(ORCAMENTOS!R1642="","",ORCAMENTOS!R1642)</f>
        <v>-</v>
      </c>
    </row>
    <row r="1635" spans="1:12" ht="15.75" hidden="1" customHeight="1" x14ac:dyDescent="0.25">
      <c r="A1635" s="36">
        <f>IF(ORCAMENTOS!A1643="","",ORCAMENTOS!A1643)</f>
        <v>45915</v>
      </c>
      <c r="B1635" s="46">
        <f>IF(ORCAMENTOS!B1643="","",ORCAMENTOS!B1643)</f>
        <v>1633</v>
      </c>
      <c r="C1635" s="46" t="str">
        <f>IF(ORCAMENTOS!C1643="","",ORCAMENTOS!C1643)</f>
        <v/>
      </c>
      <c r="D1635" s="37" t="str">
        <f>IF(ORCAMENTOS!D1643="","",ORCAMENTOS!D1643)</f>
        <v>ALL VENT</v>
      </c>
      <c r="E1635" s="38" t="str">
        <f>IF(ORCAMENTOS!E1643="","",ORCAMENTOS!E1643)</f>
        <v>MARCOS M</v>
      </c>
      <c r="F1635" s="37" t="str">
        <f>IF(ORCAMENTOS!G1643="","",ORCAMENTOS!G1643)</f>
        <v>Fernando</v>
      </c>
      <c r="G1635" s="37" t="str">
        <f>IF(ORCAMENTOS!H1643="","",ORCAMENTOS!H1643)</f>
        <v>Luciana</v>
      </c>
      <c r="H1635" s="39">
        <f>IF(ORCAMENTOS!I1643="","",ORCAMENTOS!I1643)</f>
        <v>6028.76</v>
      </c>
      <c r="I1635" s="60" t="str">
        <f>IF(ORCAMENTOS!J1643="","",ORCAMENTOS!J1643)</f>
        <v/>
      </c>
      <c r="J1635" s="40" t="str">
        <f>IF(ORCAMENTOS!L1643="","",ORCAMENTOS!L1643)</f>
        <v>CANCELADO</v>
      </c>
      <c r="K1635" s="34" t="str">
        <f>IF(ORCAMENTOS!M1643="","",ORCAMENTOS!M1643)</f>
        <v>-</v>
      </c>
      <c r="L1635" t="str">
        <f>IF(ORCAMENTOS!R1643="","",ORCAMENTOS!R1643)</f>
        <v>N/E</v>
      </c>
    </row>
    <row r="1636" spans="1:12" ht="15.75" hidden="1" customHeight="1" x14ac:dyDescent="0.25">
      <c r="A1636" s="36">
        <f>IF(ORCAMENTOS!A1644="","",ORCAMENTOS!A1644)</f>
        <v>45915</v>
      </c>
      <c r="B1636" s="46">
        <f>IF(ORCAMENTOS!B1644="","",ORCAMENTOS!B1644)</f>
        <v>1634</v>
      </c>
      <c r="C1636" s="46" t="str">
        <f>IF(ORCAMENTOS!C1644="","",ORCAMENTOS!C1644)</f>
        <v/>
      </c>
      <c r="D1636" s="37" t="str">
        <f>IF(ORCAMENTOS!D1644="","",ORCAMENTOS!D1644)</f>
        <v>DUTOMAX</v>
      </c>
      <c r="E1636" s="38" t="str">
        <f>IF(ORCAMENTOS!E1644="","",ORCAMENTOS!E1644)</f>
        <v>-</v>
      </c>
      <c r="F1636" s="37" t="str">
        <f>IF(ORCAMENTOS!G1644="","",ORCAMENTOS!G1644)</f>
        <v>Gabriel</v>
      </c>
      <c r="G1636" s="37" t="str">
        <f>IF(ORCAMENTOS!H1644="","",ORCAMENTOS!H1644)</f>
        <v>Jura</v>
      </c>
      <c r="H1636" s="39">
        <f>IF(ORCAMENTOS!I1644="","",ORCAMENTOS!I1644)</f>
        <v>3550.22</v>
      </c>
      <c r="I1636" s="60" t="str">
        <f>IF(ORCAMENTOS!J1644="","",ORCAMENTOS!J1644)</f>
        <v/>
      </c>
      <c r="J1636" s="40" t="str">
        <f>IF(ORCAMENTOS!L1644="","",ORCAMENTOS!L1644)</f>
        <v>CANCELADO</v>
      </c>
      <c r="K1636" s="34" t="str">
        <f>IF(ORCAMENTOS!M1644="","",ORCAMENTOS!M1644)</f>
        <v>-</v>
      </c>
      <c r="L1636" t="str">
        <f>IF(ORCAMENTOS!R1644="","",ORCAMENTOS!R1644)</f>
        <v>-</v>
      </c>
    </row>
    <row r="1637" spans="1:12" ht="15.75" hidden="1" customHeight="1" x14ac:dyDescent="0.25">
      <c r="A1637" s="36">
        <f>IF(ORCAMENTOS!A1645="","",ORCAMENTOS!A1645)</f>
        <v>45915</v>
      </c>
      <c r="B1637" s="46">
        <f>IF(ORCAMENTOS!B1645="","",ORCAMENTOS!B1645)</f>
        <v>1635</v>
      </c>
      <c r="C1637" s="46" t="str">
        <f>IF(ORCAMENTOS!C1645="","",ORCAMENTOS!C1645)</f>
        <v/>
      </c>
      <c r="D1637" s="37" t="str">
        <f>IF(ORCAMENTOS!D1645="","",ORCAMENTOS!D1645)</f>
        <v>NOSSO AR</v>
      </c>
      <c r="E1637" s="38" t="str">
        <f>IF(ORCAMENTOS!E1645="","",ORCAMENTOS!E1645)</f>
        <v>-</v>
      </c>
      <c r="F1637" s="37" t="str">
        <f>IF(ORCAMENTOS!G1645="","",ORCAMENTOS!G1645)</f>
        <v>Gabriel</v>
      </c>
      <c r="G1637" s="37" t="str">
        <f>IF(ORCAMENTOS!H1645="","",ORCAMENTOS!H1645)</f>
        <v>Leonardo</v>
      </c>
      <c r="H1637" s="39">
        <f>IF(ORCAMENTOS!I1645="","",ORCAMENTOS!I1645)</f>
        <v>609.4</v>
      </c>
      <c r="I1637" s="60" t="str">
        <f>IF(ORCAMENTOS!J1645="","",ORCAMENTOS!J1645)</f>
        <v/>
      </c>
      <c r="J1637" s="40" t="str">
        <f>IF(ORCAMENTOS!L1645="","",ORCAMENTOS!L1645)</f>
        <v>FECHADO</v>
      </c>
      <c r="K1637" s="34" t="str">
        <f>IF(ORCAMENTOS!M1645="","",ORCAMENTOS!M1645)</f>
        <v>-</v>
      </c>
      <c r="L1637" t="str">
        <f>IF(ORCAMENTOS!R1645="","",ORCAMENTOS!R1645)</f>
        <v>-</v>
      </c>
    </row>
    <row r="1638" spans="1:12" ht="15.75" hidden="1" customHeight="1" x14ac:dyDescent="0.25">
      <c r="A1638" s="36">
        <f>IF(ORCAMENTOS!A1646="","",ORCAMENTOS!A1646)</f>
        <v>45916</v>
      </c>
      <c r="B1638" s="46">
        <f>IF(ORCAMENTOS!B1646="","",ORCAMENTOS!B1646)</f>
        <v>1636</v>
      </c>
      <c r="C1638" s="46" t="str">
        <f>IF(ORCAMENTOS!C1646="","",ORCAMENTOS!C1646)</f>
        <v/>
      </c>
      <c r="D1638" s="37" t="str">
        <f>IF(ORCAMENTOS!D1646="","",ORCAMENTOS!D1646)</f>
        <v>ECOWORK</v>
      </c>
      <c r="E1638" s="38" t="str">
        <f>IF(ORCAMENTOS!E1646="","",ORCAMENTOS!E1646)</f>
        <v>-</v>
      </c>
      <c r="F1638" s="37" t="str">
        <f>IF(ORCAMENTOS!G1646="","",ORCAMENTOS!G1646)</f>
        <v>Emanuel</v>
      </c>
      <c r="G1638" s="37" t="str">
        <f>IF(ORCAMENTOS!H1646="","",ORCAMENTOS!H1646)</f>
        <v>Julyane</v>
      </c>
      <c r="H1638" s="39">
        <f>IF(ORCAMENTOS!I1646="","",ORCAMENTOS!I1646)</f>
        <v>6052.1</v>
      </c>
      <c r="I1638" s="60" t="str">
        <f>IF(ORCAMENTOS!J1646="","",ORCAMENTOS!J1646)</f>
        <v/>
      </c>
      <c r="J1638" s="40" t="str">
        <f>IF(ORCAMENTOS!L1646="","",ORCAMENTOS!L1646)</f>
        <v>CANCELADO</v>
      </c>
      <c r="K1638" s="34" t="str">
        <f>IF(ORCAMENTOS!M1646="","",ORCAMENTOS!M1646)</f>
        <v>-</v>
      </c>
      <c r="L1638" t="str">
        <f>IF(ORCAMENTOS!R1646="","",ORCAMENTOS!R1646)</f>
        <v>-</v>
      </c>
    </row>
    <row r="1639" spans="1:12" ht="15.75" hidden="1" customHeight="1" x14ac:dyDescent="0.25">
      <c r="A1639" s="36">
        <f>IF(ORCAMENTOS!A1647="","",ORCAMENTOS!A1647)</f>
        <v>45916</v>
      </c>
      <c r="B1639" s="46">
        <f>IF(ORCAMENTOS!B1647="","",ORCAMENTOS!B1647)</f>
        <v>1637</v>
      </c>
      <c r="C1639" s="46" t="str">
        <f>IF(ORCAMENTOS!C1647="","",ORCAMENTOS!C1647)</f>
        <v/>
      </c>
      <c r="D1639" s="37" t="str">
        <f>IF(ORCAMENTOS!D1647="","",ORCAMENTOS!D1647)</f>
        <v>X AIR</v>
      </c>
      <c r="E1639" s="38" t="str">
        <f>IF(ORCAMENTOS!E1647="","",ORCAMENTOS!E1647)</f>
        <v>SANTA CASA DE ARARAQUARA - SP - MAQUINAS RESTANTES</v>
      </c>
      <c r="F1639" s="37" t="str">
        <f>IF(ORCAMENTOS!G1647="","",ORCAMENTOS!G1647)</f>
        <v>Emanuel</v>
      </c>
      <c r="G1639" s="37" t="str">
        <f>IF(ORCAMENTOS!H1647="","",ORCAMENTOS!H1647)</f>
        <v>Isabela</v>
      </c>
      <c r="H1639" s="39">
        <f>IF(ORCAMENTOS!I1647="","",ORCAMENTOS!I1647)</f>
        <v>53255.02</v>
      </c>
      <c r="I1639" s="60" t="str">
        <f>IF(ORCAMENTOS!J1647="","",ORCAMENTOS!J1647)</f>
        <v/>
      </c>
      <c r="J1639" s="40" t="str">
        <f>IF(ORCAMENTOS!L1647="","",ORCAMENTOS!L1647)</f>
        <v>CANCELADO</v>
      </c>
      <c r="K1639" s="34" t="str">
        <f>IF(ORCAMENTOS!M1647="","",ORCAMENTOS!M1647)</f>
        <v>-</v>
      </c>
      <c r="L1639" t="str">
        <f>IF(ORCAMENTOS!R1647="","",ORCAMENTOS!R1647)</f>
        <v>MPU</v>
      </c>
    </row>
    <row r="1640" spans="1:12" ht="15.75" hidden="1" customHeight="1" x14ac:dyDescent="0.25">
      <c r="A1640" s="36">
        <f>IF(ORCAMENTOS!A1648="","",ORCAMENTOS!A1648)</f>
        <v>45916</v>
      </c>
      <c r="B1640" s="46">
        <f>IF(ORCAMENTOS!B1648="","",ORCAMENTOS!B1648)</f>
        <v>1638</v>
      </c>
      <c r="C1640" s="46" t="str">
        <f>IF(ORCAMENTOS!C1648="","",ORCAMENTOS!C1648)</f>
        <v/>
      </c>
      <c r="D1640" s="37" t="str">
        <f>IF(ORCAMENTOS!D1648="","",ORCAMENTOS!D1648)</f>
        <v>GLACIAR</v>
      </c>
      <c r="E1640" s="38" t="str">
        <f>IF(ORCAMENTOS!E1648="","",ORCAMENTOS!E1648)</f>
        <v xml:space="preserve">P&amp;G - 2º PAVMENTO </v>
      </c>
      <c r="F1640" s="37" t="str">
        <f>IF(ORCAMENTOS!G1648="","",ORCAMENTOS!G1648)</f>
        <v xml:space="preserve">Aldavir </v>
      </c>
      <c r="G1640" s="37" t="str">
        <f>IF(ORCAMENTOS!H1648="","",ORCAMENTOS!H1648)</f>
        <v>Vanessa</v>
      </c>
      <c r="H1640" s="39" t="str">
        <f>IF(ORCAMENTOS!I1648="","",ORCAMENTOS!I1648)</f>
        <v>-</v>
      </c>
      <c r="I1640" s="60" t="str">
        <f>IF(ORCAMENTOS!J1648="","",ORCAMENTOS!J1648)</f>
        <v/>
      </c>
      <c r="J1640" s="40" t="str">
        <f>IF(ORCAMENTOS!L1648="","",ORCAMENTOS!L1648)</f>
        <v>CANCELADO</v>
      </c>
      <c r="K1640" s="34" t="str">
        <f>IF(ORCAMENTOS!M1648="","",ORCAMENTOS!M1648)</f>
        <v>OBRA DA FANCOLD</v>
      </c>
      <c r="L1640" t="str">
        <f>IF(ORCAMENTOS!R1648="","",ORCAMENTOS!R1648)</f>
        <v>-</v>
      </c>
    </row>
    <row r="1641" spans="1:12" ht="15.75" hidden="1" customHeight="1" x14ac:dyDescent="0.25">
      <c r="A1641" s="36">
        <f>IF(ORCAMENTOS!A1649="","",ORCAMENTOS!A1649)</f>
        <v>45916</v>
      </c>
      <c r="B1641" s="46">
        <f>IF(ORCAMENTOS!B1649="","",ORCAMENTOS!B1649)</f>
        <v>1639</v>
      </c>
      <c r="C1641" s="46" t="str">
        <f>IF(ORCAMENTOS!C1649="","",ORCAMENTOS!C1649)</f>
        <v/>
      </c>
      <c r="D1641" s="37" t="str">
        <f>IF(ORCAMENTOS!D1649="","",ORCAMENTOS!D1649)</f>
        <v>EKO CLIMAX</v>
      </c>
      <c r="E1641" s="38" t="str">
        <f>IF(ORCAMENTOS!E1649="","",ORCAMENTOS!E1649)</f>
        <v>-</v>
      </c>
      <c r="F1641" s="37" t="str">
        <f>IF(ORCAMENTOS!G1649="","",ORCAMENTOS!G1649)</f>
        <v>Michel</v>
      </c>
      <c r="G1641" s="37" t="str">
        <f>IF(ORCAMENTOS!H1649="","",ORCAMENTOS!H1649)</f>
        <v>Rogerio</v>
      </c>
      <c r="H1641" s="39">
        <f>IF(ORCAMENTOS!I1649="","",ORCAMENTOS!I1649)</f>
        <v>9266.61</v>
      </c>
      <c r="I1641" s="60" t="str">
        <f>IF(ORCAMENTOS!J1649="","",ORCAMENTOS!J1649)</f>
        <v/>
      </c>
      <c r="J1641" s="40" t="str">
        <f>IF(ORCAMENTOS!L1649="","",ORCAMENTOS!L1649)</f>
        <v>FECHADO</v>
      </c>
      <c r="K1641" s="34" t="str">
        <f>IF(ORCAMENTOS!M1649="","",ORCAMENTOS!M1649)</f>
        <v>-</v>
      </c>
      <c r="L1641" t="str">
        <f>IF(ORCAMENTOS!R1649="","",ORCAMENTOS!R1649)</f>
        <v>-</v>
      </c>
    </row>
    <row r="1642" spans="1:12" ht="15.75" hidden="1" customHeight="1" x14ac:dyDescent="0.25">
      <c r="A1642" s="36">
        <f>IF(ORCAMENTOS!A1650="","",ORCAMENTOS!A1650)</f>
        <v>45917</v>
      </c>
      <c r="B1642" s="46">
        <f>IF(ORCAMENTOS!B1650="","",ORCAMENTOS!B1650)</f>
        <v>1640</v>
      </c>
      <c r="C1642" s="46" t="str">
        <f>IF(ORCAMENTOS!C1650="","",ORCAMENTOS!C1650)</f>
        <v/>
      </c>
      <c r="D1642" s="37" t="str">
        <f>IF(ORCAMENTOS!D1650="","",ORCAMENTOS!D1650)</f>
        <v>CLIMA SPACE</v>
      </c>
      <c r="E1642" s="38" t="str">
        <f>IF(ORCAMENTOS!E1650="","",ORCAMENTOS!E1650)</f>
        <v>Sienge - 026</v>
      </c>
      <c r="F1642" s="37" t="str">
        <f>IF(ORCAMENTOS!G1650="","",ORCAMENTOS!G1650)</f>
        <v xml:space="preserve">Aldavir </v>
      </c>
      <c r="G1642" s="37" t="str">
        <f>IF(ORCAMENTOS!H1650="","",ORCAMENTOS!H1650)</f>
        <v>Sirley</v>
      </c>
      <c r="H1642" s="39">
        <f>IF(ORCAMENTOS!I1650="","",ORCAMENTOS!I1650)</f>
        <v>9025.3700000000008</v>
      </c>
      <c r="I1642" s="60" t="str">
        <f>IF(ORCAMENTOS!J1650="","",ORCAMENTOS!J1650)</f>
        <v/>
      </c>
      <c r="J1642" s="40" t="str">
        <f>IF(ORCAMENTOS!L1650="","",ORCAMENTOS!L1650)</f>
        <v>FECHADO</v>
      </c>
      <c r="K1642" s="34" t="str">
        <f>IF(ORCAMENTOS!M1650="","",ORCAMENTOS!M1650)</f>
        <v>-</v>
      </c>
      <c r="L1642" t="str">
        <f>IF(ORCAMENTOS!R1650="","",ORCAMENTOS!R1650)</f>
        <v>-</v>
      </c>
    </row>
    <row r="1643" spans="1:12" ht="15.75" hidden="1" customHeight="1" x14ac:dyDescent="0.25">
      <c r="A1643" s="36">
        <f>IF(ORCAMENTOS!A1651="","",ORCAMENTOS!A1651)</f>
        <v>45885</v>
      </c>
      <c r="B1643" s="46">
        <f>IF(ORCAMENTOS!B1651="","",ORCAMENTOS!B1651)</f>
        <v>1641</v>
      </c>
      <c r="C1643" s="46" t="str">
        <f>IF(ORCAMENTOS!C1651="","",ORCAMENTOS!C1651)</f>
        <v/>
      </c>
      <c r="D1643" s="37" t="str">
        <f>IF(ORCAMENTOS!D1651="","",ORCAMENTOS!D1651)</f>
        <v>ARPRESS</v>
      </c>
      <c r="E1643" s="38" t="str">
        <f>IF(ORCAMENTOS!E1651="","",ORCAMENTOS!E1651)</f>
        <v>FRESH CENTER</v>
      </c>
      <c r="F1643" s="37" t="str">
        <f>IF(ORCAMENTOS!G1651="","",ORCAMENTOS!G1651)</f>
        <v>Emanuel</v>
      </c>
      <c r="G1643" s="37" t="str">
        <f>IF(ORCAMENTOS!H1651="","",ORCAMENTOS!H1651)</f>
        <v>Mario</v>
      </c>
      <c r="H1643" s="39">
        <f>IF(ORCAMENTOS!I1651="","",ORCAMENTOS!I1651)</f>
        <v>56952.14</v>
      </c>
      <c r="I1643" s="60" t="str">
        <f>IF(ORCAMENTOS!J1651="","",ORCAMENTOS!J1651)</f>
        <v/>
      </c>
      <c r="J1643" s="40" t="str">
        <f>IF(ORCAMENTOS!L1651="","",ORCAMENTOS!L1651)</f>
        <v>CANCELADO</v>
      </c>
      <c r="K1643" s="34" t="str">
        <f>IF(ORCAMENTOS!M1651="","",ORCAMENTOS!M1651)</f>
        <v>-</v>
      </c>
      <c r="L1643" t="str">
        <f>IF(ORCAMENTOS!R1651="","",ORCAMENTOS!R1651)</f>
        <v>-</v>
      </c>
    </row>
    <row r="1644" spans="1:12" ht="15.75" hidden="1" customHeight="1" x14ac:dyDescent="0.25">
      <c r="A1644" s="36">
        <f>IF(ORCAMENTOS!A1652="","",ORCAMENTOS!A1652)</f>
        <v>45916</v>
      </c>
      <c r="B1644" s="46">
        <f>IF(ORCAMENTOS!B1652="","",ORCAMENTOS!B1652)</f>
        <v>1642</v>
      </c>
      <c r="C1644" s="46" t="str">
        <f>IF(ORCAMENTOS!C1652="","",ORCAMENTOS!C1652)</f>
        <v/>
      </c>
      <c r="D1644" s="37" t="str">
        <f>IF(ORCAMENTOS!D1652="","",ORCAMENTOS!D1652)</f>
        <v>ISOLEV</v>
      </c>
      <c r="E1644" s="38" t="str">
        <f>IF(ORCAMENTOS!E1652="","",ORCAMENTOS!E1652)</f>
        <v>PREVENT MADAGASCAR</v>
      </c>
      <c r="F1644" s="37" t="str">
        <f>IF(ORCAMENTOS!G1652="","",ORCAMENTOS!G1652)</f>
        <v>Michel</v>
      </c>
      <c r="G1644" s="37" t="str">
        <f>IF(ORCAMENTOS!H1652="","",ORCAMENTOS!H1652)</f>
        <v>Edson</v>
      </c>
      <c r="H1644" s="39">
        <f>IF(ORCAMENTOS!I1652="","",ORCAMENTOS!I1652)</f>
        <v>794305.66</v>
      </c>
      <c r="I1644" s="60" t="str">
        <f>IF(ORCAMENTOS!J1652="","",ORCAMENTOS!J1652)</f>
        <v/>
      </c>
      <c r="J1644" s="40" t="str">
        <f>IF(ORCAMENTOS!L1652="","",ORCAMENTOS!L1652)</f>
        <v>CANCELADO</v>
      </c>
      <c r="K1644" s="34" t="str">
        <f>IF(ORCAMENTOS!M1652="","",ORCAMENTOS!M1652)</f>
        <v>-</v>
      </c>
      <c r="L1644" t="str">
        <f>IF(ORCAMENTOS!R1652="","",ORCAMENTOS!R1652)</f>
        <v>-</v>
      </c>
    </row>
    <row r="1645" spans="1:12" ht="15.75" hidden="1" customHeight="1" x14ac:dyDescent="0.25">
      <c r="A1645" s="36">
        <f>IF(ORCAMENTOS!A1653="","",ORCAMENTOS!A1653)</f>
        <v>45916</v>
      </c>
      <c r="B1645" s="46">
        <f>IF(ORCAMENTOS!B1653="","",ORCAMENTOS!B1653)</f>
        <v>1643</v>
      </c>
      <c r="C1645" s="46" t="str">
        <f>IF(ORCAMENTOS!C1653="","",ORCAMENTOS!C1653)</f>
        <v/>
      </c>
      <c r="D1645" s="37" t="str">
        <f>IF(ORCAMENTOS!D1653="","",ORCAMENTOS!D1653)</f>
        <v>ADL DUTOS</v>
      </c>
      <c r="E1645" s="38" t="str">
        <f>IF(ORCAMENTOS!E1653="","",ORCAMENTOS!E1653)</f>
        <v>SMART FIT - JUNDIAI - CECAP - VILA FORMOSA</v>
      </c>
      <c r="F1645" s="37" t="str">
        <f>IF(ORCAMENTOS!G1653="","",ORCAMENTOS!G1653)</f>
        <v>Gabriel</v>
      </c>
      <c r="G1645" s="37" t="str">
        <f>IF(ORCAMENTOS!H1653="","",ORCAMENTOS!H1653)</f>
        <v>Robson</v>
      </c>
      <c r="H1645" s="39">
        <f>IF(ORCAMENTOS!I1653="","",ORCAMENTOS!I1653)</f>
        <v>61923.69</v>
      </c>
      <c r="I1645" s="60" t="str">
        <f>IF(ORCAMENTOS!J1653="","",ORCAMENTOS!J1653)</f>
        <v/>
      </c>
      <c r="J1645" s="40" t="str">
        <f>IF(ORCAMENTOS!L1653="","",ORCAMENTOS!L1653)</f>
        <v>CANCELADO</v>
      </c>
      <c r="K1645" s="34" t="str">
        <f>IF(ORCAMENTOS!M1653="","",ORCAMENTOS!M1653)</f>
        <v/>
      </c>
      <c r="L1645" t="str">
        <f>IF(ORCAMENTOS!R1653="","",ORCAMENTOS!R1653)</f>
        <v/>
      </c>
    </row>
    <row r="1646" spans="1:12" ht="15.75" hidden="1" customHeight="1" x14ac:dyDescent="0.25">
      <c r="A1646" s="36">
        <f>IF(ORCAMENTOS!A1654="","",ORCAMENTOS!A1654)</f>
        <v>45916</v>
      </c>
      <c r="B1646" s="46">
        <f>IF(ORCAMENTOS!B1654="","",ORCAMENTOS!B1654)</f>
        <v>1644</v>
      </c>
      <c r="C1646" s="46" t="str">
        <f>IF(ORCAMENTOS!C1654="","",ORCAMENTOS!C1654)</f>
        <v/>
      </c>
      <c r="D1646" s="37" t="str">
        <f>IF(ORCAMENTOS!D1654="","",ORCAMENTOS!D1654)</f>
        <v>COLDTERMICA</v>
      </c>
      <c r="E1646" s="38" t="str">
        <f>IF(ORCAMENTOS!E1654="","",ORCAMENTOS!E1654)</f>
        <v>Loja RNR 613 Sh Praia Sul</v>
      </c>
      <c r="F1646" s="37" t="str">
        <f>IF(ORCAMENTOS!G1654="","",ORCAMENTOS!G1654)</f>
        <v>Gabriel</v>
      </c>
      <c r="G1646" s="37" t="str">
        <f>IF(ORCAMENTOS!H1654="","",ORCAMENTOS!H1654)</f>
        <v>Denis</v>
      </c>
      <c r="H1646" s="39">
        <f>IF(ORCAMENTOS!I1654="","",ORCAMENTOS!I1654)</f>
        <v>49146.3</v>
      </c>
      <c r="I1646" s="60" t="str">
        <f>IF(ORCAMENTOS!J1654="","",ORCAMENTOS!J1654)</f>
        <v/>
      </c>
      <c r="J1646" s="40" t="str">
        <f>IF(ORCAMENTOS!L1654="","",ORCAMENTOS!L1654)</f>
        <v>FECHADO</v>
      </c>
      <c r="K1646" s="34" t="str">
        <f>IF(ORCAMENTOS!M1654="","",ORCAMENTOS!M1654)</f>
        <v>-</v>
      </c>
      <c r="L1646" t="str">
        <f>IF(ORCAMENTOS!R1654="","",ORCAMENTOS!R1654)</f>
        <v>-</v>
      </c>
    </row>
    <row r="1647" spans="1:12" ht="15.75" hidden="1" customHeight="1" x14ac:dyDescent="0.25">
      <c r="A1647" s="36">
        <f>IF(ORCAMENTOS!A1655="","",ORCAMENTOS!A1655)</f>
        <v>45917</v>
      </c>
      <c r="B1647" s="46">
        <f>IF(ORCAMENTOS!B1655="","",ORCAMENTOS!B1655)</f>
        <v>1645</v>
      </c>
      <c r="C1647" s="46" t="str">
        <f>IF(ORCAMENTOS!C1655="","",ORCAMENTOS!C1655)</f>
        <v/>
      </c>
      <c r="D1647" s="37" t="str">
        <f>IF(ORCAMENTOS!D1655="","",ORCAMENTOS!D1655)</f>
        <v>TERMOCLIMA</v>
      </c>
      <c r="E1647" s="38" t="str">
        <f>IF(ORCAMENTOS!E1655="","",ORCAMENTOS!E1655)</f>
        <v>COOPERATIVA DE CREDITO TEIXEIRA DE FREITAS - CENTRO - BA</v>
      </c>
      <c r="F1647" s="37" t="str">
        <f>IF(ORCAMENTOS!G1655="","",ORCAMENTOS!G1655)</f>
        <v>Gabriel</v>
      </c>
      <c r="G1647" s="37" t="str">
        <f>IF(ORCAMENTOS!H1655="","",ORCAMENTOS!H1655)</f>
        <v>Pedro</v>
      </c>
      <c r="H1647" s="39">
        <f>IF(ORCAMENTOS!I1655="","",ORCAMENTOS!I1655)</f>
        <v>20555.060000000001</v>
      </c>
      <c r="I1647" s="60" t="str">
        <f>IF(ORCAMENTOS!J1655="","",ORCAMENTOS!J1655)</f>
        <v/>
      </c>
      <c r="J1647" s="40" t="str">
        <f>IF(ORCAMENTOS!L1655="","",ORCAMENTOS!L1655)</f>
        <v>CANCELADO</v>
      </c>
      <c r="K1647" s="34" t="str">
        <f>IF(ORCAMENTOS!M1655="","",ORCAMENTOS!M1655)</f>
        <v>-</v>
      </c>
      <c r="L1647" t="str">
        <f>IF(ORCAMENTOS!R1655="","",ORCAMENTOS!R1655)</f>
        <v>-</v>
      </c>
    </row>
    <row r="1648" spans="1:12" ht="15.75" hidden="1" customHeight="1" x14ac:dyDescent="0.25">
      <c r="A1648" s="36">
        <f>IF(ORCAMENTOS!A1656="","",ORCAMENTOS!A1656)</f>
        <v>45914</v>
      </c>
      <c r="B1648" s="46">
        <f>IF(ORCAMENTOS!B1656="","",ORCAMENTOS!B1656)</f>
        <v>1646</v>
      </c>
      <c r="C1648" s="46" t="str">
        <f>IF(ORCAMENTOS!C1656="","",ORCAMENTOS!C1656)</f>
        <v/>
      </c>
      <c r="D1648" s="37" t="str">
        <f>IF(ORCAMENTOS!D1656="","",ORCAMENTOS!D1656)</f>
        <v>CONSTRUCLIMA</v>
      </c>
      <c r="E1648" s="38" t="str">
        <f>IF(ORCAMENTOS!E1656="","",ORCAMENTOS!E1656)</f>
        <v>GENERAL MOTORS - REFEITÓRIO RM 10</v>
      </c>
      <c r="F1648" s="37" t="str">
        <f>IF(ORCAMENTOS!G1656="","",ORCAMENTOS!G1656)</f>
        <v>Guilherme</v>
      </c>
      <c r="G1648" s="37" t="str">
        <f>IF(ORCAMENTOS!H1656="","",ORCAMENTOS!H1656)</f>
        <v>Douglas</v>
      </c>
      <c r="H1648" s="39">
        <f>IF(ORCAMENTOS!I1656="","",ORCAMENTOS!I1656)</f>
        <v>44625.37</v>
      </c>
      <c r="I1648" s="60" t="str">
        <f>IF(ORCAMENTOS!J1656="","",ORCAMENTOS!J1656)</f>
        <v/>
      </c>
      <c r="J1648" s="40" t="str">
        <f>IF(ORCAMENTOS!L1656="","",ORCAMENTOS!L1656)</f>
        <v>FECHADO</v>
      </c>
      <c r="K1648" s="34" t="str">
        <f>IF(ORCAMENTOS!M1656="","",ORCAMENTOS!M1656)</f>
        <v>-</v>
      </c>
      <c r="L1648" t="str">
        <f>IF(ORCAMENTOS!R1656="","",ORCAMENTOS!R1656)</f>
        <v>-</v>
      </c>
    </row>
    <row r="1649" spans="1:12" ht="15.75" hidden="1" customHeight="1" x14ac:dyDescent="0.25">
      <c r="A1649" s="36">
        <f>IF(ORCAMENTOS!A1657="","",ORCAMENTOS!A1657)</f>
        <v>45917</v>
      </c>
      <c r="B1649" s="46">
        <f>IF(ORCAMENTOS!B1657="","",ORCAMENTOS!B1657)</f>
        <v>1647</v>
      </c>
      <c r="C1649" s="46" t="str">
        <f>IF(ORCAMENTOS!C1657="","",ORCAMENTOS!C1657)</f>
        <v/>
      </c>
      <c r="D1649" s="37" t="str">
        <f>IF(ORCAMENTOS!D1657="","",ORCAMENTOS!D1657)</f>
        <v>AWA AR CONDICIONADO</v>
      </c>
      <c r="E1649" s="38" t="str">
        <f>IF(ORCAMENTOS!E1657="","",ORCAMENTOS!E1657)</f>
        <v>SPAZIO MATEUS OLHO D AGUA - SÃO LUIS - MA</v>
      </c>
      <c r="F1649" s="37" t="str">
        <f>IF(ORCAMENTOS!G1657="","",ORCAMENTOS!G1657)</f>
        <v>Guilherme</v>
      </c>
      <c r="G1649" s="37" t="str">
        <f>IF(ORCAMENTOS!H1657="","",ORCAMENTOS!H1657)</f>
        <v>Guilherme</v>
      </c>
      <c r="H1649" s="39">
        <f>IF(ORCAMENTOS!I1657="","",ORCAMENTOS!I1657)</f>
        <v>97324.08</v>
      </c>
      <c r="I1649" s="60" t="str">
        <f>IF(ORCAMENTOS!J1657="","",ORCAMENTOS!J1657)</f>
        <v/>
      </c>
      <c r="J1649" s="40" t="str">
        <f>IF(ORCAMENTOS!L1657="","",ORCAMENTOS!L1657)</f>
        <v>CANCELADO</v>
      </c>
      <c r="K1649" s="34" t="str">
        <f>IF(ORCAMENTOS!M1657="","",ORCAMENTOS!M1657)</f>
        <v>-</v>
      </c>
      <c r="L1649" t="str">
        <f>IF(ORCAMENTOS!R1657="","",ORCAMENTOS!R1657)</f>
        <v>MPU</v>
      </c>
    </row>
    <row r="1650" spans="1:12" ht="15.75" hidden="1" customHeight="1" x14ac:dyDescent="0.25">
      <c r="A1650" s="36">
        <f>IF(ORCAMENTOS!A1658="","",ORCAMENTOS!A1658)</f>
        <v>45917</v>
      </c>
      <c r="B1650" s="46">
        <f>IF(ORCAMENTOS!B1658="","",ORCAMENTOS!B1658)</f>
        <v>1648</v>
      </c>
      <c r="C1650" s="46" t="str">
        <f>IF(ORCAMENTOS!C1658="","",ORCAMENTOS!C1658)</f>
        <v/>
      </c>
      <c r="D1650" s="37" t="str">
        <f>IF(ORCAMENTOS!D1658="","",ORCAMENTOS!D1658)</f>
        <v>SESIL AR</v>
      </c>
      <c r="E1650" s="38" t="str">
        <f>IF(ORCAMENTOS!E1658="","",ORCAMENTOS!E1658)</f>
        <v>SMARTFIT - CARAPICUIBA - SP</v>
      </c>
      <c r="F1650" s="37" t="str">
        <f>IF(ORCAMENTOS!G1658="","",ORCAMENTOS!G1658)</f>
        <v>Fernando</v>
      </c>
      <c r="G1650" s="37" t="str">
        <f>IF(ORCAMENTOS!H1658="","",ORCAMENTOS!H1658)</f>
        <v>Wagner</v>
      </c>
      <c r="H1650" s="39">
        <f>IF(ORCAMENTOS!I1658="","",ORCAMENTOS!I1658)</f>
        <v>56067.85</v>
      </c>
      <c r="I1650" s="60" t="str">
        <f>IF(ORCAMENTOS!J1658="","",ORCAMENTOS!J1658)</f>
        <v/>
      </c>
      <c r="J1650" s="40" t="str">
        <f>IF(ORCAMENTOS!L1658="","",ORCAMENTOS!L1658)</f>
        <v>FECHADO</v>
      </c>
      <c r="K1650" s="34" t="str">
        <f>IF(ORCAMENTOS!M1658="","",ORCAMENTOS!M1658)</f>
        <v>-</v>
      </c>
      <c r="L1650" t="str">
        <f>IF(ORCAMENTOS!R1658="","",ORCAMENTOS!R1658)</f>
        <v>N/E</v>
      </c>
    </row>
    <row r="1651" spans="1:12" ht="15.75" hidden="1" customHeight="1" x14ac:dyDescent="0.25">
      <c r="A1651" s="36">
        <f>IF(ORCAMENTOS!A1659="","",ORCAMENTOS!A1659)</f>
        <v>45918</v>
      </c>
      <c r="B1651" s="46">
        <f>IF(ORCAMENTOS!B1659="","",ORCAMENTOS!B1659)</f>
        <v>1649</v>
      </c>
      <c r="C1651" s="46" t="str">
        <f>IF(ORCAMENTOS!C1659="","",ORCAMENTOS!C1659)</f>
        <v/>
      </c>
      <c r="D1651" s="37" t="str">
        <f>IF(ORCAMENTOS!D1659="","",ORCAMENTOS!D1659)</f>
        <v>AIRCONDYGIO</v>
      </c>
      <c r="E1651" s="38" t="str">
        <f>IF(ORCAMENTOS!E1659="","",ORCAMENTOS!E1659)</f>
        <v>RIACHUELO - RUA DOS PINHEIROS</v>
      </c>
      <c r="F1651" s="37" t="str">
        <f>IF(ORCAMENTOS!G1659="","",ORCAMENTOS!G1659)</f>
        <v>Gabriel</v>
      </c>
      <c r="G1651" s="37" t="str">
        <f>IF(ORCAMENTOS!H1659="","",ORCAMENTOS!H1659)</f>
        <v>Beatriz</v>
      </c>
      <c r="H1651" s="39">
        <f>IF(ORCAMENTOS!I1659="","",ORCAMENTOS!I1659)</f>
        <v>14240.72</v>
      </c>
      <c r="I1651" s="60" t="str">
        <f>IF(ORCAMENTOS!J1659="","",ORCAMENTOS!J1659)</f>
        <v/>
      </c>
      <c r="J1651" s="40" t="str">
        <f>IF(ORCAMENTOS!L1659="","",ORCAMENTOS!L1659)</f>
        <v>CANCELADO</v>
      </c>
      <c r="K1651" s="34" t="str">
        <f>IF(ORCAMENTOS!M1659="","",ORCAMENTOS!M1659)</f>
        <v>-</v>
      </c>
      <c r="L1651" t="str">
        <f>IF(ORCAMENTOS!R1659="","",ORCAMENTOS!R1659)</f>
        <v/>
      </c>
    </row>
    <row r="1652" spans="1:12" ht="15.75" hidden="1" customHeight="1" x14ac:dyDescent="0.25">
      <c r="A1652" s="36">
        <f>IF(ORCAMENTOS!A1660="","",ORCAMENTOS!A1660)</f>
        <v>45918</v>
      </c>
      <c r="B1652" s="46">
        <f>IF(ORCAMENTOS!B1660="","",ORCAMENTOS!B1660)</f>
        <v>1650</v>
      </c>
      <c r="C1652" s="46" t="str">
        <f>IF(ORCAMENTOS!C1660="","",ORCAMENTOS!C1660)</f>
        <v/>
      </c>
      <c r="D1652" s="37" t="str">
        <f>IF(ORCAMENTOS!D1660="","",ORCAMENTOS!D1660)</f>
        <v>VELTTER ENGENHARIA</v>
      </c>
      <c r="E1652" s="38" t="str">
        <f>IF(ORCAMENTOS!E1660="","",ORCAMENTOS!E1660)</f>
        <v>MERCADO PROENCA</v>
      </c>
      <c r="F1652" s="37" t="str">
        <f>IF(ORCAMENTOS!G1660="","",ORCAMENTOS!G1660)</f>
        <v>Gabriel</v>
      </c>
      <c r="G1652" s="37" t="str">
        <f>IF(ORCAMENTOS!H1660="","",ORCAMENTOS!H1660)</f>
        <v>Giovana</v>
      </c>
      <c r="H1652" s="39">
        <f>IF(ORCAMENTOS!I1660="","",ORCAMENTOS!I1660)</f>
        <v>2403.4699999999998</v>
      </c>
      <c r="I1652" s="60">
        <f>IF(ORCAMENTOS!J1660="","",ORCAMENTOS!J1660)</f>
        <v>7.0000000000000007E-2</v>
      </c>
      <c r="J1652" s="40" t="str">
        <f>IF(ORCAMENTOS!L1660="","",ORCAMENTOS!L1660)</f>
        <v>FECHADO</v>
      </c>
      <c r="K1652" s="34" t="str">
        <f>IF(ORCAMENTOS!M1660="","",ORCAMENTOS!M1660)</f>
        <v>-</v>
      </c>
      <c r="L1652" t="str">
        <f>IF(ORCAMENTOS!R1660="","",ORCAMENTOS!R1660)</f>
        <v>-</v>
      </c>
    </row>
    <row r="1653" spans="1:12" ht="15.75" hidden="1" customHeight="1" x14ac:dyDescent="0.25">
      <c r="A1653" s="36">
        <f>IF(ORCAMENTOS!A1661="","",ORCAMENTOS!A1661)</f>
        <v>45918</v>
      </c>
      <c r="B1653" s="46">
        <f>IF(ORCAMENTOS!B1661="","",ORCAMENTOS!B1661)</f>
        <v>1651</v>
      </c>
      <c r="C1653" s="46" t="str">
        <f>IF(ORCAMENTOS!C1661="","",ORCAMENTOS!C1661)</f>
        <v/>
      </c>
      <c r="D1653" s="37" t="str">
        <f>IF(ORCAMENTOS!D1661="","",ORCAMENTOS!D1661)</f>
        <v>ENGEMAC</v>
      </c>
      <c r="E1653" s="38" t="str">
        <f>IF(ORCAMENTOS!E1661="","",ORCAMENTOS!E1661)</f>
        <v>Rede D'or Central Leste</v>
      </c>
      <c r="F1653" s="37" t="str">
        <f>IF(ORCAMENTOS!G1661="","",ORCAMENTOS!G1661)</f>
        <v>Fernando</v>
      </c>
      <c r="G1653" s="37" t="str">
        <f>IF(ORCAMENTOS!H1661="","",ORCAMENTOS!H1661)</f>
        <v>Rodrigo</v>
      </c>
      <c r="H1653" s="39">
        <f>IF(ORCAMENTOS!I1661="","",ORCAMENTOS!I1661)</f>
        <v>6006.27</v>
      </c>
      <c r="I1653" s="60" t="str">
        <f>IF(ORCAMENTOS!J1661="","",ORCAMENTOS!J1661)</f>
        <v/>
      </c>
      <c r="J1653" s="40" t="str">
        <f>IF(ORCAMENTOS!L1661="","",ORCAMENTOS!L1661)</f>
        <v>CANCELADO</v>
      </c>
      <c r="K1653" s="34" t="str">
        <f>IF(ORCAMENTOS!M1661="","",ORCAMENTOS!M1661)</f>
        <v>-</v>
      </c>
      <c r="L1653" t="str">
        <f>IF(ORCAMENTOS!R1661="","",ORCAMENTOS!R1661)</f>
        <v>-</v>
      </c>
    </row>
    <row r="1654" spans="1:12" ht="15.75" hidden="1" customHeight="1" x14ac:dyDescent="0.25">
      <c r="A1654" s="36">
        <f>IF(ORCAMENTOS!A1662="","",ORCAMENTOS!A1662)</f>
        <v>45918</v>
      </c>
      <c r="B1654" s="46">
        <f>IF(ORCAMENTOS!B1662="","",ORCAMENTOS!B1662)</f>
        <v>1652</v>
      </c>
      <c r="C1654" s="46" t="str">
        <f>IF(ORCAMENTOS!C1662="","",ORCAMENTOS!C1662)</f>
        <v/>
      </c>
      <c r="D1654" s="37" t="str">
        <f>IF(ORCAMENTOS!D1662="","",ORCAMENTOS!D1662)</f>
        <v>FABFRIO</v>
      </c>
      <c r="E1654" s="38" t="str">
        <f>IF(ORCAMENTOS!E1662="","",ORCAMENTOS!E1662)</f>
        <v>HOSPITAL POSSE 4</v>
      </c>
      <c r="F1654" s="37" t="str">
        <f>IF(ORCAMENTOS!G1662="","",ORCAMENTOS!G1662)</f>
        <v>Gabriel</v>
      </c>
      <c r="G1654" s="37" t="str">
        <f>IF(ORCAMENTOS!H1662="","",ORCAMENTOS!H1662)</f>
        <v>Fabrio</v>
      </c>
      <c r="H1654" s="39">
        <f>IF(ORCAMENTOS!I1662="","",ORCAMENTOS!I1662)</f>
        <v>50551.69</v>
      </c>
      <c r="I1654" s="60" t="str">
        <f>IF(ORCAMENTOS!J1662="","",ORCAMENTOS!J1662)</f>
        <v/>
      </c>
      <c r="J1654" s="40" t="str">
        <f>IF(ORCAMENTOS!L1662="","",ORCAMENTOS!L1662)</f>
        <v>COMPRA</v>
      </c>
      <c r="K1654" s="34" t="str">
        <f>IF(ORCAMENTOS!M1662="","",ORCAMENTOS!M1662)</f>
        <v>-</v>
      </c>
      <c r="L1654" t="str">
        <f>IF(ORCAMENTOS!R1662="","",ORCAMENTOS!R1662)</f>
        <v>-</v>
      </c>
    </row>
    <row r="1655" spans="1:12" ht="15.75" hidden="1" customHeight="1" x14ac:dyDescent="0.25">
      <c r="A1655" s="36">
        <f>IF(ORCAMENTOS!A1663="","",ORCAMENTOS!A1663)</f>
        <v>45918</v>
      </c>
      <c r="B1655" s="46">
        <f>IF(ORCAMENTOS!B1663="","",ORCAMENTOS!B1663)</f>
        <v>1653</v>
      </c>
      <c r="C1655" s="46" t="str">
        <f>IF(ORCAMENTOS!C1663="","",ORCAMENTOS!C1663)</f>
        <v/>
      </c>
      <c r="D1655" s="37" t="str">
        <f>IF(ORCAMENTOS!D1663="","",ORCAMENTOS!D1663)</f>
        <v>ROGERIO MORENO</v>
      </c>
      <c r="E1655" s="38" t="str">
        <f>IF(ORCAMENTOS!E1663="","",ORCAMENTOS!E1663)</f>
        <v>-</v>
      </c>
      <c r="F1655" s="37" t="str">
        <f>IF(ORCAMENTOS!G1663="","",ORCAMENTOS!G1663)</f>
        <v>Gabriel</v>
      </c>
      <c r="G1655" s="37" t="str">
        <f>IF(ORCAMENTOS!H1663="","",ORCAMENTOS!H1663)</f>
        <v>Rogerio</v>
      </c>
      <c r="H1655" s="39">
        <f>IF(ORCAMENTOS!I1663="","",ORCAMENTOS!I1663)</f>
        <v>4607.5</v>
      </c>
      <c r="I1655" s="60" t="str">
        <f>IF(ORCAMENTOS!J1663="","",ORCAMENTOS!J1663)</f>
        <v/>
      </c>
      <c r="J1655" s="40" t="str">
        <f>IF(ORCAMENTOS!L1663="","",ORCAMENTOS!L1663)</f>
        <v>CANCELADO</v>
      </c>
      <c r="K1655" s="34" t="str">
        <f>IF(ORCAMENTOS!M1663="","",ORCAMENTOS!M1663)</f>
        <v>-</v>
      </c>
      <c r="L1655" t="str">
        <f>IF(ORCAMENTOS!R1663="","",ORCAMENTOS!R1663)</f>
        <v>-</v>
      </c>
    </row>
    <row r="1656" spans="1:12" ht="15.75" hidden="1" customHeight="1" x14ac:dyDescent="0.25">
      <c r="A1656" s="36">
        <f>IF(ORCAMENTOS!A1664="","",ORCAMENTOS!A1664)</f>
        <v>45918</v>
      </c>
      <c r="B1656" s="46">
        <f>IF(ORCAMENTOS!B1664="","",ORCAMENTOS!B1664)</f>
        <v>1654</v>
      </c>
      <c r="C1656" s="46" t="str">
        <f>IF(ORCAMENTOS!C1664="","",ORCAMENTOS!C1664)</f>
        <v/>
      </c>
      <c r="D1656" s="37" t="str">
        <f>IF(ORCAMENTOS!D1664="","",ORCAMENTOS!D1664)</f>
        <v>FL HVAC</v>
      </c>
      <c r="E1656" s="38" t="str">
        <f>IF(ORCAMENTOS!E1664="","",ORCAMENTOS!E1664)</f>
        <v>RIACHUELO - RUA DOS PINHEIROS</v>
      </c>
      <c r="F1656" s="37" t="str">
        <f>IF(ORCAMENTOS!G1664="","",ORCAMENTOS!G1664)</f>
        <v>Guilherme</v>
      </c>
      <c r="G1656" s="37" t="str">
        <f>IF(ORCAMENTOS!H1664="","",ORCAMENTOS!H1664)</f>
        <v>Alessandra</v>
      </c>
      <c r="H1656" s="39">
        <f>IF(ORCAMENTOS!I1664="","",ORCAMENTOS!I1664)</f>
        <v>14240.72</v>
      </c>
      <c r="I1656" s="60" t="str">
        <f>IF(ORCAMENTOS!J1664="","",ORCAMENTOS!J1664)</f>
        <v/>
      </c>
      <c r="J1656" s="40" t="str">
        <f>IF(ORCAMENTOS!L1664="","",ORCAMENTOS!L1664)</f>
        <v>CANCELADO</v>
      </c>
      <c r="K1656" s="34" t="str">
        <f>IF(ORCAMENTOS!M1664="","",ORCAMENTOS!M1664)</f>
        <v>-</v>
      </c>
      <c r="L1656" t="str">
        <f>IF(ORCAMENTOS!R1664="","",ORCAMENTOS!R1664)</f>
        <v>MPU</v>
      </c>
    </row>
    <row r="1657" spans="1:12" ht="15.75" hidden="1" customHeight="1" x14ac:dyDescent="0.25">
      <c r="A1657" s="36">
        <f>IF(ORCAMENTOS!A1665="","",ORCAMENTOS!A1665)</f>
        <v>45918</v>
      </c>
      <c r="B1657" s="46">
        <f>IF(ORCAMENTOS!B1665="","",ORCAMENTOS!B1665)</f>
        <v>1655</v>
      </c>
      <c r="C1657" s="46" t="str">
        <f>IF(ORCAMENTOS!C1665="","",ORCAMENTOS!C1665)</f>
        <v/>
      </c>
      <c r="D1657" s="37" t="str">
        <f>IF(ORCAMENTOS!D1665="","",ORCAMENTOS!D1665)</f>
        <v>SIVAC</v>
      </c>
      <c r="E1657" s="38" t="str">
        <f>IF(ORCAMENTOS!E1665="","",ORCAMENTOS!E1665)</f>
        <v>AURI PLAZA GARTEN - JOINVILLE - SC</v>
      </c>
      <c r="F1657" s="37" t="str">
        <f>IF(ORCAMENTOS!G1665="","",ORCAMENTOS!G1665)</f>
        <v>Michel</v>
      </c>
      <c r="G1657" s="37" t="str">
        <f>IF(ORCAMENTOS!H1665="","",ORCAMENTOS!H1665)</f>
        <v>Franco</v>
      </c>
      <c r="H1657" s="39">
        <f>IF(ORCAMENTOS!I1665="","",ORCAMENTOS!I1665)</f>
        <v>10144.969999999999</v>
      </c>
      <c r="I1657" s="60" t="str">
        <f>IF(ORCAMENTOS!J1665="","",ORCAMENTOS!J1665)</f>
        <v/>
      </c>
      <c r="J1657" s="40" t="str">
        <f>IF(ORCAMENTOS!L1665="","",ORCAMENTOS!L1665)</f>
        <v>CANCELADO</v>
      </c>
      <c r="K1657" s="34" t="str">
        <f>IF(ORCAMENTOS!M1665="","",ORCAMENTOS!M1665)</f>
        <v>-</v>
      </c>
      <c r="L1657" t="str">
        <f>IF(ORCAMENTOS!R1665="","",ORCAMENTOS!R1665)</f>
        <v>ACO GALVANIZADO</v>
      </c>
    </row>
    <row r="1658" spans="1:12" ht="15.75" hidden="1" customHeight="1" x14ac:dyDescent="0.25">
      <c r="A1658" s="36">
        <f>IF(ORCAMENTOS!A1666="","",ORCAMENTOS!A1666)</f>
        <v>45918</v>
      </c>
      <c r="B1658" s="46">
        <f>IF(ORCAMENTOS!B1666="","",ORCAMENTOS!B1666)</f>
        <v>1656</v>
      </c>
      <c r="C1658" s="46" t="str">
        <f>IF(ORCAMENTOS!C1666="","",ORCAMENTOS!C1666)</f>
        <v/>
      </c>
      <c r="D1658" s="37" t="str">
        <f>IF(ORCAMENTOS!D1666="","",ORCAMENTOS!D1666)</f>
        <v>DIFERENCIAL COMERCIO</v>
      </c>
      <c r="E1658" s="38" t="str">
        <f>IF(ORCAMENTOS!E1666="","",ORCAMENTOS!E1666)</f>
        <v>-</v>
      </c>
      <c r="F1658" s="37" t="str">
        <f>IF(ORCAMENTOS!G1666="","",ORCAMENTOS!G1666)</f>
        <v>Gabriel</v>
      </c>
      <c r="G1658" s="37" t="str">
        <f>IF(ORCAMENTOS!H1666="","",ORCAMENTOS!H1666)</f>
        <v>Paulo</v>
      </c>
      <c r="H1658" s="39">
        <f>IF(ORCAMENTOS!I1666="","",ORCAMENTOS!I1666)</f>
        <v>9493.56</v>
      </c>
      <c r="I1658" s="60" t="str">
        <f>IF(ORCAMENTOS!J1666="","",ORCAMENTOS!J1666)</f>
        <v/>
      </c>
      <c r="J1658" s="40" t="str">
        <f>IF(ORCAMENTOS!L1666="","",ORCAMENTOS!L1666)</f>
        <v>CANCELADO</v>
      </c>
      <c r="K1658" s="34" t="str">
        <f>IF(ORCAMENTOS!M1666="","",ORCAMENTOS!M1666)</f>
        <v>-</v>
      </c>
      <c r="L1658" t="str">
        <f>IF(ORCAMENTOS!R1666="","",ORCAMENTOS!R1666)</f>
        <v>-</v>
      </c>
    </row>
    <row r="1659" spans="1:12" ht="15.75" hidden="1" customHeight="1" x14ac:dyDescent="0.25">
      <c r="A1659" s="36">
        <f>IF(ORCAMENTOS!A1667="","",ORCAMENTOS!A1667)</f>
        <v>45918</v>
      </c>
      <c r="B1659" s="46">
        <f>IF(ORCAMENTOS!B1667="","",ORCAMENTOS!B1667)</f>
        <v>1657</v>
      </c>
      <c r="C1659" s="46" t="str">
        <f>IF(ORCAMENTOS!C1667="","",ORCAMENTOS!C1667)</f>
        <v/>
      </c>
      <c r="D1659" s="37" t="str">
        <f>IF(ORCAMENTOS!D1667="","",ORCAMENTOS!D1667)</f>
        <v>AR CLEAN</v>
      </c>
      <c r="E1659" s="38" t="str">
        <f>IF(ORCAMENTOS!E1667="","",ORCAMENTOS!E1667)</f>
        <v>SHOPEE - FORTALEZA - CE</v>
      </c>
      <c r="F1659" s="37" t="str">
        <f>IF(ORCAMENTOS!G1667="","",ORCAMENTOS!G1667)</f>
        <v xml:space="preserve">Aldavir </v>
      </c>
      <c r="G1659" s="37" t="str">
        <f>IF(ORCAMENTOS!H1667="","",ORCAMENTOS!H1667)</f>
        <v>Bruno</v>
      </c>
      <c r="H1659" s="39">
        <f>IF(ORCAMENTOS!I1667="","",ORCAMENTOS!I1667)</f>
        <v>1681993.07</v>
      </c>
      <c r="I1659" s="60" t="str">
        <f>IF(ORCAMENTOS!J1667="","",ORCAMENTOS!J1667)</f>
        <v/>
      </c>
      <c r="J1659" s="40" t="str">
        <f>IF(ORCAMENTOS!L1667="","",ORCAMENTOS!L1667)</f>
        <v>CANCELADO</v>
      </c>
      <c r="K1659" s="34" t="str">
        <f>IF(ORCAMENTOS!M1667="","",ORCAMENTOS!M1667)</f>
        <v>-</v>
      </c>
      <c r="L1659" t="str">
        <f>IF(ORCAMENTOS!R1667="","",ORCAMENTOS!R1667)</f>
        <v>-</v>
      </c>
    </row>
    <row r="1660" spans="1:12" ht="15.75" hidden="1" customHeight="1" x14ac:dyDescent="0.25">
      <c r="A1660" s="36">
        <f>IF(ORCAMENTOS!A1668="","",ORCAMENTOS!A1668)</f>
        <v>45922</v>
      </c>
      <c r="B1660" s="46">
        <f>IF(ORCAMENTOS!B1668="","",ORCAMENTOS!B1668)</f>
        <v>1658</v>
      </c>
      <c r="C1660" s="46" t="str">
        <f>IF(ORCAMENTOS!C1668="","",ORCAMENTOS!C1668)</f>
        <v/>
      </c>
      <c r="D1660" s="37" t="str">
        <f>IF(ORCAMENTOS!D1668="","",ORCAMENTOS!D1668)</f>
        <v>COLDTERMICA</v>
      </c>
      <c r="E1660" s="38" t="str">
        <f>IF(ORCAMENTOS!E1668="","",ORCAMENTOS!E1668)</f>
        <v>Loja RNR 611 Lj Lucas do Rio Verde</v>
      </c>
      <c r="F1660" s="37" t="str">
        <f>IF(ORCAMENTOS!G1668="","",ORCAMENTOS!G1668)</f>
        <v>Gabriel</v>
      </c>
      <c r="G1660" s="37" t="str">
        <f>IF(ORCAMENTOS!H1668="","",ORCAMENTOS!H1668)</f>
        <v>Denis</v>
      </c>
      <c r="H1660" s="39">
        <f>IF(ORCAMENTOS!I1668="","",ORCAMENTOS!I1668)</f>
        <v>57980.59</v>
      </c>
      <c r="I1660" s="60" t="str">
        <f>IF(ORCAMENTOS!J1668="","",ORCAMENTOS!J1668)</f>
        <v/>
      </c>
      <c r="J1660" s="40" t="str">
        <f>IF(ORCAMENTOS!L1668="","",ORCAMENTOS!L1668)</f>
        <v>PERDIDO</v>
      </c>
      <c r="K1660" s="34" t="str">
        <f>IF(ORCAMENTOS!M1668="","",ORCAMENTOS!M1668)</f>
        <v>MULTIVAC</v>
      </c>
      <c r="L1660" t="str">
        <f>IF(ORCAMENTOS!R1668="","",ORCAMENTOS!R1668)</f>
        <v>-</v>
      </c>
    </row>
    <row r="1661" spans="1:12" ht="15.75" hidden="1" customHeight="1" x14ac:dyDescent="0.25">
      <c r="A1661" s="36">
        <f>IF(ORCAMENTOS!A1669="","",ORCAMENTOS!A1669)</f>
        <v>45919</v>
      </c>
      <c r="B1661" s="46">
        <f>IF(ORCAMENTOS!B1669="","",ORCAMENTOS!B1669)</f>
        <v>1659</v>
      </c>
      <c r="C1661" s="46" t="str">
        <f>IF(ORCAMENTOS!C1669="","",ORCAMENTOS!C1669)</f>
        <v/>
      </c>
      <c r="D1661" s="37" t="str">
        <f>IF(ORCAMENTOS!D1669="","",ORCAMENTOS!D1669)</f>
        <v>NOSSO AR</v>
      </c>
      <c r="E1661" s="38" t="str">
        <f>IF(ORCAMENTOS!E1669="","",ORCAMENTOS!E1669)</f>
        <v>-</v>
      </c>
      <c r="F1661" s="37" t="str">
        <f>IF(ORCAMENTOS!G1669="","",ORCAMENTOS!G1669)</f>
        <v>Gabriel</v>
      </c>
      <c r="G1661" s="37" t="str">
        <f>IF(ORCAMENTOS!H1669="","",ORCAMENTOS!H1669)</f>
        <v>Lincoln</v>
      </c>
      <c r="H1661" s="39">
        <f>IF(ORCAMENTOS!I1669="","",ORCAMENTOS!I1669)</f>
        <v>22644.6</v>
      </c>
      <c r="I1661" s="60" t="str">
        <f>IF(ORCAMENTOS!J1669="","",ORCAMENTOS!J1669)</f>
        <v/>
      </c>
      <c r="J1661" s="40" t="str">
        <f>IF(ORCAMENTOS!L1669="","",ORCAMENTOS!L1669)</f>
        <v>CANCELADO</v>
      </c>
      <c r="K1661" s="34" t="str">
        <f>IF(ORCAMENTOS!M1669="","",ORCAMENTOS!M1669)</f>
        <v>-</v>
      </c>
      <c r="L1661" t="str">
        <f>IF(ORCAMENTOS!R1669="","",ORCAMENTOS!R1669)</f>
        <v>-</v>
      </c>
    </row>
    <row r="1662" spans="1:12" ht="15.75" hidden="1" customHeight="1" x14ac:dyDescent="0.25">
      <c r="A1662" s="36">
        <f>IF(ORCAMENTOS!A1670="","",ORCAMENTOS!A1670)</f>
        <v>45919</v>
      </c>
      <c r="B1662" s="46">
        <f>IF(ORCAMENTOS!B1670="","",ORCAMENTOS!B1670)</f>
        <v>1660</v>
      </c>
      <c r="C1662" s="46" t="str">
        <f>IF(ORCAMENTOS!C1670="","",ORCAMENTOS!C1670)</f>
        <v/>
      </c>
      <c r="D1662" s="37" t="str">
        <f>IF(ORCAMENTOS!D1670="","",ORCAMENTOS!D1670)</f>
        <v>COLDTERMICA</v>
      </c>
      <c r="E1662" s="38" t="str">
        <f>IF(ORCAMENTOS!E1670="","",ORCAMENTOS!E1670)</f>
        <v>-</v>
      </c>
      <c r="F1662" s="37" t="str">
        <f>IF(ORCAMENTOS!G1670="","",ORCAMENTOS!G1670)</f>
        <v>Gabriel</v>
      </c>
      <c r="G1662" s="37" t="str">
        <f>IF(ORCAMENTOS!H1670="","",ORCAMENTOS!H1670)</f>
        <v>Denis</v>
      </c>
      <c r="H1662" s="39">
        <f>IF(ORCAMENTOS!I1670="","",ORCAMENTOS!I1670)</f>
        <v>65591.98</v>
      </c>
      <c r="I1662" s="60" t="str">
        <f>IF(ORCAMENTOS!J1670="","",ORCAMENTOS!J1670)</f>
        <v/>
      </c>
      <c r="J1662" s="40" t="str">
        <f>IF(ORCAMENTOS!L1670="","",ORCAMENTOS!L1670)</f>
        <v>FECHADO</v>
      </c>
      <c r="K1662" s="34" t="str">
        <f>IF(ORCAMENTOS!M1670="","",ORCAMENTOS!M1670)</f>
        <v>-</v>
      </c>
      <c r="L1662" t="str">
        <f>IF(ORCAMENTOS!R1670="","",ORCAMENTOS!R1670)</f>
        <v>-</v>
      </c>
    </row>
    <row r="1663" spans="1:12" ht="15.75" hidden="1" customHeight="1" x14ac:dyDescent="0.25">
      <c r="A1663" s="36">
        <f>IF(ORCAMENTOS!A1671="","",ORCAMENTOS!A1671)</f>
        <v>45919</v>
      </c>
      <c r="B1663" s="46">
        <f>IF(ORCAMENTOS!B1671="","",ORCAMENTOS!B1671)</f>
        <v>1661</v>
      </c>
      <c r="C1663" s="46" t="str">
        <f>IF(ORCAMENTOS!C1671="","",ORCAMENTOS!C1671)</f>
        <v/>
      </c>
      <c r="D1663" s="37" t="str">
        <f>IF(ORCAMENTOS!D1671="","",ORCAMENTOS!D1671)</f>
        <v>TECNOG INSTALACOES</v>
      </c>
      <c r="E1663" s="38" t="str">
        <f>IF(ORCAMENTOS!E1671="","",ORCAMENTOS!E1671)</f>
        <v>BUTANTAN  CASA 08</v>
      </c>
      <c r="F1663" s="37" t="str">
        <f>IF(ORCAMENTOS!G1671="","",ORCAMENTOS!G1671)</f>
        <v>Fernando</v>
      </c>
      <c r="G1663" s="37" t="str">
        <f>IF(ORCAMENTOS!H1671="","",ORCAMENTOS!H1671)</f>
        <v>Eduardo</v>
      </c>
      <c r="H1663" s="39">
        <f>IF(ORCAMENTOS!I1671="","",ORCAMENTOS!I1671)</f>
        <v>7059.58</v>
      </c>
      <c r="I1663" s="60" t="str">
        <f>IF(ORCAMENTOS!J1671="","",ORCAMENTOS!J1671)</f>
        <v/>
      </c>
      <c r="J1663" s="40" t="str">
        <f>IF(ORCAMENTOS!L1671="","",ORCAMENTOS!L1671)</f>
        <v>FECHADO</v>
      </c>
      <c r="K1663" s="34" t="str">
        <f>IF(ORCAMENTOS!M1671="","",ORCAMENTOS!M1671)</f>
        <v>PREV. OUTUBRO</v>
      </c>
      <c r="L1663" t="str">
        <f>IF(ORCAMENTOS!R1671="","",ORCAMENTOS!R1671)</f>
        <v>-</v>
      </c>
    </row>
    <row r="1664" spans="1:12" ht="15.75" hidden="1" customHeight="1" x14ac:dyDescent="0.25">
      <c r="A1664" s="36">
        <f>IF(ORCAMENTOS!A1672="","",ORCAMENTOS!A1672)</f>
        <v>45919</v>
      </c>
      <c r="B1664" s="46">
        <f>IF(ORCAMENTOS!B1672="","",ORCAMENTOS!B1672)</f>
        <v>1662</v>
      </c>
      <c r="C1664" s="46" t="str">
        <f>IF(ORCAMENTOS!C1672="","",ORCAMENTOS!C1672)</f>
        <v/>
      </c>
      <c r="D1664" s="37" t="str">
        <f>IF(ORCAMENTOS!D1672="","",ORCAMENTOS!D1672)</f>
        <v>BR AR</v>
      </c>
      <c r="E1664" s="38" t="str">
        <f>IF(ORCAMENTOS!E1672="","",ORCAMENTOS!E1672)</f>
        <v>-</v>
      </c>
      <c r="F1664" s="37" t="str">
        <f>IF(ORCAMENTOS!G1672="","",ORCAMENTOS!G1672)</f>
        <v>Gabriel</v>
      </c>
      <c r="G1664" s="37" t="str">
        <f>IF(ORCAMENTOS!H1672="","",ORCAMENTOS!H1672)</f>
        <v>Tatiana</v>
      </c>
      <c r="H1664" s="39">
        <f>IF(ORCAMENTOS!I1672="","",ORCAMENTOS!I1672)</f>
        <v>400.2</v>
      </c>
      <c r="I1664" s="60" t="str">
        <f>IF(ORCAMENTOS!J1672="","",ORCAMENTOS!J1672)</f>
        <v/>
      </c>
      <c r="J1664" s="40" t="str">
        <f>IF(ORCAMENTOS!L1672="","",ORCAMENTOS!L1672)</f>
        <v>CANCELADO</v>
      </c>
      <c r="K1664" s="34" t="str">
        <f>IF(ORCAMENTOS!M1672="","",ORCAMENTOS!M1672)</f>
        <v>-</v>
      </c>
      <c r="L1664" t="str">
        <f>IF(ORCAMENTOS!R1672="","",ORCAMENTOS!R1672)</f>
        <v>-</v>
      </c>
    </row>
    <row r="1665" spans="1:12" ht="15.75" hidden="1" customHeight="1" x14ac:dyDescent="0.25">
      <c r="A1665" s="36">
        <f>IF(ORCAMENTOS!A1673="","",ORCAMENTOS!A1673)</f>
        <v>45919</v>
      </c>
      <c r="B1665" s="46">
        <f>IF(ORCAMENTOS!B1673="","",ORCAMENTOS!B1673)</f>
        <v>1663</v>
      </c>
      <c r="C1665" s="46" t="str">
        <f>IF(ORCAMENTOS!C1673="","",ORCAMENTOS!C1673)</f>
        <v/>
      </c>
      <c r="D1665" s="37" t="str">
        <f>IF(ORCAMENTOS!D1673="","",ORCAMENTOS!D1673)</f>
        <v>MIT TECH</v>
      </c>
      <c r="E1665" s="38" t="str">
        <f>IF(ORCAMENTOS!E1673="","",ORCAMENTOS!E1673)</f>
        <v>SHOPPING RIOMAR RECIFE - ZARA RIOMAR</v>
      </c>
      <c r="F1665" s="37" t="str">
        <f>IF(ORCAMENTOS!G1673="","",ORCAMENTOS!G1673)</f>
        <v>Guilherme</v>
      </c>
      <c r="G1665" s="37" t="str">
        <f>IF(ORCAMENTOS!H1673="","",ORCAMENTOS!H1673)</f>
        <v>Marcos</v>
      </c>
      <c r="H1665" s="39">
        <f>IF(ORCAMENTOS!I1673="","",ORCAMENTOS!I1673)</f>
        <v>2761.67</v>
      </c>
      <c r="I1665" s="60" t="str">
        <f>IF(ORCAMENTOS!J1673="","",ORCAMENTOS!J1673)</f>
        <v/>
      </c>
      <c r="J1665" s="40" t="str">
        <f>IF(ORCAMENTOS!L1673="","",ORCAMENTOS!L1673)</f>
        <v>FECHADO</v>
      </c>
      <c r="K1665" s="34" t="str">
        <f>IF(ORCAMENTOS!M1673="","",ORCAMENTOS!M1673)</f>
        <v>-</v>
      </c>
      <c r="L1665" t="str">
        <f>IF(ORCAMENTOS!R1673="","",ORCAMENTOS!R1673)</f>
        <v>-</v>
      </c>
    </row>
    <row r="1666" spans="1:12" ht="15.75" hidden="1" customHeight="1" x14ac:dyDescent="0.25">
      <c r="A1666" s="36">
        <f>IF(ORCAMENTOS!A1674="","",ORCAMENTOS!A1674)</f>
        <v>45919</v>
      </c>
      <c r="B1666" s="46">
        <f>IF(ORCAMENTOS!B1674="","",ORCAMENTOS!B1674)</f>
        <v>1664</v>
      </c>
      <c r="C1666" s="46" t="str">
        <f>IF(ORCAMENTOS!C1674="","",ORCAMENTOS!C1674)</f>
        <v/>
      </c>
      <c r="D1666" s="37" t="str">
        <f>IF(ORCAMENTOS!D1674="","",ORCAMENTOS!D1674)</f>
        <v>MIT TECH</v>
      </c>
      <c r="E1666" s="38" t="str">
        <f>IF(ORCAMENTOS!E1674="","",ORCAMENTOS!E1674)</f>
        <v>SHOPPING PARK BRASILIA</v>
      </c>
      <c r="F1666" s="37" t="str">
        <f>IF(ORCAMENTOS!G1674="","",ORCAMENTOS!G1674)</f>
        <v>Guilherme</v>
      </c>
      <c r="G1666" s="37" t="str">
        <f>IF(ORCAMENTOS!H1674="","",ORCAMENTOS!H1674)</f>
        <v>Marcos</v>
      </c>
      <c r="H1666" s="39">
        <f>IF(ORCAMENTOS!I1674="","",ORCAMENTOS!I1674)</f>
        <v>2761.67</v>
      </c>
      <c r="I1666" s="60" t="str">
        <f>IF(ORCAMENTOS!J1674="","",ORCAMENTOS!J1674)</f>
        <v/>
      </c>
      <c r="J1666" s="40" t="str">
        <f>IF(ORCAMENTOS!L1674="","",ORCAMENTOS!L1674)</f>
        <v>FECHADO</v>
      </c>
      <c r="K1666" s="34" t="str">
        <f>IF(ORCAMENTOS!M1674="","",ORCAMENTOS!M1674)</f>
        <v>-</v>
      </c>
      <c r="L1666" t="str">
        <f>IF(ORCAMENTOS!R1674="","",ORCAMENTOS!R1674)</f>
        <v>-</v>
      </c>
    </row>
    <row r="1667" spans="1:12" ht="15.75" hidden="1" customHeight="1" x14ac:dyDescent="0.25">
      <c r="A1667" s="36">
        <f>IF(ORCAMENTOS!A1675="","",ORCAMENTOS!A1675)</f>
        <v>45922</v>
      </c>
      <c r="B1667" s="46">
        <f>IF(ORCAMENTOS!B1675="","",ORCAMENTOS!B1675)</f>
        <v>1665</v>
      </c>
      <c r="C1667" s="46" t="str">
        <f>IF(ORCAMENTOS!C1675="","",ORCAMENTOS!C1675)</f>
        <v/>
      </c>
      <c r="D1667" s="37" t="str">
        <f>IF(ORCAMENTOS!D1675="","",ORCAMENTOS!D1675)</f>
        <v>ECOLOGIC AIR</v>
      </c>
      <c r="E1667" s="38" t="str">
        <f>IF(ORCAMENTOS!E1675="","",ORCAMENTOS!E1675)</f>
        <v>-</v>
      </c>
      <c r="F1667" s="37" t="str">
        <f>IF(ORCAMENTOS!G1675="","",ORCAMENTOS!G1675)</f>
        <v>Michel</v>
      </c>
      <c r="G1667" s="37" t="str">
        <f>IF(ORCAMENTOS!H1675="","",ORCAMENTOS!H1675)</f>
        <v>Vinicius</v>
      </c>
      <c r="H1667" s="39">
        <f>IF(ORCAMENTOS!I1675="","",ORCAMENTOS!I1675)</f>
        <v>3513.88</v>
      </c>
      <c r="I1667" s="60" t="str">
        <f>IF(ORCAMENTOS!J1675="","",ORCAMENTOS!J1675)</f>
        <v/>
      </c>
      <c r="J1667" s="40" t="str">
        <f>IF(ORCAMENTOS!L1675="","",ORCAMENTOS!L1675)</f>
        <v>FECHADO</v>
      </c>
      <c r="K1667" s="34" t="str">
        <f>IF(ORCAMENTOS!M1675="","",ORCAMENTOS!M1675)</f>
        <v>-</v>
      </c>
      <c r="L1667" t="str">
        <f>IF(ORCAMENTOS!R1675="","",ORCAMENTOS!R1675)</f>
        <v>-</v>
      </c>
    </row>
    <row r="1668" spans="1:12" ht="15.75" hidden="1" customHeight="1" x14ac:dyDescent="0.25">
      <c r="A1668" s="36">
        <f>IF(ORCAMENTOS!A1676="","",ORCAMENTOS!A1676)</f>
        <v>45922</v>
      </c>
      <c r="B1668" s="46">
        <f>IF(ORCAMENTOS!B1676="","",ORCAMENTOS!B1676)</f>
        <v>1666</v>
      </c>
      <c r="C1668" s="46" t="str">
        <f>IF(ORCAMENTOS!C1676="","",ORCAMENTOS!C1676)</f>
        <v/>
      </c>
      <c r="D1668" s="37" t="str">
        <f>IF(ORCAMENTOS!D1676="","",ORCAMENTOS!D1676)</f>
        <v>HVAC ENGENHARIA</v>
      </c>
      <c r="E1668" s="38" t="str">
        <f>IF(ORCAMENTOS!E1676="","",ORCAMENTOS!E1676)</f>
        <v>HANES</v>
      </c>
      <c r="F1668" s="37" t="str">
        <f>IF(ORCAMENTOS!G1676="","",ORCAMENTOS!G1676)</f>
        <v>Michel</v>
      </c>
      <c r="G1668" s="37" t="str">
        <f>IF(ORCAMENTOS!H1676="","",ORCAMENTOS!H1676)</f>
        <v>Alvaro</v>
      </c>
      <c r="H1668" s="39">
        <f>IF(ORCAMENTOS!I1676="","",ORCAMENTOS!I1676)</f>
        <v>997.28</v>
      </c>
      <c r="I1668" s="60" t="str">
        <f>IF(ORCAMENTOS!J1676="","",ORCAMENTOS!J1676)</f>
        <v/>
      </c>
      <c r="J1668" s="40" t="str">
        <f>IF(ORCAMENTOS!L1676="","",ORCAMENTOS!L1676)</f>
        <v>FECHADO</v>
      </c>
      <c r="K1668" s="34" t="str">
        <f>IF(ORCAMENTOS!M1676="","",ORCAMENTOS!M1676)</f>
        <v>-</v>
      </c>
      <c r="L1668" t="str">
        <f>IF(ORCAMENTOS!R1676="","",ORCAMENTOS!R1676)</f>
        <v>-</v>
      </c>
    </row>
    <row r="1669" spans="1:12" ht="15.75" hidden="1" customHeight="1" x14ac:dyDescent="0.25">
      <c r="A1669" s="36">
        <f>IF(ORCAMENTOS!A1677="","",ORCAMENTOS!A1677)</f>
        <v>45922</v>
      </c>
      <c r="B1669" s="46">
        <f>IF(ORCAMENTOS!B1677="","",ORCAMENTOS!B1677)</f>
        <v>1667</v>
      </c>
      <c r="C1669" s="46" t="str">
        <f>IF(ORCAMENTOS!C1677="","",ORCAMENTOS!C1677)</f>
        <v/>
      </c>
      <c r="D1669" s="37" t="str">
        <f>IF(ORCAMENTOS!D1677="","",ORCAMENTOS!D1677)</f>
        <v>FANCOLD SERVICE</v>
      </c>
      <c r="E1669" s="38" t="str">
        <f>IF(ORCAMENTOS!E1677="","",ORCAMENTOS!E1677)</f>
        <v>AMYRIS - BARRA BONITA</v>
      </c>
      <c r="F1669" s="37" t="str">
        <f>IF(ORCAMENTOS!G1677="","",ORCAMENTOS!G1677)</f>
        <v>Michel</v>
      </c>
      <c r="G1669" s="37" t="str">
        <f>IF(ORCAMENTOS!H1677="","",ORCAMENTOS!H1677)</f>
        <v>Denis</v>
      </c>
      <c r="H1669" s="39">
        <f>IF(ORCAMENTOS!I1677="","",ORCAMENTOS!I1677)</f>
        <v>134956.07999999999</v>
      </c>
      <c r="I1669" s="60" t="str">
        <f>IF(ORCAMENTOS!J1677="","",ORCAMENTOS!J1677)</f>
        <v/>
      </c>
      <c r="J1669" s="40" t="str">
        <f>IF(ORCAMENTOS!L1677="","",ORCAMENTOS!L1677)</f>
        <v>CANCELADO</v>
      </c>
      <c r="K1669" s="34" t="str">
        <f>IF(ORCAMENTOS!M1677="","",ORCAMENTOS!M1677)</f>
        <v>-</v>
      </c>
      <c r="L1669" t="str">
        <f>IF(ORCAMENTOS!R1677="","",ORCAMENTOS!R1677)</f>
        <v>ACO GALVANIZADO</v>
      </c>
    </row>
    <row r="1670" spans="1:12" ht="15.75" hidden="1" customHeight="1" x14ac:dyDescent="0.25">
      <c r="A1670" s="36">
        <f>IF(ORCAMENTOS!A1678="","",ORCAMENTOS!A1678)</f>
        <v>45922</v>
      </c>
      <c r="B1670" s="46">
        <f>IF(ORCAMENTOS!B1678="","",ORCAMENTOS!B1678)</f>
        <v>1668</v>
      </c>
      <c r="C1670" s="46" t="str">
        <f>IF(ORCAMENTOS!C1678="","",ORCAMENTOS!C1678)</f>
        <v/>
      </c>
      <c r="D1670" s="37" t="str">
        <f>IF(ORCAMENTOS!D1678="","",ORCAMENTOS!D1678)</f>
        <v>FANCOLD SERVICE</v>
      </c>
      <c r="E1670" s="38" t="str">
        <f>IF(ORCAMENTOS!E1678="","",ORCAMENTOS!E1678)</f>
        <v>P&amp;G</v>
      </c>
      <c r="F1670" s="37" t="str">
        <f>IF(ORCAMENTOS!G1678="","",ORCAMENTOS!G1678)</f>
        <v>Michel</v>
      </c>
      <c r="G1670" s="37" t="str">
        <f>IF(ORCAMENTOS!H1678="","",ORCAMENTOS!H1678)</f>
        <v>Roger</v>
      </c>
      <c r="H1670" s="39">
        <f>IF(ORCAMENTOS!I1678="","",ORCAMENTOS!I1678)</f>
        <v>5243.87</v>
      </c>
      <c r="I1670" s="60" t="str">
        <f>IF(ORCAMENTOS!J1678="","",ORCAMENTOS!J1678)</f>
        <v/>
      </c>
      <c r="J1670" s="40" t="str">
        <f>IF(ORCAMENTOS!L1678="","",ORCAMENTOS!L1678)</f>
        <v>FECHADO</v>
      </c>
      <c r="K1670" s="34" t="str">
        <f>IF(ORCAMENTOS!M1678="","",ORCAMENTOS!M1678)</f>
        <v>-</v>
      </c>
      <c r="L1670" t="str">
        <f>IF(ORCAMENTOS!R1678="","",ORCAMENTOS!R1678)</f>
        <v>-</v>
      </c>
    </row>
    <row r="1671" spans="1:12" ht="15.75" hidden="1" customHeight="1" x14ac:dyDescent="0.25">
      <c r="A1671" s="36">
        <f>IF(ORCAMENTOS!A1679="","",ORCAMENTOS!A1679)</f>
        <v>45922</v>
      </c>
      <c r="B1671" s="46">
        <f>IF(ORCAMENTOS!B1679="","",ORCAMENTOS!B1679)</f>
        <v>1669</v>
      </c>
      <c r="C1671" s="46" t="str">
        <f>IF(ORCAMENTOS!C1679="","",ORCAMENTOS!C1679)</f>
        <v/>
      </c>
      <c r="D1671" s="37" t="str">
        <f>IF(ORCAMENTOS!D1679="","",ORCAMENTOS!D1679)</f>
        <v>APICE CLIMA</v>
      </c>
      <c r="E1671" s="38" t="str">
        <f>IF(ORCAMENTOS!E1679="","",ORCAMENTOS!E1679)</f>
        <v>BB ITU</v>
      </c>
      <c r="F1671" s="37" t="str">
        <f>IF(ORCAMENTOS!G1679="","",ORCAMENTOS!G1679)</f>
        <v>Michel</v>
      </c>
      <c r="G1671" s="37" t="str">
        <f>IF(ORCAMENTOS!H1679="","",ORCAMENTOS!H1679)</f>
        <v>Djair</v>
      </c>
      <c r="H1671" s="39">
        <f>IF(ORCAMENTOS!I1679="","",ORCAMENTOS!I1679)</f>
        <v>10343.33</v>
      </c>
      <c r="I1671" s="60" t="str">
        <f>IF(ORCAMENTOS!J1679="","",ORCAMENTOS!J1679)</f>
        <v/>
      </c>
      <c r="J1671" s="40" t="str">
        <f>IF(ORCAMENTOS!L1679="","",ORCAMENTOS!L1679)</f>
        <v>FECHADO</v>
      </c>
      <c r="K1671" s="34" t="str">
        <f>IF(ORCAMENTOS!M1679="","",ORCAMENTOS!M1679)</f>
        <v>-</v>
      </c>
      <c r="L1671" t="str">
        <f>IF(ORCAMENTOS!R1679="","",ORCAMENTOS!R1679)</f>
        <v>-</v>
      </c>
    </row>
    <row r="1672" spans="1:12" ht="15.75" hidden="1" customHeight="1" x14ac:dyDescent="0.25">
      <c r="A1672" s="36">
        <f>IF(ORCAMENTOS!A1680="","",ORCAMENTOS!A1680)</f>
        <v>45922</v>
      </c>
      <c r="B1672" s="46">
        <f>IF(ORCAMENTOS!B1680="","",ORCAMENTOS!B1680)</f>
        <v>1670</v>
      </c>
      <c r="C1672" s="46" t="str">
        <f>IF(ORCAMENTOS!C1680="","",ORCAMENTOS!C1680)</f>
        <v/>
      </c>
      <c r="D1672" s="37" t="str">
        <f>IF(ORCAMENTOS!D1680="","",ORCAMENTOS!D1680)</f>
        <v>RM3 ENGENHARIA</v>
      </c>
      <c r="E1672" s="38" t="str">
        <f>IF(ORCAMENTOS!E1680="","",ORCAMENTOS!E1680)</f>
        <v>-</v>
      </c>
      <c r="F1672" s="37" t="str">
        <f>IF(ORCAMENTOS!G1680="","",ORCAMENTOS!G1680)</f>
        <v>Guilherme</v>
      </c>
      <c r="G1672" s="37" t="str">
        <f>IF(ORCAMENTOS!H1680="","",ORCAMENTOS!H1680)</f>
        <v>Janice</v>
      </c>
      <c r="H1672" s="39">
        <f>IF(ORCAMENTOS!I1680="","",ORCAMENTOS!I1680)</f>
        <v>5488.87</v>
      </c>
      <c r="I1672" s="60" t="str">
        <f>IF(ORCAMENTOS!J1680="","",ORCAMENTOS!J1680)</f>
        <v/>
      </c>
      <c r="J1672" s="40" t="str">
        <f>IF(ORCAMENTOS!L1680="","",ORCAMENTOS!L1680)</f>
        <v>FECHADO</v>
      </c>
      <c r="K1672" s="34" t="str">
        <f>IF(ORCAMENTOS!M1680="","",ORCAMENTOS!M1680)</f>
        <v>-</v>
      </c>
      <c r="L1672" t="str">
        <f>IF(ORCAMENTOS!R1680="","",ORCAMENTOS!R1680)</f>
        <v>-</v>
      </c>
    </row>
    <row r="1673" spans="1:12" ht="15.75" hidden="1" customHeight="1" x14ac:dyDescent="0.25">
      <c r="A1673" s="36">
        <f>IF(ORCAMENTOS!A1681="","",ORCAMENTOS!A1681)</f>
        <v>45923</v>
      </c>
      <c r="B1673" s="46">
        <f>IF(ORCAMENTOS!B1681="","",ORCAMENTOS!B1681)</f>
        <v>1671</v>
      </c>
      <c r="C1673" s="46" t="str">
        <f>IF(ORCAMENTOS!C1681="","",ORCAMENTOS!C1681)</f>
        <v/>
      </c>
      <c r="D1673" s="37" t="str">
        <f>IF(ORCAMENTOS!D1681="","",ORCAMENTOS!D1681)</f>
        <v>BMS ENGENHARIA</v>
      </c>
      <c r="E1673" s="38" t="str">
        <f>IF(ORCAMENTOS!E1681="","",ORCAMENTOS!E1681)</f>
        <v>ROQUETTE BRASIL</v>
      </c>
      <c r="F1673" s="37" t="str">
        <f>IF(ORCAMENTOS!G1681="","",ORCAMENTOS!G1681)</f>
        <v>Guilherme</v>
      </c>
      <c r="G1673" s="37" t="str">
        <f>IF(ORCAMENTOS!H1681="","",ORCAMENTOS!H1681)</f>
        <v>Leandro</v>
      </c>
      <c r="H1673" s="39">
        <f>IF(ORCAMENTOS!I1681="","",ORCAMENTOS!I1681)</f>
        <v>22190.32</v>
      </c>
      <c r="I1673" s="60" t="str">
        <f>IF(ORCAMENTOS!J1681="","",ORCAMENTOS!J1681)</f>
        <v/>
      </c>
      <c r="J1673" s="40" t="str">
        <f>IF(ORCAMENTOS!L1681="","",ORCAMENTOS!L1681)</f>
        <v>CANCELADO</v>
      </c>
      <c r="K1673" s="34" t="str">
        <f>IF(ORCAMENTOS!M1681="","",ORCAMENTOS!M1681)</f>
        <v>-</v>
      </c>
      <c r="L1673" t="str">
        <f>IF(ORCAMENTOS!R1681="","",ORCAMENTOS!R1681)</f>
        <v>-</v>
      </c>
    </row>
    <row r="1674" spans="1:12" ht="15.75" hidden="1" customHeight="1" x14ac:dyDescent="0.25">
      <c r="A1674" s="36">
        <f>IF(ORCAMENTOS!A1682="","",ORCAMENTOS!A1682)</f>
        <v>45922</v>
      </c>
      <c r="B1674" s="46">
        <f>IF(ORCAMENTOS!B1682="","",ORCAMENTOS!B1682)</f>
        <v>1672</v>
      </c>
      <c r="C1674" s="46" t="str">
        <f>IF(ORCAMENTOS!C1682="","",ORCAMENTOS!C1682)</f>
        <v/>
      </c>
      <c r="D1674" s="37" t="str">
        <f>IF(ORCAMENTOS!D1682="","",ORCAMENTOS!D1682)</f>
        <v>NP CLIMATIZAÇÃO</v>
      </c>
      <c r="E1674" s="38" t="str">
        <f>IF(ORCAMENTOS!E1682="","",ORCAMENTOS!E1682)</f>
        <v>APTO - THALES DELMONDES GALVÃO</v>
      </c>
      <c r="F1674" s="37" t="str">
        <f>IF(ORCAMENTOS!G1682="","",ORCAMENTOS!G1682)</f>
        <v>Guilherme</v>
      </c>
      <c r="G1674" s="37" t="str">
        <f>IF(ORCAMENTOS!H1682="","",ORCAMENTOS!H1682)</f>
        <v>Maria</v>
      </c>
      <c r="H1674" s="39">
        <f>IF(ORCAMENTOS!I1682="","",ORCAMENTOS!I1682)</f>
        <v>5496.23</v>
      </c>
      <c r="I1674" s="60" t="str">
        <f>IF(ORCAMENTOS!J1682="","",ORCAMENTOS!J1682)</f>
        <v/>
      </c>
      <c r="J1674" s="40" t="str">
        <f>IF(ORCAMENTOS!L1682="","",ORCAMENTOS!L1682)</f>
        <v>CANCELADO</v>
      </c>
      <c r="K1674" s="34" t="str">
        <f>IF(ORCAMENTOS!M1682="","",ORCAMENTOS!M1682)</f>
        <v>-</v>
      </c>
      <c r="L1674" t="str">
        <f>IF(ORCAMENTOS!R1682="","",ORCAMENTOS!R1682)</f>
        <v>-</v>
      </c>
    </row>
    <row r="1675" spans="1:12" ht="15.75" hidden="1" customHeight="1" x14ac:dyDescent="0.25">
      <c r="A1675" s="36">
        <f>IF(ORCAMENTOS!A1683="","",ORCAMENTOS!A1683)</f>
        <v>45922</v>
      </c>
      <c r="B1675" s="46">
        <f>IF(ORCAMENTOS!B1683="","",ORCAMENTOS!B1683)</f>
        <v>1673</v>
      </c>
      <c r="C1675" s="46" t="str">
        <f>IF(ORCAMENTOS!C1683="","",ORCAMENTOS!C1683)</f>
        <v/>
      </c>
      <c r="D1675" s="37" t="str">
        <f>IF(ORCAMENTOS!D1683="","",ORCAMENTOS!D1683)</f>
        <v>NEWSET</v>
      </c>
      <c r="E1675" s="38" t="str">
        <f>IF(ORCAMENTOS!E1683="","",ORCAMENTOS!E1683)</f>
        <v>NSP094.25</v>
      </c>
      <c r="F1675" s="37" t="str">
        <f>IF(ORCAMENTOS!G1683="","",ORCAMENTOS!G1683)</f>
        <v xml:space="preserve">Aldavir </v>
      </c>
      <c r="G1675" s="37" t="str">
        <f>IF(ORCAMENTOS!H1683="","",ORCAMENTOS!H1683)</f>
        <v>David</v>
      </c>
      <c r="H1675" s="39">
        <f>IF(ORCAMENTOS!I1683="","",ORCAMENTOS!I1683)</f>
        <v>332106.46000000002</v>
      </c>
      <c r="I1675" s="60" t="str">
        <f>IF(ORCAMENTOS!J1683="","",ORCAMENTOS!J1683)</f>
        <v/>
      </c>
      <c r="J1675" s="40" t="str">
        <f>IF(ORCAMENTOS!L1683="","",ORCAMENTOS!L1683)</f>
        <v>CANCELADO</v>
      </c>
      <c r="K1675" s="34" t="str">
        <f>IF(ORCAMENTOS!M1683="","",ORCAMENTOS!M1683)</f>
        <v>-</v>
      </c>
      <c r="L1675" t="str">
        <f>IF(ORCAMENTOS!R1683="","",ORCAMENTOS!R1683)</f>
        <v>-</v>
      </c>
    </row>
    <row r="1676" spans="1:12" ht="15.75" hidden="1" customHeight="1" x14ac:dyDescent="0.25">
      <c r="A1676" s="36">
        <f>IF(ORCAMENTOS!A1684="","",ORCAMENTOS!A1684)</f>
        <v>45922</v>
      </c>
      <c r="B1676" s="46">
        <f>IF(ORCAMENTOS!B1684="","",ORCAMENTOS!B1684)</f>
        <v>1674</v>
      </c>
      <c r="C1676" s="46" t="str">
        <f>IF(ORCAMENTOS!C1684="","",ORCAMENTOS!C1684)</f>
        <v/>
      </c>
      <c r="D1676" s="37" t="str">
        <f>IF(ORCAMENTOS!D1684="","",ORCAMENTOS!D1684)</f>
        <v>NEWSET</v>
      </c>
      <c r="E1676" s="38" t="str">
        <f>IF(ORCAMENTOS!E1684="","",ORCAMENTOS!E1684)</f>
        <v>NSP094.25</v>
      </c>
      <c r="F1676" s="37" t="str">
        <f>IF(ORCAMENTOS!G1684="","",ORCAMENTOS!G1684)</f>
        <v xml:space="preserve">Aldavir </v>
      </c>
      <c r="G1676" s="37" t="str">
        <f>IF(ORCAMENTOS!H1684="","",ORCAMENTOS!H1684)</f>
        <v>David</v>
      </c>
      <c r="H1676" s="39">
        <f>IF(ORCAMENTOS!I1684="","",ORCAMENTOS!I1684)</f>
        <v>264072.51</v>
      </c>
      <c r="I1676" s="60" t="str">
        <f>IF(ORCAMENTOS!J1684="","",ORCAMENTOS!J1684)</f>
        <v/>
      </c>
      <c r="J1676" s="40" t="str">
        <f>IF(ORCAMENTOS!L1684="","",ORCAMENTOS!L1684)</f>
        <v>CANCELADO</v>
      </c>
      <c r="K1676" s="34" t="str">
        <f>IF(ORCAMENTOS!M1684="","",ORCAMENTOS!M1684)</f>
        <v>-</v>
      </c>
      <c r="L1676" t="str">
        <f>IF(ORCAMENTOS!R1684="","",ORCAMENTOS!R1684)</f>
        <v>-</v>
      </c>
    </row>
    <row r="1677" spans="1:12" ht="15.75" hidden="1" customHeight="1" x14ac:dyDescent="0.25">
      <c r="A1677" s="36">
        <f>IF(ORCAMENTOS!A1685="","",ORCAMENTOS!A1685)</f>
        <v>45922</v>
      </c>
      <c r="B1677" s="46">
        <f>IF(ORCAMENTOS!B1685="","",ORCAMENTOS!B1685)</f>
        <v>1675</v>
      </c>
      <c r="C1677" s="46" t="str">
        <f>IF(ORCAMENTOS!C1685="","",ORCAMENTOS!C1685)</f>
        <v/>
      </c>
      <c r="D1677" s="37" t="str">
        <f>IF(ORCAMENTOS!D1685="","",ORCAMENTOS!D1685)</f>
        <v>ANALISEPLAN</v>
      </c>
      <c r="E1677" s="38" t="str">
        <f>IF(ORCAMENTOS!E1685="","",ORCAMENTOS!E1685)</f>
        <v>-</v>
      </c>
      <c r="F1677" s="37" t="str">
        <f>IF(ORCAMENTOS!G1685="","",ORCAMENTOS!G1685)</f>
        <v>Michel</v>
      </c>
      <c r="G1677" s="37" t="str">
        <f>IF(ORCAMENTOS!H1685="","",ORCAMENTOS!H1685)</f>
        <v>Marcio</v>
      </c>
      <c r="H1677" s="39">
        <f>IF(ORCAMENTOS!I1685="","",ORCAMENTOS!I1685)</f>
        <v>1809.15</v>
      </c>
      <c r="I1677" s="60" t="str">
        <f>IF(ORCAMENTOS!J1685="","",ORCAMENTOS!J1685)</f>
        <v/>
      </c>
      <c r="J1677" s="40" t="str">
        <f>IF(ORCAMENTOS!L1685="","",ORCAMENTOS!L1685)</f>
        <v>FECHADO</v>
      </c>
      <c r="K1677" s="34" t="str">
        <f>IF(ORCAMENTOS!M1685="","",ORCAMENTOS!M1685)</f>
        <v>-</v>
      </c>
      <c r="L1677" t="str">
        <f>IF(ORCAMENTOS!R1685="","",ORCAMENTOS!R1685)</f>
        <v>-</v>
      </c>
    </row>
    <row r="1678" spans="1:12" ht="15.75" hidden="1" customHeight="1" x14ac:dyDescent="0.25">
      <c r="A1678" s="36">
        <f>IF(ORCAMENTOS!A1686="","",ORCAMENTOS!A1686)</f>
        <v>45923</v>
      </c>
      <c r="B1678" s="46">
        <f>IF(ORCAMENTOS!B1686="","",ORCAMENTOS!B1686)</f>
        <v>1676</v>
      </c>
      <c r="C1678" s="46" t="str">
        <f>IF(ORCAMENTOS!C1686="","",ORCAMENTOS!C1686)</f>
        <v/>
      </c>
      <c r="D1678" s="37" t="str">
        <f>IF(ORCAMENTOS!D1686="","",ORCAMENTOS!D1686)</f>
        <v>AIRPLAN</v>
      </c>
      <c r="E1678" s="38" t="str">
        <f>IF(ORCAMENTOS!E1686="","",ORCAMENTOS!E1686)</f>
        <v>ACADEMIA GAVIOES - RECIFE - PE</v>
      </c>
      <c r="F1678" s="37" t="str">
        <f>IF(ORCAMENTOS!G1686="","",ORCAMENTOS!G1686)</f>
        <v>Guilherme</v>
      </c>
      <c r="G1678" s="37" t="str">
        <f>IF(ORCAMENTOS!H1686="","",ORCAMENTOS!H1686)</f>
        <v>Laercio</v>
      </c>
      <c r="H1678" s="39">
        <f>IF(ORCAMENTOS!I1686="","",ORCAMENTOS!I1686)</f>
        <v>55187.76</v>
      </c>
      <c r="I1678" s="60" t="str">
        <f>IF(ORCAMENTOS!J1686="","",ORCAMENTOS!J1686)</f>
        <v/>
      </c>
      <c r="J1678" s="40" t="str">
        <f>IF(ORCAMENTOS!L1686="","",ORCAMENTOS!L1686)</f>
        <v>FECHADO</v>
      </c>
      <c r="K1678" s="34" t="str">
        <f>IF(ORCAMENTOS!M1686="","",ORCAMENTOS!M1686)</f>
        <v>AGUARDANDO PEDIDO</v>
      </c>
      <c r="L1678" t="str">
        <f>IF(ORCAMENTOS!R1686="","",ORCAMENTOS!R1686)</f>
        <v>MPU</v>
      </c>
    </row>
    <row r="1679" spans="1:12" ht="15.75" hidden="1" customHeight="1" x14ac:dyDescent="0.25">
      <c r="A1679" s="36">
        <f>IF(ORCAMENTOS!A1687="","",ORCAMENTOS!A1687)</f>
        <v>45923</v>
      </c>
      <c r="B1679" s="46">
        <f>IF(ORCAMENTOS!B1687="","",ORCAMENTOS!B1687)</f>
        <v>1677</v>
      </c>
      <c r="C1679" s="46" t="str">
        <f>IF(ORCAMENTOS!C1687="","",ORCAMENTOS!C1687)</f>
        <v/>
      </c>
      <c r="D1679" s="37" t="str">
        <f>IF(ORCAMENTOS!D1687="","",ORCAMENTOS!D1687)</f>
        <v>ARPEN ENGENHARIA</v>
      </c>
      <c r="E1679" s="38" t="str">
        <f>IF(ORCAMENTOS!E1687="","",ORCAMENTOS!E1687)</f>
        <v>SESC PARATY</v>
      </c>
      <c r="F1679" s="37" t="str">
        <f>IF(ORCAMENTOS!G1687="","",ORCAMENTOS!G1687)</f>
        <v>Gabriel</v>
      </c>
      <c r="G1679" s="37" t="str">
        <f>IF(ORCAMENTOS!H1687="","",ORCAMENTOS!H1687)</f>
        <v>Stephanie</v>
      </c>
      <c r="H1679" s="39">
        <f>IF(ORCAMENTOS!I1687="","",ORCAMENTOS!I1687)</f>
        <v>534.72</v>
      </c>
      <c r="I1679" s="60" t="str">
        <f>IF(ORCAMENTOS!J1687="","",ORCAMENTOS!J1687)</f>
        <v/>
      </c>
      <c r="J1679" s="40" t="str">
        <f>IF(ORCAMENTOS!L1687="","",ORCAMENTOS!L1687)</f>
        <v>CANCELADO</v>
      </c>
      <c r="K1679" s="34" t="str">
        <f>IF(ORCAMENTOS!M1687="","",ORCAMENTOS!M1687)</f>
        <v>-</v>
      </c>
      <c r="L1679" t="str">
        <f>IF(ORCAMENTOS!R1687="","",ORCAMENTOS!R1687)</f>
        <v>-</v>
      </c>
    </row>
    <row r="1680" spans="1:12" ht="15.75" hidden="1" customHeight="1" x14ac:dyDescent="0.25">
      <c r="A1680" s="36">
        <f>IF(ORCAMENTOS!A1688="","",ORCAMENTOS!A1688)</f>
        <v>45923</v>
      </c>
      <c r="B1680" s="46">
        <f>IF(ORCAMENTOS!B1688="","",ORCAMENTOS!B1688)</f>
        <v>1678</v>
      </c>
      <c r="C1680" s="46" t="str">
        <f>IF(ORCAMENTOS!C1688="","",ORCAMENTOS!C1688)</f>
        <v/>
      </c>
      <c r="D1680" s="37" t="str">
        <f>IF(ORCAMENTOS!D1688="","",ORCAMENTOS!D1688)</f>
        <v>SESIL AR</v>
      </c>
      <c r="E1680" s="38" t="str">
        <f>IF(ORCAMENTOS!E1688="","",ORCAMENTOS!E1688)</f>
        <v>Blanver Mairiporã - SP</v>
      </c>
      <c r="F1680" s="37" t="str">
        <f>IF(ORCAMENTOS!G1688="","",ORCAMENTOS!G1688)</f>
        <v>Fernando</v>
      </c>
      <c r="G1680" s="37" t="str">
        <f>IF(ORCAMENTOS!H1688="","",ORCAMENTOS!H1688)</f>
        <v>Wagner</v>
      </c>
      <c r="H1680" s="39">
        <f>IF(ORCAMENTOS!I1688="","",ORCAMENTOS!I1688)</f>
        <v>27922.23</v>
      </c>
      <c r="I1680" s="60">
        <f>IF(ORCAMENTOS!J1688="","",ORCAMENTOS!J1688)</f>
        <v>0.03</v>
      </c>
      <c r="J1680" s="40" t="str">
        <f>IF(ORCAMENTOS!L1688="","",ORCAMENTOS!L1688)</f>
        <v>FECHADO</v>
      </c>
      <c r="K1680" s="34" t="str">
        <f>IF(ORCAMENTOS!M1688="","",ORCAMENTOS!M1688)</f>
        <v>PREV. OUTUBRO</v>
      </c>
      <c r="L1680" t="str">
        <f>IF(ORCAMENTOS!R1688="","",ORCAMENTOS!R1688)</f>
        <v>-</v>
      </c>
    </row>
    <row r="1681" spans="1:12" ht="15.75" hidden="1" customHeight="1" x14ac:dyDescent="0.25">
      <c r="A1681" s="36">
        <f>IF(ORCAMENTOS!A1689="","",ORCAMENTOS!A1689)</f>
        <v>45923</v>
      </c>
      <c r="B1681" s="46">
        <f>IF(ORCAMENTOS!B1689="","",ORCAMENTOS!B1689)</f>
        <v>1679</v>
      </c>
      <c r="C1681" s="46" t="str">
        <f>IF(ORCAMENTOS!C1689="","",ORCAMENTOS!C1689)</f>
        <v/>
      </c>
      <c r="D1681" s="37" t="str">
        <f>IF(ORCAMENTOS!D1689="","",ORCAMENTOS!D1689)</f>
        <v>SO AR CLIMATIZACAO</v>
      </c>
      <c r="E1681" s="38" t="str">
        <f>IF(ORCAMENTOS!E1689="","",ORCAMENTOS!E1689)</f>
        <v>-</v>
      </c>
      <c r="F1681" s="37" t="str">
        <f>IF(ORCAMENTOS!G1689="","",ORCAMENTOS!G1689)</f>
        <v>Gabriel</v>
      </c>
      <c r="G1681" s="37" t="str">
        <f>IF(ORCAMENTOS!H1689="","",ORCAMENTOS!H1689)</f>
        <v>Gabriel</v>
      </c>
      <c r="H1681" s="39">
        <f>IF(ORCAMENTOS!I1689="","",ORCAMENTOS!I1689)</f>
        <v>30271.25</v>
      </c>
      <c r="I1681" s="60" t="str">
        <f>IF(ORCAMENTOS!J1689="","",ORCAMENTOS!J1689)</f>
        <v/>
      </c>
      <c r="J1681" s="40" t="str">
        <f>IF(ORCAMENTOS!L1689="","",ORCAMENTOS!L1689)</f>
        <v>CANCELADO</v>
      </c>
      <c r="K1681" s="34" t="str">
        <f>IF(ORCAMENTOS!M1689="","",ORCAMENTOS!M1689)</f>
        <v>-</v>
      </c>
      <c r="L1681" t="str">
        <f>IF(ORCAMENTOS!R1689="","",ORCAMENTOS!R1689)</f>
        <v>-</v>
      </c>
    </row>
    <row r="1682" spans="1:12" ht="15.75" hidden="1" customHeight="1" x14ac:dyDescent="0.25">
      <c r="A1682" s="36">
        <f>IF(ORCAMENTOS!A1690="","",ORCAMENTOS!A1690)</f>
        <v>45923</v>
      </c>
      <c r="B1682" s="46">
        <f>IF(ORCAMENTOS!B1690="","",ORCAMENTOS!B1690)</f>
        <v>1680</v>
      </c>
      <c r="C1682" s="46" t="str">
        <f>IF(ORCAMENTOS!C1690="","",ORCAMENTOS!C1690)</f>
        <v/>
      </c>
      <c r="D1682" s="37" t="str">
        <f>IF(ORCAMENTOS!D1690="","",ORCAMENTOS!D1690)</f>
        <v>NP CLIMATIZAÇÃO</v>
      </c>
      <c r="E1682" s="38" t="str">
        <f>IF(ORCAMENTOS!E1690="","",ORCAMENTOS!E1690)</f>
        <v>-</v>
      </c>
      <c r="F1682" s="37" t="str">
        <f>IF(ORCAMENTOS!G1690="","",ORCAMENTOS!G1690)</f>
        <v>Guilherme</v>
      </c>
      <c r="G1682" s="37" t="str">
        <f>IF(ORCAMENTOS!H1690="","",ORCAMENTOS!H1690)</f>
        <v/>
      </c>
      <c r="H1682" s="39">
        <f>IF(ORCAMENTOS!I1690="","",ORCAMENTOS!I1690)</f>
        <v>1488.56</v>
      </c>
      <c r="I1682" s="60" t="str">
        <f>IF(ORCAMENTOS!J1690="","",ORCAMENTOS!J1690)</f>
        <v/>
      </c>
      <c r="J1682" s="40" t="str">
        <f>IF(ORCAMENTOS!L1690="","",ORCAMENTOS!L1690)</f>
        <v>FECHADO</v>
      </c>
      <c r="K1682" s="34" t="str">
        <f>IF(ORCAMENTOS!M1690="","",ORCAMENTOS!M1690)</f>
        <v>-</v>
      </c>
      <c r="L1682" t="str">
        <f>IF(ORCAMENTOS!R1690="","",ORCAMENTOS!R1690)</f>
        <v>-</v>
      </c>
    </row>
    <row r="1683" spans="1:12" ht="15.75" hidden="1" customHeight="1" x14ac:dyDescent="0.25">
      <c r="A1683" s="36">
        <f>IF(ORCAMENTOS!A1691="","",ORCAMENTOS!A1691)</f>
        <v>45923</v>
      </c>
      <c r="B1683" s="46">
        <f>IF(ORCAMENTOS!B1691="","",ORCAMENTOS!B1691)</f>
        <v>1681</v>
      </c>
      <c r="C1683" s="46" t="str">
        <f>IF(ORCAMENTOS!C1691="","",ORCAMENTOS!C1691)</f>
        <v/>
      </c>
      <c r="D1683" s="37" t="str">
        <f>IF(ORCAMENTOS!D1691="","",ORCAMENTOS!D1691)</f>
        <v>MANENG</v>
      </c>
      <c r="E1683" s="38" t="str">
        <f>IF(ORCAMENTOS!E1691="","",ORCAMENTOS!E1691)</f>
        <v>-</v>
      </c>
      <c r="F1683" s="37" t="str">
        <f>IF(ORCAMENTOS!G1691="","",ORCAMENTOS!G1691)</f>
        <v>Guilherme</v>
      </c>
      <c r="G1683" s="37" t="str">
        <f>IF(ORCAMENTOS!H1691="","",ORCAMENTOS!H1691)</f>
        <v>Gabrielle</v>
      </c>
      <c r="H1683" s="39">
        <f>IF(ORCAMENTOS!I1691="","",ORCAMENTOS!I1691)</f>
        <v>29826.35</v>
      </c>
      <c r="I1683" s="60" t="str">
        <f>IF(ORCAMENTOS!J1691="","",ORCAMENTOS!J1691)</f>
        <v/>
      </c>
      <c r="J1683" s="40" t="str">
        <f>IF(ORCAMENTOS!L1691="","",ORCAMENTOS!L1691)</f>
        <v>FECHADO</v>
      </c>
      <c r="K1683" s="34" t="str">
        <f>IF(ORCAMENTOS!M1691="","",ORCAMENTOS!M1691)</f>
        <v>PREV. OUTUBRO</v>
      </c>
      <c r="L1683" t="str">
        <f>IF(ORCAMENTOS!R1691="","",ORCAMENTOS!R1691)</f>
        <v>-</v>
      </c>
    </row>
    <row r="1684" spans="1:12" ht="15.75" hidden="1" customHeight="1" x14ac:dyDescent="0.25">
      <c r="A1684" s="36">
        <f>IF(ORCAMENTOS!A1692="","",ORCAMENTOS!A1692)</f>
        <v>45923</v>
      </c>
      <c r="B1684" s="46">
        <f>IF(ORCAMENTOS!B1692="","",ORCAMENTOS!B1692)</f>
        <v>1682</v>
      </c>
      <c r="C1684" s="46" t="str">
        <f>IF(ORCAMENTOS!C1692="","",ORCAMENTOS!C1692)</f>
        <v/>
      </c>
      <c r="D1684" s="37" t="str">
        <f>IF(ORCAMENTOS!D1692="","",ORCAMENTOS!D1692)</f>
        <v>AR SISTEMAS</v>
      </c>
      <c r="E1684" s="38" t="str">
        <f>IF(ORCAMENTOS!E1692="","",ORCAMENTOS!E1692)</f>
        <v>LIEBHERR - GALPAO 2 - VILA BELA - GUARATINGUETA - SP</v>
      </c>
      <c r="F1684" s="37" t="str">
        <f>IF(ORCAMENTOS!G1692="","",ORCAMENTOS!G1692)</f>
        <v>Michel</v>
      </c>
      <c r="G1684" s="37" t="str">
        <f>IF(ORCAMENTOS!H1692="","",ORCAMENTOS!H1692)</f>
        <v>Anderson</v>
      </c>
      <c r="H1684" s="39">
        <f>IF(ORCAMENTOS!I1692="","",ORCAMENTOS!I1692)</f>
        <v>266663.53999999998</v>
      </c>
      <c r="I1684" s="60" t="str">
        <f>IF(ORCAMENTOS!J1692="","",ORCAMENTOS!J1692)</f>
        <v/>
      </c>
      <c r="J1684" s="40" t="str">
        <f>IF(ORCAMENTOS!L1692="","",ORCAMENTOS!L1692)</f>
        <v>CANCELADO</v>
      </c>
      <c r="K1684" s="34" t="str">
        <f>IF(ORCAMENTOS!M1692="","",ORCAMENTOS!M1692)</f>
        <v>-</v>
      </c>
      <c r="L1684" t="str">
        <f>IF(ORCAMENTOS!R1692="","",ORCAMENTOS!R1692)</f>
        <v>N/E</v>
      </c>
    </row>
    <row r="1685" spans="1:12" ht="15.75" hidden="1" customHeight="1" x14ac:dyDescent="0.25">
      <c r="A1685" s="36">
        <f>IF(ORCAMENTOS!A1693="","",ORCAMENTOS!A1693)</f>
        <v>45924</v>
      </c>
      <c r="B1685" s="46">
        <f>IF(ORCAMENTOS!B1693="","",ORCAMENTOS!B1693)</f>
        <v>1683</v>
      </c>
      <c r="C1685" s="46" t="str">
        <f>IF(ORCAMENTOS!C1693="","",ORCAMENTOS!C1693)</f>
        <v/>
      </c>
      <c r="D1685" s="37" t="str">
        <f>IF(ORCAMENTOS!D1693="","",ORCAMENTOS!D1693)</f>
        <v>INFINITY</v>
      </c>
      <c r="E1685" s="38" t="str">
        <f>IF(ORCAMENTOS!E1693="","",ORCAMENTOS!E1693)</f>
        <v>RESIDENCIA UNIFAMILIAR - BRAGANCA - SP</v>
      </c>
      <c r="F1685" s="37" t="str">
        <f>IF(ORCAMENTOS!G1693="","",ORCAMENTOS!G1693)</f>
        <v>Emanuel</v>
      </c>
      <c r="G1685" s="37" t="str">
        <f>IF(ORCAMENTOS!H1693="","",ORCAMENTOS!H1693)</f>
        <v>Natalia</v>
      </c>
      <c r="H1685" s="39">
        <f>IF(ORCAMENTOS!I1693="","",ORCAMENTOS!I1693)</f>
        <v>32698.720000000001</v>
      </c>
      <c r="I1685" s="60" t="str">
        <f>IF(ORCAMENTOS!J1693="","",ORCAMENTOS!J1693)</f>
        <v/>
      </c>
      <c r="J1685" s="40" t="str">
        <f>IF(ORCAMENTOS!L1693="","",ORCAMENTOS!L1693)</f>
        <v>CANCELADO</v>
      </c>
      <c r="K1685" s="34" t="str">
        <f>IF(ORCAMENTOS!M1693="","",ORCAMENTOS!M1693)</f>
        <v>-</v>
      </c>
      <c r="L1685" t="str">
        <f>IF(ORCAMENTOS!R1693="","",ORCAMENTOS!R1693)</f>
        <v>ACO GALVANIZADO</v>
      </c>
    </row>
    <row r="1686" spans="1:12" ht="15.75" hidden="1" customHeight="1" x14ac:dyDescent="0.25">
      <c r="A1686" s="36">
        <f>IF(ORCAMENTOS!A1694="","",ORCAMENTOS!A1694)</f>
        <v>45924</v>
      </c>
      <c r="B1686" s="46">
        <f>IF(ORCAMENTOS!B1694="","",ORCAMENTOS!B1694)</f>
        <v>1684</v>
      </c>
      <c r="C1686" s="46" t="str">
        <f>IF(ORCAMENTOS!C1694="","",ORCAMENTOS!C1694)</f>
        <v/>
      </c>
      <c r="D1686" s="37" t="str">
        <f>IF(ORCAMENTOS!D1694="","",ORCAMENTOS!D1694)</f>
        <v>ECOTHERM</v>
      </c>
      <c r="E1686" s="38" t="str">
        <f>IF(ORCAMENTOS!E1694="","",ORCAMENTOS!E1694)</f>
        <v>HOSPITAL DE FRANCA</v>
      </c>
      <c r="F1686" s="37" t="str">
        <f>IF(ORCAMENTOS!G1694="","",ORCAMENTOS!G1694)</f>
        <v>Emanuel</v>
      </c>
      <c r="G1686" s="37" t="str">
        <f>IF(ORCAMENTOS!H1694="","",ORCAMENTOS!H1694)</f>
        <v>Selma</v>
      </c>
      <c r="H1686" s="39">
        <f>IF(ORCAMENTOS!I1694="","",ORCAMENTOS!I1694)</f>
        <v>63912.4</v>
      </c>
      <c r="I1686" s="60" t="str">
        <f>IF(ORCAMENTOS!J1694="","",ORCAMENTOS!J1694)</f>
        <v/>
      </c>
      <c r="J1686" s="40" t="str">
        <f>IF(ORCAMENTOS!L1694="","",ORCAMENTOS!L1694)</f>
        <v>CANCELADO</v>
      </c>
      <c r="K1686" s="34" t="str">
        <f>IF(ORCAMENTOS!M1694="","",ORCAMENTOS!M1694)</f>
        <v>-</v>
      </c>
      <c r="L1686" t="str">
        <f>IF(ORCAMENTOS!R1694="","",ORCAMENTOS!R1694)</f>
        <v>-</v>
      </c>
    </row>
    <row r="1687" spans="1:12" ht="15.75" hidden="1" customHeight="1" x14ac:dyDescent="0.25">
      <c r="A1687" s="36">
        <f>IF(ORCAMENTOS!A1695="","",ORCAMENTOS!A1695)</f>
        <v>45924</v>
      </c>
      <c r="B1687" s="46">
        <f>IF(ORCAMENTOS!B1695="","",ORCAMENTOS!B1695)</f>
        <v>1685</v>
      </c>
      <c r="C1687" s="46" t="str">
        <f>IF(ORCAMENTOS!C1695="","",ORCAMENTOS!C1695)</f>
        <v/>
      </c>
      <c r="D1687" s="37" t="str">
        <f>IF(ORCAMENTOS!D1695="","",ORCAMENTOS!D1695)</f>
        <v>ACSISTEM</v>
      </c>
      <c r="E1687" s="38" t="str">
        <f>IF(ORCAMENTOS!E1695="","",ORCAMENTOS!E1695)</f>
        <v>-</v>
      </c>
      <c r="F1687" s="37" t="str">
        <f>IF(ORCAMENTOS!G1695="","",ORCAMENTOS!G1695)</f>
        <v>Emanuel</v>
      </c>
      <c r="G1687" s="37" t="str">
        <f>IF(ORCAMENTOS!H1695="","",ORCAMENTOS!H1695)</f>
        <v>Mateus</v>
      </c>
      <c r="H1687" s="39">
        <f>IF(ORCAMENTOS!I1695="","",ORCAMENTOS!I1695)</f>
        <v>1516.54</v>
      </c>
      <c r="I1687" s="60" t="str">
        <f>IF(ORCAMENTOS!J1695="","",ORCAMENTOS!J1695)</f>
        <v/>
      </c>
      <c r="J1687" s="40" t="str">
        <f>IF(ORCAMENTOS!L1695="","",ORCAMENTOS!L1695)</f>
        <v>CANCELADO</v>
      </c>
      <c r="K1687" s="34" t="str">
        <f>IF(ORCAMENTOS!M1695="","",ORCAMENTOS!M1695)</f>
        <v>-</v>
      </c>
      <c r="L1687" t="str">
        <f>IF(ORCAMENTOS!R1695="","",ORCAMENTOS!R1695)</f>
        <v>-</v>
      </c>
    </row>
    <row r="1688" spans="1:12" ht="15.75" hidden="1" customHeight="1" x14ac:dyDescent="0.25">
      <c r="A1688" s="36">
        <f>IF(ORCAMENTOS!A1696="","",ORCAMENTOS!A1696)</f>
        <v>45924</v>
      </c>
      <c r="B1688" s="46">
        <f>IF(ORCAMENTOS!B1696="","",ORCAMENTOS!B1696)</f>
        <v>1686</v>
      </c>
      <c r="C1688" s="46" t="str">
        <f>IF(ORCAMENTOS!C1696="","",ORCAMENTOS!C1696)</f>
        <v/>
      </c>
      <c r="D1688" s="37" t="str">
        <f>IF(ORCAMENTOS!D1696="","",ORCAMENTOS!D1696)</f>
        <v>AFTERMICA</v>
      </c>
      <c r="E1688" s="38" t="str">
        <f>IF(ORCAMENTOS!E1696="","",ORCAMENTOS!E1696)</f>
        <v>SMART FIT - ITAQUERA - GAMELINHA</v>
      </c>
      <c r="F1688" s="37" t="str">
        <f>IF(ORCAMENTOS!G1696="","",ORCAMENTOS!G1696)</f>
        <v>Fernando</v>
      </c>
      <c r="G1688" s="37" t="str">
        <f>IF(ORCAMENTOS!H1696="","",ORCAMENTOS!H1696)</f>
        <v>Andre</v>
      </c>
      <c r="H1688" s="39">
        <f>IF(ORCAMENTOS!I1696="","",ORCAMENTOS!I1696)</f>
        <v>27086.01</v>
      </c>
      <c r="I1688" s="60" t="str">
        <f>IF(ORCAMENTOS!J1696="","",ORCAMENTOS!J1696)</f>
        <v/>
      </c>
      <c r="J1688" s="40" t="str">
        <f>IF(ORCAMENTOS!L1696="","",ORCAMENTOS!L1696)</f>
        <v>CANCELADO</v>
      </c>
      <c r="K1688" s="34" t="str">
        <f>IF(ORCAMENTOS!M1696="","",ORCAMENTOS!M1696)</f>
        <v>PREV. OUTUBRO</v>
      </c>
      <c r="L1688" t="str">
        <f>IF(ORCAMENTOS!R1696="","",ORCAMENTOS!R1696)</f>
        <v>N/E</v>
      </c>
    </row>
    <row r="1689" spans="1:12" ht="15.75" hidden="1" customHeight="1" x14ac:dyDescent="0.25">
      <c r="A1689" s="36">
        <f>IF(ORCAMENTOS!A1697="","",ORCAMENTOS!A1697)</f>
        <v>45924</v>
      </c>
      <c r="B1689" s="46">
        <f>IF(ORCAMENTOS!B1697="","",ORCAMENTOS!B1697)</f>
        <v>1687</v>
      </c>
      <c r="C1689" s="46" t="str">
        <f>IF(ORCAMENTOS!C1697="","",ORCAMENTOS!C1697)</f>
        <v/>
      </c>
      <c r="D1689" s="37" t="str">
        <f>IF(ORCAMENTOS!D1697="","",ORCAMENTOS!D1697)</f>
        <v>KOVAX ENGENHARIA</v>
      </c>
      <c r="E1689" s="38" t="str">
        <f>IF(ORCAMENTOS!E1697="","",ORCAMENTOS!E1697)</f>
        <v>CENTRO DE DISTRIBUICAO - CAJAMAR</v>
      </c>
      <c r="F1689" s="37" t="str">
        <f>IF(ORCAMENTOS!G1697="","",ORCAMENTOS!G1697)</f>
        <v>Emanuel</v>
      </c>
      <c r="G1689" s="37" t="str">
        <f>IF(ORCAMENTOS!H1697="","",ORCAMENTOS!H1697)</f>
        <v>Luis</v>
      </c>
      <c r="H1689" s="39">
        <f>IF(ORCAMENTOS!I1697="","",ORCAMENTOS!I1697)</f>
        <v>55077.8</v>
      </c>
      <c r="I1689" s="60" t="str">
        <f>IF(ORCAMENTOS!J1697="","",ORCAMENTOS!J1697)</f>
        <v/>
      </c>
      <c r="J1689" s="40" t="str">
        <f>IF(ORCAMENTOS!L1697="","",ORCAMENTOS!L1697)</f>
        <v>CANCELADO</v>
      </c>
      <c r="K1689" s="34" t="str">
        <f>IF(ORCAMENTOS!M1697="","",ORCAMENTOS!M1697)</f>
        <v>-</v>
      </c>
      <c r="L1689" t="str">
        <f>IF(ORCAMENTOS!R1697="","",ORCAMENTOS!R1697)</f>
        <v>-</v>
      </c>
    </row>
    <row r="1690" spans="1:12" ht="15.75" hidden="1" customHeight="1" x14ac:dyDescent="0.25">
      <c r="A1690" s="36">
        <f>IF(ORCAMENTOS!A1698="","",ORCAMENTOS!A1698)</f>
        <v>45924</v>
      </c>
      <c r="B1690" s="46">
        <f>IF(ORCAMENTOS!B1698="","",ORCAMENTOS!B1698)</f>
        <v>1688</v>
      </c>
      <c r="C1690" s="46" t="str">
        <f>IF(ORCAMENTOS!C1698="","",ORCAMENTOS!C1698)</f>
        <v/>
      </c>
      <c r="D1690" s="37" t="str">
        <f>IF(ORCAMENTOS!D1698="","",ORCAMENTOS!D1698)</f>
        <v>EVOLUTIVA</v>
      </c>
      <c r="E1690" s="38" t="str">
        <f>IF(ORCAMENTOS!E1698="","",ORCAMENTOS!E1698)</f>
        <v>DOIS VIZINHOS-PR</v>
      </c>
      <c r="F1690" s="37" t="str">
        <f>IF(ORCAMENTOS!G1698="","",ORCAMENTOS!G1698)</f>
        <v>Gabriel</v>
      </c>
      <c r="G1690" s="37" t="str">
        <f>IF(ORCAMENTOS!H1698="","",ORCAMENTOS!H1698)</f>
        <v>Mariana</v>
      </c>
      <c r="H1690" s="39">
        <f>IF(ORCAMENTOS!I1698="","",ORCAMENTOS!I1698)</f>
        <v>35395.57</v>
      </c>
      <c r="I1690" s="60" t="str">
        <f>IF(ORCAMENTOS!J1698="","",ORCAMENTOS!J1698)</f>
        <v/>
      </c>
      <c r="J1690" s="40" t="str">
        <f>IF(ORCAMENTOS!L1698="","",ORCAMENTOS!L1698)</f>
        <v>CANCELADO</v>
      </c>
      <c r="K1690" s="34" t="str">
        <f>IF(ORCAMENTOS!M1698="","",ORCAMENTOS!M1698)</f>
        <v>-</v>
      </c>
      <c r="L1690" t="str">
        <f>IF(ORCAMENTOS!R1698="","",ORCAMENTOS!R1698)</f>
        <v>-</v>
      </c>
    </row>
    <row r="1691" spans="1:12" ht="15.75" hidden="1" customHeight="1" x14ac:dyDescent="0.25">
      <c r="A1691" s="36">
        <f>IF(ORCAMENTOS!A1699="","",ORCAMENTOS!A1699)</f>
        <v>45924</v>
      </c>
      <c r="B1691" s="46">
        <f>IF(ORCAMENTOS!B1699="","",ORCAMENTOS!B1699)</f>
        <v>1689</v>
      </c>
      <c r="C1691" s="46" t="str">
        <f>IF(ORCAMENTOS!C1699="","",ORCAMENTOS!C1699)</f>
        <v/>
      </c>
      <c r="D1691" s="37" t="str">
        <f>IF(ORCAMENTOS!D1699="","",ORCAMENTOS!D1699)</f>
        <v>FRIDUTOS</v>
      </c>
      <c r="E1691" s="38" t="str">
        <f>IF(ORCAMENTOS!E1699="","",ORCAMENTOS!E1699)</f>
        <v>BLUEFIT - APARECIDA SHOPPING - GO</v>
      </c>
      <c r="F1691" s="37" t="str">
        <f>IF(ORCAMENTOS!G1699="","",ORCAMENTOS!G1699)</f>
        <v>Gabriel</v>
      </c>
      <c r="G1691" s="37" t="str">
        <f>IF(ORCAMENTOS!H1699="","",ORCAMENTOS!H1699)</f>
        <v/>
      </c>
      <c r="H1691" s="39">
        <f>IF(ORCAMENTOS!I1699="","",ORCAMENTOS!I1699)</f>
        <v>105753.76</v>
      </c>
      <c r="I1691" s="60" t="str">
        <f>IF(ORCAMENTOS!J1699="","",ORCAMENTOS!J1699)</f>
        <v/>
      </c>
      <c r="J1691" s="40" t="str">
        <f>IF(ORCAMENTOS!L1699="","",ORCAMENTOS!L1699)</f>
        <v>COMPRA</v>
      </c>
      <c r="K1691" s="34" t="str">
        <f>IF(ORCAMENTOS!M1699="","",ORCAMENTOS!M1699)</f>
        <v>-</v>
      </c>
      <c r="L1691" t="str">
        <f>IF(ORCAMENTOS!R1699="","",ORCAMENTOS!R1699)</f>
        <v>-</v>
      </c>
    </row>
    <row r="1692" spans="1:12" ht="15.75" hidden="1" customHeight="1" x14ac:dyDescent="0.25">
      <c r="A1692" s="36">
        <f>IF(ORCAMENTOS!A1700="","",ORCAMENTOS!A1700)</f>
        <v>45924</v>
      </c>
      <c r="B1692" s="46">
        <f>IF(ORCAMENTOS!B1700="","",ORCAMENTOS!B1700)</f>
        <v>1690</v>
      </c>
      <c r="C1692" s="46" t="str">
        <f>IF(ORCAMENTOS!C1700="","",ORCAMENTOS!C1700)</f>
        <v/>
      </c>
      <c r="D1692" s="37" t="str">
        <f>IF(ORCAMENTOS!D1700="","",ORCAMENTOS!D1700)</f>
        <v>FANCOLD SERVICE</v>
      </c>
      <c r="E1692" s="38" t="str">
        <f>IF(ORCAMENTOS!E1700="","",ORCAMENTOS!E1700)</f>
        <v>-</v>
      </c>
      <c r="F1692" s="37" t="str">
        <f>IF(ORCAMENTOS!G1700="","",ORCAMENTOS!G1700)</f>
        <v>Michel</v>
      </c>
      <c r="G1692" s="37" t="str">
        <f>IF(ORCAMENTOS!H1700="","",ORCAMENTOS!H1700)</f>
        <v>Roger</v>
      </c>
      <c r="H1692" s="39">
        <f>IF(ORCAMENTOS!I1700="","",ORCAMENTOS!I1700)</f>
        <v>8167.93</v>
      </c>
      <c r="I1692" s="60" t="str">
        <f>IF(ORCAMENTOS!J1700="","",ORCAMENTOS!J1700)</f>
        <v/>
      </c>
      <c r="J1692" s="40" t="str">
        <f>IF(ORCAMENTOS!L1700="","",ORCAMENTOS!L1700)</f>
        <v>FECHADO</v>
      </c>
      <c r="K1692" s="34" t="str">
        <f>IF(ORCAMENTOS!M1700="","",ORCAMENTOS!M1700)</f>
        <v>-</v>
      </c>
      <c r="L1692" t="str">
        <f>IF(ORCAMENTOS!R1700="","",ORCAMENTOS!R1700)</f>
        <v>-</v>
      </c>
    </row>
    <row r="1693" spans="1:12" ht="15.75" hidden="1" customHeight="1" x14ac:dyDescent="0.25">
      <c r="A1693" s="36">
        <f>IF(ORCAMENTOS!A1701="","",ORCAMENTOS!A1701)</f>
        <v>45924</v>
      </c>
      <c r="B1693" s="46">
        <f>IF(ORCAMENTOS!B1701="","",ORCAMENTOS!B1701)</f>
        <v>1691</v>
      </c>
      <c r="C1693" s="46" t="str">
        <f>IF(ORCAMENTOS!C1701="","",ORCAMENTOS!C1701)</f>
        <v/>
      </c>
      <c r="D1693" s="37" t="str">
        <f>IF(ORCAMENTOS!D1701="","",ORCAMENTOS!D1701)</f>
        <v>CHD SISTEMAS</v>
      </c>
      <c r="E1693" s="38" t="str">
        <f>IF(ORCAMENTOS!E1701="","",ORCAMENTOS!E1701)</f>
        <v>-</v>
      </c>
      <c r="F1693" s="37" t="str">
        <f>IF(ORCAMENTOS!G1701="","",ORCAMENTOS!G1701)</f>
        <v>Fernando</v>
      </c>
      <c r="G1693" s="37" t="str">
        <f>IF(ORCAMENTOS!H1701="","",ORCAMENTOS!H1701)</f>
        <v>Paulo</v>
      </c>
      <c r="H1693" s="39">
        <f>IF(ORCAMENTOS!I1701="","",ORCAMENTOS!I1701)</f>
        <v>57283.1</v>
      </c>
      <c r="I1693" s="60" t="str">
        <f>IF(ORCAMENTOS!J1701="","",ORCAMENTOS!J1701)</f>
        <v/>
      </c>
      <c r="J1693" s="40" t="str">
        <f>IF(ORCAMENTOS!L1701="","",ORCAMENTOS!L1701)</f>
        <v>FECHADO</v>
      </c>
      <c r="K1693" s="34" t="str">
        <f>IF(ORCAMENTOS!M1701="","",ORCAMENTOS!M1701)</f>
        <v>-</v>
      </c>
      <c r="L1693" t="str">
        <f>IF(ORCAMENTOS!R1701="","",ORCAMENTOS!R1701)</f>
        <v>-</v>
      </c>
    </row>
    <row r="1694" spans="1:12" ht="15.75" hidden="1" customHeight="1" x14ac:dyDescent="0.25">
      <c r="A1694" s="36">
        <f>IF(ORCAMENTOS!A1702="","",ORCAMENTOS!A1702)</f>
        <v>45924</v>
      </c>
      <c r="B1694" s="46">
        <f>IF(ORCAMENTOS!B1702="","",ORCAMENTOS!B1702)</f>
        <v>1692</v>
      </c>
      <c r="C1694" s="46" t="str">
        <f>IF(ORCAMENTOS!C1702="","",ORCAMENTOS!C1702)</f>
        <v/>
      </c>
      <c r="D1694" s="37" t="str">
        <f>IF(ORCAMENTOS!D1702="","",ORCAMENTOS!D1702)</f>
        <v>ECOLOGIC AIR</v>
      </c>
      <c r="E1694" s="38" t="str">
        <f>IF(ORCAMENTOS!E1702="","",ORCAMENTOS!E1702)</f>
        <v>MELINDA - RIBEIRAO PRETO - SP</v>
      </c>
      <c r="F1694" s="37" t="str">
        <f>IF(ORCAMENTOS!G1702="","",ORCAMENTOS!G1702)</f>
        <v>Michel</v>
      </c>
      <c r="G1694" s="37" t="str">
        <f>IF(ORCAMENTOS!H1702="","",ORCAMENTOS!H1702)</f>
        <v>Vinicius</v>
      </c>
      <c r="H1694" s="39">
        <f>IF(ORCAMENTOS!I1702="","",ORCAMENTOS!I1702)</f>
        <v>15058.46</v>
      </c>
      <c r="I1694" s="60" t="str">
        <f>IF(ORCAMENTOS!J1702="","",ORCAMENTOS!J1702)</f>
        <v/>
      </c>
      <c r="J1694" s="40" t="str">
        <f>IF(ORCAMENTOS!L1702="","",ORCAMENTOS!L1702)</f>
        <v>CANCELADO</v>
      </c>
      <c r="K1694" s="34" t="str">
        <f>IF(ORCAMENTOS!M1702="","",ORCAMENTOS!M1702)</f>
        <v>-</v>
      </c>
      <c r="L1694" t="str">
        <f>IF(ORCAMENTOS!R1702="","",ORCAMENTOS!R1702)</f>
        <v>MPU</v>
      </c>
    </row>
    <row r="1695" spans="1:12" ht="15.75" hidden="1" customHeight="1" x14ac:dyDescent="0.25">
      <c r="A1695" s="36">
        <f>IF(ORCAMENTOS!A1703="","",ORCAMENTOS!A1703)</f>
        <v>45924</v>
      </c>
      <c r="B1695" s="46">
        <f>IF(ORCAMENTOS!B1703="","",ORCAMENTOS!B1703)</f>
        <v>1693</v>
      </c>
      <c r="C1695" s="46" t="str">
        <f>IF(ORCAMENTOS!C1703="","",ORCAMENTOS!C1703)</f>
        <v/>
      </c>
      <c r="D1695" s="37" t="str">
        <f>IF(ORCAMENTOS!D1703="","",ORCAMENTOS!D1703)</f>
        <v/>
      </c>
      <c r="E1695" s="38" t="str">
        <f>IF(ORCAMENTOS!E1703="","",ORCAMENTOS!E1703)</f>
        <v/>
      </c>
      <c r="F1695" s="37" t="str">
        <f>IF(ORCAMENTOS!G1703="","",ORCAMENTOS!G1703)</f>
        <v/>
      </c>
      <c r="G1695" s="37" t="str">
        <f>IF(ORCAMENTOS!H1703="","",ORCAMENTOS!H1703)</f>
        <v/>
      </c>
      <c r="H1695" s="39" t="str">
        <f>IF(ORCAMENTOS!I1703="","",ORCAMENTOS!I1703)</f>
        <v/>
      </c>
      <c r="I1695" s="60" t="str">
        <f>IF(ORCAMENTOS!J1703="","",ORCAMENTOS!J1703)</f>
        <v/>
      </c>
      <c r="J1695" s="40" t="str">
        <f>IF(ORCAMENTOS!L1703="","",ORCAMENTOS!L1703)</f>
        <v>CANCELADO</v>
      </c>
      <c r="K1695" s="34" t="str">
        <f>IF(ORCAMENTOS!M1703="","",ORCAMENTOS!M1703)</f>
        <v/>
      </c>
      <c r="L1695" t="str">
        <f>IF(ORCAMENTOS!R1703="","",ORCAMENTOS!R1703)</f>
        <v/>
      </c>
    </row>
    <row r="1696" spans="1:12" ht="15.75" hidden="1" customHeight="1" x14ac:dyDescent="0.25">
      <c r="A1696" s="36">
        <f>IF(ORCAMENTOS!A1704="","",ORCAMENTOS!A1704)</f>
        <v>45926</v>
      </c>
      <c r="B1696" s="46">
        <f>IF(ORCAMENTOS!B1704="","",ORCAMENTOS!B1704)</f>
        <v>1694</v>
      </c>
      <c r="C1696" s="46" t="str">
        <f>IF(ORCAMENTOS!C1704="","",ORCAMENTOS!C1704)</f>
        <v/>
      </c>
      <c r="D1696" s="37" t="str">
        <f>IF(ORCAMENTOS!D1704="","",ORCAMENTOS!D1704)</f>
        <v>TECNOG INSTALACOES</v>
      </c>
      <c r="E1696" s="38" t="str">
        <f>IF(ORCAMENTOS!E1704="","",ORCAMENTOS!E1704)</f>
        <v>FUNDACAO BUTANTA</v>
      </c>
      <c r="F1696" s="37" t="str">
        <f>IF(ORCAMENTOS!G1704="","",ORCAMENTOS!G1704)</f>
        <v>Fernando</v>
      </c>
      <c r="G1696" s="37" t="str">
        <f>IF(ORCAMENTOS!H1704="","",ORCAMENTOS!H1704)</f>
        <v>Eduardo</v>
      </c>
      <c r="H1696" s="39">
        <f>IF(ORCAMENTOS!I1704="","",ORCAMENTOS!I1704)</f>
        <v>4567.2299999999996</v>
      </c>
      <c r="I1696" s="60" t="str">
        <f>IF(ORCAMENTOS!J1704="","",ORCAMENTOS!J1704)</f>
        <v/>
      </c>
      <c r="J1696" s="40" t="str">
        <f>IF(ORCAMENTOS!L1704="","",ORCAMENTOS!L1704)</f>
        <v>FECHADO</v>
      </c>
      <c r="K1696" s="34" t="str">
        <f>IF(ORCAMENTOS!M1704="","",ORCAMENTOS!M1704)</f>
        <v>-</v>
      </c>
      <c r="L1696" t="str">
        <f>IF(ORCAMENTOS!R1704="","",ORCAMENTOS!R1704)</f>
        <v>MPU</v>
      </c>
    </row>
    <row r="1697" spans="1:12" ht="15.75" hidden="1" customHeight="1" x14ac:dyDescent="0.25">
      <c r="A1697" s="36">
        <f>IF(ORCAMENTOS!A1705="","",ORCAMENTOS!A1705)</f>
        <v>45925</v>
      </c>
      <c r="B1697" s="46">
        <f>IF(ORCAMENTOS!B1705="","",ORCAMENTOS!B1705)</f>
        <v>1695</v>
      </c>
      <c r="C1697" s="46" t="str">
        <f>IF(ORCAMENTOS!C1705="","",ORCAMENTOS!C1705)</f>
        <v/>
      </c>
      <c r="D1697" s="37" t="str">
        <f>IF(ORCAMENTOS!D1705="","",ORCAMENTOS!D1705)</f>
        <v>SO AR CLIMATIZACAO</v>
      </c>
      <c r="E1697" s="38" t="str">
        <f>IF(ORCAMENTOS!E1705="","",ORCAMENTOS!E1705)</f>
        <v>Supermercado Aquilante</v>
      </c>
      <c r="F1697" s="37" t="str">
        <f>IF(ORCAMENTOS!G1705="","",ORCAMENTOS!G1705)</f>
        <v>Gabriel</v>
      </c>
      <c r="G1697" s="37" t="str">
        <f>IF(ORCAMENTOS!H1705="","",ORCAMENTOS!H1705)</f>
        <v>Gabriel</v>
      </c>
      <c r="H1697" s="39">
        <f>IF(ORCAMENTOS!I1705="","",ORCAMENTOS!I1705)</f>
        <v>3146.51</v>
      </c>
      <c r="I1697" s="60" t="str">
        <f>IF(ORCAMENTOS!J1705="","",ORCAMENTOS!J1705)</f>
        <v/>
      </c>
      <c r="J1697" s="40" t="str">
        <f>IF(ORCAMENTOS!L1705="","",ORCAMENTOS!L1705)</f>
        <v>CANCELADO</v>
      </c>
      <c r="K1697" s="34" t="str">
        <f>IF(ORCAMENTOS!M1705="","",ORCAMENTOS!M1705)</f>
        <v>-</v>
      </c>
      <c r="L1697" t="str">
        <f>IF(ORCAMENTOS!R1705="","",ORCAMENTOS!R1705)</f>
        <v>-</v>
      </c>
    </row>
    <row r="1698" spans="1:12" ht="15.75" hidden="1" customHeight="1" x14ac:dyDescent="0.25">
      <c r="A1698" s="36">
        <f>IF(ORCAMENTOS!A1706="","",ORCAMENTOS!A1706)</f>
        <v>45925</v>
      </c>
      <c r="B1698" s="46">
        <f>IF(ORCAMENTOS!B1706="","",ORCAMENTOS!B1706)</f>
        <v>1696</v>
      </c>
      <c r="C1698" s="46" t="str">
        <f>IF(ORCAMENTOS!C1706="","",ORCAMENTOS!C1706)</f>
        <v/>
      </c>
      <c r="D1698" s="37" t="str">
        <f>IF(ORCAMENTOS!D1706="","",ORCAMENTOS!D1706)</f>
        <v>MONDARC</v>
      </c>
      <c r="E1698" s="38" t="str">
        <f>IF(ORCAMENTOS!E1706="","",ORCAMENTOS!E1706)</f>
        <v>MELINDA - RIBEIRAO PRETO - SP</v>
      </c>
      <c r="F1698" s="37" t="str">
        <f>IF(ORCAMENTOS!G1706="","",ORCAMENTOS!G1706)</f>
        <v>Michel</v>
      </c>
      <c r="G1698" s="37" t="str">
        <f>IF(ORCAMENTOS!H1706="","",ORCAMENTOS!H1706)</f>
        <v>Matheus</v>
      </c>
      <c r="H1698" s="39">
        <f>IF(ORCAMENTOS!I1706="","",ORCAMENTOS!I1706)</f>
        <v>15058.46</v>
      </c>
      <c r="I1698" s="60" t="str">
        <f>IF(ORCAMENTOS!J1706="","",ORCAMENTOS!J1706)</f>
        <v/>
      </c>
      <c r="J1698" s="40" t="str">
        <f>IF(ORCAMENTOS!L1706="","",ORCAMENTOS!L1706)</f>
        <v>CANCELADO</v>
      </c>
      <c r="K1698" s="34" t="str">
        <f>IF(ORCAMENTOS!M1706="","",ORCAMENTOS!M1706)</f>
        <v>-</v>
      </c>
      <c r="L1698" t="str">
        <f>IF(ORCAMENTOS!R1706="","",ORCAMENTOS!R1706)</f>
        <v>MPU</v>
      </c>
    </row>
    <row r="1699" spans="1:12" ht="15.75" hidden="1" customHeight="1" x14ac:dyDescent="0.25">
      <c r="A1699" s="36">
        <f>IF(ORCAMENTOS!A1707="","",ORCAMENTOS!A1707)</f>
        <v>45925</v>
      </c>
      <c r="B1699" s="46">
        <f>IF(ORCAMENTOS!B1707="","",ORCAMENTOS!B1707)</f>
        <v>1697</v>
      </c>
      <c r="C1699" s="46" t="str">
        <f>IF(ORCAMENTOS!C1707="","",ORCAMENTOS!C1707)</f>
        <v/>
      </c>
      <c r="D1699" s="37" t="str">
        <f>IF(ORCAMENTOS!D1707="","",ORCAMENTOS!D1707)</f>
        <v>ADRIATIC</v>
      </c>
      <c r="E1699" s="38" t="str">
        <f>IF(ORCAMENTOS!E1707="","",ORCAMENTOS!E1707)</f>
        <v>SBT - ADM</v>
      </c>
      <c r="F1699" s="37" t="str">
        <f>IF(ORCAMENTOS!G1707="","",ORCAMENTOS!G1707)</f>
        <v>Emanuel</v>
      </c>
      <c r="G1699" s="37" t="str">
        <f>IF(ORCAMENTOS!H1707="","",ORCAMENTOS!H1707)</f>
        <v>Carlos</v>
      </c>
      <c r="H1699" s="39">
        <f>IF(ORCAMENTOS!I1707="","",ORCAMENTOS!I1707)</f>
        <v>14409.45</v>
      </c>
      <c r="I1699" s="60" t="str">
        <f>IF(ORCAMENTOS!J1707="","",ORCAMENTOS!J1707)</f>
        <v/>
      </c>
      <c r="J1699" s="40" t="str">
        <f>IF(ORCAMENTOS!L1707="","",ORCAMENTOS!L1707)</f>
        <v>CANCELADO</v>
      </c>
      <c r="K1699" s="34" t="str">
        <f>IF(ORCAMENTOS!M1707="","",ORCAMENTOS!M1707)</f>
        <v>-</v>
      </c>
      <c r="L1699" t="str">
        <f>IF(ORCAMENTOS!R1707="","",ORCAMENTOS!R1707)</f>
        <v>-</v>
      </c>
    </row>
    <row r="1700" spans="1:12" ht="15.75" hidden="1" customHeight="1" x14ac:dyDescent="0.25">
      <c r="A1700" s="36">
        <f>IF(ORCAMENTOS!A1708="","",ORCAMENTOS!A1708)</f>
        <v>45925</v>
      </c>
      <c r="B1700" s="46">
        <f>IF(ORCAMENTOS!B1708="","",ORCAMENTOS!B1708)</f>
        <v>1698</v>
      </c>
      <c r="C1700" s="46" t="str">
        <f>IF(ORCAMENTOS!C1708="","",ORCAMENTOS!C1708)</f>
        <v/>
      </c>
      <c r="D1700" s="37" t="str">
        <f>IF(ORCAMENTOS!D1708="","",ORCAMENTOS!D1708)</f>
        <v>COLD CONTROL</v>
      </c>
      <c r="E1700" s="38" t="str">
        <f>IF(ORCAMENTOS!E1708="","",ORCAMENTOS!E1708)</f>
        <v>CCR JUNDIA</v>
      </c>
      <c r="F1700" s="37" t="str">
        <f>IF(ORCAMENTOS!G1708="","",ORCAMENTOS!G1708)</f>
        <v>Emanuel</v>
      </c>
      <c r="G1700" s="37" t="str">
        <f>IF(ORCAMENTOS!H1708="","",ORCAMENTOS!H1708)</f>
        <v>Armando</v>
      </c>
      <c r="H1700" s="39">
        <f>IF(ORCAMENTOS!I1708="","",ORCAMENTOS!I1708)</f>
        <v>3243.4</v>
      </c>
      <c r="I1700" s="60" t="str">
        <f>IF(ORCAMENTOS!J1708="","",ORCAMENTOS!J1708)</f>
        <v/>
      </c>
      <c r="J1700" s="40" t="str">
        <f>IF(ORCAMENTOS!L1708="","",ORCAMENTOS!L1708)</f>
        <v>FECHADO</v>
      </c>
      <c r="K1700" s="34" t="str">
        <f>IF(ORCAMENTOS!M1708="","",ORCAMENTOS!M1708)</f>
        <v>-</v>
      </c>
      <c r="L1700" t="str">
        <f>IF(ORCAMENTOS!R1708="","",ORCAMENTOS!R1708)</f>
        <v>-</v>
      </c>
    </row>
    <row r="1701" spans="1:12" ht="15.75" hidden="1" customHeight="1" x14ac:dyDescent="0.25">
      <c r="A1701" s="36">
        <f>IF(ORCAMENTOS!A1709="","",ORCAMENTOS!A1709)</f>
        <v>45925</v>
      </c>
      <c r="B1701" s="46">
        <f>IF(ORCAMENTOS!B1709="","",ORCAMENTOS!B1709)</f>
        <v>1699</v>
      </c>
      <c r="C1701" s="46" t="str">
        <f>IF(ORCAMENTOS!C1709="","",ORCAMENTOS!C1709)</f>
        <v/>
      </c>
      <c r="D1701" s="37" t="str">
        <f>IF(ORCAMENTOS!D1709="","",ORCAMENTOS!D1709)</f>
        <v>NEW AIR</v>
      </c>
      <c r="E1701" s="38" t="str">
        <f>IF(ORCAMENTOS!E1709="","",ORCAMENTOS!E1709)</f>
        <v>-</v>
      </c>
      <c r="F1701" s="37" t="str">
        <f>IF(ORCAMENTOS!G1709="","",ORCAMENTOS!G1709)</f>
        <v>Fernando</v>
      </c>
      <c r="G1701" s="37" t="str">
        <f>IF(ORCAMENTOS!H1709="","",ORCAMENTOS!H1709)</f>
        <v>Igor</v>
      </c>
      <c r="H1701" s="39">
        <f>IF(ORCAMENTOS!I1709="","",ORCAMENTOS!I1709)</f>
        <v>9495.5499999999993</v>
      </c>
      <c r="I1701" s="60" t="str">
        <f>IF(ORCAMENTOS!J1709="","",ORCAMENTOS!J1709)</f>
        <v/>
      </c>
      <c r="J1701" s="40" t="str">
        <f>IF(ORCAMENTOS!L1709="","",ORCAMENTOS!L1709)</f>
        <v>FECHADO</v>
      </c>
      <c r="K1701" s="34" t="str">
        <f>IF(ORCAMENTOS!M1709="","",ORCAMENTOS!M1709)</f>
        <v>-</v>
      </c>
      <c r="L1701" t="str">
        <f>IF(ORCAMENTOS!R1709="","",ORCAMENTOS!R1709)</f>
        <v>-</v>
      </c>
    </row>
    <row r="1702" spans="1:12" ht="15.75" hidden="1" customHeight="1" x14ac:dyDescent="0.25">
      <c r="A1702" s="36">
        <f>IF(ORCAMENTOS!A1710="","",ORCAMENTOS!A1710)</f>
        <v>45925</v>
      </c>
      <c r="B1702" s="46">
        <f>IF(ORCAMENTOS!B1710="","",ORCAMENTOS!B1710)</f>
        <v>1700</v>
      </c>
      <c r="C1702" s="46" t="str">
        <f>IF(ORCAMENTOS!C1710="","",ORCAMENTOS!C1710)</f>
        <v/>
      </c>
      <c r="D1702" s="37" t="str">
        <f>IF(ORCAMENTOS!D1710="","",ORCAMENTOS!D1710)</f>
        <v xml:space="preserve">AIRCOOLTECH </v>
      </c>
      <c r="E1702" s="38" t="str">
        <f>IF(ORCAMENTOS!E1710="","",ORCAMENTOS!E1710)</f>
        <v>HOSPITAL SANTA TEREZA - REFORMA CENTRO CIRURGICO - PRÉDIO 3000</v>
      </c>
      <c r="F1702" s="37" t="str">
        <f>IF(ORCAMENTOS!G1710="","",ORCAMENTOS!G1710)</f>
        <v xml:space="preserve">Aldavir </v>
      </c>
      <c r="G1702" s="37" t="str">
        <f>IF(ORCAMENTOS!H1710="","",ORCAMENTOS!H1710)</f>
        <v>Irineu</v>
      </c>
      <c r="H1702" s="39">
        <f>IF(ORCAMENTOS!I1710="","",ORCAMENTOS!I1710)</f>
        <v>11651.11</v>
      </c>
      <c r="I1702" s="60" t="str">
        <f>IF(ORCAMENTOS!J1710="","",ORCAMENTOS!J1710)</f>
        <v/>
      </c>
      <c r="J1702" s="40" t="str">
        <f>IF(ORCAMENTOS!L1710="","",ORCAMENTOS!L1710)</f>
        <v>CANCELADO</v>
      </c>
      <c r="K1702" s="34" t="str">
        <f>IF(ORCAMENTOS!M1710="","",ORCAMENTOS!M1710)</f>
        <v>CHAPA</v>
      </c>
      <c r="L1702" t="str">
        <f>IF(ORCAMENTOS!R1710="","",ORCAMENTOS!R1710)</f>
        <v/>
      </c>
    </row>
    <row r="1703" spans="1:12" ht="15.75" hidden="1" customHeight="1" x14ac:dyDescent="0.25">
      <c r="A1703" s="36">
        <f>IF(ORCAMENTOS!A1711="","",ORCAMENTOS!A1711)</f>
        <v>45926</v>
      </c>
      <c r="B1703" s="46">
        <f>IF(ORCAMENTOS!B1711="","",ORCAMENTOS!B1711)</f>
        <v>1701</v>
      </c>
      <c r="C1703" s="46" t="str">
        <f>IF(ORCAMENTOS!C1711="","",ORCAMENTOS!C1711)</f>
        <v/>
      </c>
      <c r="D1703" s="37" t="str">
        <f>IF(ORCAMENTOS!D1711="","",ORCAMENTOS!D1711)</f>
        <v>RM3 ENGENHARIA</v>
      </c>
      <c r="E1703" s="38" t="str">
        <f>IF(ORCAMENTOS!E1711="","",ORCAMENTOS!E1711)</f>
        <v>Savegnago Sertãozinho</v>
      </c>
      <c r="F1703" s="37" t="str">
        <f>IF(ORCAMENTOS!G1711="","",ORCAMENTOS!G1711)</f>
        <v>Guilherme</v>
      </c>
      <c r="G1703" s="37" t="str">
        <f>IF(ORCAMENTOS!H1711="","",ORCAMENTOS!H1711)</f>
        <v>Janice</v>
      </c>
      <c r="H1703" s="39">
        <f>IF(ORCAMENTOS!I1711="","",ORCAMENTOS!I1711)</f>
        <v>5280.8</v>
      </c>
      <c r="I1703" s="60" t="str">
        <f>IF(ORCAMENTOS!J1711="","",ORCAMENTOS!J1711)</f>
        <v/>
      </c>
      <c r="J1703" s="40" t="str">
        <f>IF(ORCAMENTOS!L1711="","",ORCAMENTOS!L1711)</f>
        <v>FECHADO</v>
      </c>
      <c r="K1703" s="34" t="str">
        <f>IF(ORCAMENTOS!M1711="","",ORCAMENTOS!M1711)</f>
        <v>-</v>
      </c>
      <c r="L1703" t="str">
        <f>IF(ORCAMENTOS!R1711="","",ORCAMENTOS!R1711)</f>
        <v>-</v>
      </c>
    </row>
    <row r="1704" spans="1:12" ht="15.75" hidden="1" customHeight="1" x14ac:dyDescent="0.25">
      <c r="A1704" s="36">
        <f>IF(ORCAMENTOS!A1712="","",ORCAMENTOS!A1712)</f>
        <v>45926</v>
      </c>
      <c r="B1704" s="46">
        <f>IF(ORCAMENTOS!B1712="","",ORCAMENTOS!B1712)</f>
        <v>1702</v>
      </c>
      <c r="C1704" s="46" t="str">
        <f>IF(ORCAMENTOS!C1712="","",ORCAMENTOS!C1712)</f>
        <v/>
      </c>
      <c r="D1704" s="37" t="str">
        <f>IF(ORCAMENTOS!D1712="","",ORCAMENTOS!D1712)</f>
        <v>RECLIMA</v>
      </c>
      <c r="E1704" s="38" t="str">
        <f>IF(ORCAMENTOS!E1712="","",ORCAMENTOS!E1712)</f>
        <v>-</v>
      </c>
      <c r="F1704" s="37" t="str">
        <f>IF(ORCAMENTOS!G1712="","",ORCAMENTOS!G1712)</f>
        <v>Michel</v>
      </c>
      <c r="G1704" s="37" t="str">
        <f>IF(ORCAMENTOS!H1712="","",ORCAMENTOS!H1712)</f>
        <v>Renata</v>
      </c>
      <c r="H1704" s="39">
        <f>IF(ORCAMENTOS!I1712="","",ORCAMENTOS!I1712)</f>
        <v>10693.19</v>
      </c>
      <c r="I1704" s="60" t="str">
        <f>IF(ORCAMENTOS!J1712="","",ORCAMENTOS!J1712)</f>
        <v/>
      </c>
      <c r="J1704" s="40" t="str">
        <f>IF(ORCAMENTOS!L1712="","",ORCAMENTOS!L1712)</f>
        <v>CANCELADO</v>
      </c>
      <c r="K1704" s="34" t="str">
        <f>IF(ORCAMENTOS!M1712="","",ORCAMENTOS!M1712)</f>
        <v>-</v>
      </c>
      <c r="L1704" t="str">
        <f>IF(ORCAMENTOS!R1712="","",ORCAMENTOS!R1712)</f>
        <v>-</v>
      </c>
    </row>
    <row r="1705" spans="1:12" ht="15.75" hidden="1" customHeight="1" x14ac:dyDescent="0.25">
      <c r="A1705" s="36">
        <f>IF(ORCAMENTOS!A1713="","",ORCAMENTOS!A1713)</f>
        <v>45926</v>
      </c>
      <c r="B1705" s="46">
        <f>IF(ORCAMENTOS!B1713="","",ORCAMENTOS!B1713)</f>
        <v>1703</v>
      </c>
      <c r="C1705" s="46" t="str">
        <f>IF(ORCAMENTOS!C1713="","",ORCAMENTOS!C1713)</f>
        <v/>
      </c>
      <c r="D1705" s="37" t="str">
        <f>IF(ORCAMENTOS!D1713="","",ORCAMENTOS!D1713)</f>
        <v>CELSO DE LIMA</v>
      </c>
      <c r="E1705" s="38" t="str">
        <f>IF(ORCAMENTOS!E1713="","",ORCAMENTOS!E1713)</f>
        <v>-</v>
      </c>
      <c r="F1705" s="37" t="str">
        <f>IF(ORCAMENTOS!G1713="","",ORCAMENTOS!G1713)</f>
        <v>Gabriel</v>
      </c>
      <c r="G1705" s="37" t="str">
        <f>IF(ORCAMENTOS!H1713="","",ORCAMENTOS!H1713)</f>
        <v>Celso</v>
      </c>
      <c r="H1705" s="39">
        <f>IF(ORCAMENTOS!I1713="","",ORCAMENTOS!I1713)</f>
        <v>11613.83</v>
      </c>
      <c r="I1705" s="60" t="str">
        <f>IF(ORCAMENTOS!J1713="","",ORCAMENTOS!J1713)</f>
        <v/>
      </c>
      <c r="J1705" s="40" t="str">
        <f>IF(ORCAMENTOS!L1713="","",ORCAMENTOS!L1713)</f>
        <v>CANCELADO</v>
      </c>
      <c r="K1705" s="34" t="str">
        <f>IF(ORCAMENTOS!M1713="","",ORCAMENTOS!M1713)</f>
        <v>-</v>
      </c>
      <c r="L1705" t="str">
        <f>IF(ORCAMENTOS!R1713="","",ORCAMENTOS!R1713)</f>
        <v>-</v>
      </c>
    </row>
    <row r="1706" spans="1:12" ht="15.75" hidden="1" customHeight="1" x14ac:dyDescent="0.25">
      <c r="A1706" s="36">
        <f>IF(ORCAMENTOS!A1714="","",ORCAMENTOS!A1714)</f>
        <v>45926</v>
      </c>
      <c r="B1706" s="46">
        <f>IF(ORCAMENTOS!B1714="","",ORCAMENTOS!B1714)</f>
        <v>1704</v>
      </c>
      <c r="C1706" s="46" t="str">
        <f>IF(ORCAMENTOS!C1714="","",ORCAMENTOS!C1714)</f>
        <v/>
      </c>
      <c r="D1706" s="37" t="str">
        <f>IF(ORCAMENTOS!D1714="","",ORCAMENTOS!D1714)</f>
        <v>TELMEC</v>
      </c>
      <c r="E1706" s="38" t="str">
        <f>IF(ORCAMENTOS!E1714="","",ORCAMENTOS!E1714)</f>
        <v>AEROPORTO INTERNACIONAL DE SÃO PAULO - GUARULHOS - SALA VIP LATAM</v>
      </c>
      <c r="F1706" s="37" t="str">
        <f>IF(ORCAMENTOS!G1714="","",ORCAMENTOS!G1714)</f>
        <v>Gabriel</v>
      </c>
      <c r="G1706" s="37" t="str">
        <f>IF(ORCAMENTOS!H1714="","",ORCAMENTOS!H1714)</f>
        <v>Emerson</v>
      </c>
      <c r="H1706" s="39">
        <f>IF(ORCAMENTOS!I1714="","",ORCAMENTOS!I1714)</f>
        <v>14514.43</v>
      </c>
      <c r="I1706" s="60" t="str">
        <f>IF(ORCAMENTOS!J1714="","",ORCAMENTOS!J1714)</f>
        <v/>
      </c>
      <c r="J1706" s="40" t="str">
        <f>IF(ORCAMENTOS!L1714="","",ORCAMENTOS!L1714)</f>
        <v>CANCELADO</v>
      </c>
      <c r="K1706" s="34" t="str">
        <f>IF(ORCAMENTOS!M1714="","",ORCAMENTOS!M1714)</f>
        <v>-</v>
      </c>
      <c r="L1706" t="str">
        <f>IF(ORCAMENTOS!R1714="","",ORCAMENTOS!R1714)</f>
        <v>N/E</v>
      </c>
    </row>
    <row r="1707" spans="1:12" ht="15.75" hidden="1" customHeight="1" x14ac:dyDescent="0.25">
      <c r="A1707" s="36">
        <f>IF(ORCAMENTOS!A1715="","",ORCAMENTOS!A1715)</f>
        <v>45926</v>
      </c>
      <c r="B1707" s="46">
        <f>IF(ORCAMENTOS!B1715="","",ORCAMENTOS!B1715)</f>
        <v>1705</v>
      </c>
      <c r="C1707" s="46" t="str">
        <f>IF(ORCAMENTOS!C1715="","",ORCAMENTOS!C1715)</f>
        <v/>
      </c>
      <c r="D1707" s="37" t="str">
        <f>IF(ORCAMENTOS!D1715="","",ORCAMENTOS!D1715)</f>
        <v>AIRCONDYGIO</v>
      </c>
      <c r="E1707" s="38" t="str">
        <f>IF(ORCAMENTOS!E1715="","",ORCAMENTOS!E1715)</f>
        <v>HOSPITAL ANA COSTA - SANTOS - 8º PAVIMENTO</v>
      </c>
      <c r="F1707" s="37" t="str">
        <f>IF(ORCAMENTOS!G1715="","",ORCAMENTOS!G1715)</f>
        <v>Gabriel</v>
      </c>
      <c r="G1707" s="37" t="str">
        <f>IF(ORCAMENTOS!H1715="","",ORCAMENTOS!H1715)</f>
        <v>Beatriz</v>
      </c>
      <c r="H1707" s="39">
        <f>IF(ORCAMENTOS!I1715="","",ORCAMENTOS!I1715)</f>
        <v>33611.21</v>
      </c>
      <c r="I1707" s="60" t="str">
        <f>IF(ORCAMENTOS!J1715="","",ORCAMENTOS!J1715)</f>
        <v/>
      </c>
      <c r="J1707" s="40" t="str">
        <f>IF(ORCAMENTOS!L1715="","",ORCAMENTOS!L1715)</f>
        <v>CANCELADO</v>
      </c>
      <c r="K1707" s="34" t="str">
        <f>IF(ORCAMENTOS!M1715="","",ORCAMENTOS!M1715)</f>
        <v>-</v>
      </c>
      <c r="L1707" t="str">
        <f>IF(ORCAMENTOS!R1715="","",ORCAMENTOS!R1715)</f>
        <v>N/E</v>
      </c>
    </row>
    <row r="1708" spans="1:12" ht="15.75" hidden="1" customHeight="1" x14ac:dyDescent="0.25">
      <c r="A1708" s="36">
        <f>IF(ORCAMENTOS!A1716="","",ORCAMENTOS!A1716)</f>
        <v>45926</v>
      </c>
      <c r="B1708" s="46">
        <f>IF(ORCAMENTOS!B1716="","",ORCAMENTOS!B1716)</f>
        <v>1706</v>
      </c>
      <c r="C1708" s="46" t="str">
        <f>IF(ORCAMENTOS!C1716="","",ORCAMENTOS!C1716)</f>
        <v/>
      </c>
      <c r="D1708" s="37" t="str">
        <f>IF(ORCAMENTOS!D1716="","",ORCAMENTOS!D1716)</f>
        <v>BEST CLIMA</v>
      </c>
      <c r="E1708" s="38" t="str">
        <f>IF(ORCAMENTOS!E1716="","",ORCAMENTOS!E1716)</f>
        <v>BCGP 2506 CONJUNTO NACIONAL TFT</v>
      </c>
      <c r="F1708" s="37" t="str">
        <f>IF(ORCAMENTOS!G1716="","",ORCAMENTOS!G1716)</f>
        <v xml:space="preserve">Aldavir </v>
      </c>
      <c r="G1708" s="37" t="str">
        <f>IF(ORCAMENTOS!H1716="","",ORCAMENTOS!H1716)</f>
        <v>Arion</v>
      </c>
      <c r="H1708" s="39">
        <f>IF(ORCAMENTOS!I1716="","",ORCAMENTOS!I1716)</f>
        <v>48415.38</v>
      </c>
      <c r="I1708" s="60" t="str">
        <f>IF(ORCAMENTOS!J1716="","",ORCAMENTOS!J1716)</f>
        <v/>
      </c>
      <c r="J1708" s="40" t="str">
        <f>IF(ORCAMENTOS!L1716="","",ORCAMENTOS!L1716)</f>
        <v>CANCELADO</v>
      </c>
      <c r="K1708" s="34" t="str">
        <f>IF(ORCAMENTOS!M1716="","",ORCAMENTOS!M1716)</f>
        <v>CHAPA</v>
      </c>
      <c r="L1708" t="str">
        <f>IF(ORCAMENTOS!R1716="","",ORCAMENTOS!R1716)</f>
        <v>-</v>
      </c>
    </row>
    <row r="1709" spans="1:12" ht="15.75" hidden="1" customHeight="1" x14ac:dyDescent="0.25">
      <c r="A1709" s="36">
        <f>IF(ORCAMENTOS!A1717="","",ORCAMENTOS!A1717)</f>
        <v>45929</v>
      </c>
      <c r="B1709" s="46">
        <f>IF(ORCAMENTOS!B1717="","",ORCAMENTOS!B1717)</f>
        <v>1707</v>
      </c>
      <c r="C1709" s="46" t="str">
        <f>IF(ORCAMENTOS!C1717="","",ORCAMENTOS!C1717)</f>
        <v/>
      </c>
      <c r="D1709" s="37" t="str">
        <f>IF(ORCAMENTOS!D1717="","",ORCAMENTOS!D1717)</f>
        <v>INOVECTOR</v>
      </c>
      <c r="E1709" s="38" t="str">
        <f>IF(ORCAMENTOS!E1717="","",ORCAMENTOS!E1717)</f>
        <v>COZINHA - REQ 2.15</v>
      </c>
      <c r="F1709" s="37" t="str">
        <f>IF(ORCAMENTOS!G1717="","",ORCAMENTOS!G1717)</f>
        <v>Fernando</v>
      </c>
      <c r="G1709" s="37" t="str">
        <f>IF(ORCAMENTOS!H1717="","",ORCAMENTOS!H1717)</f>
        <v>Eliete</v>
      </c>
      <c r="H1709" s="39">
        <f>IF(ORCAMENTOS!I1717="","",ORCAMENTOS!I1717)</f>
        <v>3815.09</v>
      </c>
      <c r="I1709" s="60" t="str">
        <f>IF(ORCAMENTOS!J1717="","",ORCAMENTOS!J1717)</f>
        <v/>
      </c>
      <c r="J1709" s="40" t="str">
        <f>IF(ORCAMENTOS!L1717="","",ORCAMENTOS!L1717)</f>
        <v>FECHADO</v>
      </c>
      <c r="K1709" s="34" t="str">
        <f>IF(ORCAMENTOS!M1717="","",ORCAMENTOS!M1717)</f>
        <v>-</v>
      </c>
      <c r="L1709" t="str">
        <f>IF(ORCAMENTOS!R1717="","",ORCAMENTOS!R1717)</f>
        <v>-</v>
      </c>
    </row>
    <row r="1710" spans="1:12" ht="15.75" hidden="1" customHeight="1" x14ac:dyDescent="0.25">
      <c r="A1710" s="36">
        <f>IF(ORCAMENTOS!A1718="","",ORCAMENTOS!A1718)</f>
        <v>45926</v>
      </c>
      <c r="B1710" s="46">
        <f>IF(ORCAMENTOS!B1718="","",ORCAMENTOS!B1718)</f>
        <v>1708</v>
      </c>
      <c r="C1710" s="46" t="str">
        <f>IF(ORCAMENTOS!C1718="","",ORCAMENTOS!C1718)</f>
        <v>R3</v>
      </c>
      <c r="D1710" s="37" t="str">
        <f>IF(ORCAMENTOS!D1718="","",ORCAMENTOS!D1718)</f>
        <v>SAAR CLIMATIZACAO</v>
      </c>
      <c r="E1710" s="38" t="str">
        <f>IF(ORCAMENTOS!E1718="","",ORCAMENTOS!E1718)</f>
        <v>SENAI - MIRASSOL - SP</v>
      </c>
      <c r="F1710" s="37" t="str">
        <f>IF(ORCAMENTOS!G1718="","",ORCAMENTOS!G1718)</f>
        <v>Gabriel</v>
      </c>
      <c r="G1710" s="37" t="str">
        <f>IF(ORCAMENTOS!H1718="","",ORCAMENTOS!H1718)</f>
        <v>Luciane</v>
      </c>
      <c r="H1710" s="39">
        <f>IF(ORCAMENTOS!I1718="","",ORCAMENTOS!I1718)</f>
        <v>12232.93</v>
      </c>
      <c r="I1710" s="60">
        <f>IF(ORCAMENTOS!J1718="","",ORCAMENTOS!J1718)</f>
        <v>0.06</v>
      </c>
      <c r="J1710" s="40" t="str">
        <f>IF(ORCAMENTOS!L1718="","",ORCAMENTOS!L1718)</f>
        <v>COMPRA</v>
      </c>
      <c r="K1710" s="34" t="str">
        <f>IF(ORCAMENTOS!M1718="","",ORCAMENTOS!M1718)</f>
        <v>-</v>
      </c>
      <c r="L1710" t="str">
        <f>IF(ORCAMENTOS!R1718="","",ORCAMENTOS!R1718)</f>
        <v>-</v>
      </c>
    </row>
    <row r="1711" spans="1:12" ht="15.75" hidden="1" customHeight="1" x14ac:dyDescent="0.25">
      <c r="A1711" s="36">
        <f>IF(ORCAMENTOS!A1719="","",ORCAMENTOS!A1719)</f>
        <v>45926</v>
      </c>
      <c r="B1711" s="46">
        <f>IF(ORCAMENTOS!B1719="","",ORCAMENTOS!B1719)</f>
        <v>1709</v>
      </c>
      <c r="C1711" s="46" t="str">
        <f>IF(ORCAMENTOS!C1719="","",ORCAMENTOS!C1719)</f>
        <v/>
      </c>
      <c r="D1711" s="37" t="str">
        <f>IF(ORCAMENTOS!D1719="","",ORCAMENTOS!D1719)</f>
        <v>FABFRIO</v>
      </c>
      <c r="E1711" s="38" t="str">
        <f>IF(ORCAMENTOS!E1719="","",ORCAMENTOS!E1719)</f>
        <v>-</v>
      </c>
      <c r="F1711" s="37" t="str">
        <f>IF(ORCAMENTOS!G1719="","",ORCAMENTOS!G1719)</f>
        <v>Gabriel</v>
      </c>
      <c r="G1711" s="37" t="str">
        <f>IF(ORCAMENTOS!H1719="","",ORCAMENTOS!H1719)</f>
        <v>Fabrio</v>
      </c>
      <c r="H1711" s="39">
        <f>IF(ORCAMENTOS!I1719="","",ORCAMENTOS!I1719)</f>
        <v>6412.55</v>
      </c>
      <c r="I1711" s="60" t="str">
        <f>IF(ORCAMENTOS!J1719="","",ORCAMENTOS!J1719)</f>
        <v/>
      </c>
      <c r="J1711" s="40" t="str">
        <f>IF(ORCAMENTOS!L1719="","",ORCAMENTOS!L1719)</f>
        <v>CANCELADO</v>
      </c>
      <c r="K1711" s="34" t="str">
        <f>IF(ORCAMENTOS!M1719="","",ORCAMENTOS!M1719)</f>
        <v>-</v>
      </c>
      <c r="L1711" t="str">
        <f>IF(ORCAMENTOS!R1719="","",ORCAMENTOS!R1719)</f>
        <v>-</v>
      </c>
    </row>
    <row r="1712" spans="1:12" ht="15.75" hidden="1" customHeight="1" x14ac:dyDescent="0.25">
      <c r="A1712" s="36">
        <f>IF(ORCAMENTOS!A1720="","",ORCAMENTOS!A1720)</f>
        <v>45930</v>
      </c>
      <c r="B1712" s="46">
        <f>IF(ORCAMENTOS!B1720="","",ORCAMENTOS!B1720)</f>
        <v>1710</v>
      </c>
      <c r="C1712" s="46" t="str">
        <f>IF(ORCAMENTOS!C1720="","",ORCAMENTOS!C1720)</f>
        <v/>
      </c>
      <c r="D1712" s="37" t="str">
        <f>IF(ORCAMENTOS!D1720="","",ORCAMENTOS!D1720)</f>
        <v>INOVECTOR</v>
      </c>
      <c r="E1712" s="38" t="str">
        <f>IF(ORCAMENTOS!E1720="","",ORCAMENTOS!E1720)</f>
        <v>OBRA: H. VILLA LOBOS - REQ 3.01</v>
      </c>
      <c r="F1712" s="37" t="str">
        <f>IF(ORCAMENTOS!G1720="","",ORCAMENTOS!G1720)</f>
        <v>Fernando</v>
      </c>
      <c r="G1712" s="37" t="str">
        <f>IF(ORCAMENTOS!H1720="","",ORCAMENTOS!H1720)</f>
        <v>Eliete</v>
      </c>
      <c r="H1712" s="39">
        <f>IF(ORCAMENTOS!I1720="","",ORCAMENTOS!I1720)</f>
        <v>33234.230000000003</v>
      </c>
      <c r="I1712" s="60" t="str">
        <f>IF(ORCAMENTOS!J1720="","",ORCAMENTOS!J1720)</f>
        <v/>
      </c>
      <c r="J1712" s="40" t="str">
        <f>IF(ORCAMENTOS!L1720="","",ORCAMENTOS!L1720)</f>
        <v>FECHADO</v>
      </c>
      <c r="K1712" s="34" t="str">
        <f>IF(ORCAMENTOS!M1720="","",ORCAMENTOS!M1720)</f>
        <v>-</v>
      </c>
      <c r="L1712" t="str">
        <f>IF(ORCAMENTOS!R1720="","",ORCAMENTOS!R1720)</f>
        <v>-</v>
      </c>
    </row>
    <row r="1713" spans="1:12" ht="15.75" hidden="1" customHeight="1" x14ac:dyDescent="0.25">
      <c r="A1713" s="36">
        <f>IF(ORCAMENTOS!A1721="","",ORCAMENTOS!A1721)</f>
        <v>45929</v>
      </c>
      <c r="B1713" s="46">
        <f>IF(ORCAMENTOS!B1721="","",ORCAMENTOS!B1721)</f>
        <v>1711</v>
      </c>
      <c r="C1713" s="46" t="str">
        <f>IF(ORCAMENTOS!C1721="","",ORCAMENTOS!C1721)</f>
        <v/>
      </c>
      <c r="D1713" s="37" t="str">
        <f>IF(ORCAMENTOS!D1721="","",ORCAMENTOS!D1721)</f>
        <v>COLDTERMICA</v>
      </c>
      <c r="E1713" s="38" t="str">
        <f>IF(ORCAMENTOS!E1721="","",ORCAMENTOS!E1721)</f>
        <v>-</v>
      </c>
      <c r="F1713" s="37" t="str">
        <f>IF(ORCAMENTOS!G1721="","",ORCAMENTOS!G1721)</f>
        <v>Gabriel</v>
      </c>
      <c r="G1713" s="37" t="str">
        <f>IF(ORCAMENTOS!H1721="","",ORCAMENTOS!H1721)</f>
        <v>Denis</v>
      </c>
      <c r="H1713" s="39">
        <f>IF(ORCAMENTOS!I1721="","",ORCAMENTOS!I1721)</f>
        <v>3220.08</v>
      </c>
      <c r="I1713" s="60" t="str">
        <f>IF(ORCAMENTOS!J1721="","",ORCAMENTOS!J1721)</f>
        <v/>
      </c>
      <c r="J1713" s="40" t="str">
        <f>IF(ORCAMENTOS!L1721="","",ORCAMENTOS!L1721)</f>
        <v>CANCELADO</v>
      </c>
      <c r="K1713" s="34" t="str">
        <f>IF(ORCAMENTOS!M1721="","",ORCAMENTOS!M1721)</f>
        <v>-</v>
      </c>
      <c r="L1713" t="str">
        <f>IF(ORCAMENTOS!R1721="","",ORCAMENTOS!R1721)</f>
        <v>-</v>
      </c>
    </row>
    <row r="1714" spans="1:12" ht="15.75" hidden="1" customHeight="1" x14ac:dyDescent="0.25">
      <c r="A1714" s="36">
        <f>IF(ORCAMENTOS!A1722="","",ORCAMENTOS!A1722)</f>
        <v>45929</v>
      </c>
      <c r="B1714" s="46">
        <f>IF(ORCAMENTOS!B1722="","",ORCAMENTOS!B1722)</f>
        <v>1712</v>
      </c>
      <c r="C1714" s="46" t="str">
        <f>IF(ORCAMENTOS!C1722="","",ORCAMENTOS!C1722)</f>
        <v/>
      </c>
      <c r="D1714" s="37" t="str">
        <f>IF(ORCAMENTOS!D1722="","",ORCAMENTOS!D1722)</f>
        <v>COLDTERMICA</v>
      </c>
      <c r="E1714" s="38" t="str">
        <f>IF(ORCAMENTOS!E1722="","",ORCAMENTOS!E1722)</f>
        <v>-</v>
      </c>
      <c r="F1714" s="37" t="str">
        <f>IF(ORCAMENTOS!G1722="","",ORCAMENTOS!G1722)</f>
        <v>Gabriel</v>
      </c>
      <c r="G1714" s="37" t="str">
        <f>IF(ORCAMENTOS!H1722="","",ORCAMENTOS!H1722)</f>
        <v>Denis</v>
      </c>
      <c r="H1714" s="39">
        <f>IF(ORCAMENTOS!I1722="","",ORCAMENTOS!I1722)</f>
        <v>528.91</v>
      </c>
      <c r="I1714" s="60" t="str">
        <f>IF(ORCAMENTOS!J1722="","",ORCAMENTOS!J1722)</f>
        <v/>
      </c>
      <c r="J1714" s="40" t="str">
        <f>IF(ORCAMENTOS!L1722="","",ORCAMENTOS!L1722)</f>
        <v>CANCELADO</v>
      </c>
      <c r="K1714" s="34" t="str">
        <f>IF(ORCAMENTOS!M1722="","",ORCAMENTOS!M1722)</f>
        <v>-</v>
      </c>
      <c r="L1714" t="str">
        <f>IF(ORCAMENTOS!R1722="","",ORCAMENTOS!R1722)</f>
        <v>-</v>
      </c>
    </row>
    <row r="1715" spans="1:12" ht="15.75" hidden="1" customHeight="1" x14ac:dyDescent="0.25">
      <c r="A1715" s="36">
        <f>IF(ORCAMENTOS!A1723="","",ORCAMENTOS!A1723)</f>
        <v>45929</v>
      </c>
      <c r="B1715" s="46">
        <f>IF(ORCAMENTOS!B1723="","",ORCAMENTOS!B1723)</f>
        <v>1713</v>
      </c>
      <c r="C1715" s="46" t="str">
        <f>IF(ORCAMENTOS!C1723="","",ORCAMENTOS!C1723)</f>
        <v/>
      </c>
      <c r="D1715" s="37" t="str">
        <f>IF(ORCAMENTOS!D1723="","",ORCAMENTOS!D1723)</f>
        <v>AWA AR CONDICIONADO</v>
      </c>
      <c r="E1715" s="38" t="str">
        <f>IF(ORCAMENTOS!E1723="","",ORCAMENTOS!E1723)</f>
        <v>-</v>
      </c>
      <c r="F1715" s="37" t="str">
        <f>IF(ORCAMENTOS!G1723="","",ORCAMENTOS!G1723)</f>
        <v>Guilherme</v>
      </c>
      <c r="G1715" s="37" t="str">
        <f>IF(ORCAMENTOS!H1723="","",ORCAMENTOS!H1723)</f>
        <v>Paula</v>
      </c>
      <c r="H1715" s="39">
        <f>IF(ORCAMENTOS!I1723="","",ORCAMENTOS!I1723)</f>
        <v>909.92</v>
      </c>
      <c r="I1715" s="60" t="str">
        <f>IF(ORCAMENTOS!J1723="","",ORCAMENTOS!J1723)</f>
        <v/>
      </c>
      <c r="J1715" s="40" t="str">
        <f>IF(ORCAMENTOS!L1723="","",ORCAMENTOS!L1723)</f>
        <v>CANCELADO</v>
      </c>
      <c r="K1715" s="34" t="str">
        <f>IF(ORCAMENTOS!M1723="","",ORCAMENTOS!M1723)</f>
        <v>-</v>
      </c>
      <c r="L1715" t="str">
        <f>IF(ORCAMENTOS!R1723="","",ORCAMENTOS!R1723)</f>
        <v>-</v>
      </c>
    </row>
    <row r="1716" spans="1:12" ht="15.75" hidden="1" customHeight="1" x14ac:dyDescent="0.25">
      <c r="A1716" s="36">
        <f>IF(ORCAMENTOS!A1724="","",ORCAMENTOS!A1724)</f>
        <v>45929</v>
      </c>
      <c r="B1716" s="46">
        <f>IF(ORCAMENTOS!B1724="","",ORCAMENTOS!B1724)</f>
        <v>1714</v>
      </c>
      <c r="C1716" s="46" t="str">
        <f>IF(ORCAMENTOS!C1724="","",ORCAMENTOS!C1724)</f>
        <v/>
      </c>
      <c r="D1716" s="37" t="str">
        <f>IF(ORCAMENTOS!D1724="","",ORCAMENTOS!D1724)</f>
        <v>ALVE AR</v>
      </c>
      <c r="E1716" s="38" t="str">
        <f>IF(ORCAMENTOS!E1724="","",ORCAMENTOS!E1724)</f>
        <v>UNIDADE FLEURY MARCO 100 - JD AMERICA - SÃO PAULO - SP</v>
      </c>
      <c r="F1716" s="37" t="str">
        <f>IF(ORCAMENTOS!G1724="","",ORCAMENTOS!G1724)</f>
        <v>Michel</v>
      </c>
      <c r="G1716" s="37" t="str">
        <f>IF(ORCAMENTOS!H1724="","",ORCAMENTOS!H1724)</f>
        <v>David</v>
      </c>
      <c r="H1716" s="39">
        <f>IF(ORCAMENTOS!I1724="","",ORCAMENTOS!I1724)</f>
        <v>135346.76999999999</v>
      </c>
      <c r="I1716" s="60" t="str">
        <f>IF(ORCAMENTOS!J1724="","",ORCAMENTOS!J1724)</f>
        <v/>
      </c>
      <c r="J1716" s="40" t="str">
        <f>IF(ORCAMENTOS!L1724="","",ORCAMENTOS!L1724)</f>
        <v>CANCELADO</v>
      </c>
      <c r="K1716" s="34" t="str">
        <f>IF(ORCAMENTOS!M1724="","",ORCAMENTOS!M1724)</f>
        <v>-</v>
      </c>
      <c r="L1716" t="str">
        <f>IF(ORCAMENTOS!R1724="","",ORCAMENTOS!R1724)</f>
        <v>ACO GALVANIZADO</v>
      </c>
    </row>
    <row r="1717" spans="1:12" ht="15.75" hidden="1" customHeight="1" x14ac:dyDescent="0.25">
      <c r="A1717" s="36">
        <f>IF(ORCAMENTOS!A1725="","",ORCAMENTOS!A1725)</f>
        <v>45929</v>
      </c>
      <c r="B1717" s="46">
        <f>IF(ORCAMENTOS!B1725="","",ORCAMENTOS!B1725)</f>
        <v>1715</v>
      </c>
      <c r="C1717" s="46" t="str">
        <f>IF(ORCAMENTOS!C1725="","",ORCAMENTOS!C1725)</f>
        <v/>
      </c>
      <c r="D1717" s="37" t="str">
        <f>IF(ORCAMENTOS!D1725="","",ORCAMENTOS!D1725)</f>
        <v>AMS INSTALACOES</v>
      </c>
      <c r="E1717" s="38" t="str">
        <f>IF(ORCAMENTOS!E1725="","",ORCAMENTOS!E1725)</f>
        <v>FORT ATACADISTA - 214 - CAMBORIU - SC</v>
      </c>
      <c r="F1717" s="37" t="str">
        <f>IF(ORCAMENTOS!G1725="","",ORCAMENTOS!G1725)</f>
        <v>Gabriel</v>
      </c>
      <c r="G1717" s="37" t="str">
        <f>IF(ORCAMENTOS!H1725="","",ORCAMENTOS!H1725)</f>
        <v>Albertino</v>
      </c>
      <c r="H1717" s="39">
        <f>IF(ORCAMENTOS!I1725="","",ORCAMENTOS!I1725)</f>
        <v>77729.09</v>
      </c>
      <c r="I1717" s="60" t="str">
        <f>IF(ORCAMENTOS!J1725="","",ORCAMENTOS!J1725)</f>
        <v/>
      </c>
      <c r="J1717" s="40" t="str">
        <f>IF(ORCAMENTOS!L1725="","",ORCAMENTOS!L1725)</f>
        <v>CANCELADO</v>
      </c>
      <c r="K1717" s="34" t="str">
        <f>IF(ORCAMENTOS!M1725="","",ORCAMENTOS!M1725)</f>
        <v>-</v>
      </c>
      <c r="L1717" t="str">
        <f>IF(ORCAMENTOS!R1725="","",ORCAMENTOS!R1725)</f>
        <v>MPU</v>
      </c>
    </row>
    <row r="1718" spans="1:12" ht="15.75" hidden="1" customHeight="1" x14ac:dyDescent="0.25">
      <c r="A1718" s="36">
        <f>IF(ORCAMENTOS!A1726="","",ORCAMENTOS!A1726)</f>
        <v>45938</v>
      </c>
      <c r="B1718" s="46">
        <f>IF(ORCAMENTOS!B1726="","",ORCAMENTOS!B1726)</f>
        <v>1716</v>
      </c>
      <c r="C1718" s="46" t="str">
        <f>IF(ORCAMENTOS!C1726="","",ORCAMENTOS!C1726)</f>
        <v/>
      </c>
      <c r="D1718" s="37" t="str">
        <f>IF(ORCAMENTOS!D1726="","",ORCAMENTOS!D1726)</f>
        <v>ADRIATIC</v>
      </c>
      <c r="E1718" s="38" t="str">
        <f>IF(ORCAMENTOS!E1726="","",ORCAMENTOS!E1726)</f>
        <v>-</v>
      </c>
      <c r="F1718" s="37" t="str">
        <f>IF(ORCAMENTOS!G1726="","",ORCAMENTOS!G1726)</f>
        <v>Emanuel</v>
      </c>
      <c r="G1718" s="37" t="str">
        <f>IF(ORCAMENTOS!H1726="","",ORCAMENTOS!H1726)</f>
        <v>Erika</v>
      </c>
      <c r="H1718" s="39">
        <f>IF(ORCAMENTOS!I1726="","",ORCAMENTOS!I1726)</f>
        <v>21223.45</v>
      </c>
      <c r="I1718" s="60" t="str">
        <f>IF(ORCAMENTOS!J1726="","",ORCAMENTOS!J1726)</f>
        <v/>
      </c>
      <c r="J1718" s="40" t="str">
        <f>IF(ORCAMENTOS!L1726="","",ORCAMENTOS!L1726)</f>
        <v>PERDIDO</v>
      </c>
      <c r="K1718" s="34" t="str">
        <f>IF(ORCAMENTOS!M1726="","",ORCAMENTOS!M1726)</f>
        <v>MULTIVAC - PREÇO</v>
      </c>
      <c r="L1718" t="str">
        <f>IF(ORCAMENTOS!R1726="","",ORCAMENTOS!R1726)</f>
        <v>-</v>
      </c>
    </row>
    <row r="1719" spans="1:12" ht="15.75" hidden="1" customHeight="1" x14ac:dyDescent="0.25">
      <c r="A1719" s="36">
        <f>IF(ORCAMENTOS!A1727="","",ORCAMENTOS!A1727)</f>
        <v>45929</v>
      </c>
      <c r="B1719" s="46">
        <f>IF(ORCAMENTOS!B1727="","",ORCAMENTOS!B1727)</f>
        <v>1717</v>
      </c>
      <c r="C1719" s="46" t="str">
        <f>IF(ORCAMENTOS!C1727="","",ORCAMENTOS!C1727)</f>
        <v/>
      </c>
      <c r="D1719" s="37" t="str">
        <f>IF(ORCAMENTOS!D1727="","",ORCAMENTOS!D1727)</f>
        <v>COLD CONTROL</v>
      </c>
      <c r="E1719" s="38" t="str">
        <f>IF(ORCAMENTOS!E1727="","",ORCAMENTOS!E1727)</f>
        <v>AMCHAM</v>
      </c>
      <c r="F1719" s="37" t="str">
        <f>IF(ORCAMENTOS!G1727="","",ORCAMENTOS!G1727)</f>
        <v>Emanuel</v>
      </c>
      <c r="G1719" s="37" t="str">
        <f>IF(ORCAMENTOS!H1727="","",ORCAMENTOS!H1727)</f>
        <v>Armando</v>
      </c>
      <c r="H1719" s="39">
        <f>IF(ORCAMENTOS!I1727="","",ORCAMENTOS!I1727)</f>
        <v>1564.92</v>
      </c>
      <c r="I1719" s="60" t="str">
        <f>IF(ORCAMENTOS!J1727="","",ORCAMENTOS!J1727)</f>
        <v/>
      </c>
      <c r="J1719" s="40" t="str">
        <f>IF(ORCAMENTOS!L1727="","",ORCAMENTOS!L1727)</f>
        <v>FECHADO</v>
      </c>
      <c r="K1719" s="34" t="str">
        <f>IF(ORCAMENTOS!M1727="","",ORCAMENTOS!M1727)</f>
        <v>-</v>
      </c>
      <c r="L1719" t="str">
        <f>IF(ORCAMENTOS!R1727="","",ORCAMENTOS!R1727)</f>
        <v>-</v>
      </c>
    </row>
    <row r="1720" spans="1:12" ht="15.75" hidden="1" customHeight="1" x14ac:dyDescent="0.25">
      <c r="A1720" s="36">
        <f>IF(ORCAMENTOS!A1728="","",ORCAMENTOS!A1728)</f>
        <v>45929</v>
      </c>
      <c r="B1720" s="46">
        <f>IF(ORCAMENTOS!B1728="","",ORCAMENTOS!B1728)</f>
        <v>1718</v>
      </c>
      <c r="C1720" s="46" t="str">
        <f>IF(ORCAMENTOS!C1728="","",ORCAMENTOS!C1728)</f>
        <v/>
      </c>
      <c r="D1720" s="37" t="str">
        <f>IF(ORCAMENTOS!D1728="","",ORCAMENTOS!D1728)</f>
        <v>SO AR CLIMATIZACAO</v>
      </c>
      <c r="E1720" s="38" t="str">
        <f>IF(ORCAMENTOS!E1728="","",ORCAMENTOS!E1728)</f>
        <v>-</v>
      </c>
      <c r="F1720" s="37" t="str">
        <f>IF(ORCAMENTOS!G1728="","",ORCAMENTOS!G1728)</f>
        <v>Gabriel</v>
      </c>
      <c r="G1720" s="37" t="str">
        <f>IF(ORCAMENTOS!H1728="","",ORCAMENTOS!H1728)</f>
        <v>Gabriel</v>
      </c>
      <c r="H1720" s="39">
        <f>IF(ORCAMENTOS!I1728="","",ORCAMENTOS!I1728)</f>
        <v>11965.29</v>
      </c>
      <c r="I1720" s="60" t="str">
        <f>IF(ORCAMENTOS!J1728="","",ORCAMENTOS!J1728)</f>
        <v/>
      </c>
      <c r="J1720" s="40" t="str">
        <f>IF(ORCAMENTOS!L1728="","",ORCAMENTOS!L1728)</f>
        <v>FECHADO</v>
      </c>
      <c r="K1720" s="34" t="str">
        <f>IF(ORCAMENTOS!M1728="","",ORCAMENTOS!M1728)</f>
        <v>-</v>
      </c>
      <c r="L1720" t="str">
        <f>IF(ORCAMENTOS!R1728="","",ORCAMENTOS!R1728)</f>
        <v>-</v>
      </c>
    </row>
    <row r="1721" spans="1:12" ht="15.75" hidden="1" customHeight="1" x14ac:dyDescent="0.25">
      <c r="A1721" s="36">
        <f>IF(ORCAMENTOS!A1729="","",ORCAMENTOS!A1729)</f>
        <v>45929</v>
      </c>
      <c r="B1721" s="46">
        <f>IF(ORCAMENTOS!B1729="","",ORCAMENTOS!B1729)</f>
        <v>1719</v>
      </c>
      <c r="C1721" s="46" t="str">
        <f>IF(ORCAMENTOS!C1729="","",ORCAMENTOS!C1729)</f>
        <v/>
      </c>
      <c r="D1721" s="37" t="str">
        <f>IF(ORCAMENTOS!D1729="","",ORCAMENTOS!D1729)</f>
        <v>AMBII KONTROL</v>
      </c>
      <c r="E1721" s="38" t="str">
        <f>IF(ORCAMENTOS!E1729="","",ORCAMENTOS!E1729)</f>
        <v>-</v>
      </c>
      <c r="F1721" s="37" t="str">
        <f>IF(ORCAMENTOS!G1729="","",ORCAMENTOS!G1729)</f>
        <v xml:space="preserve">Aldavir </v>
      </c>
      <c r="G1721" s="37" t="str">
        <f>IF(ORCAMENTOS!H1729="","",ORCAMENTOS!H1729)</f>
        <v>Alan</v>
      </c>
      <c r="H1721" s="39">
        <f>IF(ORCAMENTOS!I1729="","",ORCAMENTOS!I1729)</f>
        <v>4607.5</v>
      </c>
      <c r="I1721" s="60" t="str">
        <f>IF(ORCAMENTOS!J1729="","",ORCAMENTOS!J1729)</f>
        <v/>
      </c>
      <c r="J1721" s="40" t="str">
        <f>IF(ORCAMENTOS!L1729="","",ORCAMENTOS!L1729)</f>
        <v>FECHADO</v>
      </c>
      <c r="K1721" s="34" t="str">
        <f>IF(ORCAMENTOS!M1729="","",ORCAMENTOS!M1729)</f>
        <v>-</v>
      </c>
      <c r="L1721" t="str">
        <f>IF(ORCAMENTOS!R1729="","",ORCAMENTOS!R1729)</f>
        <v>-</v>
      </c>
    </row>
    <row r="1722" spans="1:12" ht="15.75" hidden="1" customHeight="1" x14ac:dyDescent="0.25">
      <c r="A1722" s="36">
        <f>IF(ORCAMENTOS!A1730="","",ORCAMENTOS!A1730)</f>
        <v>45930</v>
      </c>
      <c r="B1722" s="46">
        <f>IF(ORCAMENTOS!B1730="","",ORCAMENTOS!B1730)</f>
        <v>1720</v>
      </c>
      <c r="C1722" s="46" t="str">
        <f>IF(ORCAMENTOS!C1730="","",ORCAMENTOS!C1730)</f>
        <v/>
      </c>
      <c r="D1722" s="37" t="str">
        <f>IF(ORCAMENTOS!D1730="","",ORCAMENTOS!D1730)</f>
        <v>GLOBAL QUALITY</v>
      </c>
      <c r="E1722" s="38" t="str">
        <f>IF(ORCAMENTOS!E1730="","",ORCAMENTOS!E1730)</f>
        <v>Bourgogne</v>
      </c>
      <c r="F1722" s="37" t="str">
        <f>IF(ORCAMENTOS!G1730="","",ORCAMENTOS!G1730)</f>
        <v>Fernando</v>
      </c>
      <c r="G1722" s="37" t="str">
        <f>IF(ORCAMENTOS!H1730="","",ORCAMENTOS!H1730)</f>
        <v>Guilherme</v>
      </c>
      <c r="H1722" s="39">
        <f>IF(ORCAMENTOS!I1730="","",ORCAMENTOS!I1730)</f>
        <v>160000</v>
      </c>
      <c r="I1722" s="60">
        <f>IF(ORCAMENTOS!J1730="","",ORCAMENTOS!J1730)</f>
        <v>0.06</v>
      </c>
      <c r="J1722" s="40" t="str">
        <f>IF(ORCAMENTOS!L1730="","",ORCAMENTOS!L1730)</f>
        <v>FECHADO</v>
      </c>
      <c r="K1722" s="34" t="str">
        <f>IF(ORCAMENTOS!M1730="","",ORCAMENTOS!M1730)</f>
        <v>PREV. OUTUBRO</v>
      </c>
      <c r="L1722" t="str">
        <f>IF(ORCAMENTOS!R1730="","",ORCAMENTOS!R1730)</f>
        <v>-</v>
      </c>
    </row>
    <row r="1723" spans="1:12" ht="15.75" hidden="1" customHeight="1" x14ac:dyDescent="0.25">
      <c r="A1723" s="36">
        <f>IF(ORCAMENTOS!A1731="","",ORCAMENTOS!A1731)</f>
        <v>45930</v>
      </c>
      <c r="B1723" s="46">
        <f>IF(ORCAMENTOS!B1731="","",ORCAMENTOS!B1731)</f>
        <v>1721</v>
      </c>
      <c r="C1723" s="46" t="str">
        <f>IF(ORCAMENTOS!C1731="","",ORCAMENTOS!C1731)</f>
        <v/>
      </c>
      <c r="D1723" s="37" t="str">
        <f>IF(ORCAMENTOS!D1731="","",ORCAMENTOS!D1731)</f>
        <v>ECOLOGIC AIR</v>
      </c>
      <c r="E1723" s="38" t="str">
        <f>IF(ORCAMENTOS!E1731="","",ORCAMENTOS!E1731)</f>
        <v>-</v>
      </c>
      <c r="F1723" s="37" t="str">
        <f>IF(ORCAMENTOS!G1731="","",ORCAMENTOS!G1731)</f>
        <v>Michel</v>
      </c>
      <c r="G1723" s="37" t="str">
        <f>IF(ORCAMENTOS!H1731="","",ORCAMENTOS!H1731)</f>
        <v>Vinicius</v>
      </c>
      <c r="H1723" s="39">
        <f>IF(ORCAMENTOS!I1731="","",ORCAMENTOS!I1731)</f>
        <v>281.8</v>
      </c>
      <c r="I1723" s="60" t="str">
        <f>IF(ORCAMENTOS!J1731="","",ORCAMENTOS!J1731)</f>
        <v/>
      </c>
      <c r="J1723" s="40" t="str">
        <f>IF(ORCAMENTOS!L1731="","",ORCAMENTOS!L1731)</f>
        <v>CANCELADO</v>
      </c>
      <c r="K1723" s="34" t="str">
        <f>IF(ORCAMENTOS!M1731="","",ORCAMENTOS!M1731)</f>
        <v>-</v>
      </c>
      <c r="L1723" t="str">
        <f>IF(ORCAMENTOS!R1731="","",ORCAMENTOS!R1731)</f>
        <v>-</v>
      </c>
    </row>
    <row r="1724" spans="1:12" ht="15.75" hidden="1" customHeight="1" x14ac:dyDescent="0.25">
      <c r="A1724" s="36">
        <f>IF(ORCAMENTOS!A1732="","",ORCAMENTOS!A1732)</f>
        <v>45930</v>
      </c>
      <c r="B1724" s="46">
        <f>IF(ORCAMENTOS!B1732="","",ORCAMENTOS!B1732)</f>
        <v>1722</v>
      </c>
      <c r="C1724" s="46" t="str">
        <f>IF(ORCAMENTOS!C1732="","",ORCAMENTOS!C1732)</f>
        <v/>
      </c>
      <c r="D1724" s="37" t="str">
        <f>IF(ORCAMENTOS!D1732="","",ORCAMENTOS!D1732)</f>
        <v>TECNOG INSTALACOES</v>
      </c>
      <c r="E1724" s="38" t="str">
        <f>IF(ORCAMENTOS!E1732="","",ORCAMENTOS!E1732)</f>
        <v>USP - FACULDADE DE MEDICINA DE RIBEIRAO PRETO - SP</v>
      </c>
      <c r="F1724" s="37" t="str">
        <f>IF(ORCAMENTOS!G1732="","",ORCAMENTOS!G1732)</f>
        <v>Fernando</v>
      </c>
      <c r="G1724" s="37" t="str">
        <f>IF(ORCAMENTOS!H1732="","",ORCAMENTOS!H1732)</f>
        <v>Eduardo</v>
      </c>
      <c r="H1724" s="39">
        <f>IF(ORCAMENTOS!I1732="","",ORCAMENTOS!I1732)</f>
        <v>23862.39</v>
      </c>
      <c r="I1724" s="60" t="str">
        <f>IF(ORCAMENTOS!J1732="","",ORCAMENTOS!J1732)</f>
        <v/>
      </c>
      <c r="J1724" s="40" t="str">
        <f>IF(ORCAMENTOS!L1732="","",ORCAMENTOS!L1732)</f>
        <v>CANCELADO</v>
      </c>
      <c r="K1724" s="34" t="str">
        <f>IF(ORCAMENTOS!M1732="","",ORCAMENTOS!M1732)</f>
        <v>OBRA DA ECOTHERM</v>
      </c>
      <c r="L1724" t="str">
        <f>IF(ORCAMENTOS!R1732="","",ORCAMENTOS!R1732)</f>
        <v>-</v>
      </c>
    </row>
    <row r="1725" spans="1:12" ht="15.75" hidden="1" customHeight="1" x14ac:dyDescent="0.25">
      <c r="A1725" s="36">
        <f>IF(ORCAMENTOS!A1733="","",ORCAMENTOS!A1733)</f>
        <v>45930</v>
      </c>
      <c r="B1725" s="46">
        <f>IF(ORCAMENTOS!B1733="","",ORCAMENTOS!B1733)</f>
        <v>1723</v>
      </c>
      <c r="C1725" s="46" t="str">
        <f>IF(ORCAMENTOS!C1733="","",ORCAMENTOS!C1733)</f>
        <v/>
      </c>
      <c r="D1725" s="37" t="str">
        <f>IF(ORCAMENTOS!D1733="","",ORCAMENTOS!D1733)</f>
        <v>AEROTHERMIC</v>
      </c>
      <c r="E1725" s="38" t="str">
        <f>IF(ORCAMENTOS!E1733="","",ORCAMENTOS!E1733)</f>
        <v>FOGO DE CHAO - JARDINS - SP</v>
      </c>
      <c r="F1725" s="37" t="str">
        <f>IF(ORCAMENTOS!G1733="","",ORCAMENTOS!G1733)</f>
        <v>Fernando</v>
      </c>
      <c r="G1725" s="37" t="str">
        <f>IF(ORCAMENTOS!H1733="","",ORCAMENTOS!H1733)</f>
        <v>Claudio</v>
      </c>
      <c r="H1725" s="39">
        <f>IF(ORCAMENTOS!I1733="","",ORCAMENTOS!I1733)</f>
        <v>22598.799999999999</v>
      </c>
      <c r="I1725" s="60" t="str">
        <f>IF(ORCAMENTOS!J1733="","",ORCAMENTOS!J1733)</f>
        <v/>
      </c>
      <c r="J1725" s="40" t="str">
        <f>IF(ORCAMENTOS!L1733="","",ORCAMENTOS!L1733)</f>
        <v>FECHADO</v>
      </c>
      <c r="K1725" s="34" t="str">
        <f>IF(ORCAMENTOS!M1733="","",ORCAMENTOS!M1733)</f>
        <v>-</v>
      </c>
      <c r="L1725" t="str">
        <f>IF(ORCAMENTOS!R1733="","",ORCAMENTOS!R1733)</f>
        <v>CHAPA GALVANIZADA</v>
      </c>
    </row>
    <row r="1726" spans="1:12" ht="15.75" hidden="1" customHeight="1" x14ac:dyDescent="0.25">
      <c r="A1726" s="36">
        <f>IF(ORCAMENTOS!A1734="","",ORCAMENTOS!A1734)</f>
        <v>45930</v>
      </c>
      <c r="B1726" s="46">
        <f>IF(ORCAMENTOS!B1734="","",ORCAMENTOS!B1734)</f>
        <v>1724</v>
      </c>
      <c r="C1726" s="46" t="str">
        <f>IF(ORCAMENTOS!C1734="","",ORCAMENTOS!C1734)</f>
        <v/>
      </c>
      <c r="D1726" s="37" t="str">
        <f>IF(ORCAMENTOS!D1734="","",ORCAMENTOS!D1734)</f>
        <v>AR SISTEMAS</v>
      </c>
      <c r="E1726" s="38" t="str">
        <f>IF(ORCAMENTOS!E1734="","",ORCAMENTOS!E1734)</f>
        <v>AMIL - ITAQUAQUECETUBA - SP</v>
      </c>
      <c r="F1726" s="37" t="str">
        <f>IF(ORCAMENTOS!G1734="","",ORCAMENTOS!G1734)</f>
        <v>Michel</v>
      </c>
      <c r="G1726" s="37" t="str">
        <f>IF(ORCAMENTOS!H1734="","",ORCAMENTOS!H1734)</f>
        <v>Gilson</v>
      </c>
      <c r="H1726" s="39">
        <f>IF(ORCAMENTOS!I1734="","",ORCAMENTOS!I1734)</f>
        <v>174365.12</v>
      </c>
      <c r="I1726" s="60" t="str">
        <f>IF(ORCAMENTOS!J1734="","",ORCAMENTOS!J1734)</f>
        <v/>
      </c>
      <c r="J1726" s="40" t="str">
        <f>IF(ORCAMENTOS!L1734="","",ORCAMENTOS!L1734)</f>
        <v>CANCELADO</v>
      </c>
      <c r="K1726" s="34" t="str">
        <f>IF(ORCAMENTOS!M1734="","",ORCAMENTOS!M1734)</f>
        <v>-</v>
      </c>
      <c r="L1726" t="str">
        <f>IF(ORCAMENTOS!R1734="","",ORCAMENTOS!R1734)</f>
        <v>MPU</v>
      </c>
    </row>
    <row r="1727" spans="1:12" ht="15.75" hidden="1" customHeight="1" x14ac:dyDescent="0.25">
      <c r="A1727" s="36">
        <f>IF(ORCAMENTOS!A1735="","",ORCAMENTOS!A1735)</f>
        <v>45930</v>
      </c>
      <c r="B1727" s="46">
        <f>IF(ORCAMENTOS!B1735="","",ORCAMENTOS!B1735)</f>
        <v>1725</v>
      </c>
      <c r="C1727" s="46" t="str">
        <f>IF(ORCAMENTOS!C1735="","",ORCAMENTOS!C1735)</f>
        <v/>
      </c>
      <c r="D1727" s="37" t="str">
        <f>IF(ORCAMENTOS!D1735="","",ORCAMENTOS!D1735)</f>
        <v>ISOLEV</v>
      </c>
      <c r="E1727" s="38" t="str">
        <f>IF(ORCAMENTOS!E1735="","",ORCAMENTOS!E1735)</f>
        <v>HOTEL HILTON - MORUMBI - 28 PV</v>
      </c>
      <c r="F1727" s="37" t="str">
        <f>IF(ORCAMENTOS!G1735="","",ORCAMENTOS!G1735)</f>
        <v>Michel</v>
      </c>
      <c r="G1727" s="37" t="str">
        <f>IF(ORCAMENTOS!H1735="","",ORCAMENTOS!H1735)</f>
        <v>Wilson</v>
      </c>
      <c r="H1727" s="39">
        <f>IF(ORCAMENTOS!I1735="","",ORCAMENTOS!I1735)</f>
        <v>49770.97</v>
      </c>
      <c r="I1727" s="60">
        <f>IF(ORCAMENTOS!J1735="","",ORCAMENTOS!J1735)</f>
        <v>0.03</v>
      </c>
      <c r="J1727" s="40" t="str">
        <f>IF(ORCAMENTOS!L1735="","",ORCAMENTOS!L1735)</f>
        <v>FECHADO</v>
      </c>
      <c r="K1727" s="34" t="str">
        <f>IF(ORCAMENTOS!M1735="","",ORCAMENTOS!M1735)</f>
        <v>FECHADO - AGUARDANDO APROVAÇÃO</v>
      </c>
      <c r="L1727" t="str">
        <f>IF(ORCAMENTOS!R1735="","",ORCAMENTOS!R1735)</f>
        <v>N/E</v>
      </c>
    </row>
    <row r="1728" spans="1:12" ht="15.75" hidden="1" customHeight="1" x14ac:dyDescent="0.25">
      <c r="A1728" s="36">
        <f>IF(ORCAMENTOS!A1736="","",ORCAMENTOS!A1736)</f>
        <v>45930</v>
      </c>
      <c r="B1728" s="46">
        <f>IF(ORCAMENTOS!B1736="","",ORCAMENTOS!B1736)</f>
        <v>1726</v>
      </c>
      <c r="C1728" s="46" t="str">
        <f>IF(ORCAMENTOS!C1736="","",ORCAMENTOS!C1736)</f>
        <v/>
      </c>
      <c r="D1728" s="37" t="str">
        <f>IF(ORCAMENTOS!D1736="","",ORCAMENTOS!D1736)</f>
        <v>AIR NET</v>
      </c>
      <c r="E1728" s="38" t="str">
        <f>IF(ORCAMENTOS!E1736="","",ORCAMENTOS!E1736)</f>
        <v>HOSPITAL BOM JESUS DO MATOSINHO</v>
      </c>
      <c r="F1728" s="37" t="str">
        <f>IF(ORCAMENTOS!G1736="","",ORCAMENTOS!G1736)</f>
        <v>Fernando</v>
      </c>
      <c r="G1728" s="37" t="str">
        <f>IF(ORCAMENTOS!H1736="","",ORCAMENTOS!H1736)</f>
        <v>Maria</v>
      </c>
      <c r="H1728" s="39">
        <f>IF(ORCAMENTOS!I1736="","",ORCAMENTOS!I1736)</f>
        <v>11078.13</v>
      </c>
      <c r="I1728" s="60" t="str">
        <f>IF(ORCAMENTOS!J1736="","",ORCAMENTOS!J1736)</f>
        <v/>
      </c>
      <c r="J1728" s="40" t="str">
        <f>IF(ORCAMENTOS!L1736="","",ORCAMENTOS!L1736)</f>
        <v>FECHADO</v>
      </c>
      <c r="K1728" s="34" t="str">
        <f>IF(ORCAMENTOS!M1736="","",ORCAMENTOS!M1736)</f>
        <v>-</v>
      </c>
      <c r="L1728" t="str">
        <f>IF(ORCAMENTOS!R1736="","",ORCAMENTOS!R1736)</f>
        <v>MPU</v>
      </c>
    </row>
    <row r="1729" spans="1:12" ht="15.75" hidden="1" customHeight="1" x14ac:dyDescent="0.25">
      <c r="A1729" s="36">
        <f>IF(ORCAMENTOS!A1737="","",ORCAMENTOS!A1737)</f>
        <v>45930</v>
      </c>
      <c r="B1729" s="46">
        <f>IF(ORCAMENTOS!B1737="","",ORCAMENTOS!B1737)</f>
        <v>1727</v>
      </c>
      <c r="C1729" s="46" t="str">
        <f>IF(ORCAMENTOS!C1737="","",ORCAMENTOS!C1737)</f>
        <v/>
      </c>
      <c r="D1729" s="37" t="str">
        <f>IF(ORCAMENTOS!D1737="","",ORCAMENTOS!D1737)</f>
        <v>ATEM CONSTRUCOES</v>
      </c>
      <c r="E1729" s="38" t="str">
        <f>IF(ORCAMENTOS!E1737="","",ORCAMENTOS!E1737)</f>
        <v>CAPELA</v>
      </c>
      <c r="F1729" s="37" t="str">
        <f>IF(ORCAMENTOS!G1737="","",ORCAMENTOS!G1737)</f>
        <v>Emanuel</v>
      </c>
      <c r="G1729" s="37" t="str">
        <f>IF(ORCAMENTOS!H1737="","",ORCAMENTOS!H1737)</f>
        <v>Rafaela</v>
      </c>
      <c r="H1729" s="39">
        <f>IF(ORCAMENTOS!I1737="","",ORCAMENTOS!I1737)</f>
        <v>2273.06</v>
      </c>
      <c r="I1729" s="60" t="str">
        <f>IF(ORCAMENTOS!J1737="","",ORCAMENTOS!J1737)</f>
        <v/>
      </c>
      <c r="J1729" s="40" t="str">
        <f>IF(ORCAMENTOS!L1737="","",ORCAMENTOS!L1737)</f>
        <v>CANCELADO</v>
      </c>
      <c r="K1729" s="34" t="str">
        <f>IF(ORCAMENTOS!M1737="","",ORCAMENTOS!M1737)</f>
        <v>-</v>
      </c>
      <c r="L1729" t="str">
        <f>IF(ORCAMENTOS!R1737="","",ORCAMENTOS!R1737)</f>
        <v>-</v>
      </c>
    </row>
    <row r="1730" spans="1:12" ht="15.75" hidden="1" customHeight="1" x14ac:dyDescent="0.25">
      <c r="A1730" s="36">
        <f>IF(ORCAMENTOS!A1738="","",ORCAMENTOS!A1738)</f>
        <v>45931</v>
      </c>
      <c r="B1730" s="46">
        <f>IF(ORCAMENTOS!B1738="","",ORCAMENTOS!B1738)</f>
        <v>1728</v>
      </c>
      <c r="C1730" s="46" t="str">
        <f>IF(ORCAMENTOS!C1738="","",ORCAMENTOS!C1738)</f>
        <v/>
      </c>
      <c r="D1730" s="37" t="str">
        <f>IF(ORCAMENTOS!D1738="","",ORCAMENTOS!D1738)</f>
        <v>ACSISTEM</v>
      </c>
      <c r="E1730" s="38" t="str">
        <f>IF(ORCAMENTOS!E1738="","",ORCAMENTOS!E1738)</f>
        <v>-</v>
      </c>
      <c r="F1730" s="37" t="str">
        <f>IF(ORCAMENTOS!G1738="","",ORCAMENTOS!G1738)</f>
        <v>Emanuel</v>
      </c>
      <c r="G1730" s="37" t="str">
        <f>IF(ORCAMENTOS!H1738="","",ORCAMENTOS!H1738)</f>
        <v>Mateus</v>
      </c>
      <c r="H1730" s="39">
        <f>IF(ORCAMENTOS!I1738="","",ORCAMENTOS!I1738)</f>
        <v>61695.23</v>
      </c>
      <c r="I1730" s="60" t="str">
        <f>IF(ORCAMENTOS!J1738="","",ORCAMENTOS!J1738)</f>
        <v/>
      </c>
      <c r="J1730" s="40" t="str">
        <f>IF(ORCAMENTOS!L1738="","",ORCAMENTOS!L1738)</f>
        <v>FECHADO</v>
      </c>
      <c r="K1730" s="34" t="str">
        <f>IF(ORCAMENTOS!M1738="","",ORCAMENTOS!M1738)</f>
        <v>-</v>
      </c>
      <c r="L1730" t="str">
        <f>IF(ORCAMENTOS!R1738="","",ORCAMENTOS!R1738)</f>
        <v>-</v>
      </c>
    </row>
    <row r="1731" spans="1:12" ht="15.75" hidden="1" customHeight="1" x14ac:dyDescent="0.25">
      <c r="A1731" s="36">
        <f>IF(ORCAMENTOS!A1739="","",ORCAMENTOS!A1739)</f>
        <v>45931</v>
      </c>
      <c r="B1731" s="46">
        <f>IF(ORCAMENTOS!B1739="","",ORCAMENTOS!B1739)</f>
        <v>1729</v>
      </c>
      <c r="C1731" s="46" t="str">
        <f>IF(ORCAMENTOS!C1739="","",ORCAMENTOS!C1739)</f>
        <v/>
      </c>
      <c r="D1731" s="37" t="str">
        <f>IF(ORCAMENTOS!D1739="","",ORCAMENTOS!D1739)</f>
        <v>AMS INSTALACOES</v>
      </c>
      <c r="E1731" s="38" t="str">
        <f>IF(ORCAMENTOS!E1739="","",ORCAMENTOS!E1739)</f>
        <v>FORT ATACADISTA - CT AURORA</v>
      </c>
      <c r="F1731" s="37" t="str">
        <f>IF(ORCAMENTOS!G1739="","",ORCAMENTOS!G1739)</f>
        <v>Gabriel</v>
      </c>
      <c r="G1731" s="37" t="str">
        <f>IF(ORCAMENTOS!H1739="","",ORCAMENTOS!H1739)</f>
        <v>Renan</v>
      </c>
      <c r="H1731" s="39">
        <f>IF(ORCAMENTOS!I1739="","",ORCAMENTOS!I1739)</f>
        <v>118829.05</v>
      </c>
      <c r="I1731" s="60" t="str">
        <f>IF(ORCAMENTOS!J1739="","",ORCAMENTOS!J1739)</f>
        <v/>
      </c>
      <c r="J1731" s="40" t="str">
        <f>IF(ORCAMENTOS!L1739="","",ORCAMENTOS!L1739)</f>
        <v>CANCELADO</v>
      </c>
      <c r="K1731" s="34" t="str">
        <f>IF(ORCAMENTOS!M1739="","",ORCAMENTOS!M1739)</f>
        <v>-</v>
      </c>
      <c r="L1731" t="str">
        <f>IF(ORCAMENTOS!R1739="","",ORCAMENTOS!R1739)</f>
        <v>N/E</v>
      </c>
    </row>
    <row r="1732" spans="1:12" ht="15.75" hidden="1" customHeight="1" x14ac:dyDescent="0.25">
      <c r="A1732" s="36">
        <f>IF(ORCAMENTOS!A1740="","",ORCAMENTOS!A1740)</f>
        <v>45931</v>
      </c>
      <c r="B1732" s="46">
        <f>IF(ORCAMENTOS!B1740="","",ORCAMENTOS!B1740)</f>
        <v>1730</v>
      </c>
      <c r="C1732" s="46" t="str">
        <f>IF(ORCAMENTOS!C1740="","",ORCAMENTOS!C1740)</f>
        <v/>
      </c>
      <c r="D1732" s="37" t="str">
        <f>IF(ORCAMENTOS!D1740="","",ORCAMENTOS!D1740)</f>
        <v>AMS INSTALACOES</v>
      </c>
      <c r="E1732" s="38" t="str">
        <f>IF(ORCAMENTOS!E1740="","",ORCAMENTOS!E1740)</f>
        <v>FORT ATACADISTA - CT AURORA - RESTAURANTE</v>
      </c>
      <c r="F1732" s="37" t="str">
        <f>IF(ORCAMENTOS!G1740="","",ORCAMENTOS!G1740)</f>
        <v>Gabriel</v>
      </c>
      <c r="G1732" s="37" t="str">
        <f>IF(ORCAMENTOS!H1740="","",ORCAMENTOS!H1740)</f>
        <v>Renan</v>
      </c>
      <c r="H1732" s="39">
        <f>IF(ORCAMENTOS!I1740="","",ORCAMENTOS!I1740)</f>
        <v>53487.92</v>
      </c>
      <c r="I1732" s="60" t="str">
        <f>IF(ORCAMENTOS!J1740="","",ORCAMENTOS!J1740)</f>
        <v/>
      </c>
      <c r="J1732" s="40" t="str">
        <f>IF(ORCAMENTOS!L1740="","",ORCAMENTOS!L1740)</f>
        <v>CANCELADO</v>
      </c>
      <c r="K1732" s="34" t="str">
        <f>IF(ORCAMENTOS!M1740="","",ORCAMENTOS!M1740)</f>
        <v>-</v>
      </c>
      <c r="L1732" t="str">
        <f>IF(ORCAMENTOS!R1740="","",ORCAMENTOS!R1740)</f>
        <v>N/E</v>
      </c>
    </row>
    <row r="1733" spans="1:12" ht="15.75" hidden="1" customHeight="1" x14ac:dyDescent="0.25">
      <c r="A1733" s="36">
        <f>IF(ORCAMENTOS!A1741="","",ORCAMENTOS!A1741)</f>
        <v>45931</v>
      </c>
      <c r="B1733" s="46">
        <f>IF(ORCAMENTOS!B1741="","",ORCAMENTOS!B1741)</f>
        <v>1731</v>
      </c>
      <c r="C1733" s="46" t="str">
        <f>IF(ORCAMENTOS!C1741="","",ORCAMENTOS!C1741)</f>
        <v/>
      </c>
      <c r="D1733" s="37" t="str">
        <f>IF(ORCAMENTOS!D1741="","",ORCAMENTOS!D1741)</f>
        <v>AMS INSTALACOES</v>
      </c>
      <c r="E1733" s="38" t="str">
        <f>IF(ORCAMENTOS!E1741="","",ORCAMENTOS!E1741)</f>
        <v>FORT ATACADISTA - CT AURORA - COZINHA</v>
      </c>
      <c r="F1733" s="37" t="str">
        <f>IF(ORCAMENTOS!G1741="","",ORCAMENTOS!G1741)</f>
        <v>Gabriel</v>
      </c>
      <c r="G1733" s="37" t="str">
        <f>IF(ORCAMENTOS!H1741="","",ORCAMENTOS!H1741)</f>
        <v>Renan</v>
      </c>
      <c r="H1733" s="39">
        <f>IF(ORCAMENTOS!I1741="","",ORCAMENTOS!I1741)</f>
        <v>9564.5</v>
      </c>
      <c r="I1733" s="60" t="str">
        <f>IF(ORCAMENTOS!J1741="","",ORCAMENTOS!J1741)</f>
        <v/>
      </c>
      <c r="J1733" s="40" t="str">
        <f>IF(ORCAMENTOS!L1741="","",ORCAMENTOS!L1741)</f>
        <v>CANCELADO</v>
      </c>
      <c r="K1733" s="34" t="str">
        <f>IF(ORCAMENTOS!M1741="","",ORCAMENTOS!M1741)</f>
        <v>-</v>
      </c>
      <c r="L1733" t="str">
        <f>IF(ORCAMENTOS!R1741="","",ORCAMENTOS!R1741)</f>
        <v>N/E</v>
      </c>
    </row>
    <row r="1734" spans="1:12" ht="15.75" hidden="1" customHeight="1" x14ac:dyDescent="0.25">
      <c r="A1734" s="36">
        <f>IF(ORCAMENTOS!A1742="","",ORCAMENTOS!A1742)</f>
        <v>45931</v>
      </c>
      <c r="B1734" s="46">
        <f>IF(ORCAMENTOS!B1742="","",ORCAMENTOS!B1742)</f>
        <v>1732</v>
      </c>
      <c r="C1734" s="46" t="str">
        <f>IF(ORCAMENTOS!C1742="","",ORCAMENTOS!C1742)</f>
        <v/>
      </c>
      <c r="D1734" s="37" t="str">
        <f>IF(ORCAMENTOS!D1742="","",ORCAMENTOS!D1742)</f>
        <v>CONSTARCO</v>
      </c>
      <c r="E1734" s="38" t="str">
        <f>IF(ORCAMENTOS!E1742="","",ORCAMENTOS!E1742)</f>
        <v>WEG TINTAS - GUARAMIRIM - SC</v>
      </c>
      <c r="F1734" s="37" t="str">
        <f>IF(ORCAMENTOS!G1742="","",ORCAMENTOS!G1742)</f>
        <v>Fernando</v>
      </c>
      <c r="G1734" s="37" t="str">
        <f>IF(ORCAMENTOS!H1742="","",ORCAMENTOS!H1742)</f>
        <v>Genilson</v>
      </c>
      <c r="H1734" s="39">
        <f>IF(ORCAMENTOS!I1742="","",ORCAMENTOS!I1742)</f>
        <v>10382.33</v>
      </c>
      <c r="I1734" s="60" t="str">
        <f>IF(ORCAMENTOS!J1742="","",ORCAMENTOS!J1742)</f>
        <v/>
      </c>
      <c r="J1734" s="40" t="str">
        <f>IF(ORCAMENTOS!L1742="","",ORCAMENTOS!L1742)</f>
        <v>CANCELADO</v>
      </c>
      <c r="K1734" s="34" t="str">
        <f>IF(ORCAMENTOS!M1742="","",ORCAMENTOS!M1742)</f>
        <v>EM NEGOCIAÇÃO</v>
      </c>
      <c r="L1734" t="str">
        <f>IF(ORCAMENTOS!R1742="","",ORCAMENTOS!R1742)</f>
        <v>-</v>
      </c>
    </row>
    <row r="1735" spans="1:12" ht="15.75" hidden="1" customHeight="1" x14ac:dyDescent="0.25">
      <c r="A1735" s="36">
        <f>IF(ORCAMENTOS!A1743="","",ORCAMENTOS!A1743)</f>
        <v>45931</v>
      </c>
      <c r="B1735" s="46">
        <f>IF(ORCAMENTOS!B1743="","",ORCAMENTOS!B1743)</f>
        <v>1733</v>
      </c>
      <c r="C1735" s="46" t="str">
        <f>IF(ORCAMENTOS!C1743="","",ORCAMENTOS!C1743)</f>
        <v/>
      </c>
      <c r="D1735" s="37" t="str">
        <f>IF(ORCAMENTOS!D1743="","",ORCAMENTOS!D1743)</f>
        <v>WELLNESS</v>
      </c>
      <c r="E1735" s="38" t="str">
        <f>IF(ORCAMENTOS!E1743="","",ORCAMENTOS!E1743)</f>
        <v>-</v>
      </c>
      <c r="F1735" s="37" t="str">
        <f>IF(ORCAMENTOS!G1743="","",ORCAMENTOS!G1743)</f>
        <v>Gabriel</v>
      </c>
      <c r="G1735" s="37" t="str">
        <f>IF(ORCAMENTOS!H1743="","",ORCAMENTOS!H1743)</f>
        <v>Ricardo</v>
      </c>
      <c r="H1735" s="39">
        <f>IF(ORCAMENTOS!I1743="","",ORCAMENTOS!I1743)</f>
        <v>2740.67</v>
      </c>
      <c r="I1735" s="60" t="str">
        <f>IF(ORCAMENTOS!J1743="","",ORCAMENTOS!J1743)</f>
        <v/>
      </c>
      <c r="J1735" s="40" t="str">
        <f>IF(ORCAMENTOS!L1743="","",ORCAMENTOS!L1743)</f>
        <v>FECHADO</v>
      </c>
      <c r="K1735" s="34" t="str">
        <f>IF(ORCAMENTOS!M1743="","",ORCAMENTOS!M1743)</f>
        <v>-</v>
      </c>
      <c r="L1735" t="str">
        <f>IF(ORCAMENTOS!R1743="","",ORCAMENTOS!R1743)</f>
        <v>-</v>
      </c>
    </row>
    <row r="1736" spans="1:12" ht="15.75" hidden="1" customHeight="1" x14ac:dyDescent="0.25">
      <c r="A1736" s="36">
        <f>IF(ORCAMENTOS!A1744="","",ORCAMENTOS!A1744)</f>
        <v>45931</v>
      </c>
      <c r="B1736" s="46">
        <f>IF(ORCAMENTOS!B1744="","",ORCAMENTOS!B1744)</f>
        <v>1734</v>
      </c>
      <c r="C1736" s="46" t="str">
        <f>IF(ORCAMENTOS!C1744="","",ORCAMENTOS!C1744)</f>
        <v/>
      </c>
      <c r="D1736" s="37" t="str">
        <f>IF(ORCAMENTOS!D1744="","",ORCAMENTOS!D1744)</f>
        <v>NOSSO AR</v>
      </c>
      <c r="E1736" s="38" t="str">
        <f>IF(ORCAMENTOS!E1744="","",ORCAMENTOS!E1744)</f>
        <v>GRUPO SC - BENEVIDES - PA</v>
      </c>
      <c r="F1736" s="37" t="str">
        <f>IF(ORCAMENTOS!G1744="","",ORCAMENTOS!G1744)</f>
        <v>Gabriel</v>
      </c>
      <c r="G1736" s="37" t="str">
        <f>IF(ORCAMENTOS!H1744="","",ORCAMENTOS!H1744)</f>
        <v>Ygor</v>
      </c>
      <c r="H1736" s="39">
        <f>IF(ORCAMENTOS!I1744="","",ORCAMENTOS!I1744)</f>
        <v>94057.68</v>
      </c>
      <c r="I1736" s="60" t="str">
        <f>IF(ORCAMENTOS!J1744="","",ORCAMENTOS!J1744)</f>
        <v/>
      </c>
      <c r="J1736" s="40" t="str">
        <f>IF(ORCAMENTOS!L1744="","",ORCAMENTOS!L1744)</f>
        <v>CANCELADO</v>
      </c>
      <c r="K1736" s="34" t="str">
        <f>IF(ORCAMENTOS!M1744="","",ORCAMENTOS!M1744)</f>
        <v>-</v>
      </c>
      <c r="L1736" t="str">
        <f>IF(ORCAMENTOS!R1744="","",ORCAMENTOS!R1744)</f>
        <v>-</v>
      </c>
    </row>
    <row r="1737" spans="1:12" ht="15.75" hidden="1" customHeight="1" x14ac:dyDescent="0.25">
      <c r="A1737" s="36">
        <f>IF(ORCAMENTOS!A1745="","",ORCAMENTOS!A1745)</f>
        <v>45931</v>
      </c>
      <c r="B1737" s="46">
        <f>IF(ORCAMENTOS!B1745="","",ORCAMENTOS!B1745)</f>
        <v>1735</v>
      </c>
      <c r="C1737" s="46" t="str">
        <f>IF(ORCAMENTOS!C1745="","",ORCAMENTOS!C1745)</f>
        <v/>
      </c>
      <c r="D1737" s="37" t="str">
        <f>IF(ORCAMENTOS!D1745="","",ORCAMENTOS!D1745)</f>
        <v>NP CLIMATIZAÇÃO</v>
      </c>
      <c r="E1737" s="38" t="str">
        <f>IF(ORCAMENTOS!E1745="","",ORCAMENTOS!E1745)</f>
        <v>ALUÍSIO CHAVES</v>
      </c>
      <c r="F1737" s="37" t="str">
        <f>IF(ORCAMENTOS!G1745="","",ORCAMENTOS!G1745)</f>
        <v>Guilherme</v>
      </c>
      <c r="G1737" s="37" t="str">
        <f>IF(ORCAMENTOS!H1745="","",ORCAMENTOS!H1745)</f>
        <v>Maria</v>
      </c>
      <c r="H1737" s="39">
        <f>IF(ORCAMENTOS!I1745="","",ORCAMENTOS!I1745)</f>
        <v>14339.56</v>
      </c>
      <c r="I1737" s="60" t="str">
        <f>IF(ORCAMENTOS!J1745="","",ORCAMENTOS!J1745)</f>
        <v/>
      </c>
      <c r="J1737" s="40" t="str">
        <f>IF(ORCAMENTOS!L1745="","",ORCAMENTOS!L1745)</f>
        <v>CANCELADO</v>
      </c>
      <c r="K1737" s="34" t="str">
        <f>IF(ORCAMENTOS!M1745="","",ORCAMENTOS!M1745)</f>
        <v>AGUARDANDO PEDIDO</v>
      </c>
      <c r="L1737" t="str">
        <f>IF(ORCAMENTOS!R1745="","",ORCAMENTOS!R1745)</f>
        <v>-</v>
      </c>
    </row>
    <row r="1738" spans="1:12" ht="15.75" hidden="1" customHeight="1" x14ac:dyDescent="0.25">
      <c r="A1738" s="36">
        <f>IF(ORCAMENTOS!A1746="","",ORCAMENTOS!A1746)</f>
        <v>45938</v>
      </c>
      <c r="B1738" s="46">
        <f>IF(ORCAMENTOS!B1746="","",ORCAMENTOS!B1746)</f>
        <v>1736</v>
      </c>
      <c r="C1738" s="46" t="str">
        <f>IF(ORCAMENTOS!C1746="","",ORCAMENTOS!C1746)</f>
        <v/>
      </c>
      <c r="D1738" s="37" t="str">
        <f>IF(ORCAMENTOS!D1746="","",ORCAMENTOS!D1746)</f>
        <v>LTX CLIMATIZACAO</v>
      </c>
      <c r="E1738" s="38" t="str">
        <f>IF(ORCAMENTOS!E1746="","",ORCAMENTOS!E1746)</f>
        <v>EDIFICIO FLAMENGO - TOWER EMPRESARIAL - VERENE - RIO DE JANEIRO - RJ</v>
      </c>
      <c r="F1738" s="37" t="str">
        <f>IF(ORCAMENTOS!G1746="","",ORCAMENTOS!G1746)</f>
        <v>Guilherme</v>
      </c>
      <c r="G1738" s="37" t="str">
        <f>IF(ORCAMENTOS!H1746="","",ORCAMENTOS!H1746)</f>
        <v>Guilherme</v>
      </c>
      <c r="H1738" s="39">
        <f>IF(ORCAMENTOS!I1746="","",ORCAMENTOS!I1746)</f>
        <v>38055.730000000003</v>
      </c>
      <c r="I1738" s="60">
        <f>IF(ORCAMENTOS!J1746="","",ORCAMENTOS!J1746)</f>
        <v>0.04</v>
      </c>
      <c r="J1738" s="40" t="str">
        <f>IF(ORCAMENTOS!L1746="","",ORCAMENTOS!L1746)</f>
        <v>FECHADO</v>
      </c>
      <c r="K1738" s="34" t="str">
        <f>IF(ORCAMENTOS!M1746="","",ORCAMENTOS!M1746)</f>
        <v>-</v>
      </c>
      <c r="L1738" t="str">
        <f>IF(ORCAMENTOS!R1746="","",ORCAMENTOS!R1746)</f>
        <v>MPU</v>
      </c>
    </row>
    <row r="1739" spans="1:12" ht="15.75" hidden="1" customHeight="1" x14ac:dyDescent="0.25">
      <c r="A1739" s="36">
        <f>IF(ORCAMENTOS!A1747="","",ORCAMENTOS!A1747)</f>
        <v>45932</v>
      </c>
      <c r="B1739" s="46">
        <f>IF(ORCAMENTOS!B1747="","",ORCAMENTOS!B1747)</f>
        <v>1737</v>
      </c>
      <c r="C1739" s="46" t="str">
        <f>IF(ORCAMENTOS!C1747="","",ORCAMENTOS!C1747)</f>
        <v/>
      </c>
      <c r="D1739" s="37" t="str">
        <f>IF(ORCAMENTOS!D1747="","",ORCAMENTOS!D1747)</f>
        <v>TARKAT REFRIGERACAO</v>
      </c>
      <c r="E1739" s="38" t="str">
        <f>IF(ORCAMENTOS!E1747="","",ORCAMENTOS!E1747)</f>
        <v>GRUPO SC - BENEVIDES - PA</v>
      </c>
      <c r="F1739" s="37" t="str">
        <f>IF(ORCAMENTOS!G1747="","",ORCAMENTOS!G1747)</f>
        <v>Michel</v>
      </c>
      <c r="G1739" s="37" t="str">
        <f>IF(ORCAMENTOS!H1747="","",ORCAMENTOS!H1747)</f>
        <v>Luis</v>
      </c>
      <c r="H1739" s="39">
        <f>IF(ORCAMENTOS!I1747="","",ORCAMENTOS!I1747)</f>
        <v>94057.68</v>
      </c>
      <c r="I1739" s="60" t="str">
        <f>IF(ORCAMENTOS!J1747="","",ORCAMENTOS!J1747)</f>
        <v/>
      </c>
      <c r="J1739" s="40" t="str">
        <f>IF(ORCAMENTOS!L1747="","",ORCAMENTOS!L1747)</f>
        <v>CANCELADO</v>
      </c>
      <c r="K1739" s="34" t="str">
        <f>IF(ORCAMENTOS!M1747="","",ORCAMENTOS!M1747)</f>
        <v>-</v>
      </c>
      <c r="L1739" t="str">
        <f>IF(ORCAMENTOS!R1747="","",ORCAMENTOS!R1747)</f>
        <v>N/E</v>
      </c>
    </row>
    <row r="1740" spans="1:12" ht="15.75" hidden="1" customHeight="1" x14ac:dyDescent="0.25">
      <c r="A1740" s="36">
        <f>IF(ORCAMENTOS!A1748="","",ORCAMENTOS!A1748)</f>
        <v>45932</v>
      </c>
      <c r="B1740" s="46">
        <f>IF(ORCAMENTOS!B1748="","",ORCAMENTOS!B1748)</f>
        <v>1738</v>
      </c>
      <c r="C1740" s="46" t="str">
        <f>IF(ORCAMENTOS!C1748="","",ORCAMENTOS!C1748)</f>
        <v/>
      </c>
      <c r="D1740" s="37" t="str">
        <f>IF(ORCAMENTOS!D1748="","",ORCAMENTOS!D1748)</f>
        <v>FANCOLD SERVICE</v>
      </c>
      <c r="E1740" s="38" t="str">
        <f>IF(ORCAMENTOS!E1748="","",ORCAMENTOS!E1748)</f>
        <v>-</v>
      </c>
      <c r="F1740" s="37" t="str">
        <f>IF(ORCAMENTOS!G1748="","",ORCAMENTOS!G1748)</f>
        <v>Michel</v>
      </c>
      <c r="G1740" s="37" t="str">
        <f>IF(ORCAMENTOS!H1748="","",ORCAMENTOS!H1748)</f>
        <v>Roger</v>
      </c>
      <c r="H1740" s="39">
        <f>IF(ORCAMENTOS!I1748="","",ORCAMENTOS!I1748)</f>
        <v>2988.9</v>
      </c>
      <c r="I1740" s="60" t="str">
        <f>IF(ORCAMENTOS!J1748="","",ORCAMENTOS!J1748)</f>
        <v/>
      </c>
      <c r="J1740" s="40" t="str">
        <f>IF(ORCAMENTOS!L1748="","",ORCAMENTOS!L1748)</f>
        <v>CANCELADO</v>
      </c>
      <c r="K1740" s="34" t="str">
        <f>IF(ORCAMENTOS!M1748="","",ORCAMENTOS!M1748)</f>
        <v>-</v>
      </c>
      <c r="L1740" t="str">
        <f>IF(ORCAMENTOS!R1748="","",ORCAMENTOS!R1748)</f>
        <v>-</v>
      </c>
    </row>
    <row r="1741" spans="1:12" ht="15.75" hidden="1" customHeight="1" x14ac:dyDescent="0.25">
      <c r="A1741" s="36">
        <f>IF(ORCAMENTOS!A1749="","",ORCAMENTOS!A1749)</f>
        <v>45933</v>
      </c>
      <c r="B1741" s="46">
        <f>IF(ORCAMENTOS!B1749="","",ORCAMENTOS!B1749)</f>
        <v>1739</v>
      </c>
      <c r="C1741" s="46" t="str">
        <f>IF(ORCAMENTOS!C1749="","",ORCAMENTOS!C1749)</f>
        <v/>
      </c>
      <c r="D1741" s="37" t="str">
        <f>IF(ORCAMENTOS!D1749="","",ORCAMENTOS!D1749)</f>
        <v>ENGEMAC</v>
      </c>
      <c r="E1741" s="38" t="str">
        <f>IF(ORCAMENTOS!E1749="","",ORCAMENTOS!E1749)</f>
        <v>HOSPITAL AMIL - PRAIA GRANDE - SP</v>
      </c>
      <c r="F1741" s="37" t="str">
        <f>IF(ORCAMENTOS!G1749="","",ORCAMENTOS!G1749)</f>
        <v>Fernando</v>
      </c>
      <c r="G1741" s="37" t="str">
        <f>IF(ORCAMENTOS!H1749="","",ORCAMENTOS!H1749)</f>
        <v>Rodrigo</v>
      </c>
      <c r="H1741" s="39">
        <f>IF(ORCAMENTOS!I1749="","",ORCAMENTOS!I1749)</f>
        <v>143263.72</v>
      </c>
      <c r="I1741" s="60" t="str">
        <f>IF(ORCAMENTOS!J1749="","",ORCAMENTOS!J1749)</f>
        <v/>
      </c>
      <c r="J1741" s="40" t="str">
        <f>IF(ORCAMENTOS!L1749="","",ORCAMENTOS!L1749)</f>
        <v>CANCELADO</v>
      </c>
      <c r="K1741" s="34" t="str">
        <f>IF(ORCAMENTOS!M1749="","",ORCAMENTOS!M1749)</f>
        <v>BOAS CHANCES</v>
      </c>
      <c r="L1741" t="str">
        <f>IF(ORCAMENTOS!R1749="","",ORCAMENTOS!R1749)</f>
        <v>MPU</v>
      </c>
    </row>
    <row r="1742" spans="1:12" ht="15.75" hidden="1" customHeight="1" x14ac:dyDescent="0.25">
      <c r="A1742" s="36">
        <f>IF(ORCAMENTOS!A1750="","",ORCAMENTOS!A1750)</f>
        <v>45932</v>
      </c>
      <c r="B1742" s="46">
        <f>IF(ORCAMENTOS!B1750="","",ORCAMENTOS!B1750)</f>
        <v>1740</v>
      </c>
      <c r="C1742" s="46" t="str">
        <f>IF(ORCAMENTOS!C1750="","",ORCAMENTOS!C1750)</f>
        <v/>
      </c>
      <c r="D1742" s="37" t="str">
        <f>IF(ORCAMENTOS!D1750="","",ORCAMENTOS!D1750)</f>
        <v>TERMOCLIMA</v>
      </c>
      <c r="E1742" s="38" t="str">
        <f>IF(ORCAMENTOS!E1750="","",ORCAMENTOS!E1750)</f>
        <v>SESC - SÃO SEBASTIAO DO PARAISO</v>
      </c>
      <c r="F1742" s="37" t="str">
        <f>IF(ORCAMENTOS!G1750="","",ORCAMENTOS!G1750)</f>
        <v>Gabriel</v>
      </c>
      <c r="G1742" s="37" t="str">
        <f>IF(ORCAMENTOS!H1750="","",ORCAMENTOS!H1750)</f>
        <v>Pedro</v>
      </c>
      <c r="H1742" s="39">
        <f>IF(ORCAMENTOS!I1750="","",ORCAMENTOS!I1750)</f>
        <v>116524.09</v>
      </c>
      <c r="I1742" s="60" t="str">
        <f>IF(ORCAMENTOS!J1750="","",ORCAMENTOS!J1750)</f>
        <v/>
      </c>
      <c r="J1742" s="40" t="str">
        <f>IF(ORCAMENTOS!L1750="","",ORCAMENTOS!L1750)</f>
        <v>CANCELADO</v>
      </c>
      <c r="K1742" s="34" t="str">
        <f>IF(ORCAMENTOS!M1750="","",ORCAMENTOS!M1750)</f>
        <v>-</v>
      </c>
      <c r="L1742" t="str">
        <f>IF(ORCAMENTOS!R1750="","",ORCAMENTOS!R1750)</f>
        <v>MPU</v>
      </c>
    </row>
    <row r="1743" spans="1:12" ht="15.75" hidden="1" customHeight="1" x14ac:dyDescent="0.25">
      <c r="A1743" s="36">
        <f>IF(ORCAMENTOS!A1751="","",ORCAMENTOS!A1751)</f>
        <v>45932</v>
      </c>
      <c r="B1743" s="46">
        <f>IF(ORCAMENTOS!B1751="","",ORCAMENTOS!B1751)</f>
        <v>1741</v>
      </c>
      <c r="C1743" s="46" t="str">
        <f>IF(ORCAMENTOS!C1751="","",ORCAMENTOS!C1751)</f>
        <v/>
      </c>
      <c r="D1743" s="37" t="str">
        <f>IF(ORCAMENTOS!D1751="","",ORCAMENTOS!D1751)</f>
        <v>ECOLOGIC AIR</v>
      </c>
      <c r="E1743" s="38" t="str">
        <f>IF(ORCAMENTOS!E1751="","",ORCAMENTOS!E1751)</f>
        <v>JUNDIAI</v>
      </c>
      <c r="F1743" s="37" t="str">
        <f>IF(ORCAMENTOS!G1751="","",ORCAMENTOS!G1751)</f>
        <v>Michel</v>
      </c>
      <c r="G1743" s="37" t="str">
        <f>IF(ORCAMENTOS!H1751="","",ORCAMENTOS!H1751)</f>
        <v>Vinicius</v>
      </c>
      <c r="H1743" s="39">
        <f>IF(ORCAMENTOS!I1751="","",ORCAMENTOS!I1751)</f>
        <v>1803.05</v>
      </c>
      <c r="I1743" s="60" t="str">
        <f>IF(ORCAMENTOS!J1751="","",ORCAMENTOS!J1751)</f>
        <v/>
      </c>
      <c r="J1743" s="40" t="str">
        <f>IF(ORCAMENTOS!L1751="","",ORCAMENTOS!L1751)</f>
        <v>FECHADO</v>
      </c>
      <c r="K1743" s="34" t="str">
        <f>IF(ORCAMENTOS!M1751="","",ORCAMENTOS!M1751)</f>
        <v>-</v>
      </c>
      <c r="L1743" t="str">
        <f>IF(ORCAMENTOS!R1751="","",ORCAMENTOS!R1751)</f>
        <v>-</v>
      </c>
    </row>
    <row r="1744" spans="1:12" ht="15.75" hidden="1" customHeight="1" x14ac:dyDescent="0.25">
      <c r="A1744" s="36">
        <f>IF(ORCAMENTOS!A1752="","",ORCAMENTOS!A1752)</f>
        <v>45933</v>
      </c>
      <c r="B1744" s="46">
        <f>IF(ORCAMENTOS!B1752="","",ORCAMENTOS!B1752)</f>
        <v>1742</v>
      </c>
      <c r="C1744" s="46" t="str">
        <f>IF(ORCAMENTOS!C1752="","",ORCAMENTOS!C1752)</f>
        <v/>
      </c>
      <c r="D1744" s="37" t="str">
        <f>IF(ORCAMENTOS!D1752="","",ORCAMENTOS!D1752)</f>
        <v>INOVECTOR</v>
      </c>
      <c r="E1744" s="38" t="str">
        <f>IF(ORCAMENTOS!E1752="","",ORCAMENTOS!E1752)</f>
        <v>HOSPITAL SANTA ISABEL - PREDIO APOIO - SUBSOLO</v>
      </c>
      <c r="F1744" s="37" t="str">
        <f>IF(ORCAMENTOS!G1752="","",ORCAMENTOS!G1752)</f>
        <v>Fernando</v>
      </c>
      <c r="G1744" s="37" t="str">
        <f>IF(ORCAMENTOS!H1752="","",ORCAMENTOS!H1752)</f>
        <v>Cristina</v>
      </c>
      <c r="H1744" s="39">
        <f>IF(ORCAMENTOS!I1752="","",ORCAMENTOS!I1752)</f>
        <v>21669.42</v>
      </c>
      <c r="I1744" s="60" t="str">
        <f>IF(ORCAMENTOS!J1752="","",ORCAMENTOS!J1752)</f>
        <v/>
      </c>
      <c r="J1744" s="40" t="str">
        <f>IF(ORCAMENTOS!L1752="","",ORCAMENTOS!L1752)</f>
        <v>COMPRA</v>
      </c>
      <c r="K1744" s="34" t="str">
        <f>IF(ORCAMENTOS!M1752="","",ORCAMENTOS!M1752)</f>
        <v>MUDANÇA DE PROJETO</v>
      </c>
      <c r="L1744" t="str">
        <f>IF(ORCAMENTOS!R1752="","",ORCAMENTOS!R1752)</f>
        <v>N/E</v>
      </c>
    </row>
    <row r="1745" spans="1:12" ht="15.75" hidden="1" customHeight="1" x14ac:dyDescent="0.25">
      <c r="A1745" s="36">
        <f>IF(ORCAMENTOS!A1753="","",ORCAMENTOS!A1753)</f>
        <v>45933</v>
      </c>
      <c r="B1745" s="46">
        <f>IF(ORCAMENTOS!B1753="","",ORCAMENTOS!B1753)</f>
        <v>1743</v>
      </c>
      <c r="C1745" s="46" t="str">
        <f>IF(ORCAMENTOS!C1753="","",ORCAMENTOS!C1753)</f>
        <v/>
      </c>
      <c r="D1745" s="37" t="str">
        <f>IF(ORCAMENTOS!D1753="","",ORCAMENTOS!D1753)</f>
        <v>INOVECTOR</v>
      </c>
      <c r="E1745" s="38" t="str">
        <f>IF(ORCAMENTOS!E1753="","",ORCAMENTOS!E1753)</f>
        <v>HOSPITAL SANTA ISABEL - PREDIO APOIO - TERREO</v>
      </c>
      <c r="F1745" s="37" t="str">
        <f>IF(ORCAMENTOS!G1753="","",ORCAMENTOS!G1753)</f>
        <v>Fernando</v>
      </c>
      <c r="G1745" s="37" t="str">
        <f>IF(ORCAMENTOS!H1753="","",ORCAMENTOS!H1753)</f>
        <v>Cristina</v>
      </c>
      <c r="H1745" s="39">
        <f>IF(ORCAMENTOS!I1753="","",ORCAMENTOS!I1753)</f>
        <v>21075.82</v>
      </c>
      <c r="I1745" s="60" t="str">
        <f>IF(ORCAMENTOS!J1753="","",ORCAMENTOS!J1753)</f>
        <v/>
      </c>
      <c r="J1745" s="40" t="str">
        <f>IF(ORCAMENTOS!L1753="","",ORCAMENTOS!L1753)</f>
        <v>COMPRA</v>
      </c>
      <c r="K1745" s="34" t="str">
        <f>IF(ORCAMENTOS!M1753="","",ORCAMENTOS!M1753)</f>
        <v>MUDANÇA DE PROJETO</v>
      </c>
      <c r="L1745" t="str">
        <f>IF(ORCAMENTOS!R1753="","",ORCAMENTOS!R1753)</f>
        <v>N/E</v>
      </c>
    </row>
    <row r="1746" spans="1:12" ht="15.75" hidden="1" customHeight="1" x14ac:dyDescent="0.25">
      <c r="A1746" s="36">
        <f>IF(ORCAMENTOS!A1754="","",ORCAMENTOS!A1754)</f>
        <v>45933</v>
      </c>
      <c r="B1746" s="46">
        <f>IF(ORCAMENTOS!B1754="","",ORCAMENTOS!B1754)</f>
        <v>1744</v>
      </c>
      <c r="C1746" s="46" t="str">
        <f>IF(ORCAMENTOS!C1754="","",ORCAMENTOS!C1754)</f>
        <v/>
      </c>
      <c r="D1746" s="37" t="str">
        <f>IF(ORCAMENTOS!D1754="","",ORCAMENTOS!D1754)</f>
        <v>INOVECTOR</v>
      </c>
      <c r="E1746" s="38" t="str">
        <f>IF(ORCAMENTOS!E1754="","",ORCAMENTOS!E1754)</f>
        <v>HOSPITAL SANTA ISABEL - PREDIO APOIO - 1ºPV</v>
      </c>
      <c r="F1746" s="37" t="str">
        <f>IF(ORCAMENTOS!G1754="","",ORCAMENTOS!G1754)</f>
        <v>Fernando</v>
      </c>
      <c r="G1746" s="37" t="str">
        <f>IF(ORCAMENTOS!H1754="","",ORCAMENTOS!H1754)</f>
        <v>Cristina</v>
      </c>
      <c r="H1746" s="39">
        <f>IF(ORCAMENTOS!I1754="","",ORCAMENTOS!I1754)</f>
        <v>14427.09</v>
      </c>
      <c r="I1746" s="60" t="str">
        <f>IF(ORCAMENTOS!J1754="","",ORCAMENTOS!J1754)</f>
        <v/>
      </c>
      <c r="J1746" s="40" t="str">
        <f>IF(ORCAMENTOS!L1754="","",ORCAMENTOS!L1754)</f>
        <v>COMPRA</v>
      </c>
      <c r="K1746" s="34" t="str">
        <f>IF(ORCAMENTOS!M1754="","",ORCAMENTOS!M1754)</f>
        <v>MUDANÇA DE PROJETO</v>
      </c>
      <c r="L1746" t="str">
        <f>IF(ORCAMENTOS!R1754="","",ORCAMENTOS!R1754)</f>
        <v>N/E</v>
      </c>
    </row>
    <row r="1747" spans="1:12" ht="15.75" hidden="1" customHeight="1" x14ac:dyDescent="0.25">
      <c r="A1747" s="36">
        <f>IF(ORCAMENTOS!A1755="","",ORCAMENTOS!A1755)</f>
        <v>45933</v>
      </c>
      <c r="B1747" s="46">
        <f>IF(ORCAMENTOS!B1755="","",ORCAMENTOS!B1755)</f>
        <v>1745</v>
      </c>
      <c r="C1747" s="46" t="str">
        <f>IF(ORCAMENTOS!C1755="","",ORCAMENTOS!C1755)</f>
        <v/>
      </c>
      <c r="D1747" s="37" t="str">
        <f>IF(ORCAMENTOS!D1755="","",ORCAMENTOS!D1755)</f>
        <v>AMS INSTALACOES</v>
      </c>
      <c r="E1747" s="38" t="str">
        <f>IF(ORCAMENTOS!E1755="","",ORCAMENTOS!E1755)</f>
        <v>ASSAI ATACADISTA - ARAGUAINA - TO - ADM</v>
      </c>
      <c r="F1747" s="37" t="str">
        <f>IF(ORCAMENTOS!G1755="","",ORCAMENTOS!G1755)</f>
        <v>Gabriel</v>
      </c>
      <c r="G1747" s="37" t="str">
        <f>IF(ORCAMENTOS!H1755="","",ORCAMENTOS!H1755)</f>
        <v>Albertino</v>
      </c>
      <c r="H1747" s="39">
        <f>IF(ORCAMENTOS!I1755="","",ORCAMENTOS!I1755)</f>
        <v>74370.31</v>
      </c>
      <c r="I1747" s="60" t="str">
        <f>IF(ORCAMENTOS!J1755="","",ORCAMENTOS!J1755)</f>
        <v/>
      </c>
      <c r="J1747" s="40" t="str">
        <f>IF(ORCAMENTOS!L1755="","",ORCAMENTOS!L1755)</f>
        <v>CANCELADO</v>
      </c>
      <c r="K1747" s="34" t="str">
        <f>IF(ORCAMENTOS!M1755="","",ORCAMENTOS!M1755)</f>
        <v>-</v>
      </c>
      <c r="L1747" t="str">
        <f>IF(ORCAMENTOS!R1755="","",ORCAMENTOS!R1755)</f>
        <v>N/E</v>
      </c>
    </row>
    <row r="1748" spans="1:12" ht="15.75" hidden="1" customHeight="1" x14ac:dyDescent="0.25">
      <c r="A1748" s="36">
        <f>IF(ORCAMENTOS!A1756="","",ORCAMENTOS!A1756)</f>
        <v>45933</v>
      </c>
      <c r="B1748" s="46">
        <f>IF(ORCAMENTOS!B1756="","",ORCAMENTOS!B1756)</f>
        <v>1746</v>
      </c>
      <c r="C1748" s="46" t="str">
        <f>IF(ORCAMENTOS!C1756="","",ORCAMENTOS!C1756)</f>
        <v/>
      </c>
      <c r="D1748" s="37" t="str">
        <f>IF(ORCAMENTOS!D1756="","",ORCAMENTOS!D1756)</f>
        <v>SCHOTT PHARMA</v>
      </c>
      <c r="E1748" s="38" t="str">
        <f>IF(ORCAMENTOS!E1756="","",ORCAMENTOS!E1756)</f>
        <v>SCHOTT PHARMA BRASIL - ITUPEVA - SP</v>
      </c>
      <c r="F1748" s="37" t="str">
        <f>IF(ORCAMENTOS!G1756="","",ORCAMENTOS!G1756)</f>
        <v>Gabriel</v>
      </c>
      <c r="G1748" s="37" t="str">
        <f>IF(ORCAMENTOS!H1756="","",ORCAMENTOS!H1756)</f>
        <v>Leis</v>
      </c>
      <c r="H1748" s="39">
        <f>IF(ORCAMENTOS!I1756="","",ORCAMENTOS!I1756)</f>
        <v>132760.57999999999</v>
      </c>
      <c r="I1748" s="60" t="str">
        <f>IF(ORCAMENTOS!J1756="","",ORCAMENTOS!J1756)</f>
        <v/>
      </c>
      <c r="J1748" s="40" t="str">
        <f>IF(ORCAMENTOS!L1756="","",ORCAMENTOS!L1756)</f>
        <v>CANCELADO</v>
      </c>
      <c r="K1748" s="34" t="str">
        <f>IF(ORCAMENTOS!M1756="","",ORCAMENTOS!M1756)</f>
        <v>-</v>
      </c>
      <c r="L1748" t="str">
        <f>IF(ORCAMENTOS!R1756="","",ORCAMENTOS!R1756)</f>
        <v>-</v>
      </c>
    </row>
    <row r="1749" spans="1:12" ht="15.75" hidden="1" customHeight="1" x14ac:dyDescent="0.25">
      <c r="A1749" s="36">
        <f>IF(ORCAMENTOS!A1757="","",ORCAMENTOS!A1757)</f>
        <v>45933</v>
      </c>
      <c r="B1749" s="46">
        <f>IF(ORCAMENTOS!B1757="","",ORCAMENTOS!B1757)</f>
        <v>1747</v>
      </c>
      <c r="C1749" s="46" t="str">
        <f>IF(ORCAMENTOS!C1757="","",ORCAMENTOS!C1757)</f>
        <v/>
      </c>
      <c r="D1749" s="37" t="str">
        <f>IF(ORCAMENTOS!D1757="","",ORCAMENTOS!D1757)</f>
        <v>ENEBRAS</v>
      </c>
      <c r="E1749" s="38" t="str">
        <f>IF(ORCAMENTOS!E1757="","",ORCAMENTOS!E1757)</f>
        <v>HOSPITAL JABAQUARA - ENDOSCOPIA E BRONCOSPIA - SP</v>
      </c>
      <c r="F1749" s="37" t="str">
        <f>IF(ORCAMENTOS!G1757="","",ORCAMENTOS!G1757)</f>
        <v>Michel</v>
      </c>
      <c r="G1749" s="37" t="str">
        <f>IF(ORCAMENTOS!H1757="","",ORCAMENTOS!H1757)</f>
        <v>Enzo</v>
      </c>
      <c r="H1749" s="39">
        <f>IF(ORCAMENTOS!I1757="","",ORCAMENTOS!I1757)</f>
        <v>50133.66</v>
      </c>
      <c r="I1749" s="60" t="str">
        <f>IF(ORCAMENTOS!J1757="","",ORCAMENTOS!J1757)</f>
        <v/>
      </c>
      <c r="J1749" s="40" t="str">
        <f>IF(ORCAMENTOS!L1757="","",ORCAMENTOS!L1757)</f>
        <v>CANCELADO</v>
      </c>
      <c r="K1749" s="34" t="str">
        <f>IF(ORCAMENTOS!M1757="","",ORCAMENTOS!M1757)</f>
        <v>-</v>
      </c>
      <c r="L1749" t="str">
        <f>IF(ORCAMENTOS!R1757="","",ORCAMENTOS!R1757)</f>
        <v>N/E</v>
      </c>
    </row>
    <row r="1750" spans="1:12" ht="15.75" hidden="1" customHeight="1" x14ac:dyDescent="0.25">
      <c r="A1750" s="36">
        <f>IF(ORCAMENTOS!A1758="","",ORCAMENTOS!A1758)</f>
        <v>45933</v>
      </c>
      <c r="B1750" s="46">
        <f>IF(ORCAMENTOS!B1758="","",ORCAMENTOS!B1758)</f>
        <v>1748</v>
      </c>
      <c r="C1750" s="46" t="str">
        <f>IF(ORCAMENTOS!C1758="","",ORCAMENTOS!C1758)</f>
        <v/>
      </c>
      <c r="D1750" s="37" t="str">
        <f>IF(ORCAMENTOS!D1758="","",ORCAMENTOS!D1758)</f>
        <v>QUALITY AIR</v>
      </c>
      <c r="E1750" s="38" t="str">
        <f>IF(ORCAMENTOS!E1758="","",ORCAMENTOS!E1758)</f>
        <v>SENAI IPIRANGA</v>
      </c>
      <c r="F1750" s="37" t="str">
        <f>IF(ORCAMENTOS!G1758="","",ORCAMENTOS!G1758)</f>
        <v>Michel</v>
      </c>
      <c r="G1750" s="37" t="str">
        <f>IF(ORCAMENTOS!H1758="","",ORCAMENTOS!H1758)</f>
        <v>Rodrigo</v>
      </c>
      <c r="H1750" s="39">
        <f>IF(ORCAMENTOS!I1758="","",ORCAMENTOS!I1758)</f>
        <v>57253.99</v>
      </c>
      <c r="I1750" s="60" t="str">
        <f>IF(ORCAMENTOS!J1758="","",ORCAMENTOS!J1758)</f>
        <v/>
      </c>
      <c r="J1750" s="40" t="str">
        <f>IF(ORCAMENTOS!L1758="","",ORCAMENTOS!L1758)</f>
        <v>CANCELADO</v>
      </c>
      <c r="K1750" s="34" t="str">
        <f>IF(ORCAMENTOS!M1758="","",ORCAMENTOS!M1758)</f>
        <v>-</v>
      </c>
      <c r="L1750" t="str">
        <f>IF(ORCAMENTOS!R1758="","",ORCAMENTOS!R1758)</f>
        <v>CHAPA DE ACO GALVANIZADO</v>
      </c>
    </row>
    <row r="1751" spans="1:12" ht="15.75" hidden="1" customHeight="1" x14ac:dyDescent="0.25">
      <c r="A1751" s="36">
        <f>IF(ORCAMENTOS!A1759="","",ORCAMENTOS!A1759)</f>
        <v>45933</v>
      </c>
      <c r="B1751" s="46">
        <f>IF(ORCAMENTOS!B1759="","",ORCAMENTOS!B1759)</f>
        <v>1749</v>
      </c>
      <c r="C1751" s="46" t="str">
        <f>IF(ORCAMENTOS!C1759="","",ORCAMENTOS!C1759)</f>
        <v/>
      </c>
      <c r="D1751" s="37" t="str">
        <f>IF(ORCAMENTOS!D1759="","",ORCAMENTOS!D1759)</f>
        <v>SAFETY WALL</v>
      </c>
      <c r="E1751" s="38" t="str">
        <f>IF(ORCAMENTOS!E1759="","",ORCAMENTOS!E1759)</f>
        <v>-</v>
      </c>
      <c r="F1751" s="37" t="str">
        <f>IF(ORCAMENTOS!G1759="","",ORCAMENTOS!G1759)</f>
        <v>Gabriel</v>
      </c>
      <c r="G1751" s="37" t="str">
        <f>IF(ORCAMENTOS!H1759="","",ORCAMENTOS!H1759)</f>
        <v>Fabiana</v>
      </c>
      <c r="H1751" s="39">
        <f>IF(ORCAMENTOS!I1759="","",ORCAMENTOS!I1759)</f>
        <v>18005.349999999999</v>
      </c>
      <c r="I1751" s="60" t="str">
        <f>IF(ORCAMENTOS!J1759="","",ORCAMENTOS!J1759)</f>
        <v/>
      </c>
      <c r="J1751" s="40" t="str">
        <f>IF(ORCAMENTOS!L1759="","",ORCAMENTOS!L1759)</f>
        <v>CANCELADO</v>
      </c>
      <c r="K1751" s="34" t="str">
        <f>IF(ORCAMENTOS!M1759="","",ORCAMENTOS!M1759)</f>
        <v>-</v>
      </c>
      <c r="L1751" t="str">
        <f>IF(ORCAMENTOS!R1759="","",ORCAMENTOS!R1759)</f>
        <v>-</v>
      </c>
    </row>
    <row r="1752" spans="1:12" ht="15.75" hidden="1" customHeight="1" x14ac:dyDescent="0.25">
      <c r="A1752" s="36">
        <f>IF(ORCAMENTOS!A1760="","",ORCAMENTOS!A1760)</f>
        <v>45933</v>
      </c>
      <c r="B1752" s="46">
        <f>IF(ORCAMENTOS!B1760="","",ORCAMENTOS!B1760)</f>
        <v>1750</v>
      </c>
      <c r="C1752" s="46" t="str">
        <f>IF(ORCAMENTOS!C1760="","",ORCAMENTOS!C1760)</f>
        <v/>
      </c>
      <c r="D1752" s="37" t="str">
        <f>IF(ORCAMENTOS!D1760="","",ORCAMENTOS!D1760)</f>
        <v>AWA AR CONDICIONADO</v>
      </c>
      <c r="E1752" s="38" t="str">
        <f>IF(ORCAMENTOS!E1760="","",ORCAMENTOS!E1760)</f>
        <v>SUPER MATEUS - ESTRADA DA MAIOBA - PACO DO LUMIAR - MA</v>
      </c>
      <c r="F1752" s="37" t="str">
        <f>IF(ORCAMENTOS!G1760="","",ORCAMENTOS!G1760)</f>
        <v>Guilherme</v>
      </c>
      <c r="G1752" s="37" t="str">
        <f>IF(ORCAMENTOS!H1760="","",ORCAMENTOS!H1760)</f>
        <v>Paula</v>
      </c>
      <c r="H1752" s="39">
        <f>IF(ORCAMENTOS!I1760="","",ORCAMENTOS!I1760)</f>
        <v>56362.400000000001</v>
      </c>
      <c r="I1752" s="60" t="str">
        <f>IF(ORCAMENTOS!J1760="","",ORCAMENTOS!J1760)</f>
        <v/>
      </c>
      <c r="J1752" s="40" t="str">
        <f>IF(ORCAMENTOS!L1760="","",ORCAMENTOS!L1760)</f>
        <v>CANCELADO</v>
      </c>
      <c r="K1752" s="34" t="str">
        <f>IF(ORCAMENTOS!M1760="","",ORCAMENTOS!M1760)</f>
        <v>-</v>
      </c>
      <c r="L1752" t="str">
        <f>IF(ORCAMENTOS!R1760="","",ORCAMENTOS!R1760)</f>
        <v/>
      </c>
    </row>
    <row r="1753" spans="1:12" ht="15.75" hidden="1" customHeight="1" x14ac:dyDescent="0.25">
      <c r="A1753" s="36">
        <f>IF(ORCAMENTOS!A1761="","",ORCAMENTOS!A1761)</f>
        <v>45936</v>
      </c>
      <c r="B1753" s="46">
        <f>IF(ORCAMENTOS!B1761="","",ORCAMENTOS!B1761)</f>
        <v>1751</v>
      </c>
      <c r="C1753" s="46" t="str">
        <f>IF(ORCAMENTOS!C1761="","",ORCAMENTOS!C1761)</f>
        <v>R2</v>
      </c>
      <c r="D1753" s="37" t="str">
        <f>IF(ORCAMENTOS!D1761="","",ORCAMENTOS!D1761)</f>
        <v>ARTEC SOLAR</v>
      </c>
      <c r="E1753" s="38" t="str">
        <f>IF(ORCAMENTOS!E1761="","",ORCAMENTOS!E1761)</f>
        <v>-</v>
      </c>
      <c r="F1753" s="37" t="str">
        <f>IF(ORCAMENTOS!G1761="","",ORCAMENTOS!G1761)</f>
        <v>Gabriel</v>
      </c>
      <c r="G1753" s="37" t="str">
        <f>IF(ORCAMENTOS!H1761="","",ORCAMENTOS!H1761)</f>
        <v>Milena</v>
      </c>
      <c r="H1753" s="39">
        <f>IF(ORCAMENTOS!I1761="","",ORCAMENTOS!I1761)</f>
        <v>13596.39</v>
      </c>
      <c r="I1753" s="60" t="str">
        <f>IF(ORCAMENTOS!J1761="","",ORCAMENTOS!J1761)</f>
        <v/>
      </c>
      <c r="J1753" s="40" t="str">
        <f>IF(ORCAMENTOS!L1761="","",ORCAMENTOS!L1761)</f>
        <v>CANCELADO</v>
      </c>
      <c r="K1753" s="34" t="str">
        <f>IF(ORCAMENTOS!M1761="","",ORCAMENTOS!M1761)</f>
        <v>-</v>
      </c>
      <c r="L1753" t="str">
        <f>IF(ORCAMENTOS!R1761="","",ORCAMENTOS!R1761)</f>
        <v>-</v>
      </c>
    </row>
    <row r="1754" spans="1:12" ht="15.75" hidden="1" customHeight="1" x14ac:dyDescent="0.25">
      <c r="A1754" s="36">
        <f>IF(ORCAMENTOS!A1762="","",ORCAMENTOS!A1762)</f>
        <v>45933</v>
      </c>
      <c r="B1754" s="46">
        <f>IF(ORCAMENTOS!B1762="","",ORCAMENTOS!B1762)</f>
        <v>1752</v>
      </c>
      <c r="C1754" s="46" t="str">
        <f>IF(ORCAMENTOS!C1762="","",ORCAMENTOS!C1762)</f>
        <v/>
      </c>
      <c r="D1754" s="37" t="str">
        <f>IF(ORCAMENTOS!D1762="","",ORCAMENTOS!D1762)</f>
        <v>IVTEC ENGENHARIA</v>
      </c>
      <c r="E1754" s="38" t="str">
        <f>IF(ORCAMENTOS!E1762="","",ORCAMENTOS!E1762)</f>
        <v>LICRTO225186</v>
      </c>
      <c r="F1754" s="37" t="str">
        <f>IF(ORCAMENTOS!G1762="","",ORCAMENTOS!G1762)</f>
        <v>Guilherme</v>
      </c>
      <c r="G1754" s="37" t="str">
        <f>IF(ORCAMENTOS!H1762="","",ORCAMENTOS!H1762)</f>
        <v>Mario</v>
      </c>
      <c r="H1754" s="39">
        <f>IF(ORCAMENTOS!I1762="","",ORCAMENTOS!I1762)</f>
        <v>19983.580000000002</v>
      </c>
      <c r="I1754" s="60" t="str">
        <f>IF(ORCAMENTOS!J1762="","",ORCAMENTOS!J1762)</f>
        <v/>
      </c>
      <c r="J1754" s="40" t="str">
        <f>IF(ORCAMENTOS!L1762="","",ORCAMENTOS!L1762)</f>
        <v>FECHADO</v>
      </c>
      <c r="K1754" s="34" t="str">
        <f>IF(ORCAMENTOS!M1762="","",ORCAMENTOS!M1762)</f>
        <v>-</v>
      </c>
      <c r="L1754" t="str">
        <f>IF(ORCAMENTOS!R1762="","",ORCAMENTOS!R1762)</f>
        <v>-</v>
      </c>
    </row>
    <row r="1755" spans="1:12" ht="15.75" hidden="1" customHeight="1" x14ac:dyDescent="0.25">
      <c r="A1755" s="36">
        <f>IF(ORCAMENTOS!A1763="","",ORCAMENTOS!A1763)</f>
        <v>45936</v>
      </c>
      <c r="B1755" s="46">
        <f>IF(ORCAMENTOS!B1763="","",ORCAMENTOS!B1763)</f>
        <v>1753</v>
      </c>
      <c r="C1755" s="46" t="str">
        <f>IF(ORCAMENTOS!C1763="","",ORCAMENTOS!C1763)</f>
        <v/>
      </c>
      <c r="D1755" s="37" t="str">
        <f>IF(ORCAMENTOS!D1763="","",ORCAMENTOS!D1763)</f>
        <v>NP CLIMATIZAÇÃO</v>
      </c>
      <c r="E1755" s="38" t="str">
        <f>IF(ORCAMENTOS!E1763="","",ORCAMENTOS!E1763)</f>
        <v>VIA RIO PARTICIPACOES - 27º PAVTO</v>
      </c>
      <c r="F1755" s="37" t="str">
        <f>IF(ORCAMENTOS!G1763="","",ORCAMENTOS!G1763)</f>
        <v>Guilherme</v>
      </c>
      <c r="G1755" s="37" t="str">
        <f>IF(ORCAMENTOS!H1763="","",ORCAMENTOS!H1763)</f>
        <v>Maria</v>
      </c>
      <c r="H1755" s="39">
        <f>IF(ORCAMENTOS!I1763="","",ORCAMENTOS!I1763)</f>
        <v>6347.88</v>
      </c>
      <c r="I1755" s="60" t="str">
        <f>IF(ORCAMENTOS!J1763="","",ORCAMENTOS!J1763)</f>
        <v/>
      </c>
      <c r="J1755" s="40" t="str">
        <f>IF(ORCAMENTOS!L1763="","",ORCAMENTOS!L1763)</f>
        <v>CANCELADO</v>
      </c>
      <c r="K1755" s="34" t="str">
        <f>IF(ORCAMENTOS!M1763="","",ORCAMENTOS!M1763)</f>
        <v>-</v>
      </c>
      <c r="L1755" t="str">
        <f>IF(ORCAMENTOS!R1763="","",ORCAMENTOS!R1763)</f>
        <v>N/E</v>
      </c>
    </row>
    <row r="1756" spans="1:12" ht="15.75" hidden="1" customHeight="1" x14ac:dyDescent="0.25">
      <c r="A1756" s="36">
        <f>IF(ORCAMENTOS!A1764="","",ORCAMENTOS!A1764)</f>
        <v>45936</v>
      </c>
      <c r="B1756" s="46">
        <f>IF(ORCAMENTOS!B1764="","",ORCAMENTOS!B1764)</f>
        <v>1754</v>
      </c>
      <c r="C1756" s="46" t="str">
        <f>IF(ORCAMENTOS!C1764="","",ORCAMENTOS!C1764)</f>
        <v/>
      </c>
      <c r="D1756" s="37" t="str">
        <f>IF(ORCAMENTOS!D1764="","",ORCAMENTOS!D1764)</f>
        <v>COLDTERMICA</v>
      </c>
      <c r="E1756" s="38" t="str">
        <f>IF(ORCAMENTOS!E1764="","",ORCAMENTOS!E1764)</f>
        <v>RENNER CENTER NORTE - RETAGUARDA</v>
      </c>
      <c r="F1756" s="37" t="str">
        <f>IF(ORCAMENTOS!G1764="","",ORCAMENTOS!G1764)</f>
        <v>Gabriel</v>
      </c>
      <c r="G1756" s="37" t="str">
        <f>IF(ORCAMENTOS!H1764="","",ORCAMENTOS!H1764)</f>
        <v>Denis</v>
      </c>
      <c r="H1756" s="39">
        <f>IF(ORCAMENTOS!I1764="","",ORCAMENTOS!I1764)</f>
        <v>18987.27</v>
      </c>
      <c r="I1756" s="60" t="str">
        <f>IF(ORCAMENTOS!J1764="","",ORCAMENTOS!J1764)</f>
        <v/>
      </c>
      <c r="J1756" s="40" t="str">
        <f>IF(ORCAMENTOS!L1764="","",ORCAMENTOS!L1764)</f>
        <v>PERDIDO</v>
      </c>
      <c r="K1756" s="34" t="str">
        <f>IF(ORCAMENTOS!M1764="","",ORCAMENTOS!M1764)</f>
        <v>MULTIVAC - PREFERÊNCIA</v>
      </c>
      <c r="L1756" t="str">
        <f>IF(ORCAMENTOS!R1764="","",ORCAMENTOS!R1764)</f>
        <v>-</v>
      </c>
    </row>
    <row r="1757" spans="1:12" ht="15.75" hidden="1" customHeight="1" x14ac:dyDescent="0.25">
      <c r="A1757" s="36">
        <f>IF(ORCAMENTOS!A1765="","",ORCAMENTOS!A1765)</f>
        <v>46006</v>
      </c>
      <c r="B1757" s="46">
        <f>IF(ORCAMENTOS!B1765="","",ORCAMENTOS!B1765)</f>
        <v>1755</v>
      </c>
      <c r="C1757" s="46" t="str">
        <f>IF(ORCAMENTOS!C1765="","",ORCAMENTOS!C1765)</f>
        <v/>
      </c>
      <c r="D1757" s="37" t="str">
        <f>IF(ORCAMENTOS!D1765="","",ORCAMENTOS!D1765)</f>
        <v>BEST CLIMA</v>
      </c>
      <c r="E1757" s="38" t="str">
        <f>IF(ORCAMENTOS!E1765="","",ORCAMENTOS!E1765)</f>
        <v>BLENZ CAFÉ</v>
      </c>
      <c r="F1757" s="37" t="str">
        <f>IF(ORCAMENTOS!G1765="","",ORCAMENTOS!G1765)</f>
        <v xml:space="preserve">Aldavir </v>
      </c>
      <c r="G1757" s="37" t="str">
        <f>IF(ORCAMENTOS!H1765="","",ORCAMENTOS!H1765)</f>
        <v>Misael</v>
      </c>
      <c r="H1757" s="39">
        <f>IF(ORCAMENTOS!I1765="","",ORCAMENTOS!I1765)</f>
        <v>21456.77</v>
      </c>
      <c r="I1757" s="60" t="str">
        <f>IF(ORCAMENTOS!J1765="","",ORCAMENTOS!J1765)</f>
        <v/>
      </c>
      <c r="J1757" s="40" t="str">
        <f>IF(ORCAMENTOS!L1765="","",ORCAMENTOS!L1765)</f>
        <v>PERDIDO</v>
      </c>
      <c r="K1757" s="34" t="str">
        <f>IF(ORCAMENTOS!M1765="","",ORCAMENTOS!M1765)</f>
        <v/>
      </c>
      <c r="L1757" t="str">
        <f>IF(ORCAMENTOS!R1765="","",ORCAMENTOS!R1765)</f>
        <v/>
      </c>
    </row>
    <row r="1758" spans="1:12" ht="15.75" hidden="1" customHeight="1" x14ac:dyDescent="0.25">
      <c r="A1758" s="36">
        <f>IF(ORCAMENTOS!A1766="","",ORCAMENTOS!A1766)</f>
        <v>45936</v>
      </c>
      <c r="B1758" s="46">
        <f>IF(ORCAMENTOS!B1766="","",ORCAMENTOS!B1766)</f>
        <v>1756</v>
      </c>
      <c r="C1758" s="46" t="str">
        <f>IF(ORCAMENTOS!C1766="","",ORCAMENTOS!C1766)</f>
        <v/>
      </c>
      <c r="D1758" s="37" t="str">
        <f>IF(ORCAMENTOS!D1766="","",ORCAMENTOS!D1766)</f>
        <v>ISOTEMP</v>
      </c>
      <c r="E1758" s="38" t="str">
        <f>IF(ORCAMENTOS!E1766="","",ORCAMENTOS!E1766)</f>
        <v>ELETRO DALBEM</v>
      </c>
      <c r="F1758" s="37" t="str">
        <f>IF(ORCAMENTOS!G1766="","",ORCAMENTOS!G1766)</f>
        <v>Michel</v>
      </c>
      <c r="G1758" s="37" t="str">
        <f>IF(ORCAMENTOS!H1766="","",ORCAMENTOS!H1766)</f>
        <v>Viktor</v>
      </c>
      <c r="H1758" s="39">
        <f>IF(ORCAMENTOS!I1766="","",ORCAMENTOS!I1766)</f>
        <v>62417.79</v>
      </c>
      <c r="I1758" s="60" t="str">
        <f>IF(ORCAMENTOS!J1766="","",ORCAMENTOS!J1766)</f>
        <v/>
      </c>
      <c r="J1758" s="40" t="str">
        <f>IF(ORCAMENTOS!L1766="","",ORCAMENTOS!L1766)</f>
        <v>CANCELADO</v>
      </c>
      <c r="K1758" s="34" t="str">
        <f>IF(ORCAMENTOS!M1766="","",ORCAMENTOS!M1766)</f>
        <v>-</v>
      </c>
      <c r="L1758" t="str">
        <f>IF(ORCAMENTOS!R1766="","",ORCAMENTOS!R1766)</f>
        <v>ACO GALVANIZADO</v>
      </c>
    </row>
    <row r="1759" spans="1:12" ht="15.75" hidden="1" customHeight="1" x14ac:dyDescent="0.25">
      <c r="A1759" s="36">
        <f>IF(ORCAMENTOS!A1767="","",ORCAMENTOS!A1767)</f>
        <v>45936</v>
      </c>
      <c r="B1759" s="46">
        <f>IF(ORCAMENTOS!B1767="","",ORCAMENTOS!B1767)</f>
        <v>1757</v>
      </c>
      <c r="C1759" s="46" t="str">
        <f>IF(ORCAMENTOS!C1767="","",ORCAMENTOS!C1767)</f>
        <v/>
      </c>
      <c r="D1759" s="37" t="str">
        <f>IF(ORCAMENTOS!D1767="","",ORCAMENTOS!D1767)</f>
        <v>FAZDUTOS</v>
      </c>
      <c r="E1759" s="38" t="str">
        <f>IF(ORCAMENTOS!E1767="","",ORCAMENTOS!E1767)</f>
        <v>545 - PAULISTÃO DA SAÚDE - NORTE</v>
      </c>
      <c r="F1759" s="37" t="str">
        <f>IF(ORCAMENTOS!G1767="","",ORCAMENTOS!G1767)</f>
        <v>Gabriel</v>
      </c>
      <c r="G1759" s="37" t="str">
        <f>IF(ORCAMENTOS!H1767="","",ORCAMENTOS!H1767)</f>
        <v>Joao</v>
      </c>
      <c r="H1759" s="39">
        <f>IF(ORCAMENTOS!I1767="","",ORCAMENTOS!I1767)</f>
        <v>9000.01</v>
      </c>
      <c r="I1759" s="60">
        <f>IF(ORCAMENTOS!J1767="","",ORCAMENTOS!J1767)</f>
        <v>0.05</v>
      </c>
      <c r="J1759" s="40" t="str">
        <f>IF(ORCAMENTOS!L1767="","",ORCAMENTOS!L1767)</f>
        <v>FECHADO</v>
      </c>
      <c r="K1759" s="34" t="str">
        <f>IF(ORCAMENTOS!M1767="","",ORCAMENTOS!M1767)</f>
        <v>-</v>
      </c>
      <c r="L1759" t="str">
        <f>IF(ORCAMENTOS!R1767="","",ORCAMENTOS!R1767)</f>
        <v>-</v>
      </c>
    </row>
    <row r="1760" spans="1:12" ht="15.75" hidden="1" customHeight="1" x14ac:dyDescent="0.25">
      <c r="A1760" s="36">
        <f>IF(ORCAMENTOS!A1768="","",ORCAMENTOS!A1768)</f>
        <v>45936</v>
      </c>
      <c r="B1760" s="46">
        <f>IF(ORCAMENTOS!B1768="","",ORCAMENTOS!B1768)</f>
        <v>1758</v>
      </c>
      <c r="C1760" s="46" t="str">
        <f>IF(ORCAMENTOS!C1768="","",ORCAMENTOS!C1768)</f>
        <v/>
      </c>
      <c r="D1760" s="37" t="str">
        <f>IF(ORCAMENTOS!D1768="","",ORCAMENTOS!D1768)</f>
        <v>KEEVA TEIC</v>
      </c>
      <c r="E1760" s="38" t="str">
        <f>IF(ORCAMENTOS!E1768="","",ORCAMENTOS!E1768)</f>
        <v>THE CAVERN CLUB</v>
      </c>
      <c r="F1760" s="37" t="str">
        <f>IF(ORCAMENTOS!G1768="","",ORCAMENTOS!G1768)</f>
        <v>Michel</v>
      </c>
      <c r="G1760" s="37" t="str">
        <f>IF(ORCAMENTOS!H1768="","",ORCAMENTOS!H1768)</f>
        <v>Witor</v>
      </c>
      <c r="H1760" s="39">
        <f>IF(ORCAMENTOS!I1768="","",ORCAMENTOS!I1768)</f>
        <v>110945.41</v>
      </c>
      <c r="I1760" s="60" t="str">
        <f>IF(ORCAMENTOS!J1768="","",ORCAMENTOS!J1768)</f>
        <v/>
      </c>
      <c r="J1760" s="40" t="str">
        <f>IF(ORCAMENTOS!L1768="","",ORCAMENTOS!L1768)</f>
        <v>CANCELADO</v>
      </c>
      <c r="K1760" s="34" t="str">
        <f>IF(ORCAMENTOS!M1768="","",ORCAMENTOS!M1768)</f>
        <v>-</v>
      </c>
      <c r="L1760" t="str">
        <f>IF(ORCAMENTOS!R1768="","",ORCAMENTOS!R1768)</f>
        <v>CHAPA DE ACO GALVANIZADO</v>
      </c>
    </row>
    <row r="1761" spans="1:12" ht="15.75" hidden="1" customHeight="1" x14ac:dyDescent="0.25">
      <c r="A1761" s="36">
        <f>IF(ORCAMENTOS!A1769="","",ORCAMENTOS!A1769)</f>
        <v>45936</v>
      </c>
      <c r="B1761" s="46">
        <f>IF(ORCAMENTOS!B1769="","",ORCAMENTOS!B1769)</f>
        <v>1759</v>
      </c>
      <c r="C1761" s="46" t="str">
        <f>IF(ORCAMENTOS!C1769="","",ORCAMENTOS!C1769)</f>
        <v/>
      </c>
      <c r="D1761" s="37" t="str">
        <f>IF(ORCAMENTOS!D1769="","",ORCAMENTOS!D1769)</f>
        <v>NEWSET</v>
      </c>
      <c r="E1761" s="38" t="str">
        <f>IF(ORCAMENTOS!E1769="","",ORCAMENTOS!E1769)</f>
        <v>-</v>
      </c>
      <c r="F1761" s="37" t="str">
        <f>IF(ORCAMENTOS!G1769="","",ORCAMENTOS!G1769)</f>
        <v xml:space="preserve">Aldavir </v>
      </c>
      <c r="G1761" s="37" t="str">
        <f>IF(ORCAMENTOS!H1769="","",ORCAMENTOS!H1769)</f>
        <v>Hiago</v>
      </c>
      <c r="H1761" s="39">
        <f>IF(ORCAMENTOS!I1769="","",ORCAMENTOS!I1769)</f>
        <v>779.74</v>
      </c>
      <c r="I1761" s="60" t="str">
        <f>IF(ORCAMENTOS!J1769="","",ORCAMENTOS!J1769)</f>
        <v/>
      </c>
      <c r="J1761" s="40" t="str">
        <f>IF(ORCAMENTOS!L1769="","",ORCAMENTOS!L1769)</f>
        <v>CANCELADO</v>
      </c>
      <c r="K1761" s="34" t="str">
        <f>IF(ORCAMENTOS!M1769="","",ORCAMENTOS!M1769)</f>
        <v>-</v>
      </c>
      <c r="L1761" t="str">
        <f>IF(ORCAMENTOS!R1769="","",ORCAMENTOS!R1769)</f>
        <v>-</v>
      </c>
    </row>
    <row r="1762" spans="1:12" ht="15.75" hidden="1" customHeight="1" x14ac:dyDescent="0.25">
      <c r="A1762" s="36">
        <f>IF(ORCAMENTOS!A1770="","",ORCAMENTOS!A1770)</f>
        <v>45936</v>
      </c>
      <c r="B1762" s="46">
        <f>IF(ORCAMENTOS!B1770="","",ORCAMENTOS!B1770)</f>
        <v>1760</v>
      </c>
      <c r="C1762" s="46" t="str">
        <f>IF(ORCAMENTOS!C1770="","",ORCAMENTOS!C1770)</f>
        <v/>
      </c>
      <c r="D1762" s="37" t="str">
        <f>IF(ORCAMENTOS!D1770="","",ORCAMENTOS!D1770)</f>
        <v>CONTROLE CLIMA</v>
      </c>
      <c r="E1762" s="38" t="str">
        <f>IF(ORCAMENTOS!E1770="","",ORCAMENTOS!E1770)</f>
        <v>SMART FIT SENADOR FLAQUER</v>
      </c>
      <c r="F1762" s="37" t="str">
        <f>IF(ORCAMENTOS!G1770="","",ORCAMENTOS!G1770)</f>
        <v>Emanuel</v>
      </c>
      <c r="G1762" s="37" t="str">
        <f>IF(ORCAMENTOS!H1770="","",ORCAMENTOS!H1770)</f>
        <v>Patricia</v>
      </c>
      <c r="H1762" s="39">
        <f>IF(ORCAMENTOS!I1770="","",ORCAMENTOS!I1770)</f>
        <v>596.4</v>
      </c>
      <c r="I1762" s="60" t="str">
        <f>IF(ORCAMENTOS!J1770="","",ORCAMENTOS!J1770)</f>
        <v/>
      </c>
      <c r="J1762" s="40" t="str">
        <f>IF(ORCAMENTOS!L1770="","",ORCAMENTOS!L1770)</f>
        <v>FECHADO</v>
      </c>
      <c r="K1762" s="34" t="str">
        <f>IF(ORCAMENTOS!M1770="","",ORCAMENTOS!M1770)</f>
        <v>-</v>
      </c>
      <c r="L1762" t="str">
        <f>IF(ORCAMENTOS!R1770="","",ORCAMENTOS!R1770)</f>
        <v>-</v>
      </c>
    </row>
    <row r="1763" spans="1:12" ht="15.75" hidden="1" customHeight="1" x14ac:dyDescent="0.25">
      <c r="A1763" s="36">
        <f>IF(ORCAMENTOS!A1771="","",ORCAMENTOS!A1771)</f>
        <v>45936</v>
      </c>
      <c r="B1763" s="46">
        <f>IF(ORCAMENTOS!B1771="","",ORCAMENTOS!B1771)</f>
        <v>1761</v>
      </c>
      <c r="C1763" s="46" t="str">
        <f>IF(ORCAMENTOS!C1771="","",ORCAMENTOS!C1771)</f>
        <v/>
      </c>
      <c r="D1763" s="37" t="str">
        <f>IF(ORCAMENTOS!D1771="","",ORCAMENTOS!D1771)</f>
        <v>CHRISTAR</v>
      </c>
      <c r="E1763" s="38" t="str">
        <f>IF(ORCAMENTOS!E1771="","",ORCAMENTOS!E1771)</f>
        <v>RESTAURANTE CLUBE DE CAMPO SÃO PAULO</v>
      </c>
      <c r="F1763" s="37" t="str">
        <f>IF(ORCAMENTOS!G1771="","",ORCAMENTOS!G1771)</f>
        <v xml:space="preserve">Aldavir </v>
      </c>
      <c r="G1763" s="37" t="str">
        <f>IF(ORCAMENTOS!H1771="","",ORCAMENTOS!H1771)</f>
        <v>Anderson</v>
      </c>
      <c r="H1763" s="39" t="str">
        <f>IF(ORCAMENTOS!I1771="","",ORCAMENTOS!I1771)</f>
        <v/>
      </c>
      <c r="I1763" s="60" t="str">
        <f>IF(ORCAMENTOS!J1771="","",ORCAMENTOS!J1771)</f>
        <v/>
      </c>
      <c r="J1763" s="40" t="str">
        <f>IF(ORCAMENTOS!L1771="","",ORCAMENTOS!L1771)</f>
        <v>CANCELADO</v>
      </c>
      <c r="K1763" s="34" t="str">
        <f>IF(ORCAMENTOS!M1771="","",ORCAMENTOS!M1771)</f>
        <v/>
      </c>
      <c r="L1763" t="str">
        <f>IF(ORCAMENTOS!R1771="","",ORCAMENTOS!R1771)</f>
        <v/>
      </c>
    </row>
    <row r="1764" spans="1:12" ht="15.75" hidden="1" customHeight="1" x14ac:dyDescent="0.25">
      <c r="A1764" s="36">
        <f>IF(ORCAMENTOS!A1772="","",ORCAMENTOS!A1772)</f>
        <v>45938</v>
      </c>
      <c r="B1764" s="46">
        <f>IF(ORCAMENTOS!B1772="","",ORCAMENTOS!B1772)</f>
        <v>1762</v>
      </c>
      <c r="C1764" s="46" t="str">
        <f>IF(ORCAMENTOS!C1772="","",ORCAMENTOS!C1772)</f>
        <v/>
      </c>
      <c r="D1764" s="37" t="str">
        <f>IF(ORCAMENTOS!D1772="","",ORCAMENTOS!D1772)</f>
        <v>AC AR CONDICIONADO</v>
      </c>
      <c r="E1764" s="38" t="str">
        <f>IF(ORCAMENTOS!E1772="","",ORCAMENTOS!E1772)</f>
        <v>AEROPORTO CARAJAS - PARAUAPEBAS</v>
      </c>
      <c r="F1764" s="37" t="str">
        <f>IF(ORCAMENTOS!G1772="","",ORCAMENTOS!G1772)</f>
        <v>Gabriel</v>
      </c>
      <c r="G1764" s="37" t="str">
        <f>IF(ORCAMENTOS!H1772="","",ORCAMENTOS!H1772)</f>
        <v>Andre</v>
      </c>
      <c r="H1764" s="39">
        <f>IF(ORCAMENTOS!I1772="","",ORCAMENTOS!I1772)</f>
        <v>135726.57999999999</v>
      </c>
      <c r="I1764" s="60" t="str">
        <f>IF(ORCAMENTOS!J1772="","",ORCAMENTOS!J1772)</f>
        <v/>
      </c>
      <c r="J1764" s="40" t="str">
        <f>IF(ORCAMENTOS!L1772="","",ORCAMENTOS!L1772)</f>
        <v>CANCELADO</v>
      </c>
      <c r="K1764" s="34" t="str">
        <f>IF(ORCAMENTOS!M1772="","",ORCAMENTOS!M1772)</f>
        <v>-</v>
      </c>
      <c r="L1764" t="str">
        <f>IF(ORCAMENTOS!R1772="","",ORCAMENTOS!R1772)</f>
        <v>MPU</v>
      </c>
    </row>
    <row r="1765" spans="1:12" ht="15.75" hidden="1" customHeight="1" x14ac:dyDescent="0.25">
      <c r="A1765" s="36">
        <f>IF(ORCAMENTOS!A1773="","",ORCAMENTOS!A1773)</f>
        <v>45938</v>
      </c>
      <c r="B1765" s="46">
        <f>IF(ORCAMENTOS!B1773="","",ORCAMENTOS!B1773)</f>
        <v>1763</v>
      </c>
      <c r="C1765" s="46" t="str">
        <f>IF(ORCAMENTOS!C1773="","",ORCAMENTOS!C1773)</f>
        <v/>
      </c>
      <c r="D1765" s="37" t="str">
        <f>IF(ORCAMENTOS!D1773="","",ORCAMENTOS!D1773)</f>
        <v>AC AR CONDICIONADO</v>
      </c>
      <c r="E1765" s="38" t="str">
        <f>IF(ORCAMENTOS!E1773="","",ORCAMENTOS!E1773)</f>
        <v>AEROPORTO JOAO CORREA DA ROCHA - MARABA</v>
      </c>
      <c r="F1765" s="37" t="str">
        <f>IF(ORCAMENTOS!G1773="","",ORCAMENTOS!G1773)</f>
        <v>Gabriel</v>
      </c>
      <c r="G1765" s="37" t="str">
        <f>IF(ORCAMENTOS!H1773="","",ORCAMENTOS!H1773)</f>
        <v>Andre</v>
      </c>
      <c r="H1765" s="39">
        <f>IF(ORCAMENTOS!I1773="","",ORCAMENTOS!I1773)</f>
        <v>171891.91</v>
      </c>
      <c r="I1765" s="60" t="str">
        <f>IF(ORCAMENTOS!J1773="","",ORCAMENTOS!J1773)</f>
        <v/>
      </c>
      <c r="J1765" s="40" t="str">
        <f>IF(ORCAMENTOS!L1773="","",ORCAMENTOS!L1773)</f>
        <v>CANCELADO</v>
      </c>
      <c r="K1765" s="34" t="str">
        <f>IF(ORCAMENTOS!M1773="","",ORCAMENTOS!M1773)</f>
        <v>-</v>
      </c>
      <c r="L1765" t="str">
        <f>IF(ORCAMENTOS!R1773="","",ORCAMENTOS!R1773)</f>
        <v>MPU</v>
      </c>
    </row>
    <row r="1766" spans="1:12" ht="15.75" hidden="1" customHeight="1" x14ac:dyDescent="0.25">
      <c r="A1766" s="36">
        <f>IF(ORCAMENTOS!A1774="","",ORCAMENTOS!A1774)</f>
        <v>45937</v>
      </c>
      <c r="B1766" s="46">
        <f>IF(ORCAMENTOS!B1774="","",ORCAMENTOS!B1774)</f>
        <v>1764</v>
      </c>
      <c r="C1766" s="46" t="str">
        <f>IF(ORCAMENTOS!C1774="","",ORCAMENTOS!C1774)</f>
        <v/>
      </c>
      <c r="D1766" s="37" t="str">
        <f>IF(ORCAMENTOS!D1774="","",ORCAMENTOS!D1774)</f>
        <v>PETRO ENGENHARIA</v>
      </c>
      <c r="E1766" s="38" t="str">
        <f>IF(ORCAMENTOS!E1774="","",ORCAMENTOS!E1774)</f>
        <v>HOSPITAL UNIVERSITARIO DA UNIVERSIDADE FEDERAL DO CARIRI</v>
      </c>
      <c r="F1766" s="37" t="str">
        <f>IF(ORCAMENTOS!G1774="","",ORCAMENTOS!G1774)</f>
        <v>Gabriel</v>
      </c>
      <c r="G1766" s="37" t="str">
        <f>IF(ORCAMENTOS!H1774="","",ORCAMENTOS!H1774)</f>
        <v>Francisco</v>
      </c>
      <c r="H1766" s="39">
        <f>IF(ORCAMENTOS!I1774="","",ORCAMENTOS!I1774)</f>
        <v>1251020.98</v>
      </c>
      <c r="I1766" s="60" t="str">
        <f>IF(ORCAMENTOS!J1774="","",ORCAMENTOS!J1774)</f>
        <v/>
      </c>
      <c r="J1766" s="40" t="str">
        <f>IF(ORCAMENTOS!L1774="","",ORCAMENTOS!L1774)</f>
        <v>CANCELADO</v>
      </c>
      <c r="K1766" s="34" t="str">
        <f>IF(ORCAMENTOS!M1774="","",ORCAMENTOS!M1774)</f>
        <v>-</v>
      </c>
      <c r="L1766" t="str">
        <f>IF(ORCAMENTOS!R1774="","",ORCAMENTOS!R1774)</f>
        <v>-</v>
      </c>
    </row>
    <row r="1767" spans="1:12" ht="15.75" hidden="1" customHeight="1" x14ac:dyDescent="0.25">
      <c r="A1767" s="36">
        <f>IF(ORCAMENTOS!A1775="","",ORCAMENTOS!A1775)</f>
        <v>45937</v>
      </c>
      <c r="B1767" s="46">
        <f>IF(ORCAMENTOS!B1775="","",ORCAMENTOS!B1775)</f>
        <v>1765</v>
      </c>
      <c r="C1767" s="46" t="str">
        <f>IF(ORCAMENTOS!C1775="","",ORCAMENTOS!C1775)</f>
        <v/>
      </c>
      <c r="D1767" s="37" t="str">
        <f>IF(ORCAMENTOS!D1775="","",ORCAMENTOS!D1775)</f>
        <v>NOVAX ENGENHARIA</v>
      </c>
      <c r="E1767" s="38" t="str">
        <f>IF(ORCAMENTOS!E1775="","",ORCAMENTOS!E1775)</f>
        <v>IBL GUARULHOS</v>
      </c>
      <c r="F1767" s="37" t="str">
        <f>IF(ORCAMENTOS!G1775="","",ORCAMENTOS!G1775)</f>
        <v>Emanuel</v>
      </c>
      <c r="G1767" s="37" t="str">
        <f>IF(ORCAMENTOS!H1775="","",ORCAMENTOS!H1775)</f>
        <v>Luiz</v>
      </c>
      <c r="H1767" s="39">
        <f>IF(ORCAMENTOS!I1775="","",ORCAMENTOS!I1775)</f>
        <v>153820.87</v>
      </c>
      <c r="I1767" s="60" t="str">
        <f>IF(ORCAMENTOS!J1775="","",ORCAMENTOS!J1775)</f>
        <v/>
      </c>
      <c r="J1767" s="40" t="str">
        <f>IF(ORCAMENTOS!L1775="","",ORCAMENTOS!L1775)</f>
        <v>CANCELADO</v>
      </c>
      <c r="K1767" s="34" t="str">
        <f>IF(ORCAMENTOS!M1775="","",ORCAMENTOS!M1775)</f>
        <v>-</v>
      </c>
      <c r="L1767" t="str">
        <f>IF(ORCAMENTOS!R1775="","",ORCAMENTOS!R1775)</f>
        <v>-</v>
      </c>
    </row>
    <row r="1768" spans="1:12" ht="15.75" hidden="1" customHeight="1" x14ac:dyDescent="0.25">
      <c r="A1768" s="36">
        <f>IF(ORCAMENTOS!A1776="","",ORCAMENTOS!A1776)</f>
        <v>45937</v>
      </c>
      <c r="B1768" s="46">
        <f>IF(ORCAMENTOS!B1776="","",ORCAMENTOS!B1776)</f>
        <v>1766</v>
      </c>
      <c r="C1768" s="46" t="str">
        <f>IF(ORCAMENTOS!C1776="","",ORCAMENTOS!C1776)</f>
        <v>R1</v>
      </c>
      <c r="D1768" s="37" t="str">
        <f>IF(ORCAMENTOS!D1776="","",ORCAMENTOS!D1776)</f>
        <v>RM3 ENGENHARIA</v>
      </c>
      <c r="E1768" s="38" t="str">
        <f>IF(ORCAMENTOS!E1776="","",ORCAMENTOS!E1776)</f>
        <v>HAPVIDA - CC ZONA LESTE 2 - SÃO MIGUEL</v>
      </c>
      <c r="F1768" s="37" t="str">
        <f>IF(ORCAMENTOS!G1776="","",ORCAMENTOS!G1776)</f>
        <v>Guilherme</v>
      </c>
      <c r="G1768" s="37" t="str">
        <f>IF(ORCAMENTOS!H1776="","",ORCAMENTOS!H1776)</f>
        <v>Janice</v>
      </c>
      <c r="H1768" s="39">
        <f>IF(ORCAMENTOS!I1776="","",ORCAMENTOS!I1776)</f>
        <v>35583.019999999997</v>
      </c>
      <c r="I1768" s="60">
        <f>IF(ORCAMENTOS!J1776="","",ORCAMENTOS!J1776)</f>
        <v>0.04</v>
      </c>
      <c r="J1768" s="40" t="str">
        <f>IF(ORCAMENTOS!L1776="","",ORCAMENTOS!L1776)</f>
        <v>FECHADO</v>
      </c>
      <c r="K1768" s="34" t="str">
        <f>IF(ORCAMENTOS!M1776="","",ORCAMENTOS!M1776)</f>
        <v>AGUARDANDO PEDIDO</v>
      </c>
      <c r="L1768" t="str">
        <f>IF(ORCAMENTOS!R1776="","",ORCAMENTOS!R1776)</f>
        <v>MPU</v>
      </c>
    </row>
    <row r="1769" spans="1:12" ht="15.75" hidden="1" customHeight="1" x14ac:dyDescent="0.25">
      <c r="A1769" s="36">
        <f>IF(ORCAMENTOS!A1777="","",ORCAMENTOS!A1777)</f>
        <v>45937</v>
      </c>
      <c r="B1769" s="46">
        <f>IF(ORCAMENTOS!B1777="","",ORCAMENTOS!B1777)</f>
        <v>1767</v>
      </c>
      <c r="C1769" s="46" t="str">
        <f>IF(ORCAMENTOS!C1777="","",ORCAMENTOS!C1777)</f>
        <v/>
      </c>
      <c r="D1769" s="37" t="str">
        <f>IF(ORCAMENTOS!D1777="","",ORCAMENTOS!D1777)</f>
        <v>ARSERVICE</v>
      </c>
      <c r="E1769" s="38" t="str">
        <f>IF(ORCAMENTOS!E1777="","",ORCAMENTOS!E1777)</f>
        <v>TRANSAMERICA</v>
      </c>
      <c r="F1769" s="37" t="str">
        <f>IF(ORCAMENTOS!G1777="","",ORCAMENTOS!G1777)</f>
        <v>Gabriel</v>
      </c>
      <c r="G1769" s="37" t="str">
        <f>IF(ORCAMENTOS!H1777="","",ORCAMENTOS!H1777)</f>
        <v>Joao</v>
      </c>
      <c r="H1769" s="39">
        <f>IF(ORCAMENTOS!I1777="","",ORCAMENTOS!I1777)</f>
        <v>579028.25</v>
      </c>
      <c r="I1769" s="60" t="str">
        <f>IF(ORCAMENTOS!J1777="","",ORCAMENTOS!J1777)</f>
        <v/>
      </c>
      <c r="J1769" s="40" t="str">
        <f>IF(ORCAMENTOS!L1777="","",ORCAMENTOS!L1777)</f>
        <v>CANCELADO</v>
      </c>
      <c r="K1769" s="34" t="str">
        <f>IF(ORCAMENTOS!M1777="","",ORCAMENTOS!M1777)</f>
        <v>-</v>
      </c>
      <c r="L1769" t="str">
        <f>IF(ORCAMENTOS!R1777="","",ORCAMENTOS!R1777)</f>
        <v>-</v>
      </c>
    </row>
    <row r="1770" spans="1:12" ht="15.75" hidden="1" customHeight="1" x14ac:dyDescent="0.25">
      <c r="A1770" s="36">
        <f>IF(ORCAMENTOS!A1778="","",ORCAMENTOS!A1778)</f>
        <v>45937</v>
      </c>
      <c r="B1770" s="46">
        <f>IF(ORCAMENTOS!B1778="","",ORCAMENTOS!B1778)</f>
        <v>1768</v>
      </c>
      <c r="C1770" s="46" t="str">
        <f>IF(ORCAMENTOS!C1778="","",ORCAMENTOS!C1778)</f>
        <v/>
      </c>
      <c r="D1770" s="37" t="str">
        <f>IF(ORCAMENTOS!D1778="","",ORCAMENTOS!D1778)</f>
        <v>EXPANSAO AR</v>
      </c>
      <c r="E1770" s="38" t="str">
        <f>IF(ORCAMENTOS!E1778="","",ORCAMENTOS!E1778)</f>
        <v>SHOPEE - SANTO ANGELO - RS</v>
      </c>
      <c r="F1770" s="37" t="str">
        <f>IF(ORCAMENTOS!G1778="","",ORCAMENTOS!G1778)</f>
        <v>Gabriel</v>
      </c>
      <c r="G1770" s="37" t="str">
        <f>IF(ORCAMENTOS!H1778="","",ORCAMENTOS!H1778)</f>
        <v>Natanael</v>
      </c>
      <c r="H1770" s="39">
        <f>IF(ORCAMENTOS!I1778="","",ORCAMENTOS!I1778)</f>
        <v>11066.35</v>
      </c>
      <c r="I1770" s="60" t="str">
        <f>IF(ORCAMENTOS!J1778="","",ORCAMENTOS!J1778)</f>
        <v/>
      </c>
      <c r="J1770" s="40" t="str">
        <f>IF(ORCAMENTOS!L1778="","",ORCAMENTOS!L1778)</f>
        <v>CANCELADO</v>
      </c>
      <c r="K1770" s="34" t="str">
        <f>IF(ORCAMENTOS!M1778="","",ORCAMENTOS!M1778)</f>
        <v>-</v>
      </c>
      <c r="L1770" t="str">
        <f>IF(ORCAMENTOS!R1778="","",ORCAMENTOS!R1778)</f>
        <v>N/E</v>
      </c>
    </row>
    <row r="1771" spans="1:12" ht="15.75" hidden="1" customHeight="1" x14ac:dyDescent="0.25">
      <c r="A1771" s="36">
        <f>IF(ORCAMENTOS!A1779="","",ORCAMENTOS!A1779)</f>
        <v>45937</v>
      </c>
      <c r="B1771" s="46">
        <f>IF(ORCAMENTOS!B1779="","",ORCAMENTOS!B1779)</f>
        <v>1769</v>
      </c>
      <c r="C1771" s="46" t="str">
        <f>IF(ORCAMENTOS!C1779="","",ORCAMENTOS!C1779)</f>
        <v/>
      </c>
      <c r="D1771" s="37" t="str">
        <f>IF(ORCAMENTOS!D1779="","",ORCAMENTOS!D1779)</f>
        <v>ISOTEMP</v>
      </c>
      <c r="E1771" s="38" t="str">
        <f>IF(ORCAMENTOS!E1779="","",ORCAMENTOS!E1779)</f>
        <v>AC CAMARGO CANCER</v>
      </c>
      <c r="F1771" s="37" t="str">
        <f>IF(ORCAMENTOS!G1779="","",ORCAMENTOS!G1779)</f>
        <v>Michel</v>
      </c>
      <c r="G1771" s="37" t="str">
        <f>IF(ORCAMENTOS!H1779="","",ORCAMENTOS!H1779)</f>
        <v>Viktor</v>
      </c>
      <c r="H1771" s="39">
        <f>IF(ORCAMENTOS!I1779="","",ORCAMENTOS!I1779)</f>
        <v>11702.29</v>
      </c>
      <c r="I1771" s="60" t="str">
        <f>IF(ORCAMENTOS!J1779="","",ORCAMENTOS!J1779)</f>
        <v/>
      </c>
      <c r="J1771" s="40" t="str">
        <f>IF(ORCAMENTOS!L1779="","",ORCAMENTOS!L1779)</f>
        <v>CANCELADO</v>
      </c>
      <c r="K1771" s="34" t="str">
        <f>IF(ORCAMENTOS!M1779="","",ORCAMENTOS!M1779)</f>
        <v>-</v>
      </c>
      <c r="L1771" t="str">
        <f>IF(ORCAMENTOS!R1779="","",ORCAMENTOS!R1779)</f>
        <v>MPU</v>
      </c>
    </row>
    <row r="1772" spans="1:12" ht="15.75" hidden="1" customHeight="1" x14ac:dyDescent="0.25">
      <c r="A1772" s="36">
        <f>IF(ORCAMENTOS!A1780="","",ORCAMENTOS!A1780)</f>
        <v>45937</v>
      </c>
      <c r="B1772" s="46">
        <f>IF(ORCAMENTOS!B1780="","",ORCAMENTOS!B1780)</f>
        <v>1770</v>
      </c>
      <c r="C1772" s="46" t="str">
        <f>IF(ORCAMENTOS!C1780="","",ORCAMENTOS!C1780)</f>
        <v>R1</v>
      </c>
      <c r="D1772" s="37" t="str">
        <f>IF(ORCAMENTOS!D1780="","",ORCAMENTOS!D1780)</f>
        <v>ISOTEMP</v>
      </c>
      <c r="E1772" s="38" t="str">
        <f>IF(ORCAMENTOS!E1780="","",ORCAMENTOS!E1780)</f>
        <v>HOSPITAL AC CAMARGO - FARMACIA CLINICA - TAMANDARE - SP</v>
      </c>
      <c r="F1772" s="37" t="str">
        <f>IF(ORCAMENTOS!G1780="","",ORCAMENTOS!G1780)</f>
        <v>Michel</v>
      </c>
      <c r="G1772" s="37" t="str">
        <f>IF(ORCAMENTOS!H1780="","",ORCAMENTOS!H1780)</f>
        <v>Viktor</v>
      </c>
      <c r="H1772" s="39">
        <f>IF(ORCAMENTOS!I1780="","",ORCAMENTOS!I1780)</f>
        <v>11939.95</v>
      </c>
      <c r="I1772" s="60">
        <f>IF(ORCAMENTOS!J1780="","",ORCAMENTOS!J1780)</f>
        <v>0.05</v>
      </c>
      <c r="J1772" s="40" t="str">
        <f>IF(ORCAMENTOS!L1780="","",ORCAMENTOS!L1780)</f>
        <v>FECHADO</v>
      </c>
      <c r="K1772" s="34" t="str">
        <f>IF(ORCAMENTOS!M1780="","",ORCAMENTOS!M1780)</f>
        <v>-</v>
      </c>
      <c r="L1772" t="str">
        <f>IF(ORCAMENTOS!R1780="","",ORCAMENTOS!R1780)</f>
        <v/>
      </c>
    </row>
    <row r="1773" spans="1:12" ht="15.75" hidden="1" customHeight="1" x14ac:dyDescent="0.25">
      <c r="A1773" s="36">
        <f>IF(ORCAMENTOS!A1781="","",ORCAMENTOS!A1781)</f>
        <v>45937</v>
      </c>
      <c r="B1773" s="46">
        <f>IF(ORCAMENTOS!B1781="","",ORCAMENTOS!B1781)</f>
        <v>1771</v>
      </c>
      <c r="C1773" s="46" t="str">
        <f>IF(ORCAMENTOS!C1781="","",ORCAMENTOS!C1781)</f>
        <v/>
      </c>
      <c r="D1773" s="37" t="str">
        <f>IF(ORCAMENTOS!D1781="","",ORCAMENTOS!D1781)</f>
        <v>M P IMPORTACAO</v>
      </c>
      <c r="E1773" s="38" t="str">
        <f>IF(ORCAMENTOS!E1781="","",ORCAMENTOS!E1781)</f>
        <v>-</v>
      </c>
      <c r="F1773" s="37" t="str">
        <f>IF(ORCAMENTOS!G1781="","",ORCAMENTOS!G1781)</f>
        <v>Fernando</v>
      </c>
      <c r="G1773" s="37" t="str">
        <f>IF(ORCAMENTOS!H1781="","",ORCAMENTOS!H1781)</f>
        <v>Marco</v>
      </c>
      <c r="H1773" s="39">
        <f>IF(ORCAMENTOS!I1781="","",ORCAMENTOS!I1781)</f>
        <v>5695.21</v>
      </c>
      <c r="I1773" s="60" t="str">
        <f>IF(ORCAMENTOS!J1781="","",ORCAMENTOS!J1781)</f>
        <v/>
      </c>
      <c r="J1773" s="40" t="str">
        <f>IF(ORCAMENTOS!L1781="","",ORCAMENTOS!L1781)</f>
        <v>FECHADO</v>
      </c>
      <c r="K1773" s="34" t="str">
        <f>IF(ORCAMENTOS!M1781="","",ORCAMENTOS!M1781)</f>
        <v>-</v>
      </c>
      <c r="L1773" t="str">
        <f>IF(ORCAMENTOS!R1781="","",ORCAMENTOS!R1781)</f>
        <v>-</v>
      </c>
    </row>
    <row r="1774" spans="1:12" ht="15.75" hidden="1" customHeight="1" x14ac:dyDescent="0.25">
      <c r="A1774" s="36">
        <f>IF(ORCAMENTOS!A1782="","",ORCAMENTOS!A1782)</f>
        <v>45937</v>
      </c>
      <c r="B1774" s="46">
        <f>IF(ORCAMENTOS!B1782="","",ORCAMENTOS!B1782)</f>
        <v>1772</v>
      </c>
      <c r="C1774" s="46" t="str">
        <f>IF(ORCAMENTOS!C1782="","",ORCAMENTOS!C1782)</f>
        <v/>
      </c>
      <c r="D1774" s="37" t="str">
        <f>IF(ORCAMENTOS!D1782="","",ORCAMENTOS!D1782)</f>
        <v>A N T REFRIGERACAO</v>
      </c>
      <c r="E1774" s="38" t="str">
        <f>IF(ORCAMENTOS!E1782="","",ORCAMENTOS!E1782)</f>
        <v>-</v>
      </c>
      <c r="F1774" s="37" t="str">
        <f>IF(ORCAMENTOS!G1782="","",ORCAMENTOS!G1782)</f>
        <v>Gabriel</v>
      </c>
      <c r="G1774" s="37" t="str">
        <f>IF(ORCAMENTOS!H1782="","",ORCAMENTOS!H1782)</f>
        <v>Pedro</v>
      </c>
      <c r="H1774" s="39">
        <f>IF(ORCAMENTOS!I1782="","",ORCAMENTOS!I1782)</f>
        <v>705.31</v>
      </c>
      <c r="I1774" s="60" t="str">
        <f>IF(ORCAMENTOS!J1782="","",ORCAMENTOS!J1782)</f>
        <v/>
      </c>
      <c r="J1774" s="40" t="str">
        <f>IF(ORCAMENTOS!L1782="","",ORCAMENTOS!L1782)</f>
        <v>CANCELADO</v>
      </c>
      <c r="K1774" s="34" t="str">
        <f>IF(ORCAMENTOS!M1782="","",ORCAMENTOS!M1782)</f>
        <v>-</v>
      </c>
      <c r="L1774" t="str">
        <f>IF(ORCAMENTOS!R1782="","",ORCAMENTOS!R1782)</f>
        <v>-</v>
      </c>
    </row>
    <row r="1775" spans="1:12" ht="15.75" hidden="1" customHeight="1" x14ac:dyDescent="0.25">
      <c r="A1775" s="36">
        <f>IF(ORCAMENTOS!A1783="","",ORCAMENTOS!A1783)</f>
        <v>45938</v>
      </c>
      <c r="B1775" s="46">
        <f>IF(ORCAMENTOS!B1783="","",ORCAMENTOS!B1783)</f>
        <v>1773</v>
      </c>
      <c r="C1775" s="46" t="str">
        <f>IF(ORCAMENTOS!C1783="","",ORCAMENTOS!C1783)</f>
        <v/>
      </c>
      <c r="D1775" s="37" t="str">
        <f>IF(ORCAMENTOS!D1783="","",ORCAMENTOS!D1783)</f>
        <v>WELLNESS</v>
      </c>
      <c r="E1775" s="38" t="str">
        <f>IF(ORCAMENTOS!E1783="","",ORCAMENTOS!E1783)</f>
        <v>-</v>
      </c>
      <c r="F1775" s="37" t="str">
        <f>IF(ORCAMENTOS!G1783="","",ORCAMENTOS!G1783)</f>
        <v>Gabriel</v>
      </c>
      <c r="G1775" s="37" t="str">
        <f>IF(ORCAMENTOS!H1783="","",ORCAMENTOS!H1783)</f>
        <v>Ivanise</v>
      </c>
      <c r="H1775" s="39">
        <f>IF(ORCAMENTOS!I1783="","",ORCAMENTOS!I1783)</f>
        <v>10844.55</v>
      </c>
      <c r="I1775" s="60" t="str">
        <f>IF(ORCAMENTOS!J1783="","",ORCAMENTOS!J1783)</f>
        <v/>
      </c>
      <c r="J1775" s="40" t="str">
        <f>IF(ORCAMENTOS!L1783="","",ORCAMENTOS!L1783)</f>
        <v>FECHADO</v>
      </c>
      <c r="K1775" s="34" t="str">
        <f>IF(ORCAMENTOS!M1783="","",ORCAMENTOS!M1783)</f>
        <v>-</v>
      </c>
      <c r="L1775" t="str">
        <f>IF(ORCAMENTOS!R1783="","",ORCAMENTOS!R1783)</f>
        <v>-</v>
      </c>
    </row>
    <row r="1776" spans="1:12" ht="15.75" hidden="1" customHeight="1" x14ac:dyDescent="0.25">
      <c r="A1776" s="36">
        <f>IF(ORCAMENTOS!A1784="","",ORCAMENTOS!A1784)</f>
        <v>45938</v>
      </c>
      <c r="B1776" s="46">
        <f>IF(ORCAMENTOS!B1784="","",ORCAMENTOS!B1784)</f>
        <v>1774</v>
      </c>
      <c r="C1776" s="46" t="str">
        <f>IF(ORCAMENTOS!C1784="","",ORCAMENTOS!C1784)</f>
        <v/>
      </c>
      <c r="D1776" s="37" t="str">
        <f>IF(ORCAMENTOS!D1784="","",ORCAMENTOS!D1784)</f>
        <v>GELOMAC</v>
      </c>
      <c r="E1776" s="38" t="str">
        <f>IF(ORCAMENTOS!E1784="","",ORCAMENTOS!E1784)</f>
        <v>-</v>
      </c>
      <c r="F1776" s="37" t="str">
        <f>IF(ORCAMENTOS!G1784="","",ORCAMENTOS!G1784)</f>
        <v>Gabriel</v>
      </c>
      <c r="G1776" s="37" t="str">
        <f>IF(ORCAMENTOS!H1784="","",ORCAMENTOS!H1784)</f>
        <v>Gabriel</v>
      </c>
      <c r="H1776" s="39">
        <f>IF(ORCAMENTOS!I1784="","",ORCAMENTOS!I1784)</f>
        <v>5827.64</v>
      </c>
      <c r="I1776" s="60" t="str">
        <f>IF(ORCAMENTOS!J1784="","",ORCAMENTOS!J1784)</f>
        <v/>
      </c>
      <c r="J1776" s="40" t="str">
        <f>IF(ORCAMENTOS!L1784="","",ORCAMENTOS!L1784)</f>
        <v>CANCELADO</v>
      </c>
      <c r="K1776" s="34" t="str">
        <f>IF(ORCAMENTOS!M1784="","",ORCAMENTOS!M1784)</f>
        <v>-</v>
      </c>
      <c r="L1776" t="str">
        <f>IF(ORCAMENTOS!R1784="","",ORCAMENTOS!R1784)</f>
        <v>-</v>
      </c>
    </row>
    <row r="1777" spans="1:12" ht="15.75" hidden="1" customHeight="1" x14ac:dyDescent="0.25">
      <c r="A1777" s="36">
        <f>IF(ORCAMENTOS!A1785="","",ORCAMENTOS!A1785)</f>
        <v>45938</v>
      </c>
      <c r="B1777" s="46">
        <f>IF(ORCAMENTOS!B1785="","",ORCAMENTOS!B1785)</f>
        <v>1775</v>
      </c>
      <c r="C1777" s="46" t="str">
        <f>IF(ORCAMENTOS!C1785="","",ORCAMENTOS!C1785)</f>
        <v/>
      </c>
      <c r="D1777" s="37" t="str">
        <f>IF(ORCAMENTOS!D1785="","",ORCAMENTOS!D1785)</f>
        <v>QUALITYNEW</v>
      </c>
      <c r="E1777" s="38" t="str">
        <f>IF(ORCAMENTOS!E1785="","",ORCAMENTOS!E1785)</f>
        <v>Flukka</v>
      </c>
      <c r="F1777" s="37" t="str">
        <f>IF(ORCAMENTOS!G1785="","",ORCAMENTOS!G1785)</f>
        <v>Emanuel</v>
      </c>
      <c r="G1777" s="37" t="str">
        <f>IF(ORCAMENTOS!H1785="","",ORCAMENTOS!H1785)</f>
        <v>Robemilson</v>
      </c>
      <c r="H1777" s="39">
        <f>IF(ORCAMENTOS!I1785="","",ORCAMENTOS!I1785)</f>
        <v>17485.98</v>
      </c>
      <c r="I1777" s="60" t="str">
        <f>IF(ORCAMENTOS!J1785="","",ORCAMENTOS!J1785)</f>
        <v/>
      </c>
      <c r="J1777" s="40" t="str">
        <f>IF(ORCAMENTOS!L1785="","",ORCAMENTOS!L1785)</f>
        <v>CANCELADO</v>
      </c>
      <c r="K1777" s="34" t="str">
        <f>IF(ORCAMENTOS!M1785="","",ORCAMENTOS!M1785)</f>
        <v>-</v>
      </c>
      <c r="L1777" t="str">
        <f>IF(ORCAMENTOS!R1785="","",ORCAMENTOS!R1785)</f>
        <v>-</v>
      </c>
    </row>
    <row r="1778" spans="1:12" ht="15.75" hidden="1" customHeight="1" x14ac:dyDescent="0.25">
      <c r="A1778" s="36">
        <f>IF(ORCAMENTOS!A1786="","",ORCAMENTOS!A1786)</f>
        <v>45938</v>
      </c>
      <c r="B1778" s="46">
        <f>IF(ORCAMENTOS!B1786="","",ORCAMENTOS!B1786)</f>
        <v>1776</v>
      </c>
      <c r="C1778" s="46" t="str">
        <f>IF(ORCAMENTOS!C1786="","",ORCAMENTOS!C1786)</f>
        <v/>
      </c>
      <c r="D1778" s="37" t="str">
        <f>IF(ORCAMENTOS!D1786="","",ORCAMENTOS!D1786)</f>
        <v>SATURNO AR</v>
      </c>
      <c r="E1778" s="38" t="str">
        <f>IF(ORCAMENTOS!E1786="","",ORCAMENTOS!E1786)</f>
        <v>ASSOCIACAO PEDAGOGICA RUDOLF STEINER - SP</v>
      </c>
      <c r="F1778" s="37" t="str">
        <f>IF(ORCAMENTOS!G1786="","",ORCAMENTOS!G1786)</f>
        <v>Gabriel</v>
      </c>
      <c r="G1778" s="37" t="str">
        <f>IF(ORCAMENTOS!H1786="","",ORCAMENTOS!H1786)</f>
        <v>Sidinei</v>
      </c>
      <c r="H1778" s="39">
        <f>IF(ORCAMENTOS!I1786="","",ORCAMENTOS!I1786)</f>
        <v>38496.32</v>
      </c>
      <c r="I1778" s="60" t="str">
        <f>IF(ORCAMENTOS!J1786="","",ORCAMENTOS!J1786)</f>
        <v/>
      </c>
      <c r="J1778" s="40" t="str">
        <f>IF(ORCAMENTOS!L1786="","",ORCAMENTOS!L1786)</f>
        <v>CANCELADO</v>
      </c>
      <c r="K1778" s="34" t="str">
        <f>IF(ORCAMENTOS!M1786="","",ORCAMENTOS!M1786)</f>
        <v/>
      </c>
      <c r="L1778" t="str">
        <f>IF(ORCAMENTOS!R1786="","",ORCAMENTOS!R1786)</f>
        <v/>
      </c>
    </row>
    <row r="1779" spans="1:12" ht="15.75" hidden="1" customHeight="1" x14ac:dyDescent="0.25">
      <c r="A1779" s="36">
        <f>IF(ORCAMENTOS!A1787="","",ORCAMENTOS!A1787)</f>
        <v>45938</v>
      </c>
      <c r="B1779" s="46">
        <f>IF(ORCAMENTOS!B1787="","",ORCAMENTOS!B1787)</f>
        <v>1777</v>
      </c>
      <c r="C1779" s="46" t="str">
        <f>IF(ORCAMENTOS!C1787="","",ORCAMENTOS!C1787)</f>
        <v/>
      </c>
      <c r="D1779" s="37" t="str">
        <f>IF(ORCAMENTOS!D1787="","",ORCAMENTOS!D1787)</f>
        <v>MACEDO AR</v>
      </c>
      <c r="E1779" s="38" t="str">
        <f>IF(ORCAMENTOS!E1787="","",ORCAMENTOS!E1787)</f>
        <v>BLUEFIT - JAC CENTRO - 1320</v>
      </c>
      <c r="F1779" s="37" t="str">
        <f>IF(ORCAMENTOS!G1787="","",ORCAMENTOS!G1787)</f>
        <v>Gabriel</v>
      </c>
      <c r="G1779" s="37" t="str">
        <f>IF(ORCAMENTOS!H1787="","",ORCAMENTOS!H1787)</f>
        <v>Jose</v>
      </c>
      <c r="H1779" s="39">
        <f>IF(ORCAMENTOS!I1787="","",ORCAMENTOS!I1787)</f>
        <v>24004.83</v>
      </c>
      <c r="I1779" s="60" t="str">
        <f>IF(ORCAMENTOS!J1787="","",ORCAMENTOS!J1787)</f>
        <v/>
      </c>
      <c r="J1779" s="40" t="str">
        <f>IF(ORCAMENTOS!L1787="","",ORCAMENTOS!L1787)</f>
        <v>CANCELADO</v>
      </c>
      <c r="K1779" s="34" t="str">
        <f>IF(ORCAMENTOS!M1787="","",ORCAMENTOS!M1787)</f>
        <v>-</v>
      </c>
      <c r="L1779" t="str">
        <f>IF(ORCAMENTOS!R1787="","",ORCAMENTOS!R1787)</f>
        <v>N/E</v>
      </c>
    </row>
    <row r="1780" spans="1:12" ht="15.75" hidden="1" customHeight="1" x14ac:dyDescent="0.25">
      <c r="A1780" s="36">
        <f>IF(ORCAMENTOS!A1788="","",ORCAMENTOS!A1788)</f>
        <v>45938</v>
      </c>
      <c r="B1780" s="46">
        <f>IF(ORCAMENTOS!B1788="","",ORCAMENTOS!B1788)</f>
        <v>1778</v>
      </c>
      <c r="C1780" s="46" t="str">
        <f>IF(ORCAMENTOS!C1788="","",ORCAMENTOS!C1788)</f>
        <v/>
      </c>
      <c r="D1780" s="37" t="str">
        <f>IF(ORCAMENTOS!D1788="","",ORCAMENTOS!D1788)</f>
        <v>AMS INSTALACOES</v>
      </c>
      <c r="E1780" s="38" t="str">
        <f>IF(ORCAMENTOS!E1788="","",ORCAMENTOS!E1788)</f>
        <v>FORT ATACADISTA 395 - SÃO FRANCISCO DO SUL - SC</v>
      </c>
      <c r="F1780" s="37" t="str">
        <f>IF(ORCAMENTOS!G1788="","",ORCAMENTOS!G1788)</f>
        <v>Gabriel</v>
      </c>
      <c r="G1780" s="37" t="str">
        <f>IF(ORCAMENTOS!H1788="","",ORCAMENTOS!H1788)</f>
        <v>Albertino</v>
      </c>
      <c r="H1780" s="39">
        <f>IF(ORCAMENTOS!I1788="","",ORCAMENTOS!I1788)</f>
        <v>4874.79</v>
      </c>
      <c r="I1780" s="60" t="str">
        <f>IF(ORCAMENTOS!J1788="","",ORCAMENTOS!J1788)</f>
        <v/>
      </c>
      <c r="J1780" s="40" t="str">
        <f>IF(ORCAMENTOS!L1788="","",ORCAMENTOS!L1788)</f>
        <v>FECHADO</v>
      </c>
      <c r="K1780" s="34" t="str">
        <f>IF(ORCAMENTOS!M1788="","",ORCAMENTOS!M1788)</f>
        <v>-</v>
      </c>
      <c r="L1780" t="str">
        <f>IF(ORCAMENTOS!R1788="","",ORCAMENTOS!R1788)</f>
        <v>MPU</v>
      </c>
    </row>
    <row r="1781" spans="1:12" ht="15.75" hidden="1" customHeight="1" x14ac:dyDescent="0.25">
      <c r="A1781" s="36">
        <f>IF(ORCAMENTOS!A1789="","",ORCAMENTOS!A1789)</f>
        <v>45938</v>
      </c>
      <c r="B1781" s="46">
        <f>IF(ORCAMENTOS!B1789="","",ORCAMENTOS!B1789)</f>
        <v>1779</v>
      </c>
      <c r="C1781" s="46" t="str">
        <f>IF(ORCAMENTOS!C1789="","",ORCAMENTOS!C1789)</f>
        <v/>
      </c>
      <c r="D1781" s="37" t="str">
        <f>IF(ORCAMENTOS!D1789="","",ORCAMENTOS!D1789)</f>
        <v>ENEBRAS</v>
      </c>
      <c r="E1781" s="38" t="str">
        <f>IF(ORCAMENTOS!E1789="","",ORCAMENTOS!E1789)</f>
        <v>HOSPITAL SAMARITANO - HIGIENOPOLIS - COM RETORNO</v>
      </c>
      <c r="F1781" s="37" t="str">
        <f>IF(ORCAMENTOS!G1789="","",ORCAMENTOS!G1789)</f>
        <v>Michel</v>
      </c>
      <c r="G1781" s="37" t="str">
        <f>IF(ORCAMENTOS!H1789="","",ORCAMENTOS!H1789)</f>
        <v>Lucas</v>
      </c>
      <c r="H1781" s="39">
        <f>IF(ORCAMENTOS!I1789="","",ORCAMENTOS!I1789)</f>
        <v>168334.48</v>
      </c>
      <c r="I1781" s="60" t="str">
        <f>IF(ORCAMENTOS!J1789="","",ORCAMENTOS!J1789)</f>
        <v/>
      </c>
      <c r="J1781" s="40" t="str">
        <f>IF(ORCAMENTOS!L1789="","",ORCAMENTOS!L1789)</f>
        <v>CANCELADO</v>
      </c>
      <c r="K1781" s="34" t="str">
        <f>IF(ORCAMENTOS!M1789="","",ORCAMENTOS!M1789)</f>
        <v>-</v>
      </c>
      <c r="L1781" t="str">
        <f>IF(ORCAMENTOS!R1789="","",ORCAMENTOS!R1789)</f>
        <v>-</v>
      </c>
    </row>
    <row r="1782" spans="1:12" ht="15.75" hidden="1" customHeight="1" x14ac:dyDescent="0.25">
      <c r="A1782" s="36">
        <f>IF(ORCAMENTOS!A1790="","",ORCAMENTOS!A1790)</f>
        <v>45938</v>
      </c>
      <c r="B1782" s="46">
        <f>IF(ORCAMENTOS!B1790="","",ORCAMENTOS!B1790)</f>
        <v>1780</v>
      </c>
      <c r="C1782" s="46" t="str">
        <f>IF(ORCAMENTOS!C1790="","",ORCAMENTOS!C1790)</f>
        <v/>
      </c>
      <c r="D1782" s="37" t="str">
        <f>IF(ORCAMENTOS!D1790="","",ORCAMENTOS!D1790)</f>
        <v>ENERGY AIR</v>
      </c>
      <c r="E1782" s="38" t="str">
        <f>IF(ORCAMENTOS!E1790="","",ORCAMENTOS!E1790)</f>
        <v>CACAU SHOW</v>
      </c>
      <c r="F1782" s="37" t="str">
        <f>IF(ORCAMENTOS!G1790="","",ORCAMENTOS!G1790)</f>
        <v xml:space="preserve">Aldavir </v>
      </c>
      <c r="G1782" s="37" t="str">
        <f>IF(ORCAMENTOS!H1790="","",ORCAMENTOS!H1790)</f>
        <v>Gustavo</v>
      </c>
      <c r="H1782" s="39">
        <f>IF(ORCAMENTOS!I1790="","",ORCAMENTOS!I1790)</f>
        <v>180052.96</v>
      </c>
      <c r="I1782" s="60" t="str">
        <f>IF(ORCAMENTOS!J1790="","",ORCAMENTOS!J1790)</f>
        <v/>
      </c>
      <c r="J1782" s="40" t="str">
        <f>IF(ORCAMENTOS!L1790="","",ORCAMENTOS!L1790)</f>
        <v>FECHADO</v>
      </c>
      <c r="K1782" s="34" t="str">
        <f>IF(ORCAMENTOS!M1790="","",ORCAMENTOS!M1790)</f>
        <v/>
      </c>
      <c r="L1782" t="str">
        <f>IF(ORCAMENTOS!R1790="","",ORCAMENTOS!R1790)</f>
        <v/>
      </c>
    </row>
    <row r="1783" spans="1:12" ht="15.75" hidden="1" customHeight="1" x14ac:dyDescent="0.25">
      <c r="A1783" s="36">
        <f>IF(ORCAMENTOS!A1791="","",ORCAMENTOS!A1791)</f>
        <v>45938</v>
      </c>
      <c r="B1783" s="46">
        <f>IF(ORCAMENTOS!B1791="","",ORCAMENTOS!B1791)</f>
        <v>1781</v>
      </c>
      <c r="C1783" s="46" t="str">
        <f>IF(ORCAMENTOS!C1791="","",ORCAMENTOS!C1791)</f>
        <v/>
      </c>
      <c r="D1783" s="37" t="str">
        <f>IF(ORCAMENTOS!D1791="","",ORCAMENTOS!D1791)</f>
        <v>INTEG MONTAGEM</v>
      </c>
      <c r="E1783" s="38" t="str">
        <f>IF(ORCAMENTOS!E1791="","",ORCAMENTOS!E1791)</f>
        <v>-</v>
      </c>
      <c r="F1783" s="37" t="str">
        <f>IF(ORCAMENTOS!G1791="","",ORCAMENTOS!G1791)</f>
        <v>Fernando</v>
      </c>
      <c r="G1783" s="37" t="str">
        <f>IF(ORCAMENTOS!H1791="","",ORCAMENTOS!H1791)</f>
        <v>Alvaro</v>
      </c>
      <c r="H1783" s="39">
        <f>IF(ORCAMENTOS!I1791="","",ORCAMENTOS!I1791)</f>
        <v>57207.47</v>
      </c>
      <c r="I1783" s="60">
        <f>IF(ORCAMENTOS!J1791="","",ORCAMENTOS!J1791)</f>
        <v>0.03</v>
      </c>
      <c r="J1783" s="40" t="str">
        <f>IF(ORCAMENTOS!L1791="","",ORCAMENTOS!L1791)</f>
        <v>FECHADO</v>
      </c>
      <c r="K1783" s="34" t="str">
        <f>IF(ORCAMENTOS!M1791="","",ORCAMENTOS!M1791)</f>
        <v>-</v>
      </c>
      <c r="L1783" t="str">
        <f>IF(ORCAMENTOS!R1791="","",ORCAMENTOS!R1791)</f>
        <v>-</v>
      </c>
    </row>
    <row r="1784" spans="1:12" ht="15.75" hidden="1" customHeight="1" x14ac:dyDescent="0.25">
      <c r="A1784" s="36">
        <f>IF(ORCAMENTOS!A1792="","",ORCAMENTOS!A1792)</f>
        <v>45939</v>
      </c>
      <c r="B1784" s="46">
        <f>IF(ORCAMENTOS!B1792="","",ORCAMENTOS!B1792)</f>
        <v>1782</v>
      </c>
      <c r="C1784" s="46" t="str">
        <f>IF(ORCAMENTOS!C1792="","",ORCAMENTOS!C1792)</f>
        <v/>
      </c>
      <c r="D1784" s="37" t="str">
        <f>IF(ORCAMENTOS!D1792="","",ORCAMENTOS!D1792)</f>
        <v>RECLIMA</v>
      </c>
      <c r="E1784" s="38" t="str">
        <f>IF(ORCAMENTOS!E1792="","",ORCAMENTOS!E1792)</f>
        <v>-</v>
      </c>
      <c r="F1784" s="37" t="str">
        <f>IF(ORCAMENTOS!G1792="","",ORCAMENTOS!G1792)</f>
        <v>Michel</v>
      </c>
      <c r="G1784" s="37" t="str">
        <f>IF(ORCAMENTOS!H1792="","",ORCAMENTOS!H1792)</f>
        <v>Renata</v>
      </c>
      <c r="H1784" s="39">
        <f>IF(ORCAMENTOS!I1792="","",ORCAMENTOS!I1792)</f>
        <v>13486.41</v>
      </c>
      <c r="I1784" s="60">
        <f>IF(ORCAMENTOS!J1792="","",ORCAMENTOS!J1792)</f>
        <v>0.05</v>
      </c>
      <c r="J1784" s="40" t="str">
        <f>IF(ORCAMENTOS!L1792="","",ORCAMENTOS!L1792)</f>
        <v>FECHADO</v>
      </c>
      <c r="K1784" s="34" t="str">
        <f>IF(ORCAMENTOS!M1792="","",ORCAMENTOS!M1792)</f>
        <v>-</v>
      </c>
      <c r="L1784" t="str">
        <f>IF(ORCAMENTOS!R1792="","",ORCAMENTOS!R1792)</f>
        <v>-</v>
      </c>
    </row>
    <row r="1785" spans="1:12" ht="15.75" hidden="1" customHeight="1" x14ac:dyDescent="0.25">
      <c r="A1785" s="36">
        <f>IF(ORCAMENTOS!A1793="","",ORCAMENTOS!A1793)</f>
        <v>45939</v>
      </c>
      <c r="B1785" s="46">
        <f>IF(ORCAMENTOS!B1793="","",ORCAMENTOS!B1793)</f>
        <v>1783</v>
      </c>
      <c r="C1785" s="46" t="str">
        <f>IF(ORCAMENTOS!C1793="","",ORCAMENTOS!C1793)</f>
        <v/>
      </c>
      <c r="D1785" s="37" t="str">
        <f>IF(ORCAMENTOS!D1793="","",ORCAMENTOS!D1793)</f>
        <v>COLDTERMICA</v>
      </c>
      <c r="E1785" s="38" t="str">
        <f>IF(ORCAMENTOS!E1793="","",ORCAMENTOS!E1793)</f>
        <v>-</v>
      </c>
      <c r="F1785" s="37" t="str">
        <f>IF(ORCAMENTOS!G1793="","",ORCAMENTOS!G1793)</f>
        <v>Gabriel</v>
      </c>
      <c r="G1785" s="37" t="str">
        <f>IF(ORCAMENTOS!H1793="","",ORCAMENTOS!H1793)</f>
        <v>Denis</v>
      </c>
      <c r="H1785" s="39">
        <f>IF(ORCAMENTOS!I1793="","",ORCAMENTOS!I1793)</f>
        <v>666.69</v>
      </c>
      <c r="I1785" s="60" t="str">
        <f>IF(ORCAMENTOS!J1793="","",ORCAMENTOS!J1793)</f>
        <v/>
      </c>
      <c r="J1785" s="40" t="str">
        <f>IF(ORCAMENTOS!L1793="","",ORCAMENTOS!L1793)</f>
        <v>FECHADO</v>
      </c>
      <c r="K1785" s="34" t="str">
        <f>IF(ORCAMENTOS!M1793="","",ORCAMENTOS!M1793)</f>
        <v>-</v>
      </c>
      <c r="L1785" t="str">
        <f>IF(ORCAMENTOS!R1793="","",ORCAMENTOS!R1793)</f>
        <v>-</v>
      </c>
    </row>
    <row r="1786" spans="1:12" ht="15.75" hidden="1" customHeight="1" x14ac:dyDescent="0.25">
      <c r="A1786" s="36">
        <f>IF(ORCAMENTOS!A1794="","",ORCAMENTOS!A1794)</f>
        <v>45939</v>
      </c>
      <c r="B1786" s="46">
        <f>IF(ORCAMENTOS!B1794="","",ORCAMENTOS!B1794)</f>
        <v>1784</v>
      </c>
      <c r="C1786" s="46" t="str">
        <f>IF(ORCAMENTOS!C1794="","",ORCAMENTOS!C1794)</f>
        <v/>
      </c>
      <c r="D1786" s="37" t="str">
        <f>IF(ORCAMENTOS!D1794="","",ORCAMENTOS!D1794)</f>
        <v>AIR NET</v>
      </c>
      <c r="E1786" s="38" t="str">
        <f>IF(ORCAMENTOS!E1794="","",ORCAMENTOS!E1794)</f>
        <v>TES - TERMINAL EXPORTADOR DE SANTOS</v>
      </c>
      <c r="F1786" s="37" t="str">
        <f>IF(ORCAMENTOS!G1794="","",ORCAMENTOS!G1794)</f>
        <v>Fernando</v>
      </c>
      <c r="G1786" s="37" t="str">
        <f>IF(ORCAMENTOS!H1794="","",ORCAMENTOS!H1794)</f>
        <v>Maria</v>
      </c>
      <c r="H1786" s="39">
        <f>IF(ORCAMENTOS!I1794="","",ORCAMENTOS!I1794)</f>
        <v>26919.89</v>
      </c>
      <c r="I1786" s="60">
        <f>IF(ORCAMENTOS!J1794="","",ORCAMENTOS!J1794)</f>
        <v>7.0000000000000007E-2</v>
      </c>
      <c r="J1786" s="40" t="str">
        <f>IF(ORCAMENTOS!L1794="","",ORCAMENTOS!L1794)</f>
        <v>CANCELADO</v>
      </c>
      <c r="K1786" s="34" t="str">
        <f>IF(ORCAMENTOS!M1794="","",ORCAMENTOS!M1794)</f>
        <v>BOAS CHANCES</v>
      </c>
      <c r="L1786" t="str">
        <f>IF(ORCAMENTOS!R1794="","",ORCAMENTOS!R1794)</f>
        <v>CHAPA DE ACO GALVANIZADO</v>
      </c>
    </row>
    <row r="1787" spans="1:12" ht="15.75" hidden="1" customHeight="1" x14ac:dyDescent="0.25">
      <c r="A1787" s="36">
        <f>IF(ORCAMENTOS!A1795="","",ORCAMENTOS!A1795)</f>
        <v>45939</v>
      </c>
      <c r="B1787" s="46">
        <f>IF(ORCAMENTOS!B1795="","",ORCAMENTOS!B1795)</f>
        <v>1785</v>
      </c>
      <c r="C1787" s="46" t="str">
        <f>IF(ORCAMENTOS!C1795="","",ORCAMENTOS!C1795)</f>
        <v/>
      </c>
      <c r="D1787" s="37" t="str">
        <f>IF(ORCAMENTOS!D1795="","",ORCAMENTOS!D1795)</f>
        <v>NOSSO AR</v>
      </c>
      <c r="E1787" s="38" t="str">
        <f>IF(ORCAMENTOS!E1795="","",ORCAMENTOS!E1795)</f>
        <v>PAGUE MENOS</v>
      </c>
      <c r="F1787" s="37" t="str">
        <f>IF(ORCAMENTOS!G1795="","",ORCAMENTOS!G1795)</f>
        <v>Gabriel</v>
      </c>
      <c r="G1787" s="37" t="str">
        <f>IF(ORCAMENTOS!H1795="","",ORCAMENTOS!H1795)</f>
        <v>Lincoln</v>
      </c>
      <c r="H1787" s="39">
        <f>IF(ORCAMENTOS!I1795="","",ORCAMENTOS!I1795)</f>
        <v>544071.06000000006</v>
      </c>
      <c r="I1787" s="60">
        <f>IF(ORCAMENTOS!J1795="","",ORCAMENTOS!J1795)</f>
        <v>0.05</v>
      </c>
      <c r="J1787" s="40" t="str">
        <f>IF(ORCAMENTOS!L1795="","",ORCAMENTOS!L1795)</f>
        <v>CANCELADO</v>
      </c>
      <c r="K1787" s="34" t="str">
        <f>IF(ORCAMENTOS!M1795="","",ORCAMENTOS!M1795)</f>
        <v>-</v>
      </c>
      <c r="L1787" t="str">
        <f>IF(ORCAMENTOS!R1795="","",ORCAMENTOS!R1795)</f>
        <v>-</v>
      </c>
    </row>
    <row r="1788" spans="1:12" ht="15.75" hidden="1" customHeight="1" x14ac:dyDescent="0.25">
      <c r="A1788" s="36">
        <f>IF(ORCAMENTOS!A1796="","",ORCAMENTOS!A1796)</f>
        <v>45939</v>
      </c>
      <c r="B1788" s="46">
        <f>IF(ORCAMENTOS!B1796="","",ORCAMENTOS!B1796)</f>
        <v>1786</v>
      </c>
      <c r="C1788" s="46" t="str">
        <f>IF(ORCAMENTOS!C1796="","",ORCAMENTOS!C1796)</f>
        <v/>
      </c>
      <c r="D1788" s="37" t="str">
        <f>IF(ORCAMENTOS!D1796="","",ORCAMENTOS!D1796)</f>
        <v>WELLNESS</v>
      </c>
      <c r="E1788" s="38" t="str">
        <f>IF(ORCAMENTOS!E1796="","",ORCAMENTOS!E1796)</f>
        <v>-</v>
      </c>
      <c r="F1788" s="37" t="str">
        <f>IF(ORCAMENTOS!G1796="","",ORCAMENTOS!G1796)</f>
        <v>Gabriel</v>
      </c>
      <c r="G1788" s="37" t="str">
        <f>IF(ORCAMENTOS!H1796="","",ORCAMENTOS!H1796)</f>
        <v>Ivanise</v>
      </c>
      <c r="H1788" s="39">
        <f>IF(ORCAMENTOS!I1796="","",ORCAMENTOS!I1796)</f>
        <v>9248.93</v>
      </c>
      <c r="I1788" s="60">
        <f>IF(ORCAMENTOS!J1796="","",ORCAMENTOS!J1796)</f>
        <v>0.05</v>
      </c>
      <c r="J1788" s="40" t="str">
        <f>IF(ORCAMENTOS!L1796="","",ORCAMENTOS!L1796)</f>
        <v>FECHADO</v>
      </c>
      <c r="K1788" s="34" t="str">
        <f>IF(ORCAMENTOS!M1796="","",ORCAMENTOS!M1796)</f>
        <v>-</v>
      </c>
      <c r="L1788" t="str">
        <f>IF(ORCAMENTOS!R1796="","",ORCAMENTOS!R1796)</f>
        <v>-</v>
      </c>
    </row>
    <row r="1789" spans="1:12" ht="15.75" hidden="1" customHeight="1" x14ac:dyDescent="0.25">
      <c r="A1789" s="36">
        <f>IF(ORCAMENTOS!A1797="","",ORCAMENTOS!A1797)</f>
        <v>45939</v>
      </c>
      <c r="B1789" s="46">
        <f>IF(ORCAMENTOS!B1797="","",ORCAMENTOS!B1797)</f>
        <v>1787</v>
      </c>
      <c r="C1789" s="46" t="str">
        <f>IF(ORCAMENTOS!C1797="","",ORCAMENTOS!C1797)</f>
        <v/>
      </c>
      <c r="D1789" s="37" t="str">
        <f>IF(ORCAMENTOS!D1797="","",ORCAMENTOS!D1797)</f>
        <v>CLIMAPALA</v>
      </c>
      <c r="E1789" s="38" t="str">
        <f>IF(ORCAMENTOS!E1797="","",ORCAMENTOS!E1797)</f>
        <v>ESCRITORIO MADEIRA MADEIRA - CURITIBA - PR</v>
      </c>
      <c r="F1789" s="37" t="str">
        <f>IF(ORCAMENTOS!G1797="","",ORCAMENTOS!G1797)</f>
        <v>Michel</v>
      </c>
      <c r="G1789" s="37" t="str">
        <f>IF(ORCAMENTOS!H1797="","",ORCAMENTOS!H1797)</f>
        <v>Marcio</v>
      </c>
      <c r="H1789" s="39">
        <f>IF(ORCAMENTOS!I1797="","",ORCAMENTOS!I1797)</f>
        <v>17577.919999999998</v>
      </c>
      <c r="I1789" s="60">
        <f>IF(ORCAMENTOS!J1797="","",ORCAMENTOS!J1797)</f>
        <v>7.0000000000000007E-2</v>
      </c>
      <c r="J1789" s="40" t="str">
        <f>IF(ORCAMENTOS!L1797="","",ORCAMENTOS!L1797)</f>
        <v>CANCELADO</v>
      </c>
      <c r="K1789" s="34" t="str">
        <f>IF(ORCAMENTOS!M1797="","",ORCAMENTOS!M1797)</f>
        <v>-</v>
      </c>
      <c r="L1789" t="str">
        <f>IF(ORCAMENTOS!R1797="","",ORCAMENTOS!R1797)</f>
        <v>-</v>
      </c>
    </row>
    <row r="1790" spans="1:12" ht="15.75" hidden="1" customHeight="1" x14ac:dyDescent="0.25">
      <c r="A1790" s="36">
        <f>IF(ORCAMENTOS!A1798="","",ORCAMENTOS!A1798)</f>
        <v>45939</v>
      </c>
      <c r="B1790" s="46">
        <f>IF(ORCAMENTOS!B1798="","",ORCAMENTOS!B1798)</f>
        <v>1788</v>
      </c>
      <c r="C1790" s="46" t="str">
        <f>IF(ORCAMENTOS!C1798="","",ORCAMENTOS!C1798)</f>
        <v/>
      </c>
      <c r="D1790" s="37" t="str">
        <f>IF(ORCAMENTOS!D1798="","",ORCAMENTOS!D1798)</f>
        <v>CLIMAARC</v>
      </c>
      <c r="E1790" s="38" t="str">
        <f>IF(ORCAMENTOS!E1798="","",ORCAMENTOS!E1798)</f>
        <v>LNBR – LABORATÓRIO NACIONAL DE BIORRENOVÁVEIS - CAMPINAS - SP</v>
      </c>
      <c r="F1790" s="37" t="str">
        <f>IF(ORCAMENTOS!G1798="","",ORCAMENTOS!G1798)</f>
        <v xml:space="preserve">Aldavir </v>
      </c>
      <c r="G1790" s="37" t="str">
        <f>IF(ORCAMENTOS!H1798="","",ORCAMENTOS!H1798)</f>
        <v>Vilma</v>
      </c>
      <c r="H1790" s="39">
        <f>IF(ORCAMENTOS!I1798="","",ORCAMENTOS!I1798)</f>
        <v>26148.880000000001</v>
      </c>
      <c r="I1790" s="60">
        <f>IF(ORCAMENTOS!J1798="","",ORCAMENTOS!J1798)</f>
        <v>7.0000000000000007E-2</v>
      </c>
      <c r="J1790" s="40" t="str">
        <f>IF(ORCAMENTOS!L1798="","",ORCAMENTOS!L1798)</f>
        <v>CANCELADO</v>
      </c>
      <c r="K1790" s="34" t="str">
        <f>IF(ORCAMENTOS!M1798="","",ORCAMENTOS!M1798)</f>
        <v>BOAS CHANCES</v>
      </c>
      <c r="L1790" t="str">
        <f>IF(ORCAMENTOS!R1798="","",ORCAMENTOS!R1798)</f>
        <v>-</v>
      </c>
    </row>
    <row r="1791" spans="1:12" ht="15.75" hidden="1" customHeight="1" x14ac:dyDescent="0.25">
      <c r="A1791" s="36">
        <f>IF(ORCAMENTOS!A1799="","",ORCAMENTOS!A1799)</f>
        <v>45940</v>
      </c>
      <c r="B1791" s="46">
        <f>IF(ORCAMENTOS!B1799="","",ORCAMENTOS!B1799)</f>
        <v>1789</v>
      </c>
      <c r="C1791" s="46" t="str">
        <f>IF(ORCAMENTOS!C1799="","",ORCAMENTOS!C1799)</f>
        <v>R2</v>
      </c>
      <c r="D1791" s="37" t="str">
        <f>IF(ORCAMENTOS!D1799="","",ORCAMENTOS!D1799)</f>
        <v>AFTERMICA</v>
      </c>
      <c r="E1791" s="38" t="str">
        <f>IF(ORCAMENTOS!E1799="","",ORCAMENTOS!E1799)</f>
        <v>BIO RITMO - PACAEMBU - SP</v>
      </c>
      <c r="F1791" s="37" t="str">
        <f>IF(ORCAMENTOS!G1799="","",ORCAMENTOS!G1799)</f>
        <v>Fernando</v>
      </c>
      <c r="G1791" s="37" t="str">
        <f>IF(ORCAMENTOS!H1799="","",ORCAMENTOS!H1799)</f>
        <v>Andre</v>
      </c>
      <c r="H1791" s="39">
        <f>IF(ORCAMENTOS!I1799="","",ORCAMENTOS!I1799)</f>
        <v>49176.24</v>
      </c>
      <c r="I1791" s="60">
        <f>IF(ORCAMENTOS!J1799="","",ORCAMENTOS!J1799)</f>
        <v>0.03</v>
      </c>
      <c r="J1791" s="40" t="str">
        <f>IF(ORCAMENTOS!L1799="","",ORCAMENTOS!L1799)</f>
        <v>FECHADO</v>
      </c>
      <c r="K1791" s="34" t="str">
        <f>IF(ORCAMENTOS!M1799="","",ORCAMENTOS!M1799)</f>
        <v>AGUARDANDO PEDIDO</v>
      </c>
      <c r="L1791" t="str">
        <f>IF(ORCAMENTOS!R1799="","",ORCAMENTOS!R1799)</f>
        <v>-</v>
      </c>
    </row>
    <row r="1792" spans="1:12" ht="15.75" hidden="1" customHeight="1" x14ac:dyDescent="0.25">
      <c r="A1792" s="36">
        <f>IF(ORCAMENTOS!A1800="","",ORCAMENTOS!A1800)</f>
        <v>45940</v>
      </c>
      <c r="B1792" s="46">
        <f>IF(ORCAMENTOS!B1800="","",ORCAMENTOS!B1800)</f>
        <v>1790</v>
      </c>
      <c r="C1792" s="46" t="str">
        <f>IF(ORCAMENTOS!C1800="","",ORCAMENTOS!C1800)</f>
        <v>R1</v>
      </c>
      <c r="D1792" s="37" t="str">
        <f>IF(ORCAMENTOS!D1800="","",ORCAMENTOS!D1800)</f>
        <v>K SET</v>
      </c>
      <c r="E1792" s="38" t="str">
        <f>IF(ORCAMENTOS!E1800="","",ORCAMENTOS!E1800)</f>
        <v>-</v>
      </c>
      <c r="F1792" s="37" t="str">
        <f>IF(ORCAMENTOS!G1800="","",ORCAMENTOS!G1800)</f>
        <v>Gabriel</v>
      </c>
      <c r="G1792" s="37" t="str">
        <f>IF(ORCAMENTOS!H1800="","",ORCAMENTOS!H1800)</f>
        <v>Bruna</v>
      </c>
      <c r="H1792" s="39">
        <f>IF(ORCAMENTOS!I1800="","",ORCAMENTOS!I1800)</f>
        <v>1809.15</v>
      </c>
      <c r="I1792" s="60">
        <f>IF(ORCAMENTOS!J1800="","",ORCAMENTOS!J1800)</f>
        <v>7.0000000000000007E-2</v>
      </c>
      <c r="J1792" s="40" t="str">
        <f>IF(ORCAMENTOS!L1800="","",ORCAMENTOS!L1800)</f>
        <v>FECHADO</v>
      </c>
      <c r="K1792" s="34" t="str">
        <f>IF(ORCAMENTOS!M1800="","",ORCAMENTOS!M1800)</f>
        <v>-</v>
      </c>
      <c r="L1792" t="str">
        <f>IF(ORCAMENTOS!R1800="","",ORCAMENTOS!R1800)</f>
        <v>-</v>
      </c>
    </row>
    <row r="1793" spans="1:12" ht="15.75" hidden="1" customHeight="1" x14ac:dyDescent="0.25">
      <c r="A1793" s="36">
        <f>IF(ORCAMENTOS!A1801="","",ORCAMENTOS!A1801)</f>
        <v>45940</v>
      </c>
      <c r="B1793" s="46">
        <f>IF(ORCAMENTOS!B1801="","",ORCAMENTOS!B1801)</f>
        <v>1791</v>
      </c>
      <c r="C1793" s="46" t="str">
        <f>IF(ORCAMENTOS!C1801="","",ORCAMENTOS!C1801)</f>
        <v/>
      </c>
      <c r="D1793" s="37" t="str">
        <f>IF(ORCAMENTOS!D1801="","",ORCAMENTOS!D1801)</f>
        <v>AR SISTEMAS</v>
      </c>
      <c r="E1793" s="38" t="str">
        <f>IF(ORCAMENTOS!E1801="","",ORCAMENTOS!E1801)</f>
        <v>HOSPITAL SÃO LUIZ - OSASCO - 7ºPAVIMENTO</v>
      </c>
      <c r="F1793" s="37" t="str">
        <f>IF(ORCAMENTOS!G1801="","",ORCAMENTOS!G1801)</f>
        <v>Gabriel</v>
      </c>
      <c r="G1793" s="37" t="str">
        <f>IF(ORCAMENTOS!H1801="","",ORCAMENTOS!H1801)</f>
        <v>Anderson</v>
      </c>
      <c r="H1793" s="39">
        <f>IF(ORCAMENTOS!I1801="","",ORCAMENTOS!I1801)</f>
        <v>34936.910000000003</v>
      </c>
      <c r="I1793" s="60">
        <f>IF(ORCAMENTOS!J1801="","",ORCAMENTOS!J1801)</f>
        <v>7.0000000000000007E-2</v>
      </c>
      <c r="J1793" s="40" t="str">
        <f>IF(ORCAMENTOS!L1801="","",ORCAMENTOS!L1801)</f>
        <v>CANCELADO</v>
      </c>
      <c r="K1793" s="34" t="str">
        <f>IF(ORCAMENTOS!M1801="","",ORCAMENTOS!M1801)</f>
        <v>-</v>
      </c>
      <c r="L1793" t="str">
        <f>IF(ORCAMENTOS!R1801="","",ORCAMENTOS!R1801)</f>
        <v>-</v>
      </c>
    </row>
    <row r="1794" spans="1:12" ht="15.75" hidden="1" customHeight="1" x14ac:dyDescent="0.25">
      <c r="A1794" s="36">
        <f>IF(ORCAMENTOS!A1802="","",ORCAMENTOS!A1802)</f>
        <v>45940</v>
      </c>
      <c r="B1794" s="46">
        <f>IF(ORCAMENTOS!B1802="","",ORCAMENTOS!B1802)</f>
        <v>1792</v>
      </c>
      <c r="C1794" s="46" t="str">
        <f>IF(ORCAMENTOS!C1802="","",ORCAMENTOS!C1802)</f>
        <v>R2</v>
      </c>
      <c r="D1794" s="37" t="str">
        <f>IF(ORCAMENTOS!D1802="","",ORCAMENTOS!D1802)</f>
        <v>EKO CLIMAX</v>
      </c>
      <c r="E1794" s="38" t="str">
        <f>IF(ORCAMENTOS!E1802="","",ORCAMENTOS!E1802)</f>
        <v>-</v>
      </c>
      <c r="F1794" s="37" t="str">
        <f>IF(ORCAMENTOS!G1802="","",ORCAMENTOS!G1802)</f>
        <v>Michel</v>
      </c>
      <c r="G1794" s="37" t="str">
        <f>IF(ORCAMENTOS!H1802="","",ORCAMENTOS!H1802)</f>
        <v>Rogerio</v>
      </c>
      <c r="H1794" s="39">
        <f>IF(ORCAMENTOS!I1802="","",ORCAMENTOS!I1802)</f>
        <v>5109.37</v>
      </c>
      <c r="I1794" s="60">
        <f>IF(ORCAMENTOS!J1802="","",ORCAMENTOS!J1802)</f>
        <v>0.05</v>
      </c>
      <c r="J1794" s="40" t="str">
        <f>IF(ORCAMENTOS!L1802="","",ORCAMENTOS!L1802)</f>
        <v>FECHADO</v>
      </c>
      <c r="K1794" s="34" t="str">
        <f>IF(ORCAMENTOS!M1802="","",ORCAMENTOS!M1802)</f>
        <v>-</v>
      </c>
      <c r="L1794" t="str">
        <f>IF(ORCAMENTOS!R1802="","",ORCAMENTOS!R1802)</f>
        <v>-</v>
      </c>
    </row>
    <row r="1795" spans="1:12" ht="15.75" hidden="1" customHeight="1" x14ac:dyDescent="0.25">
      <c r="A1795" s="36">
        <f>IF(ORCAMENTOS!A1803="","",ORCAMENTOS!A1803)</f>
        <v>45944</v>
      </c>
      <c r="B1795" s="46">
        <f>IF(ORCAMENTOS!B1803="","",ORCAMENTOS!B1803)</f>
        <v>1793</v>
      </c>
      <c r="C1795" s="46" t="str">
        <f>IF(ORCAMENTOS!C1803="","",ORCAMENTOS!C1803)</f>
        <v>R1</v>
      </c>
      <c r="D1795" s="37" t="str">
        <f>IF(ORCAMENTOS!D1803="","",ORCAMENTOS!D1803)</f>
        <v>FULL SERVICE</v>
      </c>
      <c r="E1795" s="38" t="str">
        <f>IF(ORCAMENTOS!E1803="","",ORCAMENTOS!E1803)</f>
        <v>STUDIO GABRIEL</v>
      </c>
      <c r="F1795" s="37" t="str">
        <f>IF(ORCAMENTOS!G1803="","",ORCAMENTOS!G1803)</f>
        <v>Fernando</v>
      </c>
      <c r="G1795" s="37" t="str">
        <f>IF(ORCAMENTOS!H1803="","",ORCAMENTOS!H1803)</f>
        <v>Wander</v>
      </c>
      <c r="H1795" s="39">
        <f>IF(ORCAMENTOS!I1803="","",ORCAMENTOS!I1803)</f>
        <v>16461.78</v>
      </c>
      <c r="I1795" s="60">
        <f>IF(ORCAMENTOS!J1803="","",ORCAMENTOS!J1803)</f>
        <v>0.04</v>
      </c>
      <c r="J1795" s="40" t="str">
        <f>IF(ORCAMENTOS!L1803="","",ORCAMENTOS!L1803)</f>
        <v>FECHADO</v>
      </c>
      <c r="K1795" s="34" t="str">
        <f>IF(ORCAMENTOS!M1803="","",ORCAMENTOS!M1803)</f>
        <v>PREV. NOVEMBRO</v>
      </c>
      <c r="L1795" t="str">
        <f>IF(ORCAMENTOS!R1803="","",ORCAMENTOS!R1803)</f>
        <v>-</v>
      </c>
    </row>
    <row r="1796" spans="1:12" ht="15.75" hidden="1" customHeight="1" x14ac:dyDescent="0.25">
      <c r="A1796" s="36">
        <f>IF(ORCAMENTOS!A1804="","",ORCAMENTOS!A1804)</f>
        <v>45940</v>
      </c>
      <c r="B1796" s="46">
        <f>IF(ORCAMENTOS!B1804="","",ORCAMENTOS!B1804)</f>
        <v>1794</v>
      </c>
      <c r="C1796" s="46" t="str">
        <f>IF(ORCAMENTOS!C1804="","",ORCAMENTOS!C1804)</f>
        <v>-</v>
      </c>
      <c r="D1796" s="37" t="str">
        <f>IF(ORCAMENTOS!D1804="","",ORCAMENTOS!D1804)</f>
        <v>AWA AR CONDICIONADO</v>
      </c>
      <c r="E1796" s="38" t="str">
        <f>IF(ORCAMENTOS!E1804="","",ORCAMENTOS!E1804)</f>
        <v>VILLEFORT BH - SANTA LUZIA</v>
      </c>
      <c r="F1796" s="37" t="str">
        <f>IF(ORCAMENTOS!G1804="","",ORCAMENTOS!G1804)</f>
        <v>Guilherme</v>
      </c>
      <c r="G1796" s="37" t="str">
        <f>IF(ORCAMENTOS!H1804="","",ORCAMENTOS!H1804)</f>
        <v>Gustavo</v>
      </c>
      <c r="H1796" s="39">
        <f>IF(ORCAMENTOS!I1804="","",ORCAMENTOS!I1804)</f>
        <v>16429.04</v>
      </c>
      <c r="I1796" s="60">
        <f>IF(ORCAMENTOS!J1804="","",ORCAMENTOS!J1804)</f>
        <v>7.0000000000000007E-2</v>
      </c>
      <c r="J1796" s="40" t="str">
        <f>IF(ORCAMENTOS!L1804="","",ORCAMENTOS!L1804)</f>
        <v>CANCELADO</v>
      </c>
      <c r="K1796" s="34" t="str">
        <f>IF(ORCAMENTOS!M1804="","",ORCAMENTOS!M1804)</f>
        <v>BOAS CHANCES - PREV. JAN/26</v>
      </c>
      <c r="L1796" t="str">
        <f>IF(ORCAMENTOS!R1804="","",ORCAMENTOS!R1804)</f>
        <v>-</v>
      </c>
    </row>
    <row r="1797" spans="1:12" ht="15.75" hidden="1" customHeight="1" x14ac:dyDescent="0.25">
      <c r="A1797" s="36">
        <f>IF(ORCAMENTOS!A1805="","",ORCAMENTOS!A1805)</f>
        <v>45940</v>
      </c>
      <c r="B1797" s="46">
        <f>IF(ORCAMENTOS!B1805="","",ORCAMENTOS!B1805)</f>
        <v>1795</v>
      </c>
      <c r="C1797" s="46" t="str">
        <f>IF(ORCAMENTOS!C1805="","",ORCAMENTOS!C1805)</f>
        <v/>
      </c>
      <c r="D1797" s="37" t="str">
        <f>IF(ORCAMENTOS!D1805="","",ORCAMENTOS!D1805)</f>
        <v>AWA AR CONDICIONADO</v>
      </c>
      <c r="E1797" s="38" t="str">
        <f>IF(ORCAMENTOS!E1805="","",ORCAMENTOS!E1805)</f>
        <v>RENNER PATIO CENTRAL</v>
      </c>
      <c r="F1797" s="37" t="str">
        <f>IF(ORCAMENTOS!G1805="","",ORCAMENTOS!G1805)</f>
        <v>Guilherme</v>
      </c>
      <c r="G1797" s="37" t="str">
        <f>IF(ORCAMENTOS!H1805="","",ORCAMENTOS!H1805)</f>
        <v>Marcela</v>
      </c>
      <c r="H1797" s="39">
        <f>IF(ORCAMENTOS!I1805="","",ORCAMENTOS!I1805)</f>
        <v>1088.32</v>
      </c>
      <c r="I1797" s="60">
        <f>IF(ORCAMENTOS!J1805="","",ORCAMENTOS!J1805)</f>
        <v>7.0000000000000007E-2</v>
      </c>
      <c r="J1797" s="40" t="str">
        <f>IF(ORCAMENTOS!L1805="","",ORCAMENTOS!L1805)</f>
        <v>PERDIDO</v>
      </c>
      <c r="K1797" s="34" t="str">
        <f>IF(ORCAMENTOS!M1805="","",ORCAMENTOS!M1805)</f>
        <v>FECHADO MULTIVAC</v>
      </c>
      <c r="L1797" t="str">
        <f>IF(ORCAMENTOS!R1805="","",ORCAMENTOS!R1805)</f>
        <v>-</v>
      </c>
    </row>
    <row r="1798" spans="1:12" ht="15.75" hidden="1" customHeight="1" x14ac:dyDescent="0.25">
      <c r="A1798" s="36">
        <f>IF(ORCAMENTOS!A1806="","",ORCAMENTOS!A1806)</f>
        <v>45940</v>
      </c>
      <c r="B1798" s="46">
        <f>IF(ORCAMENTOS!B1806="","",ORCAMENTOS!B1806)</f>
        <v>1796</v>
      </c>
      <c r="C1798" s="46" t="str">
        <f>IF(ORCAMENTOS!C1806="","",ORCAMENTOS!C1806)</f>
        <v/>
      </c>
      <c r="D1798" s="37" t="str">
        <f>IF(ORCAMENTOS!D1806="","",ORCAMENTOS!D1806)</f>
        <v>DUTOPLAN</v>
      </c>
      <c r="E1798" s="38" t="str">
        <f>IF(ORCAMENTOS!E1806="","",ORCAMENTOS!E1806)</f>
        <v>-</v>
      </c>
      <c r="F1798" s="37" t="str">
        <f>IF(ORCAMENTOS!G1806="","",ORCAMENTOS!G1806)</f>
        <v>Gabriel</v>
      </c>
      <c r="G1798" s="37" t="str">
        <f>IF(ORCAMENTOS!H1806="","",ORCAMENTOS!H1806)</f>
        <v>Valmy</v>
      </c>
      <c r="H1798" s="39">
        <f>IF(ORCAMENTOS!I1806="","",ORCAMENTOS!I1806)</f>
        <v>8935.67</v>
      </c>
      <c r="I1798" s="60">
        <f>IF(ORCAMENTOS!J1806="","",ORCAMENTOS!J1806)</f>
        <v>7.0000000000000007E-2</v>
      </c>
      <c r="J1798" s="40" t="str">
        <f>IF(ORCAMENTOS!L1806="","",ORCAMENTOS!L1806)</f>
        <v>FECHADO</v>
      </c>
      <c r="K1798" s="34" t="str">
        <f>IF(ORCAMENTOS!M1806="","",ORCAMENTOS!M1806)</f>
        <v>-</v>
      </c>
      <c r="L1798" t="str">
        <f>IF(ORCAMENTOS!R1806="","",ORCAMENTOS!R1806)</f>
        <v>-</v>
      </c>
    </row>
    <row r="1799" spans="1:12" ht="15.75" hidden="1" customHeight="1" x14ac:dyDescent="0.25">
      <c r="A1799" s="36">
        <f>IF(ORCAMENTOS!A1807="","",ORCAMENTOS!A1807)</f>
        <v>45940</v>
      </c>
      <c r="B1799" s="46">
        <f>IF(ORCAMENTOS!B1807="","",ORCAMENTOS!B1807)</f>
        <v>1797</v>
      </c>
      <c r="C1799" s="46" t="str">
        <f>IF(ORCAMENTOS!C1807="","",ORCAMENTOS!C1807)</f>
        <v>R1</v>
      </c>
      <c r="D1799" s="37" t="str">
        <f>IF(ORCAMENTOS!D1807="","",ORCAMENTOS!D1807)</f>
        <v>NEWSET</v>
      </c>
      <c r="E1799" s="38" t="str">
        <f>IF(ORCAMENTOS!E1807="","",ORCAMENTOS!E1807)</f>
        <v>LIEHBERR - NOVO GALPAO</v>
      </c>
      <c r="F1799" s="37" t="str">
        <f>IF(ORCAMENTOS!G1807="","",ORCAMENTOS!G1807)</f>
        <v xml:space="preserve">Aldavir </v>
      </c>
      <c r="G1799" s="37" t="str">
        <f>IF(ORCAMENTOS!H1807="","",ORCAMENTOS!H1807)</f>
        <v>Atila</v>
      </c>
      <c r="H1799" s="39">
        <f>IF(ORCAMENTOS!I1807="","",ORCAMENTOS!I1807)</f>
        <v>225680.57</v>
      </c>
      <c r="I1799" s="60">
        <f>IF(ORCAMENTOS!J1807="","",ORCAMENTOS!J1807)</f>
        <v>0.05</v>
      </c>
      <c r="J1799" s="40" t="str">
        <f>IF(ORCAMENTOS!L1807="","",ORCAMENTOS!L1807)</f>
        <v>CANCELADO</v>
      </c>
      <c r="K1799" s="34" t="str">
        <f>IF(ORCAMENTOS!M1807="","",ORCAMENTOS!M1807)</f>
        <v>-</v>
      </c>
      <c r="L1799" t="str">
        <f>IF(ORCAMENTOS!R1807="","",ORCAMENTOS!R1807)</f>
        <v>-</v>
      </c>
    </row>
    <row r="1800" spans="1:12" ht="15.75" hidden="1" customHeight="1" x14ac:dyDescent="0.25">
      <c r="A1800" s="36">
        <f>IF(ORCAMENTOS!A1808="","",ORCAMENTOS!A1808)</f>
        <v>45943</v>
      </c>
      <c r="B1800" s="46">
        <f>IF(ORCAMENTOS!B1808="","",ORCAMENTOS!B1808)</f>
        <v>1798</v>
      </c>
      <c r="C1800" s="46" t="str">
        <f>IF(ORCAMENTOS!C1808="","",ORCAMENTOS!C1808)</f>
        <v/>
      </c>
      <c r="D1800" s="37" t="str">
        <f>IF(ORCAMENTOS!D1808="","",ORCAMENTOS!D1808)</f>
        <v>SESIL AR</v>
      </c>
      <c r="E1800" s="38" t="str">
        <f>IF(ORCAMENTOS!E1808="","",ORCAMENTOS!E1808)</f>
        <v>SMARTFIT MAIRIPORÃ - COMPLEMENTO</v>
      </c>
      <c r="F1800" s="37" t="str">
        <f>IF(ORCAMENTOS!G1808="","",ORCAMENTOS!G1808)</f>
        <v>Fernando</v>
      </c>
      <c r="G1800" s="37" t="str">
        <f>IF(ORCAMENTOS!H1808="","",ORCAMENTOS!H1808)</f>
        <v>Elisangela</v>
      </c>
      <c r="H1800" s="39">
        <f>IF(ORCAMENTOS!I1808="","",ORCAMENTOS!I1808)</f>
        <v>3551.99</v>
      </c>
      <c r="I1800" s="60">
        <f>IF(ORCAMENTOS!J1808="","",ORCAMENTOS!J1808)</f>
        <v>7.0000000000000007E-2</v>
      </c>
      <c r="J1800" s="40" t="str">
        <f>IF(ORCAMENTOS!L1808="","",ORCAMENTOS!L1808)</f>
        <v>FECHADO</v>
      </c>
      <c r="K1800" s="34" t="str">
        <f>IF(ORCAMENTOS!M1808="","",ORCAMENTOS!M1808)</f>
        <v>PREV. NOVEMBRO</v>
      </c>
      <c r="L1800" t="str">
        <f>IF(ORCAMENTOS!R1808="","",ORCAMENTOS!R1808)</f>
        <v>-</v>
      </c>
    </row>
    <row r="1801" spans="1:12" ht="15.75" hidden="1" customHeight="1" x14ac:dyDescent="0.25">
      <c r="A1801" s="36">
        <f>IF(ORCAMENTOS!A1809="","",ORCAMENTOS!A1809)</f>
        <v>45943</v>
      </c>
      <c r="B1801" s="46">
        <f>IF(ORCAMENTOS!B1809="","",ORCAMENTOS!B1809)</f>
        <v>1799</v>
      </c>
      <c r="C1801" s="46" t="str">
        <f>IF(ORCAMENTOS!C1809="","",ORCAMENTOS!C1809)</f>
        <v/>
      </c>
      <c r="D1801" s="37" t="str">
        <f>IF(ORCAMENTOS!D1809="","",ORCAMENTOS!D1809)</f>
        <v>THERMOPOLO</v>
      </c>
      <c r="E1801" s="38" t="str">
        <f>IF(ORCAMENTOS!E1809="","",ORCAMENTOS!E1809)</f>
        <v>FIBERTEX</v>
      </c>
      <c r="F1801" s="37" t="str">
        <f>IF(ORCAMENTOS!G1809="","",ORCAMENTOS!G1809)</f>
        <v xml:space="preserve">Aldavir </v>
      </c>
      <c r="G1801" s="37" t="str">
        <f>IF(ORCAMENTOS!H1809="","",ORCAMENTOS!H1809)</f>
        <v>Veruza</v>
      </c>
      <c r="H1801" s="39">
        <f>IF(ORCAMENTOS!I1809="","",ORCAMENTOS!I1809)</f>
        <v>7277.77</v>
      </c>
      <c r="I1801" s="60" t="str">
        <f>IF(ORCAMENTOS!J1809="","",ORCAMENTOS!J1809)</f>
        <v/>
      </c>
      <c r="J1801" s="40" t="str">
        <f>IF(ORCAMENTOS!L1809="","",ORCAMENTOS!L1809)</f>
        <v>CANCELADO</v>
      </c>
      <c r="K1801" s="34" t="str">
        <f>IF(ORCAMENTOS!M1809="","",ORCAMENTOS!M1809)</f>
        <v/>
      </c>
      <c r="L1801" t="str">
        <f>IF(ORCAMENTOS!R1809="","",ORCAMENTOS!R1809)</f>
        <v>-</v>
      </c>
    </row>
    <row r="1802" spans="1:12" ht="15.75" hidden="1" customHeight="1" x14ac:dyDescent="0.25">
      <c r="A1802" s="36">
        <f>IF(ORCAMENTOS!A1810="","",ORCAMENTOS!A1810)</f>
        <v>45944</v>
      </c>
      <c r="B1802" s="46">
        <f>IF(ORCAMENTOS!B1810="","",ORCAMENTOS!B1810)</f>
        <v>1800</v>
      </c>
      <c r="C1802" s="46" t="str">
        <f>IF(ORCAMENTOS!C1810="","",ORCAMENTOS!C1810)</f>
        <v>R2</v>
      </c>
      <c r="D1802" s="37" t="str">
        <f>IF(ORCAMENTOS!D1810="","",ORCAMENTOS!D1810)</f>
        <v>ECOTHERM</v>
      </c>
      <c r="E1802" s="38" t="str">
        <f>IF(ORCAMENTOS!E1810="","",ORCAMENTOS!E1810)</f>
        <v>HOSPITAL FRANCA</v>
      </c>
      <c r="F1802" s="37" t="str">
        <f>IF(ORCAMENTOS!G1810="","",ORCAMENTOS!G1810)</f>
        <v>Emanuel</v>
      </c>
      <c r="G1802" s="37" t="str">
        <f>IF(ORCAMENTOS!H1810="","",ORCAMENTOS!H1810)</f>
        <v>Selma</v>
      </c>
      <c r="H1802" s="39">
        <f>IF(ORCAMENTOS!I1810="","",ORCAMENTOS!I1810)</f>
        <v>27051.5</v>
      </c>
      <c r="I1802" s="60">
        <f>IF(ORCAMENTOS!J1810="","",ORCAMENTOS!J1810)</f>
        <v>0.03</v>
      </c>
      <c r="J1802" s="40" t="str">
        <f>IF(ORCAMENTOS!L1810="","",ORCAMENTOS!L1810)</f>
        <v>FECHADO</v>
      </c>
      <c r="K1802" s="34" t="str">
        <f>IF(ORCAMENTOS!M1810="","",ORCAMENTOS!M1810)</f>
        <v>-</v>
      </c>
      <c r="L1802" t="str">
        <f>IF(ORCAMENTOS!R1810="","",ORCAMENTOS!R1810)</f>
        <v>-</v>
      </c>
    </row>
    <row r="1803" spans="1:12" ht="15.75" hidden="1" customHeight="1" x14ac:dyDescent="0.25">
      <c r="A1803" s="36">
        <f>IF(ORCAMENTOS!A1811="","",ORCAMENTOS!A1811)</f>
        <v>45943</v>
      </c>
      <c r="B1803" s="46">
        <f>IF(ORCAMENTOS!B1811="","",ORCAMENTOS!B1811)</f>
        <v>1801</v>
      </c>
      <c r="C1803" s="46" t="str">
        <f>IF(ORCAMENTOS!C1811="","",ORCAMENTOS!C1811)</f>
        <v/>
      </c>
      <c r="D1803" s="37" t="str">
        <f>IF(ORCAMENTOS!D1811="","",ORCAMENTOS!D1811)</f>
        <v>COLDTERMICA</v>
      </c>
      <c r="E1803" s="38" t="str">
        <f>IF(ORCAMENTOS!E1811="","",ORCAMENTOS!E1811)</f>
        <v>-</v>
      </c>
      <c r="F1803" s="37" t="str">
        <f>IF(ORCAMENTOS!G1811="","",ORCAMENTOS!G1811)</f>
        <v>Gabriel</v>
      </c>
      <c r="G1803" s="37" t="str">
        <f>IF(ORCAMENTOS!H1811="","",ORCAMENTOS!H1811)</f>
        <v>Denis</v>
      </c>
      <c r="H1803" s="39">
        <f>IF(ORCAMENTOS!I1811="","",ORCAMENTOS!I1811)</f>
        <v>321.02999999999997</v>
      </c>
      <c r="I1803" s="60">
        <f>IF(ORCAMENTOS!J1811="","",ORCAMENTOS!J1811)</f>
        <v>7.0000000000000007E-2</v>
      </c>
      <c r="J1803" s="40" t="str">
        <f>IF(ORCAMENTOS!L1811="","",ORCAMENTOS!L1811)</f>
        <v>FECHADO</v>
      </c>
      <c r="K1803" s="34" t="str">
        <f>IF(ORCAMENTOS!M1811="","",ORCAMENTOS!M1811)</f>
        <v>-</v>
      </c>
      <c r="L1803" t="str">
        <f>IF(ORCAMENTOS!R1811="","",ORCAMENTOS!R1811)</f>
        <v>-</v>
      </c>
    </row>
    <row r="1804" spans="1:12" ht="15.75" hidden="1" customHeight="1" x14ac:dyDescent="0.25">
      <c r="A1804" s="36">
        <f>IF(ORCAMENTOS!A1812="","",ORCAMENTOS!A1812)</f>
        <v>45943</v>
      </c>
      <c r="B1804" s="46">
        <f>IF(ORCAMENTOS!B1812="","",ORCAMENTOS!B1812)</f>
        <v>1802</v>
      </c>
      <c r="C1804" s="46" t="str">
        <f>IF(ORCAMENTOS!C1812="","",ORCAMENTOS!C1812)</f>
        <v>R1</v>
      </c>
      <c r="D1804" s="37" t="str">
        <f>IF(ORCAMENTOS!D1812="","",ORCAMENTOS!D1812)</f>
        <v>CONTROLE CLIMA</v>
      </c>
      <c r="E1804" s="38" t="str">
        <f>IF(ORCAMENTOS!E1812="","",ORCAMENTOS!E1812)</f>
        <v>SMARTFIT LAR ABC</v>
      </c>
      <c r="F1804" s="37" t="str">
        <f>IF(ORCAMENTOS!G1812="","",ORCAMENTOS!G1812)</f>
        <v>Gabriel</v>
      </c>
      <c r="G1804" s="37" t="str">
        <f>IF(ORCAMENTOS!H1812="","",ORCAMENTOS!H1812)</f>
        <v>Kleverson</v>
      </c>
      <c r="H1804" s="39">
        <f>IF(ORCAMENTOS!I1812="","",ORCAMENTOS!I1812)</f>
        <v>36201.26</v>
      </c>
      <c r="I1804" s="60">
        <f>IF(ORCAMENTOS!J1812="","",ORCAMENTOS!J1812)</f>
        <v>0.04</v>
      </c>
      <c r="J1804" s="40" t="str">
        <f>IF(ORCAMENTOS!L1812="","",ORCAMENTOS!L1812)</f>
        <v>FECHADO</v>
      </c>
      <c r="K1804" s="34" t="str">
        <f>IF(ORCAMENTOS!M1812="","",ORCAMENTOS!M1812)</f>
        <v>-</v>
      </c>
      <c r="L1804" t="str">
        <f>IF(ORCAMENTOS!R1812="","",ORCAMENTOS!R1812)</f>
        <v>-</v>
      </c>
    </row>
    <row r="1805" spans="1:12" ht="15.75" hidden="1" customHeight="1" x14ac:dyDescent="0.25">
      <c r="A1805" s="36">
        <f>IF(ORCAMENTOS!A1813="","",ORCAMENTOS!A1813)</f>
        <v>45943</v>
      </c>
      <c r="B1805" s="46">
        <f>IF(ORCAMENTOS!B1813="","",ORCAMENTOS!B1813)</f>
        <v>1803</v>
      </c>
      <c r="C1805" s="46" t="str">
        <f>IF(ORCAMENTOS!C1813="","",ORCAMENTOS!C1813)</f>
        <v/>
      </c>
      <c r="D1805" s="37" t="str">
        <f>IF(ORCAMENTOS!D1813="","",ORCAMENTOS!D1813)</f>
        <v>BEST CLIMA</v>
      </c>
      <c r="E1805" s="38" t="str">
        <f>IF(ORCAMENTOS!E1813="","",ORCAMENTOS!E1813)</f>
        <v>CONJUNTO NACIONAL</v>
      </c>
      <c r="F1805" s="37" t="str">
        <f>IF(ORCAMENTOS!G1813="","",ORCAMENTOS!G1813)</f>
        <v xml:space="preserve">Aldavir </v>
      </c>
      <c r="G1805" s="37" t="str">
        <f>IF(ORCAMENTOS!H1813="","",ORCAMENTOS!H1813)</f>
        <v>Arion</v>
      </c>
      <c r="H1805" s="39">
        <f>IF(ORCAMENTOS!I1813="","",ORCAMENTOS!I1813)</f>
        <v>187.92</v>
      </c>
      <c r="I1805" s="60">
        <f>IF(ORCAMENTOS!J1813="","",ORCAMENTOS!J1813)</f>
        <v>7.0000000000000007E-2</v>
      </c>
      <c r="J1805" s="40" t="str">
        <f>IF(ORCAMENTOS!L1813="","",ORCAMENTOS!L1813)</f>
        <v>FECHADO</v>
      </c>
      <c r="K1805" s="34" t="str">
        <f>IF(ORCAMENTOS!M1813="","",ORCAMENTOS!M1813)</f>
        <v>-</v>
      </c>
      <c r="L1805" t="str">
        <f>IF(ORCAMENTOS!R1813="","",ORCAMENTOS!R1813)</f>
        <v>-</v>
      </c>
    </row>
    <row r="1806" spans="1:12" ht="15.75" hidden="1" customHeight="1" x14ac:dyDescent="0.25">
      <c r="A1806" s="36">
        <f>IF(ORCAMENTOS!A1814="","",ORCAMENTOS!A1814)</f>
        <v>45944</v>
      </c>
      <c r="B1806" s="46">
        <f>IF(ORCAMENTOS!B1814="","",ORCAMENTOS!B1814)</f>
        <v>1804</v>
      </c>
      <c r="C1806" s="46" t="str">
        <f>IF(ORCAMENTOS!C1814="","",ORCAMENTOS!C1814)</f>
        <v>R1</v>
      </c>
      <c r="D1806" s="37" t="str">
        <f>IF(ORCAMENTOS!D1814="","",ORCAMENTOS!D1814)</f>
        <v>SAMPAIO &amp; MOURA</v>
      </c>
      <c r="E1806" s="38" t="str">
        <f>IF(ORCAMENTOS!E1814="","",ORCAMENTOS!E1814)</f>
        <v>ANA LUIZA E VICTOR</v>
      </c>
      <c r="F1806" s="37" t="str">
        <f>IF(ORCAMENTOS!G1814="","",ORCAMENTOS!G1814)</f>
        <v>Emanuel</v>
      </c>
      <c r="G1806" s="37" t="str">
        <f>IF(ORCAMENTOS!H1814="","",ORCAMENTOS!H1814)</f>
        <v>Yuri</v>
      </c>
      <c r="H1806" s="39">
        <f>IF(ORCAMENTOS!I1814="","",ORCAMENTOS!I1814)</f>
        <v>4852.83</v>
      </c>
      <c r="I1806" s="60">
        <f>IF(ORCAMENTOS!J1814="","",ORCAMENTOS!J1814)</f>
        <v>7.0000000000000007E-2</v>
      </c>
      <c r="J1806" s="40" t="str">
        <f>IF(ORCAMENTOS!L1814="","",ORCAMENTOS!L1814)</f>
        <v>CANCELADO</v>
      </c>
      <c r="K1806" s="34" t="str">
        <f>IF(ORCAMENTOS!M1814="","",ORCAMENTOS!M1814)</f>
        <v>-</v>
      </c>
      <c r="L1806" t="str">
        <f>IF(ORCAMENTOS!R1814="","",ORCAMENTOS!R1814)</f>
        <v>-</v>
      </c>
    </row>
    <row r="1807" spans="1:12" ht="15.75" hidden="1" customHeight="1" x14ac:dyDescent="0.25">
      <c r="A1807" s="36">
        <f>IF(ORCAMENTOS!A1815="","",ORCAMENTOS!A1815)</f>
        <v>45943</v>
      </c>
      <c r="B1807" s="46">
        <f>IF(ORCAMENTOS!B1815="","",ORCAMENTOS!B1815)</f>
        <v>1805</v>
      </c>
      <c r="C1807" s="46" t="str">
        <f>IF(ORCAMENTOS!C1815="","",ORCAMENTOS!C1815)</f>
        <v/>
      </c>
      <c r="D1807" s="37" t="str">
        <f>IF(ORCAMENTOS!D1815="","",ORCAMENTOS!D1815)</f>
        <v>AFRIOTHERM</v>
      </c>
      <c r="E1807" s="38" t="str">
        <f>IF(ORCAMENTOS!E1815="","",ORCAMENTOS!E1815)</f>
        <v>EDIFICIO PLAZA - SANTOS - SP</v>
      </c>
      <c r="F1807" s="37" t="str">
        <f>IF(ORCAMENTOS!G1815="","",ORCAMENTOS!G1815)</f>
        <v>Emanuel</v>
      </c>
      <c r="G1807" s="37" t="str">
        <f>IF(ORCAMENTOS!H1815="","",ORCAMENTOS!H1815)</f>
        <v>Jefferson</v>
      </c>
      <c r="H1807" s="39">
        <f>IF(ORCAMENTOS!I1815="","",ORCAMENTOS!I1815)</f>
        <v>575105.46</v>
      </c>
      <c r="I1807" s="60">
        <f>IF(ORCAMENTOS!J1815="","",ORCAMENTOS!J1815)</f>
        <v>7.0000000000000007E-2</v>
      </c>
      <c r="J1807" s="40" t="str">
        <f>IF(ORCAMENTOS!L1815="","",ORCAMENTOS!L1815)</f>
        <v>ORCAMENTO</v>
      </c>
      <c r="K1807" s="34" t="str">
        <f>IF(ORCAMENTOS!M1815="","",ORCAMENTOS!M1815)</f>
        <v>PREV. 2026</v>
      </c>
      <c r="L1807" t="str">
        <f>IF(ORCAMENTOS!R1815="","",ORCAMENTOS!R1815)</f>
        <v>MPU</v>
      </c>
    </row>
    <row r="1808" spans="1:12" ht="15.75" hidden="1" customHeight="1" x14ac:dyDescent="0.25">
      <c r="A1808" s="36">
        <f>IF(ORCAMENTOS!A1816="","",ORCAMENTOS!A1816)</f>
        <v>45945</v>
      </c>
      <c r="B1808" s="46">
        <f>IF(ORCAMENTOS!B1816="","",ORCAMENTOS!B1816)</f>
        <v>1806</v>
      </c>
      <c r="C1808" s="46" t="str">
        <f>IF(ORCAMENTOS!C1816="","",ORCAMENTOS!C1816)</f>
        <v>R1</v>
      </c>
      <c r="D1808" s="37" t="str">
        <f>IF(ORCAMENTOS!D1816="","",ORCAMENTOS!D1816)</f>
        <v>CONFORTO ENGENHARIA</v>
      </c>
      <c r="E1808" s="38" t="str">
        <f>IF(ORCAMENTOS!E1816="","",ORCAMENTOS!E1816)</f>
        <v>CAMPO LIMPO</v>
      </c>
      <c r="F1808" s="37" t="str">
        <f>IF(ORCAMENTOS!G1816="","",ORCAMENTOS!G1816)</f>
        <v>Michel</v>
      </c>
      <c r="G1808" s="37" t="str">
        <f>IF(ORCAMENTOS!H1816="","",ORCAMENTOS!H1816)</f>
        <v>Kaine</v>
      </c>
      <c r="H1808" s="39">
        <f>IF(ORCAMENTOS!I1816="","",ORCAMENTOS!I1816)</f>
        <v>1732.19</v>
      </c>
      <c r="I1808" s="60">
        <f>IF(ORCAMENTOS!J1816="","",ORCAMENTOS!J1816)</f>
        <v>0.05</v>
      </c>
      <c r="J1808" s="40" t="str">
        <f>IF(ORCAMENTOS!L1816="","",ORCAMENTOS!L1816)</f>
        <v>FECHADO</v>
      </c>
      <c r="K1808" s="34" t="str">
        <f>IF(ORCAMENTOS!M1816="","",ORCAMENTOS!M1816)</f>
        <v>-</v>
      </c>
      <c r="L1808" t="str">
        <f>IF(ORCAMENTOS!R1816="","",ORCAMENTOS!R1816)</f>
        <v>-</v>
      </c>
    </row>
    <row r="1809" spans="1:12" ht="15.75" hidden="1" customHeight="1" x14ac:dyDescent="0.25">
      <c r="A1809" s="36">
        <f>IF(ORCAMENTOS!A1817="","",ORCAMENTOS!A1817)</f>
        <v>45945</v>
      </c>
      <c r="B1809" s="46">
        <f>IF(ORCAMENTOS!B1817="","",ORCAMENTOS!B1817)</f>
        <v>1807</v>
      </c>
      <c r="C1809" s="46" t="str">
        <f>IF(ORCAMENTOS!C1817="","",ORCAMENTOS!C1817)</f>
        <v/>
      </c>
      <c r="D1809" s="37" t="str">
        <f>IF(ORCAMENTOS!D1817="","",ORCAMENTOS!D1817)</f>
        <v/>
      </c>
      <c r="E1809" s="38" t="str">
        <f>IF(ORCAMENTOS!E1817="","",ORCAMENTOS!E1817)</f>
        <v/>
      </c>
      <c r="F1809" s="37" t="str">
        <f>IF(ORCAMENTOS!G1817="","",ORCAMENTOS!G1817)</f>
        <v xml:space="preserve">Aldavir </v>
      </c>
      <c r="G1809" s="37" t="str">
        <f>IF(ORCAMENTOS!H1817="","",ORCAMENTOS!H1817)</f>
        <v/>
      </c>
      <c r="H1809" s="39" t="str">
        <f>IF(ORCAMENTOS!I1817="","",ORCAMENTOS!I1817)</f>
        <v/>
      </c>
      <c r="I1809" s="60" t="str">
        <f>IF(ORCAMENTOS!J1817="","",ORCAMENTOS!J1817)</f>
        <v/>
      </c>
      <c r="J1809" s="40" t="str">
        <f>IF(ORCAMENTOS!L1817="","",ORCAMENTOS!L1817)</f>
        <v>CANCELADO</v>
      </c>
      <c r="K1809" s="34" t="str">
        <f>IF(ORCAMENTOS!M1817="","",ORCAMENTOS!M1817)</f>
        <v/>
      </c>
      <c r="L1809" t="str">
        <f>IF(ORCAMENTOS!R1817="","",ORCAMENTOS!R1817)</f>
        <v/>
      </c>
    </row>
    <row r="1810" spans="1:12" ht="15.75" hidden="1" customHeight="1" x14ac:dyDescent="0.25">
      <c r="A1810" s="36">
        <f>IF(ORCAMENTOS!A1818="","",ORCAMENTOS!A1818)</f>
        <v>45944</v>
      </c>
      <c r="B1810" s="46">
        <f>IF(ORCAMENTOS!B1818="","",ORCAMENTOS!B1818)</f>
        <v>1808</v>
      </c>
      <c r="C1810" s="46" t="str">
        <f>IF(ORCAMENTOS!C1818="","",ORCAMENTOS!C1818)</f>
        <v/>
      </c>
      <c r="D1810" s="37" t="str">
        <f>IF(ORCAMENTOS!D1818="","",ORCAMENTOS!D1818)</f>
        <v>UNION RHAC</v>
      </c>
      <c r="E1810" s="38" t="str">
        <f>IF(ORCAMENTOS!E1818="","",ORCAMENTOS!E1818)</f>
        <v>-</v>
      </c>
      <c r="F1810" s="37" t="str">
        <f>IF(ORCAMENTOS!G1818="","",ORCAMENTOS!G1818)</f>
        <v>Emanuel</v>
      </c>
      <c r="G1810" s="37" t="str">
        <f>IF(ORCAMENTOS!H1818="","",ORCAMENTOS!H1818)</f>
        <v>Rosana</v>
      </c>
      <c r="H1810" s="39">
        <f>IF(ORCAMENTOS!I1818="","",ORCAMENTOS!I1818)</f>
        <v>7170.31</v>
      </c>
      <c r="I1810" s="60">
        <f>IF(ORCAMENTOS!J1818="","",ORCAMENTOS!J1818)</f>
        <v>7.0000000000000007E-2</v>
      </c>
      <c r="J1810" s="40" t="str">
        <f>IF(ORCAMENTOS!L1818="","",ORCAMENTOS!L1818)</f>
        <v>CANCELADO</v>
      </c>
      <c r="K1810" s="34" t="str">
        <f>IF(ORCAMENTOS!M1818="","",ORCAMENTOS!M1818)</f>
        <v>-</v>
      </c>
      <c r="L1810" t="str">
        <f>IF(ORCAMENTOS!R1818="","",ORCAMENTOS!R1818)</f>
        <v>-</v>
      </c>
    </row>
    <row r="1811" spans="1:12" ht="15.75" hidden="1" customHeight="1" x14ac:dyDescent="0.25">
      <c r="A1811" s="36">
        <f>IF(ORCAMENTOS!A1819="","",ORCAMENTOS!A1819)</f>
        <v>45944</v>
      </c>
      <c r="B1811" s="46">
        <f>IF(ORCAMENTOS!B1819="","",ORCAMENTOS!B1819)</f>
        <v>1809</v>
      </c>
      <c r="C1811" s="46" t="str">
        <f>IF(ORCAMENTOS!C1819="","",ORCAMENTOS!C1819)</f>
        <v/>
      </c>
      <c r="D1811" s="37" t="str">
        <f>IF(ORCAMENTOS!D1819="","",ORCAMENTOS!D1819)</f>
        <v>ACSISTEM</v>
      </c>
      <c r="E1811" s="38" t="str">
        <f>IF(ORCAMENTOS!E1819="","",ORCAMENTOS!E1819)</f>
        <v>-</v>
      </c>
      <c r="F1811" s="37" t="str">
        <f>IF(ORCAMENTOS!G1819="","",ORCAMENTOS!G1819)</f>
        <v>Emanuel</v>
      </c>
      <c r="G1811" s="37" t="str">
        <f>IF(ORCAMENTOS!H1819="","",ORCAMENTOS!H1819)</f>
        <v>Mateus</v>
      </c>
      <c r="H1811" s="39">
        <f>IF(ORCAMENTOS!I1819="","",ORCAMENTOS!I1819)</f>
        <v>116202.36</v>
      </c>
      <c r="I1811" s="60">
        <f>IF(ORCAMENTOS!J1819="","",ORCAMENTOS!J1819)</f>
        <v>0.03</v>
      </c>
      <c r="J1811" s="40" t="str">
        <f>IF(ORCAMENTOS!L1819="","",ORCAMENTOS!L1819)</f>
        <v>CANCELADO</v>
      </c>
      <c r="K1811" s="34" t="str">
        <f>IF(ORCAMENTOS!M1819="","",ORCAMENTOS!M1819)</f>
        <v>CHAPA</v>
      </c>
      <c r="L1811" t="str">
        <f>IF(ORCAMENTOS!R1819="","",ORCAMENTOS!R1819)</f>
        <v>-</v>
      </c>
    </row>
    <row r="1812" spans="1:12" ht="15.75" hidden="1" customHeight="1" x14ac:dyDescent="0.25">
      <c r="A1812" s="36">
        <f>IF(ORCAMENTOS!A1820="","",ORCAMENTOS!A1820)</f>
        <v>45944</v>
      </c>
      <c r="B1812" s="46">
        <f>IF(ORCAMENTOS!B1820="","",ORCAMENTOS!B1820)</f>
        <v>1810</v>
      </c>
      <c r="C1812" s="46" t="str">
        <f>IF(ORCAMENTOS!C1820="","",ORCAMENTOS!C1820)</f>
        <v/>
      </c>
      <c r="D1812" s="37" t="str">
        <f>IF(ORCAMENTOS!D1820="","",ORCAMENTOS!D1820)</f>
        <v>AIR GREEN</v>
      </c>
      <c r="E1812" s="38" t="str">
        <f>IF(ORCAMENTOS!E1820="","",ORCAMENTOS!E1820)</f>
        <v>-</v>
      </c>
      <c r="F1812" s="37" t="str">
        <f>IF(ORCAMENTOS!G1820="","",ORCAMENTOS!G1820)</f>
        <v>Fernando</v>
      </c>
      <c r="G1812" s="37" t="str">
        <f>IF(ORCAMENTOS!H1820="","",ORCAMENTOS!H1820)</f>
        <v>Renata</v>
      </c>
      <c r="H1812" s="39">
        <f>IF(ORCAMENTOS!I1820="","",ORCAMENTOS!I1820)</f>
        <v>6007.23</v>
      </c>
      <c r="I1812" s="60">
        <f>IF(ORCAMENTOS!J1820="","",ORCAMENTOS!J1820)</f>
        <v>7.0000000000000007E-2</v>
      </c>
      <c r="J1812" s="40" t="str">
        <f>IF(ORCAMENTOS!L1820="","",ORCAMENTOS!L1820)</f>
        <v>FECHADO</v>
      </c>
      <c r="K1812" s="34" t="str">
        <f>IF(ORCAMENTOS!M1820="","",ORCAMENTOS!M1820)</f>
        <v>-</v>
      </c>
      <c r="L1812" t="str">
        <f>IF(ORCAMENTOS!R1820="","",ORCAMENTOS!R1820)</f>
        <v>-</v>
      </c>
    </row>
    <row r="1813" spans="1:12" ht="15.75" hidden="1" customHeight="1" x14ac:dyDescent="0.25">
      <c r="A1813" s="36">
        <f>IF(ORCAMENTOS!A1821="","",ORCAMENTOS!A1821)</f>
        <v>45945</v>
      </c>
      <c r="B1813" s="46">
        <f>IF(ORCAMENTOS!B1821="","",ORCAMENTOS!B1821)</f>
        <v>1811</v>
      </c>
      <c r="C1813" s="46" t="str">
        <f>IF(ORCAMENTOS!C1821="","",ORCAMENTOS!C1821)</f>
        <v/>
      </c>
      <c r="D1813" s="37" t="str">
        <f>IF(ORCAMENTOS!D1821="","",ORCAMENTOS!D1821)</f>
        <v>BMS ENGENHARIA</v>
      </c>
      <c r="E1813" s="38" t="str">
        <f>IF(ORCAMENTOS!E1821="","",ORCAMENTOS!E1821)</f>
        <v>HOSPITAL SÃO VICENTE DE PAULO</v>
      </c>
      <c r="F1813" s="37" t="str">
        <f>IF(ORCAMENTOS!G1821="","",ORCAMENTOS!G1821)</f>
        <v>Guilherme</v>
      </c>
      <c r="G1813" s="37" t="str">
        <f>IF(ORCAMENTOS!H1821="","",ORCAMENTOS!H1821)</f>
        <v>Aleison</v>
      </c>
      <c r="H1813" s="39">
        <f>IF(ORCAMENTOS!I1821="","",ORCAMENTOS!I1821)</f>
        <v>154016.24</v>
      </c>
      <c r="I1813" s="60">
        <f>IF(ORCAMENTOS!J1821="","",ORCAMENTOS!J1821)</f>
        <v>7.0000000000000007E-2</v>
      </c>
      <c r="J1813" s="40" t="str">
        <f>IF(ORCAMENTOS!L1821="","",ORCAMENTOS!L1821)</f>
        <v>CANCELADO</v>
      </c>
      <c r="K1813" s="34" t="str">
        <f>IF(ORCAMENTOS!M1821="","",ORCAMENTOS!M1821)</f>
        <v>-</v>
      </c>
      <c r="L1813" t="str">
        <f>IF(ORCAMENTOS!R1821="","",ORCAMENTOS!R1821)</f>
        <v>-</v>
      </c>
    </row>
    <row r="1814" spans="1:12" ht="15.75" hidden="1" customHeight="1" x14ac:dyDescent="0.25">
      <c r="A1814" s="36">
        <f>IF(ORCAMENTOS!A1822="","",ORCAMENTOS!A1822)</f>
        <v>45945</v>
      </c>
      <c r="B1814" s="46">
        <f>IF(ORCAMENTOS!B1822="","",ORCAMENTOS!B1822)</f>
        <v>1812</v>
      </c>
      <c r="C1814" s="46" t="str">
        <f>IF(ORCAMENTOS!C1822="","",ORCAMENTOS!C1822)</f>
        <v/>
      </c>
      <c r="D1814" s="37" t="str">
        <f>IF(ORCAMENTOS!D1822="","",ORCAMENTOS!D1822)</f>
        <v>BEG NATURAL CLIMA</v>
      </c>
      <c r="E1814" s="38" t="str">
        <f>IF(ORCAMENTOS!E1822="","",ORCAMENTOS!E1822)</f>
        <v>CHESTERTON</v>
      </c>
      <c r="F1814" s="37" t="str">
        <f>IF(ORCAMENTOS!G1822="","",ORCAMENTOS!G1822)</f>
        <v>Gabriel</v>
      </c>
      <c r="G1814" s="37" t="str">
        <f>IF(ORCAMENTOS!H1822="","",ORCAMENTOS!H1822)</f>
        <v>Luciana</v>
      </c>
      <c r="H1814" s="39">
        <f>IF(ORCAMENTOS!I1822="","",ORCAMENTOS!I1822)</f>
        <v>67579.62</v>
      </c>
      <c r="I1814" s="60">
        <f>IF(ORCAMENTOS!J1822="","",ORCAMENTOS!J1822)</f>
        <v>7.0000000000000007E-2</v>
      </c>
      <c r="J1814" s="40" t="str">
        <f>IF(ORCAMENTOS!L1822="","",ORCAMENTOS!L1822)</f>
        <v>CANCELADO</v>
      </c>
      <c r="K1814" s="34" t="str">
        <f>IF(ORCAMENTOS!M1822="","",ORCAMENTOS!M1822)</f>
        <v>-</v>
      </c>
      <c r="L1814" t="str">
        <f>IF(ORCAMENTOS!R1822="","",ORCAMENTOS!R1822)</f>
        <v>-</v>
      </c>
    </row>
    <row r="1815" spans="1:12" ht="15.75" hidden="1" customHeight="1" x14ac:dyDescent="0.25">
      <c r="A1815" s="36">
        <f>IF(ORCAMENTOS!A1823="","",ORCAMENTOS!A1823)</f>
        <v>45945</v>
      </c>
      <c r="B1815" s="46">
        <f>IF(ORCAMENTOS!B1823="","",ORCAMENTOS!B1823)</f>
        <v>1813</v>
      </c>
      <c r="C1815" s="46" t="str">
        <f>IF(ORCAMENTOS!C1823="","",ORCAMENTOS!C1823)</f>
        <v/>
      </c>
      <c r="D1815" s="37" t="str">
        <f>IF(ORCAMENTOS!D1823="","",ORCAMENTOS!D1823)</f>
        <v>SP1 ENGENHARIA</v>
      </c>
      <c r="E1815" s="38" t="str">
        <f>IF(ORCAMENTOS!E1823="","",ORCAMENTOS!E1823)</f>
        <v>GRUPO PERMANEO - SÃO PAULO - SP</v>
      </c>
      <c r="F1815" s="37" t="str">
        <f>IF(ORCAMENTOS!G1823="","",ORCAMENTOS!G1823)</f>
        <v>Emanuel</v>
      </c>
      <c r="G1815" s="37" t="str">
        <f>IF(ORCAMENTOS!H1823="","",ORCAMENTOS!H1823)</f>
        <v>Silvio</v>
      </c>
      <c r="H1815" s="39">
        <f>IF(ORCAMENTOS!I1823="","",ORCAMENTOS!I1823)</f>
        <v>33594.74</v>
      </c>
      <c r="I1815" s="60">
        <f>IF(ORCAMENTOS!J1823="","",ORCAMENTOS!J1823)</f>
        <v>7.0000000000000007E-2</v>
      </c>
      <c r="J1815" s="40" t="str">
        <f>IF(ORCAMENTOS!L1823="","",ORCAMENTOS!L1823)</f>
        <v>CANCELADO</v>
      </c>
      <c r="K1815" s="34" t="str">
        <f>IF(ORCAMENTOS!M1823="","",ORCAMENTOS!M1823)</f>
        <v>-</v>
      </c>
      <c r="L1815" t="str">
        <f>IF(ORCAMENTOS!R1823="","",ORCAMENTOS!R1823)</f>
        <v>MPU</v>
      </c>
    </row>
    <row r="1816" spans="1:12" ht="15.75" hidden="1" customHeight="1" x14ac:dyDescent="0.25">
      <c r="A1816" s="36">
        <f>IF(ORCAMENTOS!A1824="","",ORCAMENTOS!A1824)</f>
        <v>45946</v>
      </c>
      <c r="B1816" s="46">
        <f>IF(ORCAMENTOS!B1824="","",ORCAMENTOS!B1824)</f>
        <v>1814</v>
      </c>
      <c r="C1816" s="46" t="str">
        <f>IF(ORCAMENTOS!C1824="","",ORCAMENTOS!C1824)</f>
        <v/>
      </c>
      <c r="D1816" s="37" t="str">
        <f>IF(ORCAMENTOS!D1824="","",ORCAMENTOS!D1824)</f>
        <v>CN COLD</v>
      </c>
      <c r="E1816" s="38" t="str">
        <f>IF(ORCAMENTOS!E1824="","",ORCAMENTOS!E1824)</f>
        <v>PANCO SEROPEDICA</v>
      </c>
      <c r="F1816" s="37" t="str">
        <f>IF(ORCAMENTOS!G1824="","",ORCAMENTOS!G1824)</f>
        <v>Emanuel</v>
      </c>
      <c r="G1816" s="37" t="str">
        <f>IF(ORCAMENTOS!H1824="","",ORCAMENTOS!H1824)</f>
        <v>Guilherme</v>
      </c>
      <c r="H1816" s="39">
        <f>IF(ORCAMENTOS!I1824="","",ORCAMENTOS!I1824)</f>
        <v>73684.62</v>
      </c>
      <c r="I1816" s="60">
        <f>IF(ORCAMENTOS!J1824="","",ORCAMENTOS!J1824)</f>
        <v>7.0000000000000007E-2</v>
      </c>
      <c r="J1816" s="40" t="str">
        <f>IF(ORCAMENTOS!L1824="","",ORCAMENTOS!L1824)</f>
        <v>CANCELADO</v>
      </c>
      <c r="K1816" s="34" t="str">
        <f>IF(ORCAMENTOS!M1824="","",ORCAMENTOS!M1824)</f>
        <v>-</v>
      </c>
      <c r="L1816" t="str">
        <f>IF(ORCAMENTOS!R1824="","",ORCAMENTOS!R1824)</f>
        <v/>
      </c>
    </row>
    <row r="1817" spans="1:12" ht="15.75" hidden="1" customHeight="1" x14ac:dyDescent="0.25">
      <c r="A1817" s="36">
        <f>IF(ORCAMENTOS!A1825="","",ORCAMENTOS!A1825)</f>
        <v>45947</v>
      </c>
      <c r="B1817" s="46">
        <f>IF(ORCAMENTOS!B1825="","",ORCAMENTOS!B1825)</f>
        <v>1815</v>
      </c>
      <c r="C1817" s="46" t="str">
        <f>IF(ORCAMENTOS!C1825="","",ORCAMENTOS!C1825)</f>
        <v/>
      </c>
      <c r="D1817" s="37" t="str">
        <f>IF(ORCAMENTOS!D1825="","",ORCAMENTOS!D1825)</f>
        <v>ENEBRAS</v>
      </c>
      <c r="E1817" s="38" t="str">
        <f>IF(ORCAMENTOS!E1825="","",ORCAMENTOS!E1825)</f>
        <v>4434_ONCO_REMA - 4434-25 - HOSPITAL ASSUNÇÃO - ONCOLOGIA E REMA</v>
      </c>
      <c r="F1817" s="37" t="str">
        <f>IF(ORCAMENTOS!G1825="","",ORCAMENTOS!G1825)</f>
        <v>Michel</v>
      </c>
      <c r="G1817" s="37" t="str">
        <f>IF(ORCAMENTOS!H1825="","",ORCAMENTOS!H1825)</f>
        <v>Gabrielle</v>
      </c>
      <c r="H1817" s="39">
        <f>IF(ORCAMENTOS!I1825="","",ORCAMENTOS!I1825)</f>
        <v>3119.65</v>
      </c>
      <c r="I1817" s="60">
        <f>IF(ORCAMENTOS!J1825="","",ORCAMENTOS!J1825)</f>
        <v>7.0000000000000007E-2</v>
      </c>
      <c r="J1817" s="40" t="str">
        <f>IF(ORCAMENTOS!L1825="","",ORCAMENTOS!L1825)</f>
        <v>FECHADO</v>
      </c>
      <c r="K1817" s="34" t="str">
        <f>IF(ORCAMENTOS!M1825="","",ORCAMENTOS!M1825)</f>
        <v>-</v>
      </c>
      <c r="L1817" t="str">
        <f>IF(ORCAMENTOS!R1825="","",ORCAMENTOS!R1825)</f>
        <v>-</v>
      </c>
    </row>
    <row r="1818" spans="1:12" ht="15.75" hidden="1" customHeight="1" x14ac:dyDescent="0.25">
      <c r="A1818" s="36">
        <f>IF(ORCAMENTOS!A1826="","",ORCAMENTOS!A1826)</f>
        <v>45946</v>
      </c>
      <c r="B1818" s="46">
        <f>IF(ORCAMENTOS!B1826="","",ORCAMENTOS!B1826)</f>
        <v>1816</v>
      </c>
      <c r="C1818" s="46" t="str">
        <f>IF(ORCAMENTOS!C1826="","",ORCAMENTOS!C1826)</f>
        <v/>
      </c>
      <c r="D1818" s="37" t="str">
        <f>IF(ORCAMENTOS!D1826="","",ORCAMENTOS!D1826)</f>
        <v>ISOTEMP</v>
      </c>
      <c r="E1818" s="38" t="str">
        <f>IF(ORCAMENTOS!E1826="","",ORCAMENTOS!E1826)</f>
        <v>AEROPORTO INTERNACIONAL DE FLORIANOPOLIS</v>
      </c>
      <c r="F1818" s="37" t="str">
        <f>IF(ORCAMENTOS!G1826="","",ORCAMENTOS!G1826)</f>
        <v>Michel</v>
      </c>
      <c r="G1818" s="37" t="str">
        <f>IF(ORCAMENTOS!H1826="","",ORCAMENTOS!H1826)</f>
        <v>Caique</v>
      </c>
      <c r="H1818" s="39">
        <f>IF(ORCAMENTOS!I1826="","",ORCAMENTOS!I1826)</f>
        <v>84606.53</v>
      </c>
      <c r="I1818" s="60">
        <f>IF(ORCAMENTOS!J1826="","",ORCAMENTOS!J1826)</f>
        <v>7.0000000000000007E-2</v>
      </c>
      <c r="J1818" s="40" t="str">
        <f>IF(ORCAMENTOS!L1826="","",ORCAMENTOS!L1826)</f>
        <v>CANCELADO</v>
      </c>
      <c r="K1818" s="34" t="str">
        <f>IF(ORCAMENTOS!M1826="","",ORCAMENTOS!M1826)</f>
        <v>-</v>
      </c>
      <c r="L1818" t="str">
        <f>IF(ORCAMENTOS!R1826="","",ORCAMENTOS!R1826)</f>
        <v>MPU</v>
      </c>
    </row>
    <row r="1819" spans="1:12" ht="15.75" hidden="1" customHeight="1" x14ac:dyDescent="0.25">
      <c r="A1819" s="36">
        <f>IF(ORCAMENTOS!A1827="","",ORCAMENTOS!A1827)</f>
        <v>45946</v>
      </c>
      <c r="B1819" s="46">
        <f>IF(ORCAMENTOS!B1827="","",ORCAMENTOS!B1827)</f>
        <v>1817</v>
      </c>
      <c r="C1819" s="46" t="str">
        <f>IF(ORCAMENTOS!C1827="","",ORCAMENTOS!C1827)</f>
        <v/>
      </c>
      <c r="D1819" s="37" t="str">
        <f>IF(ORCAMENTOS!D1827="","",ORCAMENTOS!D1827)</f>
        <v>AWA AR CONDICIONADO</v>
      </c>
      <c r="E1819" s="38" t="str">
        <f>IF(ORCAMENTOS!E1827="","",ORCAMENTOS!E1827)</f>
        <v>GIGA ATAKADO - SOROCABA</v>
      </c>
      <c r="F1819" s="37" t="str">
        <f>IF(ORCAMENTOS!G1827="","",ORCAMENTOS!G1827)</f>
        <v>Guilherme</v>
      </c>
      <c r="G1819" s="37" t="str">
        <f>IF(ORCAMENTOS!H1827="","",ORCAMENTOS!H1827)</f>
        <v>Guilherme</v>
      </c>
      <c r="H1819" s="39">
        <f>IF(ORCAMENTOS!I1827="","",ORCAMENTOS!I1827)</f>
        <v>180417.6</v>
      </c>
      <c r="I1819" s="60">
        <f>IF(ORCAMENTOS!J1827="","",ORCAMENTOS!J1827)</f>
        <v>7.0000000000000007E-2</v>
      </c>
      <c r="J1819" s="40" t="str">
        <f>IF(ORCAMENTOS!L1827="","",ORCAMENTOS!L1827)</f>
        <v>CANCELADO</v>
      </c>
      <c r="K1819" s="34" t="str">
        <f>IF(ORCAMENTOS!M1827="","",ORCAMENTOS!M1827)</f>
        <v>OBRA RM3</v>
      </c>
      <c r="L1819" t="str">
        <f>IF(ORCAMENTOS!R1827="","",ORCAMENTOS!R1827)</f>
        <v>CHAPA DE ACO GALVANIZADO</v>
      </c>
    </row>
    <row r="1820" spans="1:12" ht="15.75" hidden="1" customHeight="1" x14ac:dyDescent="0.25">
      <c r="A1820" s="36">
        <f>IF(ORCAMENTOS!A1828="","",ORCAMENTOS!A1828)</f>
        <v>45946</v>
      </c>
      <c r="B1820" s="46">
        <f>IF(ORCAMENTOS!B1828="","",ORCAMENTOS!B1828)</f>
        <v>1818</v>
      </c>
      <c r="C1820" s="46" t="str">
        <f>IF(ORCAMENTOS!C1828="","",ORCAMENTOS!C1828)</f>
        <v>R1</v>
      </c>
      <c r="D1820" s="37" t="str">
        <f>IF(ORCAMENTOS!D1828="","",ORCAMENTOS!D1828)</f>
        <v>DIAGRAMA AR</v>
      </c>
      <c r="E1820" s="38" t="str">
        <f>IF(ORCAMENTOS!E1828="","",ORCAMENTOS!E1828)</f>
        <v>MP FORTALEZA</v>
      </c>
      <c r="F1820" s="37" t="str">
        <f>IF(ORCAMENTOS!G1828="","",ORCAMENTOS!G1828)</f>
        <v>Guilherme</v>
      </c>
      <c r="G1820" s="37" t="str">
        <f>IF(ORCAMENTOS!H1828="","",ORCAMENTOS!H1828)</f>
        <v>Sandra</v>
      </c>
      <c r="H1820" s="39">
        <f>IF(ORCAMENTOS!I1828="","",ORCAMENTOS!I1828)</f>
        <v>993647.59</v>
      </c>
      <c r="I1820" s="60">
        <f>IF(ORCAMENTOS!J1828="","",ORCAMENTOS!J1828)</f>
        <v>7.0000000000000007E-2</v>
      </c>
      <c r="J1820" s="40" t="str">
        <f>IF(ORCAMENTOS!L1828="","",ORCAMENTOS!L1828)</f>
        <v>CANCELADO</v>
      </c>
      <c r="K1820" s="34" t="str">
        <f>IF(ORCAMENTOS!M1828="","",ORCAMENTOS!M1828)</f>
        <v>-</v>
      </c>
      <c r="L1820" t="str">
        <f>IF(ORCAMENTOS!R1828="","",ORCAMENTOS!R1828)</f>
        <v>-</v>
      </c>
    </row>
    <row r="1821" spans="1:12" ht="15.75" hidden="1" customHeight="1" x14ac:dyDescent="0.25">
      <c r="A1821" s="36">
        <f>IF(ORCAMENTOS!A1829="","",ORCAMENTOS!A1829)</f>
        <v>45946</v>
      </c>
      <c r="B1821" s="46">
        <f>IF(ORCAMENTOS!B1829="","",ORCAMENTOS!B1829)</f>
        <v>1819</v>
      </c>
      <c r="C1821" s="46" t="str">
        <f>IF(ORCAMENTOS!C1829="","",ORCAMENTOS!C1829)</f>
        <v/>
      </c>
      <c r="D1821" s="37" t="str">
        <f>IF(ORCAMENTOS!D1829="","",ORCAMENTOS!D1829)</f>
        <v>SERENO EXPRESS</v>
      </c>
      <c r="E1821" s="38" t="str">
        <f>IF(ORCAMENTOS!E1829="","",ORCAMENTOS!E1829)</f>
        <v>AILTON SOARES - RIBEIRAO PRETO - SP</v>
      </c>
      <c r="F1821" s="37" t="str">
        <f>IF(ORCAMENTOS!G1829="","",ORCAMENTOS!G1829)</f>
        <v>Guilherme</v>
      </c>
      <c r="G1821" s="37" t="str">
        <f>IF(ORCAMENTOS!H1829="","",ORCAMENTOS!H1829)</f>
        <v>Mauro</v>
      </c>
      <c r="H1821" s="39">
        <f>IF(ORCAMENTOS!I1829="","",ORCAMENTOS!I1829)</f>
        <v>11464.84</v>
      </c>
      <c r="I1821" s="60">
        <f>IF(ORCAMENTOS!J1829="","",ORCAMENTOS!J1829)</f>
        <v>7.0000000000000007E-2</v>
      </c>
      <c r="J1821" s="40" t="str">
        <f>IF(ORCAMENTOS!L1829="","",ORCAMENTOS!L1829)</f>
        <v>CANCELADO</v>
      </c>
      <c r="K1821" s="34" t="str">
        <f>IF(ORCAMENTOS!M1829="","",ORCAMENTOS!M1829)</f>
        <v>-</v>
      </c>
      <c r="L1821" t="str">
        <f>IF(ORCAMENTOS!R1829="","",ORCAMENTOS!R1829)</f>
        <v>CHAPA DE ACO GALVANIZADO</v>
      </c>
    </row>
    <row r="1822" spans="1:12" ht="15.75" hidden="1" customHeight="1" x14ac:dyDescent="0.25">
      <c r="A1822" s="36">
        <f>IF(ORCAMENTOS!A1830="","",ORCAMENTOS!A1830)</f>
        <v>45946</v>
      </c>
      <c r="B1822" s="46">
        <f>IF(ORCAMENTOS!B1830="","",ORCAMENTOS!B1830)</f>
        <v>1820</v>
      </c>
      <c r="C1822" s="46" t="str">
        <f>IF(ORCAMENTOS!C1830="","",ORCAMENTOS!C1830)</f>
        <v/>
      </c>
      <c r="D1822" s="37" t="str">
        <f>IF(ORCAMENTOS!D1830="","",ORCAMENTOS!D1830)</f>
        <v>BEST CLIMA</v>
      </c>
      <c r="E1822" s="38" t="str">
        <f>IF(ORCAMENTOS!E1830="","",ORCAMENTOS!E1830)</f>
        <v>LIEBHER</v>
      </c>
      <c r="F1822" s="37" t="str">
        <f>IF(ORCAMENTOS!G1830="","",ORCAMENTOS!G1830)</f>
        <v xml:space="preserve">Aldavir </v>
      </c>
      <c r="G1822" s="37" t="str">
        <f>IF(ORCAMENTOS!H1830="","",ORCAMENTOS!H1830)</f>
        <v>-</v>
      </c>
      <c r="H1822" s="39" t="str">
        <f>IF(ORCAMENTOS!I1830="","",ORCAMENTOS!I1830)</f>
        <v>-</v>
      </c>
      <c r="I1822" s="60" t="str">
        <f>IF(ORCAMENTOS!J1830="","",ORCAMENTOS!J1830)</f>
        <v>-</v>
      </c>
      <c r="J1822" s="40" t="str">
        <f>IF(ORCAMENTOS!L1830="","",ORCAMENTOS!L1830)</f>
        <v>CANCELADO</v>
      </c>
      <c r="K1822" s="34" t="str">
        <f>IF(ORCAMENTOS!M1830="","",ORCAMENTOS!M1830)</f>
        <v>-</v>
      </c>
      <c r="L1822" t="str">
        <f>IF(ORCAMENTOS!R1830="","",ORCAMENTOS!R1830)</f>
        <v>-</v>
      </c>
    </row>
    <row r="1823" spans="1:12" ht="15.75" hidden="1" customHeight="1" x14ac:dyDescent="0.25">
      <c r="A1823" s="36">
        <f>IF(ORCAMENTOS!A1831="","",ORCAMENTOS!A1831)</f>
        <v>45947</v>
      </c>
      <c r="B1823" s="46">
        <f>IF(ORCAMENTOS!B1831="","",ORCAMENTOS!B1831)</f>
        <v>1821</v>
      </c>
      <c r="C1823" s="46" t="str">
        <f>IF(ORCAMENTOS!C1831="","",ORCAMENTOS!C1831)</f>
        <v/>
      </c>
      <c r="D1823" s="37" t="str">
        <f>IF(ORCAMENTOS!D1831="","",ORCAMENTOS!D1831)</f>
        <v>HERSA</v>
      </c>
      <c r="E1823" s="38" t="str">
        <f>IF(ORCAMENTOS!E1831="","",ORCAMENTOS!E1831)</f>
        <v>SUPLAN - CENTRO PARAOLIMPICO</v>
      </c>
      <c r="F1823" s="37" t="str">
        <f>IF(ORCAMENTOS!G1831="","",ORCAMENTOS!G1831)</f>
        <v>Gabriel</v>
      </c>
      <c r="G1823" s="37" t="str">
        <f>IF(ORCAMENTOS!H1831="","",ORCAMENTOS!H1831)</f>
        <v>Caroline</v>
      </c>
      <c r="H1823" s="39">
        <f>IF(ORCAMENTOS!I1831="","",ORCAMENTOS!I1831)</f>
        <v>2201.19</v>
      </c>
      <c r="I1823" s="60">
        <f>IF(ORCAMENTOS!J1831="","",ORCAMENTOS!J1831)</f>
        <v>7.0000000000000007E-2</v>
      </c>
      <c r="J1823" s="40" t="str">
        <f>IF(ORCAMENTOS!L1831="","",ORCAMENTOS!L1831)</f>
        <v>CANCELADO</v>
      </c>
      <c r="K1823" s="34" t="str">
        <f>IF(ORCAMENTOS!M1831="","",ORCAMENTOS!M1831)</f>
        <v>-</v>
      </c>
      <c r="L1823" t="str">
        <f>IF(ORCAMENTOS!R1831="","",ORCAMENTOS!R1831)</f>
        <v>-</v>
      </c>
    </row>
    <row r="1824" spans="1:12" ht="15.75" hidden="1" customHeight="1" x14ac:dyDescent="0.25">
      <c r="A1824" s="36">
        <f>IF(ORCAMENTOS!A1832="","",ORCAMENTOS!A1832)</f>
        <v>45947</v>
      </c>
      <c r="B1824" s="46">
        <f>IF(ORCAMENTOS!B1832="","",ORCAMENTOS!B1832)</f>
        <v>1822</v>
      </c>
      <c r="C1824" s="46" t="str">
        <f>IF(ORCAMENTOS!C1832="","",ORCAMENTOS!C1832)</f>
        <v/>
      </c>
      <c r="D1824" s="37" t="str">
        <f>IF(ORCAMENTOS!D1832="","",ORCAMENTOS!D1832)</f>
        <v>WELLNESS</v>
      </c>
      <c r="E1824" s="38" t="str">
        <f>IF(ORCAMENTOS!E1832="","",ORCAMENTOS!E1832)</f>
        <v>-</v>
      </c>
      <c r="F1824" s="37" t="str">
        <f>IF(ORCAMENTOS!G1832="","",ORCAMENTOS!G1832)</f>
        <v>Gabriel</v>
      </c>
      <c r="G1824" s="37" t="str">
        <f>IF(ORCAMENTOS!H1832="","",ORCAMENTOS!H1832)</f>
        <v>Ivanise</v>
      </c>
      <c r="H1824" s="39">
        <f>IF(ORCAMENTOS!I1832="","",ORCAMENTOS!I1832)</f>
        <v>98890.79</v>
      </c>
      <c r="I1824" s="60">
        <f>IF(ORCAMENTOS!J1832="","",ORCAMENTOS!J1832)</f>
        <v>0.05</v>
      </c>
      <c r="J1824" s="40" t="str">
        <f>IF(ORCAMENTOS!L1832="","",ORCAMENTOS!L1832)</f>
        <v>COMPRA</v>
      </c>
      <c r="K1824" s="34" t="str">
        <f>IF(ORCAMENTOS!M1832="","",ORCAMENTOS!M1832)</f>
        <v>-</v>
      </c>
      <c r="L1824" t="str">
        <f>IF(ORCAMENTOS!R1832="","",ORCAMENTOS!R1832)</f>
        <v>-</v>
      </c>
    </row>
    <row r="1825" spans="1:12" ht="15.75" hidden="1" customHeight="1" x14ac:dyDescent="0.25">
      <c r="A1825" s="36">
        <f>IF(ORCAMENTOS!A1833="","",ORCAMENTOS!A1833)</f>
        <v>45947</v>
      </c>
      <c r="B1825" s="46">
        <f>IF(ORCAMENTOS!B1833="","",ORCAMENTOS!B1833)</f>
        <v>1823</v>
      </c>
      <c r="C1825" s="46" t="str">
        <f>IF(ORCAMENTOS!C1833="","",ORCAMENTOS!C1833)</f>
        <v/>
      </c>
      <c r="D1825" s="37" t="str">
        <f>IF(ORCAMENTOS!D1833="","",ORCAMENTOS!D1833)</f>
        <v>CONTROLE CLIMA</v>
      </c>
      <c r="E1825" s="38" t="str">
        <f>IF(ORCAMENTOS!E1833="","",ORCAMENTOS!E1833)</f>
        <v>SmartFit Leblon - ABC</v>
      </c>
      <c r="F1825" s="37" t="str">
        <f>IF(ORCAMENTOS!G1833="","",ORCAMENTOS!G1833)</f>
        <v>Gabriel</v>
      </c>
      <c r="G1825" s="37" t="str">
        <f>IF(ORCAMENTOS!H1833="","",ORCAMENTOS!H1833)</f>
        <v>Edimario</v>
      </c>
      <c r="H1825" s="39">
        <f>IF(ORCAMENTOS!I1833="","",ORCAMENTOS!I1833)</f>
        <v>30643.95</v>
      </c>
      <c r="I1825" s="60">
        <f>IF(ORCAMENTOS!J1833="","",ORCAMENTOS!J1833)</f>
        <v>7.0000000000000007E-2</v>
      </c>
      <c r="J1825" s="40" t="str">
        <f>IF(ORCAMENTOS!L1833="","",ORCAMENTOS!L1833)</f>
        <v>COMPRA</v>
      </c>
      <c r="K1825" s="34" t="str">
        <f>IF(ORCAMENTOS!M1833="","",ORCAMENTOS!M1833)</f>
        <v>-</v>
      </c>
      <c r="L1825" t="str">
        <f>IF(ORCAMENTOS!R1833="","",ORCAMENTOS!R1833)</f>
        <v>-</v>
      </c>
    </row>
    <row r="1826" spans="1:12" ht="15.75" hidden="1" customHeight="1" x14ac:dyDescent="0.25">
      <c r="A1826" s="36">
        <f>IF(ORCAMENTOS!A1834="","",ORCAMENTOS!A1834)</f>
        <v>45947</v>
      </c>
      <c r="B1826" s="46">
        <f>IF(ORCAMENTOS!B1834="","",ORCAMENTOS!B1834)</f>
        <v>1824</v>
      </c>
      <c r="C1826" s="46" t="str">
        <f>IF(ORCAMENTOS!C1834="","",ORCAMENTOS!C1834)</f>
        <v/>
      </c>
      <c r="D1826" s="37" t="str">
        <f>IF(ORCAMENTOS!D1834="","",ORCAMENTOS!D1834)</f>
        <v>AWA AR CONDICIONADO</v>
      </c>
      <c r="E1826" s="38" t="str">
        <f>IF(ORCAMENTOS!E1834="","",ORCAMENTOS!E1834)</f>
        <v>GIGA ATACADO - PIRAPORINHA - SÃO BERNARDO DO CAMPO - SP</v>
      </c>
      <c r="F1826" s="37" t="str">
        <f>IF(ORCAMENTOS!G1834="","",ORCAMENTOS!G1834)</f>
        <v>Guilherme</v>
      </c>
      <c r="G1826" s="37" t="str">
        <f>IF(ORCAMENTOS!H1834="","",ORCAMENTOS!H1834)</f>
        <v>Gustavo</v>
      </c>
      <c r="H1826" s="39">
        <f>IF(ORCAMENTOS!I1834="","",ORCAMENTOS!I1834)</f>
        <v>256668.65</v>
      </c>
      <c r="I1826" s="60">
        <f>IF(ORCAMENTOS!J1834="","",ORCAMENTOS!J1834)</f>
        <v>7.0000000000000007E-2</v>
      </c>
      <c r="J1826" s="40" t="str">
        <f>IF(ORCAMENTOS!L1834="","",ORCAMENTOS!L1834)</f>
        <v>CANCELADO</v>
      </c>
      <c r="K1826" s="34" t="str">
        <f>IF(ORCAMENTOS!M1834="","",ORCAMENTOS!M1834)</f>
        <v>-</v>
      </c>
      <c r="L1826" t="str">
        <f>IF(ORCAMENTOS!R1834="","",ORCAMENTOS!R1834)</f>
        <v>CHAPA DE ACO GALVANIZADO</v>
      </c>
    </row>
    <row r="1827" spans="1:12" ht="15.75" hidden="1" customHeight="1" x14ac:dyDescent="0.25">
      <c r="A1827" s="36">
        <f>IF(ORCAMENTOS!A1835="","",ORCAMENTOS!A1835)</f>
        <v>45947</v>
      </c>
      <c r="B1827" s="46">
        <f>IF(ORCAMENTOS!B1835="","",ORCAMENTOS!B1835)</f>
        <v>1825</v>
      </c>
      <c r="C1827" s="46" t="str">
        <f>IF(ORCAMENTOS!C1835="","",ORCAMENTOS!C1835)</f>
        <v/>
      </c>
      <c r="D1827" s="37" t="str">
        <f>IF(ORCAMENTOS!D1835="","",ORCAMENTOS!D1835)</f>
        <v>ACK AR CONDICIONADO</v>
      </c>
      <c r="E1827" s="38" t="str">
        <f>IF(ORCAMENTOS!E1835="","",ORCAMENTOS!E1835)</f>
        <v>-</v>
      </c>
      <c r="F1827" s="37" t="str">
        <f>IF(ORCAMENTOS!G1835="","",ORCAMENTOS!G1835)</f>
        <v>Emanuel</v>
      </c>
      <c r="G1827" s="37" t="str">
        <f>IF(ORCAMENTOS!H1835="","",ORCAMENTOS!H1835)</f>
        <v>Clovis</v>
      </c>
      <c r="H1827" s="39">
        <f>IF(ORCAMENTOS!I1835="","",ORCAMENTOS!I1835)</f>
        <v>22594.82</v>
      </c>
      <c r="I1827" s="60">
        <f>IF(ORCAMENTOS!J1835="","",ORCAMENTOS!J1835)</f>
        <v>7.0000000000000007E-2</v>
      </c>
      <c r="J1827" s="40" t="str">
        <f>IF(ORCAMENTOS!L1835="","",ORCAMENTOS!L1835)</f>
        <v>CANCELADO</v>
      </c>
      <c r="K1827" s="34" t="str">
        <f>IF(ORCAMENTOS!M1835="","",ORCAMENTOS!M1835)</f>
        <v>-</v>
      </c>
      <c r="L1827" t="str">
        <f>IF(ORCAMENTOS!R1835="","",ORCAMENTOS!R1835)</f>
        <v>-</v>
      </c>
    </row>
    <row r="1828" spans="1:12" ht="15.75" hidden="1" customHeight="1" x14ac:dyDescent="0.25">
      <c r="A1828" s="36">
        <f>IF(ORCAMENTOS!A1836="","",ORCAMENTOS!A1836)</f>
        <v>45947</v>
      </c>
      <c r="B1828" s="46">
        <f>IF(ORCAMENTOS!B1836="","",ORCAMENTOS!B1836)</f>
        <v>1826</v>
      </c>
      <c r="C1828" s="46" t="str">
        <f>IF(ORCAMENTOS!C1836="","",ORCAMENTOS!C1836)</f>
        <v/>
      </c>
      <c r="D1828" s="37" t="str">
        <f>IF(ORCAMENTOS!D1836="","",ORCAMENTOS!D1836)</f>
        <v>K SET</v>
      </c>
      <c r="E1828" s="38" t="str">
        <f>IF(ORCAMENTOS!E1836="","",ORCAMENTOS!E1836)</f>
        <v>-</v>
      </c>
      <c r="F1828" s="37" t="str">
        <f>IF(ORCAMENTOS!G1836="","",ORCAMENTOS!G1836)</f>
        <v>Gabriel</v>
      </c>
      <c r="G1828" s="37" t="str">
        <f>IF(ORCAMENTOS!H1836="","",ORCAMENTOS!H1836)</f>
        <v>Juliana</v>
      </c>
      <c r="H1828" s="39">
        <f>IF(ORCAMENTOS!I1836="","",ORCAMENTOS!I1836)</f>
        <v>4324.37</v>
      </c>
      <c r="I1828" s="60">
        <f>IF(ORCAMENTOS!J1836="","",ORCAMENTOS!J1836)</f>
        <v>7.0000000000000007E-2</v>
      </c>
      <c r="J1828" s="40" t="str">
        <f>IF(ORCAMENTOS!L1836="","",ORCAMENTOS!L1836)</f>
        <v>CANCELADO</v>
      </c>
      <c r="K1828" s="34" t="str">
        <f>IF(ORCAMENTOS!M1836="","",ORCAMENTOS!M1836)</f>
        <v>-</v>
      </c>
      <c r="L1828" t="str">
        <f>IF(ORCAMENTOS!R1836="","",ORCAMENTOS!R1836)</f>
        <v>-</v>
      </c>
    </row>
    <row r="1829" spans="1:12" ht="15.75" hidden="1" customHeight="1" x14ac:dyDescent="0.25">
      <c r="A1829" s="36">
        <f>IF(ORCAMENTOS!A1837="","",ORCAMENTOS!A1837)</f>
        <v>45947</v>
      </c>
      <c r="B1829" s="46">
        <f>IF(ORCAMENTOS!B1837="","",ORCAMENTOS!B1837)</f>
        <v>1827</v>
      </c>
      <c r="C1829" s="46" t="str">
        <f>IF(ORCAMENTOS!C1837="","",ORCAMENTOS!C1837)</f>
        <v/>
      </c>
      <c r="D1829" s="37" t="str">
        <f>IF(ORCAMENTOS!D1837="","",ORCAMENTOS!D1837)</f>
        <v>SAFETY WALL</v>
      </c>
      <c r="E1829" s="38" t="str">
        <f>IF(ORCAMENTOS!E1837="","",ORCAMENTOS!E1837)</f>
        <v>-</v>
      </c>
      <c r="F1829" s="37" t="str">
        <f>IF(ORCAMENTOS!G1837="","",ORCAMENTOS!G1837)</f>
        <v>Gabriel</v>
      </c>
      <c r="G1829" s="37" t="str">
        <f>IF(ORCAMENTOS!H1837="","",ORCAMENTOS!H1837)</f>
        <v>Fabiana</v>
      </c>
      <c r="H1829" s="39">
        <f>IF(ORCAMENTOS!I1837="","",ORCAMENTOS!I1837)</f>
        <v>2009.25</v>
      </c>
      <c r="I1829" s="60">
        <f>IF(ORCAMENTOS!J1837="","",ORCAMENTOS!J1837)</f>
        <v>7.0000000000000007E-2</v>
      </c>
      <c r="J1829" s="40" t="str">
        <f>IF(ORCAMENTOS!L1837="","",ORCAMENTOS!L1837)</f>
        <v>CANCELADO</v>
      </c>
      <c r="K1829" s="34" t="str">
        <f>IF(ORCAMENTOS!M1837="","",ORCAMENTOS!M1837)</f>
        <v>-</v>
      </c>
      <c r="L1829" t="str">
        <f>IF(ORCAMENTOS!R1837="","",ORCAMENTOS!R1837)</f>
        <v>-</v>
      </c>
    </row>
    <row r="1830" spans="1:12" ht="15.75" hidden="1" customHeight="1" x14ac:dyDescent="0.25">
      <c r="A1830" s="36">
        <f>IF(ORCAMENTOS!A1838="","",ORCAMENTOS!A1838)</f>
        <v>45947</v>
      </c>
      <c r="B1830" s="46">
        <f>IF(ORCAMENTOS!B1838="","",ORCAMENTOS!B1838)</f>
        <v>1828</v>
      </c>
      <c r="C1830" s="46" t="str">
        <f>IF(ORCAMENTOS!C1838="","",ORCAMENTOS!C1838)</f>
        <v/>
      </c>
      <c r="D1830" s="37" t="str">
        <f>IF(ORCAMENTOS!D1838="","",ORCAMENTOS!D1838)</f>
        <v>ROMULO SAMUEL</v>
      </c>
      <c r="E1830" s="38" t="str">
        <f>IF(ORCAMENTOS!E1838="","",ORCAMENTOS!E1838)</f>
        <v>SMARTFIT - BACABAL - MA</v>
      </c>
      <c r="F1830" s="37" t="str">
        <f>IF(ORCAMENTOS!G1838="","",ORCAMENTOS!G1838)</f>
        <v>Gabriel</v>
      </c>
      <c r="G1830" s="37" t="str">
        <f>IF(ORCAMENTOS!H1838="","",ORCAMENTOS!H1838)</f>
        <v>Romulo</v>
      </c>
      <c r="H1830" s="39">
        <f>IF(ORCAMENTOS!I1838="","",ORCAMENTOS!I1838)</f>
        <v>19089.82</v>
      </c>
      <c r="I1830" s="60">
        <f>IF(ORCAMENTOS!J1838="","",ORCAMENTOS!J1838)</f>
        <v>7.0000000000000007E-2</v>
      </c>
      <c r="J1830" s="40" t="str">
        <f>IF(ORCAMENTOS!L1838="","",ORCAMENTOS!L1838)</f>
        <v>CANCELADO</v>
      </c>
      <c r="K1830" s="34" t="str">
        <f>IF(ORCAMENTOS!M1838="","",ORCAMENTOS!M1838)</f>
        <v>-</v>
      </c>
      <c r="L1830" t="str">
        <f>IF(ORCAMENTOS!R1838="","",ORCAMENTOS!R1838)</f>
        <v>MPU</v>
      </c>
    </row>
    <row r="1831" spans="1:12" ht="15.75" hidden="1" customHeight="1" x14ac:dyDescent="0.25">
      <c r="A1831" s="36">
        <f>IF(ORCAMENTOS!A1839="","",ORCAMENTOS!A1839)</f>
        <v>45947</v>
      </c>
      <c r="B1831" s="46">
        <f>IF(ORCAMENTOS!B1839="","",ORCAMENTOS!B1839)</f>
        <v>1829</v>
      </c>
      <c r="C1831" s="46" t="str">
        <f>IF(ORCAMENTOS!C1839="","",ORCAMENTOS!C1839)</f>
        <v/>
      </c>
      <c r="D1831" s="37" t="str">
        <f>IF(ORCAMENTOS!D1839="","",ORCAMENTOS!D1839)</f>
        <v>PANTERAMONT</v>
      </c>
      <c r="E1831" s="38" t="str">
        <f>IF(ORCAMENTOS!E1839="","",ORCAMENTOS!E1839)</f>
        <v>-</v>
      </c>
      <c r="F1831" s="37" t="str">
        <f>IF(ORCAMENTOS!G1839="","",ORCAMENTOS!G1839)</f>
        <v>Gabriel</v>
      </c>
      <c r="G1831" s="37" t="str">
        <f>IF(ORCAMENTOS!H1839="","",ORCAMENTOS!H1839)</f>
        <v>Marcelo</v>
      </c>
      <c r="H1831" s="39">
        <f>IF(ORCAMENTOS!I1839="","",ORCAMENTOS!I1839)</f>
        <v>3450</v>
      </c>
      <c r="I1831" s="60">
        <f>IF(ORCAMENTOS!J1839="","",ORCAMENTOS!J1839)</f>
        <v>7.0000000000000007E-2</v>
      </c>
      <c r="J1831" s="40" t="str">
        <f>IF(ORCAMENTOS!L1839="","",ORCAMENTOS!L1839)</f>
        <v>FECHADO</v>
      </c>
      <c r="K1831" s="34" t="str">
        <f>IF(ORCAMENTOS!M1839="","",ORCAMENTOS!M1839)</f>
        <v>-</v>
      </c>
      <c r="L1831" t="str">
        <f>IF(ORCAMENTOS!R1839="","",ORCAMENTOS!R1839)</f>
        <v>-</v>
      </c>
    </row>
    <row r="1832" spans="1:12" ht="15.75" hidden="1" customHeight="1" x14ac:dyDescent="0.25">
      <c r="A1832" s="36">
        <f>IF(ORCAMENTOS!A1840="","",ORCAMENTOS!A1840)</f>
        <v>45950</v>
      </c>
      <c r="B1832" s="46">
        <f>IF(ORCAMENTOS!B1840="","",ORCAMENTOS!B1840)</f>
        <v>1830</v>
      </c>
      <c r="C1832" s="46" t="str">
        <f>IF(ORCAMENTOS!C1840="","",ORCAMENTOS!C1840)</f>
        <v>R1</v>
      </c>
      <c r="D1832" s="37" t="str">
        <f>IF(ORCAMENTOS!D1840="","",ORCAMENTOS!D1840)</f>
        <v>SO AR CLIMATIZACAO</v>
      </c>
      <c r="E1832" s="38" t="str">
        <f>IF(ORCAMENTOS!E1840="","",ORCAMENTOS!E1840)</f>
        <v>-</v>
      </c>
      <c r="F1832" s="37" t="str">
        <f>IF(ORCAMENTOS!G1840="","",ORCAMENTOS!G1840)</f>
        <v>Gabriel</v>
      </c>
      <c r="G1832" s="37" t="str">
        <f>IF(ORCAMENTOS!H1840="","",ORCAMENTOS!H1840)</f>
        <v>Gabriel</v>
      </c>
      <c r="H1832" s="39">
        <f>IF(ORCAMENTOS!I1840="","",ORCAMENTOS!I1840)</f>
        <v>20361.900000000001</v>
      </c>
      <c r="I1832" s="60">
        <f>IF(ORCAMENTOS!J1840="","",ORCAMENTOS!J1840)</f>
        <v>0.05</v>
      </c>
      <c r="J1832" s="40" t="str">
        <f>IF(ORCAMENTOS!L1840="","",ORCAMENTOS!L1840)</f>
        <v>CANCELADO</v>
      </c>
      <c r="K1832" s="34" t="str">
        <f>IF(ORCAMENTOS!M1840="","",ORCAMENTOS!M1840)</f>
        <v>-</v>
      </c>
      <c r="L1832" t="str">
        <f>IF(ORCAMENTOS!R1840="","",ORCAMENTOS!R1840)</f>
        <v>-</v>
      </c>
    </row>
    <row r="1833" spans="1:12" ht="15.75" hidden="1" customHeight="1" x14ac:dyDescent="0.25">
      <c r="A1833" s="36">
        <f>IF(ORCAMENTOS!A1841="","",ORCAMENTOS!A1841)</f>
        <v>45950</v>
      </c>
      <c r="B1833" s="46">
        <f>IF(ORCAMENTOS!B1841="","",ORCAMENTOS!B1841)</f>
        <v>1831</v>
      </c>
      <c r="C1833" s="46" t="str">
        <f>IF(ORCAMENTOS!C1841="","",ORCAMENTOS!C1841)</f>
        <v>R2</v>
      </c>
      <c r="D1833" s="37" t="str">
        <f>IF(ORCAMENTOS!D1841="","",ORCAMENTOS!D1841)</f>
        <v>ACSISTEM</v>
      </c>
      <c r="E1833" s="38" t="str">
        <f>IF(ORCAMENTOS!E1841="","",ORCAMENTOS!E1841)</f>
        <v>GRUPO SC PARA</v>
      </c>
      <c r="F1833" s="37" t="str">
        <f>IF(ORCAMENTOS!G1841="","",ORCAMENTOS!G1841)</f>
        <v>Emanuel</v>
      </c>
      <c r="G1833" s="37" t="str">
        <f>IF(ORCAMENTOS!H1841="","",ORCAMENTOS!H1841)</f>
        <v>David</v>
      </c>
      <c r="H1833" s="39">
        <f>IF(ORCAMENTOS!I1841="","",ORCAMENTOS!I1841)</f>
        <v>107577.58</v>
      </c>
      <c r="I1833" s="60">
        <f>IF(ORCAMENTOS!J1841="","",ORCAMENTOS!J1841)</f>
        <v>0.03</v>
      </c>
      <c r="J1833" s="40" t="str">
        <f>IF(ORCAMENTOS!L1841="","",ORCAMENTOS!L1841)</f>
        <v>CANCELADO</v>
      </c>
      <c r="K1833" s="34" t="str">
        <f>IF(ORCAMENTOS!M1841="","",ORCAMENTOS!M1841)</f>
        <v>-</v>
      </c>
      <c r="L1833" t="str">
        <f>IF(ORCAMENTOS!R1841="","",ORCAMENTOS!R1841)</f>
        <v>-</v>
      </c>
    </row>
    <row r="1834" spans="1:12" ht="15.75" hidden="1" customHeight="1" x14ac:dyDescent="0.25">
      <c r="A1834" s="36">
        <f>IF(ORCAMENTOS!A1842="","",ORCAMENTOS!A1842)</f>
        <v>45950</v>
      </c>
      <c r="B1834" s="46">
        <f>IF(ORCAMENTOS!B1842="","",ORCAMENTOS!B1842)</f>
        <v>1832</v>
      </c>
      <c r="C1834" s="46" t="str">
        <f>IF(ORCAMENTOS!C1842="","",ORCAMENTOS!C1842)</f>
        <v/>
      </c>
      <c r="D1834" s="37" t="str">
        <f>IF(ORCAMENTOS!D1842="","",ORCAMENTOS!D1842)</f>
        <v>AR SISTEMAS</v>
      </c>
      <c r="E1834" s="38" t="str">
        <f>IF(ORCAMENTOS!E1842="","",ORCAMENTOS!E1842)</f>
        <v>OBRAMAX - SHOPPING LESTE ARICANDUVA</v>
      </c>
      <c r="F1834" s="37" t="str">
        <f>IF(ORCAMENTOS!G1842="","",ORCAMENTOS!G1842)</f>
        <v>Michel</v>
      </c>
      <c r="G1834" s="37" t="str">
        <f>IF(ORCAMENTOS!H1842="","",ORCAMENTOS!H1842)</f>
        <v>Anderson</v>
      </c>
      <c r="H1834" s="39">
        <f>IF(ORCAMENTOS!I1842="","",ORCAMENTOS!I1842)</f>
        <v>342694.16</v>
      </c>
      <c r="I1834" s="60">
        <f>IF(ORCAMENTOS!J1842="","",ORCAMENTOS!J1842)</f>
        <v>7.0000000000000007E-2</v>
      </c>
      <c r="J1834" s="40" t="str">
        <f>IF(ORCAMENTOS!L1842="","",ORCAMENTOS!L1842)</f>
        <v>CANCELADO</v>
      </c>
      <c r="K1834" s="34" t="str">
        <f>IF(ORCAMENTOS!M1842="","",ORCAMENTOS!M1842)</f>
        <v>-</v>
      </c>
      <c r="L1834" t="str">
        <f>IF(ORCAMENTOS!R1842="","",ORCAMENTOS!R1842)</f>
        <v>N/E</v>
      </c>
    </row>
    <row r="1835" spans="1:12" ht="15.75" hidden="1" customHeight="1" x14ac:dyDescent="0.25">
      <c r="A1835" s="36">
        <f>IF(ORCAMENTOS!A1843="","",ORCAMENTOS!A1843)</f>
        <v>45951</v>
      </c>
      <c r="B1835" s="46">
        <f>IF(ORCAMENTOS!B1843="","",ORCAMENTOS!B1843)</f>
        <v>1833</v>
      </c>
      <c r="C1835" s="46" t="str">
        <f>IF(ORCAMENTOS!C1843="","",ORCAMENTOS!C1843)</f>
        <v>R1</v>
      </c>
      <c r="D1835" s="37" t="str">
        <f>IF(ORCAMENTOS!D1843="","",ORCAMENTOS!D1843)</f>
        <v>KONAR</v>
      </c>
      <c r="E1835" s="38" t="str">
        <f>IF(ORCAMENTOS!E1843="","",ORCAMENTOS!E1843)</f>
        <v>454-24 - RETROFIT EBM - GW</v>
      </c>
      <c r="F1835" s="37" t="str">
        <f>IF(ORCAMENTOS!G1843="","",ORCAMENTOS!G1843)</f>
        <v>Michel</v>
      </c>
      <c r="G1835" s="37" t="str">
        <f>IF(ORCAMENTOS!H1843="","",ORCAMENTOS!H1843)</f>
        <v>Fabio</v>
      </c>
      <c r="H1835" s="39">
        <f>IF(ORCAMENTOS!I1843="","",ORCAMENTOS!I1843)</f>
        <v>14558.69</v>
      </c>
      <c r="I1835" s="60">
        <f>IF(ORCAMENTOS!J1843="","",ORCAMENTOS!J1843)</f>
        <v>0.04</v>
      </c>
      <c r="J1835" s="40" t="str">
        <f>IF(ORCAMENTOS!L1843="","",ORCAMENTOS!L1843)</f>
        <v>PERDIDO</v>
      </c>
      <c r="K1835" s="34" t="str">
        <f>IF(ORCAMENTOS!M1843="","",ORCAMENTOS!M1843)</f>
        <v>FECHADO ARCOTEC</v>
      </c>
      <c r="L1835" t="str">
        <f>IF(ORCAMENTOS!R1843="","",ORCAMENTOS!R1843)</f>
        <v>-</v>
      </c>
    </row>
    <row r="1836" spans="1:12" ht="15.75" hidden="1" customHeight="1" x14ac:dyDescent="0.25">
      <c r="A1836" s="36">
        <f>IF(ORCAMENTOS!A1844="","",ORCAMENTOS!A1844)</f>
        <v>45950</v>
      </c>
      <c r="B1836" s="46">
        <f>IF(ORCAMENTOS!B1844="","",ORCAMENTOS!B1844)</f>
        <v>1834</v>
      </c>
      <c r="C1836" s="46" t="str">
        <f>IF(ORCAMENTOS!C1844="","",ORCAMENTOS!C1844)</f>
        <v/>
      </c>
      <c r="D1836" s="37" t="str">
        <f>IF(ORCAMENTOS!D1844="","",ORCAMENTOS!D1844)</f>
        <v>TELMEC</v>
      </c>
      <c r="E1836" s="38" t="str">
        <f>IF(ORCAMENTOS!E1844="","",ORCAMENTOS!E1844)</f>
        <v>AEROPORTO INTERNACIONAL DE GUARULHOS - PIER T3B</v>
      </c>
      <c r="F1836" s="37" t="str">
        <f>IF(ORCAMENTOS!G1844="","",ORCAMENTOS!G1844)</f>
        <v>Gabriel</v>
      </c>
      <c r="G1836" s="37" t="str">
        <f>IF(ORCAMENTOS!H1844="","",ORCAMENTOS!H1844)</f>
        <v>Emerson</v>
      </c>
      <c r="H1836" s="39">
        <f>IF(ORCAMENTOS!I1844="","",ORCAMENTOS!I1844)</f>
        <v>100227.56</v>
      </c>
      <c r="I1836" s="60">
        <f>IF(ORCAMENTOS!J1844="","",ORCAMENTOS!J1844)</f>
        <v>0.03</v>
      </c>
      <c r="J1836" s="40" t="str">
        <f>IF(ORCAMENTOS!L1844="","",ORCAMENTOS!L1844)</f>
        <v>FECHADO</v>
      </c>
      <c r="K1836" s="34" t="str">
        <f>IF(ORCAMENTOS!M1844="","",ORCAMENTOS!M1844)</f>
        <v>PREV. 2026</v>
      </c>
      <c r="L1836" t="str">
        <f>IF(ORCAMENTOS!R1844="","",ORCAMENTOS!R1844)</f>
        <v>-</v>
      </c>
    </row>
    <row r="1837" spans="1:12" ht="15.75" hidden="1" customHeight="1" x14ac:dyDescent="0.25">
      <c r="A1837" s="36">
        <f>IF(ORCAMENTOS!A1845="","",ORCAMENTOS!A1845)</f>
        <v>45950</v>
      </c>
      <c r="B1837" s="46">
        <f>IF(ORCAMENTOS!B1845="","",ORCAMENTOS!B1845)</f>
        <v>1835</v>
      </c>
      <c r="C1837" s="46" t="str">
        <f>IF(ORCAMENTOS!C1845="","",ORCAMENTOS!C1845)</f>
        <v/>
      </c>
      <c r="D1837" s="37" t="str">
        <f>IF(ORCAMENTOS!D1845="","",ORCAMENTOS!D1845)</f>
        <v>AMS INSTALACOES</v>
      </c>
      <c r="E1837" s="38" t="str">
        <f>IF(ORCAMENTOS!E1845="","",ORCAMENTOS!E1845)</f>
        <v>LOBBY PAULISTA - 1100 - SP</v>
      </c>
      <c r="F1837" s="37" t="str">
        <f>IF(ORCAMENTOS!G1845="","",ORCAMENTOS!G1845)</f>
        <v>Gabriel</v>
      </c>
      <c r="G1837" s="37" t="str">
        <f>IF(ORCAMENTOS!H1845="","",ORCAMENTOS!H1845)</f>
        <v>Renan</v>
      </c>
      <c r="H1837" s="39">
        <f>IF(ORCAMENTOS!I1845="","",ORCAMENTOS!I1845)</f>
        <v>10045.799999999999</v>
      </c>
      <c r="I1837" s="60">
        <f>IF(ORCAMENTOS!J1845="","",ORCAMENTOS!J1845)</f>
        <v>7.0000000000000007E-2</v>
      </c>
      <c r="J1837" s="40" t="str">
        <f>IF(ORCAMENTOS!L1845="","",ORCAMENTOS!L1845)</f>
        <v>CANCELADO</v>
      </c>
      <c r="K1837" s="34" t="str">
        <f>IF(ORCAMENTOS!M1845="","",ORCAMENTOS!M1845)</f>
        <v>-</v>
      </c>
      <c r="L1837" t="str">
        <f>IF(ORCAMENTOS!R1845="","",ORCAMENTOS!R1845)</f>
        <v>N/E</v>
      </c>
    </row>
    <row r="1838" spans="1:12" ht="15.75" hidden="1" customHeight="1" x14ac:dyDescent="0.25">
      <c r="A1838" s="36">
        <f>IF(ORCAMENTOS!A1846="","",ORCAMENTOS!A1846)</f>
        <v>45950</v>
      </c>
      <c r="B1838" s="46">
        <f>IF(ORCAMENTOS!B1846="","",ORCAMENTOS!B1846)</f>
        <v>1836</v>
      </c>
      <c r="C1838" s="46" t="str">
        <f>IF(ORCAMENTOS!C1846="","",ORCAMENTOS!C1846)</f>
        <v>R1</v>
      </c>
      <c r="D1838" s="37" t="str">
        <f>IF(ORCAMENTOS!D1846="","",ORCAMENTOS!D1846)</f>
        <v>A2 SERVICOS</v>
      </c>
      <c r="E1838" s="38" t="str">
        <f>IF(ORCAMENTOS!E1846="","",ORCAMENTOS!E1846)</f>
        <v>-</v>
      </c>
      <c r="F1838" s="37" t="str">
        <f>IF(ORCAMENTOS!G1846="","",ORCAMENTOS!G1846)</f>
        <v>Gabriel</v>
      </c>
      <c r="G1838" s="37" t="str">
        <f>IF(ORCAMENTOS!H1846="","",ORCAMENTOS!H1846)</f>
        <v>Roni</v>
      </c>
      <c r="H1838" s="39">
        <f>IF(ORCAMENTOS!I1846="","",ORCAMENTOS!I1846)</f>
        <v>7912.87</v>
      </c>
      <c r="I1838" s="60">
        <f>IF(ORCAMENTOS!J1846="","",ORCAMENTOS!J1846)</f>
        <v>0.05</v>
      </c>
      <c r="J1838" s="40" t="str">
        <f>IF(ORCAMENTOS!L1846="","",ORCAMENTOS!L1846)</f>
        <v>CANCELADO</v>
      </c>
      <c r="K1838" s="34" t="str">
        <f>IF(ORCAMENTOS!M1846="","",ORCAMENTOS!M1846)</f>
        <v>-</v>
      </c>
      <c r="L1838" t="str">
        <f>IF(ORCAMENTOS!R1846="","",ORCAMENTOS!R1846)</f>
        <v>-</v>
      </c>
    </row>
    <row r="1839" spans="1:12" ht="15.75" hidden="1" customHeight="1" x14ac:dyDescent="0.25">
      <c r="A1839" s="36">
        <f>IF(ORCAMENTOS!A1847="","",ORCAMENTOS!A1847)</f>
        <v>45950</v>
      </c>
      <c r="B1839" s="46">
        <f>IF(ORCAMENTOS!B1847="","",ORCAMENTOS!B1847)</f>
        <v>1837</v>
      </c>
      <c r="C1839" s="46" t="str">
        <f>IF(ORCAMENTOS!C1847="","",ORCAMENTOS!C1847)</f>
        <v/>
      </c>
      <c r="D1839" s="37" t="str">
        <f>IF(ORCAMENTOS!D1847="","",ORCAMENTOS!D1847)</f>
        <v>ALEX DAS NEVES</v>
      </c>
      <c r="E1839" s="38" t="str">
        <f>IF(ORCAMENTOS!E1847="","",ORCAMENTOS!E1847)</f>
        <v>-</v>
      </c>
      <c r="F1839" s="37" t="str">
        <f>IF(ORCAMENTOS!G1847="","",ORCAMENTOS!G1847)</f>
        <v>Gabriel</v>
      </c>
      <c r="G1839" s="37" t="str">
        <f>IF(ORCAMENTOS!H1847="","",ORCAMENTOS!H1847)</f>
        <v>Alex</v>
      </c>
      <c r="H1839" s="39">
        <f>IF(ORCAMENTOS!I1847="","",ORCAMENTOS!I1847)</f>
        <v>8181.18</v>
      </c>
      <c r="I1839" s="60">
        <f>IF(ORCAMENTOS!J1847="","",ORCAMENTOS!J1847)</f>
        <v>7.0000000000000007E-2</v>
      </c>
      <c r="J1839" s="40" t="str">
        <f>IF(ORCAMENTOS!L1847="","",ORCAMENTOS!L1847)</f>
        <v>CANCELADO</v>
      </c>
      <c r="K1839" s="34" t="str">
        <f>IF(ORCAMENTOS!M1847="","",ORCAMENTOS!M1847)</f>
        <v>-</v>
      </c>
      <c r="L1839" t="str">
        <f>IF(ORCAMENTOS!R1847="","",ORCAMENTOS!R1847)</f>
        <v>-</v>
      </c>
    </row>
    <row r="1840" spans="1:12" ht="15.75" hidden="1" customHeight="1" x14ac:dyDescent="0.25">
      <c r="A1840" s="36">
        <f>IF(ORCAMENTOS!A1848="","",ORCAMENTOS!A1848)</f>
        <v>45951</v>
      </c>
      <c r="B1840" s="46">
        <f>IF(ORCAMENTOS!B1848="","",ORCAMENTOS!B1848)</f>
        <v>1838</v>
      </c>
      <c r="C1840" s="46" t="str">
        <f>IF(ORCAMENTOS!C1848="","",ORCAMENTOS!C1848)</f>
        <v>R3</v>
      </c>
      <c r="D1840" s="37" t="str">
        <f>IF(ORCAMENTOS!D1848="","",ORCAMENTOS!D1848)</f>
        <v>INOVECTOR</v>
      </c>
      <c r="E1840" s="38" t="str">
        <f>IF(ORCAMENTOS!E1848="","",ORCAMENTOS!E1848)</f>
        <v>HOSPITAL SANTA CRUZ - TERREO_1°PAVIMENTO</v>
      </c>
      <c r="F1840" s="37" t="str">
        <f>IF(ORCAMENTOS!G1848="","",ORCAMENTOS!G1848)</f>
        <v>Fernando</v>
      </c>
      <c r="G1840" s="37" t="str">
        <f>IF(ORCAMENTOS!H1848="","",ORCAMENTOS!H1848)</f>
        <v>Cristina</v>
      </c>
      <c r="H1840" s="39">
        <f>IF(ORCAMENTOS!I1848="","",ORCAMENTOS!I1848)</f>
        <v>98844.41</v>
      </c>
      <c r="I1840" s="60">
        <f>IF(ORCAMENTOS!J1848="","",ORCAMENTOS!J1848)</f>
        <v>0.03</v>
      </c>
      <c r="J1840" s="40" t="str">
        <f>IF(ORCAMENTOS!L1848="","",ORCAMENTOS!L1848)</f>
        <v>FECHADO</v>
      </c>
      <c r="K1840" s="34" t="str">
        <f>IF(ORCAMENTOS!M1848="","",ORCAMENTOS!M1848)</f>
        <v>-</v>
      </c>
      <c r="L1840" t="str">
        <f>IF(ORCAMENTOS!R1848="","",ORCAMENTOS!R1848)</f>
        <v>-</v>
      </c>
    </row>
    <row r="1841" spans="1:12" ht="15.75" hidden="1" customHeight="1" x14ac:dyDescent="0.25">
      <c r="A1841" s="36">
        <f>IF(ORCAMENTOS!A1849="","",ORCAMENTOS!A1849)</f>
        <v>45951</v>
      </c>
      <c r="B1841" s="46">
        <f>IF(ORCAMENTOS!B1849="","",ORCAMENTOS!B1849)</f>
        <v>1839</v>
      </c>
      <c r="C1841" s="46" t="str">
        <f>IF(ORCAMENTOS!C1849="","",ORCAMENTOS!C1849)</f>
        <v>R3</v>
      </c>
      <c r="D1841" s="37" t="str">
        <f>IF(ORCAMENTOS!D1849="","",ORCAMENTOS!D1849)</f>
        <v>SESIL AR</v>
      </c>
      <c r="E1841" s="38" t="str">
        <f>IF(ORCAMENTOS!E1849="","",ORCAMENTOS!E1849)</f>
        <v>SF GUILHERMINA</v>
      </c>
      <c r="F1841" s="37" t="str">
        <f>IF(ORCAMENTOS!G1849="","",ORCAMENTOS!G1849)</f>
        <v>Fernando</v>
      </c>
      <c r="G1841" s="37" t="str">
        <f>IF(ORCAMENTOS!H1849="","",ORCAMENTOS!H1849)</f>
        <v>Elisangela</v>
      </c>
      <c r="H1841" s="39">
        <f>IF(ORCAMENTOS!I1849="","",ORCAMENTOS!I1849)</f>
        <v>105957.66</v>
      </c>
      <c r="I1841" s="60">
        <f>IF(ORCAMENTOS!J1849="","",ORCAMENTOS!J1849)</f>
        <v>0.03</v>
      </c>
      <c r="J1841" s="40" t="str">
        <f>IF(ORCAMENTOS!L1849="","",ORCAMENTOS!L1849)</f>
        <v>FECHADO</v>
      </c>
      <c r="K1841" s="34" t="str">
        <f>IF(ORCAMENTOS!M1849="","",ORCAMENTOS!M1849)</f>
        <v>-</v>
      </c>
      <c r="L1841" t="str">
        <f>IF(ORCAMENTOS!R1849="","",ORCAMENTOS!R1849)</f>
        <v>-</v>
      </c>
    </row>
    <row r="1842" spans="1:12" ht="15.75" hidden="1" customHeight="1" x14ac:dyDescent="0.25">
      <c r="A1842" s="36">
        <f>IF(ORCAMENTOS!A1850="","",ORCAMENTOS!A1850)</f>
        <v>45951</v>
      </c>
      <c r="B1842" s="46">
        <f>IF(ORCAMENTOS!B1850="","",ORCAMENTOS!B1850)</f>
        <v>1840</v>
      </c>
      <c r="C1842" s="46" t="str">
        <f>IF(ORCAMENTOS!C1850="","",ORCAMENTOS!C1850)</f>
        <v>R2</v>
      </c>
      <c r="D1842" s="37" t="str">
        <f>IF(ORCAMENTOS!D1850="","",ORCAMENTOS!D1850)</f>
        <v>SESIL AR</v>
      </c>
      <c r="E1842" s="38" t="str">
        <f>IF(ORCAMENTOS!E1850="","",ORCAMENTOS!E1850)</f>
        <v>SF TAMBORE - BARUERI</v>
      </c>
      <c r="F1842" s="37" t="str">
        <f>IF(ORCAMENTOS!G1850="","",ORCAMENTOS!G1850)</f>
        <v>Fernando</v>
      </c>
      <c r="G1842" s="37" t="str">
        <f>IF(ORCAMENTOS!H1850="","",ORCAMENTOS!H1850)</f>
        <v>Elisangela</v>
      </c>
      <c r="H1842" s="39">
        <f>IF(ORCAMENTOS!I1850="","",ORCAMENTOS!I1850)</f>
        <v>27391.88</v>
      </c>
      <c r="I1842" s="60">
        <f>IF(ORCAMENTOS!J1850="","",ORCAMENTOS!J1850)</f>
        <v>0.03</v>
      </c>
      <c r="J1842" s="40" t="str">
        <f>IF(ORCAMENTOS!L1850="","",ORCAMENTOS!L1850)</f>
        <v>FECHADO</v>
      </c>
      <c r="K1842" s="34" t="str">
        <f>IF(ORCAMENTOS!M1850="","",ORCAMENTOS!M1850)</f>
        <v>AGUARDANDO PEDIDO</v>
      </c>
      <c r="L1842" t="str">
        <f>IF(ORCAMENTOS!R1850="","",ORCAMENTOS!R1850)</f>
        <v>-</v>
      </c>
    </row>
    <row r="1843" spans="1:12" ht="15.75" hidden="1" customHeight="1" x14ac:dyDescent="0.25">
      <c r="A1843" s="36">
        <f>IF(ORCAMENTOS!A1851="","",ORCAMENTOS!A1851)</f>
        <v>45951</v>
      </c>
      <c r="B1843" s="46">
        <f>IF(ORCAMENTOS!B1851="","",ORCAMENTOS!B1851)</f>
        <v>1841</v>
      </c>
      <c r="C1843" s="46" t="str">
        <f>IF(ORCAMENTOS!C1851="","",ORCAMENTOS!C1851)</f>
        <v/>
      </c>
      <c r="D1843" s="37" t="str">
        <f>IF(ORCAMENTOS!D1851="","",ORCAMENTOS!D1851)</f>
        <v>VELTTER ENGENHARIA</v>
      </c>
      <c r="E1843" s="38" t="str">
        <f>IF(ORCAMENTOS!E1851="","",ORCAMENTOS!E1851)</f>
        <v>-</v>
      </c>
      <c r="F1843" s="37" t="str">
        <f>IF(ORCAMENTOS!G1851="","",ORCAMENTOS!G1851)</f>
        <v>Gabriel</v>
      </c>
      <c r="G1843" s="37" t="str">
        <f>IF(ORCAMENTOS!H1851="","",ORCAMENTOS!H1851)</f>
        <v>Giovana</v>
      </c>
      <c r="H1843" s="39">
        <f>IF(ORCAMENTOS!I1851="","",ORCAMENTOS!I1851)</f>
        <v>2156.9499999999998</v>
      </c>
      <c r="I1843" s="60">
        <f>IF(ORCAMENTOS!J1851="","",ORCAMENTOS!J1851)</f>
        <v>7.0000000000000007E-2</v>
      </c>
      <c r="J1843" s="40" t="str">
        <f>IF(ORCAMENTOS!L1851="","",ORCAMENTOS!L1851)</f>
        <v>CANCELADO</v>
      </c>
      <c r="K1843" s="34" t="str">
        <f>IF(ORCAMENTOS!M1851="","",ORCAMENTOS!M1851)</f>
        <v>-</v>
      </c>
      <c r="L1843" t="str">
        <f>IF(ORCAMENTOS!R1851="","",ORCAMENTOS!R1851)</f>
        <v>-</v>
      </c>
    </row>
    <row r="1844" spans="1:12" ht="15.75" hidden="1" customHeight="1" x14ac:dyDescent="0.25">
      <c r="A1844" s="36">
        <f>IF(ORCAMENTOS!A1852="","",ORCAMENTOS!A1852)</f>
        <v>45951</v>
      </c>
      <c r="B1844" s="46">
        <f>IF(ORCAMENTOS!B1852="","",ORCAMENTOS!B1852)</f>
        <v>1842</v>
      </c>
      <c r="C1844" s="46" t="str">
        <f>IF(ORCAMENTOS!C1852="","",ORCAMENTOS!C1852)</f>
        <v/>
      </c>
      <c r="D1844" s="37" t="str">
        <f>IF(ORCAMENTOS!D1852="","",ORCAMENTOS!D1852)</f>
        <v>JPI AR CONDICIONADO</v>
      </c>
      <c r="E1844" s="38" t="str">
        <f>IF(ORCAMENTOS!E1852="","",ORCAMENTOS!E1852)</f>
        <v>HOSPITAL AMIL - PRAIA GRANDE - SP</v>
      </c>
      <c r="F1844" s="37" t="str">
        <f>IF(ORCAMENTOS!G1852="","",ORCAMENTOS!G1852)</f>
        <v>Gabriel</v>
      </c>
      <c r="G1844" s="37" t="str">
        <f>IF(ORCAMENTOS!H1852="","",ORCAMENTOS!H1852)</f>
        <v>Janio</v>
      </c>
      <c r="H1844" s="39">
        <f>IF(ORCAMENTOS!I1852="","",ORCAMENTOS!I1852)</f>
        <v>160560.88</v>
      </c>
      <c r="I1844" s="60">
        <f>IF(ORCAMENTOS!J1852="","",ORCAMENTOS!J1852)</f>
        <v>7.0000000000000007E-2</v>
      </c>
      <c r="J1844" s="40" t="str">
        <f>IF(ORCAMENTOS!L1852="","",ORCAMENTOS!L1852)</f>
        <v>CANCELADO</v>
      </c>
      <c r="K1844" s="34" t="str">
        <f>IF(ORCAMENTOS!M1852="","",ORCAMENTOS!M1852)</f>
        <v>-</v>
      </c>
      <c r="L1844" t="str">
        <f>IF(ORCAMENTOS!R1852="","",ORCAMENTOS!R1852)</f>
        <v>MPU</v>
      </c>
    </row>
    <row r="1845" spans="1:12" ht="15.75" hidden="1" customHeight="1" x14ac:dyDescent="0.25">
      <c r="A1845" s="36">
        <f>IF(ORCAMENTOS!A1853="","",ORCAMENTOS!A1853)</f>
        <v>45951</v>
      </c>
      <c r="B1845" s="46">
        <f>IF(ORCAMENTOS!B1853="","",ORCAMENTOS!B1853)</f>
        <v>1843</v>
      </c>
      <c r="C1845" s="46" t="str">
        <f>IF(ORCAMENTOS!C1853="","",ORCAMENTOS!C1853)</f>
        <v>R5</v>
      </c>
      <c r="D1845" s="37" t="str">
        <f>IF(ORCAMENTOS!D1853="","",ORCAMENTOS!D1853)</f>
        <v>NP CLIMATIZAÇÃO</v>
      </c>
      <c r="E1845" s="38" t="str">
        <f>IF(ORCAMENTOS!E1853="","",ORCAMENTOS!E1853)</f>
        <v>CASA SANCHEZ</v>
      </c>
      <c r="F1845" s="37" t="str">
        <f>IF(ORCAMENTOS!G1853="","",ORCAMENTOS!G1853)</f>
        <v>Guilherme</v>
      </c>
      <c r="G1845" s="37" t="str">
        <f>IF(ORCAMENTOS!H1853="","",ORCAMENTOS!H1853)</f>
        <v>Maria</v>
      </c>
      <c r="H1845" s="39">
        <f>IF(ORCAMENTOS!I1853="","",ORCAMENTOS!I1853)</f>
        <v>7623.17</v>
      </c>
      <c r="I1845" s="60">
        <f>IF(ORCAMENTOS!J1853="","",ORCAMENTOS!J1853)</f>
        <v>0.04</v>
      </c>
      <c r="J1845" s="40" t="str">
        <f>IF(ORCAMENTOS!L1853="","",ORCAMENTOS!L1853)</f>
        <v>FECHADO</v>
      </c>
      <c r="K1845" s="34" t="str">
        <f>IF(ORCAMENTOS!M1853="","",ORCAMENTOS!M1853)</f>
        <v>AGUARDANDO DEFINIÇÃO</v>
      </c>
      <c r="L1845" t="str">
        <f>IF(ORCAMENTOS!R1853="","",ORCAMENTOS!R1853)</f>
        <v>-</v>
      </c>
    </row>
    <row r="1846" spans="1:12" ht="15.75" hidden="1" customHeight="1" x14ac:dyDescent="0.25">
      <c r="A1846" s="36">
        <f>IF(ORCAMENTOS!A1854="","",ORCAMENTOS!A1854)</f>
        <v>45951</v>
      </c>
      <c r="B1846" s="46">
        <f>IF(ORCAMENTOS!B1854="","",ORCAMENTOS!B1854)</f>
        <v>1844</v>
      </c>
      <c r="C1846" s="46" t="str">
        <f>IF(ORCAMENTOS!C1854="","",ORCAMENTOS!C1854)</f>
        <v/>
      </c>
      <c r="D1846" s="37" t="str">
        <f>IF(ORCAMENTOS!D1854="","",ORCAMENTOS!D1854)</f>
        <v>NP CLIMATIZAÇÃO</v>
      </c>
      <c r="E1846" s="38" t="str">
        <f>IF(ORCAMENTOS!E1854="","",ORCAMENTOS!E1854)</f>
        <v>MARCELINHO TEIXEIRA</v>
      </c>
      <c r="F1846" s="37" t="str">
        <f>IF(ORCAMENTOS!G1854="","",ORCAMENTOS!G1854)</f>
        <v>Guilherme</v>
      </c>
      <c r="G1846" s="37" t="str">
        <f>IF(ORCAMENTOS!H1854="","",ORCAMENTOS!H1854)</f>
        <v>Maria</v>
      </c>
      <c r="H1846" s="39">
        <f>IF(ORCAMENTOS!I1854="","",ORCAMENTOS!I1854)</f>
        <v>12630.7</v>
      </c>
      <c r="I1846" s="60">
        <f>IF(ORCAMENTOS!J1854="","",ORCAMENTOS!J1854)</f>
        <v>0.04</v>
      </c>
      <c r="J1846" s="40" t="str">
        <f>IF(ORCAMENTOS!L1854="","",ORCAMENTOS!L1854)</f>
        <v>CANCELADO</v>
      </c>
      <c r="K1846" s="34" t="str">
        <f>IF(ORCAMENTOS!M1854="","",ORCAMENTOS!M1854)</f>
        <v>-</v>
      </c>
      <c r="L1846" t="str">
        <f>IF(ORCAMENTOS!R1854="","",ORCAMENTOS!R1854)</f>
        <v/>
      </c>
    </row>
    <row r="1847" spans="1:12" ht="15.75" hidden="1" customHeight="1" x14ac:dyDescent="0.25">
      <c r="A1847" s="36">
        <f>IF(ORCAMENTOS!A1855="","",ORCAMENTOS!A1855)</f>
        <v>45951</v>
      </c>
      <c r="B1847" s="46">
        <f>IF(ORCAMENTOS!B1855="","",ORCAMENTOS!B1855)</f>
        <v>1845</v>
      </c>
      <c r="C1847" s="46" t="str">
        <f>IF(ORCAMENTOS!C1855="","",ORCAMENTOS!C1855)</f>
        <v/>
      </c>
      <c r="D1847" s="37" t="str">
        <f>IF(ORCAMENTOS!D1855="","",ORCAMENTOS!D1855)</f>
        <v>IVTEC ENGENHARIA</v>
      </c>
      <c r="E1847" s="38" t="str">
        <f>IF(ORCAMENTOS!E1855="","",ORCAMENTOS!E1855)</f>
        <v>LICBRL225175-05</v>
      </c>
      <c r="F1847" s="37" t="str">
        <f>IF(ORCAMENTOS!G1855="","",ORCAMENTOS!G1855)</f>
        <v>Guilherme</v>
      </c>
      <c r="G1847" s="37" t="str">
        <f>IF(ORCAMENTOS!H1855="","",ORCAMENTOS!H1855)</f>
        <v>Matheus</v>
      </c>
      <c r="H1847" s="39">
        <f>IF(ORCAMENTOS!I1855="","",ORCAMENTOS!I1855)</f>
        <v>21137.94</v>
      </c>
      <c r="I1847" s="60">
        <f>IF(ORCAMENTOS!J1855="","",ORCAMENTOS!J1855)</f>
        <v>0.05</v>
      </c>
      <c r="J1847" s="40" t="str">
        <f>IF(ORCAMENTOS!L1855="","",ORCAMENTOS!L1855)</f>
        <v>FECHADO</v>
      </c>
      <c r="K1847" s="34" t="str">
        <f>IF(ORCAMENTOS!M1855="","",ORCAMENTOS!M1855)</f>
        <v>-</v>
      </c>
      <c r="L1847" t="str">
        <f>IF(ORCAMENTOS!R1855="","",ORCAMENTOS!R1855)</f>
        <v>-</v>
      </c>
    </row>
    <row r="1848" spans="1:12" ht="15.75" hidden="1" customHeight="1" x14ac:dyDescent="0.25">
      <c r="A1848" s="36">
        <f>IF(ORCAMENTOS!A1856="","",ORCAMENTOS!A1856)</f>
        <v>45951</v>
      </c>
      <c r="B1848" s="46">
        <f>IF(ORCAMENTOS!B1856="","",ORCAMENTOS!B1856)</f>
        <v>1846</v>
      </c>
      <c r="C1848" s="46" t="str">
        <f>IF(ORCAMENTOS!C1856="","",ORCAMENTOS!C1856)</f>
        <v/>
      </c>
      <c r="D1848" s="37" t="str">
        <f>IF(ORCAMENTOS!D1856="","",ORCAMENTOS!D1856)</f>
        <v>IVTEC ENGENHARIA</v>
      </c>
      <c r="E1848" s="38" t="str">
        <f>IF(ORCAMENTOS!E1856="","",ORCAMENTOS!E1856)</f>
        <v>LICBRL225175-05</v>
      </c>
      <c r="F1848" s="37" t="str">
        <f>IF(ORCAMENTOS!G1856="","",ORCAMENTOS!G1856)</f>
        <v>Guilherme</v>
      </c>
      <c r="G1848" s="37" t="str">
        <f>IF(ORCAMENTOS!H1856="","",ORCAMENTOS!H1856)</f>
        <v>Matheus</v>
      </c>
      <c r="H1848" s="39">
        <f>IF(ORCAMENTOS!I1856="","",ORCAMENTOS!I1856)</f>
        <v>21314.99</v>
      </c>
      <c r="I1848" s="60">
        <f>IF(ORCAMENTOS!J1856="","",ORCAMENTOS!J1856)</f>
        <v>0.05</v>
      </c>
      <c r="J1848" s="40" t="str">
        <f>IF(ORCAMENTOS!L1856="","",ORCAMENTOS!L1856)</f>
        <v>FECHADO</v>
      </c>
      <c r="K1848" s="34" t="str">
        <f>IF(ORCAMENTOS!M1856="","",ORCAMENTOS!M1856)</f>
        <v>-</v>
      </c>
      <c r="L1848" t="str">
        <f>IF(ORCAMENTOS!R1856="","",ORCAMENTOS!R1856)</f>
        <v>-</v>
      </c>
    </row>
    <row r="1849" spans="1:12" ht="15.75" hidden="1" customHeight="1" x14ac:dyDescent="0.25">
      <c r="A1849" s="36">
        <f>IF(ORCAMENTOS!A1857="","",ORCAMENTOS!A1857)</f>
        <v>45951</v>
      </c>
      <c r="B1849" s="46">
        <f>IF(ORCAMENTOS!B1857="","",ORCAMENTOS!B1857)</f>
        <v>1847</v>
      </c>
      <c r="C1849" s="46" t="str">
        <f>IF(ORCAMENTOS!C1857="","",ORCAMENTOS!C1857)</f>
        <v>R1</v>
      </c>
      <c r="D1849" s="37" t="str">
        <f>IF(ORCAMENTOS!D1857="","",ORCAMENTOS!D1857)</f>
        <v>IVTEC ENGENHARIA</v>
      </c>
      <c r="E1849" s="38" t="str">
        <f>IF(ORCAMENTOS!E1857="","",ORCAMENTOS!E1857)</f>
        <v>LICDBM225174</v>
      </c>
      <c r="F1849" s="37" t="str">
        <f>IF(ORCAMENTOS!G1857="","",ORCAMENTOS!G1857)</f>
        <v>Guilherme</v>
      </c>
      <c r="G1849" s="37" t="str">
        <f>IF(ORCAMENTOS!H1857="","",ORCAMENTOS!H1857)</f>
        <v>Matheus</v>
      </c>
      <c r="H1849" s="39">
        <f>IF(ORCAMENTOS!I1857="","",ORCAMENTOS!I1857)</f>
        <v>16745</v>
      </c>
      <c r="I1849" s="60">
        <f>IF(ORCAMENTOS!J1857="","",ORCAMENTOS!J1857)</f>
        <v>0.05</v>
      </c>
      <c r="J1849" s="40" t="str">
        <f>IF(ORCAMENTOS!L1857="","",ORCAMENTOS!L1857)</f>
        <v>FECHADO</v>
      </c>
      <c r="K1849" s="34" t="str">
        <f>IF(ORCAMENTOS!M1857="","",ORCAMENTOS!M1857)</f>
        <v>-</v>
      </c>
      <c r="L1849" t="str">
        <f>IF(ORCAMENTOS!R1857="","",ORCAMENTOS!R1857)</f>
        <v>-</v>
      </c>
    </row>
    <row r="1850" spans="1:12" ht="15.75" hidden="1" customHeight="1" x14ac:dyDescent="0.25">
      <c r="A1850" s="36">
        <f>IF(ORCAMENTOS!A1858="","",ORCAMENTOS!A1858)</f>
        <v>45951</v>
      </c>
      <c r="B1850" s="46">
        <f>IF(ORCAMENTOS!B1858="","",ORCAMENTOS!B1858)</f>
        <v>1848</v>
      </c>
      <c r="C1850" s="46" t="str">
        <f>IF(ORCAMENTOS!C1858="","",ORCAMENTOS!C1858)</f>
        <v>R1</v>
      </c>
      <c r="D1850" s="37" t="str">
        <f>IF(ORCAMENTOS!D1858="","",ORCAMENTOS!D1858)</f>
        <v>IVTEC ENGENHARIA</v>
      </c>
      <c r="E1850" s="38" t="str">
        <f>IF(ORCAMENTOS!E1858="","",ORCAMENTOS!E1858)</f>
        <v>LICRIT225197</v>
      </c>
      <c r="F1850" s="37" t="str">
        <f>IF(ORCAMENTOS!G1858="","",ORCAMENTOS!G1858)</f>
        <v>Guilherme</v>
      </c>
      <c r="G1850" s="37" t="str">
        <f>IF(ORCAMENTOS!H1858="","",ORCAMENTOS!H1858)</f>
        <v>Matheus</v>
      </c>
      <c r="H1850" s="39">
        <f>IF(ORCAMENTOS!I1858="","",ORCAMENTOS!I1858)</f>
        <v>19038.080000000002</v>
      </c>
      <c r="I1850" s="60">
        <f>IF(ORCAMENTOS!J1858="","",ORCAMENTOS!J1858)</f>
        <v>0.05</v>
      </c>
      <c r="J1850" s="40" t="str">
        <f>IF(ORCAMENTOS!L1858="","",ORCAMENTOS!L1858)</f>
        <v>FECHADO</v>
      </c>
      <c r="K1850" s="34" t="str">
        <f>IF(ORCAMENTOS!M1858="","",ORCAMENTOS!M1858)</f>
        <v>-</v>
      </c>
      <c r="L1850" t="str">
        <f>IF(ORCAMENTOS!R1858="","",ORCAMENTOS!R1858)</f>
        <v>-</v>
      </c>
    </row>
    <row r="1851" spans="1:12" ht="15.75" hidden="1" customHeight="1" x14ac:dyDescent="0.25">
      <c r="A1851" s="36">
        <f>IF(ORCAMENTOS!A1859="","",ORCAMENTOS!A1859)</f>
        <v>45951</v>
      </c>
      <c r="B1851" s="46">
        <f>IF(ORCAMENTOS!B1859="","",ORCAMENTOS!B1859)</f>
        <v>1849</v>
      </c>
      <c r="C1851" s="46" t="str">
        <f>IF(ORCAMENTOS!C1859="","",ORCAMENTOS!C1859)</f>
        <v>R1</v>
      </c>
      <c r="D1851" s="37" t="str">
        <f>IF(ORCAMENTOS!D1859="","",ORCAMENTOS!D1859)</f>
        <v>AIR CLIMATIZACAO</v>
      </c>
      <c r="E1851" s="38" t="str">
        <f>IF(ORCAMENTOS!E1859="","",ORCAMENTOS!E1859)</f>
        <v>SUITES 01 E 02</v>
      </c>
      <c r="F1851" s="37" t="str">
        <f>IF(ORCAMENTOS!G1859="","",ORCAMENTOS!G1859)</f>
        <v>Gabriel</v>
      </c>
      <c r="G1851" s="37" t="str">
        <f>IF(ORCAMENTOS!H1859="","",ORCAMENTOS!H1859)</f>
        <v>Marcos</v>
      </c>
      <c r="H1851" s="39">
        <f>IF(ORCAMENTOS!I1859="","",ORCAMENTOS!I1859)</f>
        <v>3002.6</v>
      </c>
      <c r="I1851" s="60">
        <f>IF(ORCAMENTOS!J1859="","",ORCAMENTOS!J1859)</f>
        <v>0.05</v>
      </c>
      <c r="J1851" s="40" t="str">
        <f>IF(ORCAMENTOS!L1859="","",ORCAMENTOS!L1859)</f>
        <v>FECHADO</v>
      </c>
      <c r="K1851" s="34" t="str">
        <f>IF(ORCAMENTOS!M1859="","",ORCAMENTOS!M1859)</f>
        <v>-</v>
      </c>
      <c r="L1851" t="str">
        <f>IF(ORCAMENTOS!R1859="","",ORCAMENTOS!R1859)</f>
        <v>N/E</v>
      </c>
    </row>
    <row r="1852" spans="1:12" ht="15.75" hidden="1" customHeight="1" x14ac:dyDescent="0.25">
      <c r="A1852" s="36">
        <f>IF(ORCAMENTOS!A1860="","",ORCAMENTOS!A1860)</f>
        <v>45951</v>
      </c>
      <c r="B1852" s="46">
        <f>IF(ORCAMENTOS!B1860="","",ORCAMENTOS!B1860)</f>
        <v>1850</v>
      </c>
      <c r="C1852" s="46" t="str">
        <f>IF(ORCAMENTOS!C1860="","",ORCAMENTOS!C1860)</f>
        <v/>
      </c>
      <c r="D1852" s="37" t="str">
        <f>IF(ORCAMENTOS!D1860="","",ORCAMENTOS!D1860)</f>
        <v>CONSTARCO</v>
      </c>
      <c r="E1852" s="38" t="str">
        <f>IF(ORCAMENTOS!E1860="","",ORCAMENTOS!E1860)</f>
        <v>REDE DOR - OSASCO</v>
      </c>
      <c r="F1852" s="37" t="str">
        <f>IF(ORCAMENTOS!G1860="","",ORCAMENTOS!G1860)</f>
        <v>Fernando</v>
      </c>
      <c r="G1852" s="37" t="str">
        <f>IF(ORCAMENTOS!H1860="","",ORCAMENTOS!H1860)</f>
        <v>Ana</v>
      </c>
      <c r="H1852" s="39">
        <f>IF(ORCAMENTOS!I1860="","",ORCAMENTOS!I1860)</f>
        <v>201551.77</v>
      </c>
      <c r="I1852" s="60">
        <f>IF(ORCAMENTOS!J1860="","",ORCAMENTOS!J1860)</f>
        <v>7.0000000000000007E-2</v>
      </c>
      <c r="J1852" s="40" t="str">
        <f>IF(ORCAMENTOS!L1860="","",ORCAMENTOS!L1860)</f>
        <v>CANCELADO</v>
      </c>
      <c r="K1852" s="34" t="str">
        <f>IF(ORCAMENTOS!M1860="","",ORCAMENTOS!M1860)</f>
        <v>-</v>
      </c>
      <c r="L1852" t="str">
        <f>IF(ORCAMENTOS!R1860="","",ORCAMENTOS!R1860)</f>
        <v>-</v>
      </c>
    </row>
    <row r="1853" spans="1:12" ht="15.75" hidden="1" customHeight="1" x14ac:dyDescent="0.25">
      <c r="A1853" s="36">
        <f>IF(ORCAMENTOS!A1861="","",ORCAMENTOS!A1861)</f>
        <v>45951</v>
      </c>
      <c r="B1853" s="46">
        <f>IF(ORCAMENTOS!B1861="","",ORCAMENTOS!B1861)</f>
        <v>1851</v>
      </c>
      <c r="C1853" s="46" t="str">
        <f>IF(ORCAMENTOS!C1861="","",ORCAMENTOS!C1861)</f>
        <v/>
      </c>
      <c r="D1853" s="37" t="str">
        <f>IF(ORCAMENTOS!D1861="","",ORCAMENTOS!D1861)</f>
        <v>A2 SERVICOS</v>
      </c>
      <c r="E1853" s="38" t="str">
        <f>IF(ORCAMENTOS!E1861="","",ORCAMENTOS!E1861)</f>
        <v>-</v>
      </c>
      <c r="F1853" s="37" t="str">
        <f>IF(ORCAMENTOS!G1861="","",ORCAMENTOS!G1861)</f>
        <v>Gabriel</v>
      </c>
      <c r="G1853" s="37" t="str">
        <f>IF(ORCAMENTOS!H1861="","",ORCAMENTOS!H1861)</f>
        <v>Ronilson</v>
      </c>
      <c r="H1853" s="39">
        <f>IF(ORCAMENTOS!I1861="","",ORCAMENTOS!I1861)</f>
        <v>28637.52</v>
      </c>
      <c r="I1853" s="60">
        <f>IF(ORCAMENTOS!J1861="","",ORCAMENTOS!J1861)</f>
        <v>0.05</v>
      </c>
      <c r="J1853" s="40" t="str">
        <f>IF(ORCAMENTOS!L1861="","",ORCAMENTOS!L1861)</f>
        <v>CANCELADO</v>
      </c>
      <c r="K1853" s="34" t="str">
        <f>IF(ORCAMENTOS!M1861="","",ORCAMENTOS!M1861)</f>
        <v>-</v>
      </c>
      <c r="L1853" t="str">
        <f>IF(ORCAMENTOS!R1861="","",ORCAMENTOS!R1861)</f>
        <v>-</v>
      </c>
    </row>
    <row r="1854" spans="1:12" ht="15.75" hidden="1" customHeight="1" x14ac:dyDescent="0.25">
      <c r="A1854" s="36">
        <f>IF(ORCAMENTOS!A1862="","",ORCAMENTOS!A1862)</f>
        <v>45951</v>
      </c>
      <c r="B1854" s="46">
        <f>IF(ORCAMENTOS!B1862="","",ORCAMENTOS!B1862)</f>
        <v>1852</v>
      </c>
      <c r="C1854" s="46" t="str">
        <f>IF(ORCAMENTOS!C1862="","",ORCAMENTOS!C1862)</f>
        <v/>
      </c>
      <c r="D1854" s="37" t="str">
        <f>IF(ORCAMENTOS!D1862="","",ORCAMENTOS!D1862)</f>
        <v>AMS INSTALACOES</v>
      </c>
      <c r="E1854" s="38" t="str">
        <f>IF(ORCAMENTOS!E1862="","",ORCAMENTOS!E1862)</f>
        <v>CASH ATACADOS - SANTANA DE PARNAIBA - SP</v>
      </c>
      <c r="F1854" s="37" t="str">
        <f>IF(ORCAMENTOS!G1862="","",ORCAMENTOS!G1862)</f>
        <v>Gabriel</v>
      </c>
      <c r="G1854" s="37" t="str">
        <f>IF(ORCAMENTOS!H1862="","",ORCAMENTOS!H1862)</f>
        <v>Albertino</v>
      </c>
      <c r="H1854" s="39">
        <f>IF(ORCAMENTOS!I1862="","",ORCAMENTOS!I1862)</f>
        <v>41919.5</v>
      </c>
      <c r="I1854" s="60">
        <f>IF(ORCAMENTOS!J1862="","",ORCAMENTOS!J1862)</f>
        <v>0.04</v>
      </c>
      <c r="J1854" s="40" t="str">
        <f>IF(ORCAMENTOS!L1862="","",ORCAMENTOS!L1862)</f>
        <v>FECHADO</v>
      </c>
      <c r="K1854" s="34" t="str">
        <f>IF(ORCAMENTOS!M1862="","",ORCAMENTOS!M1862)</f>
        <v>-</v>
      </c>
      <c r="L1854" t="str">
        <f>IF(ORCAMENTOS!R1862="","",ORCAMENTOS!R1862)</f>
        <v>MPU</v>
      </c>
    </row>
    <row r="1855" spans="1:12" ht="15.75" hidden="1" customHeight="1" x14ac:dyDescent="0.25">
      <c r="A1855" s="36">
        <f>IF(ORCAMENTOS!A1863="","",ORCAMENTOS!A1863)</f>
        <v>45951</v>
      </c>
      <c r="B1855" s="46">
        <f>IF(ORCAMENTOS!B1863="","",ORCAMENTOS!B1863)</f>
        <v>1853</v>
      </c>
      <c r="C1855" s="46" t="str">
        <f>IF(ORCAMENTOS!C1863="","",ORCAMENTOS!C1863)</f>
        <v>R1</v>
      </c>
      <c r="D1855" s="37" t="str">
        <f>IF(ORCAMENTOS!D1863="","",ORCAMENTOS!D1863)</f>
        <v>EKO CLIMAX</v>
      </c>
      <c r="E1855" s="38" t="str">
        <f>IF(ORCAMENTOS!E1863="","",ORCAMENTOS!E1863)</f>
        <v>-</v>
      </c>
      <c r="F1855" s="37" t="str">
        <f>IF(ORCAMENTOS!G1863="","",ORCAMENTOS!G1863)</f>
        <v>Michel</v>
      </c>
      <c r="G1855" s="37" t="str">
        <f>IF(ORCAMENTOS!H1863="","",ORCAMENTOS!H1863)</f>
        <v>Rogerio</v>
      </c>
      <c r="H1855" s="39">
        <f>IF(ORCAMENTOS!I1863="","",ORCAMENTOS!I1863)</f>
        <v>1495.2</v>
      </c>
      <c r="I1855" s="60">
        <f>IF(ORCAMENTOS!J1863="","",ORCAMENTOS!J1863)</f>
        <v>7.0000000000000007E-2</v>
      </c>
      <c r="J1855" s="40" t="str">
        <f>IF(ORCAMENTOS!L1863="","",ORCAMENTOS!L1863)</f>
        <v>FECHADO</v>
      </c>
      <c r="K1855" s="34" t="str">
        <f>IF(ORCAMENTOS!M1863="","",ORCAMENTOS!M1863)</f>
        <v>-</v>
      </c>
      <c r="L1855" t="str">
        <f>IF(ORCAMENTOS!R1863="","",ORCAMENTOS!R1863)</f>
        <v>-</v>
      </c>
    </row>
    <row r="1856" spans="1:12" ht="15.75" hidden="1" customHeight="1" x14ac:dyDescent="0.25">
      <c r="A1856" s="36">
        <f>IF(ORCAMENTOS!A1864="","",ORCAMENTOS!A1864)</f>
        <v>45951</v>
      </c>
      <c r="B1856" s="46">
        <f>IF(ORCAMENTOS!B1864="","",ORCAMENTOS!B1864)</f>
        <v>1854</v>
      </c>
      <c r="C1856" s="46" t="str">
        <f>IF(ORCAMENTOS!C1864="","",ORCAMENTOS!C1864)</f>
        <v/>
      </c>
      <c r="D1856" s="37" t="str">
        <f>IF(ORCAMENTOS!D1864="","",ORCAMENTOS!D1864)</f>
        <v>AMS INSTALACOES</v>
      </c>
      <c r="E1856" s="38" t="str">
        <f>IF(ORCAMENTOS!E1864="","",ORCAMENTOS!E1864)</f>
        <v>ASSAI SUMARE - SP</v>
      </c>
      <c r="F1856" s="37" t="str">
        <f>IF(ORCAMENTOS!G1864="","",ORCAMENTOS!G1864)</f>
        <v>Gabriel</v>
      </c>
      <c r="G1856" s="37" t="str">
        <f>IF(ORCAMENTOS!H1864="","",ORCAMENTOS!H1864)</f>
        <v>Renan</v>
      </c>
      <c r="H1856" s="39">
        <f>IF(ORCAMENTOS!I1864="","",ORCAMENTOS!I1864)</f>
        <v>190975.23</v>
      </c>
      <c r="I1856" s="60">
        <f>IF(ORCAMENTOS!J1864="","",ORCAMENTOS!J1864)</f>
        <v>7.0000000000000007E-2</v>
      </c>
      <c r="J1856" s="40" t="str">
        <f>IF(ORCAMENTOS!L1864="","",ORCAMENTOS!L1864)</f>
        <v>CANCELADO</v>
      </c>
      <c r="K1856" s="34" t="str">
        <f>IF(ORCAMENTOS!M1864="","",ORCAMENTOS!M1864)</f>
        <v>-</v>
      </c>
      <c r="L1856" t="str">
        <f>IF(ORCAMENTOS!R1864="","",ORCAMENTOS!R1864)</f>
        <v>MPU</v>
      </c>
    </row>
    <row r="1857" spans="1:12" ht="15.75" hidden="1" customHeight="1" x14ac:dyDescent="0.25">
      <c r="A1857" s="36">
        <f>IF(ORCAMENTOS!A1865="","",ORCAMENTOS!A1865)</f>
        <v>45952</v>
      </c>
      <c r="B1857" s="46">
        <f>IF(ORCAMENTOS!B1865="","",ORCAMENTOS!B1865)</f>
        <v>1855</v>
      </c>
      <c r="C1857" s="46" t="str">
        <f>IF(ORCAMENTOS!C1865="","",ORCAMENTOS!C1865)</f>
        <v>R1</v>
      </c>
      <c r="D1857" s="37" t="str">
        <f>IF(ORCAMENTOS!D1865="","",ORCAMENTOS!D1865)</f>
        <v>MANENG</v>
      </c>
      <c r="E1857" s="38" t="str">
        <f>IF(ORCAMENTOS!E1865="","",ORCAMENTOS!E1865)</f>
        <v>-</v>
      </c>
      <c r="F1857" s="37" t="str">
        <f>IF(ORCAMENTOS!G1865="","",ORCAMENTOS!G1865)</f>
        <v>Guilherme</v>
      </c>
      <c r="G1857" s="37" t="str">
        <f>IF(ORCAMENTOS!H1865="","",ORCAMENTOS!H1865)</f>
        <v>Gabrielle</v>
      </c>
      <c r="H1857" s="39">
        <f>IF(ORCAMENTOS!I1865="","",ORCAMENTOS!I1865)</f>
        <v>44215.71</v>
      </c>
      <c r="I1857" s="60">
        <f>IF(ORCAMENTOS!J1865="","",ORCAMENTOS!J1865)</f>
        <v>7.0000000000000007E-2</v>
      </c>
      <c r="J1857" s="40" t="str">
        <f>IF(ORCAMENTOS!L1865="","",ORCAMENTOS!L1865)</f>
        <v>FECHADO</v>
      </c>
      <c r="K1857" s="34" t="str">
        <f>IF(ORCAMENTOS!M1865="","",ORCAMENTOS!M1865)</f>
        <v>-</v>
      </c>
      <c r="L1857" t="str">
        <f>IF(ORCAMENTOS!R1865="","",ORCAMENTOS!R1865)</f>
        <v>-</v>
      </c>
    </row>
    <row r="1858" spans="1:12" ht="15.75" hidden="1" customHeight="1" x14ac:dyDescent="0.25">
      <c r="A1858" s="36">
        <f>IF(ORCAMENTOS!A1866="","",ORCAMENTOS!A1866)</f>
        <v>45951</v>
      </c>
      <c r="B1858" s="46">
        <f>IF(ORCAMENTOS!B1866="","",ORCAMENTOS!B1866)</f>
        <v>1856</v>
      </c>
      <c r="C1858" s="46" t="str">
        <f>IF(ORCAMENTOS!C1866="","",ORCAMENTOS!C1866)</f>
        <v>R1</v>
      </c>
      <c r="D1858" s="37" t="str">
        <f>IF(ORCAMENTOS!D1866="","",ORCAMENTOS!D1866)</f>
        <v>SESIL AR</v>
      </c>
      <c r="E1858" s="38" t="str">
        <f>IF(ORCAMENTOS!E1866="","",ORCAMENTOS!E1866)</f>
        <v>SMART CARAPICUÍBA</v>
      </c>
      <c r="F1858" s="37" t="str">
        <f>IF(ORCAMENTOS!G1866="","",ORCAMENTOS!G1866)</f>
        <v>Fernando</v>
      </c>
      <c r="G1858" s="37" t="str">
        <f>IF(ORCAMENTOS!H1866="","",ORCAMENTOS!H1866)</f>
        <v>Elisangela</v>
      </c>
      <c r="H1858" s="39">
        <f>IF(ORCAMENTOS!I1866="","",ORCAMENTOS!I1866)</f>
        <v>7120.28</v>
      </c>
      <c r="I1858" s="60">
        <f>IF(ORCAMENTOS!J1866="","",ORCAMENTOS!J1866)</f>
        <v>0.03</v>
      </c>
      <c r="J1858" s="40" t="str">
        <f>IF(ORCAMENTOS!L1866="","",ORCAMENTOS!L1866)</f>
        <v>FECHADO</v>
      </c>
      <c r="K1858" s="34" t="str">
        <f>IF(ORCAMENTOS!M1866="","",ORCAMENTOS!M1866)</f>
        <v>PREV. NOVEMBRO</v>
      </c>
      <c r="L1858" t="str">
        <f>IF(ORCAMENTOS!R1866="","",ORCAMENTOS!R1866)</f>
        <v>-</v>
      </c>
    </row>
    <row r="1859" spans="1:12" ht="15.75" hidden="1" customHeight="1" x14ac:dyDescent="0.25">
      <c r="A1859" s="36">
        <f>IF(ORCAMENTOS!A1867="","",ORCAMENTOS!A1867)</f>
        <v>45952</v>
      </c>
      <c r="B1859" s="46">
        <f>IF(ORCAMENTOS!B1867="","",ORCAMENTOS!B1867)</f>
        <v>1857</v>
      </c>
      <c r="C1859" s="46" t="str">
        <f>IF(ORCAMENTOS!C1867="","",ORCAMENTOS!C1867)</f>
        <v/>
      </c>
      <c r="D1859" s="37" t="str">
        <f>IF(ORCAMENTOS!D1867="","",ORCAMENTOS!D1867)</f>
        <v>KEISAN CONSULTORIA</v>
      </c>
      <c r="E1859" s="38" t="str">
        <f>IF(ORCAMENTOS!E1867="","",ORCAMENTOS!E1867)</f>
        <v>REGUS - ALPHAVILLE</v>
      </c>
      <c r="F1859" s="37" t="str">
        <f>IF(ORCAMENTOS!G1867="","",ORCAMENTOS!G1867)</f>
        <v>Gabriel</v>
      </c>
      <c r="G1859" s="37" t="str">
        <f>IF(ORCAMENTOS!H1867="","",ORCAMENTOS!H1867)</f>
        <v>Robson</v>
      </c>
      <c r="H1859" s="39">
        <f>IF(ORCAMENTOS!I1867="","",ORCAMENTOS!I1867)</f>
        <v>21510.17</v>
      </c>
      <c r="I1859" s="60">
        <f>IF(ORCAMENTOS!J1867="","",ORCAMENTOS!J1867)</f>
        <v>7.0000000000000007E-2</v>
      </c>
      <c r="J1859" s="40" t="str">
        <f>IF(ORCAMENTOS!L1867="","",ORCAMENTOS!L1867)</f>
        <v>CANCELADO</v>
      </c>
      <c r="K1859" s="34" t="str">
        <f>IF(ORCAMENTOS!M1867="","",ORCAMENTOS!M1867)</f>
        <v>-</v>
      </c>
      <c r="L1859" t="str">
        <f>IF(ORCAMENTOS!R1867="","",ORCAMENTOS!R1867)</f>
        <v/>
      </c>
    </row>
    <row r="1860" spans="1:12" ht="15.75" hidden="1" customHeight="1" x14ac:dyDescent="0.25">
      <c r="A1860" s="36">
        <f>IF(ORCAMENTOS!A1868="","",ORCAMENTOS!A1868)</f>
        <v>45952</v>
      </c>
      <c r="B1860" s="46">
        <f>IF(ORCAMENTOS!B1868="","",ORCAMENTOS!B1868)</f>
        <v>1858</v>
      </c>
      <c r="C1860" s="46" t="str">
        <f>IF(ORCAMENTOS!C1868="","",ORCAMENTOS!C1868)</f>
        <v/>
      </c>
      <c r="D1860" s="37" t="str">
        <f>IF(ORCAMENTOS!D1868="","",ORCAMENTOS!D1868)</f>
        <v>NEWSET</v>
      </c>
      <c r="E1860" s="38" t="str">
        <f>IF(ORCAMENTOS!E1868="","",ORCAMENTOS!E1868)</f>
        <v>HCOR - TMO 2º PAVIMENTO</v>
      </c>
      <c r="F1860" s="37" t="str">
        <f>IF(ORCAMENTOS!G1868="","",ORCAMENTOS!G1868)</f>
        <v xml:space="preserve">Aldavir </v>
      </c>
      <c r="G1860" s="37" t="str">
        <f>IF(ORCAMENTOS!H1868="","",ORCAMENTOS!H1868)</f>
        <v>Tassya</v>
      </c>
      <c r="H1860" s="39">
        <f>IF(ORCAMENTOS!I1868="","",ORCAMENTOS!I1868)</f>
        <v>3634.1</v>
      </c>
      <c r="I1860" s="60">
        <f>IF(ORCAMENTOS!J1868="","",ORCAMENTOS!J1868)</f>
        <v>7.0000000000000007E-2</v>
      </c>
      <c r="J1860" s="40" t="str">
        <f>IF(ORCAMENTOS!L1868="","",ORCAMENTOS!L1868)</f>
        <v>FECHADO</v>
      </c>
      <c r="K1860" s="34" t="str">
        <f>IF(ORCAMENTOS!M1868="","",ORCAMENTOS!M1868)</f>
        <v>-</v>
      </c>
      <c r="L1860" t="str">
        <f>IF(ORCAMENTOS!R1868="","",ORCAMENTOS!R1868)</f>
        <v>-</v>
      </c>
    </row>
    <row r="1861" spans="1:12" ht="15.75" hidden="1" customHeight="1" x14ac:dyDescent="0.25">
      <c r="A1861" s="36">
        <f>IF(ORCAMENTOS!A1869="","",ORCAMENTOS!A1869)</f>
        <v>45952</v>
      </c>
      <c r="B1861" s="46">
        <f>IF(ORCAMENTOS!B1869="","",ORCAMENTOS!B1869)</f>
        <v>1859</v>
      </c>
      <c r="C1861" s="46" t="str">
        <f>IF(ORCAMENTOS!C1869="","",ORCAMENTOS!C1869)</f>
        <v/>
      </c>
      <c r="D1861" s="37" t="str">
        <f>IF(ORCAMENTOS!D1869="","",ORCAMENTOS!D1869)</f>
        <v>DC INSTALACOES</v>
      </c>
      <c r="E1861" s="38" t="str">
        <f>IF(ORCAMENTOS!E1869="","",ORCAMENTOS!E1869)</f>
        <v>-</v>
      </c>
      <c r="F1861" s="37" t="str">
        <f>IF(ORCAMENTOS!G1869="","",ORCAMENTOS!G1869)</f>
        <v>Michel</v>
      </c>
      <c r="G1861" s="37" t="str">
        <f>IF(ORCAMENTOS!H1869="","",ORCAMENTOS!H1869)</f>
        <v>Claudino</v>
      </c>
      <c r="H1861" s="39">
        <f>IF(ORCAMENTOS!I1869="","",ORCAMENTOS!I1869)</f>
        <v>25837.14</v>
      </c>
      <c r="I1861" s="60">
        <f>IF(ORCAMENTOS!J1869="","",ORCAMENTOS!J1869)</f>
        <v>7.0000000000000007E-2</v>
      </c>
      <c r="J1861" s="40" t="str">
        <f>IF(ORCAMENTOS!L1869="","",ORCAMENTOS!L1869)</f>
        <v>CANCELADO</v>
      </c>
      <c r="K1861" s="34" t="str">
        <f>IF(ORCAMENTOS!M1869="","",ORCAMENTOS!M1869)</f>
        <v>-</v>
      </c>
      <c r="L1861" t="str">
        <f>IF(ORCAMENTOS!R1869="","",ORCAMENTOS!R1869)</f>
        <v>-</v>
      </c>
    </row>
    <row r="1862" spans="1:12" ht="15.75" hidden="1" customHeight="1" x14ac:dyDescent="0.25">
      <c r="A1862" s="36">
        <f>IF(ORCAMENTOS!A1870="","",ORCAMENTOS!A1870)</f>
        <v>45952</v>
      </c>
      <c r="B1862" s="46">
        <f>IF(ORCAMENTOS!B1870="","",ORCAMENTOS!B1870)</f>
        <v>1860</v>
      </c>
      <c r="C1862" s="46" t="str">
        <f>IF(ORCAMENTOS!C1870="","",ORCAMENTOS!C1870)</f>
        <v/>
      </c>
      <c r="D1862" s="37" t="str">
        <f>IF(ORCAMENTOS!D1870="","",ORCAMENTOS!D1870)</f>
        <v>AWA AR CONDICIONADO</v>
      </c>
      <c r="E1862" s="38" t="str">
        <f>IF(ORCAMENTOS!E1870="","",ORCAMENTOS!E1870)</f>
        <v>SYSMEX DO BRASIL - SÃO JOSE DOS PINHAIS - PR</v>
      </c>
      <c r="F1862" s="37" t="str">
        <f>IF(ORCAMENTOS!G1870="","",ORCAMENTOS!G1870)</f>
        <v>Guilherme</v>
      </c>
      <c r="G1862" s="37" t="str">
        <f>IF(ORCAMENTOS!H1870="","",ORCAMENTOS!H1870)</f>
        <v>Gustavo</v>
      </c>
      <c r="H1862" s="39">
        <f>IF(ORCAMENTOS!I1870="","",ORCAMENTOS!I1870)</f>
        <v>341184.81</v>
      </c>
      <c r="I1862" s="60">
        <f>IF(ORCAMENTOS!J1870="","",ORCAMENTOS!J1870)</f>
        <v>7.0000000000000007E-2</v>
      </c>
      <c r="J1862" s="40" t="str">
        <f>IF(ORCAMENTOS!L1870="","",ORCAMENTOS!L1870)</f>
        <v>CANCELADO</v>
      </c>
      <c r="K1862" s="34" t="str">
        <f>IF(ORCAMENTOS!M1870="","",ORCAMENTOS!M1870)</f>
        <v>-</v>
      </c>
      <c r="L1862" t="str">
        <f>IF(ORCAMENTOS!R1870="","",ORCAMENTOS!R1870)</f>
        <v/>
      </c>
    </row>
    <row r="1863" spans="1:12" ht="15.75" hidden="1" customHeight="1" x14ac:dyDescent="0.25">
      <c r="A1863" s="36">
        <f>IF(ORCAMENTOS!A1871="","",ORCAMENTOS!A1871)</f>
        <v>45952</v>
      </c>
      <c r="B1863" s="46">
        <f>IF(ORCAMENTOS!B1871="","",ORCAMENTOS!B1871)</f>
        <v>1861</v>
      </c>
      <c r="C1863" s="46" t="str">
        <f>IF(ORCAMENTOS!C1871="","",ORCAMENTOS!C1871)</f>
        <v/>
      </c>
      <c r="D1863" s="37" t="str">
        <f>IF(ORCAMENTOS!D1871="","",ORCAMENTOS!D1871)</f>
        <v>EKO CLIMAX</v>
      </c>
      <c r="E1863" s="38" t="str">
        <f>IF(ORCAMENTOS!E1871="","",ORCAMENTOS!E1871)</f>
        <v>-</v>
      </c>
      <c r="F1863" s="37" t="str">
        <f>IF(ORCAMENTOS!G1871="","",ORCAMENTOS!G1871)</f>
        <v>Michel</v>
      </c>
      <c r="G1863" s="37" t="str">
        <f>IF(ORCAMENTOS!H1871="","",ORCAMENTOS!H1871)</f>
        <v>Rogerio</v>
      </c>
      <c r="H1863" s="39">
        <f>IF(ORCAMENTOS!I1871="","",ORCAMENTOS!I1871)</f>
        <v>8656.75</v>
      </c>
      <c r="I1863" s="60">
        <f>IF(ORCAMENTOS!J1871="","",ORCAMENTOS!J1871)</f>
        <v>0.05</v>
      </c>
      <c r="J1863" s="40" t="str">
        <f>IF(ORCAMENTOS!L1871="","",ORCAMENTOS!L1871)</f>
        <v>FECHADO</v>
      </c>
      <c r="K1863" s="34" t="str">
        <f>IF(ORCAMENTOS!M1871="","",ORCAMENTOS!M1871)</f>
        <v>-</v>
      </c>
      <c r="L1863" t="str">
        <f>IF(ORCAMENTOS!R1871="","",ORCAMENTOS!R1871)</f>
        <v>-</v>
      </c>
    </row>
    <row r="1864" spans="1:12" ht="15.75" hidden="1" customHeight="1" x14ac:dyDescent="0.25">
      <c r="A1864" s="36">
        <f>IF(ORCAMENTOS!A1872="","",ORCAMENTOS!A1872)</f>
        <v>45952</v>
      </c>
      <c r="B1864" s="46">
        <f>IF(ORCAMENTOS!B1872="","",ORCAMENTOS!B1872)</f>
        <v>1862</v>
      </c>
      <c r="C1864" s="46" t="str">
        <f>IF(ORCAMENTOS!C1872="","",ORCAMENTOS!C1872)</f>
        <v/>
      </c>
      <c r="D1864" s="37" t="str">
        <f>IF(ORCAMENTOS!D1872="","",ORCAMENTOS!D1872)</f>
        <v>GVHVAC</v>
      </c>
      <c r="E1864" s="38" t="str">
        <f>IF(ORCAMENTOS!E1872="","",ORCAMENTOS!E1872)</f>
        <v>Manioca JK Iguatemi</v>
      </c>
      <c r="F1864" s="37" t="str">
        <f>IF(ORCAMENTOS!G1872="","",ORCAMENTOS!G1872)</f>
        <v>Guilherme</v>
      </c>
      <c r="G1864" s="37" t="str">
        <f>IF(ORCAMENTOS!H1872="","",ORCAMENTOS!H1872)</f>
        <v>Filipe</v>
      </c>
      <c r="H1864" s="39">
        <f>IF(ORCAMENTOS!I1872="","",ORCAMENTOS!I1872)</f>
        <v>6910.22</v>
      </c>
      <c r="I1864" s="60">
        <f>IF(ORCAMENTOS!J1872="","",ORCAMENTOS!J1872)</f>
        <v>7.0000000000000007E-2</v>
      </c>
      <c r="J1864" s="40" t="str">
        <f>IF(ORCAMENTOS!L1872="","",ORCAMENTOS!L1872)</f>
        <v>FECHADO</v>
      </c>
      <c r="K1864" s="34" t="str">
        <f>IF(ORCAMENTOS!M1872="","",ORCAMENTOS!M1872)</f>
        <v>-</v>
      </c>
      <c r="L1864" t="str">
        <f>IF(ORCAMENTOS!R1872="","",ORCAMENTOS!R1872)</f>
        <v>-</v>
      </c>
    </row>
    <row r="1865" spans="1:12" ht="15.75" hidden="1" customHeight="1" x14ac:dyDescent="0.25">
      <c r="A1865" s="36">
        <f>IF(ORCAMENTOS!A1873="","",ORCAMENTOS!A1873)</f>
        <v>45952</v>
      </c>
      <c r="B1865" s="46">
        <f>IF(ORCAMENTOS!B1873="","",ORCAMENTOS!B1873)</f>
        <v>1863</v>
      </c>
      <c r="C1865" s="46" t="str">
        <f>IF(ORCAMENTOS!C1873="","",ORCAMENTOS!C1873)</f>
        <v/>
      </c>
      <c r="D1865" s="37" t="str">
        <f>IF(ORCAMENTOS!D1873="","",ORCAMENTOS!D1873)</f>
        <v>RM3 ENGENHARIA</v>
      </c>
      <c r="E1865" s="38" t="str">
        <f>IF(ORCAMENTOS!E1873="","",ORCAMENTOS!E1873)</f>
        <v>GIGA ATAKADO - SOROCABA</v>
      </c>
      <c r="F1865" s="37" t="str">
        <f>IF(ORCAMENTOS!G1873="","",ORCAMENTOS!G1873)</f>
        <v>Guilherme</v>
      </c>
      <c r="G1865" s="37" t="str">
        <f>IF(ORCAMENTOS!H1873="","",ORCAMENTOS!H1873)</f>
        <v>Angelica</v>
      </c>
      <c r="H1865" s="39">
        <f>IF(ORCAMENTOS!I1873="","",ORCAMENTOS!I1873)</f>
        <v>161448.24</v>
      </c>
      <c r="I1865" s="60">
        <f>IF(ORCAMENTOS!J1873="","",ORCAMENTOS!J1873)</f>
        <v>0.05</v>
      </c>
      <c r="J1865" s="40" t="str">
        <f>IF(ORCAMENTOS!L1873="","",ORCAMENTOS!L1873)</f>
        <v>CANCELADO</v>
      </c>
      <c r="K1865" s="34" t="str">
        <f>IF(ORCAMENTOS!M1873="","",ORCAMENTOS!M1873)</f>
        <v>-</v>
      </c>
      <c r="L1865" t="str">
        <f>IF(ORCAMENTOS!R1873="","",ORCAMENTOS!R1873)</f>
        <v>CHAPA DE ACO GALVANIZADO</v>
      </c>
    </row>
    <row r="1866" spans="1:12" ht="15.75" hidden="1" customHeight="1" x14ac:dyDescent="0.25">
      <c r="A1866" s="36">
        <f>IF(ORCAMENTOS!A1874="","",ORCAMENTOS!A1874)</f>
        <v>45952</v>
      </c>
      <c r="B1866" s="46">
        <f>IF(ORCAMENTOS!B1874="","",ORCAMENTOS!B1874)</f>
        <v>1864</v>
      </c>
      <c r="C1866" s="46" t="str">
        <f>IF(ORCAMENTOS!C1874="","",ORCAMENTOS!C1874)</f>
        <v/>
      </c>
      <c r="D1866" s="37" t="str">
        <f>IF(ORCAMENTOS!D1874="","",ORCAMENTOS!D1874)</f>
        <v>AWA AR CONDICIONADO</v>
      </c>
      <c r="E1866" s="38" t="str">
        <f>IF(ORCAMENTOS!E1874="","",ORCAMENTOS!E1874)</f>
        <v>MARISTA CAMPO GRANDE</v>
      </c>
      <c r="F1866" s="37" t="str">
        <f>IF(ORCAMENTOS!G1874="","",ORCAMENTOS!G1874)</f>
        <v>Guilherme</v>
      </c>
      <c r="G1866" s="37" t="str">
        <f>IF(ORCAMENTOS!H1874="","",ORCAMENTOS!H1874)</f>
        <v>Paula</v>
      </c>
      <c r="H1866" s="39">
        <f>IF(ORCAMENTOS!I1874="","",ORCAMENTOS!I1874)</f>
        <v>37718.449999999997</v>
      </c>
      <c r="I1866" s="60">
        <f>IF(ORCAMENTOS!J1874="","",ORCAMENTOS!J1874)</f>
        <v>7.0000000000000007E-2</v>
      </c>
      <c r="J1866" s="40" t="str">
        <f>IF(ORCAMENTOS!L1874="","",ORCAMENTOS!L1874)</f>
        <v>CANCELADO</v>
      </c>
      <c r="K1866" s="34" t="str">
        <f>IF(ORCAMENTOS!M1874="","",ORCAMENTOS!M1874)</f>
        <v>-</v>
      </c>
      <c r="L1866" t="str">
        <f>IF(ORCAMENTOS!R1874="","",ORCAMENTOS!R1874)</f>
        <v>N/E</v>
      </c>
    </row>
    <row r="1867" spans="1:12" ht="15.75" hidden="1" customHeight="1" x14ac:dyDescent="0.25">
      <c r="A1867" s="36">
        <f>IF(ORCAMENTOS!A1875="","",ORCAMENTOS!A1875)</f>
        <v>45952</v>
      </c>
      <c r="B1867" s="46">
        <f>IF(ORCAMENTOS!B1875="","",ORCAMENTOS!B1875)</f>
        <v>1865</v>
      </c>
      <c r="C1867" s="46" t="str">
        <f>IF(ORCAMENTOS!C1875="","",ORCAMENTOS!C1875)</f>
        <v/>
      </c>
      <c r="D1867" s="37" t="str">
        <f>IF(ORCAMENTOS!D1875="","",ORCAMENTOS!D1875)</f>
        <v>ISOLITE SOLUCOES</v>
      </c>
      <c r="E1867" s="38" t="str">
        <f>IF(ORCAMENTOS!E1875="","",ORCAMENTOS!E1875)</f>
        <v>SHOPPING SUZANO - SP</v>
      </c>
      <c r="F1867" s="37" t="str">
        <f>IF(ORCAMENTOS!G1875="","",ORCAMENTOS!G1875)</f>
        <v>Michel</v>
      </c>
      <c r="G1867" s="37" t="str">
        <f>IF(ORCAMENTOS!H1875="","",ORCAMENTOS!H1875)</f>
        <v>Daniel</v>
      </c>
      <c r="H1867" s="39">
        <f>IF(ORCAMENTOS!I1875="","",ORCAMENTOS!I1875)</f>
        <v>89051.19</v>
      </c>
      <c r="I1867" s="60">
        <f>IF(ORCAMENTOS!J1875="","",ORCAMENTOS!J1875)</f>
        <v>7.0000000000000007E-2</v>
      </c>
      <c r="J1867" s="40" t="str">
        <f>IF(ORCAMENTOS!L1875="","",ORCAMENTOS!L1875)</f>
        <v>CANCELADO</v>
      </c>
      <c r="K1867" s="34" t="str">
        <f>IF(ORCAMENTOS!M1875="","",ORCAMENTOS!M1875)</f>
        <v>-</v>
      </c>
      <c r="L1867" t="str">
        <f>IF(ORCAMENTOS!R1875="","",ORCAMENTOS!R1875)</f>
        <v>N/E</v>
      </c>
    </row>
    <row r="1868" spans="1:12" ht="15.75" hidden="1" customHeight="1" x14ac:dyDescent="0.25">
      <c r="A1868" s="36">
        <f>IF(ORCAMENTOS!A1876="","",ORCAMENTOS!A1876)</f>
        <v>45952</v>
      </c>
      <c r="B1868" s="46">
        <f>IF(ORCAMENTOS!B1876="","",ORCAMENTOS!B1876)</f>
        <v>1866</v>
      </c>
      <c r="C1868" s="46" t="str">
        <f>IF(ORCAMENTOS!C1876="","",ORCAMENTOS!C1876)</f>
        <v/>
      </c>
      <c r="D1868" s="37" t="str">
        <f>IF(ORCAMENTOS!D1876="","",ORCAMENTOS!D1876)</f>
        <v>ISOTEMP</v>
      </c>
      <c r="E1868" s="38" t="str">
        <f>IF(ORCAMENTOS!E1876="","",ORCAMENTOS!E1876)</f>
        <v>EMBRION MEDICINA REPRODUTIVA - SÃO PAULO - SP</v>
      </c>
      <c r="F1868" s="37" t="str">
        <f>IF(ORCAMENTOS!G1876="","",ORCAMENTOS!G1876)</f>
        <v>Michel</v>
      </c>
      <c r="G1868" s="37" t="str">
        <f>IF(ORCAMENTOS!H1876="","",ORCAMENTOS!H1876)</f>
        <v>Caique</v>
      </c>
      <c r="H1868" s="39">
        <f>IF(ORCAMENTOS!I1876="","",ORCAMENTOS!I1876)</f>
        <v>62931.09</v>
      </c>
      <c r="I1868" s="60">
        <f>IF(ORCAMENTOS!J1876="","",ORCAMENTOS!J1876)</f>
        <v>7.0000000000000007E-2</v>
      </c>
      <c r="J1868" s="40" t="str">
        <f>IF(ORCAMENTOS!L1876="","",ORCAMENTOS!L1876)</f>
        <v>CANCELADO</v>
      </c>
      <c r="K1868" s="34" t="str">
        <f>IF(ORCAMENTOS!M1876="","",ORCAMENTOS!M1876)</f>
        <v>-</v>
      </c>
      <c r="L1868" t="str">
        <f>IF(ORCAMENTOS!R1876="","",ORCAMENTOS!R1876)</f>
        <v>N/E</v>
      </c>
    </row>
    <row r="1869" spans="1:12" ht="15.75" hidden="1" customHeight="1" x14ac:dyDescent="0.25">
      <c r="A1869" s="36">
        <f>IF(ORCAMENTOS!A1877="","",ORCAMENTOS!A1877)</f>
        <v>45952</v>
      </c>
      <c r="B1869" s="46">
        <f>IF(ORCAMENTOS!B1877="","",ORCAMENTOS!B1877)</f>
        <v>1867</v>
      </c>
      <c r="C1869" s="46" t="str">
        <f>IF(ORCAMENTOS!C1877="","",ORCAMENTOS!C1877)</f>
        <v/>
      </c>
      <c r="D1869" s="37" t="str">
        <f>IF(ORCAMENTOS!D1877="","",ORCAMENTOS!D1877)</f>
        <v>RM3 ENGENHARIA</v>
      </c>
      <c r="E1869" s="38" t="str">
        <f>IF(ORCAMENTOS!E1877="","",ORCAMENTOS!E1877)</f>
        <v>GIGA ATACADO - PIRAPORINHA - SÃO BERNARDO DO CAMPO - SP</v>
      </c>
      <c r="F1869" s="37" t="str">
        <f>IF(ORCAMENTOS!G1877="","",ORCAMENTOS!G1877)</f>
        <v>Guilherme</v>
      </c>
      <c r="G1869" s="37" t="str">
        <f>IF(ORCAMENTOS!H1877="","",ORCAMENTOS!H1877)</f>
        <v>Angelica</v>
      </c>
      <c r="H1869" s="39">
        <f>IF(ORCAMENTOS!I1877="","",ORCAMENTOS!I1877)</f>
        <v>229775.43</v>
      </c>
      <c r="I1869" s="60">
        <f>IF(ORCAMENTOS!J1877="","",ORCAMENTOS!J1877)</f>
        <v>0.05</v>
      </c>
      <c r="J1869" s="40" t="str">
        <f>IF(ORCAMENTOS!L1877="","",ORCAMENTOS!L1877)</f>
        <v>COMPRA</v>
      </c>
      <c r="K1869" s="34" t="str">
        <f>IF(ORCAMENTOS!M1877="","",ORCAMENTOS!M1877)</f>
        <v>PREV. JULHO</v>
      </c>
      <c r="L1869" t="str">
        <f>IF(ORCAMENTOS!R1877="","",ORCAMENTOS!R1877)</f>
        <v>CHAPA DE ACO GALVANIZADO</v>
      </c>
    </row>
    <row r="1870" spans="1:12" ht="15.75" hidden="1" customHeight="1" x14ac:dyDescent="0.25">
      <c r="A1870" s="36">
        <f>IF(ORCAMENTOS!A1878="","",ORCAMENTOS!A1878)</f>
        <v>45952</v>
      </c>
      <c r="B1870" s="46">
        <f>IF(ORCAMENTOS!B1878="","",ORCAMENTOS!B1878)</f>
        <v>1868</v>
      </c>
      <c r="C1870" s="46" t="str">
        <f>IF(ORCAMENTOS!C1878="","",ORCAMENTOS!C1878)</f>
        <v/>
      </c>
      <c r="D1870" s="37" t="str">
        <f>IF(ORCAMENTOS!D1878="","",ORCAMENTOS!D1878)</f>
        <v>MANENG</v>
      </c>
      <c r="E1870" s="38" t="str">
        <f>IF(ORCAMENTOS!E1878="","",ORCAMENTOS!E1878)</f>
        <v>-</v>
      </c>
      <c r="F1870" s="37" t="str">
        <f>IF(ORCAMENTOS!G1878="","",ORCAMENTOS!G1878)</f>
        <v>Guilherme</v>
      </c>
      <c r="G1870" s="37" t="str">
        <f>IF(ORCAMENTOS!H1878="","",ORCAMENTOS!H1878)</f>
        <v>Gabrielle</v>
      </c>
      <c r="H1870" s="39">
        <f>IF(ORCAMENTOS!I1878="","",ORCAMENTOS!I1878)</f>
        <v>1828.2</v>
      </c>
      <c r="I1870" s="60">
        <f>IF(ORCAMENTOS!J1878="","",ORCAMENTOS!J1878)</f>
        <v>7.0000000000000007E-2</v>
      </c>
      <c r="J1870" s="40" t="str">
        <f>IF(ORCAMENTOS!L1878="","",ORCAMENTOS!L1878)</f>
        <v>FECHADO</v>
      </c>
      <c r="K1870" s="34" t="str">
        <f>IF(ORCAMENTOS!M1878="","",ORCAMENTOS!M1878)</f>
        <v>-</v>
      </c>
      <c r="L1870" t="str">
        <f>IF(ORCAMENTOS!R1878="","",ORCAMENTOS!R1878)</f>
        <v>-</v>
      </c>
    </row>
    <row r="1871" spans="1:12" ht="15.75" hidden="1" customHeight="1" x14ac:dyDescent="0.25">
      <c r="A1871" s="36">
        <f>IF(ORCAMENTOS!A1879="","",ORCAMENTOS!A1879)</f>
        <v>45957</v>
      </c>
      <c r="B1871" s="46">
        <f>IF(ORCAMENTOS!B1879="","",ORCAMENTOS!B1879)</f>
        <v>1869</v>
      </c>
      <c r="C1871" s="46" t="str">
        <f>IF(ORCAMENTOS!C1879="","",ORCAMENTOS!C1879)</f>
        <v>R1</v>
      </c>
      <c r="D1871" s="37" t="str">
        <f>IF(ORCAMENTOS!D1879="","",ORCAMENTOS!D1879)</f>
        <v>ARCLEAN</v>
      </c>
      <c r="E1871" s="38" t="str">
        <f>IF(ORCAMENTOS!E1879="","",ORCAMENTOS!E1879)</f>
        <v>CGH7 CAJAMAR</v>
      </c>
      <c r="F1871" s="37" t="str">
        <f>IF(ORCAMENTOS!G1879="","",ORCAMENTOS!G1879)</f>
        <v xml:space="preserve">Aldavir </v>
      </c>
      <c r="G1871" s="37" t="str">
        <f>IF(ORCAMENTOS!H1879="","",ORCAMENTOS!H1879)</f>
        <v>Melanie</v>
      </c>
      <c r="H1871" s="39">
        <f>IF(ORCAMENTOS!I1879="","",ORCAMENTOS!I1879)</f>
        <v>6284.62</v>
      </c>
      <c r="I1871" s="60">
        <f>IF(ORCAMENTOS!J1879="","",ORCAMENTOS!J1879)</f>
        <v>7.0000000000000007E-2</v>
      </c>
      <c r="J1871" s="40" t="str">
        <f>IF(ORCAMENTOS!L1879="","",ORCAMENTOS!L1879)</f>
        <v>FECHADO</v>
      </c>
      <c r="K1871" s="34" t="str">
        <f>IF(ORCAMENTOS!M1879="","",ORCAMENTOS!M1879)</f>
        <v>-</v>
      </c>
      <c r="L1871" t="str">
        <f>IF(ORCAMENTOS!R1879="","",ORCAMENTOS!R1879)</f>
        <v>-</v>
      </c>
    </row>
    <row r="1872" spans="1:12" ht="15.75" hidden="1" customHeight="1" x14ac:dyDescent="0.25">
      <c r="A1872" s="36">
        <f>IF(ORCAMENTOS!A1880="","",ORCAMENTOS!A1880)</f>
        <v>45954</v>
      </c>
      <c r="B1872" s="46">
        <f>IF(ORCAMENTOS!B1880="","",ORCAMENTOS!B1880)</f>
        <v>1870</v>
      </c>
      <c r="C1872" s="46" t="str">
        <f>IF(ORCAMENTOS!C1880="","",ORCAMENTOS!C1880)</f>
        <v>R1</v>
      </c>
      <c r="D1872" s="37" t="str">
        <f>IF(ORCAMENTOS!D1880="","",ORCAMENTOS!D1880)</f>
        <v>AFERMICA</v>
      </c>
      <c r="E1872" s="38" t="str">
        <f>IF(ORCAMENTOS!E1880="","",ORCAMENTOS!E1880)</f>
        <v>SMART FIT - JD ARICANDUVA - SP</v>
      </c>
      <c r="F1872" s="37" t="str">
        <f>IF(ORCAMENTOS!G1880="","",ORCAMENTOS!G1880)</f>
        <v>Fernando</v>
      </c>
      <c r="G1872" s="37" t="str">
        <f>IF(ORCAMENTOS!H1880="","",ORCAMENTOS!H1880)</f>
        <v>Andre</v>
      </c>
      <c r="H1872" s="39">
        <f>IF(ORCAMENTOS!I1880="","",ORCAMENTOS!I1880)</f>
        <v>75056.88</v>
      </c>
      <c r="I1872" s="60">
        <f>IF(ORCAMENTOS!J1880="","",ORCAMENTOS!J1880)</f>
        <v>0.03</v>
      </c>
      <c r="J1872" s="40" t="str">
        <f>IF(ORCAMENTOS!L1880="","",ORCAMENTOS!L1880)</f>
        <v>CANCELADO</v>
      </c>
      <c r="K1872" s="34" t="str">
        <f>IF(ORCAMENTOS!M1880="","",ORCAMENTOS!M1880)</f>
        <v>-</v>
      </c>
      <c r="L1872" t="str">
        <f>IF(ORCAMENTOS!R1880="","",ORCAMENTOS!R1880)</f>
        <v>-</v>
      </c>
    </row>
    <row r="1873" spans="1:12" ht="15.75" hidden="1" customHeight="1" x14ac:dyDescent="0.25">
      <c r="A1873" s="36">
        <f>IF(ORCAMENTOS!A1881="","",ORCAMENTOS!A1881)</f>
        <v>45953</v>
      </c>
      <c r="B1873" s="46">
        <f>IF(ORCAMENTOS!B1881="","",ORCAMENTOS!B1881)</f>
        <v>1871</v>
      </c>
      <c r="C1873" s="46" t="str">
        <f>IF(ORCAMENTOS!C1881="","",ORCAMENTOS!C1881)</f>
        <v/>
      </c>
      <c r="D1873" s="37" t="str">
        <f>IF(ORCAMENTOS!D1881="","",ORCAMENTOS!D1881)</f>
        <v>LKT AR CONDICIONADO</v>
      </c>
      <c r="E1873" s="38" t="str">
        <f>IF(ORCAMENTOS!E1881="","",ORCAMENTOS!E1881)</f>
        <v>CASSI FLORIANOPOLIS</v>
      </c>
      <c r="F1873" s="37" t="str">
        <f>IF(ORCAMENTOS!G1881="","",ORCAMENTOS!G1881)</f>
        <v>Fernando</v>
      </c>
      <c r="G1873" s="37" t="str">
        <f>IF(ORCAMENTOS!H1881="","",ORCAMENTOS!H1881)</f>
        <v>Rafael</v>
      </c>
      <c r="H1873" s="39">
        <f>IF(ORCAMENTOS!I1881="","",ORCAMENTOS!I1881)</f>
        <v>28002.9</v>
      </c>
      <c r="I1873" s="60">
        <f>IF(ORCAMENTOS!J1881="","",ORCAMENTOS!J1881)</f>
        <v>7.0000000000000007E-2</v>
      </c>
      <c r="J1873" s="40" t="str">
        <f>IF(ORCAMENTOS!L1881="","",ORCAMENTOS!L1881)</f>
        <v>CANCELADO</v>
      </c>
      <c r="K1873" s="34" t="str">
        <f>IF(ORCAMENTOS!M1881="","",ORCAMENTOS!M1881)</f>
        <v>CLIENTE NEGOCIANDO</v>
      </c>
      <c r="L1873" t="str">
        <f>IF(ORCAMENTOS!R1881="","",ORCAMENTOS!R1881)</f>
        <v>-</v>
      </c>
    </row>
    <row r="1874" spans="1:12" ht="15.75" hidden="1" customHeight="1" x14ac:dyDescent="0.25">
      <c r="A1874" s="36">
        <f>IF(ORCAMENTOS!A1882="","",ORCAMENTOS!A1882)</f>
        <v>45953</v>
      </c>
      <c r="B1874" s="46">
        <f>IF(ORCAMENTOS!B1882="","",ORCAMENTOS!B1882)</f>
        <v>1872</v>
      </c>
      <c r="C1874" s="46" t="str">
        <f>IF(ORCAMENTOS!C1882="","",ORCAMENTOS!C1882)</f>
        <v/>
      </c>
      <c r="D1874" s="37" t="str">
        <f>IF(ORCAMENTOS!D1882="","",ORCAMENTOS!D1882)</f>
        <v>ARCLEAN</v>
      </c>
      <c r="E1874" s="38" t="str">
        <f>IF(ORCAMENTOS!E1882="","",ORCAMENTOS!E1882)</f>
        <v>-</v>
      </c>
      <c r="F1874" s="37" t="str">
        <f>IF(ORCAMENTOS!G1882="","",ORCAMENTOS!G1882)</f>
        <v xml:space="preserve">Aldavir </v>
      </c>
      <c r="G1874" s="37" t="str">
        <f>IF(ORCAMENTOS!H1882="","",ORCAMENTOS!H1882)</f>
        <v>Melanie</v>
      </c>
      <c r="H1874" s="39">
        <f>IF(ORCAMENTOS!I1882="","",ORCAMENTOS!I1882)</f>
        <v>11271.82</v>
      </c>
      <c r="I1874" s="60">
        <f>IF(ORCAMENTOS!J1882="","",ORCAMENTOS!J1882)</f>
        <v>7.0000000000000007E-2</v>
      </c>
      <c r="J1874" s="40" t="str">
        <f>IF(ORCAMENTOS!L1882="","",ORCAMENTOS!L1882)</f>
        <v>CANCELADO</v>
      </c>
      <c r="K1874" s="34" t="str">
        <f>IF(ORCAMENTOS!M1882="","",ORCAMENTOS!M1882)</f>
        <v>-</v>
      </c>
      <c r="L1874" t="str">
        <f>IF(ORCAMENTOS!R1882="","",ORCAMENTOS!R1882)</f>
        <v>-</v>
      </c>
    </row>
    <row r="1875" spans="1:12" ht="15.75" hidden="1" customHeight="1" x14ac:dyDescent="0.25">
      <c r="A1875" s="36" t="str">
        <f>IF(ORCAMENTOS!A1883="","",ORCAMENTOS!A1883)</f>
        <v>223/10</v>
      </c>
      <c r="B1875" s="46">
        <f>IF(ORCAMENTOS!B1883="","",ORCAMENTOS!B1883)</f>
        <v>1873</v>
      </c>
      <c r="C1875" s="46" t="str">
        <f>IF(ORCAMENTOS!C1883="","",ORCAMENTOS!C1883)</f>
        <v/>
      </c>
      <c r="D1875" s="37" t="str">
        <f>IF(ORCAMENTOS!D1883="","",ORCAMENTOS!D1883)</f>
        <v>AWA AR CONDICIONADO</v>
      </c>
      <c r="E1875" s="38" t="str">
        <f>IF(ORCAMENTOS!E1883="","",ORCAMENTOS!E1883)</f>
        <v>OBRAMAX - SHOPPING LESTE ARICANDUVA</v>
      </c>
      <c r="F1875" s="37" t="str">
        <f>IF(ORCAMENTOS!G1883="","",ORCAMENTOS!G1883)</f>
        <v>Guilherme</v>
      </c>
      <c r="G1875" s="37" t="str">
        <f>IF(ORCAMENTOS!H1883="","",ORCAMENTOS!H1883)</f>
        <v>Paula</v>
      </c>
      <c r="H1875" s="39">
        <f>IF(ORCAMENTOS!I1883="","",ORCAMENTOS!I1883)</f>
        <v>342694.16</v>
      </c>
      <c r="I1875" s="60">
        <f>IF(ORCAMENTOS!J1883="","",ORCAMENTOS!J1883)</f>
        <v>7.0000000000000007E-2</v>
      </c>
      <c r="J1875" s="40" t="str">
        <f>IF(ORCAMENTOS!L1883="","",ORCAMENTOS!L1883)</f>
        <v>CANCELADO</v>
      </c>
      <c r="K1875" s="34" t="str">
        <f>IF(ORCAMENTOS!M1883="","",ORCAMENTOS!M1883)</f>
        <v>OBRA DA HVAC</v>
      </c>
      <c r="L1875" t="str">
        <f>IF(ORCAMENTOS!R1883="","",ORCAMENTOS!R1883)</f>
        <v>N/E</v>
      </c>
    </row>
    <row r="1876" spans="1:12" ht="15.75" hidden="1" customHeight="1" x14ac:dyDescent="0.25">
      <c r="A1876" s="36">
        <f>IF(ORCAMENTOS!A1884="","",ORCAMENTOS!A1884)</f>
        <v>45953</v>
      </c>
      <c r="B1876" s="46">
        <f>IF(ORCAMENTOS!B1884="","",ORCAMENTOS!B1884)</f>
        <v>1874</v>
      </c>
      <c r="C1876" s="46" t="str">
        <f>IF(ORCAMENTOS!C1884="","",ORCAMENTOS!C1884)</f>
        <v/>
      </c>
      <c r="D1876" s="37" t="str">
        <f>IF(ORCAMENTOS!D1884="","",ORCAMENTOS!D1884)</f>
        <v>BEST CLIMA</v>
      </c>
      <c r="E1876" s="38" t="str">
        <f>IF(ORCAMENTOS!E1884="","",ORCAMENTOS!E1884)</f>
        <v>SR.ARMANDO</v>
      </c>
      <c r="F1876" s="37" t="str">
        <f>IF(ORCAMENTOS!G1884="","",ORCAMENTOS!G1884)</f>
        <v xml:space="preserve">Aldavir </v>
      </c>
      <c r="G1876" s="37" t="str">
        <f>IF(ORCAMENTOS!H1884="","",ORCAMENTOS!H1884)</f>
        <v>Arion</v>
      </c>
      <c r="H1876" s="39">
        <f>IF(ORCAMENTOS!I1884="","",ORCAMENTOS!I1884)</f>
        <v>1532</v>
      </c>
      <c r="I1876" s="60">
        <f>IF(ORCAMENTOS!J1884="","",ORCAMENTOS!J1884)</f>
        <v>7.0000000000000007E-2</v>
      </c>
      <c r="J1876" s="40" t="str">
        <f>IF(ORCAMENTOS!L1884="","",ORCAMENTOS!L1884)</f>
        <v>CANCELADO</v>
      </c>
      <c r="K1876" s="34" t="str">
        <f>IF(ORCAMENTOS!M1884="","",ORCAMENTOS!M1884)</f>
        <v>-</v>
      </c>
      <c r="L1876" t="str">
        <f>IF(ORCAMENTOS!R1884="","",ORCAMENTOS!R1884)</f>
        <v>-</v>
      </c>
    </row>
    <row r="1877" spans="1:12" ht="15.75" hidden="1" customHeight="1" x14ac:dyDescent="0.25">
      <c r="A1877" s="36">
        <f>IF(ORCAMENTOS!A1885="","",ORCAMENTOS!A1885)</f>
        <v>45958</v>
      </c>
      <c r="B1877" s="46">
        <f>IF(ORCAMENTOS!B1885="","",ORCAMENTOS!B1885)</f>
        <v>1875</v>
      </c>
      <c r="C1877" s="46" t="str">
        <f>IF(ORCAMENTOS!C1885="","",ORCAMENTOS!C1885)</f>
        <v>R4</v>
      </c>
      <c r="D1877" s="37" t="str">
        <f>IF(ORCAMENTOS!D1885="","",ORCAMENTOS!D1885)</f>
        <v>THERMOPOLO</v>
      </c>
      <c r="E1877" s="38" t="str">
        <f>IF(ORCAMENTOS!E1885="","",ORCAMENTOS!E1885)</f>
        <v>IGREJA BOA VISTA VILLAGE - PREDIO 19</v>
      </c>
      <c r="F1877" s="37" t="str">
        <f>IF(ORCAMENTOS!G1885="","",ORCAMENTOS!G1885)</f>
        <v>Michel</v>
      </c>
      <c r="G1877" s="37" t="str">
        <f>IF(ORCAMENTOS!H1885="","",ORCAMENTOS!H1885)</f>
        <v>Veruza</v>
      </c>
      <c r="H1877" s="39">
        <f>IF(ORCAMENTOS!I1885="","",ORCAMENTOS!I1885)</f>
        <v>23466.09</v>
      </c>
      <c r="I1877" s="60">
        <f>IF(ORCAMENTOS!J1885="","",ORCAMENTOS!J1885)</f>
        <v>0.03</v>
      </c>
      <c r="J1877" s="40" t="str">
        <f>IF(ORCAMENTOS!L1885="","",ORCAMENTOS!L1885)</f>
        <v>FECHADO</v>
      </c>
      <c r="K1877" s="34" t="str">
        <f>IF(ORCAMENTOS!M1885="","",ORCAMENTOS!M1885)</f>
        <v>-</v>
      </c>
      <c r="L1877" t="str">
        <f>IF(ORCAMENTOS!R1885="","",ORCAMENTOS!R1885)</f>
        <v>N/E</v>
      </c>
    </row>
    <row r="1878" spans="1:12" ht="15.75" hidden="1" customHeight="1" x14ac:dyDescent="0.25">
      <c r="A1878" s="36">
        <f>IF(ORCAMENTOS!A1886="","",ORCAMENTOS!A1886)</f>
        <v>45953</v>
      </c>
      <c r="B1878" s="46">
        <f>IF(ORCAMENTOS!B1886="","",ORCAMENTOS!B1886)</f>
        <v>1876</v>
      </c>
      <c r="C1878" s="46" t="str">
        <f>IF(ORCAMENTOS!C1886="","",ORCAMENTOS!C1886)</f>
        <v/>
      </c>
      <c r="D1878" s="37" t="str">
        <f>IF(ORCAMENTOS!D1886="","",ORCAMENTOS!D1886)</f>
        <v>ENEBRAS</v>
      </c>
      <c r="E1878" s="38" t="str">
        <f>IF(ORCAMENTOS!E1886="","",ORCAMENTOS!E1886)</f>
        <v>HOSPITAL SÃO LUIS - 1º e 2º PAVIMENTO - OSASCO</v>
      </c>
      <c r="F1878" s="37" t="str">
        <f>IF(ORCAMENTOS!G1886="","",ORCAMENTOS!G1886)</f>
        <v>Michel</v>
      </c>
      <c r="G1878" s="37" t="str">
        <f>IF(ORCAMENTOS!H1886="","",ORCAMENTOS!H1886)</f>
        <v>Kaio</v>
      </c>
      <c r="H1878" s="39">
        <f>IF(ORCAMENTOS!I1886="","",ORCAMENTOS!I1886)</f>
        <v>184967.78</v>
      </c>
      <c r="I1878" s="60">
        <f>IF(ORCAMENTOS!J1886="","",ORCAMENTOS!J1886)</f>
        <v>7.0000000000000007E-2</v>
      </c>
      <c r="J1878" s="40" t="str">
        <f>IF(ORCAMENTOS!L1886="","",ORCAMENTOS!L1886)</f>
        <v>CANCELADO</v>
      </c>
      <c r="K1878" s="34" t="str">
        <f>IF(ORCAMENTOS!M1886="","",ORCAMENTOS!M1886)</f>
        <v>-</v>
      </c>
      <c r="L1878" t="str">
        <f>IF(ORCAMENTOS!R1886="","",ORCAMENTOS!R1886)</f>
        <v>N/E</v>
      </c>
    </row>
    <row r="1879" spans="1:12" ht="15.75" hidden="1" customHeight="1" x14ac:dyDescent="0.25">
      <c r="A1879" s="36">
        <f>IF(ORCAMENTOS!A1887="","",ORCAMENTOS!A1887)</f>
        <v>45953</v>
      </c>
      <c r="B1879" s="46">
        <f>IF(ORCAMENTOS!B1887="","",ORCAMENTOS!B1887)</f>
        <v>1877</v>
      </c>
      <c r="C1879" s="46" t="str">
        <f>IF(ORCAMENTOS!C1887="","",ORCAMENTOS!C1887)</f>
        <v/>
      </c>
      <c r="D1879" s="37" t="str">
        <f>IF(ORCAMENTOS!D1887="","",ORCAMENTOS!D1887)</f>
        <v>LKT AR CONDICIONADO</v>
      </c>
      <c r="E1879" s="38" t="str">
        <f>IF(ORCAMENTOS!E1887="","",ORCAMENTOS!E1887)</f>
        <v>-</v>
      </c>
      <c r="F1879" s="37" t="str">
        <f>IF(ORCAMENTOS!G1887="","",ORCAMENTOS!G1887)</f>
        <v>Fernando</v>
      </c>
      <c r="G1879" s="37" t="str">
        <f>IF(ORCAMENTOS!H1887="","",ORCAMENTOS!H1887)</f>
        <v>Rafael</v>
      </c>
      <c r="H1879" s="39">
        <f>IF(ORCAMENTOS!I1887="","",ORCAMENTOS!I1887)</f>
        <v>5809.94</v>
      </c>
      <c r="I1879" s="60">
        <f>IF(ORCAMENTOS!J1887="","",ORCAMENTOS!J1887)</f>
        <v>0.04</v>
      </c>
      <c r="J1879" s="40" t="str">
        <f>IF(ORCAMENTOS!L1887="","",ORCAMENTOS!L1887)</f>
        <v>CANCELADO</v>
      </c>
      <c r="K1879" s="34" t="str">
        <f>IF(ORCAMENTOS!M1887="","",ORCAMENTOS!M1887)</f>
        <v>PREV. JANEIRO</v>
      </c>
      <c r="L1879" t="str">
        <f>IF(ORCAMENTOS!R1887="","",ORCAMENTOS!R1887)</f>
        <v>-</v>
      </c>
    </row>
    <row r="1880" spans="1:12" ht="15.75" hidden="1" customHeight="1" x14ac:dyDescent="0.25">
      <c r="A1880" s="36">
        <f>IF(ORCAMENTOS!A1888="","",ORCAMENTOS!A1888)</f>
        <v>45953</v>
      </c>
      <c r="B1880" s="46">
        <f>IF(ORCAMENTOS!B1888="","",ORCAMENTOS!B1888)</f>
        <v>1878</v>
      </c>
      <c r="C1880" s="46" t="str">
        <f>IF(ORCAMENTOS!C1888="","",ORCAMENTOS!C1888)</f>
        <v/>
      </c>
      <c r="D1880" s="37" t="str">
        <f>IF(ORCAMENTOS!D1888="","",ORCAMENTOS!D1888)</f>
        <v>SC VALEJJO</v>
      </c>
      <c r="E1880" s="38" t="str">
        <f>IF(ORCAMENTOS!E1888="","",ORCAMENTOS!E1888)</f>
        <v>REDE DOR OSASCO - 1 E 2 PAVIMENTO</v>
      </c>
      <c r="F1880" s="37" t="str">
        <f>IF(ORCAMENTOS!G1888="","",ORCAMENTOS!G1888)</f>
        <v>Gabriel</v>
      </c>
      <c r="G1880" s="37" t="str">
        <f>IF(ORCAMENTOS!H1888="","",ORCAMENTOS!H1888)</f>
        <v>Silvia</v>
      </c>
      <c r="H1880" s="39">
        <f>IF(ORCAMENTOS!I1888="","",ORCAMENTOS!I1888)</f>
        <v>177009.48</v>
      </c>
      <c r="I1880" s="60">
        <f>IF(ORCAMENTOS!J1888="","",ORCAMENTOS!J1888)</f>
        <v>7.0000000000000007E-2</v>
      </c>
      <c r="J1880" s="40" t="str">
        <f>IF(ORCAMENTOS!L1888="","",ORCAMENTOS!L1888)</f>
        <v>CANCELADO</v>
      </c>
      <c r="K1880" s="34" t="str">
        <f>IF(ORCAMENTOS!M1888="","",ORCAMENTOS!M1888)</f>
        <v>-</v>
      </c>
      <c r="L1880" t="str">
        <f>IF(ORCAMENTOS!R1888="","",ORCAMENTOS!R1888)</f>
        <v>-</v>
      </c>
    </row>
    <row r="1881" spans="1:12" ht="15.75" hidden="1" customHeight="1" x14ac:dyDescent="0.25">
      <c r="A1881" s="36">
        <f>IF(ORCAMENTOS!A1889="","",ORCAMENTOS!A1889)</f>
        <v>45953</v>
      </c>
      <c r="B1881" s="46">
        <f>IF(ORCAMENTOS!B1889="","",ORCAMENTOS!B1889)</f>
        <v>1879</v>
      </c>
      <c r="C1881" s="46" t="str">
        <f>IF(ORCAMENTOS!C1889="","",ORCAMENTOS!C1889)</f>
        <v/>
      </c>
      <c r="D1881" s="37" t="str">
        <f>IF(ORCAMENTOS!D1889="","",ORCAMENTOS!D1889)</f>
        <v>THERMOPOLO</v>
      </c>
      <c r="E1881" s="38" t="str">
        <f>IF(ORCAMENTOS!E1889="","",ORCAMENTOS!E1889)</f>
        <v>IGREJA</v>
      </c>
      <c r="F1881" s="37" t="str">
        <f>IF(ORCAMENTOS!G1889="","",ORCAMENTOS!G1889)</f>
        <v xml:space="preserve">Aldavir </v>
      </c>
      <c r="G1881" s="37" t="str">
        <f>IF(ORCAMENTOS!H1889="","",ORCAMENTOS!H1889)</f>
        <v>Veruza</v>
      </c>
      <c r="H1881" s="39" t="str">
        <f>IF(ORCAMENTOS!I1889="","",ORCAMENTOS!I1889)</f>
        <v>-</v>
      </c>
      <c r="I1881" s="60" t="str">
        <f>IF(ORCAMENTOS!J1889="","",ORCAMENTOS!J1889)</f>
        <v>-</v>
      </c>
      <c r="J1881" s="40" t="str">
        <f>IF(ORCAMENTOS!L1889="","",ORCAMENTOS!L1889)</f>
        <v>CANCELADO</v>
      </c>
      <c r="K1881" s="34" t="str">
        <f>IF(ORCAMENTOS!M1889="","",ORCAMENTOS!M1889)</f>
        <v>-</v>
      </c>
      <c r="L1881" t="str">
        <f>IF(ORCAMENTOS!R1889="","",ORCAMENTOS!R1889)</f>
        <v>-</v>
      </c>
    </row>
    <row r="1882" spans="1:12" ht="15.75" hidden="1" customHeight="1" x14ac:dyDescent="0.25">
      <c r="A1882" s="36">
        <f>IF(ORCAMENTOS!A1890="","",ORCAMENTOS!A1890)</f>
        <v>45959</v>
      </c>
      <c r="B1882" s="46">
        <f>IF(ORCAMENTOS!B1890="","",ORCAMENTOS!B1890)</f>
        <v>1880</v>
      </c>
      <c r="C1882" s="46" t="str">
        <f>IF(ORCAMENTOS!C1890="","",ORCAMENTOS!C1890)</f>
        <v/>
      </c>
      <c r="D1882" s="37" t="str">
        <f>IF(ORCAMENTOS!D1890="","",ORCAMENTOS!D1890)</f>
        <v>INOVECTOR</v>
      </c>
      <c r="E1882" s="38" t="str">
        <f>IF(ORCAMENTOS!E1890="","",ORCAMENTOS!E1890)</f>
        <v>STA ISABEL - 3º PAV</v>
      </c>
      <c r="F1882" s="37" t="str">
        <f>IF(ORCAMENTOS!G1890="","",ORCAMENTOS!G1890)</f>
        <v>Fernando</v>
      </c>
      <c r="G1882" s="37" t="str">
        <f>IF(ORCAMENTOS!H1890="","",ORCAMENTOS!H1890)</f>
        <v>Cristina</v>
      </c>
      <c r="H1882" s="39">
        <f>IF(ORCAMENTOS!I1890="","",ORCAMENTOS!I1890)</f>
        <v>3994.34</v>
      </c>
      <c r="I1882" s="60">
        <f>IF(ORCAMENTOS!J1890="","",ORCAMENTOS!J1890)</f>
        <v>7.0000000000000007E-2</v>
      </c>
      <c r="J1882" s="40" t="str">
        <f>IF(ORCAMENTOS!L1890="","",ORCAMENTOS!L1890)</f>
        <v>FECHADO</v>
      </c>
      <c r="K1882" s="34" t="str">
        <f>IF(ORCAMENTOS!M1890="","",ORCAMENTOS!M1890)</f>
        <v>-</v>
      </c>
      <c r="L1882" t="str">
        <f>IF(ORCAMENTOS!R1890="","",ORCAMENTOS!R1890)</f>
        <v>-</v>
      </c>
    </row>
    <row r="1883" spans="1:12" ht="15.75" hidden="1" customHeight="1" x14ac:dyDescent="0.25">
      <c r="A1883" s="36">
        <f>IF(ORCAMENTOS!A1891="","",ORCAMENTOS!A1891)</f>
        <v>45954</v>
      </c>
      <c r="B1883" s="46">
        <f>IF(ORCAMENTOS!B1891="","",ORCAMENTOS!B1891)</f>
        <v>1881</v>
      </c>
      <c r="C1883" s="46" t="str">
        <f>IF(ORCAMENTOS!C1891="","",ORCAMENTOS!C1891)</f>
        <v/>
      </c>
      <c r="D1883" s="37" t="str">
        <f>IF(ORCAMENTOS!D1891="","",ORCAMENTOS!D1891)</f>
        <v>RM3 ENGENHARIA</v>
      </c>
      <c r="E1883" s="38" t="str">
        <f>IF(ORCAMENTOS!E1891="","",ORCAMENTOS!E1891)</f>
        <v>CLINICA DE FERTILIZACAO - EMBRION</v>
      </c>
      <c r="F1883" s="37" t="str">
        <f>IF(ORCAMENTOS!G1891="","",ORCAMENTOS!G1891)</f>
        <v>Guilherme</v>
      </c>
      <c r="G1883" s="37" t="str">
        <f>IF(ORCAMENTOS!H1891="","",ORCAMENTOS!H1891)</f>
        <v>Lenah</v>
      </c>
      <c r="H1883" s="39">
        <f>IF(ORCAMENTOS!I1891="","",ORCAMENTOS!I1891)</f>
        <v>47919.73</v>
      </c>
      <c r="I1883" s="60">
        <f>IF(ORCAMENTOS!J1891="","",ORCAMENTOS!J1891)</f>
        <v>0.05</v>
      </c>
      <c r="J1883" s="40" t="str">
        <f>IF(ORCAMENTOS!L1891="","",ORCAMENTOS!L1891)</f>
        <v>CANCELADO</v>
      </c>
      <c r="K1883" s="34" t="str">
        <f>IF(ORCAMENTOS!M1891="","",ORCAMENTOS!M1891)</f>
        <v>OBRA ISOTEMP</v>
      </c>
      <c r="L1883" t="str">
        <f>IF(ORCAMENTOS!R1891="","",ORCAMENTOS!R1891)</f>
        <v>-</v>
      </c>
    </row>
    <row r="1884" spans="1:12" ht="15.75" hidden="1" customHeight="1" x14ac:dyDescent="0.25">
      <c r="A1884" s="36">
        <f>IF(ORCAMENTOS!A1892="","",ORCAMENTOS!A1892)</f>
        <v>45954</v>
      </c>
      <c r="B1884" s="46">
        <f>IF(ORCAMENTOS!B1892="","",ORCAMENTOS!B1892)</f>
        <v>1882</v>
      </c>
      <c r="C1884" s="46" t="str">
        <f>IF(ORCAMENTOS!C1892="","",ORCAMENTOS!C1892)</f>
        <v/>
      </c>
      <c r="D1884" s="37" t="str">
        <f>IF(ORCAMENTOS!D1892="","",ORCAMENTOS!D1892)</f>
        <v>AEROTHERMIC</v>
      </c>
      <c r="E1884" s="38" t="str">
        <f>IF(ORCAMENTOS!E1892="","",ORCAMENTOS!E1892)</f>
        <v>FEMSA COCA COLA - CURITIBA</v>
      </c>
      <c r="F1884" s="37" t="str">
        <f>IF(ORCAMENTOS!G1892="","",ORCAMENTOS!G1892)</f>
        <v>Fernando</v>
      </c>
      <c r="G1884" s="37" t="str">
        <f>IF(ORCAMENTOS!H1892="","",ORCAMENTOS!H1892)</f>
        <v>Claudio</v>
      </c>
      <c r="H1884" s="39">
        <f>IF(ORCAMENTOS!I1892="","",ORCAMENTOS!I1892)</f>
        <v>55390.1</v>
      </c>
      <c r="I1884" s="60">
        <f>IF(ORCAMENTOS!J1892="","",ORCAMENTOS!J1892)</f>
        <v>7.0000000000000007E-2</v>
      </c>
      <c r="J1884" s="40" t="str">
        <f>IF(ORCAMENTOS!L1892="","",ORCAMENTOS!L1892)</f>
        <v>CANCELADO</v>
      </c>
      <c r="K1884" s="34" t="str">
        <f>IF(ORCAMENTOS!M1892="","",ORCAMENTOS!M1892)</f>
        <v>-</v>
      </c>
      <c r="L1884" t="str">
        <f>IF(ORCAMENTOS!R1892="","",ORCAMENTOS!R1892)</f>
        <v>N/E</v>
      </c>
    </row>
    <row r="1885" spans="1:12" ht="15.75" hidden="1" customHeight="1" x14ac:dyDescent="0.25">
      <c r="A1885" s="36">
        <f>IF(ORCAMENTOS!A1893="","",ORCAMENTOS!A1893)</f>
        <v>45954</v>
      </c>
      <c r="B1885" s="46">
        <f>IF(ORCAMENTOS!B1893="","",ORCAMENTOS!B1893)</f>
        <v>1883</v>
      </c>
      <c r="C1885" s="46" t="str">
        <f>IF(ORCAMENTOS!C1893="","",ORCAMENTOS!C1893)</f>
        <v>R1</v>
      </c>
      <c r="D1885" s="37" t="str">
        <f>IF(ORCAMENTOS!D1893="","",ORCAMENTOS!D1893)</f>
        <v>ISOTEMP</v>
      </c>
      <c r="E1885" s="38" t="str">
        <f>IF(ORCAMENTOS!E1893="","",ORCAMENTOS!E1893)</f>
        <v>CRH - HUNTINGTON - PINHEIROS - SP</v>
      </c>
      <c r="F1885" s="37" t="str">
        <f>IF(ORCAMENTOS!G1893="","",ORCAMENTOS!G1893)</f>
        <v>Michel</v>
      </c>
      <c r="G1885" s="37" t="str">
        <f>IF(ORCAMENTOS!H1893="","",ORCAMENTOS!H1893)</f>
        <v>Caique</v>
      </c>
      <c r="H1885" s="39">
        <f>IF(ORCAMENTOS!I1893="","",ORCAMENTOS!I1893)</f>
        <v>80152.899999999994</v>
      </c>
      <c r="I1885" s="60">
        <f>IF(ORCAMENTOS!J1893="","",ORCAMENTOS!J1893)</f>
        <v>0.04</v>
      </c>
      <c r="J1885" s="40" t="str">
        <f>IF(ORCAMENTOS!L1893="","",ORCAMENTOS!L1893)</f>
        <v>FECHADO</v>
      </c>
      <c r="K1885" s="34" t="str">
        <f>IF(ORCAMENTOS!M1893="","",ORCAMENTOS!M1893)</f>
        <v>-</v>
      </c>
      <c r="L1885" t="str">
        <f>IF(ORCAMENTOS!R1893="","",ORCAMENTOS!R1893)</f>
        <v>N/E</v>
      </c>
    </row>
    <row r="1886" spans="1:12" ht="15.75" hidden="1" customHeight="1" x14ac:dyDescent="0.25">
      <c r="A1886" s="36">
        <f>IF(ORCAMENTOS!A1894="","",ORCAMENTOS!A1894)</f>
        <v>45954</v>
      </c>
      <c r="B1886" s="46">
        <f>IF(ORCAMENTOS!B1894="","",ORCAMENTOS!B1894)</f>
        <v>1884</v>
      </c>
      <c r="C1886" s="46" t="str">
        <f>IF(ORCAMENTOS!C1894="","",ORCAMENTOS!C1894)</f>
        <v/>
      </c>
      <c r="D1886" s="37" t="str">
        <f>IF(ORCAMENTOS!D1894="","",ORCAMENTOS!D1894)</f>
        <v>ISOLEV</v>
      </c>
      <c r="E1886" s="38" t="str">
        <f>IF(ORCAMENTOS!E1894="","",ORCAMENTOS!E1894)</f>
        <v>UNIMED JUNDIAI</v>
      </c>
      <c r="F1886" s="37" t="str">
        <f>IF(ORCAMENTOS!G1894="","",ORCAMENTOS!G1894)</f>
        <v>Michel</v>
      </c>
      <c r="G1886" s="37" t="str">
        <f>IF(ORCAMENTOS!H1894="","",ORCAMENTOS!H1894)</f>
        <v/>
      </c>
      <c r="H1886" s="39">
        <f>IF(ORCAMENTOS!I1894="","",ORCAMENTOS!I1894)</f>
        <v>594962.96</v>
      </c>
      <c r="I1886" s="60">
        <f>IF(ORCAMENTOS!J1894="","",ORCAMENTOS!J1894)</f>
        <v>0.05</v>
      </c>
      <c r="J1886" s="40" t="str">
        <f>IF(ORCAMENTOS!L1894="","",ORCAMENTOS!L1894)</f>
        <v>CANCELADO</v>
      </c>
      <c r="K1886" s="34" t="str">
        <f>IF(ORCAMENTOS!M1894="","",ORCAMENTOS!M1894)</f>
        <v>OBRA DA RANKINE</v>
      </c>
      <c r="L1886" t="str">
        <f>IF(ORCAMENTOS!R1894="","",ORCAMENTOS!R1894)</f>
        <v>-</v>
      </c>
    </row>
    <row r="1887" spans="1:12" ht="15.75" hidden="1" customHeight="1" x14ac:dyDescent="0.25">
      <c r="A1887" s="36">
        <f>IF(ORCAMENTOS!A1895="","",ORCAMENTOS!A1895)</f>
        <v>45954</v>
      </c>
      <c r="B1887" s="46">
        <f>IF(ORCAMENTOS!B1895="","",ORCAMENTOS!B1895)</f>
        <v>1885</v>
      </c>
      <c r="C1887" s="46" t="str">
        <f>IF(ORCAMENTOS!C1895="","",ORCAMENTOS!C1895)</f>
        <v/>
      </c>
      <c r="D1887" s="37" t="str">
        <f>IF(ORCAMENTOS!D1895="","",ORCAMENTOS!D1895)</f>
        <v>ISOLEV</v>
      </c>
      <c r="E1887" s="38" t="str">
        <f>IF(ORCAMENTOS!E1895="","",ORCAMENTOS!E1895)</f>
        <v>UNIMED JUNDIAI</v>
      </c>
      <c r="F1887" s="37" t="str">
        <f>IF(ORCAMENTOS!G1895="","",ORCAMENTOS!G1895)</f>
        <v>Michel</v>
      </c>
      <c r="G1887" s="37" t="str">
        <f>IF(ORCAMENTOS!H1895="","",ORCAMENTOS!H1895)</f>
        <v/>
      </c>
      <c r="H1887" s="39">
        <f>IF(ORCAMENTOS!I1895="","",ORCAMENTOS!I1895)</f>
        <v>199719.72</v>
      </c>
      <c r="I1887" s="60">
        <f>IF(ORCAMENTOS!J1895="","",ORCAMENTOS!J1895)</f>
        <v>0.05</v>
      </c>
      <c r="J1887" s="40" t="str">
        <f>IF(ORCAMENTOS!L1895="","",ORCAMENTOS!L1895)</f>
        <v>CANCELADO</v>
      </c>
      <c r="K1887" s="34" t="str">
        <f>IF(ORCAMENTOS!M1895="","",ORCAMENTOS!M1895)</f>
        <v>OBRA DA RANKINE</v>
      </c>
      <c r="L1887" t="str">
        <f>IF(ORCAMENTOS!R1895="","",ORCAMENTOS!R1895)</f>
        <v>-</v>
      </c>
    </row>
    <row r="1888" spans="1:12" ht="15.75" hidden="1" customHeight="1" x14ac:dyDescent="0.25">
      <c r="A1888" s="36">
        <f>IF(ORCAMENTOS!A1896="","",ORCAMENTOS!A1896)</f>
        <v>45957</v>
      </c>
      <c r="B1888" s="46">
        <f>IF(ORCAMENTOS!B1896="","",ORCAMENTOS!B1896)</f>
        <v>1886</v>
      </c>
      <c r="C1888" s="46" t="str">
        <f>IF(ORCAMENTOS!C1896="","",ORCAMENTOS!C1896)</f>
        <v/>
      </c>
      <c r="D1888" s="37" t="str">
        <f>IF(ORCAMENTOS!D1896="","",ORCAMENTOS!D1896)</f>
        <v>FANCOLD SERVICE</v>
      </c>
      <c r="E1888" s="38" t="str">
        <f>IF(ORCAMENTOS!E1896="","",ORCAMENTOS!E1896)</f>
        <v>COMPLEMENTARES P&amp;G</v>
      </c>
      <c r="F1888" s="37" t="str">
        <f>IF(ORCAMENTOS!G1896="","",ORCAMENTOS!G1896)</f>
        <v>Michel</v>
      </c>
      <c r="G1888" s="37" t="str">
        <f>IF(ORCAMENTOS!H1896="","",ORCAMENTOS!H1896)</f>
        <v>Roger</v>
      </c>
      <c r="H1888" s="39">
        <f>IF(ORCAMENTOS!I1896="","",ORCAMENTOS!I1896)</f>
        <v>1926.57</v>
      </c>
      <c r="I1888" s="60">
        <f>IF(ORCAMENTOS!J1896="","",ORCAMENTOS!J1896)</f>
        <v>7.0000000000000007E-2</v>
      </c>
      <c r="J1888" s="40" t="str">
        <f>IF(ORCAMENTOS!L1896="","",ORCAMENTOS!L1896)</f>
        <v>FECHADO</v>
      </c>
      <c r="K1888" s="34" t="str">
        <f>IF(ORCAMENTOS!M1896="","",ORCAMENTOS!M1896)</f>
        <v>-</v>
      </c>
      <c r="L1888" t="str">
        <f>IF(ORCAMENTOS!R1896="","",ORCAMENTOS!R1896)</f>
        <v>-</v>
      </c>
    </row>
    <row r="1889" spans="1:12" ht="15.75" hidden="1" customHeight="1" x14ac:dyDescent="0.25">
      <c r="A1889" s="36">
        <f>IF(ORCAMENTOS!A1897="","",ORCAMENTOS!A1897)</f>
        <v>45957</v>
      </c>
      <c r="B1889" s="46">
        <f>IF(ORCAMENTOS!B1897="","",ORCAMENTOS!B1897)</f>
        <v>1887</v>
      </c>
      <c r="C1889" s="46" t="str">
        <f>IF(ORCAMENTOS!C1897="","",ORCAMENTOS!C1897)</f>
        <v>R1</v>
      </c>
      <c r="D1889" s="37" t="str">
        <f>IF(ORCAMENTOS!D1897="","",ORCAMENTOS!D1897)</f>
        <v>CONTROLE CLIMA</v>
      </c>
      <c r="E1889" s="38" t="str">
        <f>IF(ORCAMENTOS!E1897="","",ORCAMENTOS!E1897)</f>
        <v>CINEMA</v>
      </c>
      <c r="F1889" s="37" t="str">
        <f>IF(ORCAMENTOS!G1897="","",ORCAMENTOS!G1897)</f>
        <v>Emanuel</v>
      </c>
      <c r="G1889" s="37" t="str">
        <f>IF(ORCAMENTOS!H1897="","",ORCAMENTOS!H1897)</f>
        <v>Kleverson</v>
      </c>
      <c r="H1889" s="39">
        <f>IF(ORCAMENTOS!I1897="","",ORCAMENTOS!I1897)</f>
        <v>19489.509999999998</v>
      </c>
      <c r="I1889" s="60">
        <f>IF(ORCAMENTOS!J1897="","",ORCAMENTOS!J1897)</f>
        <v>0.04</v>
      </c>
      <c r="J1889" s="40" t="str">
        <f>IF(ORCAMENTOS!L1897="","",ORCAMENTOS!L1897)</f>
        <v>FECHADO</v>
      </c>
      <c r="K1889" s="34" t="str">
        <f>IF(ORCAMENTOS!M1897="","",ORCAMENTOS!M1897)</f>
        <v>VISITA PRÓX. SEMANA</v>
      </c>
      <c r="L1889" t="str">
        <f>IF(ORCAMENTOS!R1897="","",ORCAMENTOS!R1897)</f>
        <v>-</v>
      </c>
    </row>
    <row r="1890" spans="1:12" ht="15.75" hidden="1" customHeight="1" x14ac:dyDescent="0.25">
      <c r="A1890" s="36">
        <f>IF(ORCAMENTOS!A1898="","",ORCAMENTOS!A1898)</f>
        <v>45957</v>
      </c>
      <c r="B1890" s="46">
        <f>IF(ORCAMENTOS!B1898="","",ORCAMENTOS!B1898)</f>
        <v>1888</v>
      </c>
      <c r="C1890" s="46" t="str">
        <f>IF(ORCAMENTOS!C1898="","",ORCAMENTOS!C1898)</f>
        <v/>
      </c>
      <c r="D1890" s="37" t="str">
        <f>IF(ORCAMENTOS!D1898="","",ORCAMENTOS!D1898)</f>
        <v>AIRPLAN</v>
      </c>
      <c r="E1890" s="38" t="str">
        <f>IF(ORCAMENTOS!E1898="","",ORCAMENTOS!E1898)</f>
        <v>-</v>
      </c>
      <c r="F1890" s="37" t="str">
        <f>IF(ORCAMENTOS!G1898="","",ORCAMENTOS!G1898)</f>
        <v>Guilherme</v>
      </c>
      <c r="G1890" s="37" t="str">
        <f>IF(ORCAMENTOS!H1898="","",ORCAMENTOS!H1898)</f>
        <v>Laercio</v>
      </c>
      <c r="H1890" s="39">
        <f>IF(ORCAMENTOS!I1898="","",ORCAMENTOS!I1898)</f>
        <v>12354.9</v>
      </c>
      <c r="I1890" s="60">
        <f>IF(ORCAMENTOS!J1898="","",ORCAMENTOS!J1898)</f>
        <v>0.04</v>
      </c>
      <c r="J1890" s="40" t="str">
        <f>IF(ORCAMENTOS!L1898="","",ORCAMENTOS!L1898)</f>
        <v>CANCELADO</v>
      </c>
      <c r="K1890" s="34" t="str">
        <f>IF(ORCAMENTOS!M1898="","",ORCAMENTOS!M1898)</f>
        <v>-</v>
      </c>
      <c r="L1890" t="str">
        <f>IF(ORCAMENTOS!R1898="","",ORCAMENTOS!R1898)</f>
        <v>-</v>
      </c>
    </row>
    <row r="1891" spans="1:12" ht="15.75" hidden="1" customHeight="1" x14ac:dyDescent="0.25">
      <c r="A1891" s="36">
        <f>IF(ORCAMENTOS!A1899="","",ORCAMENTOS!A1899)</f>
        <v>45957</v>
      </c>
      <c r="B1891" s="46">
        <f>IF(ORCAMENTOS!B1899="","",ORCAMENTOS!B1899)</f>
        <v>1889</v>
      </c>
      <c r="C1891" s="46" t="str">
        <f>IF(ORCAMENTOS!C1899="","",ORCAMENTOS!C1899)</f>
        <v>R2</v>
      </c>
      <c r="D1891" s="37" t="str">
        <f>IF(ORCAMENTOS!D1899="","",ORCAMENTOS!D1899)</f>
        <v>TECNOVENTI</v>
      </c>
      <c r="E1891" s="38" t="str">
        <f>IF(ORCAMENTOS!E1899="","",ORCAMENTOS!E1899)</f>
        <v>-</v>
      </c>
      <c r="F1891" s="37" t="str">
        <f>IF(ORCAMENTOS!G1899="","",ORCAMENTOS!G1899)</f>
        <v>Gabriel</v>
      </c>
      <c r="G1891" s="37" t="str">
        <f>IF(ORCAMENTOS!H1899="","",ORCAMENTOS!H1899)</f>
        <v>Nathan</v>
      </c>
      <c r="H1891" s="39">
        <f>IF(ORCAMENTOS!I1899="","",ORCAMENTOS!I1899)</f>
        <v>19691.580000000002</v>
      </c>
      <c r="I1891" s="60">
        <f>IF(ORCAMENTOS!J1899="","",ORCAMENTOS!J1899)</f>
        <v>0.04</v>
      </c>
      <c r="J1891" s="40" t="str">
        <f>IF(ORCAMENTOS!L1899="","",ORCAMENTOS!L1899)</f>
        <v>FECHADO</v>
      </c>
      <c r="K1891" s="34" t="str">
        <f>IF(ORCAMENTOS!M1899="","",ORCAMENTOS!M1899)</f>
        <v>-</v>
      </c>
      <c r="L1891" t="str">
        <f>IF(ORCAMENTOS!R1899="","",ORCAMENTOS!R1899)</f>
        <v>-</v>
      </c>
    </row>
    <row r="1892" spans="1:12" ht="15.75" hidden="1" customHeight="1" x14ac:dyDescent="0.25">
      <c r="A1892" s="36">
        <f>IF(ORCAMENTOS!A1900="","",ORCAMENTOS!A1900)</f>
        <v>45957</v>
      </c>
      <c r="B1892" s="46">
        <f>IF(ORCAMENTOS!B1900="","",ORCAMENTOS!B1900)</f>
        <v>1890</v>
      </c>
      <c r="C1892" s="46" t="str">
        <f>IF(ORCAMENTOS!C1900="","",ORCAMENTOS!C1900)</f>
        <v/>
      </c>
      <c r="D1892" s="37" t="str">
        <f>IF(ORCAMENTOS!D1900="","",ORCAMENTOS!D1900)</f>
        <v>AFRIOTHERM</v>
      </c>
      <c r="E1892" s="38" t="str">
        <f>IF(ORCAMENTOS!E1900="","",ORCAMENTOS!E1900)</f>
        <v>FAM - AUGUSTA - EDF YARA VIANNA LAMACCHIA</v>
      </c>
      <c r="F1892" s="37" t="str">
        <f>IF(ORCAMENTOS!G1900="","",ORCAMENTOS!G1900)</f>
        <v>Emanuel</v>
      </c>
      <c r="G1892" s="37" t="str">
        <f>IF(ORCAMENTOS!H1900="","",ORCAMENTOS!H1900)</f>
        <v>Iara</v>
      </c>
      <c r="H1892" s="39">
        <f>IF(ORCAMENTOS!I1900="","",ORCAMENTOS!I1900)</f>
        <v>124531.8</v>
      </c>
      <c r="I1892" s="60">
        <f>IF(ORCAMENTOS!J1900="","",ORCAMENTOS!J1900)</f>
        <v>7.0000000000000007E-2</v>
      </c>
      <c r="J1892" s="40" t="str">
        <f>IF(ORCAMENTOS!L1900="","",ORCAMENTOS!L1900)</f>
        <v>CANCELADO</v>
      </c>
      <c r="K1892" s="34" t="str">
        <f>IF(ORCAMENTOS!M1900="","",ORCAMENTOS!M1900)</f>
        <v>-</v>
      </c>
      <c r="L1892" t="str">
        <f>IF(ORCAMENTOS!R1900="","",ORCAMENTOS!R1900)</f>
        <v>N/E</v>
      </c>
    </row>
    <row r="1893" spans="1:12" ht="15.75" hidden="1" customHeight="1" x14ac:dyDescent="0.25">
      <c r="A1893" s="36">
        <f>IF(ORCAMENTOS!A1901="","",ORCAMENTOS!A1901)</f>
        <v>45957</v>
      </c>
      <c r="B1893" s="46">
        <f>IF(ORCAMENTOS!B1901="","",ORCAMENTOS!B1901)</f>
        <v>1891</v>
      </c>
      <c r="C1893" s="46" t="str">
        <f>IF(ORCAMENTOS!C1901="","",ORCAMENTOS!C1901)</f>
        <v/>
      </c>
      <c r="D1893" s="37" t="str">
        <f>IF(ORCAMENTOS!D1901="","",ORCAMENTOS!D1901)</f>
        <v>NEXT DUCT</v>
      </c>
      <c r="E1893" s="38" t="str">
        <f>IF(ORCAMENTOS!E1901="","",ORCAMENTOS!E1901)</f>
        <v>-</v>
      </c>
      <c r="F1893" s="37" t="str">
        <f>IF(ORCAMENTOS!G1901="","",ORCAMENTOS!G1901)</f>
        <v>Gabriel</v>
      </c>
      <c r="G1893" s="37" t="str">
        <f>IF(ORCAMENTOS!H1901="","",ORCAMENTOS!H1901)</f>
        <v>Vinicius</v>
      </c>
      <c r="H1893" s="39">
        <f>IF(ORCAMENTOS!I1901="","",ORCAMENTOS!I1901)</f>
        <v>81774</v>
      </c>
      <c r="I1893" s="60">
        <f>IF(ORCAMENTOS!J1901="","",ORCAMENTOS!J1901)</f>
        <v>7.0000000000000007E-2</v>
      </c>
      <c r="J1893" s="40" t="str">
        <f>IF(ORCAMENTOS!L1901="","",ORCAMENTOS!L1901)</f>
        <v>FECHADO</v>
      </c>
      <c r="K1893" s="34" t="str">
        <f>IF(ORCAMENTOS!M1901="","",ORCAMENTOS!M1901)</f>
        <v>-</v>
      </c>
      <c r="L1893" t="str">
        <f>IF(ORCAMENTOS!R1901="","",ORCAMENTOS!R1901)</f>
        <v>-</v>
      </c>
    </row>
    <row r="1894" spans="1:12" ht="15.75" hidden="1" customHeight="1" x14ac:dyDescent="0.25">
      <c r="A1894" s="36">
        <f>IF(ORCAMENTOS!A1902="","",ORCAMENTOS!A1902)</f>
        <v>45959</v>
      </c>
      <c r="B1894" s="46">
        <f>IF(ORCAMENTOS!B1902="","",ORCAMENTOS!B1902)</f>
        <v>1892</v>
      </c>
      <c r="C1894" s="46" t="str">
        <f>IF(ORCAMENTOS!C1902="","",ORCAMENTOS!C1902)</f>
        <v>R1</v>
      </c>
      <c r="D1894" s="37" t="str">
        <f>IF(ORCAMENTOS!D1902="","",ORCAMENTOS!D1902)</f>
        <v>INOVECTOR</v>
      </c>
      <c r="E1894" s="38" t="str">
        <f>IF(ORCAMENTOS!E1902="","",ORCAMENTOS!E1902)</f>
        <v>OSASCO CMS - REQ 0087</v>
      </c>
      <c r="F1894" s="37" t="str">
        <f>IF(ORCAMENTOS!G1902="","",ORCAMENTOS!G1902)</f>
        <v>Fernando</v>
      </c>
      <c r="G1894" s="37" t="str">
        <f>IF(ORCAMENTOS!H1902="","",ORCAMENTOS!H1902)</f>
        <v>Eliete</v>
      </c>
      <c r="H1894" s="39">
        <f>IF(ORCAMENTOS!I1902="","",ORCAMENTOS!I1902)</f>
        <v>30062.27</v>
      </c>
      <c r="I1894" s="60">
        <f>IF(ORCAMENTOS!J1902="","",ORCAMENTOS!J1902)</f>
        <v>0.03</v>
      </c>
      <c r="J1894" s="40" t="str">
        <f>IF(ORCAMENTOS!L1902="","",ORCAMENTOS!L1902)</f>
        <v>FECHADO</v>
      </c>
      <c r="K1894" s="34" t="str">
        <f>IF(ORCAMENTOS!M1902="","",ORCAMENTOS!M1902)</f>
        <v>-</v>
      </c>
      <c r="L1894" t="str">
        <f>IF(ORCAMENTOS!R1902="","",ORCAMENTOS!R1902)</f>
        <v>-</v>
      </c>
    </row>
    <row r="1895" spans="1:12" ht="15.75" hidden="1" customHeight="1" x14ac:dyDescent="0.25">
      <c r="A1895" s="36">
        <f>IF(ORCAMENTOS!A1903="","",ORCAMENTOS!A1903)</f>
        <v>45957</v>
      </c>
      <c r="B1895" s="46">
        <f>IF(ORCAMENTOS!B1903="","",ORCAMENTOS!B1903)</f>
        <v>1893</v>
      </c>
      <c r="C1895" s="46" t="str">
        <f>IF(ORCAMENTOS!C1903="","",ORCAMENTOS!C1903)</f>
        <v>R1</v>
      </c>
      <c r="D1895" s="37" t="str">
        <f>IF(ORCAMENTOS!D1903="","",ORCAMENTOS!D1903)</f>
        <v>FANCOLD SERVICE</v>
      </c>
      <c r="E1895" s="38" t="str">
        <f>IF(ORCAMENTOS!E1903="","",ORCAMENTOS!E1903)</f>
        <v>BAUDUCCO - CHOCO BAKERY</v>
      </c>
      <c r="F1895" s="37" t="str">
        <f>IF(ORCAMENTOS!G1903="","",ORCAMENTOS!G1903)</f>
        <v>Michel</v>
      </c>
      <c r="G1895" s="37" t="str">
        <f>IF(ORCAMENTOS!H1903="","",ORCAMENTOS!H1903)</f>
        <v>Victor</v>
      </c>
      <c r="H1895" s="39">
        <f>IF(ORCAMENTOS!I1903="","",ORCAMENTOS!I1903)</f>
        <v>150369.94</v>
      </c>
      <c r="I1895" s="60">
        <f>IF(ORCAMENTOS!J1903="","",ORCAMENTOS!J1903)</f>
        <v>0.05</v>
      </c>
      <c r="J1895" s="40" t="str">
        <f>IF(ORCAMENTOS!L1903="","",ORCAMENTOS!L1903)</f>
        <v>CANCELADO</v>
      </c>
      <c r="K1895" s="34" t="str">
        <f>IF(ORCAMENTOS!M1903="","",ORCAMENTOS!M1903)</f>
        <v>-</v>
      </c>
      <c r="L1895" t="str">
        <f>IF(ORCAMENTOS!R1903="","",ORCAMENTOS!R1903)</f>
        <v>MPU</v>
      </c>
    </row>
    <row r="1896" spans="1:12" ht="15.75" hidden="1" customHeight="1" x14ac:dyDescent="0.25">
      <c r="A1896" s="36">
        <f>IF(ORCAMENTOS!A1904="","",ORCAMENTOS!A1904)</f>
        <v>45959</v>
      </c>
      <c r="B1896" s="46">
        <f>IF(ORCAMENTOS!B1904="","",ORCAMENTOS!B1904)</f>
        <v>1894</v>
      </c>
      <c r="C1896" s="46" t="str">
        <f>IF(ORCAMENTOS!C1904="","",ORCAMENTOS!C1904)</f>
        <v>R2</v>
      </c>
      <c r="D1896" s="37" t="str">
        <f>IF(ORCAMENTOS!D1904="","",ORCAMENTOS!D1904)</f>
        <v>TPCONS</v>
      </c>
      <c r="E1896" s="38" t="str">
        <f>IF(ORCAMENTOS!E1904="","",ORCAMENTOS!E1904)</f>
        <v>SKF - Solution Factory</v>
      </c>
      <c r="F1896" s="37" t="str">
        <f>IF(ORCAMENTOS!G1904="","",ORCAMENTOS!G1904)</f>
        <v>Gabriel</v>
      </c>
      <c r="G1896" s="37" t="str">
        <f>IF(ORCAMENTOS!H1904="","",ORCAMENTOS!H1904)</f>
        <v>Diego</v>
      </c>
      <c r="H1896" s="39">
        <f>IF(ORCAMENTOS!I1904="","",ORCAMENTOS!I1904)</f>
        <v>56844.59</v>
      </c>
      <c r="I1896" s="60">
        <f>IF(ORCAMENTOS!J1904="","",ORCAMENTOS!J1904)</f>
        <v>0.04</v>
      </c>
      <c r="J1896" s="40" t="str">
        <f>IF(ORCAMENTOS!L1904="","",ORCAMENTOS!L1904)</f>
        <v>FECHADO</v>
      </c>
      <c r="K1896" s="34" t="str">
        <f>IF(ORCAMENTOS!M1904="","",ORCAMENTOS!M1904)</f>
        <v>-</v>
      </c>
      <c r="L1896" t="str">
        <f>IF(ORCAMENTOS!R1904="","",ORCAMENTOS!R1904)</f>
        <v>-</v>
      </c>
    </row>
    <row r="1897" spans="1:12" ht="15.75" hidden="1" customHeight="1" x14ac:dyDescent="0.25">
      <c r="A1897" s="36">
        <f>IF(ORCAMENTOS!A1905="","",ORCAMENTOS!A1905)</f>
        <v>45958</v>
      </c>
      <c r="B1897" s="46">
        <f>IF(ORCAMENTOS!B1905="","",ORCAMENTOS!B1905)</f>
        <v>1895</v>
      </c>
      <c r="C1897" s="46" t="str">
        <f>IF(ORCAMENTOS!C1905="","",ORCAMENTOS!C1905)</f>
        <v/>
      </c>
      <c r="D1897" s="37" t="str">
        <f>IF(ORCAMENTOS!D1905="","",ORCAMENTOS!D1905)</f>
        <v>INOVECTOR</v>
      </c>
      <c r="E1897" s="38" t="str">
        <f>IF(ORCAMENTOS!E1905="","",ORCAMENTOS!E1905)</f>
        <v>HOSP. JABAQUARA - UTI_ADULTO</v>
      </c>
      <c r="F1897" s="37" t="str">
        <f>IF(ORCAMENTOS!G1905="","",ORCAMENTOS!G1905)</f>
        <v>Fernando</v>
      </c>
      <c r="G1897" s="37" t="str">
        <f>IF(ORCAMENTOS!H1905="","",ORCAMENTOS!H1905)</f>
        <v>Eliete</v>
      </c>
      <c r="H1897" s="39">
        <f>IF(ORCAMENTOS!I1905="","",ORCAMENTOS!I1905)</f>
        <v>2383.0100000000002</v>
      </c>
      <c r="I1897" s="60">
        <f>IF(ORCAMENTOS!J1905="","",ORCAMENTOS!J1905)</f>
        <v>0.03</v>
      </c>
      <c r="J1897" s="40" t="str">
        <f>IF(ORCAMENTOS!L1905="","",ORCAMENTOS!L1905)</f>
        <v>FECHADO</v>
      </c>
      <c r="K1897" s="34" t="str">
        <f>IF(ORCAMENTOS!M1905="","",ORCAMENTOS!M1905)</f>
        <v>-</v>
      </c>
      <c r="L1897" t="str">
        <f>IF(ORCAMENTOS!R1905="","",ORCAMENTOS!R1905)</f>
        <v>-</v>
      </c>
    </row>
    <row r="1898" spans="1:12" ht="15.75" hidden="1" customHeight="1" x14ac:dyDescent="0.25">
      <c r="A1898" s="36">
        <f>IF(ORCAMENTOS!A1906="","",ORCAMENTOS!A1906)</f>
        <v>45958</v>
      </c>
      <c r="B1898" s="46">
        <f>IF(ORCAMENTOS!B1906="","",ORCAMENTOS!B1906)</f>
        <v>1896</v>
      </c>
      <c r="C1898" s="46" t="str">
        <f>IF(ORCAMENTOS!C1906="","",ORCAMENTOS!C1906)</f>
        <v>R2</v>
      </c>
      <c r="D1898" s="37" t="str">
        <f>IF(ORCAMENTOS!D1906="","",ORCAMENTOS!D1906)</f>
        <v>AMS INSTALACOES</v>
      </c>
      <c r="E1898" s="38" t="str">
        <f>IF(ORCAMENTOS!E1906="","",ORCAMENTOS!E1906)</f>
        <v>COMPER - CT - AURORA</v>
      </c>
      <c r="F1898" s="37" t="str">
        <f>IF(ORCAMENTOS!G1906="","",ORCAMENTOS!G1906)</f>
        <v>Gabriel</v>
      </c>
      <c r="G1898" s="37" t="str">
        <f>IF(ORCAMENTOS!H1906="","",ORCAMENTOS!H1906)</f>
        <v>Renan</v>
      </c>
      <c r="H1898" s="39">
        <f>IF(ORCAMENTOS!I1906="","",ORCAMENTOS!I1906)</f>
        <v>31201.67</v>
      </c>
      <c r="I1898" s="60">
        <f>IF(ORCAMENTOS!J1906="","",ORCAMENTOS!J1906)</f>
        <v>0.04</v>
      </c>
      <c r="J1898" s="40" t="str">
        <f>IF(ORCAMENTOS!L1906="","",ORCAMENTOS!L1906)</f>
        <v>FECHADO</v>
      </c>
      <c r="K1898" s="34" t="str">
        <f>IF(ORCAMENTOS!M1906="","",ORCAMENTOS!M1906)</f>
        <v>-</v>
      </c>
      <c r="L1898" t="str">
        <f>IF(ORCAMENTOS!R1906="","",ORCAMENTOS!R1906)</f>
        <v>-</v>
      </c>
    </row>
    <row r="1899" spans="1:12" ht="15.75" hidden="1" customHeight="1" x14ac:dyDescent="0.25">
      <c r="A1899" s="36">
        <f>IF(ORCAMENTOS!A1907="","",ORCAMENTOS!A1907)</f>
        <v>45959</v>
      </c>
      <c r="B1899" s="46">
        <f>IF(ORCAMENTOS!B1907="","",ORCAMENTOS!B1907)</f>
        <v>1897</v>
      </c>
      <c r="C1899" s="46" t="str">
        <f>IF(ORCAMENTOS!C1907="","",ORCAMENTOS!C1907)</f>
        <v>R2</v>
      </c>
      <c r="D1899" s="37" t="str">
        <f>IF(ORCAMENTOS!D1907="","",ORCAMENTOS!D1907)</f>
        <v>ARPOL ENGENHARIA</v>
      </c>
      <c r="E1899" s="38" t="str">
        <f>IF(ORCAMENTOS!E1907="","",ORCAMENTOS!E1907)</f>
        <v>LABORATORIOS FERRING - SÃO PAULO - SP</v>
      </c>
      <c r="F1899" s="37" t="str">
        <f>IF(ORCAMENTOS!G1907="","",ORCAMENTOS!G1907)</f>
        <v>Michel</v>
      </c>
      <c r="G1899" s="37" t="str">
        <f>IF(ORCAMENTOS!H1907="","",ORCAMENTOS!H1907)</f>
        <v>Arnaldo</v>
      </c>
      <c r="H1899" s="39">
        <f>IF(ORCAMENTOS!I1907="","",ORCAMENTOS!I1907)</f>
        <v>29676.48</v>
      </c>
      <c r="I1899" s="60">
        <f>IF(ORCAMENTOS!J1907="","",ORCAMENTOS!J1907)</f>
        <v>0.05</v>
      </c>
      <c r="J1899" s="40" t="str">
        <f>IF(ORCAMENTOS!L1907="","",ORCAMENTOS!L1907)</f>
        <v>PERDIDO</v>
      </c>
      <c r="K1899" s="34" t="str">
        <f>IF(ORCAMENTOS!M1907="","",ORCAMENTOS!M1907)</f>
        <v>MULTIVAC</v>
      </c>
      <c r="L1899" t="str">
        <f>IF(ORCAMENTOS!R1907="","",ORCAMENTOS!R1907)</f>
        <v>-</v>
      </c>
    </row>
    <row r="1900" spans="1:12" ht="15.75" hidden="1" customHeight="1" x14ac:dyDescent="0.25">
      <c r="A1900" s="36">
        <f>IF(ORCAMENTOS!A1908="","",ORCAMENTOS!A1908)</f>
        <v>45958</v>
      </c>
      <c r="B1900" s="46">
        <f>IF(ORCAMENTOS!B1908="","",ORCAMENTOS!B1908)</f>
        <v>1898</v>
      </c>
      <c r="C1900" s="46" t="str">
        <f>IF(ORCAMENTOS!C1908="","",ORCAMENTOS!C1908)</f>
        <v/>
      </c>
      <c r="D1900" s="37" t="str">
        <f>IF(ORCAMENTOS!D1908="","",ORCAMENTOS!D1908)</f>
        <v>RANKINE</v>
      </c>
      <c r="E1900" s="38" t="str">
        <f>IF(ORCAMENTOS!E1908="","",ORCAMENTOS!E1908)</f>
        <v>UNIMED JUNDIAI</v>
      </c>
      <c r="F1900" s="37" t="str">
        <f>IF(ORCAMENTOS!G1908="","",ORCAMENTOS!G1908)</f>
        <v>Michel</v>
      </c>
      <c r="G1900" s="37" t="str">
        <f>IF(ORCAMENTOS!H1908="","",ORCAMENTOS!H1908)</f>
        <v>Celso</v>
      </c>
      <c r="H1900" s="39">
        <f>IF(ORCAMENTOS!I1908="","",ORCAMENTOS!I1908)</f>
        <v>594962.96</v>
      </c>
      <c r="I1900" s="60">
        <f>IF(ORCAMENTOS!J1908="","",ORCAMENTOS!J1908)</f>
        <v>0.05</v>
      </c>
      <c r="J1900" s="40" t="str">
        <f>IF(ORCAMENTOS!L1908="","",ORCAMENTOS!L1908)</f>
        <v>CANCELADO</v>
      </c>
      <c r="K1900" s="34" t="str">
        <f>IF(ORCAMENTOS!M1908="","",ORCAMENTOS!M1908)</f>
        <v>-</v>
      </c>
      <c r="L1900" t="str">
        <f>IF(ORCAMENTOS!R1908="","",ORCAMENTOS!R1908)</f>
        <v>-</v>
      </c>
    </row>
    <row r="1901" spans="1:12" ht="15.75" hidden="1" customHeight="1" x14ac:dyDescent="0.25">
      <c r="A1901" s="36">
        <f>IF(ORCAMENTOS!A1909="","",ORCAMENTOS!A1909)</f>
        <v>45958</v>
      </c>
      <c r="B1901" s="46">
        <f>IF(ORCAMENTOS!B1909="","",ORCAMENTOS!B1909)</f>
        <v>1899</v>
      </c>
      <c r="C1901" s="46" t="str">
        <f>IF(ORCAMENTOS!C1909="","",ORCAMENTOS!C1909)</f>
        <v/>
      </c>
      <c r="D1901" s="37" t="str">
        <f>IF(ORCAMENTOS!D1909="","",ORCAMENTOS!D1909)</f>
        <v>RANKINE</v>
      </c>
      <c r="E1901" s="38" t="str">
        <f>IF(ORCAMENTOS!E1909="","",ORCAMENTOS!E1909)</f>
        <v>UNIMED JUNDIAI</v>
      </c>
      <c r="F1901" s="37" t="str">
        <f>IF(ORCAMENTOS!G1909="","",ORCAMENTOS!G1909)</f>
        <v>Michel</v>
      </c>
      <c r="G1901" s="37" t="str">
        <f>IF(ORCAMENTOS!H1909="","",ORCAMENTOS!H1909)</f>
        <v>Celso</v>
      </c>
      <c r="H1901" s="39">
        <f>IF(ORCAMENTOS!I1909="","",ORCAMENTOS!I1909)</f>
        <v>199719.72</v>
      </c>
      <c r="I1901" s="60">
        <f>IF(ORCAMENTOS!J1909="","",ORCAMENTOS!J1909)</f>
        <v>0.05</v>
      </c>
      <c r="J1901" s="40" t="str">
        <f>IF(ORCAMENTOS!L1909="","",ORCAMENTOS!L1909)</f>
        <v>CANCELADO</v>
      </c>
      <c r="K1901" s="34" t="str">
        <f>IF(ORCAMENTOS!M1909="","",ORCAMENTOS!M1909)</f>
        <v>-</v>
      </c>
      <c r="L1901" t="str">
        <f>IF(ORCAMENTOS!R1909="","",ORCAMENTOS!R1909)</f>
        <v>-</v>
      </c>
    </row>
    <row r="1902" spans="1:12" ht="15.75" hidden="1" customHeight="1" x14ac:dyDescent="0.25">
      <c r="A1902" s="36">
        <f>IF(ORCAMENTOS!A1910="","",ORCAMENTOS!A1910)</f>
        <v>45958</v>
      </c>
      <c r="B1902" s="46">
        <f>IF(ORCAMENTOS!B1910="","",ORCAMENTOS!B1910)</f>
        <v>1900</v>
      </c>
      <c r="C1902" s="46" t="str">
        <f>IF(ORCAMENTOS!C1910="","",ORCAMENTOS!C1910)</f>
        <v/>
      </c>
      <c r="D1902" s="37" t="str">
        <f>IF(ORCAMENTOS!D1910="","",ORCAMENTOS!D1910)</f>
        <v>INOVECTOR</v>
      </c>
      <c r="E1902" s="38" t="str">
        <f>IF(ORCAMENTOS!E1910="","",ORCAMENTOS!E1910)</f>
        <v>CLÍNICA STEM_BRIGADEIRO</v>
      </c>
      <c r="F1902" s="37" t="str">
        <f>IF(ORCAMENTOS!G1910="","",ORCAMENTOS!G1910)</f>
        <v>Fernando</v>
      </c>
      <c r="G1902" s="37" t="str">
        <f>IF(ORCAMENTOS!H1910="","",ORCAMENTOS!H1910)</f>
        <v>Eliete</v>
      </c>
      <c r="H1902" s="39">
        <f>IF(ORCAMENTOS!I1910="","",ORCAMENTOS!I1910)</f>
        <v>15630.97</v>
      </c>
      <c r="I1902" s="60">
        <f>IF(ORCAMENTOS!J1910="","",ORCAMENTOS!J1910)</f>
        <v>0.03</v>
      </c>
      <c r="J1902" s="40" t="str">
        <f>IF(ORCAMENTOS!L1910="","",ORCAMENTOS!L1910)</f>
        <v>FECHADO</v>
      </c>
      <c r="K1902" s="34" t="str">
        <f>IF(ORCAMENTOS!M1910="","",ORCAMENTOS!M1910)</f>
        <v>-</v>
      </c>
      <c r="L1902" t="str">
        <f>IF(ORCAMENTOS!R1910="","",ORCAMENTOS!R1910)</f>
        <v>-</v>
      </c>
    </row>
    <row r="1903" spans="1:12" ht="15.75" hidden="1" customHeight="1" x14ac:dyDescent="0.25">
      <c r="A1903" s="36">
        <f>IF(ORCAMENTOS!A1911="","",ORCAMENTOS!A1911)</f>
        <v>45958</v>
      </c>
      <c r="B1903" s="46">
        <f>IF(ORCAMENTOS!B1911="","",ORCAMENTOS!B1911)</f>
        <v>1901</v>
      </c>
      <c r="C1903" s="46" t="str">
        <f>IF(ORCAMENTOS!C1911="","",ORCAMENTOS!C1911)</f>
        <v/>
      </c>
      <c r="D1903" s="37" t="str">
        <f>IF(ORCAMENTOS!D1911="","",ORCAMENTOS!D1911)</f>
        <v>ALS INDUSTRIA</v>
      </c>
      <c r="E1903" s="38" t="str">
        <f>IF(ORCAMENTOS!E1911="","",ORCAMENTOS!E1911)</f>
        <v>-</v>
      </c>
      <c r="F1903" s="37" t="str">
        <f>IF(ORCAMENTOS!G1911="","",ORCAMENTOS!G1911)</f>
        <v>Gabriel</v>
      </c>
      <c r="G1903" s="37" t="str">
        <f>IF(ORCAMENTOS!H1911="","",ORCAMENTOS!H1911)</f>
        <v>Fabio</v>
      </c>
      <c r="H1903" s="39">
        <f>IF(ORCAMENTOS!I1911="","",ORCAMENTOS!I1911)</f>
        <v>3163.79</v>
      </c>
      <c r="I1903" s="60">
        <f>IF(ORCAMENTOS!J1911="","",ORCAMENTOS!J1911)</f>
        <v>0.05</v>
      </c>
      <c r="J1903" s="40" t="str">
        <f>IF(ORCAMENTOS!L1911="","",ORCAMENTOS!L1911)</f>
        <v>CANCELADO</v>
      </c>
      <c r="K1903" s="34" t="str">
        <f>IF(ORCAMENTOS!M1911="","",ORCAMENTOS!M1911)</f>
        <v>-</v>
      </c>
      <c r="L1903" t="str">
        <f>IF(ORCAMENTOS!R1911="","",ORCAMENTOS!R1911)</f>
        <v>-</v>
      </c>
    </row>
    <row r="1904" spans="1:12" ht="15.75" hidden="1" customHeight="1" x14ac:dyDescent="0.25">
      <c r="A1904" s="36">
        <f>IF(ORCAMENTOS!A1912="","",ORCAMENTOS!A1912)</f>
        <v>45958</v>
      </c>
      <c r="B1904" s="46">
        <f>IF(ORCAMENTOS!B1912="","",ORCAMENTOS!B1912)</f>
        <v>1902</v>
      </c>
      <c r="C1904" s="46" t="str">
        <f>IF(ORCAMENTOS!C1912="","",ORCAMENTOS!C1912)</f>
        <v/>
      </c>
      <c r="D1904" s="37" t="str">
        <f>IF(ORCAMENTOS!D1912="","",ORCAMENTOS!D1912)</f>
        <v>AWA AR CONDICIONADO</v>
      </c>
      <c r="E1904" s="38" t="str">
        <f>IF(ORCAMENTOS!E1912="","",ORCAMENTOS!E1912)</f>
        <v>CAMICADO - SHOPPING MORUMBI - BRASILIA</v>
      </c>
      <c r="F1904" s="37" t="str">
        <f>IF(ORCAMENTOS!G1912="","",ORCAMENTOS!G1912)</f>
        <v>Guilherme</v>
      </c>
      <c r="G1904" s="37" t="str">
        <f>IF(ORCAMENTOS!H1912="","",ORCAMENTOS!H1912)</f>
        <v>Guilherme</v>
      </c>
      <c r="H1904" s="39">
        <f>IF(ORCAMENTOS!I1912="","",ORCAMENTOS!I1912)</f>
        <v>33024.17</v>
      </c>
      <c r="I1904" s="60">
        <f>IF(ORCAMENTOS!J1912="","",ORCAMENTOS!J1912)</f>
        <v>7.0000000000000007E-2</v>
      </c>
      <c r="J1904" s="40" t="str">
        <f>IF(ORCAMENTOS!L1912="","",ORCAMENTOS!L1912)</f>
        <v>CANCELADO</v>
      </c>
      <c r="K1904" s="34" t="str">
        <f>IF(ORCAMENTOS!M1912="","",ORCAMENTOS!M1912)</f>
        <v>-</v>
      </c>
      <c r="L1904" t="str">
        <f>IF(ORCAMENTOS!R1912="","",ORCAMENTOS!R1912)</f>
        <v>MPU</v>
      </c>
    </row>
    <row r="1905" spans="1:12" ht="15.75" hidden="1" customHeight="1" x14ac:dyDescent="0.25">
      <c r="A1905" s="36">
        <f>IF(ORCAMENTOS!A1913="","",ORCAMENTOS!A1913)</f>
        <v>45958</v>
      </c>
      <c r="B1905" s="46">
        <f>IF(ORCAMENTOS!B1913="","",ORCAMENTOS!B1913)</f>
        <v>1903</v>
      </c>
      <c r="C1905" s="46" t="str">
        <f>IF(ORCAMENTOS!C1913="","",ORCAMENTOS!C1913)</f>
        <v/>
      </c>
      <c r="D1905" s="37" t="str">
        <f>IF(ORCAMENTOS!D1913="","",ORCAMENTOS!D1913)</f>
        <v>MJ CLIMATIZACAO</v>
      </c>
      <c r="E1905" s="38" t="str">
        <f>IF(ORCAMENTOS!E1913="","",ORCAMENTOS!E1913)</f>
        <v>CAMICADO - SHOPPING MORUMBI - BRASILIA</v>
      </c>
      <c r="F1905" s="37" t="str">
        <f>IF(ORCAMENTOS!G1913="","",ORCAMENTOS!G1913)</f>
        <v>Emanuel</v>
      </c>
      <c r="G1905" s="37" t="str">
        <f>IF(ORCAMENTOS!H1913="","",ORCAMENTOS!H1913)</f>
        <v>Escobar</v>
      </c>
      <c r="H1905" s="39">
        <f>IF(ORCAMENTOS!I1913="","",ORCAMENTOS!I1913)</f>
        <v>33024.17</v>
      </c>
      <c r="I1905" s="60">
        <f>IF(ORCAMENTOS!J1913="","",ORCAMENTOS!J1913)</f>
        <v>7.0000000000000007E-2</v>
      </c>
      <c r="J1905" s="40" t="str">
        <f>IF(ORCAMENTOS!L1913="","",ORCAMENTOS!L1913)</f>
        <v>CANCELADO</v>
      </c>
      <c r="K1905" s="34" t="str">
        <f>IF(ORCAMENTOS!M1913="","",ORCAMENTOS!M1913)</f>
        <v>-</v>
      </c>
      <c r="L1905" t="str">
        <f>IF(ORCAMENTOS!R1913="","",ORCAMENTOS!R1913)</f>
        <v>MPU</v>
      </c>
    </row>
    <row r="1906" spans="1:12" ht="15.75" hidden="1" customHeight="1" x14ac:dyDescent="0.25">
      <c r="A1906" s="36">
        <f>IF(ORCAMENTOS!A1914="","",ORCAMENTOS!A1914)</f>
        <v>45959</v>
      </c>
      <c r="B1906" s="46">
        <f>IF(ORCAMENTOS!B1914="","",ORCAMENTOS!B1914)</f>
        <v>1904</v>
      </c>
      <c r="C1906" s="46" t="str">
        <f>IF(ORCAMENTOS!C1914="","",ORCAMENTOS!C1914)</f>
        <v>R1</v>
      </c>
      <c r="D1906" s="37" t="str">
        <f>IF(ORCAMENTOS!D1914="","",ORCAMENTOS!D1914)</f>
        <v>PROINJECT</v>
      </c>
      <c r="E1906" s="38" t="str">
        <f>IF(ORCAMENTOS!E1914="","",ORCAMENTOS!E1914)</f>
        <v>-</v>
      </c>
      <c r="F1906" s="37" t="str">
        <f>IF(ORCAMENTOS!G1914="","",ORCAMENTOS!G1914)</f>
        <v>Gabriel</v>
      </c>
      <c r="G1906" s="37" t="str">
        <f>IF(ORCAMENTOS!H1914="","",ORCAMENTOS!H1914)</f>
        <v>Leticia</v>
      </c>
      <c r="H1906" s="39">
        <f>IF(ORCAMENTOS!I1914="","",ORCAMENTOS!I1914)</f>
        <v>38155.1</v>
      </c>
      <c r="I1906" s="60">
        <f>IF(ORCAMENTOS!J1914="","",ORCAMENTOS!J1914)</f>
        <v>0.05</v>
      </c>
      <c r="J1906" s="40" t="str">
        <f>IF(ORCAMENTOS!L1914="","",ORCAMENTOS!L1914)</f>
        <v>FECHADO</v>
      </c>
      <c r="K1906" s="34" t="str">
        <f>IF(ORCAMENTOS!M1914="","",ORCAMENTOS!M1914)</f>
        <v>-</v>
      </c>
      <c r="L1906" t="str">
        <f>IF(ORCAMENTOS!R1914="","",ORCAMENTOS!R1914)</f>
        <v>-</v>
      </c>
    </row>
    <row r="1907" spans="1:12" ht="15.75" hidden="1" customHeight="1" x14ac:dyDescent="0.25">
      <c r="A1907" s="36">
        <f>IF(ORCAMENTOS!A1915="","",ORCAMENTOS!A1915)</f>
        <v>45959</v>
      </c>
      <c r="B1907" s="46">
        <f>IF(ORCAMENTOS!B1915="","",ORCAMENTOS!B1915)</f>
        <v>1905</v>
      </c>
      <c r="C1907" s="46" t="str">
        <f>IF(ORCAMENTOS!C1915="","",ORCAMENTOS!C1915)</f>
        <v/>
      </c>
      <c r="D1907" s="37" t="str">
        <f>IF(ORCAMENTOS!D1915="","",ORCAMENTOS!D1915)</f>
        <v>SANTA CASA DE SOROCABA</v>
      </c>
      <c r="E1907" s="38" t="str">
        <f>IF(ORCAMENTOS!E1915="","",ORCAMENTOS!E1915)</f>
        <v>SANTA CASA SOROCABA - BLOCO SAO CAMILO - 1PV E 2PV</v>
      </c>
      <c r="F1907" s="37" t="str">
        <f>IF(ORCAMENTOS!G1915="","",ORCAMENTOS!G1915)</f>
        <v>Gabriel</v>
      </c>
      <c r="G1907" s="37" t="str">
        <f>IF(ORCAMENTOS!H1915="","",ORCAMENTOS!H1915)</f>
        <v>Daniel</v>
      </c>
      <c r="H1907" s="39">
        <f>IF(ORCAMENTOS!I1915="","",ORCAMENTOS!I1915)</f>
        <v>115139.73</v>
      </c>
      <c r="I1907" s="60">
        <f>IF(ORCAMENTOS!J1915="","",ORCAMENTOS!J1915)</f>
        <v>0.05</v>
      </c>
      <c r="J1907" s="40" t="str">
        <f>IF(ORCAMENTOS!L1915="","",ORCAMENTOS!L1915)</f>
        <v>CANCELADO</v>
      </c>
      <c r="K1907" s="34" t="str">
        <f>IF(ORCAMENTOS!M1915="","",ORCAMENTOS!M1915)</f>
        <v>-</v>
      </c>
      <c r="L1907" t="str">
        <f>IF(ORCAMENTOS!R1915="","",ORCAMENTOS!R1915)</f>
        <v>N/E</v>
      </c>
    </row>
    <row r="1908" spans="1:12" ht="15.75" hidden="1" customHeight="1" x14ac:dyDescent="0.25">
      <c r="A1908" s="36">
        <f>IF(ORCAMENTOS!A1916="","",ORCAMENTOS!A1916)</f>
        <v>45959</v>
      </c>
      <c r="B1908" s="46">
        <f>IF(ORCAMENTOS!B1916="","",ORCAMENTOS!B1916)</f>
        <v>1906</v>
      </c>
      <c r="C1908" s="46" t="str">
        <f>IF(ORCAMENTOS!C1916="","",ORCAMENTOS!C1916)</f>
        <v/>
      </c>
      <c r="D1908" s="37" t="str">
        <f>IF(ORCAMENTOS!D1916="","",ORCAMENTOS!D1916)</f>
        <v>BEST CLIMA</v>
      </c>
      <c r="E1908" s="38" t="str">
        <f>IF(ORCAMENTOS!E1916="","",ORCAMENTOS!E1916)</f>
        <v>CASH ATACADOS - SANTANA DE PARNAIBA - SP</v>
      </c>
      <c r="F1908" s="37" t="str">
        <f>IF(ORCAMENTOS!G1916="","",ORCAMENTOS!G1916)</f>
        <v xml:space="preserve">Aldavir </v>
      </c>
      <c r="G1908" s="37" t="str">
        <f>IF(ORCAMENTOS!H1916="","",ORCAMENTOS!H1916)</f>
        <v>Beatriz</v>
      </c>
      <c r="H1908" s="39">
        <f>IF(ORCAMENTOS!I1916="","",ORCAMENTOS!I1916)</f>
        <v>63714.99</v>
      </c>
      <c r="I1908" s="60">
        <f>IF(ORCAMENTOS!J1916="","",ORCAMENTOS!J1916)</f>
        <v>7.0000000000000007E-2</v>
      </c>
      <c r="J1908" s="40" t="str">
        <f>IF(ORCAMENTOS!L1916="","",ORCAMENTOS!L1916)</f>
        <v>CANCELADO</v>
      </c>
      <c r="K1908" s="34" t="str">
        <f>IF(ORCAMENTOS!M1916="","",ORCAMENTOS!M1916)</f>
        <v>FECHADO PELA AMS</v>
      </c>
      <c r="L1908" t="str">
        <f>IF(ORCAMENTOS!R1916="","",ORCAMENTOS!R1916)</f>
        <v>MPU</v>
      </c>
    </row>
    <row r="1909" spans="1:12" ht="15.75" hidden="1" customHeight="1" x14ac:dyDescent="0.25">
      <c r="A1909" s="36">
        <f>IF(ORCAMENTOS!A1917="","",ORCAMENTOS!A1917)</f>
        <v>45959</v>
      </c>
      <c r="B1909" s="46">
        <f>IF(ORCAMENTOS!B1917="","",ORCAMENTOS!B1917)</f>
        <v>1907</v>
      </c>
      <c r="C1909" s="46" t="str">
        <f>IF(ORCAMENTOS!C1917="","",ORCAMENTOS!C1917)</f>
        <v/>
      </c>
      <c r="D1909" s="37" t="str">
        <f>IF(ORCAMENTOS!D1917="","",ORCAMENTOS!D1917)</f>
        <v>EXSERGIA</v>
      </c>
      <c r="E1909" s="38" t="str">
        <f>IF(ORCAMENTOS!E1917="","",ORCAMENTOS!E1917)</f>
        <v>HOSPITAL SÃO LUIZ - OSASCO</v>
      </c>
      <c r="F1909" s="37" t="str">
        <f>IF(ORCAMENTOS!G1917="","",ORCAMENTOS!G1917)</f>
        <v>Gabriel</v>
      </c>
      <c r="G1909" s="37" t="str">
        <f>IF(ORCAMENTOS!H1917="","",ORCAMENTOS!H1917)</f>
        <v>Gisele</v>
      </c>
      <c r="H1909" s="39">
        <f>IF(ORCAMENTOS!I1917="","",ORCAMENTOS!I1917)</f>
        <v>179141.37</v>
      </c>
      <c r="I1909" s="60">
        <f>IF(ORCAMENTOS!J1917="","",ORCAMENTOS!J1917)</f>
        <v>7.0000000000000007E-2</v>
      </c>
      <c r="J1909" s="40" t="str">
        <f>IF(ORCAMENTOS!L1917="","",ORCAMENTOS!L1917)</f>
        <v>CANCELADO</v>
      </c>
      <c r="K1909" s="34" t="str">
        <f>IF(ORCAMENTOS!M1917="","",ORCAMENTOS!M1917)</f>
        <v>-</v>
      </c>
      <c r="L1909" t="str">
        <f>IF(ORCAMENTOS!R1917="","",ORCAMENTOS!R1917)</f>
        <v>-</v>
      </c>
    </row>
    <row r="1910" spans="1:12" ht="15.75" hidden="1" customHeight="1" x14ac:dyDescent="0.25">
      <c r="A1910" s="36">
        <f>IF(ORCAMENTOS!A1918="","",ORCAMENTOS!A1918)</f>
        <v>45959</v>
      </c>
      <c r="B1910" s="46">
        <f>IF(ORCAMENTOS!B1918="","",ORCAMENTOS!B1918)</f>
        <v>1908</v>
      </c>
      <c r="C1910" s="46" t="str">
        <f>IF(ORCAMENTOS!C1918="","",ORCAMENTOS!C1918)</f>
        <v/>
      </c>
      <c r="D1910" s="37" t="str">
        <f>IF(ORCAMENTOS!D1918="","",ORCAMENTOS!D1918)</f>
        <v>LKT AR CONDICIONADO</v>
      </c>
      <c r="E1910" s="38" t="str">
        <f>IF(ORCAMENTOS!E1918="","",ORCAMENTOS!E1918)</f>
        <v>RESTAURANTE FILO</v>
      </c>
      <c r="F1910" s="37" t="str">
        <f>IF(ORCAMENTOS!G1918="","",ORCAMENTOS!G1918)</f>
        <v>Fernando</v>
      </c>
      <c r="G1910" s="37" t="str">
        <f>IF(ORCAMENTOS!H1918="","",ORCAMENTOS!H1918)</f>
        <v>Rafael</v>
      </c>
      <c r="H1910" s="39">
        <f>IF(ORCAMENTOS!I1918="","",ORCAMENTOS!I1918)</f>
        <v>13642.43</v>
      </c>
      <c r="I1910" s="60">
        <f>IF(ORCAMENTOS!J1918="","",ORCAMENTOS!J1918)</f>
        <v>7.0000000000000007E-2</v>
      </c>
      <c r="J1910" s="40" t="str">
        <f>IF(ORCAMENTOS!L1918="","",ORCAMENTOS!L1918)</f>
        <v>CANCELADO</v>
      </c>
      <c r="K1910" s="34" t="str">
        <f>IF(ORCAMENTOS!M1918="","",ORCAMENTOS!M1918)</f>
        <v>-</v>
      </c>
      <c r="L1910" t="str">
        <f>IF(ORCAMENTOS!R1918="","",ORCAMENTOS!R1918)</f>
        <v>-</v>
      </c>
    </row>
    <row r="1911" spans="1:12" ht="15.75" hidden="1" customHeight="1" x14ac:dyDescent="0.25">
      <c r="A1911" s="36">
        <f>IF(ORCAMENTOS!A1919="","",ORCAMENTOS!A1919)</f>
        <v>45959</v>
      </c>
      <c r="B1911" s="46">
        <f>IF(ORCAMENTOS!B1919="","",ORCAMENTOS!B1919)</f>
        <v>1909</v>
      </c>
      <c r="C1911" s="46" t="str">
        <f>IF(ORCAMENTOS!C1919="","",ORCAMENTOS!C1919)</f>
        <v/>
      </c>
      <c r="D1911" s="37" t="str">
        <f>IF(ORCAMENTOS!D1919="","",ORCAMENTOS!D1919)</f>
        <v>AIRCONDYGIO</v>
      </c>
      <c r="E1911" s="38" t="str">
        <f>IF(ORCAMENTOS!E1919="","",ORCAMENTOS!E1919)</f>
        <v>CAMICADO - SHOPPING MORUMBI - BRASILIA</v>
      </c>
      <c r="F1911" s="37" t="str">
        <f>IF(ORCAMENTOS!G1919="","",ORCAMENTOS!G1919)</f>
        <v>Gabriel</v>
      </c>
      <c r="G1911" s="37" t="str">
        <f>IF(ORCAMENTOS!H1919="","",ORCAMENTOS!H1919)</f>
        <v>David</v>
      </c>
      <c r="H1911" s="39">
        <f>IF(ORCAMENTOS!I1919="","",ORCAMENTOS!I1919)</f>
        <v>33024.17</v>
      </c>
      <c r="I1911" s="60">
        <f>IF(ORCAMENTOS!J1919="","",ORCAMENTOS!J1919)</f>
        <v>7.0000000000000007E-2</v>
      </c>
      <c r="J1911" s="40" t="str">
        <f>IF(ORCAMENTOS!L1919="","",ORCAMENTOS!L1919)</f>
        <v>CANCELADO</v>
      </c>
      <c r="K1911" s="34" t="str">
        <f>IF(ORCAMENTOS!M1919="","",ORCAMENTOS!M1919)</f>
        <v>-</v>
      </c>
      <c r="L1911" t="str">
        <f>IF(ORCAMENTOS!R1919="","",ORCAMENTOS!R1919)</f>
        <v>MPU</v>
      </c>
    </row>
    <row r="1912" spans="1:12" ht="15.75" hidden="1" customHeight="1" x14ac:dyDescent="0.25">
      <c r="A1912" s="36">
        <f>IF(ORCAMENTOS!A1920="","",ORCAMENTOS!A1920)</f>
        <v>45960</v>
      </c>
      <c r="B1912" s="46">
        <f>IF(ORCAMENTOS!B1920="","",ORCAMENTOS!B1920)</f>
        <v>1910</v>
      </c>
      <c r="C1912" s="46" t="str">
        <f>IF(ORCAMENTOS!C1920="","",ORCAMENTOS!C1920)</f>
        <v/>
      </c>
      <c r="D1912" s="37" t="str">
        <f>IF(ORCAMENTOS!D1920="","",ORCAMENTOS!D1920)</f>
        <v>TECNOVENTI</v>
      </c>
      <c r="E1912" s="38" t="str">
        <f>IF(ORCAMENTOS!E1920="","",ORCAMENTOS!E1920)</f>
        <v>-</v>
      </c>
      <c r="F1912" s="37" t="str">
        <f>IF(ORCAMENTOS!G1920="","",ORCAMENTOS!G1920)</f>
        <v>Gabriel</v>
      </c>
      <c r="G1912" s="37" t="str">
        <f>IF(ORCAMENTOS!H1920="","",ORCAMENTOS!H1920)</f>
        <v>Nathan</v>
      </c>
      <c r="H1912" s="39">
        <f>IF(ORCAMENTOS!I1920="","",ORCAMENTOS!I1920)</f>
        <v>11547.94</v>
      </c>
      <c r="I1912" s="60">
        <f>IF(ORCAMENTOS!J1920="","",ORCAMENTOS!J1920)</f>
        <v>7.0000000000000007E-2</v>
      </c>
      <c r="J1912" s="40" t="str">
        <f>IF(ORCAMENTOS!L1920="","",ORCAMENTOS!L1920)</f>
        <v>CANCELADO</v>
      </c>
      <c r="K1912" s="34" t="str">
        <f>IF(ORCAMENTOS!M1920="","",ORCAMENTOS!M1920)</f>
        <v>-</v>
      </c>
      <c r="L1912" t="str">
        <f>IF(ORCAMENTOS!R1920="","",ORCAMENTOS!R1920)</f>
        <v>-</v>
      </c>
    </row>
    <row r="1913" spans="1:12" ht="15.75" hidden="1" customHeight="1" x14ac:dyDescent="0.25">
      <c r="A1913" s="36">
        <f>IF(ORCAMENTOS!A1921="","",ORCAMENTOS!A1921)</f>
        <v>45960</v>
      </c>
      <c r="B1913" s="46">
        <f>IF(ORCAMENTOS!B1921="","",ORCAMENTOS!B1921)</f>
        <v>1911</v>
      </c>
      <c r="C1913" s="46" t="str">
        <f>IF(ORCAMENTOS!C1921="","",ORCAMENTOS!C1921)</f>
        <v/>
      </c>
      <c r="D1913" s="37" t="str">
        <f>IF(ORCAMENTOS!D1921="","",ORCAMENTOS!D1921)</f>
        <v>CACR ENGENHARIA</v>
      </c>
      <c r="E1913" s="38" t="str">
        <f>IF(ORCAMENTOS!E1921="","",ORCAMENTOS!E1921)</f>
        <v>ASPEN 1903</v>
      </c>
      <c r="F1913" s="37" t="str">
        <f>IF(ORCAMENTOS!G1921="","",ORCAMENTOS!G1921)</f>
        <v xml:space="preserve">Aldavir </v>
      </c>
      <c r="G1913" s="37" t="str">
        <f>IF(ORCAMENTOS!H1921="","",ORCAMENTOS!H1921)</f>
        <v>Leonardo</v>
      </c>
      <c r="H1913" s="39">
        <f>IF(ORCAMENTOS!I1921="","",ORCAMENTOS!I1921)</f>
        <v>2472.9</v>
      </c>
      <c r="I1913" s="60">
        <f>IF(ORCAMENTOS!J1921="","",ORCAMENTOS!J1921)</f>
        <v>7.0000000000000007E-2</v>
      </c>
      <c r="J1913" s="40" t="str">
        <f>IF(ORCAMENTOS!L1921="","",ORCAMENTOS!L1921)</f>
        <v>FECHADO</v>
      </c>
      <c r="K1913" s="34" t="str">
        <f>IF(ORCAMENTOS!M1921="","",ORCAMENTOS!M1921)</f>
        <v>-</v>
      </c>
      <c r="L1913" t="str">
        <f>IF(ORCAMENTOS!R1921="","",ORCAMENTOS!R1921)</f>
        <v>-</v>
      </c>
    </row>
    <row r="1914" spans="1:12" ht="15.75" hidden="1" customHeight="1" x14ac:dyDescent="0.25">
      <c r="A1914" s="36">
        <f>IF(ORCAMENTOS!A1922="","",ORCAMENTOS!A1922)</f>
        <v>45960</v>
      </c>
      <c r="B1914" s="46">
        <f>IF(ORCAMENTOS!B1922="","",ORCAMENTOS!B1922)</f>
        <v>1912</v>
      </c>
      <c r="C1914" s="46" t="str">
        <f>IF(ORCAMENTOS!C1922="","",ORCAMENTOS!C1922)</f>
        <v>R1</v>
      </c>
      <c r="D1914" s="37" t="str">
        <f>IF(ORCAMENTOS!D1922="","",ORCAMENTOS!D1922)</f>
        <v>INOVECTOR</v>
      </c>
      <c r="E1914" s="38" t="str">
        <f>IF(ORCAMENTOS!E1922="","",ORCAMENTOS!E1922)</f>
        <v>H_GUARULHOS_ÁREA DA MULHER</v>
      </c>
      <c r="F1914" s="37" t="str">
        <f>IF(ORCAMENTOS!G1922="","",ORCAMENTOS!G1922)</f>
        <v>Fernando</v>
      </c>
      <c r="G1914" s="37" t="str">
        <f>IF(ORCAMENTOS!H1922="","",ORCAMENTOS!H1922)</f>
        <v>Eliete</v>
      </c>
      <c r="H1914" s="39">
        <f>IF(ORCAMENTOS!I1922="","",ORCAMENTOS!I1922)</f>
        <v>18792.259999999998</v>
      </c>
      <c r="I1914" s="60">
        <f>IF(ORCAMENTOS!J1922="","",ORCAMENTOS!J1922)</f>
        <v>0.03</v>
      </c>
      <c r="J1914" s="40" t="str">
        <f>IF(ORCAMENTOS!L1922="","",ORCAMENTOS!L1922)</f>
        <v>FECHADO</v>
      </c>
      <c r="K1914" s="34" t="str">
        <f>IF(ORCAMENTOS!M1922="","",ORCAMENTOS!M1922)</f>
        <v>-</v>
      </c>
      <c r="L1914" t="str">
        <f>IF(ORCAMENTOS!R1922="","",ORCAMENTOS!R1922)</f>
        <v/>
      </c>
    </row>
    <row r="1915" spans="1:12" ht="15.75" hidden="1" customHeight="1" x14ac:dyDescent="0.25">
      <c r="A1915" s="36">
        <f>IF(ORCAMENTOS!A1923="","",ORCAMENTOS!A1923)</f>
        <v>45960</v>
      </c>
      <c r="B1915" s="46">
        <f>IF(ORCAMENTOS!B1923="","",ORCAMENTOS!B1923)</f>
        <v>1913</v>
      </c>
      <c r="C1915" s="46" t="str">
        <f>IF(ORCAMENTOS!C1923="","",ORCAMENTOS!C1923)</f>
        <v/>
      </c>
      <c r="D1915" s="37" t="str">
        <f>IF(ORCAMENTOS!D1923="","",ORCAMENTOS!D1923)</f>
        <v>UNIAR ENGENHARIA</v>
      </c>
      <c r="E1915" s="38" t="str">
        <f>IF(ORCAMENTOS!E1923="","",ORCAMENTOS!E1923)</f>
        <v>TRIO - MOR ROQUE BARRETO - SP</v>
      </c>
      <c r="F1915" s="37" t="str">
        <f>IF(ORCAMENTOS!G1923="","",ORCAMENTOS!G1923)</f>
        <v>Guilherme</v>
      </c>
      <c r="G1915" s="37" t="str">
        <f>IF(ORCAMENTOS!H1923="","",ORCAMENTOS!H1923)</f>
        <v>Liborio</v>
      </c>
      <c r="H1915" s="39">
        <f>IF(ORCAMENTOS!I1923="","",ORCAMENTOS!I1923)</f>
        <v>126848.52</v>
      </c>
      <c r="I1915" s="60">
        <f>IF(ORCAMENTOS!J1923="","",ORCAMENTOS!J1923)</f>
        <v>7.0000000000000007E-2</v>
      </c>
      <c r="J1915" s="40" t="str">
        <f>IF(ORCAMENTOS!L1923="","",ORCAMENTOS!L1923)</f>
        <v>CANCELADO</v>
      </c>
      <c r="K1915" s="34" t="str">
        <f>IF(ORCAMENTOS!M1923="","",ORCAMENTOS!M1923)</f>
        <v>-</v>
      </c>
      <c r="L1915" t="str">
        <f>IF(ORCAMENTOS!R1923="","",ORCAMENTOS!R1923)</f>
        <v>ACO GALVANIZADO</v>
      </c>
    </row>
    <row r="1916" spans="1:12" ht="15.75" hidden="1" customHeight="1" x14ac:dyDescent="0.25">
      <c r="A1916" s="36">
        <f>IF(ORCAMENTOS!A1924="","",ORCAMENTOS!A1924)</f>
        <v>45960</v>
      </c>
      <c r="B1916" s="46">
        <f>IF(ORCAMENTOS!B1924="","",ORCAMENTOS!B1924)</f>
        <v>1914</v>
      </c>
      <c r="C1916" s="46" t="str">
        <f>IF(ORCAMENTOS!C1924="","",ORCAMENTOS!C1924)</f>
        <v/>
      </c>
      <c r="D1916" s="37" t="str">
        <f>IF(ORCAMENTOS!D1924="","",ORCAMENTOS!D1924)</f>
        <v>NP CLIMATIZAÇÃO</v>
      </c>
      <c r="E1916" s="38" t="str">
        <f>IF(ORCAMENTOS!E1924="","",ORCAMENTOS!E1924)</f>
        <v>CASA JARDIM - JARDIM PAULISTA - SP</v>
      </c>
      <c r="F1916" s="37" t="str">
        <f>IF(ORCAMENTOS!G1924="","",ORCAMENTOS!G1924)</f>
        <v>Guilherme</v>
      </c>
      <c r="G1916" s="37" t="str">
        <f>IF(ORCAMENTOS!H1924="","",ORCAMENTOS!H1924)</f>
        <v>Maria</v>
      </c>
      <c r="H1916" s="39">
        <f>IF(ORCAMENTOS!I1924="","",ORCAMENTOS!I1924)</f>
        <v>21525.57</v>
      </c>
      <c r="I1916" s="60">
        <f>IF(ORCAMENTOS!J1924="","",ORCAMENTOS!J1924)</f>
        <v>7.0000000000000007E-2</v>
      </c>
      <c r="J1916" s="40" t="str">
        <f>IF(ORCAMENTOS!L1924="","",ORCAMENTOS!L1924)</f>
        <v>CANCELADO</v>
      </c>
      <c r="K1916" s="34" t="str">
        <f>IF(ORCAMENTOS!M1924="","",ORCAMENTOS!M1924)</f>
        <v>BOAS CHANCES</v>
      </c>
      <c r="L1916" t="str">
        <f>IF(ORCAMENTOS!R1924="","",ORCAMENTOS!R1924)</f>
        <v>N/E</v>
      </c>
    </row>
    <row r="1917" spans="1:12" ht="15.75" hidden="1" customHeight="1" x14ac:dyDescent="0.25">
      <c r="A1917" s="36">
        <f>IF(ORCAMENTOS!A1925="","",ORCAMENTOS!A1925)</f>
        <v>45960</v>
      </c>
      <c r="B1917" s="46">
        <f>IF(ORCAMENTOS!B1925="","",ORCAMENTOS!B1925)</f>
        <v>1915</v>
      </c>
      <c r="C1917" s="46" t="str">
        <f>IF(ORCAMENTOS!C1925="","",ORCAMENTOS!C1925)</f>
        <v/>
      </c>
      <c r="D1917" s="37" t="str">
        <f>IF(ORCAMENTOS!D1925="","",ORCAMENTOS!D1925)</f>
        <v>A2 SERVICOS</v>
      </c>
      <c r="E1917" s="38" t="str">
        <f>IF(ORCAMENTOS!E1925="","",ORCAMENTOS!E1925)</f>
        <v>-</v>
      </c>
      <c r="F1917" s="37" t="str">
        <f>IF(ORCAMENTOS!G1925="","",ORCAMENTOS!G1925)</f>
        <v>Gabriel</v>
      </c>
      <c r="G1917" s="37" t="str">
        <f>IF(ORCAMENTOS!H1925="","",ORCAMENTOS!H1925)</f>
        <v>Ronilson</v>
      </c>
      <c r="H1917" s="39">
        <f>IF(ORCAMENTOS!I1925="","",ORCAMENTOS!I1925)</f>
        <v>18322.62</v>
      </c>
      <c r="I1917" s="60">
        <f>IF(ORCAMENTOS!J1925="","",ORCAMENTOS!J1925)</f>
        <v>0.05</v>
      </c>
      <c r="J1917" s="40" t="str">
        <f>IF(ORCAMENTOS!L1925="","",ORCAMENTOS!L1925)</f>
        <v>CANCELADO</v>
      </c>
      <c r="K1917" s="34" t="str">
        <f>IF(ORCAMENTOS!M1925="","",ORCAMENTOS!M1925)</f>
        <v>-</v>
      </c>
      <c r="L1917" t="str">
        <f>IF(ORCAMENTOS!R1925="","",ORCAMENTOS!R1925)</f>
        <v>-</v>
      </c>
    </row>
    <row r="1918" spans="1:12" ht="15.75" hidden="1" customHeight="1" x14ac:dyDescent="0.25">
      <c r="A1918" s="36">
        <f>IF(ORCAMENTOS!A1926="","",ORCAMENTOS!A1926)</f>
        <v>45960</v>
      </c>
      <c r="B1918" s="46">
        <f>IF(ORCAMENTOS!B1926="","",ORCAMENTOS!B1926)</f>
        <v>1916</v>
      </c>
      <c r="C1918" s="46" t="str">
        <f>IF(ORCAMENTOS!C1926="","",ORCAMENTOS!C1926)</f>
        <v/>
      </c>
      <c r="D1918" s="37" t="str">
        <f>IF(ORCAMENTOS!D1926="","",ORCAMENTOS!D1926)</f>
        <v>HAITEC AR CONDICIONADO</v>
      </c>
      <c r="E1918" s="38" t="str">
        <f>IF(ORCAMENTOS!E1926="","",ORCAMENTOS!E1926)</f>
        <v>-</v>
      </c>
      <c r="F1918" s="37" t="str">
        <f>IF(ORCAMENTOS!G1926="","",ORCAMENTOS!G1926)</f>
        <v>Michel</v>
      </c>
      <c r="G1918" s="37" t="str">
        <f>IF(ORCAMENTOS!H1926="","",ORCAMENTOS!H1926)</f>
        <v>Nilson</v>
      </c>
      <c r="H1918" s="39">
        <f>IF(ORCAMENTOS!I1926="","",ORCAMENTOS!I1926)</f>
        <v>6184.05</v>
      </c>
      <c r="I1918" s="60">
        <f>IF(ORCAMENTOS!J1926="","",ORCAMENTOS!J1926)</f>
        <v>7.0000000000000007E-2</v>
      </c>
      <c r="J1918" s="40" t="str">
        <f>IF(ORCAMENTOS!L1926="","",ORCAMENTOS!L1926)</f>
        <v>CANCELADO</v>
      </c>
      <c r="K1918" s="34" t="str">
        <f>IF(ORCAMENTOS!M1926="","",ORCAMENTOS!M1926)</f>
        <v>-</v>
      </c>
      <c r="L1918" t="str">
        <f>IF(ORCAMENTOS!R1926="","",ORCAMENTOS!R1926)</f>
        <v>-</v>
      </c>
    </row>
    <row r="1919" spans="1:12" ht="15.75" hidden="1" customHeight="1" x14ac:dyDescent="0.25">
      <c r="A1919" s="36">
        <f>IF(ORCAMENTOS!A1927="","",ORCAMENTOS!A1927)</f>
        <v>45961</v>
      </c>
      <c r="B1919" s="46">
        <f>IF(ORCAMENTOS!B1927="","",ORCAMENTOS!B1927)</f>
        <v>1917</v>
      </c>
      <c r="C1919" s="46" t="str">
        <f>IF(ORCAMENTOS!C1927="","",ORCAMENTOS!C1927)</f>
        <v/>
      </c>
      <c r="D1919" s="37" t="str">
        <f>IF(ORCAMENTOS!D1927="","",ORCAMENTOS!D1927)</f>
        <v>LOGIC SETUP</v>
      </c>
      <c r="E1919" s="38" t="str">
        <f>IF(ORCAMENTOS!E1927="","",ORCAMENTOS!E1927)</f>
        <v>LIBBS FARMACÊUTICA LTDA</v>
      </c>
      <c r="F1919" s="37" t="str">
        <f>IF(ORCAMENTOS!G1927="","",ORCAMENTOS!G1927)</f>
        <v>Michel</v>
      </c>
      <c r="G1919" s="37" t="str">
        <f>IF(ORCAMENTOS!H1927="","",ORCAMENTOS!H1927)</f>
        <v>Vicente</v>
      </c>
      <c r="H1919" s="39">
        <f>IF(ORCAMENTOS!I1927="","",ORCAMENTOS!I1927)</f>
        <v>31408.83</v>
      </c>
      <c r="I1919" s="60">
        <f>IF(ORCAMENTOS!J1927="","",ORCAMENTOS!J1927)</f>
        <v>7.0000000000000007E-2</v>
      </c>
      <c r="J1919" s="40" t="str">
        <f>IF(ORCAMENTOS!L1927="","",ORCAMENTOS!L1927)</f>
        <v>CANCELADO</v>
      </c>
      <c r="K1919" s="34" t="str">
        <f>IF(ORCAMENTOS!M1927="","",ORCAMENTOS!M1927)</f>
        <v>-</v>
      </c>
      <c r="L1919" t="str">
        <f>IF(ORCAMENTOS!R1927="","",ORCAMENTOS!R1927)</f>
        <v>MPU</v>
      </c>
    </row>
    <row r="1920" spans="1:12" ht="15.75" hidden="1" customHeight="1" x14ac:dyDescent="0.25">
      <c r="A1920" s="36">
        <f>IF(ORCAMENTOS!A1928="","",ORCAMENTOS!A1928)</f>
        <v>45961</v>
      </c>
      <c r="B1920" s="46">
        <f>IF(ORCAMENTOS!B1928="","",ORCAMENTOS!B1928)</f>
        <v>1918</v>
      </c>
      <c r="C1920" s="46" t="str">
        <f>IF(ORCAMENTOS!C1928="","",ORCAMENTOS!C1928)</f>
        <v/>
      </c>
      <c r="D1920" s="37" t="str">
        <f>IF(ORCAMENTOS!D1928="","",ORCAMENTOS!D1928)</f>
        <v>AMS INSTALACOES</v>
      </c>
      <c r="E1920" s="38" t="str">
        <f>IF(ORCAMENTOS!E1928="","",ORCAMENTOS!E1928)</f>
        <v>ASSAI - LOJA UTINGA - SANTO ANDRE - SP - COMPLEMENTO</v>
      </c>
      <c r="F1920" s="37" t="str">
        <f>IF(ORCAMENTOS!G1928="","",ORCAMENTOS!G1928)</f>
        <v>Gabriel</v>
      </c>
      <c r="G1920" s="37" t="str">
        <f>IF(ORCAMENTOS!H1928="","",ORCAMENTOS!H1928)</f>
        <v>Renan</v>
      </c>
      <c r="H1920" s="39">
        <f>IF(ORCAMENTOS!I1928="","",ORCAMENTOS!I1928)</f>
        <v>8413.5400000000009</v>
      </c>
      <c r="I1920" s="60">
        <f>IF(ORCAMENTOS!J1928="","",ORCAMENTOS!J1928)</f>
        <v>7.0000000000000007E-2</v>
      </c>
      <c r="J1920" s="40" t="str">
        <f>IF(ORCAMENTOS!L1928="","",ORCAMENTOS!L1928)</f>
        <v>CANCELADO</v>
      </c>
      <c r="K1920" s="34" t="str">
        <f>IF(ORCAMENTOS!M1928="","",ORCAMENTOS!M1928)</f>
        <v>-</v>
      </c>
      <c r="L1920" t="str">
        <f>IF(ORCAMENTOS!R1928="","",ORCAMENTOS!R1928)</f>
        <v>N/E</v>
      </c>
    </row>
    <row r="1921" spans="1:12" ht="15.75" hidden="1" customHeight="1" x14ac:dyDescent="0.25">
      <c r="A1921" s="36">
        <f>IF(ORCAMENTOS!A1929="","",ORCAMENTOS!A1929)</f>
        <v>45961</v>
      </c>
      <c r="B1921" s="46">
        <f>IF(ORCAMENTOS!B1929="","",ORCAMENTOS!B1929)</f>
        <v>1919</v>
      </c>
      <c r="C1921" s="46" t="str">
        <f>IF(ORCAMENTOS!C1929="","",ORCAMENTOS!C1929)</f>
        <v/>
      </c>
      <c r="D1921" s="37" t="str">
        <f>IF(ORCAMENTOS!D1929="","",ORCAMENTOS!D1929)</f>
        <v>SESIL AR</v>
      </c>
      <c r="E1921" s="38" t="str">
        <f>IF(ORCAMENTOS!E1929="","",ORCAMENTOS!E1929)</f>
        <v>SMARTFIT - ATACADAO PACAEMBU - BARRA FUNDA</v>
      </c>
      <c r="F1921" s="37" t="str">
        <f>IF(ORCAMENTOS!G1929="","",ORCAMENTOS!G1929)</f>
        <v>Fernando</v>
      </c>
      <c r="G1921" s="37" t="str">
        <f>IF(ORCAMENTOS!H1929="","",ORCAMENTOS!H1929)</f>
        <v>Wagner</v>
      </c>
      <c r="H1921" s="39">
        <f>IF(ORCAMENTOS!I1929="","",ORCAMENTOS!I1929)</f>
        <v>79536.759999999995</v>
      </c>
      <c r="I1921" s="60">
        <f>IF(ORCAMENTOS!J1929="","",ORCAMENTOS!J1929)</f>
        <v>0.03</v>
      </c>
      <c r="J1921" s="40" t="str">
        <f>IF(ORCAMENTOS!L1929="","",ORCAMENTOS!L1929)</f>
        <v>FECHADO</v>
      </c>
      <c r="K1921" s="34" t="str">
        <f>IF(ORCAMENTOS!M1929="","",ORCAMENTOS!M1929)</f>
        <v>-</v>
      </c>
      <c r="L1921" t="str">
        <f>IF(ORCAMENTOS!R1929="","",ORCAMENTOS!R1929)</f>
        <v>-</v>
      </c>
    </row>
    <row r="1922" spans="1:12" ht="15.75" hidden="1" customHeight="1" x14ac:dyDescent="0.25">
      <c r="A1922" s="36">
        <f>IF(ORCAMENTOS!A1930="","",ORCAMENTOS!A1930)</f>
        <v>45965</v>
      </c>
      <c r="B1922" s="46">
        <f>IF(ORCAMENTOS!B1930="","",ORCAMENTOS!B1930)</f>
        <v>1920</v>
      </c>
      <c r="C1922" s="46" t="str">
        <f>IF(ORCAMENTOS!C1930="","",ORCAMENTOS!C1930)</f>
        <v>R2</v>
      </c>
      <c r="D1922" s="37" t="str">
        <f>IF(ORCAMENTOS!D1930="","",ORCAMENTOS!D1930)</f>
        <v>CONFORTO ENGENHARIA</v>
      </c>
      <c r="E1922" s="38" t="str">
        <f>IF(ORCAMENTOS!E1930="","",ORCAMENTOS!E1930)</f>
        <v>HOSP VARZEA</v>
      </c>
      <c r="F1922" s="37" t="str">
        <f>IF(ORCAMENTOS!G1930="","",ORCAMENTOS!G1930)</f>
        <v>Michel</v>
      </c>
      <c r="G1922" s="37" t="str">
        <f>IF(ORCAMENTOS!H1930="","",ORCAMENTOS!H1930)</f>
        <v>Kaine</v>
      </c>
      <c r="H1922" s="39">
        <f>IF(ORCAMENTOS!I1930="","",ORCAMENTOS!I1930)</f>
        <v>20000.45</v>
      </c>
      <c r="I1922" s="60">
        <f>IF(ORCAMENTOS!J1930="","",ORCAMENTOS!J1930)</f>
        <v>0.05</v>
      </c>
      <c r="J1922" s="40" t="str">
        <f>IF(ORCAMENTOS!L1930="","",ORCAMENTOS!L1930)</f>
        <v>FECHADO</v>
      </c>
      <c r="K1922" s="34" t="str">
        <f>IF(ORCAMENTOS!M1930="","",ORCAMENTOS!M1930)</f>
        <v>-</v>
      </c>
      <c r="L1922" t="str">
        <f>IF(ORCAMENTOS!R1930="","",ORCAMENTOS!R1930)</f>
        <v>-</v>
      </c>
    </row>
    <row r="1923" spans="1:12" ht="15.75" hidden="1" customHeight="1" x14ac:dyDescent="0.25">
      <c r="A1923" s="36">
        <f>IF(ORCAMENTOS!A1931="","",ORCAMENTOS!A1931)</f>
        <v>45961</v>
      </c>
      <c r="B1923" s="46">
        <f>IF(ORCAMENTOS!B1931="","",ORCAMENTOS!B1931)</f>
        <v>1921</v>
      </c>
      <c r="C1923" s="46" t="str">
        <f>IF(ORCAMENTOS!C1931="","",ORCAMENTOS!C1931)</f>
        <v/>
      </c>
      <c r="D1923" s="37" t="str">
        <f>IF(ORCAMENTOS!D1931="","",ORCAMENTOS!D1931)</f>
        <v>NOSSO AR</v>
      </c>
      <c r="E1923" s="38" t="str">
        <f>IF(ORCAMENTOS!E1931="","",ORCAMENTOS!E1931)</f>
        <v>BRASBIO - USINA DE ETANOL DE MILHO</v>
      </c>
      <c r="F1923" s="37" t="str">
        <f>IF(ORCAMENTOS!G1931="","",ORCAMENTOS!G1931)</f>
        <v>Gabriel</v>
      </c>
      <c r="G1923" s="37" t="str">
        <f>IF(ORCAMENTOS!H1931="","",ORCAMENTOS!H1931)</f>
        <v>Larissa</v>
      </c>
      <c r="H1923" s="39">
        <f>IF(ORCAMENTOS!I1931="","",ORCAMENTOS!I1931)</f>
        <v>238710.66</v>
      </c>
      <c r="I1923" s="60">
        <f>IF(ORCAMENTOS!J1931="","",ORCAMENTOS!J1931)</f>
        <v>7.0000000000000007E-2</v>
      </c>
      <c r="J1923" s="40" t="str">
        <f>IF(ORCAMENTOS!L1931="","",ORCAMENTOS!L1931)</f>
        <v>CANCELADO</v>
      </c>
      <c r="K1923" s="34" t="str">
        <f>IF(ORCAMENTOS!M1931="","",ORCAMENTOS!M1931)</f>
        <v>-</v>
      </c>
      <c r="L1923" t="str">
        <f>IF(ORCAMENTOS!R1931="","",ORCAMENTOS!R1931)</f>
        <v>N/E</v>
      </c>
    </row>
    <row r="1924" spans="1:12" ht="15.75" hidden="1" customHeight="1" x14ac:dyDescent="0.25">
      <c r="A1924" s="36">
        <f>IF(ORCAMENTOS!A1932="","",ORCAMENTOS!A1932)</f>
        <v>45961</v>
      </c>
      <c r="B1924" s="46">
        <f>IF(ORCAMENTOS!B1932="","",ORCAMENTOS!B1932)</f>
        <v>1922</v>
      </c>
      <c r="C1924" s="46" t="str">
        <f>IF(ORCAMENTOS!C1932="","",ORCAMENTOS!C1932)</f>
        <v/>
      </c>
      <c r="D1924" s="37" t="str">
        <f>IF(ORCAMENTOS!D1932="","",ORCAMENTOS!D1932)</f>
        <v>CONTROLE CLIMA</v>
      </c>
      <c r="E1924" s="38" t="str">
        <f>IF(ORCAMENTOS!E1932="","",ORCAMENTOS!E1932)</f>
        <v>SMART FIT LAR ABC</v>
      </c>
      <c r="F1924" s="37" t="str">
        <f>IF(ORCAMENTOS!G1932="","",ORCAMENTOS!G1932)</f>
        <v>Emanuel</v>
      </c>
      <c r="G1924" s="37" t="str">
        <f>IF(ORCAMENTOS!H1932="","",ORCAMENTOS!H1932)</f>
        <v>Patricia</v>
      </c>
      <c r="H1924" s="39">
        <f>IF(ORCAMENTOS!I1932="","",ORCAMENTOS!I1932)</f>
        <v>1197.5999999999999</v>
      </c>
      <c r="I1924" s="60">
        <f>IF(ORCAMENTOS!J1932="","",ORCAMENTOS!J1932)</f>
        <v>7.0000000000000007E-2</v>
      </c>
      <c r="J1924" s="40" t="str">
        <f>IF(ORCAMENTOS!L1932="","",ORCAMENTOS!L1932)</f>
        <v>CANCELADO</v>
      </c>
      <c r="K1924" s="34" t="str">
        <f>IF(ORCAMENTOS!M1932="","",ORCAMENTOS!M1932)</f>
        <v>-</v>
      </c>
      <c r="L1924" t="str">
        <f>IF(ORCAMENTOS!R1932="","",ORCAMENTOS!R1932)</f>
        <v>-</v>
      </c>
    </row>
    <row r="1925" spans="1:12" ht="15.75" hidden="1" customHeight="1" x14ac:dyDescent="0.25">
      <c r="A1925" s="36">
        <f>IF(ORCAMENTOS!A1933="","",ORCAMENTOS!A1933)</f>
        <v>45964</v>
      </c>
      <c r="B1925" s="46">
        <f>IF(ORCAMENTOS!B1933="","",ORCAMENTOS!B1933)</f>
        <v>1923</v>
      </c>
      <c r="C1925" s="46" t="str">
        <f>IF(ORCAMENTOS!C1933="","",ORCAMENTOS!C1933)</f>
        <v/>
      </c>
      <c r="D1925" s="37" t="str">
        <f>IF(ORCAMENTOS!D1933="","",ORCAMENTOS!D1933)</f>
        <v>ISOTEMP</v>
      </c>
      <c r="E1925" s="38" t="str">
        <f>IF(ORCAMENTOS!E1933="","",ORCAMENTOS!E1933)</f>
        <v>HOSPITAL SÃO LUIZ - OSASCO</v>
      </c>
      <c r="F1925" s="37" t="str">
        <f>IF(ORCAMENTOS!G1933="","",ORCAMENTOS!G1933)</f>
        <v>Michel</v>
      </c>
      <c r="G1925" s="37" t="str">
        <f>IF(ORCAMENTOS!H1933="","",ORCAMENTOS!H1933)</f>
        <v>Caique</v>
      </c>
      <c r="H1925" s="39">
        <f>IF(ORCAMENTOS!I1933="","",ORCAMENTOS!I1933)</f>
        <v>168983.31</v>
      </c>
      <c r="I1925" s="60">
        <f>IF(ORCAMENTOS!J1933="","",ORCAMENTOS!J1933)</f>
        <v>7.0000000000000007E-2</v>
      </c>
      <c r="J1925" s="40" t="str">
        <f>IF(ORCAMENTOS!L1933="","",ORCAMENTOS!L1933)</f>
        <v>CANCELADO</v>
      </c>
      <c r="K1925" s="34" t="str">
        <f>IF(ORCAMENTOS!M1933="","",ORCAMENTOS!M1933)</f>
        <v>-</v>
      </c>
      <c r="L1925" t="str">
        <f>IF(ORCAMENTOS!R1933="","",ORCAMENTOS!R1933)</f>
        <v>-</v>
      </c>
    </row>
    <row r="1926" spans="1:12" ht="15.75" hidden="1" customHeight="1" x14ac:dyDescent="0.25">
      <c r="A1926" s="36">
        <f>IF(ORCAMENTOS!A1934="","",ORCAMENTOS!A1934)</f>
        <v>45964</v>
      </c>
      <c r="B1926" s="46">
        <f>IF(ORCAMENTOS!B1934="","",ORCAMENTOS!B1934)</f>
        <v>1924</v>
      </c>
      <c r="C1926" s="46" t="str">
        <f>IF(ORCAMENTOS!C1934="","",ORCAMENTOS!C1934)</f>
        <v>R1</v>
      </c>
      <c r="D1926" s="37" t="str">
        <f>IF(ORCAMENTOS!D1934="","",ORCAMENTOS!D1934)</f>
        <v>COLDTERMICA</v>
      </c>
      <c r="E1926" s="38" t="str">
        <f>IF(ORCAMENTOS!E1934="","",ORCAMENTOS!E1934)</f>
        <v>RENNER FERNANDOPOLIS SP</v>
      </c>
      <c r="F1926" s="37" t="str">
        <f>IF(ORCAMENTOS!G1934="","",ORCAMENTOS!G1934)</f>
        <v>Gabriel</v>
      </c>
      <c r="G1926" s="37" t="str">
        <f>IF(ORCAMENTOS!H1934="","",ORCAMENTOS!H1934)</f>
        <v>Denis</v>
      </c>
      <c r="H1926" s="39">
        <f>IF(ORCAMENTOS!I1934="","",ORCAMENTOS!I1934)</f>
        <v>68334.52</v>
      </c>
      <c r="I1926" s="60">
        <f>IF(ORCAMENTOS!J1934="","",ORCAMENTOS!J1934)</f>
        <v>0.03</v>
      </c>
      <c r="J1926" s="40" t="str">
        <f>IF(ORCAMENTOS!L1934="","",ORCAMENTOS!L1934)</f>
        <v>FECHADO</v>
      </c>
      <c r="K1926" s="34" t="str">
        <f>IF(ORCAMENTOS!M1934="","",ORCAMENTOS!M1934)</f>
        <v>-</v>
      </c>
      <c r="L1926" t="str">
        <f>IF(ORCAMENTOS!R1934="","",ORCAMENTOS!R1934)</f>
        <v>-</v>
      </c>
    </row>
    <row r="1927" spans="1:12" ht="15.75" hidden="1" customHeight="1" x14ac:dyDescent="0.25">
      <c r="A1927" s="36">
        <f>IF(ORCAMENTOS!A1935="","",ORCAMENTOS!A1935)</f>
        <v>45964</v>
      </c>
      <c r="B1927" s="46">
        <f>IF(ORCAMENTOS!B1935="","",ORCAMENTOS!B1935)</f>
        <v>1925</v>
      </c>
      <c r="C1927" s="46" t="str">
        <f>IF(ORCAMENTOS!C1935="","",ORCAMENTOS!C1935)</f>
        <v/>
      </c>
      <c r="D1927" s="37" t="str">
        <f>IF(ORCAMENTOS!D1935="","",ORCAMENTOS!D1935)</f>
        <v>GLACIAR</v>
      </c>
      <c r="E1927" s="38" t="str">
        <f>IF(ORCAMENTOS!E1935="","",ORCAMENTOS!E1935)</f>
        <v>HOSPITAL SANTA TEREZA - REFORMA CENTRO CIRURGICO - PRÉDIO 3000</v>
      </c>
      <c r="F1927" s="37" t="str">
        <f>IF(ORCAMENTOS!G1935="","",ORCAMENTOS!G1935)</f>
        <v xml:space="preserve">Aldavir </v>
      </c>
      <c r="G1927" s="37" t="str">
        <f>IF(ORCAMENTOS!H1935="","",ORCAMENTOS!H1935)</f>
        <v>Irineu</v>
      </c>
      <c r="H1927" s="39">
        <f>IF(ORCAMENTOS!I1935="","",ORCAMENTOS!I1935)</f>
        <v>11651.11</v>
      </c>
      <c r="I1927" s="60" t="str">
        <f>IF(ORCAMENTOS!J1935="","",ORCAMENTOS!J1935)</f>
        <v>-</v>
      </c>
      <c r="J1927" s="40" t="str">
        <f>IF(ORCAMENTOS!L1935="","",ORCAMENTOS!L1935)</f>
        <v>CANCELADO</v>
      </c>
      <c r="K1927" s="34" t="str">
        <f>IF(ORCAMENTOS!M1935="","",ORCAMENTOS!M1935)</f>
        <v>PREV. NOVEMBRO</v>
      </c>
      <c r="L1927" t="str">
        <f>IF(ORCAMENTOS!R1935="","",ORCAMENTOS!R1935)</f>
        <v>-</v>
      </c>
    </row>
    <row r="1928" spans="1:12" ht="15.75" hidden="1" customHeight="1" x14ac:dyDescent="0.25">
      <c r="A1928" s="36">
        <f>IF(ORCAMENTOS!A1936="","",ORCAMENTOS!A1936)</f>
        <v>45964</v>
      </c>
      <c r="B1928" s="46">
        <f>IF(ORCAMENTOS!B1936="","",ORCAMENTOS!B1936)</f>
        <v>1926</v>
      </c>
      <c r="C1928" s="46" t="str">
        <f>IF(ORCAMENTOS!C1936="","",ORCAMENTOS!C1936)</f>
        <v/>
      </c>
      <c r="D1928" s="37" t="str">
        <f>IF(ORCAMENTOS!D1936="","",ORCAMENTOS!D1936)</f>
        <v>SP1 ENGENHARIA</v>
      </c>
      <c r="E1928" s="38" t="str">
        <f>IF(ORCAMENTOS!E1936="","",ORCAMENTOS!E1936)</f>
        <v>HOSPITAL ORTO - SJ DOS CAMPOS - SP</v>
      </c>
      <c r="F1928" s="37" t="str">
        <f>IF(ORCAMENTOS!G1936="","",ORCAMENTOS!G1936)</f>
        <v>Emanuel</v>
      </c>
      <c r="G1928" s="37" t="str">
        <f>IF(ORCAMENTOS!H1936="","",ORCAMENTOS!H1936)</f>
        <v>Silvio</v>
      </c>
      <c r="H1928" s="39">
        <f>IF(ORCAMENTOS!I1936="","",ORCAMENTOS!I1936)</f>
        <v>11814.29</v>
      </c>
      <c r="I1928" s="60">
        <f>IF(ORCAMENTOS!J1936="","",ORCAMENTOS!J1936)</f>
        <v>7.0000000000000007E-2</v>
      </c>
      <c r="J1928" s="40" t="str">
        <f>IF(ORCAMENTOS!L1936="","",ORCAMENTOS!L1936)</f>
        <v>CANCELADO</v>
      </c>
      <c r="K1928" s="34" t="str">
        <f>IF(ORCAMENTOS!M1936="","",ORCAMENTOS!M1936)</f>
        <v>-</v>
      </c>
      <c r="L1928" t="str">
        <f>IF(ORCAMENTOS!R1936="","",ORCAMENTOS!R1936)</f>
        <v>-</v>
      </c>
    </row>
    <row r="1929" spans="1:12" ht="15.75" hidden="1" customHeight="1" x14ac:dyDescent="0.25">
      <c r="A1929" s="36">
        <f>IF(ORCAMENTOS!A1937="","",ORCAMENTOS!A1937)</f>
        <v>45966</v>
      </c>
      <c r="B1929" s="46">
        <f>IF(ORCAMENTOS!B1937="","",ORCAMENTOS!B1937)</f>
        <v>1927</v>
      </c>
      <c r="C1929" s="46" t="str">
        <f>IF(ORCAMENTOS!C1937="","",ORCAMENTOS!C1937)</f>
        <v>R1</v>
      </c>
      <c r="D1929" s="37" t="str">
        <f>IF(ORCAMENTOS!D1937="","",ORCAMENTOS!D1937)</f>
        <v>R1 SOLUCOES</v>
      </c>
      <c r="E1929" s="38" t="str">
        <f>IF(ORCAMENTOS!E1937="","",ORCAMENTOS!E1937)</f>
        <v>-</v>
      </c>
      <c r="F1929" s="37" t="str">
        <f>IF(ORCAMENTOS!G1937="","",ORCAMENTOS!G1937)</f>
        <v>Gabriel</v>
      </c>
      <c r="G1929" s="37" t="str">
        <f>IF(ORCAMENTOS!H1937="","",ORCAMENTOS!H1937)</f>
        <v>Ary</v>
      </c>
      <c r="H1929" s="39">
        <f>IF(ORCAMENTOS!I1937="","",ORCAMENTOS!I1937)</f>
        <v>36223.57</v>
      </c>
      <c r="I1929" s="60">
        <f>IF(ORCAMENTOS!J1937="","",ORCAMENTOS!J1937)</f>
        <v>7.0000000000000007E-2</v>
      </c>
      <c r="J1929" s="40" t="str">
        <f>IF(ORCAMENTOS!L1937="","",ORCAMENTOS!L1937)</f>
        <v>COMPRA</v>
      </c>
      <c r="K1929" s="34" t="str">
        <f>IF(ORCAMENTOS!M1937="","",ORCAMENTOS!M1937)</f>
        <v>-</v>
      </c>
      <c r="L1929" t="str">
        <f>IF(ORCAMENTOS!R1937="","",ORCAMENTOS!R1937)</f>
        <v>-</v>
      </c>
    </row>
    <row r="1930" spans="1:12" ht="15.75" hidden="1" customHeight="1" x14ac:dyDescent="0.25">
      <c r="A1930" s="36">
        <f>IF(ORCAMENTOS!A1938="","",ORCAMENTOS!A1938)</f>
        <v>45964</v>
      </c>
      <c r="B1930" s="46">
        <f>IF(ORCAMENTOS!B1938="","",ORCAMENTOS!B1938)</f>
        <v>1928</v>
      </c>
      <c r="C1930" s="46" t="str">
        <f>IF(ORCAMENTOS!C1938="","",ORCAMENTOS!C1938)</f>
        <v/>
      </c>
      <c r="D1930" s="37" t="str">
        <f>IF(ORCAMENTOS!D1938="","",ORCAMENTOS!D1938)</f>
        <v>ECOTHERM</v>
      </c>
      <c r="E1930" s="38" t="str">
        <f>IF(ORCAMENTOS!E1938="","",ORCAMENTOS!E1938)</f>
        <v>HOSPITAL FRANCA</v>
      </c>
      <c r="F1930" s="37" t="str">
        <f>IF(ORCAMENTOS!G1938="","",ORCAMENTOS!G1938)</f>
        <v>Emanuel</v>
      </c>
      <c r="G1930" s="37" t="str">
        <f>IF(ORCAMENTOS!H1938="","",ORCAMENTOS!H1938)</f>
        <v>Selma</v>
      </c>
      <c r="H1930" s="39">
        <f>IF(ORCAMENTOS!I1938="","",ORCAMENTOS!I1938)</f>
        <v>6085.1</v>
      </c>
      <c r="I1930" s="60">
        <f>IF(ORCAMENTOS!J1938="","",ORCAMENTOS!J1938)</f>
        <v>7.0000000000000007E-2</v>
      </c>
      <c r="J1930" s="40" t="str">
        <f>IF(ORCAMENTOS!L1938="","",ORCAMENTOS!L1938)</f>
        <v>FECHADO</v>
      </c>
      <c r="K1930" s="34" t="str">
        <f>IF(ORCAMENTOS!M1938="","",ORCAMENTOS!M1938)</f>
        <v>-</v>
      </c>
      <c r="L1930" t="str">
        <f>IF(ORCAMENTOS!R1938="","",ORCAMENTOS!R1938)</f>
        <v>-</v>
      </c>
    </row>
    <row r="1931" spans="1:12" ht="15.75" hidden="1" customHeight="1" x14ac:dyDescent="0.25">
      <c r="A1931" s="36">
        <f>IF(ORCAMENTOS!A1939="","",ORCAMENTOS!A1939)</f>
        <v>45964</v>
      </c>
      <c r="B1931" s="46">
        <f>IF(ORCAMENTOS!B1939="","",ORCAMENTOS!B1939)</f>
        <v>1929</v>
      </c>
      <c r="C1931" s="46" t="str">
        <f>IF(ORCAMENTOS!C1939="","",ORCAMENTOS!C1939)</f>
        <v/>
      </c>
      <c r="D1931" s="37" t="str">
        <f>IF(ORCAMENTOS!D1939="","",ORCAMENTOS!D1939)</f>
        <v>AWA AR CONDICIONADO</v>
      </c>
      <c r="E1931" s="38" t="str">
        <f>IF(ORCAMENTOS!E1939="","",ORCAMENTOS!E1939)</f>
        <v>AEROPORTO ESTADUAL DE RIBEIRAO PRETO</v>
      </c>
      <c r="F1931" s="37" t="str">
        <f>IF(ORCAMENTOS!G1939="","",ORCAMENTOS!G1939)</f>
        <v>Guilherme</v>
      </c>
      <c r="G1931" s="37" t="str">
        <f>IF(ORCAMENTOS!H1939="","",ORCAMENTOS!H1939)</f>
        <v>Guilherme</v>
      </c>
      <c r="H1931" s="39">
        <f>IF(ORCAMENTOS!I1939="","",ORCAMENTOS!I1939)</f>
        <v>73540.92</v>
      </c>
      <c r="I1931" s="60">
        <f>IF(ORCAMENTOS!J1939="","",ORCAMENTOS!J1939)</f>
        <v>7.0000000000000007E-2</v>
      </c>
      <c r="J1931" s="40" t="str">
        <f>IF(ORCAMENTOS!L1939="","",ORCAMENTOS!L1939)</f>
        <v>CANCELADO</v>
      </c>
      <c r="K1931" s="34" t="str">
        <f>IF(ORCAMENTOS!M1939="","",ORCAMENTOS!M1939)</f>
        <v>-</v>
      </c>
      <c r="L1931" t="str">
        <f>IF(ORCAMENTOS!R1939="","",ORCAMENTOS!R1939)</f>
        <v>-</v>
      </c>
    </row>
    <row r="1932" spans="1:12" ht="15.75" hidden="1" customHeight="1" x14ac:dyDescent="0.25">
      <c r="A1932" s="36">
        <f>IF(ORCAMENTOS!A1940="","",ORCAMENTOS!A1940)</f>
        <v>45965</v>
      </c>
      <c r="B1932" s="46">
        <f>IF(ORCAMENTOS!B1940="","",ORCAMENTOS!B1940)</f>
        <v>1930</v>
      </c>
      <c r="C1932" s="46" t="str">
        <f>IF(ORCAMENTOS!C1940="","",ORCAMENTOS!C1940)</f>
        <v/>
      </c>
      <c r="D1932" s="37" t="str">
        <f>IF(ORCAMENTOS!D1940="","",ORCAMENTOS!D1940)</f>
        <v>INOVECTOR</v>
      </c>
      <c r="E1932" s="38" t="str">
        <f>IF(ORCAMENTOS!E1940="","",ORCAMENTOS!E1940)</f>
        <v>007 -ESTOQUE - REQ 1.42</v>
      </c>
      <c r="F1932" s="37" t="str">
        <f>IF(ORCAMENTOS!G1940="","",ORCAMENTOS!G1940)</f>
        <v>Fernando</v>
      </c>
      <c r="G1932" s="37" t="str">
        <f>IF(ORCAMENTOS!H1940="","",ORCAMENTOS!H1940)</f>
        <v>Cristina</v>
      </c>
      <c r="H1932" s="39">
        <f>IF(ORCAMENTOS!I1940="","",ORCAMENTOS!I1940)</f>
        <v>59266.8</v>
      </c>
      <c r="I1932" s="60">
        <f>IF(ORCAMENTOS!J1940="","",ORCAMENTOS!J1940)</f>
        <v>0.03</v>
      </c>
      <c r="J1932" s="40" t="str">
        <f>IF(ORCAMENTOS!L1940="","",ORCAMENTOS!L1940)</f>
        <v>CANCELADO</v>
      </c>
      <c r="K1932" s="34" t="str">
        <f>IF(ORCAMENTOS!M1940="","",ORCAMENTOS!M1940)</f>
        <v>AGUARDANDO PEDIDO</v>
      </c>
      <c r="L1932" t="str">
        <f>IF(ORCAMENTOS!R1940="","",ORCAMENTOS!R1940)</f>
        <v>-</v>
      </c>
    </row>
    <row r="1933" spans="1:12" ht="15.75" hidden="1" customHeight="1" x14ac:dyDescent="0.25">
      <c r="A1933" s="36">
        <f>IF(ORCAMENTOS!A1941="","",ORCAMENTOS!A1941)</f>
        <v>45965</v>
      </c>
      <c r="B1933" s="46">
        <f>IF(ORCAMENTOS!B1941="","",ORCAMENTOS!B1941)</f>
        <v>1931</v>
      </c>
      <c r="C1933" s="46" t="str">
        <f>IF(ORCAMENTOS!C1941="","",ORCAMENTOS!C1941)</f>
        <v>R1</v>
      </c>
      <c r="D1933" s="37" t="str">
        <f>IF(ORCAMENTOS!D1941="","",ORCAMENTOS!D1941)</f>
        <v>CN COLD</v>
      </c>
      <c r="E1933" s="38" t="str">
        <f>IF(ORCAMENTOS!E1941="","",ORCAMENTOS!E1941)</f>
        <v>PANCO SEROPEDICA</v>
      </c>
      <c r="F1933" s="37" t="str">
        <f>IF(ORCAMENTOS!G1941="","",ORCAMENTOS!G1941)</f>
        <v>Emanuel</v>
      </c>
      <c r="G1933" s="37" t="str">
        <f>IF(ORCAMENTOS!H1941="","",ORCAMENTOS!H1941)</f>
        <v>Guilherme</v>
      </c>
      <c r="H1933" s="39">
        <f>IF(ORCAMENTOS!I1941="","",ORCAMENTOS!I1941)</f>
        <v>44159.93</v>
      </c>
      <c r="I1933" s="60">
        <f>IF(ORCAMENTOS!J1941="","",ORCAMENTOS!J1941)</f>
        <v>0.04</v>
      </c>
      <c r="J1933" s="40" t="str">
        <f>IF(ORCAMENTOS!L1941="","",ORCAMENTOS!L1941)</f>
        <v>CANCELADO</v>
      </c>
      <c r="K1933" s="34" t="str">
        <f>IF(ORCAMENTOS!M1941="","",ORCAMENTOS!M1941)</f>
        <v>-</v>
      </c>
      <c r="L1933" t="str">
        <f>IF(ORCAMENTOS!R1941="","",ORCAMENTOS!R1941)</f>
        <v>-</v>
      </c>
    </row>
    <row r="1934" spans="1:12" ht="15.75" hidden="1" customHeight="1" x14ac:dyDescent="0.25">
      <c r="A1934" s="36">
        <f>IF(ORCAMENTOS!A1942="","",ORCAMENTOS!A1942)</f>
        <v>45965</v>
      </c>
      <c r="B1934" s="46">
        <f>IF(ORCAMENTOS!B1942="","",ORCAMENTOS!B1942)</f>
        <v>1932</v>
      </c>
      <c r="C1934" s="46" t="str">
        <f>IF(ORCAMENTOS!C1942="","",ORCAMENTOS!C1942)</f>
        <v/>
      </c>
      <c r="D1934" s="37" t="str">
        <f>IF(ORCAMENTOS!D1942="","",ORCAMENTOS!D1942)</f>
        <v>HEATING COOLING</v>
      </c>
      <c r="E1934" s="38" t="str">
        <f>IF(ORCAMENTOS!E1942="","",ORCAMENTOS!E1942)</f>
        <v>SHOPPE G04 - FORTALEZA</v>
      </c>
      <c r="F1934" s="37" t="str">
        <f>IF(ORCAMENTOS!G1942="","",ORCAMENTOS!G1942)</f>
        <v>Gabriel</v>
      </c>
      <c r="G1934" s="37" t="str">
        <f>IF(ORCAMENTOS!H1942="","",ORCAMENTOS!H1942)</f>
        <v>Ronilson</v>
      </c>
      <c r="H1934" s="39">
        <f>IF(ORCAMENTOS!I1942="","",ORCAMENTOS!I1942)</f>
        <v>627991.22</v>
      </c>
      <c r="I1934" s="60">
        <f>IF(ORCAMENTOS!J1942="","",ORCAMENTOS!J1942)</f>
        <v>7.0000000000000007E-2</v>
      </c>
      <c r="J1934" s="40" t="str">
        <f>IF(ORCAMENTOS!L1942="","",ORCAMENTOS!L1942)</f>
        <v>CANCELADO</v>
      </c>
      <c r="K1934" s="34" t="str">
        <f>IF(ORCAMENTOS!M1942="","",ORCAMENTOS!M1942)</f>
        <v>-</v>
      </c>
      <c r="L1934" t="str">
        <f>IF(ORCAMENTOS!R1942="","",ORCAMENTOS!R1942)</f>
        <v>-</v>
      </c>
    </row>
    <row r="1935" spans="1:12" ht="15.75" hidden="1" customHeight="1" x14ac:dyDescent="0.25">
      <c r="A1935" s="36">
        <f>IF(ORCAMENTOS!A1943="","",ORCAMENTOS!A1943)</f>
        <v>45965</v>
      </c>
      <c r="B1935" s="46">
        <f>IF(ORCAMENTOS!B1943="","",ORCAMENTOS!B1943)</f>
        <v>1933</v>
      </c>
      <c r="C1935" s="46" t="str">
        <f>IF(ORCAMENTOS!C1943="","",ORCAMENTOS!C1943)</f>
        <v/>
      </c>
      <c r="D1935" s="37" t="str">
        <f>IF(ORCAMENTOS!D1943="","",ORCAMENTOS!D1943)</f>
        <v>AIRLIX</v>
      </c>
      <c r="E1935" s="38" t="str">
        <f>IF(ORCAMENTOS!E1943="","",ORCAMENTOS!E1943)</f>
        <v>-</v>
      </c>
      <c r="F1935" s="37" t="str">
        <f>IF(ORCAMENTOS!G1943="","",ORCAMENTOS!G1943)</f>
        <v>Gabriel</v>
      </c>
      <c r="G1935" s="37" t="str">
        <f>IF(ORCAMENTOS!H1943="","",ORCAMENTOS!H1943)</f>
        <v>Victor</v>
      </c>
      <c r="H1935" s="39">
        <f>IF(ORCAMENTOS!I1943="","",ORCAMENTOS!I1943)</f>
        <v>25749.21</v>
      </c>
      <c r="I1935" s="60">
        <f>IF(ORCAMENTOS!J1943="","",ORCAMENTOS!J1943)</f>
        <v>0.05</v>
      </c>
      <c r="J1935" s="40" t="str">
        <f>IF(ORCAMENTOS!L1943="","",ORCAMENTOS!L1943)</f>
        <v>COMPRA</v>
      </c>
      <c r="K1935" s="34" t="str">
        <f>IF(ORCAMENTOS!M1943="","",ORCAMENTOS!M1943)</f>
        <v>-</v>
      </c>
      <c r="L1935" t="str">
        <f>IF(ORCAMENTOS!R1943="","",ORCAMENTOS!R1943)</f>
        <v/>
      </c>
    </row>
    <row r="1936" spans="1:12" ht="15.75" hidden="1" customHeight="1" x14ac:dyDescent="0.25">
      <c r="A1936" s="36">
        <f>IF(ORCAMENTOS!A1944="","",ORCAMENTOS!A1944)</f>
        <v>45965</v>
      </c>
      <c r="B1936" s="46">
        <f>IF(ORCAMENTOS!B1944="","",ORCAMENTOS!B1944)</f>
        <v>1934</v>
      </c>
      <c r="C1936" s="46" t="str">
        <f>IF(ORCAMENTOS!C1944="","",ORCAMENTOS!C1944)</f>
        <v/>
      </c>
      <c r="D1936" s="37" t="str">
        <f>IF(ORCAMENTOS!D1944="","",ORCAMENTOS!D1944)</f>
        <v>BEGNATURAL</v>
      </c>
      <c r="E1936" s="38" t="str">
        <f>IF(ORCAMENTOS!E1944="","",ORCAMENTOS!E1944)</f>
        <v>BLUEFIT - JATAI - GO - 1261</v>
      </c>
      <c r="F1936" s="37" t="str">
        <f>IF(ORCAMENTOS!G1944="","",ORCAMENTOS!G1944)</f>
        <v>Gabriel</v>
      </c>
      <c r="G1936" s="37" t="str">
        <f>IF(ORCAMENTOS!H1944="","",ORCAMENTOS!H1944)</f>
        <v>Luciana</v>
      </c>
      <c r="H1936" s="39">
        <f>IF(ORCAMENTOS!I1944="","",ORCAMENTOS!I1944)</f>
        <v>22834.69</v>
      </c>
      <c r="I1936" s="60">
        <f>IF(ORCAMENTOS!J1944="","",ORCAMENTOS!J1944)</f>
        <v>7.0000000000000007E-2</v>
      </c>
      <c r="J1936" s="40" t="str">
        <f>IF(ORCAMENTOS!L1944="","",ORCAMENTOS!L1944)</f>
        <v>COMPRA</v>
      </c>
      <c r="K1936" s="34" t="str">
        <f>IF(ORCAMENTOS!M1944="","",ORCAMENTOS!M1944)</f>
        <v>AGUARDANDO PEDIDO</v>
      </c>
      <c r="L1936" t="str">
        <f>IF(ORCAMENTOS!R1944="","",ORCAMENTOS!R1944)</f>
        <v>N/E</v>
      </c>
    </row>
    <row r="1937" spans="1:12" ht="15.75" hidden="1" customHeight="1" x14ac:dyDescent="0.25">
      <c r="A1937" s="36">
        <f>IF(ORCAMENTOS!A1945="","",ORCAMENTOS!A1945)</f>
        <v>45966</v>
      </c>
      <c r="B1937" s="46">
        <f>IF(ORCAMENTOS!B1945="","",ORCAMENTOS!B1945)</f>
        <v>1935</v>
      </c>
      <c r="C1937" s="46" t="str">
        <f>IF(ORCAMENTOS!C1945="","",ORCAMENTOS!C1945)</f>
        <v/>
      </c>
      <c r="D1937" s="37" t="str">
        <f>IF(ORCAMENTOS!D1945="","",ORCAMENTOS!D1945)</f>
        <v>NP CLIMATIZAÇÃO</v>
      </c>
      <c r="E1937" s="38" t="str">
        <f>IF(ORCAMENTOS!E1945="","",ORCAMENTOS!E1945)</f>
        <v>HELIO PELLEGRINO - GERAL</v>
      </c>
      <c r="F1937" s="37" t="str">
        <f>IF(ORCAMENTOS!G1945="","",ORCAMENTOS!G1945)</f>
        <v>Guilherme</v>
      </c>
      <c r="G1937" s="37" t="str">
        <f>IF(ORCAMENTOS!H1945="","",ORCAMENTOS!H1945)</f>
        <v>Maria</v>
      </c>
      <c r="H1937" s="39">
        <f>IF(ORCAMENTOS!I1945="","",ORCAMENTOS!I1945)</f>
        <v>10692.81</v>
      </c>
      <c r="I1937" s="60">
        <f>IF(ORCAMENTOS!J1945="","",ORCAMENTOS!J1945)</f>
        <v>0.04</v>
      </c>
      <c r="J1937" s="40" t="str">
        <f>IF(ORCAMENTOS!L1945="","",ORCAMENTOS!L1945)</f>
        <v>CANCELADO</v>
      </c>
      <c r="K1937" s="34" t="str">
        <f>IF(ORCAMENTOS!M1945="","",ORCAMENTOS!M1945)</f>
        <v>AGUARDANDO PEDIDO</v>
      </c>
      <c r="L1937" t="str">
        <f>IF(ORCAMENTOS!R1945="","",ORCAMENTOS!R1945)</f>
        <v>N/E</v>
      </c>
    </row>
    <row r="1938" spans="1:12" ht="15.75" hidden="1" customHeight="1" x14ac:dyDescent="0.25">
      <c r="A1938" s="36">
        <f>IF(ORCAMENTOS!A1946="","",ORCAMENTOS!A1946)</f>
        <v>45966</v>
      </c>
      <c r="B1938" s="46">
        <f>IF(ORCAMENTOS!B1946="","",ORCAMENTOS!B1946)</f>
        <v>1936</v>
      </c>
      <c r="C1938" s="46" t="str">
        <f>IF(ORCAMENTOS!C1946="","",ORCAMENTOS!C1946)</f>
        <v/>
      </c>
      <c r="D1938" s="37" t="str">
        <f>IF(ORCAMENTOS!D1946="","",ORCAMENTOS!D1946)</f>
        <v>NP CLIMATIZAÇÃO</v>
      </c>
      <c r="E1938" s="38" t="str">
        <f>IF(ORCAMENTOS!E1946="","",ORCAMENTOS!E1946)</f>
        <v>HELIO PELLEGRINO - PARCIAL</v>
      </c>
      <c r="F1938" s="37" t="str">
        <f>IF(ORCAMENTOS!G1946="","",ORCAMENTOS!G1946)</f>
        <v>Guilherme</v>
      </c>
      <c r="G1938" s="37" t="str">
        <f>IF(ORCAMENTOS!H1946="","",ORCAMENTOS!H1946)</f>
        <v>Maria</v>
      </c>
      <c r="H1938" s="39">
        <f>IF(ORCAMENTOS!I1946="","",ORCAMENTOS!I1946)</f>
        <v>8252.0400000000009</v>
      </c>
      <c r="I1938" s="60">
        <f>IF(ORCAMENTOS!J1946="","",ORCAMENTOS!J1946)</f>
        <v>0.04</v>
      </c>
      <c r="J1938" s="40" t="str">
        <f>IF(ORCAMENTOS!L1946="","",ORCAMENTOS!L1946)</f>
        <v>CANCELADO</v>
      </c>
      <c r="K1938" s="34" t="str">
        <f>IF(ORCAMENTOS!M1946="","",ORCAMENTOS!M1946)</f>
        <v>-</v>
      </c>
      <c r="L1938" t="str">
        <f>IF(ORCAMENTOS!R1946="","",ORCAMENTOS!R1946)</f>
        <v>N/E</v>
      </c>
    </row>
    <row r="1939" spans="1:12" ht="15.75" hidden="1" customHeight="1" x14ac:dyDescent="0.25">
      <c r="A1939" s="36">
        <f>IF(ORCAMENTOS!A1947="","",ORCAMENTOS!A1947)</f>
        <v>45965</v>
      </c>
      <c r="B1939" s="46">
        <f>IF(ORCAMENTOS!B1947="","",ORCAMENTOS!B1947)</f>
        <v>1937</v>
      </c>
      <c r="C1939" s="46" t="str">
        <f>IF(ORCAMENTOS!C1947="","",ORCAMENTOS!C1947)</f>
        <v/>
      </c>
      <c r="D1939" s="37" t="str">
        <f>IF(ORCAMENTOS!D1947="","",ORCAMENTOS!D1947)</f>
        <v>CHD SISTEMAS</v>
      </c>
      <c r="E1939" s="38" t="str">
        <f>IF(ORCAMENTOS!E1947="","",ORCAMENTOS!E1947)</f>
        <v>-</v>
      </c>
      <c r="F1939" s="37" t="str">
        <f>IF(ORCAMENTOS!G1947="","",ORCAMENTOS!G1947)</f>
        <v>Fernando</v>
      </c>
      <c r="G1939" s="37" t="str">
        <f>IF(ORCAMENTOS!H1947="","",ORCAMENTOS!H1947)</f>
        <v>Paulo</v>
      </c>
      <c r="H1939" s="39">
        <f>IF(ORCAMENTOS!I1947="","",ORCAMENTOS!I1947)</f>
        <v>63275.73</v>
      </c>
      <c r="I1939" s="60">
        <f>IF(ORCAMENTOS!J1947="","",ORCAMENTOS!J1947)</f>
        <v>0.05</v>
      </c>
      <c r="J1939" s="40" t="str">
        <f>IF(ORCAMENTOS!L1947="","",ORCAMENTOS!L1947)</f>
        <v>FECHADO</v>
      </c>
      <c r="K1939" s="34" t="str">
        <f>IF(ORCAMENTOS!M1947="","",ORCAMENTOS!M1947)</f>
        <v>-</v>
      </c>
      <c r="L1939" t="str">
        <f>IF(ORCAMENTOS!R1947="","",ORCAMENTOS!R1947)</f>
        <v>-</v>
      </c>
    </row>
    <row r="1940" spans="1:12" ht="15.75" hidden="1" customHeight="1" x14ac:dyDescent="0.25">
      <c r="A1940" s="36">
        <f>IF(ORCAMENTOS!A1948="","",ORCAMENTOS!A1948)</f>
        <v>45966</v>
      </c>
      <c r="B1940" s="46">
        <f>IF(ORCAMENTOS!B1948="","",ORCAMENTOS!B1948)</f>
        <v>1938</v>
      </c>
      <c r="C1940" s="46" t="str">
        <f>IF(ORCAMENTOS!C1948="","",ORCAMENTOS!C1948)</f>
        <v>R1</v>
      </c>
      <c r="D1940" s="37" t="str">
        <f>IF(ORCAMENTOS!D1948="","",ORCAMENTOS!D1948)</f>
        <v>GLOBAL QUALITY</v>
      </c>
      <c r="E1940" s="38" t="str">
        <f>IF(ORCAMENTOS!E1948="","",ORCAMENTOS!E1948)</f>
        <v>Zhu Duplex</v>
      </c>
      <c r="F1940" s="37" t="str">
        <f>IF(ORCAMENTOS!G1948="","",ORCAMENTOS!G1948)</f>
        <v>Fernando</v>
      </c>
      <c r="G1940" s="37" t="str">
        <f>IF(ORCAMENTOS!H1948="","",ORCAMENTOS!H1948)</f>
        <v>Guilherme</v>
      </c>
      <c r="H1940" s="39">
        <f>IF(ORCAMENTOS!I1948="","",ORCAMENTOS!I1948)</f>
        <v>10031.620000000001</v>
      </c>
      <c r="I1940" s="60">
        <f>IF(ORCAMENTOS!J1948="","",ORCAMENTOS!J1948)</f>
        <v>7.0000000000000007E-2</v>
      </c>
      <c r="J1940" s="40" t="str">
        <f>IF(ORCAMENTOS!L1948="","",ORCAMENTOS!L1948)</f>
        <v>FECHADO</v>
      </c>
      <c r="K1940" s="34" t="str">
        <f>IF(ORCAMENTOS!M1948="","",ORCAMENTOS!M1948)</f>
        <v>AGUARDANDO PEDIDO</v>
      </c>
      <c r="L1940" t="str">
        <f>IF(ORCAMENTOS!R1948="","",ORCAMENTOS!R1948)</f>
        <v>-</v>
      </c>
    </row>
    <row r="1941" spans="1:12" ht="15.75" hidden="1" customHeight="1" x14ac:dyDescent="0.25">
      <c r="A1941" s="36">
        <f>IF(ORCAMENTOS!A1949="","",ORCAMENTOS!A1949)</f>
        <v>45965</v>
      </c>
      <c r="B1941" s="46">
        <f>IF(ORCAMENTOS!B1949="","",ORCAMENTOS!B1949)</f>
        <v>1939</v>
      </c>
      <c r="C1941" s="46" t="str">
        <f>IF(ORCAMENTOS!C1949="","",ORCAMENTOS!C1949)</f>
        <v>R3</v>
      </c>
      <c r="D1941" s="37" t="str">
        <f>IF(ORCAMENTOS!D1949="","",ORCAMENTOS!D1949)</f>
        <v>SAFETY WALL</v>
      </c>
      <c r="E1941" s="38" t="str">
        <f>IF(ORCAMENTOS!E1949="","",ORCAMENTOS!E1949)</f>
        <v>-</v>
      </c>
      <c r="F1941" s="37" t="str">
        <f>IF(ORCAMENTOS!G1949="","",ORCAMENTOS!G1949)</f>
        <v>Gabriel</v>
      </c>
      <c r="G1941" s="37" t="str">
        <f>IF(ORCAMENTOS!H1949="","",ORCAMENTOS!H1949)</f>
        <v>Fabiana</v>
      </c>
      <c r="H1941" s="39">
        <f>IF(ORCAMENTOS!I1949="","",ORCAMENTOS!I1949)</f>
        <v>19949.46</v>
      </c>
      <c r="I1941" s="60">
        <f>IF(ORCAMENTOS!J1949="","",ORCAMENTOS!J1949)</f>
        <v>7.0000000000000007E-2</v>
      </c>
      <c r="J1941" s="40" t="str">
        <f>IF(ORCAMENTOS!L1949="","",ORCAMENTOS!L1949)</f>
        <v>COMPRA</v>
      </c>
      <c r="K1941" s="34" t="str">
        <f>IF(ORCAMENTOS!M1949="","",ORCAMENTOS!M1949)</f>
        <v>-</v>
      </c>
      <c r="L1941" t="str">
        <f>IF(ORCAMENTOS!R1949="","",ORCAMENTOS!R1949)</f>
        <v>-</v>
      </c>
    </row>
    <row r="1942" spans="1:12" ht="15.75" hidden="1" customHeight="1" x14ac:dyDescent="0.25">
      <c r="A1942" s="36">
        <f>IF(ORCAMENTOS!A1950="","",ORCAMENTOS!A1950)</f>
        <v>45966</v>
      </c>
      <c r="B1942" s="46">
        <f>IF(ORCAMENTOS!B1950="","",ORCAMENTOS!B1950)</f>
        <v>1940</v>
      </c>
      <c r="C1942" s="46" t="str">
        <f>IF(ORCAMENTOS!C1950="","",ORCAMENTOS!C1950)</f>
        <v>R3</v>
      </c>
      <c r="D1942" s="37" t="str">
        <f>IF(ORCAMENTOS!D1950="","",ORCAMENTOS!D1950)</f>
        <v>ABREU &amp; CARVALHO</v>
      </c>
      <c r="E1942" s="38" t="str">
        <f>IF(ORCAMENTOS!E1950="","",ORCAMENTOS!E1950)</f>
        <v>HOSPITAL ORTO - SJ DOS CAMPOS - SP</v>
      </c>
      <c r="F1942" s="37" t="str">
        <f>IF(ORCAMENTOS!G1950="","",ORCAMENTOS!G1950)</f>
        <v>Gabriel</v>
      </c>
      <c r="G1942" s="37" t="str">
        <f>IF(ORCAMENTOS!H1950="","",ORCAMENTOS!H1950)</f>
        <v>Thiago</v>
      </c>
      <c r="H1942" s="39">
        <f>IF(ORCAMENTOS!I1950="","",ORCAMENTOS!I1950)</f>
        <v>12983.11</v>
      </c>
      <c r="I1942" s="60">
        <f>IF(ORCAMENTOS!J1950="","",ORCAMENTOS!J1950)</f>
        <v>0.05</v>
      </c>
      <c r="J1942" s="40" t="str">
        <f>IF(ORCAMENTOS!L1950="","",ORCAMENTOS!L1950)</f>
        <v>COMPRA</v>
      </c>
      <c r="K1942" s="34" t="str">
        <f>IF(ORCAMENTOS!M1950="","",ORCAMENTOS!M1950)</f>
        <v>-</v>
      </c>
      <c r="L1942" t="str">
        <f>IF(ORCAMENTOS!R1950="","",ORCAMENTOS!R1950)</f>
        <v>-</v>
      </c>
    </row>
    <row r="1943" spans="1:12" ht="15.75" hidden="1" customHeight="1" x14ac:dyDescent="0.25">
      <c r="A1943" s="36">
        <f>IF(ORCAMENTOS!A1951="","",ORCAMENTOS!A1951)</f>
        <v>45966</v>
      </c>
      <c r="B1943" s="46">
        <f>IF(ORCAMENTOS!B1951="","",ORCAMENTOS!B1951)</f>
        <v>1941</v>
      </c>
      <c r="C1943" s="46" t="str">
        <f>IF(ORCAMENTOS!C1951="","",ORCAMENTOS!C1951)</f>
        <v/>
      </c>
      <c r="D1943" s="37" t="str">
        <f>IF(ORCAMENTOS!D1951="","",ORCAMENTOS!D1951)</f>
        <v>RANKINE</v>
      </c>
      <c r="E1943" s="38" t="str">
        <f>IF(ORCAMENTOS!E1951="","",ORCAMENTOS!E1951)</f>
        <v>HOSPITAL SAO CAMILO - MACAPA - AP</v>
      </c>
      <c r="F1943" s="37" t="str">
        <f>IF(ORCAMENTOS!G1951="","",ORCAMENTOS!G1951)</f>
        <v>Michel</v>
      </c>
      <c r="G1943" s="37" t="str">
        <f>IF(ORCAMENTOS!H1951="","",ORCAMENTOS!H1951)</f>
        <v>Rodrigo</v>
      </c>
      <c r="H1943" s="39">
        <f>IF(ORCAMENTOS!I1951="","",ORCAMENTOS!I1951)</f>
        <v>173970.3</v>
      </c>
      <c r="I1943" s="60">
        <f>IF(ORCAMENTOS!J1951="","",ORCAMENTOS!J1951)</f>
        <v>7.0000000000000007E-2</v>
      </c>
      <c r="J1943" s="40" t="str">
        <f>IF(ORCAMENTOS!L1951="","",ORCAMENTOS!L1951)</f>
        <v>CANCELADO</v>
      </c>
      <c r="K1943" s="34" t="str">
        <f>IF(ORCAMENTOS!M1951="","",ORCAMENTOS!M1951)</f>
        <v>-</v>
      </c>
      <c r="L1943" t="str">
        <f>IF(ORCAMENTOS!R1951="","",ORCAMENTOS!R1951)</f>
        <v>N/E</v>
      </c>
    </row>
    <row r="1944" spans="1:12" ht="15.75" hidden="1" customHeight="1" x14ac:dyDescent="0.25">
      <c r="A1944" s="36">
        <f>IF(ORCAMENTOS!A1952="","",ORCAMENTOS!A1952)</f>
        <v>46037</v>
      </c>
      <c r="B1944" s="46">
        <f>IF(ORCAMENTOS!B1952="","",ORCAMENTOS!B1952)</f>
        <v>1942</v>
      </c>
      <c r="C1944" s="46" t="str">
        <f>IF(ORCAMENTOS!C1952="","",ORCAMENTOS!C1952)</f>
        <v/>
      </c>
      <c r="D1944" s="37" t="str">
        <f>IF(ORCAMENTOS!D1952="","",ORCAMENTOS!D1952)</f>
        <v>ANALISEPLAN</v>
      </c>
      <c r="E1944" s="38" t="str">
        <f>IF(ORCAMENTOS!E1952="","",ORCAMENTOS!E1952)</f>
        <v>HOSPITAL NIPO</v>
      </c>
      <c r="F1944" s="37" t="str">
        <f>IF(ORCAMENTOS!G1952="","",ORCAMENTOS!G1952)</f>
        <v>Michel</v>
      </c>
      <c r="G1944" s="37" t="str">
        <f>IF(ORCAMENTOS!H1952="","",ORCAMENTOS!H1952)</f>
        <v>Marcio</v>
      </c>
      <c r="H1944" s="39">
        <f>IF(ORCAMENTOS!I1952="","",ORCAMENTOS!I1952)</f>
        <v>80724.149999999994</v>
      </c>
      <c r="I1944" s="60">
        <f>IF(ORCAMENTOS!J1952="","",ORCAMENTOS!J1952)</f>
        <v>0.04</v>
      </c>
      <c r="J1944" s="40" t="str">
        <f>IF(ORCAMENTOS!L1952="","",ORCAMENTOS!L1952)</f>
        <v>PERDIDO</v>
      </c>
      <c r="K1944" s="34" t="str">
        <f>IF(ORCAMENTOS!M1952="","",ORCAMENTOS!M1952)</f>
        <v>CHAPA</v>
      </c>
      <c r="L1944" t="str">
        <f>IF(ORCAMENTOS!R1952="","",ORCAMENTOS!R1952)</f>
        <v>-</v>
      </c>
    </row>
    <row r="1945" spans="1:12" ht="15.75" hidden="1" customHeight="1" x14ac:dyDescent="0.25">
      <c r="A1945" s="36">
        <f>IF(ORCAMENTOS!A1953="","",ORCAMENTOS!A1953)</f>
        <v>46037</v>
      </c>
      <c r="B1945" s="46">
        <f>IF(ORCAMENTOS!B1953="","",ORCAMENTOS!B1953)</f>
        <v>1943</v>
      </c>
      <c r="C1945" s="46" t="str">
        <f>IF(ORCAMENTOS!C1953="","",ORCAMENTOS!C1953)</f>
        <v/>
      </c>
      <c r="D1945" s="37" t="str">
        <f>IF(ORCAMENTOS!D1953="","",ORCAMENTOS!D1953)</f>
        <v>ANALISEPLAN</v>
      </c>
      <c r="E1945" s="38" t="str">
        <f>IF(ORCAMENTOS!E1953="","",ORCAMENTOS!E1953)</f>
        <v>HOSPITAL CARE</v>
      </c>
      <c r="F1945" s="37" t="str">
        <f>IF(ORCAMENTOS!G1953="","",ORCAMENTOS!G1953)</f>
        <v>Michel</v>
      </c>
      <c r="G1945" s="37" t="str">
        <f>IF(ORCAMENTOS!H1953="","",ORCAMENTOS!H1953)</f>
        <v>Marcio</v>
      </c>
      <c r="H1945" s="39">
        <f>IF(ORCAMENTOS!I1953="","",ORCAMENTOS!I1953)</f>
        <v>173138.49</v>
      </c>
      <c r="I1945" s="60">
        <f>IF(ORCAMENTOS!J1953="","",ORCAMENTOS!J1953)</f>
        <v>0.04</v>
      </c>
      <c r="J1945" s="40" t="str">
        <f>IF(ORCAMENTOS!L1953="","",ORCAMENTOS!L1953)</f>
        <v>PERDIDO</v>
      </c>
      <c r="K1945" s="34" t="str">
        <f>IF(ORCAMENTOS!M1953="","",ORCAMENTOS!M1953)</f>
        <v>CHAPA</v>
      </c>
      <c r="L1945" t="str">
        <f>IF(ORCAMENTOS!R1953="","",ORCAMENTOS!R1953)</f>
        <v>-</v>
      </c>
    </row>
    <row r="1946" spans="1:12" ht="15.75" hidden="1" customHeight="1" x14ac:dyDescent="0.25">
      <c r="A1946" s="36">
        <f>IF(ORCAMENTOS!A1954="","",ORCAMENTOS!A1954)</f>
        <v>45989</v>
      </c>
      <c r="B1946" s="46">
        <f>IF(ORCAMENTOS!B1954="","",ORCAMENTOS!B1954)</f>
        <v>1944</v>
      </c>
      <c r="C1946" s="46" t="str">
        <f>IF(ORCAMENTOS!C1954="","",ORCAMENTOS!C1954)</f>
        <v/>
      </c>
      <c r="D1946" s="37" t="str">
        <f>IF(ORCAMENTOS!D1954="","",ORCAMENTOS!D1954)</f>
        <v>ANALISEPLAN</v>
      </c>
      <c r="E1946" s="38" t="str">
        <f>IF(ORCAMENTOS!E1954="","",ORCAMENTOS!E1954)</f>
        <v>HC</v>
      </c>
      <c r="F1946" s="37" t="str">
        <f>IF(ORCAMENTOS!G1954="","",ORCAMENTOS!G1954)</f>
        <v>Michel</v>
      </c>
      <c r="G1946" s="37" t="str">
        <f>IF(ORCAMENTOS!H1954="","",ORCAMENTOS!H1954)</f>
        <v>Marcio</v>
      </c>
      <c r="H1946" s="39">
        <f>IF(ORCAMENTOS!I1954="","",ORCAMENTOS!I1954)</f>
        <v>277349.51</v>
      </c>
      <c r="I1946" s="60">
        <f>IF(ORCAMENTOS!J1954="","",ORCAMENTOS!J1954)</f>
        <v>0.04</v>
      </c>
      <c r="J1946" s="40" t="str">
        <f>IF(ORCAMENTOS!L1954="","",ORCAMENTOS!L1954)</f>
        <v>PERDIDO</v>
      </c>
      <c r="K1946" s="34" t="str">
        <f>IF(ORCAMENTOS!M1954="","",ORCAMENTOS!M1954)</f>
        <v>MULTIVAC</v>
      </c>
      <c r="L1946" t="str">
        <f>IF(ORCAMENTOS!R1954="","",ORCAMENTOS!R1954)</f>
        <v>-</v>
      </c>
    </row>
    <row r="1947" spans="1:12" ht="15.75" hidden="1" customHeight="1" x14ac:dyDescent="0.25">
      <c r="A1947" s="36">
        <f>IF(ORCAMENTOS!A1955="","",ORCAMENTOS!A1955)</f>
        <v>45966</v>
      </c>
      <c r="B1947" s="46">
        <f>IF(ORCAMENTOS!B1955="","",ORCAMENTOS!B1955)</f>
        <v>1945</v>
      </c>
      <c r="C1947" s="46" t="str">
        <f>IF(ORCAMENTOS!C1955="","",ORCAMENTOS!C1955)</f>
        <v/>
      </c>
      <c r="D1947" s="37" t="str">
        <f>IF(ORCAMENTOS!D1955="","",ORCAMENTOS!D1955)</f>
        <v>IEDA DOS SANTOS</v>
      </c>
      <c r="E1947" s="38" t="str">
        <f>IF(ORCAMENTOS!E1955="","",ORCAMENTOS!E1955)</f>
        <v>-</v>
      </c>
      <c r="F1947" s="37" t="str">
        <f>IF(ORCAMENTOS!G1955="","",ORCAMENTOS!G1955)</f>
        <v>Gabriel</v>
      </c>
      <c r="G1947" s="37" t="str">
        <f>IF(ORCAMENTOS!H1955="","",ORCAMENTOS!H1955)</f>
        <v>Ieda</v>
      </c>
      <c r="H1947" s="39">
        <f>IF(ORCAMENTOS!I1955="","",ORCAMENTOS!I1955)</f>
        <v>294017.7</v>
      </c>
      <c r="I1947" s="60">
        <f>IF(ORCAMENTOS!J1955="","",ORCAMENTOS!J1955)</f>
        <v>7.0000000000000007E-2</v>
      </c>
      <c r="J1947" s="40" t="str">
        <f>IF(ORCAMENTOS!L1955="","",ORCAMENTOS!L1955)</f>
        <v>CANCELADO</v>
      </c>
      <c r="K1947" s="34" t="str">
        <f>IF(ORCAMENTOS!M1955="","",ORCAMENTOS!M1955)</f>
        <v>-</v>
      </c>
      <c r="L1947" t="str">
        <f>IF(ORCAMENTOS!R1955="","",ORCAMENTOS!R1955)</f>
        <v>-</v>
      </c>
    </row>
    <row r="1948" spans="1:12" ht="15.75" hidden="1" customHeight="1" x14ac:dyDescent="0.25">
      <c r="A1948" s="36">
        <f>IF(ORCAMENTOS!A1956="","",ORCAMENTOS!A1956)</f>
        <v>45966</v>
      </c>
      <c r="B1948" s="46">
        <f>IF(ORCAMENTOS!B1956="","",ORCAMENTOS!B1956)</f>
        <v>1946</v>
      </c>
      <c r="C1948" s="46" t="str">
        <f>IF(ORCAMENTOS!C1956="","",ORCAMENTOS!C1956)</f>
        <v>R2</v>
      </c>
      <c r="D1948" s="37" t="str">
        <f>IF(ORCAMENTOS!D1956="","",ORCAMENTOS!D1956)</f>
        <v>CLIMA SPACE</v>
      </c>
      <c r="E1948" s="38" t="str">
        <f>IF(ORCAMENTOS!E1956="","",ORCAMENTOS!E1956)</f>
        <v>PEPSICO DO BRASIL SETE LAGOAS</v>
      </c>
      <c r="F1948" s="37" t="str">
        <f>IF(ORCAMENTOS!G1956="","",ORCAMENTOS!G1956)</f>
        <v xml:space="preserve">Aldavir </v>
      </c>
      <c r="G1948" s="37" t="str">
        <f>IF(ORCAMENTOS!H1956="","",ORCAMENTOS!H1956)</f>
        <v>Sirley</v>
      </c>
      <c r="H1948" s="39">
        <f>IF(ORCAMENTOS!I1956="","",ORCAMENTOS!I1956)</f>
        <v>41415.53</v>
      </c>
      <c r="I1948" s="60">
        <f>IF(ORCAMENTOS!J1956="","",ORCAMENTOS!J1956)</f>
        <v>0.04</v>
      </c>
      <c r="J1948" s="40" t="str">
        <f>IF(ORCAMENTOS!L1956="","",ORCAMENTOS!L1956)</f>
        <v>FECHADO</v>
      </c>
      <c r="K1948" s="34" t="str">
        <f>IF(ORCAMENTOS!M1956="","",ORCAMENTOS!M1956)</f>
        <v>-</v>
      </c>
      <c r="L1948" t="str">
        <f>IF(ORCAMENTOS!R1956="","",ORCAMENTOS!R1956)</f>
        <v>-</v>
      </c>
    </row>
    <row r="1949" spans="1:12" ht="15.75" hidden="1" customHeight="1" x14ac:dyDescent="0.25">
      <c r="A1949" s="36">
        <f>IF(ORCAMENTOS!A1957="","",ORCAMENTOS!A1957)</f>
        <v>45966</v>
      </c>
      <c r="B1949" s="46">
        <f>IF(ORCAMENTOS!B1957="","",ORCAMENTOS!B1957)</f>
        <v>1947</v>
      </c>
      <c r="C1949" s="46" t="str">
        <f>IF(ORCAMENTOS!C1957="","",ORCAMENTOS!C1957)</f>
        <v/>
      </c>
      <c r="D1949" s="37" t="str">
        <f>IF(ORCAMENTOS!D1957="","",ORCAMENTOS!D1957)</f>
        <v>AR SET</v>
      </c>
      <c r="E1949" s="38" t="str">
        <f>IF(ORCAMENTOS!E1957="","",ORCAMENTOS!E1957)</f>
        <v>RESIDENCIA UNIFAMILIAR - JARAGUA DO SUL - SP</v>
      </c>
      <c r="F1949" s="37" t="str">
        <f>IF(ORCAMENTOS!G1957="","",ORCAMENTOS!G1957)</f>
        <v>Fernando</v>
      </c>
      <c r="G1949" s="37" t="str">
        <f>IF(ORCAMENTOS!H1957="","",ORCAMENTOS!H1957)</f>
        <v>Luiz</v>
      </c>
      <c r="H1949" s="39">
        <f>IF(ORCAMENTOS!I1957="","",ORCAMENTOS!I1957)</f>
        <v>85512.57</v>
      </c>
      <c r="I1949" s="60">
        <f>IF(ORCAMENTOS!J1957="","",ORCAMENTOS!J1957)</f>
        <v>7.0000000000000007E-2</v>
      </c>
      <c r="J1949" s="40" t="str">
        <f>IF(ORCAMENTOS!L1957="","",ORCAMENTOS!L1957)</f>
        <v>CANCELADO</v>
      </c>
      <c r="K1949" s="34" t="str">
        <f>IF(ORCAMENTOS!M1957="","",ORCAMENTOS!M1957)</f>
        <v>CLIENTE NEGOCIANDO</v>
      </c>
      <c r="L1949" t="str">
        <f>IF(ORCAMENTOS!R1957="","",ORCAMENTOS!R1957)</f>
        <v>CHAPA DE ACO GALVANIZADO</v>
      </c>
    </row>
    <row r="1950" spans="1:12" ht="15.75" hidden="1" customHeight="1" x14ac:dyDescent="0.25">
      <c r="A1950" s="36">
        <f>IF(ORCAMENTOS!A1958="","",ORCAMENTOS!A1958)</f>
        <v>45966</v>
      </c>
      <c r="B1950" s="46">
        <f>IF(ORCAMENTOS!B1958="","",ORCAMENTOS!B1958)</f>
        <v>1948</v>
      </c>
      <c r="C1950" s="46" t="str">
        <f>IF(ORCAMENTOS!C1958="","",ORCAMENTOS!C1958)</f>
        <v/>
      </c>
      <c r="D1950" s="37" t="str">
        <f>IF(ORCAMENTOS!D1958="","",ORCAMENTOS!D1958)</f>
        <v>LKT AR CONDICIONADO</v>
      </c>
      <c r="E1950" s="38" t="str">
        <f>IF(ORCAMENTOS!E1958="","",ORCAMENTOS!E1958)</f>
        <v>ARARAQUARA</v>
      </c>
      <c r="F1950" s="37" t="str">
        <f>IF(ORCAMENTOS!G1958="","",ORCAMENTOS!G1958)</f>
        <v>Fernando</v>
      </c>
      <c r="G1950" s="37" t="str">
        <f>IF(ORCAMENTOS!H1958="","",ORCAMENTOS!H1958)</f>
        <v>Rafael</v>
      </c>
      <c r="H1950" s="39">
        <f>IF(ORCAMENTOS!I1958="","",ORCAMENTOS!I1958)</f>
        <v>43967.59</v>
      </c>
      <c r="I1950" s="60">
        <f>IF(ORCAMENTOS!J1958="","",ORCAMENTOS!J1958)</f>
        <v>7.0000000000000007E-2</v>
      </c>
      <c r="J1950" s="40" t="str">
        <f>IF(ORCAMENTOS!L1958="","",ORCAMENTOS!L1958)</f>
        <v>CANCELADO</v>
      </c>
      <c r="K1950" s="34" t="str">
        <f>IF(ORCAMENTOS!M1958="","",ORCAMENTOS!M1958)</f>
        <v>-</v>
      </c>
      <c r="L1950" t="str">
        <f>IF(ORCAMENTOS!R1958="","",ORCAMENTOS!R1958)</f>
        <v>-</v>
      </c>
    </row>
    <row r="1951" spans="1:12" ht="15.75" hidden="1" customHeight="1" x14ac:dyDescent="0.25">
      <c r="A1951" s="36">
        <f>IF(ORCAMENTOS!A1959="","",ORCAMENTOS!A1959)</f>
        <v>45989</v>
      </c>
      <c r="B1951" s="46">
        <f>IF(ORCAMENTOS!B1959="","",ORCAMENTOS!B1959)</f>
        <v>1949</v>
      </c>
      <c r="C1951" s="46" t="str">
        <f>IF(ORCAMENTOS!C1959="","",ORCAMENTOS!C1959)</f>
        <v/>
      </c>
      <c r="D1951" s="37" t="str">
        <f>IF(ORCAMENTOS!D1959="","",ORCAMENTOS!D1959)</f>
        <v>CLIMA SPACE</v>
      </c>
      <c r="E1951" s="38" t="str">
        <f>IF(ORCAMENTOS!E1959="","",ORCAMENTOS!E1959)</f>
        <v>2003 - INSTITUTO DE PESQUISAS ELDORADO</v>
      </c>
      <c r="F1951" s="37" t="str">
        <f>IF(ORCAMENTOS!G1959="","",ORCAMENTOS!G1959)</f>
        <v xml:space="preserve">Aldavir </v>
      </c>
      <c r="G1951" s="37" t="str">
        <f>IF(ORCAMENTOS!H1959="","",ORCAMENTOS!H1959)</f>
        <v>Sirley</v>
      </c>
      <c r="H1951" s="39">
        <f>IF(ORCAMENTOS!I1959="","",ORCAMENTOS!I1959)</f>
        <v>183</v>
      </c>
      <c r="I1951" s="60">
        <f>IF(ORCAMENTOS!J1959="","",ORCAMENTOS!J1959)</f>
        <v>7.0000000000000007E-2</v>
      </c>
      <c r="J1951" s="40" t="str">
        <f>IF(ORCAMENTOS!L1959="","",ORCAMENTOS!L1959)</f>
        <v>PERDIDO</v>
      </c>
      <c r="K1951" s="34" t="str">
        <f>IF(ORCAMENTOS!M1959="","",ORCAMENTOS!M1959)</f>
        <v>MULTIVAC - CAMPINAS</v>
      </c>
      <c r="L1951" t="str">
        <f>IF(ORCAMENTOS!R1959="","",ORCAMENTOS!R1959)</f>
        <v>-</v>
      </c>
    </row>
    <row r="1952" spans="1:12" ht="15.75" hidden="1" customHeight="1" x14ac:dyDescent="0.25">
      <c r="A1952" s="36">
        <f>IF(ORCAMENTOS!A1960="","",ORCAMENTOS!A1960)</f>
        <v>45967</v>
      </c>
      <c r="B1952" s="46">
        <f>IF(ORCAMENTOS!B1960="","",ORCAMENTOS!B1960)</f>
        <v>1950</v>
      </c>
      <c r="C1952" s="46" t="str">
        <f>IF(ORCAMENTOS!C1960="","",ORCAMENTOS!C1960)</f>
        <v/>
      </c>
      <c r="D1952" s="37" t="str">
        <f>IF(ORCAMENTOS!D1960="","",ORCAMENTOS!D1960)</f>
        <v>AIR NET</v>
      </c>
      <c r="E1952" s="38" t="str">
        <f>IF(ORCAMENTOS!E1960="","",ORCAMENTOS!E1960)</f>
        <v>LIEBHERR LAB02 - GUARATINGUETA</v>
      </c>
      <c r="F1952" s="37" t="str">
        <f>IF(ORCAMENTOS!G1960="","",ORCAMENTOS!G1960)</f>
        <v>Fernando</v>
      </c>
      <c r="G1952" s="37" t="str">
        <f>IF(ORCAMENTOS!H1960="","",ORCAMENTOS!H1960)</f>
        <v>Fernando</v>
      </c>
      <c r="H1952" s="39">
        <f>IF(ORCAMENTOS!I1960="","",ORCAMENTOS!I1960)</f>
        <v>164543.23000000001</v>
      </c>
      <c r="I1952" s="60">
        <f>IF(ORCAMENTOS!J1960="","",ORCAMENTOS!J1960)</f>
        <v>7.0000000000000007E-2</v>
      </c>
      <c r="J1952" s="40" t="str">
        <f>IF(ORCAMENTOS!L1960="","",ORCAMENTOS!L1960)</f>
        <v>CANCELADO</v>
      </c>
      <c r="K1952" s="34" t="str">
        <f>IF(ORCAMENTOS!M1960="","",ORCAMENTOS!M1960)</f>
        <v>OBRA DA AR SISTEMAS</v>
      </c>
      <c r="L1952" t="str">
        <f>IF(ORCAMENTOS!R1960="","",ORCAMENTOS!R1960)</f>
        <v>-</v>
      </c>
    </row>
    <row r="1953" spans="1:12" ht="15.75" hidden="1" customHeight="1" x14ac:dyDescent="0.25">
      <c r="A1953" s="36">
        <f>IF(ORCAMENTOS!A1961="","",ORCAMENTOS!A1961)</f>
        <v>45967</v>
      </c>
      <c r="B1953" s="46">
        <f>IF(ORCAMENTOS!B1961="","",ORCAMENTOS!B1961)</f>
        <v>1951</v>
      </c>
      <c r="C1953" s="46" t="str">
        <f>IF(ORCAMENTOS!C1961="","",ORCAMENTOS!C1961)</f>
        <v/>
      </c>
      <c r="D1953" s="37" t="str">
        <f>IF(ORCAMENTOS!D1961="","",ORCAMENTOS!D1961)</f>
        <v>SERTTA ENGENHARIA</v>
      </c>
      <c r="E1953" s="38" t="str">
        <f>IF(ORCAMENTOS!E1961="","",ORCAMENTOS!E1961)</f>
        <v>AMAZON - DPE4 - SP</v>
      </c>
      <c r="F1953" s="37" t="str">
        <f>IF(ORCAMENTOS!G1961="","",ORCAMENTOS!G1961)</f>
        <v>Emanuel</v>
      </c>
      <c r="G1953" s="37" t="str">
        <f>IF(ORCAMENTOS!H1961="","",ORCAMENTOS!H1961)</f>
        <v>Liliane</v>
      </c>
      <c r="H1953" s="39">
        <f>IF(ORCAMENTOS!I1961="","",ORCAMENTOS!I1961)</f>
        <v>120462.64</v>
      </c>
      <c r="I1953" s="60">
        <f>IF(ORCAMENTOS!J1961="","",ORCAMENTOS!J1961)</f>
        <v>7.0000000000000007E-2</v>
      </c>
      <c r="J1953" s="40" t="str">
        <f>IF(ORCAMENTOS!L1961="","",ORCAMENTOS!L1961)</f>
        <v>CANCELADO</v>
      </c>
      <c r="K1953" s="34" t="str">
        <f>IF(ORCAMENTOS!M1961="","",ORCAMENTOS!M1961)</f>
        <v>-</v>
      </c>
      <c r="L1953" t="str">
        <f>IF(ORCAMENTOS!R1961="","",ORCAMENTOS!R1961)</f>
        <v>N/E</v>
      </c>
    </row>
    <row r="1954" spans="1:12" ht="15.75" hidden="1" customHeight="1" x14ac:dyDescent="0.25">
      <c r="A1954" s="36">
        <f>IF(ORCAMENTOS!A1962="","",ORCAMENTOS!A1962)</f>
        <v>45967</v>
      </c>
      <c r="B1954" s="46">
        <f>IF(ORCAMENTOS!B1962="","",ORCAMENTOS!B1962)</f>
        <v>1952</v>
      </c>
      <c r="C1954" s="46" t="str">
        <f>IF(ORCAMENTOS!C1962="","",ORCAMENTOS!C1962)</f>
        <v/>
      </c>
      <c r="D1954" s="37" t="str">
        <f>IF(ORCAMENTOS!D1962="","",ORCAMENTOS!D1962)</f>
        <v>R1 SOLUCOES</v>
      </c>
      <c r="E1954" s="38" t="str">
        <f>IF(ORCAMENTOS!E1962="","",ORCAMENTOS!E1962)</f>
        <v>-</v>
      </c>
      <c r="F1954" s="37" t="str">
        <f>IF(ORCAMENTOS!G1962="","",ORCAMENTOS!G1962)</f>
        <v>Gabriel</v>
      </c>
      <c r="G1954" s="37" t="str">
        <f>IF(ORCAMENTOS!H1962="","",ORCAMENTOS!H1962)</f>
        <v>Janaina</v>
      </c>
      <c r="H1954" s="39">
        <f>IF(ORCAMENTOS!I1962="","",ORCAMENTOS!I1962)</f>
        <v>653.79999999999995</v>
      </c>
      <c r="I1954" s="60">
        <f>IF(ORCAMENTOS!J1962="","",ORCAMENTOS!J1962)</f>
        <v>7.0000000000000007E-2</v>
      </c>
      <c r="J1954" s="40" t="str">
        <f>IF(ORCAMENTOS!L1962="","",ORCAMENTOS!L1962)</f>
        <v>CANCELADO</v>
      </c>
      <c r="K1954" s="34" t="str">
        <f>IF(ORCAMENTOS!M1962="","",ORCAMENTOS!M1962)</f>
        <v>-</v>
      </c>
      <c r="L1954" t="str">
        <f>IF(ORCAMENTOS!R1962="","",ORCAMENTOS!R1962)</f>
        <v>-</v>
      </c>
    </row>
    <row r="1955" spans="1:12" ht="15.75" hidden="1" customHeight="1" x14ac:dyDescent="0.25">
      <c r="A1955" s="36">
        <f>IF(ORCAMENTOS!A1963="","",ORCAMENTOS!A1963)</f>
        <v>45967</v>
      </c>
      <c r="B1955" s="46">
        <f>IF(ORCAMENTOS!B1963="","",ORCAMENTOS!B1963)</f>
        <v>1953</v>
      </c>
      <c r="C1955" s="46" t="str">
        <f>IF(ORCAMENTOS!C1963="","",ORCAMENTOS!C1963)</f>
        <v/>
      </c>
      <c r="D1955" s="37" t="str">
        <f>IF(ORCAMENTOS!D1963="","",ORCAMENTOS!D1963)</f>
        <v>HVAC ENGENHARIA</v>
      </c>
      <c r="E1955" s="38" t="str">
        <f>IF(ORCAMENTOS!E1963="","",ORCAMENTOS!E1963)</f>
        <v>-</v>
      </c>
      <c r="F1955" s="37" t="str">
        <f>IF(ORCAMENTOS!G1963="","",ORCAMENTOS!G1963)</f>
        <v>Michel</v>
      </c>
      <c r="G1955" s="37" t="str">
        <f>IF(ORCAMENTOS!H1963="","",ORCAMENTOS!H1963)</f>
        <v>Monique</v>
      </c>
      <c r="H1955" s="39">
        <f>IF(ORCAMENTOS!I1963="","",ORCAMENTOS!I1963)</f>
        <v>968.69</v>
      </c>
      <c r="I1955" s="60">
        <f>IF(ORCAMENTOS!J1963="","",ORCAMENTOS!J1963)</f>
        <v>7.0000000000000007E-2</v>
      </c>
      <c r="J1955" s="40" t="str">
        <f>IF(ORCAMENTOS!L1963="","",ORCAMENTOS!L1963)</f>
        <v>CANCELADO</v>
      </c>
      <c r="K1955" s="34" t="str">
        <f>IF(ORCAMENTOS!M1963="","",ORCAMENTOS!M1963)</f>
        <v>-</v>
      </c>
      <c r="L1955" t="str">
        <f>IF(ORCAMENTOS!R1963="","",ORCAMENTOS!R1963)</f>
        <v/>
      </c>
    </row>
    <row r="1956" spans="1:12" ht="15.75" hidden="1" customHeight="1" x14ac:dyDescent="0.25">
      <c r="A1956" s="36">
        <f>IF(ORCAMENTOS!A1964="","",ORCAMENTOS!A1964)</f>
        <v>45967</v>
      </c>
      <c r="B1956" s="46">
        <f>IF(ORCAMENTOS!B1964="","",ORCAMENTOS!B1964)</f>
        <v>1954</v>
      </c>
      <c r="C1956" s="46" t="str">
        <f>IF(ORCAMENTOS!C1964="","",ORCAMENTOS!C1964)</f>
        <v/>
      </c>
      <c r="D1956" s="37" t="str">
        <f>IF(ORCAMENTOS!D1964="","",ORCAMENTOS!D1964)</f>
        <v>AIRPLAN</v>
      </c>
      <c r="E1956" s="38" t="str">
        <f>IF(ORCAMENTOS!E1964="","",ORCAMENTOS!E1964)</f>
        <v>CINEART LAVRAS - MG</v>
      </c>
      <c r="F1956" s="37" t="str">
        <f>IF(ORCAMENTOS!G1964="","",ORCAMENTOS!G1964)</f>
        <v>Guilherme</v>
      </c>
      <c r="G1956" s="37" t="str">
        <f>IF(ORCAMENTOS!H1964="","",ORCAMENTOS!H1964)</f>
        <v>Gabriel</v>
      </c>
      <c r="H1956" s="39">
        <f>IF(ORCAMENTOS!I1964="","",ORCAMENTOS!I1964)</f>
        <v>127852.3</v>
      </c>
      <c r="I1956" s="60">
        <f>IF(ORCAMENTOS!J1964="","",ORCAMENTOS!J1964)</f>
        <v>7.0000000000000007E-2</v>
      </c>
      <c r="J1956" s="40" t="str">
        <f>IF(ORCAMENTOS!L1964="","",ORCAMENTOS!L1964)</f>
        <v>CANCELADO</v>
      </c>
      <c r="K1956" s="34" t="str">
        <f>IF(ORCAMENTOS!M1964="","",ORCAMENTOS!M1964)</f>
        <v>-</v>
      </c>
      <c r="L1956" t="str">
        <f>IF(ORCAMENTOS!R1964="","",ORCAMENTOS!R1964)</f>
        <v/>
      </c>
    </row>
    <row r="1957" spans="1:12" ht="15.75" hidden="1" customHeight="1" x14ac:dyDescent="0.25">
      <c r="A1957" s="36">
        <f>IF(ORCAMENTOS!A1965="","",ORCAMENTOS!A1965)</f>
        <v>45967</v>
      </c>
      <c r="B1957" s="46">
        <f>IF(ORCAMENTOS!B1965="","",ORCAMENTOS!B1965)</f>
        <v>1955</v>
      </c>
      <c r="C1957" s="46" t="str">
        <f>IF(ORCAMENTOS!C1965="","",ORCAMENTOS!C1965)</f>
        <v/>
      </c>
      <c r="D1957" s="37" t="str">
        <f>IF(ORCAMENTOS!D1965="","",ORCAMENTOS!D1965)</f>
        <v>CONTROLE CLIMA</v>
      </c>
      <c r="E1957" s="38" t="str">
        <f>IF(ORCAMENTOS!E1965="","",ORCAMENTOS!E1965)</f>
        <v>SF MACAE</v>
      </c>
      <c r="F1957" s="37" t="str">
        <f>IF(ORCAMENTOS!G1965="","",ORCAMENTOS!G1965)</f>
        <v>Emanuel</v>
      </c>
      <c r="G1957" s="37" t="str">
        <f>IF(ORCAMENTOS!H1965="","",ORCAMENTOS!H1965)</f>
        <v>Edimario</v>
      </c>
      <c r="H1957" s="39">
        <f>IF(ORCAMENTOS!I1965="","",ORCAMENTOS!I1965)</f>
        <v>160395.07</v>
      </c>
      <c r="I1957" s="60">
        <f>IF(ORCAMENTOS!J1965="","",ORCAMENTOS!J1965)</f>
        <v>0.04</v>
      </c>
      <c r="J1957" s="40" t="str">
        <f>IF(ORCAMENTOS!L1965="","",ORCAMENTOS!L1965)</f>
        <v>CANCELADO</v>
      </c>
      <c r="K1957" s="34" t="str">
        <f>IF(ORCAMENTOS!M1965="","",ORCAMENTOS!M1965)</f>
        <v>-</v>
      </c>
      <c r="L1957" t="str">
        <f>IF(ORCAMENTOS!R1965="","",ORCAMENTOS!R1965)</f>
        <v>-</v>
      </c>
    </row>
    <row r="1958" spans="1:12" ht="15.75" hidden="1" customHeight="1" x14ac:dyDescent="0.25">
      <c r="A1958" s="36">
        <f>IF(ORCAMENTOS!A1966="","",ORCAMENTOS!A1966)</f>
        <v>45967</v>
      </c>
      <c r="B1958" s="46">
        <f>IF(ORCAMENTOS!B1966="","",ORCAMENTOS!B1966)</f>
        <v>1956</v>
      </c>
      <c r="C1958" s="46" t="str">
        <f>IF(ORCAMENTOS!C1966="","",ORCAMENTOS!C1966)</f>
        <v/>
      </c>
      <c r="D1958" s="37" t="str">
        <f>IF(ORCAMENTOS!D1966="","",ORCAMENTOS!D1966)</f>
        <v>WELLNESS</v>
      </c>
      <c r="E1958" s="38" t="str">
        <f>IF(ORCAMENTOS!E1966="","",ORCAMENTOS!E1966)</f>
        <v>-</v>
      </c>
      <c r="F1958" s="37" t="str">
        <f>IF(ORCAMENTOS!G1966="","",ORCAMENTOS!G1966)</f>
        <v>Gabriel</v>
      </c>
      <c r="G1958" s="37" t="str">
        <f>IF(ORCAMENTOS!H1966="","",ORCAMENTOS!H1966)</f>
        <v>Ivanise</v>
      </c>
      <c r="H1958" s="39">
        <f>IF(ORCAMENTOS!I1966="","",ORCAMENTOS!I1966)</f>
        <v>8736.4</v>
      </c>
      <c r="I1958" s="60">
        <f>IF(ORCAMENTOS!J1966="","",ORCAMENTOS!J1966)</f>
        <v>0.05</v>
      </c>
      <c r="J1958" s="40" t="str">
        <f>IF(ORCAMENTOS!L1966="","",ORCAMENTOS!L1966)</f>
        <v>CANCELADO</v>
      </c>
      <c r="K1958" s="34" t="str">
        <f>IF(ORCAMENTOS!M1966="","",ORCAMENTOS!M1966)</f>
        <v>-</v>
      </c>
      <c r="L1958" t="str">
        <f>IF(ORCAMENTOS!R1966="","",ORCAMENTOS!R1966)</f>
        <v>-</v>
      </c>
    </row>
    <row r="1959" spans="1:12" ht="15.75" hidden="1" customHeight="1" x14ac:dyDescent="0.25">
      <c r="A1959" s="36">
        <f>IF(ORCAMENTOS!A1967="","",ORCAMENTOS!A1967)</f>
        <v>45968</v>
      </c>
      <c r="B1959" s="46">
        <f>IF(ORCAMENTOS!B1967="","",ORCAMENTOS!B1967)</f>
        <v>1957</v>
      </c>
      <c r="C1959" s="46" t="str">
        <f>IF(ORCAMENTOS!C1967="","",ORCAMENTOS!C1967)</f>
        <v/>
      </c>
      <c r="D1959" s="37" t="str">
        <f>IF(ORCAMENTOS!D1967="","",ORCAMENTOS!D1967)</f>
        <v>MANENG</v>
      </c>
      <c r="E1959" s="38" t="str">
        <f>IF(ORCAMENTOS!E1967="","",ORCAMENTOS!E1967)</f>
        <v>-</v>
      </c>
      <c r="F1959" s="37" t="str">
        <f>IF(ORCAMENTOS!G1967="","",ORCAMENTOS!G1967)</f>
        <v>Guilherme</v>
      </c>
      <c r="G1959" s="37" t="str">
        <f>IF(ORCAMENTOS!H1967="","",ORCAMENTOS!H1967)</f>
        <v>Gabrielle</v>
      </c>
      <c r="H1959" s="39">
        <f>IF(ORCAMENTOS!I1967="","",ORCAMENTOS!I1967)</f>
        <v>29516.95</v>
      </c>
      <c r="I1959" s="60">
        <f>IF(ORCAMENTOS!J1967="","",ORCAMENTOS!J1967)</f>
        <v>7.0000000000000007E-2</v>
      </c>
      <c r="J1959" s="40" t="str">
        <f>IF(ORCAMENTOS!L1967="","",ORCAMENTOS!L1967)</f>
        <v>FECHADO</v>
      </c>
      <c r="K1959" s="34" t="str">
        <f>IF(ORCAMENTOS!M1967="","",ORCAMENTOS!M1967)</f>
        <v>-</v>
      </c>
      <c r="L1959" t="str">
        <f>IF(ORCAMENTOS!R1967="","",ORCAMENTOS!R1967)</f>
        <v>-</v>
      </c>
    </row>
    <row r="1960" spans="1:12" ht="15.75" hidden="1" customHeight="1" x14ac:dyDescent="0.25">
      <c r="A1960" s="36">
        <f>IF(ORCAMENTOS!A1968="","",ORCAMENTOS!A1968)</f>
        <v>45968</v>
      </c>
      <c r="B1960" s="46">
        <f>IF(ORCAMENTOS!B1968="","",ORCAMENTOS!B1968)</f>
        <v>1958</v>
      </c>
      <c r="C1960" s="46" t="str">
        <f>IF(ORCAMENTOS!C1968="","",ORCAMENTOS!C1968)</f>
        <v/>
      </c>
      <c r="D1960" s="37" t="str">
        <f>IF(ORCAMENTOS!D1968="","",ORCAMENTOS!D1968)</f>
        <v>ADRIATIC</v>
      </c>
      <c r="E1960" s="38" t="str">
        <f>IF(ORCAMENTOS!E1968="","",ORCAMENTOS!E1968)</f>
        <v>C&amp;A BLN - NORTE SHOPPING BLUMENAU - SC</v>
      </c>
      <c r="F1960" s="37" t="str">
        <f>IF(ORCAMENTOS!G1968="","",ORCAMENTOS!G1968)</f>
        <v>Emanuel</v>
      </c>
      <c r="G1960" s="37" t="str">
        <f>IF(ORCAMENTOS!H1968="","",ORCAMENTOS!H1968)</f>
        <v>Carlos</v>
      </c>
      <c r="H1960" s="39">
        <f>IF(ORCAMENTOS!I1968="","",ORCAMENTOS!I1968)</f>
        <v>95283.15</v>
      </c>
      <c r="I1960" s="60">
        <f>IF(ORCAMENTOS!J1968="","",ORCAMENTOS!J1968)</f>
        <v>7.0000000000000007E-2</v>
      </c>
      <c r="J1960" s="40" t="str">
        <f>IF(ORCAMENTOS!L1968="","",ORCAMENTOS!L1968)</f>
        <v>CANCELADO</v>
      </c>
      <c r="K1960" s="34" t="str">
        <f>IF(ORCAMENTOS!M1968="","",ORCAMENTOS!M1968)</f>
        <v>-</v>
      </c>
      <c r="L1960" t="str">
        <f>IF(ORCAMENTOS!R1968="","",ORCAMENTOS!R1968)</f>
        <v>MPU</v>
      </c>
    </row>
    <row r="1961" spans="1:12" ht="15.75" hidden="1" customHeight="1" x14ac:dyDescent="0.25">
      <c r="A1961" s="36">
        <f>IF(ORCAMENTOS!A1969="","",ORCAMENTOS!A1969)</f>
        <v>45972</v>
      </c>
      <c r="B1961" s="46">
        <f>IF(ORCAMENTOS!B1969="","",ORCAMENTOS!B1969)</f>
        <v>1959</v>
      </c>
      <c r="C1961" s="46" t="str">
        <f>IF(ORCAMENTOS!C1969="","",ORCAMENTOS!C1969)</f>
        <v>R1</v>
      </c>
      <c r="D1961" s="37" t="str">
        <f>IF(ORCAMENTOS!D1969="","",ORCAMENTOS!D1969)</f>
        <v>R1 SOLUCOES</v>
      </c>
      <c r="E1961" s="38" t="str">
        <f>IF(ORCAMENTOS!E1969="","",ORCAMENTOS!E1969)</f>
        <v>-</v>
      </c>
      <c r="F1961" s="37" t="str">
        <f>IF(ORCAMENTOS!G1969="","",ORCAMENTOS!G1969)</f>
        <v>Gabriel</v>
      </c>
      <c r="G1961" s="37" t="str">
        <f>IF(ORCAMENTOS!H1969="","",ORCAMENTOS!H1969)</f>
        <v>Janaina</v>
      </c>
      <c r="H1961" s="39">
        <f>IF(ORCAMENTOS!I1969="","",ORCAMENTOS!I1969)</f>
        <v>690.2</v>
      </c>
      <c r="I1961" s="60">
        <f>IF(ORCAMENTOS!J1969="","",ORCAMENTOS!J1969)</f>
        <v>7.0000000000000007E-2</v>
      </c>
      <c r="J1961" s="40" t="str">
        <f>IF(ORCAMENTOS!L1969="","",ORCAMENTOS!L1969)</f>
        <v>FECHADO</v>
      </c>
      <c r="K1961" s="34" t="str">
        <f>IF(ORCAMENTOS!M1969="","",ORCAMENTOS!M1969)</f>
        <v>-</v>
      </c>
      <c r="L1961" t="str">
        <f>IF(ORCAMENTOS!R1969="","",ORCAMENTOS!R1969)</f>
        <v>-</v>
      </c>
    </row>
    <row r="1962" spans="1:12" ht="15.75" hidden="1" customHeight="1" x14ac:dyDescent="0.25">
      <c r="A1962" s="36">
        <f>IF(ORCAMENTOS!A1970="","",ORCAMENTOS!A1970)</f>
        <v>45968</v>
      </c>
      <c r="B1962" s="46">
        <f>IF(ORCAMENTOS!B1970="","",ORCAMENTOS!B1970)</f>
        <v>1960</v>
      </c>
      <c r="C1962" s="46" t="str">
        <f>IF(ORCAMENTOS!C1970="","",ORCAMENTOS!C1970)</f>
        <v/>
      </c>
      <c r="D1962" s="37" t="str">
        <f>IF(ORCAMENTOS!D1970="","",ORCAMENTOS!D1970)</f>
        <v>LTX CLIMATIZACAO</v>
      </c>
      <c r="E1962" s="38" t="str">
        <f>IF(ORCAMENTOS!E1970="","",ORCAMENTOS!E1970)</f>
        <v>COLGATE - SÃO PAULO - SP</v>
      </c>
      <c r="F1962" s="37" t="str">
        <f>IF(ORCAMENTOS!G1970="","",ORCAMENTOS!G1970)</f>
        <v>Guilherme</v>
      </c>
      <c r="G1962" s="37" t="str">
        <f>IF(ORCAMENTOS!H1970="","",ORCAMENTOS!H1970)</f>
        <v>David</v>
      </c>
      <c r="H1962" s="39">
        <f>IF(ORCAMENTOS!I1970="","",ORCAMENTOS!I1970)</f>
        <v>47327.19</v>
      </c>
      <c r="I1962" s="60">
        <f>IF(ORCAMENTOS!J1970="","",ORCAMENTOS!J1970)</f>
        <v>7.0000000000000007E-2</v>
      </c>
      <c r="J1962" s="40" t="str">
        <f>IF(ORCAMENTOS!L1970="","",ORCAMENTOS!L1970)</f>
        <v>CANCELADO</v>
      </c>
      <c r="K1962" s="34" t="str">
        <f>IF(ORCAMENTOS!M1970="","",ORCAMENTOS!M1970)</f>
        <v>-</v>
      </c>
      <c r="L1962" t="str">
        <f>IF(ORCAMENTOS!R1970="","",ORCAMENTOS!R1970)</f>
        <v>N/E</v>
      </c>
    </row>
    <row r="1963" spans="1:12" ht="15.75" hidden="1" customHeight="1" x14ac:dyDescent="0.25">
      <c r="A1963" s="36">
        <f>IF(ORCAMENTOS!A1971="","",ORCAMENTOS!A1971)</f>
        <v>45968</v>
      </c>
      <c r="B1963" s="46">
        <f>IF(ORCAMENTOS!B1971="","",ORCAMENTOS!B1971)</f>
        <v>1961</v>
      </c>
      <c r="C1963" s="46" t="str">
        <f>IF(ORCAMENTOS!C1971="","",ORCAMENTOS!C1971)</f>
        <v/>
      </c>
      <c r="D1963" s="37" t="str">
        <f>IF(ORCAMENTOS!D1971="","",ORCAMENTOS!D1971)</f>
        <v>CONSTRUCLIMA</v>
      </c>
      <c r="E1963" s="38" t="str">
        <f>IF(ORCAMENTOS!E1971="","",ORCAMENTOS!E1971)</f>
        <v>REDE DOR SÃO LUIZ - TATUAPE - SP</v>
      </c>
      <c r="F1963" s="37" t="str">
        <f>IF(ORCAMENTOS!G1971="","",ORCAMENTOS!G1971)</f>
        <v>Guilherme</v>
      </c>
      <c r="G1963" s="37" t="str">
        <f>IF(ORCAMENTOS!H1971="","",ORCAMENTOS!H1971)</f>
        <v>Thiago</v>
      </c>
      <c r="H1963" s="39">
        <f>IF(ORCAMENTOS!I1971="","",ORCAMENTOS!I1971)</f>
        <v>256847.4</v>
      </c>
      <c r="I1963" s="60">
        <f>IF(ORCAMENTOS!J1971="","",ORCAMENTOS!J1971)</f>
        <v>7.0000000000000007E-2</v>
      </c>
      <c r="J1963" s="40" t="str">
        <f>IF(ORCAMENTOS!L1971="","",ORCAMENTOS!L1971)</f>
        <v>CANCELADO</v>
      </c>
      <c r="K1963" s="34" t="str">
        <f>IF(ORCAMENTOS!M1971="","",ORCAMENTOS!M1971)</f>
        <v>OBRA DA NEWSET</v>
      </c>
      <c r="L1963" t="str">
        <f>IF(ORCAMENTOS!R1971="","",ORCAMENTOS!R1971)</f>
        <v>-</v>
      </c>
    </row>
    <row r="1964" spans="1:12" ht="15.75" hidden="1" customHeight="1" x14ac:dyDescent="0.25">
      <c r="A1964" s="36">
        <f>IF(ORCAMENTOS!A1972="","",ORCAMENTOS!A1972)</f>
        <v>45968</v>
      </c>
      <c r="B1964" s="46">
        <f>IF(ORCAMENTOS!B1972="","",ORCAMENTOS!B1972)</f>
        <v>1962</v>
      </c>
      <c r="C1964" s="46" t="str">
        <f>IF(ORCAMENTOS!C1972="","",ORCAMENTOS!C1972)</f>
        <v/>
      </c>
      <c r="D1964" s="37" t="str">
        <f>IF(ORCAMENTOS!D1972="","",ORCAMENTOS!D1972)</f>
        <v>AIR DESIGN</v>
      </c>
      <c r="E1964" s="38" t="str">
        <f>IF(ORCAMENTOS!E1972="","",ORCAMENTOS!E1972)</f>
        <v>CHARLO</v>
      </c>
      <c r="F1964" s="37" t="str">
        <f>IF(ORCAMENTOS!G1972="","",ORCAMENTOS!G1972)</f>
        <v>Gabriel</v>
      </c>
      <c r="G1964" s="37" t="str">
        <f>IF(ORCAMENTOS!H1972="","",ORCAMENTOS!H1972)</f>
        <v>Jefferson</v>
      </c>
      <c r="H1964" s="39">
        <f>IF(ORCAMENTOS!I1972="","",ORCAMENTOS!I1972)</f>
        <v>51568.37</v>
      </c>
      <c r="I1964" s="60">
        <f>IF(ORCAMENTOS!J1972="","",ORCAMENTOS!J1972)</f>
        <v>7.0000000000000007E-2</v>
      </c>
      <c r="J1964" s="40" t="str">
        <f>IF(ORCAMENTOS!L1972="","",ORCAMENTOS!L1972)</f>
        <v>CANCELADO</v>
      </c>
      <c r="K1964" s="34" t="str">
        <f>IF(ORCAMENTOS!M1972="","",ORCAMENTOS!M1972)</f>
        <v>-</v>
      </c>
      <c r="L1964" t="str">
        <f>IF(ORCAMENTOS!R1972="","",ORCAMENTOS!R1972)</f>
        <v>-</v>
      </c>
    </row>
    <row r="1965" spans="1:12" ht="15.75" hidden="1" customHeight="1" x14ac:dyDescent="0.25">
      <c r="A1965" s="36">
        <f>IF(ORCAMENTOS!A1973="","",ORCAMENTOS!A1973)</f>
        <v>45968</v>
      </c>
      <c r="B1965" s="46">
        <f>IF(ORCAMENTOS!B1973="","",ORCAMENTOS!B1973)</f>
        <v>1963</v>
      </c>
      <c r="C1965" s="46" t="str">
        <f>IF(ORCAMENTOS!C1973="","",ORCAMENTOS!C1973)</f>
        <v/>
      </c>
      <c r="D1965" s="37" t="str">
        <f>IF(ORCAMENTOS!D1973="","",ORCAMENTOS!D1973)</f>
        <v>ACSISTEM</v>
      </c>
      <c r="E1965" s="38" t="str">
        <f>IF(ORCAMENTOS!E1973="","",ORCAMENTOS!E1973)</f>
        <v>SF - NAGUMO KEMEL</v>
      </c>
      <c r="F1965" s="37" t="str">
        <f>IF(ORCAMENTOS!G1973="","",ORCAMENTOS!G1973)</f>
        <v>Emanuel</v>
      </c>
      <c r="G1965" s="37" t="str">
        <f>IF(ORCAMENTOS!H1973="","",ORCAMENTOS!H1973)</f>
        <v>Mateus</v>
      </c>
      <c r="H1965" s="39">
        <f>IF(ORCAMENTOS!I1973="","",ORCAMENTOS!I1973)</f>
        <v>87953.56</v>
      </c>
      <c r="I1965" s="60">
        <f>IF(ORCAMENTOS!J1973="","",ORCAMENTOS!J1973)</f>
        <v>0.03</v>
      </c>
      <c r="J1965" s="40" t="str">
        <f>IF(ORCAMENTOS!L1973="","",ORCAMENTOS!L1973)</f>
        <v>FECHADO</v>
      </c>
      <c r="K1965" s="34" t="str">
        <f>IF(ORCAMENTOS!M1973="","",ORCAMENTOS!M1973)</f>
        <v>-</v>
      </c>
      <c r="L1965" t="str">
        <f>IF(ORCAMENTOS!R1973="","",ORCAMENTOS!R1973)</f>
        <v>-</v>
      </c>
    </row>
    <row r="1966" spans="1:12" ht="15.75" hidden="1" customHeight="1" x14ac:dyDescent="0.25">
      <c r="A1966" s="36">
        <f>IF(ORCAMENTOS!A1974="","",ORCAMENTOS!A1974)</f>
        <v>45968</v>
      </c>
      <c r="B1966" s="46">
        <f>IF(ORCAMENTOS!B1974="","",ORCAMENTOS!B1974)</f>
        <v>1964</v>
      </c>
      <c r="C1966" s="46" t="str">
        <f>IF(ORCAMENTOS!C1974="","",ORCAMENTOS!C1974)</f>
        <v/>
      </c>
      <c r="D1966" s="37" t="str">
        <f>IF(ORCAMENTOS!D1974="","",ORCAMENTOS!D1974)</f>
        <v>AR SISTEMAS</v>
      </c>
      <c r="E1966" s="38" t="str">
        <f>IF(ORCAMENTOS!E1974="","",ORCAMENTOS!E1974)</f>
        <v>SMARTFIT - VILA MADALENA - SP</v>
      </c>
      <c r="F1966" s="37" t="str">
        <f>IF(ORCAMENTOS!G1974="","",ORCAMENTOS!G1974)</f>
        <v>Michel</v>
      </c>
      <c r="G1966" s="37" t="str">
        <f>IF(ORCAMENTOS!H1974="","",ORCAMENTOS!H1974)</f>
        <v>Anderson</v>
      </c>
      <c r="H1966" s="39">
        <f>IF(ORCAMENTOS!I1974="","",ORCAMENTOS!I1974)</f>
        <v>9401.7000000000007</v>
      </c>
      <c r="I1966" s="60">
        <f>IF(ORCAMENTOS!J1974="","",ORCAMENTOS!J1974)</f>
        <v>7.0000000000000007E-2</v>
      </c>
      <c r="J1966" s="40" t="str">
        <f>IF(ORCAMENTOS!L1974="","",ORCAMENTOS!L1974)</f>
        <v>CANCELADO</v>
      </c>
      <c r="K1966" s="34" t="str">
        <f>IF(ORCAMENTOS!M1974="","",ORCAMENTOS!M1974)</f>
        <v>-</v>
      </c>
      <c r="L1966" t="str">
        <f>IF(ORCAMENTOS!R1974="","",ORCAMENTOS!R1974)</f>
        <v>N/E</v>
      </c>
    </row>
    <row r="1967" spans="1:12" ht="15.75" hidden="1" customHeight="1" x14ac:dyDescent="0.25">
      <c r="A1967" s="36">
        <f>IF(ORCAMENTOS!A1975="","",ORCAMENTOS!A1975)</f>
        <v>45973</v>
      </c>
      <c r="B1967" s="46">
        <f>IF(ORCAMENTOS!B1975="","",ORCAMENTOS!B1975)</f>
        <v>1965</v>
      </c>
      <c r="C1967" s="46" t="str">
        <f>IF(ORCAMENTOS!C1975="","",ORCAMENTOS!C1975)</f>
        <v>R4</v>
      </c>
      <c r="D1967" s="37" t="str">
        <f>IF(ORCAMENTOS!D1975="","",ORCAMENTOS!D1975)</f>
        <v>SESIL AR</v>
      </c>
      <c r="E1967" s="38" t="str">
        <f>IF(ORCAMENTOS!E1975="","",ORCAMENTOS!E1975)</f>
        <v>SMART FIT - EMPORIO BAHAMAS - UBERLANDIA - MG</v>
      </c>
      <c r="F1967" s="37" t="str">
        <f>IF(ORCAMENTOS!G1975="","",ORCAMENTOS!G1975)</f>
        <v>Fernando</v>
      </c>
      <c r="G1967" s="37" t="str">
        <f>IF(ORCAMENTOS!H1975="","",ORCAMENTOS!H1975)</f>
        <v>Rogerio</v>
      </c>
      <c r="H1967" s="39">
        <f>IF(ORCAMENTOS!I1975="","",ORCAMENTOS!I1975)</f>
        <v>61181.53</v>
      </c>
      <c r="I1967" s="60">
        <f>IF(ORCAMENTOS!J1975="","",ORCAMENTOS!J1975)</f>
        <v>0.03</v>
      </c>
      <c r="J1967" s="40" t="str">
        <f>IF(ORCAMENTOS!L1975="","",ORCAMENTOS!L1975)</f>
        <v>FECHADO</v>
      </c>
      <c r="K1967" s="34" t="str">
        <f>IF(ORCAMENTOS!M1975="","",ORCAMENTOS!M1975)</f>
        <v>-</v>
      </c>
      <c r="L1967" t="str">
        <f>IF(ORCAMENTOS!R1975="","",ORCAMENTOS!R1975)</f>
        <v>-</v>
      </c>
    </row>
    <row r="1968" spans="1:12" ht="15.75" hidden="1" customHeight="1" x14ac:dyDescent="0.25">
      <c r="A1968" s="36">
        <f>IF(ORCAMENTOS!A1976="","",ORCAMENTOS!A1976)</f>
        <v>45996</v>
      </c>
      <c r="B1968" s="46">
        <f>IF(ORCAMENTOS!B1976="","",ORCAMENTOS!B1976)</f>
        <v>1966</v>
      </c>
      <c r="C1968" s="46" t="str">
        <f>IF(ORCAMENTOS!C1976="","",ORCAMENTOS!C1976)</f>
        <v/>
      </c>
      <c r="D1968" s="37" t="str">
        <f>IF(ORCAMENTOS!D1976="","",ORCAMENTOS!D1976)</f>
        <v>ACSISTEM</v>
      </c>
      <c r="E1968" s="38" t="str">
        <f>IF(ORCAMENTOS!E1976="","",ORCAMENTOS!E1976)</f>
        <v>SF - VAZ LOBO</v>
      </c>
      <c r="F1968" s="37" t="str">
        <f>IF(ORCAMENTOS!G1976="","",ORCAMENTOS!G1976)</f>
        <v>Emanuel</v>
      </c>
      <c r="G1968" s="37" t="str">
        <f>IF(ORCAMENTOS!H1976="","",ORCAMENTOS!H1976)</f>
        <v>Mateus</v>
      </c>
      <c r="H1968" s="39">
        <f>IF(ORCAMENTOS!I1976="","",ORCAMENTOS!I1976)</f>
        <v>16039.62</v>
      </c>
      <c r="I1968" s="60">
        <f>IF(ORCAMENTOS!J1976="","",ORCAMENTOS!J1976)</f>
        <v>0.03</v>
      </c>
      <c r="J1968" s="40" t="str">
        <f>IF(ORCAMENTOS!L1976="","",ORCAMENTOS!L1976)</f>
        <v>PERDIDO</v>
      </c>
      <c r="K1968" s="34" t="str">
        <f>IF(ORCAMENTOS!M1976="","",ORCAMENTOS!M1976)</f>
        <v>PERDIDO MULTIVAC</v>
      </c>
      <c r="L1968" t="str">
        <f>IF(ORCAMENTOS!R1976="","",ORCAMENTOS!R1976)</f>
        <v>-</v>
      </c>
    </row>
    <row r="1969" spans="1:12" ht="15.75" hidden="1" customHeight="1" x14ac:dyDescent="0.25">
      <c r="A1969" s="36">
        <f>IF(ORCAMENTOS!A1977="","",ORCAMENTOS!A1977)</f>
        <v>45968</v>
      </c>
      <c r="B1969" s="46">
        <f>IF(ORCAMENTOS!B1977="","",ORCAMENTOS!B1977)</f>
        <v>1967</v>
      </c>
      <c r="C1969" s="46" t="str">
        <f>IF(ORCAMENTOS!C1977="","",ORCAMENTOS!C1977)</f>
        <v/>
      </c>
      <c r="D1969" s="37" t="str">
        <f>IF(ORCAMENTOS!D1977="","",ORCAMENTOS!D1977)</f>
        <v>AIRPLAN</v>
      </c>
      <c r="E1969" s="38" t="str">
        <f>IF(ORCAMENTOS!E1977="","",ORCAMENTOS!E1977)</f>
        <v>GIGA TREMEMBÉ - COMPLEMENTO</v>
      </c>
      <c r="F1969" s="37" t="str">
        <f>IF(ORCAMENTOS!G1977="","",ORCAMENTOS!G1977)</f>
        <v>Guilherme</v>
      </c>
      <c r="G1969" s="37" t="str">
        <f>IF(ORCAMENTOS!H1977="","",ORCAMENTOS!H1977)</f>
        <v>Denise</v>
      </c>
      <c r="H1969" s="39">
        <f>IF(ORCAMENTOS!I1977="","",ORCAMENTOS!I1977)</f>
        <v>7227.61</v>
      </c>
      <c r="I1969" s="60">
        <f>IF(ORCAMENTOS!J1977="","",ORCAMENTOS!J1977)</f>
        <v>7.0000000000000007E-2</v>
      </c>
      <c r="J1969" s="40" t="str">
        <f>IF(ORCAMENTOS!L1977="","",ORCAMENTOS!L1977)</f>
        <v>CANCELADO</v>
      </c>
      <c r="K1969" s="34" t="str">
        <f>IF(ORCAMENTOS!M1977="","",ORCAMENTOS!M1977)</f>
        <v>-</v>
      </c>
      <c r="L1969" t="str">
        <f>IF(ORCAMENTOS!R1977="","",ORCAMENTOS!R1977)</f>
        <v>-</v>
      </c>
    </row>
    <row r="1970" spans="1:12" ht="15.75" hidden="1" customHeight="1" x14ac:dyDescent="0.25">
      <c r="A1970" s="36">
        <f>IF(ORCAMENTOS!A1978="","",ORCAMENTOS!A1978)</f>
        <v>45968</v>
      </c>
      <c r="B1970" s="46">
        <f>IF(ORCAMENTOS!B1978="","",ORCAMENTOS!B1978)</f>
        <v>1968</v>
      </c>
      <c r="C1970" s="46" t="str">
        <f>IF(ORCAMENTOS!C1978="","",ORCAMENTOS!C1978)</f>
        <v/>
      </c>
      <c r="D1970" s="37" t="str">
        <f>IF(ORCAMENTOS!D1978="","",ORCAMENTOS!D1978)</f>
        <v>NEWSET</v>
      </c>
      <c r="E1970" s="38" t="str">
        <f>IF(ORCAMENTOS!E1978="","",ORCAMENTOS!E1978)</f>
        <v>HOSPITAL BARTIRA - UTI - UNI</v>
      </c>
      <c r="F1970" s="37" t="str">
        <f>IF(ORCAMENTOS!G1978="","",ORCAMENTOS!G1978)</f>
        <v xml:space="preserve">Aldavir </v>
      </c>
      <c r="G1970" s="37" t="str">
        <f>IF(ORCAMENTOS!H1978="","",ORCAMENTOS!H1978)</f>
        <v>David</v>
      </c>
      <c r="H1970" s="39">
        <f>IF(ORCAMENTOS!I1978="","",ORCAMENTOS!I1978)</f>
        <v>47722.99</v>
      </c>
      <c r="I1970" s="60">
        <f>IF(ORCAMENTOS!J1978="","",ORCAMENTOS!J1978)</f>
        <v>7.0000000000000007E-2</v>
      </c>
      <c r="J1970" s="40" t="str">
        <f>IF(ORCAMENTOS!L1978="","",ORCAMENTOS!L1978)</f>
        <v>FECHADO</v>
      </c>
      <c r="K1970" s="34" t="str">
        <f>IF(ORCAMENTOS!M1978="","",ORCAMENTOS!M1978)</f>
        <v>CONSTRUTORA ARBAIT</v>
      </c>
      <c r="L1970" t="str">
        <f>IF(ORCAMENTOS!R1978="","",ORCAMENTOS!R1978)</f>
        <v>-</v>
      </c>
    </row>
    <row r="1971" spans="1:12" ht="15.75" hidden="1" customHeight="1" x14ac:dyDescent="0.25">
      <c r="A1971" s="36">
        <f>IF(ORCAMENTOS!A1979="","",ORCAMENTOS!A1979)</f>
        <v>45968</v>
      </c>
      <c r="B1971" s="46">
        <f>IF(ORCAMENTOS!B1979="","",ORCAMENTOS!B1979)</f>
        <v>1969</v>
      </c>
      <c r="C1971" s="46" t="str">
        <f>IF(ORCAMENTOS!C1979="","",ORCAMENTOS!C1979)</f>
        <v/>
      </c>
      <c r="D1971" s="37" t="str">
        <f>IF(ORCAMENTOS!D1979="","",ORCAMENTOS!D1979)</f>
        <v>NEWSET</v>
      </c>
      <c r="E1971" s="38" t="str">
        <f>IF(ORCAMENTOS!E1979="","",ORCAMENTOS!E1979)</f>
        <v>HOSPITAL BARTIRA - UTI - UNI - PT02</v>
      </c>
      <c r="F1971" s="37" t="str">
        <f>IF(ORCAMENTOS!G1979="","",ORCAMENTOS!G1979)</f>
        <v xml:space="preserve">Aldavir </v>
      </c>
      <c r="G1971" s="37" t="str">
        <f>IF(ORCAMENTOS!H1979="","",ORCAMENTOS!H1979)</f>
        <v>David</v>
      </c>
      <c r="H1971" s="39">
        <f>IF(ORCAMENTOS!I1979="","",ORCAMENTOS!I1979)</f>
        <v>7069.81</v>
      </c>
      <c r="I1971" s="60">
        <f>IF(ORCAMENTOS!J1979="","",ORCAMENTOS!J1979)</f>
        <v>7.0000000000000007E-2</v>
      </c>
      <c r="J1971" s="40" t="str">
        <f>IF(ORCAMENTOS!L1979="","",ORCAMENTOS!L1979)</f>
        <v>FECHADO</v>
      </c>
      <c r="K1971" s="34" t="str">
        <f>IF(ORCAMENTOS!M1979="","",ORCAMENTOS!M1979)</f>
        <v>CONSTRUTORA ARBAIT</v>
      </c>
      <c r="L1971" t="str">
        <f>IF(ORCAMENTOS!R1979="","",ORCAMENTOS!R1979)</f>
        <v>-</v>
      </c>
    </row>
    <row r="1972" spans="1:12" ht="15.75" hidden="1" customHeight="1" x14ac:dyDescent="0.25">
      <c r="A1972" s="36">
        <f>IF(ORCAMENTOS!A1980="","",ORCAMENTOS!A1980)</f>
        <v>45968</v>
      </c>
      <c r="B1972" s="46">
        <f>IF(ORCAMENTOS!B1980="","",ORCAMENTOS!B1980)</f>
        <v>1970</v>
      </c>
      <c r="C1972" s="46" t="str">
        <f>IF(ORCAMENTOS!C1980="","",ORCAMENTOS!C1980)</f>
        <v/>
      </c>
      <c r="D1972" s="37" t="str">
        <f>IF(ORCAMENTOS!D1980="","",ORCAMENTOS!D1980)</f>
        <v>NEWSET</v>
      </c>
      <c r="E1972" s="38" t="str">
        <f>IF(ORCAMENTOS!E1980="","",ORCAMENTOS!E1980)</f>
        <v>HOSPITAL BARTIRA - UTI - UNI - PT03</v>
      </c>
      <c r="F1972" s="37" t="str">
        <f>IF(ORCAMENTOS!G1980="","",ORCAMENTOS!G1980)</f>
        <v xml:space="preserve">Aldavir </v>
      </c>
      <c r="G1972" s="37" t="str">
        <f>IF(ORCAMENTOS!H1980="","",ORCAMENTOS!H1980)</f>
        <v>David</v>
      </c>
      <c r="H1972" s="39">
        <f>IF(ORCAMENTOS!I1980="","",ORCAMENTOS!I1980)</f>
        <v>7090.79</v>
      </c>
      <c r="I1972" s="60">
        <f>IF(ORCAMENTOS!J1980="","",ORCAMENTOS!J1980)</f>
        <v>7.0000000000000007E-2</v>
      </c>
      <c r="J1972" s="40" t="str">
        <f>IF(ORCAMENTOS!L1980="","",ORCAMENTOS!L1980)</f>
        <v>FECHADO</v>
      </c>
      <c r="K1972" s="34" t="str">
        <f>IF(ORCAMENTOS!M1980="","",ORCAMENTOS!M1980)</f>
        <v>CONSTRUTORA ARBAIT</v>
      </c>
      <c r="L1972" t="str">
        <f>IF(ORCAMENTOS!R1980="","",ORCAMENTOS!R1980)</f>
        <v>-</v>
      </c>
    </row>
    <row r="1973" spans="1:12" ht="15.75" hidden="1" customHeight="1" x14ac:dyDescent="0.25">
      <c r="A1973" s="36">
        <f>IF(ORCAMENTOS!A1981="","",ORCAMENTOS!A1981)</f>
        <v>45968</v>
      </c>
      <c r="B1973" s="46">
        <f>IF(ORCAMENTOS!B1981="","",ORCAMENTOS!B1981)</f>
        <v>1971</v>
      </c>
      <c r="C1973" s="46" t="str">
        <f>IF(ORCAMENTOS!C1981="","",ORCAMENTOS!C1981)</f>
        <v/>
      </c>
      <c r="D1973" s="37" t="str">
        <f>IF(ORCAMENTOS!D1981="","",ORCAMENTOS!D1981)</f>
        <v>GLACIAL REFRIGERACOES</v>
      </c>
      <c r="E1973" s="38" t="str">
        <f>IF(ORCAMENTOS!E1981="","",ORCAMENTOS!E1981)</f>
        <v>CAMICADO - SHOPPING MORUMBI - BRASILIA</v>
      </c>
      <c r="F1973" s="37" t="str">
        <f>IF(ORCAMENTOS!G1981="","",ORCAMENTOS!G1981)</f>
        <v>Fernando</v>
      </c>
      <c r="G1973" s="37" t="str">
        <f>IF(ORCAMENTOS!H1981="","",ORCAMENTOS!H1981)</f>
        <v>Gilvan</v>
      </c>
      <c r="H1973" s="39">
        <f>IF(ORCAMENTOS!I1981="","",ORCAMENTOS!I1981)</f>
        <v>33024.17</v>
      </c>
      <c r="I1973" s="60">
        <f>IF(ORCAMENTOS!J1981="","",ORCAMENTOS!J1981)</f>
        <v>7.0000000000000007E-2</v>
      </c>
      <c r="J1973" s="40" t="str">
        <f>IF(ORCAMENTOS!L1981="","",ORCAMENTOS!L1981)</f>
        <v>CANCELADO</v>
      </c>
      <c r="K1973" s="34" t="str">
        <f>IF(ORCAMENTOS!M1981="","",ORCAMENTOS!M1981)</f>
        <v>-</v>
      </c>
      <c r="L1973" t="str">
        <f>IF(ORCAMENTOS!R1981="","",ORCAMENTOS!R1981)</f>
        <v>MPU</v>
      </c>
    </row>
    <row r="1974" spans="1:12" ht="15.75" hidden="1" customHeight="1" x14ac:dyDescent="0.25">
      <c r="A1974" s="36">
        <f>IF(ORCAMENTOS!A1982="","",ORCAMENTOS!A1982)</f>
        <v>45973</v>
      </c>
      <c r="B1974" s="46">
        <f>IF(ORCAMENTOS!B1982="","",ORCAMENTOS!B1982)</f>
        <v>1972</v>
      </c>
      <c r="C1974" s="46" t="str">
        <f>IF(ORCAMENTOS!C1982="","",ORCAMENTOS!C1982)</f>
        <v>R1</v>
      </c>
      <c r="D1974" s="37" t="str">
        <f>IF(ORCAMENTOS!D1982="","",ORCAMENTOS!D1982)</f>
        <v>AWA AR CONDICIONADO</v>
      </c>
      <c r="E1974" s="38" t="str">
        <f>IF(ORCAMENTOS!E1982="","",ORCAMENTOS!E1982)</f>
        <v>OBRAMAX UBERLÂNDIA</v>
      </c>
      <c r="F1974" s="37" t="str">
        <f>IF(ORCAMENTOS!G1982="","",ORCAMENTOS!G1982)</f>
        <v>Guilherme</v>
      </c>
      <c r="G1974" s="37" t="str">
        <f>IF(ORCAMENTOS!H1982="","",ORCAMENTOS!H1982)</f>
        <v>Isabela</v>
      </c>
      <c r="H1974" s="39">
        <f>IF(ORCAMENTOS!I1982="","",ORCAMENTOS!I1982)</f>
        <v>3618.29</v>
      </c>
      <c r="I1974" s="60">
        <f>IF(ORCAMENTOS!J1982="","",ORCAMENTOS!J1982)</f>
        <v>7.0000000000000007E-2</v>
      </c>
      <c r="J1974" s="40" t="str">
        <f>IF(ORCAMENTOS!L1982="","",ORCAMENTOS!L1982)</f>
        <v>CANCELADO</v>
      </c>
      <c r="K1974" s="34" t="str">
        <f>IF(ORCAMENTOS!M1982="","",ORCAMENTOS!M1982)</f>
        <v>-</v>
      </c>
      <c r="L1974" t="str">
        <f>IF(ORCAMENTOS!R1982="","",ORCAMENTOS!R1982)</f>
        <v>-</v>
      </c>
    </row>
    <row r="1975" spans="1:12" ht="15.75" hidden="1" customHeight="1" x14ac:dyDescent="0.25">
      <c r="A1975" s="36">
        <f>IF(ORCAMENTOS!A1983="","",ORCAMENTOS!A1983)</f>
        <v>45971</v>
      </c>
      <c r="B1975" s="46">
        <f>IF(ORCAMENTOS!B1983="","",ORCAMENTOS!B1983)</f>
        <v>1973</v>
      </c>
      <c r="C1975" s="46" t="str">
        <f>IF(ORCAMENTOS!C1983="","",ORCAMENTOS!C1983)</f>
        <v/>
      </c>
      <c r="D1975" s="37" t="str">
        <f>IF(ORCAMENTOS!D1983="","",ORCAMENTOS!D1983)</f>
        <v>LUAR DUTOS</v>
      </c>
      <c r="E1975" s="38" t="str">
        <f>IF(ORCAMENTOS!E1983="","",ORCAMENTOS!E1983)</f>
        <v>-</v>
      </c>
      <c r="F1975" s="37" t="str">
        <f>IF(ORCAMENTOS!G1983="","",ORCAMENTOS!G1983)</f>
        <v>Michel</v>
      </c>
      <c r="G1975" s="37" t="str">
        <f>IF(ORCAMENTOS!H1983="","",ORCAMENTOS!H1983)</f>
        <v/>
      </c>
      <c r="H1975" s="39">
        <f>IF(ORCAMENTOS!I1983="","",ORCAMENTOS!I1983)</f>
        <v>1040</v>
      </c>
      <c r="I1975" s="60">
        <f>IF(ORCAMENTOS!J1983="","",ORCAMENTOS!J1983)</f>
        <v>7.0000000000000007E-2</v>
      </c>
      <c r="J1975" s="40" t="str">
        <f>IF(ORCAMENTOS!L1983="","",ORCAMENTOS!L1983)</f>
        <v>CANCELADO</v>
      </c>
      <c r="K1975" s="34" t="str">
        <f>IF(ORCAMENTOS!M1983="","",ORCAMENTOS!M1983)</f>
        <v>-</v>
      </c>
      <c r="L1975" t="str">
        <f>IF(ORCAMENTOS!R1983="","",ORCAMENTOS!R1983)</f>
        <v>-</v>
      </c>
    </row>
    <row r="1976" spans="1:12" ht="15.75" hidden="1" customHeight="1" x14ac:dyDescent="0.25">
      <c r="A1976" s="36">
        <f>IF(ORCAMENTOS!A1984="","",ORCAMENTOS!A1984)</f>
        <v>45971</v>
      </c>
      <c r="B1976" s="46">
        <f>IF(ORCAMENTOS!B1984="","",ORCAMENTOS!B1984)</f>
        <v>1974</v>
      </c>
      <c r="C1976" s="46" t="str">
        <f>IF(ORCAMENTOS!C1984="","",ORCAMENTOS!C1984)</f>
        <v/>
      </c>
      <c r="D1976" s="37" t="str">
        <f>IF(ORCAMENTOS!D1984="","",ORCAMENTOS!D1984)</f>
        <v>M&amp;M ENGENHARIA</v>
      </c>
      <c r="E1976" s="38" t="str">
        <f>IF(ORCAMENTOS!E1984="","",ORCAMENTOS!E1984)</f>
        <v>UNIMED JUNDIAI</v>
      </c>
      <c r="F1976" s="37" t="str">
        <f>IF(ORCAMENTOS!G1984="","",ORCAMENTOS!G1984)</f>
        <v>Emanuel</v>
      </c>
      <c r="G1976" s="37" t="str">
        <f>IF(ORCAMENTOS!H1984="","",ORCAMENTOS!H1984)</f>
        <v>Janaina</v>
      </c>
      <c r="H1976" s="39">
        <f>IF(ORCAMENTOS!I1984="","",ORCAMENTOS!I1984)</f>
        <v>603283.06999999995</v>
      </c>
      <c r="I1976" s="60">
        <f>IF(ORCAMENTOS!J1984="","",ORCAMENTOS!J1984)</f>
        <v>7.0000000000000007E-2</v>
      </c>
      <c r="J1976" s="40" t="str">
        <f>IF(ORCAMENTOS!L1984="","",ORCAMENTOS!L1984)</f>
        <v>CANCELADO</v>
      </c>
      <c r="K1976" s="34" t="str">
        <f>IF(ORCAMENTOS!M1984="","",ORCAMENTOS!M1984)</f>
        <v>-</v>
      </c>
      <c r="L1976" t="str">
        <f>IF(ORCAMENTOS!R1984="","",ORCAMENTOS!R1984)</f>
        <v>-</v>
      </c>
    </row>
    <row r="1977" spans="1:12" ht="15.75" hidden="1" customHeight="1" x14ac:dyDescent="0.25">
      <c r="A1977" s="36">
        <f>IF(ORCAMENTOS!A1985="","",ORCAMENTOS!A1985)</f>
        <v>45971</v>
      </c>
      <c r="B1977" s="46">
        <f>IF(ORCAMENTOS!B1985="","",ORCAMENTOS!B1985)</f>
        <v>1975</v>
      </c>
      <c r="C1977" s="46" t="str">
        <f>IF(ORCAMENTOS!C1985="","",ORCAMENTOS!C1985)</f>
        <v/>
      </c>
      <c r="D1977" s="37" t="str">
        <f>IF(ORCAMENTOS!D1985="","",ORCAMENTOS!D1985)</f>
        <v>ECOWORK</v>
      </c>
      <c r="E1977" s="38" t="str">
        <f>IF(ORCAMENTOS!E1985="","",ORCAMENTOS!E1985)</f>
        <v>NOTRE DAME INTERMEDICA - CIDADE NOVA</v>
      </c>
      <c r="F1977" s="37" t="str">
        <f>IF(ORCAMENTOS!G1985="","",ORCAMENTOS!G1985)</f>
        <v>Emanuel</v>
      </c>
      <c r="G1977" s="37" t="str">
        <f>IF(ORCAMENTOS!H1985="","",ORCAMENTOS!H1985)</f>
        <v>Beatriz</v>
      </c>
      <c r="H1977" s="39">
        <f>IF(ORCAMENTOS!I1985="","",ORCAMENTOS!I1985)</f>
        <v>1156422.3799999999</v>
      </c>
      <c r="I1977" s="60">
        <f>IF(ORCAMENTOS!J1985="","",ORCAMENTOS!J1985)</f>
        <v>7.0000000000000007E-2</v>
      </c>
      <c r="J1977" s="40" t="str">
        <f>IF(ORCAMENTOS!L1985="","",ORCAMENTOS!L1985)</f>
        <v>CANCELADO</v>
      </c>
      <c r="K1977" s="34" t="str">
        <f>IF(ORCAMENTOS!M1985="","",ORCAMENTOS!M1985)</f>
        <v>-</v>
      </c>
      <c r="L1977" t="str">
        <f>IF(ORCAMENTOS!R1985="","",ORCAMENTOS!R1985)</f>
        <v>MPU</v>
      </c>
    </row>
    <row r="1978" spans="1:12" ht="15.75" hidden="1" customHeight="1" x14ac:dyDescent="0.25">
      <c r="A1978" s="36">
        <f>IF(ORCAMENTOS!A1986="","",ORCAMENTOS!A1986)</f>
        <v>45971</v>
      </c>
      <c r="B1978" s="46">
        <f>IF(ORCAMENTOS!B1986="","",ORCAMENTOS!B1986)</f>
        <v>1976</v>
      </c>
      <c r="C1978" s="46" t="str">
        <f>IF(ORCAMENTOS!C1986="","",ORCAMENTOS!C1986)</f>
        <v/>
      </c>
      <c r="D1978" s="37" t="str">
        <f>IF(ORCAMENTOS!D1986="","",ORCAMENTOS!D1986)</f>
        <v>RICH ENGENHARIA</v>
      </c>
      <c r="E1978" s="38" t="str">
        <f>IF(ORCAMENTOS!E1986="","",ORCAMENTOS!E1986)</f>
        <v>TULIO DOS SANTOS PATTO</v>
      </c>
      <c r="F1978" s="37" t="str">
        <f>IF(ORCAMENTOS!G1986="","",ORCAMENTOS!G1986)</f>
        <v>Guilherme</v>
      </c>
      <c r="G1978" s="37" t="str">
        <f>IF(ORCAMENTOS!H1986="","",ORCAMENTOS!H1986)</f>
        <v>Ricardo</v>
      </c>
      <c r="H1978" s="39">
        <f>IF(ORCAMENTOS!I1986="","",ORCAMENTOS!I1986)</f>
        <v>5565.11</v>
      </c>
      <c r="I1978" s="60">
        <f>IF(ORCAMENTOS!J1986="","",ORCAMENTOS!J1986)</f>
        <v>7.0000000000000007E-2</v>
      </c>
      <c r="J1978" s="40" t="str">
        <f>IF(ORCAMENTOS!L1986="","",ORCAMENTOS!L1986)</f>
        <v>CANCELADO</v>
      </c>
      <c r="K1978" s="34" t="str">
        <f>IF(ORCAMENTOS!M1986="","",ORCAMENTOS!M1986)</f>
        <v>-</v>
      </c>
      <c r="L1978" t="str">
        <f>IF(ORCAMENTOS!R1986="","",ORCAMENTOS!R1986)</f>
        <v>MPU</v>
      </c>
    </row>
    <row r="1979" spans="1:12" ht="15.75" hidden="1" customHeight="1" x14ac:dyDescent="0.25">
      <c r="A1979" s="36">
        <f>IF(ORCAMENTOS!A1987="","",ORCAMENTOS!A1987)</f>
        <v>45971</v>
      </c>
      <c r="B1979" s="46">
        <f>IF(ORCAMENTOS!B1987="","",ORCAMENTOS!B1987)</f>
        <v>1977</v>
      </c>
      <c r="C1979" s="46" t="str">
        <f>IF(ORCAMENTOS!C1987="","",ORCAMENTOS!C1987)</f>
        <v/>
      </c>
      <c r="D1979" s="37" t="str">
        <f>IF(ORCAMENTOS!D1987="","",ORCAMENTOS!D1987)</f>
        <v>ISOTEMP</v>
      </c>
      <c r="E1979" s="38" t="str">
        <f>IF(ORCAMENTOS!E1987="","",ORCAMENTOS!E1987)</f>
        <v>FUNDACAO ANTONIO PRUDENTE - AC CAMARGO CANCER CENTER - SP</v>
      </c>
      <c r="F1979" s="37" t="str">
        <f>IF(ORCAMENTOS!G1987="","",ORCAMENTOS!G1987)</f>
        <v>Michel</v>
      </c>
      <c r="G1979" s="37" t="str">
        <f>IF(ORCAMENTOS!H1987="","",ORCAMENTOS!H1987)</f>
        <v>Caique</v>
      </c>
      <c r="H1979" s="39">
        <f>IF(ORCAMENTOS!I1987="","",ORCAMENTOS!I1987)</f>
        <v>86789.2</v>
      </c>
      <c r="I1979" s="60">
        <f>IF(ORCAMENTOS!J1987="","",ORCAMENTOS!J1987)</f>
        <v>7.0000000000000007E-2</v>
      </c>
      <c r="J1979" s="40" t="str">
        <f>IF(ORCAMENTOS!L1987="","",ORCAMENTOS!L1987)</f>
        <v>ORCAMENTO</v>
      </c>
      <c r="K1979" s="34" t="str">
        <f>IF(ORCAMENTOS!M1987="","",ORCAMENTOS!M1987)</f>
        <v>-</v>
      </c>
      <c r="L1979" t="str">
        <f>IF(ORCAMENTOS!R1987="","",ORCAMENTOS!R1987)</f>
        <v>MPU</v>
      </c>
    </row>
    <row r="1980" spans="1:12" ht="15.75" hidden="1" customHeight="1" x14ac:dyDescent="0.25">
      <c r="A1980" s="36">
        <f>IF(ORCAMENTOS!A1988="","",ORCAMENTOS!A1988)</f>
        <v>45971</v>
      </c>
      <c r="B1980" s="46">
        <f>IF(ORCAMENTOS!B1988="","",ORCAMENTOS!B1988)</f>
        <v>1978</v>
      </c>
      <c r="C1980" s="46" t="str">
        <f>IF(ORCAMENTOS!C1988="","",ORCAMENTOS!C1988)</f>
        <v/>
      </c>
      <c r="D1980" s="37" t="str">
        <f>IF(ORCAMENTOS!D1988="","",ORCAMENTOS!D1988)</f>
        <v>ACSISTEM</v>
      </c>
      <c r="E1980" s="38" t="str">
        <f>IF(ORCAMENTOS!E1988="","",ORCAMENTOS!E1988)</f>
        <v>SMART FIT NOVA IGUAÇU</v>
      </c>
      <c r="F1980" s="37" t="str">
        <f>IF(ORCAMENTOS!G1988="","",ORCAMENTOS!G1988)</f>
        <v>Emanuel</v>
      </c>
      <c r="G1980" s="37" t="str">
        <f>IF(ORCAMENTOS!H1988="","",ORCAMENTOS!H1988)</f>
        <v>David</v>
      </c>
      <c r="H1980" s="39">
        <f>IF(ORCAMENTOS!I1988="","",ORCAMENTOS!I1988)</f>
        <v>88355.18</v>
      </c>
      <c r="I1980" s="60">
        <f>IF(ORCAMENTOS!J1988="","",ORCAMENTOS!J1988)</f>
        <v>0.03</v>
      </c>
      <c r="J1980" s="40" t="str">
        <f>IF(ORCAMENTOS!L1988="","",ORCAMENTOS!L1988)</f>
        <v>CANCELADO</v>
      </c>
      <c r="K1980" s="34" t="str">
        <f>IF(ORCAMENTOS!M1988="","",ORCAMENTOS!M1988)</f>
        <v>-</v>
      </c>
      <c r="L1980" t="str">
        <f>IF(ORCAMENTOS!R1988="","",ORCAMENTOS!R1988)</f>
        <v>-</v>
      </c>
    </row>
    <row r="1981" spans="1:12" ht="15.75" hidden="1" customHeight="1" x14ac:dyDescent="0.25">
      <c r="A1981" s="36">
        <f>IF(ORCAMENTOS!A1989="","",ORCAMENTOS!A1989)</f>
        <v>45972</v>
      </c>
      <c r="B1981" s="46">
        <f>IF(ORCAMENTOS!B1989="","",ORCAMENTOS!B1989)</f>
        <v>1979</v>
      </c>
      <c r="C1981" s="46" t="str">
        <f>IF(ORCAMENTOS!C1989="","",ORCAMENTOS!C1989)</f>
        <v>R1</v>
      </c>
      <c r="D1981" s="37" t="str">
        <f>IF(ORCAMENTOS!D1989="","",ORCAMENTOS!D1989)</f>
        <v>NOSSO AR</v>
      </c>
      <c r="E1981" s="38" t="str">
        <f>IF(ORCAMENTOS!E1989="","",ORCAMENTOS!E1989)</f>
        <v>-</v>
      </c>
      <c r="F1981" s="37" t="str">
        <f>IF(ORCAMENTOS!G1989="","",ORCAMENTOS!G1989)</f>
        <v>Gabriel</v>
      </c>
      <c r="G1981" s="37" t="str">
        <f>IF(ORCAMENTOS!H1989="","",ORCAMENTOS!H1989)</f>
        <v>Lucimeire</v>
      </c>
      <c r="H1981" s="39">
        <f>IF(ORCAMENTOS!I1989="","",ORCAMENTOS!I1989)</f>
        <v>21859.06</v>
      </c>
      <c r="I1981" s="60">
        <f>IF(ORCAMENTOS!J1989="","",ORCAMENTOS!J1989)</f>
        <v>0.05</v>
      </c>
      <c r="J1981" s="40" t="str">
        <f>IF(ORCAMENTOS!L1989="","",ORCAMENTOS!L1989)</f>
        <v>CANCELADO</v>
      </c>
      <c r="K1981" s="34" t="str">
        <f>IF(ORCAMENTOS!M1989="","",ORCAMENTOS!M1989)</f>
        <v>-</v>
      </c>
      <c r="L1981" t="str">
        <f>IF(ORCAMENTOS!R1989="","",ORCAMENTOS!R1989)</f>
        <v>-</v>
      </c>
    </row>
    <row r="1982" spans="1:12" ht="15.75" hidden="1" customHeight="1" x14ac:dyDescent="0.25">
      <c r="A1982" s="36">
        <f>IF(ORCAMENTOS!A1990="","",ORCAMENTOS!A1990)</f>
        <v>45972</v>
      </c>
      <c r="B1982" s="46">
        <f>IF(ORCAMENTOS!B1990="","",ORCAMENTOS!B1990)</f>
        <v>1980</v>
      </c>
      <c r="C1982" s="46" t="str">
        <f>IF(ORCAMENTOS!C1990="","",ORCAMENTOS!C1990)</f>
        <v>R2</v>
      </c>
      <c r="D1982" s="37" t="str">
        <f>IF(ORCAMENTOS!D1990="","",ORCAMENTOS!D1990)</f>
        <v>IVAI AR CONDICIONADO</v>
      </c>
      <c r="E1982" s="38" t="str">
        <f>IF(ORCAMENTOS!E1990="","",ORCAMENTOS!E1990)</f>
        <v>BB PASSEIO PAULISTA</v>
      </c>
      <c r="F1982" s="37" t="str">
        <f>IF(ORCAMENTOS!G1990="","",ORCAMENTOS!G1990)</f>
        <v>Gabriel</v>
      </c>
      <c r="G1982" s="37" t="str">
        <f>IF(ORCAMENTOS!H1990="","",ORCAMENTOS!H1990)</f>
        <v>Eder</v>
      </c>
      <c r="H1982" s="39">
        <f>IF(ORCAMENTOS!I1990="","",ORCAMENTOS!I1990)</f>
        <v>61508.18</v>
      </c>
      <c r="I1982" s="60">
        <f>IF(ORCAMENTOS!J1990="","",ORCAMENTOS!J1990)</f>
        <v>0.04</v>
      </c>
      <c r="J1982" s="40" t="str">
        <f>IF(ORCAMENTOS!L1990="","",ORCAMENTOS!L1990)</f>
        <v>CANCELADO</v>
      </c>
      <c r="K1982" s="34" t="str">
        <f>IF(ORCAMENTOS!M1990="","",ORCAMENTOS!M1990)</f>
        <v>-</v>
      </c>
      <c r="L1982" t="str">
        <f>IF(ORCAMENTOS!R1990="","",ORCAMENTOS!R1990)</f>
        <v>-</v>
      </c>
    </row>
    <row r="1983" spans="1:12" ht="15.75" hidden="1" customHeight="1" x14ac:dyDescent="0.25">
      <c r="A1983" s="36">
        <f>IF(ORCAMENTOS!A1991="","",ORCAMENTOS!A1991)</f>
        <v>45973</v>
      </c>
      <c r="B1983" s="46">
        <f>IF(ORCAMENTOS!B1991="","",ORCAMENTOS!B1991)</f>
        <v>1981</v>
      </c>
      <c r="C1983" s="46" t="str">
        <f>IF(ORCAMENTOS!C1991="","",ORCAMENTOS!C1991)</f>
        <v>R2</v>
      </c>
      <c r="D1983" s="37" t="str">
        <f>IF(ORCAMENTOS!D1991="","",ORCAMENTOS!D1991)</f>
        <v>INOVECTOR</v>
      </c>
      <c r="E1983" s="38" t="str">
        <f>IF(ORCAMENTOS!E1991="","",ORCAMENTOS!E1991)</f>
        <v>CLÍNICA STEM_BRIGADEIRO</v>
      </c>
      <c r="F1983" s="37" t="str">
        <f>IF(ORCAMENTOS!G1991="","",ORCAMENTOS!G1991)</f>
        <v>Fernando</v>
      </c>
      <c r="G1983" s="37" t="str">
        <f>IF(ORCAMENTOS!H1991="","",ORCAMENTOS!H1991)</f>
        <v>Eliete</v>
      </c>
      <c r="H1983" s="39">
        <f>IF(ORCAMENTOS!I1991="","",ORCAMENTOS!I1991)</f>
        <v>14180.9</v>
      </c>
      <c r="I1983" s="60">
        <f>IF(ORCAMENTOS!J1991="","",ORCAMENTOS!J1991)</f>
        <v>0.03</v>
      </c>
      <c r="J1983" s="40" t="str">
        <f>IF(ORCAMENTOS!L1991="","",ORCAMENTOS!L1991)</f>
        <v>FECHADO</v>
      </c>
      <c r="K1983" s="34" t="str">
        <f>IF(ORCAMENTOS!M1991="","",ORCAMENTOS!M1991)</f>
        <v>-</v>
      </c>
      <c r="L1983" t="str">
        <f>IF(ORCAMENTOS!R1991="","",ORCAMENTOS!R1991)</f>
        <v>-</v>
      </c>
    </row>
    <row r="1984" spans="1:12" ht="15.75" hidden="1" customHeight="1" x14ac:dyDescent="0.25">
      <c r="A1984" s="36">
        <f>IF(ORCAMENTOS!A1992="","",ORCAMENTOS!A1992)</f>
        <v>45973</v>
      </c>
      <c r="B1984" s="46">
        <f>IF(ORCAMENTOS!B1992="","",ORCAMENTOS!B1992)</f>
        <v>1982</v>
      </c>
      <c r="C1984" s="46" t="str">
        <f>IF(ORCAMENTOS!C1992="","",ORCAMENTOS!C1992)</f>
        <v/>
      </c>
      <c r="D1984" s="37" t="str">
        <f>IF(ORCAMENTOS!D1992="","",ORCAMENTOS!D1992)</f>
        <v>WJ AR CONDICIONADO</v>
      </c>
      <c r="E1984" s="38" t="str">
        <f>IF(ORCAMENTOS!E1992="","",ORCAMENTOS!E1992)</f>
        <v>RESID. VINICIUS E ROSE GUIDI</v>
      </c>
      <c r="F1984" s="37" t="str">
        <f>IF(ORCAMENTOS!G1992="","",ORCAMENTOS!G1992)</f>
        <v xml:space="preserve">Aldavir </v>
      </c>
      <c r="G1984" s="37" t="str">
        <f>IF(ORCAMENTOS!H1992="","",ORCAMENTOS!H1992)</f>
        <v>-</v>
      </c>
      <c r="H1984" s="39">
        <f>IF(ORCAMENTOS!I1992="","",ORCAMENTOS!I1992)</f>
        <v>9576.1</v>
      </c>
      <c r="I1984" s="60" t="str">
        <f>IF(ORCAMENTOS!J1992="","",ORCAMENTOS!J1992)</f>
        <v>-</v>
      </c>
      <c r="J1984" s="40" t="str">
        <f>IF(ORCAMENTOS!L1992="","",ORCAMENTOS!L1992)</f>
        <v>FECHADO</v>
      </c>
      <c r="K1984" s="34" t="str">
        <f>IF(ORCAMENTOS!M1992="","",ORCAMENTOS!M1992)</f>
        <v>-</v>
      </c>
      <c r="L1984" t="str">
        <f>IF(ORCAMENTOS!R1992="","",ORCAMENTOS!R1992)</f>
        <v>-</v>
      </c>
    </row>
    <row r="1985" spans="1:12" ht="15.75" hidden="1" customHeight="1" x14ac:dyDescent="0.25">
      <c r="A1985" s="36">
        <f>IF(ORCAMENTOS!A1993="","",ORCAMENTOS!A1993)</f>
        <v>45972</v>
      </c>
      <c r="B1985" s="46">
        <f>IF(ORCAMENTOS!B1993="","",ORCAMENTOS!B1993)</f>
        <v>1983</v>
      </c>
      <c r="C1985" s="46" t="str">
        <f>IF(ORCAMENTOS!C1993="","",ORCAMENTOS!C1993)</f>
        <v/>
      </c>
      <c r="D1985" s="37" t="str">
        <f>IF(ORCAMENTOS!D1993="","",ORCAMENTOS!D1993)</f>
        <v>ARP ENGENHARIA</v>
      </c>
      <c r="E1985" s="38" t="str">
        <f>IF(ORCAMENTOS!E1993="","",ORCAMENTOS!E1993)</f>
        <v>-</v>
      </c>
      <c r="F1985" s="37" t="str">
        <f>IF(ORCAMENTOS!G1993="","",ORCAMENTOS!G1993)</f>
        <v>Fernando</v>
      </c>
      <c r="G1985" s="37" t="str">
        <f>IF(ORCAMENTOS!H1993="","",ORCAMENTOS!H1993)</f>
        <v/>
      </c>
      <c r="H1985" s="39">
        <f>IF(ORCAMENTOS!I1993="","",ORCAMENTOS!I1993)</f>
        <v>4815.8999999999996</v>
      </c>
      <c r="I1985" s="60">
        <f>IF(ORCAMENTOS!J1993="","",ORCAMENTOS!J1993)</f>
        <v>7.0000000000000007E-2</v>
      </c>
      <c r="J1985" s="40" t="str">
        <f>IF(ORCAMENTOS!L1993="","",ORCAMENTOS!L1993)</f>
        <v>CANCELADO</v>
      </c>
      <c r="K1985" s="34" t="str">
        <f>IF(ORCAMENTOS!M1993="","",ORCAMENTOS!M1993)</f>
        <v>-</v>
      </c>
      <c r="L1985" t="str">
        <f>IF(ORCAMENTOS!R1993="","",ORCAMENTOS!R1993)</f>
        <v>-</v>
      </c>
    </row>
    <row r="1986" spans="1:12" ht="15.75" hidden="1" customHeight="1" x14ac:dyDescent="0.25">
      <c r="A1986" s="36">
        <f>IF(ORCAMENTOS!A1994="","",ORCAMENTOS!A1994)</f>
        <v>45972</v>
      </c>
      <c r="B1986" s="46">
        <f>IF(ORCAMENTOS!B1994="","",ORCAMENTOS!B1994)</f>
        <v>1984</v>
      </c>
      <c r="C1986" s="46" t="str">
        <f>IF(ORCAMENTOS!C1994="","",ORCAMENTOS!C1994)</f>
        <v/>
      </c>
      <c r="D1986" s="37" t="str">
        <f>IF(ORCAMENTOS!D1994="","",ORCAMENTOS!D1994)</f>
        <v>NP CLIMATIZAÇÃO</v>
      </c>
      <c r="E1986" s="38" t="str">
        <f>IF(ORCAMENTOS!E1994="","",ORCAMENTOS!E1994)</f>
        <v>IGREJA</v>
      </c>
      <c r="F1986" s="37" t="str">
        <f>IF(ORCAMENTOS!G1994="","",ORCAMENTOS!G1994)</f>
        <v>Guilherme</v>
      </c>
      <c r="G1986" s="37" t="str">
        <f>IF(ORCAMENTOS!H1994="","",ORCAMENTOS!H1994)</f>
        <v>Maria</v>
      </c>
      <c r="H1986" s="39">
        <f>IF(ORCAMENTOS!I1994="","",ORCAMENTOS!I1994)</f>
        <v>6820</v>
      </c>
      <c r="I1986" s="60">
        <f>IF(ORCAMENTOS!J1994="","",ORCAMENTOS!J1994)</f>
        <v>0.04</v>
      </c>
      <c r="J1986" s="40" t="str">
        <f>IF(ORCAMENTOS!L1994="","",ORCAMENTOS!L1994)</f>
        <v>CANCELADO</v>
      </c>
      <c r="K1986" s="34" t="str">
        <f>IF(ORCAMENTOS!M1994="","",ORCAMENTOS!M1994)</f>
        <v>-</v>
      </c>
      <c r="L1986" t="str">
        <f>IF(ORCAMENTOS!R1994="","",ORCAMENTOS!R1994)</f>
        <v>N/E</v>
      </c>
    </row>
    <row r="1987" spans="1:12" ht="15.75" hidden="1" customHeight="1" x14ac:dyDescent="0.25">
      <c r="A1987" s="36">
        <f>IF(ORCAMENTOS!A1995="","",ORCAMENTOS!A1995)</f>
        <v>45972</v>
      </c>
      <c r="B1987" s="46">
        <f>IF(ORCAMENTOS!B1995="","",ORCAMENTOS!B1995)</f>
        <v>1985</v>
      </c>
      <c r="C1987" s="46" t="str">
        <f>IF(ORCAMENTOS!C1995="","",ORCAMENTOS!C1995)</f>
        <v/>
      </c>
      <c r="D1987" s="37" t="str">
        <f>IF(ORCAMENTOS!D1995="","",ORCAMENTOS!D1995)</f>
        <v>TECNOVENTI</v>
      </c>
      <c r="E1987" s="38" t="str">
        <f>IF(ORCAMENTOS!E1995="","",ORCAMENTOS!E1995)</f>
        <v>-</v>
      </c>
      <c r="F1987" s="37" t="str">
        <f>IF(ORCAMENTOS!G1995="","",ORCAMENTOS!G1995)</f>
        <v>Gabriel</v>
      </c>
      <c r="G1987" s="37" t="str">
        <f>IF(ORCAMENTOS!H1995="","",ORCAMENTOS!H1995)</f>
        <v>Nathan</v>
      </c>
      <c r="H1987" s="39">
        <f>IF(ORCAMENTOS!I1995="","",ORCAMENTOS!I1995)</f>
        <v>15930.65</v>
      </c>
      <c r="I1987" s="60">
        <f>IF(ORCAMENTOS!J1995="","",ORCAMENTOS!J1995)</f>
        <v>7.0000000000000007E-2</v>
      </c>
      <c r="J1987" s="40" t="str">
        <f>IF(ORCAMENTOS!L1995="","",ORCAMENTOS!L1995)</f>
        <v>FECHADO</v>
      </c>
      <c r="K1987" s="34" t="str">
        <f>IF(ORCAMENTOS!M1995="","",ORCAMENTOS!M1995)</f>
        <v>-</v>
      </c>
      <c r="L1987" t="str">
        <f>IF(ORCAMENTOS!R1995="","",ORCAMENTOS!R1995)</f>
        <v>-</v>
      </c>
    </row>
    <row r="1988" spans="1:12" ht="15.75" hidden="1" customHeight="1" x14ac:dyDescent="0.25">
      <c r="A1988" s="36">
        <f>IF(ORCAMENTOS!A1996="","",ORCAMENTOS!A1996)</f>
        <v>45972</v>
      </c>
      <c r="B1988" s="46">
        <f>IF(ORCAMENTOS!B1996="","",ORCAMENTOS!B1996)</f>
        <v>1986</v>
      </c>
      <c r="C1988" s="46" t="str">
        <f>IF(ORCAMENTOS!C1996="","",ORCAMENTOS!C1996)</f>
        <v/>
      </c>
      <c r="D1988" s="37" t="str">
        <f>IF(ORCAMENTOS!D1996="","",ORCAMENTOS!D1996)</f>
        <v>TECNOVENTI</v>
      </c>
      <c r="E1988" s="38" t="str">
        <f>IF(ORCAMENTOS!E1996="","",ORCAMENTOS!E1996)</f>
        <v>-</v>
      </c>
      <c r="F1988" s="37" t="str">
        <f>IF(ORCAMENTOS!G1996="","",ORCAMENTOS!G1996)</f>
        <v>Gabriel</v>
      </c>
      <c r="G1988" s="37" t="str">
        <f>IF(ORCAMENTOS!H1996="","",ORCAMENTOS!H1996)</f>
        <v>Nathan</v>
      </c>
      <c r="H1988" s="39">
        <f>IF(ORCAMENTOS!I1996="","",ORCAMENTOS!I1996)</f>
        <v>3264.74</v>
      </c>
      <c r="I1988" s="60">
        <f>IF(ORCAMENTOS!J1996="","",ORCAMENTOS!J1996)</f>
        <v>7.0000000000000007E-2</v>
      </c>
      <c r="J1988" s="40" t="str">
        <f>IF(ORCAMENTOS!L1996="","",ORCAMENTOS!L1996)</f>
        <v>FECHADO</v>
      </c>
      <c r="K1988" s="34" t="str">
        <f>IF(ORCAMENTOS!M1996="","",ORCAMENTOS!M1996)</f>
        <v>-</v>
      </c>
      <c r="L1988" t="str">
        <f>IF(ORCAMENTOS!R1996="","",ORCAMENTOS!R1996)</f>
        <v>-</v>
      </c>
    </row>
    <row r="1989" spans="1:12" ht="15.75" hidden="1" customHeight="1" x14ac:dyDescent="0.25">
      <c r="A1989" s="36">
        <f>IF(ORCAMENTOS!A1997="","",ORCAMENTOS!A1997)</f>
        <v>45972</v>
      </c>
      <c r="B1989" s="46">
        <f>IF(ORCAMENTOS!B1997="","",ORCAMENTOS!B1997)</f>
        <v>1987</v>
      </c>
      <c r="C1989" s="46" t="str">
        <f>IF(ORCAMENTOS!C1997="","",ORCAMENTOS!C1997)</f>
        <v/>
      </c>
      <c r="D1989" s="37" t="str">
        <f>IF(ORCAMENTOS!D1997="","",ORCAMENTOS!D1997)</f>
        <v>HVAC ENGENHARIA</v>
      </c>
      <c r="E1989" s="38" t="str">
        <f>IF(ORCAMENTOS!E1997="","",ORCAMENTOS!E1997)</f>
        <v>Obramax Aricanduva</v>
      </c>
      <c r="F1989" s="37" t="str">
        <f>IF(ORCAMENTOS!G1997="","",ORCAMENTOS!G1997)</f>
        <v>Michel</v>
      </c>
      <c r="G1989" s="37" t="str">
        <f>IF(ORCAMENTOS!H1997="","",ORCAMENTOS!H1997)</f>
        <v>Ederson</v>
      </c>
      <c r="H1989" s="39">
        <f>IF(ORCAMENTOS!I1997="","",ORCAMENTOS!I1997)</f>
        <v>138364.17000000001</v>
      </c>
      <c r="I1989" s="60">
        <f>IF(ORCAMENTOS!J1997="","",ORCAMENTOS!J1997)</f>
        <v>0.04</v>
      </c>
      <c r="J1989" s="40" t="str">
        <f>IF(ORCAMENTOS!L1997="","",ORCAMENTOS!L1997)</f>
        <v>FECHADO</v>
      </c>
      <c r="K1989" s="34" t="str">
        <f>IF(ORCAMENTOS!M1997="","",ORCAMENTOS!M1997)</f>
        <v>-</v>
      </c>
      <c r="L1989" t="str">
        <f>IF(ORCAMENTOS!R1997="","",ORCAMENTOS!R1997)</f>
        <v>-</v>
      </c>
    </row>
    <row r="1990" spans="1:12" ht="15.75" hidden="1" customHeight="1" x14ac:dyDescent="0.25">
      <c r="A1990" s="36">
        <f>IF(ORCAMENTOS!A1998="","",ORCAMENTOS!A1998)</f>
        <v>45973</v>
      </c>
      <c r="B1990" s="46">
        <f>IF(ORCAMENTOS!B1998="","",ORCAMENTOS!B1998)</f>
        <v>1988</v>
      </c>
      <c r="C1990" s="46" t="str">
        <f>IF(ORCAMENTOS!C1998="","",ORCAMENTOS!C1998)</f>
        <v>R1</v>
      </c>
      <c r="D1990" s="37" t="str">
        <f>IF(ORCAMENTOS!D1998="","",ORCAMENTOS!D1998)</f>
        <v>ARPOL ENGENHARIA</v>
      </c>
      <c r="E1990" s="38" t="str">
        <f>IF(ORCAMENTOS!E1998="","",ORCAMENTOS!E1998)</f>
        <v>-</v>
      </c>
      <c r="F1990" s="37" t="str">
        <f>IF(ORCAMENTOS!G1998="","",ORCAMENTOS!G1998)</f>
        <v>Michel</v>
      </c>
      <c r="G1990" s="37" t="str">
        <f>IF(ORCAMENTOS!H1998="","",ORCAMENTOS!H1998)</f>
        <v>Arnaldo</v>
      </c>
      <c r="H1990" s="39">
        <f>IF(ORCAMENTOS!I1998="","",ORCAMENTOS!I1998)</f>
        <v>5572.54</v>
      </c>
      <c r="I1990" s="60">
        <f>IF(ORCAMENTOS!J1998="","",ORCAMENTOS!J1998)</f>
        <v>7.0000000000000007E-2</v>
      </c>
      <c r="J1990" s="40" t="str">
        <f>IF(ORCAMENTOS!L1998="","",ORCAMENTOS!L1998)</f>
        <v>FECHADO</v>
      </c>
      <c r="K1990" s="34" t="str">
        <f>IF(ORCAMENTOS!M1998="","",ORCAMENTOS!M1998)</f>
        <v>-</v>
      </c>
      <c r="L1990" t="str">
        <f>IF(ORCAMENTOS!R1998="","",ORCAMENTOS!R1998)</f>
        <v>-</v>
      </c>
    </row>
    <row r="1991" spans="1:12" ht="15.75" hidden="1" customHeight="1" x14ac:dyDescent="0.25">
      <c r="A1991" s="36">
        <f>IF(ORCAMENTOS!A1999="","",ORCAMENTOS!A1999)</f>
        <v>45972</v>
      </c>
      <c r="B1991" s="46">
        <f>IF(ORCAMENTOS!B1999="","",ORCAMENTOS!B1999)</f>
        <v>1989</v>
      </c>
      <c r="C1991" s="46" t="str">
        <f>IF(ORCAMENTOS!C1999="","",ORCAMENTOS!C1999)</f>
        <v/>
      </c>
      <c r="D1991" s="37" t="str">
        <f>IF(ORCAMENTOS!D1999="","",ORCAMENTOS!D1999)</f>
        <v>ISOTEMP</v>
      </c>
      <c r="E1991" s="38" t="str">
        <f>IF(ORCAMENTOS!E1999="","",ORCAMENTOS!E1999)</f>
        <v>DAVITA GUARULHOS - SP</v>
      </c>
      <c r="F1991" s="37" t="str">
        <f>IF(ORCAMENTOS!G1999="","",ORCAMENTOS!G1999)</f>
        <v>Michel</v>
      </c>
      <c r="G1991" s="37" t="str">
        <f>IF(ORCAMENTOS!H1999="","",ORCAMENTOS!H1999)</f>
        <v>Caique</v>
      </c>
      <c r="H1991" s="39">
        <f>IF(ORCAMENTOS!I1999="","",ORCAMENTOS!I1999)</f>
        <v>65130.5</v>
      </c>
      <c r="I1991" s="60">
        <f>IF(ORCAMENTOS!J1999="","",ORCAMENTOS!J1999)</f>
        <v>7.0000000000000007E-2</v>
      </c>
      <c r="J1991" s="40" t="str">
        <f>IF(ORCAMENTOS!L1999="","",ORCAMENTOS!L1999)</f>
        <v>ORCAMENTO</v>
      </c>
      <c r="K1991" s="34" t="str">
        <f>IF(ORCAMENTOS!M1999="","",ORCAMENTOS!M1999)</f>
        <v>-</v>
      </c>
      <c r="L1991" t="str">
        <f>IF(ORCAMENTOS!R1999="","",ORCAMENTOS!R1999)</f>
        <v>MPU</v>
      </c>
    </row>
    <row r="1992" spans="1:12" ht="15.75" hidden="1" customHeight="1" x14ac:dyDescent="0.25">
      <c r="A1992" s="36">
        <f>IF(ORCAMENTOS!A2000="","",ORCAMENTOS!A2000)</f>
        <v>45972</v>
      </c>
      <c r="B1992" s="46">
        <f>IF(ORCAMENTOS!B2000="","",ORCAMENTOS!B2000)</f>
        <v>1990</v>
      </c>
      <c r="C1992" s="46" t="str">
        <f>IF(ORCAMENTOS!C2000="","",ORCAMENTOS!C2000)</f>
        <v/>
      </c>
      <c r="D1992" s="37" t="str">
        <f>IF(ORCAMENTOS!D2000="","",ORCAMENTOS!D2000)</f>
        <v>AWA AR CONDICIONADO</v>
      </c>
      <c r="E1992" s="38" t="str">
        <f>IF(ORCAMENTOS!E2000="","",ORCAMENTOS!E2000)</f>
        <v>OBRAMAX UBERLÂNDIA</v>
      </c>
      <c r="F1992" s="37" t="str">
        <f>IF(ORCAMENTOS!G2000="","",ORCAMENTOS!G2000)</f>
        <v>Guilherme</v>
      </c>
      <c r="G1992" s="37" t="str">
        <f>IF(ORCAMENTOS!H2000="","",ORCAMENTOS!H2000)</f>
        <v>Isabela</v>
      </c>
      <c r="H1992" s="39">
        <f>IF(ORCAMENTOS!I2000="","",ORCAMENTOS!I2000)</f>
        <v>7236.59</v>
      </c>
      <c r="I1992" s="60">
        <f>IF(ORCAMENTOS!J2000="","",ORCAMENTOS!J2000)</f>
        <v>7.0000000000000007E-2</v>
      </c>
      <c r="J1992" s="40" t="str">
        <f>IF(ORCAMENTOS!L2000="","",ORCAMENTOS!L2000)</f>
        <v>CANCELADO</v>
      </c>
      <c r="K1992" s="34" t="str">
        <f>IF(ORCAMENTOS!M2000="","",ORCAMENTOS!M2000)</f>
        <v>-</v>
      </c>
      <c r="L1992" t="str">
        <f>IF(ORCAMENTOS!R2000="","",ORCAMENTOS!R2000)</f>
        <v>-</v>
      </c>
    </row>
    <row r="1993" spans="1:12" ht="15.75" hidden="1" customHeight="1" x14ac:dyDescent="0.25">
      <c r="A1993" s="36">
        <f>IF(ORCAMENTOS!A2001="","",ORCAMENTOS!A2001)</f>
        <v>45972</v>
      </c>
      <c r="B1993" s="46">
        <f>IF(ORCAMENTOS!B2001="","",ORCAMENTOS!B2001)</f>
        <v>1991</v>
      </c>
      <c r="C1993" s="46" t="str">
        <f>IF(ORCAMENTOS!C2001="","",ORCAMENTOS!C2001)</f>
        <v/>
      </c>
      <c r="D1993" s="37" t="str">
        <f>IF(ORCAMENTOS!D2001="","",ORCAMENTOS!D2001)</f>
        <v>A2 SERVICOS</v>
      </c>
      <c r="E1993" s="38" t="str">
        <f>IF(ORCAMENTOS!E2001="","",ORCAMENTOS!E2001)</f>
        <v>-</v>
      </c>
      <c r="F1993" s="37" t="str">
        <f>IF(ORCAMENTOS!G2001="","",ORCAMENTOS!G2001)</f>
        <v>Gabriel</v>
      </c>
      <c r="G1993" s="37" t="str">
        <f>IF(ORCAMENTOS!H2001="","",ORCAMENTOS!H2001)</f>
        <v>Ronilson</v>
      </c>
      <c r="H1993" s="39">
        <f>IF(ORCAMENTOS!I2001="","",ORCAMENTOS!I2001)</f>
        <v>42662.44</v>
      </c>
      <c r="I1993" s="60">
        <f>IF(ORCAMENTOS!J2001="","",ORCAMENTOS!J2001)</f>
        <v>0.05</v>
      </c>
      <c r="J1993" s="40" t="str">
        <f>IF(ORCAMENTOS!L2001="","",ORCAMENTOS!L2001)</f>
        <v>CANCELADO</v>
      </c>
      <c r="K1993" s="34" t="str">
        <f>IF(ORCAMENTOS!M2001="","",ORCAMENTOS!M2001)</f>
        <v>-</v>
      </c>
      <c r="L1993" t="str">
        <f>IF(ORCAMENTOS!R2001="","",ORCAMENTOS!R2001)</f>
        <v>-</v>
      </c>
    </row>
    <row r="1994" spans="1:12" ht="15.75" hidden="1" customHeight="1" x14ac:dyDescent="0.25">
      <c r="A1994" s="36">
        <f>IF(ORCAMENTOS!A2002="","",ORCAMENTOS!A2002)</f>
        <v>45972</v>
      </c>
      <c r="B1994" s="46">
        <f>IF(ORCAMENTOS!B2002="","",ORCAMENTOS!B2002)</f>
        <v>1992</v>
      </c>
      <c r="C1994" s="46" t="str">
        <f>IF(ORCAMENTOS!C2002="","",ORCAMENTOS!C2002)</f>
        <v/>
      </c>
      <c r="D1994" s="37" t="str">
        <f>IF(ORCAMENTOS!D2002="","",ORCAMENTOS!D2002)</f>
        <v>FRIOSHOPPING</v>
      </c>
      <c r="E1994" s="38" t="str">
        <f>IF(ORCAMENTOS!E2002="","",ORCAMENTOS!E2002)</f>
        <v>-</v>
      </c>
      <c r="F1994" s="37" t="str">
        <f>IF(ORCAMENTOS!G2002="","",ORCAMENTOS!G2002)</f>
        <v>Emanuel</v>
      </c>
      <c r="G1994" s="37" t="str">
        <f>IF(ORCAMENTOS!H2002="","",ORCAMENTOS!H2002)</f>
        <v>Odair</v>
      </c>
      <c r="H1994" s="39">
        <f>IF(ORCAMENTOS!I2002="","",ORCAMENTOS!I2002)</f>
        <v>10078.49</v>
      </c>
      <c r="I1994" s="60">
        <f>IF(ORCAMENTOS!J2002="","",ORCAMENTOS!J2002)</f>
        <v>0.04</v>
      </c>
      <c r="J1994" s="40" t="str">
        <f>IF(ORCAMENTOS!L2002="","",ORCAMENTOS!L2002)</f>
        <v>CANCELADO</v>
      </c>
      <c r="K1994" s="34" t="str">
        <f>IF(ORCAMENTOS!M2002="","",ORCAMENTOS!M2002)</f>
        <v>-</v>
      </c>
      <c r="L1994" t="str">
        <f>IF(ORCAMENTOS!R2002="","",ORCAMENTOS!R2002)</f>
        <v>-</v>
      </c>
    </row>
    <row r="1995" spans="1:12" ht="15.75" hidden="1" customHeight="1" x14ac:dyDescent="0.25">
      <c r="A1995" s="36">
        <f>IF(ORCAMENTOS!A2003="","",ORCAMENTOS!A2003)</f>
        <v>45973</v>
      </c>
      <c r="B1995" s="46">
        <f>IF(ORCAMENTOS!B2003="","",ORCAMENTOS!B2003)</f>
        <v>1993</v>
      </c>
      <c r="C1995" s="46" t="str">
        <f>IF(ORCAMENTOS!C2003="","",ORCAMENTOS!C2003)</f>
        <v>R1</v>
      </c>
      <c r="D1995" s="37" t="str">
        <f>IF(ORCAMENTOS!D2003="","",ORCAMENTOS!D2003)</f>
        <v>RECLIMA</v>
      </c>
      <c r="E1995" s="38" t="str">
        <f>IF(ORCAMENTOS!E2003="","",ORCAMENTOS!E2003)</f>
        <v>-</v>
      </c>
      <c r="F1995" s="37" t="str">
        <f>IF(ORCAMENTOS!G2003="","",ORCAMENTOS!G2003)</f>
        <v>Michel</v>
      </c>
      <c r="G1995" s="37" t="str">
        <f>IF(ORCAMENTOS!H2003="","",ORCAMENTOS!H2003)</f>
        <v>Renata</v>
      </c>
      <c r="H1995" s="39">
        <f>IF(ORCAMENTOS!I2003="","",ORCAMENTOS!I2003)</f>
        <v>16747.77</v>
      </c>
      <c r="I1995" s="60">
        <f>IF(ORCAMENTOS!J2003="","",ORCAMENTOS!J2003)</f>
        <v>0.05</v>
      </c>
      <c r="J1995" s="40" t="str">
        <f>IF(ORCAMENTOS!L2003="","",ORCAMENTOS!L2003)</f>
        <v>FECHADO</v>
      </c>
      <c r="K1995" s="34" t="str">
        <f>IF(ORCAMENTOS!M2003="","",ORCAMENTOS!M2003)</f>
        <v>-</v>
      </c>
      <c r="L1995" t="str">
        <f>IF(ORCAMENTOS!R2003="","",ORCAMENTOS!R2003)</f>
        <v>-</v>
      </c>
    </row>
    <row r="1996" spans="1:12" ht="15.75" hidden="1" customHeight="1" x14ac:dyDescent="0.25">
      <c r="A1996" s="36">
        <f>IF(ORCAMENTOS!A2004="","",ORCAMENTOS!A2004)</f>
        <v>45973</v>
      </c>
      <c r="B1996" s="46">
        <f>IF(ORCAMENTOS!B2004="","",ORCAMENTOS!B2004)</f>
        <v>1994</v>
      </c>
      <c r="C1996" s="46" t="str">
        <f>IF(ORCAMENTOS!C2004="","",ORCAMENTOS!C2004)</f>
        <v/>
      </c>
      <c r="D1996" s="37" t="str">
        <f>IF(ORCAMENTOS!D2004="","",ORCAMENTOS!D2004)</f>
        <v>POWER FIELD</v>
      </c>
      <c r="E1996" s="38" t="str">
        <f>IF(ORCAMENTOS!E2004="","",ORCAMENTOS!E2004)</f>
        <v>-</v>
      </c>
      <c r="F1996" s="37" t="str">
        <f>IF(ORCAMENTOS!G2004="","",ORCAMENTOS!G2004)</f>
        <v>Gabriel</v>
      </c>
      <c r="G1996" s="37" t="str">
        <f>IF(ORCAMENTOS!H2004="","",ORCAMENTOS!H2004)</f>
        <v>Bruno</v>
      </c>
      <c r="H1996" s="39">
        <f>IF(ORCAMENTOS!I2004="","",ORCAMENTOS!I2004)</f>
        <v>3424.03</v>
      </c>
      <c r="I1996" s="60">
        <f>IF(ORCAMENTOS!J2004="","",ORCAMENTOS!J2004)</f>
        <v>7.0000000000000007E-2</v>
      </c>
      <c r="J1996" s="40" t="str">
        <f>IF(ORCAMENTOS!L2004="","",ORCAMENTOS!L2004)</f>
        <v>CANCELADO</v>
      </c>
      <c r="K1996" s="34" t="str">
        <f>IF(ORCAMENTOS!M2004="","",ORCAMENTOS!M2004)</f>
        <v>-</v>
      </c>
      <c r="L1996" t="str">
        <f>IF(ORCAMENTOS!R2004="","",ORCAMENTOS!R2004)</f>
        <v/>
      </c>
    </row>
    <row r="1997" spans="1:12" ht="15.75" hidden="1" customHeight="1" x14ac:dyDescent="0.25">
      <c r="A1997" s="36">
        <f>IF(ORCAMENTOS!A2005="","",ORCAMENTOS!A2005)</f>
        <v>45973</v>
      </c>
      <c r="B1997" s="46">
        <f>IF(ORCAMENTOS!B2005="","",ORCAMENTOS!B2005)</f>
        <v>1995</v>
      </c>
      <c r="C1997" s="46" t="str">
        <f>IF(ORCAMENTOS!C2005="","",ORCAMENTOS!C2005)</f>
        <v/>
      </c>
      <c r="D1997" s="37" t="str">
        <f>IF(ORCAMENTOS!D2005="","",ORCAMENTOS!D2005)</f>
        <v>NOSSO AR</v>
      </c>
      <c r="E1997" s="38" t="str">
        <f>IF(ORCAMENTOS!E2005="","",ORCAMENTOS!E2005)</f>
        <v>PAGUE MENOS - CD PARAIBA</v>
      </c>
      <c r="F1997" s="37" t="str">
        <f>IF(ORCAMENTOS!G2005="","",ORCAMENTOS!G2005)</f>
        <v>Gabriel</v>
      </c>
      <c r="G1997" s="37" t="str">
        <f>IF(ORCAMENTOS!H2005="","",ORCAMENTOS!H2005)</f>
        <v>Yasmin</v>
      </c>
      <c r="H1997" s="39">
        <f>IF(ORCAMENTOS!I2005="","",ORCAMENTOS!I2005)</f>
        <v>141871.03</v>
      </c>
      <c r="I1997" s="60">
        <f>IF(ORCAMENTOS!J2005="","",ORCAMENTOS!J2005)</f>
        <v>0.03</v>
      </c>
      <c r="J1997" s="40" t="str">
        <f>IF(ORCAMENTOS!L2005="","",ORCAMENTOS!L2005)</f>
        <v>FECHADO</v>
      </c>
      <c r="K1997" s="34" t="str">
        <f>IF(ORCAMENTOS!M2005="","",ORCAMENTOS!M2005)</f>
        <v>-</v>
      </c>
      <c r="L1997" t="str">
        <f>IF(ORCAMENTOS!R2005="","",ORCAMENTOS!R2005)</f>
        <v>-</v>
      </c>
    </row>
    <row r="1998" spans="1:12" ht="15.75" hidden="1" customHeight="1" x14ac:dyDescent="0.25">
      <c r="A1998" s="36">
        <f>IF(ORCAMENTOS!A2006="","",ORCAMENTOS!A2006)</f>
        <v>45973</v>
      </c>
      <c r="B1998" s="46">
        <f>IF(ORCAMENTOS!B2006="","",ORCAMENTOS!B2006)</f>
        <v>1996</v>
      </c>
      <c r="C1998" s="46" t="str">
        <f>IF(ORCAMENTOS!C2006="","",ORCAMENTOS!C2006)</f>
        <v/>
      </c>
      <c r="D1998" s="37" t="str">
        <f>IF(ORCAMENTOS!D2006="","",ORCAMENTOS!D2006)</f>
        <v>ADRIATIC</v>
      </c>
      <c r="E1998" s="38" t="str">
        <f>IF(ORCAMENTOS!E2006="","",ORCAMENTOS!E2006)</f>
        <v>C&amp;A BLK - SHOPPING NEUMARKT BLUMENAU - SC</v>
      </c>
      <c r="F1998" s="37" t="str">
        <f>IF(ORCAMENTOS!G2006="","",ORCAMENTOS!G2006)</f>
        <v>Emanuel</v>
      </c>
      <c r="G1998" s="37" t="str">
        <f>IF(ORCAMENTOS!H2006="","",ORCAMENTOS!H2006)</f>
        <v>Carlos</v>
      </c>
      <c r="H1998" s="39">
        <f>IF(ORCAMENTOS!I2006="","",ORCAMENTOS!I2006)</f>
        <v>99056.51</v>
      </c>
      <c r="I1998" s="60">
        <f>IF(ORCAMENTOS!J2006="","",ORCAMENTOS!J2006)</f>
        <v>7.0000000000000007E-2</v>
      </c>
      <c r="J1998" s="40" t="str">
        <f>IF(ORCAMENTOS!L2006="","",ORCAMENTOS!L2006)</f>
        <v>CANCELADO</v>
      </c>
      <c r="K1998" s="34" t="str">
        <f>IF(ORCAMENTOS!M2006="","",ORCAMENTOS!M2006)</f>
        <v>-</v>
      </c>
      <c r="L1998" t="str">
        <f>IF(ORCAMENTOS!R2006="","",ORCAMENTOS!R2006)</f>
        <v>MPU</v>
      </c>
    </row>
    <row r="1999" spans="1:12" ht="15.75" hidden="1" customHeight="1" x14ac:dyDescent="0.25">
      <c r="A1999" s="36">
        <f>IF(ORCAMENTOS!A2007="","",ORCAMENTOS!A2007)</f>
        <v>45973</v>
      </c>
      <c r="B1999" s="46">
        <f>IF(ORCAMENTOS!B2007="","",ORCAMENTOS!B2007)</f>
        <v>1997</v>
      </c>
      <c r="C1999" s="46" t="str">
        <f>IF(ORCAMENTOS!C2007="","",ORCAMENTOS!C2007)</f>
        <v>R1</v>
      </c>
      <c r="D1999" s="37" t="str">
        <f>IF(ORCAMENTOS!D2007="","",ORCAMENTOS!D2007)</f>
        <v>LUFTKLIMA</v>
      </c>
      <c r="E1999" s="38" t="str">
        <f>IF(ORCAMENTOS!E2007="","",ORCAMENTOS!E2007)</f>
        <v>SOFTYS</v>
      </c>
      <c r="F1999" s="37" t="str">
        <f>IF(ORCAMENTOS!G2007="","",ORCAMENTOS!G2007)</f>
        <v>Fernando</v>
      </c>
      <c r="G1999" s="37" t="str">
        <f>IF(ORCAMENTOS!H2007="","",ORCAMENTOS!H2007)</f>
        <v>Edna</v>
      </c>
      <c r="H1999" s="39">
        <f>IF(ORCAMENTOS!I2007="","",ORCAMENTOS!I2007)</f>
        <v>12936.92</v>
      </c>
      <c r="I1999" s="60">
        <f>IF(ORCAMENTOS!J2007="","",ORCAMENTOS!J2007)</f>
        <v>7.0000000000000007E-2</v>
      </c>
      <c r="J1999" s="40" t="str">
        <f>IF(ORCAMENTOS!L2007="","",ORCAMENTOS!L2007)</f>
        <v>CANCELADO</v>
      </c>
      <c r="K1999" s="34" t="str">
        <f>IF(ORCAMENTOS!M2007="","",ORCAMENTOS!M2007)</f>
        <v>-</v>
      </c>
      <c r="L1999" t="str">
        <f>IF(ORCAMENTOS!R2007="","",ORCAMENTOS!R2007)</f>
        <v>-</v>
      </c>
    </row>
    <row r="2000" spans="1:12" ht="15.75" hidden="1" customHeight="1" x14ac:dyDescent="0.25">
      <c r="A2000" s="36">
        <f>IF(ORCAMENTOS!A2008="","",ORCAMENTOS!A2008)</f>
        <v>45973</v>
      </c>
      <c r="B2000" s="46">
        <f>IF(ORCAMENTOS!B2008="","",ORCAMENTOS!B2008)</f>
        <v>1998</v>
      </c>
      <c r="C2000" s="46" t="str">
        <f>IF(ORCAMENTOS!C2008="","",ORCAMENTOS!C2008)</f>
        <v/>
      </c>
      <c r="D2000" s="37" t="str">
        <f>IF(ORCAMENTOS!D2008="","",ORCAMENTOS!D2008)</f>
        <v>AMS INSTALACOES</v>
      </c>
      <c r="E2000" s="38" t="str">
        <f>IF(ORCAMENTOS!E2008="","",ORCAMENTOS!E2008)</f>
        <v>ATACADAO - LOJA ARICANDUVA - TELHA NORTE - SP - OPCAO A</v>
      </c>
      <c r="F2000" s="37" t="str">
        <f>IF(ORCAMENTOS!G2008="","",ORCAMENTOS!G2008)</f>
        <v>Gabriel</v>
      </c>
      <c r="G2000" s="37" t="str">
        <f>IF(ORCAMENTOS!H2008="","",ORCAMENTOS!H2008)</f>
        <v>Albertino</v>
      </c>
      <c r="H2000" s="39">
        <f>IF(ORCAMENTOS!I2008="","",ORCAMENTOS!I2008)</f>
        <v>249840.37</v>
      </c>
      <c r="I2000" s="60">
        <f>IF(ORCAMENTOS!J2008="","",ORCAMENTOS!J2008)</f>
        <v>7.0000000000000007E-2</v>
      </c>
      <c r="J2000" s="40" t="str">
        <f>IF(ORCAMENTOS!L2008="","",ORCAMENTOS!L2008)</f>
        <v>CANCELADO</v>
      </c>
      <c r="K2000" s="34" t="str">
        <f>IF(ORCAMENTOS!M2008="","",ORCAMENTOS!M2008)</f>
        <v>-</v>
      </c>
      <c r="L2000" t="str">
        <f>IF(ORCAMENTOS!R2008="","",ORCAMENTOS!R2008)</f>
        <v>MPU</v>
      </c>
    </row>
    <row r="2001" spans="1:12" ht="15.75" hidden="1" customHeight="1" x14ac:dyDescent="0.25">
      <c r="A2001" s="36">
        <f>IF(ORCAMENTOS!A2009="","",ORCAMENTOS!A2009)</f>
        <v>45973</v>
      </c>
      <c r="B2001" s="46">
        <f>IF(ORCAMENTOS!B2009="","",ORCAMENTOS!B2009)</f>
        <v>1999</v>
      </c>
      <c r="C2001" s="46" t="str">
        <f>IF(ORCAMENTOS!C2009="","",ORCAMENTOS!C2009)</f>
        <v/>
      </c>
      <c r="D2001" s="37" t="str">
        <f>IF(ORCAMENTOS!D2009="","",ORCAMENTOS!D2009)</f>
        <v>AMS INSTALACOES</v>
      </c>
      <c r="E2001" s="38" t="str">
        <f>IF(ORCAMENTOS!E2009="","",ORCAMENTOS!E2009)</f>
        <v>ATACADAO - LOJA ARICANDUVA - TELHA NORTE - SP - OPCAO B</v>
      </c>
      <c r="F2001" s="37" t="str">
        <f>IF(ORCAMENTOS!G2009="","",ORCAMENTOS!G2009)</f>
        <v>Gabriel</v>
      </c>
      <c r="G2001" s="37" t="str">
        <f>IF(ORCAMENTOS!H2009="","",ORCAMENTOS!H2009)</f>
        <v>Albertino</v>
      </c>
      <c r="H2001" s="39">
        <f>IF(ORCAMENTOS!I2009="","",ORCAMENTOS!I2009)</f>
        <v>222086</v>
      </c>
      <c r="I2001" s="60">
        <f>IF(ORCAMENTOS!J2009="","",ORCAMENTOS!J2009)</f>
        <v>0.04</v>
      </c>
      <c r="J2001" s="40" t="str">
        <f>IF(ORCAMENTOS!L2009="","",ORCAMENTOS!L2009)</f>
        <v>CANCELADO</v>
      </c>
      <c r="K2001" s="34" t="str">
        <f>IF(ORCAMENTOS!M2009="","",ORCAMENTOS!M2009)</f>
        <v>-</v>
      </c>
      <c r="L2001" t="str">
        <f>IF(ORCAMENTOS!R2009="","",ORCAMENTOS!R2009)</f>
        <v>MPU</v>
      </c>
    </row>
    <row r="2002" spans="1:12" ht="15.75" hidden="1" customHeight="1" x14ac:dyDescent="0.25">
      <c r="A2002" s="36">
        <f>IF(ORCAMENTOS!A2010="","",ORCAMENTOS!A2010)</f>
        <v>45973</v>
      </c>
      <c r="B2002" s="46">
        <f>IF(ORCAMENTOS!B2010="","",ORCAMENTOS!B2010)</f>
        <v>2000</v>
      </c>
      <c r="C2002" s="46" t="str">
        <f>IF(ORCAMENTOS!C2010="","",ORCAMENTOS!C2010)</f>
        <v>R1</v>
      </c>
      <c r="D2002" s="37" t="str">
        <f>IF(ORCAMENTOS!D2010="","",ORCAMENTOS!D2010)</f>
        <v>LS AR CONDICIONADO</v>
      </c>
      <c r="E2002" s="38" t="str">
        <f>IF(ORCAMENTOS!E2010="","",ORCAMENTOS!E2010)</f>
        <v>PORTONAVE</v>
      </c>
      <c r="F2002" s="37" t="str">
        <f>IF(ORCAMENTOS!G2010="","",ORCAMENTOS!G2010)</f>
        <v>Fernando</v>
      </c>
      <c r="G2002" s="37" t="str">
        <f>IF(ORCAMENTOS!H2010="","",ORCAMENTOS!H2010)</f>
        <v>Leonardo</v>
      </c>
      <c r="H2002" s="39">
        <f>IF(ORCAMENTOS!I2010="","",ORCAMENTOS!I2010)</f>
        <v>68209.850000000006</v>
      </c>
      <c r="I2002" s="60">
        <f>IF(ORCAMENTOS!J2010="","",ORCAMENTOS!J2010)</f>
        <v>0.03</v>
      </c>
      <c r="J2002" s="40" t="str">
        <f>IF(ORCAMENTOS!L2010="","",ORCAMENTOS!L2010)</f>
        <v>FECHADO</v>
      </c>
      <c r="K2002" s="34" t="str">
        <f>IF(ORCAMENTOS!M2010="","",ORCAMENTOS!M2010)</f>
        <v>-</v>
      </c>
      <c r="L2002" t="str">
        <f>IF(ORCAMENTOS!R2010="","",ORCAMENTOS!R2010)</f>
        <v>-</v>
      </c>
    </row>
    <row r="2003" spans="1:12" ht="15.75" hidden="1" customHeight="1" x14ac:dyDescent="0.25">
      <c r="A2003" s="36">
        <f>IF(ORCAMENTOS!A2011="","",ORCAMENTOS!A2011)</f>
        <v>45973</v>
      </c>
      <c r="B2003" s="46">
        <f>IF(ORCAMENTOS!B2011="","",ORCAMENTOS!B2011)</f>
        <v>2001</v>
      </c>
      <c r="C2003" s="46" t="str">
        <f>IF(ORCAMENTOS!C2011="","",ORCAMENTOS!C2011)</f>
        <v/>
      </c>
      <c r="D2003" s="37" t="str">
        <f>IF(ORCAMENTOS!D2011="","",ORCAMENTOS!D2011)</f>
        <v>ECOTHERM</v>
      </c>
      <c r="E2003" s="38" t="str">
        <f>IF(ORCAMENTOS!E2011="","",ORCAMENTOS!E2011)</f>
        <v>HOSPITAL FRANCA</v>
      </c>
      <c r="F2003" s="37" t="str">
        <f>IF(ORCAMENTOS!G2011="","",ORCAMENTOS!G2011)</f>
        <v>Emanuel</v>
      </c>
      <c r="G2003" s="37" t="str">
        <f>IF(ORCAMENTOS!H2011="","",ORCAMENTOS!H2011)</f>
        <v>Selma</v>
      </c>
      <c r="H2003" s="39">
        <f>IF(ORCAMENTOS!I2011="","",ORCAMENTOS!I2011)</f>
        <v>2982</v>
      </c>
      <c r="I2003" s="60">
        <f>IF(ORCAMENTOS!J2011="","",ORCAMENTOS!J2011)</f>
        <v>7.0000000000000007E-2</v>
      </c>
      <c r="J2003" s="40" t="str">
        <f>IF(ORCAMENTOS!L2011="","",ORCAMENTOS!L2011)</f>
        <v>CANCELADO</v>
      </c>
      <c r="K2003" s="34" t="str">
        <f>IF(ORCAMENTOS!M2011="","",ORCAMENTOS!M2011)</f>
        <v>-</v>
      </c>
      <c r="L2003" t="str">
        <f>IF(ORCAMENTOS!R2011="","",ORCAMENTOS!R2011)</f>
        <v>-</v>
      </c>
    </row>
    <row r="2004" spans="1:12" ht="15.75" hidden="1" customHeight="1" x14ac:dyDescent="0.25">
      <c r="A2004" s="36">
        <f>IF(ORCAMENTOS!A2012="","",ORCAMENTOS!A2012)</f>
        <v>45973</v>
      </c>
      <c r="B2004" s="46">
        <f>IF(ORCAMENTOS!B2012="","",ORCAMENTOS!B2012)</f>
        <v>2002</v>
      </c>
      <c r="C2004" s="46" t="str">
        <f>IF(ORCAMENTOS!C2012="","",ORCAMENTOS!C2012)</f>
        <v/>
      </c>
      <c r="D2004" s="37" t="str">
        <f>IF(ORCAMENTOS!D2012="","",ORCAMENTOS!D2012)</f>
        <v>NP CLIMATIZAÇÃO</v>
      </c>
      <c r="E2004" s="38" t="str">
        <f>IF(ORCAMENTOS!E2012="","",ORCAMENTOS!E2012)</f>
        <v>ISABELA E MARIO</v>
      </c>
      <c r="F2004" s="37" t="str">
        <f>IF(ORCAMENTOS!G2012="","",ORCAMENTOS!G2012)</f>
        <v>Guilherme</v>
      </c>
      <c r="G2004" s="37" t="str">
        <f>IF(ORCAMENTOS!H2012="","",ORCAMENTOS!H2012)</f>
        <v>Maria</v>
      </c>
      <c r="H2004" s="39">
        <f>IF(ORCAMENTOS!I2012="","",ORCAMENTOS!I2012)</f>
        <v>15391.02</v>
      </c>
      <c r="I2004" s="60">
        <f>IF(ORCAMENTOS!J2012="","",ORCAMENTOS!J2012)</f>
        <v>7.0000000000000007E-2</v>
      </c>
      <c r="J2004" s="40" t="str">
        <f>IF(ORCAMENTOS!L2012="","",ORCAMENTOS!L2012)</f>
        <v>CANCELADO</v>
      </c>
      <c r="K2004" s="34" t="str">
        <f>IF(ORCAMENTOS!M2012="","",ORCAMENTOS!M2012)</f>
        <v>-</v>
      </c>
      <c r="L2004" t="str">
        <f>IF(ORCAMENTOS!R2012="","",ORCAMENTOS!R2012)</f>
        <v>-</v>
      </c>
    </row>
    <row r="2005" spans="1:12" ht="15.75" hidden="1" customHeight="1" x14ac:dyDescent="0.25">
      <c r="A2005" s="36">
        <f>IF(ORCAMENTOS!A2013="","",ORCAMENTOS!A2013)</f>
        <v>45973</v>
      </c>
      <c r="B2005" s="46">
        <f>IF(ORCAMENTOS!B2013="","",ORCAMENTOS!B2013)</f>
        <v>2003</v>
      </c>
      <c r="C2005" s="46" t="str">
        <f>IF(ORCAMENTOS!C2013="","",ORCAMENTOS!C2013)</f>
        <v/>
      </c>
      <c r="D2005" s="37" t="str">
        <f>IF(ORCAMENTOS!D2013="","",ORCAMENTOS!D2013)</f>
        <v>NP CLIMATIZAÇÃO</v>
      </c>
      <c r="E2005" s="38" t="str">
        <f>IF(ORCAMENTOS!E2013="","",ORCAMENTOS!E2013)</f>
        <v>LUIS HENRIQUE RODRIGUES SIQUEIRA</v>
      </c>
      <c r="F2005" s="37" t="str">
        <f>IF(ORCAMENTOS!G2013="","",ORCAMENTOS!G2013)</f>
        <v>Guilherme</v>
      </c>
      <c r="G2005" s="37" t="str">
        <f>IF(ORCAMENTOS!H2013="","",ORCAMENTOS!H2013)</f>
        <v>Maria</v>
      </c>
      <c r="H2005" s="39">
        <f>IF(ORCAMENTOS!I2013="","",ORCAMENTOS!I2013)</f>
        <v>10849.95</v>
      </c>
      <c r="I2005" s="60">
        <f>IF(ORCAMENTOS!J2013="","",ORCAMENTOS!J2013)</f>
        <v>7.0000000000000007E-2</v>
      </c>
      <c r="J2005" s="40" t="str">
        <f>IF(ORCAMENTOS!L2013="","",ORCAMENTOS!L2013)</f>
        <v>COMPRA</v>
      </c>
      <c r="K2005" s="34" t="str">
        <f>IF(ORCAMENTOS!M2013="","",ORCAMENTOS!M2013)</f>
        <v>AGUARDANDO PEDIDO</v>
      </c>
      <c r="L2005" t="str">
        <f>IF(ORCAMENTOS!R2013="","",ORCAMENTOS!R2013)</f>
        <v>-</v>
      </c>
    </row>
    <row r="2006" spans="1:12" ht="15.75" hidden="1" customHeight="1" x14ac:dyDescent="0.25">
      <c r="A2006" s="36">
        <f>IF(ORCAMENTOS!A2014="","",ORCAMENTOS!A2014)</f>
        <v>45973</v>
      </c>
      <c r="B2006" s="46">
        <f>IF(ORCAMENTOS!B2014="","",ORCAMENTOS!B2014)</f>
        <v>2004</v>
      </c>
      <c r="C2006" s="46" t="str">
        <f>IF(ORCAMENTOS!C2014="","",ORCAMENTOS!C2014)</f>
        <v/>
      </c>
      <c r="D2006" s="37" t="str">
        <f>IF(ORCAMENTOS!D2014="","",ORCAMENTOS!D2014)</f>
        <v>ENGEMAC</v>
      </c>
      <c r="E2006" s="38" t="str">
        <f>IF(ORCAMENTOS!E2014="","",ORCAMENTOS!E2014)</f>
        <v>Davita Guarulhos</v>
      </c>
      <c r="F2006" s="37" t="str">
        <f>IF(ORCAMENTOS!G2014="","",ORCAMENTOS!G2014)</f>
        <v>Fernando</v>
      </c>
      <c r="G2006" s="37" t="str">
        <f>IF(ORCAMENTOS!H2014="","",ORCAMENTOS!H2014)</f>
        <v>Rodrigo</v>
      </c>
      <c r="H2006" s="39">
        <f>IF(ORCAMENTOS!I2014="","",ORCAMENTOS!I2014)</f>
        <v>38565.56</v>
      </c>
      <c r="I2006" s="60">
        <f>IF(ORCAMENTOS!J2014="","",ORCAMENTOS!J2014)</f>
        <v>7.0000000000000007E-2</v>
      </c>
      <c r="J2006" s="40" t="str">
        <f>IF(ORCAMENTOS!L2014="","",ORCAMENTOS!L2014)</f>
        <v>CANCELADO</v>
      </c>
      <c r="K2006" s="34" t="str">
        <f>IF(ORCAMENTOS!M2014="","",ORCAMENTOS!M2014)</f>
        <v>-</v>
      </c>
      <c r="L2006" t="str">
        <f>IF(ORCAMENTOS!R2014="","",ORCAMENTOS!R2014)</f>
        <v>-</v>
      </c>
    </row>
    <row r="2007" spans="1:12" ht="15.75" hidden="1" customHeight="1" x14ac:dyDescent="0.25">
      <c r="A2007" s="36">
        <f>IF(ORCAMENTOS!A2015="","",ORCAMENTOS!A2015)</f>
        <v>45973</v>
      </c>
      <c r="B2007" s="46">
        <f>IF(ORCAMENTOS!B2015="","",ORCAMENTOS!B2015)</f>
        <v>2005</v>
      </c>
      <c r="C2007" s="46" t="str">
        <f>IF(ORCAMENTOS!C2015="","",ORCAMENTOS!C2015)</f>
        <v/>
      </c>
      <c r="D2007" s="37" t="str">
        <f>IF(ORCAMENTOS!D2015="","",ORCAMENTOS!D2015)</f>
        <v>AMS INSTALACOES</v>
      </c>
      <c r="E2007" s="38" t="str">
        <f>IF(ORCAMENTOS!E2015="","",ORCAMENTOS!E2015)</f>
        <v>COMPER CT AURORA</v>
      </c>
      <c r="F2007" s="37" t="str">
        <f>IF(ORCAMENTOS!G2015="","",ORCAMENTOS!G2015)</f>
        <v>Gabriel</v>
      </c>
      <c r="G2007" s="37" t="str">
        <f>IF(ORCAMENTOS!H2015="","",ORCAMENTOS!H2015)</f>
        <v>Albertino</v>
      </c>
      <c r="H2007" s="39">
        <f>IF(ORCAMENTOS!I2015="","",ORCAMENTOS!I2015)</f>
        <v>14329</v>
      </c>
      <c r="I2007" s="60">
        <f>IF(ORCAMENTOS!J2015="","",ORCAMENTOS!J2015)</f>
        <v>0.04</v>
      </c>
      <c r="J2007" s="40" t="str">
        <f>IF(ORCAMENTOS!L2015="","",ORCAMENTOS!L2015)</f>
        <v>FECHADO</v>
      </c>
      <c r="K2007" s="34" t="str">
        <f>IF(ORCAMENTOS!M2015="","",ORCAMENTOS!M2015)</f>
        <v>-</v>
      </c>
      <c r="L2007" t="str">
        <f>IF(ORCAMENTOS!R2015="","",ORCAMENTOS!R2015)</f>
        <v>-</v>
      </c>
    </row>
    <row r="2008" spans="1:12" ht="15.75" hidden="1" customHeight="1" x14ac:dyDescent="0.25">
      <c r="A2008" s="36">
        <f>IF(ORCAMENTOS!A2016="","",ORCAMENTOS!A2016)</f>
        <v>45973</v>
      </c>
      <c r="B2008" s="46">
        <f>IF(ORCAMENTOS!B2016="","",ORCAMENTOS!B2016)</f>
        <v>2006</v>
      </c>
      <c r="C2008" s="46" t="str">
        <f>IF(ORCAMENTOS!C2016="","",ORCAMENTOS!C2016)</f>
        <v/>
      </c>
      <c r="D2008" s="37" t="str">
        <f>IF(ORCAMENTOS!D2016="","",ORCAMENTOS!D2016)</f>
        <v>AMS INSTALACOES</v>
      </c>
      <c r="E2008" s="38" t="str">
        <f>IF(ORCAMENTOS!E2016="","",ORCAMENTOS!E2016)</f>
        <v>Atakarejo Aracaju</v>
      </c>
      <c r="F2008" s="37" t="str">
        <f>IF(ORCAMENTOS!G2016="","",ORCAMENTOS!G2016)</f>
        <v>Gabriel</v>
      </c>
      <c r="G2008" s="37" t="str">
        <f>IF(ORCAMENTOS!H2016="","",ORCAMENTOS!H2016)</f>
        <v>Albertino</v>
      </c>
      <c r="H2008" s="39">
        <f>IF(ORCAMENTOS!I2016="","",ORCAMENTOS!I2016)</f>
        <v>1169.9000000000001</v>
      </c>
      <c r="I2008" s="60">
        <f>IF(ORCAMENTOS!J2016="","",ORCAMENTOS!J2016)</f>
        <v>7.0000000000000007E-2</v>
      </c>
      <c r="J2008" s="40" t="str">
        <f>IF(ORCAMENTOS!L2016="","",ORCAMENTOS!L2016)</f>
        <v>FECHADO</v>
      </c>
      <c r="K2008" s="34" t="str">
        <f>IF(ORCAMENTOS!M2016="","",ORCAMENTOS!M2016)</f>
        <v>-</v>
      </c>
      <c r="L2008" t="str">
        <f>IF(ORCAMENTOS!R2016="","",ORCAMENTOS!R2016)</f>
        <v>-</v>
      </c>
    </row>
    <row r="2009" spans="1:12" ht="15.75" hidden="1" customHeight="1" x14ac:dyDescent="0.25">
      <c r="A2009" s="36">
        <f>IF(ORCAMENTOS!A2017="","",ORCAMENTOS!A2017)</f>
        <v>45675</v>
      </c>
      <c r="B2009" s="46">
        <f>IF(ORCAMENTOS!B2017="","",ORCAMENTOS!B2017)</f>
        <v>2007</v>
      </c>
      <c r="C2009" s="46" t="str">
        <f>IF(ORCAMENTOS!C2017="","",ORCAMENTOS!C2017)</f>
        <v>R2</v>
      </c>
      <c r="D2009" s="37" t="str">
        <f>IF(ORCAMENTOS!D2017="","",ORCAMENTOS!D2017)</f>
        <v>INOVECTOR</v>
      </c>
      <c r="E2009" s="38" t="str">
        <f>IF(ORCAMENTOS!E2017="","",ORCAMENTOS!E2017)</f>
        <v>H. ANÁLIA FRANCO</v>
      </c>
      <c r="F2009" s="37" t="str">
        <f>IF(ORCAMENTOS!G2017="","",ORCAMENTOS!G2017)</f>
        <v>Fernando</v>
      </c>
      <c r="G2009" s="37" t="str">
        <f>IF(ORCAMENTOS!H2017="","",ORCAMENTOS!H2017)</f>
        <v>Eliete</v>
      </c>
      <c r="H2009" s="39">
        <f>IF(ORCAMENTOS!I2017="","",ORCAMENTOS!I2017)</f>
        <v>10103.74</v>
      </c>
      <c r="I2009" s="60">
        <f>IF(ORCAMENTOS!J2017="","",ORCAMENTOS!J2017)</f>
        <v>0.03</v>
      </c>
      <c r="J2009" s="40" t="str">
        <f>IF(ORCAMENTOS!L2017="","",ORCAMENTOS!L2017)</f>
        <v>FECHADO</v>
      </c>
      <c r="K2009" s="34" t="str">
        <f>IF(ORCAMENTOS!M2017="","",ORCAMENTOS!M2017)</f>
        <v>-</v>
      </c>
      <c r="L2009" t="str">
        <f>IF(ORCAMENTOS!R2017="","",ORCAMENTOS!R2017)</f>
        <v>-</v>
      </c>
    </row>
    <row r="2010" spans="1:12" ht="15.75" hidden="1" customHeight="1" x14ac:dyDescent="0.25">
      <c r="A2010" s="36">
        <f>IF(ORCAMENTOS!A2018="","",ORCAMENTOS!A2018)</f>
        <v>45974</v>
      </c>
      <c r="B2010" s="46">
        <f>IF(ORCAMENTOS!B2018="","",ORCAMENTOS!B2018)</f>
        <v>2008</v>
      </c>
      <c r="C2010" s="46" t="str">
        <f>IF(ORCAMENTOS!C2018="","",ORCAMENTOS!C2018)</f>
        <v/>
      </c>
      <c r="D2010" s="37" t="str">
        <f>IF(ORCAMENTOS!D2018="","",ORCAMENTOS!D2018)</f>
        <v>AR SISTEMAS</v>
      </c>
      <c r="E2010" s="38" t="str">
        <f>IF(ORCAMENTOS!E2018="","",ORCAMENTOS!E2018)</f>
        <v>ATACADAO - TAMAIOS SANTO ANDRE CAPUAVA - SP</v>
      </c>
      <c r="F2010" s="37" t="str">
        <f>IF(ORCAMENTOS!G2018="","",ORCAMENTOS!G2018)</f>
        <v>Michel</v>
      </c>
      <c r="G2010" s="37" t="str">
        <f>IF(ORCAMENTOS!H2018="","",ORCAMENTOS!H2018)</f>
        <v>Liliam</v>
      </c>
      <c r="H2010" s="39">
        <f>IF(ORCAMENTOS!I2018="","",ORCAMENTOS!I2018)</f>
        <v>357764.17</v>
      </c>
      <c r="I2010" s="60">
        <f>IF(ORCAMENTOS!J2018="","",ORCAMENTOS!J2018)</f>
        <v>7.0000000000000007E-2</v>
      </c>
      <c r="J2010" s="40" t="str">
        <f>IF(ORCAMENTOS!L2018="","",ORCAMENTOS!L2018)</f>
        <v>CANCELADO</v>
      </c>
      <c r="K2010" s="34" t="str">
        <f>IF(ORCAMENTOS!M2018="","",ORCAMENTOS!M2018)</f>
        <v>-</v>
      </c>
      <c r="L2010" t="str">
        <f>IF(ORCAMENTOS!R2018="","",ORCAMENTOS!R2018)</f>
        <v>MPU</v>
      </c>
    </row>
    <row r="2011" spans="1:12" ht="15.75" hidden="1" customHeight="1" x14ac:dyDescent="0.25">
      <c r="A2011" s="36">
        <f>IF(ORCAMENTOS!A2019="","",ORCAMENTOS!A2019)</f>
        <v>45974</v>
      </c>
      <c r="B2011" s="46">
        <f>IF(ORCAMENTOS!B2019="","",ORCAMENTOS!B2019)</f>
        <v>2009</v>
      </c>
      <c r="C2011" s="46" t="str">
        <f>IF(ORCAMENTOS!C2019="","",ORCAMENTOS!C2019)</f>
        <v/>
      </c>
      <c r="D2011" s="37" t="str">
        <f>IF(ORCAMENTOS!D2019="","",ORCAMENTOS!D2019)</f>
        <v>SATURNO AR</v>
      </c>
      <c r="E2011" s="38" t="str">
        <f>IF(ORCAMENTOS!E2019="","",ORCAMENTOS!E2019)</f>
        <v>-</v>
      </c>
      <c r="F2011" s="37" t="str">
        <f>IF(ORCAMENTOS!G2019="","",ORCAMENTOS!G2019)</f>
        <v>Gabriel</v>
      </c>
      <c r="G2011" s="37" t="str">
        <f>IF(ORCAMENTOS!H2019="","",ORCAMENTOS!H2019)</f>
        <v>Sidinei</v>
      </c>
      <c r="H2011" s="39">
        <f>IF(ORCAMENTOS!I2019="","",ORCAMENTOS!I2019)</f>
        <v>6325.92</v>
      </c>
      <c r="I2011" s="60">
        <f>IF(ORCAMENTOS!J2019="","",ORCAMENTOS!J2019)</f>
        <v>0.04</v>
      </c>
      <c r="J2011" s="40" t="str">
        <f>IF(ORCAMENTOS!L2019="","",ORCAMENTOS!L2019)</f>
        <v>CANCELADO</v>
      </c>
      <c r="K2011" s="34" t="str">
        <f>IF(ORCAMENTOS!M2019="","",ORCAMENTOS!M2019)</f>
        <v>-</v>
      </c>
      <c r="L2011" t="str">
        <f>IF(ORCAMENTOS!R2019="","",ORCAMENTOS!R2019)</f>
        <v>-</v>
      </c>
    </row>
    <row r="2012" spans="1:12" ht="15.75" hidden="1" customHeight="1" x14ac:dyDescent="0.25">
      <c r="A2012" s="36">
        <f>IF(ORCAMENTOS!A2020="","",ORCAMENTOS!A2020)</f>
        <v>45978</v>
      </c>
      <c r="B2012" s="46">
        <f>IF(ORCAMENTOS!B2020="","",ORCAMENTOS!B2020)</f>
        <v>2010</v>
      </c>
      <c r="C2012" s="46" t="str">
        <f>IF(ORCAMENTOS!C2020="","",ORCAMENTOS!C2020)</f>
        <v/>
      </c>
      <c r="D2012" s="37" t="str">
        <f>IF(ORCAMENTOS!D2020="","",ORCAMENTOS!D2020)</f>
        <v>INOVECTOR</v>
      </c>
      <c r="E2012" s="38" t="str">
        <f>IF(ORCAMENTOS!E2020="","",ORCAMENTOS!E2020)</f>
        <v>SUL AMERICA SERVICOS DE SAUDE S.A.</v>
      </c>
      <c r="F2012" s="37" t="str">
        <f>IF(ORCAMENTOS!G2020="","",ORCAMENTOS!G2020)</f>
        <v>Fernando</v>
      </c>
      <c r="G2012" s="37" t="str">
        <f>IF(ORCAMENTOS!H2020="","",ORCAMENTOS!H2020)</f>
        <v>Cristina</v>
      </c>
      <c r="H2012" s="39">
        <f>IF(ORCAMENTOS!I2020="","",ORCAMENTOS!I2020)</f>
        <v>47849.38</v>
      </c>
      <c r="I2012" s="60">
        <f>IF(ORCAMENTOS!J2020="","",ORCAMENTOS!J2020)</f>
        <v>0.03</v>
      </c>
      <c r="J2012" s="40" t="str">
        <f>IF(ORCAMENTOS!L2020="","",ORCAMENTOS!L2020)</f>
        <v>FECHADO</v>
      </c>
      <c r="K2012" s="34" t="str">
        <f>IF(ORCAMENTOS!M2020="","",ORCAMENTOS!M2020)</f>
        <v>-</v>
      </c>
      <c r="L2012" t="str">
        <f>IF(ORCAMENTOS!R2020="","",ORCAMENTOS!R2020)</f>
        <v>-</v>
      </c>
    </row>
    <row r="2013" spans="1:12" ht="15.75" hidden="1" customHeight="1" x14ac:dyDescent="0.25">
      <c r="A2013" s="36">
        <f>IF(ORCAMENTOS!A2021="","",ORCAMENTOS!A2021)</f>
        <v>45974</v>
      </c>
      <c r="B2013" s="46">
        <f>IF(ORCAMENTOS!B2021="","",ORCAMENTOS!B2021)</f>
        <v>2011</v>
      </c>
      <c r="C2013" s="46" t="str">
        <f>IF(ORCAMENTOS!C2021="","",ORCAMENTOS!C2021)</f>
        <v>R1</v>
      </c>
      <c r="D2013" s="37" t="str">
        <f>IF(ORCAMENTOS!D2021="","",ORCAMENTOS!D2021)</f>
        <v>AIR GREEN</v>
      </c>
      <c r="E2013" s="38" t="str">
        <f>IF(ORCAMENTOS!E2021="","",ORCAMENTOS!E2021)</f>
        <v>São João da Boa Vista</v>
      </c>
      <c r="F2013" s="37" t="str">
        <f>IF(ORCAMENTOS!G2021="","",ORCAMENTOS!G2021)</f>
        <v>Fernando</v>
      </c>
      <c r="G2013" s="37" t="str">
        <f>IF(ORCAMENTOS!H2021="","",ORCAMENTOS!H2021)</f>
        <v>Renata</v>
      </c>
      <c r="H2013" s="39">
        <f>IF(ORCAMENTOS!I2021="","",ORCAMENTOS!I2021)</f>
        <v>26897.919999999998</v>
      </c>
      <c r="I2013" s="60">
        <f>IF(ORCAMENTOS!J2021="","",ORCAMENTOS!J2021)</f>
        <v>0.05</v>
      </c>
      <c r="J2013" s="40" t="str">
        <f>IF(ORCAMENTOS!L2021="","",ORCAMENTOS!L2021)</f>
        <v>FECHADO</v>
      </c>
      <c r="K2013" s="34" t="str">
        <f>IF(ORCAMENTOS!M2021="","",ORCAMENTOS!M2021)</f>
        <v>-</v>
      </c>
      <c r="L2013" t="str">
        <f>IF(ORCAMENTOS!R2021="","",ORCAMENTOS!R2021)</f>
        <v>-</v>
      </c>
    </row>
    <row r="2014" spans="1:12" ht="15.75" hidden="1" customHeight="1" x14ac:dyDescent="0.25">
      <c r="A2014" s="36">
        <f>IF(ORCAMENTOS!A2022="","",ORCAMENTOS!A2022)</f>
        <v>45975</v>
      </c>
      <c r="B2014" s="46">
        <f>IF(ORCAMENTOS!B2022="","",ORCAMENTOS!B2022)</f>
        <v>2012</v>
      </c>
      <c r="C2014" s="46" t="str">
        <f>IF(ORCAMENTOS!C2022="","",ORCAMENTOS!C2022)</f>
        <v/>
      </c>
      <c r="D2014" s="37" t="str">
        <f>IF(ORCAMENTOS!D2022="","",ORCAMENTOS!D2022)</f>
        <v>ARCLEAN</v>
      </c>
      <c r="E2014" s="38" t="str">
        <f>IF(ORCAMENTOS!E2022="","",ORCAMENTOS!E2022)</f>
        <v>AMAZON - DCE5</v>
      </c>
      <c r="F2014" s="37" t="str">
        <f>IF(ORCAMENTOS!G2022="","",ORCAMENTOS!G2022)</f>
        <v xml:space="preserve">Aldavir </v>
      </c>
      <c r="G2014" s="37" t="str">
        <f>IF(ORCAMENTOS!H2022="","",ORCAMENTOS!H2022)</f>
        <v>Melanie</v>
      </c>
      <c r="H2014" s="39">
        <f>IF(ORCAMENTOS!I2022="","",ORCAMENTOS!I2022)</f>
        <v>137820.88</v>
      </c>
      <c r="I2014" s="60">
        <f>IF(ORCAMENTOS!J2022="","",ORCAMENTOS!J2022)</f>
        <v>7.0000000000000007E-2</v>
      </c>
      <c r="J2014" s="40" t="str">
        <f>IF(ORCAMENTOS!L2022="","",ORCAMENTOS!L2022)</f>
        <v>CANCELADO</v>
      </c>
      <c r="K2014" s="34" t="str">
        <f>IF(ORCAMENTOS!M2022="","",ORCAMENTOS!M2022)</f>
        <v>-</v>
      </c>
      <c r="L2014" t="str">
        <f>IF(ORCAMENTOS!R2022="","",ORCAMENTOS!R2022)</f>
        <v>PU/PIR</v>
      </c>
    </row>
    <row r="2015" spans="1:12" ht="15.75" hidden="1" customHeight="1" x14ac:dyDescent="0.25">
      <c r="A2015" s="36">
        <f>IF(ORCAMENTOS!A2023="","",ORCAMENTOS!A2023)</f>
        <v>45980</v>
      </c>
      <c r="B2015" s="46">
        <f>IF(ORCAMENTOS!B2023="","",ORCAMENTOS!B2023)</f>
        <v>2013</v>
      </c>
      <c r="C2015" s="46" t="str">
        <f>IF(ORCAMENTOS!C2023="","",ORCAMENTOS!C2023)</f>
        <v/>
      </c>
      <c r="D2015" s="37" t="str">
        <f>IF(ORCAMENTOS!D2023="","",ORCAMENTOS!D2023)</f>
        <v>INOVECTOR</v>
      </c>
      <c r="E2015" s="38" t="str">
        <f>IF(ORCAMENTOS!E2023="","",ORCAMENTOS!E2023)</f>
        <v>HOSP. SÃO CAETANO DAY</v>
      </c>
      <c r="F2015" s="37" t="str">
        <f>IF(ORCAMENTOS!G2023="","",ORCAMENTOS!G2023)</f>
        <v>Fernando</v>
      </c>
      <c r="G2015" s="37" t="str">
        <f>IF(ORCAMENTOS!H2023="","",ORCAMENTOS!H2023)</f>
        <v>Cristina</v>
      </c>
      <c r="H2015" s="39">
        <f>IF(ORCAMENTOS!I2023="","",ORCAMENTOS!I2023)</f>
        <v>65335.68</v>
      </c>
      <c r="I2015" s="60">
        <f>IF(ORCAMENTOS!J2023="","",ORCAMENTOS!J2023)</f>
        <v>0.03</v>
      </c>
      <c r="J2015" s="40" t="str">
        <f>IF(ORCAMENTOS!L2023="","",ORCAMENTOS!L2023)</f>
        <v>FECHADO</v>
      </c>
      <c r="K2015" s="34" t="str">
        <f>IF(ORCAMENTOS!M2023="","",ORCAMENTOS!M2023)</f>
        <v>-</v>
      </c>
      <c r="L2015" t="str">
        <f>IF(ORCAMENTOS!R2023="","",ORCAMENTOS!R2023)</f>
        <v>-</v>
      </c>
    </row>
    <row r="2016" spans="1:12" ht="15.75" hidden="1" customHeight="1" x14ac:dyDescent="0.25">
      <c r="A2016" s="36">
        <f>IF(ORCAMENTOS!A2024="","",ORCAMENTOS!A2024)</f>
        <v>46037</v>
      </c>
      <c r="B2016" s="46">
        <f>IF(ORCAMENTOS!B2024="","",ORCAMENTOS!B2024)</f>
        <v>2014</v>
      </c>
      <c r="C2016" s="46" t="str">
        <f>IF(ORCAMENTOS!C2024="","",ORCAMENTOS!C2024)</f>
        <v/>
      </c>
      <c r="D2016" s="37" t="str">
        <f>IF(ORCAMENTOS!D2024="","",ORCAMENTOS!D2024)</f>
        <v>LS AR CONDICIONADO</v>
      </c>
      <c r="E2016" s="38" t="str">
        <f>IF(ORCAMENTOS!E2024="","",ORCAMENTOS!E2024)</f>
        <v>SPORTY GROUP</v>
      </c>
      <c r="F2016" s="37" t="str">
        <f>IF(ORCAMENTOS!G2024="","",ORCAMENTOS!G2024)</f>
        <v>Fernando</v>
      </c>
      <c r="G2016" s="37" t="str">
        <f>IF(ORCAMENTOS!H2024="","",ORCAMENTOS!H2024)</f>
        <v>Leonardo</v>
      </c>
      <c r="H2016" s="39">
        <f>IF(ORCAMENTOS!I2024="","",ORCAMENTOS!I2024)</f>
        <v>12281.46</v>
      </c>
      <c r="I2016" s="60">
        <f>IF(ORCAMENTOS!J2024="","",ORCAMENTOS!J2024)</f>
        <v>0.03</v>
      </c>
      <c r="J2016" s="40" t="str">
        <f>IF(ORCAMENTOS!L2024="","",ORCAMENTOS!L2024)</f>
        <v>PERDIDO</v>
      </c>
      <c r="K2016" s="34" t="str">
        <f>IF(ORCAMENTOS!M2024="","",ORCAMENTOS!M2024)</f>
        <v>PERDIDO ARCOTEC</v>
      </c>
      <c r="L2016" t="str">
        <f>IF(ORCAMENTOS!R2024="","",ORCAMENTOS!R2024)</f>
        <v>-</v>
      </c>
    </row>
    <row r="2017" spans="1:12" ht="15.75" hidden="1" customHeight="1" x14ac:dyDescent="0.25">
      <c r="A2017" s="36">
        <f>IF(ORCAMENTOS!A2025="","",ORCAMENTOS!A2025)</f>
        <v>45975</v>
      </c>
      <c r="B2017" s="46">
        <f>IF(ORCAMENTOS!B2025="","",ORCAMENTOS!B2025)</f>
        <v>2015</v>
      </c>
      <c r="C2017" s="46" t="str">
        <f>IF(ORCAMENTOS!C2025="","",ORCAMENTOS!C2025)</f>
        <v/>
      </c>
      <c r="D2017" s="37" t="str">
        <f>IF(ORCAMENTOS!D2025="","",ORCAMENTOS!D2025)</f>
        <v>WWM EFICIENCIA</v>
      </c>
      <c r="E2017" s="38" t="str">
        <f>IF(ORCAMENTOS!E2025="","",ORCAMENTOS!E2025)</f>
        <v>DISTRITO REVEE - ARARAQUARA - SP</v>
      </c>
      <c r="F2017" s="37" t="str">
        <f>IF(ORCAMENTOS!G2025="","",ORCAMENTOS!G2025)</f>
        <v>Gabriel</v>
      </c>
      <c r="G2017" s="37" t="str">
        <f>IF(ORCAMENTOS!H2025="","",ORCAMENTOS!H2025)</f>
        <v>Jefferson</v>
      </c>
      <c r="H2017" s="39">
        <f>IF(ORCAMENTOS!I2025="","",ORCAMENTOS!I2025)</f>
        <v>524755.91</v>
      </c>
      <c r="I2017" s="60">
        <f>IF(ORCAMENTOS!J2025="","",ORCAMENTOS!J2025)</f>
        <v>7.0000000000000007E-2</v>
      </c>
      <c r="J2017" s="40" t="str">
        <f>IF(ORCAMENTOS!L2025="","",ORCAMENTOS!L2025)</f>
        <v>CANCELADO</v>
      </c>
      <c r="K2017" s="34" t="str">
        <f>IF(ORCAMENTOS!M2025="","",ORCAMENTOS!M2025)</f>
        <v>-</v>
      </c>
      <c r="L2017" t="str">
        <f>IF(ORCAMENTOS!R2025="","",ORCAMENTOS!R2025)</f>
        <v>MPU-ALUPIR</v>
      </c>
    </row>
    <row r="2018" spans="1:12" ht="15.75" hidden="1" customHeight="1" x14ac:dyDescent="0.25">
      <c r="A2018" s="36">
        <f>IF(ORCAMENTOS!A2026="","",ORCAMENTOS!A2026)</f>
        <v>45975</v>
      </c>
      <c r="B2018" s="46">
        <f>IF(ORCAMENTOS!B2026="","",ORCAMENTOS!B2026)</f>
        <v>2016</v>
      </c>
      <c r="C2018" s="46" t="str">
        <f>IF(ORCAMENTOS!C2026="","",ORCAMENTOS!C2026)</f>
        <v/>
      </c>
      <c r="D2018" s="37" t="str">
        <f>IF(ORCAMENTOS!D2026="","",ORCAMENTOS!D2026)</f>
        <v>FL HVAC</v>
      </c>
      <c r="E2018" s="38" t="str">
        <f>IF(ORCAMENTOS!E2026="","",ORCAMENTOS!E2026)</f>
        <v>DAVITA GUARULHOS - SP</v>
      </c>
      <c r="F2018" s="37" t="str">
        <f>IF(ORCAMENTOS!G2026="","",ORCAMENTOS!G2026)</f>
        <v>Guilherme</v>
      </c>
      <c r="G2018" s="37" t="str">
        <f>IF(ORCAMENTOS!H2026="","",ORCAMENTOS!H2026)</f>
        <v>Filipe</v>
      </c>
      <c r="H2018" s="39">
        <f>IF(ORCAMENTOS!I2026="","",ORCAMENTOS!I2026)</f>
        <v>65130.5</v>
      </c>
      <c r="I2018" s="60">
        <f>IF(ORCAMENTOS!J2026="","",ORCAMENTOS!J2026)</f>
        <v>7.0000000000000007E-2</v>
      </c>
      <c r="J2018" s="40" t="str">
        <f>IF(ORCAMENTOS!L2026="","",ORCAMENTOS!L2026)</f>
        <v>CANCELADO</v>
      </c>
      <c r="K2018" s="34" t="str">
        <f>IF(ORCAMENTOS!M2026="","",ORCAMENTOS!M2026)</f>
        <v>-</v>
      </c>
      <c r="L2018" t="str">
        <f>IF(ORCAMENTOS!R2026="","",ORCAMENTOS!R2026)</f>
        <v>MPU</v>
      </c>
    </row>
    <row r="2019" spans="1:12" ht="15.75" hidden="1" customHeight="1" x14ac:dyDescent="0.25">
      <c r="A2019" s="36">
        <f>IF(ORCAMENTOS!A2027="","",ORCAMENTOS!A2027)</f>
        <v>45978</v>
      </c>
      <c r="B2019" s="46">
        <f>IF(ORCAMENTOS!B2027="","",ORCAMENTOS!B2027)</f>
        <v>2017</v>
      </c>
      <c r="C2019" s="46" t="str">
        <f>IF(ORCAMENTOS!C2027="","",ORCAMENTOS!C2027)</f>
        <v/>
      </c>
      <c r="D2019" s="37" t="str">
        <f>IF(ORCAMENTOS!D2027="","",ORCAMENTOS!D2027)</f>
        <v>GVHVAC</v>
      </c>
      <c r="E2019" s="38" t="str">
        <f>IF(ORCAMENTOS!E2027="","",ORCAMENTOS!E2027)</f>
        <v>SABESP CJ - COSTA CARVALHO</v>
      </c>
      <c r="F2019" s="37" t="str">
        <f>IF(ORCAMENTOS!G2027="","",ORCAMENTOS!G2027)</f>
        <v>Guilherme</v>
      </c>
      <c r="G2019" s="37" t="str">
        <f>IF(ORCAMENTOS!H2027="","",ORCAMENTOS!H2027)</f>
        <v>Filipe</v>
      </c>
      <c r="H2019" s="39">
        <f>IF(ORCAMENTOS!I2027="","",ORCAMENTOS!I2027)</f>
        <v>28627.27</v>
      </c>
      <c r="I2019" s="60">
        <f>IF(ORCAMENTOS!J2027="","",ORCAMENTOS!J2027)</f>
        <v>7.0000000000000007E-2</v>
      </c>
      <c r="J2019" s="40" t="str">
        <f>IF(ORCAMENTOS!L2027="","",ORCAMENTOS!L2027)</f>
        <v>CANCELADO</v>
      </c>
      <c r="K2019" s="34" t="str">
        <f>IF(ORCAMENTOS!M2027="","",ORCAMENTOS!M2027)</f>
        <v>-</v>
      </c>
      <c r="L2019" t="str">
        <f>IF(ORCAMENTOS!R2027="","",ORCAMENTOS!R2027)</f>
        <v>N/E</v>
      </c>
    </row>
    <row r="2020" spans="1:12" ht="15.75" hidden="1" customHeight="1" x14ac:dyDescent="0.25">
      <c r="A2020" s="36">
        <f>IF(ORCAMENTOS!A2028="","",ORCAMENTOS!A2028)</f>
        <v>45978</v>
      </c>
      <c r="B2020" s="46">
        <f>IF(ORCAMENTOS!B2028="","",ORCAMENTOS!B2028)</f>
        <v>2018</v>
      </c>
      <c r="C2020" s="46" t="str">
        <f>IF(ORCAMENTOS!C2028="","",ORCAMENTOS!C2028)</f>
        <v/>
      </c>
      <c r="D2020" s="37" t="str">
        <f>IF(ORCAMENTOS!D2028="","",ORCAMENTOS!D2028)</f>
        <v>NEWSET</v>
      </c>
      <c r="E2020" s="38" t="str">
        <f>IF(ORCAMENTOS!E2028="","",ORCAMENTOS!E2028)</f>
        <v>TERRA ALL RESORT</v>
      </c>
      <c r="F2020" s="37" t="str">
        <f>IF(ORCAMENTOS!G2028="","",ORCAMENTOS!G2028)</f>
        <v xml:space="preserve">Aldavir </v>
      </c>
      <c r="G2020" s="37" t="str">
        <f>IF(ORCAMENTOS!H2028="","",ORCAMENTOS!H2028)</f>
        <v>Jessica</v>
      </c>
      <c r="H2020" s="39">
        <f>IF(ORCAMENTOS!I2028="","",ORCAMENTOS!I2028)</f>
        <v>14725.65</v>
      </c>
      <c r="I2020" s="60">
        <f>IF(ORCAMENTOS!J2028="","",ORCAMENTOS!J2028)</f>
        <v>7.0000000000000007E-2</v>
      </c>
      <c r="J2020" s="40" t="str">
        <f>IF(ORCAMENTOS!L2028="","",ORCAMENTOS!L2028)</f>
        <v>CANCELADO</v>
      </c>
      <c r="K2020" s="34" t="str">
        <f>IF(ORCAMENTOS!M2028="","",ORCAMENTOS!M2028)</f>
        <v>-</v>
      </c>
      <c r="L2020" t="str">
        <f>IF(ORCAMENTOS!R2028="","",ORCAMENTOS!R2028)</f>
        <v>-</v>
      </c>
    </row>
    <row r="2021" spans="1:12" ht="15.75" hidden="1" customHeight="1" x14ac:dyDescent="0.25">
      <c r="A2021" s="36">
        <f>IF(ORCAMENTOS!A2029="","",ORCAMENTOS!A2029)</f>
        <v>45978</v>
      </c>
      <c r="B2021" s="46">
        <f>IF(ORCAMENTOS!B2029="","",ORCAMENTOS!B2029)</f>
        <v>2019</v>
      </c>
      <c r="C2021" s="46" t="str">
        <f>IF(ORCAMENTOS!C2029="","",ORCAMENTOS!C2029)</f>
        <v/>
      </c>
      <c r="D2021" s="37" t="str">
        <f>IF(ORCAMENTOS!D2029="","",ORCAMENTOS!D2029)</f>
        <v>AWA AR CONDICIONADO</v>
      </c>
      <c r="E2021" s="38" t="str">
        <f>IF(ORCAMENTOS!E2029="","",ORCAMENTOS!E2029)</f>
        <v>ATACADAO - LOJA ARICANDUVA - TELHA NORTE - SP - OPCAO A</v>
      </c>
      <c r="F2021" s="37" t="str">
        <f>IF(ORCAMENTOS!G2029="","",ORCAMENTOS!G2029)</f>
        <v>Guilherme</v>
      </c>
      <c r="G2021" s="37" t="str">
        <f>IF(ORCAMENTOS!H2029="","",ORCAMENTOS!H2029)</f>
        <v>Paula</v>
      </c>
      <c r="H2021" s="39">
        <f>IF(ORCAMENTOS!I2029="","",ORCAMENTOS!I2029)</f>
        <v>249840.37</v>
      </c>
      <c r="I2021" s="60">
        <f>IF(ORCAMENTOS!J2029="","",ORCAMENTOS!J2029)</f>
        <v>7.0000000000000007E-2</v>
      </c>
      <c r="J2021" s="40" t="str">
        <f>IF(ORCAMENTOS!L2029="","",ORCAMENTOS!L2029)</f>
        <v>CANCELADO</v>
      </c>
      <c r="K2021" s="34" t="str">
        <f>IF(ORCAMENTOS!M2029="","",ORCAMENTOS!M2029)</f>
        <v>-</v>
      </c>
      <c r="L2021" t="str">
        <f>IF(ORCAMENTOS!R2029="","",ORCAMENTOS!R2029)</f>
        <v>MPU</v>
      </c>
    </row>
    <row r="2022" spans="1:12" ht="15.75" hidden="1" customHeight="1" x14ac:dyDescent="0.25">
      <c r="A2022" s="36">
        <f>IF(ORCAMENTOS!A2030="","",ORCAMENTOS!A2030)</f>
        <v>45978</v>
      </c>
      <c r="B2022" s="46">
        <f>IF(ORCAMENTOS!B2030="","",ORCAMENTOS!B2030)</f>
        <v>2020</v>
      </c>
      <c r="C2022" s="46" t="str">
        <f>IF(ORCAMENTOS!C2030="","",ORCAMENTOS!C2030)</f>
        <v/>
      </c>
      <c r="D2022" s="37" t="str">
        <f>IF(ORCAMENTOS!D2030="","",ORCAMENTOS!D2030)</f>
        <v>AWA AR CONDICIONADO</v>
      </c>
      <c r="E2022" s="38" t="str">
        <f>IF(ORCAMENTOS!E2030="","",ORCAMENTOS!E2030)</f>
        <v>ATACADAO - LOJA ARICANDUVA - TELHA NORTE - SP - OPCAO B</v>
      </c>
      <c r="F2022" s="37" t="str">
        <f>IF(ORCAMENTOS!G2030="","",ORCAMENTOS!G2030)</f>
        <v>Guilherme</v>
      </c>
      <c r="G2022" s="37" t="str">
        <f>IF(ORCAMENTOS!H2030="","",ORCAMENTOS!H2030)</f>
        <v>Paula</v>
      </c>
      <c r="H2022" s="39">
        <f>IF(ORCAMENTOS!I2030="","",ORCAMENTOS!I2030)</f>
        <v>222086</v>
      </c>
      <c r="I2022" s="60">
        <f>IF(ORCAMENTOS!J2030="","",ORCAMENTOS!J2030)</f>
        <v>7.0000000000000007E-2</v>
      </c>
      <c r="J2022" s="40" t="str">
        <f>IF(ORCAMENTOS!L2030="","",ORCAMENTOS!L2030)</f>
        <v>CANCELADO</v>
      </c>
      <c r="K2022" s="34" t="str">
        <f>IF(ORCAMENTOS!M2030="","",ORCAMENTOS!M2030)</f>
        <v>-</v>
      </c>
      <c r="L2022" t="str">
        <f>IF(ORCAMENTOS!R2030="","",ORCAMENTOS!R2030)</f>
        <v>MPU</v>
      </c>
    </row>
    <row r="2023" spans="1:12" ht="15.75" hidden="1" customHeight="1" x14ac:dyDescent="0.25">
      <c r="A2023" s="36">
        <f>IF(ORCAMENTOS!A2031="","",ORCAMENTOS!A2031)</f>
        <v>45987</v>
      </c>
      <c r="B2023" s="46">
        <f>IF(ORCAMENTOS!B2031="","",ORCAMENTOS!B2031)</f>
        <v>2021</v>
      </c>
      <c r="C2023" s="46" t="str">
        <f>IF(ORCAMENTOS!C2031="","",ORCAMENTOS!C2031)</f>
        <v>R2</v>
      </c>
      <c r="D2023" s="37" t="str">
        <f>IF(ORCAMENTOS!D2031="","",ORCAMENTOS!D2031)</f>
        <v>AMS INSTALACOES</v>
      </c>
      <c r="E2023" s="38" t="str">
        <f>IF(ORCAMENTOS!E2031="","",ORCAMENTOS!E2031)</f>
        <v>ATAKADAO - CAMINHO DA AREIA - SALVADOR - BA</v>
      </c>
      <c r="F2023" s="37" t="str">
        <f>IF(ORCAMENTOS!G2031="","",ORCAMENTOS!G2031)</f>
        <v>Gabriel</v>
      </c>
      <c r="G2023" s="37" t="str">
        <f>IF(ORCAMENTOS!H2031="","",ORCAMENTOS!H2031)</f>
        <v>Almir</v>
      </c>
      <c r="H2023" s="39">
        <f>IF(ORCAMENTOS!I2031="","",ORCAMENTOS!I2031)</f>
        <v>123008.05</v>
      </c>
      <c r="I2023" s="60">
        <f>IF(ORCAMENTOS!J2031="","",ORCAMENTOS!J2031)</f>
        <v>0.04</v>
      </c>
      <c r="J2023" s="40" t="str">
        <f>IF(ORCAMENTOS!L2031="","",ORCAMENTOS!L2031)</f>
        <v>CANCELADO</v>
      </c>
      <c r="K2023" s="34" t="str">
        <f>IF(ORCAMENTOS!M2031="","",ORCAMENTOS!M2031)</f>
        <v>-</v>
      </c>
      <c r="L2023" t="str">
        <f>IF(ORCAMENTOS!R2031="","",ORCAMENTOS!R2031)</f>
        <v>MPU</v>
      </c>
    </row>
    <row r="2024" spans="1:12" ht="15.75" hidden="1" customHeight="1" x14ac:dyDescent="0.25">
      <c r="A2024" s="36">
        <f>IF(ORCAMENTOS!A2032="","",ORCAMENTOS!A2032)</f>
        <v>45978</v>
      </c>
      <c r="B2024" s="46">
        <f>IF(ORCAMENTOS!B2032="","",ORCAMENTOS!B2032)</f>
        <v>2022</v>
      </c>
      <c r="C2024" s="46" t="str">
        <f>IF(ORCAMENTOS!C2032="","",ORCAMENTOS!C2032)</f>
        <v/>
      </c>
      <c r="D2024" s="37" t="str">
        <f>IF(ORCAMENTOS!D2032="","",ORCAMENTOS!D2032)</f>
        <v>COLDTERMICA</v>
      </c>
      <c r="E2024" s="38" t="str">
        <f>IF(ORCAMENTOS!E2032="","",ORCAMENTOS!E2032)</f>
        <v>-</v>
      </c>
      <c r="F2024" s="37" t="str">
        <f>IF(ORCAMENTOS!G2032="","",ORCAMENTOS!G2032)</f>
        <v>Gabriel</v>
      </c>
      <c r="G2024" s="37" t="str">
        <f>IF(ORCAMENTOS!H2032="","",ORCAMENTOS!H2032)</f>
        <v>Denis</v>
      </c>
      <c r="H2024" s="39">
        <f>IF(ORCAMENTOS!I2032="","",ORCAMENTOS!I2032)</f>
        <v>304.7</v>
      </c>
      <c r="I2024" s="60">
        <f>IF(ORCAMENTOS!J2032="","",ORCAMENTOS!J2032)</f>
        <v>7.0000000000000007E-2</v>
      </c>
      <c r="J2024" s="40" t="str">
        <f>IF(ORCAMENTOS!L2032="","",ORCAMENTOS!L2032)</f>
        <v>CANCELADO</v>
      </c>
      <c r="K2024" s="34" t="str">
        <f>IF(ORCAMENTOS!M2032="","",ORCAMENTOS!M2032)</f>
        <v>-</v>
      </c>
      <c r="L2024" t="str">
        <f>IF(ORCAMENTOS!R2032="","",ORCAMENTOS!R2032)</f>
        <v>-</v>
      </c>
    </row>
    <row r="2025" spans="1:12" ht="15.75" hidden="1" customHeight="1" x14ac:dyDescent="0.25">
      <c r="A2025" s="36">
        <f>IF(ORCAMENTOS!A2033="","",ORCAMENTOS!A2033)</f>
        <v>45978</v>
      </c>
      <c r="B2025" s="46">
        <f>IF(ORCAMENTOS!B2033="","",ORCAMENTOS!B2033)</f>
        <v>2023</v>
      </c>
      <c r="C2025" s="46" t="str">
        <f>IF(ORCAMENTOS!C2033="","",ORCAMENTOS!C2033)</f>
        <v/>
      </c>
      <c r="D2025" s="37" t="str">
        <f>IF(ORCAMENTOS!D2033="","",ORCAMENTOS!D2033)</f>
        <v>ARVITTA</v>
      </c>
      <c r="E2025" s="38" t="str">
        <f>IF(ORCAMENTOS!E2033="","",ORCAMENTOS!E2033)</f>
        <v>FGV - ARTES</v>
      </c>
      <c r="F2025" s="37" t="str">
        <f>IF(ORCAMENTOS!G2033="","",ORCAMENTOS!G2033)</f>
        <v>Michel</v>
      </c>
      <c r="G2025" s="37" t="str">
        <f>IF(ORCAMENTOS!H2033="","",ORCAMENTOS!H2033)</f>
        <v>Luis</v>
      </c>
      <c r="H2025" s="39">
        <f>IF(ORCAMENTOS!I2033="","",ORCAMENTOS!I2033)</f>
        <v>42123.34</v>
      </c>
      <c r="I2025" s="60">
        <f>IF(ORCAMENTOS!J2033="","",ORCAMENTOS!J2033)</f>
        <v>7.0000000000000007E-2</v>
      </c>
      <c r="J2025" s="40" t="str">
        <f>IF(ORCAMENTOS!L2033="","",ORCAMENTOS!L2033)</f>
        <v>CANCELADO</v>
      </c>
      <c r="K2025" s="34" t="str">
        <f>IF(ORCAMENTOS!M2033="","",ORCAMENTOS!M2033)</f>
        <v>-</v>
      </c>
      <c r="L2025" t="str">
        <f>IF(ORCAMENTOS!R2033="","",ORCAMENTOS!R2033)</f>
        <v>-</v>
      </c>
    </row>
    <row r="2026" spans="1:12" ht="15.75" hidden="1" customHeight="1" x14ac:dyDescent="0.25">
      <c r="A2026" s="36">
        <f>IF(ORCAMENTOS!A2034="","",ORCAMENTOS!A2034)</f>
        <v>45980</v>
      </c>
      <c r="B2026" s="46">
        <f>IF(ORCAMENTOS!B2034="","",ORCAMENTOS!B2034)</f>
        <v>2024</v>
      </c>
      <c r="C2026" s="46" t="str">
        <f>IF(ORCAMENTOS!C2034="","",ORCAMENTOS!C2034)</f>
        <v>R1</v>
      </c>
      <c r="D2026" s="37" t="str">
        <f>IF(ORCAMENTOS!D2034="","",ORCAMENTOS!D2034)</f>
        <v>HVAC ENGENHARIA</v>
      </c>
      <c r="E2026" s="38" t="str">
        <f>IF(ORCAMENTOS!E2034="","",ORCAMENTOS!E2034)</f>
        <v>Obramax Contagem</v>
      </c>
      <c r="F2026" s="37" t="str">
        <f>IF(ORCAMENTOS!G2034="","",ORCAMENTOS!G2034)</f>
        <v>Michel</v>
      </c>
      <c r="G2026" s="37" t="str">
        <f>IF(ORCAMENTOS!H2034="","",ORCAMENTOS!H2034)</f>
        <v>Ederson</v>
      </c>
      <c r="H2026" s="39">
        <f>IF(ORCAMENTOS!I2034="","",ORCAMENTOS!I2034)</f>
        <v>183224.65</v>
      </c>
      <c r="I2026" s="60">
        <f>IF(ORCAMENTOS!J2034="","",ORCAMENTOS!J2034)</f>
        <v>0.04</v>
      </c>
      <c r="J2026" s="40" t="str">
        <f>IF(ORCAMENTOS!L2034="","",ORCAMENTOS!L2034)</f>
        <v>FECHADO</v>
      </c>
      <c r="K2026" s="34" t="str">
        <f>IF(ORCAMENTOS!M2034="","",ORCAMENTOS!M2034)</f>
        <v>PREV. MARÇO</v>
      </c>
      <c r="L2026" t="str">
        <f>IF(ORCAMENTOS!R2034="","",ORCAMENTOS!R2034)</f>
        <v>-</v>
      </c>
    </row>
    <row r="2027" spans="1:12" ht="15.75" hidden="1" customHeight="1" x14ac:dyDescent="0.25">
      <c r="A2027" s="36">
        <f>IF(ORCAMENTOS!A2035="","",ORCAMENTOS!A2035)</f>
        <v>45987</v>
      </c>
      <c r="B2027" s="46">
        <f>IF(ORCAMENTOS!B2035="","",ORCAMENTOS!B2035)</f>
        <v>2025</v>
      </c>
      <c r="C2027" s="46" t="str">
        <f>IF(ORCAMENTOS!C2035="","",ORCAMENTOS!C2035)</f>
        <v>R1</v>
      </c>
      <c r="D2027" s="37" t="str">
        <f>IF(ORCAMENTOS!D2035="","",ORCAMENTOS!D2035)</f>
        <v>AMS INSTALACOES</v>
      </c>
      <c r="E2027" s="38" t="str">
        <f>IF(ORCAMENTOS!E2035="","",ORCAMENTOS!E2035)</f>
        <v>FORT 880 - INTERLAGOS - SÃO PAULO - SP</v>
      </c>
      <c r="F2027" s="37" t="str">
        <f>IF(ORCAMENTOS!G2035="","",ORCAMENTOS!G2035)</f>
        <v>Gabriel</v>
      </c>
      <c r="G2027" s="37" t="str">
        <f>IF(ORCAMENTOS!H2035="","",ORCAMENTOS!H2035)</f>
        <v>Albertino</v>
      </c>
      <c r="H2027" s="39">
        <f>IF(ORCAMENTOS!I2035="","",ORCAMENTOS!I2035)</f>
        <v>116457.49</v>
      </c>
      <c r="I2027" s="60">
        <f>IF(ORCAMENTOS!J2035="","",ORCAMENTOS!J2035)</f>
        <v>0.04</v>
      </c>
      <c r="J2027" s="40" t="str">
        <f>IF(ORCAMENTOS!L2035="","",ORCAMENTOS!L2035)</f>
        <v>FECHADO</v>
      </c>
      <c r="K2027" s="34" t="str">
        <f>IF(ORCAMENTOS!M2035="","",ORCAMENTOS!M2035)</f>
        <v>-</v>
      </c>
      <c r="L2027" t="str">
        <f>IF(ORCAMENTOS!R2035="","",ORCAMENTOS!R2035)</f>
        <v>MPU</v>
      </c>
    </row>
    <row r="2028" spans="1:12" ht="15.75" hidden="1" customHeight="1" x14ac:dyDescent="0.25">
      <c r="A2028" s="36">
        <f>IF(ORCAMENTOS!A2036="","",ORCAMENTOS!A2036)</f>
        <v>45979</v>
      </c>
      <c r="B2028" s="46">
        <f>IF(ORCAMENTOS!B2036="","",ORCAMENTOS!B2036)</f>
        <v>2026</v>
      </c>
      <c r="C2028" s="46" t="str">
        <f>IF(ORCAMENTOS!C2036="","",ORCAMENTOS!C2036)</f>
        <v>R2</v>
      </c>
      <c r="D2028" s="37" t="str">
        <f>IF(ORCAMENTOS!D2036="","",ORCAMENTOS!D2036)</f>
        <v>ECOTHERM</v>
      </c>
      <c r="E2028" s="38" t="str">
        <f>IF(ORCAMENTOS!E2036="","",ORCAMENTOS!E2036)</f>
        <v>REDE D'OR RIBEIRÃO PRETO</v>
      </c>
      <c r="F2028" s="37" t="str">
        <f>IF(ORCAMENTOS!G2036="","",ORCAMENTOS!G2036)</f>
        <v>Emanuel</v>
      </c>
      <c r="G2028" s="37" t="str">
        <f>IF(ORCAMENTOS!H2036="","",ORCAMENTOS!H2036)</f>
        <v>Selma</v>
      </c>
      <c r="H2028" s="39">
        <f>IF(ORCAMENTOS!I2036="","",ORCAMENTOS!I2036)</f>
        <v>610945.23</v>
      </c>
      <c r="I2028" s="60">
        <f>IF(ORCAMENTOS!J2036="","",ORCAMENTOS!J2036)</f>
        <v>0.03</v>
      </c>
      <c r="J2028" s="40" t="str">
        <f>IF(ORCAMENTOS!L2036="","",ORCAMENTOS!L2036)</f>
        <v>FECHADO</v>
      </c>
      <c r="K2028" s="34" t="str">
        <f>IF(ORCAMENTOS!M2036="","",ORCAMENTOS!M2036)</f>
        <v>-</v>
      </c>
      <c r="L2028" t="str">
        <f>IF(ORCAMENTOS!R2036="","",ORCAMENTOS!R2036)</f>
        <v>-</v>
      </c>
    </row>
    <row r="2029" spans="1:12" ht="15.75" hidden="1" customHeight="1" x14ac:dyDescent="0.25">
      <c r="A2029" s="36">
        <f>IF(ORCAMENTOS!A2037="","",ORCAMENTOS!A2037)</f>
        <v>45979</v>
      </c>
      <c r="B2029" s="46">
        <f>IF(ORCAMENTOS!B2037="","",ORCAMENTOS!B2037)</f>
        <v>2027</v>
      </c>
      <c r="C2029" s="46" t="str">
        <f>IF(ORCAMENTOS!C2037="","",ORCAMENTOS!C2037)</f>
        <v/>
      </c>
      <c r="D2029" s="37" t="str">
        <f>IF(ORCAMENTOS!D2037="","",ORCAMENTOS!D2037)</f>
        <v>AEROTHERMIC</v>
      </c>
      <c r="E2029" s="38" t="str">
        <f>IF(ORCAMENTOS!E2037="","",ORCAMENTOS!E2037)</f>
        <v>BARBACOA</v>
      </c>
      <c r="F2029" s="37" t="str">
        <f>IF(ORCAMENTOS!G2037="","",ORCAMENTOS!G2037)</f>
        <v>Fernando</v>
      </c>
      <c r="G2029" s="37" t="str">
        <f>IF(ORCAMENTOS!H2037="","",ORCAMENTOS!H2037)</f>
        <v>Claudio</v>
      </c>
      <c r="H2029" s="39">
        <f>IF(ORCAMENTOS!I2037="","",ORCAMENTOS!I2037)</f>
        <v>24690.75</v>
      </c>
      <c r="I2029" s="60">
        <f>IF(ORCAMENTOS!J2037="","",ORCAMENTOS!J2037)</f>
        <v>7.0000000000000007E-2</v>
      </c>
      <c r="J2029" s="40" t="str">
        <f>IF(ORCAMENTOS!L2037="","",ORCAMENTOS!L2037)</f>
        <v>CANCELADO</v>
      </c>
      <c r="K2029" s="34" t="str">
        <f>IF(ORCAMENTOS!M2037="","",ORCAMENTOS!M2037)</f>
        <v>-</v>
      </c>
      <c r="L2029" t="str">
        <f>IF(ORCAMENTOS!R2037="","",ORCAMENTOS!R2037)</f>
        <v>-</v>
      </c>
    </row>
    <row r="2030" spans="1:12" ht="15.75" hidden="1" customHeight="1" x14ac:dyDescent="0.25">
      <c r="A2030" s="36">
        <f>IF(ORCAMENTOS!A2038="","",ORCAMENTOS!A2038)</f>
        <v>45979</v>
      </c>
      <c r="B2030" s="46">
        <f>IF(ORCAMENTOS!B2038="","",ORCAMENTOS!B2038)</f>
        <v>2028</v>
      </c>
      <c r="C2030" s="46" t="str">
        <f>IF(ORCAMENTOS!C2038="","",ORCAMENTOS!C2038)</f>
        <v/>
      </c>
      <c r="D2030" s="37" t="str">
        <f>IF(ORCAMENTOS!D2038="","",ORCAMENTOS!D2038)</f>
        <v>CLIMATIKO</v>
      </c>
      <c r="E2030" s="38" t="str">
        <f>IF(ORCAMENTOS!E2038="","",ORCAMENTOS!E2038)</f>
        <v>MARGIRIUS - FERRAMENTARIA</v>
      </c>
      <c r="F2030" s="37" t="str">
        <f>IF(ORCAMENTOS!G2038="","",ORCAMENTOS!G2038)</f>
        <v>Gabriel</v>
      </c>
      <c r="G2030" s="37" t="str">
        <f>IF(ORCAMENTOS!H2038="","",ORCAMENTOS!H2038)</f>
        <v>Luana</v>
      </c>
      <c r="H2030" s="39">
        <f>IF(ORCAMENTOS!I2038="","",ORCAMENTOS!I2038)</f>
        <v>54294.87</v>
      </c>
      <c r="I2030" s="60">
        <f>IF(ORCAMENTOS!J2038="","",ORCAMENTOS!J2038)</f>
        <v>7.0000000000000007E-2</v>
      </c>
      <c r="J2030" s="40" t="str">
        <f>IF(ORCAMENTOS!L2038="","",ORCAMENTOS!L2038)</f>
        <v>CANCELADO</v>
      </c>
      <c r="K2030" s="34" t="str">
        <f>IF(ORCAMENTOS!M2038="","",ORCAMENTOS!M2038)</f>
        <v>-</v>
      </c>
      <c r="L2030" t="str">
        <f>IF(ORCAMENTOS!R2038="","",ORCAMENTOS!R2038)</f>
        <v>MPU</v>
      </c>
    </row>
    <row r="2031" spans="1:12" ht="15.75" hidden="1" customHeight="1" x14ac:dyDescent="0.25">
      <c r="A2031" s="36">
        <f>IF(ORCAMENTOS!A2039="","",ORCAMENTOS!A2039)</f>
        <v>45979</v>
      </c>
      <c r="B2031" s="46">
        <f>IF(ORCAMENTOS!B2039="","",ORCAMENTOS!B2039)</f>
        <v>2029</v>
      </c>
      <c r="C2031" s="46" t="str">
        <f>IF(ORCAMENTOS!C2039="","",ORCAMENTOS!C2039)</f>
        <v/>
      </c>
      <c r="D2031" s="37" t="str">
        <f>IF(ORCAMENTOS!D2039="","",ORCAMENTOS!D2039)</f>
        <v>CACR ENGENHARIA</v>
      </c>
      <c r="E2031" s="38" t="str">
        <f>IF(ORCAMENTOS!E2039="","",ORCAMENTOS!E2039)</f>
        <v>-</v>
      </c>
      <c r="F2031" s="37" t="str">
        <f>IF(ORCAMENTOS!G2039="","",ORCAMENTOS!G2039)</f>
        <v xml:space="preserve">Aldavir </v>
      </c>
      <c r="G2031" s="37" t="str">
        <f>IF(ORCAMENTOS!H2039="","",ORCAMENTOS!H2039)</f>
        <v>Leonardo</v>
      </c>
      <c r="H2031" s="39">
        <f>IF(ORCAMENTOS!I2039="","",ORCAMENTOS!I2039)</f>
        <v>3618.29</v>
      </c>
      <c r="I2031" s="60">
        <f>IF(ORCAMENTOS!J2039="","",ORCAMENTOS!J2039)</f>
        <v>7.0000000000000007E-2</v>
      </c>
      <c r="J2031" s="40" t="str">
        <f>IF(ORCAMENTOS!L2039="","",ORCAMENTOS!L2039)</f>
        <v>FECHADO</v>
      </c>
      <c r="K2031" s="34" t="str">
        <f>IF(ORCAMENTOS!M2039="","",ORCAMENTOS!M2039)</f>
        <v>-</v>
      </c>
      <c r="L2031" t="str">
        <f>IF(ORCAMENTOS!R2039="","",ORCAMENTOS!R2039)</f>
        <v>-</v>
      </c>
    </row>
    <row r="2032" spans="1:12" ht="15.75" hidden="1" customHeight="1" x14ac:dyDescent="0.25">
      <c r="A2032" s="36">
        <f>IF(ORCAMENTOS!A2040="","",ORCAMENTOS!A2040)</f>
        <v>45979</v>
      </c>
      <c r="B2032" s="46">
        <f>IF(ORCAMENTOS!B2040="","",ORCAMENTOS!B2040)</f>
        <v>2030</v>
      </c>
      <c r="C2032" s="46" t="str">
        <f>IF(ORCAMENTOS!C2040="","",ORCAMENTOS!C2040)</f>
        <v/>
      </c>
      <c r="D2032" s="37" t="str">
        <f>IF(ORCAMENTOS!D2040="","",ORCAMENTOS!D2040)</f>
        <v>ADVANCE REFRIGERACAO</v>
      </c>
      <c r="E2032" s="38" t="str">
        <f>IF(ORCAMENTOS!E2040="","",ORCAMENTOS!E2040)</f>
        <v>-</v>
      </c>
      <c r="F2032" s="37" t="str">
        <f>IF(ORCAMENTOS!G2040="","",ORCAMENTOS!G2040)</f>
        <v>Gabriel</v>
      </c>
      <c r="G2032" s="37" t="str">
        <f>IF(ORCAMENTOS!H2040="","",ORCAMENTOS!H2040)</f>
        <v/>
      </c>
      <c r="H2032" s="39">
        <f>IF(ORCAMENTOS!I2040="","",ORCAMENTOS!I2040)</f>
        <v>158329.13</v>
      </c>
      <c r="I2032" s="60">
        <f>IF(ORCAMENTOS!J2040="","",ORCAMENTOS!J2040)</f>
        <v>0.04</v>
      </c>
      <c r="J2032" s="40" t="str">
        <f>IF(ORCAMENTOS!L2040="","",ORCAMENTOS!L2040)</f>
        <v>CANCELADO</v>
      </c>
      <c r="K2032" s="34" t="str">
        <f>IF(ORCAMENTOS!M2040="","",ORCAMENTOS!M2040)</f>
        <v>-</v>
      </c>
      <c r="L2032" t="str">
        <f>IF(ORCAMENTOS!R2040="","",ORCAMENTOS!R2040)</f>
        <v>-</v>
      </c>
    </row>
    <row r="2033" spans="1:12" ht="15.75" hidden="1" customHeight="1" x14ac:dyDescent="0.25">
      <c r="A2033" s="36">
        <f>IF(ORCAMENTOS!A2041="","",ORCAMENTOS!A2041)</f>
        <v>45979</v>
      </c>
      <c r="B2033" s="46">
        <f>IF(ORCAMENTOS!B2041="","",ORCAMENTOS!B2041)</f>
        <v>2031</v>
      </c>
      <c r="C2033" s="46" t="str">
        <f>IF(ORCAMENTOS!C2041="","",ORCAMENTOS!C2041)</f>
        <v/>
      </c>
      <c r="D2033" s="37" t="str">
        <f>IF(ORCAMENTOS!D2041="","",ORCAMENTOS!D2041)</f>
        <v>ISOLEV</v>
      </c>
      <c r="E2033" s="38" t="str">
        <f>IF(ORCAMENTOS!E2041="","",ORCAMENTOS!E2041)</f>
        <v>-</v>
      </c>
      <c r="F2033" s="37" t="str">
        <f>IF(ORCAMENTOS!G2041="","",ORCAMENTOS!G2041)</f>
        <v>Michel</v>
      </c>
      <c r="G2033" s="37" t="str">
        <f>IF(ORCAMENTOS!H2041="","",ORCAMENTOS!H2041)</f>
        <v>Antonio</v>
      </c>
      <c r="H2033" s="39">
        <f>IF(ORCAMENTOS!I2041="","",ORCAMENTOS!I2041)</f>
        <v>497</v>
      </c>
      <c r="I2033" s="60">
        <f>IF(ORCAMENTOS!J2041="","",ORCAMENTOS!J2041)</f>
        <v>7.0000000000000007E-2</v>
      </c>
      <c r="J2033" s="40" t="str">
        <f>IF(ORCAMENTOS!L2041="","",ORCAMENTOS!L2041)</f>
        <v>CANCELADO</v>
      </c>
      <c r="K2033" s="34" t="str">
        <f>IF(ORCAMENTOS!M2041="","",ORCAMENTOS!M2041)</f>
        <v>-</v>
      </c>
      <c r="L2033" t="str">
        <f>IF(ORCAMENTOS!R2041="","",ORCAMENTOS!R2041)</f>
        <v>-</v>
      </c>
    </row>
    <row r="2034" spans="1:12" ht="15.75" hidden="1" customHeight="1" x14ac:dyDescent="0.25">
      <c r="A2034" s="36">
        <f>IF(ORCAMENTOS!A2042="","",ORCAMENTOS!A2042)</f>
        <v>45980</v>
      </c>
      <c r="B2034" s="46">
        <f>IF(ORCAMENTOS!B2042="","",ORCAMENTOS!B2042)</f>
        <v>2032</v>
      </c>
      <c r="C2034" s="46" t="str">
        <f>IF(ORCAMENTOS!C2042="","",ORCAMENTOS!C2042)</f>
        <v/>
      </c>
      <c r="D2034" s="37" t="str">
        <f>IF(ORCAMENTOS!D2042="","",ORCAMENTOS!D2042)</f>
        <v>MANENG</v>
      </c>
      <c r="E2034" s="38" t="str">
        <f>IF(ORCAMENTOS!E2042="","",ORCAMENTOS!E2042)</f>
        <v>-</v>
      </c>
      <c r="F2034" s="37" t="str">
        <f>IF(ORCAMENTOS!G2042="","",ORCAMENTOS!G2042)</f>
        <v>Guilherme</v>
      </c>
      <c r="G2034" s="37" t="str">
        <f>IF(ORCAMENTOS!H2042="","",ORCAMENTOS!H2042)</f>
        <v>Gabrielle</v>
      </c>
      <c r="H2034" s="39">
        <f>IF(ORCAMENTOS!I2042="","",ORCAMENTOS!I2042)</f>
        <v>33331.69</v>
      </c>
      <c r="I2034" s="60">
        <f>IF(ORCAMENTOS!J2042="","",ORCAMENTOS!J2042)</f>
        <v>0.05</v>
      </c>
      <c r="J2034" s="40" t="str">
        <f>IF(ORCAMENTOS!L2042="","",ORCAMENTOS!L2042)</f>
        <v>FECHADO</v>
      </c>
      <c r="K2034" s="34" t="str">
        <f>IF(ORCAMENTOS!M2042="","",ORCAMENTOS!M2042)</f>
        <v>-</v>
      </c>
      <c r="L2034" t="str">
        <f>IF(ORCAMENTOS!R2042="","",ORCAMENTOS!R2042)</f>
        <v>-</v>
      </c>
    </row>
    <row r="2035" spans="1:12" ht="15.75" hidden="1" customHeight="1" x14ac:dyDescent="0.25">
      <c r="A2035" s="36">
        <f>IF(ORCAMENTOS!A2043="","",ORCAMENTOS!A2043)</f>
        <v>45979</v>
      </c>
      <c r="B2035" s="46">
        <f>IF(ORCAMENTOS!B2043="","",ORCAMENTOS!B2043)</f>
        <v>2033</v>
      </c>
      <c r="C2035" s="46" t="str">
        <f>IF(ORCAMENTOS!C2043="","",ORCAMENTOS!C2043)</f>
        <v/>
      </c>
      <c r="D2035" s="37" t="str">
        <f>IF(ORCAMENTOS!D2043="","",ORCAMENTOS!D2043)</f>
        <v>NEXT DUCT</v>
      </c>
      <c r="E2035" s="38" t="str">
        <f>IF(ORCAMENTOS!E2043="","",ORCAMENTOS!E2043)</f>
        <v>-</v>
      </c>
      <c r="F2035" s="37" t="str">
        <f>IF(ORCAMENTOS!G2043="","",ORCAMENTOS!G2043)</f>
        <v>Gabriel</v>
      </c>
      <c r="G2035" s="37" t="str">
        <f>IF(ORCAMENTOS!H2043="","",ORCAMENTOS!H2043)</f>
        <v>Vinicius</v>
      </c>
      <c r="H2035" s="39">
        <f>IF(ORCAMENTOS!I2043="","",ORCAMENTOS!I2043)</f>
        <v>40887</v>
      </c>
      <c r="I2035" s="60">
        <f>IF(ORCAMENTOS!J2043="","",ORCAMENTOS!J2043)</f>
        <v>7.0000000000000007E-2</v>
      </c>
      <c r="J2035" s="40" t="str">
        <f>IF(ORCAMENTOS!L2043="","",ORCAMENTOS!L2043)</f>
        <v>FECHADO</v>
      </c>
      <c r="K2035" s="34" t="str">
        <f>IF(ORCAMENTOS!M2043="","",ORCAMENTOS!M2043)</f>
        <v>-</v>
      </c>
      <c r="L2035" t="str">
        <f>IF(ORCAMENTOS!R2043="","",ORCAMENTOS!R2043)</f>
        <v>-</v>
      </c>
    </row>
    <row r="2036" spans="1:12" ht="15.75" hidden="1" customHeight="1" x14ac:dyDescent="0.25">
      <c r="A2036" s="36">
        <f>IF(ORCAMENTOS!A2044="","",ORCAMENTOS!A2044)</f>
        <v>45979</v>
      </c>
      <c r="B2036" s="46">
        <f>IF(ORCAMENTOS!B2044="","",ORCAMENTOS!B2044)</f>
        <v>2034</v>
      </c>
      <c r="C2036" s="46" t="str">
        <f>IF(ORCAMENTOS!C2044="","",ORCAMENTOS!C2044)</f>
        <v/>
      </c>
      <c r="D2036" s="37" t="str">
        <f>IF(ORCAMENTOS!D2044="","",ORCAMENTOS!D2044)</f>
        <v>DUTOLEVE</v>
      </c>
      <c r="E2036" s="38" t="str">
        <f>IF(ORCAMENTOS!E2044="","",ORCAMENTOS!E2044)</f>
        <v>JARDIM</v>
      </c>
      <c r="F2036" s="37" t="str">
        <f>IF(ORCAMENTOS!G2044="","",ORCAMENTOS!G2044)</f>
        <v>Gabriel</v>
      </c>
      <c r="G2036" s="37" t="str">
        <f>IF(ORCAMENTOS!H2044="","",ORCAMENTOS!H2044)</f>
        <v>Newton</v>
      </c>
      <c r="H2036" s="39">
        <f>IF(ORCAMENTOS!I2044="","",ORCAMENTOS!I2044)</f>
        <v>95000</v>
      </c>
      <c r="I2036" s="60">
        <f>IF(ORCAMENTOS!J2044="","",ORCAMENTOS!J2044)</f>
        <v>0.04</v>
      </c>
      <c r="J2036" s="40" t="str">
        <f>IF(ORCAMENTOS!L2044="","",ORCAMENTOS!L2044)</f>
        <v>FECHADO</v>
      </c>
      <c r="K2036" s="34" t="str">
        <f>IF(ORCAMENTOS!M2044="","",ORCAMENTOS!M2044)</f>
        <v>-</v>
      </c>
      <c r="L2036" t="str">
        <f>IF(ORCAMENTOS!R2044="","",ORCAMENTOS!R2044)</f>
        <v>-</v>
      </c>
    </row>
    <row r="2037" spans="1:12" ht="15.75" hidden="1" customHeight="1" x14ac:dyDescent="0.25">
      <c r="A2037" s="36">
        <f>IF(ORCAMENTOS!A2045="","",ORCAMENTOS!A2045)</f>
        <v>45980</v>
      </c>
      <c r="B2037" s="46">
        <f>IF(ORCAMENTOS!B2045="","",ORCAMENTOS!B2045)</f>
        <v>2035</v>
      </c>
      <c r="C2037" s="46" t="str">
        <f>IF(ORCAMENTOS!C2045="","",ORCAMENTOS!C2045)</f>
        <v/>
      </c>
      <c r="D2037" s="37" t="str">
        <f>IF(ORCAMENTOS!D2045="","",ORCAMENTOS!D2045)</f>
        <v>SPLIT REFRIGERACAO</v>
      </c>
      <c r="E2037" s="38" t="str">
        <f>IF(ORCAMENTOS!E2045="","",ORCAMENTOS!E2045)</f>
        <v>-</v>
      </c>
      <c r="F2037" s="37" t="str">
        <f>IF(ORCAMENTOS!G2045="","",ORCAMENTOS!G2045)</f>
        <v>Gabriel</v>
      </c>
      <c r="G2037" s="37" t="str">
        <f>IF(ORCAMENTOS!H2045="","",ORCAMENTOS!H2045)</f>
        <v>-</v>
      </c>
      <c r="H2037" s="39">
        <f>IF(ORCAMENTOS!I2045="","",ORCAMENTOS!I2045)</f>
        <v>930.3</v>
      </c>
      <c r="I2037" s="60">
        <f>IF(ORCAMENTOS!J2045="","",ORCAMENTOS!J2045)</f>
        <v>7.0000000000000007E-2</v>
      </c>
      <c r="J2037" s="40" t="str">
        <f>IF(ORCAMENTOS!L2045="","",ORCAMENTOS!L2045)</f>
        <v>FECHADO</v>
      </c>
      <c r="K2037" s="34" t="str">
        <f>IF(ORCAMENTOS!M2045="","",ORCAMENTOS!M2045)</f>
        <v>-</v>
      </c>
      <c r="L2037" t="str">
        <f>IF(ORCAMENTOS!R2045="","",ORCAMENTOS!R2045)</f>
        <v>-</v>
      </c>
    </row>
    <row r="2038" spans="1:12" ht="15.75" hidden="1" customHeight="1" x14ac:dyDescent="0.25">
      <c r="A2038" s="36">
        <f>IF(ORCAMENTOS!A2046="","",ORCAMENTOS!A2046)</f>
        <v>45980</v>
      </c>
      <c r="B2038" s="46">
        <f>IF(ORCAMENTOS!B2046="","",ORCAMENTOS!B2046)</f>
        <v>2036</v>
      </c>
      <c r="C2038" s="46" t="str">
        <f>IF(ORCAMENTOS!C2046="","",ORCAMENTOS!C2046)</f>
        <v/>
      </c>
      <c r="D2038" s="37" t="str">
        <f>IF(ORCAMENTOS!D2046="","",ORCAMENTOS!D2046)</f>
        <v>RICH ENGENHARIA</v>
      </c>
      <c r="E2038" s="38" t="str">
        <f>IF(ORCAMENTOS!E2046="","",ORCAMENTOS!E2046)</f>
        <v>MORUMBI 1934 - MORUMBI</v>
      </c>
      <c r="F2038" s="37" t="str">
        <f>IF(ORCAMENTOS!G2046="","",ORCAMENTOS!G2046)</f>
        <v>Guilherme</v>
      </c>
      <c r="G2038" s="37" t="str">
        <f>IF(ORCAMENTOS!H2046="","",ORCAMENTOS!H2046)</f>
        <v>Ricardo</v>
      </c>
      <c r="H2038" s="39">
        <f>IF(ORCAMENTOS!I2046="","",ORCAMENTOS!I2046)</f>
        <v>48075.24</v>
      </c>
      <c r="I2038" s="60">
        <f>IF(ORCAMENTOS!J2046="","",ORCAMENTOS!J2046)</f>
        <v>7.0000000000000007E-2</v>
      </c>
      <c r="J2038" s="40" t="str">
        <f>IF(ORCAMENTOS!L2046="","",ORCAMENTOS!L2046)</f>
        <v>CANCELADO</v>
      </c>
      <c r="K2038" s="34" t="str">
        <f>IF(ORCAMENTOS!M2046="","",ORCAMENTOS!M2046)</f>
        <v>-</v>
      </c>
      <c r="L2038" t="str">
        <f>IF(ORCAMENTOS!R2046="","",ORCAMENTOS!R2046)</f>
        <v>N/E</v>
      </c>
    </row>
    <row r="2039" spans="1:12" ht="15.75" hidden="1" customHeight="1" x14ac:dyDescent="0.25">
      <c r="A2039" s="36">
        <f>IF(ORCAMENTOS!A2047="","",ORCAMENTOS!A2047)</f>
        <v>45980</v>
      </c>
      <c r="B2039" s="46">
        <f>IF(ORCAMENTOS!B2047="","",ORCAMENTOS!B2047)</f>
        <v>2037</v>
      </c>
      <c r="C2039" s="46" t="str">
        <f>IF(ORCAMENTOS!C2047="","",ORCAMENTOS!C2047)</f>
        <v/>
      </c>
      <c r="D2039" s="37" t="str">
        <f>IF(ORCAMENTOS!D2047="","",ORCAMENTOS!D2047)</f>
        <v>X AIR</v>
      </c>
      <c r="E2039" s="38" t="str">
        <f>IF(ORCAMENTOS!E2047="","",ORCAMENTOS!E2047)</f>
        <v>GRUPO PERMANEO - VILLA LOBOS - 17PV</v>
      </c>
      <c r="F2039" s="37" t="str">
        <f>IF(ORCAMENTOS!G2047="","",ORCAMENTOS!G2047)</f>
        <v>Emanuel</v>
      </c>
      <c r="G2039" s="37" t="str">
        <f>IF(ORCAMENTOS!H2047="","",ORCAMENTOS!H2047)</f>
        <v>Isabela</v>
      </c>
      <c r="H2039" s="39">
        <f>IF(ORCAMENTOS!I2047="","",ORCAMENTOS!I2047)</f>
        <v>33768.17</v>
      </c>
      <c r="I2039" s="60">
        <f>IF(ORCAMENTOS!J2047="","",ORCAMENTOS!J2047)</f>
        <v>7.0000000000000007E-2</v>
      </c>
      <c r="J2039" s="40" t="str">
        <f>IF(ORCAMENTOS!L2047="","",ORCAMENTOS!L2047)</f>
        <v>CANCELADO</v>
      </c>
      <c r="K2039" s="34" t="str">
        <f>IF(ORCAMENTOS!M2047="","",ORCAMENTOS!M2047)</f>
        <v>-</v>
      </c>
      <c r="L2039" t="str">
        <f>IF(ORCAMENTOS!R2047="","",ORCAMENTOS!R2047)</f>
        <v>MPU</v>
      </c>
    </row>
    <row r="2040" spans="1:12" ht="15.75" hidden="1" customHeight="1" x14ac:dyDescent="0.25">
      <c r="A2040" s="36">
        <f>IF(ORCAMENTOS!A2048="","",ORCAMENTOS!A2048)</f>
        <v>45980</v>
      </c>
      <c r="B2040" s="46">
        <f>IF(ORCAMENTOS!B2048="","",ORCAMENTOS!B2048)</f>
        <v>2038</v>
      </c>
      <c r="C2040" s="46" t="str">
        <f>IF(ORCAMENTOS!C2048="","",ORCAMENTOS!C2048)</f>
        <v/>
      </c>
      <c r="D2040" s="37" t="str">
        <f>IF(ORCAMENTOS!D2048="","",ORCAMENTOS!D2048)</f>
        <v>W MLOPES</v>
      </c>
      <c r="E2040" s="38" t="str">
        <f>IF(ORCAMENTOS!E2048="","",ORCAMENTOS!E2048)</f>
        <v>-</v>
      </c>
      <c r="F2040" s="37" t="str">
        <f>IF(ORCAMENTOS!G2048="","",ORCAMENTOS!G2048)</f>
        <v>Gabriel</v>
      </c>
      <c r="G2040" s="37" t="str">
        <f>IF(ORCAMENTOS!H2048="","",ORCAMENTOS!H2048)</f>
        <v>Wagner</v>
      </c>
      <c r="H2040" s="39">
        <f>IF(ORCAMENTOS!I2048="","",ORCAMENTOS!I2048)</f>
        <v>5440.87</v>
      </c>
      <c r="I2040" s="60">
        <f>IF(ORCAMENTOS!J2048="","",ORCAMENTOS!J2048)</f>
        <v>7.0000000000000007E-2</v>
      </c>
      <c r="J2040" s="40" t="str">
        <f>IF(ORCAMENTOS!L2048="","",ORCAMENTOS!L2048)</f>
        <v>CANCELADO</v>
      </c>
      <c r="K2040" s="34" t="str">
        <f>IF(ORCAMENTOS!M2048="","",ORCAMENTOS!M2048)</f>
        <v>-</v>
      </c>
      <c r="L2040" t="str">
        <f>IF(ORCAMENTOS!R2048="","",ORCAMENTOS!R2048)</f>
        <v>-</v>
      </c>
    </row>
    <row r="2041" spans="1:12" ht="0.6" hidden="1" customHeight="1" x14ac:dyDescent="0.25">
      <c r="A2041" s="36">
        <f>IF(ORCAMENTOS!A2049="","",ORCAMENTOS!A2049)</f>
        <v>45980</v>
      </c>
      <c r="B2041" s="46">
        <f>IF(ORCAMENTOS!B2049="","",ORCAMENTOS!B2049)</f>
        <v>2039</v>
      </c>
      <c r="C2041" s="46" t="str">
        <f>IF(ORCAMENTOS!C2049="","",ORCAMENTOS!C2049)</f>
        <v/>
      </c>
      <c r="D2041" s="37" t="str">
        <f>IF(ORCAMENTOS!D2049="","",ORCAMENTOS!D2049)</f>
        <v>ANDRE SANTOS</v>
      </c>
      <c r="E2041" s="38" t="str">
        <f>IF(ORCAMENTOS!E2049="","",ORCAMENTOS!E2049)</f>
        <v>-</v>
      </c>
      <c r="F2041" s="37" t="str">
        <f>IF(ORCAMENTOS!G2049="","",ORCAMENTOS!G2049)</f>
        <v>Gabriel</v>
      </c>
      <c r="G2041" s="37" t="str">
        <f>IF(ORCAMENTOS!H2049="","",ORCAMENTOS!H2049)</f>
        <v>Andre</v>
      </c>
      <c r="H2041" s="39">
        <f>IF(ORCAMENTOS!I2049="","",ORCAMENTOS!I2049)</f>
        <v>17612.64</v>
      </c>
      <c r="I2041" s="60">
        <f>IF(ORCAMENTOS!J2049="","",ORCAMENTOS!J2049)</f>
        <v>7.0000000000000007E-2</v>
      </c>
      <c r="J2041" s="40" t="str">
        <f>IF(ORCAMENTOS!L2049="","",ORCAMENTOS!L2049)</f>
        <v>CANCELADO</v>
      </c>
      <c r="K2041" s="34" t="str">
        <f>IF(ORCAMENTOS!M2049="","",ORCAMENTOS!M2049)</f>
        <v>-</v>
      </c>
      <c r="L2041" t="str">
        <f>IF(ORCAMENTOS!R2049="","",ORCAMENTOS!R2049)</f>
        <v>-</v>
      </c>
    </row>
    <row r="2042" spans="1:12" ht="15.75" hidden="1" customHeight="1" x14ac:dyDescent="0.25">
      <c r="A2042" s="36">
        <f>IF(ORCAMENTOS!A2050="","",ORCAMENTOS!A2050)</f>
        <v>45980</v>
      </c>
      <c r="B2042" s="46">
        <f>IF(ORCAMENTOS!B2050="","",ORCAMENTOS!B2050)</f>
        <v>2040</v>
      </c>
      <c r="C2042" s="46" t="str">
        <f>IF(ORCAMENTOS!C2050="","",ORCAMENTOS!C2050)</f>
        <v/>
      </c>
      <c r="D2042" s="37" t="str">
        <f>IF(ORCAMENTOS!D2050="","",ORCAMENTOS!D2050)</f>
        <v>ECOLOGIC AIR</v>
      </c>
      <c r="E2042" s="38" t="str">
        <f>IF(ORCAMENTOS!E2050="","",ORCAMENTOS!E2050)</f>
        <v>ATACADAO - LOJA ARICANDUVA - TELHA NORTE - SP - OPCAO A</v>
      </c>
      <c r="F2042" s="37" t="str">
        <f>IF(ORCAMENTOS!G2050="","",ORCAMENTOS!G2050)</f>
        <v>Guilherme</v>
      </c>
      <c r="G2042" s="37" t="str">
        <f>IF(ORCAMENTOS!H2050="","",ORCAMENTOS!H2050)</f>
        <v>Paula</v>
      </c>
      <c r="H2042" s="39">
        <f>IF(ORCAMENTOS!I2050="","",ORCAMENTOS!I2050)</f>
        <v>249840.37</v>
      </c>
      <c r="I2042" s="60">
        <f>IF(ORCAMENTOS!J2050="","",ORCAMENTOS!J2050)</f>
        <v>7.0000000000000007E-2</v>
      </c>
      <c r="J2042" s="40" t="str">
        <f>IF(ORCAMENTOS!L2050="","",ORCAMENTOS!L2050)</f>
        <v>CANCELADO</v>
      </c>
      <c r="K2042" s="34" t="str">
        <f>IF(ORCAMENTOS!M2050="","",ORCAMENTOS!M2050)</f>
        <v>-</v>
      </c>
      <c r="L2042" t="str">
        <f>IF(ORCAMENTOS!R2050="","",ORCAMENTOS!R2050)</f>
        <v>MPU</v>
      </c>
    </row>
    <row r="2043" spans="1:12" ht="15.75" hidden="1" customHeight="1" x14ac:dyDescent="0.25">
      <c r="A2043" s="36">
        <f>IF(ORCAMENTOS!A2051="","",ORCAMENTOS!A2051)</f>
        <v>45980</v>
      </c>
      <c r="B2043" s="46">
        <f>IF(ORCAMENTOS!B2051="","",ORCAMENTOS!B2051)</f>
        <v>2041</v>
      </c>
      <c r="C2043" s="46" t="str">
        <f>IF(ORCAMENTOS!C2051="","",ORCAMENTOS!C2051)</f>
        <v/>
      </c>
      <c r="D2043" s="37" t="str">
        <f>IF(ORCAMENTOS!D2051="","",ORCAMENTOS!D2051)</f>
        <v>ECOLOGIC AIR</v>
      </c>
      <c r="E2043" s="38" t="str">
        <f>IF(ORCAMENTOS!E2051="","",ORCAMENTOS!E2051)</f>
        <v>ATACADAO - LOJA ARICANDUVA - TELHA NORTE - SP - OPCAO B</v>
      </c>
      <c r="F2043" s="37" t="str">
        <f>IF(ORCAMENTOS!G2051="","",ORCAMENTOS!G2051)</f>
        <v>Guilherme</v>
      </c>
      <c r="G2043" s="37" t="str">
        <f>IF(ORCAMENTOS!H2051="","",ORCAMENTOS!H2051)</f>
        <v>Paula</v>
      </c>
      <c r="H2043" s="39">
        <f>IF(ORCAMENTOS!I2051="","",ORCAMENTOS!I2051)</f>
        <v>222086</v>
      </c>
      <c r="I2043" s="60">
        <f>IF(ORCAMENTOS!J2051="","",ORCAMENTOS!J2051)</f>
        <v>7.0000000000000007E-2</v>
      </c>
      <c r="J2043" s="40" t="str">
        <f>IF(ORCAMENTOS!L2051="","",ORCAMENTOS!L2051)</f>
        <v>CANCELADO</v>
      </c>
      <c r="K2043" s="34" t="str">
        <f>IF(ORCAMENTOS!M2051="","",ORCAMENTOS!M2051)</f>
        <v>-</v>
      </c>
      <c r="L2043" t="str">
        <f>IF(ORCAMENTOS!R2051="","",ORCAMENTOS!R2051)</f>
        <v>MPU</v>
      </c>
    </row>
    <row r="2044" spans="1:12" ht="15.75" hidden="1" customHeight="1" x14ac:dyDescent="0.25">
      <c r="A2044" s="36">
        <f>IF(ORCAMENTOS!A2052="","",ORCAMENTOS!A2052)</f>
        <v>45985</v>
      </c>
      <c r="B2044" s="46">
        <f>IF(ORCAMENTOS!B2052="","",ORCAMENTOS!B2052)</f>
        <v>2042</v>
      </c>
      <c r="C2044" s="46" t="str">
        <f>IF(ORCAMENTOS!C2052="","",ORCAMENTOS!C2052)</f>
        <v/>
      </c>
      <c r="D2044" s="37" t="str">
        <f>IF(ORCAMENTOS!D2052="","",ORCAMENTOS!D2052)</f>
        <v>ELETRO DALBEM</v>
      </c>
      <c r="E2044" s="38" t="str">
        <f>IF(ORCAMENTOS!E2052="","",ORCAMENTOS!E2052)</f>
        <v>-</v>
      </c>
      <c r="F2044" s="37" t="str">
        <f>IF(ORCAMENTOS!G2052="","",ORCAMENTOS!G2052)</f>
        <v>Gabriel</v>
      </c>
      <c r="G2044" s="37" t="str">
        <f>IF(ORCAMENTOS!H2052="","",ORCAMENTOS!H2052)</f>
        <v>Walison</v>
      </c>
      <c r="H2044" s="39">
        <f>IF(ORCAMENTOS!I2052="","",ORCAMENTOS!I2052)</f>
        <v>36623.82</v>
      </c>
      <c r="I2044" s="60">
        <f>IF(ORCAMENTOS!J2052="","",ORCAMENTOS!J2052)</f>
        <v>0.06</v>
      </c>
      <c r="J2044" s="40" t="str">
        <f>IF(ORCAMENTOS!L2052="","",ORCAMENTOS!L2052)</f>
        <v>FECHADO</v>
      </c>
      <c r="K2044" s="34" t="str">
        <f>IF(ORCAMENTOS!M2052="","",ORCAMENTOS!M2052)</f>
        <v>-</v>
      </c>
      <c r="L2044" t="str">
        <f>IF(ORCAMENTOS!R2052="","",ORCAMENTOS!R2052)</f>
        <v>-</v>
      </c>
    </row>
    <row r="2045" spans="1:12" ht="15.75" hidden="1" customHeight="1" x14ac:dyDescent="0.25">
      <c r="A2045" s="36">
        <f>IF(ORCAMENTOS!A2053="","",ORCAMENTOS!A2053)</f>
        <v>45985</v>
      </c>
      <c r="B2045" s="46">
        <f>IF(ORCAMENTOS!B2053="","",ORCAMENTOS!B2053)</f>
        <v>2043</v>
      </c>
      <c r="C2045" s="46" t="str">
        <f>IF(ORCAMENTOS!C2053="","",ORCAMENTOS!C2053)</f>
        <v/>
      </c>
      <c r="D2045" s="37" t="str">
        <f>IF(ORCAMENTOS!D2053="","",ORCAMENTOS!D2053)</f>
        <v>SESIL AR</v>
      </c>
      <c r="E2045" s="38" t="str">
        <f>IF(ORCAMENTOS!E2053="","",ORCAMENTOS!E2053)</f>
        <v>Smart Fit Guilhermina Praia Grande - SP</v>
      </c>
      <c r="F2045" s="37" t="str">
        <f>IF(ORCAMENTOS!G2053="","",ORCAMENTOS!G2053)</f>
        <v>Fernando</v>
      </c>
      <c r="G2045" s="37" t="str">
        <f>IF(ORCAMENTOS!H2053="","",ORCAMENTOS!H2053)</f>
        <v>Wilian</v>
      </c>
      <c r="H2045" s="39">
        <f>IF(ORCAMENTOS!I2053="","",ORCAMENTOS!I2053)</f>
        <v>7160.39</v>
      </c>
      <c r="I2045" s="60">
        <f>IF(ORCAMENTOS!J2053="","",ORCAMENTOS!J2053)</f>
        <v>0.03</v>
      </c>
      <c r="J2045" s="40" t="str">
        <f>IF(ORCAMENTOS!L2053="","",ORCAMENTOS!L2053)</f>
        <v>FECHADO</v>
      </c>
      <c r="K2045" s="34" t="str">
        <f>IF(ORCAMENTOS!M2053="","",ORCAMENTOS!M2053)</f>
        <v>-</v>
      </c>
      <c r="L2045" t="str">
        <f>IF(ORCAMENTOS!R2053="","",ORCAMENTOS!R2053)</f>
        <v>-</v>
      </c>
    </row>
    <row r="2046" spans="1:12" ht="15.75" hidden="1" customHeight="1" x14ac:dyDescent="0.25">
      <c r="A2046" s="36">
        <f>IF(ORCAMENTOS!A2054="","",ORCAMENTOS!A2054)</f>
        <v>45986</v>
      </c>
      <c r="B2046" s="46">
        <f>IF(ORCAMENTOS!B2054="","",ORCAMENTOS!B2054)</f>
        <v>2044</v>
      </c>
      <c r="C2046" s="46" t="str">
        <f>IF(ORCAMENTOS!C2054="","",ORCAMENTOS!C2054)</f>
        <v>R1</v>
      </c>
      <c r="D2046" s="37" t="str">
        <f>IF(ORCAMENTOS!D2054="","",ORCAMENTOS!D2054)</f>
        <v>INOVECTOR</v>
      </c>
      <c r="E2046" s="38" t="str">
        <f>IF(ORCAMENTOS!E2054="","",ORCAMENTOS!E2054)</f>
        <v>4°PAV - STA. ISABEL</v>
      </c>
      <c r="F2046" s="37" t="str">
        <f>IF(ORCAMENTOS!G2054="","",ORCAMENTOS!G2054)</f>
        <v>Fernando</v>
      </c>
      <c r="G2046" s="37" t="str">
        <f>IF(ORCAMENTOS!H2054="","",ORCAMENTOS!H2054)</f>
        <v>Cristina</v>
      </c>
      <c r="H2046" s="39">
        <f>IF(ORCAMENTOS!I2054="","",ORCAMENTOS!I2054)</f>
        <v>40738.18</v>
      </c>
      <c r="I2046" s="60">
        <f>IF(ORCAMENTOS!J2054="","",ORCAMENTOS!J2054)</f>
        <v>0.03</v>
      </c>
      <c r="J2046" s="40" t="str">
        <f>IF(ORCAMENTOS!L2054="","",ORCAMENTOS!L2054)</f>
        <v>FECHADO</v>
      </c>
      <c r="K2046" s="34" t="str">
        <f>IF(ORCAMENTOS!M2054="","",ORCAMENTOS!M2054)</f>
        <v>-</v>
      </c>
      <c r="L2046" t="str">
        <f>IF(ORCAMENTOS!R2054="","",ORCAMENTOS!R2054)</f>
        <v>-</v>
      </c>
    </row>
    <row r="2047" spans="1:12" ht="15.75" hidden="1" customHeight="1" x14ac:dyDescent="0.25">
      <c r="A2047" s="36">
        <f>IF(ORCAMENTOS!A2055="","",ORCAMENTOS!A2055)</f>
        <v>45985</v>
      </c>
      <c r="B2047" s="46">
        <f>IF(ORCAMENTOS!B2055="","",ORCAMENTOS!B2055)</f>
        <v>2045</v>
      </c>
      <c r="C2047" s="46" t="str">
        <f>IF(ORCAMENTOS!C2055="","",ORCAMENTOS!C2055)</f>
        <v/>
      </c>
      <c r="D2047" s="37" t="str">
        <f>IF(ORCAMENTOS!D2055="","",ORCAMENTOS!D2055)</f>
        <v>NEWSET</v>
      </c>
      <c r="E2047" s="38" t="str">
        <f>IF(ORCAMENTOS!E2055="","",ORCAMENTOS!E2055)</f>
        <v xml:space="preserve">REDE D'OR SÃO LUIS S.A. 13 - ZONA LESTE TATUAPÉ </v>
      </c>
      <c r="F2047" s="37" t="str">
        <f>IF(ORCAMENTOS!G2055="","",ORCAMENTOS!G2055)</f>
        <v xml:space="preserve">Aldavir </v>
      </c>
      <c r="G2047" s="37" t="str">
        <f>IF(ORCAMENTOS!H2055="","",ORCAMENTOS!H2055)</f>
        <v>Tassya</v>
      </c>
      <c r="H2047" s="39">
        <f>IF(ORCAMENTOS!I2055="","",ORCAMENTOS!I2055)</f>
        <v>1100000</v>
      </c>
      <c r="I2047" s="60">
        <f>IF(ORCAMENTOS!J2055="","",ORCAMENTOS!J2055)</f>
        <v>0.03</v>
      </c>
      <c r="J2047" s="40" t="str">
        <f>IF(ORCAMENTOS!L2055="","",ORCAMENTOS!L2055)</f>
        <v>FECHADO</v>
      </c>
      <c r="K2047" s="34" t="str">
        <f>IF(ORCAMENTOS!M2055="","",ORCAMENTOS!M2055)</f>
        <v>-</v>
      </c>
      <c r="L2047" t="str">
        <f>IF(ORCAMENTOS!R2055="","",ORCAMENTOS!R2055)</f>
        <v>-</v>
      </c>
    </row>
    <row r="2048" spans="1:12" ht="15.75" hidden="1" customHeight="1" x14ac:dyDescent="0.25">
      <c r="A2048" s="36">
        <f>IF(ORCAMENTOS!A2056="","",ORCAMENTOS!A2056)</f>
        <v>45985</v>
      </c>
      <c r="B2048" s="46">
        <f>IF(ORCAMENTOS!B2056="","",ORCAMENTOS!B2056)</f>
        <v>2046</v>
      </c>
      <c r="C2048" s="46" t="str">
        <f>IF(ORCAMENTOS!C2056="","",ORCAMENTOS!C2056)</f>
        <v/>
      </c>
      <c r="D2048" s="37" t="str">
        <f>IF(ORCAMENTOS!D2056="","",ORCAMENTOS!D2056)</f>
        <v>ABREU &amp; CARVALHO</v>
      </c>
      <c r="E2048" s="38" t="str">
        <f>IF(ORCAMENTOS!E2056="","",ORCAMENTOS!E2056)</f>
        <v>-</v>
      </c>
      <c r="F2048" s="37" t="str">
        <f>IF(ORCAMENTOS!G2056="","",ORCAMENTOS!G2056)</f>
        <v>Gabriel</v>
      </c>
      <c r="G2048" s="37" t="str">
        <f>IF(ORCAMENTOS!H2056="","",ORCAMENTOS!H2056)</f>
        <v>Thiago</v>
      </c>
      <c r="H2048" s="39">
        <f>IF(ORCAMENTOS!I2056="","",ORCAMENTOS!I2056)</f>
        <v>5625</v>
      </c>
      <c r="I2048" s="60">
        <f>IF(ORCAMENTOS!J2056="","",ORCAMENTOS!J2056)</f>
        <v>7.0000000000000007E-2</v>
      </c>
      <c r="J2048" s="40" t="str">
        <f>IF(ORCAMENTOS!L2056="","",ORCAMENTOS!L2056)</f>
        <v>CANCELADO</v>
      </c>
      <c r="K2048" s="34" t="str">
        <f>IF(ORCAMENTOS!M2056="","",ORCAMENTOS!M2056)</f>
        <v>-</v>
      </c>
      <c r="L2048" t="str">
        <f>IF(ORCAMENTOS!R2056="","",ORCAMENTOS!R2056)</f>
        <v>-</v>
      </c>
    </row>
    <row r="2049" spans="1:12" ht="15.75" hidden="1" customHeight="1" x14ac:dyDescent="0.25">
      <c r="A2049" s="36">
        <f>IF(ORCAMENTOS!A2057="","",ORCAMENTOS!A2057)</f>
        <v>45985</v>
      </c>
      <c r="B2049" s="46">
        <f>IF(ORCAMENTOS!B2057="","",ORCAMENTOS!B2057)</f>
        <v>2047</v>
      </c>
      <c r="C2049" s="46" t="str">
        <f>IF(ORCAMENTOS!C2057="","",ORCAMENTOS!C2057)</f>
        <v/>
      </c>
      <c r="D2049" s="37" t="str">
        <f>IF(ORCAMENTOS!D2057="","",ORCAMENTOS!D2057)</f>
        <v>R1 SOLUCOES</v>
      </c>
      <c r="E2049" s="38" t="str">
        <f>IF(ORCAMENTOS!E2057="","",ORCAMENTOS!E2057)</f>
        <v>-</v>
      </c>
      <c r="F2049" s="37" t="str">
        <f>IF(ORCAMENTOS!G2057="","",ORCAMENTOS!G2057)</f>
        <v>Gabriel</v>
      </c>
      <c r="G2049" s="37" t="str">
        <f>IF(ORCAMENTOS!H2057="","",ORCAMENTOS!H2057)</f>
        <v>Janaina</v>
      </c>
      <c r="H2049" s="39">
        <f>IF(ORCAMENTOS!I2057="","",ORCAMENTOS!I2057)</f>
        <v>17887.830000000002</v>
      </c>
      <c r="I2049" s="60">
        <f>IF(ORCAMENTOS!J2057="","",ORCAMENTOS!J2057)</f>
        <v>7.0000000000000007E-2</v>
      </c>
      <c r="J2049" s="40" t="str">
        <f>IF(ORCAMENTOS!L2057="","",ORCAMENTOS!L2057)</f>
        <v>CANCELADO</v>
      </c>
      <c r="K2049" s="34" t="str">
        <f>IF(ORCAMENTOS!M2057="","",ORCAMENTOS!M2057)</f>
        <v>-</v>
      </c>
      <c r="L2049" t="str">
        <f>IF(ORCAMENTOS!R2057="","",ORCAMENTOS!R2057)</f>
        <v>-</v>
      </c>
    </row>
    <row r="2050" spans="1:12" ht="15.75" hidden="1" customHeight="1" x14ac:dyDescent="0.25">
      <c r="A2050" s="36">
        <f>IF(ORCAMENTOS!A2058="","",ORCAMENTOS!A2058)</f>
        <v>45985</v>
      </c>
      <c r="B2050" s="46">
        <f>IF(ORCAMENTOS!B2058="","",ORCAMENTOS!B2058)</f>
        <v>2048</v>
      </c>
      <c r="C2050" s="46" t="str">
        <f>IF(ORCAMENTOS!C2058="","",ORCAMENTOS!C2058)</f>
        <v/>
      </c>
      <c r="D2050" s="37" t="str">
        <f>IF(ORCAMENTOS!D2058="","",ORCAMENTOS!D2058)</f>
        <v>ELETRO DALBEM</v>
      </c>
      <c r="E2050" s="38" t="str">
        <f>IF(ORCAMENTOS!E2058="","",ORCAMENTOS!E2058)</f>
        <v>-</v>
      </c>
      <c r="F2050" s="37" t="str">
        <f>IF(ORCAMENTOS!G2058="","",ORCAMENTOS!G2058)</f>
        <v>Gabriel</v>
      </c>
      <c r="G2050" s="37" t="str">
        <f>IF(ORCAMENTOS!H2058="","",ORCAMENTOS!H2058)</f>
        <v>Walison</v>
      </c>
      <c r="H2050" s="39">
        <f>IF(ORCAMENTOS!I2058="","",ORCAMENTOS!I2058)</f>
        <v>3091.49</v>
      </c>
      <c r="I2050" s="60">
        <f>IF(ORCAMENTOS!J2058="","",ORCAMENTOS!J2058)</f>
        <v>7.0000000000000007E-2</v>
      </c>
      <c r="J2050" s="40" t="str">
        <f>IF(ORCAMENTOS!L2058="","",ORCAMENTOS!L2058)</f>
        <v>CANCELADO</v>
      </c>
      <c r="K2050" s="34" t="str">
        <f>IF(ORCAMENTOS!M2058="","",ORCAMENTOS!M2058)</f>
        <v>-</v>
      </c>
      <c r="L2050" t="str">
        <f>IF(ORCAMENTOS!R2058="","",ORCAMENTOS!R2058)</f>
        <v>-</v>
      </c>
    </row>
    <row r="2051" spans="1:12" ht="15.75" hidden="1" customHeight="1" x14ac:dyDescent="0.25">
      <c r="A2051" s="36">
        <f>IF(ORCAMENTOS!A2059="","",ORCAMENTOS!A2059)</f>
        <v>45985</v>
      </c>
      <c r="B2051" s="46">
        <f>IF(ORCAMENTOS!B2059="","",ORCAMENTOS!B2059)</f>
        <v>2049</v>
      </c>
      <c r="C2051" s="46" t="str">
        <f>IF(ORCAMENTOS!C2059="","",ORCAMENTOS!C2059)</f>
        <v/>
      </c>
      <c r="D2051" s="37" t="str">
        <f>IF(ORCAMENTOS!D2059="","",ORCAMENTOS!D2059)</f>
        <v>DOMPER REFRIGERACAO</v>
      </c>
      <c r="E2051" s="38" t="str">
        <f>IF(ORCAMENTOS!E2059="","",ORCAMENTOS!E2059)</f>
        <v>-</v>
      </c>
      <c r="F2051" s="37" t="str">
        <f>IF(ORCAMENTOS!G2059="","",ORCAMENTOS!G2059)</f>
        <v>Gabriel</v>
      </c>
      <c r="G2051" s="37" t="str">
        <f>IF(ORCAMENTOS!H2059="","",ORCAMENTOS!H2059)</f>
        <v>Danilo</v>
      </c>
      <c r="H2051" s="39">
        <f>IF(ORCAMENTOS!I2059="","",ORCAMENTOS!I2059)</f>
        <v>8927.98</v>
      </c>
      <c r="I2051" s="60">
        <f>IF(ORCAMENTOS!J2059="","",ORCAMENTOS!J2059)</f>
        <v>7.0000000000000007E-2</v>
      </c>
      <c r="J2051" s="40" t="str">
        <f>IF(ORCAMENTOS!L2059="","",ORCAMENTOS!L2059)</f>
        <v>CANCELADO</v>
      </c>
      <c r="K2051" s="34" t="str">
        <f>IF(ORCAMENTOS!M2059="","",ORCAMENTOS!M2059)</f>
        <v>-</v>
      </c>
      <c r="L2051" t="str">
        <f>IF(ORCAMENTOS!R2059="","",ORCAMENTOS!R2059)</f>
        <v>-</v>
      </c>
    </row>
    <row r="2052" spans="1:12" ht="15.75" hidden="1" customHeight="1" x14ac:dyDescent="0.25">
      <c r="A2052" s="36">
        <f>IF(ORCAMENTOS!A2060="","",ORCAMENTOS!A2060)</f>
        <v>45986</v>
      </c>
      <c r="B2052" s="46">
        <f>IF(ORCAMENTOS!B2060="","",ORCAMENTOS!B2060)</f>
        <v>2050</v>
      </c>
      <c r="C2052" s="46" t="str">
        <f>IF(ORCAMENTOS!C2060="","",ORCAMENTOS!C2060)</f>
        <v/>
      </c>
      <c r="D2052" s="37" t="str">
        <f>IF(ORCAMENTOS!D2060="","",ORCAMENTOS!D2060)</f>
        <v>SESIL AR</v>
      </c>
      <c r="E2052" s="38" t="str">
        <f>IF(ORCAMENTOS!E2060="","",ORCAMENTOS!E2060)</f>
        <v>Smart Fit Uberlândia - MG</v>
      </c>
      <c r="F2052" s="37" t="str">
        <f>IF(ORCAMENTOS!G2060="","",ORCAMENTOS!G2060)</f>
        <v>Fernando</v>
      </c>
      <c r="G2052" s="37" t="str">
        <f>IF(ORCAMENTOS!H2060="","",ORCAMENTOS!H2060)</f>
        <v>Wilian</v>
      </c>
      <c r="H2052" s="39">
        <f>IF(ORCAMENTOS!I2060="","",ORCAMENTOS!I2060)</f>
        <v>16045.2</v>
      </c>
      <c r="I2052" s="60">
        <f>IF(ORCAMENTOS!J2060="","",ORCAMENTOS!J2060)</f>
        <v>0.03</v>
      </c>
      <c r="J2052" s="40" t="str">
        <f>IF(ORCAMENTOS!L2060="","",ORCAMENTOS!L2060)</f>
        <v>FECHADO</v>
      </c>
      <c r="K2052" s="34" t="str">
        <f>IF(ORCAMENTOS!M2060="","",ORCAMENTOS!M2060)</f>
        <v>-</v>
      </c>
      <c r="L2052" t="str">
        <f>IF(ORCAMENTOS!R2060="","",ORCAMENTOS!R2060)</f>
        <v>-</v>
      </c>
    </row>
    <row r="2053" spans="1:12" ht="15.75" hidden="1" customHeight="1" x14ac:dyDescent="0.25">
      <c r="A2053" s="36">
        <f>IF(ORCAMENTOS!A2061="","",ORCAMENTOS!A2061)</f>
        <v>45986</v>
      </c>
      <c r="B2053" s="46">
        <f>IF(ORCAMENTOS!B2061="","",ORCAMENTOS!B2061)</f>
        <v>2051</v>
      </c>
      <c r="C2053" s="46" t="str">
        <f>IF(ORCAMENTOS!C2061="","",ORCAMENTOS!C2061)</f>
        <v/>
      </c>
      <c r="D2053" s="37" t="str">
        <f>IF(ORCAMENTOS!D2061="","",ORCAMENTOS!D2061)</f>
        <v>CLIMASPACE</v>
      </c>
      <c r="E2053" s="38" t="str">
        <f>IF(ORCAMENTOS!E2061="","",ORCAMENTOS!E2061)</f>
        <v>SCHOTT PHARMA</v>
      </c>
      <c r="F2053" s="37" t="str">
        <f>IF(ORCAMENTOS!G2061="","",ORCAMENTOS!G2061)</f>
        <v xml:space="preserve">Aldavir </v>
      </c>
      <c r="G2053" s="37" t="str">
        <f>IF(ORCAMENTOS!H2061="","",ORCAMENTOS!H2061)</f>
        <v>Sirley</v>
      </c>
      <c r="H2053" s="39">
        <f>IF(ORCAMENTOS!I2061="","",ORCAMENTOS!I2061)</f>
        <v>48300</v>
      </c>
      <c r="I2053" s="60">
        <f>IF(ORCAMENTOS!J2061="","",ORCAMENTOS!J2061)</f>
        <v>7.0000000000000007E-2</v>
      </c>
      <c r="J2053" s="40" t="str">
        <f>IF(ORCAMENTOS!L2061="","",ORCAMENTOS!L2061)</f>
        <v>FECHADO</v>
      </c>
      <c r="K2053" s="34" t="str">
        <f>IF(ORCAMENTOS!M2061="","",ORCAMENTOS!M2061)</f>
        <v>-</v>
      </c>
      <c r="L2053" t="str">
        <f>IF(ORCAMENTOS!R2061="","",ORCAMENTOS!R2061)</f>
        <v>-</v>
      </c>
    </row>
    <row r="2054" spans="1:12" ht="15.75" hidden="1" customHeight="1" x14ac:dyDescent="0.25">
      <c r="A2054" s="36">
        <f>IF(ORCAMENTOS!A2062="","",ORCAMENTOS!A2062)</f>
        <v>45986</v>
      </c>
      <c r="B2054" s="46">
        <f>IF(ORCAMENTOS!B2062="","",ORCAMENTOS!B2062)</f>
        <v>2052</v>
      </c>
      <c r="C2054" s="46" t="str">
        <f>IF(ORCAMENTOS!C2062="","",ORCAMENTOS!C2062)</f>
        <v/>
      </c>
      <c r="D2054" s="37" t="str">
        <f>IF(ORCAMENTOS!D2062="","",ORCAMENTOS!D2062)</f>
        <v>DUCTAIR</v>
      </c>
      <c r="E2054" s="38" t="str">
        <f>IF(ORCAMENTOS!E2062="","",ORCAMENTOS!E2062)</f>
        <v>AEROPORTO JOAO CORREA DA ROCHA - MARABA</v>
      </c>
      <c r="F2054" s="37" t="str">
        <f>IF(ORCAMENTOS!G2062="","",ORCAMENTOS!G2062)</f>
        <v>Gabriel</v>
      </c>
      <c r="G2054" s="37" t="str">
        <f>IF(ORCAMENTOS!H2062="","",ORCAMENTOS!H2062)</f>
        <v>Wyllian</v>
      </c>
      <c r="H2054" s="39">
        <f>IF(ORCAMENTOS!I2062="","",ORCAMENTOS!I2062)</f>
        <v>151595.6</v>
      </c>
      <c r="I2054" s="60">
        <f>IF(ORCAMENTOS!J2062="","",ORCAMENTOS!J2062)</f>
        <v>7.0000000000000007E-2</v>
      </c>
      <c r="J2054" s="40" t="str">
        <f>IF(ORCAMENTOS!L2062="","",ORCAMENTOS!L2062)</f>
        <v>CANCELADO</v>
      </c>
      <c r="K2054" s="34" t="str">
        <f>IF(ORCAMENTOS!M2062="","",ORCAMENTOS!M2062)</f>
        <v>-</v>
      </c>
      <c r="L2054" t="str">
        <f>IF(ORCAMENTOS!R2062="","",ORCAMENTOS!R2062)</f>
        <v>MPU</v>
      </c>
    </row>
    <row r="2055" spans="1:12" ht="15.75" hidden="1" customHeight="1" x14ac:dyDescent="0.25">
      <c r="A2055" s="36">
        <f>IF(ORCAMENTOS!A2063="","",ORCAMENTOS!A2063)</f>
        <v>45986</v>
      </c>
      <c r="B2055" s="46">
        <f>IF(ORCAMENTOS!B2063="","",ORCAMENTOS!B2063)</f>
        <v>2053</v>
      </c>
      <c r="C2055" s="46" t="str">
        <f>IF(ORCAMENTOS!C2063="","",ORCAMENTOS!C2063)</f>
        <v/>
      </c>
      <c r="D2055" s="37" t="str">
        <f>IF(ORCAMENTOS!D2063="","",ORCAMENTOS!D2063)</f>
        <v>AMS INSTALACOES</v>
      </c>
      <c r="E2055" s="38" t="str">
        <f>IF(ORCAMENTOS!E2063="","",ORCAMENTOS!E2063)</f>
        <v>FORT ATACADISTA - 845 MANOEL ELIAS - PORTO ALEGRE - RS</v>
      </c>
      <c r="F2055" s="37" t="str">
        <f>IF(ORCAMENTOS!G2063="","",ORCAMENTOS!G2063)</f>
        <v>Gabriel</v>
      </c>
      <c r="G2055" s="37" t="str">
        <f>IF(ORCAMENTOS!H2063="","",ORCAMENTOS!H2063)</f>
        <v>Albertino</v>
      </c>
      <c r="H2055" s="39">
        <f>IF(ORCAMENTOS!I2063="","",ORCAMENTOS!I2063)</f>
        <v>115398.07</v>
      </c>
      <c r="I2055" s="60">
        <f>IF(ORCAMENTOS!J2063="","",ORCAMENTOS!J2063)</f>
        <v>7.0000000000000007E-2</v>
      </c>
      <c r="J2055" s="40" t="str">
        <f>IF(ORCAMENTOS!L2063="","",ORCAMENTOS!L2063)</f>
        <v>CANCELADO</v>
      </c>
      <c r="K2055" s="34" t="str">
        <f>IF(ORCAMENTOS!M2063="","",ORCAMENTOS!M2063)</f>
        <v>-</v>
      </c>
      <c r="L2055" t="str">
        <f>IF(ORCAMENTOS!R2063="","",ORCAMENTOS!R2063)</f>
        <v>MPU</v>
      </c>
    </row>
    <row r="2056" spans="1:12" ht="15.75" hidden="1" customHeight="1" x14ac:dyDescent="0.25">
      <c r="A2056" s="36">
        <f>IF(ORCAMENTOS!A2064="","",ORCAMENTOS!A2064)</f>
        <v>45986</v>
      </c>
      <c r="B2056" s="46">
        <f>IF(ORCAMENTOS!B2064="","",ORCAMENTOS!B2064)</f>
        <v>2054</v>
      </c>
      <c r="C2056" s="46" t="str">
        <f>IF(ORCAMENTOS!C2064="","",ORCAMENTOS!C2064)</f>
        <v/>
      </c>
      <c r="D2056" s="37" t="str">
        <f>IF(ORCAMENTOS!D2064="","",ORCAMENTOS!D2064)</f>
        <v>SESIL AR</v>
      </c>
      <c r="E2056" s="38" t="str">
        <f>IF(ORCAMENTOS!E2064="","",ORCAMENTOS!E2064)</f>
        <v>Smart Fit Guilhermina - SP</v>
      </c>
      <c r="F2056" s="37" t="str">
        <f>IF(ORCAMENTOS!G2064="","",ORCAMENTOS!G2064)</f>
        <v>Fernando</v>
      </c>
      <c r="G2056" s="37" t="str">
        <f>IF(ORCAMENTOS!H2064="","",ORCAMENTOS!H2064)</f>
        <v>Wilian</v>
      </c>
      <c r="H2056" s="39">
        <f>IF(ORCAMENTOS!I2064="","",ORCAMENTOS!I2064)</f>
        <v>11602.22</v>
      </c>
      <c r="I2056" s="60">
        <f>IF(ORCAMENTOS!J2064="","",ORCAMENTOS!J2064)</f>
        <v>0.03</v>
      </c>
      <c r="J2056" s="40" t="str">
        <f>IF(ORCAMENTOS!L2064="","",ORCAMENTOS!L2064)</f>
        <v>FECHADO</v>
      </c>
      <c r="K2056" s="34" t="str">
        <f>IF(ORCAMENTOS!M2064="","",ORCAMENTOS!M2064)</f>
        <v>-</v>
      </c>
      <c r="L2056" t="str">
        <f>IF(ORCAMENTOS!R2064="","",ORCAMENTOS!R2064)</f>
        <v>-</v>
      </c>
    </row>
    <row r="2057" spans="1:12" ht="15.75" hidden="1" customHeight="1" x14ac:dyDescent="0.25">
      <c r="A2057" s="36">
        <f>IF(ORCAMENTOS!A2065="","",ORCAMENTOS!A2065)</f>
        <v>45987</v>
      </c>
      <c r="B2057" s="46">
        <f>IF(ORCAMENTOS!B2065="","",ORCAMENTOS!B2065)</f>
        <v>2055</v>
      </c>
      <c r="C2057" s="46" t="str">
        <f>IF(ORCAMENTOS!C2065="","",ORCAMENTOS!C2065)</f>
        <v>R1</v>
      </c>
      <c r="D2057" s="37" t="str">
        <f>IF(ORCAMENTOS!D2065="","",ORCAMENTOS!D2065)</f>
        <v>SESIL AR</v>
      </c>
      <c r="E2057" s="38" t="str">
        <f>IF(ORCAMENTOS!E2065="","",ORCAMENTOS!E2065)</f>
        <v>Smart Fit Uberlândia - MG</v>
      </c>
      <c r="F2057" s="37" t="str">
        <f>IF(ORCAMENTOS!G2065="","",ORCAMENTOS!G2065)</f>
        <v>Fernando</v>
      </c>
      <c r="G2057" s="37" t="str">
        <f>IF(ORCAMENTOS!H2065="","",ORCAMENTOS!H2065)</f>
        <v>Wilian</v>
      </c>
      <c r="H2057" s="39">
        <f>IF(ORCAMENTOS!I2065="","",ORCAMENTOS!I2065)</f>
        <v>6020.65</v>
      </c>
      <c r="I2057" s="60">
        <f>IF(ORCAMENTOS!J2065="","",ORCAMENTOS!J2065)</f>
        <v>0.03</v>
      </c>
      <c r="J2057" s="40" t="str">
        <f>IF(ORCAMENTOS!L2065="","",ORCAMENTOS!L2065)</f>
        <v>FECHADO</v>
      </c>
      <c r="K2057" s="34" t="str">
        <f>IF(ORCAMENTOS!M2065="","",ORCAMENTOS!M2065)</f>
        <v>-</v>
      </c>
      <c r="L2057" t="str">
        <f>IF(ORCAMENTOS!R2065="","",ORCAMENTOS!R2065)</f>
        <v>-</v>
      </c>
    </row>
    <row r="2058" spans="1:12" ht="15.75" hidden="1" customHeight="1" x14ac:dyDescent="0.25">
      <c r="A2058" s="36">
        <f>IF(ORCAMENTOS!A2066="","",ORCAMENTOS!A2066)</f>
        <v>45986</v>
      </c>
      <c r="B2058" s="46">
        <f>IF(ORCAMENTOS!B2066="","",ORCAMENTOS!B2066)</f>
        <v>2056</v>
      </c>
      <c r="C2058" s="46" t="str">
        <f>IF(ORCAMENTOS!C2066="","",ORCAMENTOS!C2066)</f>
        <v/>
      </c>
      <c r="D2058" s="37" t="str">
        <f>IF(ORCAMENTOS!D2066="","",ORCAMENTOS!D2066)</f>
        <v>BEG NATURAL</v>
      </c>
      <c r="E2058" s="38" t="str">
        <f>IF(ORCAMENTOS!E2066="","",ORCAMENTOS!E2066)</f>
        <v>AP MAURO MUTRAN - HAUS MITRE JARDIM - SP</v>
      </c>
      <c r="F2058" s="37" t="str">
        <f>IF(ORCAMENTOS!G2066="","",ORCAMENTOS!G2066)</f>
        <v>Gabriel</v>
      </c>
      <c r="G2058" s="37" t="str">
        <f>IF(ORCAMENTOS!H2066="","",ORCAMENTOS!H2066)</f>
        <v>Luciana</v>
      </c>
      <c r="H2058" s="39">
        <f>IF(ORCAMENTOS!I2066="","",ORCAMENTOS!I2066)</f>
        <v>7664.6</v>
      </c>
      <c r="I2058" s="60">
        <f>IF(ORCAMENTOS!J2066="","",ORCAMENTOS!J2066)</f>
        <v>7.0000000000000007E-2</v>
      </c>
      <c r="J2058" s="40" t="str">
        <f>IF(ORCAMENTOS!L2066="","",ORCAMENTOS!L2066)</f>
        <v>CANCELADO</v>
      </c>
      <c r="K2058" s="34" t="str">
        <f>IF(ORCAMENTOS!M2066="","",ORCAMENTOS!M2066)</f>
        <v>-</v>
      </c>
      <c r="L2058" t="str">
        <f>IF(ORCAMENTOS!R2066="","",ORCAMENTOS!R2066)</f>
        <v>MPU</v>
      </c>
    </row>
    <row r="2059" spans="1:12" ht="15.75" hidden="1" customHeight="1" x14ac:dyDescent="0.25">
      <c r="A2059" s="36">
        <f>IF(ORCAMENTOS!A2067="","",ORCAMENTOS!A2067)</f>
        <v>45986</v>
      </c>
      <c r="B2059" s="46">
        <f>IF(ORCAMENTOS!B2067="","",ORCAMENTOS!B2067)</f>
        <v>2057</v>
      </c>
      <c r="C2059" s="46" t="str">
        <f>IF(ORCAMENTOS!C2067="","",ORCAMENTOS!C2067)</f>
        <v/>
      </c>
      <c r="D2059" s="37" t="str">
        <f>IF(ORCAMENTOS!D2067="","",ORCAMENTOS!D2067)</f>
        <v>THERMOMATIC</v>
      </c>
      <c r="E2059" s="38" t="str">
        <f>IF(ORCAMENTOS!E2067="","",ORCAMENTOS!E2067)</f>
        <v>-</v>
      </c>
      <c r="F2059" s="37" t="str">
        <f>IF(ORCAMENTOS!G2067="","",ORCAMENTOS!G2067)</f>
        <v>Gabriel</v>
      </c>
      <c r="G2059" s="37" t="str">
        <f>IF(ORCAMENTOS!H2067="","",ORCAMENTOS!H2067)</f>
        <v>Tais</v>
      </c>
      <c r="H2059" s="39">
        <f>IF(ORCAMENTOS!I2067="","",ORCAMENTOS!I2067)</f>
        <v>800.39</v>
      </c>
      <c r="I2059" s="60">
        <f>IF(ORCAMENTOS!J2067="","",ORCAMENTOS!J2067)</f>
        <v>7.0000000000000007E-2</v>
      </c>
      <c r="J2059" s="40" t="str">
        <f>IF(ORCAMENTOS!L2067="","",ORCAMENTOS!L2067)</f>
        <v>FECHADO</v>
      </c>
      <c r="K2059" s="34" t="str">
        <f>IF(ORCAMENTOS!M2067="","",ORCAMENTOS!M2067)</f>
        <v>-</v>
      </c>
      <c r="L2059" t="str">
        <f>IF(ORCAMENTOS!R2067="","",ORCAMENTOS!R2067)</f>
        <v>-</v>
      </c>
    </row>
    <row r="2060" spans="1:12" ht="15.75" hidden="1" customHeight="1" x14ac:dyDescent="0.25">
      <c r="A2060" s="36">
        <f>IF(ORCAMENTOS!A2068="","",ORCAMENTOS!A2068)</f>
        <v>46037</v>
      </c>
      <c r="B2060" s="46">
        <f>IF(ORCAMENTOS!B2068="","",ORCAMENTOS!B2068)</f>
        <v>2058</v>
      </c>
      <c r="C2060" s="46" t="str">
        <f>IF(ORCAMENTOS!C2068="","",ORCAMENTOS!C2068)</f>
        <v/>
      </c>
      <c r="D2060" s="37" t="str">
        <f>IF(ORCAMENTOS!D2068="","",ORCAMENTOS!D2068)</f>
        <v>ENEBRAS</v>
      </c>
      <c r="E2060" s="38" t="str">
        <f>IF(ORCAMENTOS!E2068="","",ORCAMENTOS!E2068)</f>
        <v>4434_ONCO_REMA - 4434-25 - HOSPITAL ASSUNÇÃO - ONCOLOGIA E REMA</v>
      </c>
      <c r="F2060" s="37" t="str">
        <f>IF(ORCAMENTOS!G2068="","",ORCAMENTOS!G2068)</f>
        <v>Michel</v>
      </c>
      <c r="G2060" s="37" t="str">
        <f>IF(ORCAMENTOS!H2068="","",ORCAMENTOS!H2068)</f>
        <v>Gabrielle</v>
      </c>
      <c r="H2060" s="39">
        <f>IF(ORCAMENTOS!I2068="","",ORCAMENTOS!I2068)</f>
        <v>4990.3999999999996</v>
      </c>
      <c r="I2060" s="60">
        <f>IF(ORCAMENTOS!J2068="","",ORCAMENTOS!J2068)</f>
        <v>0.05</v>
      </c>
      <c r="J2060" s="40" t="str">
        <f>IF(ORCAMENTOS!L2068="","",ORCAMENTOS!L2068)</f>
        <v>PERDIDO</v>
      </c>
      <c r="K2060" s="34" t="str">
        <f>IF(ORCAMENTOS!M2068="","",ORCAMENTOS!M2068)</f>
        <v>MULTIVAC - PREÇO</v>
      </c>
      <c r="L2060" t="str">
        <f>IF(ORCAMENTOS!R2068="","",ORCAMENTOS!R2068)</f>
        <v>-</v>
      </c>
    </row>
    <row r="2061" spans="1:12" ht="15.75" hidden="1" customHeight="1" x14ac:dyDescent="0.25">
      <c r="A2061" s="36">
        <f>IF(ORCAMENTOS!A2069="","",ORCAMENTOS!A2069)</f>
        <v>45987</v>
      </c>
      <c r="B2061" s="46">
        <f>IF(ORCAMENTOS!B2069="","",ORCAMENTOS!B2069)</f>
        <v>2059</v>
      </c>
      <c r="C2061" s="46" t="str">
        <f>IF(ORCAMENTOS!C2069="","",ORCAMENTOS!C2069)</f>
        <v/>
      </c>
      <c r="D2061" s="37" t="str">
        <f>IF(ORCAMENTOS!D2069="","",ORCAMENTOS!D2069)</f>
        <v>JOSELITO OLIVEIRA</v>
      </c>
      <c r="E2061" s="38" t="str">
        <f>IF(ORCAMENTOS!E2069="","",ORCAMENTOS!E2069)</f>
        <v>IMT - INSTITUTO MAUA DE TECNOLOGIA - SÃO CAETANO DO SUL - SP</v>
      </c>
      <c r="F2061" s="37" t="str">
        <f>IF(ORCAMENTOS!G2069="","",ORCAMENTOS!G2069)</f>
        <v>Guilherme</v>
      </c>
      <c r="G2061" s="37" t="str">
        <f>IF(ORCAMENTOS!H2069="","",ORCAMENTOS!H2069)</f>
        <v>Joselito</v>
      </c>
      <c r="H2061" s="39">
        <f>IF(ORCAMENTOS!I2069="","",ORCAMENTOS!I2069)</f>
        <v>18999.02</v>
      </c>
      <c r="I2061" s="60">
        <f>IF(ORCAMENTOS!J2069="","",ORCAMENTOS!J2069)</f>
        <v>7.0000000000000007E-2</v>
      </c>
      <c r="J2061" s="40" t="str">
        <f>IF(ORCAMENTOS!L2069="","",ORCAMENTOS!L2069)</f>
        <v>CANCELADO</v>
      </c>
      <c r="K2061" s="34" t="str">
        <f>IF(ORCAMENTOS!M2069="","",ORCAMENTOS!M2069)</f>
        <v>-</v>
      </c>
      <c r="L2061" t="str">
        <f>IF(ORCAMENTOS!R2069="","",ORCAMENTOS!R2069)</f>
        <v>ACO GALVANIZADO</v>
      </c>
    </row>
    <row r="2062" spans="1:12" ht="15.75" hidden="1" customHeight="1" x14ac:dyDescent="0.25">
      <c r="A2062" s="36">
        <f>IF(ORCAMENTOS!A2070="","",ORCAMENTOS!A2070)</f>
        <v>45987</v>
      </c>
      <c r="B2062" s="46">
        <f>IF(ORCAMENTOS!B2070="","",ORCAMENTOS!B2070)</f>
        <v>2060</v>
      </c>
      <c r="C2062" s="46" t="str">
        <f>IF(ORCAMENTOS!C2070="","",ORCAMENTOS!C2070)</f>
        <v/>
      </c>
      <c r="D2062" s="37" t="str">
        <f>IF(ORCAMENTOS!D2070="","",ORCAMENTOS!D2070)</f>
        <v>AIRLIX</v>
      </c>
      <c r="E2062" s="38" t="str">
        <f>IF(ORCAMENTOS!E2070="","",ORCAMENTOS!E2070)</f>
        <v>MARGIRIUS - FERRAMENTARIA</v>
      </c>
      <c r="F2062" s="37" t="str">
        <f>IF(ORCAMENTOS!G2070="","",ORCAMENTOS!G2070)</f>
        <v>Gabriel</v>
      </c>
      <c r="G2062" s="37" t="str">
        <f>IF(ORCAMENTOS!H2070="","",ORCAMENTOS!H2070)</f>
        <v>Victor</v>
      </c>
      <c r="H2062" s="39">
        <f>IF(ORCAMENTOS!I2070="","",ORCAMENTOS!I2070)</f>
        <v>54294.87</v>
      </c>
      <c r="I2062" s="60">
        <f>IF(ORCAMENTOS!J2070="","",ORCAMENTOS!J2070)</f>
        <v>7.0000000000000007E-2</v>
      </c>
      <c r="J2062" s="40" t="str">
        <f>IF(ORCAMENTOS!L2070="","",ORCAMENTOS!L2070)</f>
        <v>COMPRA</v>
      </c>
      <c r="K2062" s="34" t="str">
        <f>IF(ORCAMENTOS!M2070="","",ORCAMENTOS!M2070)</f>
        <v>-</v>
      </c>
      <c r="L2062" t="str">
        <f>IF(ORCAMENTOS!R2070="","",ORCAMENTOS!R2070)</f>
        <v>MPU</v>
      </c>
    </row>
    <row r="2063" spans="1:12" ht="15.75" hidden="1" customHeight="1" x14ac:dyDescent="0.25">
      <c r="A2063" s="36">
        <f>IF(ORCAMENTOS!A2071="","",ORCAMENTOS!A2071)</f>
        <v>45987</v>
      </c>
      <c r="B2063" s="46">
        <f>IF(ORCAMENTOS!B2071="","",ORCAMENTOS!B2071)</f>
        <v>2061</v>
      </c>
      <c r="C2063" s="46" t="str">
        <f>IF(ORCAMENTOS!C2071="","",ORCAMENTOS!C2071)</f>
        <v/>
      </c>
      <c r="D2063" s="37" t="str">
        <f>IF(ORCAMENTOS!D2071="","",ORCAMENTOS!D2071)</f>
        <v>PRODAC</v>
      </c>
      <c r="E2063" s="38" t="str">
        <f>IF(ORCAMENTOS!E2071="","",ORCAMENTOS!E2071)</f>
        <v>Parque Global - Einstein</v>
      </c>
      <c r="F2063" s="37" t="str">
        <f>IF(ORCAMENTOS!G2071="","",ORCAMENTOS!G2071)</f>
        <v>Fernando</v>
      </c>
      <c r="G2063" s="37" t="str">
        <f>IF(ORCAMENTOS!H2071="","",ORCAMENTOS!H2071)</f>
        <v>Henirque</v>
      </c>
      <c r="H2063" s="39">
        <f>IF(ORCAMENTOS!I2071="","",ORCAMENTOS!I2071)</f>
        <v>4275.38</v>
      </c>
      <c r="I2063" s="60">
        <f>IF(ORCAMENTOS!J2071="","",ORCAMENTOS!J2071)</f>
        <v>7.0000000000000007E-2</v>
      </c>
      <c r="J2063" s="40" t="str">
        <f>IF(ORCAMENTOS!L2071="","",ORCAMENTOS!L2071)</f>
        <v>CANCELADO</v>
      </c>
      <c r="K2063" s="34" t="str">
        <f>IF(ORCAMENTOS!M2071="","",ORCAMENTOS!M2071)</f>
        <v>ESTOQUE</v>
      </c>
      <c r="L2063" t="str">
        <f>IF(ORCAMENTOS!R2071="","",ORCAMENTOS!R2071)</f>
        <v>-</v>
      </c>
    </row>
    <row r="2064" spans="1:12" ht="15.75" hidden="1" customHeight="1" x14ac:dyDescent="0.25">
      <c r="A2064" s="36">
        <f>IF(ORCAMENTOS!A2072="","",ORCAMENTOS!A2072)</f>
        <v>45987</v>
      </c>
      <c r="B2064" s="46">
        <f>IF(ORCAMENTOS!B2072="","",ORCAMENTOS!B2072)</f>
        <v>2062</v>
      </c>
      <c r="C2064" s="46" t="str">
        <f>IF(ORCAMENTOS!C2072="","",ORCAMENTOS!C2072)</f>
        <v/>
      </c>
      <c r="D2064" s="37" t="str">
        <f>IF(ORCAMENTOS!D2072="","",ORCAMENTOS!D2072)</f>
        <v>AR SISTEMAS</v>
      </c>
      <c r="E2064" s="38" t="str">
        <f>IF(ORCAMENTOS!E2072="","",ORCAMENTOS!E2072)</f>
        <v>DABI BUSINESS PARK - RIBEIRAO PRETO - SP</v>
      </c>
      <c r="F2064" s="37" t="str">
        <f>IF(ORCAMENTOS!G2072="","",ORCAMENTOS!G2072)</f>
        <v>Michel</v>
      </c>
      <c r="G2064" s="37" t="str">
        <f>IF(ORCAMENTOS!H2072="","",ORCAMENTOS!H2072)</f>
        <v>Anderson</v>
      </c>
      <c r="H2064" s="39">
        <f>IF(ORCAMENTOS!I2072="","",ORCAMENTOS!I2072)</f>
        <v>39777.730000000003</v>
      </c>
      <c r="I2064" s="60">
        <f>IF(ORCAMENTOS!J2072="","",ORCAMENTOS!J2072)</f>
        <v>7.0000000000000007E-2</v>
      </c>
      <c r="J2064" s="40" t="str">
        <f>IF(ORCAMENTOS!L2072="","",ORCAMENTOS!L2072)</f>
        <v>CANCELADO</v>
      </c>
      <c r="K2064" s="34" t="str">
        <f>IF(ORCAMENTOS!M2072="","",ORCAMENTOS!M2072)</f>
        <v>-</v>
      </c>
      <c r="L2064" t="str">
        <f>IF(ORCAMENTOS!R2072="","",ORCAMENTOS!R2072)</f>
        <v>CHAPA DE ACO GALVANIZADO</v>
      </c>
    </row>
    <row r="2065" spans="1:12" ht="15.75" hidden="1" customHeight="1" x14ac:dyDescent="0.25">
      <c r="A2065" s="36">
        <f>IF(ORCAMENTOS!A2073="","",ORCAMENTOS!A2073)</f>
        <v>45987</v>
      </c>
      <c r="B2065" s="46">
        <f>IF(ORCAMENTOS!B2073="","",ORCAMENTOS!B2073)</f>
        <v>2063</v>
      </c>
      <c r="C2065" s="46" t="str">
        <f>IF(ORCAMENTOS!C2073="","",ORCAMENTOS!C2073)</f>
        <v/>
      </c>
      <c r="D2065" s="37" t="str">
        <f>IF(ORCAMENTOS!D2073="","",ORCAMENTOS!D2073)</f>
        <v>TERMODINAMICA</v>
      </c>
      <c r="E2065" s="38" t="str">
        <f>IF(ORCAMENTOS!E2073="","",ORCAMENTOS!E2073)</f>
        <v>COMTEC</v>
      </c>
      <c r="F2065" s="37" t="str">
        <f>IF(ORCAMENTOS!G2073="","",ORCAMENTOS!G2073)</f>
        <v xml:space="preserve">Aldavir </v>
      </c>
      <c r="G2065" s="37" t="str">
        <f>IF(ORCAMENTOS!H2073="","",ORCAMENTOS!H2073)</f>
        <v>James</v>
      </c>
      <c r="H2065" s="39">
        <f>IF(ORCAMENTOS!I2073="","",ORCAMENTOS!I2073)</f>
        <v>10106.48</v>
      </c>
      <c r="I2065" s="60">
        <f>IF(ORCAMENTOS!J2073="","",ORCAMENTOS!J2073)</f>
        <v>0.04</v>
      </c>
      <c r="J2065" s="40" t="str">
        <f>IF(ORCAMENTOS!L2073="","",ORCAMENTOS!L2073)</f>
        <v>FECHADO</v>
      </c>
      <c r="K2065" s="34" t="str">
        <f>IF(ORCAMENTOS!M2073="","",ORCAMENTOS!M2073)</f>
        <v>-</v>
      </c>
      <c r="L2065" t="str">
        <f>IF(ORCAMENTOS!R2073="","",ORCAMENTOS!R2073)</f>
        <v>-</v>
      </c>
    </row>
    <row r="2066" spans="1:12" ht="15.75" hidden="1" customHeight="1" x14ac:dyDescent="0.25">
      <c r="A2066" s="36">
        <f>IF(ORCAMENTOS!A2074="","",ORCAMENTOS!A2074)</f>
        <v>45988</v>
      </c>
      <c r="B2066" s="46">
        <f>IF(ORCAMENTOS!B2074="","",ORCAMENTOS!B2074)</f>
        <v>2064</v>
      </c>
      <c r="C2066" s="46" t="str">
        <f>IF(ORCAMENTOS!C2074="","",ORCAMENTOS!C2074)</f>
        <v/>
      </c>
      <c r="D2066" s="37" t="str">
        <f>IF(ORCAMENTOS!D2074="","",ORCAMENTOS!D2074)</f>
        <v>NP CLIMATIZAÇÃO</v>
      </c>
      <c r="E2066" s="38" t="str">
        <f>IF(ORCAMENTOS!E2074="","",ORCAMENTOS!E2074)</f>
        <v>GALLI</v>
      </c>
      <c r="F2066" s="37" t="str">
        <f>IF(ORCAMENTOS!G2074="","",ORCAMENTOS!G2074)</f>
        <v>Guilherme</v>
      </c>
      <c r="G2066" s="37" t="str">
        <f>IF(ORCAMENTOS!H2074="","",ORCAMENTOS!H2074)</f>
        <v>Maria</v>
      </c>
      <c r="H2066" s="39">
        <f>IF(ORCAMENTOS!I2074="","",ORCAMENTOS!I2074)</f>
        <v>3351.54</v>
      </c>
      <c r="I2066" s="60">
        <f>IF(ORCAMENTOS!J2074="","",ORCAMENTOS!J2074)</f>
        <v>0.04</v>
      </c>
      <c r="J2066" s="40" t="str">
        <f>IF(ORCAMENTOS!L2074="","",ORCAMENTOS!L2074)</f>
        <v>CANCELADO</v>
      </c>
      <c r="K2066" s="34" t="str">
        <f>IF(ORCAMENTOS!M2074="","",ORCAMENTOS!M2074)</f>
        <v>-</v>
      </c>
      <c r="L2066" t="str">
        <f>IF(ORCAMENTOS!R2074="","",ORCAMENTOS!R2074)</f>
        <v>-</v>
      </c>
    </row>
    <row r="2067" spans="1:12" ht="15.75" hidden="1" customHeight="1" x14ac:dyDescent="0.25">
      <c r="A2067" s="36">
        <f>IF(ORCAMENTOS!A2075="","",ORCAMENTOS!A2075)</f>
        <v>45994</v>
      </c>
      <c r="B2067" s="46">
        <f>IF(ORCAMENTOS!B2075="","",ORCAMENTOS!B2075)</f>
        <v>2065</v>
      </c>
      <c r="C2067" s="46" t="str">
        <f>IF(ORCAMENTOS!C2075="","",ORCAMENTOS!C2075)</f>
        <v>R4</v>
      </c>
      <c r="D2067" s="37" t="str">
        <f>IF(ORCAMENTOS!D2075="","",ORCAMENTOS!D2075)</f>
        <v>VNS SOLUCOES</v>
      </c>
      <c r="E2067" s="38" t="str">
        <f>IF(ORCAMENTOS!E2075="","",ORCAMENTOS!E2075)</f>
        <v>-</v>
      </c>
      <c r="F2067" s="37" t="str">
        <f>IF(ORCAMENTOS!G2075="","",ORCAMENTOS!G2075)</f>
        <v>Gabriel</v>
      </c>
      <c r="G2067" s="37" t="str">
        <f>IF(ORCAMENTOS!H2075="","",ORCAMENTOS!H2075)</f>
        <v>Vinicius</v>
      </c>
      <c r="H2067" s="39">
        <f>IF(ORCAMENTOS!I2075="","",ORCAMENTOS!I2075)</f>
        <v>13796.35</v>
      </c>
      <c r="I2067" s="60">
        <f>IF(ORCAMENTOS!J2075="","",ORCAMENTOS!J2075)</f>
        <v>0.06</v>
      </c>
      <c r="J2067" s="40" t="str">
        <f>IF(ORCAMENTOS!L2075="","",ORCAMENTOS!L2075)</f>
        <v>FECHADO</v>
      </c>
      <c r="K2067" s="34" t="str">
        <f>IF(ORCAMENTOS!M2075="","",ORCAMENTOS!M2075)</f>
        <v>-</v>
      </c>
      <c r="L2067" t="str">
        <f>IF(ORCAMENTOS!R2075="","",ORCAMENTOS!R2075)</f>
        <v>-</v>
      </c>
    </row>
    <row r="2068" spans="1:12" ht="15.75" hidden="1" customHeight="1" x14ac:dyDescent="0.25">
      <c r="A2068" s="36">
        <f>IF(ORCAMENTOS!A2076="","",ORCAMENTOS!A2076)</f>
        <v>45988</v>
      </c>
      <c r="B2068" s="46">
        <f>IF(ORCAMENTOS!B2076="","",ORCAMENTOS!B2076)</f>
        <v>2066</v>
      </c>
      <c r="C2068" s="46" t="str">
        <f>IF(ORCAMENTOS!C2076="","",ORCAMENTOS!C2076)</f>
        <v/>
      </c>
      <c r="D2068" s="37" t="str">
        <f>IF(ORCAMENTOS!D2076="","",ORCAMENTOS!D2076)</f>
        <v>NEWSET</v>
      </c>
      <c r="E2068" s="38" t="str">
        <f>IF(ORCAMENTOS!E2076="","",ORCAMENTOS!E2076)</f>
        <v>Hosp. São Luiz Osasco - UTI 7º Pav.</v>
      </c>
      <c r="F2068" s="37" t="str">
        <f>IF(ORCAMENTOS!G2076="","",ORCAMENTOS!G2076)</f>
        <v xml:space="preserve">Aldavir </v>
      </c>
      <c r="G2068" s="37" t="str">
        <f>IF(ORCAMENTOS!H2076="","",ORCAMENTOS!H2076)</f>
        <v>David</v>
      </c>
      <c r="H2068" s="39">
        <f>IF(ORCAMENTOS!I2076="","",ORCAMENTOS!I2076)</f>
        <v>8612.9699999999993</v>
      </c>
      <c r="I2068" s="60">
        <f>IF(ORCAMENTOS!J2076="","",ORCAMENTOS!J2076)</f>
        <v>7.0000000000000007E-2</v>
      </c>
      <c r="J2068" s="40" t="str">
        <f>IF(ORCAMENTOS!L2076="","",ORCAMENTOS!L2076)</f>
        <v>CANCELADO</v>
      </c>
      <c r="K2068" s="34" t="str">
        <f>IF(ORCAMENTOS!M2076="","",ORCAMENTOS!M2076)</f>
        <v>-</v>
      </c>
      <c r="L2068" t="str">
        <f>IF(ORCAMENTOS!R2076="","",ORCAMENTOS!R2076)</f>
        <v>-</v>
      </c>
    </row>
    <row r="2069" spans="1:12" ht="15.75" hidden="1" customHeight="1" x14ac:dyDescent="0.25">
      <c r="A2069" s="36">
        <f>IF(ORCAMENTOS!A2077="","",ORCAMENTOS!A2077)</f>
        <v>45988</v>
      </c>
      <c r="B2069" s="46">
        <f>IF(ORCAMENTOS!B2077="","",ORCAMENTOS!B2077)</f>
        <v>2067</v>
      </c>
      <c r="C2069" s="46" t="str">
        <f>IF(ORCAMENTOS!C2077="","",ORCAMENTOS!C2077)</f>
        <v/>
      </c>
      <c r="D2069" s="37" t="str">
        <f>IF(ORCAMENTOS!D2077="","",ORCAMENTOS!D2077)</f>
        <v>NEWSET</v>
      </c>
      <c r="E2069" s="38" t="str">
        <f>IF(ORCAMENTOS!E2077="","",ORCAMENTOS!E2077)</f>
        <v>Hosp. São Luiz Osasco - UTI 7º Pav.</v>
      </c>
      <c r="F2069" s="37" t="str">
        <f>IF(ORCAMENTOS!G2077="","",ORCAMENTOS!G2077)</f>
        <v xml:space="preserve">Aldavir </v>
      </c>
      <c r="G2069" s="37" t="str">
        <f>IF(ORCAMENTOS!H2077="","",ORCAMENTOS!H2077)</f>
        <v>David</v>
      </c>
      <c r="H2069" s="39">
        <f>IF(ORCAMENTOS!I2077="","",ORCAMENTOS!I2077)</f>
        <v>10696.59</v>
      </c>
      <c r="I2069" s="60">
        <f>IF(ORCAMENTOS!J2077="","",ORCAMENTOS!J2077)</f>
        <v>7.0000000000000007E-2</v>
      </c>
      <c r="J2069" s="40" t="str">
        <f>IF(ORCAMENTOS!L2077="","",ORCAMENTOS!L2077)</f>
        <v>CANCELADO</v>
      </c>
      <c r="K2069" s="34" t="str">
        <f>IF(ORCAMENTOS!M2077="","",ORCAMENTOS!M2077)</f>
        <v>-</v>
      </c>
      <c r="L2069" t="str">
        <f>IF(ORCAMENTOS!R2077="","",ORCAMENTOS!R2077)</f>
        <v>-</v>
      </c>
    </row>
    <row r="2070" spans="1:12" ht="15.75" hidden="1" customHeight="1" x14ac:dyDescent="0.25">
      <c r="A2070" s="36">
        <f>IF(ORCAMENTOS!A2078="","",ORCAMENTOS!A2078)</f>
        <v>45988</v>
      </c>
      <c r="B2070" s="46">
        <f>IF(ORCAMENTOS!B2078="","",ORCAMENTOS!B2078)</f>
        <v>2068</v>
      </c>
      <c r="C2070" s="46" t="str">
        <f>IF(ORCAMENTOS!C2078="","",ORCAMENTOS!C2078)</f>
        <v/>
      </c>
      <c r="D2070" s="37" t="str">
        <f>IF(ORCAMENTOS!D2078="","",ORCAMENTOS!D2078)</f>
        <v>NEWSET</v>
      </c>
      <c r="E2070" s="38" t="str">
        <f>IF(ORCAMENTOS!E2078="","",ORCAMENTOS!E2078)</f>
        <v>Hosp. São Luiz Osasco - UTI 7º Pav.</v>
      </c>
      <c r="F2070" s="37" t="str">
        <f>IF(ORCAMENTOS!G2078="","",ORCAMENTOS!G2078)</f>
        <v xml:space="preserve">Aldavir </v>
      </c>
      <c r="G2070" s="37" t="str">
        <f>IF(ORCAMENTOS!H2078="","",ORCAMENTOS!H2078)</f>
        <v>David</v>
      </c>
      <c r="H2070" s="39">
        <f>IF(ORCAMENTOS!I2078="","",ORCAMENTOS!I2078)</f>
        <v>10457.9</v>
      </c>
      <c r="I2070" s="60">
        <f>IF(ORCAMENTOS!J2078="","",ORCAMENTOS!J2078)</f>
        <v>7.0000000000000007E-2</v>
      </c>
      <c r="J2070" s="40" t="str">
        <f>IF(ORCAMENTOS!L2078="","",ORCAMENTOS!L2078)</f>
        <v>CANCELADO</v>
      </c>
      <c r="K2070" s="34" t="str">
        <f>IF(ORCAMENTOS!M2078="","",ORCAMENTOS!M2078)</f>
        <v>-</v>
      </c>
      <c r="L2070" t="str">
        <f>IF(ORCAMENTOS!R2078="","",ORCAMENTOS!R2078)</f>
        <v>-</v>
      </c>
    </row>
    <row r="2071" spans="1:12" ht="15.75" hidden="1" customHeight="1" x14ac:dyDescent="0.25">
      <c r="A2071" s="36">
        <f>IF(ORCAMENTOS!A2079="","",ORCAMENTOS!A2079)</f>
        <v>45988</v>
      </c>
      <c r="B2071" s="46">
        <f>IF(ORCAMENTOS!B2079="","",ORCAMENTOS!B2079)</f>
        <v>2069</v>
      </c>
      <c r="C2071" s="46" t="str">
        <f>IF(ORCAMENTOS!C2079="","",ORCAMENTOS!C2079)</f>
        <v/>
      </c>
      <c r="D2071" s="37" t="str">
        <f>IF(ORCAMENTOS!D2079="","",ORCAMENTOS!D2079)</f>
        <v>GLOBAL AR CONDICIONADO</v>
      </c>
      <c r="E2071" s="38" t="str">
        <f>IF(ORCAMENTOS!E2079="","",ORCAMENTOS!E2079)</f>
        <v>-</v>
      </c>
      <c r="F2071" s="37" t="str">
        <f>IF(ORCAMENTOS!G2079="","",ORCAMENTOS!G2079)</f>
        <v>Emanuel</v>
      </c>
      <c r="G2071" s="37" t="str">
        <f>IF(ORCAMENTOS!H2079="","",ORCAMENTOS!H2079)</f>
        <v/>
      </c>
      <c r="H2071" s="39">
        <f>IF(ORCAMENTOS!I2079="","",ORCAMENTOS!I2079)</f>
        <v>1930</v>
      </c>
      <c r="I2071" s="60">
        <f>IF(ORCAMENTOS!J2079="","",ORCAMENTOS!J2079)</f>
        <v>7.0000000000000007E-2</v>
      </c>
      <c r="J2071" s="40" t="str">
        <f>IF(ORCAMENTOS!L2079="","",ORCAMENTOS!L2079)</f>
        <v>CANCELADO</v>
      </c>
      <c r="K2071" s="34" t="str">
        <f>IF(ORCAMENTOS!M2079="","",ORCAMENTOS!M2079)</f>
        <v>-</v>
      </c>
      <c r="L2071" t="str">
        <f>IF(ORCAMENTOS!R2079="","",ORCAMENTOS!R2079)</f>
        <v>-</v>
      </c>
    </row>
    <row r="2072" spans="1:12" ht="15.75" hidden="1" customHeight="1" x14ac:dyDescent="0.25">
      <c r="A2072" s="36">
        <f>IF(ORCAMENTOS!A2080="","",ORCAMENTOS!A2080)</f>
        <v>45988</v>
      </c>
      <c r="B2072" s="46">
        <f>IF(ORCAMENTOS!B2080="","",ORCAMENTOS!B2080)</f>
        <v>2070</v>
      </c>
      <c r="C2072" s="46" t="str">
        <f>IF(ORCAMENTOS!C2080="","",ORCAMENTOS!C2080)</f>
        <v/>
      </c>
      <c r="D2072" s="37" t="str">
        <f>IF(ORCAMENTOS!D2080="","",ORCAMENTOS!D2080)</f>
        <v>RM3 ENGENHARIA</v>
      </c>
      <c r="E2072" s="38" t="str">
        <f>IF(ORCAMENTOS!E2080="","",ORCAMENTOS!E2080)</f>
        <v>HOSPITAL SÃO LUIZ OSASCO - RETROFIT - UTI</v>
      </c>
      <c r="F2072" s="37" t="str">
        <f>IF(ORCAMENTOS!G2080="","",ORCAMENTOS!G2080)</f>
        <v>Guilherme</v>
      </c>
      <c r="G2072" s="37" t="str">
        <f>IF(ORCAMENTOS!H2080="","",ORCAMENTOS!H2080)</f>
        <v>Lenah</v>
      </c>
      <c r="H2072" s="39">
        <f>IF(ORCAMENTOS!I2080="","",ORCAMENTOS!I2080)</f>
        <v>25792.85</v>
      </c>
      <c r="I2072" s="60">
        <f>IF(ORCAMENTOS!J2080="","",ORCAMENTOS!J2080)</f>
        <v>0.05</v>
      </c>
      <c r="J2072" s="40" t="str">
        <f>IF(ORCAMENTOS!L2080="","",ORCAMENTOS!L2080)</f>
        <v>CANCELADO</v>
      </c>
      <c r="K2072" s="34" t="str">
        <f>IF(ORCAMENTOS!M2080="","",ORCAMENTOS!M2080)</f>
        <v>-</v>
      </c>
      <c r="L2072" t="str">
        <f>IF(ORCAMENTOS!R2080="","",ORCAMENTOS!R2080)</f>
        <v>-</v>
      </c>
    </row>
    <row r="2073" spans="1:12" ht="15.75" hidden="1" customHeight="1" x14ac:dyDescent="0.25">
      <c r="A2073" s="36">
        <f>IF(ORCAMENTOS!A2081="","",ORCAMENTOS!A2081)</f>
        <v>45988</v>
      </c>
      <c r="B2073" s="46">
        <f>IF(ORCAMENTOS!B2081="","",ORCAMENTOS!B2081)</f>
        <v>2071</v>
      </c>
      <c r="C2073" s="46" t="str">
        <f>IF(ORCAMENTOS!C2081="","",ORCAMENTOS!C2081)</f>
        <v/>
      </c>
      <c r="D2073" s="37" t="str">
        <f>IF(ORCAMENTOS!D2081="","",ORCAMENTOS!D2081)</f>
        <v>ECOLOGIC AIR</v>
      </c>
      <c r="E2073" s="38" t="str">
        <f>IF(ORCAMENTOS!E2081="","",ORCAMENTOS!E2081)</f>
        <v>-</v>
      </c>
      <c r="F2073" s="37" t="str">
        <f>IF(ORCAMENTOS!G2081="","",ORCAMENTOS!G2081)</f>
        <v>Michel</v>
      </c>
      <c r="G2073" s="37" t="str">
        <f>IF(ORCAMENTOS!H2081="","",ORCAMENTOS!H2081)</f>
        <v>Vinicius</v>
      </c>
      <c r="H2073" s="39">
        <f>IF(ORCAMENTOS!I2081="","",ORCAMENTOS!I2081)</f>
        <v>553.69000000000005</v>
      </c>
      <c r="I2073" s="60">
        <f>IF(ORCAMENTOS!J2081="","",ORCAMENTOS!J2081)</f>
        <v>7.0000000000000007E-2</v>
      </c>
      <c r="J2073" s="40" t="str">
        <f>IF(ORCAMENTOS!L2081="","",ORCAMENTOS!L2081)</f>
        <v>CANCELADO</v>
      </c>
      <c r="K2073" s="34" t="str">
        <f>IF(ORCAMENTOS!M2081="","",ORCAMENTOS!M2081)</f>
        <v>-</v>
      </c>
      <c r="L2073" t="str">
        <f>IF(ORCAMENTOS!R2081="","",ORCAMENTOS!R2081)</f>
        <v/>
      </c>
    </row>
    <row r="2074" spans="1:12" ht="15.75" hidden="1" customHeight="1" x14ac:dyDescent="0.25">
      <c r="A2074" s="36">
        <f>IF(ORCAMENTOS!A2082="","",ORCAMENTOS!A2082)</f>
        <v>45988</v>
      </c>
      <c r="B2074" s="46">
        <f>IF(ORCAMENTOS!B2082="","",ORCAMENTOS!B2082)</f>
        <v>2072</v>
      </c>
      <c r="C2074" s="46" t="str">
        <f>IF(ORCAMENTOS!C2082="","",ORCAMENTOS!C2082)</f>
        <v/>
      </c>
      <c r="D2074" s="37" t="str">
        <f>IF(ORCAMENTOS!D2082="","",ORCAMENTOS!D2082)</f>
        <v>MJ CLIMATIZACAO</v>
      </c>
      <c r="E2074" s="38" t="str">
        <f>IF(ORCAMENTOS!E2082="","",ORCAMENTOS!E2082)</f>
        <v>RENNER 592 - PARTAGE - DF</v>
      </c>
      <c r="F2074" s="37" t="str">
        <f>IF(ORCAMENTOS!G2082="","",ORCAMENTOS!G2082)</f>
        <v>Emanuel</v>
      </c>
      <c r="G2074" s="37" t="str">
        <f>IF(ORCAMENTOS!H2082="","",ORCAMENTOS!H2082)</f>
        <v>Escobar</v>
      </c>
      <c r="H2074" s="39">
        <f>IF(ORCAMENTOS!I2082="","",ORCAMENTOS!I2082)</f>
        <v>178655.6</v>
      </c>
      <c r="I2074" s="60">
        <f>IF(ORCAMENTOS!J2082="","",ORCAMENTOS!J2082)</f>
        <v>7.0000000000000007E-2</v>
      </c>
      <c r="J2074" s="40" t="str">
        <f>IF(ORCAMENTOS!L2082="","",ORCAMENTOS!L2082)</f>
        <v>CANCELADO</v>
      </c>
      <c r="K2074" s="34" t="str">
        <f>IF(ORCAMENTOS!M2082="","",ORCAMENTOS!M2082)</f>
        <v>-</v>
      </c>
      <c r="L2074" t="str">
        <f>IF(ORCAMENTOS!R2082="","",ORCAMENTOS!R2082)</f>
        <v>-</v>
      </c>
    </row>
    <row r="2075" spans="1:12" ht="15.75" hidden="1" customHeight="1" x14ac:dyDescent="0.25">
      <c r="A2075" s="36">
        <f>IF(ORCAMENTOS!A2083="","",ORCAMENTOS!A2083)</f>
        <v>45988</v>
      </c>
      <c r="B2075" s="46">
        <f>IF(ORCAMENTOS!B2083="","",ORCAMENTOS!B2083)</f>
        <v>2073</v>
      </c>
      <c r="C2075" s="46" t="str">
        <f>IF(ORCAMENTOS!C2083="","",ORCAMENTOS!C2083)</f>
        <v/>
      </c>
      <c r="D2075" s="37" t="str">
        <f>IF(ORCAMENTOS!D2083="","",ORCAMENTOS!D2083)</f>
        <v>AIRCAM</v>
      </c>
      <c r="E2075" s="38" t="str">
        <f>IF(ORCAMENTOS!E2083="","",ORCAMENTOS!E2083)</f>
        <v>-</v>
      </c>
      <c r="F2075" s="37" t="str">
        <f>IF(ORCAMENTOS!G2083="","",ORCAMENTOS!G2083)</f>
        <v>Gabriel</v>
      </c>
      <c r="G2075" s="37" t="str">
        <f>IF(ORCAMENTOS!H2083="","",ORCAMENTOS!H2083)</f>
        <v>Luan</v>
      </c>
      <c r="H2075" s="39">
        <f>IF(ORCAMENTOS!I2083="","",ORCAMENTOS!I2083)</f>
        <v>758.27</v>
      </c>
      <c r="I2075" s="60">
        <f>IF(ORCAMENTOS!J2083="","",ORCAMENTOS!J2083)</f>
        <v>7.0000000000000007E-2</v>
      </c>
      <c r="J2075" s="40" t="str">
        <f>IF(ORCAMENTOS!L2083="","",ORCAMENTOS!L2083)</f>
        <v>FECHADO</v>
      </c>
      <c r="K2075" s="34" t="str">
        <f>IF(ORCAMENTOS!M2083="","",ORCAMENTOS!M2083)</f>
        <v>-</v>
      </c>
      <c r="L2075" t="str">
        <f>IF(ORCAMENTOS!R2083="","",ORCAMENTOS!R2083)</f>
        <v>-</v>
      </c>
    </row>
    <row r="2076" spans="1:12" ht="15.75" hidden="1" customHeight="1" x14ac:dyDescent="0.25">
      <c r="A2076" s="36">
        <f>IF(ORCAMENTOS!A2084="","",ORCAMENTOS!A2084)</f>
        <v>45988</v>
      </c>
      <c r="B2076" s="46">
        <f>IF(ORCAMENTOS!B2084="","",ORCAMENTOS!B2084)</f>
        <v>2074</v>
      </c>
      <c r="C2076" s="46" t="str">
        <f>IF(ORCAMENTOS!C2084="","",ORCAMENTOS!C2084)</f>
        <v/>
      </c>
      <c r="D2076" s="37" t="str">
        <f>IF(ORCAMENTOS!D2084="","",ORCAMENTOS!D2084)</f>
        <v>TIVOLI</v>
      </c>
      <c r="E2076" s="38" t="str">
        <f>IF(ORCAMENTOS!E2084="","",ORCAMENTOS!E2084)</f>
        <v>-</v>
      </c>
      <c r="F2076" s="37" t="str">
        <f>IF(ORCAMENTOS!G2084="","",ORCAMENTOS!G2084)</f>
        <v>Gabriel</v>
      </c>
      <c r="G2076" s="37" t="str">
        <f>IF(ORCAMENTOS!H2084="","",ORCAMENTOS!H2084)</f>
        <v>Anderson</v>
      </c>
      <c r="H2076" s="39">
        <f>IF(ORCAMENTOS!I2084="","",ORCAMENTOS!I2084)</f>
        <v>1040</v>
      </c>
      <c r="I2076" s="60">
        <f>IF(ORCAMENTOS!J2084="","",ORCAMENTOS!J2084)</f>
        <v>7.0000000000000007E-2</v>
      </c>
      <c r="J2076" s="40" t="str">
        <f>IF(ORCAMENTOS!L2084="","",ORCAMENTOS!L2084)</f>
        <v>CANCELADO</v>
      </c>
      <c r="K2076" s="34" t="str">
        <f>IF(ORCAMENTOS!M2084="","",ORCAMENTOS!M2084)</f>
        <v>-</v>
      </c>
      <c r="L2076" t="str">
        <f>IF(ORCAMENTOS!R2084="","",ORCAMENTOS!R2084)</f>
        <v>-</v>
      </c>
    </row>
    <row r="2077" spans="1:12" ht="15.75" hidden="1" customHeight="1" x14ac:dyDescent="0.25">
      <c r="A2077" s="36">
        <f>IF(ORCAMENTOS!A2085="","",ORCAMENTOS!A2085)</f>
        <v>45989</v>
      </c>
      <c r="B2077" s="46">
        <f>IF(ORCAMENTOS!B2085="","",ORCAMENTOS!B2085)</f>
        <v>2075</v>
      </c>
      <c r="C2077" s="46" t="str">
        <f>IF(ORCAMENTOS!C2085="","",ORCAMENTOS!C2085)</f>
        <v/>
      </c>
      <c r="D2077" s="37" t="str">
        <f>IF(ORCAMENTOS!D2085="","",ORCAMENTOS!D2085)</f>
        <v>AR SISTEMAS</v>
      </c>
      <c r="E2077" s="38" t="str">
        <f>IF(ORCAMENTOS!E2085="","",ORCAMENTOS!E2085)</f>
        <v>HOSPITAL GERAL PIRAJUSSARA - CME - TABOAO DA SERRA - SP</v>
      </c>
      <c r="F2077" s="37" t="str">
        <f>IF(ORCAMENTOS!G2085="","",ORCAMENTOS!G2085)</f>
        <v>Michel</v>
      </c>
      <c r="G2077" s="37" t="str">
        <f>IF(ORCAMENTOS!H2085="","",ORCAMENTOS!H2085)</f>
        <v>Gilson</v>
      </c>
      <c r="H2077" s="39">
        <f>IF(ORCAMENTOS!I2085="","",ORCAMENTOS!I2085)</f>
        <v>34786.54</v>
      </c>
      <c r="I2077" s="60">
        <f>IF(ORCAMENTOS!J2085="","",ORCAMENTOS!J2085)</f>
        <v>7.0000000000000007E-2</v>
      </c>
      <c r="J2077" s="40" t="str">
        <f>IF(ORCAMENTOS!L2085="","",ORCAMENTOS!L2085)</f>
        <v>CANCELADO</v>
      </c>
      <c r="K2077" s="34" t="str">
        <f>IF(ORCAMENTOS!M2085="","",ORCAMENTOS!M2085)</f>
        <v>-</v>
      </c>
      <c r="L2077" t="str">
        <f>IF(ORCAMENTOS!R2085="","",ORCAMENTOS!R2085)</f>
        <v>N/E</v>
      </c>
    </row>
    <row r="2078" spans="1:12" ht="15.75" hidden="1" customHeight="1" x14ac:dyDescent="0.25">
      <c r="A2078" s="36">
        <f>IF(ORCAMENTOS!A2086="","",ORCAMENTOS!A2086)</f>
        <v>45989</v>
      </c>
      <c r="B2078" s="46">
        <f>IF(ORCAMENTOS!B2086="","",ORCAMENTOS!B2086)</f>
        <v>2076</v>
      </c>
      <c r="C2078" s="46" t="str">
        <f>IF(ORCAMENTOS!C2086="","",ORCAMENTOS!C2086)</f>
        <v/>
      </c>
      <c r="D2078" s="37" t="str">
        <f>IF(ORCAMENTOS!D2086="","",ORCAMENTOS!D2086)</f>
        <v>GDM AR CONDICIONADO</v>
      </c>
      <c r="E2078" s="38" t="str">
        <f>IF(ORCAMENTOS!E2086="","",ORCAMENTOS!E2086)</f>
        <v>CSSM ITAQUERA - TEATRO - SP</v>
      </c>
      <c r="F2078" s="37" t="str">
        <f>IF(ORCAMENTOS!G2086="","",ORCAMENTOS!G2086)</f>
        <v>Guilherme</v>
      </c>
      <c r="G2078" s="37" t="str">
        <f>IF(ORCAMENTOS!H2086="","",ORCAMENTOS!H2086)</f>
        <v>Daniel</v>
      </c>
      <c r="H2078" s="39">
        <f>IF(ORCAMENTOS!I2086="","",ORCAMENTOS!I2086)</f>
        <v>176528.81</v>
      </c>
      <c r="I2078" s="60">
        <f>IF(ORCAMENTOS!J2086="","",ORCAMENTOS!J2086)</f>
        <v>7.0000000000000007E-2</v>
      </c>
      <c r="J2078" s="40" t="str">
        <f>IF(ORCAMENTOS!L2086="","",ORCAMENTOS!L2086)</f>
        <v>FECHADO</v>
      </c>
      <c r="K2078" s="34" t="str">
        <f>IF(ORCAMENTOS!M2086="","",ORCAMENTOS!M2086)</f>
        <v>-</v>
      </c>
      <c r="L2078" t="str">
        <f>IF(ORCAMENTOS!R2086="","",ORCAMENTOS!R2086)</f>
        <v>N/E</v>
      </c>
    </row>
    <row r="2079" spans="1:12" ht="15.75" hidden="1" customHeight="1" x14ac:dyDescent="0.25">
      <c r="A2079" s="36">
        <f>IF(ORCAMENTOS!A2087="","",ORCAMENTOS!A2087)</f>
        <v>45989</v>
      </c>
      <c r="B2079" s="46">
        <f>IF(ORCAMENTOS!B2087="","",ORCAMENTOS!B2087)</f>
        <v>2077</v>
      </c>
      <c r="C2079" s="46" t="str">
        <f>IF(ORCAMENTOS!C2087="","",ORCAMENTOS!C2087)</f>
        <v/>
      </c>
      <c r="D2079" s="37" t="str">
        <f>IF(ORCAMENTOS!D2087="","",ORCAMENTOS!D2087)</f>
        <v>FULL SERVICE</v>
      </c>
      <c r="E2079" s="38" t="str">
        <f>IF(ORCAMENTOS!E2087="","",ORCAMENTOS!E2087)</f>
        <v>RESTAURANTE VILA LEOPOLDINA</v>
      </c>
      <c r="F2079" s="37" t="str">
        <f>IF(ORCAMENTOS!G2087="","",ORCAMENTOS!G2087)</f>
        <v>Fernando</v>
      </c>
      <c r="G2079" s="37" t="str">
        <f>IF(ORCAMENTOS!H2087="","",ORCAMENTOS!H2087)</f>
        <v>Wender</v>
      </c>
      <c r="H2079" s="39">
        <f>IF(ORCAMENTOS!I2087="","",ORCAMENTOS!I2087)</f>
        <v>47369.919999999998</v>
      </c>
      <c r="I2079" s="60">
        <f>IF(ORCAMENTOS!J2087="","",ORCAMENTOS!J2087)</f>
        <v>7.0000000000000007E-2</v>
      </c>
      <c r="J2079" s="40" t="str">
        <f>IF(ORCAMENTOS!L2087="","",ORCAMENTOS!L2087)</f>
        <v>CANCELADO</v>
      </c>
      <c r="K2079" s="34" t="str">
        <f>IF(ORCAMENTOS!M2087="","",ORCAMENTOS!M2087)</f>
        <v>-</v>
      </c>
      <c r="L2079" t="str">
        <f>IF(ORCAMENTOS!R2087="","",ORCAMENTOS!R2087)</f>
        <v>-</v>
      </c>
    </row>
    <row r="2080" spans="1:12" ht="15.75" hidden="1" customHeight="1" x14ac:dyDescent="0.25">
      <c r="A2080" s="36">
        <f>IF(ORCAMENTOS!A2088="","",ORCAMENTOS!A2088)</f>
        <v>45989</v>
      </c>
      <c r="B2080" s="46">
        <f>IF(ORCAMENTOS!B2088="","",ORCAMENTOS!B2088)</f>
        <v>2078</v>
      </c>
      <c r="C2080" s="46" t="str">
        <f>IF(ORCAMENTOS!C2088="","",ORCAMENTOS!C2088)</f>
        <v/>
      </c>
      <c r="D2080" s="37" t="str">
        <f>IF(ORCAMENTOS!D2088="","",ORCAMENTOS!D2088)</f>
        <v>COLDTERMICA</v>
      </c>
      <c r="E2080" s="38" t="str">
        <f>IF(ORCAMENTOS!E2088="","",ORCAMENTOS!E2088)</f>
        <v>-</v>
      </c>
      <c r="F2080" s="37" t="str">
        <f>IF(ORCAMENTOS!G2088="","",ORCAMENTOS!G2088)</f>
        <v>Gabriel</v>
      </c>
      <c r="G2080" s="37" t="str">
        <f>IF(ORCAMENTOS!H2088="","",ORCAMENTOS!H2088)</f>
        <v>Denis</v>
      </c>
      <c r="H2080" s="39">
        <f>IF(ORCAMENTOS!I2088="","",ORCAMENTOS!I2088)</f>
        <v>839.05</v>
      </c>
      <c r="I2080" s="60">
        <f>IF(ORCAMENTOS!J2088="","",ORCAMENTOS!J2088)</f>
        <v>7.0000000000000007E-2</v>
      </c>
      <c r="J2080" s="40" t="str">
        <f>IF(ORCAMENTOS!L2088="","",ORCAMENTOS!L2088)</f>
        <v>CANCELADO</v>
      </c>
      <c r="K2080" s="34" t="str">
        <f>IF(ORCAMENTOS!M2088="","",ORCAMENTOS!M2088)</f>
        <v>-</v>
      </c>
      <c r="L2080" t="str">
        <f>IF(ORCAMENTOS!R2088="","",ORCAMENTOS!R2088)</f>
        <v>-</v>
      </c>
    </row>
    <row r="2081" spans="1:12" ht="15.75" hidden="1" customHeight="1" x14ac:dyDescent="0.25">
      <c r="A2081" s="36">
        <f>IF(ORCAMENTOS!A2089="","",ORCAMENTOS!A2089)</f>
        <v>45992</v>
      </c>
      <c r="B2081" s="46">
        <f>IF(ORCAMENTOS!B2089="","",ORCAMENTOS!B2089)</f>
        <v>2079</v>
      </c>
      <c r="C2081" s="46" t="str">
        <f>IF(ORCAMENTOS!C2089="","",ORCAMENTOS!C2089)</f>
        <v/>
      </c>
      <c r="D2081" s="37" t="str">
        <f>IF(ORCAMENTOS!D2089="","",ORCAMENTOS!D2089)</f>
        <v>CONSTARCO</v>
      </c>
      <c r="E2081" s="38" t="str">
        <f>IF(ORCAMENTOS!E2089="","",ORCAMENTOS!E2089)</f>
        <v>DISTRITO REVEE - ARARAQUARA - SP</v>
      </c>
      <c r="F2081" s="37" t="str">
        <f>IF(ORCAMENTOS!G2089="","",ORCAMENTOS!G2089)</f>
        <v>Fernando</v>
      </c>
      <c r="G2081" s="37" t="str">
        <f>IF(ORCAMENTOS!H2089="","",ORCAMENTOS!H2089)</f>
        <v>Genilson</v>
      </c>
      <c r="H2081" s="39">
        <f>IF(ORCAMENTOS!I2089="","",ORCAMENTOS!I2089)</f>
        <v>524755.91</v>
      </c>
      <c r="I2081" s="60">
        <f>IF(ORCAMENTOS!J2089="","",ORCAMENTOS!J2089)</f>
        <v>7.0000000000000007E-2</v>
      </c>
      <c r="J2081" s="40" t="str">
        <f>IF(ORCAMENTOS!L2089="","",ORCAMENTOS!L2089)</f>
        <v>CANCELADO</v>
      </c>
      <c r="K2081" s="34" t="str">
        <f>IF(ORCAMENTOS!M2089="","",ORCAMENTOS!M2089)</f>
        <v>-</v>
      </c>
      <c r="L2081" t="str">
        <f>IF(ORCAMENTOS!R2089="","",ORCAMENTOS!R2089)</f>
        <v>MPU/ALUPIR</v>
      </c>
    </row>
    <row r="2082" spans="1:12" ht="15.75" hidden="1" customHeight="1" x14ac:dyDescent="0.25">
      <c r="A2082" s="36">
        <f>IF(ORCAMENTOS!A2090="","",ORCAMENTOS!A2090)</f>
        <v>45992</v>
      </c>
      <c r="B2082" s="46">
        <f>IF(ORCAMENTOS!B2090="","",ORCAMENTOS!B2090)</f>
        <v>2080</v>
      </c>
      <c r="C2082" s="46" t="str">
        <f>IF(ORCAMENTOS!C2090="","",ORCAMENTOS!C2090)</f>
        <v/>
      </c>
      <c r="D2082" s="37" t="str">
        <f>IF(ORCAMENTOS!D2090="","",ORCAMENTOS!D2090)</f>
        <v>SO AR</v>
      </c>
      <c r="E2082" s="38" t="str">
        <f>IF(ORCAMENTOS!E2090="","",ORCAMENTOS!E2090)</f>
        <v>-</v>
      </c>
      <c r="F2082" s="37" t="str">
        <f>IF(ORCAMENTOS!G2090="","",ORCAMENTOS!G2090)</f>
        <v>Gabriel</v>
      </c>
      <c r="G2082" s="37" t="str">
        <f>IF(ORCAMENTOS!H2090="","",ORCAMENTOS!H2090)</f>
        <v>Gabriel</v>
      </c>
      <c r="H2082" s="39">
        <f>IF(ORCAMENTOS!I2090="","",ORCAMENTOS!I2090)</f>
        <v>20522.79</v>
      </c>
      <c r="I2082" s="60">
        <f>IF(ORCAMENTOS!J2090="","",ORCAMENTOS!J2090)</f>
        <v>7.0000000000000007E-2</v>
      </c>
      <c r="J2082" s="40" t="str">
        <f>IF(ORCAMENTOS!L2090="","",ORCAMENTOS!L2090)</f>
        <v>CANCELADO</v>
      </c>
      <c r="K2082" s="34" t="str">
        <f>IF(ORCAMENTOS!M2090="","",ORCAMENTOS!M2090)</f>
        <v>-</v>
      </c>
      <c r="L2082" t="str">
        <f>IF(ORCAMENTOS!R2090="","",ORCAMENTOS!R2090)</f>
        <v>-</v>
      </c>
    </row>
    <row r="2083" spans="1:12" ht="15.75" hidden="1" customHeight="1" x14ac:dyDescent="0.25">
      <c r="A2083" s="36">
        <f>IF(ORCAMENTOS!A2091="","",ORCAMENTOS!A2091)</f>
        <v>45992</v>
      </c>
      <c r="B2083" s="46">
        <f>IF(ORCAMENTOS!B2091="","",ORCAMENTOS!B2091)</f>
        <v>2081</v>
      </c>
      <c r="C2083" s="46" t="str">
        <f>IF(ORCAMENTOS!C2091="","",ORCAMENTOS!C2091)</f>
        <v/>
      </c>
      <c r="D2083" s="37" t="str">
        <f>IF(ORCAMENTOS!D2091="","",ORCAMENTOS!D2091)</f>
        <v>SO AR</v>
      </c>
      <c r="E2083" s="38" t="str">
        <f>IF(ORCAMENTOS!E2091="","",ORCAMENTOS!E2091)</f>
        <v>-</v>
      </c>
      <c r="F2083" s="37" t="str">
        <f>IF(ORCAMENTOS!G2091="","",ORCAMENTOS!G2091)</f>
        <v>Gabriel</v>
      </c>
      <c r="G2083" s="37" t="str">
        <f>IF(ORCAMENTOS!H2091="","",ORCAMENTOS!H2091)</f>
        <v>Gabriel</v>
      </c>
      <c r="H2083" s="39">
        <f>IF(ORCAMENTOS!I2091="","",ORCAMENTOS!I2091)</f>
        <v>18492.53</v>
      </c>
      <c r="I2083" s="60">
        <f>IF(ORCAMENTOS!J2091="","",ORCAMENTOS!J2091)</f>
        <v>7.0000000000000007E-2</v>
      </c>
      <c r="J2083" s="40" t="str">
        <f>IF(ORCAMENTOS!L2091="","",ORCAMENTOS!L2091)</f>
        <v>CANCELADO</v>
      </c>
      <c r="K2083" s="34" t="str">
        <f>IF(ORCAMENTOS!M2091="","",ORCAMENTOS!M2091)</f>
        <v>-</v>
      </c>
      <c r="L2083" t="str">
        <f>IF(ORCAMENTOS!R2091="","",ORCAMENTOS!R2091)</f>
        <v>-</v>
      </c>
    </row>
    <row r="2084" spans="1:12" ht="15.75" hidden="1" customHeight="1" x14ac:dyDescent="0.25">
      <c r="A2084" s="36">
        <f>IF(ORCAMENTOS!A2092="","",ORCAMENTOS!A2092)</f>
        <v>45992</v>
      </c>
      <c r="B2084" s="46">
        <f>IF(ORCAMENTOS!B2092="","",ORCAMENTOS!B2092)</f>
        <v>2082</v>
      </c>
      <c r="C2084" s="46" t="str">
        <f>IF(ORCAMENTOS!C2092="","",ORCAMENTOS!C2092)</f>
        <v/>
      </c>
      <c r="D2084" s="37" t="str">
        <f>IF(ORCAMENTOS!D2092="","",ORCAMENTOS!D2092)</f>
        <v>GLACIAL AR</v>
      </c>
      <c r="E2084" s="38" t="str">
        <f>IF(ORCAMENTOS!E2092="","",ORCAMENTOS!E2092)</f>
        <v>DISTRITO REVEE - ARARAQUARA - SP</v>
      </c>
      <c r="F2084" s="37" t="str">
        <f>IF(ORCAMENTOS!G2092="","",ORCAMENTOS!G2092)</f>
        <v xml:space="preserve">Aldavir </v>
      </c>
      <c r="G2084" s="37" t="str">
        <f>IF(ORCAMENTOS!H2092="","",ORCAMENTOS!H2092)</f>
        <v>Jeremias</v>
      </c>
      <c r="H2084" s="39">
        <f>IF(ORCAMENTOS!I2092="","",ORCAMENTOS!I2092)</f>
        <v>486583.8</v>
      </c>
      <c r="I2084" s="60">
        <f>IF(ORCAMENTOS!J2092="","",ORCAMENTOS!J2092)</f>
        <v>7.0000000000000007E-2</v>
      </c>
      <c r="J2084" s="40" t="str">
        <f>IF(ORCAMENTOS!L2092="","",ORCAMENTOS!L2092)</f>
        <v>CANCELADO</v>
      </c>
      <c r="K2084" s="34" t="str">
        <f>IF(ORCAMENTOS!M2092="","",ORCAMENTOS!M2092)</f>
        <v>-</v>
      </c>
      <c r="L2084" t="str">
        <f>IF(ORCAMENTOS!R2092="","",ORCAMENTOS!R2092)</f>
        <v>-</v>
      </c>
    </row>
    <row r="2085" spans="1:12" ht="15.75" hidden="1" customHeight="1" x14ac:dyDescent="0.25">
      <c r="A2085" s="36">
        <f>IF(ORCAMENTOS!A2093="","",ORCAMENTOS!A2093)</f>
        <v>45992</v>
      </c>
      <c r="B2085" s="46">
        <f>IF(ORCAMENTOS!B2093="","",ORCAMENTOS!B2093)</f>
        <v>2083</v>
      </c>
      <c r="C2085" s="46" t="str">
        <f>IF(ORCAMENTOS!C2093="","",ORCAMENTOS!C2093)</f>
        <v/>
      </c>
      <c r="D2085" s="37" t="str">
        <f>IF(ORCAMENTOS!D2093="","",ORCAMENTOS!D2093)</f>
        <v>SESIL AR</v>
      </c>
      <c r="E2085" s="38" t="str">
        <f>IF(ORCAMENTOS!E2093="","",ORCAMENTOS!E2093)</f>
        <v>-</v>
      </c>
      <c r="F2085" s="37" t="str">
        <f>IF(ORCAMENTOS!G2093="","",ORCAMENTOS!G2093)</f>
        <v>Fernando</v>
      </c>
      <c r="G2085" s="37" t="str">
        <f>IF(ORCAMENTOS!H2093="","",ORCAMENTOS!H2093)</f>
        <v>Elisangela</v>
      </c>
      <c r="H2085" s="39">
        <f>IF(ORCAMENTOS!I2093="","",ORCAMENTOS!I2093)</f>
        <v>10128.56</v>
      </c>
      <c r="I2085" s="60">
        <f>IF(ORCAMENTOS!J2093="","",ORCAMENTOS!J2093)</f>
        <v>0.03</v>
      </c>
      <c r="J2085" s="40" t="str">
        <f>IF(ORCAMENTOS!L2093="","",ORCAMENTOS!L2093)</f>
        <v>FECHADO</v>
      </c>
      <c r="K2085" s="34" t="str">
        <f>IF(ORCAMENTOS!M2093="","",ORCAMENTOS!M2093)</f>
        <v>-</v>
      </c>
      <c r="L2085" t="str">
        <f>IF(ORCAMENTOS!R2093="","",ORCAMENTOS!R2093)</f>
        <v>-</v>
      </c>
    </row>
    <row r="2086" spans="1:12" ht="15.75" hidden="1" customHeight="1" x14ac:dyDescent="0.25">
      <c r="A2086" s="36">
        <f>IF(ORCAMENTOS!A2094="","",ORCAMENTOS!A2094)</f>
        <v>45992</v>
      </c>
      <c r="B2086" s="46">
        <f>IF(ORCAMENTOS!B2094="","",ORCAMENTOS!B2094)</f>
        <v>2084</v>
      </c>
      <c r="C2086" s="46" t="str">
        <f>IF(ORCAMENTOS!C2094="","",ORCAMENTOS!C2094)</f>
        <v/>
      </c>
      <c r="D2086" s="37" t="str">
        <f>IF(ORCAMENTOS!D2094="","",ORCAMENTOS!D2094)</f>
        <v>MANENG</v>
      </c>
      <c r="E2086" s="38" t="str">
        <f>IF(ORCAMENTOS!E2094="","",ORCAMENTOS!E2094)</f>
        <v>DISTRITO REVEE - ARARAQUARA - SP</v>
      </c>
      <c r="F2086" s="37" t="str">
        <f>IF(ORCAMENTOS!G2094="","",ORCAMENTOS!G2094)</f>
        <v>Guilherme</v>
      </c>
      <c r="G2086" s="37" t="str">
        <f>IF(ORCAMENTOS!H2094="","",ORCAMENTOS!H2094)</f>
        <v>Gustavo</v>
      </c>
      <c r="H2086" s="39">
        <f>IF(ORCAMENTOS!I2094="","",ORCAMENTOS!I2094)</f>
        <v>524755.91</v>
      </c>
      <c r="I2086" s="60">
        <f>IF(ORCAMENTOS!J2094="","",ORCAMENTOS!J2094)</f>
        <v>7.0000000000000007E-2</v>
      </c>
      <c r="J2086" s="40" t="str">
        <f>IF(ORCAMENTOS!L2094="","",ORCAMENTOS!L2094)</f>
        <v>CANCELADO</v>
      </c>
      <c r="K2086" s="34" t="str">
        <f>IF(ORCAMENTOS!M2094="","",ORCAMENTOS!M2094)</f>
        <v>-</v>
      </c>
      <c r="L2086" t="str">
        <f>IF(ORCAMENTOS!R2094="","",ORCAMENTOS!R2094)</f>
        <v>MPU/ALUPIR</v>
      </c>
    </row>
    <row r="2087" spans="1:12" ht="15.75" hidden="1" customHeight="1" x14ac:dyDescent="0.25">
      <c r="A2087" s="36">
        <f>IF(ORCAMENTOS!A2095="","",ORCAMENTOS!A2095)</f>
        <v>45992</v>
      </c>
      <c r="B2087" s="46">
        <f>IF(ORCAMENTOS!B2095="","",ORCAMENTOS!B2095)</f>
        <v>2085</v>
      </c>
      <c r="C2087" s="46" t="str">
        <f>IF(ORCAMENTOS!C2095="","",ORCAMENTOS!C2095)</f>
        <v/>
      </c>
      <c r="D2087" s="37" t="str">
        <f>IF(ORCAMENTOS!D2095="","",ORCAMENTOS!D2095)</f>
        <v>FANCOLD SERVICE</v>
      </c>
      <c r="E2087" s="38" t="str">
        <f>IF(ORCAMENTOS!E2095="","",ORCAMENTOS!E2095)</f>
        <v>DISTRITO REVEE - ARARAQUARA - SP</v>
      </c>
      <c r="F2087" s="37" t="str">
        <f>IF(ORCAMENTOS!G2095="","",ORCAMENTOS!G2095)</f>
        <v>Michel</v>
      </c>
      <c r="G2087" s="37" t="str">
        <f>IF(ORCAMENTOS!H2095="","",ORCAMENTOS!H2095)</f>
        <v>Denis</v>
      </c>
      <c r="H2087" s="39">
        <f>IF(ORCAMENTOS!I2095="","",ORCAMENTOS!I2095)</f>
        <v>524755.91</v>
      </c>
      <c r="I2087" s="60">
        <f>IF(ORCAMENTOS!J2095="","",ORCAMENTOS!J2095)</f>
        <v>7.0000000000000007E-2</v>
      </c>
      <c r="J2087" s="40" t="str">
        <f>IF(ORCAMENTOS!L2095="","",ORCAMENTOS!L2095)</f>
        <v>CANCELADO</v>
      </c>
      <c r="K2087" s="34" t="str">
        <f>IF(ORCAMENTOS!M2095="","",ORCAMENTOS!M2095)</f>
        <v>-</v>
      </c>
      <c r="L2087" t="str">
        <f>IF(ORCAMENTOS!R2095="","",ORCAMENTOS!R2095)</f>
        <v>MPU/ALUPIR</v>
      </c>
    </row>
    <row r="2088" spans="1:12" ht="15.75" hidden="1" customHeight="1" x14ac:dyDescent="0.25">
      <c r="A2088" s="36">
        <f>IF(ORCAMENTOS!A2096="","",ORCAMENTOS!A2096)</f>
        <v>45992</v>
      </c>
      <c r="B2088" s="46">
        <f>IF(ORCAMENTOS!B2096="","",ORCAMENTOS!B2096)</f>
        <v>2086</v>
      </c>
      <c r="C2088" s="46" t="str">
        <f>IF(ORCAMENTOS!C2096="","",ORCAMENTOS!C2096)</f>
        <v/>
      </c>
      <c r="D2088" s="37" t="str">
        <f>IF(ORCAMENTOS!D2096="","",ORCAMENTOS!D2096)</f>
        <v>ACSISTEM</v>
      </c>
      <c r="E2088" s="38" t="str">
        <f>IF(ORCAMENTOS!E2096="","",ORCAMENTOS!E2096)</f>
        <v>-</v>
      </c>
      <c r="F2088" s="37" t="str">
        <f>IF(ORCAMENTOS!G2096="","",ORCAMENTOS!G2096)</f>
        <v>Emanuel</v>
      </c>
      <c r="G2088" s="37" t="str">
        <f>IF(ORCAMENTOS!H2096="","",ORCAMENTOS!H2096)</f>
        <v>Mateus</v>
      </c>
      <c r="H2088" s="39">
        <f>IF(ORCAMENTOS!I2096="","",ORCAMENTOS!I2096)</f>
        <v>1369.02</v>
      </c>
      <c r="I2088" s="60">
        <f>IF(ORCAMENTOS!J2096="","",ORCAMENTOS!J2096)</f>
        <v>7.0000000000000007E-2</v>
      </c>
      <c r="J2088" s="40" t="str">
        <f>IF(ORCAMENTOS!L2096="","",ORCAMENTOS!L2096)</f>
        <v>CANCELADO</v>
      </c>
      <c r="K2088" s="34" t="str">
        <f>IF(ORCAMENTOS!M2096="","",ORCAMENTOS!M2096)</f>
        <v>-</v>
      </c>
      <c r="L2088" t="str">
        <f>IF(ORCAMENTOS!R2096="","",ORCAMENTOS!R2096)</f>
        <v>-</v>
      </c>
    </row>
    <row r="2089" spans="1:12" ht="15.75" hidden="1" customHeight="1" x14ac:dyDescent="0.25">
      <c r="A2089" s="36">
        <f>IF(ORCAMENTOS!A2097="","",ORCAMENTOS!A2097)</f>
        <v>45993</v>
      </c>
      <c r="B2089" s="46">
        <f>IF(ORCAMENTOS!B2097="","",ORCAMENTOS!B2097)</f>
        <v>2087</v>
      </c>
      <c r="C2089" s="46" t="str">
        <f>IF(ORCAMENTOS!C2097="","",ORCAMENTOS!C2097)</f>
        <v>R1</v>
      </c>
      <c r="D2089" s="37" t="str">
        <f>IF(ORCAMENTOS!D2097="","",ORCAMENTOS!D2097)</f>
        <v>QUALIAR</v>
      </c>
      <c r="E2089" s="38" t="str">
        <f>IF(ORCAMENTOS!E2097="","",ORCAMENTOS!E2097)</f>
        <v>-</v>
      </c>
      <c r="F2089" s="37" t="str">
        <f>IF(ORCAMENTOS!G2097="","",ORCAMENTOS!G2097)</f>
        <v>Gabriel</v>
      </c>
      <c r="G2089" s="37" t="str">
        <f>IF(ORCAMENTOS!H2097="","",ORCAMENTOS!H2097)</f>
        <v>Paula</v>
      </c>
      <c r="H2089" s="39">
        <f>IF(ORCAMENTOS!I2097="","",ORCAMENTOS!I2097)</f>
        <v>2157.9299999999998</v>
      </c>
      <c r="I2089" s="60">
        <f>IF(ORCAMENTOS!J2097="","",ORCAMENTOS!J2097)</f>
        <v>0.04</v>
      </c>
      <c r="J2089" s="40" t="str">
        <f>IF(ORCAMENTOS!L2097="","",ORCAMENTOS!L2097)</f>
        <v>CANCELADO</v>
      </c>
      <c r="K2089" s="34" t="str">
        <f>IF(ORCAMENTOS!M2097="","",ORCAMENTOS!M2097)</f>
        <v>-</v>
      </c>
      <c r="L2089" t="str">
        <f>IF(ORCAMENTOS!R2097="","",ORCAMENTOS!R2097)</f>
        <v>-</v>
      </c>
    </row>
    <row r="2090" spans="1:12" ht="15.75" hidden="1" customHeight="1" x14ac:dyDescent="0.25">
      <c r="A2090" s="36">
        <f>IF(ORCAMENTOS!A2098="","",ORCAMENTOS!A2098)</f>
        <v>45993</v>
      </c>
      <c r="B2090" s="46">
        <f>IF(ORCAMENTOS!B2098="","",ORCAMENTOS!B2098)</f>
        <v>2088</v>
      </c>
      <c r="C2090" s="46" t="str">
        <f>IF(ORCAMENTOS!C2098="","",ORCAMENTOS!C2098)</f>
        <v/>
      </c>
      <c r="D2090" s="37" t="str">
        <f>IF(ORCAMENTOS!D2098="","",ORCAMENTOS!D2098)</f>
        <v>ARVITTA</v>
      </c>
      <c r="E2090" s="38" t="str">
        <f>IF(ORCAMENTOS!E2098="","",ORCAMENTOS!E2098)</f>
        <v>DISTRITO REVEE - ARARAQUARA - SP</v>
      </c>
      <c r="F2090" s="37" t="str">
        <f>IF(ORCAMENTOS!G2098="","",ORCAMENTOS!G2098)</f>
        <v>Michel</v>
      </c>
      <c r="G2090" s="37" t="str">
        <f>IF(ORCAMENTOS!H2098="","",ORCAMENTOS!H2098)</f>
        <v>Luis</v>
      </c>
      <c r="H2090" s="39">
        <f>IF(ORCAMENTOS!I2098="","",ORCAMENTOS!I2098)</f>
        <v>524755.91</v>
      </c>
      <c r="I2090" s="60">
        <f>IF(ORCAMENTOS!J2098="","",ORCAMENTOS!J2098)</f>
        <v>7.0000000000000007E-2</v>
      </c>
      <c r="J2090" s="40" t="str">
        <f>IF(ORCAMENTOS!L2098="","",ORCAMENTOS!L2098)</f>
        <v>CANCELADO</v>
      </c>
      <c r="K2090" s="34" t="str">
        <f>IF(ORCAMENTOS!M2098="","",ORCAMENTOS!M2098)</f>
        <v>-</v>
      </c>
      <c r="L2090" t="str">
        <f>IF(ORCAMENTOS!R2098="","",ORCAMENTOS!R2098)</f>
        <v>MPU/ALUPIR</v>
      </c>
    </row>
    <row r="2091" spans="1:12" ht="15.75" hidden="1" customHeight="1" x14ac:dyDescent="0.25">
      <c r="A2091" s="36">
        <f>IF(ORCAMENTOS!A2099="","",ORCAMENTOS!A2099)</f>
        <v>45993</v>
      </c>
      <c r="B2091" s="46">
        <f>IF(ORCAMENTOS!B2099="","",ORCAMENTOS!B2099)</f>
        <v>2089</v>
      </c>
      <c r="C2091" s="46" t="str">
        <f>IF(ORCAMENTOS!C2099="","",ORCAMENTOS!C2099)</f>
        <v/>
      </c>
      <c r="D2091" s="37" t="str">
        <f>IF(ORCAMENTOS!D2099="","",ORCAMENTOS!D2099)</f>
        <v>NEWSET</v>
      </c>
      <c r="E2091" s="38" t="str">
        <f>IF(ORCAMENTOS!E2099="","",ORCAMENTOS!E2099)</f>
        <v>REDE DOR - HOSPITAL SÃO LUIZ - OSASCO</v>
      </c>
      <c r="F2091" s="37" t="str">
        <f>IF(ORCAMENTOS!G2099="","",ORCAMENTOS!G2099)</f>
        <v xml:space="preserve">Aldavir </v>
      </c>
      <c r="G2091" s="37" t="str">
        <f>IF(ORCAMENTOS!H2099="","",ORCAMENTOS!H2099)</f>
        <v>Rodrigo</v>
      </c>
      <c r="H2091" s="39">
        <f>IF(ORCAMENTOS!I2099="","",ORCAMENTOS!I2099)</f>
        <v>127552.74</v>
      </c>
      <c r="I2091" s="60">
        <f>IF(ORCAMENTOS!J2099="","",ORCAMENTOS!J2099)</f>
        <v>7.0000000000000007E-2</v>
      </c>
      <c r="J2091" s="40" t="str">
        <f>IF(ORCAMENTOS!L2099="","",ORCAMENTOS!L2099)</f>
        <v>CANCELADO</v>
      </c>
      <c r="K2091" s="34" t="str">
        <f>IF(ORCAMENTOS!M2099="","",ORCAMENTOS!M2099)</f>
        <v>-</v>
      </c>
      <c r="L2091" t="str">
        <f>IF(ORCAMENTOS!R2099="","",ORCAMENTOS!R2099)</f>
        <v>-</v>
      </c>
    </row>
    <row r="2092" spans="1:12" ht="15.75" hidden="1" customHeight="1" x14ac:dyDescent="0.25">
      <c r="A2092" s="36">
        <f>IF(ORCAMENTOS!A2100="","",ORCAMENTOS!A2100)</f>
        <v>45994</v>
      </c>
      <c r="B2092" s="46">
        <f>IF(ORCAMENTOS!B2100="","",ORCAMENTOS!B2100)</f>
        <v>2090</v>
      </c>
      <c r="C2092" s="46" t="str">
        <f>IF(ORCAMENTOS!C2100="","",ORCAMENTOS!C2100)</f>
        <v>R3</v>
      </c>
      <c r="D2092" s="37" t="str">
        <f>IF(ORCAMENTOS!D2100="","",ORCAMENTOS!D2100)</f>
        <v>MANENG</v>
      </c>
      <c r="E2092" s="38" t="str">
        <f>IF(ORCAMENTOS!E2100="","",ORCAMENTOS!E2100)</f>
        <v>-</v>
      </c>
      <c r="F2092" s="37" t="str">
        <f>IF(ORCAMENTOS!G2100="","",ORCAMENTOS!G2100)</f>
        <v>Guilherme</v>
      </c>
      <c r="G2092" s="37" t="str">
        <f>IF(ORCAMENTOS!H2100="","",ORCAMENTOS!H2100)</f>
        <v>Gabrielle</v>
      </c>
      <c r="H2092" s="39">
        <f>IF(ORCAMENTOS!I2100="","",ORCAMENTOS!I2100)</f>
        <v>46821.35</v>
      </c>
      <c r="I2092" s="60">
        <f>IF(ORCAMENTOS!J2100="","",ORCAMENTOS!J2100)</f>
        <v>0.05</v>
      </c>
      <c r="J2092" s="40" t="str">
        <f>IF(ORCAMENTOS!L2100="","",ORCAMENTOS!L2100)</f>
        <v>FECHADO</v>
      </c>
      <c r="K2092" s="34" t="str">
        <f>IF(ORCAMENTOS!M2100="","",ORCAMENTOS!M2100)</f>
        <v>-</v>
      </c>
      <c r="L2092" t="str">
        <f>IF(ORCAMENTOS!R2100="","",ORCAMENTOS!R2100)</f>
        <v>-</v>
      </c>
    </row>
    <row r="2093" spans="1:12" ht="15.75" hidden="1" customHeight="1" x14ac:dyDescent="0.25">
      <c r="A2093" s="36">
        <f>IF(ORCAMENTOS!A2101="","",ORCAMENTOS!A2101)</f>
        <v>45994</v>
      </c>
      <c r="B2093" s="46">
        <f>IF(ORCAMENTOS!B2101="","",ORCAMENTOS!B2101)</f>
        <v>2091</v>
      </c>
      <c r="C2093" s="46" t="str">
        <f>IF(ORCAMENTOS!C2101="","",ORCAMENTOS!C2101)</f>
        <v/>
      </c>
      <c r="D2093" s="37" t="str">
        <f>IF(ORCAMENTOS!D2101="","",ORCAMENTOS!D2101)</f>
        <v>AIR NET</v>
      </c>
      <c r="E2093" s="38" t="str">
        <f>IF(ORCAMENTOS!E2101="","",ORCAMENTOS!E2101)</f>
        <v>AEROPORTO INTERNACIONAL DE SÃO PAULO - GUARULHOS - TERMINAL DE PASSAGEIROS</v>
      </c>
      <c r="F2093" s="37" t="str">
        <f>IF(ORCAMENTOS!G2101="","",ORCAMENTOS!G2101)</f>
        <v>Fernando</v>
      </c>
      <c r="G2093" s="37" t="str">
        <f>IF(ORCAMENTOS!H2101="","",ORCAMENTOS!H2101)</f>
        <v>Fernando</v>
      </c>
      <c r="H2093" s="39">
        <f>IF(ORCAMENTOS!I2101="","",ORCAMENTOS!I2101)</f>
        <v>1258583.75</v>
      </c>
      <c r="I2093" s="60">
        <f>IF(ORCAMENTOS!J2101="","",ORCAMENTOS!J2101)</f>
        <v>7.0000000000000007E-2</v>
      </c>
      <c r="J2093" s="40" t="str">
        <f>IF(ORCAMENTOS!L2101="","",ORCAMENTOS!L2101)</f>
        <v>CANCELADO</v>
      </c>
      <c r="K2093" s="34" t="str">
        <f>IF(ORCAMENTOS!M2101="","",ORCAMENTOS!M2101)</f>
        <v>-</v>
      </c>
      <c r="L2093" t="str">
        <f>IF(ORCAMENTOS!R2101="","",ORCAMENTOS!R2101)</f>
        <v>N/E</v>
      </c>
    </row>
    <row r="2094" spans="1:12" ht="15.75" hidden="1" customHeight="1" x14ac:dyDescent="0.25">
      <c r="A2094" s="36">
        <f>IF(ORCAMENTOS!A2102="","",ORCAMENTOS!A2102)</f>
        <v>41334</v>
      </c>
      <c r="B2094" s="46">
        <f>IF(ORCAMENTOS!B2102="","",ORCAMENTOS!B2102)</f>
        <v>2092</v>
      </c>
      <c r="C2094" s="46" t="str">
        <f>IF(ORCAMENTOS!C2102="","",ORCAMENTOS!C2102)</f>
        <v/>
      </c>
      <c r="D2094" s="37" t="str">
        <f>IF(ORCAMENTOS!D2102="","",ORCAMENTOS!D2102)</f>
        <v>ARPOL ENGENHARIA</v>
      </c>
      <c r="E2094" s="38" t="str">
        <f>IF(ORCAMENTOS!E2102="","",ORCAMENTOS!E2102)</f>
        <v>FERRING</v>
      </c>
      <c r="F2094" s="37" t="str">
        <f>IF(ORCAMENTOS!G2102="","",ORCAMENTOS!G2102)</f>
        <v>Michel</v>
      </c>
      <c r="G2094" s="37" t="str">
        <f>IF(ORCAMENTOS!H2102="","",ORCAMENTOS!H2102)</f>
        <v>Arnaldo</v>
      </c>
      <c r="H2094" s="39">
        <f>IF(ORCAMENTOS!I2102="","",ORCAMENTOS!I2102)</f>
        <v>5954.22</v>
      </c>
      <c r="I2094" s="60">
        <f>IF(ORCAMENTOS!J2102="","",ORCAMENTOS!J2102)</f>
        <v>0.04</v>
      </c>
      <c r="J2094" s="40" t="str">
        <f>IF(ORCAMENTOS!L2102="","",ORCAMENTOS!L2102)</f>
        <v>FECHADO</v>
      </c>
      <c r="K2094" s="34" t="str">
        <f>IF(ORCAMENTOS!M2102="","",ORCAMENTOS!M2102)</f>
        <v>-</v>
      </c>
      <c r="L2094" t="str">
        <f>IF(ORCAMENTOS!R2102="","",ORCAMENTOS!R2102)</f>
        <v>-</v>
      </c>
    </row>
    <row r="2095" spans="1:12" ht="15.75" hidden="1" customHeight="1" x14ac:dyDescent="0.25">
      <c r="A2095" s="36">
        <f>IF(ORCAMENTOS!A2103="","",ORCAMENTOS!A2103)</f>
        <v>41334</v>
      </c>
      <c r="B2095" s="46">
        <f>IF(ORCAMENTOS!B2103="","",ORCAMENTOS!B2103)</f>
        <v>2093</v>
      </c>
      <c r="C2095" s="46" t="str">
        <f>IF(ORCAMENTOS!C2103="","",ORCAMENTOS!C2103)</f>
        <v>R1</v>
      </c>
      <c r="D2095" s="37" t="str">
        <f>IF(ORCAMENTOS!D2103="","",ORCAMENTOS!D2103)</f>
        <v>INTEG MONTAGEM</v>
      </c>
      <c r="E2095" s="38" t="str">
        <f>IF(ORCAMENTOS!E2103="","",ORCAMENTOS!E2103)</f>
        <v>-</v>
      </c>
      <c r="F2095" s="37" t="str">
        <f>IF(ORCAMENTOS!G2103="","",ORCAMENTOS!G2103)</f>
        <v>Fernando</v>
      </c>
      <c r="G2095" s="37" t="str">
        <f>IF(ORCAMENTOS!H2103="","",ORCAMENTOS!H2103)</f>
        <v>Angela</v>
      </c>
      <c r="H2095" s="39">
        <f>IF(ORCAMENTOS!I2103="","",ORCAMENTOS!I2103)</f>
        <v>51819.199999999997</v>
      </c>
      <c r="I2095" s="60">
        <f>IF(ORCAMENTOS!J2103="","",ORCAMENTOS!J2103)</f>
        <v>0.03</v>
      </c>
      <c r="J2095" s="40" t="str">
        <f>IF(ORCAMENTOS!L2103="","",ORCAMENTOS!L2103)</f>
        <v>FECHADO</v>
      </c>
      <c r="K2095" s="34" t="str">
        <f>IF(ORCAMENTOS!M2103="","",ORCAMENTOS!M2103)</f>
        <v>-</v>
      </c>
      <c r="L2095" t="str">
        <f>IF(ORCAMENTOS!R2103="","",ORCAMENTOS!R2103)</f>
        <v>-</v>
      </c>
    </row>
    <row r="2096" spans="1:12" ht="15.75" hidden="1" customHeight="1" x14ac:dyDescent="0.25">
      <c r="A2096" s="36">
        <f>IF(ORCAMENTOS!A2104="","",ORCAMENTOS!A2104)</f>
        <v>45994</v>
      </c>
      <c r="B2096" s="46">
        <f>IF(ORCAMENTOS!B2104="","",ORCAMENTOS!B2104)</f>
        <v>2094</v>
      </c>
      <c r="C2096" s="46" t="str">
        <f>IF(ORCAMENTOS!C2104="","",ORCAMENTOS!C2104)</f>
        <v/>
      </c>
      <c r="D2096" s="37" t="str">
        <f>IF(ORCAMENTOS!D2104="","",ORCAMENTOS!D2104)</f>
        <v>AWA AR CONDICIONADO</v>
      </c>
      <c r="E2096" s="38" t="str">
        <f>IF(ORCAMENTOS!E2104="","",ORCAMENTOS!E2104)</f>
        <v>RENNER SHOPPING MANAIRA</v>
      </c>
      <c r="F2096" s="37" t="str">
        <f>IF(ORCAMENTOS!G2104="","",ORCAMENTOS!G2104)</f>
        <v>Guilherme</v>
      </c>
      <c r="G2096" s="37" t="str">
        <f>IF(ORCAMENTOS!H2104="","",ORCAMENTOS!H2104)</f>
        <v>Paula</v>
      </c>
      <c r="H2096" s="39">
        <f>IF(ORCAMENTOS!I2104="","",ORCAMENTOS!I2104)</f>
        <v>38899.25</v>
      </c>
      <c r="I2096" s="60">
        <f>IF(ORCAMENTOS!J2104="","",ORCAMENTOS!J2104)</f>
        <v>7.0000000000000007E-2</v>
      </c>
      <c r="J2096" s="40" t="str">
        <f>IF(ORCAMENTOS!L2104="","",ORCAMENTOS!L2104)</f>
        <v>CANCELADO</v>
      </c>
      <c r="K2096" s="34" t="str">
        <f>IF(ORCAMENTOS!M2104="","",ORCAMENTOS!M2104)</f>
        <v>-</v>
      </c>
      <c r="L2096" t="str">
        <f>IF(ORCAMENTOS!R2104="","",ORCAMENTOS!R2104)</f>
        <v>ACO GALVANIZADO</v>
      </c>
    </row>
    <row r="2097" spans="1:12" ht="15.75" hidden="1" customHeight="1" x14ac:dyDescent="0.25">
      <c r="A2097" s="36">
        <f>IF(ORCAMENTOS!A2105="","",ORCAMENTOS!A2105)</f>
        <v>45994</v>
      </c>
      <c r="B2097" s="46">
        <f>IF(ORCAMENTOS!B2105="","",ORCAMENTOS!B2105)</f>
        <v>2095</v>
      </c>
      <c r="C2097" s="46" t="str">
        <f>IF(ORCAMENTOS!C2105="","",ORCAMENTOS!C2105)</f>
        <v/>
      </c>
      <c r="D2097" s="37" t="str">
        <f>IF(ORCAMENTOS!D2105="","",ORCAMENTOS!D2105)</f>
        <v>DUTOLEVE</v>
      </c>
      <c r="E2097" s="38" t="str">
        <f>IF(ORCAMENTOS!E2105="","",ORCAMENTOS!E2105)</f>
        <v>IESSI - VASCO DA GAMA PLAZA</v>
      </c>
      <c r="F2097" s="37" t="str">
        <f>IF(ORCAMENTOS!G2105="","",ORCAMENTOS!G2105)</f>
        <v>Gabriel</v>
      </c>
      <c r="G2097" s="37" t="str">
        <f>IF(ORCAMENTOS!H2105="","",ORCAMENTOS!H2105)</f>
        <v>Newton</v>
      </c>
      <c r="H2097" s="39">
        <f>IF(ORCAMENTOS!I2105="","",ORCAMENTOS!I2105)</f>
        <v>113195.16</v>
      </c>
      <c r="I2097" s="60">
        <f>IF(ORCAMENTOS!J2105="","",ORCAMENTOS!J2105)</f>
        <v>7.0000000000000007E-2</v>
      </c>
      <c r="J2097" s="40" t="str">
        <f>IF(ORCAMENTOS!L2105="","",ORCAMENTOS!L2105)</f>
        <v>CANCELADO</v>
      </c>
      <c r="K2097" s="34" t="str">
        <f>IF(ORCAMENTOS!M2105="","",ORCAMENTOS!M2105)</f>
        <v>-</v>
      </c>
      <c r="L2097" t="str">
        <f>IF(ORCAMENTOS!R2105="","",ORCAMENTOS!R2105)</f>
        <v>-</v>
      </c>
    </row>
    <row r="2098" spans="1:12" ht="15.75" hidden="1" customHeight="1" x14ac:dyDescent="0.25">
      <c r="A2098" s="36">
        <f>IF(ORCAMENTOS!A2106="","",ORCAMENTOS!A2106)</f>
        <v>46066</v>
      </c>
      <c r="B2098" s="46">
        <f>IF(ORCAMENTOS!B2106="","",ORCAMENTOS!B2106)</f>
        <v>2096</v>
      </c>
      <c r="C2098" s="46" t="str">
        <f>IF(ORCAMENTOS!C2106="","",ORCAMENTOS!C2106)</f>
        <v/>
      </c>
      <c r="D2098" s="37" t="str">
        <f>IF(ORCAMENTOS!D2106="","",ORCAMENTOS!D2106)</f>
        <v>ASF SERVICOS</v>
      </c>
      <c r="E2098" s="38" t="str">
        <f>IF(ORCAMENTOS!E2106="","",ORCAMENTOS!E2106)</f>
        <v>ATACADAO ARICANDUVA</v>
      </c>
      <c r="F2098" s="37" t="str">
        <f>IF(ORCAMENTOS!G2106="","",ORCAMENTOS!G2106)</f>
        <v>Fernando</v>
      </c>
      <c r="G2098" s="37" t="str">
        <f>IF(ORCAMENTOS!H2106="","",ORCAMENTOS!H2106)</f>
        <v>Andre</v>
      </c>
      <c r="H2098" s="39">
        <f>IF(ORCAMENTOS!I2106="","",ORCAMENTOS!I2106)</f>
        <v>204870.3</v>
      </c>
      <c r="I2098" s="60">
        <f>IF(ORCAMENTOS!J2106="","",ORCAMENTOS!J2106)</f>
        <v>0.04</v>
      </c>
      <c r="J2098" s="40" t="str">
        <f>IF(ORCAMENTOS!L2106="","",ORCAMENTOS!L2106)</f>
        <v>CANCELADO</v>
      </c>
      <c r="K2098" s="34" t="str">
        <f>IF(ORCAMENTOS!M2106="","",ORCAMENTOS!M2106)</f>
        <v>OBRA DA AMS</v>
      </c>
      <c r="L2098" t="str">
        <f>IF(ORCAMENTOS!R2106="","",ORCAMENTOS!R2106)</f>
        <v/>
      </c>
    </row>
    <row r="2099" spans="1:12" ht="15.75" hidden="1" customHeight="1" x14ac:dyDescent="0.25">
      <c r="A2099" s="36">
        <f>IF(ORCAMENTOS!A2107="","",ORCAMENTOS!A2107)</f>
        <v>45995</v>
      </c>
      <c r="B2099" s="46">
        <f>IF(ORCAMENTOS!B2107="","",ORCAMENTOS!B2107)</f>
        <v>2097</v>
      </c>
      <c r="C2099" s="46" t="str">
        <f>IF(ORCAMENTOS!C2107="","",ORCAMENTOS!C2107)</f>
        <v/>
      </c>
      <c r="D2099" s="37" t="str">
        <f>IF(ORCAMENTOS!D2107="","",ORCAMENTOS!D2107)</f>
        <v>BMS ENGENHARIA</v>
      </c>
      <c r="E2099" s="38" t="str">
        <f>IF(ORCAMENTOS!E2107="","",ORCAMENTOS!E2107)</f>
        <v>AUTOGLASS - ES</v>
      </c>
      <c r="F2099" s="37" t="str">
        <f>IF(ORCAMENTOS!G2107="","",ORCAMENTOS!G2107)</f>
        <v>Guilherme</v>
      </c>
      <c r="G2099" s="37" t="str">
        <f>IF(ORCAMENTOS!H2107="","",ORCAMENTOS!H2107)</f>
        <v>Guilherme</v>
      </c>
      <c r="H2099" s="39">
        <f>IF(ORCAMENTOS!I2107="","",ORCAMENTOS!I2107)</f>
        <v>16480.2</v>
      </c>
      <c r="I2099" s="60">
        <f>IF(ORCAMENTOS!J2107="","",ORCAMENTOS!J2107)</f>
        <v>7.0000000000000007E-2</v>
      </c>
      <c r="J2099" s="40" t="str">
        <f>IF(ORCAMENTOS!L2107="","",ORCAMENTOS!L2107)</f>
        <v>CANCELADO</v>
      </c>
      <c r="K2099" s="34" t="str">
        <f>IF(ORCAMENTOS!M2107="","",ORCAMENTOS!M2107)</f>
        <v>-</v>
      </c>
      <c r="L2099" t="str">
        <f>IF(ORCAMENTOS!R2107="","",ORCAMENTOS!R2107)</f>
        <v>-</v>
      </c>
    </row>
    <row r="2100" spans="1:12" ht="15.75" hidden="1" customHeight="1" x14ac:dyDescent="0.25">
      <c r="A2100" s="36">
        <f>IF(ORCAMENTOS!A2108="","",ORCAMENTOS!A2108)</f>
        <v>45995</v>
      </c>
      <c r="B2100" s="46">
        <f>IF(ORCAMENTOS!B2108="","",ORCAMENTOS!B2108)</f>
        <v>2098</v>
      </c>
      <c r="C2100" s="46" t="str">
        <f>IF(ORCAMENTOS!C2108="","",ORCAMENTOS!C2108)</f>
        <v/>
      </c>
      <c r="D2100" s="37" t="str">
        <f>IF(ORCAMENTOS!D2108="","",ORCAMENTOS!D2108)</f>
        <v>AR SISTEMAS</v>
      </c>
      <c r="E2100" s="38" t="str">
        <f>IF(ORCAMENTOS!E2108="","",ORCAMENTOS!E2108)</f>
        <v>H&amp;M IGUATEMI - PORTO ALEGRE - RS</v>
      </c>
      <c r="F2100" s="37" t="str">
        <f>IF(ORCAMENTOS!G2108="","",ORCAMENTOS!G2108)</f>
        <v>Michel</v>
      </c>
      <c r="G2100" s="37" t="str">
        <f>IF(ORCAMENTOS!H2108="","",ORCAMENTOS!H2108)</f>
        <v>Gilson</v>
      </c>
      <c r="H2100" s="39">
        <f>IF(ORCAMENTOS!I2108="","",ORCAMENTOS!I2108)</f>
        <v>183307.26</v>
      </c>
      <c r="I2100" s="60">
        <f>IF(ORCAMENTOS!J2108="","",ORCAMENTOS!J2108)</f>
        <v>7.0000000000000007E-2</v>
      </c>
      <c r="J2100" s="40" t="str">
        <f>IF(ORCAMENTOS!L2108="","",ORCAMENTOS!L2108)</f>
        <v>PERDIDO</v>
      </c>
      <c r="K2100" s="34" t="str">
        <f>IF(ORCAMENTOS!M2108="","",ORCAMENTOS!M2108)</f>
        <v>CHAPA</v>
      </c>
      <c r="L2100" t="str">
        <f>IF(ORCAMENTOS!R2108="","",ORCAMENTOS!R2108)</f>
        <v/>
      </c>
    </row>
    <row r="2101" spans="1:12" ht="15.75" hidden="1" customHeight="1" x14ac:dyDescent="0.25">
      <c r="A2101" s="36">
        <f>IF(ORCAMENTOS!A2109="","",ORCAMENTOS!A2109)</f>
        <v>45995</v>
      </c>
      <c r="B2101" s="46">
        <f>IF(ORCAMENTOS!B2109="","",ORCAMENTOS!B2109)</f>
        <v>2099</v>
      </c>
      <c r="C2101" s="46" t="str">
        <f>IF(ORCAMENTOS!C2109="","",ORCAMENTOS!C2109)</f>
        <v/>
      </c>
      <c r="D2101" s="37" t="str">
        <f>IF(ORCAMENTOS!D2109="","",ORCAMENTOS!D2109)</f>
        <v>ANDRE LUIS</v>
      </c>
      <c r="E2101" s="38" t="str">
        <f>IF(ORCAMENTOS!E2109="","",ORCAMENTOS!E2109)</f>
        <v>-</v>
      </c>
      <c r="F2101" s="37" t="str">
        <f>IF(ORCAMENTOS!G2109="","",ORCAMENTOS!G2109)</f>
        <v>Gabriel</v>
      </c>
      <c r="G2101" s="37" t="str">
        <f>IF(ORCAMENTOS!H2109="","",ORCAMENTOS!H2109)</f>
        <v>Andre</v>
      </c>
      <c r="H2101" s="39">
        <f>IF(ORCAMENTOS!I2109="","",ORCAMENTOS!I2109)</f>
        <v>2577.8000000000002</v>
      </c>
      <c r="I2101" s="60">
        <f>IF(ORCAMENTOS!J2109="","",ORCAMENTOS!J2109)</f>
        <v>7.0000000000000007E-2</v>
      </c>
      <c r="J2101" s="40" t="str">
        <f>IF(ORCAMENTOS!L2109="","",ORCAMENTOS!L2109)</f>
        <v>CANCELADO</v>
      </c>
      <c r="K2101" s="34" t="str">
        <f>IF(ORCAMENTOS!M2109="","",ORCAMENTOS!M2109)</f>
        <v>-</v>
      </c>
      <c r="L2101" t="str">
        <f>IF(ORCAMENTOS!R2109="","",ORCAMENTOS!R2109)</f>
        <v>-</v>
      </c>
    </row>
    <row r="2102" spans="1:12" ht="15.75" hidden="1" customHeight="1" x14ac:dyDescent="0.25">
      <c r="A2102" s="36">
        <f>IF(ORCAMENTOS!A2110="","",ORCAMENTOS!A2110)</f>
        <v>45995</v>
      </c>
      <c r="B2102" s="46">
        <f>IF(ORCAMENTOS!B2110="","",ORCAMENTOS!B2110)</f>
        <v>2100</v>
      </c>
      <c r="C2102" s="46" t="str">
        <f>IF(ORCAMENTOS!C2110="","",ORCAMENTOS!C2110)</f>
        <v/>
      </c>
      <c r="D2102" s="37" t="str">
        <f>IF(ORCAMENTOS!D2110="","",ORCAMENTOS!D2110)</f>
        <v>PRINSTARC</v>
      </c>
      <c r="E2102" s="38" t="str">
        <f>IF(ORCAMENTOS!E2110="","",ORCAMENTOS!E2110)</f>
        <v>-</v>
      </c>
      <c r="F2102" s="37" t="str">
        <f>IF(ORCAMENTOS!G2110="","",ORCAMENTOS!G2110)</f>
        <v>Michel</v>
      </c>
      <c r="G2102" s="37" t="str">
        <f>IF(ORCAMENTOS!H2110="","",ORCAMENTOS!H2110)</f>
        <v>Glauco</v>
      </c>
      <c r="H2102" s="39">
        <f>IF(ORCAMENTOS!I2110="","",ORCAMENTOS!I2110)</f>
        <v>27523.8</v>
      </c>
      <c r="I2102" s="60">
        <f>IF(ORCAMENTOS!J2110="","",ORCAMENTOS!J2110)</f>
        <v>7.0000000000000007E-2</v>
      </c>
      <c r="J2102" s="40" t="str">
        <f>IF(ORCAMENTOS!L2110="","",ORCAMENTOS!L2110)</f>
        <v>CANCELADO</v>
      </c>
      <c r="K2102" s="34" t="str">
        <f>IF(ORCAMENTOS!M2110="","",ORCAMENTOS!M2110)</f>
        <v>-</v>
      </c>
      <c r="L2102" t="str">
        <f>IF(ORCAMENTOS!R2110="","",ORCAMENTOS!R2110)</f>
        <v>-</v>
      </c>
    </row>
    <row r="2103" spans="1:12" ht="15.75" hidden="1" customHeight="1" x14ac:dyDescent="0.25">
      <c r="A2103" s="36">
        <f>IF(ORCAMENTOS!A2111="","",ORCAMENTOS!A2111)</f>
        <v>45996</v>
      </c>
      <c r="B2103" s="46">
        <f>IF(ORCAMENTOS!B2111="","",ORCAMENTOS!B2111)</f>
        <v>2101</v>
      </c>
      <c r="C2103" s="46" t="str">
        <f>IF(ORCAMENTOS!C2111="","",ORCAMENTOS!C2111)</f>
        <v/>
      </c>
      <c r="D2103" s="37" t="str">
        <f>IF(ORCAMENTOS!D2111="","",ORCAMENTOS!D2111)</f>
        <v>POWER FIELD</v>
      </c>
      <c r="E2103" s="38" t="str">
        <f>IF(ORCAMENTOS!E2111="","",ORCAMENTOS!E2111)</f>
        <v>PAROQUIA</v>
      </c>
      <c r="F2103" s="37" t="str">
        <f>IF(ORCAMENTOS!G2111="","",ORCAMENTOS!G2111)</f>
        <v>Gabriel</v>
      </c>
      <c r="G2103" s="37" t="str">
        <f>IF(ORCAMENTOS!H2111="","",ORCAMENTOS!H2111)</f>
        <v>Joarene</v>
      </c>
      <c r="H2103" s="39">
        <f>IF(ORCAMENTOS!I2111="","",ORCAMENTOS!I2111)</f>
        <v>103702.51</v>
      </c>
      <c r="I2103" s="60">
        <f>IF(ORCAMENTOS!J2111="","",ORCAMENTOS!J2111)</f>
        <v>7.0000000000000007E-2</v>
      </c>
      <c r="J2103" s="40" t="str">
        <f>IF(ORCAMENTOS!L2111="","",ORCAMENTOS!L2111)</f>
        <v>CANCELADO</v>
      </c>
      <c r="K2103" s="34" t="str">
        <f>IF(ORCAMENTOS!M2111="","",ORCAMENTOS!M2111)</f>
        <v>-</v>
      </c>
      <c r="L2103" t="str">
        <f>IF(ORCAMENTOS!R2111="","",ORCAMENTOS!R2111)</f>
        <v>-</v>
      </c>
    </row>
    <row r="2104" spans="1:12" ht="15.75" hidden="1" customHeight="1" x14ac:dyDescent="0.25">
      <c r="A2104" s="36">
        <f>IF(ORCAMENTOS!A2112="","",ORCAMENTOS!A2112)</f>
        <v>45996</v>
      </c>
      <c r="B2104" s="46">
        <f>IF(ORCAMENTOS!B2112="","",ORCAMENTOS!B2112)</f>
        <v>2102</v>
      </c>
      <c r="C2104" s="46" t="str">
        <f>IF(ORCAMENTOS!C2112="","",ORCAMENTOS!C2112)</f>
        <v/>
      </c>
      <c r="D2104" s="37" t="str">
        <f>IF(ORCAMENTOS!D2112="","",ORCAMENTOS!D2112)</f>
        <v>PANTERAMONT</v>
      </c>
      <c r="E2104" s="38" t="str">
        <f>IF(ORCAMENTOS!E2112="","",ORCAMENTOS!E2112)</f>
        <v>-</v>
      </c>
      <c r="F2104" s="37" t="str">
        <f>IF(ORCAMENTOS!G2112="","",ORCAMENTOS!G2112)</f>
        <v>Gabriel</v>
      </c>
      <c r="G2104" s="37" t="str">
        <f>IF(ORCAMENTOS!H2112="","",ORCAMENTOS!H2112)</f>
        <v>Marcelo</v>
      </c>
      <c r="H2104" s="39">
        <f>IF(ORCAMENTOS!I2112="","",ORCAMENTOS!I2112)</f>
        <v>13393.81</v>
      </c>
      <c r="I2104" s="60">
        <f>IF(ORCAMENTOS!J2112="","",ORCAMENTOS!J2112)</f>
        <v>7.0000000000000007E-2</v>
      </c>
      <c r="J2104" s="40" t="str">
        <f>IF(ORCAMENTOS!L2112="","",ORCAMENTOS!L2112)</f>
        <v>FECHADO</v>
      </c>
      <c r="K2104" s="34" t="str">
        <f>IF(ORCAMENTOS!M2112="","",ORCAMENTOS!M2112)</f>
        <v>-</v>
      </c>
      <c r="L2104" t="str">
        <f>IF(ORCAMENTOS!R2112="","",ORCAMENTOS!R2112)</f>
        <v>-</v>
      </c>
    </row>
    <row r="2105" spans="1:12" ht="15.75" hidden="1" customHeight="1" x14ac:dyDescent="0.25">
      <c r="A2105" s="36">
        <f>IF(ORCAMENTOS!A2113="","",ORCAMENTOS!A2113)</f>
        <v>45996</v>
      </c>
      <c r="B2105" s="46">
        <f>IF(ORCAMENTOS!B2113="","",ORCAMENTOS!B2113)</f>
        <v>2103</v>
      </c>
      <c r="C2105" s="46" t="str">
        <f>IF(ORCAMENTOS!C2113="","",ORCAMENTOS!C2113)</f>
        <v/>
      </c>
      <c r="D2105" s="37" t="str">
        <f>IF(ORCAMENTOS!D2113="","",ORCAMENTOS!D2113)</f>
        <v>AWA AR CONDICIONADO</v>
      </c>
      <c r="E2105" s="38" t="str">
        <f>IF(ORCAMENTOS!E2113="","",ORCAMENTOS!E2113)</f>
        <v>RENNER 592 - PARTAGE - DF</v>
      </c>
      <c r="F2105" s="37" t="str">
        <f>IF(ORCAMENTOS!G2113="","",ORCAMENTOS!G2113)</f>
        <v>Guilherme</v>
      </c>
      <c r="G2105" s="37" t="str">
        <f>IF(ORCAMENTOS!H2113="","",ORCAMENTOS!H2113)</f>
        <v>Guilherme</v>
      </c>
      <c r="H2105" s="39">
        <f>IF(ORCAMENTOS!I2113="","",ORCAMENTOS!I2113)</f>
        <v>178655.6</v>
      </c>
      <c r="I2105" s="60">
        <f>IF(ORCAMENTOS!J2113="","",ORCAMENTOS!J2113)</f>
        <v>7.0000000000000007E-2</v>
      </c>
      <c r="J2105" s="40" t="str">
        <f>IF(ORCAMENTOS!L2113="","",ORCAMENTOS!L2113)</f>
        <v>CANCELADO</v>
      </c>
      <c r="K2105" s="34" t="str">
        <f>IF(ORCAMENTOS!M2113="","",ORCAMENTOS!M2113)</f>
        <v>-</v>
      </c>
      <c r="L2105" t="str">
        <f>IF(ORCAMENTOS!R2113="","",ORCAMENTOS!R2113)</f>
        <v/>
      </c>
    </row>
    <row r="2106" spans="1:12" ht="15.75" hidden="1" customHeight="1" x14ac:dyDescent="0.25">
      <c r="A2106" s="36">
        <f>IF(ORCAMENTOS!A2114="","",ORCAMENTOS!A2114)</f>
        <v>45996</v>
      </c>
      <c r="B2106" s="46">
        <f>IF(ORCAMENTOS!B2114="","",ORCAMENTOS!B2114)</f>
        <v>2104</v>
      </c>
      <c r="C2106" s="46" t="str">
        <f>IF(ORCAMENTOS!C2114="","",ORCAMENTOS!C2114)</f>
        <v/>
      </c>
      <c r="D2106" s="37" t="str">
        <f>IF(ORCAMENTOS!D2114="","",ORCAMENTOS!D2114)</f>
        <v>DUTOLEVE</v>
      </c>
      <c r="E2106" s="38" t="str">
        <f>IF(ORCAMENTOS!E2114="","",ORCAMENTOS!E2114)</f>
        <v>IESSI - VASCO DA GAMA PLAZA - 11º PAVIMENTO</v>
      </c>
      <c r="F2106" s="37" t="str">
        <f>IF(ORCAMENTOS!G2114="","",ORCAMENTOS!G2114)</f>
        <v>Gabriel</v>
      </c>
      <c r="G2106" s="37" t="str">
        <f>IF(ORCAMENTOS!H2114="","",ORCAMENTOS!H2114)</f>
        <v>Newton</v>
      </c>
      <c r="H2106" s="39">
        <f>IF(ORCAMENTOS!I2114="","",ORCAMENTOS!I2114)</f>
        <v>113195.16</v>
      </c>
      <c r="I2106" s="60">
        <f>IF(ORCAMENTOS!J2114="","",ORCAMENTOS!J2114)</f>
        <v>7.0000000000000007E-2</v>
      </c>
      <c r="J2106" s="40" t="str">
        <f>IF(ORCAMENTOS!L2114="","",ORCAMENTOS!L2114)</f>
        <v>CANCELADO</v>
      </c>
      <c r="K2106" s="34" t="str">
        <f>IF(ORCAMENTOS!M2114="","",ORCAMENTOS!M2114)</f>
        <v>-</v>
      </c>
      <c r="L2106" t="str">
        <f>IF(ORCAMENTOS!R2114="","",ORCAMENTOS!R2114)</f>
        <v/>
      </c>
    </row>
    <row r="2107" spans="1:12" ht="15.75" hidden="1" customHeight="1" x14ac:dyDescent="0.25">
      <c r="A2107" s="36">
        <f>IF(ORCAMENTOS!A2115="","",ORCAMENTOS!A2115)</f>
        <v>45996</v>
      </c>
      <c r="B2107" s="46">
        <f>IF(ORCAMENTOS!B2115="","",ORCAMENTOS!B2115)</f>
        <v>2105</v>
      </c>
      <c r="C2107" s="46" t="str">
        <f>IF(ORCAMENTOS!C2115="","",ORCAMENTOS!C2115)</f>
        <v/>
      </c>
      <c r="D2107" s="37" t="str">
        <f>IF(ORCAMENTOS!D2115="","",ORCAMENTOS!D2115)</f>
        <v>ARCOSERV</v>
      </c>
      <c r="E2107" s="38" t="str">
        <f>IF(ORCAMENTOS!E2115="","",ORCAMENTOS!E2115)</f>
        <v>RITMO ITAIM</v>
      </c>
      <c r="F2107" s="37" t="str">
        <f>IF(ORCAMENTOS!G2115="","",ORCAMENTOS!G2115)</f>
        <v xml:space="preserve">Aldavir </v>
      </c>
      <c r="G2107" s="37" t="str">
        <f>IF(ORCAMENTOS!H2115="","",ORCAMENTOS!H2115)</f>
        <v>Rubens</v>
      </c>
      <c r="H2107" s="39">
        <f>IF(ORCAMENTOS!I2115="","",ORCAMENTOS!I2115)</f>
        <v>17060.560000000001</v>
      </c>
      <c r="I2107" s="60">
        <f>IF(ORCAMENTOS!J2115="","",ORCAMENTOS!J2115)</f>
        <v>0.06</v>
      </c>
      <c r="J2107" s="40" t="str">
        <f>IF(ORCAMENTOS!L2115="","",ORCAMENTOS!L2115)</f>
        <v>FECHADO</v>
      </c>
      <c r="K2107" s="34" t="str">
        <f>IF(ORCAMENTOS!M2115="","",ORCAMENTOS!M2115)</f>
        <v>-</v>
      </c>
      <c r="L2107" t="str">
        <f>IF(ORCAMENTOS!R2115="","",ORCAMENTOS!R2115)</f>
        <v>-</v>
      </c>
    </row>
    <row r="2108" spans="1:12" ht="15.75" hidden="1" customHeight="1" x14ac:dyDescent="0.25">
      <c r="A2108" s="36">
        <f>IF(ORCAMENTOS!A2116="","",ORCAMENTOS!A2116)</f>
        <v>45996</v>
      </c>
      <c r="B2108" s="46">
        <f>IF(ORCAMENTOS!B2116="","",ORCAMENTOS!B2116)</f>
        <v>2106</v>
      </c>
      <c r="C2108" s="46" t="str">
        <f>IF(ORCAMENTOS!C2116="","",ORCAMENTOS!C2116)</f>
        <v/>
      </c>
      <c r="D2108" s="37" t="str">
        <f>IF(ORCAMENTOS!D2116="","",ORCAMENTOS!D2116)</f>
        <v>HEATING COOLING</v>
      </c>
      <c r="E2108" s="38" t="str">
        <f>IF(ORCAMENTOS!E2116="","",ORCAMENTOS!E2116)</f>
        <v>DISTRITO REVEE - ARARAQUARA - SP</v>
      </c>
      <c r="F2108" s="37" t="str">
        <f>IF(ORCAMENTOS!G2116="","",ORCAMENTOS!G2116)</f>
        <v>Gabriel</v>
      </c>
      <c r="G2108" s="37" t="str">
        <f>IF(ORCAMENTOS!H2116="","",ORCAMENTOS!H2116)</f>
        <v>Cleo</v>
      </c>
      <c r="H2108" s="39">
        <f>IF(ORCAMENTOS!I2116="","",ORCAMENTOS!I2116)</f>
        <v>524755.91</v>
      </c>
      <c r="I2108" s="60">
        <f>IF(ORCAMENTOS!J2116="","",ORCAMENTOS!J2116)</f>
        <v>7.0000000000000007E-2</v>
      </c>
      <c r="J2108" s="40" t="str">
        <f>IF(ORCAMENTOS!L2116="","",ORCAMENTOS!L2116)</f>
        <v>CANCELADO</v>
      </c>
      <c r="K2108" s="34" t="str">
        <f>IF(ORCAMENTOS!M2116="","",ORCAMENTOS!M2116)</f>
        <v>-</v>
      </c>
      <c r="L2108" t="str">
        <f>IF(ORCAMENTOS!R2116="","",ORCAMENTOS!R2116)</f>
        <v/>
      </c>
    </row>
    <row r="2109" spans="1:12" ht="15.75" hidden="1" customHeight="1" x14ac:dyDescent="0.25">
      <c r="A2109" s="36">
        <f>IF(ORCAMENTOS!A2117="","",ORCAMENTOS!A2117)</f>
        <v>45996</v>
      </c>
      <c r="B2109" s="46">
        <f>IF(ORCAMENTOS!B2117="","",ORCAMENTOS!B2117)</f>
        <v>2107</v>
      </c>
      <c r="C2109" s="46" t="str">
        <f>IF(ORCAMENTOS!C2117="","",ORCAMENTOS!C2117)</f>
        <v>R1</v>
      </c>
      <c r="D2109" s="37" t="str">
        <f>IF(ORCAMENTOS!D2117="","",ORCAMENTOS!D2117)</f>
        <v>DUTOBRAS</v>
      </c>
      <c r="E2109" s="38" t="str">
        <f>IF(ORCAMENTOS!E2117="","",ORCAMENTOS!E2117)</f>
        <v>-</v>
      </c>
      <c r="F2109" s="37" t="str">
        <f>IF(ORCAMENTOS!G2117="","",ORCAMENTOS!G2117)</f>
        <v>Gabriel</v>
      </c>
      <c r="G2109" s="37" t="str">
        <f>IF(ORCAMENTOS!H2117="","",ORCAMENTOS!H2117)</f>
        <v>Ieda</v>
      </c>
      <c r="H2109" s="39">
        <f>IF(ORCAMENTOS!I2117="","",ORCAMENTOS!I2117)</f>
        <v>72853.2</v>
      </c>
      <c r="I2109" s="60">
        <f>IF(ORCAMENTOS!J2117="","",ORCAMENTOS!J2117)</f>
        <v>7.0000000000000007E-2</v>
      </c>
      <c r="J2109" s="40" t="str">
        <f>IF(ORCAMENTOS!L2117="","",ORCAMENTOS!L2117)</f>
        <v>FECHADO</v>
      </c>
      <c r="K2109" s="34" t="str">
        <f>IF(ORCAMENTOS!M2117="","",ORCAMENTOS!M2117)</f>
        <v>-</v>
      </c>
      <c r="L2109" t="str">
        <f>IF(ORCAMENTOS!R2117="","",ORCAMENTOS!R2117)</f>
        <v>-</v>
      </c>
    </row>
    <row r="2110" spans="1:12" ht="15.75" hidden="1" customHeight="1" x14ac:dyDescent="0.25">
      <c r="A2110" s="36">
        <f>IF(ORCAMENTOS!A2118="","",ORCAMENTOS!A2118)</f>
        <v>45999</v>
      </c>
      <c r="B2110" s="46">
        <f>IF(ORCAMENTOS!B2118="","",ORCAMENTOS!B2118)</f>
        <v>2108</v>
      </c>
      <c r="C2110" s="46" t="str">
        <f>IF(ORCAMENTOS!C2118="","",ORCAMENTOS!C2118)</f>
        <v/>
      </c>
      <c r="D2110" s="37" t="str">
        <f>IF(ORCAMENTOS!D2118="","",ORCAMENTOS!D2118)</f>
        <v>ARCLEAN</v>
      </c>
      <c r="E2110" s="38" t="str">
        <f>IF(ORCAMENTOS!E2118="","",ORCAMENTOS!E2118)</f>
        <v>CONE SHOPEE - GALPAO</v>
      </c>
      <c r="F2110" s="37" t="str">
        <f>IF(ORCAMENTOS!G2118="","",ORCAMENTOS!G2118)</f>
        <v xml:space="preserve">Aldavir </v>
      </c>
      <c r="G2110" s="37" t="str">
        <f>IF(ORCAMENTOS!H2118="","",ORCAMENTOS!H2118)</f>
        <v>Melanie</v>
      </c>
      <c r="H2110" s="39">
        <f>IF(ORCAMENTOS!I2118="","",ORCAMENTOS!I2118)</f>
        <v>956429.29</v>
      </c>
      <c r="I2110" s="60">
        <f>IF(ORCAMENTOS!J2118="","",ORCAMENTOS!J2118)</f>
        <v>7.0000000000000007E-2</v>
      </c>
      <c r="J2110" s="40" t="str">
        <f>IF(ORCAMENTOS!L2118="","",ORCAMENTOS!L2118)</f>
        <v>CANCELADO</v>
      </c>
      <c r="K2110" s="34" t="str">
        <f>IF(ORCAMENTOS!M2118="","",ORCAMENTOS!M2118)</f>
        <v>-</v>
      </c>
      <c r="L2110" t="str">
        <f>IF(ORCAMENTOS!R2118="","",ORCAMENTOS!R2118)</f>
        <v/>
      </c>
    </row>
    <row r="2111" spans="1:12" ht="15.75" hidden="1" customHeight="1" x14ac:dyDescent="0.25">
      <c r="A2111" s="36">
        <f>IF(ORCAMENTOS!A2119="","",ORCAMENTOS!A2119)</f>
        <v>45999</v>
      </c>
      <c r="B2111" s="46">
        <f>IF(ORCAMENTOS!B2119="","",ORCAMENTOS!B2119)</f>
        <v>2109</v>
      </c>
      <c r="C2111" s="46" t="str">
        <f>IF(ORCAMENTOS!C2119="","",ORCAMENTOS!C2119)</f>
        <v/>
      </c>
      <c r="D2111" s="37" t="str">
        <f>IF(ORCAMENTOS!D2119="","",ORCAMENTOS!D2119)</f>
        <v>UNION RHAC</v>
      </c>
      <c r="E2111" s="38" t="str">
        <f>IF(ORCAMENTOS!E2119="","",ORCAMENTOS!E2119)</f>
        <v>Nissin foods</v>
      </c>
      <c r="F2111" s="37" t="str">
        <f>IF(ORCAMENTOS!G2119="","",ORCAMENTOS!G2119)</f>
        <v>Emanuel</v>
      </c>
      <c r="G2111" s="37" t="str">
        <f>IF(ORCAMENTOS!H2119="","",ORCAMENTOS!H2119)</f>
        <v>Vinicius</v>
      </c>
      <c r="H2111" s="39">
        <f>IF(ORCAMENTOS!I2119="","",ORCAMENTOS!I2119)</f>
        <v>13438.76</v>
      </c>
      <c r="I2111" s="60">
        <f>IF(ORCAMENTOS!J2119="","",ORCAMENTOS!J2119)</f>
        <v>7.0000000000000007E-2</v>
      </c>
      <c r="J2111" s="40" t="str">
        <f>IF(ORCAMENTOS!L2119="","",ORCAMENTOS!L2119)</f>
        <v>FECHADO</v>
      </c>
      <c r="K2111" s="34" t="str">
        <f>IF(ORCAMENTOS!M2119="","",ORCAMENTOS!M2119)</f>
        <v>-</v>
      </c>
      <c r="L2111" t="str">
        <f>IF(ORCAMENTOS!R2119="","",ORCAMENTOS!R2119)</f>
        <v>-</v>
      </c>
    </row>
    <row r="2112" spans="1:12" ht="15.75" hidden="1" customHeight="1" x14ac:dyDescent="0.25">
      <c r="A2112" s="36">
        <f>IF(ORCAMENTOS!A2120="","",ORCAMENTOS!A2120)</f>
        <v>45999</v>
      </c>
      <c r="B2112" s="46">
        <f>IF(ORCAMENTOS!B2120="","",ORCAMENTOS!B2120)</f>
        <v>2110</v>
      </c>
      <c r="C2112" s="46" t="str">
        <f>IF(ORCAMENTOS!C2120="","",ORCAMENTOS!C2120)</f>
        <v/>
      </c>
      <c r="D2112" s="37" t="str">
        <f>IF(ORCAMENTOS!D2120="","",ORCAMENTOS!D2120)</f>
        <v>AWA AR CONDICIONADO</v>
      </c>
      <c r="E2112" s="38" t="str">
        <f>IF(ORCAMENTOS!E2120="","",ORCAMENTOS!E2120)</f>
        <v>SUPER MATEUS - GENERAL ARTHUR - SÃO LUIS MA</v>
      </c>
      <c r="F2112" s="37" t="str">
        <f>IF(ORCAMENTOS!G2120="","",ORCAMENTOS!G2120)</f>
        <v>Guilherme</v>
      </c>
      <c r="G2112" s="37" t="str">
        <f>IF(ORCAMENTOS!H2120="","",ORCAMENTOS!H2120)</f>
        <v>Paula</v>
      </c>
      <c r="H2112" s="39">
        <f>IF(ORCAMENTOS!I2120="","",ORCAMENTOS!I2120)</f>
        <v>64344.94</v>
      </c>
      <c r="I2112" s="60">
        <f>IF(ORCAMENTOS!J2120="","",ORCAMENTOS!J2120)</f>
        <v>7.0000000000000007E-2</v>
      </c>
      <c r="J2112" s="40" t="str">
        <f>IF(ORCAMENTOS!L2120="","",ORCAMENTOS!L2120)</f>
        <v>CANCELADO</v>
      </c>
      <c r="K2112" s="34" t="str">
        <f>IF(ORCAMENTOS!M2120="","",ORCAMENTOS!M2120)</f>
        <v>-</v>
      </c>
      <c r="L2112" t="str">
        <f>IF(ORCAMENTOS!R2120="","",ORCAMENTOS!R2120)</f>
        <v/>
      </c>
    </row>
    <row r="2113" spans="1:12" ht="15.75" hidden="1" customHeight="1" x14ac:dyDescent="0.25">
      <c r="A2113" s="36">
        <f>IF(ORCAMENTOS!A2121="","",ORCAMENTOS!A2121)</f>
        <v>45999</v>
      </c>
      <c r="B2113" s="46">
        <f>IF(ORCAMENTOS!B2121="","",ORCAMENTOS!B2121)</f>
        <v>2111</v>
      </c>
      <c r="C2113" s="46" t="str">
        <f>IF(ORCAMENTOS!C2121="","",ORCAMENTOS!C2121)</f>
        <v/>
      </c>
      <c r="D2113" s="37" t="str">
        <f>IF(ORCAMENTOS!D2121="","",ORCAMENTOS!D2121)</f>
        <v>EXAUSTAR</v>
      </c>
      <c r="E2113" s="38" t="str">
        <f>IF(ORCAMENTOS!E2121="","",ORCAMENTOS!E2121)</f>
        <v>RIACHUELO - BARIGUI SHOPPING - CURITIBA - PR</v>
      </c>
      <c r="F2113" s="37" t="str">
        <f>IF(ORCAMENTOS!G2121="","",ORCAMENTOS!G2121)</f>
        <v>Gabriel</v>
      </c>
      <c r="G2113" s="37" t="str">
        <f>IF(ORCAMENTOS!H2121="","",ORCAMENTOS!H2121)</f>
        <v>Matheus</v>
      </c>
      <c r="H2113" s="39">
        <f>IF(ORCAMENTOS!I2121="","",ORCAMENTOS!I2121)</f>
        <v>27428.95</v>
      </c>
      <c r="I2113" s="60">
        <f>IF(ORCAMENTOS!J2121="","",ORCAMENTOS!J2121)</f>
        <v>7.0000000000000007E-2</v>
      </c>
      <c r="J2113" s="40" t="str">
        <f>IF(ORCAMENTOS!L2121="","",ORCAMENTOS!L2121)</f>
        <v>CANCELADO</v>
      </c>
      <c r="K2113" s="34" t="str">
        <f>IF(ORCAMENTOS!M2121="","",ORCAMENTOS!M2121)</f>
        <v>-</v>
      </c>
      <c r="L2113" t="str">
        <f>IF(ORCAMENTOS!R2121="","",ORCAMENTOS!R2121)</f>
        <v/>
      </c>
    </row>
    <row r="2114" spans="1:12" ht="15.75" hidden="1" customHeight="1" x14ac:dyDescent="0.25">
      <c r="A2114" s="36">
        <f>IF(ORCAMENTOS!A2122="","",ORCAMENTOS!A2122)</f>
        <v>46002</v>
      </c>
      <c r="B2114" s="46">
        <f>IF(ORCAMENTOS!B2122="","",ORCAMENTOS!B2122)</f>
        <v>2112</v>
      </c>
      <c r="C2114" s="46" t="str">
        <f>IF(ORCAMENTOS!C2122="","",ORCAMENTOS!C2122)</f>
        <v/>
      </c>
      <c r="D2114" s="37" t="str">
        <f>IF(ORCAMENTOS!D2122="","",ORCAMENTOS!D2122)</f>
        <v>ART AR</v>
      </c>
      <c r="E2114" s="38" t="str">
        <f>IF(ORCAMENTOS!E2122="","",ORCAMENTOS!E2122)</f>
        <v>-</v>
      </c>
      <c r="F2114" s="37" t="str">
        <f>IF(ORCAMENTOS!G2122="","",ORCAMENTOS!G2122)</f>
        <v>Emanuel</v>
      </c>
      <c r="G2114" s="37" t="str">
        <f>IF(ORCAMENTOS!H2122="","",ORCAMENTOS!H2122)</f>
        <v>Jorge</v>
      </c>
      <c r="H2114" s="39">
        <f>IF(ORCAMENTOS!I2122="","",ORCAMENTOS!I2122)</f>
        <v>63283.7</v>
      </c>
      <c r="I2114" s="60">
        <f>IF(ORCAMENTOS!J2122="","",ORCAMENTOS!J2122)</f>
        <v>0.03</v>
      </c>
      <c r="J2114" s="40" t="str">
        <f>IF(ORCAMENTOS!L2122="","",ORCAMENTOS!L2122)</f>
        <v>CANCELADO</v>
      </c>
      <c r="K2114" s="34" t="str">
        <f>IF(ORCAMENTOS!M2122="","",ORCAMENTOS!M2122)</f>
        <v>-</v>
      </c>
      <c r="L2114" t="str">
        <f>IF(ORCAMENTOS!R2122="","",ORCAMENTOS!R2122)</f>
        <v>-</v>
      </c>
    </row>
    <row r="2115" spans="1:12" ht="15.75" hidden="1" customHeight="1" x14ac:dyDescent="0.25">
      <c r="A2115" s="36">
        <f>IF(ORCAMENTOS!A2123="","",ORCAMENTOS!A2123)</f>
        <v>46000</v>
      </c>
      <c r="B2115" s="46">
        <f>IF(ORCAMENTOS!B2123="","",ORCAMENTOS!B2123)</f>
        <v>2113</v>
      </c>
      <c r="C2115" s="46" t="str">
        <f>IF(ORCAMENTOS!C2123="","",ORCAMENTOS!C2123)</f>
        <v/>
      </c>
      <c r="D2115" s="37" t="str">
        <f>IF(ORCAMENTOS!D2123="","",ORCAMENTOS!D2123)</f>
        <v>AWA AR CONDICIONADO</v>
      </c>
      <c r="E2115" s="38" t="str">
        <f>IF(ORCAMENTOS!E2123="","",ORCAMENTOS!E2123)</f>
        <v>INPASA RONDONOPOLIS - USINA DE ETANOL - RIO VERDE - GO</v>
      </c>
      <c r="F2115" s="37" t="str">
        <f>IF(ORCAMENTOS!G2123="","",ORCAMENTOS!G2123)</f>
        <v>Guilherme</v>
      </c>
      <c r="G2115" s="37" t="str">
        <f>IF(ORCAMENTOS!H2123="","",ORCAMENTOS!H2123)</f>
        <v>Guilherme</v>
      </c>
      <c r="H2115" s="39">
        <f>IF(ORCAMENTOS!I2123="","",ORCAMENTOS!I2123)</f>
        <v>19341.080000000002</v>
      </c>
      <c r="I2115" s="60">
        <f>IF(ORCAMENTOS!J2123="","",ORCAMENTOS!J2123)</f>
        <v>7.0000000000000007E-2</v>
      </c>
      <c r="J2115" s="40" t="str">
        <f>IF(ORCAMENTOS!L2123="","",ORCAMENTOS!L2123)</f>
        <v>CANCELADO</v>
      </c>
      <c r="K2115" s="34" t="str">
        <f>IF(ORCAMENTOS!M2123="","",ORCAMENTOS!M2123)</f>
        <v>-</v>
      </c>
      <c r="L2115" t="str">
        <f>IF(ORCAMENTOS!R2123="","",ORCAMENTOS!R2123)</f>
        <v/>
      </c>
    </row>
    <row r="2116" spans="1:12" ht="15.75" hidden="1" customHeight="1" x14ac:dyDescent="0.25">
      <c r="A2116" s="36">
        <f>IF(ORCAMENTOS!A2124="","",ORCAMENTOS!A2124)</f>
        <v>46001</v>
      </c>
      <c r="B2116" s="46">
        <f>IF(ORCAMENTOS!B2124="","",ORCAMENTOS!B2124)</f>
        <v>2114</v>
      </c>
      <c r="C2116" s="46" t="str">
        <f>IF(ORCAMENTOS!C2124="","",ORCAMENTOS!C2124)</f>
        <v>R1</v>
      </c>
      <c r="D2116" s="37" t="str">
        <f>IF(ORCAMENTOS!D2124="","",ORCAMENTOS!D2124)</f>
        <v>AR SET</v>
      </c>
      <c r="E2116" s="38" t="str">
        <f>IF(ORCAMENTOS!E2124="","",ORCAMENTOS!E2124)</f>
        <v>ESCRITÓRIO LAURA ROCHA</v>
      </c>
      <c r="F2116" s="37" t="str">
        <f>IF(ORCAMENTOS!G2124="","",ORCAMENTOS!G2124)</f>
        <v>Fernando</v>
      </c>
      <c r="G2116" s="37" t="str">
        <f>IF(ORCAMENTOS!H2124="","",ORCAMENTOS!H2124)</f>
        <v>Lais</v>
      </c>
      <c r="H2116" s="39">
        <f>IF(ORCAMENTOS!I2124="","",ORCAMENTOS!I2124)</f>
        <v>2069.71</v>
      </c>
      <c r="I2116" s="60">
        <f>IF(ORCAMENTOS!J2124="","",ORCAMENTOS!J2124)</f>
        <v>0.05</v>
      </c>
      <c r="J2116" s="40" t="str">
        <f>IF(ORCAMENTOS!L2124="","",ORCAMENTOS!L2124)</f>
        <v>FECHADO</v>
      </c>
      <c r="K2116" s="34" t="str">
        <f>IF(ORCAMENTOS!M2124="","",ORCAMENTOS!M2124)</f>
        <v>-</v>
      </c>
      <c r="L2116" t="str">
        <f>IF(ORCAMENTOS!R2124="","",ORCAMENTOS!R2124)</f>
        <v>-</v>
      </c>
    </row>
    <row r="2117" spans="1:12" ht="15.75" hidden="1" customHeight="1" x14ac:dyDescent="0.25">
      <c r="A2117" s="36">
        <f>IF(ORCAMENTOS!A2125="","",ORCAMENTOS!A2125)</f>
        <v>46000</v>
      </c>
      <c r="B2117" s="46">
        <f>IF(ORCAMENTOS!B2125="","",ORCAMENTOS!B2125)</f>
        <v>2115</v>
      </c>
      <c r="C2117" s="46" t="str">
        <f>IF(ORCAMENTOS!C2125="","",ORCAMENTOS!C2125)</f>
        <v/>
      </c>
      <c r="D2117" s="37" t="str">
        <f>IF(ORCAMENTOS!D2125="","",ORCAMENTOS!D2125)</f>
        <v>A2 SERVICOS</v>
      </c>
      <c r="E2117" s="38" t="str">
        <f>IF(ORCAMENTOS!E2125="","",ORCAMENTOS!E2125)</f>
        <v>-</v>
      </c>
      <c r="F2117" s="37" t="str">
        <f>IF(ORCAMENTOS!G2125="","",ORCAMENTOS!G2125)</f>
        <v>Gabriel</v>
      </c>
      <c r="G2117" s="37" t="str">
        <f>IF(ORCAMENTOS!H2125="","",ORCAMENTOS!H2125)</f>
        <v>Ronilson</v>
      </c>
      <c r="H2117" s="39">
        <f>IF(ORCAMENTOS!I2125="","",ORCAMENTOS!I2125)</f>
        <v>1300.46</v>
      </c>
      <c r="I2117" s="60">
        <f>IF(ORCAMENTOS!J2125="","",ORCAMENTOS!J2125)</f>
        <v>7.0000000000000007E-2</v>
      </c>
      <c r="J2117" s="40" t="str">
        <f>IF(ORCAMENTOS!L2125="","",ORCAMENTOS!L2125)</f>
        <v>FECHADO</v>
      </c>
      <c r="K2117" s="34" t="str">
        <f>IF(ORCAMENTOS!M2125="","",ORCAMENTOS!M2125)</f>
        <v>-</v>
      </c>
      <c r="L2117" t="str">
        <f>IF(ORCAMENTOS!R2125="","",ORCAMENTOS!R2125)</f>
        <v>-</v>
      </c>
    </row>
    <row r="2118" spans="1:12" ht="15.75" hidden="1" customHeight="1" x14ac:dyDescent="0.25">
      <c r="A2118" s="36">
        <f>IF(ORCAMENTOS!A2126="","",ORCAMENTOS!A2126)</f>
        <v>46000</v>
      </c>
      <c r="B2118" s="46">
        <f>IF(ORCAMENTOS!B2126="","",ORCAMENTOS!B2126)</f>
        <v>2116</v>
      </c>
      <c r="C2118" s="46" t="str">
        <f>IF(ORCAMENTOS!C2126="","",ORCAMENTOS!C2126)</f>
        <v/>
      </c>
      <c r="D2118" s="37" t="str">
        <f>IF(ORCAMENTOS!D2126="","",ORCAMENTOS!D2126)</f>
        <v>ACTEC ENGENHARIA</v>
      </c>
      <c r="E2118" s="38" t="str">
        <f>IF(ORCAMENTOS!E2126="","",ORCAMENTOS!E2126)</f>
        <v>HOSPITAL SANTA MARIA</v>
      </c>
      <c r="F2118" s="37" t="str">
        <f>IF(ORCAMENTOS!G2126="","",ORCAMENTOS!G2126)</f>
        <v xml:space="preserve">Aldavir </v>
      </c>
      <c r="G2118" s="37" t="str">
        <f>IF(ORCAMENTOS!H2126="","",ORCAMENTOS!H2126)</f>
        <v>Pacheco</v>
      </c>
      <c r="H2118" s="39">
        <f>IF(ORCAMENTOS!I2126="","",ORCAMENTOS!I2126)</f>
        <v>70412.33</v>
      </c>
      <c r="I2118" s="60">
        <f>IF(ORCAMENTOS!J2126="","",ORCAMENTOS!J2126)</f>
        <v>0.05</v>
      </c>
      <c r="J2118" s="40" t="str">
        <f>IF(ORCAMENTOS!L2126="","",ORCAMENTOS!L2126)</f>
        <v>FECHADO</v>
      </c>
      <c r="K2118" s="34" t="str">
        <f>IF(ORCAMENTOS!M2126="","",ORCAMENTOS!M2126)</f>
        <v>-</v>
      </c>
      <c r="L2118" t="str">
        <f>IF(ORCAMENTOS!R2126="","",ORCAMENTOS!R2126)</f>
        <v>-</v>
      </c>
    </row>
    <row r="2119" spans="1:12" ht="15.75" hidden="1" customHeight="1" x14ac:dyDescent="0.25">
      <c r="A2119" s="36">
        <f>IF(ORCAMENTOS!A2127="","",ORCAMENTOS!A2127)</f>
        <v>46000</v>
      </c>
      <c r="B2119" s="46">
        <f>IF(ORCAMENTOS!B2127="","",ORCAMENTOS!B2127)</f>
        <v>2117</v>
      </c>
      <c r="C2119" s="46" t="str">
        <f>IF(ORCAMENTOS!C2127="","",ORCAMENTOS!C2127)</f>
        <v/>
      </c>
      <c r="D2119" s="37" t="str">
        <f>IF(ORCAMENTOS!D2127="","",ORCAMENTOS!D2127)</f>
        <v>CHRISTAR</v>
      </c>
      <c r="E2119" s="38" t="str">
        <f>IF(ORCAMENTOS!E2127="","",ORCAMENTOS!E2127)</f>
        <v>DISTRITO REVEE - ARARAQUARA - SP</v>
      </c>
      <c r="F2119" s="37" t="str">
        <f>IF(ORCAMENTOS!G2127="","",ORCAMENTOS!G2127)</f>
        <v xml:space="preserve">Aldavir </v>
      </c>
      <c r="G2119" s="37" t="str">
        <f>IF(ORCAMENTOS!H2127="","",ORCAMENTOS!H2127)</f>
        <v>Anderson</v>
      </c>
      <c r="H2119" s="39">
        <f>IF(ORCAMENTOS!I2127="","",ORCAMENTOS!I2127)</f>
        <v>486583.8</v>
      </c>
      <c r="I2119" s="60">
        <f>IF(ORCAMENTOS!J2127="","",ORCAMENTOS!J2127)</f>
        <v>7.0000000000000007E-2</v>
      </c>
      <c r="J2119" s="40" t="str">
        <f>IF(ORCAMENTOS!L2127="","",ORCAMENTOS!L2127)</f>
        <v>CANCELADO</v>
      </c>
      <c r="K2119" s="34" t="str">
        <f>IF(ORCAMENTOS!M2127="","",ORCAMENTOS!M2127)</f>
        <v/>
      </c>
      <c r="L2119" t="str">
        <f>IF(ORCAMENTOS!R2127="","",ORCAMENTOS!R2127)</f>
        <v/>
      </c>
    </row>
    <row r="2120" spans="1:12" ht="15.75" hidden="1" customHeight="1" x14ac:dyDescent="0.25">
      <c r="A2120" s="36">
        <f>IF(ORCAMENTOS!A2128="","",ORCAMENTOS!A2128)</f>
        <v>46000</v>
      </c>
      <c r="B2120" s="46">
        <f>IF(ORCAMENTOS!B2128="","",ORCAMENTOS!B2128)</f>
        <v>2118</v>
      </c>
      <c r="C2120" s="46" t="str">
        <f>IF(ORCAMENTOS!C2128="","",ORCAMENTOS!C2128)</f>
        <v/>
      </c>
      <c r="D2120" s="37" t="str">
        <f>IF(ORCAMENTOS!D2128="","",ORCAMENTOS!D2128)</f>
        <v>DMD AR CONDICIONADO</v>
      </c>
      <c r="E2120" s="38" t="str">
        <f>IF(ORCAMENTOS!E2128="","",ORCAMENTOS!E2128)</f>
        <v/>
      </c>
      <c r="F2120" s="37" t="str">
        <f>IF(ORCAMENTOS!G2128="","",ORCAMENTOS!G2128)</f>
        <v xml:space="preserve">Aldavir </v>
      </c>
      <c r="G2120" s="37" t="str">
        <f>IF(ORCAMENTOS!H2128="","",ORCAMENTOS!H2128)</f>
        <v>Ana</v>
      </c>
      <c r="H2120" s="39">
        <f>IF(ORCAMENTOS!I2128="","",ORCAMENTOS!I2128)</f>
        <v>8596.75</v>
      </c>
      <c r="I2120" s="60">
        <f>IF(ORCAMENTOS!J2128="","",ORCAMENTOS!J2128)</f>
        <v>7.0000000000000007E-2</v>
      </c>
      <c r="J2120" s="40" t="str">
        <f>IF(ORCAMENTOS!L2128="","",ORCAMENTOS!L2128)</f>
        <v>FECHADO</v>
      </c>
      <c r="K2120" s="34" t="str">
        <f>IF(ORCAMENTOS!M2128="","",ORCAMENTOS!M2128)</f>
        <v>-</v>
      </c>
      <c r="L2120" t="str">
        <f>IF(ORCAMENTOS!R2128="","",ORCAMENTOS!R2128)</f>
        <v>-</v>
      </c>
    </row>
    <row r="2121" spans="1:12" ht="15.75" hidden="1" customHeight="1" x14ac:dyDescent="0.25">
      <c r="A2121" s="36">
        <f>IF(ORCAMENTOS!A2129="","",ORCAMENTOS!A2129)</f>
        <v>46001</v>
      </c>
      <c r="B2121" s="46">
        <f>IF(ORCAMENTOS!B2129="","",ORCAMENTOS!B2129)</f>
        <v>2119</v>
      </c>
      <c r="C2121" s="46" t="str">
        <f>IF(ORCAMENTOS!C2129="","",ORCAMENTOS!C2129)</f>
        <v>R3</v>
      </c>
      <c r="D2121" s="37" t="str">
        <f>IF(ORCAMENTOS!D2129="","",ORCAMENTOS!D2129)</f>
        <v>MANENG</v>
      </c>
      <c r="E2121" s="38" t="str">
        <f>IF(ORCAMENTOS!E2129="","",ORCAMENTOS!E2129)</f>
        <v>-</v>
      </c>
      <c r="F2121" s="37" t="str">
        <f>IF(ORCAMENTOS!G2129="","",ORCAMENTOS!G2129)</f>
        <v>Guilherme</v>
      </c>
      <c r="G2121" s="37" t="str">
        <f>IF(ORCAMENTOS!H2129="","",ORCAMENTOS!H2129)</f>
        <v>Gabrielle</v>
      </c>
      <c r="H2121" s="39">
        <f>IF(ORCAMENTOS!I2129="","",ORCAMENTOS!I2129)</f>
        <v>18672.72</v>
      </c>
      <c r="I2121" s="60">
        <f>IF(ORCAMENTOS!J2129="","",ORCAMENTOS!J2129)</f>
        <v>0.05</v>
      </c>
      <c r="J2121" s="40" t="str">
        <f>IF(ORCAMENTOS!L2129="","",ORCAMENTOS!L2129)</f>
        <v>FECHADO</v>
      </c>
      <c r="K2121" s="34" t="str">
        <f>IF(ORCAMENTOS!M2129="","",ORCAMENTOS!M2129)</f>
        <v>-</v>
      </c>
      <c r="L2121" t="str">
        <f>IF(ORCAMENTOS!R2129="","",ORCAMENTOS!R2129)</f>
        <v>-</v>
      </c>
    </row>
    <row r="2122" spans="1:12" ht="15.75" hidden="1" customHeight="1" x14ac:dyDescent="0.25">
      <c r="A2122" s="36">
        <f>IF(ORCAMENTOS!A2130="","",ORCAMENTOS!A2130)</f>
        <v>46001</v>
      </c>
      <c r="B2122" s="46">
        <f>IF(ORCAMENTOS!B2130="","",ORCAMENTOS!B2130)</f>
        <v>2120</v>
      </c>
      <c r="C2122" s="46" t="str">
        <f>IF(ORCAMENTOS!C2130="","",ORCAMENTOS!C2130)</f>
        <v/>
      </c>
      <c r="D2122" s="37" t="str">
        <f>IF(ORCAMENTOS!D2130="","",ORCAMENTOS!D2130)</f>
        <v>THERMOMATIC</v>
      </c>
      <c r="E2122" s="38" t="str">
        <f>IF(ORCAMENTOS!E2130="","",ORCAMENTOS!E2130)</f>
        <v>-</v>
      </c>
      <c r="F2122" s="37" t="str">
        <f>IF(ORCAMENTOS!G2130="","",ORCAMENTOS!G2130)</f>
        <v>Gabriel</v>
      </c>
      <c r="G2122" s="37" t="str">
        <f>IF(ORCAMENTOS!H2130="","",ORCAMENTOS!H2130)</f>
        <v>Tais</v>
      </c>
      <c r="H2122" s="39">
        <f>IF(ORCAMENTOS!I2130="","",ORCAMENTOS!I2130)</f>
        <v>1200.5899999999999</v>
      </c>
      <c r="I2122" s="60">
        <f>IF(ORCAMENTOS!J2130="","",ORCAMENTOS!J2130)</f>
        <v>7.0000000000000007E-2</v>
      </c>
      <c r="J2122" s="40" t="str">
        <f>IF(ORCAMENTOS!L2130="","",ORCAMENTOS!L2130)</f>
        <v>FECHADO</v>
      </c>
      <c r="K2122" s="34" t="str">
        <f>IF(ORCAMENTOS!M2130="","",ORCAMENTOS!M2130)</f>
        <v>-</v>
      </c>
      <c r="L2122" t="str">
        <f>IF(ORCAMENTOS!R2130="","",ORCAMENTOS!R2130)</f>
        <v>-</v>
      </c>
    </row>
    <row r="2123" spans="1:12" ht="15.75" hidden="1" customHeight="1" x14ac:dyDescent="0.25">
      <c r="A2123" s="36">
        <f>IF(ORCAMENTOS!A2131="","",ORCAMENTOS!A2131)</f>
        <v>46001</v>
      </c>
      <c r="B2123" s="46">
        <f>IF(ORCAMENTOS!B2131="","",ORCAMENTOS!B2131)</f>
        <v>2121</v>
      </c>
      <c r="C2123" s="46" t="str">
        <f>IF(ORCAMENTOS!C2131="","",ORCAMENTOS!C2131)</f>
        <v/>
      </c>
      <c r="D2123" s="37" t="str">
        <f>IF(ORCAMENTOS!D2131="","",ORCAMENTOS!D2131)</f>
        <v>A2 SERVICOS</v>
      </c>
      <c r="E2123" s="38" t="str">
        <f>IF(ORCAMENTOS!E2131="","",ORCAMENTOS!E2131)</f>
        <v>-</v>
      </c>
      <c r="F2123" s="37" t="str">
        <f>IF(ORCAMENTOS!G2131="","",ORCAMENTOS!G2131)</f>
        <v>Gabriel</v>
      </c>
      <c r="G2123" s="37" t="str">
        <f>IF(ORCAMENTOS!H2131="","",ORCAMENTOS!H2131)</f>
        <v>Ronilson</v>
      </c>
      <c r="H2123" s="39">
        <f>IF(ORCAMENTOS!I2131="","",ORCAMENTOS!I2131)</f>
        <v>1798.89</v>
      </c>
      <c r="I2123" s="60">
        <f>IF(ORCAMENTOS!J2131="","",ORCAMENTOS!J2131)</f>
        <v>7.0000000000000007E-2</v>
      </c>
      <c r="J2123" s="40" t="str">
        <f>IF(ORCAMENTOS!L2131="","",ORCAMENTOS!L2131)</f>
        <v>FECHADO</v>
      </c>
      <c r="K2123" s="34" t="str">
        <f>IF(ORCAMENTOS!M2131="","",ORCAMENTOS!M2131)</f>
        <v>-</v>
      </c>
      <c r="L2123" t="str">
        <f>IF(ORCAMENTOS!R2131="","",ORCAMENTOS!R2131)</f>
        <v>-</v>
      </c>
    </row>
    <row r="2124" spans="1:12" ht="15.75" hidden="1" customHeight="1" x14ac:dyDescent="0.25">
      <c r="A2124" s="36">
        <f>IF(ORCAMENTOS!A2132="","",ORCAMENTOS!A2132)</f>
        <v>46001</v>
      </c>
      <c r="B2124" s="46">
        <f>IF(ORCAMENTOS!B2132="","",ORCAMENTOS!B2132)</f>
        <v>2122</v>
      </c>
      <c r="C2124" s="46" t="str">
        <f>IF(ORCAMENTOS!C2132="","",ORCAMENTOS!C2132)</f>
        <v/>
      </c>
      <c r="D2124" s="37" t="str">
        <f>IF(ORCAMENTOS!D2132="","",ORCAMENTOS!D2132)</f>
        <v>EXAUSTAR</v>
      </c>
      <c r="E2124" s="38" t="str">
        <f>IF(ORCAMENTOS!E2132="","",ORCAMENTOS!E2132)</f>
        <v>HMCG - REDE AMERICAS - SANTO ANDRE - SP</v>
      </c>
      <c r="F2124" s="37" t="str">
        <f>IF(ORCAMENTOS!G2132="","",ORCAMENTOS!G2132)</f>
        <v>Gabriel</v>
      </c>
      <c r="G2124" s="37" t="str">
        <f>IF(ORCAMENTOS!H2132="","",ORCAMENTOS!H2132)</f>
        <v>Matheus</v>
      </c>
      <c r="H2124" s="39">
        <f>IF(ORCAMENTOS!I2132="","",ORCAMENTOS!I2132)</f>
        <v>31508.57</v>
      </c>
      <c r="I2124" s="60">
        <f>IF(ORCAMENTOS!J2132="","",ORCAMENTOS!J2132)</f>
        <v>7.0000000000000007E-2</v>
      </c>
      <c r="J2124" s="40" t="str">
        <f>IF(ORCAMENTOS!L2132="","",ORCAMENTOS!L2132)</f>
        <v>CANCELADO</v>
      </c>
      <c r="K2124" s="34" t="str">
        <f>IF(ORCAMENTOS!M2132="","",ORCAMENTOS!M2132)</f>
        <v>-</v>
      </c>
      <c r="L2124" t="str">
        <f>IF(ORCAMENTOS!R2132="","",ORCAMENTOS!R2132)</f>
        <v/>
      </c>
    </row>
    <row r="2125" spans="1:12" ht="15.75" hidden="1" customHeight="1" x14ac:dyDescent="0.25">
      <c r="A2125" s="36">
        <f>IF(ORCAMENTOS!A2133="","",ORCAMENTOS!A2133)</f>
        <v>46001</v>
      </c>
      <c r="B2125" s="46">
        <f>IF(ORCAMENTOS!B2133="","",ORCAMENTOS!B2133)</f>
        <v>2123</v>
      </c>
      <c r="C2125" s="46" t="str">
        <f>IF(ORCAMENTOS!C2133="","",ORCAMENTOS!C2133)</f>
        <v/>
      </c>
      <c r="D2125" s="37" t="str">
        <f>IF(ORCAMENTOS!D2133="","",ORCAMENTOS!D2133)</f>
        <v>ARPOL ENGENHARIA</v>
      </c>
      <c r="E2125" s="38" t="str">
        <f>IF(ORCAMENTOS!E2133="","",ORCAMENTOS!E2133)</f>
        <v>-</v>
      </c>
      <c r="F2125" s="37" t="str">
        <f>IF(ORCAMENTOS!G2133="","",ORCAMENTOS!G2133)</f>
        <v>Michel</v>
      </c>
      <c r="G2125" s="37" t="str">
        <f>IF(ORCAMENTOS!H2133="","",ORCAMENTOS!H2133)</f>
        <v>Lucca</v>
      </c>
      <c r="H2125" s="39">
        <f>IF(ORCAMENTOS!I2133="","",ORCAMENTOS!I2133)</f>
        <v>62.94</v>
      </c>
      <c r="I2125" s="60">
        <f>IF(ORCAMENTOS!J2133="","",ORCAMENTOS!J2133)</f>
        <v>7.0000000000000007E-2</v>
      </c>
      <c r="J2125" s="40" t="str">
        <f>IF(ORCAMENTOS!L2133="","",ORCAMENTOS!L2133)</f>
        <v>CANCELADO</v>
      </c>
      <c r="K2125" s="34" t="str">
        <f>IF(ORCAMENTOS!M2133="","",ORCAMENTOS!M2133)</f>
        <v>-</v>
      </c>
      <c r="L2125" t="str">
        <f>IF(ORCAMENTOS!R2133="","",ORCAMENTOS!R2133)</f>
        <v>-</v>
      </c>
    </row>
    <row r="2126" spans="1:12" ht="15.75" hidden="1" customHeight="1" x14ac:dyDescent="0.25">
      <c r="A2126" s="36">
        <f>IF(ORCAMENTOS!A2134="","",ORCAMENTOS!A2134)</f>
        <v>46001</v>
      </c>
      <c r="B2126" s="46">
        <f>IF(ORCAMENTOS!B2134="","",ORCAMENTOS!B2134)</f>
        <v>2124</v>
      </c>
      <c r="C2126" s="46" t="str">
        <f>IF(ORCAMENTOS!C2134="","",ORCAMENTOS!C2134)</f>
        <v/>
      </c>
      <c r="D2126" s="37" t="str">
        <f>IF(ORCAMENTOS!D2134="","",ORCAMENTOS!D2134)</f>
        <v>AWA AR CONDICIONADO</v>
      </c>
      <c r="E2126" s="38" t="str">
        <f>IF(ORCAMENTOS!E2134="","",ORCAMENTOS!E2134)</f>
        <v>MIX MATEUS - JUAZEIRO DO NORTE - LAGOA SECA - CE</v>
      </c>
      <c r="F2126" s="37" t="str">
        <f>IF(ORCAMENTOS!G2134="","",ORCAMENTOS!G2134)</f>
        <v>Guilherme</v>
      </c>
      <c r="G2126" s="37" t="str">
        <f>IF(ORCAMENTOS!H2134="","",ORCAMENTOS!H2134)</f>
        <v>Guilherme</v>
      </c>
      <c r="H2126" s="39">
        <f>IF(ORCAMENTOS!I2134="","",ORCAMENTOS!I2134)</f>
        <v>212395.66</v>
      </c>
      <c r="I2126" s="60">
        <f>IF(ORCAMENTOS!J2134="","",ORCAMENTOS!J2134)</f>
        <v>7.0000000000000007E-2</v>
      </c>
      <c r="J2126" s="40" t="str">
        <f>IF(ORCAMENTOS!L2134="","",ORCAMENTOS!L2134)</f>
        <v>CANCELADO</v>
      </c>
      <c r="K2126" s="34" t="str">
        <f>IF(ORCAMENTOS!M2134="","",ORCAMENTOS!M2134)</f>
        <v>-</v>
      </c>
      <c r="L2126" t="str">
        <f>IF(ORCAMENTOS!R2134="","",ORCAMENTOS!R2134)</f>
        <v/>
      </c>
    </row>
    <row r="2127" spans="1:12" ht="15.75" hidden="1" customHeight="1" x14ac:dyDescent="0.25">
      <c r="A2127" s="36">
        <f>IF(ORCAMENTOS!A2135="","",ORCAMENTOS!A2135)</f>
        <v>46002</v>
      </c>
      <c r="B2127" s="46">
        <f>IF(ORCAMENTOS!B2135="","",ORCAMENTOS!B2135)</f>
        <v>2125</v>
      </c>
      <c r="C2127" s="46" t="str">
        <f>IF(ORCAMENTOS!C2135="","",ORCAMENTOS!C2135)</f>
        <v/>
      </c>
      <c r="D2127" s="37" t="str">
        <f>IF(ORCAMENTOS!D2135="","",ORCAMENTOS!D2135)</f>
        <v>NP CLIMATIZAÇÃO</v>
      </c>
      <c r="E2127" s="38" t="str">
        <f>IF(ORCAMENTOS!E2135="","",ORCAMENTOS!E2135)</f>
        <v>-</v>
      </c>
      <c r="F2127" s="37" t="str">
        <f>IF(ORCAMENTOS!G2135="","",ORCAMENTOS!G2135)</f>
        <v>Guilherme</v>
      </c>
      <c r="G2127" s="37" t="str">
        <f>IF(ORCAMENTOS!H2135="","",ORCAMENTOS!H2135)</f>
        <v>Maria</v>
      </c>
      <c r="H2127" s="39">
        <f>IF(ORCAMENTOS!I2135="","",ORCAMENTOS!I2135)</f>
        <v>189.84</v>
      </c>
      <c r="I2127" s="60" t="str">
        <f>IF(ORCAMENTOS!J2135="","",ORCAMENTOS!J2135)</f>
        <v>-</v>
      </c>
      <c r="J2127" s="40" t="str">
        <f>IF(ORCAMENTOS!L2135="","",ORCAMENTOS!L2135)</f>
        <v>FECHADO</v>
      </c>
      <c r="K2127" s="34" t="str">
        <f>IF(ORCAMENTOS!M2135="","",ORCAMENTOS!M2135)</f>
        <v>-</v>
      </c>
      <c r="L2127" t="str">
        <f>IF(ORCAMENTOS!R2135="","",ORCAMENTOS!R2135)</f>
        <v>-</v>
      </c>
    </row>
    <row r="2128" spans="1:12" ht="15.75" hidden="1" customHeight="1" x14ac:dyDescent="0.25">
      <c r="A2128" s="36">
        <f>IF(ORCAMENTOS!A2136="","",ORCAMENTOS!A2136)</f>
        <v>46002</v>
      </c>
      <c r="B2128" s="46">
        <f>IF(ORCAMENTOS!B2136="","",ORCAMENTOS!B2136)</f>
        <v>2126</v>
      </c>
      <c r="C2128" s="46" t="str">
        <f>IF(ORCAMENTOS!C2136="","",ORCAMENTOS!C2136)</f>
        <v/>
      </c>
      <c r="D2128" s="37" t="str">
        <f>IF(ORCAMENTOS!D2136="","",ORCAMENTOS!D2136)</f>
        <v>AIRPLAN</v>
      </c>
      <c r="E2128" s="38" t="str">
        <f>IF(ORCAMENTOS!E2136="","",ORCAMENTOS!E2136)</f>
        <v>RIACHUELO - BARIGUI SHOPPING - CURITIBA - PR</v>
      </c>
      <c r="F2128" s="37" t="str">
        <f>IF(ORCAMENTOS!G2136="","",ORCAMENTOS!G2136)</f>
        <v>Gabriel</v>
      </c>
      <c r="G2128" s="37" t="str">
        <f>IF(ORCAMENTOS!H2136="","",ORCAMENTOS!H2136)</f>
        <v>Matheus</v>
      </c>
      <c r="H2128" s="39">
        <f>IF(ORCAMENTOS!I2136="","",ORCAMENTOS!I2136)</f>
        <v>27428.95</v>
      </c>
      <c r="I2128" s="60">
        <f>IF(ORCAMENTOS!J2136="","",ORCAMENTOS!J2136)</f>
        <v>7.0000000000000007E-2</v>
      </c>
      <c r="J2128" s="40" t="str">
        <f>IF(ORCAMENTOS!L2136="","",ORCAMENTOS!L2136)</f>
        <v>CANCELADO</v>
      </c>
      <c r="K2128" s="34" t="str">
        <f>IF(ORCAMENTOS!M2136="","",ORCAMENTOS!M2136)</f>
        <v>-</v>
      </c>
      <c r="L2128" t="str">
        <f>IF(ORCAMENTOS!R2136="","",ORCAMENTOS!R2136)</f>
        <v>-</v>
      </c>
    </row>
    <row r="2129" spans="1:12" ht="15.75" hidden="1" customHeight="1" x14ac:dyDescent="0.25">
      <c r="A2129" s="36">
        <f>IF(ORCAMENTOS!A2137="","",ORCAMENTOS!A2137)</f>
        <v>46006</v>
      </c>
      <c r="B2129" s="46">
        <f>IF(ORCAMENTOS!B2137="","",ORCAMENTOS!B2137)</f>
        <v>2127</v>
      </c>
      <c r="C2129" s="46" t="str">
        <f>IF(ORCAMENTOS!C2137="","",ORCAMENTOS!C2137)</f>
        <v>R2</v>
      </c>
      <c r="D2129" s="37" t="str">
        <f>IF(ORCAMENTOS!D2137="","",ORCAMENTOS!D2137)</f>
        <v>ECOTHERM</v>
      </c>
      <c r="E2129" s="38" t="str">
        <f>IF(ORCAMENTOS!E2137="","",ORCAMENTOS!E2137)</f>
        <v>FRANCA</v>
      </c>
      <c r="F2129" s="37" t="str">
        <f>IF(ORCAMENTOS!G2137="","",ORCAMENTOS!G2137)</f>
        <v>Emanuel</v>
      </c>
      <c r="G2129" s="37" t="str">
        <f>IF(ORCAMENTOS!H2137="","",ORCAMENTOS!H2137)</f>
        <v>Selma</v>
      </c>
      <c r="H2129" s="39">
        <f>IF(ORCAMENTOS!I2137="","",ORCAMENTOS!I2137)</f>
        <v>53680.06</v>
      </c>
      <c r="I2129" s="60">
        <f>IF(ORCAMENTOS!J2137="","",ORCAMENTOS!J2137)</f>
        <v>0.03</v>
      </c>
      <c r="J2129" s="40" t="str">
        <f>IF(ORCAMENTOS!L2137="","",ORCAMENTOS!L2137)</f>
        <v>FECHADO</v>
      </c>
      <c r="K2129" s="34" t="str">
        <f>IF(ORCAMENTOS!M2137="","",ORCAMENTOS!M2137)</f>
        <v>-</v>
      </c>
      <c r="L2129" t="str">
        <f>IF(ORCAMENTOS!R2137="","",ORCAMENTOS!R2137)</f>
        <v>-</v>
      </c>
    </row>
    <row r="2130" spans="1:12" ht="15.75" hidden="1" customHeight="1" x14ac:dyDescent="0.25">
      <c r="A2130" s="36">
        <f>IF(ORCAMENTOS!A2138="","",ORCAMENTOS!A2138)</f>
        <v>46037</v>
      </c>
      <c r="B2130" s="46">
        <f>IF(ORCAMENTOS!B2138="","",ORCAMENTOS!B2138)</f>
        <v>2128</v>
      </c>
      <c r="C2130" s="46" t="str">
        <f>IF(ORCAMENTOS!C2138="","",ORCAMENTOS!C2138)</f>
        <v/>
      </c>
      <c r="D2130" s="37" t="str">
        <f>IF(ORCAMENTOS!D2138="","",ORCAMENTOS!D2138)</f>
        <v>ISOLEV</v>
      </c>
      <c r="E2130" s="38" t="str">
        <f>IF(ORCAMENTOS!E2138="","",ORCAMENTOS!E2138)</f>
        <v>Hotel Hilton</v>
      </c>
      <c r="F2130" s="37" t="str">
        <f>IF(ORCAMENTOS!G2138="","",ORCAMENTOS!G2138)</f>
        <v>Michel</v>
      </c>
      <c r="G2130" s="37" t="str">
        <f>IF(ORCAMENTOS!H2138="","",ORCAMENTOS!H2138)</f>
        <v>Antonio</v>
      </c>
      <c r="H2130" s="39">
        <f>IF(ORCAMENTOS!I2138="","",ORCAMENTOS!I2138)</f>
        <v>5944.1</v>
      </c>
      <c r="I2130" s="60">
        <f>IF(ORCAMENTOS!J2138="","",ORCAMENTOS!J2138)</f>
        <v>7.0000000000000007E-2</v>
      </c>
      <c r="J2130" s="40" t="str">
        <f>IF(ORCAMENTOS!L2138="","",ORCAMENTOS!L2138)</f>
        <v>PERDIDO</v>
      </c>
      <c r="K2130" s="34" t="str">
        <f>IF(ORCAMENTOS!M2138="","",ORCAMENTOS!M2138)</f>
        <v>MULTIVAC</v>
      </c>
      <c r="L2130" t="str">
        <f>IF(ORCAMENTOS!R2138="","",ORCAMENTOS!R2138)</f>
        <v>-</v>
      </c>
    </row>
    <row r="2131" spans="1:12" ht="15.75" hidden="1" customHeight="1" x14ac:dyDescent="0.25">
      <c r="A2131" s="36">
        <f>IF(ORCAMENTOS!A2139="","",ORCAMENTOS!A2139)</f>
        <v>46002</v>
      </c>
      <c r="B2131" s="46">
        <f>IF(ORCAMENTOS!B2139="","",ORCAMENTOS!B2139)</f>
        <v>2129</v>
      </c>
      <c r="C2131" s="46" t="str">
        <f>IF(ORCAMENTOS!C2139="","",ORCAMENTOS!C2139)</f>
        <v/>
      </c>
      <c r="D2131" s="37" t="str">
        <f>IF(ORCAMENTOS!D2139="","",ORCAMENTOS!D2139)</f>
        <v>AR SISTEMAS</v>
      </c>
      <c r="E2131" s="38" t="str">
        <f>IF(ORCAMENTOS!E2139="","",ORCAMENTOS!E2139)</f>
        <v>H&amp;M BR0019 - IGUATEMI PRAIAS BELAS - PORTO ALEGRE - RS</v>
      </c>
      <c r="F2131" s="37" t="str">
        <f>IF(ORCAMENTOS!G2139="","",ORCAMENTOS!G2139)</f>
        <v>Michel</v>
      </c>
      <c r="G2131" s="37" t="str">
        <f>IF(ORCAMENTOS!H2139="","",ORCAMENTOS!H2139)</f>
        <v>Gilson</v>
      </c>
      <c r="H2131" s="39">
        <f>IF(ORCAMENTOS!I2139="","",ORCAMENTOS!I2139)</f>
        <v>85217.91</v>
      </c>
      <c r="I2131" s="60">
        <f>IF(ORCAMENTOS!J2139="","",ORCAMENTOS!J2139)</f>
        <v>7.0000000000000007E-2</v>
      </c>
      <c r="J2131" s="40" t="str">
        <f>IF(ORCAMENTOS!L2139="","",ORCAMENTOS!L2139)</f>
        <v>CANCELADO</v>
      </c>
      <c r="K2131" s="34" t="str">
        <f>IF(ORCAMENTOS!M2139="","",ORCAMENTOS!M2139)</f>
        <v>OBRA DA RM3</v>
      </c>
      <c r="L2131" t="str">
        <f>IF(ORCAMENTOS!R2139="","",ORCAMENTOS!R2139)</f>
        <v/>
      </c>
    </row>
    <row r="2132" spans="1:12" ht="15.75" hidden="1" customHeight="1" x14ac:dyDescent="0.25">
      <c r="A2132" s="36">
        <f>IF(ORCAMENTOS!A2140="","",ORCAMENTOS!A2140)</f>
        <v>46002</v>
      </c>
      <c r="B2132" s="46">
        <f>IF(ORCAMENTOS!B2140="","",ORCAMENTOS!B2140)</f>
        <v>2130</v>
      </c>
      <c r="C2132" s="46" t="str">
        <f>IF(ORCAMENTOS!C2140="","",ORCAMENTOS!C2140)</f>
        <v/>
      </c>
      <c r="D2132" s="37" t="str">
        <f>IF(ORCAMENTOS!D2140="","",ORCAMENTOS!D2140)</f>
        <v>COLD QUALITY</v>
      </c>
      <c r="E2132" s="38" t="str">
        <f>IF(ORCAMENTOS!E2140="","",ORCAMENTOS!E2140)</f>
        <v>TUY COCINA - MORUMBI SHOPPING</v>
      </c>
      <c r="F2132" s="37" t="str">
        <f>IF(ORCAMENTOS!G2140="","",ORCAMENTOS!G2140)</f>
        <v>Guilherme</v>
      </c>
      <c r="G2132" s="37" t="str">
        <f>IF(ORCAMENTOS!H2140="","",ORCAMENTOS!H2140)</f>
        <v>Henrique</v>
      </c>
      <c r="H2132" s="39">
        <f>IF(ORCAMENTOS!I2140="","",ORCAMENTOS!I2140)</f>
        <v>14438.21</v>
      </c>
      <c r="I2132" s="60">
        <f>IF(ORCAMENTOS!J2140="","",ORCAMENTOS!J2140)</f>
        <v>7.0000000000000007E-2</v>
      </c>
      <c r="J2132" s="40" t="str">
        <f>IF(ORCAMENTOS!L2140="","",ORCAMENTOS!L2140)</f>
        <v>CANCELADO</v>
      </c>
      <c r="K2132" s="34" t="str">
        <f>IF(ORCAMENTOS!M2140="","",ORCAMENTOS!M2140)</f>
        <v>-</v>
      </c>
      <c r="L2132" t="str">
        <f>IF(ORCAMENTOS!R2140="","",ORCAMENTOS!R2140)</f>
        <v>-</v>
      </c>
    </row>
    <row r="2133" spans="1:12" ht="15.75" hidden="1" customHeight="1" x14ac:dyDescent="0.25">
      <c r="A2133" s="36">
        <f>IF(ORCAMENTOS!A2141="","",ORCAMENTOS!A2141)</f>
        <v>46002</v>
      </c>
      <c r="B2133" s="46">
        <f>IF(ORCAMENTOS!B2141="","",ORCAMENTOS!B2141)</f>
        <v>2131</v>
      </c>
      <c r="C2133" s="46" t="str">
        <f>IF(ORCAMENTOS!C2141="","",ORCAMENTOS!C2141)</f>
        <v/>
      </c>
      <c r="D2133" s="37" t="str">
        <f>IF(ORCAMENTOS!D2141="","",ORCAMENTOS!D2141)</f>
        <v>SOLAR AR CONDICIONADO</v>
      </c>
      <c r="E2133" s="38" t="str">
        <f>IF(ORCAMENTOS!E2141="","",ORCAMENTOS!E2141)</f>
        <v>-</v>
      </c>
      <c r="F2133" s="37" t="str">
        <f>IF(ORCAMENTOS!G2141="","",ORCAMENTOS!G2141)</f>
        <v>Gabriel</v>
      </c>
      <c r="G2133" s="37" t="str">
        <f>IF(ORCAMENTOS!H2141="","",ORCAMENTOS!H2141)</f>
        <v>Alessandra</v>
      </c>
      <c r="H2133" s="39">
        <f>IF(ORCAMENTOS!I2141="","",ORCAMENTOS!I2141)</f>
        <v>54919.53</v>
      </c>
      <c r="I2133" s="60">
        <f>IF(ORCAMENTOS!J2141="","",ORCAMENTOS!J2141)</f>
        <v>7.0000000000000007E-2</v>
      </c>
      <c r="J2133" s="40" t="str">
        <f>IF(ORCAMENTOS!L2141="","",ORCAMENTOS!L2141)</f>
        <v>CANCELADO</v>
      </c>
      <c r="K2133" s="34" t="str">
        <f>IF(ORCAMENTOS!M2141="","",ORCAMENTOS!M2141)</f>
        <v>-</v>
      </c>
      <c r="L2133" t="str">
        <f>IF(ORCAMENTOS!R2141="","",ORCAMENTOS!R2141)</f>
        <v>-</v>
      </c>
    </row>
    <row r="2134" spans="1:12" ht="15.75" hidden="1" customHeight="1" x14ac:dyDescent="0.25">
      <c r="A2134" s="36">
        <f>IF(ORCAMENTOS!A2142="","",ORCAMENTOS!A2142)</f>
        <v>46002</v>
      </c>
      <c r="B2134" s="46">
        <f>IF(ORCAMENTOS!B2142="","",ORCAMENTOS!B2142)</f>
        <v>2132</v>
      </c>
      <c r="C2134" s="46" t="str">
        <f>IF(ORCAMENTOS!C2142="","",ORCAMENTOS!C2142)</f>
        <v/>
      </c>
      <c r="D2134" s="37" t="str">
        <f>IF(ORCAMENTOS!D2142="","",ORCAMENTOS!D2142)</f>
        <v>ABREU &amp; CARVALHO</v>
      </c>
      <c r="E2134" s="38" t="str">
        <f>IF(ORCAMENTOS!E2142="","",ORCAMENTOS!E2142)</f>
        <v>-</v>
      </c>
      <c r="F2134" s="37" t="str">
        <f>IF(ORCAMENTOS!G2142="","",ORCAMENTOS!G2142)</f>
        <v>Gabriel</v>
      </c>
      <c r="G2134" s="37" t="str">
        <f>IF(ORCAMENTOS!H2142="","",ORCAMENTOS!H2142)</f>
        <v>Thiago</v>
      </c>
      <c r="H2134" s="39">
        <f>IF(ORCAMENTOS!I2142="","",ORCAMENTOS!I2142)</f>
        <v>487.52</v>
      </c>
      <c r="I2134" s="60">
        <f>IF(ORCAMENTOS!J2142="","",ORCAMENTOS!J2142)</f>
        <v>7.0000000000000007E-2</v>
      </c>
      <c r="J2134" s="40" t="str">
        <f>IF(ORCAMENTOS!L2142="","",ORCAMENTOS!L2142)</f>
        <v>CANCELADO</v>
      </c>
      <c r="K2134" s="34" t="str">
        <f>IF(ORCAMENTOS!M2142="","",ORCAMENTOS!M2142)</f>
        <v>-</v>
      </c>
      <c r="L2134" t="str">
        <f>IF(ORCAMENTOS!R2142="","",ORCAMENTOS!R2142)</f>
        <v>-</v>
      </c>
    </row>
    <row r="2135" spans="1:12" ht="15.75" hidden="1" customHeight="1" x14ac:dyDescent="0.25">
      <c r="A2135" s="36">
        <f>IF(ORCAMENTOS!A2143="","",ORCAMENTOS!A2143)</f>
        <v>46003</v>
      </c>
      <c r="B2135" s="46">
        <f>IF(ORCAMENTOS!B2143="","",ORCAMENTOS!B2143)</f>
        <v>2133</v>
      </c>
      <c r="C2135" s="46" t="str">
        <f>IF(ORCAMENTOS!C2143="","",ORCAMENTOS!C2143)</f>
        <v/>
      </c>
      <c r="D2135" s="37" t="str">
        <f>IF(ORCAMENTOS!D2143="","",ORCAMENTOS!D2143)</f>
        <v>DUTOLEVE</v>
      </c>
      <c r="E2135" s="38" t="str">
        <f>IF(ORCAMENTOS!E2143="","",ORCAMENTOS!E2143)</f>
        <v>-</v>
      </c>
      <c r="F2135" s="37" t="str">
        <f>IF(ORCAMENTOS!G2143="","",ORCAMENTOS!G2143)</f>
        <v>Gabriel</v>
      </c>
      <c r="G2135" s="37" t="str">
        <f>IF(ORCAMENTOS!H2143="","",ORCAMENTOS!H2143)</f>
        <v>Newton</v>
      </c>
      <c r="H2135" s="39">
        <f>IF(ORCAMENTOS!I2143="","",ORCAMENTOS!I2143)</f>
        <v>107739.28</v>
      </c>
      <c r="I2135" s="60">
        <f>IF(ORCAMENTOS!J2143="","",ORCAMENTOS!J2143)</f>
        <v>0.04</v>
      </c>
      <c r="J2135" s="40" t="str">
        <f>IF(ORCAMENTOS!L2143="","",ORCAMENTOS!L2143)</f>
        <v>CANCELADO</v>
      </c>
      <c r="K2135" s="34" t="str">
        <f>IF(ORCAMENTOS!M2143="","",ORCAMENTOS!M2143)</f>
        <v>-</v>
      </c>
      <c r="L2135" t="str">
        <f>IF(ORCAMENTOS!R2143="","",ORCAMENTOS!R2143)</f>
        <v>-</v>
      </c>
    </row>
    <row r="2136" spans="1:12" ht="15.75" hidden="1" customHeight="1" x14ac:dyDescent="0.25">
      <c r="A2136" s="36">
        <f>IF(ORCAMENTOS!A2144="","",ORCAMENTOS!A2144)</f>
        <v>46003</v>
      </c>
      <c r="B2136" s="46">
        <f>IF(ORCAMENTOS!B2144="","",ORCAMENTOS!B2144)</f>
        <v>2134</v>
      </c>
      <c r="C2136" s="46" t="str">
        <f>IF(ORCAMENTOS!C2144="","",ORCAMENTOS!C2144)</f>
        <v/>
      </c>
      <c r="D2136" s="37" t="str">
        <f>IF(ORCAMENTOS!D2144="","",ORCAMENTOS!D2144)</f>
        <v>AMS INSTALACOES</v>
      </c>
      <c r="E2136" s="38" t="str">
        <f>IF(ORCAMENTOS!E2144="","",ORCAMENTOS!E2144)</f>
        <v>MELI CRISTAIS - FRANCO DA ROCHA</v>
      </c>
      <c r="F2136" s="37" t="str">
        <f>IF(ORCAMENTOS!G2144="","",ORCAMENTOS!G2144)</f>
        <v>Gabriel</v>
      </c>
      <c r="G2136" s="37" t="str">
        <f>IF(ORCAMENTOS!H2144="","",ORCAMENTOS!H2144)</f>
        <v>Albertino</v>
      </c>
      <c r="H2136" s="39">
        <f>IF(ORCAMENTOS!I2144="","",ORCAMENTOS!I2144)</f>
        <v>175496.94</v>
      </c>
      <c r="I2136" s="60">
        <f>IF(ORCAMENTOS!J2144="","",ORCAMENTOS!J2144)</f>
        <v>7.0000000000000007E-2</v>
      </c>
      <c r="J2136" s="40" t="str">
        <f>IF(ORCAMENTOS!L2144="","",ORCAMENTOS!L2144)</f>
        <v>CANCELADO</v>
      </c>
      <c r="K2136" s="34" t="str">
        <f>IF(ORCAMENTOS!M2144="","",ORCAMENTOS!M2144)</f>
        <v>-</v>
      </c>
      <c r="L2136" t="str">
        <f>IF(ORCAMENTOS!R2144="","",ORCAMENTOS!R2144)</f>
        <v/>
      </c>
    </row>
    <row r="2137" spans="1:12" ht="15.75" hidden="1" customHeight="1" x14ac:dyDescent="0.25">
      <c r="A2137" s="36">
        <f>IF(ORCAMENTOS!A2145="","",ORCAMENTOS!A2145)</f>
        <v>46008</v>
      </c>
      <c r="B2137" s="46">
        <f>IF(ORCAMENTOS!B2145="","",ORCAMENTOS!B2145)</f>
        <v>2135</v>
      </c>
      <c r="C2137" s="46" t="str">
        <f>IF(ORCAMENTOS!C2145="","",ORCAMENTOS!C2145)</f>
        <v>R2</v>
      </c>
      <c r="D2137" s="37" t="str">
        <f>IF(ORCAMENTOS!D2145="","",ORCAMENTOS!D2145)</f>
        <v>SPLIT REFRIGERACAO</v>
      </c>
      <c r="E2137" s="38" t="str">
        <f>IF(ORCAMENTOS!E2145="","",ORCAMENTOS!E2145)</f>
        <v>-</v>
      </c>
      <c r="F2137" s="37" t="str">
        <f>IF(ORCAMENTOS!G2145="","",ORCAMENTOS!G2145)</f>
        <v>Gabriel</v>
      </c>
      <c r="G2137" s="37" t="str">
        <f>IF(ORCAMENTOS!H2145="","",ORCAMENTOS!H2145)</f>
        <v>-</v>
      </c>
      <c r="H2137" s="39">
        <f>IF(ORCAMENTOS!I2145="","",ORCAMENTOS!I2145)</f>
        <v>3557.02</v>
      </c>
      <c r="I2137" s="60">
        <f>IF(ORCAMENTOS!J2145="","",ORCAMENTOS!J2145)</f>
        <v>7.0000000000000007E-2</v>
      </c>
      <c r="J2137" s="40" t="str">
        <f>IF(ORCAMENTOS!L2145="","",ORCAMENTOS!L2145)</f>
        <v>CANCELADO</v>
      </c>
      <c r="K2137" s="34" t="str">
        <f>IF(ORCAMENTOS!M2145="","",ORCAMENTOS!M2145)</f>
        <v>-</v>
      </c>
      <c r="L2137" t="str">
        <f>IF(ORCAMENTOS!R2145="","",ORCAMENTOS!R2145)</f>
        <v>-</v>
      </c>
    </row>
    <row r="2138" spans="1:12" ht="15.75" hidden="1" customHeight="1" x14ac:dyDescent="0.25">
      <c r="A2138" s="36">
        <f>IF(ORCAMENTOS!A2146="","",ORCAMENTOS!A2146)</f>
        <v>46003</v>
      </c>
      <c r="B2138" s="46">
        <f>IF(ORCAMENTOS!B2146="","",ORCAMENTOS!B2146)</f>
        <v>2136</v>
      </c>
      <c r="C2138" s="46" t="str">
        <f>IF(ORCAMENTOS!C2146="","",ORCAMENTOS!C2146)</f>
        <v/>
      </c>
      <c r="D2138" s="37" t="str">
        <f>IF(ORCAMENTOS!D2146="","",ORCAMENTOS!D2146)</f>
        <v>EKO CLIMAX</v>
      </c>
      <c r="E2138" s="38" t="str">
        <f>IF(ORCAMENTOS!E2146="","",ORCAMENTOS!E2146)</f>
        <v/>
      </c>
      <c r="F2138" s="37" t="str">
        <f>IF(ORCAMENTOS!G2146="","",ORCAMENTOS!G2146)</f>
        <v>Michel</v>
      </c>
      <c r="G2138" s="37" t="str">
        <f>IF(ORCAMENTOS!H2146="","",ORCAMENTOS!H2146)</f>
        <v>Rogerio</v>
      </c>
      <c r="H2138" s="39">
        <f>IF(ORCAMENTOS!I2146="","",ORCAMENTOS!I2146)</f>
        <v>3673.12</v>
      </c>
      <c r="I2138" s="60">
        <f>IF(ORCAMENTOS!J2146="","",ORCAMENTOS!J2146)</f>
        <v>0.05</v>
      </c>
      <c r="J2138" s="40" t="str">
        <f>IF(ORCAMENTOS!L2146="","",ORCAMENTOS!L2146)</f>
        <v>FECHADO</v>
      </c>
      <c r="K2138" s="34" t="str">
        <f>IF(ORCAMENTOS!M2146="","",ORCAMENTOS!M2146)</f>
        <v>-</v>
      </c>
      <c r="L2138" t="str">
        <f>IF(ORCAMENTOS!R2146="","",ORCAMENTOS!R2146)</f>
        <v>-</v>
      </c>
    </row>
    <row r="2139" spans="1:12" ht="15.75" hidden="1" customHeight="1" x14ac:dyDescent="0.25">
      <c r="A2139" s="36">
        <f>IF(ORCAMENTOS!A2147="","",ORCAMENTOS!A2147)</f>
        <v>46003</v>
      </c>
      <c r="B2139" s="46">
        <f>IF(ORCAMENTOS!B2147="","",ORCAMENTOS!B2147)</f>
        <v>2137</v>
      </c>
      <c r="C2139" s="46" t="str">
        <f>IF(ORCAMENTOS!C2147="","",ORCAMENTOS!C2147)</f>
        <v/>
      </c>
      <c r="D2139" s="37" t="str">
        <f>IF(ORCAMENTOS!D2147="","",ORCAMENTOS!D2147)</f>
        <v>GLOBAL AR CONDICIONADO</v>
      </c>
      <c r="E2139" s="38" t="str">
        <f>IF(ORCAMENTOS!E2147="","",ORCAMENTOS!E2147)</f>
        <v>-</v>
      </c>
      <c r="F2139" s="37" t="str">
        <f>IF(ORCAMENTOS!G2147="","",ORCAMENTOS!G2147)</f>
        <v>Emanuel</v>
      </c>
      <c r="G2139" s="37" t="str">
        <f>IF(ORCAMENTOS!H2147="","",ORCAMENTOS!H2147)</f>
        <v>Claudemir</v>
      </c>
      <c r="H2139" s="39">
        <f>IF(ORCAMENTOS!I2147="","",ORCAMENTOS!I2147)</f>
        <v>6184.05</v>
      </c>
      <c r="I2139" s="60">
        <f>IF(ORCAMENTOS!J2147="","",ORCAMENTOS!J2147)</f>
        <v>7.0000000000000007E-2</v>
      </c>
      <c r="J2139" s="40" t="str">
        <f>IF(ORCAMENTOS!L2147="","",ORCAMENTOS!L2147)</f>
        <v>CANCELADO</v>
      </c>
      <c r="K2139" s="34" t="str">
        <f>IF(ORCAMENTOS!M2147="","",ORCAMENTOS!M2147)</f>
        <v>-</v>
      </c>
      <c r="L2139" t="str">
        <f>IF(ORCAMENTOS!R2147="","",ORCAMENTOS!R2147)</f>
        <v>-</v>
      </c>
    </row>
    <row r="2140" spans="1:12" ht="15.75" hidden="1" customHeight="1" x14ac:dyDescent="0.25">
      <c r="A2140" s="36">
        <f>IF(ORCAMENTOS!A2148="","",ORCAMENTOS!A2148)</f>
        <v>46003</v>
      </c>
      <c r="B2140" s="46">
        <f>IF(ORCAMENTOS!B2148="","",ORCAMENTOS!B2148)</f>
        <v>2138</v>
      </c>
      <c r="C2140" s="46" t="str">
        <f>IF(ORCAMENTOS!C2148="","",ORCAMENTOS!C2148)</f>
        <v/>
      </c>
      <c r="D2140" s="37" t="str">
        <f>IF(ORCAMENTOS!D2148="","",ORCAMENTOS!D2148)</f>
        <v>RODRIGO TARGINO</v>
      </c>
      <c r="E2140" s="38" t="str">
        <f>IF(ORCAMENTOS!E2148="","",ORCAMENTOS!E2148)</f>
        <v>-</v>
      </c>
      <c r="F2140" s="37" t="str">
        <f>IF(ORCAMENTOS!G2148="","",ORCAMENTOS!G2148)</f>
        <v xml:space="preserve">Aldavir </v>
      </c>
      <c r="G2140" s="37" t="str">
        <f>IF(ORCAMENTOS!H2148="","",ORCAMENTOS!H2148)</f>
        <v>Rodrigo</v>
      </c>
      <c r="H2140" s="39">
        <f>IF(ORCAMENTOS!I2148="","",ORCAMENTOS!I2148)</f>
        <v>186.2</v>
      </c>
      <c r="I2140" s="60">
        <f>IF(ORCAMENTOS!J2148="","",ORCAMENTOS!J2148)</f>
        <v>7.0000000000000007E-2</v>
      </c>
      <c r="J2140" s="40" t="str">
        <f>IF(ORCAMENTOS!L2148="","",ORCAMENTOS!L2148)</f>
        <v>FECHADO</v>
      </c>
      <c r="K2140" s="34" t="str">
        <f>IF(ORCAMENTOS!M2148="","",ORCAMENTOS!M2148)</f>
        <v>-</v>
      </c>
      <c r="L2140" t="str">
        <f>IF(ORCAMENTOS!R2148="","",ORCAMENTOS!R2148)</f>
        <v>-</v>
      </c>
    </row>
    <row r="2141" spans="1:12" ht="15.75" hidden="1" customHeight="1" x14ac:dyDescent="0.25">
      <c r="A2141" s="36">
        <f>IF(ORCAMENTOS!A2149="","",ORCAMENTOS!A2149)</f>
        <v>46006</v>
      </c>
      <c r="B2141" s="46">
        <f>IF(ORCAMENTOS!B2149="","",ORCAMENTOS!B2149)</f>
        <v>2139</v>
      </c>
      <c r="C2141" s="46" t="str">
        <f>IF(ORCAMENTOS!C2149="","",ORCAMENTOS!C2149)</f>
        <v/>
      </c>
      <c r="D2141" s="37" t="str">
        <f>IF(ORCAMENTOS!D2149="","",ORCAMENTOS!D2149)</f>
        <v>RECLIMA</v>
      </c>
      <c r="E2141" s="38" t="str">
        <f>IF(ORCAMENTOS!E2149="","",ORCAMENTOS!E2149)</f>
        <v>-</v>
      </c>
      <c r="F2141" s="37" t="str">
        <f>IF(ORCAMENTOS!G2149="","",ORCAMENTOS!G2149)</f>
        <v>Michel</v>
      </c>
      <c r="G2141" s="37" t="str">
        <f>IF(ORCAMENTOS!H2149="","",ORCAMENTOS!H2149)</f>
        <v>Renata</v>
      </c>
      <c r="H2141" s="39">
        <f>IF(ORCAMENTOS!I2149="","",ORCAMENTOS!I2149)</f>
        <v>4877.33</v>
      </c>
      <c r="I2141" s="60">
        <f>IF(ORCAMENTOS!J2149="","",ORCAMENTOS!J2149)</f>
        <v>7.0000000000000007E-2</v>
      </c>
      <c r="J2141" s="40" t="str">
        <f>IF(ORCAMENTOS!L2149="","",ORCAMENTOS!L2149)</f>
        <v>CANCELADO</v>
      </c>
      <c r="K2141" s="34" t="str">
        <f>IF(ORCAMENTOS!M2149="","",ORCAMENTOS!M2149)</f>
        <v>-</v>
      </c>
      <c r="L2141" t="str">
        <f>IF(ORCAMENTOS!R2149="","",ORCAMENTOS!R2149)</f>
        <v>-</v>
      </c>
    </row>
    <row r="2142" spans="1:12" ht="15.75" hidden="1" customHeight="1" x14ac:dyDescent="0.25">
      <c r="A2142" s="36">
        <f>IF(ORCAMENTOS!A2150="","",ORCAMENTOS!A2150)</f>
        <v>46006</v>
      </c>
      <c r="B2142" s="46">
        <f>IF(ORCAMENTOS!B2150="","",ORCAMENTOS!B2150)</f>
        <v>2140</v>
      </c>
      <c r="C2142" s="46" t="str">
        <f>IF(ORCAMENTOS!C2150="","",ORCAMENTOS!C2150)</f>
        <v/>
      </c>
      <c r="D2142" s="37" t="str">
        <f>IF(ORCAMENTOS!D2150="","",ORCAMENTOS!D2150)</f>
        <v>AMS INSTALACOES</v>
      </c>
      <c r="E2142" s="38" t="str">
        <f>IF(ORCAMENTOS!E2150="","",ORCAMENTOS!E2150)</f>
        <v>MELI CRISTAIS - FRANCO DA ROCHA - TERREO</v>
      </c>
      <c r="F2142" s="37" t="str">
        <f>IF(ORCAMENTOS!G2150="","",ORCAMENTOS!G2150)</f>
        <v>Gabriel</v>
      </c>
      <c r="G2142" s="37" t="str">
        <f>IF(ORCAMENTOS!H2150="","",ORCAMENTOS!H2150)</f>
        <v>Albertino</v>
      </c>
      <c r="H2142" s="39">
        <f>IF(ORCAMENTOS!I2150="","",ORCAMENTOS!I2150)</f>
        <v>84613.07</v>
      </c>
      <c r="I2142" s="60">
        <f>IF(ORCAMENTOS!J2150="","",ORCAMENTOS!J2150)</f>
        <v>7.0000000000000007E-2</v>
      </c>
      <c r="J2142" s="40" t="str">
        <f>IF(ORCAMENTOS!L2150="","",ORCAMENTOS!L2150)</f>
        <v>CANCELADO</v>
      </c>
      <c r="K2142" s="34" t="str">
        <f>IF(ORCAMENTOS!M2150="","",ORCAMENTOS!M2150)</f>
        <v>-</v>
      </c>
      <c r="L2142" t="str">
        <f>IF(ORCAMENTOS!R2150="","",ORCAMENTOS!R2150)</f>
        <v/>
      </c>
    </row>
    <row r="2143" spans="1:12" ht="15.75" hidden="1" customHeight="1" x14ac:dyDescent="0.25">
      <c r="A2143" s="36">
        <f>IF(ORCAMENTOS!A2151="","",ORCAMENTOS!A2151)</f>
        <v>46006</v>
      </c>
      <c r="B2143" s="46">
        <f>IF(ORCAMENTOS!B2151="","",ORCAMENTOS!B2151)</f>
        <v>2141</v>
      </c>
      <c r="C2143" s="46" t="str">
        <f>IF(ORCAMENTOS!C2151="","",ORCAMENTOS!C2151)</f>
        <v/>
      </c>
      <c r="D2143" s="37" t="str">
        <f>IF(ORCAMENTOS!D2151="","",ORCAMENTOS!D2151)</f>
        <v>AMS INSTALACOES</v>
      </c>
      <c r="E2143" s="38" t="str">
        <f>IF(ORCAMENTOS!E2151="","",ORCAMENTOS!E2151)</f>
        <v>MELI CRISTAIS - FRANCO DA ROCHA - TERREO PT02</v>
      </c>
      <c r="F2143" s="37" t="str">
        <f>IF(ORCAMENTOS!G2151="","",ORCAMENTOS!G2151)</f>
        <v>Gabriel</v>
      </c>
      <c r="G2143" s="37" t="str">
        <f>IF(ORCAMENTOS!H2151="","",ORCAMENTOS!H2151)</f>
        <v>Albertino</v>
      </c>
      <c r="H2143" s="39">
        <f>IF(ORCAMENTOS!I2151="","",ORCAMENTOS!I2151)</f>
        <v>25973.08</v>
      </c>
      <c r="I2143" s="60">
        <f>IF(ORCAMENTOS!J2151="","",ORCAMENTOS!J2151)</f>
        <v>7.0000000000000007E-2</v>
      </c>
      <c r="J2143" s="40" t="str">
        <f>IF(ORCAMENTOS!L2151="","",ORCAMENTOS!L2151)</f>
        <v>CANCELADO</v>
      </c>
      <c r="K2143" s="34" t="str">
        <f>IF(ORCAMENTOS!M2151="","",ORCAMENTOS!M2151)</f>
        <v>-</v>
      </c>
      <c r="L2143" t="str">
        <f>IF(ORCAMENTOS!R2151="","",ORCAMENTOS!R2151)</f>
        <v/>
      </c>
    </row>
    <row r="2144" spans="1:12" ht="15.75" hidden="1" customHeight="1" x14ac:dyDescent="0.25">
      <c r="A2144" s="36">
        <f>IF(ORCAMENTOS!A2152="","",ORCAMENTOS!A2152)</f>
        <v>46006</v>
      </c>
      <c r="B2144" s="46">
        <f>IF(ORCAMENTOS!B2152="","",ORCAMENTOS!B2152)</f>
        <v>2142</v>
      </c>
      <c r="C2144" s="46" t="str">
        <f>IF(ORCAMENTOS!C2152="","",ORCAMENTOS!C2152)</f>
        <v/>
      </c>
      <c r="D2144" s="37" t="str">
        <f>IF(ORCAMENTOS!D2152="","",ORCAMENTOS!D2152)</f>
        <v>AMS INSTALACOES</v>
      </c>
      <c r="E2144" s="38" t="str">
        <f>IF(ORCAMENTOS!E2152="","",ORCAMENTOS!E2152)</f>
        <v>MELI CRISTAIS - FRANCO DA ROCHA - TERREO PT03</v>
      </c>
      <c r="F2144" s="37" t="str">
        <f>IF(ORCAMENTOS!G2152="","",ORCAMENTOS!G2152)</f>
        <v>Gabriel</v>
      </c>
      <c r="G2144" s="37" t="str">
        <f>IF(ORCAMENTOS!H2152="","",ORCAMENTOS!H2152)</f>
        <v>Albertino</v>
      </c>
      <c r="H2144" s="39">
        <f>IF(ORCAMENTOS!I2152="","",ORCAMENTOS!I2152)</f>
        <v>2448.33</v>
      </c>
      <c r="I2144" s="60">
        <f>IF(ORCAMENTOS!J2152="","",ORCAMENTOS!J2152)</f>
        <v>7.0000000000000007E-2</v>
      </c>
      <c r="J2144" s="40" t="str">
        <f>IF(ORCAMENTOS!L2152="","",ORCAMENTOS!L2152)</f>
        <v>CANCELADO</v>
      </c>
      <c r="K2144" s="34" t="str">
        <f>IF(ORCAMENTOS!M2152="","",ORCAMENTOS!M2152)</f>
        <v>-</v>
      </c>
      <c r="L2144" t="str">
        <f>IF(ORCAMENTOS!R2152="","",ORCAMENTOS!R2152)</f>
        <v/>
      </c>
    </row>
    <row r="2145" spans="1:12" ht="15.75" hidden="1" customHeight="1" x14ac:dyDescent="0.25">
      <c r="A2145" s="36">
        <f>IF(ORCAMENTOS!A2153="","",ORCAMENTOS!A2153)</f>
        <v>46006</v>
      </c>
      <c r="B2145" s="46">
        <f>IF(ORCAMENTOS!B2153="","",ORCAMENTOS!B2153)</f>
        <v>2143</v>
      </c>
      <c r="C2145" s="46" t="str">
        <f>IF(ORCAMENTOS!C2153="","",ORCAMENTOS!C2153)</f>
        <v/>
      </c>
      <c r="D2145" s="37" t="str">
        <f>IF(ORCAMENTOS!D2153="","",ORCAMENTOS!D2153)</f>
        <v>AWA AR CONDICIONADO</v>
      </c>
      <c r="E2145" s="38" t="str">
        <f>IF(ORCAMENTOS!E2153="","",ORCAMENTOS!E2153)</f>
        <v>MIX MATEUS - CAMETA - SANTA MARIA - PA</v>
      </c>
      <c r="F2145" s="37" t="str">
        <f>IF(ORCAMENTOS!G2153="","",ORCAMENTOS!G2153)</f>
        <v>Guilherme</v>
      </c>
      <c r="G2145" s="37" t="str">
        <f>IF(ORCAMENTOS!H2153="","",ORCAMENTOS!H2153)</f>
        <v>Paula</v>
      </c>
      <c r="H2145" s="39">
        <f>IF(ORCAMENTOS!I2153="","",ORCAMENTOS!I2153)</f>
        <v>209049.7</v>
      </c>
      <c r="I2145" s="60">
        <f>IF(ORCAMENTOS!J2153="","",ORCAMENTOS!J2153)</f>
        <v>7.0000000000000007E-2</v>
      </c>
      <c r="J2145" s="40" t="str">
        <f>IF(ORCAMENTOS!L2153="","",ORCAMENTOS!L2153)</f>
        <v>CANCELADO</v>
      </c>
      <c r="K2145" s="34" t="str">
        <f>IF(ORCAMENTOS!M2153="","",ORCAMENTOS!M2153)</f>
        <v>-</v>
      </c>
      <c r="L2145" t="str">
        <f>IF(ORCAMENTOS!R2153="","",ORCAMENTOS!R2153)</f>
        <v/>
      </c>
    </row>
    <row r="2146" spans="1:12" ht="15.75" hidden="1" customHeight="1" x14ac:dyDescent="0.25">
      <c r="A2146" s="36">
        <f>IF(ORCAMENTOS!A2154="","",ORCAMENTOS!A2154)</f>
        <v>46065</v>
      </c>
      <c r="B2146" s="46">
        <f>IF(ORCAMENTOS!B2154="","",ORCAMENTOS!B2154)</f>
        <v>2144</v>
      </c>
      <c r="C2146" s="46" t="str">
        <f>IF(ORCAMENTOS!C2154="","",ORCAMENTOS!C2154)</f>
        <v/>
      </c>
      <c r="D2146" s="37" t="str">
        <f>IF(ORCAMENTOS!D2154="","",ORCAMENTOS!D2154)</f>
        <v>FRIOCLIMAT</v>
      </c>
      <c r="E2146" s="38" t="str">
        <f>IF(ORCAMENTOS!E2154="","",ORCAMENTOS!E2154)</f>
        <v>IGREJA PLENITUDE CRISTA</v>
      </c>
      <c r="F2146" s="37" t="str">
        <f>IF(ORCAMENTOS!G2154="","",ORCAMENTOS!G2154)</f>
        <v>Emanuel</v>
      </c>
      <c r="G2146" s="37" t="str">
        <f>IF(ORCAMENTOS!H2154="","",ORCAMENTOS!H2154)</f>
        <v>Marcelo</v>
      </c>
      <c r="H2146" s="39">
        <f>IF(ORCAMENTOS!I2154="","",ORCAMENTOS!I2154)</f>
        <v>45711.94</v>
      </c>
      <c r="I2146" s="60">
        <f>IF(ORCAMENTOS!J2154="","",ORCAMENTOS!J2154)</f>
        <v>7.0000000000000007E-2</v>
      </c>
      <c r="J2146" s="40" t="str">
        <f>IF(ORCAMENTOS!L2154="","",ORCAMENTOS!L2154)</f>
        <v>PERDIDO</v>
      </c>
      <c r="K2146" s="34" t="str">
        <f>IF(ORCAMENTOS!M2154="","",ORCAMENTOS!M2154)</f>
        <v>ARCOTEC - PREÇO</v>
      </c>
      <c r="L2146" t="str">
        <f>IF(ORCAMENTOS!R2154="","",ORCAMENTOS!R2154)</f>
        <v>-</v>
      </c>
    </row>
    <row r="2147" spans="1:12" ht="15.75" hidden="1" customHeight="1" x14ac:dyDescent="0.25">
      <c r="A2147" s="36">
        <f>IF(ORCAMENTOS!A2155="","",ORCAMENTOS!A2155)</f>
        <v>46006</v>
      </c>
      <c r="B2147" s="46">
        <f>IF(ORCAMENTOS!B2155="","",ORCAMENTOS!B2155)</f>
        <v>2145</v>
      </c>
      <c r="C2147" s="46" t="str">
        <f>IF(ORCAMENTOS!C2155="","",ORCAMENTOS!C2155)</f>
        <v/>
      </c>
      <c r="D2147" s="37" t="str">
        <f>IF(ORCAMENTOS!D2155="","",ORCAMENTOS!D2155)</f>
        <v>FELIPE AUGUSTO</v>
      </c>
      <c r="E2147" s="38" t="str">
        <f>IF(ORCAMENTOS!E2155="","",ORCAMENTOS!E2155)</f>
        <v>HOSPITAL ANTONIO MOREIRA COSTA - REFORMA HAMC - UTI E CENTRO CIRURGICO</v>
      </c>
      <c r="F2147" s="37" t="str">
        <f>IF(ORCAMENTOS!G2155="","",ORCAMENTOS!G2155)</f>
        <v>Emanuel</v>
      </c>
      <c r="G2147" s="37" t="str">
        <f>IF(ORCAMENTOS!H2155="","",ORCAMENTOS!H2155)</f>
        <v>Felipe</v>
      </c>
      <c r="H2147" s="39">
        <f>IF(ORCAMENTOS!I2155="","",ORCAMENTOS!I2155)</f>
        <v>51136.88</v>
      </c>
      <c r="I2147" s="60">
        <f>IF(ORCAMENTOS!J2155="","",ORCAMENTOS!J2155)</f>
        <v>7.0000000000000007E-2</v>
      </c>
      <c r="J2147" s="40" t="str">
        <f>IF(ORCAMENTOS!L2155="","",ORCAMENTOS!L2155)</f>
        <v>CANCELADO</v>
      </c>
      <c r="K2147" s="34" t="str">
        <f>IF(ORCAMENTOS!M2155="","",ORCAMENTOS!M2155)</f>
        <v>-</v>
      </c>
      <c r="L2147" t="str">
        <f>IF(ORCAMENTOS!R2155="","",ORCAMENTOS!R2155)</f>
        <v>-</v>
      </c>
    </row>
    <row r="2148" spans="1:12" ht="15.75" hidden="1" customHeight="1" x14ac:dyDescent="0.25">
      <c r="A2148" s="36">
        <f>IF(ORCAMENTOS!A2156="","",ORCAMENTOS!A2156)</f>
        <v>46037</v>
      </c>
      <c r="B2148" s="46">
        <f>IF(ORCAMENTOS!B2156="","",ORCAMENTOS!B2156)</f>
        <v>2146</v>
      </c>
      <c r="C2148" s="46" t="str">
        <f>IF(ORCAMENTOS!C2156="","",ORCAMENTOS!C2156)</f>
        <v>R2</v>
      </c>
      <c r="D2148" s="37" t="str">
        <f>IF(ORCAMENTOS!D2156="","",ORCAMENTOS!D2156)</f>
        <v>AIR TIME</v>
      </c>
      <c r="E2148" s="38" t="str">
        <f>IF(ORCAMENTOS!E2156="","",ORCAMENTOS!E2156)</f>
        <v>18125 P&amp;G LOUVEIRA - SUM ENGENHARIA</v>
      </c>
      <c r="F2148" s="37" t="str">
        <f>IF(ORCAMENTOS!G2156="","",ORCAMENTOS!G2156)</f>
        <v>Emanuel</v>
      </c>
      <c r="G2148" s="37" t="str">
        <f>IF(ORCAMENTOS!H2156="","",ORCAMENTOS!H2156)</f>
        <v>Jussara</v>
      </c>
      <c r="H2148" s="39">
        <f>IF(ORCAMENTOS!I2156="","",ORCAMENTOS!I2156)</f>
        <v>34593.589999999997</v>
      </c>
      <c r="I2148" s="60">
        <f>IF(ORCAMENTOS!J2156="","",ORCAMENTOS!J2156)</f>
        <v>0.04</v>
      </c>
      <c r="J2148" s="40" t="str">
        <f>IF(ORCAMENTOS!L2156="","",ORCAMENTOS!L2156)</f>
        <v>PERDIDO</v>
      </c>
      <c r="K2148" s="34" t="str">
        <f>IF(ORCAMENTOS!M2156="","",ORCAMENTOS!M2156)</f>
        <v>MULTIVAC - PREÇO</v>
      </c>
      <c r="L2148" t="str">
        <f>IF(ORCAMENTOS!R2156="","",ORCAMENTOS!R2156)</f>
        <v>-</v>
      </c>
    </row>
    <row r="2149" spans="1:12" ht="15.75" hidden="1" customHeight="1" x14ac:dyDescent="0.25">
      <c r="A2149" s="36">
        <f>IF(ORCAMENTOS!A2157="","",ORCAMENTOS!A2157)</f>
        <v>46006</v>
      </c>
      <c r="B2149" s="46">
        <f>IF(ORCAMENTOS!B2157="","",ORCAMENTOS!B2157)</f>
        <v>2147</v>
      </c>
      <c r="C2149" s="46" t="str">
        <f>IF(ORCAMENTOS!C2157="","",ORCAMENTOS!C2157)</f>
        <v/>
      </c>
      <c r="D2149" s="37" t="str">
        <f>IF(ORCAMENTOS!D2157="","",ORCAMENTOS!D2157)</f>
        <v>VENETO</v>
      </c>
      <c r="E2149" s="38" t="str">
        <f>IF(ORCAMENTOS!E2157="","",ORCAMENTOS!E2157)</f>
        <v>-</v>
      </c>
      <c r="F2149" s="37" t="str">
        <f>IF(ORCAMENTOS!G2157="","",ORCAMENTOS!G2157)</f>
        <v>Gabriel</v>
      </c>
      <c r="G2149" s="37" t="str">
        <f>IF(ORCAMENTOS!H2157="","",ORCAMENTOS!H2157)</f>
        <v>Lucas</v>
      </c>
      <c r="H2149" s="39">
        <f>IF(ORCAMENTOS!I2157="","",ORCAMENTOS!I2157)</f>
        <v>18091.47</v>
      </c>
      <c r="I2149" s="60">
        <f>IF(ORCAMENTOS!J2157="","",ORCAMENTOS!J2157)</f>
        <v>7.0000000000000007E-2</v>
      </c>
      <c r="J2149" s="40" t="str">
        <f>IF(ORCAMENTOS!L2157="","",ORCAMENTOS!L2157)</f>
        <v>CANCELADO</v>
      </c>
      <c r="K2149" s="34" t="str">
        <f>IF(ORCAMENTOS!M2157="","",ORCAMENTOS!M2157)</f>
        <v>-</v>
      </c>
      <c r="L2149" t="str">
        <f>IF(ORCAMENTOS!R2157="","",ORCAMENTOS!R2157)</f>
        <v>-</v>
      </c>
    </row>
    <row r="2150" spans="1:12" ht="15.75" hidden="1" customHeight="1" x14ac:dyDescent="0.25">
      <c r="A2150" s="36">
        <f>IF(ORCAMENTOS!A2158="","",ORCAMENTOS!A2158)</f>
        <v>46007</v>
      </c>
      <c r="B2150" s="46">
        <f>IF(ORCAMENTOS!B2158="","",ORCAMENTOS!B2158)</f>
        <v>2148</v>
      </c>
      <c r="C2150" s="46" t="str">
        <f>IF(ORCAMENTOS!C2158="","",ORCAMENTOS!C2158)</f>
        <v/>
      </c>
      <c r="D2150" s="37" t="str">
        <f>IF(ORCAMENTOS!D2158="","",ORCAMENTOS!D2158)</f>
        <v>ALS INDUSTRIA</v>
      </c>
      <c r="E2150" s="38" t="str">
        <f>IF(ORCAMENTOS!E2158="","",ORCAMENTOS!E2158)</f>
        <v>-</v>
      </c>
      <c r="F2150" s="37" t="str">
        <f>IF(ORCAMENTOS!G2158="","",ORCAMENTOS!G2158)</f>
        <v>Gabriel</v>
      </c>
      <c r="G2150" s="37" t="str">
        <f>IF(ORCAMENTOS!H2158="","",ORCAMENTOS!H2158)</f>
        <v>Fabio</v>
      </c>
      <c r="H2150" s="39">
        <f>IF(ORCAMENTOS!I2158="","",ORCAMENTOS!I2158)</f>
        <v>5275.25</v>
      </c>
      <c r="I2150" s="60">
        <f>IF(ORCAMENTOS!J2158="","",ORCAMENTOS!J2158)</f>
        <v>0.05</v>
      </c>
      <c r="J2150" s="40" t="str">
        <f>IF(ORCAMENTOS!L2158="","",ORCAMENTOS!L2158)</f>
        <v>CANCELADO</v>
      </c>
      <c r="K2150" s="34" t="str">
        <f>IF(ORCAMENTOS!M2158="","",ORCAMENTOS!M2158)</f>
        <v>-</v>
      </c>
      <c r="L2150" t="str">
        <f>IF(ORCAMENTOS!R2158="","",ORCAMENTOS!R2158)</f>
        <v>-</v>
      </c>
    </row>
    <row r="2151" spans="1:12" ht="15.75" hidden="1" customHeight="1" x14ac:dyDescent="0.25">
      <c r="A2151" s="36">
        <f>IF(ORCAMENTOS!A2159="","",ORCAMENTOS!A2159)</f>
        <v>46008</v>
      </c>
      <c r="B2151" s="46">
        <f>IF(ORCAMENTOS!B2159="","",ORCAMENTOS!B2159)</f>
        <v>2149</v>
      </c>
      <c r="C2151" s="46" t="str">
        <f>IF(ORCAMENTOS!C2159="","",ORCAMENTOS!C2159)</f>
        <v/>
      </c>
      <c r="D2151" s="37" t="str">
        <f>IF(ORCAMENTOS!D2159="","",ORCAMENTOS!D2159)</f>
        <v>SO AR</v>
      </c>
      <c r="E2151" s="38" t="str">
        <f>IF(ORCAMENTOS!E2159="","",ORCAMENTOS!E2159)</f>
        <v>-</v>
      </c>
      <c r="F2151" s="37" t="str">
        <f>IF(ORCAMENTOS!G2159="","",ORCAMENTOS!G2159)</f>
        <v>Gabriel</v>
      </c>
      <c r="G2151" s="37" t="str">
        <f>IF(ORCAMENTOS!H2159="","",ORCAMENTOS!H2159)</f>
        <v>Gabriel</v>
      </c>
      <c r="H2151" s="39">
        <f>IF(ORCAMENTOS!I2159="","",ORCAMENTOS!I2159)</f>
        <v>7927.95</v>
      </c>
      <c r="I2151" s="60" t="str">
        <f>IF(ORCAMENTOS!J2159="","",ORCAMENTOS!J2159)</f>
        <v/>
      </c>
      <c r="J2151" s="40" t="str">
        <f>IF(ORCAMENTOS!L2159="","",ORCAMENTOS!L2159)</f>
        <v>FECHADO</v>
      </c>
      <c r="K2151" s="34" t="str">
        <f>IF(ORCAMENTOS!M2159="","",ORCAMENTOS!M2159)</f>
        <v>-</v>
      </c>
      <c r="L2151" t="str">
        <f>IF(ORCAMENTOS!R2159="","",ORCAMENTOS!R2159)</f>
        <v>-</v>
      </c>
    </row>
    <row r="2152" spans="1:12" ht="15.75" hidden="1" customHeight="1" x14ac:dyDescent="0.25">
      <c r="A2152" s="36">
        <f>IF(ORCAMENTOS!A2160="","",ORCAMENTOS!A2160)</f>
        <v>46007</v>
      </c>
      <c r="B2152" s="46">
        <f>IF(ORCAMENTOS!B2160="","",ORCAMENTOS!B2160)</f>
        <v>2150</v>
      </c>
      <c r="C2152" s="46" t="str">
        <f>IF(ORCAMENTOS!C2160="","",ORCAMENTOS!C2160)</f>
        <v/>
      </c>
      <c r="D2152" s="37" t="str">
        <f>IF(ORCAMENTOS!D2160="","",ORCAMENTOS!D2160)</f>
        <v>AMS INSTALACOES</v>
      </c>
      <c r="E2152" s="38" t="str">
        <f>IF(ORCAMENTOS!E2160="","",ORCAMENTOS!E2160)</f>
        <v>MELI CRISTAIS - FRANCO DA ROCHA -DUTOS COMPLEMENTARES</v>
      </c>
      <c r="F2152" s="37" t="str">
        <f>IF(ORCAMENTOS!G2160="","",ORCAMENTOS!G2160)</f>
        <v>Gabriel</v>
      </c>
      <c r="G2152" s="37" t="str">
        <f>IF(ORCAMENTOS!H2160="","",ORCAMENTOS!H2160)</f>
        <v>Albertino</v>
      </c>
      <c r="H2152" s="39">
        <f>IF(ORCAMENTOS!I2160="","",ORCAMENTOS!I2160)</f>
        <v>33967.69</v>
      </c>
      <c r="I2152" s="60">
        <f>IF(ORCAMENTOS!J2160="","",ORCAMENTOS!J2160)</f>
        <v>7.0000000000000007E-2</v>
      </c>
      <c r="J2152" s="40" t="str">
        <f>IF(ORCAMENTOS!L2160="","",ORCAMENTOS!L2160)</f>
        <v>CANCELADO</v>
      </c>
      <c r="K2152" s="34" t="str">
        <f>IF(ORCAMENTOS!M2160="","",ORCAMENTOS!M2160)</f>
        <v>-</v>
      </c>
      <c r="L2152" t="str">
        <f>IF(ORCAMENTOS!R2160="","",ORCAMENTOS!R2160)</f>
        <v/>
      </c>
    </row>
    <row r="2153" spans="1:12" ht="15.75" hidden="1" customHeight="1" x14ac:dyDescent="0.25">
      <c r="A2153" s="36">
        <f>IF(ORCAMENTOS!A2161="","",ORCAMENTOS!A2161)</f>
        <v>46007</v>
      </c>
      <c r="B2153" s="46">
        <f>IF(ORCAMENTOS!B2161="","",ORCAMENTOS!B2161)</f>
        <v>2151</v>
      </c>
      <c r="C2153" s="46" t="str">
        <f>IF(ORCAMENTOS!C2161="","",ORCAMENTOS!C2161)</f>
        <v/>
      </c>
      <c r="D2153" s="37" t="str">
        <f>IF(ORCAMENTOS!D2161="","",ORCAMENTOS!D2161)</f>
        <v>AR SISTEMAS</v>
      </c>
      <c r="E2153" s="38" t="str">
        <f>IF(ORCAMENTOS!E2161="","",ORCAMENTOS!E2161)</f>
        <v>OBRAMAX SOROCABA - SP</v>
      </c>
      <c r="F2153" s="37" t="str">
        <f>IF(ORCAMENTOS!G2161="","",ORCAMENTOS!G2161)</f>
        <v>Michel</v>
      </c>
      <c r="G2153" s="37" t="str">
        <f>IF(ORCAMENTOS!H2161="","",ORCAMENTOS!H2161)</f>
        <v>Liliam</v>
      </c>
      <c r="H2153" s="39">
        <f>IF(ORCAMENTOS!I2161="","",ORCAMENTOS!I2161)</f>
        <v>196097.75</v>
      </c>
      <c r="I2153" s="60">
        <f>IF(ORCAMENTOS!J2161="","",ORCAMENTOS!J2161)</f>
        <v>7.0000000000000007E-2</v>
      </c>
      <c r="J2153" s="40" t="str">
        <f>IF(ORCAMENTOS!L2161="","",ORCAMENTOS!L2161)</f>
        <v>CANCELADO</v>
      </c>
      <c r="K2153" s="34" t="str">
        <f>IF(ORCAMENTOS!M2161="","",ORCAMENTOS!M2161)</f>
        <v>OBRA DA HVAC</v>
      </c>
      <c r="L2153" t="str">
        <f>IF(ORCAMENTOS!R2161="","",ORCAMENTOS!R2161)</f>
        <v/>
      </c>
    </row>
    <row r="2154" spans="1:12" ht="15.75" hidden="1" customHeight="1" x14ac:dyDescent="0.25">
      <c r="A2154" s="36">
        <f>IF(ORCAMENTOS!A2162="","",ORCAMENTOS!A2162)</f>
        <v>46007</v>
      </c>
      <c r="B2154" s="46">
        <f>IF(ORCAMENTOS!B2162="","",ORCAMENTOS!B2162)</f>
        <v>2152</v>
      </c>
      <c r="C2154" s="46" t="str">
        <f>IF(ORCAMENTOS!C2162="","",ORCAMENTOS!C2162)</f>
        <v/>
      </c>
      <c r="D2154" s="37" t="str">
        <f>IF(ORCAMENTOS!D2162="","",ORCAMENTOS!D2162)</f>
        <v>AMS INSTALACOES</v>
      </c>
      <c r="E2154" s="38" t="str">
        <f>IF(ORCAMENTOS!E2162="","",ORCAMENTOS!E2162)</f>
        <v>ATACADAO ARICANDUVA</v>
      </c>
      <c r="F2154" s="37" t="str">
        <f>IF(ORCAMENTOS!G2162="","",ORCAMENTOS!G2162)</f>
        <v>Gabriel</v>
      </c>
      <c r="G2154" s="37" t="str">
        <f>IF(ORCAMENTOS!H2162="","",ORCAMENTOS!H2162)</f>
        <v>Almir</v>
      </c>
      <c r="H2154" s="39">
        <f>IF(ORCAMENTOS!I2162="","",ORCAMENTOS!I2162)</f>
        <v>160000.37</v>
      </c>
      <c r="I2154" s="60">
        <f>IF(ORCAMENTOS!J2162="","",ORCAMENTOS!J2162)</f>
        <v>0.03</v>
      </c>
      <c r="J2154" s="40" t="str">
        <f>IF(ORCAMENTOS!L2162="","",ORCAMENTOS!L2162)</f>
        <v>FECHADO</v>
      </c>
      <c r="K2154" s="34" t="str">
        <f>IF(ORCAMENTOS!M2162="","",ORCAMENTOS!M2162)</f>
        <v>-</v>
      </c>
      <c r="L2154" t="str">
        <f>IF(ORCAMENTOS!R2162="","",ORCAMENTOS!R2162)</f>
        <v>-</v>
      </c>
    </row>
    <row r="2155" spans="1:12" ht="15.75" hidden="1" customHeight="1" x14ac:dyDescent="0.25">
      <c r="A2155" s="36">
        <f>IF(ORCAMENTOS!A2163="","",ORCAMENTOS!A2163)</f>
        <v>46007</v>
      </c>
      <c r="B2155" s="46">
        <f>IF(ORCAMENTOS!B2163="","",ORCAMENTOS!B2163)</f>
        <v>2153</v>
      </c>
      <c r="C2155" s="46" t="str">
        <f>IF(ORCAMENTOS!C2163="","",ORCAMENTOS!C2163)</f>
        <v/>
      </c>
      <c r="D2155" s="37" t="str">
        <f>IF(ORCAMENTOS!D2163="","",ORCAMENTOS!D2163)</f>
        <v>NP CLIMATIZAÇÃO</v>
      </c>
      <c r="E2155" s="38" t="str">
        <f>IF(ORCAMENTOS!E2163="","",ORCAMENTOS!E2163)</f>
        <v>RESIDENCIA HARAS - MONTE MOR - SP</v>
      </c>
      <c r="F2155" s="37" t="str">
        <f>IF(ORCAMENTOS!G2163="","",ORCAMENTOS!G2163)</f>
        <v>Guilherme</v>
      </c>
      <c r="G2155" s="37" t="str">
        <f>IF(ORCAMENTOS!H2163="","",ORCAMENTOS!H2163)</f>
        <v>Maria</v>
      </c>
      <c r="H2155" s="39">
        <f>IF(ORCAMENTOS!I2163="","",ORCAMENTOS!I2163)</f>
        <v>10573.98</v>
      </c>
      <c r="I2155" s="60">
        <f>IF(ORCAMENTOS!J2163="","",ORCAMENTOS!J2163)</f>
        <v>7.0000000000000007E-2</v>
      </c>
      <c r="J2155" s="40" t="str">
        <f>IF(ORCAMENTOS!L2163="","",ORCAMENTOS!L2163)</f>
        <v>COMPRA</v>
      </c>
      <c r="K2155" s="34" t="str">
        <f>IF(ORCAMENTOS!M2163="","",ORCAMENTOS!M2163)</f>
        <v>PREV. JULHO</v>
      </c>
      <c r="L2155" t="str">
        <f>IF(ORCAMENTOS!R2163="","",ORCAMENTOS!R2163)</f>
        <v/>
      </c>
    </row>
    <row r="2156" spans="1:12" ht="15.75" hidden="1" customHeight="1" x14ac:dyDescent="0.25">
      <c r="A2156" s="36">
        <f>IF(ORCAMENTOS!A2164="","",ORCAMENTOS!A2164)</f>
        <v>46007</v>
      </c>
      <c r="B2156" s="46">
        <f>IF(ORCAMENTOS!B2164="","",ORCAMENTOS!B2164)</f>
        <v>2154</v>
      </c>
      <c r="C2156" s="46" t="str">
        <f>IF(ORCAMENTOS!C2164="","",ORCAMENTOS!C2164)</f>
        <v/>
      </c>
      <c r="D2156" s="37" t="str">
        <f>IF(ORCAMENTOS!D2164="","",ORCAMENTOS!D2164)</f>
        <v>TERMODINAMICA</v>
      </c>
      <c r="E2156" s="38" t="str">
        <f>IF(ORCAMENTOS!E2164="","",ORCAMENTOS!E2164)</f>
        <v>-</v>
      </c>
      <c r="F2156" s="37" t="str">
        <f>IF(ORCAMENTOS!G2164="","",ORCAMENTOS!G2164)</f>
        <v xml:space="preserve">Aldavir </v>
      </c>
      <c r="G2156" s="37" t="str">
        <f>IF(ORCAMENTOS!H2164="","",ORCAMENTOS!H2164)</f>
        <v>James</v>
      </c>
      <c r="H2156" s="39">
        <f>IF(ORCAMENTOS!I2164="","",ORCAMENTOS!I2164)</f>
        <v>10106.48</v>
      </c>
      <c r="I2156" s="60">
        <f>IF(ORCAMENTOS!J2164="","",ORCAMENTOS!J2164)</f>
        <v>0.05</v>
      </c>
      <c r="J2156" s="40" t="str">
        <f>IF(ORCAMENTOS!L2164="","",ORCAMENTOS!L2164)</f>
        <v>FECHADO</v>
      </c>
      <c r="K2156" s="34" t="str">
        <f>IF(ORCAMENTOS!M2164="","",ORCAMENTOS!M2164)</f>
        <v>-</v>
      </c>
      <c r="L2156" t="str">
        <f>IF(ORCAMENTOS!R2164="","",ORCAMENTOS!R2164)</f>
        <v>-</v>
      </c>
    </row>
    <row r="2157" spans="1:12" ht="15.75" hidden="1" customHeight="1" x14ac:dyDescent="0.25">
      <c r="A2157" s="36">
        <f>IF(ORCAMENTOS!A2165="","",ORCAMENTOS!A2165)</f>
        <v>46008</v>
      </c>
      <c r="B2157" s="46">
        <f>IF(ORCAMENTOS!B2165="","",ORCAMENTOS!B2165)</f>
        <v>2155</v>
      </c>
      <c r="C2157" s="46" t="str">
        <f>IF(ORCAMENTOS!C2165="","",ORCAMENTOS!C2165)</f>
        <v/>
      </c>
      <c r="D2157" s="37" t="str">
        <f>IF(ORCAMENTOS!D2165="","",ORCAMENTOS!D2165)</f>
        <v>AIR NET</v>
      </c>
      <c r="E2157" s="38" t="str">
        <f>IF(ORCAMENTOS!E2165="","",ORCAMENTOS!E2165)</f>
        <v>HUB CAPAO REDONDO</v>
      </c>
      <c r="F2157" s="37" t="str">
        <f>IF(ORCAMENTOS!G2165="","",ORCAMENTOS!G2165)</f>
        <v>Fernando</v>
      </c>
      <c r="G2157" s="37" t="str">
        <f>IF(ORCAMENTOS!H2165="","",ORCAMENTOS!H2165)</f>
        <v>Domicio</v>
      </c>
      <c r="H2157" s="39">
        <f>IF(ORCAMENTOS!I2165="","",ORCAMENTOS!I2165)</f>
        <v>67788.539999999994</v>
      </c>
      <c r="I2157" s="60">
        <f>IF(ORCAMENTOS!J2165="","",ORCAMENTOS!J2165)</f>
        <v>7.0000000000000007E-2</v>
      </c>
      <c r="J2157" s="40" t="str">
        <f>IF(ORCAMENTOS!L2165="","",ORCAMENTOS!L2165)</f>
        <v>CANCELADO</v>
      </c>
      <c r="K2157" s="34" t="str">
        <f>IF(ORCAMENTOS!M2165="","",ORCAMENTOS!M2165)</f>
        <v>-</v>
      </c>
      <c r="L2157" t="str">
        <f>IF(ORCAMENTOS!R2165="","",ORCAMENTOS!R2165)</f>
        <v>-</v>
      </c>
    </row>
    <row r="2158" spans="1:12" ht="15.75" hidden="1" customHeight="1" x14ac:dyDescent="0.25">
      <c r="A2158" s="36">
        <f>IF(ORCAMENTOS!A2166="","",ORCAMENTOS!A2166)</f>
        <v>46037</v>
      </c>
      <c r="B2158" s="46">
        <f>IF(ORCAMENTOS!B2166="","",ORCAMENTOS!B2166)</f>
        <v>2156</v>
      </c>
      <c r="C2158" s="46" t="str">
        <f>IF(ORCAMENTOS!C2166="","",ORCAMENTOS!C2166)</f>
        <v/>
      </c>
      <c r="D2158" s="37" t="str">
        <f>IF(ORCAMENTOS!D2166="","",ORCAMENTOS!D2166)</f>
        <v>MIT ENGENHARIA</v>
      </c>
      <c r="E2158" s="38" t="str">
        <f>IF(ORCAMENTOS!E2166="","",ORCAMENTOS!E2166)</f>
        <v>ZARA SHOPPING JK IGUATEMI</v>
      </c>
      <c r="F2158" s="37" t="str">
        <f>IF(ORCAMENTOS!G2166="","",ORCAMENTOS!G2166)</f>
        <v>Guilherme</v>
      </c>
      <c r="G2158" s="37" t="str">
        <f>IF(ORCAMENTOS!H2166="","",ORCAMENTOS!H2166)</f>
        <v>Marcos</v>
      </c>
      <c r="H2158" s="39">
        <f>IF(ORCAMENTOS!I2166="","",ORCAMENTOS!I2166)</f>
        <v>4272.93</v>
      </c>
      <c r="I2158" s="60">
        <f>IF(ORCAMENTOS!J2166="","",ORCAMENTOS!J2166)</f>
        <v>7.0000000000000007E-2</v>
      </c>
      <c r="J2158" s="40" t="str">
        <f>IF(ORCAMENTOS!L2166="","",ORCAMENTOS!L2166)</f>
        <v>PERDIDO</v>
      </c>
      <c r="K2158" s="34" t="str">
        <f>IF(ORCAMENTOS!M2166="","",ORCAMENTOS!M2166)</f>
        <v>MULTIVAC - PREÇO</v>
      </c>
      <c r="L2158" t="str">
        <f>IF(ORCAMENTOS!R2166="","",ORCAMENTOS!R2166)</f>
        <v>-</v>
      </c>
    </row>
    <row r="2159" spans="1:12" ht="15.75" hidden="1" customHeight="1" x14ac:dyDescent="0.25">
      <c r="A2159" s="36">
        <f>IF(ORCAMENTOS!A2167="","",ORCAMENTOS!A2167)</f>
        <v>46037</v>
      </c>
      <c r="B2159" s="46">
        <f>IF(ORCAMENTOS!B2167="","",ORCAMENTOS!B2167)</f>
        <v>2157</v>
      </c>
      <c r="C2159" s="46" t="str">
        <f>IF(ORCAMENTOS!C2167="","",ORCAMENTOS!C2167)</f>
        <v/>
      </c>
      <c r="D2159" s="37" t="str">
        <f>IF(ORCAMENTOS!D2167="","",ORCAMENTOS!D2167)</f>
        <v>MIT ENGENHARIA</v>
      </c>
      <c r="E2159" s="38" t="str">
        <f>IF(ORCAMENTOS!E2167="","",ORCAMENTOS!E2167)</f>
        <v>ZARA SHOPPING IGUATEMI SP</v>
      </c>
      <c r="F2159" s="37" t="str">
        <f>IF(ORCAMENTOS!G2167="","",ORCAMENTOS!G2167)</f>
        <v>Guilherme</v>
      </c>
      <c r="G2159" s="37" t="str">
        <f>IF(ORCAMENTOS!H2167="","",ORCAMENTOS!H2167)</f>
        <v>Marcos</v>
      </c>
      <c r="H2159" s="39">
        <f>IF(ORCAMENTOS!I2167="","",ORCAMENTOS!I2167)</f>
        <v>4466.83</v>
      </c>
      <c r="I2159" s="60">
        <f>IF(ORCAMENTOS!J2167="","",ORCAMENTOS!J2167)</f>
        <v>7.0000000000000007E-2</v>
      </c>
      <c r="J2159" s="40" t="str">
        <f>IF(ORCAMENTOS!L2167="","",ORCAMENTOS!L2167)</f>
        <v>PERDIDO</v>
      </c>
      <c r="K2159" s="34" t="str">
        <f>IF(ORCAMENTOS!M2167="","",ORCAMENTOS!M2167)</f>
        <v>MULTIVAC - PREÇO</v>
      </c>
      <c r="L2159" t="str">
        <f>IF(ORCAMENTOS!R2167="","",ORCAMENTOS!R2167)</f>
        <v>-</v>
      </c>
    </row>
    <row r="2160" spans="1:12" ht="15.75" hidden="1" customHeight="1" x14ac:dyDescent="0.25">
      <c r="A2160" s="36">
        <f>IF(ORCAMENTOS!A2168="","",ORCAMENTOS!A2168)</f>
        <v>46037</v>
      </c>
      <c r="B2160" s="46">
        <f>IF(ORCAMENTOS!B2168="","",ORCAMENTOS!B2168)</f>
        <v>2158</v>
      </c>
      <c r="C2160" s="46" t="str">
        <f>IF(ORCAMENTOS!C2168="","",ORCAMENTOS!C2168)</f>
        <v/>
      </c>
      <c r="D2160" s="37" t="str">
        <f>IF(ORCAMENTOS!D2168="","",ORCAMENTOS!D2168)</f>
        <v>MIT ENGENHARIA</v>
      </c>
      <c r="E2160" s="38" t="str">
        <f>IF(ORCAMENTOS!E2168="","",ORCAMENTOS!E2168)</f>
        <v>ZARA BH SHOPPING IGUATEMI_MG</v>
      </c>
      <c r="F2160" s="37" t="str">
        <f>IF(ORCAMENTOS!G2168="","",ORCAMENTOS!G2168)</f>
        <v>Guilherme</v>
      </c>
      <c r="G2160" s="37" t="str">
        <f>IF(ORCAMENTOS!H2168="","",ORCAMENTOS!H2168)</f>
        <v>Marcos</v>
      </c>
      <c r="H2160" s="39">
        <f>IF(ORCAMENTOS!I2168="","",ORCAMENTOS!I2168)</f>
        <v>6681.43</v>
      </c>
      <c r="I2160" s="60">
        <f>IF(ORCAMENTOS!J2168="","",ORCAMENTOS!J2168)</f>
        <v>7.0000000000000007E-2</v>
      </c>
      <c r="J2160" s="40" t="str">
        <f>IF(ORCAMENTOS!L2168="","",ORCAMENTOS!L2168)</f>
        <v>PERDIDO</v>
      </c>
      <c r="K2160" s="34" t="str">
        <f>IF(ORCAMENTOS!M2168="","",ORCAMENTOS!M2168)</f>
        <v>MULTIVAC - PREÇO</v>
      </c>
      <c r="L2160" t="str">
        <f>IF(ORCAMENTOS!R2168="","",ORCAMENTOS!R2168)</f>
        <v>-</v>
      </c>
    </row>
    <row r="2161" spans="1:12" ht="15.75" hidden="1" customHeight="1" x14ac:dyDescent="0.25">
      <c r="A2161" s="36">
        <f>IF(ORCAMENTOS!A2169="","",ORCAMENTOS!A2169)</f>
        <v>46037</v>
      </c>
      <c r="B2161" s="46">
        <f>IF(ORCAMENTOS!B2169="","",ORCAMENTOS!B2169)</f>
        <v>2159</v>
      </c>
      <c r="C2161" s="46" t="str">
        <f>IF(ORCAMENTOS!C2169="","",ORCAMENTOS!C2169)</f>
        <v/>
      </c>
      <c r="D2161" s="37" t="str">
        <f>IF(ORCAMENTOS!D2169="","",ORCAMENTOS!D2169)</f>
        <v>MIT ENGENHARIA</v>
      </c>
      <c r="E2161" s="38" t="str">
        <f>IF(ORCAMENTOS!E2169="","",ORCAMENTOS!E2169)</f>
        <v>ZARA SHOPPING MUELLER PR</v>
      </c>
      <c r="F2161" s="37" t="str">
        <f>IF(ORCAMENTOS!G2169="","",ORCAMENTOS!G2169)</f>
        <v>Guilherme</v>
      </c>
      <c r="G2161" s="37" t="str">
        <f>IF(ORCAMENTOS!H2169="","",ORCAMENTOS!H2169)</f>
        <v>Marcos</v>
      </c>
      <c r="H2161" s="39">
        <f>IF(ORCAMENTOS!I2169="","",ORCAMENTOS!I2169)</f>
        <v>4321.68</v>
      </c>
      <c r="I2161" s="60">
        <f>IF(ORCAMENTOS!J2169="","",ORCAMENTOS!J2169)</f>
        <v>7.0000000000000007E-2</v>
      </c>
      <c r="J2161" s="40" t="str">
        <f>IF(ORCAMENTOS!L2169="","",ORCAMENTOS!L2169)</f>
        <v>PERDIDO</v>
      </c>
      <c r="K2161" s="34" t="str">
        <f>IF(ORCAMENTOS!M2169="","",ORCAMENTOS!M2169)</f>
        <v>MULTIVAC - PREÇO</v>
      </c>
      <c r="L2161" t="str">
        <f>IF(ORCAMENTOS!R2169="","",ORCAMENTOS!R2169)</f>
        <v>-</v>
      </c>
    </row>
    <row r="2162" spans="1:12" ht="15.75" hidden="1" customHeight="1" x14ac:dyDescent="0.25">
      <c r="A2162" s="36">
        <f>IF(ORCAMENTOS!A2170="","",ORCAMENTOS!A2170)</f>
        <v>46008</v>
      </c>
      <c r="B2162" s="46">
        <f>IF(ORCAMENTOS!B2170="","",ORCAMENTOS!B2170)</f>
        <v>2160</v>
      </c>
      <c r="C2162" s="46" t="str">
        <f>IF(ORCAMENTOS!C2170="","",ORCAMENTOS!C2170)</f>
        <v/>
      </c>
      <c r="D2162" s="37" t="str">
        <f>IF(ORCAMENTOS!D2170="","",ORCAMENTOS!D2170)</f>
        <v>AWA AR CONDICIONADO</v>
      </c>
      <c r="E2162" s="38" t="str">
        <f>IF(ORCAMENTOS!E2170="","",ORCAMENTOS!E2170)</f>
        <v>ATACADAO - LOJA SANTOS PORTO - SP</v>
      </c>
      <c r="F2162" s="37" t="str">
        <f>IF(ORCAMENTOS!G2170="","",ORCAMENTOS!G2170)</f>
        <v>Guilherme</v>
      </c>
      <c r="G2162" s="37" t="str">
        <f>IF(ORCAMENTOS!H2170="","",ORCAMENTOS!H2170)</f>
        <v>Guilherme</v>
      </c>
      <c r="H2162" s="39">
        <f>IF(ORCAMENTOS!I2170="","",ORCAMENTOS!I2170)</f>
        <v>172251.83</v>
      </c>
      <c r="I2162" s="60">
        <f>IF(ORCAMENTOS!J2170="","",ORCAMENTOS!J2170)</f>
        <v>7.0000000000000007E-2</v>
      </c>
      <c r="J2162" s="40" t="str">
        <f>IF(ORCAMENTOS!L2170="","",ORCAMENTOS!L2170)</f>
        <v>CANCELADO</v>
      </c>
      <c r="K2162" s="34" t="str">
        <f>IF(ORCAMENTOS!M2170="","",ORCAMENTOS!M2170)</f>
        <v>-</v>
      </c>
      <c r="L2162" t="str">
        <f>IF(ORCAMENTOS!R2170="","",ORCAMENTOS!R2170)</f>
        <v>-</v>
      </c>
    </row>
    <row r="2163" spans="1:12" ht="15.75" hidden="1" customHeight="1" x14ac:dyDescent="0.25">
      <c r="A2163" s="36">
        <f>IF(ORCAMENTOS!A2171="","",ORCAMENTOS!A2171)</f>
        <v>46008</v>
      </c>
      <c r="B2163" s="46">
        <f>IF(ORCAMENTOS!B2171="","",ORCAMENTOS!B2171)</f>
        <v>2161</v>
      </c>
      <c r="C2163" s="46" t="str">
        <f>IF(ORCAMENTOS!C2171="","",ORCAMENTOS!C2171)</f>
        <v/>
      </c>
      <c r="D2163" s="37" t="str">
        <f>IF(ORCAMENTOS!D2171="","",ORCAMENTOS!D2171)</f>
        <v>AMS INSTALACOES</v>
      </c>
      <c r="E2163" s="38" t="str">
        <f>IF(ORCAMENTOS!E2171="","",ORCAMENTOS!E2171)</f>
        <v>ATACADAO - LOJA SANTOS PORTO - SP</v>
      </c>
      <c r="F2163" s="37" t="str">
        <f>IF(ORCAMENTOS!G2171="","",ORCAMENTOS!G2171)</f>
        <v>Gabriel</v>
      </c>
      <c r="G2163" s="37" t="str">
        <f>IF(ORCAMENTOS!H2171="","",ORCAMENTOS!H2171)</f>
        <v>Albertino</v>
      </c>
      <c r="H2163" s="39">
        <f>IF(ORCAMENTOS!I2171="","",ORCAMENTOS!I2171)</f>
        <v>172251.83</v>
      </c>
      <c r="I2163" s="60">
        <f>IF(ORCAMENTOS!J2171="","",ORCAMENTOS!J2171)</f>
        <v>7.0000000000000007E-2</v>
      </c>
      <c r="J2163" s="40" t="str">
        <f>IF(ORCAMENTOS!L2171="","",ORCAMENTOS!L2171)</f>
        <v>CANCELADO</v>
      </c>
      <c r="K2163" s="34" t="str">
        <f>IF(ORCAMENTOS!M2171="","",ORCAMENTOS!M2171)</f>
        <v>-</v>
      </c>
      <c r="L2163" t="str">
        <f>IF(ORCAMENTOS!R2171="","",ORCAMENTOS!R2171)</f>
        <v/>
      </c>
    </row>
    <row r="2164" spans="1:12" ht="15.75" hidden="1" customHeight="1" x14ac:dyDescent="0.25">
      <c r="A2164" s="36">
        <f>IF(ORCAMENTOS!A2172="","",ORCAMENTOS!A2172)</f>
        <v>46008</v>
      </c>
      <c r="B2164" s="46">
        <f>IF(ORCAMENTOS!B2172="","",ORCAMENTOS!B2172)</f>
        <v>2162</v>
      </c>
      <c r="C2164" s="46" t="str">
        <f>IF(ORCAMENTOS!C2172="","",ORCAMENTOS!C2172)</f>
        <v/>
      </c>
      <c r="D2164" s="37" t="str">
        <f>IF(ORCAMENTOS!D2172="","",ORCAMENTOS!D2172)</f>
        <v>SOLUCAO DUTOS</v>
      </c>
      <c r="E2164" s="38" t="str">
        <f>IF(ORCAMENTOS!E2172="","",ORCAMENTOS!E2172)</f>
        <v>-</v>
      </c>
      <c r="F2164" s="37" t="str">
        <f>IF(ORCAMENTOS!G2172="","",ORCAMENTOS!G2172)</f>
        <v>Gabriel</v>
      </c>
      <c r="G2164" s="37" t="str">
        <f>IF(ORCAMENTOS!H2172="","",ORCAMENTOS!H2172)</f>
        <v/>
      </c>
      <c r="H2164" s="39">
        <f>IF(ORCAMENTOS!I2172="","",ORCAMENTOS!I2172)</f>
        <v>6327.57</v>
      </c>
      <c r="I2164" s="60">
        <f>IF(ORCAMENTOS!J2172="","",ORCAMENTOS!J2172)</f>
        <v>0.05</v>
      </c>
      <c r="J2164" s="40" t="str">
        <f>IF(ORCAMENTOS!L2172="","",ORCAMENTOS!L2172)</f>
        <v>CANCELADO</v>
      </c>
      <c r="K2164" s="34" t="str">
        <f>IF(ORCAMENTOS!M2172="","",ORCAMENTOS!M2172)</f>
        <v>-</v>
      </c>
      <c r="L2164" t="str">
        <f>IF(ORCAMENTOS!R2172="","",ORCAMENTOS!R2172)</f>
        <v>-</v>
      </c>
    </row>
    <row r="2165" spans="1:12" ht="15.75" hidden="1" customHeight="1" x14ac:dyDescent="0.25">
      <c r="A2165" s="36">
        <f>IF(ORCAMENTOS!A2173="","",ORCAMENTOS!A2173)</f>
        <v>46008</v>
      </c>
      <c r="B2165" s="46">
        <f>IF(ORCAMENTOS!B2173="","",ORCAMENTOS!B2173)</f>
        <v>2163</v>
      </c>
      <c r="C2165" s="46" t="str">
        <f>IF(ORCAMENTOS!C2173="","",ORCAMENTOS!C2173)</f>
        <v>R1</v>
      </c>
      <c r="D2165" s="37" t="str">
        <f>IF(ORCAMENTOS!D2173="","",ORCAMENTOS!D2173)</f>
        <v>BIOTEC</v>
      </c>
      <c r="E2165" s="38" t="str">
        <f>IF(ORCAMENTOS!E2173="","",ORCAMENTOS!E2173)</f>
        <v>BIOMODULO</v>
      </c>
      <c r="F2165" s="37" t="str">
        <f>IF(ORCAMENTOS!G2173="","",ORCAMENTOS!G2173)</f>
        <v>Emanuel</v>
      </c>
      <c r="G2165" s="37" t="str">
        <f>IF(ORCAMENTOS!H2173="","",ORCAMENTOS!H2173)</f>
        <v>Paulo</v>
      </c>
      <c r="H2165" s="39">
        <f>IF(ORCAMENTOS!I2173="","",ORCAMENTOS!I2173)</f>
        <v>13431.93</v>
      </c>
      <c r="I2165" s="60">
        <f>IF(ORCAMENTOS!J2173="","",ORCAMENTOS!J2173)</f>
        <v>7.0000000000000007E-2</v>
      </c>
      <c r="J2165" s="40" t="str">
        <f>IF(ORCAMENTOS!L2173="","",ORCAMENTOS!L2173)</f>
        <v>PERDIDO</v>
      </c>
      <c r="K2165" s="34" t="str">
        <f>IF(ORCAMENTOS!M2173="","",ORCAMENTOS!M2173)</f>
        <v>ARCOTEC - PREÇO</v>
      </c>
      <c r="L2165" t="str">
        <f>IF(ORCAMENTOS!R2173="","",ORCAMENTOS!R2173)</f>
        <v>-</v>
      </c>
    </row>
    <row r="2166" spans="1:12" ht="15.75" hidden="1" customHeight="1" x14ac:dyDescent="0.25">
      <c r="A2166" s="36">
        <f>IF(ORCAMENTOS!A2174="","",ORCAMENTOS!A2174)</f>
        <v>46008</v>
      </c>
      <c r="B2166" s="46">
        <f>IF(ORCAMENTOS!B2174="","",ORCAMENTOS!B2174)</f>
        <v>2164</v>
      </c>
      <c r="C2166" s="46" t="str">
        <f>IF(ORCAMENTOS!C2174="","",ORCAMENTOS!C2174)</f>
        <v>R1</v>
      </c>
      <c r="D2166" s="37" t="str">
        <f>IF(ORCAMENTOS!D2174="","",ORCAMENTOS!D2174)</f>
        <v>SATURNO AR</v>
      </c>
      <c r="E2166" s="38" t="str">
        <f>IF(ORCAMENTOS!E2174="","",ORCAMENTOS!E2174)</f>
        <v>-</v>
      </c>
      <c r="F2166" s="37" t="str">
        <f>IF(ORCAMENTOS!G2174="","",ORCAMENTOS!G2174)</f>
        <v>Gabriel</v>
      </c>
      <c r="G2166" s="37" t="str">
        <f>IF(ORCAMENTOS!H2174="","",ORCAMENTOS!H2174)</f>
        <v>Sidinei</v>
      </c>
      <c r="H2166" s="39">
        <f>IF(ORCAMENTOS!I2174="","",ORCAMENTOS!I2174)</f>
        <v>6243.66</v>
      </c>
      <c r="I2166" s="60">
        <f>IF(ORCAMENTOS!J2174="","",ORCAMENTOS!J2174)</f>
        <v>0.04</v>
      </c>
      <c r="J2166" s="40" t="str">
        <f>IF(ORCAMENTOS!L2174="","",ORCAMENTOS!L2174)</f>
        <v>FECHADO</v>
      </c>
      <c r="K2166" s="34" t="str">
        <f>IF(ORCAMENTOS!M2174="","",ORCAMENTOS!M2174)</f>
        <v>-</v>
      </c>
      <c r="L2166" t="str">
        <f>IF(ORCAMENTOS!R2174="","",ORCAMENTOS!R2174)</f>
        <v>-</v>
      </c>
    </row>
    <row r="2167" spans="1:12" ht="15.75" hidden="1" customHeight="1" x14ac:dyDescent="0.25">
      <c r="A2167" s="36">
        <f>IF(ORCAMENTOS!A2175="","",ORCAMENTOS!A2175)</f>
        <v>45672</v>
      </c>
      <c r="B2167" s="46">
        <f>IF(ORCAMENTOS!B2175="","",ORCAMENTOS!B2175)</f>
        <v>2165</v>
      </c>
      <c r="C2167" s="46" t="str">
        <f>IF(ORCAMENTOS!C2175="","",ORCAMENTOS!C2175)</f>
        <v/>
      </c>
      <c r="D2167" s="37" t="str">
        <f>IF(ORCAMENTOS!D2175="","",ORCAMENTOS!D2175)</f>
        <v>ARPOL ENGENHARIA</v>
      </c>
      <c r="E2167" s="38" t="str">
        <f>IF(ORCAMENTOS!E2175="","",ORCAMENTOS!E2175)</f>
        <v>FLEURY MARCO 100</v>
      </c>
      <c r="F2167" s="37" t="str">
        <f>IF(ORCAMENTOS!G2175="","",ORCAMENTOS!G2175)</f>
        <v>Michel</v>
      </c>
      <c r="G2167" s="37" t="str">
        <f>IF(ORCAMENTOS!H2175="","",ORCAMENTOS!H2175)</f>
        <v>Arnaldo</v>
      </c>
      <c r="H2167" s="39">
        <f>IF(ORCAMENTOS!I2175="","",ORCAMENTOS!I2175)</f>
        <v>28078.53</v>
      </c>
      <c r="I2167" s="60">
        <f>IF(ORCAMENTOS!J2175="","",ORCAMENTOS!J2175)</f>
        <v>0.05</v>
      </c>
      <c r="J2167" s="40" t="str">
        <f>IF(ORCAMENTOS!L2175="","",ORCAMENTOS!L2175)</f>
        <v>PERDIDO</v>
      </c>
      <c r="K2167" s="34" t="str">
        <f>IF(ORCAMENTOS!M2175="","",ORCAMENTOS!M2175)</f>
        <v>MULTIVAC - PREÇO</v>
      </c>
      <c r="L2167" t="str">
        <f>IF(ORCAMENTOS!R2175="","",ORCAMENTOS!R2175)</f>
        <v>-</v>
      </c>
    </row>
    <row r="2168" spans="1:12" ht="15.75" hidden="1" customHeight="1" x14ac:dyDescent="0.25">
      <c r="A2168" s="36">
        <f>IF(ORCAMENTOS!A2176="","",ORCAMENTOS!A2176)</f>
        <v>45672</v>
      </c>
      <c r="B2168" s="46">
        <f>IF(ORCAMENTOS!B2176="","",ORCAMENTOS!B2176)</f>
        <v>2166</v>
      </c>
      <c r="C2168" s="46" t="str">
        <f>IF(ORCAMENTOS!C2176="","",ORCAMENTOS!C2176)</f>
        <v/>
      </c>
      <c r="D2168" s="37" t="str">
        <f>IF(ORCAMENTOS!D2176="","",ORCAMENTOS!D2176)</f>
        <v>ARPOL ENGENHARIA</v>
      </c>
      <c r="E2168" s="38" t="str">
        <f>IF(ORCAMENTOS!E2176="","",ORCAMENTOS!E2176)</f>
        <v>FLEURY MARCO 100</v>
      </c>
      <c r="F2168" s="37" t="str">
        <f>IF(ORCAMENTOS!G2176="","",ORCAMENTOS!G2176)</f>
        <v>Michel</v>
      </c>
      <c r="G2168" s="37" t="str">
        <f>IF(ORCAMENTOS!H2176="","",ORCAMENTOS!H2176)</f>
        <v>Arnaldo</v>
      </c>
      <c r="H2168" s="39">
        <f>IF(ORCAMENTOS!I2176="","",ORCAMENTOS!I2176)</f>
        <v>17398.52</v>
      </c>
      <c r="I2168" s="60">
        <f>IF(ORCAMENTOS!J2176="","",ORCAMENTOS!J2176)</f>
        <v>0.05</v>
      </c>
      <c r="J2168" s="40" t="str">
        <f>IF(ORCAMENTOS!L2176="","",ORCAMENTOS!L2176)</f>
        <v xml:space="preserve">PERDIDO </v>
      </c>
      <c r="K2168" s="34" t="str">
        <f>IF(ORCAMENTOS!M2176="","",ORCAMENTOS!M2176)</f>
        <v>MULTIVAC - PREÇO</v>
      </c>
      <c r="L2168" t="str">
        <f>IF(ORCAMENTOS!R2176="","",ORCAMENTOS!R2176)</f>
        <v>-</v>
      </c>
    </row>
    <row r="2169" spans="1:12" ht="15.75" hidden="1" customHeight="1" x14ac:dyDescent="0.25">
      <c r="A2169" s="36">
        <f>IF(ORCAMENTOS!A2177="","",ORCAMENTOS!A2177)</f>
        <v>46009</v>
      </c>
      <c r="B2169" s="46">
        <f>IF(ORCAMENTOS!B2177="","",ORCAMENTOS!B2177)</f>
        <v>2167</v>
      </c>
      <c r="C2169" s="46" t="str">
        <f>IF(ORCAMENTOS!C2177="","",ORCAMENTOS!C2177)</f>
        <v/>
      </c>
      <c r="D2169" s="37" t="str">
        <f>IF(ORCAMENTOS!D2177="","",ORCAMENTOS!D2177)</f>
        <v>MANENG</v>
      </c>
      <c r="E2169" s="38" t="str">
        <f>IF(ORCAMENTOS!E2177="","",ORCAMENTOS!E2177)</f>
        <v>-</v>
      </c>
      <c r="F2169" s="37" t="str">
        <f>IF(ORCAMENTOS!G2177="","",ORCAMENTOS!G2177)</f>
        <v>Guilherme</v>
      </c>
      <c r="G2169" s="37" t="str">
        <f>IF(ORCAMENTOS!H2177="","",ORCAMENTOS!H2177)</f>
        <v>Gabrielle</v>
      </c>
      <c r="H2169" s="39">
        <f>IF(ORCAMENTOS!I2177="","",ORCAMENTOS!I2177)</f>
        <v>35756.32</v>
      </c>
      <c r="I2169" s="60">
        <f>IF(ORCAMENTOS!J2177="","",ORCAMENTOS!J2177)</f>
        <v>0.05</v>
      </c>
      <c r="J2169" s="40" t="str">
        <f>IF(ORCAMENTOS!L2177="","",ORCAMENTOS!L2177)</f>
        <v>FECHADO</v>
      </c>
      <c r="K2169" s="34" t="str">
        <f>IF(ORCAMENTOS!M2177="","",ORCAMENTOS!M2177)</f>
        <v>-</v>
      </c>
      <c r="L2169" t="str">
        <f>IF(ORCAMENTOS!R2177="","",ORCAMENTOS!R2177)</f>
        <v>-</v>
      </c>
    </row>
    <row r="2170" spans="1:12" ht="15.75" hidden="1" customHeight="1" x14ac:dyDescent="0.25">
      <c r="A2170" s="36">
        <f>IF(ORCAMENTOS!A2178="","",ORCAMENTOS!A2178)</f>
        <v>45701</v>
      </c>
      <c r="B2170" s="46">
        <f>IF(ORCAMENTOS!B2178="","",ORCAMENTOS!B2178)</f>
        <v>2168</v>
      </c>
      <c r="C2170" s="46" t="str">
        <f>IF(ORCAMENTOS!C2178="","",ORCAMENTOS!C2178)</f>
        <v/>
      </c>
      <c r="D2170" s="37" t="str">
        <f>IF(ORCAMENTOS!D2178="","",ORCAMENTOS!D2178)</f>
        <v>ASF SERVICOS</v>
      </c>
      <c r="E2170" s="38" t="str">
        <f>IF(ORCAMENTOS!E2178="","",ORCAMENTOS!E2178)</f>
        <v>ATACADAO - LOJA SANTOS PORTO - SP</v>
      </c>
      <c r="F2170" s="37" t="str">
        <f>IF(ORCAMENTOS!G2178="","",ORCAMENTOS!G2178)</f>
        <v>Fernando</v>
      </c>
      <c r="G2170" s="37" t="str">
        <f>IF(ORCAMENTOS!H2178="","",ORCAMENTOS!H2178)</f>
        <v>Andre</v>
      </c>
      <c r="H2170" s="39">
        <f>IF(ORCAMENTOS!I2178="","",ORCAMENTOS!I2178)</f>
        <v>147020.18</v>
      </c>
      <c r="I2170" s="60">
        <f>IF(ORCAMENTOS!J2178="","",ORCAMENTOS!J2178)</f>
        <v>0.04</v>
      </c>
      <c r="J2170" s="40" t="str">
        <f>IF(ORCAMENTOS!L2178="","",ORCAMENTOS!L2178)</f>
        <v>CANCELADO</v>
      </c>
      <c r="K2170" s="34" t="str">
        <f>IF(ORCAMENTOS!M2178="","",ORCAMENTOS!M2178)</f>
        <v>-</v>
      </c>
      <c r="L2170" t="str">
        <f>IF(ORCAMENTOS!R2178="","",ORCAMENTOS!R2178)</f>
        <v>MPU</v>
      </c>
    </row>
    <row r="2171" spans="1:12" ht="15.75" hidden="1" customHeight="1" x14ac:dyDescent="0.25">
      <c r="A2171" s="36">
        <f>IF(ORCAMENTOS!A2179="","",ORCAMENTOS!A2179)</f>
        <v>46009</v>
      </c>
      <c r="B2171" s="46">
        <f>IF(ORCAMENTOS!B2179="","",ORCAMENTOS!B2179)</f>
        <v>2169</v>
      </c>
      <c r="C2171" s="46" t="str">
        <f>IF(ORCAMENTOS!C2179="","",ORCAMENTOS!C2179)</f>
        <v/>
      </c>
      <c r="D2171" s="37" t="str">
        <f>IF(ORCAMENTOS!D2179="","",ORCAMENTOS!D2179)</f>
        <v>SATURNO AR</v>
      </c>
      <c r="E2171" s="38" t="str">
        <f>IF(ORCAMENTOS!E2179="","",ORCAMENTOS!E2179)</f>
        <v>-</v>
      </c>
      <c r="F2171" s="37" t="str">
        <f>IF(ORCAMENTOS!G2179="","",ORCAMENTOS!G2179)</f>
        <v>Gabriel</v>
      </c>
      <c r="G2171" s="37" t="str">
        <f>IF(ORCAMENTOS!H2179="","",ORCAMENTOS!H2179)</f>
        <v>Sidinei</v>
      </c>
      <c r="H2171" s="39">
        <f>IF(ORCAMENTOS!I2179="","",ORCAMENTOS!I2179)</f>
        <v>4365</v>
      </c>
      <c r="I2171" s="60">
        <f>IF(ORCAMENTOS!J2179="","",ORCAMENTOS!J2179)</f>
        <v>7.0000000000000007E-2</v>
      </c>
      <c r="J2171" s="40" t="str">
        <f>IF(ORCAMENTOS!L2179="","",ORCAMENTOS!L2179)</f>
        <v>CANCELADO</v>
      </c>
      <c r="K2171" s="34" t="str">
        <f>IF(ORCAMENTOS!M2179="","",ORCAMENTOS!M2179)</f>
        <v>-</v>
      </c>
      <c r="L2171" t="str">
        <f>IF(ORCAMENTOS!R2179="","",ORCAMENTOS!R2179)</f>
        <v>-</v>
      </c>
    </row>
    <row r="2172" spans="1:12" ht="15.75" hidden="1" customHeight="1" x14ac:dyDescent="0.25">
      <c r="A2172" s="36">
        <f>IF(ORCAMENTOS!A2180="","",ORCAMENTOS!A2180)</f>
        <v>46013</v>
      </c>
      <c r="B2172" s="46">
        <f>IF(ORCAMENTOS!B2180="","",ORCAMENTOS!B2180)</f>
        <v>2170</v>
      </c>
      <c r="C2172" s="46" t="str">
        <f>IF(ORCAMENTOS!C2180="","",ORCAMENTOS!C2180)</f>
        <v>R1</v>
      </c>
      <c r="D2172" s="37" t="str">
        <f>IF(ORCAMENTOS!D2180="","",ORCAMENTOS!D2180)</f>
        <v>A2 SERVICOS</v>
      </c>
      <c r="E2172" s="38" t="str">
        <f>IF(ORCAMENTOS!E2180="","",ORCAMENTOS!E2180)</f>
        <v>-</v>
      </c>
      <c r="F2172" s="37" t="str">
        <f>IF(ORCAMENTOS!G2180="","",ORCAMENTOS!G2180)</f>
        <v>Gabriel</v>
      </c>
      <c r="G2172" s="37" t="str">
        <f>IF(ORCAMENTOS!H2180="","",ORCAMENTOS!H2180)</f>
        <v>Ronilson</v>
      </c>
      <c r="H2172" s="39">
        <f>IF(ORCAMENTOS!I2180="","",ORCAMENTOS!I2180)</f>
        <v>3036.37</v>
      </c>
      <c r="I2172" s="60">
        <f>IF(ORCAMENTOS!J2180="","",ORCAMENTOS!J2180)</f>
        <v>7.0000000000000007E-2</v>
      </c>
      <c r="J2172" s="40" t="str">
        <f>IF(ORCAMENTOS!L2180="","",ORCAMENTOS!L2180)</f>
        <v>CANCELADO</v>
      </c>
      <c r="K2172" s="34" t="str">
        <f>IF(ORCAMENTOS!M2180="","",ORCAMENTOS!M2180)</f>
        <v>-</v>
      </c>
      <c r="L2172" t="str">
        <f>IF(ORCAMENTOS!R2180="","",ORCAMENTOS!R2180)</f>
        <v>-</v>
      </c>
    </row>
    <row r="2173" spans="1:12" ht="15.75" hidden="1" customHeight="1" x14ac:dyDescent="0.25">
      <c r="A2173" s="36">
        <f>IF(ORCAMENTOS!A2181="","",ORCAMENTOS!A2181)</f>
        <v>46020</v>
      </c>
      <c r="B2173" s="46">
        <f>IF(ORCAMENTOS!B2181="","",ORCAMENTOS!B2181)</f>
        <v>2171</v>
      </c>
      <c r="C2173" s="46" t="str">
        <f>IF(ORCAMENTOS!C2181="","",ORCAMENTOS!C2181)</f>
        <v/>
      </c>
      <c r="D2173" s="37" t="str">
        <f>IF(ORCAMENTOS!D2181="","",ORCAMENTOS!D2181)</f>
        <v>QUALIENG</v>
      </c>
      <c r="E2173" s="38" t="str">
        <f>IF(ORCAMENTOS!E2181="","",ORCAMENTOS!E2181)</f>
        <v>-</v>
      </c>
      <c r="F2173" s="37" t="str">
        <f>IF(ORCAMENTOS!G2181="","",ORCAMENTOS!G2181)</f>
        <v>Gabriel</v>
      </c>
      <c r="G2173" s="37" t="str">
        <f>IF(ORCAMENTOS!H2181="","",ORCAMENTOS!H2181)</f>
        <v>Andreia</v>
      </c>
      <c r="H2173" s="39">
        <f>IF(ORCAMENTOS!I2181="","",ORCAMENTOS!I2181)</f>
        <v>400.2</v>
      </c>
      <c r="I2173" s="60">
        <f>IF(ORCAMENTOS!J2181="","",ORCAMENTOS!J2181)</f>
        <v>7.0000000000000007E-2</v>
      </c>
      <c r="J2173" s="40" t="str">
        <f>IF(ORCAMENTOS!L2181="","",ORCAMENTOS!L2181)</f>
        <v>CANCELADO</v>
      </c>
      <c r="K2173" s="34" t="str">
        <f>IF(ORCAMENTOS!M2181="","",ORCAMENTOS!M2181)</f>
        <v>-</v>
      </c>
      <c r="L2173" t="str">
        <f>IF(ORCAMENTOS!R2181="","",ORCAMENTOS!R2181)</f>
        <v>-</v>
      </c>
    </row>
    <row r="2174" spans="1:12" ht="15.75" hidden="1" customHeight="1" x14ac:dyDescent="0.25">
      <c r="A2174" s="36">
        <f>IF(ORCAMENTOS!A2182="","",ORCAMENTOS!A2182)</f>
        <v>46020</v>
      </c>
      <c r="B2174" s="46">
        <f>IF(ORCAMENTOS!B2182="","",ORCAMENTOS!B2182)</f>
        <v>2172</v>
      </c>
      <c r="C2174" s="46" t="str">
        <f>IF(ORCAMENTOS!C2182="","",ORCAMENTOS!C2182)</f>
        <v/>
      </c>
      <c r="D2174" s="37" t="str">
        <f>IF(ORCAMENTOS!D2182="","",ORCAMENTOS!D2182)</f>
        <v>W MLOPES</v>
      </c>
      <c r="E2174" s="38" t="str">
        <f>IF(ORCAMENTOS!E2182="","",ORCAMENTOS!E2182)</f>
        <v>-</v>
      </c>
      <c r="F2174" s="37" t="str">
        <f>IF(ORCAMENTOS!G2182="","",ORCAMENTOS!G2182)</f>
        <v>Gabriel</v>
      </c>
      <c r="G2174" s="37" t="str">
        <f>IF(ORCAMENTOS!H2182="","",ORCAMENTOS!H2182)</f>
        <v>Wagner</v>
      </c>
      <c r="H2174" s="39">
        <f>IF(ORCAMENTOS!I2182="","",ORCAMENTOS!I2182)</f>
        <v>575.38</v>
      </c>
      <c r="I2174" s="60">
        <f>IF(ORCAMENTOS!J2182="","",ORCAMENTOS!J2182)</f>
        <v>7.0000000000000007E-2</v>
      </c>
      <c r="J2174" s="40" t="str">
        <f>IF(ORCAMENTOS!L2182="","",ORCAMENTOS!L2182)</f>
        <v>CANCELADO</v>
      </c>
      <c r="K2174" s="34" t="str">
        <f>IF(ORCAMENTOS!M2182="","",ORCAMENTOS!M2182)</f>
        <v>-</v>
      </c>
      <c r="L2174" t="str">
        <f>IF(ORCAMENTOS!R2182="","",ORCAMENTOS!R2182)</f>
        <v>-</v>
      </c>
    </row>
    <row r="2175" spans="1:12" ht="15.75" hidden="1" customHeight="1" x14ac:dyDescent="0.25">
      <c r="A2175" s="36">
        <f>IF(ORCAMENTOS!A2183="","",ORCAMENTOS!A2183)</f>
        <v>46020</v>
      </c>
      <c r="B2175" s="46">
        <f>IF(ORCAMENTOS!B2183="","",ORCAMENTOS!B2183)</f>
        <v>2173</v>
      </c>
      <c r="C2175" s="46" t="str">
        <f>IF(ORCAMENTOS!C2183="","",ORCAMENTOS!C2183)</f>
        <v/>
      </c>
      <c r="D2175" s="37" t="str">
        <f>IF(ORCAMENTOS!D2183="","",ORCAMENTOS!D2183)</f>
        <v>FL HVAC</v>
      </c>
      <c r="E2175" s="38" t="str">
        <f>IF(ORCAMENTOS!E2183="","",ORCAMENTOS!E2183)</f>
        <v>RIACHUELO - BARIGUI SHOPPING - CURITIBA - PR</v>
      </c>
      <c r="F2175" s="37" t="str">
        <f>IF(ORCAMENTOS!G2183="","",ORCAMENTOS!G2183)</f>
        <v>Guilherme</v>
      </c>
      <c r="G2175" s="37" t="str">
        <f>IF(ORCAMENTOS!H2183="","",ORCAMENTOS!H2183)</f>
        <v>Alessandra</v>
      </c>
      <c r="H2175" s="39">
        <f>IF(ORCAMENTOS!I2183="","",ORCAMENTOS!I2183)</f>
        <v>27428.95</v>
      </c>
      <c r="I2175" s="60">
        <f>IF(ORCAMENTOS!J2183="","",ORCAMENTOS!J2183)</f>
        <v>7.0000000000000007E-2</v>
      </c>
      <c r="J2175" s="40" t="str">
        <f>IF(ORCAMENTOS!L2183="","",ORCAMENTOS!L2183)</f>
        <v>CANCELADO</v>
      </c>
      <c r="K2175" s="34" t="str">
        <f>IF(ORCAMENTOS!M2183="","",ORCAMENTOS!M2183)</f>
        <v>-</v>
      </c>
      <c r="L2175" t="str">
        <f>IF(ORCAMENTOS!R2183="","",ORCAMENTOS!R2183)</f>
        <v>MPU</v>
      </c>
    </row>
    <row r="2176" spans="1:12" ht="15.75" hidden="1" customHeight="1" x14ac:dyDescent="0.25">
      <c r="A2176" s="36">
        <f>IF(ORCAMENTOS!A2184="","",ORCAMENTOS!A2184)</f>
        <v>46021</v>
      </c>
      <c r="B2176" s="46">
        <f>IF(ORCAMENTOS!B2184="","",ORCAMENTOS!B2184)</f>
        <v>2174</v>
      </c>
      <c r="C2176" s="46" t="str">
        <f>IF(ORCAMENTOS!C2184="","",ORCAMENTOS!C2184)</f>
        <v/>
      </c>
      <c r="D2176" s="37" t="str">
        <f>IF(ORCAMENTOS!D2184="","",ORCAMENTOS!D2184)</f>
        <v>COLDTERMICA</v>
      </c>
      <c r="E2176" s="38" t="str">
        <f>IF(ORCAMENTOS!E2184="","",ORCAMENTOS!E2184)</f>
        <v>LOJA H&amp;M BR0016 Shopping Iguatemi Esplanada</v>
      </c>
      <c r="F2176" s="37" t="str">
        <f>IF(ORCAMENTOS!G2184="","",ORCAMENTOS!G2184)</f>
        <v>Gabriel</v>
      </c>
      <c r="G2176" s="37" t="str">
        <f>IF(ORCAMENTOS!H2184="","",ORCAMENTOS!H2184)</f>
        <v>Denis</v>
      </c>
      <c r="H2176" s="39">
        <f>IF(ORCAMENTOS!I2184="","",ORCAMENTOS!I2184)</f>
        <v>112493.69</v>
      </c>
      <c r="I2176" s="60">
        <f>IF(ORCAMENTOS!J2184="","",ORCAMENTOS!J2184)</f>
        <v>0.05</v>
      </c>
      <c r="J2176" s="40" t="str">
        <f>IF(ORCAMENTOS!L2184="","",ORCAMENTOS!L2184)</f>
        <v>FECHADO</v>
      </c>
      <c r="K2176" s="34" t="str">
        <f>IF(ORCAMENTOS!M2184="","",ORCAMENTOS!M2184)</f>
        <v>-</v>
      </c>
      <c r="L2176" t="str">
        <f>IF(ORCAMENTOS!R2184="","",ORCAMENTOS!R2184)</f>
        <v>-</v>
      </c>
    </row>
    <row r="2177" spans="1:12" ht="15.75" hidden="1" customHeight="1" x14ac:dyDescent="0.25">
      <c r="A2177" s="36">
        <f>IF(ORCAMENTOS!A2185="","",ORCAMENTOS!A2185)</f>
        <v>46021</v>
      </c>
      <c r="B2177" s="46">
        <f>IF(ORCAMENTOS!B2185="","",ORCAMENTOS!B2185)</f>
        <v>2175</v>
      </c>
      <c r="C2177" s="46" t="str">
        <f>IF(ORCAMENTOS!C2185="","",ORCAMENTOS!C2185)</f>
        <v/>
      </c>
      <c r="D2177" s="37" t="str">
        <f>IF(ORCAMENTOS!D2185="","",ORCAMENTOS!D2185)</f>
        <v>TECNOVENTI</v>
      </c>
      <c r="E2177" s="38" t="str">
        <f>IF(ORCAMENTOS!E2185="","",ORCAMENTOS!E2185)</f>
        <v>-</v>
      </c>
      <c r="F2177" s="37" t="str">
        <f>IF(ORCAMENTOS!G2185="","",ORCAMENTOS!G2185)</f>
        <v>Gabriel</v>
      </c>
      <c r="G2177" s="37" t="str">
        <f>IF(ORCAMENTOS!H2185="","",ORCAMENTOS!H2185)</f>
        <v>Nathan</v>
      </c>
      <c r="H2177" s="39">
        <f>IF(ORCAMENTOS!I2185="","",ORCAMENTOS!I2185)</f>
        <v>9545.17</v>
      </c>
      <c r="I2177" s="60">
        <f>IF(ORCAMENTOS!J2185="","",ORCAMENTOS!J2185)</f>
        <v>0.04</v>
      </c>
      <c r="J2177" s="40" t="str">
        <f>IF(ORCAMENTOS!L2185="","",ORCAMENTOS!L2185)</f>
        <v>CANCELADO</v>
      </c>
      <c r="K2177" s="34" t="str">
        <f>IF(ORCAMENTOS!M2185="","",ORCAMENTOS!M2185)</f>
        <v>-</v>
      </c>
      <c r="L2177" t="str">
        <f>IF(ORCAMENTOS!R2185="","",ORCAMENTOS!R2185)</f>
        <v>-</v>
      </c>
    </row>
    <row r="2178" spans="1:12" ht="15.75" hidden="1" customHeight="1" x14ac:dyDescent="0.25">
      <c r="A2178" s="36">
        <f>IF(ORCAMENTOS!A2186="","",ORCAMENTOS!A2186)</f>
        <v>46028</v>
      </c>
      <c r="B2178" s="46">
        <f>IF(ORCAMENTOS!B2186="","",ORCAMENTOS!B2186)</f>
        <v>1</v>
      </c>
      <c r="C2178" s="46" t="str">
        <f>IF(ORCAMENTOS!C2186="","",ORCAMENTOS!C2186)</f>
        <v/>
      </c>
      <c r="D2178" s="37" t="str">
        <f>IF(ORCAMENTOS!D2186="","",ORCAMENTOS!D2186)</f>
        <v>BMS ENGENHARIA</v>
      </c>
      <c r="E2178" s="38" t="str">
        <f>IF(ORCAMENTOS!E2186="","",ORCAMENTOS!E2186)</f>
        <v>AUTOGLASS CEC HUB</v>
      </c>
      <c r="F2178" s="37" t="str">
        <f>IF(ORCAMENTOS!G2186="","",ORCAMENTOS!G2186)</f>
        <v>Guilherme</v>
      </c>
      <c r="G2178" s="37" t="str">
        <f>IF(ORCAMENTOS!H2186="","",ORCAMENTOS!H2186)</f>
        <v>Jesse</v>
      </c>
      <c r="H2178" s="39">
        <f>IF(ORCAMENTOS!I2186="","",ORCAMENTOS!I2186)</f>
        <v>22979.96</v>
      </c>
      <c r="I2178" s="60">
        <f>IF(ORCAMENTOS!J2186="","",ORCAMENTOS!J2186)</f>
        <v>7.0000000000000007E-2</v>
      </c>
      <c r="J2178" s="40" t="str">
        <f>IF(ORCAMENTOS!L2186="","",ORCAMENTOS!L2186)</f>
        <v>FECHADO</v>
      </c>
      <c r="K2178" s="34" t="str">
        <f>IF(ORCAMENTOS!M2186="","",ORCAMENTOS!M2186)</f>
        <v>PREV. MARÇO</v>
      </c>
      <c r="L2178" t="str">
        <f>IF(ORCAMENTOS!R2186="","",ORCAMENTOS!R2186)</f>
        <v>-</v>
      </c>
    </row>
    <row r="2179" spans="1:12" ht="15.75" hidden="1" customHeight="1" x14ac:dyDescent="0.25">
      <c r="A2179" s="36">
        <f>IF(ORCAMENTOS!A2187="","",ORCAMENTOS!A2187)</f>
        <v>46027</v>
      </c>
      <c r="B2179" s="46">
        <f>IF(ORCAMENTOS!B2187="","",ORCAMENTOS!B2187)</f>
        <v>2</v>
      </c>
      <c r="C2179" s="46" t="str">
        <f>IF(ORCAMENTOS!C2187="","",ORCAMENTOS!C2187)</f>
        <v/>
      </c>
      <c r="D2179" s="37" t="str">
        <f>IF(ORCAMENTOS!D2187="","",ORCAMENTOS!D2187)</f>
        <v>AWA AR CONDICIONADO</v>
      </c>
      <c r="E2179" s="38" t="str">
        <f>IF(ORCAMENTOS!E2187="","",ORCAMENTOS!E2187)</f>
        <v>ATACADAO LONDRINA</v>
      </c>
      <c r="F2179" s="37" t="str">
        <f>IF(ORCAMENTOS!G2187="","",ORCAMENTOS!G2187)</f>
        <v>Guilherme</v>
      </c>
      <c r="G2179" s="37" t="str">
        <f>IF(ORCAMENTOS!H2187="","",ORCAMENTOS!H2187)</f>
        <v>Paula</v>
      </c>
      <c r="H2179" s="39">
        <f>IF(ORCAMENTOS!I2187="","",ORCAMENTOS!I2187)</f>
        <v>112648.88</v>
      </c>
      <c r="I2179" s="60">
        <f>IF(ORCAMENTOS!J2187="","",ORCAMENTOS!J2187)</f>
        <v>7.0000000000000007E-2</v>
      </c>
      <c r="J2179" s="40" t="str">
        <f>IF(ORCAMENTOS!L2187="","",ORCAMENTOS!L2187)</f>
        <v>CANCELADO</v>
      </c>
      <c r="K2179" s="34" t="str">
        <f>IF(ORCAMENTOS!M2187="","",ORCAMENTOS!M2187)</f>
        <v>-</v>
      </c>
      <c r="L2179" t="str">
        <f>IF(ORCAMENTOS!R2187="","",ORCAMENTOS!R2187)</f>
        <v>-</v>
      </c>
    </row>
    <row r="2180" spans="1:12" ht="15.75" hidden="1" customHeight="1" x14ac:dyDescent="0.25">
      <c r="A2180" s="36">
        <f>IF(ORCAMENTOS!A2188="","",ORCAMENTOS!A2188)</f>
        <v>46027</v>
      </c>
      <c r="B2180" s="46">
        <f>IF(ORCAMENTOS!B2188="","",ORCAMENTOS!B2188)</f>
        <v>3</v>
      </c>
      <c r="C2180" s="46" t="str">
        <f>IF(ORCAMENTOS!C2188="","",ORCAMENTOS!C2188)</f>
        <v/>
      </c>
      <c r="D2180" s="37" t="str">
        <f>IF(ORCAMENTOS!D2188="","",ORCAMENTOS!D2188)</f>
        <v>KM TADA ENGENHARIA</v>
      </c>
      <c r="E2180" s="38" t="str">
        <f>IF(ORCAMENTOS!E2188="","",ORCAMENTOS!E2188)</f>
        <v>STRATTNER - PALHOÇA / SC</v>
      </c>
      <c r="F2180" s="37" t="str">
        <f>IF(ORCAMENTOS!G2188="","",ORCAMENTOS!G2188)</f>
        <v xml:space="preserve">Aldavir </v>
      </c>
      <c r="G2180" s="37" t="str">
        <f>IF(ORCAMENTOS!H2188="","",ORCAMENTOS!H2188)</f>
        <v>Kinji</v>
      </c>
      <c r="H2180" s="39">
        <f>IF(ORCAMENTOS!I2188="","",ORCAMENTOS!I2188)</f>
        <v>4563.72</v>
      </c>
      <c r="I2180" s="60">
        <f>IF(ORCAMENTOS!J2188="","",ORCAMENTOS!J2188)</f>
        <v>7.0000000000000007E-2</v>
      </c>
      <c r="J2180" s="40" t="str">
        <f>IF(ORCAMENTOS!L2188="","",ORCAMENTOS!L2188)</f>
        <v>FECHADO</v>
      </c>
      <c r="K2180" s="34" t="str">
        <f>IF(ORCAMENTOS!M2188="","",ORCAMENTOS!M2188)</f>
        <v>-</v>
      </c>
      <c r="L2180" t="str">
        <f>IF(ORCAMENTOS!R2188="","",ORCAMENTOS!R2188)</f>
        <v>-</v>
      </c>
    </row>
    <row r="2181" spans="1:12" ht="15.75" hidden="1" customHeight="1" x14ac:dyDescent="0.25">
      <c r="A2181" s="36">
        <f>IF(ORCAMENTOS!A2189="","",ORCAMENTOS!A2189)</f>
        <v>46027</v>
      </c>
      <c r="B2181" s="46">
        <f>IF(ORCAMENTOS!B2189="","",ORCAMENTOS!B2189)</f>
        <v>4</v>
      </c>
      <c r="C2181" s="46" t="str">
        <f>IF(ORCAMENTOS!C2189="","",ORCAMENTOS!C2189)</f>
        <v/>
      </c>
      <c r="D2181" s="37" t="str">
        <f>IF(ORCAMENTOS!D2189="","",ORCAMENTOS!D2189)</f>
        <v>UNION RHAC</v>
      </c>
      <c r="E2181" s="38" t="str">
        <f>IF(ORCAMENTOS!E2189="","",ORCAMENTOS!E2189)</f>
        <v>-</v>
      </c>
      <c r="F2181" s="37" t="str">
        <f>IF(ORCAMENTOS!G2189="","",ORCAMENTOS!G2189)</f>
        <v>Emanuel</v>
      </c>
      <c r="G2181" s="37" t="str">
        <f>IF(ORCAMENTOS!H2189="","",ORCAMENTOS!H2189)</f>
        <v>Vinicius</v>
      </c>
      <c r="H2181" s="39">
        <f>IF(ORCAMENTOS!I2189="","",ORCAMENTOS!I2189)</f>
        <v>6994.3</v>
      </c>
      <c r="I2181" s="60">
        <f>IF(ORCAMENTOS!J2189="","",ORCAMENTOS!J2189)</f>
        <v>7.0000000000000007E-2</v>
      </c>
      <c r="J2181" s="40" t="str">
        <f>IF(ORCAMENTOS!L2189="","",ORCAMENTOS!L2189)</f>
        <v>FECHADO</v>
      </c>
      <c r="K2181" s="34" t="str">
        <f>IF(ORCAMENTOS!M2189="","",ORCAMENTOS!M2189)</f>
        <v>-</v>
      </c>
      <c r="L2181" t="str">
        <f>IF(ORCAMENTOS!R2189="","",ORCAMENTOS!R2189)</f>
        <v>-</v>
      </c>
    </row>
    <row r="2182" spans="1:12" ht="15.75" hidden="1" customHeight="1" x14ac:dyDescent="0.25">
      <c r="A2182" s="36">
        <f>IF(ORCAMENTOS!A2190="","",ORCAMENTOS!A2190)</f>
        <v>46027</v>
      </c>
      <c r="B2182" s="46">
        <f>IF(ORCAMENTOS!B2190="","",ORCAMENTOS!B2190)</f>
        <v>5</v>
      </c>
      <c r="C2182" s="46" t="str">
        <f>IF(ORCAMENTOS!C2190="","",ORCAMENTOS!C2190)</f>
        <v/>
      </c>
      <c r="D2182" s="37" t="str">
        <f>IF(ORCAMENTOS!D2190="","",ORCAMENTOS!D2190)</f>
        <v>TECNOVENTI</v>
      </c>
      <c r="E2182" s="38" t="str">
        <f>IF(ORCAMENTOS!E2190="","",ORCAMENTOS!E2190)</f>
        <v>-</v>
      </c>
      <c r="F2182" s="37" t="str">
        <f>IF(ORCAMENTOS!G2190="","",ORCAMENTOS!G2190)</f>
        <v>Gabriel</v>
      </c>
      <c r="G2182" s="37" t="str">
        <f>IF(ORCAMENTOS!H2190="","",ORCAMENTOS!H2190)</f>
        <v>Nathan</v>
      </c>
      <c r="H2182" s="39">
        <f>IF(ORCAMENTOS!I2190="","",ORCAMENTOS!I2190)</f>
        <v>9545.17</v>
      </c>
      <c r="I2182" s="60">
        <f>IF(ORCAMENTOS!J2190="","",ORCAMENTOS!J2190)</f>
        <v>0.04</v>
      </c>
      <c r="J2182" s="40" t="str">
        <f>IF(ORCAMENTOS!L2190="","",ORCAMENTOS!L2190)</f>
        <v>FECHADO</v>
      </c>
      <c r="K2182" s="34" t="str">
        <f>IF(ORCAMENTOS!M2190="","",ORCAMENTOS!M2190)</f>
        <v>-</v>
      </c>
      <c r="L2182" t="str">
        <f>IF(ORCAMENTOS!R2190="","",ORCAMENTOS!R2190)</f>
        <v>-</v>
      </c>
    </row>
    <row r="2183" spans="1:12" ht="15.75" hidden="1" customHeight="1" x14ac:dyDescent="0.25">
      <c r="A2183" s="36">
        <f>IF(ORCAMENTOS!A2191="","",ORCAMENTOS!A2191)</f>
        <v>46027</v>
      </c>
      <c r="B2183" s="46">
        <f>IF(ORCAMENTOS!B2191="","",ORCAMENTOS!B2191)</f>
        <v>6</v>
      </c>
      <c r="C2183" s="46" t="str">
        <f>IF(ORCAMENTOS!C2191="","",ORCAMENTOS!C2191)</f>
        <v/>
      </c>
      <c r="D2183" s="37" t="str">
        <f>IF(ORCAMENTOS!D2191="","",ORCAMENTOS!D2191)</f>
        <v>NEWSET</v>
      </c>
      <c r="E2183" s="38" t="str">
        <f>IF(ORCAMENTOS!E2191="","",ORCAMENTOS!E2191)</f>
        <v>HOSPITAL UNIMED - TORRE II - NOVO HAMBURGO - RS</v>
      </c>
      <c r="F2183" s="37" t="str">
        <f>IF(ORCAMENTOS!G2191="","",ORCAMENTOS!G2191)</f>
        <v xml:space="preserve">Aldavir </v>
      </c>
      <c r="G2183" s="37" t="str">
        <f>IF(ORCAMENTOS!H2191="","",ORCAMENTOS!H2191)</f>
        <v>Atila</v>
      </c>
      <c r="H2183" s="39">
        <f>IF(ORCAMENTOS!I2191="","",ORCAMENTOS!I2191)</f>
        <v>251739.95</v>
      </c>
      <c r="I2183" s="60">
        <f>IF(ORCAMENTOS!J2191="","",ORCAMENTOS!J2191)</f>
        <v>7.0000000000000007E-2</v>
      </c>
      <c r="J2183" s="40" t="str">
        <f>IF(ORCAMENTOS!L2191="","",ORCAMENTOS!L2191)</f>
        <v>ORCAMENTO</v>
      </c>
      <c r="K2183" s="34" t="str">
        <f>IF(ORCAMENTOS!M2191="","",ORCAMENTOS!M2191)</f>
        <v>-</v>
      </c>
      <c r="L2183" t="str">
        <f>IF(ORCAMENTOS!R2191="","",ORCAMENTOS!R2191)</f>
        <v>-</v>
      </c>
    </row>
    <row r="2184" spans="1:12" ht="15.75" hidden="1" customHeight="1" x14ac:dyDescent="0.25">
      <c r="A2184" s="36">
        <f>IF(ORCAMENTOS!A2192="","",ORCAMENTOS!A2192)</f>
        <v>46029</v>
      </c>
      <c r="B2184" s="46">
        <f>IF(ORCAMENTOS!B2192="","",ORCAMENTOS!B2192)</f>
        <v>7</v>
      </c>
      <c r="C2184" s="46" t="str">
        <f>IF(ORCAMENTOS!C2192="","",ORCAMENTOS!C2192)</f>
        <v>R3</v>
      </c>
      <c r="D2184" s="37" t="str">
        <f>IF(ORCAMENTOS!D2192="","",ORCAMENTOS!D2192)</f>
        <v>AWA AR CONDICIONADO</v>
      </c>
      <c r="E2184" s="38" t="str">
        <f>IF(ORCAMENTOS!E2192="","",ORCAMENTOS!E2192)</f>
        <v>OBRAMAX - VARZEA GRANDE</v>
      </c>
      <c r="F2184" s="37" t="str">
        <f>IF(ORCAMENTOS!G2192="","",ORCAMENTOS!G2192)</f>
        <v>Guilherme</v>
      </c>
      <c r="G2184" s="37" t="str">
        <f>IF(ORCAMENTOS!H2192="","",ORCAMENTOS!H2192)</f>
        <v>Paula</v>
      </c>
      <c r="H2184" s="39">
        <f>IF(ORCAMENTOS!I2192="","",ORCAMENTOS!I2192)</f>
        <v>214376.55</v>
      </c>
      <c r="I2184" s="60">
        <f>IF(ORCAMENTOS!J2192="","",ORCAMENTOS!J2192)</f>
        <v>0.04</v>
      </c>
      <c r="J2184" s="40" t="str">
        <f>IF(ORCAMENTOS!L2192="","",ORCAMENTOS!L2192)</f>
        <v>FECHADO</v>
      </c>
      <c r="K2184" s="34" t="str">
        <f>IF(ORCAMENTOS!M2192="","",ORCAMENTOS!M2192)</f>
        <v>AGUARDANDO PEDIDO</v>
      </c>
      <c r="L2184" t="str">
        <f>IF(ORCAMENTOS!R2192="","",ORCAMENTOS!R2192)</f>
        <v>N/E</v>
      </c>
    </row>
    <row r="2185" spans="1:12" ht="15.75" hidden="1" customHeight="1" x14ac:dyDescent="0.25">
      <c r="A2185" s="36">
        <f>IF(ORCAMENTOS!A2193="","",ORCAMENTOS!A2193)</f>
        <v>46028</v>
      </c>
      <c r="B2185" s="46">
        <f>IF(ORCAMENTOS!B2193="","",ORCAMENTOS!B2193)</f>
        <v>8</v>
      </c>
      <c r="C2185" s="46" t="str">
        <f>IF(ORCAMENTOS!C2193="","",ORCAMENTOS!C2193)</f>
        <v/>
      </c>
      <c r="D2185" s="37" t="str">
        <f>IF(ORCAMENTOS!D2193="","",ORCAMENTOS!D2193)</f>
        <v>AR CLEAN</v>
      </c>
      <c r="E2185" s="38" t="str">
        <f>IF(ORCAMENTOS!E2193="","",ORCAMENTOS!E2193)</f>
        <v>-</v>
      </c>
      <c r="F2185" s="37" t="str">
        <f>IF(ORCAMENTOS!G2193="","",ORCAMENTOS!G2193)</f>
        <v xml:space="preserve">Aldavir </v>
      </c>
      <c r="G2185" s="37" t="str">
        <f>IF(ORCAMENTOS!H2193="","",ORCAMENTOS!H2193)</f>
        <v>Melanie</v>
      </c>
      <c r="H2185" s="39">
        <f>IF(ORCAMENTOS!I2193="","",ORCAMENTOS!I2193)</f>
        <v>7812.13</v>
      </c>
      <c r="I2185" s="60">
        <f>IF(ORCAMENTOS!J2193="","",ORCAMENTOS!J2193)</f>
        <v>7.0000000000000007E-2</v>
      </c>
      <c r="J2185" s="40" t="str">
        <f>IF(ORCAMENTOS!L2193="","",ORCAMENTOS!L2193)</f>
        <v>CANCELADO</v>
      </c>
      <c r="K2185" s="34" t="str">
        <f>IF(ORCAMENTOS!M2193="","",ORCAMENTOS!M2193)</f>
        <v>-</v>
      </c>
      <c r="L2185" t="str">
        <f>IF(ORCAMENTOS!R2193="","",ORCAMENTOS!R2193)</f>
        <v>-</v>
      </c>
    </row>
    <row r="2186" spans="1:12" ht="15.75" hidden="1" customHeight="1" x14ac:dyDescent="0.25">
      <c r="A2186" s="36">
        <f>IF(ORCAMENTOS!A2194="","",ORCAMENTOS!A2194)</f>
        <v>46028</v>
      </c>
      <c r="B2186" s="46">
        <f>IF(ORCAMENTOS!B2194="","",ORCAMENTOS!B2194)</f>
        <v>9</v>
      </c>
      <c r="C2186" s="46" t="str">
        <f>IF(ORCAMENTOS!C2194="","",ORCAMENTOS!C2194)</f>
        <v/>
      </c>
      <c r="D2186" s="37" t="str">
        <f>IF(ORCAMENTOS!D2194="","",ORCAMENTOS!D2194)</f>
        <v>ALS INDUSTRIA</v>
      </c>
      <c r="E2186" s="38" t="str">
        <f>IF(ORCAMENTOS!E2194="","",ORCAMENTOS!E2194)</f>
        <v>-</v>
      </c>
      <c r="F2186" s="37" t="str">
        <f>IF(ORCAMENTOS!G2194="","",ORCAMENTOS!G2194)</f>
        <v>Gabriel</v>
      </c>
      <c r="G2186" s="37" t="str">
        <f>IF(ORCAMENTOS!H2194="","",ORCAMENTOS!H2194)</f>
        <v>Fabio</v>
      </c>
      <c r="H2186" s="39">
        <f>IF(ORCAMENTOS!I2194="","",ORCAMENTOS!I2194)</f>
        <v>6394.92</v>
      </c>
      <c r="I2186" s="60">
        <f>IF(ORCAMENTOS!J2194="","",ORCAMENTOS!J2194)</f>
        <v>0.05</v>
      </c>
      <c r="J2186" s="40" t="str">
        <f>IF(ORCAMENTOS!L2194="","",ORCAMENTOS!L2194)</f>
        <v>CANCELADO</v>
      </c>
      <c r="K2186" s="34" t="str">
        <f>IF(ORCAMENTOS!M2194="","",ORCAMENTOS!M2194)</f>
        <v>-</v>
      </c>
      <c r="L2186" t="str">
        <f>IF(ORCAMENTOS!R2194="","",ORCAMENTOS!R2194)</f>
        <v>-</v>
      </c>
    </row>
    <row r="2187" spans="1:12" ht="15.75" hidden="1" customHeight="1" x14ac:dyDescent="0.25">
      <c r="A2187" s="36">
        <f>IF(ORCAMENTOS!A2195="","",ORCAMENTOS!A2195)</f>
        <v>46028</v>
      </c>
      <c r="B2187" s="46">
        <f>IF(ORCAMENTOS!B2195="","",ORCAMENTOS!B2195)</f>
        <v>10</v>
      </c>
      <c r="C2187" s="46" t="str">
        <f>IF(ORCAMENTOS!C2195="","",ORCAMENTOS!C2195)</f>
        <v/>
      </c>
      <c r="D2187" s="37" t="str">
        <f>IF(ORCAMENTOS!D2195="","",ORCAMENTOS!D2195)</f>
        <v>AWA AR CONDICIONADO</v>
      </c>
      <c r="E2187" s="38" t="str">
        <f>IF(ORCAMENTOS!E2195="","",ORCAMENTOS!E2195)</f>
        <v>GIGA ATACADO - PIRAPORINHA - SÃO BERNARDO DO CAMPO - SP</v>
      </c>
      <c r="F2187" s="37" t="str">
        <f>IF(ORCAMENTOS!G2195="","",ORCAMENTOS!G2195)</f>
        <v>Guilherme</v>
      </c>
      <c r="G2187" s="37" t="str">
        <f>IF(ORCAMENTOS!H2195="","",ORCAMENTOS!H2195)</f>
        <v>Gustavo</v>
      </c>
      <c r="H2187" s="39">
        <f>IF(ORCAMENTOS!I2195="","",ORCAMENTOS!I2195)</f>
        <v>365818.25</v>
      </c>
      <c r="I2187" s="60">
        <f>IF(ORCAMENTOS!J2195="","",ORCAMENTOS!J2195)</f>
        <v>0.05</v>
      </c>
      <c r="J2187" s="40" t="str">
        <f>IF(ORCAMENTOS!L2195="","",ORCAMENTOS!L2195)</f>
        <v>CANCELADO</v>
      </c>
      <c r="K2187" s="34" t="str">
        <f>IF(ORCAMENTOS!M2195="","",ORCAMENTOS!M2195)</f>
        <v>BOAS CHANCES</v>
      </c>
      <c r="L2187" t="str">
        <f>IF(ORCAMENTOS!R2195="","",ORCAMENTOS!R2195)</f>
        <v>-</v>
      </c>
    </row>
    <row r="2188" spans="1:12" ht="15.75" hidden="1" customHeight="1" x14ac:dyDescent="0.25">
      <c r="A2188" s="36">
        <f>IF(ORCAMENTOS!A2196="","",ORCAMENTOS!A2196)</f>
        <v>46028</v>
      </c>
      <c r="B2188" s="46">
        <f>IF(ORCAMENTOS!B2196="","",ORCAMENTOS!B2196)</f>
        <v>11</v>
      </c>
      <c r="C2188" s="46" t="str">
        <f>IF(ORCAMENTOS!C2196="","",ORCAMENTOS!C2196)</f>
        <v/>
      </c>
      <c r="D2188" s="37" t="str">
        <f>IF(ORCAMENTOS!D2196="","",ORCAMENTOS!D2196)</f>
        <v>THERMON</v>
      </c>
      <c r="E2188" s="38" t="str">
        <f>IF(ORCAMENTOS!E2196="","",ORCAMENTOS!E2196)</f>
        <v>HEMODIALISE - HOSPITAL REGIONAL DO ALTO TIETE - SUZANO - SP</v>
      </c>
      <c r="F2188" s="37" t="str">
        <f>IF(ORCAMENTOS!G2196="","",ORCAMENTOS!G2196)</f>
        <v>Gabriel</v>
      </c>
      <c r="G2188" s="37" t="str">
        <f>IF(ORCAMENTOS!H2196="","",ORCAMENTOS!H2196)</f>
        <v>Luiz</v>
      </c>
      <c r="H2188" s="39">
        <f>IF(ORCAMENTOS!I2196="","",ORCAMENTOS!I2196)</f>
        <v>92510.99</v>
      </c>
      <c r="I2188" s="60">
        <f>IF(ORCAMENTOS!J2196="","",ORCAMENTOS!J2196)</f>
        <v>7.0000000000000007E-2</v>
      </c>
      <c r="J2188" s="40" t="str">
        <f>IF(ORCAMENTOS!L2196="","",ORCAMENTOS!L2196)</f>
        <v>CANCELADO</v>
      </c>
      <c r="K2188" s="34" t="str">
        <f>IF(ORCAMENTOS!M2196="","",ORCAMENTOS!M2196)</f>
        <v>-</v>
      </c>
      <c r="L2188" t="str">
        <f>IF(ORCAMENTOS!R2196="","",ORCAMENTOS!R2196)</f>
        <v>MPU</v>
      </c>
    </row>
    <row r="2189" spans="1:12" ht="15.75" hidden="1" customHeight="1" x14ac:dyDescent="0.25">
      <c r="A2189" s="36">
        <f>IF(ORCAMENTOS!A2197="","",ORCAMENTOS!A2197)</f>
        <v>46028</v>
      </c>
      <c r="B2189" s="46">
        <f>IF(ORCAMENTOS!B2197="","",ORCAMENTOS!B2197)</f>
        <v>12</v>
      </c>
      <c r="C2189" s="46" t="str">
        <f>IF(ORCAMENTOS!C2197="","",ORCAMENTOS!C2197)</f>
        <v/>
      </c>
      <c r="D2189" s="37" t="str">
        <f>IF(ORCAMENTOS!D2197="","",ORCAMENTOS!D2197)</f>
        <v>ABREU &amp; CARVALHO</v>
      </c>
      <c r="E2189" s="38" t="str">
        <f>IF(ORCAMENTOS!E2197="","",ORCAMENTOS!E2197)</f>
        <v>-</v>
      </c>
      <c r="F2189" s="37" t="str">
        <f>IF(ORCAMENTOS!G2197="","",ORCAMENTOS!G2197)</f>
        <v>Gabriel</v>
      </c>
      <c r="G2189" s="37" t="str">
        <f>IF(ORCAMENTOS!H2197="","",ORCAMENTOS!H2197)</f>
        <v>Thiago</v>
      </c>
      <c r="H2189" s="39">
        <f>IF(ORCAMENTOS!I2197="","",ORCAMENTOS!I2197)</f>
        <v>3522.93</v>
      </c>
      <c r="I2189" s="60">
        <f>IF(ORCAMENTOS!J2197="","",ORCAMENTOS!J2197)</f>
        <v>0.05</v>
      </c>
      <c r="J2189" s="40" t="str">
        <f>IF(ORCAMENTOS!L2197="","",ORCAMENTOS!L2197)</f>
        <v>FECHADO</v>
      </c>
      <c r="K2189" s="34" t="str">
        <f>IF(ORCAMENTOS!M2197="","",ORCAMENTOS!M2197)</f>
        <v>-</v>
      </c>
      <c r="L2189" t="str">
        <f>IF(ORCAMENTOS!R2197="","",ORCAMENTOS!R2197)</f>
        <v>-</v>
      </c>
    </row>
    <row r="2190" spans="1:12" ht="15.75" hidden="1" customHeight="1" x14ac:dyDescent="0.25">
      <c r="A2190" s="36">
        <f>IF(ORCAMENTOS!A2198="","",ORCAMENTOS!A2198)</f>
        <v>46028</v>
      </c>
      <c r="B2190" s="46">
        <f>IF(ORCAMENTOS!B2198="","",ORCAMENTOS!B2198)</f>
        <v>13</v>
      </c>
      <c r="C2190" s="46" t="str">
        <f>IF(ORCAMENTOS!C2198="","",ORCAMENTOS!C2198)</f>
        <v/>
      </c>
      <c r="D2190" s="37" t="str">
        <f>IF(ORCAMENTOS!D2198="","",ORCAMENTOS!D2198)</f>
        <v>EKO CLIMAX</v>
      </c>
      <c r="E2190" s="38" t="str">
        <f>IF(ORCAMENTOS!E2198="","",ORCAMENTOS!E2198)</f>
        <v>-</v>
      </c>
      <c r="F2190" s="37" t="str">
        <f>IF(ORCAMENTOS!G2198="","",ORCAMENTOS!G2198)</f>
        <v>Michel</v>
      </c>
      <c r="G2190" s="37" t="str">
        <f>IF(ORCAMENTOS!H2198="","",ORCAMENTOS!H2198)</f>
        <v>Rogerio</v>
      </c>
      <c r="H2190" s="39">
        <f>IF(ORCAMENTOS!I2198="","",ORCAMENTOS!I2198)</f>
        <v>9626.65</v>
      </c>
      <c r="I2190" s="60">
        <f>IF(ORCAMENTOS!J2198="","",ORCAMENTOS!J2198)</f>
        <v>0.05</v>
      </c>
      <c r="J2190" s="40" t="str">
        <f>IF(ORCAMENTOS!L2198="","",ORCAMENTOS!L2198)</f>
        <v>FECHADO</v>
      </c>
      <c r="K2190" s="34" t="str">
        <f>IF(ORCAMENTOS!M2198="","",ORCAMENTOS!M2198)</f>
        <v>-</v>
      </c>
      <c r="L2190" t="str">
        <f>IF(ORCAMENTOS!R2198="","",ORCAMENTOS!R2198)</f>
        <v>-</v>
      </c>
    </row>
    <row r="2191" spans="1:12" ht="15.75" hidden="1" customHeight="1" x14ac:dyDescent="0.25">
      <c r="A2191" s="36">
        <f>IF(ORCAMENTOS!A2199="","",ORCAMENTOS!A2199)</f>
        <v>46028</v>
      </c>
      <c r="B2191" s="46">
        <f>IF(ORCAMENTOS!B2199="","",ORCAMENTOS!B2199)</f>
        <v>14</v>
      </c>
      <c r="C2191" s="46" t="str">
        <f>IF(ORCAMENTOS!C2199="","",ORCAMENTOS!C2199)</f>
        <v/>
      </c>
      <c r="D2191" s="37" t="str">
        <f>IF(ORCAMENTOS!D2199="","",ORCAMENTOS!D2199)</f>
        <v>AIR NET</v>
      </c>
      <c r="E2191" s="38" t="str">
        <f>IF(ORCAMENTOS!E2199="","",ORCAMENTOS!E2199)</f>
        <v>VANSIL DESCALVADO</v>
      </c>
      <c r="F2191" s="37" t="str">
        <f>IF(ORCAMENTOS!G2199="","",ORCAMENTOS!G2199)</f>
        <v>Fernando</v>
      </c>
      <c r="G2191" s="37" t="str">
        <f>IF(ORCAMENTOS!H2199="","",ORCAMENTOS!H2199)</f>
        <v>Domicio</v>
      </c>
      <c r="H2191" s="39">
        <f>IF(ORCAMENTOS!I2199="","",ORCAMENTOS!I2199)</f>
        <v>44476.55</v>
      </c>
      <c r="I2191" s="60">
        <f>IF(ORCAMENTOS!J2199="","",ORCAMENTOS!J2199)</f>
        <v>7.0000000000000007E-2</v>
      </c>
      <c r="J2191" s="40" t="str">
        <f>IF(ORCAMENTOS!L2199="","",ORCAMENTOS!L2199)</f>
        <v>CANCELADO</v>
      </c>
      <c r="K2191" s="34" t="str">
        <f>IF(ORCAMENTOS!M2199="","",ORCAMENTOS!M2199)</f>
        <v>-</v>
      </c>
      <c r="L2191" t="str">
        <f>IF(ORCAMENTOS!R2199="","",ORCAMENTOS!R2199)</f>
        <v>-</v>
      </c>
    </row>
    <row r="2192" spans="1:12" ht="15.75" hidden="1" customHeight="1" x14ac:dyDescent="0.25">
      <c r="A2192" s="36">
        <f>IF(ORCAMENTOS!A2200="","",ORCAMENTOS!A2200)</f>
        <v>46029</v>
      </c>
      <c r="B2192" s="46">
        <f>IF(ORCAMENTOS!B2200="","",ORCAMENTOS!B2200)</f>
        <v>15</v>
      </c>
      <c r="C2192" s="46" t="str">
        <f>IF(ORCAMENTOS!C2200="","",ORCAMENTOS!C2200)</f>
        <v/>
      </c>
      <c r="D2192" s="37" t="str">
        <f>IF(ORCAMENTOS!D2200="","",ORCAMENTOS!D2200)</f>
        <v>SO AR</v>
      </c>
      <c r="E2192" s="38" t="str">
        <f>IF(ORCAMENTOS!E2200="","",ORCAMENTOS!E2200)</f>
        <v>-</v>
      </c>
      <c r="F2192" s="37" t="str">
        <f>IF(ORCAMENTOS!G2200="","",ORCAMENTOS!G2200)</f>
        <v>Gabriel</v>
      </c>
      <c r="G2192" s="37" t="str">
        <f>IF(ORCAMENTOS!H2200="","",ORCAMENTOS!H2200)</f>
        <v>Gabriel</v>
      </c>
      <c r="H2192" s="39">
        <f>IF(ORCAMENTOS!I2200="","",ORCAMENTOS!I2200)</f>
        <v>36677.53</v>
      </c>
      <c r="I2192" s="60">
        <f>IF(ORCAMENTOS!J2200="","",ORCAMENTOS!J2200)</f>
        <v>0.06</v>
      </c>
      <c r="J2192" s="40" t="str">
        <f>IF(ORCAMENTOS!L2200="","",ORCAMENTOS!L2200)</f>
        <v>FECHADO</v>
      </c>
      <c r="K2192" s="34" t="str">
        <f>IF(ORCAMENTOS!M2200="","",ORCAMENTOS!M2200)</f>
        <v>-</v>
      </c>
      <c r="L2192" t="str">
        <f>IF(ORCAMENTOS!R2200="","",ORCAMENTOS!R2200)</f>
        <v>-</v>
      </c>
    </row>
    <row r="2193" spans="1:12" ht="15.75" hidden="1" customHeight="1" x14ac:dyDescent="0.25">
      <c r="A2193" s="36">
        <f>IF(ORCAMENTOS!A2201="","",ORCAMENTOS!A2201)</f>
        <v>46029</v>
      </c>
      <c r="B2193" s="46">
        <f>IF(ORCAMENTOS!B2201="","",ORCAMENTOS!B2201)</f>
        <v>16</v>
      </c>
      <c r="C2193" s="46" t="str">
        <f>IF(ORCAMENTOS!C2201="","",ORCAMENTOS!C2201)</f>
        <v/>
      </c>
      <c r="D2193" s="37" t="str">
        <f>IF(ORCAMENTOS!D2201="","",ORCAMENTOS!D2201)</f>
        <v>RM3 ENGENHARIA</v>
      </c>
      <c r="E2193" s="38" t="str">
        <f>IF(ORCAMENTOS!E2201="","",ORCAMENTOS!E2201)</f>
        <v>PAULISTAO EMPREENDIMENTO 13 - SAO CARLOS - SP</v>
      </c>
      <c r="F2193" s="37" t="str">
        <f>IF(ORCAMENTOS!G2201="","",ORCAMENTOS!G2201)</f>
        <v>Guilherme</v>
      </c>
      <c r="G2193" s="37" t="str">
        <f>IF(ORCAMENTOS!H2201="","",ORCAMENTOS!H2201)</f>
        <v>Angelica</v>
      </c>
      <c r="H2193" s="39">
        <f>IF(ORCAMENTOS!I2201="","",ORCAMENTOS!I2201)</f>
        <v>178543.06</v>
      </c>
      <c r="I2193" s="60">
        <f>IF(ORCAMENTOS!J2201="","",ORCAMENTOS!J2201)</f>
        <v>7.0000000000000007E-2</v>
      </c>
      <c r="J2193" s="40" t="str">
        <f>IF(ORCAMENTOS!L2201="","",ORCAMENTOS!L2201)</f>
        <v>CANCELADO</v>
      </c>
      <c r="K2193" s="34" t="str">
        <f>IF(ORCAMENTOS!M2201="","",ORCAMENTOS!M2201)</f>
        <v>-</v>
      </c>
      <c r="L2193" t="str">
        <f>IF(ORCAMENTOS!R2201="","",ORCAMENTOS!R2201)</f>
        <v>MPU</v>
      </c>
    </row>
    <row r="2194" spans="1:12" ht="15.75" hidden="1" customHeight="1" x14ac:dyDescent="0.25">
      <c r="A2194" s="36">
        <f>IF(ORCAMENTOS!A2202="","",ORCAMENTOS!A2202)</f>
        <v>46029</v>
      </c>
      <c r="B2194" s="46">
        <f>IF(ORCAMENTOS!B2202="","",ORCAMENTOS!B2202)</f>
        <v>17</v>
      </c>
      <c r="C2194" s="46" t="str">
        <f>IF(ORCAMENTOS!C2202="","",ORCAMENTOS!C2202)</f>
        <v/>
      </c>
      <c r="D2194" s="37" t="str">
        <f>IF(ORCAMENTOS!D2202="","",ORCAMENTOS!D2202)</f>
        <v>THERMOCENTER</v>
      </c>
      <c r="E2194" s="38" t="str">
        <f>IF(ORCAMENTOS!E2202="","",ORCAMENTOS!E2202)</f>
        <v>SESC - RIBEIRAO PRETO - SP</v>
      </c>
      <c r="F2194" s="37" t="str">
        <f>IF(ORCAMENTOS!G2202="","",ORCAMENTOS!G2202)</f>
        <v>Fernando</v>
      </c>
      <c r="G2194" s="37" t="str">
        <f>IF(ORCAMENTOS!H2202="","",ORCAMENTOS!H2202)</f>
        <v>Silvana</v>
      </c>
      <c r="H2194" s="39">
        <f>IF(ORCAMENTOS!I2202="","",ORCAMENTOS!I2202)</f>
        <v>30397.759999999998</v>
      </c>
      <c r="I2194" s="60">
        <f>IF(ORCAMENTOS!J2202="","",ORCAMENTOS!J2202)</f>
        <v>7.0000000000000007E-2</v>
      </c>
      <c r="J2194" s="40" t="str">
        <f>IF(ORCAMENTOS!L2202="","",ORCAMENTOS!L2202)</f>
        <v>CANCELADO</v>
      </c>
      <c r="K2194" s="34" t="str">
        <f>IF(ORCAMENTOS!M2202="","",ORCAMENTOS!M2202)</f>
        <v>-</v>
      </c>
      <c r="L2194" t="str">
        <f>IF(ORCAMENTOS!R2202="","",ORCAMENTOS!R2202)</f>
        <v>N/E</v>
      </c>
    </row>
    <row r="2195" spans="1:12" ht="15.75" hidden="1" customHeight="1" x14ac:dyDescent="0.25">
      <c r="A2195" s="36">
        <f>IF(ORCAMENTOS!A2203="","",ORCAMENTOS!A2203)</f>
        <v>46029</v>
      </c>
      <c r="B2195" s="46">
        <f>IF(ORCAMENTOS!B2203="","",ORCAMENTOS!B2203)</f>
        <v>18</v>
      </c>
      <c r="C2195" s="46" t="str">
        <f>IF(ORCAMENTOS!C2203="","",ORCAMENTOS!C2203)</f>
        <v>R1</v>
      </c>
      <c r="D2195" s="37" t="str">
        <f>IF(ORCAMENTOS!D2203="","",ORCAMENTOS!D2203)</f>
        <v>ELETRO DALBEM</v>
      </c>
      <c r="E2195" s="38" t="str">
        <f>IF(ORCAMENTOS!E2203="","",ORCAMENTOS!E2203)</f>
        <v>DALBEM PAULINIA</v>
      </c>
      <c r="F2195" s="37" t="str">
        <f>IF(ORCAMENTOS!G2203="","",ORCAMENTOS!G2203)</f>
        <v>Gabriel</v>
      </c>
      <c r="G2195" s="37" t="str">
        <f>IF(ORCAMENTOS!H2203="","",ORCAMENTOS!H2203)</f>
        <v>Walison</v>
      </c>
      <c r="H2195" s="39">
        <f>IF(ORCAMENTOS!I2203="","",ORCAMENTOS!I2203)</f>
        <v>10750.01</v>
      </c>
      <c r="I2195" s="60">
        <f>IF(ORCAMENTOS!J2203="","",ORCAMENTOS!J2203)</f>
        <v>0.06</v>
      </c>
      <c r="J2195" s="40" t="str">
        <f>IF(ORCAMENTOS!L2203="","",ORCAMENTOS!L2203)</f>
        <v>FECHADO</v>
      </c>
      <c r="K2195" s="34" t="str">
        <f>IF(ORCAMENTOS!M2203="","",ORCAMENTOS!M2203)</f>
        <v>-</v>
      </c>
      <c r="L2195" t="str">
        <f>IF(ORCAMENTOS!R2203="","",ORCAMENTOS!R2203)</f>
        <v>-</v>
      </c>
    </row>
    <row r="2196" spans="1:12" ht="15.75" hidden="1" customHeight="1" x14ac:dyDescent="0.25">
      <c r="A2196" s="36">
        <f>IF(ORCAMENTOS!A2204="","",ORCAMENTOS!A2204)</f>
        <v>46029</v>
      </c>
      <c r="B2196" s="46">
        <f>IF(ORCAMENTOS!B2204="","",ORCAMENTOS!B2204)</f>
        <v>19</v>
      </c>
      <c r="C2196" s="46" t="str">
        <f>IF(ORCAMENTOS!C2204="","",ORCAMENTOS!C2204)</f>
        <v/>
      </c>
      <c r="D2196" s="37" t="str">
        <f>IF(ORCAMENTOS!D2204="","",ORCAMENTOS!D2204)</f>
        <v>ELETRO DALBEM</v>
      </c>
      <c r="E2196" s="38" t="str">
        <f>IF(ORCAMENTOS!E2204="","",ORCAMENTOS!E2204)</f>
        <v>DALBEM PAULINIA</v>
      </c>
      <c r="F2196" s="37" t="str">
        <f>IF(ORCAMENTOS!G2204="","",ORCAMENTOS!G2204)</f>
        <v>Gabriel</v>
      </c>
      <c r="G2196" s="37" t="str">
        <f>IF(ORCAMENTOS!H2204="","",ORCAMENTOS!H2204)</f>
        <v>Walison</v>
      </c>
      <c r="H2196" s="39">
        <f>IF(ORCAMENTOS!I2204="","",ORCAMENTOS!I2204)</f>
        <v>1947.76</v>
      </c>
      <c r="I2196" s="60">
        <f>IF(ORCAMENTOS!J2204="","",ORCAMENTOS!J2204)</f>
        <v>7.0000000000000007E-2</v>
      </c>
      <c r="J2196" s="40" t="str">
        <f>IF(ORCAMENTOS!L2204="","",ORCAMENTOS!L2204)</f>
        <v>CANCELADO</v>
      </c>
      <c r="K2196" s="34" t="str">
        <f>IF(ORCAMENTOS!M2204="","",ORCAMENTOS!M2204)</f>
        <v>-</v>
      </c>
      <c r="L2196" t="str">
        <f>IF(ORCAMENTOS!R2204="","",ORCAMENTOS!R2204)</f>
        <v>-</v>
      </c>
    </row>
    <row r="2197" spans="1:12" ht="15.75" hidden="1" customHeight="1" x14ac:dyDescent="0.25">
      <c r="A2197" s="36">
        <f>IF(ORCAMENTOS!A2205="","",ORCAMENTOS!A2205)</f>
        <v>46029</v>
      </c>
      <c r="B2197" s="46">
        <f>IF(ORCAMENTOS!B2205="","",ORCAMENTOS!B2205)</f>
        <v>20</v>
      </c>
      <c r="C2197" s="46" t="str">
        <f>IF(ORCAMENTOS!C2205="","",ORCAMENTOS!C2205)</f>
        <v/>
      </c>
      <c r="D2197" s="37" t="str">
        <f>IF(ORCAMENTOS!D2205="","",ORCAMENTOS!D2205)</f>
        <v>GVHVAC</v>
      </c>
      <c r="E2197" s="38" t="str">
        <f>IF(ORCAMENTOS!E2205="","",ORCAMENTOS!E2205)</f>
        <v>RESIDENCIA YURI</v>
      </c>
      <c r="F2197" s="37" t="str">
        <f>IF(ORCAMENTOS!G2205="","",ORCAMENTOS!G2205)</f>
        <v>Guilherme</v>
      </c>
      <c r="G2197" s="37" t="str">
        <f>IF(ORCAMENTOS!H2205="","",ORCAMENTOS!H2205)</f>
        <v>Alessandra</v>
      </c>
      <c r="H2197" s="39">
        <f>IF(ORCAMENTOS!I2205="","",ORCAMENTOS!I2205)</f>
        <v>11176.97</v>
      </c>
      <c r="I2197" s="60">
        <f>IF(ORCAMENTOS!J2205="","",ORCAMENTOS!J2205)</f>
        <v>7.0000000000000007E-2</v>
      </c>
      <c r="J2197" s="40" t="str">
        <f>IF(ORCAMENTOS!L2205="","",ORCAMENTOS!L2205)</f>
        <v>CANCELADO</v>
      </c>
      <c r="K2197" s="34" t="str">
        <f>IF(ORCAMENTOS!M2205="","",ORCAMENTOS!M2205)</f>
        <v>-</v>
      </c>
      <c r="L2197" t="str">
        <f>IF(ORCAMENTOS!R2205="","",ORCAMENTOS!R2205)</f>
        <v>-</v>
      </c>
    </row>
    <row r="2198" spans="1:12" ht="15.75" hidden="1" customHeight="1" x14ac:dyDescent="0.25">
      <c r="A2198" s="36">
        <f>IF(ORCAMENTOS!A2206="","",ORCAMENTOS!A2206)</f>
        <v>46030</v>
      </c>
      <c r="B2198" s="46">
        <f>IF(ORCAMENTOS!B2206="","",ORCAMENTOS!B2206)</f>
        <v>21</v>
      </c>
      <c r="C2198" s="46" t="str">
        <f>IF(ORCAMENTOS!C2206="","",ORCAMENTOS!C2206)</f>
        <v>R1</v>
      </c>
      <c r="D2198" s="37" t="str">
        <f>IF(ORCAMENTOS!D2206="","",ORCAMENTOS!D2206)</f>
        <v>RANKINE ENGENHARIA</v>
      </c>
      <c r="E2198" s="38" t="str">
        <f>IF(ORCAMENTOS!E2206="","",ORCAMENTOS!E2206)</f>
        <v>HOSPITAL UNIMED - UNIDADE ANHANGUERA - JUNDIAI - SP - TERREO</v>
      </c>
      <c r="F2198" s="37" t="str">
        <f>IF(ORCAMENTOS!G2206="","",ORCAMENTOS!G2206)</f>
        <v>Michel</v>
      </c>
      <c r="G2198" s="37" t="str">
        <f>IF(ORCAMENTOS!H2206="","",ORCAMENTOS!H2206)</f>
        <v>Celso</v>
      </c>
      <c r="H2198" s="39">
        <f>IF(ORCAMENTOS!I2206="","",ORCAMENTOS!I2206)</f>
        <v>21705.55</v>
      </c>
      <c r="I2198" s="60">
        <f>IF(ORCAMENTOS!J2206="","",ORCAMENTOS!J2206)</f>
        <v>0.04</v>
      </c>
      <c r="J2198" s="40" t="str">
        <f>IF(ORCAMENTOS!L2206="","",ORCAMENTOS!L2206)</f>
        <v>PERDIDO</v>
      </c>
      <c r="K2198" s="34" t="str">
        <f>IF(ORCAMENTOS!M2206="","",ORCAMENTOS!M2206)</f>
        <v>MULTIVAC</v>
      </c>
      <c r="L2198" t="str">
        <f>IF(ORCAMENTOS!R2206="","",ORCAMENTOS!R2206)</f>
        <v>-</v>
      </c>
    </row>
    <row r="2199" spans="1:12" ht="15.75" hidden="1" customHeight="1" x14ac:dyDescent="0.25">
      <c r="A2199" s="36">
        <f>IF(ORCAMENTOS!A2207="","",ORCAMENTOS!A2207)</f>
        <v>46030</v>
      </c>
      <c r="B2199" s="46">
        <f>IF(ORCAMENTOS!B2207="","",ORCAMENTOS!B2207)</f>
        <v>22</v>
      </c>
      <c r="C2199" s="46" t="str">
        <f>IF(ORCAMENTOS!C2207="","",ORCAMENTOS!C2207)</f>
        <v/>
      </c>
      <c r="D2199" s="37" t="str">
        <f>IF(ORCAMENTOS!D2207="","",ORCAMENTOS!D2207)</f>
        <v>COLD CONTROL</v>
      </c>
      <c r="E2199" s="38" t="str">
        <f>IF(ORCAMENTOS!E2207="","",ORCAMENTOS!E2207)</f>
        <v>SEDE ADMINISTRATIVO - SITIO RECANTO DO QUEIJO</v>
      </c>
      <c r="F2199" s="37" t="str">
        <f>IF(ORCAMENTOS!G2207="","",ORCAMENTOS!G2207)</f>
        <v>Emanuel</v>
      </c>
      <c r="G2199" s="37" t="str">
        <f>IF(ORCAMENTOS!H2207="","",ORCAMENTOS!H2207)</f>
        <v>Marcelo</v>
      </c>
      <c r="H2199" s="39">
        <f>IF(ORCAMENTOS!I2207="","",ORCAMENTOS!I2207)</f>
        <v>26319.17</v>
      </c>
      <c r="I2199" s="60">
        <f>IF(ORCAMENTOS!J2207="","",ORCAMENTOS!J2207)</f>
        <v>7.0000000000000007E-2</v>
      </c>
      <c r="J2199" s="40" t="str">
        <f>IF(ORCAMENTOS!L2207="","",ORCAMENTOS!L2207)</f>
        <v>CANCELADO</v>
      </c>
      <c r="K2199" s="34" t="str">
        <f>IF(ORCAMENTOS!M2207="","",ORCAMENTOS!M2207)</f>
        <v>-</v>
      </c>
      <c r="L2199" t="str">
        <f>IF(ORCAMENTOS!R2207="","",ORCAMENTOS!R2207)</f>
        <v>-</v>
      </c>
    </row>
    <row r="2200" spans="1:12" ht="15.75" hidden="1" customHeight="1" x14ac:dyDescent="0.25">
      <c r="A2200" s="36">
        <f>IF(ORCAMENTOS!A2208="","",ORCAMENTOS!A2208)</f>
        <v>46036</v>
      </c>
      <c r="B2200" s="46">
        <f>IF(ORCAMENTOS!B2208="","",ORCAMENTOS!B2208)</f>
        <v>23</v>
      </c>
      <c r="C2200" s="46" t="str">
        <f>IF(ORCAMENTOS!C2208="","",ORCAMENTOS!C2208)</f>
        <v>R1</v>
      </c>
      <c r="D2200" s="37" t="str">
        <f>IF(ORCAMENTOS!D2208="","",ORCAMENTOS!D2208)</f>
        <v>ARDORO</v>
      </c>
      <c r="E2200" s="38" t="str">
        <f>IF(ORCAMENTOS!E2208="","",ORCAMENTOS!E2208)</f>
        <v>-</v>
      </c>
      <c r="F2200" s="37" t="str">
        <f>IF(ORCAMENTOS!G2208="","",ORCAMENTOS!G2208)</f>
        <v>Emanuel</v>
      </c>
      <c r="G2200" s="37" t="str">
        <f>IF(ORCAMENTOS!H2208="","",ORCAMENTOS!H2208)</f>
        <v>Danilo</v>
      </c>
      <c r="H2200" s="39">
        <f>IF(ORCAMENTOS!I2208="","",ORCAMENTOS!I2208)</f>
        <v>18621.82</v>
      </c>
      <c r="I2200" s="60">
        <f>IF(ORCAMENTOS!J2208="","",ORCAMENTOS!J2208)</f>
        <v>0.05</v>
      </c>
      <c r="J2200" s="40" t="str">
        <f>IF(ORCAMENTOS!L2208="","",ORCAMENTOS!L2208)</f>
        <v>FECHADO</v>
      </c>
      <c r="K2200" s="34" t="str">
        <f>IF(ORCAMENTOS!M2208="","",ORCAMENTOS!M2208)</f>
        <v>-</v>
      </c>
      <c r="L2200" t="str">
        <f>IF(ORCAMENTOS!R2208="","",ORCAMENTOS!R2208)</f>
        <v>-</v>
      </c>
    </row>
    <row r="2201" spans="1:12" ht="15.75" hidden="1" customHeight="1" x14ac:dyDescent="0.25">
      <c r="A2201" s="36">
        <f>IF(ORCAMENTOS!A2209="","",ORCAMENTOS!A2209)</f>
        <v>46030</v>
      </c>
      <c r="B2201" s="46">
        <f>IF(ORCAMENTOS!B2209="","",ORCAMENTOS!B2209)</f>
        <v>24</v>
      </c>
      <c r="C2201" s="46" t="str">
        <f>IF(ORCAMENTOS!C2209="","",ORCAMENTOS!C2209)</f>
        <v/>
      </c>
      <c r="D2201" s="37" t="str">
        <f>IF(ORCAMENTOS!D2209="","",ORCAMENTOS!D2209)</f>
        <v>NEWSET</v>
      </c>
      <c r="E2201" s="38" t="str">
        <f>IF(ORCAMENTOS!E2209="","",ORCAMENTOS!E2209)</f>
        <v>SC9040 - OS2134 - NISSIN FOODS DO BRASIL LTDA</v>
      </c>
      <c r="F2201" s="37" t="str">
        <f>IF(ORCAMENTOS!G2209="","",ORCAMENTOS!G2209)</f>
        <v xml:space="preserve">Aldavir </v>
      </c>
      <c r="G2201" s="37" t="str">
        <f>IF(ORCAMENTOS!H2209="","",ORCAMENTOS!H2209)</f>
        <v>Karina</v>
      </c>
      <c r="H2201" s="39">
        <f>IF(ORCAMENTOS!I2209="","",ORCAMENTOS!I2209)</f>
        <v>729096.92</v>
      </c>
      <c r="I2201" s="60">
        <f>IF(ORCAMENTOS!J2209="","",ORCAMENTOS!J2209)</f>
        <v>7.0000000000000007E-2</v>
      </c>
      <c r="J2201" s="40" t="str">
        <f>IF(ORCAMENTOS!L2209="","",ORCAMENTOS!L2209)</f>
        <v>FECHADO</v>
      </c>
      <c r="K2201" s="34" t="str">
        <f>IF(ORCAMENTOS!M2209="","",ORCAMENTOS!M2209)</f>
        <v>AGUARDANDO PEDIDO</v>
      </c>
      <c r="L2201" t="str">
        <f>IF(ORCAMENTOS!R2209="","",ORCAMENTOS!R2209)</f>
        <v>-</v>
      </c>
    </row>
    <row r="2202" spans="1:12" ht="15.75" hidden="1" customHeight="1" x14ac:dyDescent="0.25">
      <c r="A2202" s="36">
        <f>IF(ORCAMENTOS!A2210="","",ORCAMENTOS!A2210)</f>
        <v>46030</v>
      </c>
      <c r="B2202" s="46">
        <f>IF(ORCAMENTOS!B2210="","",ORCAMENTOS!B2210)</f>
        <v>25</v>
      </c>
      <c r="C2202" s="46" t="str">
        <f>IF(ORCAMENTOS!C2210="","",ORCAMENTOS!C2210)</f>
        <v/>
      </c>
      <c r="D2202" s="37" t="str">
        <f>IF(ORCAMENTOS!D2210="","",ORCAMENTOS!D2210)</f>
        <v>ECOTHERM</v>
      </c>
      <c r="E2202" s="38" t="str">
        <f>IF(ORCAMENTOS!E2210="","",ORCAMENTOS!E2210)</f>
        <v>FRANCA</v>
      </c>
      <c r="F2202" s="37" t="str">
        <f>IF(ORCAMENTOS!G2210="","",ORCAMENTOS!G2210)</f>
        <v>Emanuel</v>
      </c>
      <c r="G2202" s="37" t="str">
        <f>IF(ORCAMENTOS!H2210="","",ORCAMENTOS!H2210)</f>
        <v>SElma</v>
      </c>
      <c r="H2202" s="39">
        <f>IF(ORCAMENTOS!I2210="","",ORCAMENTOS!I2210)</f>
        <v>11864.12</v>
      </c>
      <c r="I2202" s="60">
        <f>IF(ORCAMENTOS!J2210="","",ORCAMENTOS!J2210)</f>
        <v>7.0000000000000007E-2</v>
      </c>
      <c r="J2202" s="40" t="str">
        <f>IF(ORCAMENTOS!L2210="","",ORCAMENTOS!L2210)</f>
        <v>FECHADO</v>
      </c>
      <c r="K2202" s="34" t="str">
        <f>IF(ORCAMENTOS!M2210="","",ORCAMENTOS!M2210)</f>
        <v>-</v>
      </c>
      <c r="L2202" t="str">
        <f>IF(ORCAMENTOS!R2210="","",ORCAMENTOS!R2210)</f>
        <v>-</v>
      </c>
    </row>
    <row r="2203" spans="1:12" ht="15.75" hidden="1" customHeight="1" x14ac:dyDescent="0.25">
      <c r="A2203" s="36">
        <f>IF(ORCAMENTOS!A2211="","",ORCAMENTOS!A2211)</f>
        <v>46034</v>
      </c>
      <c r="B2203" s="46">
        <f>IF(ORCAMENTOS!B2211="","",ORCAMENTOS!B2211)</f>
        <v>26</v>
      </c>
      <c r="C2203" s="46" t="str">
        <f>IF(ORCAMENTOS!C2211="","",ORCAMENTOS!C2211)</f>
        <v>R3</v>
      </c>
      <c r="D2203" s="37" t="str">
        <f>IF(ORCAMENTOS!D2211="","",ORCAMENTOS!D2211)</f>
        <v>X AIR</v>
      </c>
      <c r="E2203" s="38" t="str">
        <f>IF(ORCAMENTOS!E2211="","",ORCAMENTOS!E2211)</f>
        <v>Santa Casa de Araquara</v>
      </c>
      <c r="F2203" s="37" t="str">
        <f>IF(ORCAMENTOS!G2211="","",ORCAMENTOS!G2211)</f>
        <v>Emanuel</v>
      </c>
      <c r="G2203" s="37" t="str">
        <f>IF(ORCAMENTOS!H2211="","",ORCAMENTOS!H2211)</f>
        <v>Isabela</v>
      </c>
      <c r="H2203" s="39">
        <f>IF(ORCAMENTOS!I2211="","",ORCAMENTOS!I2211)</f>
        <v>9909.7999999999993</v>
      </c>
      <c r="I2203" s="60">
        <f>IF(ORCAMENTOS!J2211="","",ORCAMENTOS!J2211)</f>
        <v>7.0000000000000007E-2</v>
      </c>
      <c r="J2203" s="40" t="str">
        <f>IF(ORCAMENTOS!L2211="","",ORCAMENTOS!L2211)</f>
        <v>FECHADO</v>
      </c>
      <c r="K2203" s="34" t="str">
        <f>IF(ORCAMENTOS!M2211="","",ORCAMENTOS!M2211)</f>
        <v>-</v>
      </c>
      <c r="L2203" t="str">
        <f>IF(ORCAMENTOS!R2211="","",ORCAMENTOS!R2211)</f>
        <v>-</v>
      </c>
    </row>
    <row r="2204" spans="1:12" ht="15.75" hidden="1" customHeight="1" x14ac:dyDescent="0.25">
      <c r="A2204" s="36">
        <f>IF(ORCAMENTOS!A2212="","",ORCAMENTOS!A2212)</f>
        <v>46035</v>
      </c>
      <c r="B2204" s="46">
        <f>IF(ORCAMENTOS!B2212="","",ORCAMENTOS!B2212)</f>
        <v>27</v>
      </c>
      <c r="C2204" s="46" t="str">
        <f>IF(ORCAMENTOS!C2212="","",ORCAMENTOS!C2212)</f>
        <v>R1</v>
      </c>
      <c r="D2204" s="37" t="str">
        <f>IF(ORCAMENTOS!D2212="","",ORCAMENTOS!D2212)</f>
        <v>COLD CONTROL</v>
      </c>
      <c r="E2204" s="38" t="str">
        <f>IF(ORCAMENTOS!E2212="","",ORCAMENTOS!E2212)</f>
        <v>SAINT GOBAN</v>
      </c>
      <c r="F2204" s="37" t="str">
        <f>IF(ORCAMENTOS!G2212="","",ORCAMENTOS!G2212)</f>
        <v>Emanuel</v>
      </c>
      <c r="G2204" s="37" t="str">
        <f>IF(ORCAMENTOS!H2212="","",ORCAMENTOS!H2212)</f>
        <v>Clovis</v>
      </c>
      <c r="H2204" s="39">
        <f>IF(ORCAMENTOS!I2212="","",ORCAMENTOS!I2212)</f>
        <v>32428.91</v>
      </c>
      <c r="I2204" s="60">
        <f>IF(ORCAMENTOS!J2212="","",ORCAMENTOS!J2212)</f>
        <v>0.04</v>
      </c>
      <c r="J2204" s="40" t="str">
        <f>IF(ORCAMENTOS!L2212="","",ORCAMENTOS!L2212)</f>
        <v>CANCELADO</v>
      </c>
      <c r="K2204" s="34" t="str">
        <f>IF(ORCAMENTOS!M2212="","",ORCAMENTOS!M2212)</f>
        <v>-</v>
      </c>
      <c r="L2204" t="str">
        <f>IF(ORCAMENTOS!R2212="","",ORCAMENTOS!R2212)</f>
        <v>-</v>
      </c>
    </row>
    <row r="2205" spans="1:12" ht="15.75" hidden="1" customHeight="1" x14ac:dyDescent="0.25">
      <c r="A2205" s="36">
        <f>IF(ORCAMENTOS!A2213="","",ORCAMENTOS!A2213)</f>
        <v>46030</v>
      </c>
      <c r="B2205" s="46">
        <f>IF(ORCAMENTOS!B2213="","",ORCAMENTOS!B2213)</f>
        <v>28</v>
      </c>
      <c r="C2205" s="46" t="str">
        <f>IF(ORCAMENTOS!C2213="","",ORCAMENTOS!C2213)</f>
        <v/>
      </c>
      <c r="D2205" s="37" t="str">
        <f>IF(ORCAMENTOS!D2213="","",ORCAMENTOS!D2213)</f>
        <v>SOLAR CONSTRUCOES</v>
      </c>
      <c r="E2205" s="38" t="str">
        <f>IF(ORCAMENTOS!E2213="","",ORCAMENTOS!E2213)</f>
        <v>UASA</v>
      </c>
      <c r="F2205" s="37" t="str">
        <f>IF(ORCAMENTOS!G2213="","",ORCAMENTOS!G2213)</f>
        <v>Gabriel</v>
      </c>
      <c r="G2205" s="37" t="str">
        <f>IF(ORCAMENTOS!H2213="","",ORCAMENTOS!H2213)</f>
        <v>Alessandra</v>
      </c>
      <c r="H2205" s="39">
        <f>IF(ORCAMENTOS!I2213="","",ORCAMENTOS!I2213)</f>
        <v>17782.36</v>
      </c>
      <c r="I2205" s="60">
        <f>IF(ORCAMENTOS!J2213="","",ORCAMENTOS!J2213)</f>
        <v>0.05</v>
      </c>
      <c r="J2205" s="40" t="str">
        <f>IF(ORCAMENTOS!L2213="","",ORCAMENTOS!L2213)</f>
        <v>CANCELADO</v>
      </c>
      <c r="K2205" s="34" t="str">
        <f>IF(ORCAMENTOS!M2213="","",ORCAMENTOS!M2213)</f>
        <v>-</v>
      </c>
      <c r="L2205" t="str">
        <f>IF(ORCAMENTOS!R2213="","",ORCAMENTOS!R2213)</f>
        <v>-</v>
      </c>
    </row>
    <row r="2206" spans="1:12" ht="15.75" hidden="1" customHeight="1" x14ac:dyDescent="0.25">
      <c r="A2206" s="36">
        <f>IF(ORCAMENTOS!A2214="","",ORCAMENTOS!A2214)</f>
        <v>46030</v>
      </c>
      <c r="B2206" s="46">
        <f>IF(ORCAMENTOS!B2214="","",ORCAMENTOS!B2214)</f>
        <v>29</v>
      </c>
      <c r="C2206" s="46" t="str">
        <f>IF(ORCAMENTOS!C2214="","",ORCAMENTOS!C2214)</f>
        <v/>
      </c>
      <c r="D2206" s="37" t="str">
        <f>IF(ORCAMENTOS!D2214="","",ORCAMENTOS!D2214)</f>
        <v>-</v>
      </c>
      <c r="E2206" s="38" t="str">
        <f>IF(ORCAMENTOS!E2214="","",ORCAMENTOS!E2214)</f>
        <v>-</v>
      </c>
      <c r="F2206" s="37" t="str">
        <f>IF(ORCAMENTOS!G2214="","",ORCAMENTOS!G2214)</f>
        <v/>
      </c>
      <c r="G2206" s="37" t="str">
        <f>IF(ORCAMENTOS!H2214="","",ORCAMENTOS!H2214)</f>
        <v>-</v>
      </c>
      <c r="H2206" s="39" t="str">
        <f>IF(ORCAMENTOS!I2214="","",ORCAMENTOS!I2214)</f>
        <v>-</v>
      </c>
      <c r="I2206" s="60" t="str">
        <f>IF(ORCAMENTOS!J2214="","",ORCAMENTOS!J2214)</f>
        <v>-</v>
      </c>
      <c r="J2206" s="40" t="str">
        <f>IF(ORCAMENTOS!L2214="","",ORCAMENTOS!L2214)</f>
        <v>CANCELADO</v>
      </c>
      <c r="K2206" s="34" t="str">
        <f>IF(ORCAMENTOS!M2214="","",ORCAMENTOS!M2214)</f>
        <v>-</v>
      </c>
      <c r="L2206" t="str">
        <f>IF(ORCAMENTOS!R2214="","",ORCAMENTOS!R2214)</f>
        <v>-</v>
      </c>
    </row>
    <row r="2207" spans="1:12" ht="15.75" hidden="1" customHeight="1" x14ac:dyDescent="0.25">
      <c r="A2207" s="36">
        <f>IF(ORCAMENTOS!A2215="","",ORCAMENTOS!A2215)</f>
        <v>46030</v>
      </c>
      <c r="B2207" s="46">
        <f>IF(ORCAMENTOS!B2215="","",ORCAMENTOS!B2215)</f>
        <v>30</v>
      </c>
      <c r="C2207" s="46" t="str">
        <f>IF(ORCAMENTOS!C2215="","",ORCAMENTOS!C2215)</f>
        <v/>
      </c>
      <c r="D2207" s="37" t="str">
        <f>IF(ORCAMENTOS!D2215="","",ORCAMENTOS!D2215)</f>
        <v>GLOBAL AR CONDICIONADO</v>
      </c>
      <c r="E2207" s="38" t="str">
        <f>IF(ORCAMENTOS!E2215="","",ORCAMENTOS!E2215)</f>
        <v>-</v>
      </c>
      <c r="F2207" s="37" t="str">
        <f>IF(ORCAMENTOS!G2215="","",ORCAMENTOS!G2215)</f>
        <v xml:space="preserve">Emanuel </v>
      </c>
      <c r="G2207" s="37" t="str">
        <f>IF(ORCAMENTOS!H2215="","",ORCAMENTOS!H2215)</f>
        <v>Claudemir</v>
      </c>
      <c r="H2207" s="39">
        <f>IF(ORCAMENTOS!I2215="","",ORCAMENTOS!I2215)</f>
        <v>3265.6</v>
      </c>
      <c r="I2207" s="60">
        <f>IF(ORCAMENTOS!J2215="","",ORCAMENTOS!J2215)</f>
        <v>7.0000000000000007E-2</v>
      </c>
      <c r="J2207" s="40" t="str">
        <f>IF(ORCAMENTOS!L2215="","",ORCAMENTOS!L2215)</f>
        <v>CANCELADO</v>
      </c>
      <c r="K2207" s="34" t="str">
        <f>IF(ORCAMENTOS!M2215="","",ORCAMENTOS!M2215)</f>
        <v>-</v>
      </c>
      <c r="L2207" t="str">
        <f>IF(ORCAMENTOS!R2215="","",ORCAMENTOS!R2215)</f>
        <v>-</v>
      </c>
    </row>
    <row r="2208" spans="1:12" ht="15.75" hidden="1" customHeight="1" x14ac:dyDescent="0.25">
      <c r="A2208" s="36">
        <f>IF(ORCAMENTOS!A2216="","",ORCAMENTOS!A2216)</f>
        <v>46031</v>
      </c>
      <c r="B2208" s="46">
        <f>IF(ORCAMENTOS!B2216="","",ORCAMENTOS!B2216)</f>
        <v>31</v>
      </c>
      <c r="C2208" s="46" t="str">
        <f>IF(ORCAMENTOS!C2216="","",ORCAMENTOS!C2216)</f>
        <v>R1</v>
      </c>
      <c r="D2208" s="37" t="str">
        <f>IF(ORCAMENTOS!D2216="","",ORCAMENTOS!D2216)</f>
        <v>IVTEC ENGENHARIA</v>
      </c>
      <c r="E2208" s="38" t="str">
        <f>IF(ORCAMENTOS!E2216="","",ORCAMENTOS!E2216)</f>
        <v>LICDAU225206</v>
      </c>
      <c r="F2208" s="37" t="str">
        <f>IF(ORCAMENTOS!G2216="","",ORCAMENTOS!G2216)</f>
        <v>Guilherme</v>
      </c>
      <c r="G2208" s="37" t="str">
        <f>IF(ORCAMENTOS!H2216="","",ORCAMENTOS!H2216)</f>
        <v>Matheus</v>
      </c>
      <c r="H2208" s="39">
        <f>IF(ORCAMENTOS!I2216="","",ORCAMENTOS!I2216)</f>
        <v>18453.64</v>
      </c>
      <c r="I2208" s="60">
        <f>IF(ORCAMENTOS!J2216="","",ORCAMENTOS!J2216)</f>
        <v>0.05</v>
      </c>
      <c r="J2208" s="40" t="str">
        <f>IF(ORCAMENTOS!L2216="","",ORCAMENTOS!L2216)</f>
        <v>FECHADO</v>
      </c>
      <c r="K2208" s="34" t="str">
        <f>IF(ORCAMENTOS!M2216="","",ORCAMENTOS!M2216)</f>
        <v>-</v>
      </c>
      <c r="L2208" t="str">
        <f>IF(ORCAMENTOS!R2216="","",ORCAMENTOS!R2216)</f>
        <v>-</v>
      </c>
    </row>
    <row r="2209" spans="1:12" ht="15.75" hidden="1" customHeight="1" x14ac:dyDescent="0.25">
      <c r="A2209" s="36">
        <f>IF(ORCAMENTOS!A2217="","",ORCAMENTOS!A2217)</f>
        <v>46031</v>
      </c>
      <c r="B2209" s="46">
        <f>IF(ORCAMENTOS!B2217="","",ORCAMENTOS!B2217)</f>
        <v>32</v>
      </c>
      <c r="C2209" s="46" t="str">
        <f>IF(ORCAMENTOS!C2217="","",ORCAMENTOS!C2217)</f>
        <v/>
      </c>
      <c r="D2209" s="37" t="str">
        <f>IF(ORCAMENTOS!D2217="","",ORCAMENTOS!D2217)</f>
        <v>AIR SOLUTION</v>
      </c>
      <c r="E2209" s="38" t="str">
        <f>IF(ORCAMENTOS!E2217="","",ORCAMENTOS!E2217)</f>
        <v>-</v>
      </c>
      <c r="F2209" s="37" t="str">
        <f>IF(ORCAMENTOS!G2217="","",ORCAMENTOS!G2217)</f>
        <v>Gabriel</v>
      </c>
      <c r="G2209" s="37" t="str">
        <f>IF(ORCAMENTOS!H2217="","",ORCAMENTOS!H2217)</f>
        <v>Talita</v>
      </c>
      <c r="H2209" s="39">
        <f>IF(ORCAMENTOS!I2217="","",ORCAMENTOS!I2217)</f>
        <v>9674.67</v>
      </c>
      <c r="I2209" s="60">
        <f>IF(ORCAMENTOS!J2217="","",ORCAMENTOS!J2217)</f>
        <v>0.05</v>
      </c>
      <c r="J2209" s="40" t="str">
        <f>IF(ORCAMENTOS!L2217="","",ORCAMENTOS!L2217)</f>
        <v>FECHADO</v>
      </c>
      <c r="K2209" s="34" t="str">
        <f>IF(ORCAMENTOS!M2217="","",ORCAMENTOS!M2217)</f>
        <v>-</v>
      </c>
      <c r="L2209" t="str">
        <f>IF(ORCAMENTOS!R2217="","",ORCAMENTOS!R2217)</f>
        <v>-</v>
      </c>
    </row>
    <row r="2210" spans="1:12" ht="15.75" hidden="1" customHeight="1" x14ac:dyDescent="0.25">
      <c r="A2210" s="36">
        <f>IF(ORCAMENTOS!A2218="","",ORCAMENTOS!A2218)</f>
        <v>46031</v>
      </c>
      <c r="B2210" s="46">
        <f>IF(ORCAMENTOS!B2218="","",ORCAMENTOS!B2218)</f>
        <v>33</v>
      </c>
      <c r="C2210" s="46" t="str">
        <f>IF(ORCAMENTOS!C2218="","",ORCAMENTOS!C2218)</f>
        <v/>
      </c>
      <c r="D2210" s="37" t="str">
        <f>IF(ORCAMENTOS!D2218="","",ORCAMENTOS!D2218)</f>
        <v>FULL SERVICE</v>
      </c>
      <c r="E2210" s="38" t="str">
        <f>IF(ORCAMENTOS!E2218="","",ORCAMENTOS!E2218)</f>
        <v>GRAPE</v>
      </c>
      <c r="F2210" s="37" t="str">
        <f>IF(ORCAMENTOS!G2218="","",ORCAMENTOS!G2218)</f>
        <v>Fernando</v>
      </c>
      <c r="G2210" s="37" t="str">
        <f>IF(ORCAMENTOS!H2218="","",ORCAMENTOS!H2218)</f>
        <v>Wander</v>
      </c>
      <c r="H2210" s="39">
        <f>IF(ORCAMENTOS!I2218="","",ORCAMENTOS!I2218)</f>
        <v>16886.5</v>
      </c>
      <c r="I2210" s="60">
        <f>IF(ORCAMENTOS!J2218="","",ORCAMENTOS!J2218)</f>
        <v>0.05</v>
      </c>
      <c r="J2210" s="40" t="str">
        <f>IF(ORCAMENTOS!L2218="","",ORCAMENTOS!L2218)</f>
        <v>FECHADO</v>
      </c>
      <c r="K2210" s="34" t="str">
        <f>IF(ORCAMENTOS!M2218="","",ORCAMENTOS!M2218)</f>
        <v>-</v>
      </c>
      <c r="L2210" t="str">
        <f>IF(ORCAMENTOS!R2218="","",ORCAMENTOS!R2218)</f>
        <v>N/E</v>
      </c>
    </row>
    <row r="2211" spans="1:12" ht="15.75" hidden="1" customHeight="1" x14ac:dyDescent="0.25">
      <c r="A2211" s="36">
        <f>IF(ORCAMENTOS!A2219="","",ORCAMENTOS!A2219)</f>
        <v>46031</v>
      </c>
      <c r="B2211" s="46">
        <f>IF(ORCAMENTOS!B2219="","",ORCAMENTOS!B2219)</f>
        <v>34</v>
      </c>
      <c r="C2211" s="46" t="str">
        <f>IF(ORCAMENTOS!C2219="","",ORCAMENTOS!C2219)</f>
        <v/>
      </c>
      <c r="D2211" s="37" t="str">
        <f>IF(ORCAMENTOS!D2219="","",ORCAMENTOS!D2219)</f>
        <v>TERMOCLIMA</v>
      </c>
      <c r="E2211" s="38" t="str">
        <f>IF(ORCAMENTOS!E2219="","",ORCAMENTOS!E2219)</f>
        <v>G BARBOSA - BARRA DOS COQUEIROS</v>
      </c>
      <c r="F2211" s="37" t="str">
        <f>IF(ORCAMENTOS!G2219="","",ORCAMENTOS!G2219)</f>
        <v>Gabriel</v>
      </c>
      <c r="G2211" s="37" t="str">
        <f>IF(ORCAMENTOS!H2219="","",ORCAMENTOS!H2219)</f>
        <v>Pedro</v>
      </c>
      <c r="H2211" s="39">
        <f>IF(ORCAMENTOS!I2219="","",ORCAMENTOS!I2219)</f>
        <v>10648.69</v>
      </c>
      <c r="I2211" s="60">
        <f>IF(ORCAMENTOS!J2219="","",ORCAMENTOS!J2219)</f>
        <v>7.0000000000000007E-2</v>
      </c>
      <c r="J2211" s="40" t="str">
        <f>IF(ORCAMENTOS!L2219="","",ORCAMENTOS!L2219)</f>
        <v>CANCELADO</v>
      </c>
      <c r="K2211" s="34" t="str">
        <f>IF(ORCAMENTOS!M2219="","",ORCAMENTOS!M2219)</f>
        <v>-</v>
      </c>
      <c r="L2211" t="str">
        <f>IF(ORCAMENTOS!R2219="","",ORCAMENTOS!R2219)</f>
        <v>N/E</v>
      </c>
    </row>
    <row r="2212" spans="1:12" ht="15.75" hidden="1" customHeight="1" x14ac:dyDescent="0.25">
      <c r="A2212" s="36">
        <f>IF(ORCAMENTOS!A2220="","",ORCAMENTOS!A2220)</f>
        <v>46031</v>
      </c>
      <c r="B2212" s="46">
        <f>IF(ORCAMENTOS!B2220="","",ORCAMENTOS!B2220)</f>
        <v>35</v>
      </c>
      <c r="C2212" s="46" t="str">
        <f>IF(ORCAMENTOS!C2220="","",ORCAMENTOS!C2220)</f>
        <v/>
      </c>
      <c r="D2212" s="37" t="str">
        <f>IF(ORCAMENTOS!D2220="","",ORCAMENTOS!D2220)</f>
        <v>TECNORAC</v>
      </c>
      <c r="E2212" s="38" t="str">
        <f>IF(ORCAMENTOS!E2220="","",ORCAMENTOS!E2220)</f>
        <v>BEIERSDORF INDUSTRIA &amp; COMERCIO - ITATIBA - SP</v>
      </c>
      <c r="F2212" s="37" t="str">
        <f>IF(ORCAMENTOS!G2220="","",ORCAMENTOS!G2220)</f>
        <v>Guilherme</v>
      </c>
      <c r="G2212" s="37" t="str">
        <f>IF(ORCAMENTOS!H2220="","",ORCAMENTOS!H2220)</f>
        <v>Eduardo</v>
      </c>
      <c r="H2212" s="39">
        <f>IF(ORCAMENTOS!I2220="","",ORCAMENTOS!I2220)</f>
        <v>6998.77</v>
      </c>
      <c r="I2212" s="60">
        <f>IF(ORCAMENTOS!J2220="","",ORCAMENTOS!J2220)</f>
        <v>7.0000000000000007E-2</v>
      </c>
      <c r="J2212" s="40" t="str">
        <f>IF(ORCAMENTOS!L2220="","",ORCAMENTOS!L2220)</f>
        <v>CANCELADO</v>
      </c>
      <c r="K2212" s="34" t="str">
        <f>IF(ORCAMENTOS!M2220="","",ORCAMENTOS!M2220)</f>
        <v>INOX</v>
      </c>
      <c r="L2212" t="str">
        <f>IF(ORCAMENTOS!R2220="","",ORCAMENTOS!R2220)</f>
        <v>N/E</v>
      </c>
    </row>
    <row r="2213" spans="1:12" ht="15.75" hidden="1" customHeight="1" x14ac:dyDescent="0.25">
      <c r="A2213" s="36">
        <f>IF(ORCAMENTOS!A2221="","",ORCAMENTOS!A2221)</f>
        <v>46031</v>
      </c>
      <c r="B2213" s="46">
        <f>IF(ORCAMENTOS!B2221="","",ORCAMENTOS!B2221)</f>
        <v>36</v>
      </c>
      <c r="C2213" s="46" t="str">
        <f>IF(ORCAMENTOS!C2221="","",ORCAMENTOS!C2221)</f>
        <v/>
      </c>
      <c r="D2213" s="37" t="str">
        <f>IF(ORCAMENTOS!D2221="","",ORCAMENTOS!D2221)</f>
        <v>CHD SISTEMAS</v>
      </c>
      <c r="E2213" s="38" t="str">
        <f>IF(ORCAMENTOS!E2221="","",ORCAMENTOS!E2221)</f>
        <v>ESTOQUE</v>
      </c>
      <c r="F2213" s="37" t="str">
        <f>IF(ORCAMENTOS!G2221="","",ORCAMENTOS!G2221)</f>
        <v>Fernando</v>
      </c>
      <c r="G2213" s="37" t="str">
        <f>IF(ORCAMENTOS!H2221="","",ORCAMENTOS!H2221)</f>
        <v>Paulo</v>
      </c>
      <c r="H2213" s="39">
        <f>IF(ORCAMENTOS!I2221="","",ORCAMENTOS!I2221)</f>
        <v>67198.399999999994</v>
      </c>
      <c r="I2213" s="60">
        <f>IF(ORCAMENTOS!J2221="","",ORCAMENTOS!J2221)</f>
        <v>0.03</v>
      </c>
      <c r="J2213" s="40" t="str">
        <f>IF(ORCAMENTOS!L2221="","",ORCAMENTOS!L2221)</f>
        <v>FECHADO</v>
      </c>
      <c r="K2213" s="34" t="str">
        <f>IF(ORCAMENTOS!M2221="","",ORCAMENTOS!M2221)</f>
        <v>PREV. MARÇO</v>
      </c>
      <c r="L2213" t="str">
        <f>IF(ORCAMENTOS!R2221="","",ORCAMENTOS!R2221)</f>
        <v>-</v>
      </c>
    </row>
    <row r="2214" spans="1:12" ht="15.75" hidden="1" customHeight="1" x14ac:dyDescent="0.25">
      <c r="A2214" s="36">
        <f>IF(ORCAMENTOS!A2222="","",ORCAMENTOS!A2222)</f>
        <v>46031</v>
      </c>
      <c r="B2214" s="46">
        <f>IF(ORCAMENTOS!B2222="","",ORCAMENTOS!B2222)</f>
        <v>37</v>
      </c>
      <c r="C2214" s="46" t="str">
        <f>IF(ORCAMENTOS!C2222="","",ORCAMENTOS!C2222)</f>
        <v/>
      </c>
      <c r="D2214" s="37" t="str">
        <f>IF(ORCAMENTOS!D2222="","",ORCAMENTOS!D2222)</f>
        <v>BRISA SERVICE</v>
      </c>
      <c r="E2214" s="38" t="str">
        <f>IF(ORCAMENTOS!E2222="","",ORCAMENTOS!E2222)</f>
        <v>ASSAI AEROPORTO</v>
      </c>
      <c r="F2214" s="37" t="str">
        <f>IF(ORCAMENTOS!G2222="","",ORCAMENTOS!G2222)</f>
        <v>Gabriel</v>
      </c>
      <c r="G2214" s="37" t="str">
        <f>IF(ORCAMENTOS!H2222="","",ORCAMENTOS!H2222)</f>
        <v>Claudinei</v>
      </c>
      <c r="H2214" s="39">
        <f>IF(ORCAMENTOS!I2222="","",ORCAMENTOS!I2222)</f>
        <v>5681.37</v>
      </c>
      <c r="I2214" s="60">
        <f>IF(ORCAMENTOS!J2222="","",ORCAMENTOS!J2222)</f>
        <v>7.0000000000000007E-2</v>
      </c>
      <c r="J2214" s="40" t="str">
        <f>IF(ORCAMENTOS!L2222="","",ORCAMENTOS!L2222)</f>
        <v>CANCELADO</v>
      </c>
      <c r="K2214" s="34" t="str">
        <f>IF(ORCAMENTOS!M2222="","",ORCAMENTOS!M2222)</f>
        <v>-</v>
      </c>
      <c r="L2214" t="str">
        <f>IF(ORCAMENTOS!R2222="","",ORCAMENTOS!R2222)</f>
        <v>-</v>
      </c>
    </row>
    <row r="2215" spans="1:12" ht="15.75" hidden="1" customHeight="1" x14ac:dyDescent="0.25">
      <c r="A2215" s="36">
        <f>IF(ORCAMENTOS!A2223="","",ORCAMENTOS!A2223)</f>
        <v>46036</v>
      </c>
      <c r="B2215" s="46">
        <f>IF(ORCAMENTOS!B2223="","",ORCAMENTOS!B2223)</f>
        <v>38</v>
      </c>
      <c r="C2215" s="46" t="str">
        <f>IF(ORCAMENTOS!C2223="","",ORCAMENTOS!C2223)</f>
        <v>R3</v>
      </c>
      <c r="D2215" s="37" t="str">
        <f>IF(ORCAMENTOS!D2223="","",ORCAMENTOS!D2223)</f>
        <v>NEW AIR</v>
      </c>
      <c r="E2215" s="38" t="str">
        <f>IF(ORCAMENTOS!E2223="","",ORCAMENTOS!E2223)</f>
        <v>-</v>
      </c>
      <c r="F2215" s="37" t="str">
        <f>IF(ORCAMENTOS!G2223="","",ORCAMENTOS!G2223)</f>
        <v>Fernando</v>
      </c>
      <c r="G2215" s="37" t="str">
        <f>IF(ORCAMENTOS!H2223="","",ORCAMENTOS!H2223)</f>
        <v>Igor</v>
      </c>
      <c r="H2215" s="39">
        <f>IF(ORCAMENTOS!I2223="","",ORCAMENTOS!I2223)</f>
        <v>16424.48</v>
      </c>
      <c r="I2215" s="60">
        <f>IF(ORCAMENTOS!J2223="","",ORCAMENTOS!J2223)</f>
        <v>0.05</v>
      </c>
      <c r="J2215" s="40" t="str">
        <f>IF(ORCAMENTOS!L2223="","",ORCAMENTOS!L2223)</f>
        <v>FECHADO</v>
      </c>
      <c r="K2215" s="34" t="str">
        <f>IF(ORCAMENTOS!M2223="","",ORCAMENTOS!M2223)</f>
        <v>-</v>
      </c>
      <c r="L2215" t="str">
        <f>IF(ORCAMENTOS!R2223="","",ORCAMENTOS!R2223)</f>
        <v>-</v>
      </c>
    </row>
    <row r="2216" spans="1:12" ht="15.75" hidden="1" customHeight="1" x14ac:dyDescent="0.25">
      <c r="A2216" s="36">
        <f>IF(ORCAMENTOS!A2224="","",ORCAMENTOS!A2224)</f>
        <v>46034</v>
      </c>
      <c r="B2216" s="46">
        <f>IF(ORCAMENTOS!B2224="","",ORCAMENTOS!B2224)</f>
        <v>39</v>
      </c>
      <c r="C2216" s="46" t="str">
        <f>IF(ORCAMENTOS!C2224="","",ORCAMENTOS!C2224)</f>
        <v/>
      </c>
      <c r="D2216" s="37" t="str">
        <f>IF(ORCAMENTOS!D2224="","",ORCAMENTOS!D2224)</f>
        <v>ECOTHERM</v>
      </c>
      <c r="E2216" s="38" t="str">
        <f>IF(ORCAMENTOS!E2224="","",ORCAMENTOS!E2224)</f>
        <v>FRANCA</v>
      </c>
      <c r="F2216" s="37" t="str">
        <f>IF(ORCAMENTOS!G2224="","",ORCAMENTOS!G2224)</f>
        <v>Emanuel</v>
      </c>
      <c r="G2216" s="37" t="str">
        <f>IF(ORCAMENTOS!H2224="","",ORCAMENTOS!H2224)</f>
        <v>Selma</v>
      </c>
      <c r="H2216" s="39">
        <f>IF(ORCAMENTOS!I2224="","",ORCAMENTOS!I2224)</f>
        <v>56713.599999999999</v>
      </c>
      <c r="I2216" s="60">
        <f>IF(ORCAMENTOS!J2224="","",ORCAMENTOS!J2224)</f>
        <v>0.05</v>
      </c>
      <c r="J2216" s="40" t="str">
        <f>IF(ORCAMENTOS!L2224="","",ORCAMENTOS!L2224)</f>
        <v>PERDIDO</v>
      </c>
      <c r="K2216" s="34" t="str">
        <f>IF(ORCAMENTOS!M2224="","",ORCAMENTOS!M2224)</f>
        <v>MULTVAC - PREFERÊNCIA</v>
      </c>
      <c r="L2216" t="str">
        <f>IF(ORCAMENTOS!R2224="","",ORCAMENTOS!R2224)</f>
        <v>-</v>
      </c>
    </row>
    <row r="2217" spans="1:12" ht="15.75" hidden="1" customHeight="1" x14ac:dyDescent="0.25">
      <c r="A2217" s="36">
        <f>IF(ORCAMENTOS!A2225="","",ORCAMENTOS!A2225)</f>
        <v>46034</v>
      </c>
      <c r="B2217" s="46">
        <f>IF(ORCAMENTOS!B2225="","",ORCAMENTOS!B2225)</f>
        <v>40</v>
      </c>
      <c r="C2217" s="46" t="str">
        <f>IF(ORCAMENTOS!C2225="","",ORCAMENTOS!C2225)</f>
        <v/>
      </c>
      <c r="D2217" s="37" t="str">
        <f>IF(ORCAMENTOS!D2225="","",ORCAMENTOS!D2225)</f>
        <v>ARCOSERV</v>
      </c>
      <c r="E2217" s="38" t="str">
        <f>IF(ORCAMENTOS!E2225="","",ORCAMENTOS!E2225)</f>
        <v>PORTE ENGENHARIA - VOZZ</v>
      </c>
      <c r="F2217" s="37" t="str">
        <f>IF(ORCAMENTOS!G2225="","",ORCAMENTOS!G2225)</f>
        <v xml:space="preserve">Aldavir </v>
      </c>
      <c r="G2217" s="37" t="str">
        <f>IF(ORCAMENTOS!H2225="","",ORCAMENTOS!H2225)</f>
        <v>André</v>
      </c>
      <c r="H2217" s="39">
        <f>IF(ORCAMENTOS!I2225="","",ORCAMENTOS!I2225)</f>
        <v>310378.64</v>
      </c>
      <c r="I2217" s="60">
        <f>IF(ORCAMENTOS!J2225="","",ORCAMENTOS!J2225)</f>
        <v>7.0000000000000007E-2</v>
      </c>
      <c r="J2217" s="40" t="str">
        <f>IF(ORCAMENTOS!L2225="","",ORCAMENTOS!L2225)</f>
        <v>ORCAMENTO</v>
      </c>
      <c r="K2217" s="34" t="str">
        <f>IF(ORCAMENTOS!M2225="","",ORCAMENTOS!M2225)</f>
        <v>-</v>
      </c>
      <c r="L2217" t="str">
        <f>IF(ORCAMENTOS!R2225="","",ORCAMENTOS!R2225)</f>
        <v>-</v>
      </c>
    </row>
    <row r="2218" spans="1:12" ht="15.75" hidden="1" customHeight="1" x14ac:dyDescent="0.25">
      <c r="A2218" s="36">
        <f>IF(ORCAMENTOS!A2226="","",ORCAMENTOS!A2226)</f>
        <v>46034</v>
      </c>
      <c r="B2218" s="46">
        <f>IF(ORCAMENTOS!B2226="","",ORCAMENTOS!B2226)</f>
        <v>41</v>
      </c>
      <c r="C2218" s="46" t="str">
        <f>IF(ORCAMENTOS!C2226="","",ORCAMENTOS!C2226)</f>
        <v/>
      </c>
      <c r="D2218" s="37" t="str">
        <f>IF(ORCAMENTOS!D2226="","",ORCAMENTOS!D2226)</f>
        <v>KATEKA CLIMA</v>
      </c>
      <c r="E2218" s="38" t="str">
        <f>IF(ORCAMENTOS!E2226="","",ORCAMENTOS!E2226)</f>
        <v>ZONA SUL - SP</v>
      </c>
      <c r="F2218" s="37" t="str">
        <f>IF(ORCAMENTOS!G2226="","",ORCAMENTOS!G2226)</f>
        <v>Michel</v>
      </c>
      <c r="G2218" s="37" t="str">
        <f>IF(ORCAMENTOS!H2226="","",ORCAMENTOS!H2226)</f>
        <v>Jackson</v>
      </c>
      <c r="H2218" s="39">
        <f>IF(ORCAMENTOS!I2226="","",ORCAMENTOS!I2226)</f>
        <v>186536.61</v>
      </c>
      <c r="I2218" s="60">
        <f>IF(ORCAMENTOS!J2226="","",ORCAMENTOS!J2226)</f>
        <v>7.0000000000000007E-2</v>
      </c>
      <c r="J2218" s="40" t="str">
        <f>IF(ORCAMENTOS!L2226="","",ORCAMENTOS!L2226)</f>
        <v>CANCELADO</v>
      </c>
      <c r="K2218" s="34" t="str">
        <f>IF(ORCAMENTOS!M2226="","",ORCAMENTOS!M2226)</f>
        <v>-</v>
      </c>
      <c r="L2218" t="str">
        <f>IF(ORCAMENTOS!R2226="","",ORCAMENTOS!R2226)</f>
        <v>-</v>
      </c>
    </row>
    <row r="2219" spans="1:12" ht="15.75" hidden="1" customHeight="1" x14ac:dyDescent="0.25">
      <c r="A2219" s="36">
        <f>IF(ORCAMENTOS!A2227="","",ORCAMENTOS!A2227)</f>
        <v>46034</v>
      </c>
      <c r="B2219" s="46">
        <f>IF(ORCAMENTOS!B2227="","",ORCAMENTOS!B2227)</f>
        <v>42</v>
      </c>
      <c r="C2219" s="46" t="str">
        <f>IF(ORCAMENTOS!C2227="","",ORCAMENTOS!C2227)</f>
        <v/>
      </c>
      <c r="D2219" s="37" t="str">
        <f>IF(ORCAMENTOS!D2227="","",ORCAMENTOS!D2227)</f>
        <v>RANKINE ENGENHARIA</v>
      </c>
      <c r="E2219" s="38" t="str">
        <f>IF(ORCAMENTOS!E2227="","",ORCAMENTOS!E2227)</f>
        <v>HOSPITAL UNIMED - UNIDADE ANHANGUERA - JUNDIAI - SP - TERREO</v>
      </c>
      <c r="F2219" s="37" t="str">
        <f>IF(ORCAMENTOS!G2227="","",ORCAMENTOS!G2227)</f>
        <v>Michel</v>
      </c>
      <c r="G2219" s="37" t="str">
        <f>IF(ORCAMENTOS!H2227="","",ORCAMENTOS!H2227)</f>
        <v>Felipe</v>
      </c>
      <c r="H2219" s="39">
        <f>IF(ORCAMENTOS!I2227="","",ORCAMENTOS!I2227)</f>
        <v>73306.289999999994</v>
      </c>
      <c r="I2219" s="60">
        <f>IF(ORCAMENTOS!J2227="","",ORCAMENTOS!J2227)</f>
        <v>0.05</v>
      </c>
      <c r="J2219" s="40" t="str">
        <f>IF(ORCAMENTOS!L2227="","",ORCAMENTOS!L2227)</f>
        <v>PERDIDO</v>
      </c>
      <c r="K2219" s="34" t="str">
        <f>IF(ORCAMENTOS!M2227="","",ORCAMENTOS!M2227)</f>
        <v>MULTIVAC</v>
      </c>
      <c r="L2219" t="str">
        <f>IF(ORCAMENTOS!R2227="","",ORCAMENTOS!R2227)</f>
        <v>MPU</v>
      </c>
    </row>
    <row r="2220" spans="1:12" ht="15.75" hidden="1" customHeight="1" x14ac:dyDescent="0.25">
      <c r="A2220" s="36">
        <f>IF(ORCAMENTOS!A2228="","",ORCAMENTOS!A2228)</f>
        <v>46035</v>
      </c>
      <c r="B2220" s="46">
        <f>IF(ORCAMENTOS!B2228="","",ORCAMENTOS!B2228)</f>
        <v>43</v>
      </c>
      <c r="C2220" s="46" t="str">
        <f>IF(ORCAMENTOS!C2228="","",ORCAMENTOS!C2228)</f>
        <v/>
      </c>
      <c r="D2220" s="37" t="str">
        <f>IF(ORCAMENTOS!D2228="","",ORCAMENTOS!D2228)</f>
        <v>RANKINE ENGENHARIA</v>
      </c>
      <c r="E2220" s="38" t="str">
        <f>IF(ORCAMENTOS!E2228="","",ORCAMENTOS!E2228)</f>
        <v>HOSPITAL UNIMED - UNIDADE ANHANGUERA - JUNDIAI - SP - 1º PAVIMENTO</v>
      </c>
      <c r="F2220" s="37" t="str">
        <f>IF(ORCAMENTOS!G2228="","",ORCAMENTOS!G2228)</f>
        <v>Michel</v>
      </c>
      <c r="G2220" s="37" t="str">
        <f>IF(ORCAMENTOS!H2228="","",ORCAMENTOS!H2228)</f>
        <v>Felipe</v>
      </c>
      <c r="H2220" s="39">
        <f>IF(ORCAMENTOS!I2228="","",ORCAMENTOS!I2228)</f>
        <v>92774.69</v>
      </c>
      <c r="I2220" s="60">
        <f>IF(ORCAMENTOS!J2228="","",ORCAMENTOS!J2228)</f>
        <v>0.05</v>
      </c>
      <c r="J2220" s="40" t="str">
        <f>IF(ORCAMENTOS!L2228="","",ORCAMENTOS!L2228)</f>
        <v>PERDIDO</v>
      </c>
      <c r="K2220" s="34" t="str">
        <f>IF(ORCAMENTOS!M2228="","",ORCAMENTOS!M2228)</f>
        <v>MULTIVAC</v>
      </c>
      <c r="L2220" t="str">
        <f>IF(ORCAMENTOS!R2228="","",ORCAMENTOS!R2228)</f>
        <v>MPU</v>
      </c>
    </row>
    <row r="2221" spans="1:12" ht="15.75" hidden="1" customHeight="1" x14ac:dyDescent="0.25">
      <c r="A2221" s="36">
        <f>IF(ORCAMENTOS!A2229="","",ORCAMENTOS!A2229)</f>
        <v>46035</v>
      </c>
      <c r="B2221" s="46">
        <f>IF(ORCAMENTOS!B2229="","",ORCAMENTOS!B2229)</f>
        <v>44</v>
      </c>
      <c r="C2221" s="46" t="str">
        <f>IF(ORCAMENTOS!C2229="","",ORCAMENTOS!C2229)</f>
        <v/>
      </c>
      <c r="D2221" s="37" t="str">
        <f>IF(ORCAMENTOS!D2229="","",ORCAMENTOS!D2229)</f>
        <v>RANKINE ENGENHARIA</v>
      </c>
      <c r="E2221" s="38" t="str">
        <f>IF(ORCAMENTOS!E2229="","",ORCAMENTOS!E2229)</f>
        <v>HOSPITAL UNIMED - UNIDADE ANHANGUERA - JUNDIAI - SP - 2º PAVIMENTO</v>
      </c>
      <c r="F2221" s="37" t="str">
        <f>IF(ORCAMENTOS!G2229="","",ORCAMENTOS!G2229)</f>
        <v>Michel</v>
      </c>
      <c r="G2221" s="37" t="str">
        <f>IF(ORCAMENTOS!H2229="","",ORCAMENTOS!H2229)</f>
        <v>Felipe</v>
      </c>
      <c r="H2221" s="39">
        <f>IF(ORCAMENTOS!I2229="","",ORCAMENTOS!I2229)</f>
        <v>81150.78</v>
      </c>
      <c r="I2221" s="60">
        <f>IF(ORCAMENTOS!J2229="","",ORCAMENTOS!J2229)</f>
        <v>0.05</v>
      </c>
      <c r="J2221" s="40" t="str">
        <f>IF(ORCAMENTOS!L2229="","",ORCAMENTOS!L2229)</f>
        <v>PERDIDO</v>
      </c>
      <c r="K2221" s="34" t="str">
        <f>IF(ORCAMENTOS!M2229="","",ORCAMENTOS!M2229)</f>
        <v>MULTIVAC</v>
      </c>
      <c r="L2221" t="str">
        <f>IF(ORCAMENTOS!R2229="","",ORCAMENTOS!R2229)</f>
        <v>MPU</v>
      </c>
    </row>
    <row r="2222" spans="1:12" ht="15.75" hidden="1" customHeight="1" x14ac:dyDescent="0.25">
      <c r="A2222" s="36">
        <f>IF(ORCAMENTOS!A2230="","",ORCAMENTOS!A2230)</f>
        <v>46035</v>
      </c>
      <c r="B2222" s="46">
        <f>IF(ORCAMENTOS!B2230="","",ORCAMENTOS!B2230)</f>
        <v>45</v>
      </c>
      <c r="C2222" s="46" t="str">
        <f>IF(ORCAMENTOS!C2230="","",ORCAMENTOS!C2230)</f>
        <v/>
      </c>
      <c r="D2222" s="37" t="str">
        <f>IF(ORCAMENTOS!D2230="","",ORCAMENTOS!D2230)</f>
        <v>RANKINE ENGENHARIA</v>
      </c>
      <c r="E2222" s="38" t="str">
        <f>IF(ORCAMENTOS!E2230="","",ORCAMENTOS!E2230)</f>
        <v>HOSPITAL UNIMED - UNIDADE ANHANGUERA - JUNDIAI - SP - 3º PAVIMENTO</v>
      </c>
      <c r="F2222" s="37" t="str">
        <f>IF(ORCAMENTOS!G2230="","",ORCAMENTOS!G2230)</f>
        <v>Michel</v>
      </c>
      <c r="G2222" s="37" t="str">
        <f>IF(ORCAMENTOS!H2230="","",ORCAMENTOS!H2230)</f>
        <v>Felipe</v>
      </c>
      <c r="H2222" s="39">
        <f>IF(ORCAMENTOS!I2230="","",ORCAMENTOS!I2230)</f>
        <v>72724.92</v>
      </c>
      <c r="I2222" s="60">
        <f>IF(ORCAMENTOS!J2230="","",ORCAMENTOS!J2230)</f>
        <v>0.05</v>
      </c>
      <c r="J2222" s="40" t="str">
        <f>IF(ORCAMENTOS!L2230="","",ORCAMENTOS!L2230)</f>
        <v>PERDIDO</v>
      </c>
      <c r="K2222" s="34" t="str">
        <f>IF(ORCAMENTOS!M2230="","",ORCAMENTOS!M2230)</f>
        <v>MULTIVAC</v>
      </c>
      <c r="L2222" t="str">
        <f>IF(ORCAMENTOS!R2230="","",ORCAMENTOS!R2230)</f>
        <v>MPU</v>
      </c>
    </row>
    <row r="2223" spans="1:12" ht="15.75" hidden="1" customHeight="1" x14ac:dyDescent="0.25">
      <c r="A2223" s="36">
        <f>IF(ORCAMENTOS!A2231="","",ORCAMENTOS!A2231)</f>
        <v>46035</v>
      </c>
      <c r="B2223" s="46">
        <f>IF(ORCAMENTOS!B2231="","",ORCAMENTOS!B2231)</f>
        <v>46</v>
      </c>
      <c r="C2223" s="46" t="str">
        <f>IF(ORCAMENTOS!C2231="","",ORCAMENTOS!C2231)</f>
        <v/>
      </c>
      <c r="D2223" s="37" t="str">
        <f>IF(ORCAMENTOS!D2231="","",ORCAMENTOS!D2231)</f>
        <v>RANKINE ENGENHARIA</v>
      </c>
      <c r="E2223" s="38" t="str">
        <f>IF(ORCAMENTOS!E2231="","",ORCAMENTOS!E2231)</f>
        <v>HOSPITAL UNIMED - UNIDADE ANHANGUERA - JUNDIAI - SP - 4º PAVIMENTO</v>
      </c>
      <c r="F2223" s="37" t="str">
        <f>IF(ORCAMENTOS!G2231="","",ORCAMENTOS!G2231)</f>
        <v>Michel</v>
      </c>
      <c r="G2223" s="37" t="str">
        <f>IF(ORCAMENTOS!H2231="","",ORCAMENTOS!H2231)</f>
        <v>Felipe</v>
      </c>
      <c r="H2223" s="39">
        <f>IF(ORCAMENTOS!I2231="","",ORCAMENTOS!I2231)</f>
        <v>68931.929999999993</v>
      </c>
      <c r="I2223" s="60">
        <f>IF(ORCAMENTOS!J2231="","",ORCAMENTOS!J2231)</f>
        <v>0.05</v>
      </c>
      <c r="J2223" s="40" t="str">
        <f>IF(ORCAMENTOS!L2231="","",ORCAMENTOS!L2231)</f>
        <v>PERDIDO</v>
      </c>
      <c r="K2223" s="34" t="str">
        <f>IF(ORCAMENTOS!M2231="","",ORCAMENTOS!M2231)</f>
        <v>MULTIVAC</v>
      </c>
      <c r="L2223" t="str">
        <f>IF(ORCAMENTOS!R2231="","",ORCAMENTOS!R2231)</f>
        <v>MPU</v>
      </c>
    </row>
    <row r="2224" spans="1:12" ht="15.75" hidden="1" customHeight="1" x14ac:dyDescent="0.25">
      <c r="A2224" s="36">
        <f>IF(ORCAMENTOS!A2232="","",ORCAMENTOS!A2232)</f>
        <v>46035</v>
      </c>
      <c r="B2224" s="46">
        <f>IF(ORCAMENTOS!B2232="","",ORCAMENTOS!B2232)</f>
        <v>47</v>
      </c>
      <c r="C2224" s="46" t="str">
        <f>IF(ORCAMENTOS!C2232="","",ORCAMENTOS!C2232)</f>
        <v/>
      </c>
      <c r="D2224" s="37" t="str">
        <f>IF(ORCAMENTOS!D2232="","",ORCAMENTOS!D2232)</f>
        <v>RANKINE ENGENHARIA</v>
      </c>
      <c r="E2224" s="38" t="str">
        <f>IF(ORCAMENTOS!E2232="","",ORCAMENTOS!E2232)</f>
        <v>HOSPITAL UNIMED - UNIDADE ANHANGUERA - JUNDIAI - SP - 5º - 6º E 7º PAVIMENTO</v>
      </c>
      <c r="F2224" s="37" t="str">
        <f>IF(ORCAMENTOS!G2232="","",ORCAMENTOS!G2232)</f>
        <v>Michel</v>
      </c>
      <c r="G2224" s="37" t="str">
        <f>IF(ORCAMENTOS!H2232="","",ORCAMENTOS!H2232)</f>
        <v>Felipe</v>
      </c>
      <c r="H2224" s="39">
        <f>IF(ORCAMENTOS!I2232="","",ORCAMENTOS!I2232)</f>
        <v>51690.1</v>
      </c>
      <c r="I2224" s="60">
        <f>IF(ORCAMENTOS!J2232="","",ORCAMENTOS!J2232)</f>
        <v>0.05</v>
      </c>
      <c r="J2224" s="40" t="str">
        <f>IF(ORCAMENTOS!L2232="","",ORCAMENTOS!L2232)</f>
        <v>PERDIDO</v>
      </c>
      <c r="K2224" s="34" t="str">
        <f>IF(ORCAMENTOS!M2232="","",ORCAMENTOS!M2232)</f>
        <v>MULTIVAC</v>
      </c>
      <c r="L2224" t="str">
        <f>IF(ORCAMENTOS!R2232="","",ORCAMENTOS!R2232)</f>
        <v>MPU</v>
      </c>
    </row>
    <row r="2225" spans="1:12" ht="15.75" hidden="1" customHeight="1" x14ac:dyDescent="0.25">
      <c r="A2225" s="36">
        <f>IF(ORCAMENTOS!A2233="","",ORCAMENTOS!A2233)</f>
        <v>46035</v>
      </c>
      <c r="B2225" s="46">
        <f>IF(ORCAMENTOS!B2233="","",ORCAMENTOS!B2233)</f>
        <v>48</v>
      </c>
      <c r="C2225" s="46" t="str">
        <f>IF(ORCAMENTOS!C2233="","",ORCAMENTOS!C2233)</f>
        <v/>
      </c>
      <c r="D2225" s="37" t="str">
        <f>IF(ORCAMENTOS!D2233="","",ORCAMENTOS!D2233)</f>
        <v>RANKINE ENGENHARIA</v>
      </c>
      <c r="E2225" s="38" t="str">
        <f>IF(ORCAMENTOS!E2233="","",ORCAMENTOS!E2233)</f>
        <v>HOSPITAL UNIMED - UNIDADE ANHANGUERA - JUNDIAI - SP - AREA TECNICA</v>
      </c>
      <c r="F2225" s="37" t="str">
        <f>IF(ORCAMENTOS!G2233="","",ORCAMENTOS!G2233)</f>
        <v>Michel</v>
      </c>
      <c r="G2225" s="37" t="str">
        <f>IF(ORCAMENTOS!H2233="","",ORCAMENTOS!H2233)</f>
        <v>Felipe</v>
      </c>
      <c r="H2225" s="39">
        <f>IF(ORCAMENTOS!I2233="","",ORCAMENTOS!I2233)</f>
        <v>5023.8599999999997</v>
      </c>
      <c r="I2225" s="60">
        <f>IF(ORCAMENTOS!J2233="","",ORCAMENTOS!J2233)</f>
        <v>0.05</v>
      </c>
      <c r="J2225" s="40" t="str">
        <f>IF(ORCAMENTOS!L2233="","",ORCAMENTOS!L2233)</f>
        <v>PERDIDO</v>
      </c>
      <c r="K2225" s="34" t="str">
        <f>IF(ORCAMENTOS!M2233="","",ORCAMENTOS!M2233)</f>
        <v>MULTIVAC</v>
      </c>
      <c r="L2225" t="str">
        <f>IF(ORCAMENTOS!R2233="","",ORCAMENTOS!R2233)</f>
        <v>MPU</v>
      </c>
    </row>
    <row r="2226" spans="1:12" ht="15.75" hidden="1" customHeight="1" x14ac:dyDescent="0.25">
      <c r="A2226" s="36">
        <f>IF(ORCAMENTOS!A2234="","",ORCAMENTOS!A2234)</f>
        <v>46035</v>
      </c>
      <c r="B2226" s="46">
        <f>IF(ORCAMENTOS!B2234="","",ORCAMENTOS!B2234)</f>
        <v>49</v>
      </c>
      <c r="C2226" s="46" t="str">
        <f>IF(ORCAMENTOS!C2234="","",ORCAMENTOS!C2234)</f>
        <v/>
      </c>
      <c r="D2226" s="37" t="str">
        <f>IF(ORCAMENTOS!D2234="","",ORCAMENTOS!D2234)</f>
        <v>MR IN SITE</v>
      </c>
      <c r="E2226" s="38" t="str">
        <f>IF(ORCAMENTOS!E2234="","",ORCAMENTOS!E2234)</f>
        <v>-</v>
      </c>
      <c r="F2226" s="37" t="str">
        <f>IF(ORCAMENTOS!G2234="","",ORCAMENTOS!G2234)</f>
        <v>Gabriel</v>
      </c>
      <c r="G2226" s="37" t="str">
        <f>IF(ORCAMENTOS!H2234="","",ORCAMENTOS!H2234)</f>
        <v>Everton</v>
      </c>
      <c r="H2226" s="39">
        <f>IF(ORCAMENTOS!I2234="","",ORCAMENTOS!I2234)</f>
        <v>5290.77</v>
      </c>
      <c r="I2226" s="60">
        <f>IF(ORCAMENTOS!J2234="","",ORCAMENTOS!J2234)</f>
        <v>7.0000000000000007E-2</v>
      </c>
      <c r="J2226" s="40" t="str">
        <f>IF(ORCAMENTOS!L2234="","",ORCAMENTOS!L2234)</f>
        <v>FECHADO</v>
      </c>
      <c r="K2226" s="34" t="str">
        <f>IF(ORCAMENTOS!M2234="","",ORCAMENTOS!M2234)</f>
        <v>-</v>
      </c>
      <c r="L2226" t="str">
        <f>IF(ORCAMENTOS!R2234="","",ORCAMENTOS!R2234)</f>
        <v>-</v>
      </c>
    </row>
    <row r="2227" spans="1:12" ht="15.75" hidden="1" customHeight="1" x14ac:dyDescent="0.25">
      <c r="A2227" s="36">
        <f>IF(ORCAMENTOS!A2235="","",ORCAMENTOS!A2235)</f>
        <v>46035</v>
      </c>
      <c r="B2227" s="46">
        <f>IF(ORCAMENTOS!B2235="","",ORCAMENTOS!B2235)</f>
        <v>50</v>
      </c>
      <c r="C2227" s="46" t="str">
        <f>IF(ORCAMENTOS!C2235="","",ORCAMENTOS!C2235)</f>
        <v/>
      </c>
      <c r="D2227" s="37" t="str">
        <f>IF(ORCAMENTOS!D2235="","",ORCAMENTOS!D2235)</f>
        <v>A2 SERVICOS</v>
      </c>
      <c r="E2227" s="38" t="str">
        <f>IF(ORCAMENTOS!E2235="","",ORCAMENTOS!E2235)</f>
        <v>SÃO MIGUEL</v>
      </c>
      <c r="F2227" s="37" t="str">
        <f>IF(ORCAMENTOS!G2235="","",ORCAMENTOS!G2235)</f>
        <v>Gabriel</v>
      </c>
      <c r="G2227" s="37" t="str">
        <f>IF(ORCAMENTOS!H2235="","",ORCAMENTOS!H2235)</f>
        <v>Ronilson</v>
      </c>
      <c r="H2227" s="39">
        <f>IF(ORCAMENTOS!I2235="","",ORCAMENTOS!I2235)</f>
        <v>7242.55</v>
      </c>
      <c r="I2227" s="60">
        <f>IF(ORCAMENTOS!J2235="","",ORCAMENTOS!J2235)</f>
        <v>0.05</v>
      </c>
      <c r="J2227" s="40" t="str">
        <f>IF(ORCAMENTOS!L2235="","",ORCAMENTOS!L2235)</f>
        <v>FECHADO</v>
      </c>
      <c r="K2227" s="34" t="str">
        <f>IF(ORCAMENTOS!M2235="","",ORCAMENTOS!M2235)</f>
        <v>-</v>
      </c>
      <c r="L2227" t="str">
        <f>IF(ORCAMENTOS!R2235="","",ORCAMENTOS!R2235)</f>
        <v>-</v>
      </c>
    </row>
    <row r="2228" spans="1:12" ht="15.75" hidden="1" customHeight="1" x14ac:dyDescent="0.25">
      <c r="A2228" s="36">
        <f>IF(ORCAMENTOS!A2236="","",ORCAMENTOS!A2236)</f>
        <v>46035</v>
      </c>
      <c r="B2228" s="46">
        <f>IF(ORCAMENTOS!B2236="","",ORCAMENTOS!B2236)</f>
        <v>51</v>
      </c>
      <c r="C2228" s="46" t="str">
        <f>IF(ORCAMENTOS!C2236="","",ORCAMENTOS!C2236)</f>
        <v/>
      </c>
      <c r="D2228" s="37" t="str">
        <f>IF(ORCAMENTOS!D2236="","",ORCAMENTOS!D2236)</f>
        <v>ISOTEMP</v>
      </c>
      <c r="E2228" s="38" t="str">
        <f>IF(ORCAMENTOS!E2236="","",ORCAMENTOS!E2236)</f>
        <v>EMBRION MEDICINA REPRODUTIVA - SÃO PAULO - SP</v>
      </c>
      <c r="F2228" s="37" t="str">
        <f>IF(ORCAMENTOS!G2236="","",ORCAMENTOS!G2236)</f>
        <v>Michel</v>
      </c>
      <c r="G2228" s="37" t="str">
        <f>IF(ORCAMENTOS!H2236="","",ORCAMENTOS!H2236)</f>
        <v>Caique</v>
      </c>
      <c r="H2228" s="39">
        <f>IF(ORCAMENTOS!I2236="","",ORCAMENTOS!I2236)</f>
        <v>55815.26</v>
      </c>
      <c r="I2228" s="60">
        <f>IF(ORCAMENTOS!J2236="","",ORCAMENTOS!J2236)</f>
        <v>0.05</v>
      </c>
      <c r="J2228" s="40" t="str">
        <f>IF(ORCAMENTOS!L2236="","",ORCAMENTOS!L2236)</f>
        <v>FECHADO</v>
      </c>
      <c r="K2228" s="34" t="str">
        <f>IF(ORCAMENTOS!M2236="","",ORCAMENTOS!M2236)</f>
        <v>-</v>
      </c>
      <c r="L2228" t="str">
        <f>IF(ORCAMENTOS!R2236="","",ORCAMENTOS!R2236)</f>
        <v>N/E</v>
      </c>
    </row>
    <row r="2229" spans="1:12" ht="15.75" hidden="1" customHeight="1" x14ac:dyDescent="0.25">
      <c r="A2229" s="36">
        <f>IF(ORCAMENTOS!A2237="","",ORCAMENTOS!A2237)</f>
        <v>46035</v>
      </c>
      <c r="B2229" s="46">
        <f>IF(ORCAMENTOS!B2237="","",ORCAMENTOS!B2237)</f>
        <v>52</v>
      </c>
      <c r="C2229" s="46" t="str">
        <f>IF(ORCAMENTOS!C2237="","",ORCAMENTOS!C2237)</f>
        <v/>
      </c>
      <c r="D2229" s="37" t="str">
        <f>IF(ORCAMENTOS!D2237="","",ORCAMENTOS!D2237)</f>
        <v>INTERA ENGENHARIA</v>
      </c>
      <c r="E2229" s="38" t="str">
        <f>IF(ORCAMENTOS!E2237="","",ORCAMENTOS!E2237)</f>
        <v>HOSPITAL UNIMED - VALE DOS SINOS - TORRE III</v>
      </c>
      <c r="F2229" s="37" t="str">
        <f>IF(ORCAMENTOS!G2237="","",ORCAMENTOS!G2237)</f>
        <v>Michel</v>
      </c>
      <c r="G2229" s="37" t="str">
        <f>IF(ORCAMENTOS!H2237="","",ORCAMENTOS!H2237)</f>
        <v>Luan</v>
      </c>
      <c r="H2229" s="39">
        <f>IF(ORCAMENTOS!I2237="","",ORCAMENTOS!I2237)</f>
        <v>212275.42</v>
      </c>
      <c r="I2229" s="60">
        <f>IF(ORCAMENTOS!J2237="","",ORCAMENTOS!J2237)</f>
        <v>7.0000000000000007E-2</v>
      </c>
      <c r="J2229" s="40" t="str">
        <f>IF(ORCAMENTOS!L2237="","",ORCAMENTOS!L2237)</f>
        <v>ORCAMENTO</v>
      </c>
      <c r="K2229" s="34" t="str">
        <f>IF(ORCAMENTOS!M2237="","",ORCAMENTOS!M2237)</f>
        <v>-</v>
      </c>
      <c r="L2229" t="str">
        <f>IF(ORCAMENTOS!R2237="","",ORCAMENTOS!R2237)</f>
        <v>PU</v>
      </c>
    </row>
    <row r="2230" spans="1:12" ht="15.75" hidden="1" customHeight="1" x14ac:dyDescent="0.25">
      <c r="A2230" s="36">
        <f>IF(ORCAMENTOS!A2238="","",ORCAMENTOS!A2238)</f>
        <v>46035</v>
      </c>
      <c r="B2230" s="46">
        <f>IF(ORCAMENTOS!B2238="","",ORCAMENTOS!B2238)</f>
        <v>53</v>
      </c>
      <c r="C2230" s="46" t="str">
        <f>IF(ORCAMENTOS!C2238="","",ORCAMENTOS!C2238)</f>
        <v/>
      </c>
      <c r="D2230" s="37" t="str">
        <f>IF(ORCAMENTOS!D2238="","",ORCAMENTOS!D2238)</f>
        <v>THERMOMATIC</v>
      </c>
      <c r="E2230" s="38" t="str">
        <f>IF(ORCAMENTOS!E2238="","",ORCAMENTOS!E2238)</f>
        <v>-</v>
      </c>
      <c r="F2230" s="37" t="str">
        <f>IF(ORCAMENTOS!G2238="","",ORCAMENTOS!G2238)</f>
        <v>Gabriel</v>
      </c>
      <c r="G2230" s="37" t="str">
        <f>IF(ORCAMENTOS!H2238="","",ORCAMENTOS!H2238)</f>
        <v>Tais</v>
      </c>
      <c r="H2230" s="39">
        <f>IF(ORCAMENTOS!I2238="","",ORCAMENTOS!I2238)</f>
        <v>9486.2800000000007</v>
      </c>
      <c r="I2230" s="60">
        <f>IF(ORCAMENTOS!J2238="","",ORCAMENTOS!J2238)</f>
        <v>0.04</v>
      </c>
      <c r="J2230" s="40" t="str">
        <f>IF(ORCAMENTOS!L2238="","",ORCAMENTOS!L2238)</f>
        <v>CANCELADO</v>
      </c>
      <c r="K2230" s="34" t="str">
        <f>IF(ORCAMENTOS!M2238="","",ORCAMENTOS!M2238)</f>
        <v>-</v>
      </c>
      <c r="L2230" t="str">
        <f>IF(ORCAMENTOS!R2238="","",ORCAMENTOS!R2238)</f>
        <v>-</v>
      </c>
    </row>
    <row r="2231" spans="1:12" ht="15.75" hidden="1" customHeight="1" x14ac:dyDescent="0.25">
      <c r="A2231" s="36">
        <f>IF(ORCAMENTOS!A2239="","",ORCAMENTOS!A2239)</f>
        <v>46036</v>
      </c>
      <c r="B2231" s="46">
        <f>IF(ORCAMENTOS!B2239="","",ORCAMENTOS!B2239)</f>
        <v>54</v>
      </c>
      <c r="C2231" s="46" t="str">
        <f>IF(ORCAMENTOS!C2239="","",ORCAMENTOS!C2239)</f>
        <v>R1</v>
      </c>
      <c r="D2231" s="37" t="str">
        <f>IF(ORCAMENTOS!D2239="","",ORCAMENTOS!D2239)</f>
        <v>DIAGRAMA AR</v>
      </c>
      <c r="E2231" s="38" t="str">
        <f>IF(ORCAMENTOS!E2239="","",ORCAMENTOS!E2239)</f>
        <v>7472 - RS</v>
      </c>
      <c r="F2231" s="37" t="str">
        <f>IF(ORCAMENTOS!G2239="","",ORCAMENTOS!G2239)</f>
        <v>Guilherme</v>
      </c>
      <c r="G2231" s="37" t="str">
        <f>IF(ORCAMENTOS!H2239="","",ORCAMENTOS!H2239)</f>
        <v>Thaina</v>
      </c>
      <c r="H2231" s="39">
        <f>IF(ORCAMENTOS!I2239="","",ORCAMENTOS!I2239)</f>
        <v>244021.22</v>
      </c>
      <c r="I2231" s="60">
        <f>IF(ORCAMENTOS!J2239="","",ORCAMENTOS!J2239)</f>
        <v>7.0000000000000007E-2</v>
      </c>
      <c r="J2231" s="40" t="str">
        <f>IF(ORCAMENTOS!L2239="","",ORCAMENTOS!L2239)</f>
        <v>ORCAMENTO</v>
      </c>
      <c r="K2231" s="34" t="str">
        <f>IF(ORCAMENTOS!M2239="","",ORCAMENTOS!M2239)</f>
        <v>-</v>
      </c>
      <c r="L2231" t="str">
        <f>IF(ORCAMENTOS!R2239="","",ORCAMENTOS!R2239)</f>
        <v>-</v>
      </c>
    </row>
    <row r="2232" spans="1:12" ht="15.75" hidden="1" customHeight="1" x14ac:dyDescent="0.25">
      <c r="A2232" s="36">
        <f>IF(ORCAMENTOS!A2240="","",ORCAMENTOS!A2240)</f>
        <v>46035</v>
      </c>
      <c r="B2232" s="46">
        <f>IF(ORCAMENTOS!B2240="","",ORCAMENTOS!B2240)</f>
        <v>55</v>
      </c>
      <c r="C2232" s="46" t="str">
        <f>IF(ORCAMENTOS!C2240="","",ORCAMENTOS!C2240)</f>
        <v/>
      </c>
      <c r="D2232" s="37" t="str">
        <f>IF(ORCAMENTOS!D2240="","",ORCAMENTOS!D2240)</f>
        <v>INOVECTOR</v>
      </c>
      <c r="E2232" s="38" t="str">
        <f>IF(ORCAMENTOS!E2240="","",ORCAMENTOS!E2240)</f>
        <v>CURITIBA</v>
      </c>
      <c r="F2232" s="37" t="str">
        <f>IF(ORCAMENTOS!G2240="","",ORCAMENTOS!G2240)</f>
        <v>Fernando</v>
      </c>
      <c r="G2232" s="37" t="str">
        <f>IF(ORCAMENTOS!H2240="","",ORCAMENTOS!H2240)</f>
        <v>Eliete</v>
      </c>
      <c r="H2232" s="39">
        <f>IF(ORCAMENTOS!I2240="","",ORCAMENTOS!I2240)</f>
        <v>5486.39</v>
      </c>
      <c r="I2232" s="60">
        <f>IF(ORCAMENTOS!J2240="","",ORCAMENTOS!J2240)</f>
        <v>0.04</v>
      </c>
      <c r="J2232" s="40" t="str">
        <f>IF(ORCAMENTOS!L2240="","",ORCAMENTOS!L2240)</f>
        <v>CANCELADO</v>
      </c>
      <c r="K2232" s="34" t="str">
        <f>IF(ORCAMENTOS!M2240="","",ORCAMENTOS!M2240)</f>
        <v>PREV. MARÇO</v>
      </c>
      <c r="L2232" t="str">
        <f>IF(ORCAMENTOS!R2240="","",ORCAMENTOS!R2240)</f>
        <v>-</v>
      </c>
    </row>
    <row r="2233" spans="1:12" ht="15.75" hidden="1" customHeight="1" x14ac:dyDescent="0.25">
      <c r="A2233" s="36">
        <f>IF(ORCAMENTOS!A2241="","",ORCAMENTOS!A2241)</f>
        <v>46035</v>
      </c>
      <c r="B2233" s="46">
        <f>IF(ORCAMENTOS!B2241="","",ORCAMENTOS!B2241)</f>
        <v>56</v>
      </c>
      <c r="C2233" s="46" t="str">
        <f>IF(ORCAMENTOS!C2241="","",ORCAMENTOS!C2241)</f>
        <v/>
      </c>
      <c r="D2233" s="37" t="str">
        <f>IF(ORCAMENTOS!D2241="","",ORCAMENTOS!D2241)</f>
        <v>TEKNOAR</v>
      </c>
      <c r="E2233" s="38" t="str">
        <f>IF(ORCAMENTOS!E2241="","",ORCAMENTOS!E2241)</f>
        <v>FECOM - SESC - SENAC - CAMPO GRANDE - MS</v>
      </c>
      <c r="F2233" s="37" t="str">
        <f>IF(ORCAMENTOS!G2241="","",ORCAMENTOS!G2241)</f>
        <v>Gabriel</v>
      </c>
      <c r="G2233" s="37" t="str">
        <f>IF(ORCAMENTOS!H2241="","",ORCAMENTOS!H2241)</f>
        <v>Mario</v>
      </c>
      <c r="H2233" s="39">
        <f>IF(ORCAMENTOS!I2241="","",ORCAMENTOS!I2241)</f>
        <v>224403.01</v>
      </c>
      <c r="I2233" s="60">
        <f>IF(ORCAMENTOS!J2241="","",ORCAMENTOS!J2241)</f>
        <v>7.0000000000000007E-2</v>
      </c>
      <c r="J2233" s="40" t="str">
        <f>IF(ORCAMENTOS!L2241="","",ORCAMENTOS!L2241)</f>
        <v>CANCELADO</v>
      </c>
      <c r="K2233" s="34" t="str">
        <f>IF(ORCAMENTOS!M2241="","",ORCAMENTOS!M2241)</f>
        <v>-</v>
      </c>
      <c r="L2233" t="str">
        <f>IF(ORCAMENTOS!R2241="","",ORCAMENTOS!R2241)</f>
        <v>N/E</v>
      </c>
    </row>
    <row r="2234" spans="1:12" ht="15.75" hidden="1" customHeight="1" x14ac:dyDescent="0.25">
      <c r="A2234" s="36">
        <f>IF(ORCAMENTOS!A2242="","",ORCAMENTOS!A2242)</f>
        <v>46035</v>
      </c>
      <c r="B2234" s="46">
        <f>IF(ORCAMENTOS!B2242="","",ORCAMENTOS!B2242)</f>
        <v>57</v>
      </c>
      <c r="C2234" s="46" t="str">
        <f>IF(ORCAMENTOS!C2242="","",ORCAMENTOS!C2242)</f>
        <v/>
      </c>
      <c r="D2234" s="37" t="str">
        <f>IF(ORCAMENTOS!D2242="","",ORCAMENTOS!D2242)</f>
        <v>SAFETY WALL</v>
      </c>
      <c r="E2234" s="38" t="str">
        <f>IF(ORCAMENTOS!E2242="","",ORCAMENTOS!E2242)</f>
        <v>-</v>
      </c>
      <c r="F2234" s="37" t="str">
        <f>IF(ORCAMENTOS!G2242="","",ORCAMENTOS!G2242)</f>
        <v>Gabriel</v>
      </c>
      <c r="G2234" s="37" t="str">
        <f>IF(ORCAMENTOS!H2242="","",ORCAMENTOS!H2242)</f>
        <v>Fabiana</v>
      </c>
      <c r="H2234" s="39">
        <f>IF(ORCAMENTOS!I2242="","",ORCAMENTOS!I2242)</f>
        <v>6535.74</v>
      </c>
      <c r="I2234" s="60">
        <f>IF(ORCAMENTOS!J2242="","",ORCAMENTOS!J2242)</f>
        <v>7.0000000000000007E-2</v>
      </c>
      <c r="J2234" s="40" t="str">
        <f>IF(ORCAMENTOS!L2242="","",ORCAMENTOS!L2242)</f>
        <v>CANCELADO</v>
      </c>
      <c r="K2234" s="34" t="str">
        <f>IF(ORCAMENTOS!M2242="","",ORCAMENTOS!M2242)</f>
        <v>-</v>
      </c>
      <c r="L2234" t="str">
        <f>IF(ORCAMENTOS!R2242="","",ORCAMENTOS!R2242)</f>
        <v>-</v>
      </c>
    </row>
    <row r="2235" spans="1:12" ht="15.75" hidden="1" customHeight="1" x14ac:dyDescent="0.25">
      <c r="A2235" s="36">
        <f>IF(ORCAMENTOS!A2243="","",ORCAMENTOS!A2243)</f>
        <v>46035</v>
      </c>
      <c r="B2235" s="46">
        <f>IF(ORCAMENTOS!B2243="","",ORCAMENTOS!B2243)</f>
        <v>58</v>
      </c>
      <c r="C2235" s="46" t="str">
        <f>IF(ORCAMENTOS!C2243="","",ORCAMENTOS!C2243)</f>
        <v/>
      </c>
      <c r="D2235" s="37" t="str">
        <f>IF(ORCAMENTOS!D2243="","",ORCAMENTOS!D2243)</f>
        <v>SATURNO AR</v>
      </c>
      <c r="E2235" s="38" t="str">
        <f>IF(ORCAMENTOS!E2243="","",ORCAMENTOS!E2243)</f>
        <v>-</v>
      </c>
      <c r="F2235" s="37" t="str">
        <f>IF(ORCAMENTOS!G2243="","",ORCAMENTOS!G2243)</f>
        <v>Gabriel</v>
      </c>
      <c r="G2235" s="37" t="str">
        <f>IF(ORCAMENTOS!H2243="","",ORCAMENTOS!H2243)</f>
        <v>Sidinei</v>
      </c>
      <c r="H2235" s="39">
        <f>IF(ORCAMENTOS!I2243="","",ORCAMENTOS!I2243)</f>
        <v>7531.28</v>
      </c>
      <c r="I2235" s="60">
        <f>IF(ORCAMENTOS!J2243="","",ORCAMENTOS!J2243)</f>
        <v>0.04</v>
      </c>
      <c r="J2235" s="40" t="str">
        <f>IF(ORCAMENTOS!L2243="","",ORCAMENTOS!L2243)</f>
        <v>FECHADO</v>
      </c>
      <c r="K2235" s="34" t="str">
        <f>IF(ORCAMENTOS!M2243="","",ORCAMENTOS!M2243)</f>
        <v>-</v>
      </c>
      <c r="L2235" t="str">
        <f>IF(ORCAMENTOS!R2243="","",ORCAMENTOS!R2243)</f>
        <v>-</v>
      </c>
    </row>
    <row r="2236" spans="1:12" ht="15.75" hidden="1" customHeight="1" x14ac:dyDescent="0.25">
      <c r="A2236" s="36">
        <f>IF(ORCAMENTOS!A2244="","",ORCAMENTOS!A2244)</f>
        <v>46036</v>
      </c>
      <c r="B2236" s="46">
        <f>IF(ORCAMENTOS!B2244="","",ORCAMENTOS!B2244)</f>
        <v>59</v>
      </c>
      <c r="C2236" s="46" t="str">
        <f>IF(ORCAMENTOS!C2244="","",ORCAMENTOS!C2244)</f>
        <v/>
      </c>
      <c r="D2236" s="37" t="str">
        <f>IF(ORCAMENTOS!D2244="","",ORCAMENTOS!D2244)</f>
        <v>UNION RHAC</v>
      </c>
      <c r="E2236" s="38" t="str">
        <f>IF(ORCAMENTOS!E2244="","",ORCAMENTOS!E2244)</f>
        <v>-</v>
      </c>
      <c r="F2236" s="37" t="str">
        <f>IF(ORCAMENTOS!G2244="","",ORCAMENTOS!G2244)</f>
        <v>Emanuel</v>
      </c>
      <c r="G2236" s="37" t="str">
        <f>IF(ORCAMENTOS!H2244="","",ORCAMENTOS!H2244)</f>
        <v>Rosana</v>
      </c>
      <c r="H2236" s="39">
        <f>IF(ORCAMENTOS!I2244="","",ORCAMENTOS!I2244)</f>
        <v>162331.42000000001</v>
      </c>
      <c r="I2236" s="60">
        <f>IF(ORCAMENTOS!J2244="","",ORCAMENTOS!J2244)</f>
        <v>7.0000000000000007E-2</v>
      </c>
      <c r="J2236" s="40" t="str">
        <f>IF(ORCAMENTOS!L2244="","",ORCAMENTOS!L2244)</f>
        <v>CANCELADO</v>
      </c>
      <c r="K2236" s="34" t="str">
        <f>IF(ORCAMENTOS!M2244="","",ORCAMENTOS!M2244)</f>
        <v>-</v>
      </c>
      <c r="L2236" t="str">
        <f>IF(ORCAMENTOS!R2244="","",ORCAMENTOS!R2244)</f>
        <v>-</v>
      </c>
    </row>
    <row r="2237" spans="1:12" ht="15.75" hidden="1" customHeight="1" x14ac:dyDescent="0.25">
      <c r="A2237" s="36">
        <f>IF(ORCAMENTOS!A2245="","",ORCAMENTOS!A2245)</f>
        <v>46036</v>
      </c>
      <c r="B2237" s="46">
        <f>IF(ORCAMENTOS!B2245="","",ORCAMENTOS!B2245)</f>
        <v>60</v>
      </c>
      <c r="C2237" s="46" t="str">
        <f>IF(ORCAMENTOS!C2245="","",ORCAMENTOS!C2245)</f>
        <v/>
      </c>
      <c r="D2237" s="37" t="str">
        <f>IF(ORCAMENTOS!D2245="","",ORCAMENTOS!D2245)</f>
        <v>INOVECTOR</v>
      </c>
      <c r="E2237" s="38" t="str">
        <f>IF(ORCAMENTOS!E2245="","",ORCAMENTOS!E2245)</f>
        <v>BARTIRA - REQ 2.05</v>
      </c>
      <c r="F2237" s="37" t="str">
        <f>IF(ORCAMENTOS!G2245="","",ORCAMENTOS!G2245)</f>
        <v>Fernando</v>
      </c>
      <c r="G2237" s="37" t="str">
        <f>IF(ORCAMENTOS!H2245="","",ORCAMENTOS!H2245)</f>
        <v>Cristina</v>
      </c>
      <c r="H2237" s="39">
        <f>IF(ORCAMENTOS!I2245="","",ORCAMENTOS!I2245)</f>
        <v>6884.73</v>
      </c>
      <c r="I2237" s="60">
        <f>IF(ORCAMENTOS!J2245="","",ORCAMENTOS!J2245)</f>
        <v>0.04</v>
      </c>
      <c r="J2237" s="40" t="str">
        <f>IF(ORCAMENTOS!L2245="","",ORCAMENTOS!L2245)</f>
        <v>CANCELADO</v>
      </c>
      <c r="K2237" s="34" t="str">
        <f>IF(ORCAMENTOS!M2245="","",ORCAMENTOS!M2245)</f>
        <v>PREV. MARÇO</v>
      </c>
      <c r="L2237" t="str">
        <f>IF(ORCAMENTOS!R2245="","",ORCAMENTOS!R2245)</f>
        <v>-</v>
      </c>
    </row>
    <row r="2238" spans="1:12" ht="15.75" hidden="1" customHeight="1" x14ac:dyDescent="0.25">
      <c r="A2238" s="36">
        <f>IF(ORCAMENTOS!A2246="","",ORCAMENTOS!A2246)</f>
        <v>46036</v>
      </c>
      <c r="B2238" s="46">
        <f>IF(ORCAMENTOS!B2246="","",ORCAMENTOS!B2246)</f>
        <v>61</v>
      </c>
      <c r="C2238" s="46" t="str">
        <f>IF(ORCAMENTOS!C2246="","",ORCAMENTOS!C2246)</f>
        <v/>
      </c>
      <c r="D2238" s="37" t="str">
        <f>IF(ORCAMENTOS!D2246="","",ORCAMENTOS!D2246)</f>
        <v>AIRPLAN</v>
      </c>
      <c r="E2238" s="38" t="str">
        <f>IF(ORCAMENTOS!E2246="","",ORCAMENTOS!E2246)</f>
        <v>CINEART LAVRAS - BOCAINA - MG</v>
      </c>
      <c r="F2238" s="37" t="str">
        <f>IF(ORCAMENTOS!G2246="","",ORCAMENTOS!G2246)</f>
        <v>Guilherme</v>
      </c>
      <c r="G2238" s="37" t="str">
        <f>IF(ORCAMENTOS!H2246="","",ORCAMENTOS!H2246)</f>
        <v>Gabriel</v>
      </c>
      <c r="H2238" s="39">
        <f>IF(ORCAMENTOS!I2246="","",ORCAMENTOS!I2246)</f>
        <v>119330.86</v>
      </c>
      <c r="I2238" s="60">
        <f>IF(ORCAMENTOS!J2246="","",ORCAMENTOS!J2246)</f>
        <v>7.0000000000000007E-2</v>
      </c>
      <c r="J2238" s="40" t="str">
        <f>IF(ORCAMENTOS!L2246="","",ORCAMENTOS!L2246)</f>
        <v>CANCELADO</v>
      </c>
      <c r="K2238" s="34" t="str">
        <f>IF(ORCAMENTOS!M2246="","",ORCAMENTOS!M2246)</f>
        <v>-</v>
      </c>
      <c r="L2238" t="str">
        <f>IF(ORCAMENTOS!R2246="","",ORCAMENTOS!R2246)</f>
        <v>MPU</v>
      </c>
    </row>
    <row r="2239" spans="1:12" ht="15.75" hidden="1" customHeight="1" x14ac:dyDescent="0.25">
      <c r="A2239" s="36">
        <f>IF(ORCAMENTOS!A2247="","",ORCAMENTOS!A2247)</f>
        <v>46036</v>
      </c>
      <c r="B2239" s="46">
        <f>IF(ORCAMENTOS!B2247="","",ORCAMENTOS!B2247)</f>
        <v>62</v>
      </c>
      <c r="C2239" s="46" t="str">
        <f>IF(ORCAMENTOS!C2247="","",ORCAMENTOS!C2247)</f>
        <v/>
      </c>
      <c r="D2239" s="37" t="str">
        <f>IF(ORCAMENTOS!D2247="","",ORCAMENTOS!D2247)</f>
        <v>R1 SOLUCOES</v>
      </c>
      <c r="E2239" s="38" t="str">
        <f>IF(ORCAMENTOS!E2247="","",ORCAMENTOS!E2247)</f>
        <v>-</v>
      </c>
      <c r="F2239" s="37" t="str">
        <f>IF(ORCAMENTOS!G2247="","",ORCAMENTOS!G2247)</f>
        <v>Gabriel</v>
      </c>
      <c r="G2239" s="37" t="str">
        <f>IF(ORCAMENTOS!H2247="","",ORCAMENTOS!H2247)</f>
        <v>Janaina</v>
      </c>
      <c r="H2239" s="39">
        <f>IF(ORCAMENTOS!I2247="","",ORCAMENTOS!I2247)</f>
        <v>15987.42</v>
      </c>
      <c r="I2239" s="60">
        <f>IF(ORCAMENTOS!J2247="","",ORCAMENTOS!J2247)</f>
        <v>7.0000000000000007E-2</v>
      </c>
      <c r="J2239" s="40" t="str">
        <f>IF(ORCAMENTOS!L2247="","",ORCAMENTOS!L2247)</f>
        <v>COMPRA</v>
      </c>
      <c r="K2239" s="34" t="str">
        <f>IF(ORCAMENTOS!M2247="","",ORCAMENTOS!M2247)</f>
        <v>-</v>
      </c>
      <c r="L2239" t="str">
        <f>IF(ORCAMENTOS!R2247="","",ORCAMENTOS!R2247)</f>
        <v>-</v>
      </c>
    </row>
    <row r="2240" spans="1:12" ht="15.75" hidden="1" customHeight="1" x14ac:dyDescent="0.25">
      <c r="A2240" s="36">
        <f>IF(ORCAMENTOS!A2248="","",ORCAMENTOS!A2248)</f>
        <v>46036</v>
      </c>
      <c r="B2240" s="46">
        <f>IF(ORCAMENTOS!B2248="","",ORCAMENTOS!B2248)</f>
        <v>63</v>
      </c>
      <c r="C2240" s="46" t="str">
        <f>IF(ORCAMENTOS!C2248="","",ORCAMENTOS!C2248)</f>
        <v/>
      </c>
      <c r="D2240" s="37" t="str">
        <f>IF(ORCAMENTOS!D2248="","",ORCAMENTOS!D2248)</f>
        <v>EKO CLIMAX</v>
      </c>
      <c r="E2240" s="38" t="str">
        <f>IF(ORCAMENTOS!E2248="","",ORCAMENTOS!E2248)</f>
        <v>-</v>
      </c>
      <c r="F2240" s="37" t="str">
        <f>IF(ORCAMENTOS!G2248="","",ORCAMENTOS!G2248)</f>
        <v>Michel</v>
      </c>
      <c r="G2240" s="37" t="str">
        <f>IF(ORCAMENTOS!H2248="","",ORCAMENTOS!H2248)</f>
        <v>Rogerio</v>
      </c>
      <c r="H2240" s="39">
        <f>IF(ORCAMENTOS!I2248="","",ORCAMENTOS!I2248)</f>
        <v>5094.7700000000004</v>
      </c>
      <c r="I2240" s="60">
        <f>IF(ORCAMENTOS!J2248="","",ORCAMENTOS!J2248)</f>
        <v>0.05</v>
      </c>
      <c r="J2240" s="40" t="str">
        <f>IF(ORCAMENTOS!L2248="","",ORCAMENTOS!L2248)</f>
        <v>FECHADO</v>
      </c>
      <c r="K2240" s="34" t="str">
        <f>IF(ORCAMENTOS!M2248="","",ORCAMENTOS!M2248)</f>
        <v>-</v>
      </c>
      <c r="L2240" t="str">
        <f>IF(ORCAMENTOS!R2248="","",ORCAMENTOS!R2248)</f>
        <v>-</v>
      </c>
    </row>
    <row r="2241" spans="1:12" ht="15.75" hidden="1" customHeight="1" x14ac:dyDescent="0.25">
      <c r="A2241" s="36">
        <f>IF(ORCAMENTOS!A2249="","",ORCAMENTOS!A2249)</f>
        <v>46036</v>
      </c>
      <c r="B2241" s="46">
        <f>IF(ORCAMENTOS!B2249="","",ORCAMENTOS!B2249)</f>
        <v>64</v>
      </c>
      <c r="C2241" s="46" t="str">
        <f>IF(ORCAMENTOS!C2249="","",ORCAMENTOS!C2249)</f>
        <v/>
      </c>
      <c r="D2241" s="37" t="str">
        <f>IF(ORCAMENTOS!D2249="","",ORCAMENTOS!D2249)</f>
        <v>AWA AR CONDICIONADO</v>
      </c>
      <c r="E2241" s="38" t="str">
        <f>IF(ORCAMENTOS!E2249="","",ORCAMENTOS!E2249)</f>
        <v>SUPER MATEUS - NEWTON BELO - IMPERATRIZ - MA</v>
      </c>
      <c r="F2241" s="37" t="str">
        <f>IF(ORCAMENTOS!G2249="","",ORCAMENTOS!G2249)</f>
        <v>Guilherme</v>
      </c>
      <c r="G2241" s="37" t="str">
        <f>IF(ORCAMENTOS!H2249="","",ORCAMENTOS!H2249)</f>
        <v>Paula</v>
      </c>
      <c r="H2241" s="39">
        <f>IF(ORCAMENTOS!I2249="","",ORCAMENTOS!I2249)</f>
        <v>57129.09</v>
      </c>
      <c r="I2241" s="60">
        <f>IF(ORCAMENTOS!J2249="","",ORCAMENTOS!J2249)</f>
        <v>7.0000000000000007E-2</v>
      </c>
      <c r="J2241" s="40" t="str">
        <f>IF(ORCAMENTOS!L2249="","",ORCAMENTOS!L2249)</f>
        <v>CANCELADO</v>
      </c>
      <c r="K2241" s="34" t="str">
        <f>IF(ORCAMENTOS!M2249="","",ORCAMENTOS!M2249)</f>
        <v>-</v>
      </c>
      <c r="L2241" t="str">
        <f>IF(ORCAMENTOS!R2249="","",ORCAMENTOS!R2249)</f>
        <v>N/E</v>
      </c>
    </row>
    <row r="2242" spans="1:12" ht="15.75" hidden="1" customHeight="1" x14ac:dyDescent="0.25">
      <c r="A2242" s="36">
        <f>IF(ORCAMENTOS!A2250="","",ORCAMENTOS!A2250)</f>
        <v>46036</v>
      </c>
      <c r="B2242" s="46">
        <f>IF(ORCAMENTOS!B2250="","",ORCAMENTOS!B2250)</f>
        <v>65</v>
      </c>
      <c r="C2242" s="46" t="str">
        <f>IF(ORCAMENTOS!C2250="","",ORCAMENTOS!C2250)</f>
        <v/>
      </c>
      <c r="D2242" s="37" t="str">
        <f>IF(ORCAMENTOS!D2250="","",ORCAMENTOS!D2250)</f>
        <v>HVAC ENGENHARIA</v>
      </c>
      <c r="E2242" s="38" t="str">
        <f>IF(ORCAMENTOS!E2250="","",ORCAMENTOS!E2250)</f>
        <v>-</v>
      </c>
      <c r="F2242" s="37" t="str">
        <f>IF(ORCAMENTOS!G2250="","",ORCAMENTOS!G2250)</f>
        <v>Michel</v>
      </c>
      <c r="G2242" s="37" t="str">
        <f>IF(ORCAMENTOS!H2250="","",ORCAMENTOS!H2250)</f>
        <v>Anders</v>
      </c>
      <c r="H2242" s="39">
        <f>IF(ORCAMENTOS!I2250="","",ORCAMENTOS!I2250)</f>
        <v>12026.96</v>
      </c>
      <c r="I2242" s="60">
        <f>IF(ORCAMENTOS!J2250="","",ORCAMENTOS!J2250)</f>
        <v>7.0000000000000007E-2</v>
      </c>
      <c r="J2242" s="40" t="str">
        <f>IF(ORCAMENTOS!L2250="","",ORCAMENTOS!L2250)</f>
        <v>FECHADO</v>
      </c>
      <c r="K2242" s="34" t="str">
        <f>IF(ORCAMENTOS!M2250="","",ORCAMENTOS!M2250)</f>
        <v>-</v>
      </c>
      <c r="L2242" t="str">
        <f>IF(ORCAMENTOS!R2250="","",ORCAMENTOS!R2250)</f>
        <v>-</v>
      </c>
    </row>
    <row r="2243" spans="1:12" ht="15.75" hidden="1" customHeight="1" x14ac:dyDescent="0.25">
      <c r="A2243" s="36">
        <f>IF(ORCAMENTOS!A2251="","",ORCAMENTOS!A2251)</f>
        <v>46038</v>
      </c>
      <c r="B2243" s="46">
        <f>IF(ORCAMENTOS!B2251="","",ORCAMENTOS!B2251)</f>
        <v>66</v>
      </c>
      <c r="C2243" s="46" t="str">
        <f>IF(ORCAMENTOS!C2251="","",ORCAMENTOS!C2251)</f>
        <v>R1</v>
      </c>
      <c r="D2243" s="37" t="str">
        <f>IF(ORCAMENTOS!D2251="","",ORCAMENTOS!D2251)</f>
        <v>ENGEMAC</v>
      </c>
      <c r="E2243" s="38" t="str">
        <f>IF(ORCAMENTOS!E2251="","",ORCAMENTOS!E2251)</f>
        <v>YPE SANTOS</v>
      </c>
      <c r="F2243" s="37" t="str">
        <f>IF(ORCAMENTOS!G2251="","",ORCAMENTOS!G2251)</f>
        <v>Fernando</v>
      </c>
      <c r="G2243" s="37" t="str">
        <f>IF(ORCAMENTOS!H2251="","",ORCAMENTOS!H2251)</f>
        <v>Edmilson</v>
      </c>
      <c r="H2243" s="39">
        <f>IF(ORCAMENTOS!I2251="","",ORCAMENTOS!I2251)</f>
        <v>27404.16</v>
      </c>
      <c r="I2243" s="60">
        <f>IF(ORCAMENTOS!J2251="","",ORCAMENTOS!J2251)</f>
        <v>7.0000000000000007E-2</v>
      </c>
      <c r="J2243" s="40" t="str">
        <f>IF(ORCAMENTOS!L2251="","",ORCAMENTOS!L2251)</f>
        <v>CANCELADO</v>
      </c>
      <c r="K2243" s="34" t="str">
        <f>IF(ORCAMENTOS!M2251="","",ORCAMENTOS!M2251)</f>
        <v>CLIENTE NEGOCIANDO</v>
      </c>
      <c r="L2243" t="str">
        <f>IF(ORCAMENTOS!R2251="","",ORCAMENTOS!R2251)</f>
        <v>-</v>
      </c>
    </row>
    <row r="2244" spans="1:12" ht="15.75" hidden="1" customHeight="1" x14ac:dyDescent="0.25">
      <c r="A2244" s="36">
        <f>IF(ORCAMENTOS!A2252="","",ORCAMENTOS!A2252)</f>
        <v>46037</v>
      </c>
      <c r="B2244" s="46">
        <f>IF(ORCAMENTOS!B2252="","",ORCAMENTOS!B2252)</f>
        <v>67</v>
      </c>
      <c r="C2244" s="46" t="str">
        <f>IF(ORCAMENTOS!C2252="","",ORCAMENTOS!C2252)</f>
        <v/>
      </c>
      <c r="D2244" s="37" t="str">
        <f>IF(ORCAMENTOS!D2252="","",ORCAMENTOS!D2252)</f>
        <v>AIR NET</v>
      </c>
      <c r="E2244" s="38" t="str">
        <f>IF(ORCAMENTOS!E2252="","",ORCAMENTOS!E2252)</f>
        <v>RAIZEN - ANDRADINA</v>
      </c>
      <c r="F2244" s="37" t="str">
        <f>IF(ORCAMENTOS!G2252="","",ORCAMENTOS!G2252)</f>
        <v>Fernando</v>
      </c>
      <c r="G2244" s="37" t="str">
        <f>IF(ORCAMENTOS!H2252="","",ORCAMENTOS!H2252)</f>
        <v>Domicio</v>
      </c>
      <c r="H2244" s="39">
        <f>IF(ORCAMENTOS!I2252="","",ORCAMENTOS!I2252)</f>
        <v>384852.06</v>
      </c>
      <c r="I2244" s="60">
        <f>IF(ORCAMENTOS!J2252="","",ORCAMENTOS!J2252)</f>
        <v>7.0000000000000007E-2</v>
      </c>
      <c r="J2244" s="40" t="str">
        <f>IF(ORCAMENTOS!L2252="","",ORCAMENTOS!L2252)</f>
        <v>CANCELADO</v>
      </c>
      <c r="K2244" s="34" t="str">
        <f>IF(ORCAMENTOS!M2252="","",ORCAMENTOS!M2252)</f>
        <v>-</v>
      </c>
      <c r="L2244" t="str">
        <f>IF(ORCAMENTOS!R2252="","",ORCAMENTOS!R2252)</f>
        <v>-</v>
      </c>
    </row>
    <row r="2245" spans="1:12" ht="15.75" hidden="1" customHeight="1" x14ac:dyDescent="0.25">
      <c r="A2245" s="36">
        <f>IF(ORCAMENTOS!A2253="","",ORCAMENTOS!A2253)</f>
        <v>46037</v>
      </c>
      <c r="B2245" s="46">
        <f>IF(ORCAMENTOS!B2253="","",ORCAMENTOS!B2253)</f>
        <v>68</v>
      </c>
      <c r="C2245" s="46" t="str">
        <f>IF(ORCAMENTOS!C2253="","",ORCAMENTOS!C2253)</f>
        <v/>
      </c>
      <c r="D2245" s="37" t="str">
        <f>IF(ORCAMENTOS!D2253="","",ORCAMENTOS!D2253)</f>
        <v>NP CLIMATIZAÇÃO</v>
      </c>
      <c r="E2245" s="38" t="str">
        <f>IF(ORCAMENTOS!E2253="","",ORCAMENTOS!E2253)</f>
        <v>-</v>
      </c>
      <c r="F2245" s="37" t="str">
        <f>IF(ORCAMENTOS!G2253="","",ORCAMENTOS!G2253)</f>
        <v>Guilherme</v>
      </c>
      <c r="G2245" s="37" t="str">
        <f>IF(ORCAMENTOS!H2253="","",ORCAMENTOS!H2253)</f>
        <v>Maria</v>
      </c>
      <c r="H2245" s="39">
        <f>IF(ORCAMENTOS!I2253="","",ORCAMENTOS!I2253)</f>
        <v>9991.08</v>
      </c>
      <c r="I2245" s="60">
        <f>IF(ORCAMENTOS!J2253="","",ORCAMENTOS!J2253)</f>
        <v>7.0000000000000007E-2</v>
      </c>
      <c r="J2245" s="40" t="str">
        <f>IF(ORCAMENTOS!L2253="","",ORCAMENTOS!L2253)</f>
        <v>CANCELADO</v>
      </c>
      <c r="K2245" s="34" t="str">
        <f>IF(ORCAMENTOS!M2253="","",ORCAMENTOS!M2253)</f>
        <v>PREV. MARÇO</v>
      </c>
      <c r="L2245" t="str">
        <f>IF(ORCAMENTOS!R2253="","",ORCAMENTOS!R2253)</f>
        <v>-</v>
      </c>
    </row>
    <row r="2246" spans="1:12" ht="15.75" hidden="1" customHeight="1" x14ac:dyDescent="0.25">
      <c r="A2246" s="36">
        <f>IF(ORCAMENTOS!A2254="","",ORCAMENTOS!A2254)</f>
        <v>46037</v>
      </c>
      <c r="B2246" s="46">
        <f>IF(ORCAMENTOS!B2254="","",ORCAMENTOS!B2254)</f>
        <v>69</v>
      </c>
      <c r="C2246" s="46" t="str">
        <f>IF(ORCAMENTOS!C2254="","",ORCAMENTOS!C2254)</f>
        <v/>
      </c>
      <c r="D2246" s="37" t="str">
        <f>IF(ORCAMENTOS!D2254="","",ORCAMENTOS!D2254)</f>
        <v>SP CLIMAT</v>
      </c>
      <c r="E2246" s="38" t="str">
        <f>IF(ORCAMENTOS!E2254="","",ORCAMENTOS!E2254)</f>
        <v>HOSPITAL SANTA CASA DE MISERICORDIA - DE CAPAO BONITO</v>
      </c>
      <c r="F2246" s="37" t="str">
        <f>IF(ORCAMENTOS!G2254="","",ORCAMENTOS!G2254)</f>
        <v>Gabriel</v>
      </c>
      <c r="G2246" s="37" t="str">
        <f>IF(ORCAMENTOS!H2254="","",ORCAMENTOS!H2254)</f>
        <v>Jorge</v>
      </c>
      <c r="H2246" s="39">
        <f>IF(ORCAMENTOS!I2254="","",ORCAMENTOS!I2254)</f>
        <v>21346.71</v>
      </c>
      <c r="I2246" s="60">
        <f>IF(ORCAMENTOS!J2254="","",ORCAMENTOS!J2254)</f>
        <v>7.0000000000000007E-2</v>
      </c>
      <c r="J2246" s="40" t="str">
        <f>IF(ORCAMENTOS!L2254="","",ORCAMENTOS!L2254)</f>
        <v>CANCELADO</v>
      </c>
      <c r="K2246" s="34" t="str">
        <f>IF(ORCAMENTOS!M2254="","",ORCAMENTOS!M2254)</f>
        <v>-</v>
      </c>
      <c r="L2246" t="str">
        <f>IF(ORCAMENTOS!R2254="","",ORCAMENTOS!R2254)</f>
        <v>N/E</v>
      </c>
    </row>
    <row r="2247" spans="1:12" ht="15.75" hidden="1" customHeight="1" x14ac:dyDescent="0.25">
      <c r="A2247" s="36">
        <f>IF(ORCAMENTOS!A2255="","",ORCAMENTOS!A2255)</f>
        <v>46037</v>
      </c>
      <c r="B2247" s="46">
        <f>IF(ORCAMENTOS!B2255="","",ORCAMENTOS!B2255)</f>
        <v>70</v>
      </c>
      <c r="C2247" s="46" t="str">
        <f>IF(ORCAMENTOS!C2255="","",ORCAMENTOS!C2255)</f>
        <v/>
      </c>
      <c r="D2247" s="37" t="str">
        <f>IF(ORCAMENTOS!D2255="","",ORCAMENTOS!D2255)</f>
        <v>ELETRO DALBEM</v>
      </c>
      <c r="E2247" s="38" t="str">
        <f>IF(ORCAMENTOS!E2255="","",ORCAMENTOS!E2255)</f>
        <v>-</v>
      </c>
      <c r="F2247" s="37" t="str">
        <f>IF(ORCAMENTOS!G2255="","",ORCAMENTOS!G2255)</f>
        <v>Gabriel</v>
      </c>
      <c r="G2247" s="37" t="str">
        <f>IF(ORCAMENTOS!H2255="","",ORCAMENTOS!H2255)</f>
        <v>Walison</v>
      </c>
      <c r="H2247" s="39">
        <f>IF(ORCAMENTOS!I2255="","",ORCAMENTOS!I2255)</f>
        <v>4745.68</v>
      </c>
      <c r="I2247" s="60">
        <f>IF(ORCAMENTOS!J2255="","",ORCAMENTOS!J2255)</f>
        <v>0.05</v>
      </c>
      <c r="J2247" s="40" t="str">
        <f>IF(ORCAMENTOS!L2255="","",ORCAMENTOS!L2255)</f>
        <v>FECHADO</v>
      </c>
      <c r="K2247" s="34" t="str">
        <f>IF(ORCAMENTOS!M2255="","",ORCAMENTOS!M2255)</f>
        <v>-</v>
      </c>
      <c r="L2247" t="str">
        <f>IF(ORCAMENTOS!R2255="","",ORCAMENTOS!R2255)</f>
        <v>-</v>
      </c>
    </row>
    <row r="2248" spans="1:12" ht="15.75" hidden="1" customHeight="1" x14ac:dyDescent="0.25">
      <c r="A2248" s="36">
        <f>IF(ORCAMENTOS!A2256="","",ORCAMENTOS!A2256)</f>
        <v>46038</v>
      </c>
      <c r="B2248" s="46">
        <f>IF(ORCAMENTOS!B2256="","",ORCAMENTOS!B2256)</f>
        <v>71</v>
      </c>
      <c r="C2248" s="46" t="str">
        <f>IF(ORCAMENTOS!C2256="","",ORCAMENTOS!C2256)</f>
        <v/>
      </c>
      <c r="D2248" s="37" t="str">
        <f>IF(ORCAMENTOS!D2256="","",ORCAMENTOS!D2256)</f>
        <v>ECOTHERM</v>
      </c>
      <c r="E2248" s="38" t="str">
        <f>IF(ORCAMENTOS!E2256="","",ORCAMENTOS!E2256)</f>
        <v>-</v>
      </c>
      <c r="F2248" s="37" t="str">
        <f>IF(ORCAMENTOS!G2256="","",ORCAMENTOS!G2256)</f>
        <v>Emanuel</v>
      </c>
      <c r="G2248" s="37" t="str">
        <f>IF(ORCAMENTOS!H2256="","",ORCAMENTOS!H2256)</f>
        <v>SElma</v>
      </c>
      <c r="H2248" s="39">
        <f>IF(ORCAMENTOS!I2256="","",ORCAMENTOS!I2256)</f>
        <v>4365</v>
      </c>
      <c r="I2248" s="60">
        <f>IF(ORCAMENTOS!J2256="","",ORCAMENTOS!J2256)</f>
        <v>7.0000000000000007E-2</v>
      </c>
      <c r="J2248" s="40" t="str">
        <f>IF(ORCAMENTOS!L2256="","",ORCAMENTOS!L2256)</f>
        <v>CANCELADO</v>
      </c>
      <c r="K2248" s="34" t="str">
        <f>IF(ORCAMENTOS!M2256="","",ORCAMENTOS!M2256)</f>
        <v>-</v>
      </c>
      <c r="L2248" t="str">
        <f>IF(ORCAMENTOS!R2256="","",ORCAMENTOS!R2256)</f>
        <v>-</v>
      </c>
    </row>
    <row r="2249" spans="1:12" ht="15.75" hidden="1" customHeight="1" x14ac:dyDescent="0.25">
      <c r="A2249" s="36">
        <f>IF(ORCAMENTOS!A2257="","",ORCAMENTOS!A2257)</f>
        <v>46038</v>
      </c>
      <c r="B2249" s="46">
        <f>IF(ORCAMENTOS!B2257="","",ORCAMENTOS!B2257)</f>
        <v>72</v>
      </c>
      <c r="C2249" s="46" t="str">
        <f>IF(ORCAMENTOS!C2257="","",ORCAMENTOS!C2257)</f>
        <v/>
      </c>
      <c r="D2249" s="37" t="str">
        <f>IF(ORCAMENTOS!D2257="","",ORCAMENTOS!D2257)</f>
        <v>SOLAR CONSTRUCOES</v>
      </c>
      <c r="E2249" s="38" t="str">
        <f>IF(ORCAMENTOS!E2257="","",ORCAMENTOS!E2257)</f>
        <v>-</v>
      </c>
      <c r="F2249" s="37" t="str">
        <f>IF(ORCAMENTOS!G2257="","",ORCAMENTOS!G2257)</f>
        <v>Gabriel</v>
      </c>
      <c r="G2249" s="37" t="str">
        <f>IF(ORCAMENTOS!H2257="","",ORCAMENTOS!H2257)</f>
        <v>Alessandra</v>
      </c>
      <c r="H2249" s="39">
        <f>IF(ORCAMENTOS!I2257="","",ORCAMENTOS!I2257)</f>
        <v>20092.46</v>
      </c>
      <c r="I2249" s="60">
        <f>IF(ORCAMENTOS!J2257="","",ORCAMENTOS!J2257)</f>
        <v>7.0000000000000007E-2</v>
      </c>
      <c r="J2249" s="40" t="str">
        <f>IF(ORCAMENTOS!L2257="","",ORCAMENTOS!L2257)</f>
        <v>CANCELADO</v>
      </c>
      <c r="K2249" s="34" t="str">
        <f>IF(ORCAMENTOS!M2257="","",ORCAMENTOS!M2257)</f>
        <v>-</v>
      </c>
      <c r="L2249" t="str">
        <f>IF(ORCAMENTOS!R2257="","",ORCAMENTOS!R2257)</f>
        <v>-</v>
      </c>
    </row>
    <row r="2250" spans="1:12" ht="15.75" hidden="1" customHeight="1" x14ac:dyDescent="0.25">
      <c r="A2250" s="36">
        <f>IF(ORCAMENTOS!A2258="","",ORCAMENTOS!A2258)</f>
        <v>46038</v>
      </c>
      <c r="B2250" s="46">
        <f>IF(ORCAMENTOS!B2258="","",ORCAMENTOS!B2258)</f>
        <v>73</v>
      </c>
      <c r="C2250" s="46" t="str">
        <f>IF(ORCAMENTOS!C2258="","",ORCAMENTOS!C2258)</f>
        <v/>
      </c>
      <c r="D2250" s="37" t="str">
        <f>IF(ORCAMENTOS!D2258="","",ORCAMENTOS!D2258)</f>
        <v>SOLLO ENGENHARIA</v>
      </c>
      <c r="E2250" s="38" t="str">
        <f>IF(ORCAMENTOS!E2258="","",ORCAMENTOS!E2258)</f>
        <v>CJ Shops - Conj "C"</v>
      </c>
      <c r="F2250" s="37" t="str">
        <f>IF(ORCAMENTOS!G2258="","",ORCAMENTOS!G2258)</f>
        <v>Emanuel</v>
      </c>
      <c r="G2250" s="37" t="str">
        <f>IF(ORCAMENTOS!H2258="","",ORCAMENTOS!H2258)</f>
        <v>Vanderlei</v>
      </c>
      <c r="H2250" s="39">
        <f>IF(ORCAMENTOS!I2258="","",ORCAMENTOS!I2258)</f>
        <v>5124.8100000000004</v>
      </c>
      <c r="I2250" s="60">
        <f>IF(ORCAMENTOS!J2258="","",ORCAMENTOS!J2258)</f>
        <v>0.05</v>
      </c>
      <c r="J2250" s="40" t="str">
        <f>IF(ORCAMENTOS!L2258="","",ORCAMENTOS!L2258)</f>
        <v>FECHADO</v>
      </c>
      <c r="K2250" s="34" t="str">
        <f>IF(ORCAMENTOS!M2258="","",ORCAMENTOS!M2258)</f>
        <v>-</v>
      </c>
      <c r="L2250" t="str">
        <f>IF(ORCAMENTOS!R2258="","",ORCAMENTOS!R2258)</f>
        <v>-</v>
      </c>
    </row>
    <row r="2251" spans="1:12" ht="15.75" hidden="1" customHeight="1" x14ac:dyDescent="0.25">
      <c r="A2251" s="36">
        <f>IF(ORCAMENTOS!A2259="","",ORCAMENTOS!A2259)</f>
        <v>46038</v>
      </c>
      <c r="B2251" s="46">
        <f>IF(ORCAMENTOS!B2259="","",ORCAMENTOS!B2259)</f>
        <v>74</v>
      </c>
      <c r="C2251" s="46" t="str">
        <f>IF(ORCAMENTOS!C2259="","",ORCAMENTOS!C2259)</f>
        <v/>
      </c>
      <c r="D2251" s="37" t="str">
        <f>IF(ORCAMENTOS!D2259="","",ORCAMENTOS!D2259)</f>
        <v>AR SISTEMAS</v>
      </c>
      <c r="E2251" s="38" t="str">
        <f>IF(ORCAMENTOS!E2259="","",ORCAMENTOS!E2259)</f>
        <v>HOSPITAL SANTA CATARINA - BELA VISTA - SÃO PAULO - SP</v>
      </c>
      <c r="F2251" s="37" t="str">
        <f>IF(ORCAMENTOS!G2259="","",ORCAMENTOS!G2259)</f>
        <v>Michel</v>
      </c>
      <c r="G2251" s="37" t="str">
        <f>IF(ORCAMENTOS!H2259="","",ORCAMENTOS!H2259)</f>
        <v>Marcos</v>
      </c>
      <c r="H2251" s="39">
        <f>IF(ORCAMENTOS!I2259="","",ORCAMENTOS!I2259)</f>
        <v>169952.27</v>
      </c>
      <c r="I2251" s="60">
        <f>IF(ORCAMENTOS!J2259="","",ORCAMENTOS!J2259)</f>
        <v>7.0000000000000007E-2</v>
      </c>
      <c r="J2251" s="40" t="str">
        <f>IF(ORCAMENTOS!L2259="","",ORCAMENTOS!L2259)</f>
        <v>CANCELADO</v>
      </c>
      <c r="K2251" s="34" t="str">
        <f>IF(ORCAMENTOS!M2259="","",ORCAMENTOS!M2259)</f>
        <v>-</v>
      </c>
      <c r="L2251" t="str">
        <f>IF(ORCAMENTOS!R2259="","",ORCAMENTOS!R2259)</f>
        <v>PAINEIS PRE ISOLADOS</v>
      </c>
    </row>
    <row r="2252" spans="1:12" ht="15.75" hidden="1" customHeight="1" x14ac:dyDescent="0.25">
      <c r="A2252" s="36">
        <f>IF(ORCAMENTOS!A2260="","",ORCAMENTOS!A2260)</f>
        <v>46038</v>
      </c>
      <c r="B2252" s="46">
        <f>IF(ORCAMENTOS!B2260="","",ORCAMENTOS!B2260)</f>
        <v>75</v>
      </c>
      <c r="C2252" s="46" t="str">
        <f>IF(ORCAMENTOS!C2260="","",ORCAMENTOS!C2260)</f>
        <v/>
      </c>
      <c r="D2252" s="37" t="str">
        <f>IF(ORCAMENTOS!D2260="","",ORCAMENTOS!D2260)</f>
        <v>NEWSET</v>
      </c>
      <c r="E2252" s="38" t="str">
        <f>IF(ORCAMENTOS!E2260="","",ORCAMENTOS!E2260)</f>
        <v>RIBEIRAO PIRES</v>
      </c>
      <c r="F2252" s="37" t="str">
        <f>IF(ORCAMENTOS!G2260="","",ORCAMENTOS!G2260)</f>
        <v xml:space="preserve">Aldavir </v>
      </c>
      <c r="G2252" s="37" t="str">
        <f>IF(ORCAMENTOS!H2260="","",ORCAMENTOS!H2260)</f>
        <v>Jessica</v>
      </c>
      <c r="H2252" s="39">
        <f>IF(ORCAMENTOS!I2260="","",ORCAMENTOS!I2260)</f>
        <v>47362.13</v>
      </c>
      <c r="I2252" s="60">
        <f>IF(ORCAMENTOS!J2260="","",ORCAMENTOS!J2260)</f>
        <v>7.0000000000000007E-2</v>
      </c>
      <c r="J2252" s="40" t="str">
        <f>IF(ORCAMENTOS!L2260="","",ORCAMENTOS!L2260)</f>
        <v>ORCAMENTO</v>
      </c>
      <c r="K2252" s="34" t="str">
        <f>IF(ORCAMENTOS!M2260="","",ORCAMENTOS!M2260)</f>
        <v>-</v>
      </c>
      <c r="L2252" t="str">
        <f>IF(ORCAMENTOS!R2260="","",ORCAMENTOS!R2260)</f>
        <v>-</v>
      </c>
    </row>
    <row r="2253" spans="1:12" ht="15.75" hidden="1" customHeight="1" x14ac:dyDescent="0.25">
      <c r="A2253" s="36">
        <f>IF(ORCAMENTOS!A2261="","",ORCAMENTOS!A2261)</f>
        <v>46038</v>
      </c>
      <c r="B2253" s="46">
        <f>IF(ORCAMENTOS!B2261="","",ORCAMENTOS!B2261)</f>
        <v>76</v>
      </c>
      <c r="C2253" s="46" t="str">
        <f>IF(ORCAMENTOS!C2261="","",ORCAMENTOS!C2261)</f>
        <v/>
      </c>
      <c r="D2253" s="37" t="str">
        <f>IF(ORCAMENTOS!D2261="","",ORCAMENTOS!D2261)</f>
        <v>CHRISTAR</v>
      </c>
      <c r="E2253" s="38" t="str">
        <f>IF(ORCAMENTOS!E2261="","",ORCAMENTOS!E2261)</f>
        <v>-</v>
      </c>
      <c r="F2253" s="37" t="str">
        <f>IF(ORCAMENTOS!G2261="","",ORCAMENTOS!G2261)</f>
        <v xml:space="preserve">Aldavir </v>
      </c>
      <c r="G2253" s="37" t="str">
        <f>IF(ORCAMENTOS!H2261="","",ORCAMENTOS!H2261)</f>
        <v>-</v>
      </c>
      <c r="H2253" s="39" t="str">
        <f>IF(ORCAMENTOS!I2261="","",ORCAMENTOS!I2261)</f>
        <v>-</v>
      </c>
      <c r="I2253" s="60" t="str">
        <f>IF(ORCAMENTOS!J2261="","",ORCAMENTOS!J2261)</f>
        <v>-</v>
      </c>
      <c r="J2253" s="40" t="str">
        <f>IF(ORCAMENTOS!L2261="","",ORCAMENTOS!L2261)</f>
        <v>CANCELADO</v>
      </c>
      <c r="K2253" s="34" t="str">
        <f>IF(ORCAMENTOS!M2261="","",ORCAMENTOS!M2261)</f>
        <v>-</v>
      </c>
      <c r="L2253" t="str">
        <f>IF(ORCAMENTOS!R2261="","",ORCAMENTOS!R2261)</f>
        <v>-</v>
      </c>
    </row>
    <row r="2254" spans="1:12" ht="15.75" hidden="1" customHeight="1" x14ac:dyDescent="0.25">
      <c r="A2254" s="36">
        <f>IF(ORCAMENTOS!A2262="","",ORCAMENTOS!A2262)</f>
        <v>46038</v>
      </c>
      <c r="B2254" s="46">
        <f>IF(ORCAMENTOS!B2262="","",ORCAMENTOS!B2262)</f>
        <v>77</v>
      </c>
      <c r="C2254" s="46" t="str">
        <f>IF(ORCAMENTOS!C2262="","",ORCAMENTOS!C2262)</f>
        <v/>
      </c>
      <c r="D2254" s="37" t="str">
        <f>IF(ORCAMENTOS!D2262="","",ORCAMENTOS!D2262)</f>
        <v>EMERSON NICKEL</v>
      </c>
      <c r="E2254" s="38" t="str">
        <f>IF(ORCAMENTOS!E2262="","",ORCAMENTOS!E2262)</f>
        <v>HOSPITAL SANTA MARCELINA - ITAQUAQUECETUBA - SP</v>
      </c>
      <c r="F2254" s="37" t="str">
        <f>IF(ORCAMENTOS!G2262="","",ORCAMENTOS!G2262)</f>
        <v>Gabriel</v>
      </c>
      <c r="G2254" s="37" t="str">
        <f>IF(ORCAMENTOS!H2262="","",ORCAMENTOS!H2262)</f>
        <v>Emerson</v>
      </c>
      <c r="H2254" s="39">
        <f>IF(ORCAMENTOS!I2262="","",ORCAMENTOS!I2262)</f>
        <v>141371.65</v>
      </c>
      <c r="I2254" s="60">
        <f>IF(ORCAMENTOS!J2262="","",ORCAMENTOS!J2262)</f>
        <v>7.0000000000000007E-2</v>
      </c>
      <c r="J2254" s="40" t="str">
        <f>IF(ORCAMENTOS!L2262="","",ORCAMENTOS!L2262)</f>
        <v>CANCELADO</v>
      </c>
      <c r="K2254" s="34" t="str">
        <f>IF(ORCAMENTOS!M2262="","",ORCAMENTOS!M2262)</f>
        <v>-</v>
      </c>
      <c r="L2254" t="str">
        <f>IF(ORCAMENTOS!R2262="","",ORCAMENTOS!R2262)</f>
        <v>N/E</v>
      </c>
    </row>
    <row r="2255" spans="1:12" ht="15.75" hidden="1" customHeight="1" x14ac:dyDescent="0.25">
      <c r="A2255" s="36">
        <f>IF(ORCAMENTOS!A2263="","",ORCAMENTOS!A2263)</f>
        <v>46038</v>
      </c>
      <c r="B2255" s="46">
        <f>IF(ORCAMENTOS!B2263="","",ORCAMENTOS!B2263)</f>
        <v>78</v>
      </c>
      <c r="C2255" s="46" t="str">
        <f>IF(ORCAMENTOS!C2263="","",ORCAMENTOS!C2263)</f>
        <v/>
      </c>
      <c r="D2255" s="37" t="str">
        <f>IF(ORCAMENTOS!D2263="","",ORCAMENTOS!D2263)</f>
        <v>LKT AR CONDICIONADO</v>
      </c>
      <c r="E2255" s="38" t="str">
        <f>IF(ORCAMENTOS!E2263="","",ORCAMENTOS!E2263)</f>
        <v>GM</v>
      </c>
      <c r="F2255" s="37" t="str">
        <f>IF(ORCAMENTOS!G2263="","",ORCAMENTOS!G2263)</f>
        <v>Fernando</v>
      </c>
      <c r="G2255" s="37" t="str">
        <f>IF(ORCAMENTOS!H2263="","",ORCAMENTOS!H2263)</f>
        <v>Rafael</v>
      </c>
      <c r="H2255" s="39">
        <f>IF(ORCAMENTOS!I2263="","",ORCAMENTOS!I2263)</f>
        <v>314436.81</v>
      </c>
      <c r="I2255" s="60">
        <f>IF(ORCAMENTOS!J2263="","",ORCAMENTOS!J2263)</f>
        <v>7.0000000000000007E-2</v>
      </c>
      <c r="J2255" s="40" t="str">
        <f>IF(ORCAMENTOS!L2263="","",ORCAMENTOS!L2263)</f>
        <v>CANCELADO</v>
      </c>
      <c r="K2255" s="34" t="str">
        <f>IF(ORCAMENTOS!M2263="","",ORCAMENTOS!M2263)</f>
        <v>CLIENTE NEGOCIANDO</v>
      </c>
      <c r="L2255" t="str">
        <f>IF(ORCAMENTOS!R2263="","",ORCAMENTOS!R2263)</f>
        <v>-</v>
      </c>
    </row>
    <row r="2256" spans="1:12" ht="15.75" hidden="1" customHeight="1" x14ac:dyDescent="0.25">
      <c r="A2256" s="36">
        <f>IF(ORCAMENTOS!A2264="","",ORCAMENTOS!A2264)</f>
        <v>46042</v>
      </c>
      <c r="B2256" s="46">
        <f>IF(ORCAMENTOS!B2264="","",ORCAMENTOS!B2264)</f>
        <v>79</v>
      </c>
      <c r="C2256" s="46" t="str">
        <f>IF(ORCAMENTOS!C2264="","",ORCAMENTOS!C2264)</f>
        <v>R1</v>
      </c>
      <c r="D2256" s="37" t="str">
        <f>IF(ORCAMENTOS!D2264="","",ORCAMENTOS!D2264)</f>
        <v>A2 SERVICOS</v>
      </c>
      <c r="E2256" s="38" t="str">
        <f>IF(ORCAMENTOS!E2264="","",ORCAMENTOS!E2264)</f>
        <v>-</v>
      </c>
      <c r="F2256" s="37" t="str">
        <f>IF(ORCAMENTOS!G2264="","",ORCAMENTOS!G2264)</f>
        <v>Gabriel</v>
      </c>
      <c r="G2256" s="37" t="str">
        <f>IF(ORCAMENTOS!H2264="","",ORCAMENTOS!H2264)</f>
        <v>Ronilson</v>
      </c>
      <c r="H2256" s="39">
        <f>IF(ORCAMENTOS!I2264="","",ORCAMENTOS!I2264)</f>
        <v>1284.75</v>
      </c>
      <c r="I2256" s="60">
        <f>IF(ORCAMENTOS!J2264="","",ORCAMENTOS!J2264)</f>
        <v>7.0000000000000007E-2</v>
      </c>
      <c r="J2256" s="40" t="str">
        <f>IF(ORCAMENTOS!L2264="","",ORCAMENTOS!L2264)</f>
        <v>FECHADO</v>
      </c>
      <c r="K2256" s="34" t="str">
        <f>IF(ORCAMENTOS!M2264="","",ORCAMENTOS!M2264)</f>
        <v>-</v>
      </c>
      <c r="L2256" t="str">
        <f>IF(ORCAMENTOS!R2264="","",ORCAMENTOS!R2264)</f>
        <v>-</v>
      </c>
    </row>
    <row r="2257" spans="1:12" ht="15.75" hidden="1" customHeight="1" x14ac:dyDescent="0.25">
      <c r="A2257" s="36">
        <f>IF(ORCAMENTOS!A2265="","",ORCAMENTOS!A2265)</f>
        <v>46042</v>
      </c>
      <c r="B2257" s="46">
        <f>IF(ORCAMENTOS!B2265="","",ORCAMENTOS!B2265)</f>
        <v>80</v>
      </c>
      <c r="C2257" s="46" t="str">
        <f>IF(ORCAMENTOS!C2265="","",ORCAMENTOS!C2265)</f>
        <v/>
      </c>
      <c r="D2257" s="37" t="str">
        <f>IF(ORCAMENTOS!D2265="","",ORCAMENTOS!D2265)</f>
        <v>MJ CLIMATIZACAO</v>
      </c>
      <c r="E2257" s="38" t="str">
        <f>IF(ORCAMENTOS!E2265="","",ORCAMENTOS!E2265)</f>
        <v>ASSAI SANTOS</v>
      </c>
      <c r="F2257" s="37" t="str">
        <f>IF(ORCAMENTOS!G2265="","",ORCAMENTOS!G2265)</f>
        <v>Emanuel</v>
      </c>
      <c r="G2257" s="37" t="str">
        <f>IF(ORCAMENTOS!H2265="","",ORCAMENTOS!H2265)</f>
        <v>Alejandra</v>
      </c>
      <c r="H2257" s="39">
        <f>IF(ORCAMENTOS!I2265="","",ORCAMENTOS!I2265)</f>
        <v>9500.74</v>
      </c>
      <c r="I2257" s="60">
        <f>IF(ORCAMENTOS!J2265="","",ORCAMENTOS!J2265)</f>
        <v>7.0000000000000007E-2</v>
      </c>
      <c r="J2257" s="40" t="str">
        <f>IF(ORCAMENTOS!L2265="","",ORCAMENTOS!L2265)</f>
        <v>CANCELADO</v>
      </c>
      <c r="K2257" s="34" t="str">
        <f>IF(ORCAMENTOS!M2265="","",ORCAMENTOS!M2265)</f>
        <v>-</v>
      </c>
      <c r="L2257" t="str">
        <f>IF(ORCAMENTOS!R2265="","",ORCAMENTOS!R2265)</f>
        <v>-</v>
      </c>
    </row>
    <row r="2258" spans="1:12" ht="15.75" hidden="1" customHeight="1" x14ac:dyDescent="0.25">
      <c r="A2258" s="36">
        <f>IF(ORCAMENTOS!A2266="","",ORCAMENTOS!A2266)</f>
        <v>46042</v>
      </c>
      <c r="B2258" s="46">
        <f>IF(ORCAMENTOS!B2266="","",ORCAMENTOS!B2266)</f>
        <v>81</v>
      </c>
      <c r="C2258" s="46" t="str">
        <f>IF(ORCAMENTOS!C2266="","",ORCAMENTOS!C2266)</f>
        <v/>
      </c>
      <c r="D2258" s="37" t="str">
        <f>IF(ORCAMENTOS!D2266="","",ORCAMENTOS!D2266)</f>
        <v>DUTOMAX</v>
      </c>
      <c r="E2258" s="38" t="str">
        <f>IF(ORCAMENTOS!E2266="","",ORCAMENTOS!E2266)</f>
        <v>AEROPORTO INTERNACIONAL DE SÃO PAULO - GUARULHOS - TERMINAL 2 - TERREO</v>
      </c>
      <c r="F2258" s="37" t="str">
        <f>IF(ORCAMENTOS!G2266="","",ORCAMENTOS!G2266)</f>
        <v>Gabriel</v>
      </c>
      <c r="G2258" s="37" t="str">
        <f>IF(ORCAMENTOS!H2266="","",ORCAMENTOS!H2266)</f>
        <v>Jura</v>
      </c>
      <c r="H2258" s="39">
        <f>IF(ORCAMENTOS!I2266="","",ORCAMENTOS!I2266)</f>
        <v>40065.11</v>
      </c>
      <c r="I2258" s="60">
        <f>IF(ORCAMENTOS!J2266="","",ORCAMENTOS!J2266)</f>
        <v>7.0000000000000007E-2</v>
      </c>
      <c r="J2258" s="40" t="str">
        <f>IF(ORCAMENTOS!L2266="","",ORCAMENTOS!L2266)</f>
        <v>CANCELADO</v>
      </c>
      <c r="K2258" s="34" t="str">
        <f>IF(ORCAMENTOS!M2266="","",ORCAMENTOS!M2266)</f>
        <v>-</v>
      </c>
      <c r="L2258" t="str">
        <f>IF(ORCAMENTOS!R2266="","",ORCAMENTOS!R2266)</f>
        <v>ACO GALVANIZADO</v>
      </c>
    </row>
    <row r="2259" spans="1:12" ht="15.75" hidden="1" customHeight="1" x14ac:dyDescent="0.25">
      <c r="A2259" s="36">
        <f>IF(ORCAMENTOS!A2267="","",ORCAMENTOS!A2267)</f>
        <v>46042</v>
      </c>
      <c r="B2259" s="46">
        <f>IF(ORCAMENTOS!B2267="","",ORCAMENTOS!B2267)</f>
        <v>82</v>
      </c>
      <c r="C2259" s="46" t="str">
        <f>IF(ORCAMENTOS!C2267="","",ORCAMENTOS!C2267)</f>
        <v/>
      </c>
      <c r="D2259" s="37" t="str">
        <f>IF(ORCAMENTOS!D2267="","",ORCAMENTOS!D2267)</f>
        <v>ALMEIDA E LIMA</v>
      </c>
      <c r="E2259" s="38" t="str">
        <f>IF(ORCAMENTOS!E2267="","",ORCAMENTOS!E2267)</f>
        <v>DUTO 06 - BALL JACAREÍ</v>
      </c>
      <c r="F2259" s="37" t="str">
        <f>IF(ORCAMENTOS!G2267="","",ORCAMENTOS!G2267)</f>
        <v>Gabriel</v>
      </c>
      <c r="G2259" s="37" t="str">
        <f>IF(ORCAMENTOS!H2267="","",ORCAMENTOS!H2267)</f>
        <v>Marcelo</v>
      </c>
      <c r="H2259" s="39">
        <f>IF(ORCAMENTOS!I2267="","",ORCAMENTOS!I2267)</f>
        <v>85312.08</v>
      </c>
      <c r="I2259" s="60">
        <f>IF(ORCAMENTOS!J2267="","",ORCAMENTOS!J2267)</f>
        <v>0.06</v>
      </c>
      <c r="J2259" s="40" t="str">
        <f>IF(ORCAMENTOS!L2267="","",ORCAMENTOS!L2267)</f>
        <v>CANCELADO</v>
      </c>
      <c r="K2259" s="34" t="str">
        <f>IF(ORCAMENTOS!M2267="","",ORCAMENTOS!M2267)</f>
        <v>-</v>
      </c>
      <c r="L2259" t="str">
        <f>IF(ORCAMENTOS!R2267="","",ORCAMENTOS!R2267)</f>
        <v>-</v>
      </c>
    </row>
    <row r="2260" spans="1:12" ht="15.75" hidden="1" customHeight="1" x14ac:dyDescent="0.25">
      <c r="A2260" s="36">
        <f>IF(ORCAMENTOS!A2268="","",ORCAMENTOS!A2268)</f>
        <v>46042</v>
      </c>
      <c r="B2260" s="46">
        <f>IF(ORCAMENTOS!B2268="","",ORCAMENTOS!B2268)</f>
        <v>83</v>
      </c>
      <c r="C2260" s="46" t="str">
        <f>IF(ORCAMENTOS!C2268="","",ORCAMENTOS!C2268)</f>
        <v/>
      </c>
      <c r="D2260" s="37" t="str">
        <f>IF(ORCAMENTOS!D2268="","",ORCAMENTOS!D2268)</f>
        <v>ALMEIDA E LIMA</v>
      </c>
      <c r="E2260" s="38" t="str">
        <f>IF(ORCAMENTOS!E2268="","",ORCAMENTOS!E2268)</f>
        <v>DUTO 02 - BALL JACAREÍ</v>
      </c>
      <c r="F2260" s="37" t="str">
        <f>IF(ORCAMENTOS!G2268="","",ORCAMENTOS!G2268)</f>
        <v>Gabriel</v>
      </c>
      <c r="G2260" s="37" t="str">
        <f>IF(ORCAMENTOS!H2268="","",ORCAMENTOS!H2268)</f>
        <v>Marcelo</v>
      </c>
      <c r="H2260" s="39">
        <f>IF(ORCAMENTOS!I2268="","",ORCAMENTOS!I2268)</f>
        <v>3698.26</v>
      </c>
      <c r="I2260" s="60">
        <f>IF(ORCAMENTOS!J2268="","",ORCAMENTOS!J2268)</f>
        <v>7.0000000000000007E-2</v>
      </c>
      <c r="J2260" s="40" t="str">
        <f>IF(ORCAMENTOS!L2268="","",ORCAMENTOS!L2268)</f>
        <v>CANCELADO</v>
      </c>
      <c r="K2260" s="34" t="str">
        <f>IF(ORCAMENTOS!M2268="","",ORCAMENTOS!M2268)</f>
        <v>-</v>
      </c>
      <c r="L2260" t="str">
        <f>IF(ORCAMENTOS!R2268="","",ORCAMENTOS!R2268)</f>
        <v>-</v>
      </c>
    </row>
    <row r="2261" spans="1:12" ht="15.75" hidden="1" customHeight="1" x14ac:dyDescent="0.25">
      <c r="A2261" s="36">
        <f>IF(ORCAMENTOS!A2269="","",ORCAMENTOS!A2269)</f>
        <v>46042</v>
      </c>
      <c r="B2261" s="46">
        <f>IF(ORCAMENTOS!B2269="","",ORCAMENTOS!B2269)</f>
        <v>84</v>
      </c>
      <c r="C2261" s="46" t="str">
        <f>IF(ORCAMENTOS!C2269="","",ORCAMENTOS!C2269)</f>
        <v/>
      </c>
      <c r="D2261" s="37" t="str">
        <f>IF(ORCAMENTOS!D2269="","",ORCAMENTOS!D2269)</f>
        <v>NOSSO AR</v>
      </c>
      <c r="E2261" s="38" t="str">
        <f>IF(ORCAMENTOS!E2269="","",ORCAMENTOS!E2269)</f>
        <v>-</v>
      </c>
      <c r="F2261" s="37" t="str">
        <f>IF(ORCAMENTOS!G2269="","",ORCAMENTOS!G2269)</f>
        <v>Gabriel</v>
      </c>
      <c r="G2261" s="37" t="str">
        <f>IF(ORCAMENTOS!H2269="","",ORCAMENTOS!H2269)</f>
        <v>Lincoln</v>
      </c>
      <c r="H2261" s="39">
        <f>IF(ORCAMENTOS!I2269="","",ORCAMENTOS!I2269)</f>
        <v>109863.34</v>
      </c>
      <c r="I2261" s="60">
        <f>IF(ORCAMENTOS!J2269="","",ORCAMENTOS!J2269)</f>
        <v>7.0000000000000007E-2</v>
      </c>
      <c r="J2261" s="40" t="str">
        <f>IF(ORCAMENTOS!L2269="","",ORCAMENTOS!L2269)</f>
        <v>CANCELADO</v>
      </c>
      <c r="K2261" s="34" t="str">
        <f>IF(ORCAMENTOS!M2269="","",ORCAMENTOS!M2269)</f>
        <v>-</v>
      </c>
      <c r="L2261" t="str">
        <f>IF(ORCAMENTOS!R2269="","",ORCAMENTOS!R2269)</f>
        <v>-</v>
      </c>
    </row>
    <row r="2262" spans="1:12" ht="15.75" hidden="1" customHeight="1" x14ac:dyDescent="0.25">
      <c r="A2262" s="36">
        <f>IF(ORCAMENTOS!A2270="","",ORCAMENTOS!A2270)</f>
        <v>46042</v>
      </c>
      <c r="B2262" s="46">
        <f>IF(ORCAMENTOS!B2270="","",ORCAMENTOS!B2270)</f>
        <v>85</v>
      </c>
      <c r="C2262" s="46" t="str">
        <f>IF(ORCAMENTOS!C2270="","",ORCAMENTOS!C2270)</f>
        <v/>
      </c>
      <c r="D2262" s="37" t="str">
        <f>IF(ORCAMENTOS!D2270="","",ORCAMENTOS!D2270)</f>
        <v>ARTS CLIMA</v>
      </c>
      <c r="E2262" s="38" t="str">
        <f>IF(ORCAMENTOS!E2270="","",ORCAMENTOS!E2270)</f>
        <v>-</v>
      </c>
      <c r="F2262" s="37" t="str">
        <f>IF(ORCAMENTOS!G2270="","",ORCAMENTOS!G2270)</f>
        <v>Gabriel</v>
      </c>
      <c r="G2262" s="37" t="str">
        <f>IF(ORCAMENTOS!H2270="","",ORCAMENTOS!H2270)</f>
        <v/>
      </c>
      <c r="H2262" s="39">
        <f>IF(ORCAMENTOS!I2270="","",ORCAMENTOS!I2270)</f>
        <v>24481.99</v>
      </c>
      <c r="I2262" s="60">
        <f>IF(ORCAMENTOS!J2270="","",ORCAMENTOS!J2270)</f>
        <v>7.0000000000000007E-2</v>
      </c>
      <c r="J2262" s="40" t="str">
        <f>IF(ORCAMENTOS!L2270="","",ORCAMENTOS!L2270)</f>
        <v>CANCELADO</v>
      </c>
      <c r="K2262" s="34" t="str">
        <f>IF(ORCAMENTOS!M2270="","",ORCAMENTOS!M2270)</f>
        <v>-</v>
      </c>
      <c r="L2262" t="str">
        <f>IF(ORCAMENTOS!R2270="","",ORCAMENTOS!R2270)</f>
        <v>-</v>
      </c>
    </row>
    <row r="2263" spans="1:12" ht="15.75" hidden="1" customHeight="1" x14ac:dyDescent="0.25">
      <c r="A2263" s="36">
        <f>IF(ORCAMENTOS!A2271="","",ORCAMENTOS!A2271)</f>
        <v>46042</v>
      </c>
      <c r="B2263" s="46">
        <f>IF(ORCAMENTOS!B2271="","",ORCAMENTOS!B2271)</f>
        <v>86</v>
      </c>
      <c r="C2263" s="46" t="str">
        <f>IF(ORCAMENTOS!C2271="","",ORCAMENTOS!C2271)</f>
        <v/>
      </c>
      <c r="D2263" s="37" t="str">
        <f>IF(ORCAMENTOS!D2271="","",ORCAMENTOS!D2271)</f>
        <v>AIR NET</v>
      </c>
      <c r="E2263" s="38" t="str">
        <f>IF(ORCAMENTOS!E2271="","",ORCAMENTOS!E2271)</f>
        <v>SUZUKI</v>
      </c>
      <c r="F2263" s="37" t="str">
        <f>IF(ORCAMENTOS!G2271="","",ORCAMENTOS!G2271)</f>
        <v>Fernando</v>
      </c>
      <c r="G2263" s="37" t="str">
        <f>IF(ORCAMENTOS!H2271="","",ORCAMENTOS!H2271)</f>
        <v>Domicio</v>
      </c>
      <c r="H2263" s="39">
        <f>IF(ORCAMENTOS!I2271="","",ORCAMENTOS!I2271)</f>
        <v>9322.32</v>
      </c>
      <c r="I2263" s="60">
        <f>IF(ORCAMENTOS!J2271="","",ORCAMENTOS!J2271)</f>
        <v>7.0000000000000007E-2</v>
      </c>
      <c r="J2263" s="40" t="str">
        <f>IF(ORCAMENTOS!L2271="","",ORCAMENTOS!L2271)</f>
        <v>ORCAMENTO</v>
      </c>
      <c r="K2263" s="34" t="str">
        <f>IF(ORCAMENTOS!M2271="","",ORCAMENTOS!M2271)</f>
        <v>-</v>
      </c>
      <c r="L2263" t="str">
        <f>IF(ORCAMENTOS!R2271="","",ORCAMENTOS!R2271)</f>
        <v>-</v>
      </c>
    </row>
    <row r="2264" spans="1:12" ht="15.75" hidden="1" customHeight="1" x14ac:dyDescent="0.25">
      <c r="A2264" s="36">
        <f>IF(ORCAMENTOS!A2272="","",ORCAMENTOS!A2272)</f>
        <v>46043</v>
      </c>
      <c r="B2264" s="46">
        <f>IF(ORCAMENTOS!B2272="","",ORCAMENTOS!B2272)</f>
        <v>87</v>
      </c>
      <c r="C2264" s="46" t="str">
        <f>IF(ORCAMENTOS!C2272="","",ORCAMENTOS!C2272)</f>
        <v/>
      </c>
      <c r="D2264" s="37" t="str">
        <f>IF(ORCAMENTOS!D2272="","",ORCAMENTOS!D2272)</f>
        <v>FG AR CONDICIONADO</v>
      </c>
      <c r="E2264" s="38" t="str">
        <f>IF(ORCAMENTOS!E2272="","",ORCAMENTOS!E2272)</f>
        <v>COMERCIAL ESPERANCA - ITAQUAQUECETUBA - SP</v>
      </c>
      <c r="F2264" s="37" t="str">
        <f>IF(ORCAMENTOS!G2272="","",ORCAMENTOS!G2272)</f>
        <v>Gabriel</v>
      </c>
      <c r="G2264" s="37" t="str">
        <f>IF(ORCAMENTOS!H2272="","",ORCAMENTOS!H2272)</f>
        <v>William</v>
      </c>
      <c r="H2264" s="39">
        <f>IF(ORCAMENTOS!I2272="","",ORCAMENTOS!I2272)</f>
        <v>178751.06</v>
      </c>
      <c r="I2264" s="60">
        <f>IF(ORCAMENTOS!J2272="","",ORCAMENTOS!J2272)</f>
        <v>7.0000000000000007E-2</v>
      </c>
      <c r="J2264" s="40" t="str">
        <f>IF(ORCAMENTOS!L2272="","",ORCAMENTOS!L2272)</f>
        <v>CANCELADO</v>
      </c>
      <c r="K2264" s="34" t="str">
        <f>IF(ORCAMENTOS!M2272="","",ORCAMENTOS!M2272)</f>
        <v>-</v>
      </c>
      <c r="L2264" t="str">
        <f>IF(ORCAMENTOS!R2272="","",ORCAMENTOS!R2272)</f>
        <v>ACO GALVANIZADO</v>
      </c>
    </row>
    <row r="2265" spans="1:12" ht="15.75" hidden="1" customHeight="1" x14ac:dyDescent="0.25">
      <c r="A2265" s="36">
        <f>IF(ORCAMENTOS!A2273="","",ORCAMENTOS!A2273)</f>
        <v>46043</v>
      </c>
      <c r="B2265" s="46">
        <f>IF(ORCAMENTOS!B2273="","",ORCAMENTOS!B2273)</f>
        <v>88</v>
      </c>
      <c r="C2265" s="46" t="str">
        <f>IF(ORCAMENTOS!C2273="","",ORCAMENTOS!C2273)</f>
        <v/>
      </c>
      <c r="D2265" s="37" t="str">
        <f>IF(ORCAMENTOS!D2273="","",ORCAMENTOS!D2273)</f>
        <v>CONTROLE CLIMA</v>
      </c>
      <c r="E2265" s="38" t="str">
        <f>IF(ORCAMENTOS!E2273="","",ORCAMENTOS!E2273)</f>
        <v>-</v>
      </c>
      <c r="F2265" s="37" t="str">
        <f>IF(ORCAMENTOS!G2273="","",ORCAMENTOS!G2273)</f>
        <v>Emanuel</v>
      </c>
      <c r="G2265" s="37" t="str">
        <f>IF(ORCAMENTOS!H2273="","",ORCAMENTOS!H2273)</f>
        <v>Edimario</v>
      </c>
      <c r="H2265" s="39">
        <f>IF(ORCAMENTOS!I2273="","",ORCAMENTOS!I2273)</f>
        <v>141538.57999999999</v>
      </c>
      <c r="I2265" s="60">
        <f>IF(ORCAMENTOS!J2273="","",ORCAMENTOS!J2273)</f>
        <v>0.04</v>
      </c>
      <c r="J2265" s="40" t="str">
        <f>IF(ORCAMENTOS!L2273="","",ORCAMENTOS!L2273)</f>
        <v>FECHADO</v>
      </c>
      <c r="K2265" s="34" t="str">
        <f>IF(ORCAMENTOS!M2273="","",ORCAMENTOS!M2273)</f>
        <v>-</v>
      </c>
      <c r="L2265" t="str">
        <f>IF(ORCAMENTOS!R2273="","",ORCAMENTOS!R2273)</f>
        <v>-</v>
      </c>
    </row>
    <row r="2266" spans="1:12" ht="15.75" hidden="1" customHeight="1" x14ac:dyDescent="0.25">
      <c r="A2266" s="36">
        <f>IF(ORCAMENTOS!A2274="","",ORCAMENTOS!A2274)</f>
        <v>46043</v>
      </c>
      <c r="B2266" s="46">
        <f>IF(ORCAMENTOS!B2274="","",ORCAMENTOS!B2274)</f>
        <v>89</v>
      </c>
      <c r="C2266" s="46" t="str">
        <f>IF(ORCAMENTOS!C2274="","",ORCAMENTOS!C2274)</f>
        <v/>
      </c>
      <c r="D2266" s="37" t="str">
        <f>IF(ORCAMENTOS!D2274="","",ORCAMENTOS!D2274)</f>
        <v>ERALDO OLIVEIRA</v>
      </c>
      <c r="E2266" s="38" t="str">
        <f>IF(ORCAMENTOS!E2274="","",ORCAMENTOS!E2274)</f>
        <v>-</v>
      </c>
      <c r="F2266" s="37" t="str">
        <f>IF(ORCAMENTOS!G2274="","",ORCAMENTOS!G2274)</f>
        <v>Gabriel</v>
      </c>
      <c r="G2266" s="37" t="str">
        <f>IF(ORCAMENTOS!H2274="","",ORCAMENTOS!H2274)</f>
        <v>Eraldo</v>
      </c>
      <c r="H2266" s="39">
        <f>IF(ORCAMENTOS!I2274="","",ORCAMENTOS!I2274)</f>
        <v>3280.69</v>
      </c>
      <c r="I2266" s="60">
        <f>IF(ORCAMENTOS!J2274="","",ORCAMENTOS!J2274)</f>
        <v>0.05</v>
      </c>
      <c r="J2266" s="40" t="str">
        <f>IF(ORCAMENTOS!L2274="","",ORCAMENTOS!L2274)</f>
        <v>CANCELADO</v>
      </c>
      <c r="K2266" s="34" t="str">
        <f>IF(ORCAMENTOS!M2274="","",ORCAMENTOS!M2274)</f>
        <v>-</v>
      </c>
      <c r="L2266" t="str">
        <f>IF(ORCAMENTOS!R2274="","",ORCAMENTOS!R2274)</f>
        <v>-</v>
      </c>
    </row>
    <row r="2267" spans="1:12" ht="15.75" hidden="1" customHeight="1" x14ac:dyDescent="0.25">
      <c r="A2267" s="36">
        <f>IF(ORCAMENTOS!A2275="","",ORCAMENTOS!A2275)</f>
        <v>46043</v>
      </c>
      <c r="B2267" s="46">
        <f>IF(ORCAMENTOS!B2275="","",ORCAMENTOS!B2275)</f>
        <v>90</v>
      </c>
      <c r="C2267" s="46" t="str">
        <f>IF(ORCAMENTOS!C2275="","",ORCAMENTOS!C2275)</f>
        <v/>
      </c>
      <c r="D2267" s="37" t="str">
        <f>IF(ORCAMENTOS!D2275="","",ORCAMENTOS!D2275)</f>
        <v>RICH ENGENHARIA</v>
      </c>
      <c r="E2267" s="38" t="str">
        <f>IF(ORCAMENTOS!E2275="","",ORCAMENTOS!E2275)</f>
        <v>P&amp;D HERSHEYS - SÃO ROQUE - SP</v>
      </c>
      <c r="F2267" s="37" t="str">
        <f>IF(ORCAMENTOS!G2275="","",ORCAMENTOS!G2275)</f>
        <v>Guilherme</v>
      </c>
      <c r="G2267" s="37" t="str">
        <f>IF(ORCAMENTOS!H2275="","",ORCAMENTOS!H2275)</f>
        <v>Ricardo</v>
      </c>
      <c r="H2267" s="39">
        <f>IF(ORCAMENTOS!I2275="","",ORCAMENTOS!I2275)</f>
        <v>8673.09</v>
      </c>
      <c r="I2267" s="60">
        <f>IF(ORCAMENTOS!J2275="","",ORCAMENTOS!J2275)</f>
        <v>7.0000000000000007E-2</v>
      </c>
      <c r="J2267" s="40" t="str">
        <f>IF(ORCAMENTOS!L2275="","",ORCAMENTOS!L2275)</f>
        <v>CANCELADO</v>
      </c>
      <c r="K2267" s="34" t="str">
        <f>IF(ORCAMENTOS!M2275="","",ORCAMENTOS!M2275)</f>
        <v>AGUARDANDO PEDIDO</v>
      </c>
      <c r="L2267" t="str">
        <f>IF(ORCAMENTOS!R2275="","",ORCAMENTOS!R2275)</f>
        <v>-</v>
      </c>
    </row>
    <row r="2268" spans="1:12" ht="15.75" hidden="1" customHeight="1" x14ac:dyDescent="0.25">
      <c r="A2268" s="36">
        <f>IF(ORCAMENTOS!A2276="","",ORCAMENTOS!A2276)</f>
        <v>46043</v>
      </c>
      <c r="B2268" s="46">
        <f>IF(ORCAMENTOS!B2276="","",ORCAMENTOS!B2276)</f>
        <v>91</v>
      </c>
      <c r="C2268" s="46" t="str">
        <f>IF(ORCAMENTOS!C2276="","",ORCAMENTOS!C2276)</f>
        <v/>
      </c>
      <c r="D2268" s="37" t="str">
        <f>IF(ORCAMENTOS!D2276="","",ORCAMENTOS!D2276)</f>
        <v>INOVECTOR</v>
      </c>
      <c r="E2268" s="38" t="str">
        <f>IF(ORCAMENTOS!E2276="","",ORCAMENTOS!E2276)</f>
        <v>SANTA ISABEL</v>
      </c>
      <c r="F2268" s="37" t="str">
        <f>IF(ORCAMENTOS!G2276="","",ORCAMENTOS!G2276)</f>
        <v>Fernando</v>
      </c>
      <c r="G2268" s="37" t="str">
        <f>IF(ORCAMENTOS!H2276="","",ORCAMENTOS!H2276)</f>
        <v>Eliete</v>
      </c>
      <c r="H2268" s="39">
        <f>IF(ORCAMENTOS!I2276="","",ORCAMENTOS!I2276)</f>
        <v>48418</v>
      </c>
      <c r="I2268" s="60">
        <f>IF(ORCAMENTOS!J2276="","",ORCAMENTOS!J2276)</f>
        <v>0.04</v>
      </c>
      <c r="J2268" s="40" t="str">
        <f>IF(ORCAMENTOS!L2276="","",ORCAMENTOS!L2276)</f>
        <v>COMPRA</v>
      </c>
      <c r="K2268" s="34" t="str">
        <f>IF(ORCAMENTOS!M2276="","",ORCAMENTOS!M2276)</f>
        <v>MUDANÇA DE PROJETO</v>
      </c>
      <c r="L2268" t="str">
        <f>IF(ORCAMENTOS!R2276="","",ORCAMENTOS!R2276)</f>
        <v>-</v>
      </c>
    </row>
    <row r="2269" spans="1:12" ht="15.75" hidden="1" customHeight="1" x14ac:dyDescent="0.25">
      <c r="A2269" s="36">
        <f>IF(ORCAMENTOS!A2277="","",ORCAMENTOS!A2277)</f>
        <v>46043</v>
      </c>
      <c r="B2269" s="46">
        <f>IF(ORCAMENTOS!B2277="","",ORCAMENTOS!B2277)</f>
        <v>92</v>
      </c>
      <c r="C2269" s="46" t="str">
        <f>IF(ORCAMENTOS!C2277="","",ORCAMENTOS!C2277)</f>
        <v/>
      </c>
      <c r="D2269" s="37" t="str">
        <f>IF(ORCAMENTOS!D2277="","",ORCAMENTOS!D2277)</f>
        <v>AR SISTEMAS</v>
      </c>
      <c r="E2269" s="38" t="str">
        <f>IF(ORCAMENTOS!E2277="","",ORCAMENTOS!E2277)</f>
        <v>EMBRION MEDICINA REPRODUTIVA - SÃO PAULO - SP</v>
      </c>
      <c r="F2269" s="37" t="str">
        <f>IF(ORCAMENTOS!G2277="","",ORCAMENTOS!G2277)</f>
        <v>Michel</v>
      </c>
      <c r="G2269" s="37" t="str">
        <f>IF(ORCAMENTOS!H2277="","",ORCAMENTOS!H2277)</f>
        <v>Liliam</v>
      </c>
      <c r="H2269" s="39">
        <f>IF(ORCAMENTOS!I2277="","",ORCAMENTOS!I2277)</f>
        <v>63075.56</v>
      </c>
      <c r="I2269" s="60">
        <f>IF(ORCAMENTOS!J2277="","",ORCAMENTOS!J2277)</f>
        <v>7.0000000000000007E-2</v>
      </c>
      <c r="J2269" s="40" t="str">
        <f>IF(ORCAMENTOS!L2277="","",ORCAMENTOS!L2277)</f>
        <v>CANCELADO</v>
      </c>
      <c r="K2269" s="34" t="str">
        <f>IF(ORCAMENTOS!M2277="","",ORCAMENTOS!M2277)</f>
        <v>OBRA DA ISOTEMP</v>
      </c>
      <c r="L2269" t="str">
        <f>IF(ORCAMENTOS!R2277="","",ORCAMENTOS!R2277)</f>
        <v>MPU</v>
      </c>
    </row>
    <row r="2270" spans="1:12" ht="15.75" hidden="1" customHeight="1" x14ac:dyDescent="0.25">
      <c r="A2270" s="36">
        <f>IF(ORCAMENTOS!A2278="","",ORCAMENTOS!A2278)</f>
        <v>46043</v>
      </c>
      <c r="B2270" s="46">
        <f>IF(ORCAMENTOS!B2278="","",ORCAMENTOS!B2278)</f>
        <v>93</v>
      </c>
      <c r="C2270" s="46" t="str">
        <f>IF(ORCAMENTOS!C2278="","",ORCAMENTOS!C2278)</f>
        <v/>
      </c>
      <c r="D2270" s="37" t="str">
        <f>IF(ORCAMENTOS!D2278="","",ORCAMENTOS!D2278)</f>
        <v>ANALISE PLAN</v>
      </c>
      <c r="E2270" s="38" t="str">
        <f>IF(ORCAMENTOS!E2278="","",ORCAMENTOS!E2278)</f>
        <v>HOSPITAL NIPO</v>
      </c>
      <c r="F2270" s="37" t="str">
        <f>IF(ORCAMENTOS!G2278="","",ORCAMENTOS!G2278)</f>
        <v>Michel</v>
      </c>
      <c r="G2270" s="37" t="str">
        <f>IF(ORCAMENTOS!H2278="","",ORCAMENTOS!H2278)</f>
        <v>Marcio</v>
      </c>
      <c r="H2270" s="39">
        <f>IF(ORCAMENTOS!I2278="","",ORCAMENTOS!I2278)</f>
        <v>86437.28</v>
      </c>
      <c r="I2270" s="60">
        <f>IF(ORCAMENTOS!J2278="","",ORCAMENTOS!J2278)</f>
        <v>7.0000000000000007E-2</v>
      </c>
      <c r="J2270" s="40" t="str">
        <f>IF(ORCAMENTOS!L2278="","",ORCAMENTOS!L2278)</f>
        <v>PERDIDO</v>
      </c>
      <c r="K2270" s="34" t="str">
        <f>IF(ORCAMENTOS!M2278="","",ORCAMENTOS!M2278)</f>
        <v>MULTIVAC - PREÇO</v>
      </c>
      <c r="L2270" t="str">
        <f>IF(ORCAMENTOS!R2278="","",ORCAMENTOS!R2278)</f>
        <v>-</v>
      </c>
    </row>
    <row r="2271" spans="1:12" ht="15.75" hidden="1" customHeight="1" x14ac:dyDescent="0.25">
      <c r="A2271" s="36">
        <f>IF(ORCAMENTOS!A2279="","",ORCAMENTOS!A2279)</f>
        <v>46043</v>
      </c>
      <c r="B2271" s="46">
        <f>IF(ORCAMENTOS!B2279="","",ORCAMENTOS!B2279)</f>
        <v>94</v>
      </c>
      <c r="C2271" s="46" t="str">
        <f>IF(ORCAMENTOS!C2279="","",ORCAMENTOS!C2279)</f>
        <v/>
      </c>
      <c r="D2271" s="37" t="str">
        <f>IF(ORCAMENTOS!D2279="","",ORCAMENTOS!D2279)</f>
        <v>TEKNOAR</v>
      </c>
      <c r="E2271" s="38" t="str">
        <f>IF(ORCAMENTOS!E2279="","",ORCAMENTOS!E2279)</f>
        <v>AC TIJUCA</v>
      </c>
      <c r="F2271" s="37" t="str">
        <f>IF(ORCAMENTOS!G2279="","",ORCAMENTOS!G2279)</f>
        <v>Gabriel</v>
      </c>
      <c r="G2271" s="37" t="str">
        <f>IF(ORCAMENTOS!H2279="","",ORCAMENTOS!H2279)</f>
        <v>Mario</v>
      </c>
      <c r="H2271" s="39">
        <f>IF(ORCAMENTOS!I2279="","",ORCAMENTOS!I2279)</f>
        <v>56465.8</v>
      </c>
      <c r="I2271" s="60">
        <f>IF(ORCAMENTOS!J2279="","",ORCAMENTOS!J2279)</f>
        <v>7.0000000000000007E-2</v>
      </c>
      <c r="J2271" s="40" t="str">
        <f>IF(ORCAMENTOS!L2279="","",ORCAMENTOS!L2279)</f>
        <v>CANCELADO</v>
      </c>
      <c r="K2271" s="34" t="str">
        <f>IF(ORCAMENTOS!M2279="","",ORCAMENTOS!M2279)</f>
        <v>-</v>
      </c>
      <c r="L2271" t="str">
        <f>IF(ORCAMENTOS!R2279="","",ORCAMENTOS!R2279)</f>
        <v>-</v>
      </c>
    </row>
    <row r="2272" spans="1:12" ht="15.75" hidden="1" customHeight="1" x14ac:dyDescent="0.25">
      <c r="A2272" s="36">
        <f>IF(ORCAMENTOS!A2280="","",ORCAMENTOS!A2280)</f>
        <v>46043</v>
      </c>
      <c r="B2272" s="46">
        <f>IF(ORCAMENTOS!B2280="","",ORCAMENTOS!B2280)</f>
        <v>95</v>
      </c>
      <c r="C2272" s="46" t="str">
        <f>IF(ORCAMENTOS!C2280="","",ORCAMENTOS!C2280)</f>
        <v/>
      </c>
      <c r="D2272" s="37" t="str">
        <f>IF(ORCAMENTOS!D2280="","",ORCAMENTOS!D2280)</f>
        <v>AEROTHERMIC</v>
      </c>
      <c r="E2272" s="38" t="str">
        <f>IF(ORCAMENTOS!E2280="","",ORCAMENTOS!E2280)</f>
        <v>ALMAPUR - 7º PV</v>
      </c>
      <c r="F2272" s="37" t="str">
        <f>IF(ORCAMENTOS!G2280="","",ORCAMENTOS!G2280)</f>
        <v>Fernando</v>
      </c>
      <c r="G2272" s="37" t="str">
        <f>IF(ORCAMENTOS!H2280="","",ORCAMENTOS!H2280)</f>
        <v>Claudio</v>
      </c>
      <c r="H2272" s="39">
        <f>IF(ORCAMENTOS!I2280="","",ORCAMENTOS!I2280)</f>
        <v>11286.51</v>
      </c>
      <c r="I2272" s="60">
        <f>IF(ORCAMENTOS!J2280="","",ORCAMENTOS!J2280)</f>
        <v>0.04</v>
      </c>
      <c r="J2272" s="40" t="str">
        <f>IF(ORCAMENTOS!L2280="","",ORCAMENTOS!L2280)</f>
        <v>FECHADO</v>
      </c>
      <c r="K2272" s="34" t="str">
        <f>IF(ORCAMENTOS!M2280="","",ORCAMENTOS!M2280)</f>
        <v>-</v>
      </c>
      <c r="L2272" t="str">
        <f>IF(ORCAMENTOS!R2280="","",ORCAMENTOS!R2280)</f>
        <v>-</v>
      </c>
    </row>
    <row r="2273" spans="1:12" ht="15.75" hidden="1" customHeight="1" x14ac:dyDescent="0.25">
      <c r="A2273" s="36">
        <f>IF(ORCAMENTOS!A2281="","",ORCAMENTOS!A2281)</f>
        <v>46065</v>
      </c>
      <c r="B2273" s="46">
        <f>IF(ORCAMENTOS!B2281="","",ORCAMENTOS!B2281)</f>
        <v>96</v>
      </c>
      <c r="C2273" s="46" t="str">
        <f>IF(ORCAMENTOS!C2281="","",ORCAMENTOS!C2281)</f>
        <v/>
      </c>
      <c r="D2273" s="37" t="str">
        <f>IF(ORCAMENTOS!D2281="","",ORCAMENTOS!D2281)</f>
        <v>INOVECTOR</v>
      </c>
      <c r="E2273" s="38" t="str">
        <f>IF(ORCAMENTOS!E2281="","",ORCAMENTOS!E2281)</f>
        <v>25/093 ADC01</v>
      </c>
      <c r="F2273" s="37" t="str">
        <f>IF(ORCAMENTOS!G2281="","",ORCAMENTOS!G2281)</f>
        <v>Fernando</v>
      </c>
      <c r="G2273" s="37" t="str">
        <f>IF(ORCAMENTOS!H2281="","",ORCAMENTOS!H2281)</f>
        <v>Eliete</v>
      </c>
      <c r="H2273" s="39">
        <f>IF(ORCAMENTOS!I2281="","",ORCAMENTOS!I2281)</f>
        <v>11440.24</v>
      </c>
      <c r="I2273" s="60">
        <f>IF(ORCAMENTOS!J2281="","",ORCAMENTOS!J2281)</f>
        <v>0.04</v>
      </c>
      <c r="J2273" s="40" t="str">
        <f>IF(ORCAMENTOS!L2281="","",ORCAMENTOS!L2281)</f>
        <v>PERDIDO</v>
      </c>
      <c r="K2273" s="34" t="str">
        <f>IF(ORCAMENTOS!M2281="","",ORCAMENTOS!M2281)</f>
        <v>ARCOTEC - PACOTE</v>
      </c>
      <c r="L2273" t="str">
        <f>IF(ORCAMENTOS!R2281="","",ORCAMENTOS!R2281)</f>
        <v>-</v>
      </c>
    </row>
    <row r="2274" spans="1:12" ht="15.75" hidden="1" customHeight="1" x14ac:dyDescent="0.25">
      <c r="A2274" s="36">
        <f>IF(ORCAMENTOS!A2282="","",ORCAMENTOS!A2282)</f>
        <v>46043</v>
      </c>
      <c r="B2274" s="46">
        <f>IF(ORCAMENTOS!B2282="","",ORCAMENTOS!B2282)</f>
        <v>97</v>
      </c>
      <c r="C2274" s="46" t="str">
        <f>IF(ORCAMENTOS!C2282="","",ORCAMENTOS!C2282)</f>
        <v/>
      </c>
      <c r="D2274" s="37" t="str">
        <f>IF(ORCAMENTOS!D2282="","",ORCAMENTOS!D2282)</f>
        <v>ELETRO DALBEM</v>
      </c>
      <c r="E2274" s="38" t="str">
        <f>IF(ORCAMENTOS!E2282="","",ORCAMENTOS!E2282)</f>
        <v>-</v>
      </c>
      <c r="F2274" s="37" t="str">
        <f>IF(ORCAMENTOS!G2282="","",ORCAMENTOS!G2282)</f>
        <v>Gabriel</v>
      </c>
      <c r="G2274" s="37" t="str">
        <f>IF(ORCAMENTOS!H2282="","",ORCAMENTOS!H2282)</f>
        <v>Walison</v>
      </c>
      <c r="H2274" s="39">
        <f>IF(ORCAMENTOS!I2282="","",ORCAMENTOS!I2282)</f>
        <v>7480.46</v>
      </c>
      <c r="I2274" s="60">
        <f>IF(ORCAMENTOS!J2282="","",ORCAMENTOS!J2282)</f>
        <v>0.05</v>
      </c>
      <c r="J2274" s="40" t="str">
        <f>IF(ORCAMENTOS!L2282="","",ORCAMENTOS!L2282)</f>
        <v>FECHADO</v>
      </c>
      <c r="K2274" s="34" t="str">
        <f>IF(ORCAMENTOS!M2282="","",ORCAMENTOS!M2282)</f>
        <v>-</v>
      </c>
      <c r="L2274" t="str">
        <f>IF(ORCAMENTOS!R2282="","",ORCAMENTOS!R2282)</f>
        <v>-</v>
      </c>
    </row>
    <row r="2275" spans="1:12" ht="15.75" hidden="1" customHeight="1" x14ac:dyDescent="0.25">
      <c r="A2275" s="36">
        <f>IF(ORCAMENTOS!A2283="","",ORCAMENTOS!A2283)</f>
        <v>46044</v>
      </c>
      <c r="B2275" s="46">
        <f>IF(ORCAMENTOS!B2283="","",ORCAMENTOS!B2283)</f>
        <v>98</v>
      </c>
      <c r="C2275" s="46" t="str">
        <f>IF(ORCAMENTOS!C2283="","",ORCAMENTOS!C2283)</f>
        <v/>
      </c>
      <c r="D2275" s="37" t="str">
        <f>IF(ORCAMENTOS!D2283="","",ORCAMENTOS!D2283)</f>
        <v>WELLNESS</v>
      </c>
      <c r="E2275" s="38" t="str">
        <f>IF(ORCAMENTOS!E2283="","",ORCAMENTOS!E2283)</f>
        <v>GUAXUPE</v>
      </c>
      <c r="F2275" s="37" t="str">
        <f>IF(ORCAMENTOS!G2283="","",ORCAMENTOS!G2283)</f>
        <v>Gabriel</v>
      </c>
      <c r="G2275" s="37" t="str">
        <f>IF(ORCAMENTOS!H2283="","",ORCAMENTOS!H2283)</f>
        <v>Ivanise</v>
      </c>
      <c r="H2275" s="39">
        <f>IF(ORCAMENTOS!I2283="","",ORCAMENTOS!I2283)</f>
        <v>49445.39</v>
      </c>
      <c r="I2275" s="60">
        <f>IF(ORCAMENTOS!J2283="","",ORCAMENTOS!J2283)</f>
        <v>0.05</v>
      </c>
      <c r="J2275" s="40" t="str">
        <f>IF(ORCAMENTOS!L2283="","",ORCAMENTOS!L2283)</f>
        <v>FECHADO</v>
      </c>
      <c r="K2275" s="34" t="str">
        <f>IF(ORCAMENTOS!M2283="","",ORCAMENTOS!M2283)</f>
        <v>-</v>
      </c>
      <c r="L2275" t="str">
        <f>IF(ORCAMENTOS!R2283="","",ORCAMENTOS!R2283)</f>
        <v>-</v>
      </c>
    </row>
    <row r="2276" spans="1:12" ht="15.75" hidden="1" customHeight="1" x14ac:dyDescent="0.25">
      <c r="A2276" s="36">
        <f>IF(ORCAMENTOS!A2284="","",ORCAMENTOS!A2284)</f>
        <v>46049</v>
      </c>
      <c r="B2276" s="46">
        <f>IF(ORCAMENTOS!B2284="","",ORCAMENTOS!B2284)</f>
        <v>99</v>
      </c>
      <c r="C2276" s="46" t="str">
        <f>IF(ORCAMENTOS!C2284="","",ORCAMENTOS!C2284)</f>
        <v>R4</v>
      </c>
      <c r="D2276" s="37" t="str">
        <f>IF(ORCAMENTOS!D2284="","",ORCAMENTOS!D2284)</f>
        <v>LACORTE REFRIGERACAO</v>
      </c>
      <c r="E2276" s="38" t="str">
        <f>IF(ORCAMENTOS!E2284="","",ORCAMENTOS!E2284)</f>
        <v>-</v>
      </c>
      <c r="F2276" s="37" t="str">
        <f>IF(ORCAMENTOS!G2284="","",ORCAMENTOS!G2284)</f>
        <v>Gabriel</v>
      </c>
      <c r="G2276" s="37" t="str">
        <f>IF(ORCAMENTOS!H2284="","",ORCAMENTOS!H2284)</f>
        <v>Carlos</v>
      </c>
      <c r="H2276" s="39">
        <f>IF(ORCAMENTOS!I2284="","",ORCAMENTOS!I2284)</f>
        <v>36159.42</v>
      </c>
      <c r="I2276" s="60">
        <f>IF(ORCAMENTOS!J2284="","",ORCAMENTOS!J2284)</f>
        <v>0.04</v>
      </c>
      <c r="J2276" s="40" t="str">
        <f>IF(ORCAMENTOS!L2284="","",ORCAMENTOS!L2284)</f>
        <v>CANCELADO</v>
      </c>
      <c r="K2276" s="34" t="str">
        <f>IF(ORCAMENTOS!M2284="","",ORCAMENTOS!M2284)</f>
        <v>-</v>
      </c>
      <c r="L2276" t="str">
        <f>IF(ORCAMENTOS!R2284="","",ORCAMENTOS!R2284)</f>
        <v>-</v>
      </c>
    </row>
    <row r="2277" spans="1:12" ht="15.75" hidden="1" customHeight="1" x14ac:dyDescent="0.25">
      <c r="A2277" s="36">
        <f>IF(ORCAMENTOS!A2285="","",ORCAMENTOS!A2285)</f>
        <v>46045</v>
      </c>
      <c r="B2277" s="46">
        <f>IF(ORCAMENTOS!B2285="","",ORCAMENTOS!B2285)</f>
        <v>100</v>
      </c>
      <c r="C2277" s="46" t="str">
        <f>IF(ORCAMENTOS!C2285="","",ORCAMENTOS!C2285)</f>
        <v>R2</v>
      </c>
      <c r="D2277" s="37" t="str">
        <f>IF(ORCAMENTOS!D2285="","",ORCAMENTOS!D2285)</f>
        <v>MANENG</v>
      </c>
      <c r="E2277" s="38" t="str">
        <f>IF(ORCAMENTOS!E2285="","",ORCAMENTOS!E2285)</f>
        <v>-</v>
      </c>
      <c r="F2277" s="37" t="str">
        <f>IF(ORCAMENTOS!G2285="","",ORCAMENTOS!G2285)</f>
        <v>Guilherme</v>
      </c>
      <c r="G2277" s="37" t="str">
        <f>IF(ORCAMENTOS!H2285="","",ORCAMENTOS!H2285)</f>
        <v>Gabrielle</v>
      </c>
      <c r="H2277" s="39">
        <f>IF(ORCAMENTOS!I2285="","",ORCAMENTOS!I2285)</f>
        <v>36355.22</v>
      </c>
      <c r="I2277" s="60">
        <f>IF(ORCAMENTOS!J2285="","",ORCAMENTOS!J2285)</f>
        <v>0.05</v>
      </c>
      <c r="J2277" s="40" t="str">
        <f>IF(ORCAMENTOS!L2285="","",ORCAMENTOS!L2285)</f>
        <v>FECHADO</v>
      </c>
      <c r="K2277" s="34" t="str">
        <f>IF(ORCAMENTOS!M2285="","",ORCAMENTOS!M2285)</f>
        <v>-</v>
      </c>
      <c r="L2277" t="str">
        <f>IF(ORCAMENTOS!R2285="","",ORCAMENTOS!R2285)</f>
        <v>-</v>
      </c>
    </row>
    <row r="2278" spans="1:12" ht="15.75" hidden="1" customHeight="1" x14ac:dyDescent="0.25">
      <c r="A2278" s="36">
        <f>IF(ORCAMENTOS!A2286="","",ORCAMENTOS!A2286)</f>
        <v>46044</v>
      </c>
      <c r="B2278" s="46">
        <f>IF(ORCAMENTOS!B2286="","",ORCAMENTOS!B2286)</f>
        <v>101</v>
      </c>
      <c r="C2278" s="46" t="str">
        <f>IF(ORCAMENTOS!C2286="","",ORCAMENTOS!C2286)</f>
        <v/>
      </c>
      <c r="D2278" s="37" t="str">
        <f>IF(ORCAMENTOS!D2286="","",ORCAMENTOS!D2286)</f>
        <v>TERMOCLIMA</v>
      </c>
      <c r="E2278" s="38" t="str">
        <f>IF(ORCAMENTOS!E2286="","",ORCAMENTOS!E2286)</f>
        <v>SESC - SAO SEBASTIAO DO PARAISO</v>
      </c>
      <c r="F2278" s="37" t="str">
        <f>IF(ORCAMENTOS!G2286="","",ORCAMENTOS!G2286)</f>
        <v>Gabriel</v>
      </c>
      <c r="G2278" s="37" t="str">
        <f>IF(ORCAMENTOS!H2286="","",ORCAMENTOS!H2286)</f>
        <v>Pedro</v>
      </c>
      <c r="H2278" s="39">
        <f>IF(ORCAMENTOS!I2286="","",ORCAMENTOS!I2286)</f>
        <v>71709.960000000006</v>
      </c>
      <c r="I2278" s="60">
        <f>IF(ORCAMENTOS!J2286="","",ORCAMENTOS!J2286)</f>
        <v>7.0000000000000007E-2</v>
      </c>
      <c r="J2278" s="40" t="str">
        <f>IF(ORCAMENTOS!L2286="","",ORCAMENTOS!L2286)</f>
        <v>CANCELADO</v>
      </c>
      <c r="K2278" s="34" t="str">
        <f>IF(ORCAMENTOS!M2286="","",ORCAMENTOS!M2286)</f>
        <v>-</v>
      </c>
      <c r="L2278" t="str">
        <f>IF(ORCAMENTOS!R2286="","",ORCAMENTOS!R2286)</f>
        <v>-</v>
      </c>
    </row>
    <row r="2279" spans="1:12" ht="15.75" hidden="1" customHeight="1" x14ac:dyDescent="0.25">
      <c r="A2279" s="36">
        <f>IF(ORCAMENTOS!A2287="","",ORCAMENTOS!A2287)</f>
        <v>46044</v>
      </c>
      <c r="B2279" s="46">
        <f>IF(ORCAMENTOS!B2287="","",ORCAMENTOS!B2287)</f>
        <v>102</v>
      </c>
      <c r="C2279" s="46" t="str">
        <f>IF(ORCAMENTOS!C2287="","",ORCAMENTOS!C2287)</f>
        <v/>
      </c>
      <c r="D2279" s="37" t="str">
        <f>IF(ORCAMENTOS!D2287="","",ORCAMENTOS!D2287)</f>
        <v>DUCTBUSTERS</v>
      </c>
      <c r="E2279" s="38" t="str">
        <f>IF(ORCAMENTOS!E2287="","",ORCAMENTOS!E2287)</f>
        <v>-</v>
      </c>
      <c r="F2279" s="37" t="str">
        <f>IF(ORCAMENTOS!G2287="","",ORCAMENTOS!G2287)</f>
        <v>Michel</v>
      </c>
      <c r="G2279" s="37" t="str">
        <f>IF(ORCAMENTOS!H2287="","",ORCAMENTOS!H2287)</f>
        <v>Camila</v>
      </c>
      <c r="H2279" s="39">
        <f>IF(ORCAMENTOS!I2287="","",ORCAMENTOS!I2287)</f>
        <v>1000.49</v>
      </c>
      <c r="I2279" s="60">
        <f>IF(ORCAMENTOS!J2287="","",ORCAMENTOS!J2287)</f>
        <v>7.0000000000000007E-2</v>
      </c>
      <c r="J2279" s="40" t="str">
        <f>IF(ORCAMENTOS!L2287="","",ORCAMENTOS!L2287)</f>
        <v>FECHADO</v>
      </c>
      <c r="K2279" s="34" t="str">
        <f>IF(ORCAMENTOS!M2287="","",ORCAMENTOS!M2287)</f>
        <v>-</v>
      </c>
      <c r="L2279" t="str">
        <f>IF(ORCAMENTOS!R2287="","",ORCAMENTOS!R2287)</f>
        <v>-</v>
      </c>
    </row>
    <row r="2280" spans="1:12" ht="15.75" hidden="1" customHeight="1" x14ac:dyDescent="0.25">
      <c r="A2280" s="36">
        <f>IF(ORCAMENTOS!A2288="","",ORCAMENTOS!A2288)</f>
        <v>46044</v>
      </c>
      <c r="B2280" s="46">
        <f>IF(ORCAMENTOS!B2288="","",ORCAMENTOS!B2288)</f>
        <v>103</v>
      </c>
      <c r="C2280" s="46" t="str">
        <f>IF(ORCAMENTOS!C2288="","",ORCAMENTOS!C2288)</f>
        <v/>
      </c>
      <c r="D2280" s="37" t="str">
        <f>IF(ORCAMENTOS!D2288="","",ORCAMENTOS!D2288)</f>
        <v>NOSSO AR</v>
      </c>
      <c r="E2280" s="38" t="str">
        <f>IF(ORCAMENTOS!E2288="","",ORCAMENTOS!E2288)</f>
        <v>-</v>
      </c>
      <c r="F2280" s="37" t="str">
        <f>IF(ORCAMENTOS!G2288="","",ORCAMENTOS!G2288)</f>
        <v>Gabriel</v>
      </c>
      <c r="G2280" s="37" t="str">
        <f>IF(ORCAMENTOS!H2288="","",ORCAMENTOS!H2288)</f>
        <v>Yasmin</v>
      </c>
      <c r="H2280" s="39">
        <f>IF(ORCAMENTOS!I2288="","",ORCAMENTOS!I2288)</f>
        <v>38076</v>
      </c>
      <c r="I2280" s="60">
        <f>IF(ORCAMENTOS!J2288="","",ORCAMENTOS!J2288)</f>
        <v>7.0000000000000007E-2</v>
      </c>
      <c r="J2280" s="40" t="str">
        <f>IF(ORCAMENTOS!L2288="","",ORCAMENTOS!L2288)</f>
        <v>CANCELADO</v>
      </c>
      <c r="K2280" s="34" t="str">
        <f>IF(ORCAMENTOS!M2288="","",ORCAMENTOS!M2288)</f>
        <v>-</v>
      </c>
      <c r="L2280" t="str">
        <f>IF(ORCAMENTOS!R2288="","",ORCAMENTOS!R2288)</f>
        <v>-</v>
      </c>
    </row>
    <row r="2281" spans="1:12" ht="15.75" hidden="1" customHeight="1" x14ac:dyDescent="0.25">
      <c r="A2281" s="36">
        <f>IF(ORCAMENTOS!A2289="","",ORCAMENTOS!A2289)</f>
        <v>46044</v>
      </c>
      <c r="B2281" s="46">
        <f>IF(ORCAMENTOS!B2289="","",ORCAMENTOS!B2289)</f>
        <v>104</v>
      </c>
      <c r="C2281" s="46" t="str">
        <f>IF(ORCAMENTOS!C2289="","",ORCAMENTOS!C2289)</f>
        <v/>
      </c>
      <c r="D2281" s="37" t="str">
        <f>IF(ORCAMENTOS!D2289="","",ORCAMENTOS!D2289)</f>
        <v>HVAC ENGENHARIA</v>
      </c>
      <c r="E2281" s="38" t="str">
        <f>IF(ORCAMENTOS!E2289="","",ORCAMENTOS!E2289)</f>
        <v>OBRAMAX ARICANDUVA</v>
      </c>
      <c r="F2281" s="37" t="str">
        <f>IF(ORCAMENTOS!G2289="","",ORCAMENTOS!G2289)</f>
        <v>Michel</v>
      </c>
      <c r="G2281" s="37" t="str">
        <f>IF(ORCAMENTOS!H2289="","",ORCAMENTOS!H2289)</f>
        <v>Anders</v>
      </c>
      <c r="H2281" s="39">
        <f>IF(ORCAMENTOS!I2289="","",ORCAMENTOS!I2289)</f>
        <v>4020.3</v>
      </c>
      <c r="I2281" s="60">
        <f>IF(ORCAMENTOS!J2289="","",ORCAMENTOS!J2289)</f>
        <v>7.0000000000000007E-2</v>
      </c>
      <c r="J2281" s="40" t="str">
        <f>IF(ORCAMENTOS!L2289="","",ORCAMENTOS!L2289)</f>
        <v>FECHADO</v>
      </c>
      <c r="K2281" s="34" t="str">
        <f>IF(ORCAMENTOS!M2289="","",ORCAMENTOS!M2289)</f>
        <v>-</v>
      </c>
      <c r="L2281" t="str">
        <f>IF(ORCAMENTOS!R2289="","",ORCAMENTOS!R2289)</f>
        <v>-</v>
      </c>
    </row>
    <row r="2282" spans="1:12" ht="15.75" hidden="1" customHeight="1" x14ac:dyDescent="0.25">
      <c r="A2282" s="36">
        <f>IF(ORCAMENTOS!A2290="","",ORCAMENTOS!A2290)</f>
        <v>46044</v>
      </c>
      <c r="B2282" s="46">
        <f>IF(ORCAMENTOS!B2290="","",ORCAMENTOS!B2290)</f>
        <v>105</v>
      </c>
      <c r="C2282" s="46" t="str">
        <f>IF(ORCAMENTOS!C2290="","",ORCAMENTOS!C2290)</f>
        <v>R1</v>
      </c>
      <c r="D2282" s="37" t="str">
        <f>IF(ORCAMENTOS!D2290="","",ORCAMENTOS!D2290)</f>
        <v>GLOBAL CLIMA</v>
      </c>
      <c r="E2282" s="38" t="str">
        <f>IF(ORCAMENTOS!E2290="","",ORCAMENTOS!E2290)</f>
        <v>SANTA MAGGIORE - UNIDADE MADAGASCAR</v>
      </c>
      <c r="F2282" s="37" t="str">
        <f>IF(ORCAMENTOS!G2290="","",ORCAMENTOS!G2290)</f>
        <v>Emanuel</v>
      </c>
      <c r="G2282" s="37" t="str">
        <f>IF(ORCAMENTOS!H2290="","",ORCAMENTOS!H2290)</f>
        <v>Jonatas</v>
      </c>
      <c r="H2282" s="39">
        <f>IF(ORCAMENTOS!I2290="","",ORCAMENTOS!I2290)</f>
        <v>30407.22</v>
      </c>
      <c r="I2282" s="60">
        <f>IF(ORCAMENTOS!J2290="","",ORCAMENTOS!J2290)</f>
        <v>0.05</v>
      </c>
      <c r="J2282" s="40" t="str">
        <f>IF(ORCAMENTOS!L2290="","",ORCAMENTOS!L2290)</f>
        <v>CANCELADO</v>
      </c>
      <c r="K2282" s="34" t="str">
        <f>IF(ORCAMENTOS!M2290="","",ORCAMENTOS!M2290)</f>
        <v>-</v>
      </c>
      <c r="L2282" t="str">
        <f>IF(ORCAMENTOS!R2290="","",ORCAMENTOS!R2290)</f>
        <v>N/E</v>
      </c>
    </row>
    <row r="2283" spans="1:12" ht="15.75" hidden="1" customHeight="1" x14ac:dyDescent="0.25">
      <c r="A2283" s="36">
        <f>IF(ORCAMENTOS!A2291="","",ORCAMENTOS!A2291)</f>
        <v>46044</v>
      </c>
      <c r="B2283" s="46">
        <f>IF(ORCAMENTOS!B2291="","",ORCAMENTOS!B2291)</f>
        <v>106</v>
      </c>
      <c r="C2283" s="46" t="str">
        <f>IF(ORCAMENTOS!C2291="","",ORCAMENTOS!C2291)</f>
        <v/>
      </c>
      <c r="D2283" s="37" t="str">
        <f>IF(ORCAMENTOS!D2291="","",ORCAMENTOS!D2291)</f>
        <v>RICH ENGENHARIA</v>
      </c>
      <c r="E2283" s="38" t="str">
        <f>IF(ORCAMENTOS!E2291="","",ORCAMENTOS!E2291)</f>
        <v>CLUBE TERMAS DE ITU - ACADEMIA TERRAS 2 - COBERTURA</v>
      </c>
      <c r="F2283" s="37" t="str">
        <f>IF(ORCAMENTOS!G2291="","",ORCAMENTOS!G2291)</f>
        <v>Guilherme</v>
      </c>
      <c r="G2283" s="37" t="str">
        <f>IF(ORCAMENTOS!H2291="","",ORCAMENTOS!H2291)</f>
        <v>Ricardo</v>
      </c>
      <c r="H2283" s="39">
        <f>IF(ORCAMENTOS!I2291="","",ORCAMENTOS!I2291)</f>
        <v>3440.45</v>
      </c>
      <c r="I2283" s="60">
        <f>IF(ORCAMENTOS!J2291="","",ORCAMENTOS!J2291)</f>
        <v>7.0000000000000007E-2</v>
      </c>
      <c r="J2283" s="40" t="str">
        <f>IF(ORCAMENTOS!L2291="","",ORCAMENTOS!L2291)</f>
        <v>CANCELADO</v>
      </c>
      <c r="K2283" s="34" t="str">
        <f>IF(ORCAMENTOS!M2291="","",ORCAMENTOS!M2291)</f>
        <v>-</v>
      </c>
      <c r="L2283" t="str">
        <f>IF(ORCAMENTOS!R2291="","",ORCAMENTOS!R2291)</f>
        <v>-</v>
      </c>
    </row>
    <row r="2284" spans="1:12" ht="15.75" hidden="1" customHeight="1" x14ac:dyDescent="0.25">
      <c r="A2284" s="36">
        <f>IF(ORCAMENTOS!A2292="","",ORCAMENTOS!A2292)</f>
        <v>46044</v>
      </c>
      <c r="B2284" s="46">
        <f>IF(ORCAMENTOS!B2292="","",ORCAMENTOS!B2292)</f>
        <v>107</v>
      </c>
      <c r="C2284" s="46" t="str">
        <f>IF(ORCAMENTOS!C2292="","",ORCAMENTOS!C2292)</f>
        <v/>
      </c>
      <c r="D2284" s="37" t="str">
        <f>IF(ORCAMENTOS!D2292="","",ORCAMENTOS!D2292)</f>
        <v>RICH ENGENHARIA</v>
      </c>
      <c r="E2284" s="38" t="str">
        <f>IF(ORCAMENTOS!E2292="","",ORCAMENTOS!E2292)</f>
        <v>CLUBE TERMAS DE ITU - ACADEMIA TERRAS 2 - TERREO</v>
      </c>
      <c r="F2284" s="37" t="str">
        <f>IF(ORCAMENTOS!G2292="","",ORCAMENTOS!G2292)</f>
        <v>Guilherme</v>
      </c>
      <c r="G2284" s="37" t="str">
        <f>IF(ORCAMENTOS!H2292="","",ORCAMENTOS!H2292)</f>
        <v>Ricardo</v>
      </c>
      <c r="H2284" s="39">
        <f>IF(ORCAMENTOS!I2292="","",ORCAMENTOS!I2292)</f>
        <v>6198.52</v>
      </c>
      <c r="I2284" s="60">
        <f>IF(ORCAMENTOS!J2292="","",ORCAMENTOS!J2292)</f>
        <v>7.0000000000000007E-2</v>
      </c>
      <c r="J2284" s="40" t="str">
        <f>IF(ORCAMENTOS!L2292="","",ORCAMENTOS!L2292)</f>
        <v>CANCELADO</v>
      </c>
      <c r="K2284" s="34" t="str">
        <f>IF(ORCAMENTOS!M2292="","",ORCAMENTOS!M2292)</f>
        <v>-</v>
      </c>
      <c r="L2284" t="str">
        <f>IF(ORCAMENTOS!R2292="","",ORCAMENTOS!R2292)</f>
        <v>-</v>
      </c>
    </row>
    <row r="2285" spans="1:12" ht="15.75" hidden="1" customHeight="1" x14ac:dyDescent="0.25">
      <c r="A2285" s="36">
        <f>IF(ORCAMENTOS!A2293="","",ORCAMENTOS!A2293)</f>
        <v>46044</v>
      </c>
      <c r="B2285" s="46">
        <f>IF(ORCAMENTOS!B2293="","",ORCAMENTOS!B2293)</f>
        <v>108</v>
      </c>
      <c r="C2285" s="46" t="str">
        <f>IF(ORCAMENTOS!C2293="","",ORCAMENTOS!C2293)</f>
        <v/>
      </c>
      <c r="D2285" s="37" t="str">
        <f>IF(ORCAMENTOS!D2293="","",ORCAMENTOS!D2293)</f>
        <v>RICH ENGENHARIA</v>
      </c>
      <c r="E2285" s="38" t="str">
        <f>IF(ORCAMENTOS!E2293="","",ORCAMENTOS!E2293)</f>
        <v>CLUBE TERMAS DE ITU - ACADEMIA TERRAS 2 - SUBSOLO</v>
      </c>
      <c r="F2285" s="37" t="str">
        <f>IF(ORCAMENTOS!G2293="","",ORCAMENTOS!G2293)</f>
        <v>Guilherme</v>
      </c>
      <c r="G2285" s="37" t="str">
        <f>IF(ORCAMENTOS!H2293="","",ORCAMENTOS!H2293)</f>
        <v>Ricardo</v>
      </c>
      <c r="H2285" s="39">
        <f>IF(ORCAMENTOS!I2293="","",ORCAMENTOS!I2293)</f>
        <v>3618.37</v>
      </c>
      <c r="I2285" s="60">
        <f>IF(ORCAMENTOS!J2293="","",ORCAMENTOS!J2293)</f>
        <v>7.0000000000000007E-2</v>
      </c>
      <c r="J2285" s="40" t="str">
        <f>IF(ORCAMENTOS!L2293="","",ORCAMENTOS!L2293)</f>
        <v>CANCELADO</v>
      </c>
      <c r="K2285" s="34" t="str">
        <f>IF(ORCAMENTOS!M2293="","",ORCAMENTOS!M2293)</f>
        <v>-</v>
      </c>
      <c r="L2285" t="str">
        <f>IF(ORCAMENTOS!R2293="","",ORCAMENTOS!R2293)</f>
        <v>-</v>
      </c>
    </row>
    <row r="2286" spans="1:12" ht="15.75" hidden="1" customHeight="1" x14ac:dyDescent="0.25">
      <c r="A2286" s="36">
        <f>IF(ORCAMENTOS!A2294="","",ORCAMENTOS!A2294)</f>
        <v>46050</v>
      </c>
      <c r="B2286" s="46">
        <f>IF(ORCAMENTOS!B2294="","",ORCAMENTOS!B2294)</f>
        <v>109</v>
      </c>
      <c r="C2286" s="46" t="str">
        <f>IF(ORCAMENTOS!C2294="","",ORCAMENTOS!C2294)</f>
        <v>R1</v>
      </c>
      <c r="D2286" s="37" t="str">
        <f>IF(ORCAMENTOS!D2294="","",ORCAMENTOS!D2294)</f>
        <v>AIR NET</v>
      </c>
      <c r="E2286" s="38" t="str">
        <f>IF(ORCAMENTOS!E2294="","",ORCAMENTOS!E2294)</f>
        <v>RAIZEN GASA</v>
      </c>
      <c r="F2286" s="37" t="str">
        <f>IF(ORCAMENTOS!G2294="","",ORCAMENTOS!G2294)</f>
        <v>Fernando</v>
      </c>
      <c r="G2286" s="37" t="str">
        <f>IF(ORCAMENTOS!H2294="","",ORCAMENTOS!H2294)</f>
        <v>Flavia</v>
      </c>
      <c r="H2286" s="39">
        <f>IF(ORCAMENTOS!I2294="","",ORCAMENTOS!I2294)</f>
        <v>410953.03</v>
      </c>
      <c r="I2286" s="60">
        <f>IF(ORCAMENTOS!J2294="","",ORCAMENTOS!J2294)</f>
        <v>0.05</v>
      </c>
      <c r="J2286" s="40" t="str">
        <f>IF(ORCAMENTOS!L2294="","",ORCAMENTOS!L2294)</f>
        <v>CANCELADO</v>
      </c>
      <c r="K2286" s="34" t="str">
        <f>IF(ORCAMENTOS!M2294="","",ORCAMENTOS!M2294)</f>
        <v>CLIENTE NEGOCIANDO</v>
      </c>
      <c r="L2286" t="str">
        <f>IF(ORCAMENTOS!R2294="","",ORCAMENTOS!R2294)</f>
        <v>-</v>
      </c>
    </row>
    <row r="2287" spans="1:12" ht="15.75" hidden="1" customHeight="1" x14ac:dyDescent="0.25">
      <c r="A2287" s="36">
        <f>IF(ORCAMENTOS!A2295="","",ORCAMENTOS!A2295)</f>
        <v>46045</v>
      </c>
      <c r="B2287" s="46">
        <f>IF(ORCAMENTOS!B2295="","",ORCAMENTOS!B2295)</f>
        <v>110</v>
      </c>
      <c r="C2287" s="46" t="str">
        <f>IF(ORCAMENTOS!C2295="","",ORCAMENTOS!C2295)</f>
        <v/>
      </c>
      <c r="D2287" s="37" t="str">
        <f>IF(ORCAMENTOS!D2295="","",ORCAMENTOS!D2295)</f>
        <v>AR SISTEMAS</v>
      </c>
      <c r="E2287" s="38" t="str">
        <f>IF(ORCAMENTOS!E2295="","",ORCAMENTOS!E2295)</f>
        <v>LIEBHERR - GALPAO 2 - VILA BELA - GUARATINGUETA - SP</v>
      </c>
      <c r="F2287" s="37" t="str">
        <f>IF(ORCAMENTOS!G2295="","",ORCAMENTOS!G2295)</f>
        <v>Michel</v>
      </c>
      <c r="G2287" s="37" t="str">
        <f>IF(ORCAMENTOS!H2295="","",ORCAMENTOS!H2295)</f>
        <v>Anderson</v>
      </c>
      <c r="H2287" s="39">
        <f>IF(ORCAMENTOS!I2295="","",ORCAMENTOS!I2295)</f>
        <v>224868.55</v>
      </c>
      <c r="I2287" s="60">
        <f>IF(ORCAMENTOS!J2295="","",ORCAMENTOS!J2295)</f>
        <v>0.04</v>
      </c>
      <c r="J2287" s="40" t="str">
        <f>IF(ORCAMENTOS!L2295="","",ORCAMENTOS!L2295)</f>
        <v>FECHADO</v>
      </c>
      <c r="K2287" s="34" t="str">
        <f>IF(ORCAMENTOS!M2295="","",ORCAMENTOS!M2295)</f>
        <v>-</v>
      </c>
      <c r="L2287" t="str">
        <f>IF(ORCAMENTOS!R2295="","",ORCAMENTOS!R2295)</f>
        <v>-</v>
      </c>
    </row>
    <row r="2288" spans="1:12" ht="15.75" hidden="1" customHeight="1" x14ac:dyDescent="0.25">
      <c r="A2288" s="36">
        <f>IF(ORCAMENTOS!A2296="","",ORCAMENTOS!A2296)</f>
        <v>46048</v>
      </c>
      <c r="B2288" s="46">
        <f>IF(ORCAMENTOS!B2296="","",ORCAMENTOS!B2296)</f>
        <v>111</v>
      </c>
      <c r="C2288" s="46" t="str">
        <f>IF(ORCAMENTOS!C2296="","",ORCAMENTOS!C2296)</f>
        <v>R1</v>
      </c>
      <c r="D2288" s="37" t="str">
        <f>IF(ORCAMENTOS!D2296="","",ORCAMENTOS!D2296)</f>
        <v>AWA AR CONDICIONADO</v>
      </c>
      <c r="E2288" s="38" t="str">
        <f>IF(ORCAMENTOS!E2296="","",ORCAMENTOS!E2296)</f>
        <v>MIX MATEUS - TERESINA SUL - PI</v>
      </c>
      <c r="F2288" s="37" t="str">
        <f>IF(ORCAMENTOS!G2296="","",ORCAMENTOS!G2296)</f>
        <v>Guilherme</v>
      </c>
      <c r="G2288" s="37" t="str">
        <f>IF(ORCAMENTOS!H2296="","",ORCAMENTOS!H2296)</f>
        <v>Guilherme</v>
      </c>
      <c r="H2288" s="39">
        <f>IF(ORCAMENTOS!I2296="","",ORCAMENTOS!I2296)</f>
        <v>220151.27</v>
      </c>
      <c r="I2288" s="60">
        <f>IF(ORCAMENTOS!J2296="","",ORCAMENTOS!J2296)</f>
        <v>7.0000000000000007E-2</v>
      </c>
      <c r="J2288" s="40" t="str">
        <f>IF(ORCAMENTOS!L2296="","",ORCAMENTOS!L2296)</f>
        <v>CANCELADO</v>
      </c>
      <c r="K2288" s="34" t="str">
        <f>IF(ORCAMENTOS!M2296="","",ORCAMENTOS!M2296)</f>
        <v>GRANDES CHANCES</v>
      </c>
      <c r="L2288" t="str">
        <f>IF(ORCAMENTOS!R2296="","",ORCAMENTOS!R2296)</f>
        <v>N/E</v>
      </c>
    </row>
    <row r="2289" spans="1:12" ht="15.75" hidden="1" customHeight="1" x14ac:dyDescent="0.25">
      <c r="A2289" s="36">
        <f>IF(ORCAMENTOS!A2297="","",ORCAMENTOS!A2297)</f>
        <v>46045</v>
      </c>
      <c r="B2289" s="46">
        <f>IF(ORCAMENTOS!B2297="","",ORCAMENTOS!B2297)</f>
        <v>112</v>
      </c>
      <c r="C2289" s="46" t="str">
        <f>IF(ORCAMENTOS!C2297="","",ORCAMENTOS!C2297)</f>
        <v/>
      </c>
      <c r="D2289" s="37" t="str">
        <f>IF(ORCAMENTOS!D2297="","",ORCAMENTOS!D2297)</f>
        <v>AIRPLAN</v>
      </c>
      <c r="E2289" s="38" t="str">
        <f>IF(ORCAMENTOS!E2297="","",ORCAMENTOS!E2297)</f>
        <v>YOUCOM - SH TOP CENTER PAULISTA - SP</v>
      </c>
      <c r="F2289" s="37" t="str">
        <f>IF(ORCAMENTOS!G2297="","",ORCAMENTOS!G2297)</f>
        <v>Guilherme</v>
      </c>
      <c r="G2289" s="37" t="str">
        <f>IF(ORCAMENTOS!H2297="","",ORCAMENTOS!H2297)</f>
        <v>Gabriel</v>
      </c>
      <c r="H2289" s="39">
        <f>IF(ORCAMENTOS!I2297="","",ORCAMENTOS!I2297)</f>
        <v>14815.38</v>
      </c>
      <c r="I2289" s="60">
        <f>IF(ORCAMENTOS!J2297="","",ORCAMENTOS!J2297)</f>
        <v>7.0000000000000007E-2</v>
      </c>
      <c r="J2289" s="40" t="str">
        <f>IF(ORCAMENTOS!L2297="","",ORCAMENTOS!L2297)</f>
        <v>CANCELADO</v>
      </c>
      <c r="K2289" s="34" t="str">
        <f>IF(ORCAMENTOS!M2297="","",ORCAMENTOS!M2297)</f>
        <v>-</v>
      </c>
      <c r="L2289" t="str">
        <f>IF(ORCAMENTOS!R2297="","",ORCAMENTOS!R2297)</f>
        <v>MPU</v>
      </c>
    </row>
    <row r="2290" spans="1:12" ht="15.75" hidden="1" customHeight="1" x14ac:dyDescent="0.25">
      <c r="A2290" s="36">
        <f>IF(ORCAMENTOS!A2298="","",ORCAMENTOS!A2298)</f>
        <v>46045</v>
      </c>
      <c r="B2290" s="46">
        <f>IF(ORCAMENTOS!B2298="","",ORCAMENTOS!B2298)</f>
        <v>113</v>
      </c>
      <c r="C2290" s="46" t="str">
        <f>IF(ORCAMENTOS!C2298="","",ORCAMENTOS!C2298)</f>
        <v/>
      </c>
      <c r="D2290" s="37" t="str">
        <f>IF(ORCAMENTOS!D2298="","",ORCAMENTOS!D2298)</f>
        <v>DUCTBUSTERS</v>
      </c>
      <c r="E2290" s="38" t="str">
        <f>IF(ORCAMENTOS!E2298="","",ORCAMENTOS!E2298)</f>
        <v>-</v>
      </c>
      <c r="F2290" s="37" t="str">
        <f>IF(ORCAMENTOS!G2298="","",ORCAMENTOS!G2298)</f>
        <v>Michel</v>
      </c>
      <c r="G2290" s="37" t="str">
        <f>IF(ORCAMENTOS!H2298="","",ORCAMENTOS!H2298)</f>
        <v>Camila</v>
      </c>
      <c r="H2290" s="39">
        <f>IF(ORCAMENTOS!I2298="","",ORCAMENTOS!I2298)</f>
        <v>4271.9399999999996</v>
      </c>
      <c r="I2290" s="60">
        <f>IF(ORCAMENTOS!J2298="","",ORCAMENTOS!J2298)</f>
        <v>7.0000000000000007E-2</v>
      </c>
      <c r="J2290" s="40" t="str">
        <f>IF(ORCAMENTOS!L2298="","",ORCAMENTOS!L2298)</f>
        <v>FECHADO</v>
      </c>
      <c r="K2290" s="34" t="str">
        <f>IF(ORCAMENTOS!M2298="","",ORCAMENTOS!M2298)</f>
        <v>-</v>
      </c>
      <c r="L2290" t="str">
        <f>IF(ORCAMENTOS!R2298="","",ORCAMENTOS!R2298)</f>
        <v>-</v>
      </c>
    </row>
    <row r="2291" spans="1:12" ht="15.75" hidden="1" customHeight="1" x14ac:dyDescent="0.25">
      <c r="A2291" s="36">
        <f>IF(ORCAMENTOS!A2299="","",ORCAMENTOS!A2299)</f>
        <v>46045</v>
      </c>
      <c r="B2291" s="46">
        <f>IF(ORCAMENTOS!B2299="","",ORCAMENTOS!B2299)</f>
        <v>114</v>
      </c>
      <c r="C2291" s="46" t="str">
        <f>IF(ORCAMENTOS!C2299="","",ORCAMENTOS!C2299)</f>
        <v/>
      </c>
      <c r="D2291" s="37" t="str">
        <f>IF(ORCAMENTOS!D2299="","",ORCAMENTOS!D2299)</f>
        <v>W MLOPES</v>
      </c>
      <c r="E2291" s="38" t="str">
        <f>IF(ORCAMENTOS!E2299="","",ORCAMENTOS!E2299)</f>
        <v>-</v>
      </c>
      <c r="F2291" s="37" t="str">
        <f>IF(ORCAMENTOS!G2299="","",ORCAMENTOS!G2299)</f>
        <v>Gabriel</v>
      </c>
      <c r="G2291" s="37" t="str">
        <f>IF(ORCAMENTOS!H2299="","",ORCAMENTOS!H2299)</f>
        <v>Wagner</v>
      </c>
      <c r="H2291" s="39">
        <f>IF(ORCAMENTOS!I2299="","",ORCAMENTOS!I2299)</f>
        <v>2784.75</v>
      </c>
      <c r="I2291" s="60">
        <f>IF(ORCAMENTOS!J2299="","",ORCAMENTOS!J2299)</f>
        <v>7.0000000000000007E-2</v>
      </c>
      <c r="J2291" s="40" t="str">
        <f>IF(ORCAMENTOS!L2299="","",ORCAMENTOS!L2299)</f>
        <v>CANCELADO</v>
      </c>
      <c r="K2291" s="34" t="str">
        <f>IF(ORCAMENTOS!M2299="","",ORCAMENTOS!M2299)</f>
        <v>-</v>
      </c>
      <c r="L2291" t="str">
        <f>IF(ORCAMENTOS!R2299="","",ORCAMENTOS!R2299)</f>
        <v>-</v>
      </c>
    </row>
    <row r="2292" spans="1:12" ht="15.75" hidden="1" customHeight="1" x14ac:dyDescent="0.25">
      <c r="A2292" s="36">
        <f>IF(ORCAMENTOS!A2300="","",ORCAMENTOS!A2300)</f>
        <v>46048</v>
      </c>
      <c r="B2292" s="46">
        <f>IF(ORCAMENTOS!B2300="","",ORCAMENTOS!B2300)</f>
        <v>115</v>
      </c>
      <c r="C2292" s="46" t="str">
        <f>IF(ORCAMENTOS!C2300="","",ORCAMENTOS!C2300)</f>
        <v/>
      </c>
      <c r="D2292" s="37" t="str">
        <f>IF(ORCAMENTOS!D2300="","",ORCAMENTOS!D2300)</f>
        <v>TECNOVENTI</v>
      </c>
      <c r="E2292" s="38" t="str">
        <f>IF(ORCAMENTOS!E2300="","",ORCAMENTOS!E2300)</f>
        <v>-</v>
      </c>
      <c r="F2292" s="37" t="str">
        <f>IF(ORCAMENTOS!G2300="","",ORCAMENTOS!G2300)</f>
        <v>Gabriel</v>
      </c>
      <c r="G2292" s="37" t="str">
        <f>IF(ORCAMENTOS!H2300="","",ORCAMENTOS!H2300)</f>
        <v>Nathan</v>
      </c>
      <c r="H2292" s="39">
        <f>IF(ORCAMENTOS!I2300="","",ORCAMENTOS!I2300)</f>
        <v>10523.7</v>
      </c>
      <c r="I2292" s="60">
        <f>IF(ORCAMENTOS!J2300="","",ORCAMENTOS!J2300)</f>
        <v>0.04</v>
      </c>
      <c r="J2292" s="40" t="str">
        <f>IF(ORCAMENTOS!L2300="","",ORCAMENTOS!L2300)</f>
        <v>FECHADO</v>
      </c>
      <c r="K2292" s="34" t="str">
        <f>IF(ORCAMENTOS!M2300="","",ORCAMENTOS!M2300)</f>
        <v>-</v>
      </c>
      <c r="L2292" t="str">
        <f>IF(ORCAMENTOS!R2300="","",ORCAMENTOS!R2300)</f>
        <v>-</v>
      </c>
    </row>
    <row r="2293" spans="1:12" ht="15.75" hidden="1" customHeight="1" x14ac:dyDescent="0.25">
      <c r="A2293" s="36">
        <f>IF(ORCAMENTOS!A2301="","",ORCAMENTOS!A2301)</f>
        <v>46045</v>
      </c>
      <c r="B2293" s="46">
        <f>IF(ORCAMENTOS!B2301="","",ORCAMENTOS!B2301)</f>
        <v>116</v>
      </c>
      <c r="C2293" s="46" t="str">
        <f>IF(ORCAMENTOS!C2301="","",ORCAMENTOS!C2301)</f>
        <v/>
      </c>
      <c r="D2293" s="37" t="str">
        <f>IF(ORCAMENTOS!D2301="","",ORCAMENTOS!D2301)</f>
        <v>CONFIAR AR CONDICIONADO</v>
      </c>
      <c r="E2293" s="38" t="str">
        <f>IF(ORCAMENTOS!E2301="","",ORCAMENTOS!E2301)</f>
        <v>RESIDENCIA UNIFAMILIAR - ARACATUBA - SP</v>
      </c>
      <c r="F2293" s="37" t="str">
        <f>IF(ORCAMENTOS!G2301="","",ORCAMENTOS!G2301)</f>
        <v>Gabriel</v>
      </c>
      <c r="G2293" s="37" t="str">
        <f>IF(ORCAMENTOS!H2301="","",ORCAMENTOS!H2301)</f>
        <v>Jessica</v>
      </c>
      <c r="H2293" s="39">
        <f>IF(ORCAMENTOS!I2301="","",ORCAMENTOS!I2301)</f>
        <v>31226.51</v>
      </c>
      <c r="I2293" s="60">
        <f>IF(ORCAMENTOS!J2301="","",ORCAMENTOS!J2301)</f>
        <v>7.0000000000000007E-2</v>
      </c>
      <c r="J2293" s="40" t="str">
        <f>IF(ORCAMENTOS!L2301="","",ORCAMENTOS!L2301)</f>
        <v>CANCELADO</v>
      </c>
      <c r="K2293" s="34" t="str">
        <f>IF(ORCAMENTOS!M2301="","",ORCAMENTOS!M2301)</f>
        <v>-</v>
      </c>
      <c r="L2293" t="str">
        <f>IF(ORCAMENTOS!R2301="","",ORCAMENTOS!R2301)</f>
        <v>CHAPA DE ACO GALVANIZADO</v>
      </c>
    </row>
    <row r="2294" spans="1:12" ht="15.75" hidden="1" customHeight="1" x14ac:dyDescent="0.25">
      <c r="A2294" s="36">
        <f>IF(ORCAMENTOS!A2302="","",ORCAMENTOS!A2302)</f>
        <v>46045</v>
      </c>
      <c r="B2294" s="46">
        <f>IF(ORCAMENTOS!B2302="","",ORCAMENTOS!B2302)</f>
        <v>117</v>
      </c>
      <c r="C2294" s="46" t="str">
        <f>IF(ORCAMENTOS!C2302="","",ORCAMENTOS!C2302)</f>
        <v>R1</v>
      </c>
      <c r="D2294" s="37" t="str">
        <f>IF(ORCAMENTOS!D2302="","",ORCAMENTOS!D2302)</f>
        <v>PROTHERM</v>
      </c>
      <c r="E2294" s="38" t="str">
        <f>IF(ORCAMENTOS!E2302="","",ORCAMENTOS!E2302)</f>
        <v>PORTONAVE ICEPORT</v>
      </c>
      <c r="F2294" s="37" t="str">
        <f>IF(ORCAMENTOS!G2302="","",ORCAMENTOS!G2302)</f>
        <v>Fernando</v>
      </c>
      <c r="G2294" s="37" t="str">
        <f>IF(ORCAMENTOS!H2302="","",ORCAMENTOS!H2302)</f>
        <v>Leonardo</v>
      </c>
      <c r="H2294" s="39">
        <f>IF(ORCAMENTOS!I2302="","",ORCAMENTOS!I2302)</f>
        <v>44753.48</v>
      </c>
      <c r="I2294" s="60">
        <f>IF(ORCAMENTOS!J2302="","",ORCAMENTOS!J2302)</f>
        <v>7.0000000000000007E-2</v>
      </c>
      <c r="J2294" s="40" t="str">
        <f>IF(ORCAMENTOS!L2302="","",ORCAMENTOS!L2302)</f>
        <v>PERDIDO</v>
      </c>
      <c r="K2294" s="34" t="str">
        <f>IF(ORCAMENTOS!M2302="","",ORCAMENTOS!M2302)</f>
        <v>MULTIVAC</v>
      </c>
      <c r="L2294" t="str">
        <f>IF(ORCAMENTOS!R2302="","",ORCAMENTOS!R2302)</f>
        <v>-</v>
      </c>
    </row>
    <row r="2295" spans="1:12" ht="15.75" hidden="1" customHeight="1" x14ac:dyDescent="0.25">
      <c r="A2295" s="36">
        <f>IF(ORCAMENTOS!A2303="","",ORCAMENTOS!A2303)</f>
        <v>46045</v>
      </c>
      <c r="B2295" s="46">
        <f>IF(ORCAMENTOS!B2303="","",ORCAMENTOS!B2303)</f>
        <v>118</v>
      </c>
      <c r="C2295" s="46" t="str">
        <f>IF(ORCAMENTOS!C2303="","",ORCAMENTOS!C2303)</f>
        <v/>
      </c>
      <c r="D2295" s="37" t="str">
        <f>IF(ORCAMENTOS!D2303="","",ORCAMENTOS!D2303)</f>
        <v>ART AR</v>
      </c>
      <c r="E2295" s="38" t="str">
        <f>IF(ORCAMENTOS!E2303="","",ORCAMENTOS!E2303)</f>
        <v>YOUCOM - SH TOP CENTER PAULISTA - SP</v>
      </c>
      <c r="F2295" s="37" t="str">
        <f>IF(ORCAMENTOS!G2303="","",ORCAMENTOS!G2303)</f>
        <v>Emanuel</v>
      </c>
      <c r="G2295" s="37" t="str">
        <f>IF(ORCAMENTOS!H2303="","",ORCAMENTOS!H2303)</f>
        <v>Jorge</v>
      </c>
      <c r="H2295" s="39">
        <f>IF(ORCAMENTOS!I2303="","",ORCAMENTOS!I2303)</f>
        <v>14815.38</v>
      </c>
      <c r="I2295" s="60">
        <f>IF(ORCAMENTOS!J2303="","",ORCAMENTOS!J2303)</f>
        <v>7.0000000000000007E-2</v>
      </c>
      <c r="J2295" s="40" t="str">
        <f>IF(ORCAMENTOS!L2303="","",ORCAMENTOS!L2303)</f>
        <v>CANCELADO</v>
      </c>
      <c r="K2295" s="34" t="str">
        <f>IF(ORCAMENTOS!M2303="","",ORCAMENTOS!M2303)</f>
        <v>-</v>
      </c>
      <c r="L2295" t="str">
        <f>IF(ORCAMENTOS!R2303="","",ORCAMENTOS!R2303)</f>
        <v>MPU</v>
      </c>
    </row>
    <row r="2296" spans="1:12" ht="15.75" hidden="1" customHeight="1" x14ac:dyDescent="0.25">
      <c r="A2296" s="36">
        <f>IF(ORCAMENTOS!A2304="","",ORCAMENTOS!A2304)</f>
        <v>46045</v>
      </c>
      <c r="B2296" s="46">
        <f>IF(ORCAMENTOS!B2304="","",ORCAMENTOS!B2304)</f>
        <v>119</v>
      </c>
      <c r="C2296" s="46" t="str">
        <f>IF(ORCAMENTOS!C2304="","",ORCAMENTOS!C2304)</f>
        <v/>
      </c>
      <c r="D2296" s="37" t="str">
        <f>IF(ORCAMENTOS!D2304="","",ORCAMENTOS!D2304)</f>
        <v>SERTTA CLIMATIZACAO</v>
      </c>
      <c r="E2296" s="38" t="str">
        <f>IF(ORCAMENTOS!E2304="","",ORCAMENTOS!E2304)</f>
        <v>AMAZON - DRJ5</v>
      </c>
      <c r="F2296" s="37" t="str">
        <f>IF(ORCAMENTOS!G2304="","",ORCAMENTOS!G2304)</f>
        <v>Emanuel</v>
      </c>
      <c r="G2296" s="37" t="str">
        <f>IF(ORCAMENTOS!H2304="","",ORCAMENTOS!H2304)</f>
        <v>Lucas</v>
      </c>
      <c r="H2296" s="39">
        <f>IF(ORCAMENTOS!I2304="","",ORCAMENTOS!I2304)</f>
        <v>206073.21</v>
      </c>
      <c r="I2296" s="60">
        <f>IF(ORCAMENTOS!J2304="","",ORCAMENTOS!J2304)</f>
        <v>7.0000000000000007E-2</v>
      </c>
      <c r="J2296" s="40" t="str">
        <f>IF(ORCAMENTOS!L2304="","",ORCAMENTOS!L2304)</f>
        <v>CANCELADO</v>
      </c>
      <c r="K2296" s="34" t="str">
        <f>IF(ORCAMENTOS!M2304="","",ORCAMENTOS!M2304)</f>
        <v>-</v>
      </c>
      <c r="L2296" t="str">
        <f>IF(ORCAMENTOS!R2304="","",ORCAMENTOS!R2304)</f>
        <v>N/E</v>
      </c>
    </row>
    <row r="2297" spans="1:12" ht="15.75" hidden="1" customHeight="1" x14ac:dyDescent="0.25">
      <c r="A2297" s="36">
        <f>IF(ORCAMENTOS!A2305="","",ORCAMENTOS!A2305)</f>
        <v>46048</v>
      </c>
      <c r="B2297" s="46">
        <f>IF(ORCAMENTOS!B2305="","",ORCAMENTOS!B2305)</f>
        <v>120</v>
      </c>
      <c r="C2297" s="46" t="str">
        <f>IF(ORCAMENTOS!C2305="","",ORCAMENTOS!C2305)</f>
        <v/>
      </c>
      <c r="D2297" s="37" t="str">
        <f>IF(ORCAMENTOS!D2305="","",ORCAMENTOS!D2305)</f>
        <v>YAMA ENGENHARIA</v>
      </c>
      <c r="E2297" s="38" t="str">
        <f>IF(ORCAMENTOS!E2305="","",ORCAMENTOS!E2305)</f>
        <v>RESIDENCIA UNIFAMILIAR - GEISA E CARLOS LEMOS - ARACATUBA - SP</v>
      </c>
      <c r="F2297" s="37" t="str">
        <f>IF(ORCAMENTOS!G2305="","",ORCAMENTOS!G2305)</f>
        <v>Gabriel</v>
      </c>
      <c r="G2297" s="37" t="str">
        <f>IF(ORCAMENTOS!H2305="","",ORCAMENTOS!H2305)</f>
        <v/>
      </c>
      <c r="H2297" s="39">
        <f>IF(ORCAMENTOS!I2305="","",ORCAMENTOS!I2305)</f>
        <v>5500</v>
      </c>
      <c r="I2297" s="60">
        <f>IF(ORCAMENTOS!J2305="","",ORCAMENTOS!J2305)</f>
        <v>7.0000000000000007E-2</v>
      </c>
      <c r="J2297" s="40" t="str">
        <f>IF(ORCAMENTOS!L2305="","",ORCAMENTOS!L2305)</f>
        <v>FECHADO</v>
      </c>
      <c r="K2297" s="34" t="str">
        <f>IF(ORCAMENTOS!M2305="","",ORCAMENTOS!M2305)</f>
        <v>-</v>
      </c>
      <c r="L2297" t="str">
        <f>IF(ORCAMENTOS!R2305="","",ORCAMENTOS!R2305)</f>
        <v>CHAPA DE ACO GALVANIZADO</v>
      </c>
    </row>
    <row r="2298" spans="1:12" ht="15.75" hidden="1" customHeight="1" x14ac:dyDescent="0.25">
      <c r="A2298" s="36">
        <f>IF(ORCAMENTOS!A2306="","",ORCAMENTOS!A2306)</f>
        <v>46048</v>
      </c>
      <c r="B2298" s="46">
        <f>IF(ORCAMENTOS!B2306="","",ORCAMENTOS!B2306)</f>
        <v>121</v>
      </c>
      <c r="C2298" s="46" t="str">
        <f>IF(ORCAMENTOS!C2306="","",ORCAMENTOS!C2306)</f>
        <v/>
      </c>
      <c r="D2298" s="37" t="str">
        <f>IF(ORCAMENTOS!D2306="","",ORCAMENTOS!D2306)</f>
        <v>YAMA ENGENHARIA</v>
      </c>
      <c r="E2298" s="38" t="str">
        <f>IF(ORCAMENTOS!E2306="","",ORCAMENTOS!E2306)</f>
        <v>RESIDENCIA UNIFAMILIAR - ARMANDO E VERA GOTTARDI - ARACATUBA - SP</v>
      </c>
      <c r="F2298" s="37" t="str">
        <f>IF(ORCAMENTOS!G2306="","",ORCAMENTOS!G2306)</f>
        <v>Gabriel</v>
      </c>
      <c r="G2298" s="37" t="str">
        <f>IF(ORCAMENTOS!H2306="","",ORCAMENTOS!H2306)</f>
        <v/>
      </c>
      <c r="H2298" s="39">
        <f>IF(ORCAMENTOS!I2306="","",ORCAMENTOS!I2306)</f>
        <v>26821.06</v>
      </c>
      <c r="I2298" s="60">
        <f>IF(ORCAMENTOS!J2306="","",ORCAMENTOS!J2306)</f>
        <v>7.0000000000000007E-2</v>
      </c>
      <c r="J2298" s="40" t="str">
        <f>IF(ORCAMENTOS!L2306="","",ORCAMENTOS!L2306)</f>
        <v>CANCELADO</v>
      </c>
      <c r="K2298" s="34" t="str">
        <f>IF(ORCAMENTOS!M2306="","",ORCAMENTOS!M2306)</f>
        <v>-</v>
      </c>
      <c r="L2298" t="str">
        <f>IF(ORCAMENTOS!R2306="","",ORCAMENTOS!R2306)</f>
        <v>CHAPA DE ACO GALVANIZADO</v>
      </c>
    </row>
    <row r="2299" spans="1:12" ht="15.75" hidden="1" customHeight="1" x14ac:dyDescent="0.25">
      <c r="A2299" s="36">
        <f>IF(ORCAMENTOS!A2307="","",ORCAMENTOS!A2307)</f>
        <v>46050</v>
      </c>
      <c r="B2299" s="46">
        <f>IF(ORCAMENTOS!B2307="","",ORCAMENTOS!B2307)</f>
        <v>122</v>
      </c>
      <c r="C2299" s="46" t="str">
        <f>IF(ORCAMENTOS!C2307="","",ORCAMENTOS!C2307)</f>
        <v>R4</v>
      </c>
      <c r="D2299" s="37" t="str">
        <f>IF(ORCAMENTOS!D2307="","",ORCAMENTOS!D2307)</f>
        <v>DUTOLEVE</v>
      </c>
      <c r="E2299" s="38" t="str">
        <f>IF(ORCAMENTOS!E2307="","",ORCAMENTOS!E2307)</f>
        <v>HOSPITAL SANTA MARCELINA - ITAQUAQUECETUBA - SP</v>
      </c>
      <c r="F2299" s="37" t="str">
        <f>IF(ORCAMENTOS!G2307="","",ORCAMENTOS!G2307)</f>
        <v>Gabriel</v>
      </c>
      <c r="G2299" s="37" t="str">
        <f>IF(ORCAMENTOS!H2307="","",ORCAMENTOS!H2307)</f>
        <v>Elton</v>
      </c>
      <c r="H2299" s="39">
        <f>IF(ORCAMENTOS!I2307="","",ORCAMENTOS!I2307)</f>
        <v>120000</v>
      </c>
      <c r="I2299" s="60">
        <f>IF(ORCAMENTOS!J2307="","",ORCAMENTOS!J2307)</f>
        <v>0.04</v>
      </c>
      <c r="J2299" s="40" t="str">
        <f>IF(ORCAMENTOS!L2307="","",ORCAMENTOS!L2307)</f>
        <v>FECHADO</v>
      </c>
      <c r="K2299" s="34" t="str">
        <f>IF(ORCAMENTOS!M2307="","",ORCAMENTOS!M2307)</f>
        <v>-</v>
      </c>
      <c r="L2299" t="str">
        <f>IF(ORCAMENTOS!R2307="","",ORCAMENTOS!R2307)</f>
        <v>N/E</v>
      </c>
    </row>
    <row r="2300" spans="1:12" ht="15.75" hidden="1" customHeight="1" x14ac:dyDescent="0.25">
      <c r="A2300" s="36">
        <f>IF(ORCAMENTOS!A2308="","",ORCAMENTOS!A2308)</f>
        <v>46049</v>
      </c>
      <c r="B2300" s="46">
        <f>IF(ORCAMENTOS!B2308="","",ORCAMENTOS!B2308)</f>
        <v>123</v>
      </c>
      <c r="C2300" s="46" t="str">
        <f>IF(ORCAMENTOS!C2308="","",ORCAMENTOS!C2308)</f>
        <v>R1</v>
      </c>
      <c r="D2300" s="37" t="str">
        <f>IF(ORCAMENTOS!D2308="","",ORCAMENTOS!D2308)</f>
        <v>CLIMA SPACE</v>
      </c>
      <c r="E2300" s="38" t="str">
        <f>IF(ORCAMENTOS!E2308="","",ORCAMENTOS!E2308)</f>
        <v>2040 - GONÇALVES S/A</v>
      </c>
      <c r="F2300" s="37" t="str">
        <f>IF(ORCAMENTOS!G2308="","",ORCAMENTOS!G2308)</f>
        <v xml:space="preserve">Aldavir </v>
      </c>
      <c r="G2300" s="37" t="str">
        <f>IF(ORCAMENTOS!H2308="","",ORCAMENTOS!H2308)</f>
        <v>Sirley</v>
      </c>
      <c r="H2300" s="39">
        <f>IF(ORCAMENTOS!I2308="","",ORCAMENTOS!I2308)</f>
        <v>39901.769999999997</v>
      </c>
      <c r="I2300" s="60">
        <f>IF(ORCAMENTOS!J2308="","",ORCAMENTOS!J2308)</f>
        <v>0.04</v>
      </c>
      <c r="J2300" s="40" t="str">
        <f>IF(ORCAMENTOS!L2308="","",ORCAMENTOS!L2308)</f>
        <v>FECHADO</v>
      </c>
      <c r="K2300" s="34" t="str">
        <f>IF(ORCAMENTOS!M2308="","",ORCAMENTOS!M2308)</f>
        <v>-</v>
      </c>
      <c r="L2300" t="str">
        <f>IF(ORCAMENTOS!R2308="","",ORCAMENTOS!R2308)</f>
        <v>-</v>
      </c>
    </row>
    <row r="2301" spans="1:12" ht="15.75" hidden="1" customHeight="1" x14ac:dyDescent="0.25">
      <c r="A2301" s="36">
        <f>IF(ORCAMENTOS!A2309="","",ORCAMENTOS!A2309)</f>
        <v>46051</v>
      </c>
      <c r="B2301" s="46">
        <f>IF(ORCAMENTOS!B2309="","",ORCAMENTOS!B2309)</f>
        <v>124</v>
      </c>
      <c r="C2301" s="46" t="str">
        <f>IF(ORCAMENTOS!C2309="","",ORCAMENTOS!C2309)</f>
        <v>R1</v>
      </c>
      <c r="D2301" s="37" t="str">
        <f>IF(ORCAMENTOS!D2309="","",ORCAMENTOS!D2309)</f>
        <v>COLDTERMICA</v>
      </c>
      <c r="E2301" s="38" t="str">
        <f>IF(ORCAMENTOS!E2309="","",ORCAMENTOS!E2309)</f>
        <v>Loja RNR 616 Sh Paulínia</v>
      </c>
      <c r="F2301" s="37" t="str">
        <f>IF(ORCAMENTOS!G2309="","",ORCAMENTOS!G2309)</f>
        <v>Gabriel</v>
      </c>
      <c r="G2301" s="37" t="str">
        <f>IF(ORCAMENTOS!H2309="","",ORCAMENTOS!H2309)</f>
        <v>Denis</v>
      </c>
      <c r="H2301" s="39">
        <f>IF(ORCAMENTOS!I2309="","",ORCAMENTOS!I2309)</f>
        <v>82232.820000000007</v>
      </c>
      <c r="I2301" s="60">
        <f>IF(ORCAMENTOS!J2309="","",ORCAMENTOS!J2309)</f>
        <v>0.03</v>
      </c>
      <c r="J2301" s="40" t="str">
        <f>IF(ORCAMENTOS!L2309="","",ORCAMENTOS!L2309)</f>
        <v>PERDIDO</v>
      </c>
      <c r="K2301" s="34" t="str">
        <f>IF(ORCAMENTOS!M2309="","",ORCAMENTOS!M2309)</f>
        <v>MULTIVAC - PREÇO</v>
      </c>
      <c r="L2301" t="str">
        <f>IF(ORCAMENTOS!R2309="","",ORCAMENTOS!R2309)</f>
        <v>-</v>
      </c>
    </row>
    <row r="2302" spans="1:12" ht="15.75" hidden="1" customHeight="1" x14ac:dyDescent="0.25">
      <c r="A2302" s="36">
        <f>IF(ORCAMENTOS!A2310="","",ORCAMENTOS!A2310)</f>
        <v>46049</v>
      </c>
      <c r="B2302" s="46">
        <f>IF(ORCAMENTOS!B2310="","",ORCAMENTOS!B2310)</f>
        <v>125</v>
      </c>
      <c r="C2302" s="46" t="str">
        <f>IF(ORCAMENTOS!C2310="","",ORCAMENTOS!C2310)</f>
        <v/>
      </c>
      <c r="D2302" s="37" t="str">
        <f>IF(ORCAMENTOS!D2310="","",ORCAMENTOS!D2310)</f>
        <v>ADALTA ENGENHARIA</v>
      </c>
      <c r="E2302" s="38" t="str">
        <f>IF(ORCAMENTOS!E2310="","",ORCAMENTOS!E2310)</f>
        <v>FS PHARMA - PALMARES - SP</v>
      </c>
      <c r="F2302" s="37" t="str">
        <f>IF(ORCAMENTOS!G2310="","",ORCAMENTOS!G2310)</f>
        <v>Fernando</v>
      </c>
      <c r="G2302" s="37" t="str">
        <f>IF(ORCAMENTOS!H2310="","",ORCAMENTOS!H2310)</f>
        <v>Eduardo</v>
      </c>
      <c r="H2302" s="39">
        <f>IF(ORCAMENTOS!I2310="","",ORCAMENTOS!I2310)</f>
        <v>469362.98</v>
      </c>
      <c r="I2302" s="60">
        <f>IF(ORCAMENTOS!J2310="","",ORCAMENTOS!J2310)</f>
        <v>7.0000000000000007E-2</v>
      </c>
      <c r="J2302" s="40" t="str">
        <f>IF(ORCAMENTOS!L2310="","",ORCAMENTOS!L2310)</f>
        <v>ORCAMENTO</v>
      </c>
      <c r="K2302" s="34" t="str">
        <f>IF(ORCAMENTOS!M2310="","",ORCAMENTOS!M2310)</f>
        <v>PROJETO APROVADO ESPEC. ALU-PIR</v>
      </c>
      <c r="L2302" t="str">
        <f>IF(ORCAMENTOS!R2310="","",ORCAMENTOS!R2310)</f>
        <v>N/E</v>
      </c>
    </row>
    <row r="2303" spans="1:12" ht="15.75" hidden="1" customHeight="1" x14ac:dyDescent="0.25">
      <c r="A2303" s="36">
        <f>IF(ORCAMENTOS!A2311="","",ORCAMENTOS!A2311)</f>
        <v>46049</v>
      </c>
      <c r="B2303" s="46">
        <f>IF(ORCAMENTOS!B2311="","",ORCAMENTOS!B2311)</f>
        <v>126</v>
      </c>
      <c r="C2303" s="46" t="str">
        <f>IF(ORCAMENTOS!C2311="","",ORCAMENTOS!C2311)</f>
        <v/>
      </c>
      <c r="D2303" s="37" t="str">
        <f>IF(ORCAMENTOS!D2311="","",ORCAMENTOS!D2311)</f>
        <v>CE PRIME</v>
      </c>
      <c r="E2303" s="38" t="str">
        <f>IF(ORCAMENTOS!E2311="","",ORCAMENTOS!E2311)</f>
        <v>CLINICA NEFROLOGICA - MARIA DAS GRACAS - SÃO PAULO - SP</v>
      </c>
      <c r="F2303" s="37" t="str">
        <f>IF(ORCAMENTOS!G2311="","",ORCAMENTOS!G2311)</f>
        <v>Michel</v>
      </c>
      <c r="G2303" s="37" t="str">
        <f>IF(ORCAMENTOS!H2311="","",ORCAMENTOS!H2311)</f>
        <v>Danilo</v>
      </c>
      <c r="H2303" s="39">
        <f>IF(ORCAMENTOS!I2311="","",ORCAMENTOS!I2311)</f>
        <v>16953.36</v>
      </c>
      <c r="I2303" s="60">
        <f>IF(ORCAMENTOS!J2311="","",ORCAMENTOS!J2311)</f>
        <v>7.0000000000000007E-2</v>
      </c>
      <c r="J2303" s="40" t="str">
        <f>IF(ORCAMENTOS!L2311="","",ORCAMENTOS!L2311)</f>
        <v>FECHADO</v>
      </c>
      <c r="K2303" s="34" t="str">
        <f>IF(ORCAMENTOS!M2311="","",ORCAMENTOS!M2311)</f>
        <v>-</v>
      </c>
      <c r="L2303" t="str">
        <f>IF(ORCAMENTOS!R2311="","",ORCAMENTOS!R2311)</f>
        <v>-</v>
      </c>
    </row>
    <row r="2304" spans="1:12" ht="15.75" hidden="1" customHeight="1" x14ac:dyDescent="0.25">
      <c r="A2304" s="36">
        <f>IF(ORCAMENTOS!A2312="","",ORCAMENTOS!A2312)</f>
        <v>46049</v>
      </c>
      <c r="B2304" s="46">
        <f>IF(ORCAMENTOS!B2312="","",ORCAMENTOS!B2312)</f>
        <v>127</v>
      </c>
      <c r="C2304" s="46" t="str">
        <f>IF(ORCAMENTOS!C2312="","",ORCAMENTOS!C2312)</f>
        <v/>
      </c>
      <c r="D2304" s="37" t="str">
        <f>IF(ORCAMENTOS!D2312="","",ORCAMENTOS!D2312)</f>
        <v>AEROTHERMIC</v>
      </c>
      <c r="E2304" s="38" t="str">
        <f>IF(ORCAMENTOS!E2312="","",ORCAMENTOS!E2312)</f>
        <v>LOTEAMENTO BRISA AVARE - VILA BRISAS</v>
      </c>
      <c r="F2304" s="37" t="str">
        <f>IF(ORCAMENTOS!G2312="","",ORCAMENTOS!G2312)</f>
        <v>Fernando</v>
      </c>
      <c r="G2304" s="37" t="str">
        <f>IF(ORCAMENTOS!H2312="","",ORCAMENTOS!H2312)</f>
        <v>Claudio</v>
      </c>
      <c r="H2304" s="39">
        <f>IF(ORCAMENTOS!I2312="","",ORCAMENTOS!I2312)</f>
        <v>5817.04</v>
      </c>
      <c r="I2304" s="60">
        <f>IF(ORCAMENTOS!J2312="","",ORCAMENTOS!J2312)</f>
        <v>7.0000000000000007E-2</v>
      </c>
      <c r="J2304" s="40" t="str">
        <f>IF(ORCAMENTOS!L2312="","",ORCAMENTOS!L2312)</f>
        <v>CANCELADO</v>
      </c>
      <c r="K2304" s="34" t="str">
        <f>IF(ORCAMENTOS!M2312="","",ORCAMENTOS!M2312)</f>
        <v>CLIENTE NEGOCIANDO</v>
      </c>
      <c r="L2304" t="str">
        <f>IF(ORCAMENTOS!R2312="","",ORCAMENTOS!R2312)</f>
        <v>ACO GALVANIZADO</v>
      </c>
    </row>
    <row r="2305" spans="1:12" ht="15.75" hidden="1" customHeight="1" x14ac:dyDescent="0.25">
      <c r="A2305" s="36">
        <f>IF(ORCAMENTOS!A2313="","",ORCAMENTOS!A2313)</f>
        <v>46049</v>
      </c>
      <c r="B2305" s="46">
        <f>IF(ORCAMENTOS!B2313="","",ORCAMENTOS!B2313)</f>
        <v>128</v>
      </c>
      <c r="C2305" s="46" t="str">
        <f>IF(ORCAMENTOS!C2313="","",ORCAMENTOS!C2313)</f>
        <v/>
      </c>
      <c r="D2305" s="37" t="str">
        <f>IF(ORCAMENTOS!D2313="","",ORCAMENTOS!D2313)</f>
        <v>AEROTHERMIC</v>
      </c>
      <c r="E2305" s="38" t="str">
        <f>IF(ORCAMENTOS!E2313="","",ORCAMENTOS!E2313)</f>
        <v>BOA VISTA VILLAGE - PORTO FELIZ - SP</v>
      </c>
      <c r="F2305" s="37" t="str">
        <f>IF(ORCAMENTOS!G2313="","",ORCAMENTOS!G2313)</f>
        <v>Fernando</v>
      </c>
      <c r="G2305" s="37" t="str">
        <f>IF(ORCAMENTOS!H2313="","",ORCAMENTOS!H2313)</f>
        <v>Claudio</v>
      </c>
      <c r="H2305" s="39">
        <f>IF(ORCAMENTOS!I2313="","",ORCAMENTOS!I2313)</f>
        <v>25408.35</v>
      </c>
      <c r="I2305" s="60">
        <f>IF(ORCAMENTOS!J2313="","",ORCAMENTOS!J2313)</f>
        <v>7.0000000000000007E-2</v>
      </c>
      <c r="J2305" s="40" t="str">
        <f>IF(ORCAMENTOS!L2313="","",ORCAMENTOS!L2313)</f>
        <v>CANCELADO</v>
      </c>
      <c r="K2305" s="34" t="str">
        <f>IF(ORCAMENTOS!M2313="","",ORCAMENTOS!M2313)</f>
        <v>CLIENTE NEGOCIANDO</v>
      </c>
      <c r="L2305" t="str">
        <f>IF(ORCAMENTOS!R2313="","",ORCAMENTOS!R2313)</f>
        <v>N/E</v>
      </c>
    </row>
    <row r="2306" spans="1:12" ht="15.75" hidden="1" customHeight="1" x14ac:dyDescent="0.25">
      <c r="A2306" s="36">
        <f>IF(ORCAMENTOS!A2314="","",ORCAMENTOS!A2314)</f>
        <v>46049</v>
      </c>
      <c r="B2306" s="46">
        <f>IF(ORCAMENTOS!B2314="","",ORCAMENTOS!B2314)</f>
        <v>129</v>
      </c>
      <c r="C2306" s="46" t="str">
        <f>IF(ORCAMENTOS!C2314="","",ORCAMENTOS!C2314)</f>
        <v/>
      </c>
      <c r="D2306" s="37" t="str">
        <f>IF(ORCAMENTOS!D2314="","",ORCAMENTOS!D2314)</f>
        <v>HEATING COOLING</v>
      </c>
      <c r="E2306" s="38" t="str">
        <f>IF(ORCAMENTOS!E2314="","",ORCAMENTOS!E2314)</f>
        <v>-</v>
      </c>
      <c r="F2306" s="37" t="str">
        <f>IF(ORCAMENTOS!G2314="","",ORCAMENTOS!G2314)</f>
        <v>Gabriel</v>
      </c>
      <c r="G2306" s="37" t="str">
        <f>IF(ORCAMENTOS!H2314="","",ORCAMENTOS!H2314)</f>
        <v>Augusto</v>
      </c>
      <c r="H2306" s="39">
        <f>IF(ORCAMENTOS!I2314="","",ORCAMENTOS!I2314)</f>
        <v>3859.55</v>
      </c>
      <c r="I2306" s="60">
        <f>IF(ORCAMENTOS!J2314="","",ORCAMENTOS!J2314)</f>
        <v>7.0000000000000007E-2</v>
      </c>
      <c r="J2306" s="40" t="str">
        <f>IF(ORCAMENTOS!L2314="","",ORCAMENTOS!L2314)</f>
        <v>CANCELADO</v>
      </c>
      <c r="K2306" s="34" t="str">
        <f>IF(ORCAMENTOS!M2314="","",ORCAMENTOS!M2314)</f>
        <v>-</v>
      </c>
      <c r="L2306" t="str">
        <f>IF(ORCAMENTOS!R2314="","",ORCAMENTOS!R2314)</f>
        <v>-</v>
      </c>
    </row>
    <row r="2307" spans="1:12" ht="15.75" hidden="1" customHeight="1" x14ac:dyDescent="0.25">
      <c r="A2307" s="36">
        <f>IF(ORCAMENTOS!A2315="","",ORCAMENTOS!A2315)</f>
        <v>46049</v>
      </c>
      <c r="B2307" s="46">
        <f>IF(ORCAMENTOS!B2315="","",ORCAMENTOS!B2315)</f>
        <v>130</v>
      </c>
      <c r="C2307" s="46" t="str">
        <f>IF(ORCAMENTOS!C2315="","",ORCAMENTOS!C2315)</f>
        <v/>
      </c>
      <c r="D2307" s="37" t="str">
        <f>IF(ORCAMENTOS!D2315="","",ORCAMENTOS!D2315)</f>
        <v>CLIMASUL</v>
      </c>
      <c r="E2307" s="38" t="str">
        <f>IF(ORCAMENTOS!E2315="","",ORCAMENTOS!E2315)</f>
        <v>RESIDÊNCIA FATIMA E MAURO - BERTIOGA - SP</v>
      </c>
      <c r="F2307" s="37" t="str">
        <f>IF(ORCAMENTOS!G2315="","",ORCAMENTOS!G2315)</f>
        <v>Gabriel</v>
      </c>
      <c r="G2307" s="37" t="str">
        <f>IF(ORCAMENTOS!H2315="","",ORCAMENTOS!H2315)</f>
        <v>Helton</v>
      </c>
      <c r="H2307" s="39">
        <f>IF(ORCAMENTOS!I2315="","",ORCAMENTOS!I2315)</f>
        <v>16138.68</v>
      </c>
      <c r="I2307" s="60">
        <f>IF(ORCAMENTOS!J2315="","",ORCAMENTOS!J2315)</f>
        <v>7.0000000000000007E-2</v>
      </c>
      <c r="J2307" s="40" t="str">
        <f>IF(ORCAMENTOS!L2315="","",ORCAMENTOS!L2315)</f>
        <v>CANCELADO</v>
      </c>
      <c r="K2307" s="34" t="str">
        <f>IF(ORCAMENTOS!M2315="","",ORCAMENTOS!M2315)</f>
        <v>-</v>
      </c>
      <c r="L2307" t="str">
        <f>IF(ORCAMENTOS!R2315="","",ORCAMENTOS!R2315)</f>
        <v>N/E</v>
      </c>
    </row>
    <row r="2308" spans="1:12" ht="15.75" hidden="1" customHeight="1" x14ac:dyDescent="0.25">
      <c r="A2308" s="36">
        <f>IF(ORCAMENTOS!A2316="","",ORCAMENTOS!A2316)</f>
        <v>27</v>
      </c>
      <c r="B2308" s="46">
        <f>IF(ORCAMENTOS!B2316="","",ORCAMENTOS!B2316)</f>
        <v>131</v>
      </c>
      <c r="C2308" s="46" t="str">
        <f>IF(ORCAMENTOS!C2316="","",ORCAMENTOS!C2316)</f>
        <v/>
      </c>
      <c r="D2308" s="37" t="str">
        <f>IF(ORCAMENTOS!D2316="","",ORCAMENTOS!D2316)</f>
        <v>QUALITYAIR</v>
      </c>
      <c r="E2308" s="38" t="str">
        <f>IF(ORCAMENTOS!E2316="","",ORCAMENTOS!E2316)</f>
        <v>OKNO CAPITAL - PINHEIROS - SÃO PAULO - SP</v>
      </c>
      <c r="F2308" s="37" t="str">
        <f>IF(ORCAMENTOS!G2316="","",ORCAMENTOS!G2316)</f>
        <v>Michel</v>
      </c>
      <c r="G2308" s="37" t="str">
        <f>IF(ORCAMENTOS!H2316="","",ORCAMENTOS!H2316)</f>
        <v>Rodrigo</v>
      </c>
      <c r="H2308" s="39">
        <f>IF(ORCAMENTOS!I2316="","",ORCAMENTOS!I2316)</f>
        <v>13783.34</v>
      </c>
      <c r="I2308" s="60">
        <f>IF(ORCAMENTOS!J2316="","",ORCAMENTOS!J2316)</f>
        <v>7.0000000000000007E-2</v>
      </c>
      <c r="J2308" s="40" t="str">
        <f>IF(ORCAMENTOS!L2316="","",ORCAMENTOS!L2316)</f>
        <v>CANCELADO</v>
      </c>
      <c r="K2308" s="34" t="str">
        <f>IF(ORCAMENTOS!M2316="","",ORCAMENTOS!M2316)</f>
        <v>-</v>
      </c>
      <c r="L2308" t="str">
        <f>IF(ORCAMENTOS!R2316="","",ORCAMENTOS!R2316)</f>
        <v>MPU/ALUPIR</v>
      </c>
    </row>
    <row r="2309" spans="1:12" ht="15.75" hidden="1" customHeight="1" x14ac:dyDescent="0.25">
      <c r="A2309" s="36">
        <f>IF(ORCAMENTOS!A2317="","",ORCAMENTOS!A2317)</f>
        <v>46050</v>
      </c>
      <c r="B2309" s="46">
        <f>IF(ORCAMENTOS!B2317="","",ORCAMENTOS!B2317)</f>
        <v>132</v>
      </c>
      <c r="C2309" s="46" t="str">
        <f>IF(ORCAMENTOS!C2317="","",ORCAMENTOS!C2317)</f>
        <v/>
      </c>
      <c r="D2309" s="37" t="str">
        <f>IF(ORCAMENTOS!D2317="","",ORCAMENTOS!D2317)</f>
        <v>NOSSO AR</v>
      </c>
      <c r="E2309" s="38" t="str">
        <f>IF(ORCAMENTOS!E2317="","",ORCAMENTOS!E2317)</f>
        <v>-</v>
      </c>
      <c r="F2309" s="37" t="str">
        <f>IF(ORCAMENTOS!G2317="","",ORCAMENTOS!G2317)</f>
        <v>Gabriel</v>
      </c>
      <c r="G2309" s="37" t="str">
        <f>IF(ORCAMENTOS!H2317="","",ORCAMENTOS!H2317)</f>
        <v>Paulo</v>
      </c>
      <c r="H2309" s="39">
        <f>IF(ORCAMENTOS!I2317="","",ORCAMENTOS!I2317)</f>
        <v>159505.76</v>
      </c>
      <c r="I2309" s="60">
        <f>IF(ORCAMENTOS!J2317="","",ORCAMENTOS!J2317)</f>
        <v>0.03</v>
      </c>
      <c r="J2309" s="40" t="str">
        <f>IF(ORCAMENTOS!L2317="","",ORCAMENTOS!L2317)</f>
        <v>FECHADO</v>
      </c>
      <c r="K2309" s="34" t="str">
        <f>IF(ORCAMENTOS!M2317="","",ORCAMENTOS!M2317)</f>
        <v>-</v>
      </c>
      <c r="L2309" t="str">
        <f>IF(ORCAMENTOS!R2317="","",ORCAMENTOS!R2317)</f>
        <v>-</v>
      </c>
    </row>
    <row r="2310" spans="1:12" ht="15.75" hidden="1" customHeight="1" x14ac:dyDescent="0.25">
      <c r="A2310" s="36">
        <f>IF(ORCAMENTOS!A2318="","",ORCAMENTOS!A2318)</f>
        <v>46139</v>
      </c>
      <c r="B2310" s="46">
        <f>IF(ORCAMENTOS!B2318="","",ORCAMENTOS!B2318)</f>
        <v>133</v>
      </c>
      <c r="C2310" s="46" t="str">
        <f>IF(ORCAMENTOS!C2318="","",ORCAMENTOS!C2318)</f>
        <v/>
      </c>
      <c r="D2310" s="37" t="str">
        <f>IF(ORCAMENTOS!D2318="","",ORCAMENTOS!D2318)</f>
        <v>GLOBAL CLIMA</v>
      </c>
      <c r="E2310" s="38" t="str">
        <f>IF(ORCAMENTOS!E2318="","",ORCAMENTOS!E2318)</f>
        <v>SANCTA MAGGIORE - UNIDADE MADAGASCAR - 2º PAVIMENTO</v>
      </c>
      <c r="F2310" s="37" t="str">
        <f>IF(ORCAMENTOS!G2318="","",ORCAMENTOS!G2318)</f>
        <v>Emanuel</v>
      </c>
      <c r="G2310" s="37" t="str">
        <f>IF(ORCAMENTOS!H2318="","",ORCAMENTOS!H2318)</f>
        <v/>
      </c>
      <c r="H2310" s="39">
        <f>IF(ORCAMENTOS!I2318="","",ORCAMENTOS!I2318)</f>
        <v>19425.5</v>
      </c>
      <c r="I2310" s="60">
        <f>IF(ORCAMENTOS!J2318="","",ORCAMENTOS!J2318)</f>
        <v>0.05</v>
      </c>
      <c r="J2310" s="40" t="str">
        <f>IF(ORCAMENTOS!L2318="","",ORCAMENTOS!L2318)</f>
        <v>CANCELADO</v>
      </c>
      <c r="K2310" s="34" t="str">
        <f>IF(ORCAMENTOS!M2318="","",ORCAMENTOS!M2318)</f>
        <v>-</v>
      </c>
      <c r="L2310" t="str">
        <f>IF(ORCAMENTOS!R2318="","",ORCAMENTOS!R2318)</f>
        <v>N/E</v>
      </c>
    </row>
    <row r="2311" spans="1:12" ht="15.75" hidden="1" customHeight="1" x14ac:dyDescent="0.25">
      <c r="A2311" s="36">
        <f>IF(ORCAMENTOS!A2319="","",ORCAMENTOS!A2319)</f>
        <v>46050</v>
      </c>
      <c r="B2311" s="46">
        <f>IF(ORCAMENTOS!B2319="","",ORCAMENTOS!B2319)</f>
        <v>134</v>
      </c>
      <c r="C2311" s="46" t="str">
        <f>IF(ORCAMENTOS!C2319="","",ORCAMENTOS!C2319)</f>
        <v/>
      </c>
      <c r="D2311" s="37" t="str">
        <f>IF(ORCAMENTOS!D2319="","",ORCAMENTOS!D2319)</f>
        <v>AVM AR CONDICIONADO</v>
      </c>
      <c r="E2311" s="38" t="str">
        <f>IF(ORCAMENTOS!E2319="","",ORCAMENTOS!E2319)</f>
        <v>-</v>
      </c>
      <c r="F2311" s="37" t="str">
        <f>IF(ORCAMENTOS!G2319="","",ORCAMENTOS!G2319)</f>
        <v>Gabriel</v>
      </c>
      <c r="G2311" s="37" t="str">
        <f>IF(ORCAMENTOS!H2319="","",ORCAMENTOS!H2319)</f>
        <v>Rosival</v>
      </c>
      <c r="H2311" s="39">
        <f>IF(ORCAMENTOS!I2319="","",ORCAMENTOS!I2319)</f>
        <v>11650.57</v>
      </c>
      <c r="I2311" s="60">
        <f>IF(ORCAMENTOS!J2319="","",ORCAMENTOS!J2319)</f>
        <v>7.0000000000000007E-2</v>
      </c>
      <c r="J2311" s="40" t="str">
        <f>IF(ORCAMENTOS!L2319="","",ORCAMENTOS!L2319)</f>
        <v>FECHADO</v>
      </c>
      <c r="K2311" s="34" t="str">
        <f>IF(ORCAMENTOS!M2319="","",ORCAMENTOS!M2319)</f>
        <v>-</v>
      </c>
      <c r="L2311" t="str">
        <f>IF(ORCAMENTOS!R2319="","",ORCAMENTOS!R2319)</f>
        <v>-</v>
      </c>
    </row>
    <row r="2312" spans="1:12" ht="15.75" hidden="1" customHeight="1" x14ac:dyDescent="0.25">
      <c r="A2312" s="36">
        <f>IF(ORCAMENTOS!A2320="","",ORCAMENTOS!A2320)</f>
        <v>46050</v>
      </c>
      <c r="B2312" s="46">
        <f>IF(ORCAMENTOS!B2320="","",ORCAMENTOS!B2320)</f>
        <v>135</v>
      </c>
      <c r="C2312" s="46" t="str">
        <f>IF(ORCAMENTOS!C2320="","",ORCAMENTOS!C2320)</f>
        <v/>
      </c>
      <c r="D2312" s="37" t="str">
        <f>IF(ORCAMENTOS!D2320="","",ORCAMENTOS!D2320)</f>
        <v>WELLNESS</v>
      </c>
      <c r="E2312" s="38" t="str">
        <f>IF(ORCAMENTOS!E2320="","",ORCAMENTOS!E2320)</f>
        <v>-</v>
      </c>
      <c r="F2312" s="37" t="str">
        <f>IF(ORCAMENTOS!G2320="","",ORCAMENTOS!G2320)</f>
        <v>Gabriel</v>
      </c>
      <c r="G2312" s="37" t="str">
        <f>IF(ORCAMENTOS!H2320="","",ORCAMENTOS!H2320)</f>
        <v>Ivanise</v>
      </c>
      <c r="H2312" s="39">
        <f>IF(ORCAMENTOS!I2320="","",ORCAMENTOS!I2320)</f>
        <v>4810.71</v>
      </c>
      <c r="I2312" s="60">
        <f>IF(ORCAMENTOS!J2320="","",ORCAMENTOS!J2320)</f>
        <v>7.0000000000000007E-2</v>
      </c>
      <c r="J2312" s="40" t="str">
        <f>IF(ORCAMENTOS!L2320="","",ORCAMENTOS!L2320)</f>
        <v>FECHADO</v>
      </c>
      <c r="K2312" s="34" t="str">
        <f>IF(ORCAMENTOS!M2320="","",ORCAMENTOS!M2320)</f>
        <v>-</v>
      </c>
      <c r="L2312" t="str">
        <f>IF(ORCAMENTOS!R2320="","",ORCAMENTOS!R2320)</f>
        <v>-</v>
      </c>
    </row>
    <row r="2313" spans="1:12" ht="15.75" hidden="1" customHeight="1" x14ac:dyDescent="0.25">
      <c r="A2313" s="36">
        <f>IF(ORCAMENTOS!A2321="","",ORCAMENTOS!A2321)</f>
        <v>46050</v>
      </c>
      <c r="B2313" s="46">
        <f>IF(ORCAMENTOS!B2321="","",ORCAMENTOS!B2321)</f>
        <v>136</v>
      </c>
      <c r="C2313" s="46" t="str">
        <f>IF(ORCAMENTOS!C2321="","",ORCAMENTOS!C2321)</f>
        <v/>
      </c>
      <c r="D2313" s="37" t="str">
        <f>IF(ORCAMENTOS!D2321="","",ORCAMENTOS!D2321)</f>
        <v>NOSSO AR</v>
      </c>
      <c r="E2313" s="38" t="str">
        <f>IF(ORCAMENTOS!E2321="","",ORCAMENTOS!E2321)</f>
        <v>-</v>
      </c>
      <c r="F2313" s="37" t="str">
        <f>IF(ORCAMENTOS!G2321="","",ORCAMENTOS!G2321)</f>
        <v>Gabriel</v>
      </c>
      <c r="G2313" s="37" t="str">
        <f>IF(ORCAMENTOS!H2321="","",ORCAMENTOS!H2321)</f>
        <v>Yasmin</v>
      </c>
      <c r="H2313" s="39">
        <f>IF(ORCAMENTOS!I2321="","",ORCAMENTOS!I2321)</f>
        <v>181491.5</v>
      </c>
      <c r="I2313" s="60">
        <f>IF(ORCAMENTOS!J2321="","",ORCAMENTOS!J2321)</f>
        <v>7.0000000000000007E-2</v>
      </c>
      <c r="J2313" s="40" t="str">
        <f>IF(ORCAMENTOS!L2321="","",ORCAMENTOS!L2321)</f>
        <v>CANCELADO</v>
      </c>
      <c r="K2313" s="34" t="str">
        <f>IF(ORCAMENTOS!M2321="","",ORCAMENTOS!M2321)</f>
        <v>-</v>
      </c>
      <c r="L2313" t="str">
        <f>IF(ORCAMENTOS!R2321="","",ORCAMENTOS!R2321)</f>
        <v>-</v>
      </c>
    </row>
    <row r="2314" spans="1:12" ht="15.75" hidden="1" customHeight="1" x14ac:dyDescent="0.25">
      <c r="A2314" s="36">
        <f>IF(ORCAMENTOS!A2322="","",ORCAMENTOS!A2322)</f>
        <v>46051</v>
      </c>
      <c r="B2314" s="46">
        <f>IF(ORCAMENTOS!B2322="","",ORCAMENTOS!B2322)</f>
        <v>137</v>
      </c>
      <c r="C2314" s="46" t="str">
        <f>IF(ORCAMENTOS!C2322="","",ORCAMENTOS!C2322)</f>
        <v>R1</v>
      </c>
      <c r="D2314" s="37" t="str">
        <f>IF(ORCAMENTOS!D2322="","",ORCAMENTOS!D2322)</f>
        <v>INTEG MONTAGEM</v>
      </c>
      <c r="E2314" s="38" t="str">
        <f>IF(ORCAMENTOS!E2322="","",ORCAMENTOS!E2322)</f>
        <v>-</v>
      </c>
      <c r="F2314" s="37" t="str">
        <f>IF(ORCAMENTOS!G2322="","",ORCAMENTOS!G2322)</f>
        <v>Fernando</v>
      </c>
      <c r="G2314" s="37" t="str">
        <f>IF(ORCAMENTOS!H2322="","",ORCAMENTOS!H2322)</f>
        <v>-</v>
      </c>
      <c r="H2314" s="39">
        <f>IF(ORCAMENTOS!I2322="","",ORCAMENTOS!I2322)</f>
        <v>68145</v>
      </c>
      <c r="I2314" s="60">
        <f>IF(ORCAMENTOS!J2322="","",ORCAMENTOS!J2322)</f>
        <v>0.03</v>
      </c>
      <c r="J2314" s="40" t="str">
        <f>IF(ORCAMENTOS!L2322="","",ORCAMENTOS!L2322)</f>
        <v>FECHADO</v>
      </c>
      <c r="K2314" s="34" t="str">
        <f>IF(ORCAMENTOS!M2322="","",ORCAMENTOS!M2322)</f>
        <v>-</v>
      </c>
      <c r="L2314" t="str">
        <f>IF(ORCAMENTOS!R2322="","",ORCAMENTOS!R2322)</f>
        <v>-</v>
      </c>
    </row>
    <row r="2315" spans="1:12" ht="15.75" hidden="1" customHeight="1" x14ac:dyDescent="0.25">
      <c r="A2315" s="36">
        <f>IF(ORCAMENTOS!A2323="","",ORCAMENTOS!A2323)</f>
        <v>46051</v>
      </c>
      <c r="B2315" s="46">
        <f>IF(ORCAMENTOS!B2323="","",ORCAMENTOS!B2323)</f>
        <v>138</v>
      </c>
      <c r="C2315" s="46" t="str">
        <f>IF(ORCAMENTOS!C2323="","",ORCAMENTOS!C2323)</f>
        <v/>
      </c>
      <c r="D2315" s="37" t="str">
        <f>IF(ORCAMENTOS!D2323="","",ORCAMENTOS!D2323)</f>
        <v>STAR CENTER</v>
      </c>
      <c r="E2315" s="38" t="str">
        <f>IF(ORCAMENTOS!E2323="","",ORCAMENTOS!E2323)</f>
        <v>Esther</v>
      </c>
      <c r="F2315" s="37" t="str">
        <f>IF(ORCAMENTOS!G2323="","",ORCAMENTOS!G2323)</f>
        <v>Guilherme</v>
      </c>
      <c r="G2315" s="37" t="str">
        <f>IF(ORCAMENTOS!H2323="","",ORCAMENTOS!H2323)</f>
        <v>Wilson</v>
      </c>
      <c r="H2315" s="39">
        <f>IF(ORCAMENTOS!I2323="","",ORCAMENTOS!I2323)</f>
        <v>4655</v>
      </c>
      <c r="I2315" s="60">
        <f>IF(ORCAMENTOS!J2323="","",ORCAMENTOS!J2323)</f>
        <v>7.0000000000000007E-2</v>
      </c>
      <c r="J2315" s="40" t="str">
        <f>IF(ORCAMENTOS!L2323="","",ORCAMENTOS!L2323)</f>
        <v>CANCELADO</v>
      </c>
      <c r="K2315" s="34" t="str">
        <f>IF(ORCAMENTOS!M2323="","",ORCAMENTOS!M2323)</f>
        <v>-</v>
      </c>
      <c r="L2315" t="str">
        <f>IF(ORCAMENTOS!R2323="","",ORCAMENTOS!R2323)</f>
        <v>-</v>
      </c>
    </row>
    <row r="2316" spans="1:12" ht="15.75" hidden="1" customHeight="1" x14ac:dyDescent="0.25">
      <c r="A2316" s="36">
        <f>IF(ORCAMENTOS!A2324="","",ORCAMENTOS!A2324)</f>
        <v>46051</v>
      </c>
      <c r="B2316" s="46">
        <f>IF(ORCAMENTOS!B2324="","",ORCAMENTOS!B2324)</f>
        <v>139</v>
      </c>
      <c r="C2316" s="46" t="str">
        <f>IF(ORCAMENTOS!C2324="","",ORCAMENTOS!C2324)</f>
        <v/>
      </c>
      <c r="D2316" s="37" t="str">
        <f>IF(ORCAMENTOS!D2324="","",ORCAMENTOS!D2324)</f>
        <v>RM3 ENGENHARIA</v>
      </c>
      <c r="E2316" s="38" t="str">
        <f>IF(ORCAMENTOS!E2324="","",ORCAMENTOS!E2324)</f>
        <v>H&amp;M BR0019 - IGUATEMI PRAIA BELAS - PORTO ALEGRE- RS</v>
      </c>
      <c r="F2316" s="37" t="str">
        <f>IF(ORCAMENTOS!G2324="","",ORCAMENTOS!G2324)</f>
        <v>Guilherme</v>
      </c>
      <c r="G2316" s="37" t="str">
        <f>IF(ORCAMENTOS!H2324="","",ORCAMENTOS!H2324)</f>
        <v>Angelica</v>
      </c>
      <c r="H2316" s="39">
        <f>IF(ORCAMENTOS!I2324="","",ORCAMENTOS!I2324)</f>
        <v>137406.01</v>
      </c>
      <c r="I2316" s="60">
        <f>IF(ORCAMENTOS!J2324="","",ORCAMENTOS!J2324)</f>
        <v>7.0000000000000007E-2</v>
      </c>
      <c r="J2316" s="40" t="str">
        <f>IF(ORCAMENTOS!L2324="","",ORCAMENTOS!L2324)</f>
        <v>PERDIDO</v>
      </c>
      <c r="K2316" s="34" t="str">
        <f>IF(ORCAMENTOS!M2324="","",ORCAMENTOS!M2324)</f>
        <v>CHAPA</v>
      </c>
      <c r="L2316" t="str">
        <f>IF(ORCAMENTOS!R2324="","",ORCAMENTOS!R2324)</f>
        <v>MPU</v>
      </c>
    </row>
    <row r="2317" spans="1:12" ht="15.75" hidden="1" customHeight="1" x14ac:dyDescent="0.25">
      <c r="A2317" s="36">
        <f>IF(ORCAMENTOS!A2325="","",ORCAMENTOS!A2325)</f>
        <v>46051</v>
      </c>
      <c r="B2317" s="46">
        <f>IF(ORCAMENTOS!B2325="","",ORCAMENTOS!B2325)</f>
        <v>140</v>
      </c>
      <c r="C2317" s="46" t="str">
        <f>IF(ORCAMENTOS!C2325="","",ORCAMENTOS!C2325)</f>
        <v/>
      </c>
      <c r="D2317" s="37" t="str">
        <f>IF(ORCAMENTOS!D2325="","",ORCAMENTOS!D2325)</f>
        <v>CLIMA SPACE</v>
      </c>
      <c r="E2317" s="38" t="str">
        <f>IF(ORCAMENTOS!E2325="","",ORCAMENTOS!E2325)</f>
        <v>DELL COMPUTADORES</v>
      </c>
      <c r="F2317" s="37" t="str">
        <f>IF(ORCAMENTOS!G2325="","",ORCAMENTOS!G2325)</f>
        <v xml:space="preserve">Aldavir </v>
      </c>
      <c r="G2317" s="37" t="str">
        <f>IF(ORCAMENTOS!H2325="","",ORCAMENTOS!H2325)</f>
        <v>Sirley</v>
      </c>
      <c r="H2317" s="39">
        <f>IF(ORCAMENTOS!I2325="","",ORCAMENTOS!I2325)</f>
        <v>9085.58</v>
      </c>
      <c r="I2317" s="60">
        <f>IF(ORCAMENTOS!J2325="","",ORCAMENTOS!J2325)</f>
        <v>0.05</v>
      </c>
      <c r="J2317" s="40" t="str">
        <f>IF(ORCAMENTOS!L2325="","",ORCAMENTOS!L2325)</f>
        <v>FECHADO</v>
      </c>
      <c r="K2317" s="34" t="str">
        <f>IF(ORCAMENTOS!M2325="","",ORCAMENTOS!M2325)</f>
        <v>-</v>
      </c>
      <c r="L2317" t="str">
        <f>IF(ORCAMENTOS!R2325="","",ORCAMENTOS!R2325)</f>
        <v>-</v>
      </c>
    </row>
    <row r="2318" spans="1:12" ht="15.75" hidden="1" customHeight="1" x14ac:dyDescent="0.25">
      <c r="A2318" s="36">
        <f>IF(ORCAMENTOS!A2326="","",ORCAMENTOS!A2326)</f>
        <v>46051</v>
      </c>
      <c r="B2318" s="46">
        <f>IF(ORCAMENTOS!B2326="","",ORCAMENTOS!B2326)</f>
        <v>141</v>
      </c>
      <c r="C2318" s="46" t="str">
        <f>IF(ORCAMENTOS!C2326="","",ORCAMENTOS!C2326)</f>
        <v/>
      </c>
      <c r="D2318" s="37" t="str">
        <f>IF(ORCAMENTOS!D2326="","",ORCAMENTOS!D2326)</f>
        <v>NEWSET</v>
      </c>
      <c r="E2318" s="38" t="str">
        <f>IF(ORCAMENTOS!E2326="","",ORCAMENTOS!E2326)</f>
        <v>REMA - HOSPITAL SÃO LUIZ ALPHAVILLE - REDE D'OR</v>
      </c>
      <c r="F2318" s="37" t="str">
        <f>IF(ORCAMENTOS!G2326="","",ORCAMENTOS!G2326)</f>
        <v xml:space="preserve">Aldavir </v>
      </c>
      <c r="G2318" s="37" t="str">
        <f>IF(ORCAMENTOS!H2326="","",ORCAMENTOS!H2326)</f>
        <v>Andressa</v>
      </c>
      <c r="H2318" s="39">
        <f>IF(ORCAMENTOS!I2326="","",ORCAMENTOS!I2326)</f>
        <v>7995.27</v>
      </c>
      <c r="I2318" s="60">
        <f>IF(ORCAMENTOS!J2326="","",ORCAMENTOS!J2326)</f>
        <v>7.0000000000000007E-2</v>
      </c>
      <c r="J2318" s="40" t="str">
        <f>IF(ORCAMENTOS!L2326="","",ORCAMENTOS!L2326)</f>
        <v>FECHADO</v>
      </c>
      <c r="K2318" s="34" t="str">
        <f>IF(ORCAMENTOS!M2326="","",ORCAMENTOS!M2326)</f>
        <v>-</v>
      </c>
      <c r="L2318" t="str">
        <f>IF(ORCAMENTOS!R2326="","",ORCAMENTOS!R2326)</f>
        <v>-</v>
      </c>
    </row>
    <row r="2319" spans="1:12" ht="15.75" hidden="1" customHeight="1" x14ac:dyDescent="0.25">
      <c r="A2319" s="36">
        <f>IF(ORCAMENTOS!A2327="","",ORCAMENTOS!A2327)</f>
        <v>46051</v>
      </c>
      <c r="B2319" s="46">
        <f>IF(ORCAMENTOS!B2327="","",ORCAMENTOS!B2327)</f>
        <v>142</v>
      </c>
      <c r="C2319" s="46" t="str">
        <f>IF(ORCAMENTOS!C2327="","",ORCAMENTOS!C2327)</f>
        <v/>
      </c>
      <c r="D2319" s="37" t="str">
        <f>IF(ORCAMENTOS!D2327="","",ORCAMENTOS!D2327)</f>
        <v>NEXT DUCT</v>
      </c>
      <c r="E2319" s="38" t="str">
        <f>IF(ORCAMENTOS!E2327="","",ORCAMENTOS!E2327)</f>
        <v>-</v>
      </c>
      <c r="F2319" s="37" t="str">
        <f>IF(ORCAMENTOS!G2327="","",ORCAMENTOS!G2327)</f>
        <v>Gabriel</v>
      </c>
      <c r="G2319" s="37" t="str">
        <f>IF(ORCAMENTOS!H2327="","",ORCAMENTOS!H2327)</f>
        <v>Vinicius</v>
      </c>
      <c r="H2319" s="39">
        <f>IF(ORCAMENTOS!I2327="","",ORCAMENTOS!I2327)</f>
        <v>27258</v>
      </c>
      <c r="I2319" s="60">
        <f>IF(ORCAMENTOS!J2327="","",ORCAMENTOS!J2327)</f>
        <v>7.0000000000000007E-2</v>
      </c>
      <c r="J2319" s="40" t="str">
        <f>IF(ORCAMENTOS!L2327="","",ORCAMENTOS!L2327)</f>
        <v>FECHADO</v>
      </c>
      <c r="K2319" s="34" t="str">
        <f>IF(ORCAMENTOS!M2327="","",ORCAMENTOS!M2327)</f>
        <v>-</v>
      </c>
      <c r="L2319" t="str">
        <f>IF(ORCAMENTOS!R2327="","",ORCAMENTOS!R2327)</f>
        <v>-</v>
      </c>
    </row>
    <row r="2320" spans="1:12" ht="15.75" hidden="1" customHeight="1" x14ac:dyDescent="0.25">
      <c r="A2320" s="36">
        <f>IF(ORCAMENTOS!A2328="","",ORCAMENTOS!A2328)</f>
        <v>46051</v>
      </c>
      <c r="B2320" s="46">
        <f>IF(ORCAMENTOS!B2328="","",ORCAMENTOS!B2328)</f>
        <v>143</v>
      </c>
      <c r="C2320" s="46" t="str">
        <f>IF(ORCAMENTOS!C2328="","",ORCAMENTOS!C2328)</f>
        <v/>
      </c>
      <c r="D2320" s="37" t="str">
        <f>IF(ORCAMENTOS!D2328="","",ORCAMENTOS!D2328)</f>
        <v>AIRPLAN</v>
      </c>
      <c r="E2320" s="38" t="str">
        <f>IF(ORCAMENTOS!E2328="","",ORCAMENTOS!E2328)</f>
        <v>STZ - SHOPPING IGUATEMI BOSQUE - FORTALEZA - CE</v>
      </c>
      <c r="F2320" s="37" t="str">
        <f>IF(ORCAMENTOS!G2328="","",ORCAMENTOS!G2328)</f>
        <v>Guilherme</v>
      </c>
      <c r="G2320" s="37" t="str">
        <f>IF(ORCAMENTOS!H2328="","",ORCAMENTOS!H2328)</f>
        <v>Gabriel</v>
      </c>
      <c r="H2320" s="39">
        <f>IF(ORCAMENTOS!I2328="","",ORCAMENTOS!I2328)</f>
        <v>78106.509999999995</v>
      </c>
      <c r="I2320" s="60">
        <f>IF(ORCAMENTOS!J2328="","",ORCAMENTOS!J2328)</f>
        <v>7.0000000000000007E-2</v>
      </c>
      <c r="J2320" s="40" t="str">
        <f>IF(ORCAMENTOS!L2328="","",ORCAMENTOS!L2328)</f>
        <v>CANCELADO</v>
      </c>
      <c r="K2320" s="34" t="str">
        <f>IF(ORCAMENTOS!M2328="","",ORCAMENTOS!M2328)</f>
        <v>-</v>
      </c>
      <c r="L2320" t="str">
        <f>IF(ORCAMENTOS!R2328="","",ORCAMENTOS!R2328)</f>
        <v>MPU</v>
      </c>
    </row>
    <row r="2321" spans="1:12" ht="15.75" hidden="1" customHeight="1" x14ac:dyDescent="0.25">
      <c r="A2321" s="36">
        <f>IF(ORCAMENTOS!A2329="","",ORCAMENTOS!A2329)</f>
        <v>46051</v>
      </c>
      <c r="B2321" s="46">
        <f>IF(ORCAMENTOS!B2329="","",ORCAMENTOS!B2329)</f>
        <v>144</v>
      </c>
      <c r="C2321" s="46" t="str">
        <f>IF(ORCAMENTOS!C2329="","",ORCAMENTOS!C2329)</f>
        <v/>
      </c>
      <c r="D2321" s="37" t="str">
        <f>IF(ORCAMENTOS!D2329="","",ORCAMENTOS!D2329)</f>
        <v>CACR ENGENHARIA</v>
      </c>
      <c r="E2321" s="38" t="str">
        <f>IF(ORCAMENTOS!E2329="","",ORCAMENTOS!E2329)</f>
        <v>-</v>
      </c>
      <c r="F2321" s="37" t="str">
        <f>IF(ORCAMENTOS!G2329="","",ORCAMENTOS!G2329)</f>
        <v xml:space="preserve">Aldavir </v>
      </c>
      <c r="G2321" s="37" t="str">
        <f>IF(ORCAMENTOS!H2329="","",ORCAMENTOS!H2329)</f>
        <v>-</v>
      </c>
      <c r="H2321" s="39" t="str">
        <f>IF(ORCAMENTOS!I2329="","",ORCAMENTOS!I2329)</f>
        <v>-</v>
      </c>
      <c r="I2321" s="60" t="str">
        <f>IF(ORCAMENTOS!J2329="","",ORCAMENTOS!J2329)</f>
        <v>-</v>
      </c>
      <c r="J2321" s="40" t="str">
        <f>IF(ORCAMENTOS!L2329="","",ORCAMENTOS!L2329)</f>
        <v>CANCELADO</v>
      </c>
      <c r="K2321" s="34" t="str">
        <f>IF(ORCAMENTOS!M2329="","",ORCAMENTOS!M2329)</f>
        <v>-</v>
      </c>
      <c r="L2321" t="str">
        <f>IF(ORCAMENTOS!R2329="","",ORCAMENTOS!R2329)</f>
        <v>-</v>
      </c>
    </row>
    <row r="2322" spans="1:12" ht="15.75" hidden="1" customHeight="1" x14ac:dyDescent="0.25">
      <c r="A2322" s="36">
        <f>IF(ORCAMENTOS!A2330="","",ORCAMENTOS!A2330)</f>
        <v>46051</v>
      </c>
      <c r="B2322" s="46">
        <f>IF(ORCAMENTOS!B2330="","",ORCAMENTOS!B2330)</f>
        <v>145</v>
      </c>
      <c r="C2322" s="46" t="str">
        <f>IF(ORCAMENTOS!C2330="","",ORCAMENTOS!C2330)</f>
        <v>R1</v>
      </c>
      <c r="D2322" s="37" t="str">
        <f>IF(ORCAMENTOS!D2330="","",ORCAMENTOS!D2330)</f>
        <v>TEKNOAR</v>
      </c>
      <c r="E2322" s="38" t="str">
        <f>IF(ORCAMENTOS!E2330="","",ORCAMENTOS!E2330)</f>
        <v>BLUEFIT - CAMPO GRANDE - MT</v>
      </c>
      <c r="F2322" s="37" t="str">
        <f>IF(ORCAMENTOS!G2330="","",ORCAMENTOS!G2330)</f>
        <v>Gabriel</v>
      </c>
      <c r="G2322" s="37" t="str">
        <f>IF(ORCAMENTOS!H2330="","",ORCAMENTOS!H2330)</f>
        <v>Mario</v>
      </c>
      <c r="H2322" s="39">
        <f>IF(ORCAMENTOS!I2330="","",ORCAMENTOS!I2330)</f>
        <v>118677.81</v>
      </c>
      <c r="I2322" s="60">
        <f>IF(ORCAMENTOS!J2330="","",ORCAMENTOS!J2330)</f>
        <v>0.05</v>
      </c>
      <c r="J2322" s="40" t="str">
        <f>IF(ORCAMENTOS!L2330="","",ORCAMENTOS!L2330)</f>
        <v>CANCELADO</v>
      </c>
      <c r="K2322" s="34" t="str">
        <f>IF(ORCAMENTOS!M2330="","",ORCAMENTOS!M2330)</f>
        <v>-</v>
      </c>
      <c r="L2322" t="str">
        <f>IF(ORCAMENTOS!R2330="","",ORCAMENTOS!R2330)</f>
        <v>N/E</v>
      </c>
    </row>
    <row r="2323" spans="1:12" ht="15.75" hidden="1" customHeight="1" x14ac:dyDescent="0.25">
      <c r="A2323" s="36">
        <f>IF(ORCAMENTOS!A2331="","",ORCAMENTOS!A2331)</f>
        <v>46051</v>
      </c>
      <c r="B2323" s="46">
        <f>IF(ORCAMENTOS!B2331="","",ORCAMENTOS!B2331)</f>
        <v>146</v>
      </c>
      <c r="C2323" s="46" t="str">
        <f>IF(ORCAMENTOS!C2331="","",ORCAMENTOS!C2331)</f>
        <v/>
      </c>
      <c r="D2323" s="37" t="str">
        <f>IF(ORCAMENTOS!D2331="","",ORCAMENTOS!D2331)</f>
        <v>REFRIN</v>
      </c>
      <c r="E2323" s="38" t="str">
        <f>IF(ORCAMENTOS!E2331="","",ORCAMENTOS!E2331)</f>
        <v>-</v>
      </c>
      <c r="F2323" s="37" t="str">
        <f>IF(ORCAMENTOS!G2331="","",ORCAMENTOS!G2331)</f>
        <v>Gabriel</v>
      </c>
      <c r="G2323" s="37" t="str">
        <f>IF(ORCAMENTOS!H2331="","",ORCAMENTOS!H2331)</f>
        <v>Fabio</v>
      </c>
      <c r="H2323" s="39">
        <f>IF(ORCAMENTOS!I2331="","",ORCAMENTOS!I2331)</f>
        <v>10781.22</v>
      </c>
      <c r="I2323" s="60">
        <f>IF(ORCAMENTOS!J2331="","",ORCAMENTOS!J2331)</f>
        <v>7.0000000000000007E-2</v>
      </c>
      <c r="J2323" s="40" t="str">
        <f>IF(ORCAMENTOS!L2331="","",ORCAMENTOS!L2331)</f>
        <v>CANCELADO</v>
      </c>
      <c r="K2323" s="34" t="str">
        <f>IF(ORCAMENTOS!M2331="","",ORCAMENTOS!M2331)</f>
        <v>-</v>
      </c>
      <c r="L2323" t="str">
        <f>IF(ORCAMENTOS!R2331="","",ORCAMENTOS!R2331)</f>
        <v>-</v>
      </c>
    </row>
    <row r="2324" spans="1:12" ht="15.75" hidden="1" customHeight="1" x14ac:dyDescent="0.25">
      <c r="A2324" s="36">
        <f>IF(ORCAMENTOS!A2332="","",ORCAMENTOS!A2332)</f>
        <v>46052</v>
      </c>
      <c r="B2324" s="46">
        <f>IF(ORCAMENTOS!B2332="","",ORCAMENTOS!B2332)</f>
        <v>147</v>
      </c>
      <c r="C2324" s="46" t="str">
        <f>IF(ORCAMENTOS!C2332="","",ORCAMENTOS!C2332)</f>
        <v>R2</v>
      </c>
      <c r="D2324" s="37" t="str">
        <f>IF(ORCAMENTOS!D2332="","",ORCAMENTOS!D2332)</f>
        <v>COLDTERMICA</v>
      </c>
      <c r="E2324" s="38" t="str">
        <f>IF(ORCAMENTOS!E2332="","",ORCAMENTOS!E2332)</f>
        <v>RENNER - NITEROI - RJ</v>
      </c>
      <c r="F2324" s="37" t="str">
        <f>IF(ORCAMENTOS!G2332="","",ORCAMENTOS!G2332)</f>
        <v>Gabriel</v>
      </c>
      <c r="G2324" s="37" t="str">
        <f>IF(ORCAMENTOS!H2332="","",ORCAMENTOS!H2332)</f>
        <v>Denis</v>
      </c>
      <c r="H2324" s="39">
        <f>IF(ORCAMENTOS!I2332="","",ORCAMENTOS!I2332)</f>
        <v>82162.42</v>
      </c>
      <c r="I2324" s="60">
        <f>IF(ORCAMENTOS!J2332="","",ORCAMENTOS!J2332)</f>
        <v>0.03</v>
      </c>
      <c r="J2324" s="40" t="str">
        <f>IF(ORCAMENTOS!L2332="","",ORCAMENTOS!L2332)</f>
        <v>FECHADO</v>
      </c>
      <c r="K2324" s="34" t="str">
        <f>IF(ORCAMENTOS!M2332="","",ORCAMENTOS!M2332)</f>
        <v>-</v>
      </c>
      <c r="L2324" t="str">
        <f>IF(ORCAMENTOS!R2332="","",ORCAMENTOS!R2332)</f>
        <v>-</v>
      </c>
    </row>
    <row r="2325" spans="1:12" ht="15.75" hidden="1" customHeight="1" x14ac:dyDescent="0.25">
      <c r="A2325" s="36">
        <f>IF(ORCAMENTOS!A2333="","",ORCAMENTOS!A2333)</f>
        <v>46051</v>
      </c>
      <c r="B2325" s="46">
        <f>IF(ORCAMENTOS!B2333="","",ORCAMENTOS!B2333)</f>
        <v>148</v>
      </c>
      <c r="C2325" s="46" t="str">
        <f>IF(ORCAMENTOS!C2333="","",ORCAMENTOS!C2333)</f>
        <v/>
      </c>
      <c r="D2325" s="37" t="str">
        <f>IF(ORCAMENTOS!D2333="","",ORCAMENTOS!D2333)</f>
        <v>KONAR</v>
      </c>
      <c r="E2325" s="38" t="str">
        <f>IF(ORCAMENTOS!E2333="","",ORCAMENTOS!E2333)</f>
        <v>CINE</v>
      </c>
      <c r="F2325" s="37" t="str">
        <f>IF(ORCAMENTOS!G2333="","",ORCAMENTOS!G2333)</f>
        <v>Michel</v>
      </c>
      <c r="G2325" s="37" t="str">
        <f>IF(ORCAMENTOS!H2333="","",ORCAMENTOS!H2333)</f>
        <v>Pedro</v>
      </c>
      <c r="H2325" s="39">
        <f>IF(ORCAMENTOS!I2333="","",ORCAMENTOS!I2333)</f>
        <v>69096.009999999995</v>
      </c>
      <c r="I2325" s="60">
        <f>IF(ORCAMENTOS!J2333="","",ORCAMENTOS!J2333)</f>
        <v>7.0000000000000007E-2</v>
      </c>
      <c r="J2325" s="40" t="str">
        <f>IF(ORCAMENTOS!L2333="","",ORCAMENTOS!L2333)</f>
        <v>CANCELADO</v>
      </c>
      <c r="K2325" s="34" t="str">
        <f>IF(ORCAMENTOS!M2333="","",ORCAMENTOS!M2333)</f>
        <v>-</v>
      </c>
      <c r="L2325" t="str">
        <f>IF(ORCAMENTOS!R2333="","",ORCAMENTOS!R2333)</f>
        <v>-</v>
      </c>
    </row>
    <row r="2326" spans="1:12" ht="15.75" hidden="1" customHeight="1" x14ac:dyDescent="0.25">
      <c r="A2326" s="36">
        <f>IF(ORCAMENTOS!A2334="","",ORCAMENTOS!A2334)</f>
        <v>46051</v>
      </c>
      <c r="B2326" s="46">
        <f>IF(ORCAMENTOS!B2334="","",ORCAMENTOS!B2334)</f>
        <v>149</v>
      </c>
      <c r="C2326" s="46" t="str">
        <f>IF(ORCAMENTOS!C2334="","",ORCAMENTOS!C2334)</f>
        <v/>
      </c>
      <c r="D2326" s="37" t="str">
        <f>IF(ORCAMENTOS!D2334="","",ORCAMENTOS!D2334)</f>
        <v>THERMOCENTER</v>
      </c>
      <c r="E2326" s="38" t="str">
        <f>IF(ORCAMENTOS!E2334="","",ORCAMENTOS!E2334)</f>
        <v>ARCOS DOURADOS - FRANCA</v>
      </c>
      <c r="F2326" s="37" t="str">
        <f>IF(ORCAMENTOS!G2334="","",ORCAMENTOS!G2334)</f>
        <v>Fernando</v>
      </c>
      <c r="G2326" s="37" t="str">
        <f>IF(ORCAMENTOS!H2334="","",ORCAMENTOS!H2334)</f>
        <v>Artur</v>
      </c>
      <c r="H2326" s="39">
        <f>IF(ORCAMENTOS!I2334="","",ORCAMENTOS!I2334)</f>
        <v>19565.53</v>
      </c>
      <c r="I2326" s="60">
        <f>IF(ORCAMENTOS!J2334="","",ORCAMENTOS!J2334)</f>
        <v>7.0000000000000007E-2</v>
      </c>
      <c r="J2326" s="40" t="str">
        <f>IF(ORCAMENTOS!L2334="","",ORCAMENTOS!L2334)</f>
        <v>CANCELADO</v>
      </c>
      <c r="K2326" s="34" t="str">
        <f>IF(ORCAMENTOS!M2334="","",ORCAMENTOS!M2334)</f>
        <v>-</v>
      </c>
      <c r="L2326" t="str">
        <f>IF(ORCAMENTOS!R2334="","",ORCAMENTOS!R2334)</f>
        <v>-</v>
      </c>
    </row>
    <row r="2327" spans="1:12" ht="15.75" hidden="1" customHeight="1" x14ac:dyDescent="0.25">
      <c r="A2327" s="36">
        <f>IF(ORCAMENTOS!A2335="","",ORCAMENTOS!A2335)</f>
        <v>46051</v>
      </c>
      <c r="B2327" s="46">
        <f>IF(ORCAMENTOS!B2335="","",ORCAMENTOS!B2335)</f>
        <v>150</v>
      </c>
      <c r="C2327" s="46" t="str">
        <f>IF(ORCAMENTOS!C2335="","",ORCAMENTOS!C2335)</f>
        <v/>
      </c>
      <c r="D2327" s="37" t="str">
        <f>IF(ORCAMENTOS!D2335="","",ORCAMENTOS!D2335)</f>
        <v>ISOTEMP</v>
      </c>
      <c r="E2327" s="38" t="str">
        <f>IF(ORCAMENTOS!E2335="","",ORCAMENTOS!E2335)</f>
        <v>EMBRION MEDICINA REPRODUTIVA - SÃO PAULO - SP</v>
      </c>
      <c r="F2327" s="37" t="str">
        <f>IF(ORCAMENTOS!G2335="","",ORCAMENTOS!G2335)</f>
        <v>Michel</v>
      </c>
      <c r="G2327" s="37" t="str">
        <f>IF(ORCAMENTOS!H2335="","",ORCAMENTOS!H2335)</f>
        <v>Caique</v>
      </c>
      <c r="H2327" s="39">
        <f>IF(ORCAMENTOS!I2335="","",ORCAMENTOS!I2335)</f>
        <v>59581.599999999999</v>
      </c>
      <c r="I2327" s="60">
        <f>IF(ORCAMENTOS!J2335="","",ORCAMENTOS!J2335)</f>
        <v>7.0000000000000007E-2</v>
      </c>
      <c r="J2327" s="40" t="str">
        <f>IF(ORCAMENTOS!L2335="","",ORCAMENTOS!L2335)</f>
        <v>FECHADO</v>
      </c>
      <c r="K2327" s="34" t="str">
        <f>IF(ORCAMENTOS!M2335="","",ORCAMENTOS!M2335)</f>
        <v>-</v>
      </c>
      <c r="L2327" t="str">
        <f>IF(ORCAMENTOS!R2335="","",ORCAMENTOS!R2335)</f>
        <v>-</v>
      </c>
    </row>
    <row r="2328" spans="1:12" ht="15.75" hidden="1" customHeight="1" x14ac:dyDescent="0.25">
      <c r="A2328" s="36">
        <f>IF(ORCAMENTOS!A2336="","",ORCAMENTOS!A2336)</f>
        <v>46093</v>
      </c>
      <c r="B2328" s="46">
        <f>IF(ORCAMENTOS!B2336="","",ORCAMENTOS!B2336)</f>
        <v>151</v>
      </c>
      <c r="C2328" s="46" t="str">
        <f>IF(ORCAMENTOS!C2336="","",ORCAMENTOS!C2336)</f>
        <v/>
      </c>
      <c r="D2328" s="37" t="str">
        <f>IF(ORCAMENTOS!D2336="","",ORCAMENTOS!D2336)</f>
        <v>SERTTA CLIMATIZACAO</v>
      </c>
      <c r="E2328" s="38" t="str">
        <f>IF(ORCAMENTOS!E2336="","",ORCAMENTOS!E2336)</f>
        <v>AMAZON - VBM2</v>
      </c>
      <c r="F2328" s="37" t="str">
        <f>IF(ORCAMENTOS!G2336="","",ORCAMENTOS!G2336)</f>
        <v>Emanuel</v>
      </c>
      <c r="G2328" s="37" t="str">
        <f>IF(ORCAMENTOS!H2336="","",ORCAMENTOS!H2336)</f>
        <v>Liliane</v>
      </c>
      <c r="H2328" s="39">
        <f>IF(ORCAMENTOS!I2336="","",ORCAMENTOS!I2336)</f>
        <v>7443.08</v>
      </c>
      <c r="I2328" s="60">
        <f>IF(ORCAMENTOS!J2336="","",ORCAMENTOS!J2336)</f>
        <v>7.0000000000000007E-2</v>
      </c>
      <c r="J2328" s="40" t="str">
        <f>IF(ORCAMENTOS!L2336="","",ORCAMENTOS!L2336)</f>
        <v>PERDIDO</v>
      </c>
      <c r="K2328" s="34" t="str">
        <f>IF(ORCAMENTOS!M2336="","",ORCAMENTOS!M2336)</f>
        <v>PERDIDO - ARCOTEC</v>
      </c>
      <c r="L2328" t="str">
        <f>IF(ORCAMENTOS!R2336="","",ORCAMENTOS!R2336)</f>
        <v>-</v>
      </c>
    </row>
    <row r="2329" spans="1:12" ht="15.75" hidden="1" customHeight="1" x14ac:dyDescent="0.25">
      <c r="A2329" s="36">
        <f>IF(ORCAMENTOS!A2337="","",ORCAMENTOS!A2337)</f>
        <v>46093</v>
      </c>
      <c r="B2329" s="46">
        <f>IF(ORCAMENTOS!B2337="","",ORCAMENTOS!B2337)</f>
        <v>152</v>
      </c>
      <c r="C2329" s="46" t="str">
        <f>IF(ORCAMENTOS!C2337="","",ORCAMENTOS!C2337)</f>
        <v>R1</v>
      </c>
      <c r="D2329" s="37" t="str">
        <f>IF(ORCAMENTOS!D2337="","",ORCAMENTOS!D2337)</f>
        <v>BIOSAFE</v>
      </c>
      <c r="E2329" s="38" t="str">
        <f>IF(ORCAMENTOS!E2337="","",ORCAMENTOS!E2337)</f>
        <v>BIOSAFE - GUARATIBA - RJ</v>
      </c>
      <c r="F2329" s="37" t="str">
        <f>IF(ORCAMENTOS!G2337="","",ORCAMENTOS!G2337)</f>
        <v>Michel</v>
      </c>
      <c r="G2329" s="37" t="str">
        <f>IF(ORCAMENTOS!H2337="","",ORCAMENTOS!H2337)</f>
        <v>Marcelo</v>
      </c>
      <c r="H2329" s="39">
        <f>IF(ORCAMENTOS!I2337="","",ORCAMENTOS!I2337)</f>
        <v>12107.05</v>
      </c>
      <c r="I2329" s="60">
        <f>IF(ORCAMENTOS!J2337="","",ORCAMENTOS!J2337)</f>
        <v>0.04</v>
      </c>
      <c r="J2329" s="40" t="str">
        <f>IF(ORCAMENTOS!L2337="","",ORCAMENTOS!L2337)</f>
        <v>PERDIDO</v>
      </c>
      <c r="K2329" s="34" t="str">
        <f>IF(ORCAMENTOS!M2337="","",ORCAMENTOS!M2337)</f>
        <v>MULTIVAC - PREFERÊNCIA</v>
      </c>
      <c r="L2329" t="str">
        <f>IF(ORCAMENTOS!R2337="","",ORCAMENTOS!R2337)</f>
        <v>MPU</v>
      </c>
    </row>
    <row r="2330" spans="1:12" ht="15.75" hidden="1" customHeight="1" x14ac:dyDescent="0.25">
      <c r="A2330" s="36">
        <f>IF(ORCAMENTOS!A2338="","",ORCAMENTOS!A2338)</f>
        <v>46052</v>
      </c>
      <c r="B2330" s="46">
        <f>IF(ORCAMENTOS!B2338="","",ORCAMENTOS!B2338)</f>
        <v>153</v>
      </c>
      <c r="C2330" s="46" t="str">
        <f>IF(ORCAMENTOS!C2338="","",ORCAMENTOS!C2338)</f>
        <v/>
      </c>
      <c r="D2330" s="37" t="str">
        <f>IF(ORCAMENTOS!D2338="","",ORCAMENTOS!D2338)</f>
        <v>QUADRI DUTO</v>
      </c>
      <c r="E2330" s="38" t="str">
        <f>IF(ORCAMENTOS!E2338="","",ORCAMENTOS!E2338)</f>
        <v>-</v>
      </c>
      <c r="F2330" s="37" t="str">
        <f>IF(ORCAMENTOS!G2338="","",ORCAMENTOS!G2338)</f>
        <v xml:space="preserve">Aldavir </v>
      </c>
      <c r="G2330" s="37" t="str">
        <f>IF(ORCAMENTOS!H2338="","",ORCAMENTOS!H2338)</f>
        <v>Ubiratan</v>
      </c>
      <c r="H2330" s="39">
        <f>IF(ORCAMENTOS!I2338="","",ORCAMENTOS!I2338)</f>
        <v>14411.96</v>
      </c>
      <c r="I2330" s="60">
        <f>IF(ORCAMENTOS!J2338="","",ORCAMENTOS!J2338)</f>
        <v>7.0000000000000007E-2</v>
      </c>
      <c r="J2330" s="40" t="str">
        <f>IF(ORCAMENTOS!L2338="","",ORCAMENTOS!L2338)</f>
        <v>PERDIDO</v>
      </c>
      <c r="K2330" s="34" t="str">
        <f>IF(ORCAMENTOS!M2338="","",ORCAMENTOS!M2338)</f>
        <v>MULTIVAC</v>
      </c>
      <c r="L2330" t="str">
        <f>IF(ORCAMENTOS!R2338="","",ORCAMENTOS!R2338)</f>
        <v>-</v>
      </c>
    </row>
    <row r="2331" spans="1:12" ht="15.75" hidden="1" customHeight="1" x14ac:dyDescent="0.25">
      <c r="A2331" s="36">
        <f>IF(ORCAMENTOS!A2339="","",ORCAMENTOS!A2339)</f>
        <v>46052</v>
      </c>
      <c r="B2331" s="46">
        <f>IF(ORCAMENTOS!B2339="","",ORCAMENTOS!B2339)</f>
        <v>154</v>
      </c>
      <c r="C2331" s="46" t="str">
        <f>IF(ORCAMENTOS!C2339="","",ORCAMENTOS!C2339)</f>
        <v/>
      </c>
      <c r="D2331" s="37" t="str">
        <f>IF(ORCAMENTOS!D2339="","",ORCAMENTOS!D2339)</f>
        <v>BMS ENGENHARIA</v>
      </c>
      <c r="E2331" s="38" t="str">
        <f>IF(ORCAMENTOS!E2339="","",ORCAMENTOS!E2339)</f>
        <v>-</v>
      </c>
      <c r="F2331" s="37" t="str">
        <f>IF(ORCAMENTOS!G2339="","",ORCAMENTOS!G2339)</f>
        <v>Guilherme</v>
      </c>
      <c r="G2331" s="37" t="str">
        <f>IF(ORCAMENTOS!H2339="","",ORCAMENTOS!H2339)</f>
        <v>Heber</v>
      </c>
      <c r="H2331" s="39">
        <f>IF(ORCAMENTOS!I2339="","",ORCAMENTOS!I2339)</f>
        <v>81764.009999999995</v>
      </c>
      <c r="I2331" s="60">
        <f>IF(ORCAMENTOS!J2339="","",ORCAMENTOS!J2339)</f>
        <v>7.0000000000000007E-2</v>
      </c>
      <c r="J2331" s="40" t="str">
        <f>IF(ORCAMENTOS!L2339="","",ORCAMENTOS!L2339)</f>
        <v>CANCELADO</v>
      </c>
      <c r="K2331" s="34" t="str">
        <f>IF(ORCAMENTOS!M2339="","",ORCAMENTOS!M2339)</f>
        <v>-</v>
      </c>
      <c r="L2331" t="str">
        <f>IF(ORCAMENTOS!R2339="","",ORCAMENTOS!R2339)</f>
        <v>-</v>
      </c>
    </row>
    <row r="2332" spans="1:12" ht="15.75" hidden="1" customHeight="1" x14ac:dyDescent="0.25">
      <c r="A2332" s="36">
        <f>IF(ORCAMENTOS!A2340="","",ORCAMENTOS!A2340)</f>
        <v>46052</v>
      </c>
      <c r="B2332" s="46">
        <f>IF(ORCAMENTOS!B2340="","",ORCAMENTOS!B2340)</f>
        <v>155</v>
      </c>
      <c r="C2332" s="46" t="str">
        <f>IF(ORCAMENTOS!C2340="","",ORCAMENTOS!C2340)</f>
        <v>R1</v>
      </c>
      <c r="D2332" s="37" t="str">
        <f>IF(ORCAMENTOS!D2340="","",ORCAMENTOS!D2340)</f>
        <v>AR SET</v>
      </c>
      <c r="E2332" s="38" t="str">
        <f>IF(ORCAMENTOS!E2340="","",ORCAMENTOS!E2340)</f>
        <v>PASU PATRIMONIAL LTDA</v>
      </c>
      <c r="F2332" s="37" t="str">
        <f>IF(ORCAMENTOS!G2340="","",ORCAMENTOS!G2340)</f>
        <v>Fernando</v>
      </c>
      <c r="G2332" s="37" t="str">
        <f>IF(ORCAMENTOS!H2340="","",ORCAMENTOS!H2340)</f>
        <v>Danilo</v>
      </c>
      <c r="H2332" s="39">
        <f>IF(ORCAMENTOS!I2340="","",ORCAMENTOS!I2340)</f>
        <v>7881.51</v>
      </c>
      <c r="I2332" s="60">
        <f>IF(ORCAMENTOS!J2340="","",ORCAMENTOS!J2340)</f>
        <v>0.06</v>
      </c>
      <c r="J2332" s="40" t="str">
        <f>IF(ORCAMENTOS!L2340="","",ORCAMENTOS!L2340)</f>
        <v>FECHADO</v>
      </c>
      <c r="K2332" s="34" t="str">
        <f>IF(ORCAMENTOS!M2340="","",ORCAMENTOS!M2340)</f>
        <v>-</v>
      </c>
      <c r="L2332" t="str">
        <f>IF(ORCAMENTOS!R2340="","",ORCAMENTOS!R2340)</f>
        <v>-</v>
      </c>
    </row>
    <row r="2333" spans="1:12" ht="15.75" hidden="1" customHeight="1" x14ac:dyDescent="0.25">
      <c r="A2333" s="36">
        <f>IF(ORCAMENTOS!A2341="","",ORCAMENTOS!A2341)</f>
        <v>46052</v>
      </c>
      <c r="B2333" s="46">
        <f>IF(ORCAMENTOS!B2341="","",ORCAMENTOS!B2341)</f>
        <v>156</v>
      </c>
      <c r="C2333" s="46" t="str">
        <f>IF(ORCAMENTOS!C2341="","",ORCAMENTOS!C2341)</f>
        <v/>
      </c>
      <c r="D2333" s="37" t="str">
        <f>IF(ORCAMENTOS!D2341="","",ORCAMENTOS!D2341)</f>
        <v>REKTERM</v>
      </c>
      <c r="E2333" s="38" t="str">
        <f>IF(ORCAMENTOS!E2341="","",ORCAMENTOS!E2341)</f>
        <v>HOSPITAL REGIONAL ROTA DOS BANDEIRANTES - PARQUE VIANA - BARUERI - SP</v>
      </c>
      <c r="F2333" s="37" t="str">
        <f>IF(ORCAMENTOS!G2341="","",ORCAMENTOS!G2341)</f>
        <v>Emanuel</v>
      </c>
      <c r="G2333" s="37" t="str">
        <f>IF(ORCAMENTOS!H2341="","",ORCAMENTOS!H2341)</f>
        <v>Reginaldo</v>
      </c>
      <c r="H2333" s="39">
        <f>IF(ORCAMENTOS!I2341="","",ORCAMENTOS!I2341)</f>
        <v>27711.279999999999</v>
      </c>
      <c r="I2333" s="60">
        <f>IF(ORCAMENTOS!J2341="","",ORCAMENTOS!J2341)</f>
        <v>7.0000000000000007E-2</v>
      </c>
      <c r="J2333" s="40" t="str">
        <f>IF(ORCAMENTOS!L2341="","",ORCAMENTOS!L2341)</f>
        <v>CANCELADO</v>
      </c>
      <c r="K2333" s="34" t="str">
        <f>IF(ORCAMENTOS!M2341="","",ORCAMENTOS!M2341)</f>
        <v>-</v>
      </c>
      <c r="L2333" t="str">
        <f>IF(ORCAMENTOS!R2341="","",ORCAMENTOS!R2341)</f>
        <v>-</v>
      </c>
    </row>
    <row r="2334" spans="1:12" ht="15.75" hidden="1" customHeight="1" x14ac:dyDescent="0.25">
      <c r="A2334" s="36">
        <f>IF(ORCAMENTOS!A2342="","",ORCAMENTOS!A2342)</f>
        <v>46052</v>
      </c>
      <c r="B2334" s="46">
        <f>IF(ORCAMENTOS!B2342="","",ORCAMENTOS!B2342)</f>
        <v>157</v>
      </c>
      <c r="C2334" s="46" t="str">
        <f>IF(ORCAMENTOS!C2342="","",ORCAMENTOS!C2342)</f>
        <v/>
      </c>
      <c r="D2334" s="37" t="str">
        <f>IF(ORCAMENTOS!D2342="","",ORCAMENTOS!D2342)</f>
        <v>CONTROLE CLIMA</v>
      </c>
      <c r="E2334" s="38" t="str">
        <f>IF(ORCAMENTOS!E2342="","",ORCAMENTOS!E2342)</f>
        <v>SMART FIT - ROTARY EMBU - SP</v>
      </c>
      <c r="F2334" s="37" t="str">
        <f>IF(ORCAMENTOS!G2342="","",ORCAMENTOS!G2342)</f>
        <v>Emanuel</v>
      </c>
      <c r="G2334" s="37" t="str">
        <f>IF(ORCAMENTOS!H2342="","",ORCAMENTOS!H2342)</f>
        <v>Samuel</v>
      </c>
      <c r="H2334" s="39">
        <f>IF(ORCAMENTOS!I2342="","",ORCAMENTOS!I2342)</f>
        <v>35939.89</v>
      </c>
      <c r="I2334" s="60">
        <f>IF(ORCAMENTOS!J2342="","",ORCAMENTOS!J2342)</f>
        <v>0.04</v>
      </c>
      <c r="J2334" s="40" t="str">
        <f>IF(ORCAMENTOS!L2342="","",ORCAMENTOS!L2342)</f>
        <v>FECHADO</v>
      </c>
      <c r="K2334" s="34" t="str">
        <f>IF(ORCAMENTOS!M2342="","",ORCAMENTOS!M2342)</f>
        <v>-</v>
      </c>
      <c r="L2334" t="str">
        <f>IF(ORCAMENTOS!R2342="","",ORCAMENTOS!R2342)</f>
        <v>MPU</v>
      </c>
    </row>
    <row r="2335" spans="1:12" ht="15.75" hidden="1" customHeight="1" x14ac:dyDescent="0.25">
      <c r="A2335" s="36">
        <f>IF(ORCAMENTOS!A2343="","",ORCAMENTOS!A2343)</f>
        <v>46055</v>
      </c>
      <c r="B2335" s="46">
        <f>IF(ORCAMENTOS!B2343="","",ORCAMENTOS!B2343)</f>
        <v>158</v>
      </c>
      <c r="C2335" s="46" t="str">
        <f>IF(ORCAMENTOS!C2343="","",ORCAMENTOS!C2343)</f>
        <v/>
      </c>
      <c r="D2335" s="37" t="str">
        <f>IF(ORCAMENTOS!D2343="","",ORCAMENTOS!D2343)</f>
        <v>SILVA CLIMATIZACAO</v>
      </c>
      <c r="E2335" s="38" t="str">
        <f>IF(ORCAMENTOS!E2343="","",ORCAMENTOS!E2343)</f>
        <v>BLUEFIT - CAMPO GRANDE - MT</v>
      </c>
      <c r="F2335" s="37" t="str">
        <f>IF(ORCAMENTOS!G2343="","",ORCAMENTOS!G2343)</f>
        <v>Gabriel</v>
      </c>
      <c r="G2335" s="37" t="str">
        <f>IF(ORCAMENTOS!H2343="","",ORCAMENTOS!H2343)</f>
        <v>Eraldo</v>
      </c>
      <c r="H2335" s="39">
        <f>IF(ORCAMENTOS!I2343="","",ORCAMENTOS!I2343)</f>
        <v>130658.11</v>
      </c>
      <c r="I2335" s="60">
        <f>IF(ORCAMENTOS!J2343="","",ORCAMENTOS!J2343)</f>
        <v>7.0000000000000007E-2</v>
      </c>
      <c r="J2335" s="40" t="str">
        <f>IF(ORCAMENTOS!L2343="","",ORCAMENTOS!L2343)</f>
        <v>CANCELADO</v>
      </c>
      <c r="K2335" s="34" t="str">
        <f>IF(ORCAMENTOS!M2343="","",ORCAMENTOS!M2343)</f>
        <v>-</v>
      </c>
      <c r="L2335" t="str">
        <f>IF(ORCAMENTOS!R2343="","",ORCAMENTOS!R2343)</f>
        <v>N/E</v>
      </c>
    </row>
    <row r="2336" spans="1:12" ht="15.75" hidden="1" customHeight="1" x14ac:dyDescent="0.25">
      <c r="A2336" s="36">
        <f>IF(ORCAMENTOS!A2344="","",ORCAMENTOS!A2344)</f>
        <v>46052</v>
      </c>
      <c r="B2336" s="46">
        <f>IF(ORCAMENTOS!B2344="","",ORCAMENTOS!B2344)</f>
        <v>159</v>
      </c>
      <c r="C2336" s="46" t="str">
        <f>IF(ORCAMENTOS!C2344="","",ORCAMENTOS!C2344)</f>
        <v/>
      </c>
      <c r="D2336" s="37" t="str">
        <f>IF(ORCAMENTOS!D2344="","",ORCAMENTOS!D2344)</f>
        <v>CLIMATEC</v>
      </c>
      <c r="E2336" s="38" t="str">
        <f>IF(ORCAMENTOS!E2344="","",ORCAMENTOS!E2344)</f>
        <v>-</v>
      </c>
      <c r="F2336" s="37" t="str">
        <f>IF(ORCAMENTOS!G2344="","",ORCAMENTOS!G2344)</f>
        <v>Gabriel</v>
      </c>
      <c r="G2336" s="37" t="str">
        <f>IF(ORCAMENTOS!H2344="","",ORCAMENTOS!H2344)</f>
        <v>William</v>
      </c>
      <c r="H2336" s="39">
        <f>IF(ORCAMENTOS!I2344="","",ORCAMENTOS!I2344)</f>
        <v>9311.02</v>
      </c>
      <c r="I2336" s="60">
        <f>IF(ORCAMENTOS!J2344="","",ORCAMENTOS!J2344)</f>
        <v>0.04</v>
      </c>
      <c r="J2336" s="40" t="str">
        <f>IF(ORCAMENTOS!L2344="","",ORCAMENTOS!L2344)</f>
        <v>CANCELADO</v>
      </c>
      <c r="K2336" s="34" t="str">
        <f>IF(ORCAMENTOS!M2344="","",ORCAMENTOS!M2344)</f>
        <v>-</v>
      </c>
      <c r="L2336" t="str">
        <f>IF(ORCAMENTOS!R2344="","",ORCAMENTOS!R2344)</f>
        <v>-</v>
      </c>
    </row>
    <row r="2337" spans="1:12" ht="15.75" hidden="1" customHeight="1" x14ac:dyDescent="0.25">
      <c r="A2337" s="36">
        <f>IF(ORCAMENTOS!A2345="","",ORCAMENTOS!A2345)</f>
        <v>46052</v>
      </c>
      <c r="B2337" s="46">
        <f>IF(ORCAMENTOS!B2345="","",ORCAMENTOS!B2345)</f>
        <v>160</v>
      </c>
      <c r="C2337" s="46" t="str">
        <f>IF(ORCAMENTOS!C2345="","",ORCAMENTOS!C2345)</f>
        <v>R1</v>
      </c>
      <c r="D2337" s="37" t="str">
        <f>IF(ORCAMENTOS!D2345="","",ORCAMENTOS!D2345)</f>
        <v>KONAR</v>
      </c>
      <c r="E2337" s="38" t="str">
        <f>IF(ORCAMENTOS!E2345="","",ORCAMENTOS!E2345)</f>
        <v>426-23 - Libercon - KSM LOG Guarulhos</v>
      </c>
      <c r="F2337" s="37" t="str">
        <f>IF(ORCAMENTOS!G2345="","",ORCAMENTOS!G2345)</f>
        <v>Michel</v>
      </c>
      <c r="G2337" s="37" t="str">
        <f>IF(ORCAMENTOS!H2345="","",ORCAMENTOS!H2345)</f>
        <v>Fabio</v>
      </c>
      <c r="H2337" s="39">
        <f>IF(ORCAMENTOS!I2345="","",ORCAMENTOS!I2345)</f>
        <v>50000</v>
      </c>
      <c r="I2337" s="60">
        <f>IF(ORCAMENTOS!J2345="","",ORCAMENTOS!J2345)</f>
        <v>0.03</v>
      </c>
      <c r="J2337" s="40" t="str">
        <f>IF(ORCAMENTOS!L2345="","",ORCAMENTOS!L2345)</f>
        <v>FECHADO</v>
      </c>
      <c r="K2337" s="34" t="str">
        <f>IF(ORCAMENTOS!M2345="","",ORCAMENTOS!M2345)</f>
        <v>-</v>
      </c>
      <c r="L2337" t="str">
        <f>IF(ORCAMENTOS!R2345="","",ORCAMENTOS!R2345)</f>
        <v>-</v>
      </c>
    </row>
    <row r="2338" spans="1:12" ht="15.75" hidden="1" customHeight="1" x14ac:dyDescent="0.25">
      <c r="A2338" s="36">
        <f>IF(ORCAMENTOS!A2346="","",ORCAMENTOS!A2346)</f>
        <v>46052</v>
      </c>
      <c r="B2338" s="46">
        <f>IF(ORCAMENTOS!B2346="","",ORCAMENTOS!B2346)</f>
        <v>161</v>
      </c>
      <c r="C2338" s="46" t="str">
        <f>IF(ORCAMENTOS!C2346="","",ORCAMENTOS!C2346)</f>
        <v/>
      </c>
      <c r="D2338" s="37" t="str">
        <f>IF(ORCAMENTOS!D2346="","",ORCAMENTOS!D2346)</f>
        <v>NEWSET</v>
      </c>
      <c r="E2338" s="38" t="str">
        <f>IF(ORCAMENTOS!E2346="","",ORCAMENTOS!E2346)</f>
        <v>HOSPITAL AVICCENA - TATUAPE - SP - 2ºSUBSOLO</v>
      </c>
      <c r="F2338" s="37" t="str">
        <f>IF(ORCAMENTOS!G2346="","",ORCAMENTOS!G2346)</f>
        <v xml:space="preserve">Aldavir </v>
      </c>
      <c r="G2338" s="37" t="str">
        <f>IF(ORCAMENTOS!H2346="","",ORCAMENTOS!H2346)</f>
        <v>Danilo</v>
      </c>
      <c r="H2338" s="39">
        <f>IF(ORCAMENTOS!I2346="","",ORCAMENTOS!I2346)</f>
        <v>3874.74</v>
      </c>
      <c r="I2338" s="60">
        <f>IF(ORCAMENTOS!J2346="","",ORCAMENTOS!J2346)</f>
        <v>7.0000000000000007E-2</v>
      </c>
      <c r="J2338" s="40" t="str">
        <f>IF(ORCAMENTOS!L2346="","",ORCAMENTOS!L2346)</f>
        <v>CANCELADO</v>
      </c>
      <c r="K2338" s="34" t="str">
        <f>IF(ORCAMENTOS!M2346="","",ORCAMENTOS!M2346)</f>
        <v>-</v>
      </c>
      <c r="L2338" t="str">
        <f>IF(ORCAMENTOS!R2346="","",ORCAMENTOS!R2346)</f>
        <v>N/E</v>
      </c>
    </row>
    <row r="2339" spans="1:12" ht="15.75" hidden="1" customHeight="1" x14ac:dyDescent="0.25">
      <c r="A2339" s="36">
        <f>IF(ORCAMENTOS!A2347="","",ORCAMENTOS!A2347)</f>
        <v>46052</v>
      </c>
      <c r="B2339" s="46">
        <f>IF(ORCAMENTOS!B2347="","",ORCAMENTOS!B2347)</f>
        <v>162</v>
      </c>
      <c r="C2339" s="46" t="str">
        <f>IF(ORCAMENTOS!C2347="","",ORCAMENTOS!C2347)</f>
        <v/>
      </c>
      <c r="D2339" s="37" t="str">
        <f>IF(ORCAMENTOS!D2347="","",ORCAMENTOS!D2347)</f>
        <v>NEWSET</v>
      </c>
      <c r="E2339" s="38" t="str">
        <f>IF(ORCAMENTOS!E2347="","",ORCAMENTOS!E2347)</f>
        <v>HOSPITAL AVICCENA - TATUAPE - SP - 1ºSUBSOLO</v>
      </c>
      <c r="F2339" s="37" t="str">
        <f>IF(ORCAMENTOS!G2347="","",ORCAMENTOS!G2347)</f>
        <v xml:space="preserve">Aldavir </v>
      </c>
      <c r="G2339" s="37" t="str">
        <f>IF(ORCAMENTOS!H2347="","",ORCAMENTOS!H2347)</f>
        <v>Danilo</v>
      </c>
      <c r="H2339" s="39">
        <f>IF(ORCAMENTOS!I2347="","",ORCAMENTOS!I2347)</f>
        <v>45836.17</v>
      </c>
      <c r="I2339" s="60">
        <f>IF(ORCAMENTOS!J2347="","",ORCAMENTOS!J2347)</f>
        <v>7.0000000000000007E-2</v>
      </c>
      <c r="J2339" s="40" t="str">
        <f>IF(ORCAMENTOS!L2347="","",ORCAMENTOS!L2347)</f>
        <v>CANCELADO</v>
      </c>
      <c r="K2339" s="34" t="str">
        <f>IF(ORCAMENTOS!M2347="","",ORCAMENTOS!M2347)</f>
        <v>-</v>
      </c>
      <c r="L2339" t="str">
        <f>IF(ORCAMENTOS!R2347="","",ORCAMENTOS!R2347)</f>
        <v>N/E</v>
      </c>
    </row>
    <row r="2340" spans="1:12" ht="15.75" hidden="1" customHeight="1" x14ac:dyDescent="0.25">
      <c r="A2340" s="36">
        <f>IF(ORCAMENTOS!A2348="","",ORCAMENTOS!A2348)</f>
        <v>46052</v>
      </c>
      <c r="B2340" s="46">
        <f>IF(ORCAMENTOS!B2348="","",ORCAMENTOS!B2348)</f>
        <v>163</v>
      </c>
      <c r="C2340" s="46" t="str">
        <f>IF(ORCAMENTOS!C2348="","",ORCAMENTOS!C2348)</f>
        <v/>
      </c>
      <c r="D2340" s="37" t="str">
        <f>IF(ORCAMENTOS!D2348="","",ORCAMENTOS!D2348)</f>
        <v>NEWSET</v>
      </c>
      <c r="E2340" s="38" t="str">
        <f>IF(ORCAMENTOS!E2348="","",ORCAMENTOS!E2348)</f>
        <v>HOSPITAL AVICCENA - TATUAPE - SP - TERREO</v>
      </c>
      <c r="F2340" s="37" t="str">
        <f>IF(ORCAMENTOS!G2348="","",ORCAMENTOS!G2348)</f>
        <v xml:space="preserve">Aldavir </v>
      </c>
      <c r="G2340" s="37" t="str">
        <f>IF(ORCAMENTOS!H2348="","",ORCAMENTOS!H2348)</f>
        <v>Danilo</v>
      </c>
      <c r="H2340" s="39">
        <f>IF(ORCAMENTOS!I2348="","",ORCAMENTOS!I2348)</f>
        <v>102012.08</v>
      </c>
      <c r="I2340" s="60">
        <f>IF(ORCAMENTOS!J2348="","",ORCAMENTOS!J2348)</f>
        <v>7.0000000000000007E-2</v>
      </c>
      <c r="J2340" s="40" t="str">
        <f>IF(ORCAMENTOS!L2348="","",ORCAMENTOS!L2348)</f>
        <v>CANCELADO</v>
      </c>
      <c r="K2340" s="34" t="str">
        <f>IF(ORCAMENTOS!M2348="","",ORCAMENTOS!M2348)</f>
        <v>-</v>
      </c>
      <c r="L2340" t="str">
        <f>IF(ORCAMENTOS!R2348="","",ORCAMENTOS!R2348)</f>
        <v>N/E</v>
      </c>
    </row>
    <row r="2341" spans="1:12" ht="15.75" hidden="1" customHeight="1" x14ac:dyDescent="0.25">
      <c r="A2341" s="36">
        <f>IF(ORCAMENTOS!A2349="","",ORCAMENTOS!A2349)</f>
        <v>46052</v>
      </c>
      <c r="B2341" s="46">
        <f>IF(ORCAMENTOS!B2349="","",ORCAMENTOS!B2349)</f>
        <v>164</v>
      </c>
      <c r="C2341" s="46" t="str">
        <f>IF(ORCAMENTOS!C2349="","",ORCAMENTOS!C2349)</f>
        <v/>
      </c>
      <c r="D2341" s="37" t="str">
        <f>IF(ORCAMENTOS!D2349="","",ORCAMENTOS!D2349)</f>
        <v>NEWSET</v>
      </c>
      <c r="E2341" s="38" t="str">
        <f>IF(ORCAMENTOS!E2349="","",ORCAMENTOS!E2349)</f>
        <v>HOSPITAL AVICCENA - TATUAPE - SP - 1º PAVIMENTO</v>
      </c>
      <c r="F2341" s="37" t="str">
        <f>IF(ORCAMENTOS!G2349="","",ORCAMENTOS!G2349)</f>
        <v xml:space="preserve">Aldavir </v>
      </c>
      <c r="G2341" s="37" t="str">
        <f>IF(ORCAMENTOS!H2349="","",ORCAMENTOS!H2349)</f>
        <v>Danilo</v>
      </c>
      <c r="H2341" s="39">
        <f>IF(ORCAMENTOS!I2349="","",ORCAMENTOS!I2349)</f>
        <v>142147.51</v>
      </c>
      <c r="I2341" s="60">
        <f>IF(ORCAMENTOS!J2349="","",ORCAMENTOS!J2349)</f>
        <v>7.0000000000000007E-2</v>
      </c>
      <c r="J2341" s="40" t="str">
        <f>IF(ORCAMENTOS!L2349="","",ORCAMENTOS!L2349)</f>
        <v>CANCELADO</v>
      </c>
      <c r="K2341" s="34" t="str">
        <f>IF(ORCAMENTOS!M2349="","",ORCAMENTOS!M2349)</f>
        <v>-</v>
      </c>
      <c r="L2341" t="str">
        <f>IF(ORCAMENTOS!R2349="","",ORCAMENTOS!R2349)</f>
        <v>N/E</v>
      </c>
    </row>
    <row r="2342" spans="1:12" ht="15.75" hidden="1" customHeight="1" x14ac:dyDescent="0.25">
      <c r="A2342" s="36">
        <f>IF(ORCAMENTOS!A2350="","",ORCAMENTOS!A2350)</f>
        <v>46052</v>
      </c>
      <c r="B2342" s="46">
        <f>IF(ORCAMENTOS!B2350="","",ORCAMENTOS!B2350)</f>
        <v>165</v>
      </c>
      <c r="C2342" s="46" t="str">
        <f>IF(ORCAMENTOS!C2350="","",ORCAMENTOS!C2350)</f>
        <v/>
      </c>
      <c r="D2342" s="37" t="str">
        <f>IF(ORCAMENTOS!D2350="","",ORCAMENTOS!D2350)</f>
        <v>NEWSET</v>
      </c>
      <c r="E2342" s="38" t="str">
        <f>IF(ORCAMENTOS!E2350="","",ORCAMENTOS!E2350)</f>
        <v>HOSPITAL AVICCENA - TATUAPE - SP - 2º PAVIMENTO</v>
      </c>
      <c r="F2342" s="37" t="str">
        <f>IF(ORCAMENTOS!G2350="","",ORCAMENTOS!G2350)</f>
        <v xml:space="preserve">Aldavir </v>
      </c>
      <c r="G2342" s="37" t="str">
        <f>IF(ORCAMENTOS!H2350="","",ORCAMENTOS!H2350)</f>
        <v>Danilo</v>
      </c>
      <c r="H2342" s="39">
        <f>IF(ORCAMENTOS!I2350="","",ORCAMENTOS!I2350)</f>
        <v>167362.57</v>
      </c>
      <c r="I2342" s="60">
        <f>IF(ORCAMENTOS!J2350="","",ORCAMENTOS!J2350)</f>
        <v>7.0000000000000007E-2</v>
      </c>
      <c r="J2342" s="40" t="str">
        <f>IF(ORCAMENTOS!L2350="","",ORCAMENTOS!L2350)</f>
        <v>CANCELADO</v>
      </c>
      <c r="K2342" s="34" t="str">
        <f>IF(ORCAMENTOS!M2350="","",ORCAMENTOS!M2350)</f>
        <v>-</v>
      </c>
      <c r="L2342" t="str">
        <f>IF(ORCAMENTOS!R2350="","",ORCAMENTOS!R2350)</f>
        <v>N/E</v>
      </c>
    </row>
    <row r="2343" spans="1:12" ht="15.75" hidden="1" customHeight="1" x14ac:dyDescent="0.25">
      <c r="A2343" s="36">
        <f>IF(ORCAMENTOS!A2351="","",ORCAMENTOS!A2351)</f>
        <v>46052</v>
      </c>
      <c r="B2343" s="46">
        <f>IF(ORCAMENTOS!B2351="","",ORCAMENTOS!B2351)</f>
        <v>166</v>
      </c>
      <c r="C2343" s="46" t="str">
        <f>IF(ORCAMENTOS!C2351="","",ORCAMENTOS!C2351)</f>
        <v/>
      </c>
      <c r="D2343" s="37" t="str">
        <f>IF(ORCAMENTOS!D2351="","",ORCAMENTOS!D2351)</f>
        <v>NEWSET</v>
      </c>
      <c r="E2343" s="38" t="str">
        <f>IF(ORCAMENTOS!E2351="","",ORCAMENTOS!E2351)</f>
        <v>HOSPITAL AVICCENA - TATUAPE - SP - 3º PAVIMENTO</v>
      </c>
      <c r="F2343" s="37" t="str">
        <f>IF(ORCAMENTOS!G2351="","",ORCAMENTOS!G2351)</f>
        <v xml:space="preserve">Aldavir </v>
      </c>
      <c r="G2343" s="37" t="str">
        <f>IF(ORCAMENTOS!H2351="","",ORCAMENTOS!H2351)</f>
        <v>Danilo</v>
      </c>
      <c r="H2343" s="39">
        <f>IF(ORCAMENTOS!I2351="","",ORCAMENTOS!I2351)</f>
        <v>161670.53</v>
      </c>
      <c r="I2343" s="60">
        <f>IF(ORCAMENTOS!J2351="","",ORCAMENTOS!J2351)</f>
        <v>7.0000000000000007E-2</v>
      </c>
      <c r="J2343" s="40" t="str">
        <f>IF(ORCAMENTOS!L2351="","",ORCAMENTOS!L2351)</f>
        <v>CANCELADO</v>
      </c>
      <c r="K2343" s="34" t="str">
        <f>IF(ORCAMENTOS!M2351="","",ORCAMENTOS!M2351)</f>
        <v>-</v>
      </c>
      <c r="L2343" t="str">
        <f>IF(ORCAMENTOS!R2351="","",ORCAMENTOS!R2351)</f>
        <v>N/E</v>
      </c>
    </row>
    <row r="2344" spans="1:12" ht="15.75" hidden="1" customHeight="1" x14ac:dyDescent="0.25">
      <c r="A2344" s="36">
        <f>IF(ORCAMENTOS!A2352="","",ORCAMENTOS!A2352)</f>
        <v>46052</v>
      </c>
      <c r="B2344" s="46">
        <f>IF(ORCAMENTOS!B2352="","",ORCAMENTOS!B2352)</f>
        <v>167</v>
      </c>
      <c r="C2344" s="46" t="str">
        <f>IF(ORCAMENTOS!C2352="","",ORCAMENTOS!C2352)</f>
        <v/>
      </c>
      <c r="D2344" s="37" t="str">
        <f>IF(ORCAMENTOS!D2352="","",ORCAMENTOS!D2352)</f>
        <v>NEWSET</v>
      </c>
      <c r="E2344" s="38" t="str">
        <f>IF(ORCAMENTOS!E2352="","",ORCAMENTOS!E2352)</f>
        <v>HOSPITAL AVICCENA - TATUAPE - SP - 4º PAVIMENTO</v>
      </c>
      <c r="F2344" s="37" t="str">
        <f>IF(ORCAMENTOS!G2352="","",ORCAMENTOS!G2352)</f>
        <v xml:space="preserve">Aldavir </v>
      </c>
      <c r="G2344" s="37" t="str">
        <f>IF(ORCAMENTOS!H2352="","",ORCAMENTOS!H2352)</f>
        <v>Danilo</v>
      </c>
      <c r="H2344" s="39">
        <f>IF(ORCAMENTOS!I2352="","",ORCAMENTOS!I2352)</f>
        <v>153658.25</v>
      </c>
      <c r="I2344" s="60">
        <f>IF(ORCAMENTOS!J2352="","",ORCAMENTOS!J2352)</f>
        <v>7.0000000000000007E-2</v>
      </c>
      <c r="J2344" s="40" t="str">
        <f>IF(ORCAMENTOS!L2352="","",ORCAMENTOS!L2352)</f>
        <v>CANCELADO</v>
      </c>
      <c r="K2344" s="34" t="str">
        <f>IF(ORCAMENTOS!M2352="","",ORCAMENTOS!M2352)</f>
        <v>-</v>
      </c>
      <c r="L2344" t="str">
        <f>IF(ORCAMENTOS!R2352="","",ORCAMENTOS!R2352)</f>
        <v>N/E</v>
      </c>
    </row>
    <row r="2345" spans="1:12" ht="15.75" hidden="1" customHeight="1" x14ac:dyDescent="0.25">
      <c r="A2345" s="36">
        <f>IF(ORCAMENTOS!A2353="","",ORCAMENTOS!A2353)</f>
        <v>46052</v>
      </c>
      <c r="B2345" s="46">
        <f>IF(ORCAMENTOS!B2353="","",ORCAMENTOS!B2353)</f>
        <v>168</v>
      </c>
      <c r="C2345" s="46" t="str">
        <f>IF(ORCAMENTOS!C2353="","",ORCAMENTOS!C2353)</f>
        <v/>
      </c>
      <c r="D2345" s="37" t="str">
        <f>IF(ORCAMENTOS!D2353="","",ORCAMENTOS!D2353)</f>
        <v>PRINSTARC</v>
      </c>
      <c r="E2345" s="38" t="str">
        <f>IF(ORCAMENTOS!E2353="","",ORCAMENTOS!E2353)</f>
        <v>-</v>
      </c>
      <c r="F2345" s="37" t="str">
        <f>IF(ORCAMENTOS!G2353="","",ORCAMENTOS!G2353)</f>
        <v>Michel</v>
      </c>
      <c r="G2345" s="37" t="str">
        <f>IF(ORCAMENTOS!H2353="","",ORCAMENTOS!H2353)</f>
        <v>Glauco</v>
      </c>
      <c r="H2345" s="39">
        <f>IF(ORCAMENTOS!I2353="","",ORCAMENTOS!I2353)</f>
        <v>174966.41</v>
      </c>
      <c r="I2345" s="60">
        <f>IF(ORCAMENTOS!J2353="","",ORCAMENTOS!J2353)</f>
        <v>7.0000000000000007E-2</v>
      </c>
      <c r="J2345" s="40" t="str">
        <f>IF(ORCAMENTOS!L2353="","",ORCAMENTOS!L2353)</f>
        <v>CANCELADO</v>
      </c>
      <c r="K2345" s="34" t="str">
        <f>IF(ORCAMENTOS!M2353="","",ORCAMENTOS!M2353)</f>
        <v>-</v>
      </c>
      <c r="L2345" t="str">
        <f>IF(ORCAMENTOS!R2353="","",ORCAMENTOS!R2353)</f>
        <v>-</v>
      </c>
    </row>
    <row r="2346" spans="1:12" ht="15.75" hidden="1" customHeight="1" x14ac:dyDescent="0.25">
      <c r="A2346" s="36">
        <f>IF(ORCAMENTOS!A2354="","",ORCAMENTOS!A2354)</f>
        <v>46052</v>
      </c>
      <c r="B2346" s="46">
        <f>IF(ORCAMENTOS!B2354="","",ORCAMENTOS!B2354)</f>
        <v>169</v>
      </c>
      <c r="C2346" s="46" t="str">
        <f>IF(ORCAMENTOS!C2354="","",ORCAMENTOS!C2354)</f>
        <v/>
      </c>
      <c r="D2346" s="37" t="str">
        <f>IF(ORCAMENTOS!D2354="","",ORCAMENTOS!D2354)</f>
        <v>UNION RHAC</v>
      </c>
      <c r="E2346" s="38" t="str">
        <f>IF(ORCAMENTOS!E2354="","",ORCAMENTOS!E2354)</f>
        <v>GUARULHOS</v>
      </c>
      <c r="F2346" s="37" t="str">
        <f>IF(ORCAMENTOS!G2354="","",ORCAMENTOS!G2354)</f>
        <v>Emanuel</v>
      </c>
      <c r="G2346" s="37" t="str">
        <f>IF(ORCAMENTOS!H2354="","",ORCAMENTOS!H2354)</f>
        <v>Guilherme</v>
      </c>
      <c r="H2346" s="39">
        <f>IF(ORCAMENTOS!I2354="","",ORCAMENTOS!I2354)</f>
        <v>114071.8</v>
      </c>
      <c r="I2346" s="60">
        <f>IF(ORCAMENTOS!J2354="","",ORCAMENTOS!J2354)</f>
        <v>7.0000000000000007E-2</v>
      </c>
      <c r="J2346" s="40" t="str">
        <f>IF(ORCAMENTOS!L2354="","",ORCAMENTOS!L2354)</f>
        <v>CANCELADO</v>
      </c>
      <c r="K2346" s="34" t="str">
        <f>IF(ORCAMENTOS!M2354="","",ORCAMENTOS!M2354)</f>
        <v>-</v>
      </c>
      <c r="L2346" t="str">
        <f>IF(ORCAMENTOS!R2354="","",ORCAMENTOS!R2354)</f>
        <v>N/E</v>
      </c>
    </row>
    <row r="2347" spans="1:12" ht="15.75" hidden="1" customHeight="1" x14ac:dyDescent="0.25">
      <c r="A2347" s="36">
        <f>IF(ORCAMENTOS!A2355="","",ORCAMENTOS!A2355)</f>
        <v>46055</v>
      </c>
      <c r="B2347" s="46">
        <f>IF(ORCAMENTOS!B2355="","",ORCAMENTOS!B2355)</f>
        <v>170</v>
      </c>
      <c r="C2347" s="46" t="str">
        <f>IF(ORCAMENTOS!C2355="","",ORCAMENTOS!C2355)</f>
        <v/>
      </c>
      <c r="D2347" s="37" t="str">
        <f>IF(ORCAMENTOS!D2355="","",ORCAMENTOS!D2355)</f>
        <v>NEWSET</v>
      </c>
      <c r="E2347" s="38" t="str">
        <f>IF(ORCAMENTOS!E2355="","",ORCAMENTOS!E2355)</f>
        <v>HOSPITAL AVICCENA - TATUAPE - SP - 5º PAVIMENTO</v>
      </c>
      <c r="F2347" s="37" t="str">
        <f>IF(ORCAMENTOS!G2355="","",ORCAMENTOS!G2355)</f>
        <v xml:space="preserve">Aldavir </v>
      </c>
      <c r="G2347" s="37" t="str">
        <f>IF(ORCAMENTOS!H2355="","",ORCAMENTOS!H2355)</f>
        <v>Danilo</v>
      </c>
      <c r="H2347" s="39">
        <f>IF(ORCAMENTOS!I2355="","",ORCAMENTOS!I2355)</f>
        <v>64697.1</v>
      </c>
      <c r="I2347" s="60">
        <f>IF(ORCAMENTOS!J2355="","",ORCAMENTOS!J2355)</f>
        <v>7.0000000000000007E-2</v>
      </c>
      <c r="J2347" s="40" t="str">
        <f>IF(ORCAMENTOS!L2355="","",ORCAMENTOS!L2355)</f>
        <v>CANCELADO</v>
      </c>
      <c r="K2347" s="34" t="str">
        <f>IF(ORCAMENTOS!M2355="","",ORCAMENTOS!M2355)</f>
        <v>-</v>
      </c>
      <c r="L2347" t="str">
        <f>IF(ORCAMENTOS!R2355="","",ORCAMENTOS!R2355)</f>
        <v>N/E</v>
      </c>
    </row>
    <row r="2348" spans="1:12" ht="15.75" hidden="1" customHeight="1" x14ac:dyDescent="0.25">
      <c r="A2348" s="36">
        <f>IF(ORCAMENTOS!A2356="","",ORCAMENTOS!A2356)</f>
        <v>46055</v>
      </c>
      <c r="B2348" s="46">
        <f>IF(ORCAMENTOS!B2356="","",ORCAMENTOS!B2356)</f>
        <v>171</v>
      </c>
      <c r="C2348" s="46" t="str">
        <f>IF(ORCAMENTOS!C2356="","",ORCAMENTOS!C2356)</f>
        <v/>
      </c>
      <c r="D2348" s="37" t="str">
        <f>IF(ORCAMENTOS!D2356="","",ORCAMENTOS!D2356)</f>
        <v>NEWSET</v>
      </c>
      <c r="E2348" s="38" t="str">
        <f>IF(ORCAMENTOS!E2356="","",ORCAMENTOS!E2356)</f>
        <v>HOSPITAL AVICCENA - TATUAPE - SP - 6º PAVIMENTO</v>
      </c>
      <c r="F2348" s="37" t="str">
        <f>IF(ORCAMENTOS!G2356="","",ORCAMENTOS!G2356)</f>
        <v xml:space="preserve">Aldavir </v>
      </c>
      <c r="G2348" s="37" t="str">
        <f>IF(ORCAMENTOS!H2356="","",ORCAMENTOS!H2356)</f>
        <v>Danilo</v>
      </c>
      <c r="H2348" s="39">
        <f>IF(ORCAMENTOS!I2356="","",ORCAMENTOS!I2356)</f>
        <v>111754.59</v>
      </c>
      <c r="I2348" s="60">
        <f>IF(ORCAMENTOS!J2356="","",ORCAMENTOS!J2356)</f>
        <v>7.0000000000000007E-2</v>
      </c>
      <c r="J2348" s="40" t="str">
        <f>IF(ORCAMENTOS!L2356="","",ORCAMENTOS!L2356)</f>
        <v>CANCELADO</v>
      </c>
      <c r="K2348" s="34" t="str">
        <f>IF(ORCAMENTOS!M2356="","",ORCAMENTOS!M2356)</f>
        <v>-</v>
      </c>
      <c r="L2348" t="str">
        <f>IF(ORCAMENTOS!R2356="","",ORCAMENTOS!R2356)</f>
        <v/>
      </c>
    </row>
    <row r="2349" spans="1:12" ht="15.75" hidden="1" customHeight="1" x14ac:dyDescent="0.25">
      <c r="A2349" s="36">
        <f>IF(ORCAMENTOS!A2357="","",ORCAMENTOS!A2357)</f>
        <v>46055</v>
      </c>
      <c r="B2349" s="46">
        <f>IF(ORCAMENTOS!B2357="","",ORCAMENTOS!B2357)</f>
        <v>172</v>
      </c>
      <c r="C2349" s="46" t="str">
        <f>IF(ORCAMENTOS!C2357="","",ORCAMENTOS!C2357)</f>
        <v/>
      </c>
      <c r="D2349" s="37" t="str">
        <f>IF(ORCAMENTOS!D2357="","",ORCAMENTOS!D2357)</f>
        <v>CLIMA CLEAN</v>
      </c>
      <c r="E2349" s="38" t="str">
        <f>IF(ORCAMENTOS!E2357="","",ORCAMENTOS!E2357)</f>
        <v>-</v>
      </c>
      <c r="F2349" s="37" t="str">
        <f>IF(ORCAMENTOS!G2357="","",ORCAMENTOS!G2357)</f>
        <v>Gabriel</v>
      </c>
      <c r="G2349" s="37" t="str">
        <f>IF(ORCAMENTOS!H2357="","",ORCAMENTOS!H2357)</f>
        <v>Edson</v>
      </c>
      <c r="H2349" s="39">
        <f>IF(ORCAMENTOS!I2357="","",ORCAMENTOS!I2357)</f>
        <v>8369.5400000000009</v>
      </c>
      <c r="I2349" s="60">
        <f>IF(ORCAMENTOS!J2357="","",ORCAMENTOS!J2357)</f>
        <v>7.0000000000000007E-2</v>
      </c>
      <c r="J2349" s="40" t="str">
        <f>IF(ORCAMENTOS!L2357="","",ORCAMENTOS!L2357)</f>
        <v>CANCELADO</v>
      </c>
      <c r="K2349" s="34" t="str">
        <f>IF(ORCAMENTOS!M2357="","",ORCAMENTOS!M2357)</f>
        <v>-</v>
      </c>
      <c r="L2349" t="str">
        <f>IF(ORCAMENTOS!R2357="","",ORCAMENTOS!R2357)</f>
        <v>-</v>
      </c>
    </row>
    <row r="2350" spans="1:12" ht="15.75" hidden="1" customHeight="1" x14ac:dyDescent="0.25">
      <c r="A2350" s="36">
        <f>IF(ORCAMENTOS!A2358="","",ORCAMENTOS!A2358)</f>
        <v>46055</v>
      </c>
      <c r="B2350" s="46">
        <f>IF(ORCAMENTOS!B2358="","",ORCAMENTOS!B2358)</f>
        <v>173</v>
      </c>
      <c r="C2350" s="46" t="str">
        <f>IF(ORCAMENTOS!C2358="","",ORCAMENTOS!C2358)</f>
        <v/>
      </c>
      <c r="D2350" s="37" t="str">
        <f>IF(ORCAMENTOS!D2358="","",ORCAMENTOS!D2358)</f>
        <v>NEWSET</v>
      </c>
      <c r="E2350" s="38" t="str">
        <f>IF(ORCAMENTOS!E2358="","",ORCAMENTOS!E2358)</f>
        <v>HOSPITAL AVICCENA - TATUAPE - SP - 7º PAVIMENTO</v>
      </c>
      <c r="F2350" s="37" t="str">
        <f>IF(ORCAMENTOS!G2358="","",ORCAMENTOS!G2358)</f>
        <v xml:space="preserve">Aldavir </v>
      </c>
      <c r="G2350" s="37" t="str">
        <f>IF(ORCAMENTOS!H2358="","",ORCAMENTOS!H2358)</f>
        <v>Danilo</v>
      </c>
      <c r="H2350" s="39">
        <f>IF(ORCAMENTOS!I2358="","",ORCAMENTOS!I2358)</f>
        <v>101216.01</v>
      </c>
      <c r="I2350" s="60">
        <f>IF(ORCAMENTOS!J2358="","",ORCAMENTOS!J2358)</f>
        <v>7.0000000000000007E-2</v>
      </c>
      <c r="J2350" s="40" t="str">
        <f>IF(ORCAMENTOS!L2358="","",ORCAMENTOS!L2358)</f>
        <v>CANCELADO</v>
      </c>
      <c r="K2350" s="34" t="str">
        <f>IF(ORCAMENTOS!M2358="","",ORCAMENTOS!M2358)</f>
        <v>-</v>
      </c>
      <c r="L2350" t="str">
        <f>IF(ORCAMENTOS!R2358="","",ORCAMENTOS!R2358)</f>
        <v>N/E</v>
      </c>
    </row>
    <row r="2351" spans="1:12" ht="15.75" hidden="1" customHeight="1" x14ac:dyDescent="0.25">
      <c r="A2351" s="36">
        <f>IF(ORCAMENTOS!A2359="","",ORCAMENTOS!A2359)</f>
        <v>46055</v>
      </c>
      <c r="B2351" s="46">
        <f>IF(ORCAMENTOS!B2359="","",ORCAMENTOS!B2359)</f>
        <v>174</v>
      </c>
      <c r="C2351" s="46" t="str">
        <f>IF(ORCAMENTOS!C2359="","",ORCAMENTOS!C2359)</f>
        <v/>
      </c>
      <c r="D2351" s="37" t="str">
        <f>IF(ORCAMENTOS!D2359="","",ORCAMENTOS!D2359)</f>
        <v>NEWSET</v>
      </c>
      <c r="E2351" s="38" t="str">
        <f>IF(ORCAMENTOS!E2359="","",ORCAMENTOS!E2359)</f>
        <v>HOSPITAL AVICCENA - TATUAPE - SP - 8º PAVIMENTO</v>
      </c>
      <c r="F2351" s="37" t="str">
        <f>IF(ORCAMENTOS!G2359="","",ORCAMENTOS!G2359)</f>
        <v xml:space="preserve">Aldavir </v>
      </c>
      <c r="G2351" s="37" t="str">
        <f>IF(ORCAMENTOS!H2359="","",ORCAMENTOS!H2359)</f>
        <v>Danilo</v>
      </c>
      <c r="H2351" s="39">
        <f>IF(ORCAMENTOS!I2359="","",ORCAMENTOS!I2359)</f>
        <v>51769.75</v>
      </c>
      <c r="I2351" s="60">
        <f>IF(ORCAMENTOS!J2359="","",ORCAMENTOS!J2359)</f>
        <v>7.0000000000000007E-2</v>
      </c>
      <c r="J2351" s="40" t="str">
        <f>IF(ORCAMENTOS!L2359="","",ORCAMENTOS!L2359)</f>
        <v>CANCELADO</v>
      </c>
      <c r="K2351" s="34" t="str">
        <f>IF(ORCAMENTOS!M2359="","",ORCAMENTOS!M2359)</f>
        <v>-</v>
      </c>
      <c r="L2351" t="str">
        <f>IF(ORCAMENTOS!R2359="","",ORCAMENTOS!R2359)</f>
        <v>N/E</v>
      </c>
    </row>
    <row r="2352" spans="1:12" ht="15.75" hidden="1" customHeight="1" x14ac:dyDescent="0.25">
      <c r="A2352" s="36">
        <f>IF(ORCAMENTOS!A2360="","",ORCAMENTOS!A2360)</f>
        <v>46055</v>
      </c>
      <c r="B2352" s="46">
        <f>IF(ORCAMENTOS!B2360="","",ORCAMENTOS!B2360)</f>
        <v>175</v>
      </c>
      <c r="C2352" s="46" t="str">
        <f>IF(ORCAMENTOS!C2360="","",ORCAMENTOS!C2360)</f>
        <v/>
      </c>
      <c r="D2352" s="37" t="str">
        <f>IF(ORCAMENTOS!D2360="","",ORCAMENTOS!D2360)</f>
        <v>NEWSET</v>
      </c>
      <c r="E2352" s="38" t="str">
        <f>IF(ORCAMENTOS!E2360="","",ORCAMENTOS!E2360)</f>
        <v>HOSPITAL AVICCENA - TATUAPE - SP - 9º PAVIMENTO</v>
      </c>
      <c r="F2352" s="37" t="str">
        <f>IF(ORCAMENTOS!G2360="","",ORCAMENTOS!G2360)</f>
        <v xml:space="preserve">Aldavir </v>
      </c>
      <c r="G2352" s="37" t="str">
        <f>IF(ORCAMENTOS!H2360="","",ORCAMENTOS!H2360)</f>
        <v>Danilo</v>
      </c>
      <c r="H2352" s="39">
        <f>IF(ORCAMENTOS!I2360="","",ORCAMENTOS!I2360)</f>
        <v>46190.79</v>
      </c>
      <c r="I2352" s="60">
        <f>IF(ORCAMENTOS!J2360="","",ORCAMENTOS!J2360)</f>
        <v>7.0000000000000007E-2</v>
      </c>
      <c r="J2352" s="40" t="str">
        <f>IF(ORCAMENTOS!L2360="","",ORCAMENTOS!L2360)</f>
        <v>CANCELADO</v>
      </c>
      <c r="K2352" s="34" t="str">
        <f>IF(ORCAMENTOS!M2360="","",ORCAMENTOS!M2360)</f>
        <v>-</v>
      </c>
      <c r="L2352" t="str">
        <f>IF(ORCAMENTOS!R2360="","",ORCAMENTOS!R2360)</f>
        <v>N/E</v>
      </c>
    </row>
    <row r="2353" spans="1:12" ht="15.75" hidden="1" customHeight="1" x14ac:dyDescent="0.25">
      <c r="A2353" s="36">
        <f>IF(ORCAMENTOS!A2361="","",ORCAMENTOS!A2361)</f>
        <v>46055</v>
      </c>
      <c r="B2353" s="46">
        <f>IF(ORCAMENTOS!B2361="","",ORCAMENTOS!B2361)</f>
        <v>176</v>
      </c>
      <c r="C2353" s="46" t="str">
        <f>IF(ORCAMENTOS!C2361="","",ORCAMENTOS!C2361)</f>
        <v/>
      </c>
      <c r="D2353" s="37" t="str">
        <f>IF(ORCAMENTOS!D2361="","",ORCAMENTOS!D2361)</f>
        <v>NEWSET</v>
      </c>
      <c r="E2353" s="38" t="str">
        <f>IF(ORCAMENTOS!E2361="","",ORCAMENTOS!E2361)</f>
        <v>HOSPITAL AVICCENA - TATUAPE - SP - 10º PAVIMENTO</v>
      </c>
      <c r="F2353" s="37" t="str">
        <f>IF(ORCAMENTOS!G2361="","",ORCAMENTOS!G2361)</f>
        <v xml:space="preserve">Aldavir </v>
      </c>
      <c r="G2353" s="37" t="str">
        <f>IF(ORCAMENTOS!H2361="","",ORCAMENTOS!H2361)</f>
        <v>Danilo</v>
      </c>
      <c r="H2353" s="39">
        <f>IF(ORCAMENTOS!I2361="","",ORCAMENTOS!I2361)</f>
        <v>58085.9</v>
      </c>
      <c r="I2353" s="60">
        <f>IF(ORCAMENTOS!J2361="","",ORCAMENTOS!J2361)</f>
        <v>7.0000000000000007E-2</v>
      </c>
      <c r="J2353" s="40" t="str">
        <f>IF(ORCAMENTOS!L2361="","",ORCAMENTOS!L2361)</f>
        <v>CANCELADO</v>
      </c>
      <c r="K2353" s="34" t="str">
        <f>IF(ORCAMENTOS!M2361="","",ORCAMENTOS!M2361)</f>
        <v>-</v>
      </c>
      <c r="L2353" t="str">
        <f>IF(ORCAMENTOS!R2361="","",ORCAMENTOS!R2361)</f>
        <v>N/E</v>
      </c>
    </row>
    <row r="2354" spans="1:12" ht="15.75" hidden="1" customHeight="1" x14ac:dyDescent="0.25">
      <c r="A2354" s="36">
        <f>IF(ORCAMENTOS!A2362="","",ORCAMENTOS!A2362)</f>
        <v>46055</v>
      </c>
      <c r="B2354" s="46">
        <f>IF(ORCAMENTOS!B2362="","",ORCAMENTOS!B2362)</f>
        <v>177</v>
      </c>
      <c r="C2354" s="46" t="str">
        <f>IF(ORCAMENTOS!C2362="","",ORCAMENTOS!C2362)</f>
        <v/>
      </c>
      <c r="D2354" s="37" t="str">
        <f>IF(ORCAMENTOS!D2362="","",ORCAMENTOS!D2362)</f>
        <v>NEWSET</v>
      </c>
      <c r="E2354" s="38" t="str">
        <f>IF(ORCAMENTOS!E2362="","",ORCAMENTOS!E2362)</f>
        <v>HOSPITAL AVICCENA - TATUAPE - SP - 11º PAVIMENTO</v>
      </c>
      <c r="F2354" s="37" t="str">
        <f>IF(ORCAMENTOS!G2362="","",ORCAMENTOS!G2362)</f>
        <v xml:space="preserve">Aldavir </v>
      </c>
      <c r="G2354" s="37" t="str">
        <f>IF(ORCAMENTOS!H2362="","",ORCAMENTOS!H2362)</f>
        <v>Danilo</v>
      </c>
      <c r="H2354" s="39">
        <f>IF(ORCAMENTOS!I2362="","",ORCAMENTOS!I2362)</f>
        <v>48146.53</v>
      </c>
      <c r="I2354" s="60">
        <f>IF(ORCAMENTOS!J2362="","",ORCAMENTOS!J2362)</f>
        <v>7.0000000000000007E-2</v>
      </c>
      <c r="J2354" s="40" t="str">
        <f>IF(ORCAMENTOS!L2362="","",ORCAMENTOS!L2362)</f>
        <v>CANCELADO</v>
      </c>
      <c r="K2354" s="34" t="str">
        <f>IF(ORCAMENTOS!M2362="","",ORCAMENTOS!M2362)</f>
        <v>-</v>
      </c>
      <c r="L2354" t="str">
        <f>IF(ORCAMENTOS!R2362="","",ORCAMENTOS!R2362)</f>
        <v>N/E</v>
      </c>
    </row>
    <row r="2355" spans="1:12" ht="15.75" hidden="1" customHeight="1" x14ac:dyDescent="0.25">
      <c r="A2355" s="36">
        <f>IF(ORCAMENTOS!A2363="","",ORCAMENTOS!A2363)</f>
        <v>46055</v>
      </c>
      <c r="B2355" s="46">
        <f>IF(ORCAMENTOS!B2363="","",ORCAMENTOS!B2363)</f>
        <v>178</v>
      </c>
      <c r="C2355" s="46" t="str">
        <f>IF(ORCAMENTOS!C2363="","",ORCAMENTOS!C2363)</f>
        <v/>
      </c>
      <c r="D2355" s="37" t="str">
        <f>IF(ORCAMENTOS!D2363="","",ORCAMENTOS!D2363)</f>
        <v>NEWSET</v>
      </c>
      <c r="E2355" s="38" t="str">
        <f>IF(ORCAMENTOS!E2363="","",ORCAMENTOS!E2363)</f>
        <v>HOSPITAL AVICCENA - TATUAPE - SP - COBERTURA</v>
      </c>
      <c r="F2355" s="37" t="str">
        <f>IF(ORCAMENTOS!G2363="","",ORCAMENTOS!G2363)</f>
        <v xml:space="preserve">Aldavir </v>
      </c>
      <c r="G2355" s="37" t="str">
        <f>IF(ORCAMENTOS!H2363="","",ORCAMENTOS!H2363)</f>
        <v>Danilo</v>
      </c>
      <c r="H2355" s="39">
        <f>IF(ORCAMENTOS!I2363="","",ORCAMENTOS!I2363)</f>
        <v>17320.53</v>
      </c>
      <c r="I2355" s="60">
        <f>IF(ORCAMENTOS!J2363="","",ORCAMENTOS!J2363)</f>
        <v>7.0000000000000007E-2</v>
      </c>
      <c r="J2355" s="40" t="str">
        <f>IF(ORCAMENTOS!L2363="","",ORCAMENTOS!L2363)</f>
        <v>CANCELADO</v>
      </c>
      <c r="K2355" s="34" t="str">
        <f>IF(ORCAMENTOS!M2363="","",ORCAMENTOS!M2363)</f>
        <v>-</v>
      </c>
      <c r="L2355" t="str">
        <f>IF(ORCAMENTOS!R2363="","",ORCAMENTOS!R2363)</f>
        <v>N/E</v>
      </c>
    </row>
    <row r="2356" spans="1:12" ht="15.75" hidden="1" customHeight="1" x14ac:dyDescent="0.25">
      <c r="A2356" s="36">
        <f>IF(ORCAMENTOS!A2364="","",ORCAMENTOS!A2364)</f>
        <v>46055</v>
      </c>
      <c r="B2356" s="46">
        <f>IF(ORCAMENTOS!B2364="","",ORCAMENTOS!B2364)</f>
        <v>179</v>
      </c>
      <c r="C2356" s="46" t="str">
        <f>IF(ORCAMENTOS!C2364="","",ORCAMENTOS!C2364)</f>
        <v/>
      </c>
      <c r="D2356" s="37" t="str">
        <f>IF(ORCAMENTOS!D2364="","",ORCAMENTOS!D2364)</f>
        <v>NEWSET</v>
      </c>
      <c r="E2356" s="38" t="str">
        <f>IF(ORCAMENTOS!E2364="","",ORCAMENTOS!E2364)</f>
        <v>HOSPITAL AVICCENA - TATUAPE - SP - 12º AO 15º PAVIMENTO</v>
      </c>
      <c r="F2356" s="37" t="str">
        <f>IF(ORCAMENTOS!G2364="","",ORCAMENTOS!G2364)</f>
        <v xml:space="preserve">Aldavir </v>
      </c>
      <c r="G2356" s="37" t="str">
        <f>IF(ORCAMENTOS!H2364="","",ORCAMENTOS!H2364)</f>
        <v>Danilo</v>
      </c>
      <c r="H2356" s="39">
        <f>IF(ORCAMENTOS!I2364="","",ORCAMENTOS!I2364)</f>
        <v>176982.38</v>
      </c>
      <c r="I2356" s="60">
        <f>IF(ORCAMENTOS!J2364="","",ORCAMENTOS!J2364)</f>
        <v>7.0000000000000007E-2</v>
      </c>
      <c r="J2356" s="40" t="str">
        <f>IF(ORCAMENTOS!L2364="","",ORCAMENTOS!L2364)</f>
        <v>CANCELADO</v>
      </c>
      <c r="K2356" s="34" t="str">
        <f>IF(ORCAMENTOS!M2364="","",ORCAMENTOS!M2364)</f>
        <v>-</v>
      </c>
      <c r="L2356" t="str">
        <f>IF(ORCAMENTOS!R2364="","",ORCAMENTOS!R2364)</f>
        <v>N/E</v>
      </c>
    </row>
    <row r="2357" spans="1:12" ht="15.75" hidden="1" customHeight="1" x14ac:dyDescent="0.25">
      <c r="A2357" s="36">
        <f>IF(ORCAMENTOS!A2365="","",ORCAMENTOS!A2365)</f>
        <v>46055</v>
      </c>
      <c r="B2357" s="46">
        <f>IF(ORCAMENTOS!B2365="","",ORCAMENTOS!B2365)</f>
        <v>180</v>
      </c>
      <c r="C2357" s="46" t="str">
        <f>IF(ORCAMENTOS!C2365="","",ORCAMENTOS!C2365)</f>
        <v>R1</v>
      </c>
      <c r="D2357" s="37" t="str">
        <f>IF(ORCAMENTOS!D2365="","",ORCAMENTOS!D2365)</f>
        <v>A2 SERVICOS</v>
      </c>
      <c r="E2357" s="38" t="str">
        <f>IF(ORCAMENTOS!E2365="","",ORCAMENTOS!E2365)</f>
        <v>SÃO MIGUEL</v>
      </c>
      <c r="F2357" s="37" t="str">
        <f>IF(ORCAMENTOS!G2365="","",ORCAMENTOS!G2365)</f>
        <v>Gabriel</v>
      </c>
      <c r="G2357" s="37" t="str">
        <f>IF(ORCAMENTOS!H2365="","",ORCAMENTOS!H2365)</f>
        <v>Ronilson</v>
      </c>
      <c r="H2357" s="39">
        <f>IF(ORCAMENTOS!I2365="","",ORCAMENTOS!I2365)</f>
        <v>3927.88</v>
      </c>
      <c r="I2357" s="60">
        <f>IF(ORCAMENTOS!J2365="","",ORCAMENTOS!J2365)</f>
        <v>0.05</v>
      </c>
      <c r="J2357" s="40" t="str">
        <f>IF(ORCAMENTOS!L2365="","",ORCAMENTOS!L2365)</f>
        <v>FECHADO</v>
      </c>
      <c r="K2357" s="34" t="str">
        <f>IF(ORCAMENTOS!M2365="","",ORCAMENTOS!M2365)</f>
        <v>-</v>
      </c>
      <c r="L2357" t="str">
        <f>IF(ORCAMENTOS!R2365="","",ORCAMENTOS!R2365)</f>
        <v>-</v>
      </c>
    </row>
    <row r="2358" spans="1:12" ht="15.75" hidden="1" customHeight="1" x14ac:dyDescent="0.25">
      <c r="A2358" s="36">
        <f>IF(ORCAMENTOS!A2366="","",ORCAMENTOS!A2366)</f>
        <v>46055</v>
      </c>
      <c r="B2358" s="46">
        <f>IF(ORCAMENTOS!B2366="","",ORCAMENTOS!B2366)</f>
        <v>181</v>
      </c>
      <c r="C2358" s="46" t="str">
        <f>IF(ORCAMENTOS!C2366="","",ORCAMENTOS!C2366)</f>
        <v/>
      </c>
      <c r="D2358" s="37" t="str">
        <f>IF(ORCAMENTOS!D2366="","",ORCAMENTOS!D2366)</f>
        <v>FANCOLD SERVICE</v>
      </c>
      <c r="E2358" s="38" t="str">
        <f>IF(ORCAMENTOS!E2366="","",ORCAMENTOS!E2366)</f>
        <v>BAUDUCCO - CHOCO BAKERY</v>
      </c>
      <c r="F2358" s="37" t="str">
        <f>IF(ORCAMENTOS!G2366="","",ORCAMENTOS!G2366)</f>
        <v>Michel</v>
      </c>
      <c r="G2358" s="37" t="str">
        <f>IF(ORCAMENTOS!H2366="","",ORCAMENTOS!H2366)</f>
        <v>Victor</v>
      </c>
      <c r="H2358" s="39">
        <f>IF(ORCAMENTOS!I2366="","",ORCAMENTOS!I2366)</f>
        <v>129768.9</v>
      </c>
      <c r="I2358" s="60">
        <f>IF(ORCAMENTOS!J2366="","",ORCAMENTOS!J2366)</f>
        <v>0.04</v>
      </c>
      <c r="J2358" s="40" t="str">
        <f>IF(ORCAMENTOS!L2366="","",ORCAMENTOS!L2366)</f>
        <v>FECHADO</v>
      </c>
      <c r="K2358" s="34" t="str">
        <f>IF(ORCAMENTOS!M2366="","",ORCAMENTOS!M2366)</f>
        <v>-</v>
      </c>
      <c r="L2358" t="str">
        <f>IF(ORCAMENTOS!R2366="","",ORCAMENTOS!R2366)</f>
        <v>-</v>
      </c>
    </row>
    <row r="2359" spans="1:12" ht="15.75" hidden="1" customHeight="1" x14ac:dyDescent="0.25">
      <c r="A2359" s="36">
        <f>IF(ORCAMENTOS!A2367="","",ORCAMENTOS!A2367)</f>
        <v>46056</v>
      </c>
      <c r="B2359" s="46">
        <f>IF(ORCAMENTOS!B2367="","",ORCAMENTOS!B2367)</f>
        <v>182</v>
      </c>
      <c r="C2359" s="46" t="str">
        <f>IF(ORCAMENTOS!C2367="","",ORCAMENTOS!C2367)</f>
        <v>R1</v>
      </c>
      <c r="D2359" s="37" t="str">
        <f>IF(ORCAMENTOS!D2367="","",ORCAMENTOS!D2367)</f>
        <v>AFRIOTHERM</v>
      </c>
      <c r="E2359" s="38" t="str">
        <f>IF(ORCAMENTOS!E2367="","",ORCAMENTOS!E2367)</f>
        <v>BLUEFIT - CAMPO GRANDE - MT</v>
      </c>
      <c r="F2359" s="37" t="str">
        <f>IF(ORCAMENTOS!G2367="","",ORCAMENTOS!G2367)</f>
        <v>Emanuel</v>
      </c>
      <c r="G2359" s="37" t="str">
        <f>IF(ORCAMENTOS!H2367="","",ORCAMENTOS!H2367)</f>
        <v>Jefferson</v>
      </c>
      <c r="H2359" s="39">
        <f>IF(ORCAMENTOS!I2367="","",ORCAMENTOS!I2367)</f>
        <v>150473.70000000001</v>
      </c>
      <c r="I2359" s="60">
        <f>IF(ORCAMENTOS!J2367="","",ORCAMENTOS!J2367)</f>
        <v>7.0000000000000007E-2</v>
      </c>
      <c r="J2359" s="40" t="str">
        <f>IF(ORCAMENTOS!L2367="","",ORCAMENTOS!L2367)</f>
        <v>CANCELADO</v>
      </c>
      <c r="K2359" s="34" t="str">
        <f>IF(ORCAMENTOS!M2367="","",ORCAMENTOS!M2367)</f>
        <v>-</v>
      </c>
      <c r="L2359" t="str">
        <f>IF(ORCAMENTOS!R2367="","",ORCAMENTOS!R2367)</f>
        <v>-</v>
      </c>
    </row>
    <row r="2360" spans="1:12" ht="15.75" hidden="1" customHeight="1" x14ac:dyDescent="0.25">
      <c r="A2360" s="36">
        <f>IF(ORCAMENTOS!A2368="","",ORCAMENTOS!A2368)</f>
        <v>46055</v>
      </c>
      <c r="B2360" s="46">
        <f>IF(ORCAMENTOS!B2368="","",ORCAMENTOS!B2368)</f>
        <v>183</v>
      </c>
      <c r="C2360" s="46" t="str">
        <f>IF(ORCAMENTOS!C2368="","",ORCAMENTOS!C2368)</f>
        <v/>
      </c>
      <c r="D2360" s="37" t="str">
        <f>IF(ORCAMENTOS!D2368="","",ORCAMENTOS!D2368)</f>
        <v>CIVIL AR</v>
      </c>
      <c r="E2360" s="38" t="str">
        <f>IF(ORCAMENTOS!E2368="","",ORCAMENTOS!E2368)</f>
        <v>TKP POCOS</v>
      </c>
      <c r="F2360" s="37" t="str">
        <f>IF(ORCAMENTOS!G2368="","",ORCAMENTOS!G2368)</f>
        <v>Fernando</v>
      </c>
      <c r="G2360" s="37" t="str">
        <f>IF(ORCAMENTOS!H2368="","",ORCAMENTOS!H2368)</f>
        <v>Lucas</v>
      </c>
      <c r="H2360" s="39">
        <f>IF(ORCAMENTOS!I2368="","",ORCAMENTOS!I2368)</f>
        <v>8535.18</v>
      </c>
      <c r="I2360" s="60">
        <f>IF(ORCAMENTOS!J2368="","",ORCAMENTOS!J2368)</f>
        <v>0.05</v>
      </c>
      <c r="J2360" s="40" t="str">
        <f>IF(ORCAMENTOS!L2368="","",ORCAMENTOS!L2368)</f>
        <v>FECHADO</v>
      </c>
      <c r="K2360" s="34" t="str">
        <f>IF(ORCAMENTOS!M2368="","",ORCAMENTOS!M2368)</f>
        <v>-</v>
      </c>
      <c r="L2360" t="str">
        <f>IF(ORCAMENTOS!R2368="","",ORCAMENTOS!R2368)</f>
        <v>-</v>
      </c>
    </row>
    <row r="2361" spans="1:12" ht="15.75" hidden="1" customHeight="1" x14ac:dyDescent="0.25">
      <c r="A2361" s="36">
        <f>IF(ORCAMENTOS!A2369="","",ORCAMENTOS!A2369)</f>
        <v>46055</v>
      </c>
      <c r="B2361" s="46">
        <f>IF(ORCAMENTOS!B2369="","",ORCAMENTOS!B2369)</f>
        <v>184</v>
      </c>
      <c r="C2361" s="46" t="str">
        <f>IF(ORCAMENTOS!C2369="","",ORCAMENTOS!C2369)</f>
        <v/>
      </c>
      <c r="D2361" s="37" t="str">
        <f>IF(ORCAMENTOS!D2369="","",ORCAMENTOS!D2369)</f>
        <v>OUROFRIO</v>
      </c>
      <c r="E2361" s="38" t="str">
        <f>IF(ORCAMENTOS!E2369="","",ORCAMENTOS!E2369)</f>
        <v>-</v>
      </c>
      <c r="F2361" s="37" t="str">
        <f>IF(ORCAMENTOS!G2369="","",ORCAMENTOS!G2369)</f>
        <v>Gabriel</v>
      </c>
      <c r="G2361" s="37" t="str">
        <f>IF(ORCAMENTOS!H2369="","",ORCAMENTOS!H2369)</f>
        <v>Marcos</v>
      </c>
      <c r="H2361" s="39">
        <f>IF(ORCAMENTOS!I2369="","",ORCAMENTOS!I2369)</f>
        <v>12694.45</v>
      </c>
      <c r="I2361" s="60">
        <f>IF(ORCAMENTOS!J2369="","",ORCAMENTOS!J2369)</f>
        <v>0.05</v>
      </c>
      <c r="J2361" s="40" t="str">
        <f>IF(ORCAMENTOS!L2369="","",ORCAMENTOS!L2369)</f>
        <v>CANCELADO</v>
      </c>
      <c r="K2361" s="34" t="str">
        <f>IF(ORCAMENTOS!M2369="","",ORCAMENTOS!M2369)</f>
        <v>-</v>
      </c>
      <c r="L2361" t="str">
        <f>IF(ORCAMENTOS!R2369="","",ORCAMENTOS!R2369)</f>
        <v>-</v>
      </c>
    </row>
    <row r="2362" spans="1:12" ht="15.75" hidden="1" customHeight="1" x14ac:dyDescent="0.25">
      <c r="A2362" s="36">
        <f>IF(ORCAMENTOS!A2370="","",ORCAMENTOS!A2370)</f>
        <v>46056</v>
      </c>
      <c r="B2362" s="46">
        <f>IF(ORCAMENTOS!B2370="","",ORCAMENTOS!B2370)</f>
        <v>185</v>
      </c>
      <c r="C2362" s="46" t="str">
        <f>IF(ORCAMENTOS!C2370="","",ORCAMENTOS!C2370)</f>
        <v/>
      </c>
      <c r="D2362" s="37" t="str">
        <f>IF(ORCAMENTOS!D2370="","",ORCAMENTOS!D2370)</f>
        <v>HEATING COOLING</v>
      </c>
      <c r="E2362" s="38" t="str">
        <f>IF(ORCAMENTOS!E2370="","",ORCAMENTOS!E2370)</f>
        <v>SANTANDER RADAR</v>
      </c>
      <c r="F2362" s="37" t="str">
        <f>IF(ORCAMENTOS!G2370="","",ORCAMENTOS!G2370)</f>
        <v>Gabriel</v>
      </c>
      <c r="G2362" s="37" t="str">
        <f>IF(ORCAMENTOS!H2370="","",ORCAMENTOS!H2370)</f>
        <v>Cleo</v>
      </c>
      <c r="H2362" s="39">
        <f>IF(ORCAMENTOS!I2370="","",ORCAMENTOS!I2370)</f>
        <v>977746.09</v>
      </c>
      <c r="I2362" s="60">
        <f>IF(ORCAMENTOS!J2370="","",ORCAMENTOS!J2370)</f>
        <v>7.0000000000000007E-2</v>
      </c>
      <c r="J2362" s="40" t="str">
        <f>IF(ORCAMENTOS!L2370="","",ORCAMENTOS!L2370)</f>
        <v>CANCELADO</v>
      </c>
      <c r="K2362" s="34" t="str">
        <f>IF(ORCAMENTOS!M2370="","",ORCAMENTOS!M2370)</f>
        <v>-</v>
      </c>
      <c r="L2362" t="str">
        <f>IF(ORCAMENTOS!R2370="","",ORCAMENTOS!R2370)</f>
        <v>-</v>
      </c>
    </row>
    <row r="2363" spans="1:12" ht="15.75" hidden="1" customHeight="1" x14ac:dyDescent="0.25">
      <c r="A2363" s="36">
        <f>IF(ORCAMENTOS!A2371="","",ORCAMENTOS!A2371)</f>
        <v>46057</v>
      </c>
      <c r="B2363" s="46">
        <f>IF(ORCAMENTOS!B2371="","",ORCAMENTOS!B2371)</f>
        <v>186</v>
      </c>
      <c r="C2363" s="46" t="str">
        <f>IF(ORCAMENTOS!C2371="","",ORCAMENTOS!C2371)</f>
        <v>R1</v>
      </c>
      <c r="D2363" s="37" t="str">
        <f>IF(ORCAMENTOS!D2371="","",ORCAMENTOS!D2371)</f>
        <v>SPECIAL AIR</v>
      </c>
      <c r="E2363" s="38" t="str">
        <f>IF(ORCAMENTOS!E2371="","",ORCAMENTOS!E2371)</f>
        <v>-</v>
      </c>
      <c r="F2363" s="37" t="str">
        <f>IF(ORCAMENTOS!G2371="","",ORCAMENTOS!G2371)</f>
        <v>Gabriel</v>
      </c>
      <c r="G2363" s="37" t="str">
        <f>IF(ORCAMENTOS!H2371="","",ORCAMENTOS!H2371)</f>
        <v>Henrique</v>
      </c>
      <c r="H2363" s="39">
        <f>IF(ORCAMENTOS!I2371="","",ORCAMENTOS!I2371)</f>
        <v>8581.15</v>
      </c>
      <c r="I2363" s="60">
        <f>IF(ORCAMENTOS!J2371="","",ORCAMENTOS!J2371)</f>
        <v>0.06</v>
      </c>
      <c r="J2363" s="40" t="str">
        <f>IF(ORCAMENTOS!L2371="","",ORCAMENTOS!L2371)</f>
        <v>FECHADO</v>
      </c>
      <c r="K2363" s="34" t="str">
        <f>IF(ORCAMENTOS!M2371="","",ORCAMENTOS!M2371)</f>
        <v>-</v>
      </c>
      <c r="L2363" t="str">
        <f>IF(ORCAMENTOS!R2371="","",ORCAMENTOS!R2371)</f>
        <v>-</v>
      </c>
    </row>
    <row r="2364" spans="1:12" ht="15.75" hidden="1" customHeight="1" x14ac:dyDescent="0.25">
      <c r="A2364" s="36">
        <f>IF(ORCAMENTOS!A2372="","",ORCAMENTOS!A2372)</f>
        <v>46056</v>
      </c>
      <c r="B2364" s="46">
        <f>IF(ORCAMENTOS!B2372="","",ORCAMENTOS!B2372)</f>
        <v>187</v>
      </c>
      <c r="C2364" s="46" t="str">
        <f>IF(ORCAMENTOS!C2372="","",ORCAMENTOS!C2372)</f>
        <v/>
      </c>
      <c r="D2364" s="37" t="str">
        <f>IF(ORCAMENTOS!D2372="","",ORCAMENTOS!D2372)</f>
        <v>AMS INSTALACOES</v>
      </c>
      <c r="E2364" s="38" t="str">
        <f>IF(ORCAMENTOS!E2372="","",ORCAMENTOS!E2372)</f>
        <v>GALPAO - OLIMPIA - SP</v>
      </c>
      <c r="F2364" s="37" t="str">
        <f>IF(ORCAMENTOS!G2372="","",ORCAMENTOS!G2372)</f>
        <v>Gabriel</v>
      </c>
      <c r="G2364" s="37" t="str">
        <f>IF(ORCAMENTOS!H2372="","",ORCAMENTOS!H2372)</f>
        <v>Albertino</v>
      </c>
      <c r="H2364" s="39">
        <f>IF(ORCAMENTOS!I2372="","",ORCAMENTOS!I2372)</f>
        <v>139382.22</v>
      </c>
      <c r="I2364" s="60">
        <f>IF(ORCAMENTOS!J2372="","",ORCAMENTOS!J2372)</f>
        <v>7.0000000000000007E-2</v>
      </c>
      <c r="J2364" s="40" t="str">
        <f>IF(ORCAMENTOS!L2372="","",ORCAMENTOS!L2372)</f>
        <v>CANCELADO</v>
      </c>
      <c r="K2364" s="34" t="str">
        <f>IF(ORCAMENTOS!M2372="","",ORCAMENTOS!M2372)</f>
        <v>-</v>
      </c>
      <c r="L2364" t="str">
        <f>IF(ORCAMENTOS!R2372="","",ORCAMENTOS!R2372)</f>
        <v>MPU</v>
      </c>
    </row>
    <row r="2365" spans="1:12" ht="15.75" hidden="1" customHeight="1" x14ac:dyDescent="0.25">
      <c r="A2365" s="36">
        <f>IF(ORCAMENTOS!A2373="","",ORCAMENTOS!A2373)</f>
        <v>46056</v>
      </c>
      <c r="B2365" s="46">
        <f>IF(ORCAMENTOS!B2373="","",ORCAMENTOS!B2373)</f>
        <v>188</v>
      </c>
      <c r="C2365" s="46" t="str">
        <f>IF(ORCAMENTOS!C2373="","",ORCAMENTOS!C2373)</f>
        <v/>
      </c>
      <c r="D2365" s="37" t="str">
        <f>IF(ORCAMENTOS!D2373="","",ORCAMENTOS!D2373)</f>
        <v>TERMOCLIMA</v>
      </c>
      <c r="E2365" s="38" t="str">
        <f>IF(ORCAMENTOS!E2373="","",ORCAMENTOS!E2373)</f>
        <v>ASSAI OSASCO - FERNAO DIAS - SP</v>
      </c>
      <c r="F2365" s="37" t="str">
        <f>IF(ORCAMENTOS!G2373="","",ORCAMENTOS!G2373)</f>
        <v>Gabriel</v>
      </c>
      <c r="G2365" s="37" t="str">
        <f>IF(ORCAMENTOS!H2373="","",ORCAMENTOS!H2373)</f>
        <v>Pedro</v>
      </c>
      <c r="H2365" s="39">
        <f>IF(ORCAMENTOS!I2373="","",ORCAMENTOS!I2373)</f>
        <v>40128.61</v>
      </c>
      <c r="I2365" s="60">
        <f>IF(ORCAMENTOS!J2373="","",ORCAMENTOS!J2373)</f>
        <v>7.0000000000000007E-2</v>
      </c>
      <c r="J2365" s="40" t="str">
        <f>IF(ORCAMENTOS!L2373="","",ORCAMENTOS!L2373)</f>
        <v>CANCELADO</v>
      </c>
      <c r="K2365" s="34" t="str">
        <f>IF(ORCAMENTOS!M2373="","",ORCAMENTOS!M2373)</f>
        <v>-</v>
      </c>
      <c r="L2365" t="str">
        <f>IF(ORCAMENTOS!R2373="","",ORCAMENTOS!R2373)</f>
        <v>MPU</v>
      </c>
    </row>
    <row r="2366" spans="1:12" ht="15.75" hidden="1" customHeight="1" x14ac:dyDescent="0.25">
      <c r="A2366" s="36">
        <f>IF(ORCAMENTOS!A2374="","",ORCAMENTOS!A2374)</f>
        <v>46056</v>
      </c>
      <c r="B2366" s="46">
        <f>IF(ORCAMENTOS!B2374="","",ORCAMENTOS!B2374)</f>
        <v>189</v>
      </c>
      <c r="C2366" s="46" t="str">
        <f>IF(ORCAMENTOS!C2374="","",ORCAMENTOS!C2374)</f>
        <v/>
      </c>
      <c r="D2366" s="37" t="str">
        <f>IF(ORCAMENTOS!D2374="","",ORCAMENTOS!D2374)</f>
        <v>SAFETY WALL</v>
      </c>
      <c r="E2366" s="38" t="str">
        <f>IF(ORCAMENTOS!E2374="","",ORCAMENTOS!E2374)</f>
        <v>-</v>
      </c>
      <c r="F2366" s="37" t="str">
        <f>IF(ORCAMENTOS!G2374="","",ORCAMENTOS!G2374)</f>
        <v>Gabriel</v>
      </c>
      <c r="G2366" s="37" t="str">
        <f>IF(ORCAMENTOS!H2374="","",ORCAMENTOS!H2374)</f>
        <v>Fabiana</v>
      </c>
      <c r="H2366" s="39">
        <f>IF(ORCAMENTOS!I2374="","",ORCAMENTOS!I2374)</f>
        <v>8475.26</v>
      </c>
      <c r="I2366" s="60">
        <f>IF(ORCAMENTOS!J2374="","",ORCAMENTOS!J2374)</f>
        <v>7.0000000000000007E-2</v>
      </c>
      <c r="J2366" s="40" t="str">
        <f>IF(ORCAMENTOS!L2374="","",ORCAMENTOS!L2374)</f>
        <v>FECHADO</v>
      </c>
      <c r="K2366" s="34" t="str">
        <f>IF(ORCAMENTOS!M2374="","",ORCAMENTOS!M2374)</f>
        <v>-</v>
      </c>
      <c r="L2366" t="str">
        <f>IF(ORCAMENTOS!R2374="","",ORCAMENTOS!R2374)</f>
        <v>-</v>
      </c>
    </row>
    <row r="2367" spans="1:12" ht="15.75" hidden="1" customHeight="1" x14ac:dyDescent="0.25">
      <c r="A2367" s="36">
        <f>IF(ORCAMENTOS!A2375="","",ORCAMENTOS!A2375)</f>
        <v>46056</v>
      </c>
      <c r="B2367" s="46">
        <f>IF(ORCAMENTOS!B2375="","",ORCAMENTOS!B2375)</f>
        <v>190</v>
      </c>
      <c r="C2367" s="46" t="str">
        <f>IF(ORCAMENTOS!C2375="","",ORCAMENTOS!C2375)</f>
        <v/>
      </c>
      <c r="D2367" s="37" t="str">
        <f>IF(ORCAMENTOS!D2375="","",ORCAMENTOS!D2375)</f>
        <v>SILVA CLIMATIZACAO</v>
      </c>
      <c r="E2367" s="38" t="str">
        <f>IF(ORCAMENTOS!E2375="","",ORCAMENTOS!E2375)</f>
        <v>APS - ASSOCIACAO PAULISTA SUL - SP</v>
      </c>
      <c r="F2367" s="37" t="str">
        <f>IF(ORCAMENTOS!G2375="","",ORCAMENTOS!G2375)</f>
        <v>Gabriel</v>
      </c>
      <c r="G2367" s="37" t="str">
        <f>IF(ORCAMENTOS!H2375="","",ORCAMENTOS!H2375)</f>
        <v>Eraldo</v>
      </c>
      <c r="H2367" s="39">
        <f>IF(ORCAMENTOS!I2375="","",ORCAMENTOS!I2375)</f>
        <v>45144.79</v>
      </c>
      <c r="I2367" s="60">
        <f>IF(ORCAMENTOS!J2375="","",ORCAMENTOS!J2375)</f>
        <v>7.0000000000000007E-2</v>
      </c>
      <c r="J2367" s="40" t="str">
        <f>IF(ORCAMENTOS!L2375="","",ORCAMENTOS!L2375)</f>
        <v>CANCELADO</v>
      </c>
      <c r="K2367" s="34" t="str">
        <f>IF(ORCAMENTOS!M2375="","",ORCAMENTOS!M2375)</f>
        <v>-</v>
      </c>
      <c r="L2367" t="str">
        <f>IF(ORCAMENTOS!R2375="","",ORCAMENTOS!R2375)</f>
        <v>N/E</v>
      </c>
    </row>
    <row r="2368" spans="1:12" ht="15.75" hidden="1" customHeight="1" x14ac:dyDescent="0.25">
      <c r="A2368" s="36">
        <f>IF(ORCAMENTOS!A2376="","",ORCAMENTOS!A2376)</f>
        <v>46056</v>
      </c>
      <c r="B2368" s="46">
        <f>IF(ORCAMENTOS!B2376="","",ORCAMENTOS!B2376)</f>
        <v>191</v>
      </c>
      <c r="C2368" s="46" t="str">
        <f>IF(ORCAMENTOS!C2376="","",ORCAMENTOS!C2376)</f>
        <v/>
      </c>
      <c r="D2368" s="37" t="str">
        <f>IF(ORCAMENTOS!D2376="","",ORCAMENTOS!D2376)</f>
        <v>AIRPLAN</v>
      </c>
      <c r="E2368" s="38" t="str">
        <f>IF(ORCAMENTOS!E2376="","",ORCAMENTOS!E2376)</f>
        <v>NIKE - BH SHOPPING - BELO HORIZONTE - MG</v>
      </c>
      <c r="F2368" s="37" t="str">
        <f>IF(ORCAMENTOS!G2376="","",ORCAMENTOS!G2376)</f>
        <v>Guilherme</v>
      </c>
      <c r="G2368" s="37" t="str">
        <f>IF(ORCAMENTOS!H2376="","",ORCAMENTOS!H2376)</f>
        <v>Gabriel</v>
      </c>
      <c r="H2368" s="39">
        <f>IF(ORCAMENTOS!I2376="","",ORCAMENTOS!I2376)</f>
        <v>40646.080000000002</v>
      </c>
      <c r="I2368" s="60">
        <f>IF(ORCAMENTOS!J2376="","",ORCAMENTOS!J2376)</f>
        <v>7.0000000000000007E-2</v>
      </c>
      <c r="J2368" s="40" t="str">
        <f>IF(ORCAMENTOS!L2376="","",ORCAMENTOS!L2376)</f>
        <v>ORCAMENTO</v>
      </c>
      <c r="K2368" s="34" t="str">
        <f>IF(ORCAMENTOS!M2376="","",ORCAMENTOS!M2376)</f>
        <v>-</v>
      </c>
      <c r="L2368" t="str">
        <f>IF(ORCAMENTOS!R2376="","",ORCAMENTOS!R2376)</f>
        <v>MPU</v>
      </c>
    </row>
    <row r="2369" spans="1:12" ht="15.75" hidden="1" customHeight="1" x14ac:dyDescent="0.25">
      <c r="A2369" s="36">
        <f>IF(ORCAMENTOS!A2377="","",ORCAMENTOS!A2377)</f>
        <v>46057</v>
      </c>
      <c r="B2369" s="46">
        <f>IF(ORCAMENTOS!B2377="","",ORCAMENTOS!B2377)</f>
        <v>192</v>
      </c>
      <c r="C2369" s="46" t="str">
        <f>IF(ORCAMENTOS!C2377="","",ORCAMENTOS!C2377)</f>
        <v/>
      </c>
      <c r="D2369" s="37" t="str">
        <f>IF(ORCAMENTOS!D2377="","",ORCAMENTOS!D2377)</f>
        <v>BMS ENGENHARIA</v>
      </c>
      <c r="E2369" s="38" t="str">
        <f>IF(ORCAMENTOS!E2377="","",ORCAMENTOS!E2377)</f>
        <v>ESTUDIO MODULO - CURY - CENTRO CULTURAL - RIO AFRICA - RJ</v>
      </c>
      <c r="F2369" s="37" t="str">
        <f>IF(ORCAMENTOS!G2377="","",ORCAMENTOS!G2377)</f>
        <v>Guilherme</v>
      </c>
      <c r="G2369" s="37" t="str">
        <f>IF(ORCAMENTOS!H2377="","",ORCAMENTOS!H2377)</f>
        <v>Aleison</v>
      </c>
      <c r="H2369" s="39">
        <f>IF(ORCAMENTOS!I2377="","",ORCAMENTOS!I2377)</f>
        <v>174988.03</v>
      </c>
      <c r="I2369" s="60">
        <f>IF(ORCAMENTOS!J2377="","",ORCAMENTOS!J2377)</f>
        <v>7.0000000000000007E-2</v>
      </c>
      <c r="J2369" s="40" t="str">
        <f>IF(ORCAMENTOS!L2377="","",ORCAMENTOS!L2377)</f>
        <v>ORCAMENTO</v>
      </c>
      <c r="K2369" s="34" t="str">
        <f>IF(ORCAMENTOS!M2377="","",ORCAMENTOS!M2377)</f>
        <v>-</v>
      </c>
      <c r="L2369" t="str">
        <f>IF(ORCAMENTOS!R2377="","",ORCAMENTOS!R2377)</f>
        <v>ALUPIR</v>
      </c>
    </row>
    <row r="2370" spans="1:12" ht="15.75" hidden="1" customHeight="1" x14ac:dyDescent="0.25">
      <c r="A2370" s="36">
        <f>IF(ORCAMENTOS!A2378="","",ORCAMENTOS!A2378)</f>
        <v>46056</v>
      </c>
      <c r="B2370" s="46">
        <f>IF(ORCAMENTOS!B2378="","",ORCAMENTOS!B2378)</f>
        <v>193</v>
      </c>
      <c r="C2370" s="46" t="str">
        <f>IF(ORCAMENTOS!C2378="","",ORCAMENTOS!C2378)</f>
        <v/>
      </c>
      <c r="D2370" s="37" t="str">
        <f>IF(ORCAMENTOS!D2378="","",ORCAMENTOS!D2378)</f>
        <v>LKT AR CONDICIONADO</v>
      </c>
      <c r="E2370" s="38" t="str">
        <f>IF(ORCAMENTOS!E2378="","",ORCAMENTOS!E2378)</f>
        <v xml:space="preserve">ABB </v>
      </c>
      <c r="F2370" s="37" t="str">
        <f>IF(ORCAMENTOS!G2378="","",ORCAMENTOS!G2378)</f>
        <v>Fernando</v>
      </c>
      <c r="G2370" s="37" t="str">
        <f>IF(ORCAMENTOS!H2378="","",ORCAMENTOS!H2378)</f>
        <v>Nicolas</v>
      </c>
      <c r="H2370" s="39">
        <f>IF(ORCAMENTOS!I2378="","",ORCAMENTOS!I2378)</f>
        <v>3539.21</v>
      </c>
      <c r="I2370" s="60">
        <f>IF(ORCAMENTOS!J2378="","",ORCAMENTOS!J2378)</f>
        <v>7.0000000000000007E-2</v>
      </c>
      <c r="J2370" s="40" t="str">
        <f>IF(ORCAMENTOS!L2378="","",ORCAMENTOS!L2378)</f>
        <v>PERDIDO</v>
      </c>
      <c r="K2370" s="34" t="str">
        <f>IF(ORCAMENTOS!M2378="","",ORCAMENTOS!M2378)</f>
        <v>PERDIDO - ARCOTEC</v>
      </c>
      <c r="L2370" t="str">
        <f>IF(ORCAMENTOS!R2378="","",ORCAMENTOS!R2378)</f>
        <v>-</v>
      </c>
    </row>
    <row r="2371" spans="1:12" ht="15.75" hidden="1" customHeight="1" x14ac:dyDescent="0.25">
      <c r="A2371" s="36">
        <f>IF(ORCAMENTOS!A2379="","",ORCAMENTOS!A2379)</f>
        <v>46093</v>
      </c>
      <c r="B2371" s="46">
        <f>IF(ORCAMENTOS!B2379="","",ORCAMENTOS!B2379)</f>
        <v>194</v>
      </c>
      <c r="C2371" s="46" t="str">
        <f>IF(ORCAMENTOS!C2379="","",ORCAMENTOS!C2379)</f>
        <v/>
      </c>
      <c r="D2371" s="37" t="str">
        <f>IF(ORCAMENTOS!D2379="","",ORCAMENTOS!D2379)</f>
        <v>SENSCO</v>
      </c>
      <c r="E2371" s="38" t="str">
        <f>IF(ORCAMENTOS!E2379="","",ORCAMENTOS!E2379)</f>
        <v>NOVO ATIBAIA</v>
      </c>
      <c r="F2371" s="37" t="str">
        <f>IF(ORCAMENTOS!G2379="","",ORCAMENTOS!G2379)</f>
        <v>Michel</v>
      </c>
      <c r="G2371" s="37" t="str">
        <f>IF(ORCAMENTOS!H2379="","",ORCAMENTOS!H2379)</f>
        <v>Luciete</v>
      </c>
      <c r="H2371" s="39">
        <f>IF(ORCAMENTOS!I2379="","",ORCAMENTOS!I2379)</f>
        <v>4767.3</v>
      </c>
      <c r="I2371" s="60">
        <f>IF(ORCAMENTOS!J2379="","",ORCAMENTOS!J2379)</f>
        <v>7.0000000000000007E-2</v>
      </c>
      <c r="J2371" s="40" t="str">
        <f>IF(ORCAMENTOS!L2379="","",ORCAMENTOS!L2379)</f>
        <v>PERDIDO</v>
      </c>
      <c r="K2371" s="34" t="str">
        <f>IF(ORCAMENTOS!M2379="","",ORCAMENTOS!M2379)</f>
        <v>ARCOTEC - PACOTE</v>
      </c>
      <c r="L2371" t="str">
        <f>IF(ORCAMENTOS!R2379="","",ORCAMENTOS!R2379)</f>
        <v>-</v>
      </c>
    </row>
    <row r="2372" spans="1:12" ht="15.75" hidden="1" customHeight="1" x14ac:dyDescent="0.25">
      <c r="A2372" s="36">
        <f>IF(ORCAMENTOS!A2380="","",ORCAMENTOS!A2380)</f>
        <v>46056</v>
      </c>
      <c r="B2372" s="46">
        <f>IF(ORCAMENTOS!B2380="","",ORCAMENTOS!B2380)</f>
        <v>195</v>
      </c>
      <c r="C2372" s="46" t="str">
        <f>IF(ORCAMENTOS!C2380="","",ORCAMENTOS!C2380)</f>
        <v/>
      </c>
      <c r="D2372" s="37" t="str">
        <f>IF(ORCAMENTOS!D2380="","",ORCAMENTOS!D2380)</f>
        <v>SAFETY WALL</v>
      </c>
      <c r="E2372" s="38" t="str">
        <f>IF(ORCAMENTOS!E2380="","",ORCAMENTOS!E2380)</f>
        <v>-</v>
      </c>
      <c r="F2372" s="37" t="str">
        <f>IF(ORCAMENTOS!G2380="","",ORCAMENTOS!G2380)</f>
        <v>Gabriel</v>
      </c>
      <c r="G2372" s="37" t="str">
        <f>IF(ORCAMENTOS!H2380="","",ORCAMENTOS!H2380)</f>
        <v>Fabiana</v>
      </c>
      <c r="H2372" s="39">
        <f>IF(ORCAMENTOS!I2380="","",ORCAMENTOS!I2380)</f>
        <v>4607.5</v>
      </c>
      <c r="I2372" s="60">
        <f>IF(ORCAMENTOS!J2380="","",ORCAMENTOS!J2380)</f>
        <v>7.0000000000000007E-2</v>
      </c>
      <c r="J2372" s="40" t="str">
        <f>IF(ORCAMENTOS!L2380="","",ORCAMENTOS!L2380)</f>
        <v>FECHADO</v>
      </c>
      <c r="K2372" s="34" t="str">
        <f>IF(ORCAMENTOS!M2380="","",ORCAMENTOS!M2380)</f>
        <v>-</v>
      </c>
      <c r="L2372" t="str">
        <f>IF(ORCAMENTOS!R2380="","",ORCAMENTOS!R2380)</f>
        <v/>
      </c>
    </row>
    <row r="2373" spans="1:12" ht="15.75" hidden="1" customHeight="1" x14ac:dyDescent="0.25">
      <c r="A2373" s="36">
        <f>IF(ORCAMENTOS!A2381="","",ORCAMENTOS!A2381)</f>
        <v>46057</v>
      </c>
      <c r="B2373" s="46">
        <f>IF(ORCAMENTOS!B2381="","",ORCAMENTOS!B2381)</f>
        <v>196</v>
      </c>
      <c r="C2373" s="46" t="str">
        <f>IF(ORCAMENTOS!C2381="","",ORCAMENTOS!C2381)</f>
        <v>R1</v>
      </c>
      <c r="D2373" s="37" t="str">
        <f>IF(ORCAMENTOS!D2381="","",ORCAMENTOS!D2381)</f>
        <v>NEWSET</v>
      </c>
      <c r="E2373" s="38" t="str">
        <f>IF(ORCAMENTOS!E2381="","",ORCAMENTOS!E2381)</f>
        <v>NSP183.25</v>
      </c>
      <c r="F2373" s="37" t="str">
        <f>IF(ORCAMENTOS!G2381="","",ORCAMENTOS!G2381)</f>
        <v xml:space="preserve">Aldavir </v>
      </c>
      <c r="G2373" s="37" t="str">
        <f>IF(ORCAMENTOS!H2381="","",ORCAMENTOS!H2381)</f>
        <v>David</v>
      </c>
      <c r="H2373" s="39">
        <f>IF(ORCAMENTOS!I2381="","",ORCAMENTOS!I2381)</f>
        <v>65434.81</v>
      </c>
      <c r="I2373" s="60">
        <f>IF(ORCAMENTOS!J2381="","",ORCAMENTOS!J2381)</f>
        <v>7.0000000000000007E-2</v>
      </c>
      <c r="J2373" s="40" t="str">
        <f>IF(ORCAMENTOS!L2381="","",ORCAMENTOS!L2381)</f>
        <v>ORCAMENTO</v>
      </c>
      <c r="K2373" s="34" t="str">
        <f>IF(ORCAMENTOS!M2381="","",ORCAMENTOS!M2381)</f>
        <v>-</v>
      </c>
      <c r="L2373" t="str">
        <f>IF(ORCAMENTOS!R2381="","",ORCAMENTOS!R2381)</f>
        <v>-</v>
      </c>
    </row>
    <row r="2374" spans="1:12" ht="15.75" hidden="1" customHeight="1" x14ac:dyDescent="0.25">
      <c r="A2374" s="36">
        <f>IF(ORCAMENTOS!A2382="","",ORCAMENTOS!A2382)</f>
        <v>46057</v>
      </c>
      <c r="B2374" s="46">
        <f>IF(ORCAMENTOS!B2382="","",ORCAMENTOS!B2382)</f>
        <v>197</v>
      </c>
      <c r="C2374" s="46" t="str">
        <f>IF(ORCAMENTOS!C2382="","",ORCAMENTOS!C2382)</f>
        <v/>
      </c>
      <c r="D2374" s="37" t="str">
        <f>IF(ORCAMENTOS!D2382="","",ORCAMENTOS!D2382)</f>
        <v>ARDORO</v>
      </c>
      <c r="E2374" s="38" t="str">
        <f>IF(ORCAMENTOS!E2382="","",ORCAMENTOS!E2382)</f>
        <v>-</v>
      </c>
      <c r="F2374" s="37" t="str">
        <f>IF(ORCAMENTOS!G2382="","",ORCAMENTOS!G2382)</f>
        <v>Emanuel</v>
      </c>
      <c r="G2374" s="37" t="str">
        <f>IF(ORCAMENTOS!H2382="","",ORCAMENTOS!H2382)</f>
        <v>Andre</v>
      </c>
      <c r="H2374" s="39">
        <f>IF(ORCAMENTOS!I2382="","",ORCAMENTOS!I2382)</f>
        <v>746.55</v>
      </c>
      <c r="I2374" s="60">
        <f>IF(ORCAMENTOS!J2382="","",ORCAMENTOS!J2382)</f>
        <v>7.0000000000000007E-2</v>
      </c>
      <c r="J2374" s="40" t="str">
        <f>IF(ORCAMENTOS!L2382="","",ORCAMENTOS!L2382)</f>
        <v>PERDIDO</v>
      </c>
      <c r="K2374" s="34" t="str">
        <f>IF(ORCAMENTOS!M2382="","",ORCAMENTOS!M2382)</f>
        <v>ARCOTEC-PRAZO</v>
      </c>
      <c r="L2374" t="str">
        <f>IF(ORCAMENTOS!R2382="","",ORCAMENTOS!R2382)</f>
        <v>-</v>
      </c>
    </row>
    <row r="2375" spans="1:12" ht="15.75" hidden="1" customHeight="1" x14ac:dyDescent="0.25">
      <c r="A2375" s="36">
        <f>IF(ORCAMENTOS!A2383="","",ORCAMENTOS!A2383)</f>
        <v>46057</v>
      </c>
      <c r="B2375" s="46">
        <f>IF(ORCAMENTOS!B2383="","",ORCAMENTOS!B2383)</f>
        <v>198</v>
      </c>
      <c r="C2375" s="46" t="str">
        <f>IF(ORCAMENTOS!C2383="","",ORCAMENTOS!C2383)</f>
        <v/>
      </c>
      <c r="D2375" s="37" t="str">
        <f>IF(ORCAMENTOS!D2383="","",ORCAMENTOS!D2383)</f>
        <v>NP CLIMATIZAÇÃO</v>
      </c>
      <c r="E2375" s="38" t="str">
        <f>IF(ORCAMENTOS!E2383="","",ORCAMENTOS!E2383)</f>
        <v>CIDADE JARDIM - 4 CASAS</v>
      </c>
      <c r="F2375" s="37" t="str">
        <f>IF(ORCAMENTOS!G2383="","",ORCAMENTOS!G2383)</f>
        <v>Guilherme</v>
      </c>
      <c r="G2375" s="37" t="str">
        <f>IF(ORCAMENTOS!H2383="","",ORCAMENTOS!H2383)</f>
        <v>Maria</v>
      </c>
      <c r="H2375" s="39">
        <f>IF(ORCAMENTOS!I2383="","",ORCAMENTOS!I2383)</f>
        <v>15887.57</v>
      </c>
      <c r="I2375" s="60">
        <f>IF(ORCAMENTOS!J2383="","",ORCAMENTOS!J2383)</f>
        <v>0.04</v>
      </c>
      <c r="J2375" s="40" t="str">
        <f>IF(ORCAMENTOS!L2383="","",ORCAMENTOS!L2383)</f>
        <v>CANCELADO</v>
      </c>
      <c r="K2375" s="34" t="str">
        <f>IF(ORCAMENTOS!M2383="","",ORCAMENTOS!M2383)</f>
        <v>-</v>
      </c>
      <c r="L2375" t="str">
        <f>IF(ORCAMENTOS!R2383="","",ORCAMENTOS!R2383)</f>
        <v>-</v>
      </c>
    </row>
    <row r="2376" spans="1:12" ht="15.75" hidden="1" customHeight="1" x14ac:dyDescent="0.25">
      <c r="A2376" s="36">
        <f>IF(ORCAMENTOS!A2384="","",ORCAMENTOS!A2384)</f>
        <v>46057</v>
      </c>
      <c r="B2376" s="46">
        <f>IF(ORCAMENTOS!B2384="","",ORCAMENTOS!B2384)</f>
        <v>199</v>
      </c>
      <c r="C2376" s="46" t="str">
        <f>IF(ORCAMENTOS!C2384="","",ORCAMENTOS!C2384)</f>
        <v>R1</v>
      </c>
      <c r="D2376" s="37" t="str">
        <f>IF(ORCAMENTOS!D2384="","",ORCAMENTOS!D2384)</f>
        <v>RM3 ENGENHARIA</v>
      </c>
      <c r="E2376" s="38" t="str">
        <f>IF(ORCAMENTOS!E2384="","",ORCAMENTOS!E2384)</f>
        <v>ADIDAS - SO MARCAS - GUARULHOS - SP</v>
      </c>
      <c r="F2376" s="37" t="str">
        <f>IF(ORCAMENTOS!G2384="","",ORCAMENTOS!G2384)</f>
        <v>Guilherme</v>
      </c>
      <c r="G2376" s="37" t="str">
        <f>IF(ORCAMENTOS!H2384="","",ORCAMENTOS!H2384)</f>
        <v>Diego</v>
      </c>
      <c r="H2376" s="39">
        <f>IF(ORCAMENTOS!I2384="","",ORCAMENTOS!I2384)</f>
        <v>27137.98</v>
      </c>
      <c r="I2376" s="60">
        <f>IF(ORCAMENTOS!J2384="","",ORCAMENTOS!J2384)</f>
        <v>0.04</v>
      </c>
      <c r="J2376" s="40" t="str">
        <f>IF(ORCAMENTOS!L2384="","",ORCAMENTOS!L2384)</f>
        <v>FECHADO</v>
      </c>
      <c r="K2376" s="34" t="str">
        <f>IF(ORCAMENTOS!M2384="","",ORCAMENTOS!M2384)</f>
        <v>-</v>
      </c>
      <c r="L2376" t="str">
        <f>IF(ORCAMENTOS!R2384="","",ORCAMENTOS!R2384)</f>
        <v>MPU</v>
      </c>
    </row>
    <row r="2377" spans="1:12" ht="15.75" hidden="1" customHeight="1" x14ac:dyDescent="0.25">
      <c r="A2377" s="36">
        <f>IF(ORCAMENTOS!A2385="","",ORCAMENTOS!A2385)</f>
        <v>46057</v>
      </c>
      <c r="B2377" s="46">
        <f>IF(ORCAMENTOS!B2385="","",ORCAMENTOS!B2385)</f>
        <v>200</v>
      </c>
      <c r="C2377" s="46" t="str">
        <f>IF(ORCAMENTOS!C2385="","",ORCAMENTOS!C2385)</f>
        <v/>
      </c>
      <c r="D2377" s="37" t="str">
        <f>IF(ORCAMENTOS!D2385="","",ORCAMENTOS!D2385)</f>
        <v>AMS INSTALACOES</v>
      </c>
      <c r="E2377" s="38" t="str">
        <f>IF(ORCAMENTOS!E2385="","",ORCAMENTOS!E2385)</f>
        <v>ATACADAO - MATRIZ VILA MARIA</v>
      </c>
      <c r="F2377" s="37" t="str">
        <f>IF(ORCAMENTOS!G2385="","",ORCAMENTOS!G2385)</f>
        <v>Gabriel</v>
      </c>
      <c r="G2377" s="37" t="str">
        <f>IF(ORCAMENTOS!H2385="","",ORCAMENTOS!H2385)</f>
        <v>Albertino</v>
      </c>
      <c r="H2377" s="39">
        <f>IF(ORCAMENTOS!I2385="","",ORCAMENTOS!I2385)</f>
        <v>118773.53</v>
      </c>
      <c r="I2377" s="60">
        <f>IF(ORCAMENTOS!J2385="","",ORCAMENTOS!J2385)</f>
        <v>7.0000000000000007E-2</v>
      </c>
      <c r="J2377" s="40" t="str">
        <f>IF(ORCAMENTOS!L2385="","",ORCAMENTOS!L2385)</f>
        <v>CANCELADO</v>
      </c>
      <c r="K2377" s="34" t="str">
        <f>IF(ORCAMENTOS!M2385="","",ORCAMENTOS!M2385)</f>
        <v>-</v>
      </c>
      <c r="L2377" t="str">
        <f>IF(ORCAMENTOS!R2385="","",ORCAMENTOS!R2385)</f>
        <v>MPU</v>
      </c>
    </row>
    <row r="2378" spans="1:12" ht="15.75" hidden="1" customHeight="1" x14ac:dyDescent="0.25">
      <c r="A2378" s="36">
        <f>IF(ORCAMENTOS!A2386="","",ORCAMENTOS!A2386)</f>
        <v>46057</v>
      </c>
      <c r="B2378" s="46">
        <f>IF(ORCAMENTOS!B2386="","",ORCAMENTOS!B2386)</f>
        <v>201</v>
      </c>
      <c r="C2378" s="46" t="str">
        <f>IF(ORCAMENTOS!C2386="","",ORCAMENTOS!C2386)</f>
        <v/>
      </c>
      <c r="D2378" s="37" t="str">
        <f>IF(ORCAMENTOS!D2386="","",ORCAMENTOS!D2386)</f>
        <v>ASSIM INSTALACOES</v>
      </c>
      <c r="E2378" s="38" t="str">
        <f>IF(ORCAMENTOS!E2386="","",ORCAMENTOS!E2386)</f>
        <v>-</v>
      </c>
      <c r="F2378" s="37" t="str">
        <f>IF(ORCAMENTOS!G2386="","",ORCAMENTOS!G2386)</f>
        <v>Gabriel</v>
      </c>
      <c r="G2378" s="37" t="str">
        <f>IF(ORCAMENTOS!H2386="","",ORCAMENTOS!H2386)</f>
        <v>Ataide</v>
      </c>
      <c r="H2378" s="39">
        <f>IF(ORCAMENTOS!I2386="","",ORCAMENTOS!I2386)</f>
        <v>9721.7800000000007</v>
      </c>
      <c r="I2378" s="60">
        <f>IF(ORCAMENTOS!J2386="","",ORCAMENTOS!J2386)</f>
        <v>7.0000000000000007E-2</v>
      </c>
      <c r="J2378" s="40" t="str">
        <f>IF(ORCAMENTOS!L2386="","",ORCAMENTOS!L2386)</f>
        <v>CANCELADO</v>
      </c>
      <c r="K2378" s="34" t="str">
        <f>IF(ORCAMENTOS!M2386="","",ORCAMENTOS!M2386)</f>
        <v>-</v>
      </c>
      <c r="L2378" t="str">
        <f>IF(ORCAMENTOS!R2386="","",ORCAMENTOS!R2386)</f>
        <v>-</v>
      </c>
    </row>
    <row r="2379" spans="1:12" ht="15.75" hidden="1" customHeight="1" x14ac:dyDescent="0.25">
      <c r="A2379" s="36">
        <f>IF(ORCAMENTOS!A2387="","",ORCAMENTOS!A2387)</f>
        <v>46057</v>
      </c>
      <c r="B2379" s="46">
        <f>IF(ORCAMENTOS!B2387="","",ORCAMENTOS!B2387)</f>
        <v>202</v>
      </c>
      <c r="C2379" s="46" t="str">
        <f>IF(ORCAMENTOS!C2387="","",ORCAMENTOS!C2387)</f>
        <v/>
      </c>
      <c r="D2379" s="37" t="str">
        <f>IF(ORCAMENTOS!D2387="","",ORCAMENTOS!D2387)</f>
        <v>TONE CONSTRUCOES</v>
      </c>
      <c r="E2379" s="38" t="str">
        <f>IF(ORCAMENTOS!E2387="","",ORCAMENTOS!E2387)</f>
        <v>BB Ponte Pequena</v>
      </c>
      <c r="F2379" s="37" t="str">
        <f>IF(ORCAMENTOS!G2387="","",ORCAMENTOS!G2387)</f>
        <v>Gabriel</v>
      </c>
      <c r="G2379" s="37" t="str">
        <f>IF(ORCAMENTOS!H2387="","",ORCAMENTOS!H2387)</f>
        <v>Mauricio</v>
      </c>
      <c r="H2379" s="39">
        <f>IF(ORCAMENTOS!I2387="","",ORCAMENTOS!I2387)</f>
        <v>24118.5</v>
      </c>
      <c r="I2379" s="60">
        <f>IF(ORCAMENTOS!J2387="","",ORCAMENTOS!J2387)</f>
        <v>0.04</v>
      </c>
      <c r="J2379" s="40" t="str">
        <f>IF(ORCAMENTOS!L2387="","",ORCAMENTOS!L2387)</f>
        <v>FECHADO</v>
      </c>
      <c r="K2379" s="34" t="str">
        <f>IF(ORCAMENTOS!M2387="","",ORCAMENTOS!M2387)</f>
        <v>-</v>
      </c>
      <c r="L2379" t="str">
        <f>IF(ORCAMENTOS!R2387="","",ORCAMENTOS!R2387)</f>
        <v>-</v>
      </c>
    </row>
    <row r="2380" spans="1:12" ht="15.75" hidden="1" customHeight="1" x14ac:dyDescent="0.25">
      <c r="A2380" s="36">
        <f>IF(ORCAMENTOS!A2388="","",ORCAMENTOS!A2388)</f>
        <v>46057</v>
      </c>
      <c r="B2380" s="46">
        <f>IF(ORCAMENTOS!B2388="","",ORCAMENTOS!B2388)</f>
        <v>203</v>
      </c>
      <c r="C2380" s="46" t="str">
        <f>IF(ORCAMENTOS!C2388="","",ORCAMENTOS!C2388)</f>
        <v/>
      </c>
      <c r="D2380" s="37" t="str">
        <f>IF(ORCAMENTOS!D2388="","",ORCAMENTOS!D2388)</f>
        <v>SANTA CASA SOROCABA</v>
      </c>
      <c r="E2380" s="38" t="str">
        <f>IF(ORCAMENTOS!E2388="","",ORCAMENTOS!E2388)</f>
        <v>SAO CAMILO - TERREO FRONTAL</v>
      </c>
      <c r="F2380" s="37" t="str">
        <f>IF(ORCAMENTOS!G2388="","",ORCAMENTOS!G2388)</f>
        <v>Gabriel</v>
      </c>
      <c r="G2380" s="37" t="str">
        <f>IF(ORCAMENTOS!H2388="","",ORCAMENTOS!H2388)</f>
        <v>Daniel</v>
      </c>
      <c r="H2380" s="39">
        <f>IF(ORCAMENTOS!I2388="","",ORCAMENTOS!I2388)</f>
        <v>60353.22</v>
      </c>
      <c r="I2380" s="60">
        <f>IF(ORCAMENTOS!J2388="","",ORCAMENTOS!J2388)</f>
        <v>7.0000000000000007E-2</v>
      </c>
      <c r="J2380" s="40" t="str">
        <f>IF(ORCAMENTOS!L2388="","",ORCAMENTOS!L2388)</f>
        <v>CANCELADO</v>
      </c>
      <c r="K2380" s="34" t="str">
        <f>IF(ORCAMENTOS!M2388="","",ORCAMENTOS!M2388)</f>
        <v>-</v>
      </c>
      <c r="L2380" t="str">
        <f>IF(ORCAMENTOS!R2388="","",ORCAMENTOS!R2388)</f>
        <v>-</v>
      </c>
    </row>
    <row r="2381" spans="1:12" ht="15.75" hidden="1" customHeight="1" x14ac:dyDescent="0.25">
      <c r="A2381" s="36">
        <f>IF(ORCAMENTOS!A2389="","",ORCAMENTOS!A2389)</f>
        <v>46057</v>
      </c>
      <c r="B2381" s="46">
        <f>IF(ORCAMENTOS!B2389="","",ORCAMENTOS!B2389)</f>
        <v>204</v>
      </c>
      <c r="C2381" s="46" t="str">
        <f>IF(ORCAMENTOS!C2389="","",ORCAMENTOS!C2389)</f>
        <v/>
      </c>
      <c r="D2381" s="37" t="str">
        <f>IF(ORCAMENTOS!D2389="","",ORCAMENTOS!D2389)</f>
        <v>HERSA</v>
      </c>
      <c r="E2381" s="38" t="str">
        <f>IF(ORCAMENTOS!E2389="","",ORCAMENTOS!E2389)</f>
        <v>RETROFIT PSA-PSI E RECEPÇÃO INFANTIL – HOSPOTAL ALVORADA - MOEMA</v>
      </c>
      <c r="F2381" s="37" t="str">
        <f>IF(ORCAMENTOS!G2389="","",ORCAMENTOS!G2389)</f>
        <v>Michel</v>
      </c>
      <c r="G2381" s="37" t="str">
        <f>IF(ORCAMENTOS!H2389="","",ORCAMENTOS!H2389)</f>
        <v>David</v>
      </c>
      <c r="H2381" s="39">
        <f>IF(ORCAMENTOS!I2389="","",ORCAMENTOS!I2389)</f>
        <v>34843.089999999997</v>
      </c>
      <c r="I2381" s="60">
        <f>IF(ORCAMENTOS!J2389="","",ORCAMENTOS!J2389)</f>
        <v>7.0000000000000007E-2</v>
      </c>
      <c r="J2381" s="40" t="str">
        <f>IF(ORCAMENTOS!L2389="","",ORCAMENTOS!L2389)</f>
        <v>ORCAMENTO</v>
      </c>
      <c r="K2381" s="34" t="str">
        <f>IF(ORCAMENTOS!M2389="","",ORCAMENTOS!M2389)</f>
        <v>-</v>
      </c>
      <c r="L2381" t="str">
        <f>IF(ORCAMENTOS!R2389="","",ORCAMENTOS!R2389)</f>
        <v>-</v>
      </c>
    </row>
    <row r="2382" spans="1:12" ht="15.75" hidden="1" customHeight="1" x14ac:dyDescent="0.25">
      <c r="A2382" s="36">
        <f>IF(ORCAMENTOS!A2390="","",ORCAMENTOS!A2390)</f>
        <v>46057</v>
      </c>
      <c r="B2382" s="46">
        <f>IF(ORCAMENTOS!B2390="","",ORCAMENTOS!B2390)</f>
        <v>205</v>
      </c>
      <c r="C2382" s="46" t="str">
        <f>IF(ORCAMENTOS!C2390="","",ORCAMENTOS!C2390)</f>
        <v/>
      </c>
      <c r="D2382" s="37" t="str">
        <f>IF(ORCAMENTOS!D2390="","",ORCAMENTOS!D2390)</f>
        <v>NEWSET</v>
      </c>
      <c r="E2382" s="38" t="str">
        <f>IF(ORCAMENTOS!E2390="","",ORCAMENTOS!E2390)</f>
        <v>-</v>
      </c>
      <c r="F2382" s="37" t="str">
        <f>IF(ORCAMENTOS!G2390="","",ORCAMENTOS!G2390)</f>
        <v xml:space="preserve">Aldavir </v>
      </c>
      <c r="G2382" s="37" t="str">
        <f>IF(ORCAMENTOS!H2390="","",ORCAMENTOS!H2390)</f>
        <v>-</v>
      </c>
      <c r="H2382" s="39" t="str">
        <f>IF(ORCAMENTOS!I2390="","",ORCAMENTOS!I2390)</f>
        <v>-</v>
      </c>
      <c r="I2382" s="60" t="str">
        <f>IF(ORCAMENTOS!J2390="","",ORCAMENTOS!J2390)</f>
        <v>-</v>
      </c>
      <c r="J2382" s="40" t="str">
        <f>IF(ORCAMENTOS!L2390="","",ORCAMENTOS!L2390)</f>
        <v>CANCELADO</v>
      </c>
      <c r="K2382" s="34" t="str">
        <f>IF(ORCAMENTOS!M2390="","",ORCAMENTOS!M2390)</f>
        <v>-</v>
      </c>
      <c r="L2382" t="str">
        <f>IF(ORCAMENTOS!R2390="","",ORCAMENTOS!R2390)</f>
        <v>-</v>
      </c>
    </row>
    <row r="2383" spans="1:12" ht="15.75" hidden="1" customHeight="1" x14ac:dyDescent="0.25">
      <c r="A2383" s="36">
        <f>IF(ORCAMENTOS!A2391="","",ORCAMENTOS!A2391)</f>
        <v>46057</v>
      </c>
      <c r="B2383" s="46">
        <f>IF(ORCAMENTOS!B2391="","",ORCAMENTOS!B2391)</f>
        <v>206</v>
      </c>
      <c r="C2383" s="46" t="str">
        <f>IF(ORCAMENTOS!C2391="","",ORCAMENTOS!C2391)</f>
        <v/>
      </c>
      <c r="D2383" s="37" t="str">
        <f>IF(ORCAMENTOS!D2391="","",ORCAMENTOS!D2391)</f>
        <v>NEWSET</v>
      </c>
      <c r="E2383" s="38" t="str">
        <f>IF(ORCAMENTOS!E2391="","",ORCAMENTOS!E2391)</f>
        <v xml:space="preserve">NSP.155E.25 - ALOJAMENTO MACEIO </v>
      </c>
      <c r="F2383" s="37" t="str">
        <f>IF(ORCAMENTOS!G2391="","",ORCAMENTOS!G2391)</f>
        <v xml:space="preserve">Aldavir </v>
      </c>
      <c r="G2383" s="37" t="str">
        <f>IF(ORCAMENTOS!H2391="","",ORCAMENTOS!H2391)</f>
        <v>Rodrigo</v>
      </c>
      <c r="H2383" s="39">
        <f>IF(ORCAMENTOS!I2391="","",ORCAMENTOS!I2391)</f>
        <v>138899.32999999999</v>
      </c>
      <c r="I2383" s="60">
        <f>IF(ORCAMENTOS!J2391="","",ORCAMENTOS!J2391)</f>
        <v>7.0000000000000007E-2</v>
      </c>
      <c r="J2383" s="40" t="str">
        <f>IF(ORCAMENTOS!L2391="","",ORCAMENTOS!L2391)</f>
        <v>ORCAMENTO</v>
      </c>
      <c r="K2383" s="34" t="str">
        <f>IF(ORCAMENTOS!M2391="","",ORCAMENTOS!M2391)</f>
        <v>-</v>
      </c>
      <c r="L2383" t="str">
        <f>IF(ORCAMENTOS!R2391="","",ORCAMENTOS!R2391)</f>
        <v>-</v>
      </c>
    </row>
    <row r="2384" spans="1:12" ht="15.75" hidden="1" customHeight="1" x14ac:dyDescent="0.25">
      <c r="A2384" s="36">
        <f>IF(ORCAMENTOS!A2392="","",ORCAMENTOS!A2392)</f>
        <v>46057</v>
      </c>
      <c r="B2384" s="46">
        <f>IF(ORCAMENTOS!B2392="","",ORCAMENTOS!B2392)</f>
        <v>207</v>
      </c>
      <c r="C2384" s="46" t="str">
        <f>IF(ORCAMENTOS!C2392="","",ORCAMENTOS!C2392)</f>
        <v/>
      </c>
      <c r="D2384" s="37" t="str">
        <f>IF(ORCAMENTOS!D2392="","",ORCAMENTOS!D2392)</f>
        <v>ADRIATIC</v>
      </c>
      <c r="E2384" s="38" t="str">
        <f>IF(ORCAMENTOS!E2392="","",ORCAMENTOS!E2392)</f>
        <v>C&amp;A - MAXI SHOPPING JUNDIAI - SP</v>
      </c>
      <c r="F2384" s="37" t="str">
        <f>IF(ORCAMENTOS!G2392="","",ORCAMENTOS!G2392)</f>
        <v>Emanuel</v>
      </c>
      <c r="G2384" s="37" t="str">
        <f>IF(ORCAMENTOS!H2392="","",ORCAMENTOS!H2392)</f>
        <v>Renato</v>
      </c>
      <c r="H2384" s="39">
        <f>IF(ORCAMENTOS!I2392="","",ORCAMENTOS!I2392)</f>
        <v>78710.899999999994</v>
      </c>
      <c r="I2384" s="60">
        <f>IF(ORCAMENTOS!J2392="","",ORCAMENTOS!J2392)</f>
        <v>0.05</v>
      </c>
      <c r="J2384" s="40" t="str">
        <f>IF(ORCAMENTOS!L2392="","",ORCAMENTOS!L2392)</f>
        <v>FECHADO</v>
      </c>
      <c r="K2384" s="34" t="str">
        <f>IF(ORCAMENTOS!M2392="","",ORCAMENTOS!M2392)</f>
        <v>-</v>
      </c>
      <c r="L2384" t="str">
        <f>IF(ORCAMENTOS!R2392="","",ORCAMENTOS!R2392)</f>
        <v>MPU</v>
      </c>
    </row>
    <row r="2385" spans="1:12" ht="15.75" hidden="1" customHeight="1" x14ac:dyDescent="0.25">
      <c r="A2385" s="36">
        <f>IF(ORCAMENTOS!A2393="","",ORCAMENTOS!A2393)</f>
        <v>46058</v>
      </c>
      <c r="B2385" s="46">
        <f>IF(ORCAMENTOS!B2393="","",ORCAMENTOS!B2393)</f>
        <v>208</v>
      </c>
      <c r="C2385" s="46" t="str">
        <f>IF(ORCAMENTOS!C2393="","",ORCAMENTOS!C2393)</f>
        <v/>
      </c>
      <c r="D2385" s="37" t="str">
        <f>IF(ORCAMENTOS!D2393="","",ORCAMENTOS!D2393)</f>
        <v>EKO CLIMAX</v>
      </c>
      <c r="E2385" s="38" t="str">
        <f>IF(ORCAMENTOS!E2393="","",ORCAMENTOS!E2393)</f>
        <v>-</v>
      </c>
      <c r="F2385" s="37" t="str">
        <f>IF(ORCAMENTOS!G2393="","",ORCAMENTOS!G2393)</f>
        <v>Michel</v>
      </c>
      <c r="G2385" s="37" t="str">
        <f>IF(ORCAMENTOS!H2393="","",ORCAMENTOS!H2393)</f>
        <v>Rogerio</v>
      </c>
      <c r="H2385" s="39">
        <f>IF(ORCAMENTOS!I2393="","",ORCAMENTOS!I2393)</f>
        <v>10477.09</v>
      </c>
      <c r="I2385" s="60">
        <f>IF(ORCAMENTOS!J2393="","",ORCAMENTOS!J2393)</f>
        <v>0.06</v>
      </c>
      <c r="J2385" s="40" t="str">
        <f>IF(ORCAMENTOS!L2393="","",ORCAMENTOS!L2393)</f>
        <v>FECHADO</v>
      </c>
      <c r="K2385" s="34" t="str">
        <f>IF(ORCAMENTOS!M2393="","",ORCAMENTOS!M2393)</f>
        <v>-</v>
      </c>
      <c r="L2385" t="str">
        <f>IF(ORCAMENTOS!R2393="","",ORCAMENTOS!R2393)</f>
        <v>-</v>
      </c>
    </row>
    <row r="2386" spans="1:12" ht="15.75" hidden="1" customHeight="1" x14ac:dyDescent="0.25">
      <c r="A2386" s="36">
        <f>IF(ORCAMENTOS!A2394="","",ORCAMENTOS!A2394)</f>
        <v>46058</v>
      </c>
      <c r="B2386" s="46">
        <f>IF(ORCAMENTOS!B2394="","",ORCAMENTOS!B2394)</f>
        <v>209</v>
      </c>
      <c r="C2386" s="46" t="str">
        <f>IF(ORCAMENTOS!C2394="","",ORCAMENTOS!C2394)</f>
        <v/>
      </c>
      <c r="D2386" s="37" t="str">
        <f>IF(ORCAMENTOS!D2394="","",ORCAMENTOS!D2394)</f>
        <v>LKT AR CONDICIONADO</v>
      </c>
      <c r="E2386" s="38" t="str">
        <f>IF(ORCAMENTOS!E2394="","",ORCAMENTOS!E2394)</f>
        <v>GM - SJC</v>
      </c>
      <c r="F2386" s="37" t="str">
        <f>IF(ORCAMENTOS!G2394="","",ORCAMENTOS!G2394)</f>
        <v>Fernando</v>
      </c>
      <c r="G2386" s="37" t="str">
        <f>IF(ORCAMENTOS!H2394="","",ORCAMENTOS!H2394)</f>
        <v>Gabriel</v>
      </c>
      <c r="H2386" s="39">
        <f>IF(ORCAMENTOS!I2394="","",ORCAMENTOS!I2394)</f>
        <v>162702.35</v>
      </c>
      <c r="I2386" s="60">
        <f>IF(ORCAMENTOS!J2394="","",ORCAMENTOS!J2394)</f>
        <v>7.0000000000000007E-2</v>
      </c>
      <c r="J2386" s="40" t="str">
        <f>IF(ORCAMENTOS!L2394="","",ORCAMENTOS!L2394)</f>
        <v>CANCELADO</v>
      </c>
      <c r="K2386" s="34" t="str">
        <f>IF(ORCAMENTOS!M2394="","",ORCAMENTOS!M2394)</f>
        <v>PREV. MARÇO</v>
      </c>
      <c r="L2386" t="str">
        <f>IF(ORCAMENTOS!R2394="","",ORCAMENTOS!R2394)</f>
        <v>-</v>
      </c>
    </row>
    <row r="2387" spans="1:12" ht="15.75" hidden="1" customHeight="1" x14ac:dyDescent="0.25">
      <c r="A2387" s="36">
        <f>IF(ORCAMENTOS!A2395="","",ORCAMENTOS!A2395)</f>
        <v>46058</v>
      </c>
      <c r="B2387" s="46">
        <f>IF(ORCAMENTOS!B2395="","",ORCAMENTOS!B2395)</f>
        <v>210</v>
      </c>
      <c r="C2387" s="46" t="str">
        <f>IF(ORCAMENTOS!C2395="","",ORCAMENTOS!C2395)</f>
        <v/>
      </c>
      <c r="D2387" s="37" t="str">
        <f>IF(ORCAMENTOS!D2395="","",ORCAMENTOS!D2395)</f>
        <v>AIR NET</v>
      </c>
      <c r="E2387" s="38" t="str">
        <f>IF(ORCAMENTOS!E2395="","",ORCAMENTOS!E2395)</f>
        <v>TAUSTE SUPERMERCADOS - LOJA SANTANA - SP</v>
      </c>
      <c r="F2387" s="37" t="str">
        <f>IF(ORCAMENTOS!G2395="","",ORCAMENTOS!G2395)</f>
        <v>Fernando</v>
      </c>
      <c r="G2387" s="37" t="str">
        <f>IF(ORCAMENTOS!H2395="","",ORCAMENTOS!H2395)</f>
        <v>Domicio</v>
      </c>
      <c r="H2387" s="39">
        <f>IF(ORCAMENTOS!I2395="","",ORCAMENTOS!I2395)</f>
        <v>502374.06</v>
      </c>
      <c r="I2387" s="60">
        <f>IF(ORCAMENTOS!J2395="","",ORCAMENTOS!J2395)</f>
        <v>7.0000000000000007E-2</v>
      </c>
      <c r="J2387" s="40" t="str">
        <f>IF(ORCAMENTOS!L2395="","",ORCAMENTOS!L2395)</f>
        <v>CANCELADO</v>
      </c>
      <c r="K2387" s="34" t="str">
        <f>IF(ORCAMENTOS!M2395="","",ORCAMENTOS!M2395)</f>
        <v>PREV. ABRIL</v>
      </c>
      <c r="L2387" t="str">
        <f>IF(ORCAMENTOS!R2395="","",ORCAMENTOS!R2395)</f>
        <v>-</v>
      </c>
    </row>
    <row r="2388" spans="1:12" ht="15.75" hidden="1" customHeight="1" x14ac:dyDescent="0.25">
      <c r="A2388" s="36">
        <f>IF(ORCAMENTOS!A2396="","",ORCAMENTOS!A2396)</f>
        <v>46063</v>
      </c>
      <c r="B2388" s="46">
        <f>IF(ORCAMENTOS!B2396="","",ORCAMENTOS!B2396)</f>
        <v>211</v>
      </c>
      <c r="C2388" s="46" t="str">
        <f>IF(ORCAMENTOS!C2396="","",ORCAMENTOS!C2396)</f>
        <v>R1</v>
      </c>
      <c r="D2388" s="37" t="str">
        <f>IF(ORCAMENTOS!D2396="","",ORCAMENTOS!D2396)</f>
        <v>A2 SERVICOS</v>
      </c>
      <c r="E2388" s="38" t="str">
        <f>IF(ORCAMENTOS!E2396="","",ORCAMENTOS!E2396)</f>
        <v>HAPVIDA - TEA SÃO VICENTE - SP</v>
      </c>
      <c r="F2388" s="37" t="str">
        <f>IF(ORCAMENTOS!G2396="","",ORCAMENTOS!G2396)</f>
        <v>Gabriel</v>
      </c>
      <c r="G2388" s="37" t="str">
        <f>IF(ORCAMENTOS!H2396="","",ORCAMENTOS!H2396)</f>
        <v>Ronilson</v>
      </c>
      <c r="H2388" s="39">
        <f>IF(ORCAMENTOS!I2396="","",ORCAMENTOS!I2396)</f>
        <v>12314.78</v>
      </c>
      <c r="I2388" s="60">
        <f>IF(ORCAMENTOS!J2396="","",ORCAMENTOS!J2396)</f>
        <v>7.0000000000000007E-2</v>
      </c>
      <c r="J2388" s="40" t="str">
        <f>IF(ORCAMENTOS!L2396="","",ORCAMENTOS!L2396)</f>
        <v>FECHADO</v>
      </c>
      <c r="K2388" s="34" t="str">
        <f>IF(ORCAMENTOS!M2396="","",ORCAMENTOS!M2396)</f>
        <v>-</v>
      </c>
      <c r="L2388" t="str">
        <f>IF(ORCAMENTOS!R2396="","",ORCAMENTOS!R2396)</f>
        <v>-</v>
      </c>
    </row>
    <row r="2389" spans="1:12" ht="15.75" hidden="1" customHeight="1" x14ac:dyDescent="0.25">
      <c r="A2389" s="36">
        <f>IF(ORCAMENTOS!A2397="","",ORCAMENTOS!A2397)</f>
        <v>46063</v>
      </c>
      <c r="B2389" s="46">
        <f>IF(ORCAMENTOS!B2397="","",ORCAMENTOS!B2397)</f>
        <v>212</v>
      </c>
      <c r="C2389" s="46" t="str">
        <f>IF(ORCAMENTOS!C2397="","",ORCAMENTOS!C2397)</f>
        <v>R1</v>
      </c>
      <c r="D2389" s="37" t="str">
        <f>IF(ORCAMENTOS!D2397="","",ORCAMENTOS!D2397)</f>
        <v>A2 SERVICOS</v>
      </c>
      <c r="E2389" s="38" t="str">
        <f>IF(ORCAMENTOS!E2397="","",ORCAMENTOS!E2397)</f>
        <v>HAPVIDA - NOVA CLINICA - SANTOS - SP</v>
      </c>
      <c r="F2389" s="37" t="str">
        <f>IF(ORCAMENTOS!G2397="","",ORCAMENTOS!G2397)</f>
        <v>Gabriel</v>
      </c>
      <c r="G2389" s="37" t="str">
        <f>IF(ORCAMENTOS!H2397="","",ORCAMENTOS!H2397)</f>
        <v>Ronilson</v>
      </c>
      <c r="H2389" s="39">
        <f>IF(ORCAMENTOS!I2397="","",ORCAMENTOS!I2397)</f>
        <v>17751.07</v>
      </c>
      <c r="I2389" s="60">
        <f>IF(ORCAMENTOS!J2397="","",ORCAMENTOS!J2397)</f>
        <v>7.0000000000000007E-2</v>
      </c>
      <c r="J2389" s="40" t="str">
        <f>IF(ORCAMENTOS!L2397="","",ORCAMENTOS!L2397)</f>
        <v>FECHADO</v>
      </c>
      <c r="K2389" s="34" t="str">
        <f>IF(ORCAMENTOS!M2397="","",ORCAMENTOS!M2397)</f>
        <v>-</v>
      </c>
      <c r="L2389" t="str">
        <f>IF(ORCAMENTOS!R2397="","",ORCAMENTOS!R2397)</f>
        <v>-</v>
      </c>
    </row>
    <row r="2390" spans="1:12" ht="15.75" hidden="1" customHeight="1" x14ac:dyDescent="0.25">
      <c r="A2390" s="36">
        <f>IF(ORCAMENTOS!A2398="","",ORCAMENTOS!A2398)</f>
        <v>46058</v>
      </c>
      <c r="B2390" s="46">
        <f>IF(ORCAMENTOS!B2398="","",ORCAMENTOS!B2398)</f>
        <v>213</v>
      </c>
      <c r="C2390" s="46" t="str">
        <f>IF(ORCAMENTOS!C2398="","",ORCAMENTOS!C2398)</f>
        <v/>
      </c>
      <c r="D2390" s="37" t="str">
        <f>IF(ORCAMENTOS!D2398="","",ORCAMENTOS!D2398)</f>
        <v>SERTTA CLIMATIZACAO</v>
      </c>
      <c r="E2390" s="38" t="str">
        <f>IF(ORCAMENTOS!E2398="","",ORCAMENTOS!E2398)</f>
        <v>Ancora - Canpack-MG</v>
      </c>
      <c r="F2390" s="37" t="str">
        <f>IF(ORCAMENTOS!G2398="","",ORCAMENTOS!G2398)</f>
        <v>Emanuel</v>
      </c>
      <c r="G2390" s="37" t="str">
        <f>IF(ORCAMENTOS!H2398="","",ORCAMENTOS!H2398)</f>
        <v>Liliane</v>
      </c>
      <c r="H2390" s="39">
        <f>IF(ORCAMENTOS!I2398="","",ORCAMENTOS!I2398)</f>
        <v>533456.82999999996</v>
      </c>
      <c r="I2390" s="60">
        <f>IF(ORCAMENTOS!J2398="","",ORCAMENTOS!J2398)</f>
        <v>0.05</v>
      </c>
      <c r="J2390" s="40" t="str">
        <f>IF(ORCAMENTOS!L2398="","",ORCAMENTOS!L2398)</f>
        <v>CANCELADO</v>
      </c>
      <c r="K2390" s="34" t="str">
        <f>IF(ORCAMENTOS!M2398="","",ORCAMENTOS!M2398)</f>
        <v>-</v>
      </c>
      <c r="L2390" t="str">
        <f>IF(ORCAMENTOS!R2398="","",ORCAMENTOS!R2398)</f>
        <v>-</v>
      </c>
    </row>
    <row r="2391" spans="1:12" ht="15.75" hidden="1" customHeight="1" x14ac:dyDescent="0.25">
      <c r="A2391" s="36">
        <f>IF(ORCAMENTOS!A2399="","",ORCAMENTOS!A2399)</f>
        <v>46059</v>
      </c>
      <c r="B2391" s="46">
        <f>IF(ORCAMENTOS!B2399="","",ORCAMENTOS!B2399)</f>
        <v>214</v>
      </c>
      <c r="C2391" s="46" t="str">
        <f>IF(ORCAMENTOS!C2399="","",ORCAMENTOS!C2399)</f>
        <v/>
      </c>
      <c r="D2391" s="37" t="str">
        <f>IF(ORCAMENTOS!D2399="","",ORCAMENTOS!D2399)</f>
        <v>AMS INSTALACOES</v>
      </c>
      <c r="E2391" s="38" t="str">
        <f>IF(ORCAMENTOS!E2399="","",ORCAMENTOS!E2399)</f>
        <v>LOJA NIKE - BH</v>
      </c>
      <c r="F2391" s="37" t="str">
        <f>IF(ORCAMENTOS!G2399="","",ORCAMENTOS!G2399)</f>
        <v>Gabriel</v>
      </c>
      <c r="G2391" s="37" t="str">
        <f>IF(ORCAMENTOS!H2399="","",ORCAMENTOS!H2399)</f>
        <v>Anderson</v>
      </c>
      <c r="H2391" s="39">
        <f>IF(ORCAMENTOS!I2399="","",ORCAMENTOS!I2399)</f>
        <v>30458.94</v>
      </c>
      <c r="I2391" s="60">
        <f>IF(ORCAMENTOS!J2399="","",ORCAMENTOS!J2399)</f>
        <v>7.0000000000000007E-2</v>
      </c>
      <c r="J2391" s="40" t="str">
        <f>IF(ORCAMENTOS!L2399="","",ORCAMENTOS!L2399)</f>
        <v>CANCELADO</v>
      </c>
      <c r="K2391" s="34" t="str">
        <f>IF(ORCAMENTOS!M2399="","",ORCAMENTOS!M2399)</f>
        <v>-</v>
      </c>
      <c r="L2391" t="str">
        <f>IF(ORCAMENTOS!R2399="","",ORCAMENTOS!R2399)</f>
        <v>-</v>
      </c>
    </row>
    <row r="2392" spans="1:12" ht="15.75" hidden="1" customHeight="1" x14ac:dyDescent="0.25">
      <c r="A2392" s="36">
        <f>IF(ORCAMENTOS!A2400="","",ORCAMENTOS!A2400)</f>
        <v>46059</v>
      </c>
      <c r="B2392" s="46">
        <f>IF(ORCAMENTOS!B2400="","",ORCAMENTOS!B2400)</f>
        <v>215</v>
      </c>
      <c r="C2392" s="46" t="str">
        <f>IF(ORCAMENTOS!C2400="","",ORCAMENTOS!C2400)</f>
        <v/>
      </c>
      <c r="D2392" s="37" t="str">
        <f>IF(ORCAMENTOS!D2400="","",ORCAMENTOS!D2400)</f>
        <v>MARTINS REFRIGERACAO</v>
      </c>
      <c r="E2392" s="38" t="str">
        <f>IF(ORCAMENTOS!E2400="","",ORCAMENTOS!E2400)</f>
        <v>-</v>
      </c>
      <c r="F2392" s="37" t="str">
        <f>IF(ORCAMENTOS!G2400="","",ORCAMENTOS!G2400)</f>
        <v>Gabriel</v>
      </c>
      <c r="G2392" s="37" t="str">
        <f>IF(ORCAMENTOS!H2400="","",ORCAMENTOS!H2400)</f>
        <v>Jefferson</v>
      </c>
      <c r="H2392" s="39">
        <f>IF(ORCAMENTOS!I2400="","",ORCAMENTOS!I2400)</f>
        <v>6536.74</v>
      </c>
      <c r="I2392" s="60">
        <f>IF(ORCAMENTOS!J2400="","",ORCAMENTOS!J2400)</f>
        <v>7.0000000000000007E-2</v>
      </c>
      <c r="J2392" s="40" t="str">
        <f>IF(ORCAMENTOS!L2400="","",ORCAMENTOS!L2400)</f>
        <v>CANCELADO</v>
      </c>
      <c r="K2392" s="34" t="str">
        <f>IF(ORCAMENTOS!M2400="","",ORCAMENTOS!M2400)</f>
        <v>-</v>
      </c>
      <c r="L2392" t="str">
        <f>IF(ORCAMENTOS!R2400="","",ORCAMENTOS!R2400)</f>
        <v>-</v>
      </c>
    </row>
    <row r="2393" spans="1:12" ht="15.75" hidden="1" customHeight="1" x14ac:dyDescent="0.25">
      <c r="A2393" s="36">
        <f>IF(ORCAMENTOS!A2401="","",ORCAMENTOS!A2401)</f>
        <v>46066</v>
      </c>
      <c r="B2393" s="46">
        <f>IF(ORCAMENTOS!B2401="","",ORCAMENTOS!B2401)</f>
        <v>216</v>
      </c>
      <c r="C2393" s="46" t="str">
        <f>IF(ORCAMENTOS!C2401="","",ORCAMENTOS!C2401)</f>
        <v/>
      </c>
      <c r="D2393" s="37" t="str">
        <f>IF(ORCAMENTOS!D2401="","",ORCAMENTOS!D2401)</f>
        <v>ASF SERVICOS</v>
      </c>
      <c r="E2393" s="38" t="str">
        <f>IF(ORCAMENTOS!E2401="","",ORCAMENTOS!E2401)</f>
        <v>ATAC - VILA MARIA</v>
      </c>
      <c r="F2393" s="37" t="str">
        <f>IF(ORCAMENTOS!G2401="","",ORCAMENTOS!G2401)</f>
        <v>Fernando</v>
      </c>
      <c r="G2393" s="37" t="str">
        <f>IF(ORCAMENTOS!H2401="","",ORCAMENTOS!H2401)</f>
        <v>Andre</v>
      </c>
      <c r="H2393" s="39">
        <f>IF(ORCAMENTOS!I2401="","",ORCAMENTOS!I2401)</f>
        <v>79699.25</v>
      </c>
      <c r="I2393" s="60">
        <f>IF(ORCAMENTOS!J2401="","",ORCAMENTOS!J2401)</f>
        <v>0.05</v>
      </c>
      <c r="J2393" s="40" t="str">
        <f>IF(ORCAMENTOS!L2401="","",ORCAMENTOS!L2401)</f>
        <v>CANCELADO</v>
      </c>
      <c r="K2393" s="34" t="str">
        <f>IF(ORCAMENTOS!M2401="","",ORCAMENTOS!M2401)</f>
        <v>OBRA DA AMS</v>
      </c>
      <c r="L2393" t="str">
        <f>IF(ORCAMENTOS!R2401="","",ORCAMENTOS!R2401)</f>
        <v>-</v>
      </c>
    </row>
    <row r="2394" spans="1:12" ht="15.75" hidden="1" customHeight="1" x14ac:dyDescent="0.25">
      <c r="A2394" s="36">
        <f>IF(ORCAMENTOS!A2402="","",ORCAMENTOS!A2402)</f>
        <v>46059</v>
      </c>
      <c r="B2394" s="46">
        <f>IF(ORCAMENTOS!B2402="","",ORCAMENTOS!B2402)</f>
        <v>217</v>
      </c>
      <c r="C2394" s="46" t="str">
        <f>IF(ORCAMENTOS!C2402="","",ORCAMENTOS!C2402)</f>
        <v/>
      </c>
      <c r="D2394" s="37" t="str">
        <f>IF(ORCAMENTOS!D2402="","",ORCAMENTOS!D2402)</f>
        <v>AIRLIX</v>
      </c>
      <c r="E2394" s="38" t="str">
        <f>IF(ORCAMENTOS!E2402="","",ORCAMENTOS!E2402)</f>
        <v>-</v>
      </c>
      <c r="F2394" s="37" t="str">
        <f>IF(ORCAMENTOS!G2402="","",ORCAMENTOS!G2402)</f>
        <v>Michel</v>
      </c>
      <c r="G2394" s="37" t="str">
        <f>IF(ORCAMENTOS!H2402="","",ORCAMENTOS!H2402)</f>
        <v>Victor</v>
      </c>
      <c r="H2394" s="39">
        <f>IF(ORCAMENTOS!I2402="","",ORCAMENTOS!I2402)</f>
        <v>4200</v>
      </c>
      <c r="I2394" s="60">
        <f>IF(ORCAMENTOS!J2402="","",ORCAMENTOS!J2402)</f>
        <v>7.0000000000000007E-2</v>
      </c>
      <c r="J2394" s="40" t="str">
        <f>IF(ORCAMENTOS!L2402="","",ORCAMENTOS!L2402)</f>
        <v>CANCELADO</v>
      </c>
      <c r="K2394" s="34" t="str">
        <f>IF(ORCAMENTOS!M2402="","",ORCAMENTOS!M2402)</f>
        <v>-</v>
      </c>
      <c r="L2394" t="str">
        <f>IF(ORCAMENTOS!R2402="","",ORCAMENTOS!R2402)</f>
        <v>-</v>
      </c>
    </row>
    <row r="2395" spans="1:12" ht="15.75" hidden="1" customHeight="1" x14ac:dyDescent="0.25">
      <c r="A2395" s="36">
        <f>IF(ORCAMENTOS!A2403="","",ORCAMENTOS!A2403)</f>
        <v>46059</v>
      </c>
      <c r="B2395" s="46">
        <f>IF(ORCAMENTOS!B2403="","",ORCAMENTOS!B2403)</f>
        <v>218</v>
      </c>
      <c r="C2395" s="46" t="str">
        <f>IF(ORCAMENTOS!C2403="","",ORCAMENTOS!C2403)</f>
        <v/>
      </c>
      <c r="D2395" s="37" t="str">
        <f>IF(ORCAMENTOS!D2403="","",ORCAMENTOS!D2403)</f>
        <v>NP CLIMATIZAÇÃO</v>
      </c>
      <c r="E2395" s="38" t="str">
        <f>IF(ORCAMENTOS!E2403="","",ORCAMENTOS!E2403)</f>
        <v>MARQUISE - PORTO FELIZ</v>
      </c>
      <c r="F2395" s="37" t="str">
        <f>IF(ORCAMENTOS!G2403="","",ORCAMENTOS!G2403)</f>
        <v>Guilherme</v>
      </c>
      <c r="G2395" s="37" t="str">
        <f>IF(ORCAMENTOS!H2403="","",ORCAMENTOS!H2403)</f>
        <v>Maria</v>
      </c>
      <c r="H2395" s="39">
        <f>IF(ORCAMENTOS!I2403="","",ORCAMENTOS!I2403)</f>
        <v>29075.52</v>
      </c>
      <c r="I2395" s="60">
        <f>IF(ORCAMENTOS!J2403="","",ORCAMENTOS!J2403)</f>
        <v>7.0000000000000007E-2</v>
      </c>
      <c r="J2395" s="40" t="str">
        <f>IF(ORCAMENTOS!L2403="","",ORCAMENTOS!L2403)</f>
        <v>ORCAMENTO</v>
      </c>
      <c r="K2395" s="34" t="str">
        <f>IF(ORCAMENTOS!M2403="","",ORCAMENTOS!M2403)</f>
        <v>-</v>
      </c>
      <c r="L2395" t="str">
        <f>IF(ORCAMENTOS!R2403="","",ORCAMENTOS!R2403)</f>
        <v>-</v>
      </c>
    </row>
    <row r="2396" spans="1:12" ht="15.75" hidden="1" customHeight="1" x14ac:dyDescent="0.25">
      <c r="A2396" s="36">
        <f>IF(ORCAMENTOS!A2404="","",ORCAMENTOS!A2404)</f>
        <v>46059</v>
      </c>
      <c r="B2396" s="46">
        <f>IF(ORCAMENTOS!B2404="","",ORCAMENTOS!B2404)</f>
        <v>219</v>
      </c>
      <c r="C2396" s="46" t="str">
        <f>IF(ORCAMENTOS!C2404="","",ORCAMENTOS!C2404)</f>
        <v/>
      </c>
      <c r="D2396" s="37" t="str">
        <f>IF(ORCAMENTOS!D2404="","",ORCAMENTOS!D2404)</f>
        <v>NP CLIMATIZAÇÃO</v>
      </c>
      <c r="E2396" s="38" t="str">
        <f>IF(ORCAMENTOS!E2404="","",ORCAMENTOS!E2404)</f>
        <v>PANORAMA - PORTO FELIZ</v>
      </c>
      <c r="F2396" s="37" t="str">
        <f>IF(ORCAMENTOS!G2404="","",ORCAMENTOS!G2404)</f>
        <v>Guilherme</v>
      </c>
      <c r="G2396" s="37" t="str">
        <f>IF(ORCAMENTOS!H2404="","",ORCAMENTOS!H2404)</f>
        <v>Maria</v>
      </c>
      <c r="H2396" s="39">
        <f>IF(ORCAMENTOS!I2404="","",ORCAMENTOS!I2404)</f>
        <v>28351.18</v>
      </c>
      <c r="I2396" s="60">
        <f>IF(ORCAMENTOS!J2404="","",ORCAMENTOS!J2404)</f>
        <v>7.0000000000000007E-2</v>
      </c>
      <c r="J2396" s="40" t="str">
        <f>IF(ORCAMENTOS!L2404="","",ORCAMENTOS!L2404)</f>
        <v>ORCAMENTO</v>
      </c>
      <c r="K2396" s="34" t="str">
        <f>IF(ORCAMENTOS!M2404="","",ORCAMENTOS!M2404)</f>
        <v>-</v>
      </c>
      <c r="L2396" t="str">
        <f>IF(ORCAMENTOS!R2404="","",ORCAMENTOS!R2404)</f>
        <v>-</v>
      </c>
    </row>
    <row r="2397" spans="1:12" ht="15.75" hidden="1" customHeight="1" x14ac:dyDescent="0.25">
      <c r="A2397" s="36">
        <f>IF(ORCAMENTOS!A2405="","",ORCAMENTOS!A2405)</f>
        <v>46059</v>
      </c>
      <c r="B2397" s="46">
        <f>IF(ORCAMENTOS!B2405="","",ORCAMENTOS!B2405)</f>
        <v>220</v>
      </c>
      <c r="C2397" s="46" t="str">
        <f>IF(ORCAMENTOS!C2405="","",ORCAMENTOS!C2405)</f>
        <v/>
      </c>
      <c r="D2397" s="37" t="str">
        <f>IF(ORCAMENTOS!D2405="","",ORCAMENTOS!D2405)</f>
        <v>YAMA ENGENHARIA</v>
      </c>
      <c r="E2397" s="38" t="str">
        <f>IF(ORCAMENTOS!E2405="","",ORCAMENTOS!E2405)</f>
        <v>RESIDENCIA UNIFAMILIAR - FABIO GOTTARDI - ARACATUBA - SP</v>
      </c>
      <c r="F2397" s="37" t="str">
        <f>IF(ORCAMENTOS!G2405="","",ORCAMENTOS!G2405)</f>
        <v>Gabriel</v>
      </c>
      <c r="G2397" s="37" t="str">
        <f>IF(ORCAMENTOS!H2405="","",ORCAMENTOS!H2405)</f>
        <v/>
      </c>
      <c r="H2397" s="39">
        <f>IF(ORCAMENTOS!I2405="","",ORCAMENTOS!I2405)</f>
        <v>3900</v>
      </c>
      <c r="I2397" s="60">
        <f>IF(ORCAMENTOS!J2405="","",ORCAMENTOS!J2405)</f>
        <v>7.0000000000000007E-2</v>
      </c>
      <c r="J2397" s="40" t="str">
        <f>IF(ORCAMENTOS!L2405="","",ORCAMENTOS!L2405)</f>
        <v>FECHADO</v>
      </c>
      <c r="K2397" s="34" t="str">
        <f>IF(ORCAMENTOS!M2405="","",ORCAMENTOS!M2405)</f>
        <v>-</v>
      </c>
      <c r="L2397" t="str">
        <f>IF(ORCAMENTOS!R2405="","",ORCAMENTOS!R2405)</f>
        <v>ACO GALVANIZADO</v>
      </c>
    </row>
    <row r="2398" spans="1:12" ht="15.75" hidden="1" customHeight="1" x14ac:dyDescent="0.25">
      <c r="A2398" s="36">
        <f>IF(ORCAMENTOS!A2406="","",ORCAMENTOS!A2406)</f>
        <v>46063</v>
      </c>
      <c r="B2398" s="46">
        <f>IF(ORCAMENTOS!B2406="","",ORCAMENTOS!B2406)</f>
        <v>221</v>
      </c>
      <c r="C2398" s="46" t="str">
        <f>IF(ORCAMENTOS!C2406="","",ORCAMENTOS!C2406)</f>
        <v>R1</v>
      </c>
      <c r="D2398" s="37" t="str">
        <f>IF(ORCAMENTOS!D2406="","",ORCAMENTOS!D2406)</f>
        <v>VELTTER ENGENHARIA</v>
      </c>
      <c r="E2398" s="38" t="str">
        <f>IF(ORCAMENTOS!E2406="","",ORCAMENTOS!E2406)</f>
        <v>PIB - SOROCABA - SP</v>
      </c>
      <c r="F2398" s="37" t="str">
        <f>IF(ORCAMENTOS!G2406="","",ORCAMENTOS!G2406)</f>
        <v>Gabriel</v>
      </c>
      <c r="G2398" s="37" t="str">
        <f>IF(ORCAMENTOS!H2406="","",ORCAMENTOS!H2406)</f>
        <v>Joao</v>
      </c>
      <c r="H2398" s="39">
        <f>IF(ORCAMENTOS!I2406="","",ORCAMENTOS!I2406)</f>
        <v>41780.71</v>
      </c>
      <c r="I2398" s="60">
        <f>IF(ORCAMENTOS!J2406="","",ORCAMENTOS!J2406)</f>
        <v>0.05</v>
      </c>
      <c r="J2398" s="40" t="str">
        <f>IF(ORCAMENTOS!L2406="","",ORCAMENTOS!L2406)</f>
        <v>FECHADO</v>
      </c>
      <c r="K2398" s="34" t="str">
        <f>IF(ORCAMENTOS!M2406="","",ORCAMENTOS!M2406)</f>
        <v>-</v>
      </c>
      <c r="L2398" t="str">
        <f>IF(ORCAMENTOS!R2406="","",ORCAMENTOS!R2406)</f>
        <v>MPU</v>
      </c>
    </row>
    <row r="2399" spans="1:12" ht="15.75" hidden="1" customHeight="1" x14ac:dyDescent="0.25">
      <c r="A2399" s="36">
        <f>IF(ORCAMENTOS!A2407="","",ORCAMENTOS!A2407)</f>
        <v>46062</v>
      </c>
      <c r="B2399" s="46">
        <f>IF(ORCAMENTOS!B2407="","",ORCAMENTOS!B2407)</f>
        <v>222</v>
      </c>
      <c r="C2399" s="46" t="str">
        <f>IF(ORCAMENTOS!C2407="","",ORCAMENTOS!C2407)</f>
        <v/>
      </c>
      <c r="D2399" s="37" t="str">
        <f>IF(ORCAMENTOS!D2407="","",ORCAMENTOS!D2407)</f>
        <v>CLIMAARC</v>
      </c>
      <c r="E2399" s="38" t="str">
        <f>IF(ORCAMENTOS!E2407="","",ORCAMENTOS!E2407)</f>
        <v>CNPEM - UHV - SIRIUS</v>
      </c>
      <c r="F2399" s="37" t="str">
        <f>IF(ORCAMENTOS!G2407="","",ORCAMENTOS!G2407)</f>
        <v xml:space="preserve">Aldavir </v>
      </c>
      <c r="G2399" s="37" t="str">
        <f>IF(ORCAMENTOS!H2407="","",ORCAMENTOS!H2407)</f>
        <v>Vilma</v>
      </c>
      <c r="H2399" s="39">
        <f>IF(ORCAMENTOS!I2407="","",ORCAMENTOS!I2407)</f>
        <v>10052.6</v>
      </c>
      <c r="I2399" s="60">
        <f>IF(ORCAMENTOS!J2407="","",ORCAMENTOS!J2407)</f>
        <v>7.0000000000000007E-2</v>
      </c>
      <c r="J2399" s="40" t="str">
        <f>IF(ORCAMENTOS!L2407="","",ORCAMENTOS!L2407)</f>
        <v>CANCELADO</v>
      </c>
      <c r="K2399" s="34" t="str">
        <f>IF(ORCAMENTOS!M2407="","",ORCAMENTOS!M2407)</f>
        <v>-</v>
      </c>
      <c r="L2399" t="str">
        <f>IF(ORCAMENTOS!R2407="","",ORCAMENTOS!R2407)</f>
        <v>MPU</v>
      </c>
    </row>
    <row r="2400" spans="1:12" ht="15.75" hidden="1" customHeight="1" x14ac:dyDescent="0.25">
      <c r="A2400" s="36">
        <f>IF(ORCAMENTOS!A2408="","",ORCAMENTOS!A2408)</f>
        <v>46062</v>
      </c>
      <c r="B2400" s="46">
        <f>IF(ORCAMENTOS!B2408="","",ORCAMENTOS!B2408)</f>
        <v>223</v>
      </c>
      <c r="C2400" s="46" t="str">
        <f>IF(ORCAMENTOS!C2408="","",ORCAMENTOS!C2408)</f>
        <v/>
      </c>
      <c r="D2400" s="37" t="str">
        <f>IF(ORCAMENTOS!D2408="","",ORCAMENTOS!D2408)</f>
        <v>LUFTKLIMA</v>
      </c>
      <c r="E2400" s="38" t="str">
        <f>IF(ORCAMENTOS!E2408="","",ORCAMENTOS!E2408)</f>
        <v>PHARLAB</v>
      </c>
      <c r="F2400" s="37" t="str">
        <f>IF(ORCAMENTOS!G2408="","",ORCAMENTOS!G2408)</f>
        <v>Fernando</v>
      </c>
      <c r="G2400" s="37" t="str">
        <f>IF(ORCAMENTOS!H2408="","",ORCAMENTOS!H2408)</f>
        <v>Soraya</v>
      </c>
      <c r="H2400" s="39">
        <f>IF(ORCAMENTOS!I2408="","",ORCAMENTOS!I2408)</f>
        <v>3958.93</v>
      </c>
      <c r="I2400" s="60">
        <f>IF(ORCAMENTOS!J2408="","",ORCAMENTOS!J2408)</f>
        <v>7.0000000000000007E-2</v>
      </c>
      <c r="J2400" s="40" t="str">
        <f>IF(ORCAMENTOS!L2408="","",ORCAMENTOS!L2408)</f>
        <v>CANCELADO</v>
      </c>
      <c r="K2400" s="34" t="str">
        <f>IF(ORCAMENTOS!M2408="","",ORCAMENTOS!M2408)</f>
        <v>-</v>
      </c>
      <c r="L2400" t="str">
        <f>IF(ORCAMENTOS!R2408="","",ORCAMENTOS!R2408)</f>
        <v>-</v>
      </c>
    </row>
    <row r="2401" spans="1:12" ht="15.75" hidden="1" customHeight="1" x14ac:dyDescent="0.25">
      <c r="A2401" s="36">
        <f>IF(ORCAMENTOS!A2409="","",ORCAMENTOS!A2409)</f>
        <v>46062</v>
      </c>
      <c r="B2401" s="46">
        <f>IF(ORCAMENTOS!B2409="","",ORCAMENTOS!B2409)</f>
        <v>224</v>
      </c>
      <c r="C2401" s="46" t="str">
        <f>IF(ORCAMENTOS!C2409="","",ORCAMENTOS!C2409)</f>
        <v/>
      </c>
      <c r="D2401" s="37" t="str">
        <f>IF(ORCAMENTOS!D2409="","",ORCAMENTOS!D2409)</f>
        <v>MIT TECH</v>
      </c>
      <c r="E2401" s="38" t="str">
        <f>IF(ORCAMENTOS!E2409="","",ORCAMENTOS!E2409)</f>
        <v>HOSPITAL NIPO BRASILEIRO - PARQUE NOVO MUNDO - SP</v>
      </c>
      <c r="F2401" s="37" t="str">
        <f>IF(ORCAMENTOS!G2409="","",ORCAMENTOS!G2409)</f>
        <v>Guilherme</v>
      </c>
      <c r="G2401" s="37" t="str">
        <f>IF(ORCAMENTOS!H2409="","",ORCAMENTOS!H2409)</f>
        <v>Vinicius</v>
      </c>
      <c r="H2401" s="39">
        <f>IF(ORCAMENTOS!I2409="","",ORCAMENTOS!I2409)</f>
        <v>104146.22</v>
      </c>
      <c r="I2401" s="60">
        <f>IF(ORCAMENTOS!J2409="","",ORCAMENTOS!J2409)</f>
        <v>7.0000000000000007E-2</v>
      </c>
      <c r="J2401" s="40" t="str">
        <f>IF(ORCAMENTOS!L2409="","",ORCAMENTOS!L2409)</f>
        <v>CANCELADO</v>
      </c>
      <c r="K2401" s="34" t="str">
        <f>IF(ORCAMENTOS!M2409="","",ORCAMENTOS!M2409)</f>
        <v>-</v>
      </c>
      <c r="L2401" t="str">
        <f>IF(ORCAMENTOS!R2409="","",ORCAMENTOS!R2409)</f>
        <v/>
      </c>
    </row>
    <row r="2402" spans="1:12" ht="15.75" hidden="1" customHeight="1" x14ac:dyDescent="0.25">
      <c r="A2402" s="36">
        <f>IF(ORCAMENTOS!A2410="","",ORCAMENTOS!A2410)</f>
        <v>46064</v>
      </c>
      <c r="B2402" s="46">
        <f>IF(ORCAMENTOS!B2410="","",ORCAMENTOS!B2410)</f>
        <v>225</v>
      </c>
      <c r="C2402" s="46" t="str">
        <f>IF(ORCAMENTOS!C2410="","",ORCAMENTOS!C2410)</f>
        <v/>
      </c>
      <c r="D2402" s="37" t="str">
        <f>IF(ORCAMENTOS!D2410="","",ORCAMENTOS!D2410)</f>
        <v>CICERO</v>
      </c>
      <c r="E2402" s="38" t="str">
        <f>IF(ORCAMENTOS!E2410="","",ORCAMENTOS!E2410)</f>
        <v>CONDOMINIO SAFFIRE - LAVVI</v>
      </c>
      <c r="F2402" s="37" t="str">
        <f>IF(ORCAMENTOS!G2410="","",ORCAMENTOS!G2410)</f>
        <v>Michel</v>
      </c>
      <c r="G2402" s="37" t="str">
        <f>IF(ORCAMENTOS!H2410="","",ORCAMENTOS!H2410)</f>
        <v>Cicero</v>
      </c>
      <c r="H2402" s="39">
        <f>IF(ORCAMENTOS!I2410="","",ORCAMENTOS!I2410)</f>
        <v>37426.49</v>
      </c>
      <c r="I2402" s="60">
        <f>IF(ORCAMENTOS!J2410="","",ORCAMENTOS!J2410)</f>
        <v>0.06</v>
      </c>
      <c r="J2402" s="40" t="str">
        <f>IF(ORCAMENTOS!L2410="","",ORCAMENTOS!L2410)</f>
        <v>FECHADO</v>
      </c>
      <c r="K2402" s="34" t="str">
        <f>IF(ORCAMENTOS!M2410="","",ORCAMENTOS!M2410)</f>
        <v>-</v>
      </c>
      <c r="L2402" t="str">
        <f>IF(ORCAMENTOS!R2410="","",ORCAMENTOS!R2410)</f>
        <v>-</v>
      </c>
    </row>
    <row r="2403" spans="1:12" ht="15.75" hidden="1" customHeight="1" x14ac:dyDescent="0.25">
      <c r="A2403" s="36">
        <f>IF(ORCAMENTOS!A2411="","",ORCAMENTOS!A2411)</f>
        <v>46062</v>
      </c>
      <c r="B2403" s="46">
        <f>IF(ORCAMENTOS!B2411="","",ORCAMENTOS!B2411)</f>
        <v>226</v>
      </c>
      <c r="C2403" s="46" t="str">
        <f>IF(ORCAMENTOS!C2411="","",ORCAMENTOS!C2411)</f>
        <v/>
      </c>
      <c r="D2403" s="37" t="str">
        <f>IF(ORCAMENTOS!D2411="","",ORCAMENTOS!D2411)</f>
        <v>ECOCLIMA</v>
      </c>
      <c r="E2403" s="38" t="str">
        <f>IF(ORCAMENTOS!E2411="","",ORCAMENTOS!E2411)</f>
        <v>RESIDENCIA ROBERTO GUARNIERI</v>
      </c>
      <c r="F2403" s="37" t="str">
        <f>IF(ORCAMENTOS!G2411="","",ORCAMENTOS!G2411)</f>
        <v>Fernando</v>
      </c>
      <c r="G2403" s="37" t="str">
        <f>IF(ORCAMENTOS!H2411="","",ORCAMENTOS!H2411)</f>
        <v>Antonio</v>
      </c>
      <c r="H2403" s="39">
        <f>IF(ORCAMENTOS!I2411="","",ORCAMENTOS!I2411)</f>
        <v>10365.58</v>
      </c>
      <c r="I2403" s="60">
        <f>IF(ORCAMENTOS!J2411="","",ORCAMENTOS!J2411)</f>
        <v>7.0000000000000007E-2</v>
      </c>
      <c r="J2403" s="40" t="str">
        <f>IF(ORCAMENTOS!L2411="","",ORCAMENTOS!L2411)</f>
        <v>CANCELADO</v>
      </c>
      <c r="K2403" s="34" t="str">
        <f>IF(ORCAMENTOS!M2411="","",ORCAMENTOS!M2411)</f>
        <v xml:space="preserve">CLIENTE NEGOCIANDO  </v>
      </c>
      <c r="L2403" t="str">
        <f>IF(ORCAMENTOS!R2411="","",ORCAMENTOS!R2411)</f>
        <v>-</v>
      </c>
    </row>
    <row r="2404" spans="1:12" ht="15.75" hidden="1" customHeight="1" x14ac:dyDescent="0.25">
      <c r="A2404" s="36">
        <f>IF(ORCAMENTOS!A2412="","",ORCAMENTOS!A2412)</f>
        <v>46062</v>
      </c>
      <c r="B2404" s="46">
        <f>IF(ORCAMENTOS!B2412="","",ORCAMENTOS!B2412)</f>
        <v>227</v>
      </c>
      <c r="C2404" s="46" t="str">
        <f>IF(ORCAMENTOS!C2412="","",ORCAMENTOS!C2412)</f>
        <v/>
      </c>
      <c r="D2404" s="37" t="str">
        <f>IF(ORCAMENTOS!D2412="","",ORCAMENTOS!D2412)</f>
        <v>AR SISTEMAS</v>
      </c>
      <c r="E2404" s="38" t="str">
        <f>IF(ORCAMENTOS!E2412="","",ORCAMENTOS!E2412)</f>
        <v>HOSPITAL IFOR - CEMED - SÃO BERNARDO DO CAMPO - SP</v>
      </c>
      <c r="F2404" s="37" t="str">
        <f>IF(ORCAMENTOS!G2412="","",ORCAMENTOS!G2412)</f>
        <v>Michel</v>
      </c>
      <c r="G2404" s="37" t="str">
        <f>IF(ORCAMENTOS!H2412="","",ORCAMENTOS!H2412)</f>
        <v>Marcos</v>
      </c>
      <c r="H2404" s="39">
        <f>IF(ORCAMENTOS!I2412="","",ORCAMENTOS!I2412)</f>
        <v>35519.040000000001</v>
      </c>
      <c r="I2404" s="60">
        <f>IF(ORCAMENTOS!J2412="","",ORCAMENTOS!J2412)</f>
        <v>7.0000000000000007E-2</v>
      </c>
      <c r="J2404" s="40" t="str">
        <f>IF(ORCAMENTOS!L2412="","",ORCAMENTOS!L2412)</f>
        <v>CANCELADO</v>
      </c>
      <c r="K2404" s="34" t="str">
        <f>IF(ORCAMENTOS!M2412="","",ORCAMENTOS!M2412)</f>
        <v>-</v>
      </c>
      <c r="L2404" t="str">
        <f>IF(ORCAMENTOS!R2412="","",ORCAMENTOS!R2412)</f>
        <v>N/E</v>
      </c>
    </row>
    <row r="2405" spans="1:12" ht="15.75" hidden="1" customHeight="1" x14ac:dyDescent="0.25">
      <c r="A2405" s="36">
        <f>IF(ORCAMENTOS!A2413="","",ORCAMENTOS!A2413)</f>
        <v>46063</v>
      </c>
      <c r="B2405" s="46">
        <f>IF(ORCAMENTOS!B2413="","",ORCAMENTOS!B2413)</f>
        <v>228</v>
      </c>
      <c r="C2405" s="46" t="str">
        <f>IF(ORCAMENTOS!C2413="","",ORCAMENTOS!C2413)</f>
        <v/>
      </c>
      <c r="D2405" s="37" t="str">
        <f>IF(ORCAMENTOS!D2413="","",ORCAMENTOS!D2413)</f>
        <v>AR SISTEMAS</v>
      </c>
      <c r="E2405" s="38" t="str">
        <f>IF(ORCAMENTOS!E2413="","",ORCAMENTOS!E2413)</f>
        <v>HOSPITAL SAO LUIZ - OSASCO - UTI ADULTO - 2PV</v>
      </c>
      <c r="F2405" s="37" t="str">
        <f>IF(ORCAMENTOS!G2413="","",ORCAMENTOS!G2413)</f>
        <v>Michel</v>
      </c>
      <c r="G2405" s="37" t="str">
        <f>IF(ORCAMENTOS!H2413="","",ORCAMENTOS!H2413)</f>
        <v>Anderson</v>
      </c>
      <c r="H2405" s="39">
        <f>IF(ORCAMENTOS!I2413="","",ORCAMENTOS!I2413)</f>
        <v>51889.55</v>
      </c>
      <c r="I2405" s="60">
        <f>IF(ORCAMENTOS!J2413="","",ORCAMENTOS!J2413)</f>
        <v>7.0000000000000007E-2</v>
      </c>
      <c r="J2405" s="40" t="str">
        <f>IF(ORCAMENTOS!L2413="","",ORCAMENTOS!L2413)</f>
        <v>CANCELADO</v>
      </c>
      <c r="K2405" s="34" t="str">
        <f>IF(ORCAMENTOS!M2413="","",ORCAMENTOS!M2413)</f>
        <v>-</v>
      </c>
      <c r="L2405" t="str">
        <f>IF(ORCAMENTOS!R2413="","",ORCAMENTOS!R2413)</f>
        <v>N/E</v>
      </c>
    </row>
    <row r="2406" spans="1:12" ht="15.75" hidden="1" customHeight="1" x14ac:dyDescent="0.25">
      <c r="A2406" s="36">
        <f>IF(ORCAMENTOS!A2414="","",ORCAMENTOS!A2414)</f>
        <v>46093</v>
      </c>
      <c r="B2406" s="46">
        <f>IF(ORCAMENTOS!B2414="","",ORCAMENTOS!B2414)</f>
        <v>229</v>
      </c>
      <c r="C2406" s="46" t="str">
        <f>IF(ORCAMENTOS!C2414="","",ORCAMENTOS!C2414)</f>
        <v/>
      </c>
      <c r="D2406" s="37" t="str">
        <f>IF(ORCAMENTOS!D2414="","",ORCAMENTOS!D2414)</f>
        <v>AWA AR CONDICIONADO</v>
      </c>
      <c r="E2406" s="38" t="str">
        <f>IF(ORCAMENTOS!E2414="","",ORCAMENTOS!E2414)</f>
        <v>MTA ARUJA</v>
      </c>
      <c r="F2406" s="37" t="str">
        <f>IF(ORCAMENTOS!G2414="","",ORCAMENTOS!G2414)</f>
        <v>Guilherme</v>
      </c>
      <c r="G2406" s="37" t="str">
        <f>IF(ORCAMENTOS!H2414="","",ORCAMENTOS!H2414)</f>
        <v>Marcela</v>
      </c>
      <c r="H2406" s="39">
        <f>IF(ORCAMENTOS!I2414="","",ORCAMENTOS!I2414)</f>
        <v>39201.94</v>
      </c>
      <c r="I2406" s="60">
        <f>IF(ORCAMENTOS!J2414="","",ORCAMENTOS!J2414)</f>
        <v>7.0000000000000007E-2</v>
      </c>
      <c r="J2406" s="40" t="str">
        <f>IF(ORCAMENTOS!L2414="","",ORCAMENTOS!L2414)</f>
        <v>PERDIDO</v>
      </c>
      <c r="K2406" s="34" t="str">
        <f>IF(ORCAMENTOS!M2414="","",ORCAMENTOS!M2414)</f>
        <v>MULTIVAC - PREÇO</v>
      </c>
      <c r="L2406" t="str">
        <f>IF(ORCAMENTOS!R2414="","",ORCAMENTOS!R2414)</f>
        <v>-</v>
      </c>
    </row>
    <row r="2407" spans="1:12" ht="15.75" hidden="1" customHeight="1" x14ac:dyDescent="0.25">
      <c r="A2407" s="36">
        <f>IF(ORCAMENTOS!A2415="","",ORCAMENTOS!A2415)</f>
        <v>46063</v>
      </c>
      <c r="B2407" s="46">
        <f>IF(ORCAMENTOS!B2415="","",ORCAMENTOS!B2415)</f>
        <v>230</v>
      </c>
      <c r="C2407" s="46" t="str">
        <f>IF(ORCAMENTOS!C2415="","",ORCAMENTOS!C2415)</f>
        <v/>
      </c>
      <c r="D2407" s="37" t="str">
        <f>IF(ORCAMENTOS!D2415="","",ORCAMENTOS!D2415)</f>
        <v>CONSTARCO</v>
      </c>
      <c r="E2407" s="38" t="str">
        <f>IF(ORCAMENTOS!E2415="","",ORCAMENTOS!E2415)</f>
        <v>ESTUDIO MODULO - CURY - CENTRO CULTURAL - RIO AFRICA - RJ</v>
      </c>
      <c r="F2407" s="37" t="str">
        <f>IF(ORCAMENTOS!G2415="","",ORCAMENTOS!G2415)</f>
        <v>Fernando</v>
      </c>
      <c r="G2407" s="37" t="str">
        <f>IF(ORCAMENTOS!H2415="","",ORCAMENTOS!H2415)</f>
        <v>Genilson</v>
      </c>
      <c r="H2407" s="39">
        <f>IF(ORCAMENTOS!I2415="","",ORCAMENTOS!I2415)</f>
        <v>122014.18</v>
      </c>
      <c r="I2407" s="60">
        <f>IF(ORCAMENTOS!J2415="","",ORCAMENTOS!J2415)</f>
        <v>7.0000000000000007E-2</v>
      </c>
      <c r="J2407" s="40" t="str">
        <f>IF(ORCAMENTOS!L2415="","",ORCAMENTOS!L2415)</f>
        <v>CANCELADO</v>
      </c>
      <c r="K2407" s="34" t="str">
        <f>IF(ORCAMENTOS!M2415="","",ORCAMENTOS!M2415)</f>
        <v>-</v>
      </c>
      <c r="L2407" t="str">
        <f>IF(ORCAMENTOS!R2415="","",ORCAMENTOS!R2415)</f>
        <v>-</v>
      </c>
    </row>
    <row r="2408" spans="1:12" ht="15.75" hidden="1" customHeight="1" x14ac:dyDescent="0.25">
      <c r="A2408" s="36">
        <f>IF(ORCAMENTOS!A2416="","",ORCAMENTOS!A2416)</f>
        <v>46063</v>
      </c>
      <c r="B2408" s="46">
        <f>IF(ORCAMENTOS!B2416="","",ORCAMENTOS!B2416)</f>
        <v>231</v>
      </c>
      <c r="C2408" s="46" t="str">
        <f>IF(ORCAMENTOS!C2416="","",ORCAMENTOS!C2416)</f>
        <v/>
      </c>
      <c r="D2408" s="37" t="str">
        <f>IF(ORCAMENTOS!D2416="","",ORCAMENTOS!D2416)</f>
        <v>MANENG</v>
      </c>
      <c r="E2408" s="38" t="str">
        <f>IF(ORCAMENTOS!E2416="","",ORCAMENTOS!E2416)</f>
        <v>-</v>
      </c>
      <c r="F2408" s="37" t="str">
        <f>IF(ORCAMENTOS!G2416="","",ORCAMENTOS!G2416)</f>
        <v>Guilherme</v>
      </c>
      <c r="G2408" s="37" t="str">
        <f>IF(ORCAMENTOS!H2416="","",ORCAMENTOS!H2416)</f>
        <v>Gabrielle</v>
      </c>
      <c r="H2408" s="39">
        <f>IF(ORCAMENTOS!I2416="","",ORCAMENTOS!I2416)</f>
        <v>47526.01</v>
      </c>
      <c r="I2408" s="60">
        <f>IF(ORCAMENTOS!J2416="","",ORCAMENTOS!J2416)</f>
        <v>0.05</v>
      </c>
      <c r="J2408" s="40" t="str">
        <f>IF(ORCAMENTOS!L2416="","",ORCAMENTOS!L2416)</f>
        <v>FECHADO</v>
      </c>
      <c r="K2408" s="34" t="str">
        <f>IF(ORCAMENTOS!M2416="","",ORCAMENTOS!M2416)</f>
        <v>-</v>
      </c>
      <c r="L2408" t="str">
        <f>IF(ORCAMENTOS!R2416="","",ORCAMENTOS!R2416)</f>
        <v>-</v>
      </c>
    </row>
    <row r="2409" spans="1:12" ht="15.75" hidden="1" customHeight="1" x14ac:dyDescent="0.25">
      <c r="A2409" s="36">
        <f>IF(ORCAMENTOS!A2417="","",ORCAMENTOS!A2417)</f>
        <v>46064</v>
      </c>
      <c r="B2409" s="46">
        <f>IF(ORCAMENTOS!B2417="","",ORCAMENTOS!B2417)</f>
        <v>232</v>
      </c>
      <c r="C2409" s="46" t="str">
        <f>IF(ORCAMENTOS!C2417="","",ORCAMENTOS!C2417)</f>
        <v/>
      </c>
      <c r="D2409" s="37" t="str">
        <f>IF(ORCAMENTOS!D2417="","",ORCAMENTOS!D2417)</f>
        <v>AR SET</v>
      </c>
      <c r="E2409" s="38" t="str">
        <f>IF(ORCAMENTOS!E2417="","",ORCAMENTOS!E2417)</f>
        <v>ELINTON BOBRIK</v>
      </c>
      <c r="F2409" s="37" t="str">
        <f>IF(ORCAMENTOS!G2417="","",ORCAMENTOS!G2417)</f>
        <v>Fernando</v>
      </c>
      <c r="G2409" s="37" t="str">
        <f>IF(ORCAMENTOS!H2417="","",ORCAMENTOS!H2417)</f>
        <v>Danilo</v>
      </c>
      <c r="H2409" s="39">
        <f>IF(ORCAMENTOS!I2417="","",ORCAMENTOS!I2417)</f>
        <v>23107.37</v>
      </c>
      <c r="I2409" s="60">
        <f>IF(ORCAMENTOS!J2417="","",ORCAMENTOS!J2417)</f>
        <v>0.04</v>
      </c>
      <c r="J2409" s="40" t="str">
        <f>IF(ORCAMENTOS!L2417="","",ORCAMENTOS!L2417)</f>
        <v>FECHADO</v>
      </c>
      <c r="K2409" s="34" t="str">
        <f>IF(ORCAMENTOS!M2417="","",ORCAMENTOS!M2417)</f>
        <v>-</v>
      </c>
      <c r="L2409" t="str">
        <f>IF(ORCAMENTOS!R2417="","",ORCAMENTOS!R2417)</f>
        <v>-</v>
      </c>
    </row>
    <row r="2410" spans="1:12" ht="15.75" hidden="1" customHeight="1" x14ac:dyDescent="0.25">
      <c r="A2410" s="36">
        <f>IF(ORCAMENTOS!A2418="","",ORCAMENTOS!A2418)</f>
        <v>46063</v>
      </c>
      <c r="B2410" s="46">
        <f>IF(ORCAMENTOS!B2418="","",ORCAMENTOS!B2418)</f>
        <v>233</v>
      </c>
      <c r="C2410" s="46" t="str">
        <f>IF(ORCAMENTOS!C2418="","",ORCAMENTOS!C2418)</f>
        <v/>
      </c>
      <c r="D2410" s="37" t="str">
        <f>IF(ORCAMENTOS!D2418="","",ORCAMENTOS!D2418)</f>
        <v>GLOBAL AR CONDICIONADO</v>
      </c>
      <c r="E2410" s="38" t="str">
        <f>IF(ORCAMENTOS!E2418="","",ORCAMENTOS!E2418)</f>
        <v>PREVENT SENIOR - MADAGASCAR</v>
      </c>
      <c r="F2410" s="37" t="str">
        <f>IF(ORCAMENTOS!G2418="","",ORCAMENTOS!G2418)</f>
        <v>Emanuel</v>
      </c>
      <c r="G2410" s="37" t="str">
        <f>IF(ORCAMENTOS!H2418="","",ORCAMENTOS!H2418)</f>
        <v>Marcelo</v>
      </c>
      <c r="H2410" s="39">
        <f>IF(ORCAMENTOS!I2418="","",ORCAMENTOS!I2418)</f>
        <v>62355.15</v>
      </c>
      <c r="I2410" s="60">
        <f>IF(ORCAMENTOS!J2418="","",ORCAMENTOS!J2418)</f>
        <v>7.0000000000000007E-2</v>
      </c>
      <c r="J2410" s="40" t="str">
        <f>IF(ORCAMENTOS!L2418="","",ORCAMENTOS!L2418)</f>
        <v>FECHADO</v>
      </c>
      <c r="K2410" s="34" t="str">
        <f>IF(ORCAMENTOS!M2418="","",ORCAMENTOS!M2418)</f>
        <v>-</v>
      </c>
      <c r="L2410" t="str">
        <f>IF(ORCAMENTOS!R2418="","",ORCAMENTOS!R2418)</f>
        <v>-</v>
      </c>
    </row>
    <row r="2411" spans="1:12" ht="15.75" hidden="1" customHeight="1" x14ac:dyDescent="0.25">
      <c r="A2411" s="36">
        <f>IF(ORCAMENTOS!A2419="","",ORCAMENTOS!A2419)</f>
        <v>46063</v>
      </c>
      <c r="B2411" s="46">
        <f>IF(ORCAMENTOS!B2419="","",ORCAMENTOS!B2419)</f>
        <v>234</v>
      </c>
      <c r="C2411" s="46" t="str">
        <f>IF(ORCAMENTOS!C2419="","",ORCAMENTOS!C2419)</f>
        <v/>
      </c>
      <c r="D2411" s="37" t="str">
        <f>IF(ORCAMENTOS!D2419="","",ORCAMENTOS!D2419)</f>
        <v>AMS INSTALACOES</v>
      </c>
      <c r="E2411" s="38" t="str">
        <f>IF(ORCAMENTOS!E2419="","",ORCAMENTOS!E2419)</f>
        <v>ATACADAO - MATRIZ TATUAPE - SÃO PAULO - SP</v>
      </c>
      <c r="F2411" s="37" t="str">
        <f>IF(ORCAMENTOS!G2419="","",ORCAMENTOS!G2419)</f>
        <v>Gabriel</v>
      </c>
      <c r="G2411" s="37" t="str">
        <f>IF(ORCAMENTOS!H2419="","",ORCAMENTOS!H2419)</f>
        <v>Albertino</v>
      </c>
      <c r="H2411" s="39">
        <f>IF(ORCAMENTOS!I2419="","",ORCAMENTOS!I2419)</f>
        <v>157341.9</v>
      </c>
      <c r="I2411" s="60">
        <f>IF(ORCAMENTOS!J2419="","",ORCAMENTOS!J2419)</f>
        <v>7.0000000000000007E-2</v>
      </c>
      <c r="J2411" s="40" t="str">
        <f>IF(ORCAMENTOS!L2419="","",ORCAMENTOS!L2419)</f>
        <v>COMPRA</v>
      </c>
      <c r="K2411" s="34" t="str">
        <f>IF(ORCAMENTOS!M2419="","",ORCAMENTOS!M2419)</f>
        <v>-</v>
      </c>
      <c r="L2411" t="str">
        <f>IF(ORCAMENTOS!R2419="","",ORCAMENTOS!R2419)</f>
        <v>MPU</v>
      </c>
    </row>
    <row r="2412" spans="1:12" ht="15.75" hidden="1" customHeight="1" x14ac:dyDescent="0.25">
      <c r="A2412" s="36">
        <f>IF(ORCAMENTOS!A2420="","",ORCAMENTOS!A2420)</f>
        <v>46063</v>
      </c>
      <c r="B2412" s="46">
        <f>IF(ORCAMENTOS!B2420="","",ORCAMENTOS!B2420)</f>
        <v>235</v>
      </c>
      <c r="C2412" s="46" t="str">
        <f>IF(ORCAMENTOS!C2420="","",ORCAMENTOS!C2420)</f>
        <v/>
      </c>
      <c r="D2412" s="37" t="str">
        <f>IF(ORCAMENTOS!D2420="","",ORCAMENTOS!D2420)</f>
        <v>AMS INSTALACOES</v>
      </c>
      <c r="E2412" s="38" t="str">
        <f>IF(ORCAMENTOS!E2420="","",ORCAMENTOS!E2420)</f>
        <v>ATACADAO - MATRIZ TATUAPE - SÃO PAULO - SP - OVAIS</v>
      </c>
      <c r="F2412" s="37" t="str">
        <f>IF(ORCAMENTOS!G2420="","",ORCAMENTOS!G2420)</f>
        <v>Gabriel</v>
      </c>
      <c r="G2412" s="37" t="str">
        <f>IF(ORCAMENTOS!H2420="","",ORCAMENTOS!H2420)</f>
        <v>Albertino</v>
      </c>
      <c r="H2412" s="39">
        <f>IF(ORCAMENTOS!I2420="","",ORCAMENTOS!I2420)</f>
        <v>385688.68</v>
      </c>
      <c r="I2412" s="60">
        <f>IF(ORCAMENTOS!J2420="","",ORCAMENTOS!J2420)</f>
        <v>7.0000000000000007E-2</v>
      </c>
      <c r="J2412" s="40" t="str">
        <f>IF(ORCAMENTOS!L2420="","",ORCAMENTOS!L2420)</f>
        <v>CANCELADO</v>
      </c>
      <c r="K2412" s="34" t="str">
        <f>IF(ORCAMENTOS!M2420="","",ORCAMENTOS!M2420)</f>
        <v>-</v>
      </c>
      <c r="L2412" t="str">
        <f>IF(ORCAMENTOS!R2420="","",ORCAMENTOS!R2420)</f>
        <v>mPU</v>
      </c>
    </row>
    <row r="2413" spans="1:12" ht="15.75" hidden="1" customHeight="1" x14ac:dyDescent="0.25">
      <c r="A2413" s="36">
        <f>IF(ORCAMENTOS!A2421="","",ORCAMENTOS!A2421)</f>
        <v>46064</v>
      </c>
      <c r="B2413" s="46">
        <f>IF(ORCAMENTOS!B2421="","",ORCAMENTOS!B2421)</f>
        <v>236</v>
      </c>
      <c r="C2413" s="46" t="str">
        <f>IF(ORCAMENTOS!C2421="","",ORCAMENTOS!C2421)</f>
        <v/>
      </c>
      <c r="D2413" s="37" t="str">
        <f>IF(ORCAMENTOS!D2421="","",ORCAMENTOS!D2421)</f>
        <v>X AIR</v>
      </c>
      <c r="E2413" s="38" t="str">
        <f>IF(ORCAMENTOS!E2421="","",ORCAMENTOS!E2421)</f>
        <v>-</v>
      </c>
      <c r="F2413" s="37" t="str">
        <f>IF(ORCAMENTOS!G2421="","",ORCAMENTOS!G2421)</f>
        <v>Emanuel</v>
      </c>
      <c r="G2413" s="37" t="str">
        <f>IF(ORCAMENTOS!H2421="","",ORCAMENTOS!H2421)</f>
        <v>Isabela</v>
      </c>
      <c r="H2413" s="39">
        <f>IF(ORCAMENTOS!I2421="","",ORCAMENTOS!I2421)</f>
        <v>17639.490000000002</v>
      </c>
      <c r="I2413" s="60">
        <f>IF(ORCAMENTOS!J2421="","",ORCAMENTOS!J2421)</f>
        <v>7.0000000000000007E-2</v>
      </c>
      <c r="J2413" s="40" t="str">
        <f>IF(ORCAMENTOS!L2421="","",ORCAMENTOS!L2421)</f>
        <v>FECHADO</v>
      </c>
      <c r="K2413" s="34" t="str">
        <f>IF(ORCAMENTOS!M2421="","",ORCAMENTOS!M2421)</f>
        <v>-</v>
      </c>
      <c r="L2413" t="str">
        <f>IF(ORCAMENTOS!R2421="","",ORCAMENTOS!R2421)</f>
        <v>-</v>
      </c>
    </row>
    <row r="2414" spans="1:12" ht="15.75" hidden="1" customHeight="1" x14ac:dyDescent="0.25">
      <c r="A2414" s="36">
        <f>IF(ORCAMENTOS!A2422="","",ORCAMENTOS!A2422)</f>
        <v>46063</v>
      </c>
      <c r="B2414" s="46">
        <f>IF(ORCAMENTOS!B2422="","",ORCAMENTOS!B2422)</f>
        <v>237</v>
      </c>
      <c r="C2414" s="46" t="str">
        <f>IF(ORCAMENTOS!C2422="","",ORCAMENTOS!C2422)</f>
        <v/>
      </c>
      <c r="D2414" s="37" t="str">
        <f>IF(ORCAMENTOS!D2422="","",ORCAMENTOS!D2422)</f>
        <v>HVAC ENGENHARIA</v>
      </c>
      <c r="E2414" s="38" t="str">
        <f>IF(ORCAMENTOS!E2422="","",ORCAMENTOS!E2422)</f>
        <v>Obramax - Aricanduva - Mezanino / Térr / Cx / Subsolo</v>
      </c>
      <c r="F2414" s="37" t="str">
        <f>IF(ORCAMENTOS!G2422="","",ORCAMENTOS!G2422)</f>
        <v>Michel</v>
      </c>
      <c r="G2414" s="37" t="str">
        <f>IF(ORCAMENTOS!H2422="","",ORCAMENTOS!H2422)</f>
        <v>Anders</v>
      </c>
      <c r="H2414" s="39">
        <f>IF(ORCAMENTOS!I2422="","",ORCAMENTOS!I2422)</f>
        <v>1947.76</v>
      </c>
      <c r="I2414" s="60">
        <f>IF(ORCAMENTOS!J2422="","",ORCAMENTOS!J2422)</f>
        <v>7.0000000000000007E-2</v>
      </c>
      <c r="J2414" s="40" t="str">
        <f>IF(ORCAMENTOS!L2422="","",ORCAMENTOS!L2422)</f>
        <v>CANCELADO</v>
      </c>
      <c r="K2414" s="34" t="str">
        <f>IF(ORCAMENTOS!M2422="","",ORCAMENTOS!M2422)</f>
        <v>-</v>
      </c>
      <c r="L2414" t="str">
        <f>IF(ORCAMENTOS!R2422="","",ORCAMENTOS!R2422)</f>
        <v>-</v>
      </c>
    </row>
    <row r="2415" spans="1:12" ht="15.75" hidden="1" customHeight="1" x14ac:dyDescent="0.25">
      <c r="A2415" s="36">
        <f>IF(ORCAMENTOS!A2423="","",ORCAMENTOS!A2423)</f>
        <v>46064</v>
      </c>
      <c r="B2415" s="46">
        <f>IF(ORCAMENTOS!B2423="","",ORCAMENTOS!B2423)</f>
        <v>238</v>
      </c>
      <c r="C2415" s="46" t="str">
        <f>IF(ORCAMENTOS!C2423="","",ORCAMENTOS!C2423)</f>
        <v/>
      </c>
      <c r="D2415" s="37" t="str">
        <f>IF(ORCAMENTOS!D2423="","",ORCAMENTOS!D2423)</f>
        <v>AIR CONDYGIO</v>
      </c>
      <c r="E2415" s="38" t="str">
        <f>IF(ORCAMENTOS!E2423="","",ORCAMENTOS!E2423)</f>
        <v>SHOPPING JAGUARIUNA</v>
      </c>
      <c r="F2415" s="37" t="str">
        <f>IF(ORCAMENTOS!G2423="","",ORCAMENTOS!G2423)</f>
        <v>Gabriel</v>
      </c>
      <c r="G2415" s="37" t="str">
        <f>IF(ORCAMENTOS!H2423="","",ORCAMENTOS!H2423)</f>
        <v>David</v>
      </c>
      <c r="H2415" s="39">
        <f>IF(ORCAMENTOS!I2423="","",ORCAMENTOS!I2423)</f>
        <v>4685.67</v>
      </c>
      <c r="I2415" s="60" t="str">
        <f>IF(ORCAMENTOS!J2423="","",ORCAMENTOS!J2423)</f>
        <v/>
      </c>
      <c r="J2415" s="40" t="str">
        <f>IF(ORCAMENTOS!L2423="","",ORCAMENTOS!L2423)</f>
        <v>CANCELADO</v>
      </c>
      <c r="K2415" s="34" t="str">
        <f>IF(ORCAMENTOS!M2423="","",ORCAMENTOS!M2423)</f>
        <v>-</v>
      </c>
      <c r="L2415" t="str">
        <f>IF(ORCAMENTOS!R2423="","",ORCAMENTOS!R2423)</f>
        <v>N/E</v>
      </c>
    </row>
    <row r="2416" spans="1:12" ht="15.75" hidden="1" customHeight="1" x14ac:dyDescent="0.25">
      <c r="A2416" s="36">
        <f>IF(ORCAMENTOS!A2424="","",ORCAMENTOS!A2424)</f>
        <v>46064</v>
      </c>
      <c r="B2416" s="46">
        <f>IF(ORCAMENTOS!B2424="","",ORCAMENTOS!B2424)</f>
        <v>239</v>
      </c>
      <c r="C2416" s="46" t="str">
        <f>IF(ORCAMENTOS!C2424="","",ORCAMENTOS!C2424)</f>
        <v/>
      </c>
      <c r="D2416" s="37" t="str">
        <f>IF(ORCAMENTOS!D2424="","",ORCAMENTOS!D2424)</f>
        <v>CANCELADO</v>
      </c>
      <c r="E2416" s="38" t="str">
        <f>IF(ORCAMENTOS!E2424="","",ORCAMENTOS!E2424)</f>
        <v/>
      </c>
      <c r="F2416" s="37" t="str">
        <f>IF(ORCAMENTOS!G2424="","",ORCAMENTOS!G2424)</f>
        <v/>
      </c>
      <c r="G2416" s="37" t="str">
        <f>IF(ORCAMENTOS!H2424="","",ORCAMENTOS!H2424)</f>
        <v/>
      </c>
      <c r="H2416" s="39" t="str">
        <f>IF(ORCAMENTOS!I2424="","",ORCAMENTOS!I2424)</f>
        <v/>
      </c>
      <c r="I2416" s="60" t="str">
        <f>IF(ORCAMENTOS!J2424="","",ORCAMENTOS!J2424)</f>
        <v/>
      </c>
      <c r="J2416" s="40" t="str">
        <f>IF(ORCAMENTOS!L2424="","",ORCAMENTOS!L2424)</f>
        <v>CANCELADO</v>
      </c>
      <c r="K2416" s="34" t="str">
        <f>IF(ORCAMENTOS!M2424="","",ORCAMENTOS!M2424)</f>
        <v>-</v>
      </c>
      <c r="L2416" t="str">
        <f>IF(ORCAMENTOS!R2424="","",ORCAMENTOS!R2424)</f>
        <v>-</v>
      </c>
    </row>
    <row r="2417" spans="1:12" ht="15.75" hidden="1" customHeight="1" x14ac:dyDescent="0.25">
      <c r="A2417" s="36">
        <f>IF(ORCAMENTOS!A2425="","",ORCAMENTOS!A2425)</f>
        <v>46064</v>
      </c>
      <c r="B2417" s="46">
        <f>IF(ORCAMENTOS!B2425="","",ORCAMENTOS!B2425)</f>
        <v>240</v>
      </c>
      <c r="C2417" s="46" t="str">
        <f>IF(ORCAMENTOS!C2425="","",ORCAMENTOS!C2425)</f>
        <v>R2</v>
      </c>
      <c r="D2417" s="37" t="str">
        <f>IF(ORCAMENTOS!D2425="","",ORCAMENTOS!D2425)</f>
        <v>NEWSET</v>
      </c>
      <c r="E2417" s="38" t="str">
        <f>IF(ORCAMENTOS!E2425="","",ORCAMENTOS!E2425)</f>
        <v>HOSPITAL AVICCENA - TATUAPE - SP - GERAL</v>
      </c>
      <c r="F2417" s="37" t="str">
        <f>IF(ORCAMENTOS!G2425="","",ORCAMENTOS!G2425)</f>
        <v xml:space="preserve">Aldavir </v>
      </c>
      <c r="G2417" s="37" t="str">
        <f>IF(ORCAMENTOS!H2425="","",ORCAMENTOS!H2425)</f>
        <v>Danilo</v>
      </c>
      <c r="H2417" s="39">
        <f>IF(ORCAMENTOS!I2425="","",ORCAMENTOS!I2425)</f>
        <v>275460.13</v>
      </c>
      <c r="I2417" s="60">
        <f>IF(ORCAMENTOS!J2425="","",ORCAMENTOS!J2425)</f>
        <v>7.0000000000000007E-2</v>
      </c>
      <c r="J2417" s="40" t="str">
        <f>IF(ORCAMENTOS!L2425="","",ORCAMENTOS!L2425)</f>
        <v>FECHADO</v>
      </c>
      <c r="K2417" s="34" t="str">
        <f>IF(ORCAMENTOS!M2425="","",ORCAMENTOS!M2425)</f>
        <v>FECHADO PARCIAL</v>
      </c>
      <c r="L2417" t="str">
        <f>IF(ORCAMENTOS!R2425="","",ORCAMENTOS!R2425)</f>
        <v>N/E</v>
      </c>
    </row>
    <row r="2418" spans="1:12" ht="15.75" hidden="1" customHeight="1" x14ac:dyDescent="0.25">
      <c r="A2418" s="36">
        <f>IF(ORCAMENTOS!A2426="","",ORCAMENTOS!A2426)</f>
        <v>46064</v>
      </c>
      <c r="B2418" s="46">
        <f>IF(ORCAMENTOS!B2426="","",ORCAMENTOS!B2426)</f>
        <v>241</v>
      </c>
      <c r="C2418" s="46" t="str">
        <f>IF(ORCAMENTOS!C2426="","",ORCAMENTOS!C2426)</f>
        <v>R2</v>
      </c>
      <c r="D2418" s="37" t="str">
        <f>IF(ORCAMENTOS!D2426="","",ORCAMENTOS!D2426)</f>
        <v>WH ENGENHARIA</v>
      </c>
      <c r="E2418" s="38" t="str">
        <f>IF(ORCAMENTOS!E2426="","",ORCAMENTOS!E2426)</f>
        <v>RECKITT - EMBU DAS ARTES</v>
      </c>
      <c r="F2418" s="37" t="str">
        <f>IF(ORCAMENTOS!G2426="","",ORCAMENTOS!G2426)</f>
        <v>Michel</v>
      </c>
      <c r="G2418" s="37" t="str">
        <f>IF(ORCAMENTOS!H2426="","",ORCAMENTOS!H2426)</f>
        <v>Thiago</v>
      </c>
      <c r="H2418" s="39">
        <f>IF(ORCAMENTOS!I2426="","",ORCAMENTOS!I2426)</f>
        <v>170000</v>
      </c>
      <c r="I2418" s="60">
        <f>IF(ORCAMENTOS!J2426="","",ORCAMENTOS!J2426)</f>
        <v>0.04</v>
      </c>
      <c r="J2418" s="40" t="str">
        <f>IF(ORCAMENTOS!L2426="","",ORCAMENTOS!L2426)</f>
        <v>FECHADO</v>
      </c>
      <c r="K2418" s="34" t="str">
        <f>IF(ORCAMENTOS!M2426="","",ORCAMENTOS!M2426)</f>
        <v>-</v>
      </c>
      <c r="L2418" t="str">
        <f>IF(ORCAMENTOS!R2426="","",ORCAMENTOS!R2426)</f>
        <v>MPU</v>
      </c>
    </row>
    <row r="2419" spans="1:12" ht="15.75" hidden="1" customHeight="1" x14ac:dyDescent="0.25">
      <c r="A2419" s="36">
        <f>IF(ORCAMENTOS!A2427="","",ORCAMENTOS!A2427)</f>
        <v>46064</v>
      </c>
      <c r="B2419" s="46">
        <f>IF(ORCAMENTOS!B2427="","",ORCAMENTOS!B2427)</f>
        <v>242</v>
      </c>
      <c r="C2419" s="46" t="str">
        <f>IF(ORCAMENTOS!C2427="","",ORCAMENTOS!C2427)</f>
        <v/>
      </c>
      <c r="D2419" s="37" t="str">
        <f>IF(ORCAMENTOS!D2427="","",ORCAMENTOS!D2427)</f>
        <v>AWA AR CONDICIONADO</v>
      </c>
      <c r="E2419" s="38" t="str">
        <f>IF(ORCAMENTOS!E2427="","",ORCAMENTOS!E2427)</f>
        <v>MIX SANTA INES - CANAA - MA</v>
      </c>
      <c r="F2419" s="37" t="str">
        <f>IF(ORCAMENTOS!G2427="","",ORCAMENTOS!G2427)</f>
        <v>Guilherme</v>
      </c>
      <c r="G2419" s="37" t="str">
        <f>IF(ORCAMENTOS!H2427="","",ORCAMENTOS!H2427)</f>
        <v>Paula</v>
      </c>
      <c r="H2419" s="39">
        <f>IF(ORCAMENTOS!I2427="","",ORCAMENTOS!I2427)</f>
        <v>346840.58</v>
      </c>
      <c r="I2419" s="60">
        <f>IF(ORCAMENTOS!J2427="","",ORCAMENTOS!J2427)</f>
        <v>7.0000000000000007E-2</v>
      </c>
      <c r="J2419" s="40" t="str">
        <f>IF(ORCAMENTOS!L2427="","",ORCAMENTOS!L2427)</f>
        <v>CANCELADO</v>
      </c>
      <c r="K2419" s="34" t="str">
        <f>IF(ORCAMENTOS!M2427="","",ORCAMENTOS!M2427)</f>
        <v>-</v>
      </c>
      <c r="L2419" t="str">
        <f>IF(ORCAMENTOS!R2427="","",ORCAMENTOS!R2427)</f>
        <v>mPU</v>
      </c>
    </row>
    <row r="2420" spans="1:12" ht="15.75" hidden="1" customHeight="1" x14ac:dyDescent="0.25">
      <c r="A2420" s="36">
        <f>IF(ORCAMENTOS!A2428="","",ORCAMENTOS!A2428)</f>
        <v>46064</v>
      </c>
      <c r="B2420" s="46">
        <f>IF(ORCAMENTOS!B2428="","",ORCAMENTOS!B2428)</f>
        <v>243</v>
      </c>
      <c r="C2420" s="46" t="str">
        <f>IF(ORCAMENTOS!C2428="","",ORCAMENTOS!C2428)</f>
        <v/>
      </c>
      <c r="D2420" s="37" t="str">
        <f>IF(ORCAMENTOS!D2428="","",ORCAMENTOS!D2428)</f>
        <v>IZL CONSTRUTORA</v>
      </c>
      <c r="E2420" s="38" t="str">
        <f>IF(ORCAMENTOS!E2428="","",ORCAMENTOS!E2428)</f>
        <v>-</v>
      </c>
      <c r="F2420" s="37" t="str">
        <f>IF(ORCAMENTOS!G2428="","",ORCAMENTOS!G2428)</f>
        <v>Gabriel</v>
      </c>
      <c r="G2420" s="37" t="str">
        <f>IF(ORCAMENTOS!H2428="","",ORCAMENTOS!H2428)</f>
        <v>Fatima</v>
      </c>
      <c r="H2420" s="39">
        <f>IF(ORCAMENTOS!I2428="","",ORCAMENTOS!I2428)</f>
        <v>30631.64</v>
      </c>
      <c r="I2420" s="60">
        <f>IF(ORCAMENTOS!J2428="","",ORCAMENTOS!J2428)</f>
        <v>7.0000000000000007E-2</v>
      </c>
      <c r="J2420" s="40" t="str">
        <f>IF(ORCAMENTOS!L2428="","",ORCAMENTOS!L2428)</f>
        <v>CANCELADO</v>
      </c>
      <c r="K2420" s="34" t="str">
        <f>IF(ORCAMENTOS!M2428="","",ORCAMENTOS!M2428)</f>
        <v>-</v>
      </c>
      <c r="L2420" t="str">
        <f>IF(ORCAMENTOS!R2428="","",ORCAMENTOS!R2428)</f>
        <v>-</v>
      </c>
    </row>
    <row r="2421" spans="1:12" ht="15.75" hidden="1" customHeight="1" x14ac:dyDescent="0.25">
      <c r="A2421" s="36">
        <f>IF(ORCAMENTOS!A2429="","",ORCAMENTOS!A2429)</f>
        <v>46064</v>
      </c>
      <c r="B2421" s="46">
        <f>IF(ORCAMENTOS!B2429="","",ORCAMENTOS!B2429)</f>
        <v>244</v>
      </c>
      <c r="C2421" s="46" t="str">
        <f>IF(ORCAMENTOS!C2429="","",ORCAMENTOS!C2429)</f>
        <v/>
      </c>
      <c r="D2421" s="37" t="str">
        <f>IF(ORCAMENTOS!D2429="","",ORCAMENTOS!D2429)</f>
        <v>SO AR CLIMATIZACAO</v>
      </c>
      <c r="E2421" s="38" t="str">
        <f>IF(ORCAMENTOS!E2429="","",ORCAMENTOS!E2429)</f>
        <v>-</v>
      </c>
      <c r="F2421" s="37" t="str">
        <f>IF(ORCAMENTOS!G2429="","",ORCAMENTOS!G2429)</f>
        <v>Gabriel</v>
      </c>
      <c r="G2421" s="37" t="str">
        <f>IF(ORCAMENTOS!H2429="","",ORCAMENTOS!H2429)</f>
        <v>Gabriel</v>
      </c>
      <c r="H2421" s="39">
        <f>IF(ORCAMENTOS!I2429="","",ORCAMENTOS!I2429)</f>
        <v>11502.88</v>
      </c>
      <c r="I2421" s="60">
        <f>IF(ORCAMENTOS!J2429="","",ORCAMENTOS!J2429)</f>
        <v>0.06</v>
      </c>
      <c r="J2421" s="40" t="str">
        <f>IF(ORCAMENTOS!L2429="","",ORCAMENTOS!L2429)</f>
        <v>COMPRA</v>
      </c>
      <c r="K2421" s="34" t="str">
        <f>IF(ORCAMENTOS!M2429="","",ORCAMENTOS!M2429)</f>
        <v>-</v>
      </c>
      <c r="L2421" t="str">
        <f>IF(ORCAMENTOS!R2429="","",ORCAMENTOS!R2429)</f>
        <v>-</v>
      </c>
    </row>
    <row r="2422" spans="1:12" ht="15.75" hidden="1" customHeight="1" x14ac:dyDescent="0.25">
      <c r="A2422" s="36">
        <f>IF(ORCAMENTOS!A2430="","",ORCAMENTOS!A2430)</f>
        <v>46064</v>
      </c>
      <c r="B2422" s="46">
        <f>IF(ORCAMENTOS!B2430="","",ORCAMENTOS!B2430)</f>
        <v>245</v>
      </c>
      <c r="C2422" s="46" t="str">
        <f>IF(ORCAMENTOS!C2430="","",ORCAMENTOS!C2430)</f>
        <v/>
      </c>
      <c r="D2422" s="37" t="str">
        <f>IF(ORCAMENTOS!D2430="","",ORCAMENTOS!D2430)</f>
        <v>ENTHAL ENGENHARIA</v>
      </c>
      <c r="E2422" s="38" t="str">
        <f>IF(ORCAMENTOS!E2430="","",ORCAMENTOS!E2430)</f>
        <v>-</v>
      </c>
      <c r="F2422" s="37" t="str">
        <f>IF(ORCAMENTOS!G2430="","",ORCAMENTOS!G2430)</f>
        <v>Emanuel</v>
      </c>
      <c r="G2422" s="37" t="str">
        <f>IF(ORCAMENTOS!H2430="","",ORCAMENTOS!H2430)</f>
        <v>Ricardo</v>
      </c>
      <c r="H2422" s="39">
        <f>IF(ORCAMENTOS!I2430="","",ORCAMENTOS!I2430)</f>
        <v>2305.96</v>
      </c>
      <c r="I2422" s="60">
        <f>IF(ORCAMENTOS!J2430="","",ORCAMENTOS!J2430)</f>
        <v>7.0000000000000007E-2</v>
      </c>
      <c r="J2422" s="40" t="str">
        <f>IF(ORCAMENTOS!L2430="","",ORCAMENTOS!L2430)</f>
        <v>CANCELADO</v>
      </c>
      <c r="K2422" s="34" t="str">
        <f>IF(ORCAMENTOS!M2430="","",ORCAMENTOS!M2430)</f>
        <v>-</v>
      </c>
      <c r="L2422" t="str">
        <f>IF(ORCAMENTOS!R2430="","",ORCAMENTOS!R2430)</f>
        <v>-</v>
      </c>
    </row>
    <row r="2423" spans="1:12" ht="15.75" hidden="1" customHeight="1" x14ac:dyDescent="0.25">
      <c r="A2423" s="36">
        <f>IF(ORCAMENTOS!A2431="","",ORCAMENTOS!A2431)</f>
        <v>46064</v>
      </c>
      <c r="B2423" s="46">
        <f>IF(ORCAMENTOS!B2431="","",ORCAMENTOS!B2431)</f>
        <v>246</v>
      </c>
      <c r="C2423" s="46" t="str">
        <f>IF(ORCAMENTOS!C2431="","",ORCAMENTOS!C2431)</f>
        <v/>
      </c>
      <c r="D2423" s="37" t="str">
        <f>IF(ORCAMENTOS!D2431="","",ORCAMENTOS!D2431)</f>
        <v>SERTTA CLIMATIZACAO</v>
      </c>
      <c r="E2423" s="38" t="str">
        <f>IF(ORCAMENTOS!E2431="","",ORCAMENTOS!E2431)</f>
        <v>MEDCOF</v>
      </c>
      <c r="F2423" s="37" t="str">
        <f>IF(ORCAMENTOS!G2431="","",ORCAMENTOS!G2431)</f>
        <v>Emanuel</v>
      </c>
      <c r="G2423" s="37" t="str">
        <f>IF(ORCAMENTOS!H2431="","",ORCAMENTOS!H2431)</f>
        <v>Liliane</v>
      </c>
      <c r="H2423" s="39">
        <f>IF(ORCAMENTOS!I2431="","",ORCAMENTOS!I2431)</f>
        <v>14246.99</v>
      </c>
      <c r="I2423" s="60">
        <f>IF(ORCAMENTOS!J2431="","",ORCAMENTOS!J2431)</f>
        <v>7.0000000000000007E-2</v>
      </c>
      <c r="J2423" s="40" t="str">
        <f>IF(ORCAMENTOS!L2431="","",ORCAMENTOS!L2431)</f>
        <v>CANCELADO</v>
      </c>
      <c r="K2423" s="34" t="str">
        <f>IF(ORCAMENTOS!M2431="","",ORCAMENTOS!M2431)</f>
        <v>OBRA DA AR SISTEMAS</v>
      </c>
      <c r="L2423" t="str">
        <f>IF(ORCAMENTOS!R2431="","",ORCAMENTOS!R2431)</f>
        <v>-</v>
      </c>
    </row>
    <row r="2424" spans="1:12" ht="15.75" hidden="1" customHeight="1" x14ac:dyDescent="0.25">
      <c r="A2424" s="36">
        <f>IF(ORCAMENTOS!A2432="","",ORCAMENTOS!A2432)</f>
        <v>46064</v>
      </c>
      <c r="B2424" s="46">
        <f>IF(ORCAMENTOS!B2432="","",ORCAMENTOS!B2432)</f>
        <v>247</v>
      </c>
      <c r="C2424" s="46" t="str">
        <f>IF(ORCAMENTOS!C2432="","",ORCAMENTOS!C2432)</f>
        <v/>
      </c>
      <c r="D2424" s="37" t="str">
        <f>IF(ORCAMENTOS!D2432="","",ORCAMENTOS!D2432)</f>
        <v>JAILSON BARBOSA</v>
      </c>
      <c r="E2424" s="38" t="str">
        <f>IF(ORCAMENTOS!E2432="","",ORCAMENTOS!E2432)</f>
        <v>EDIFICIO MIRAGE</v>
      </c>
      <c r="F2424" s="37" t="str">
        <f>IF(ORCAMENTOS!G2432="","",ORCAMENTOS!G2432)</f>
        <v>Michel</v>
      </c>
      <c r="G2424" s="37" t="str">
        <f>IF(ORCAMENTOS!H2432="","",ORCAMENTOS!H2432)</f>
        <v>Jailson</v>
      </c>
      <c r="H2424" s="39">
        <f>IF(ORCAMENTOS!I2432="","",ORCAMENTOS!I2432)</f>
        <v>4908.3599999999997</v>
      </c>
      <c r="I2424" s="60">
        <f>IF(ORCAMENTOS!J2432="","",ORCAMENTOS!J2432)</f>
        <v>0.03</v>
      </c>
      <c r="J2424" s="40" t="str">
        <f>IF(ORCAMENTOS!L2432="","",ORCAMENTOS!L2432)</f>
        <v>PERDIDO</v>
      </c>
      <c r="K2424" s="34" t="str">
        <f>IF(ORCAMENTOS!M2432="","",ORCAMENTOS!M2432)</f>
        <v>ARCOTEC - PREÇO</v>
      </c>
      <c r="L2424" t="str">
        <f>IF(ORCAMENTOS!R2432="","",ORCAMENTOS!R2432)</f>
        <v>-</v>
      </c>
    </row>
    <row r="2425" spans="1:12" ht="15.75" hidden="1" customHeight="1" x14ac:dyDescent="0.25">
      <c r="A2425" s="36">
        <f>IF(ORCAMENTOS!A2433="","",ORCAMENTOS!A2433)</f>
        <v>46064</v>
      </c>
      <c r="B2425" s="46">
        <f>IF(ORCAMENTOS!B2433="","",ORCAMENTOS!B2433)</f>
        <v>248</v>
      </c>
      <c r="C2425" s="46" t="str">
        <f>IF(ORCAMENTOS!C2433="","",ORCAMENTOS!C2433)</f>
        <v/>
      </c>
      <c r="D2425" s="37" t="str">
        <f>IF(ORCAMENTOS!D2433="","",ORCAMENTOS!D2433)</f>
        <v>RICH ENGENHARIA</v>
      </c>
      <c r="E2425" s="38" t="str">
        <f>IF(ORCAMENTOS!E2433="","",ORCAMENTOS!E2433)</f>
        <v>P&amp;D HERSHEYS - SÃO ROQUE - SP</v>
      </c>
      <c r="F2425" s="37" t="str">
        <f>IF(ORCAMENTOS!G2433="","",ORCAMENTOS!G2433)</f>
        <v>Guilherme</v>
      </c>
      <c r="G2425" s="37" t="str">
        <f>IF(ORCAMENTOS!H2433="","",ORCAMENTOS!H2433)</f>
        <v>Ricardo</v>
      </c>
      <c r="H2425" s="39">
        <f>IF(ORCAMENTOS!I2433="","",ORCAMENTOS!I2433)</f>
        <v>12638.5</v>
      </c>
      <c r="I2425" s="60">
        <f>IF(ORCAMENTOS!J2433="","",ORCAMENTOS!J2433)</f>
        <v>7.0000000000000007E-2</v>
      </c>
      <c r="J2425" s="40" t="str">
        <f>IF(ORCAMENTOS!L2433="","",ORCAMENTOS!L2433)</f>
        <v>FECHADO</v>
      </c>
      <c r="K2425" s="34" t="str">
        <f>IF(ORCAMENTOS!M2433="","",ORCAMENTOS!M2433)</f>
        <v>-</v>
      </c>
      <c r="L2425" t="str">
        <f>IF(ORCAMENTOS!R2433="","",ORCAMENTOS!R2433)</f>
        <v>MPU</v>
      </c>
    </row>
    <row r="2426" spans="1:12" ht="15.75" hidden="1" customHeight="1" x14ac:dyDescent="0.25">
      <c r="A2426" s="36">
        <f>IF(ORCAMENTOS!A2434="","",ORCAMENTOS!A2434)</f>
        <v>46064</v>
      </c>
      <c r="B2426" s="46">
        <f>IF(ORCAMENTOS!B2434="","",ORCAMENTOS!B2434)</f>
        <v>249</v>
      </c>
      <c r="C2426" s="46" t="str">
        <f>IF(ORCAMENTOS!C2434="","",ORCAMENTOS!C2434)</f>
        <v/>
      </c>
      <c r="D2426" s="37" t="str">
        <f>IF(ORCAMENTOS!D2434="","",ORCAMENTOS!D2434)</f>
        <v>AIR NET</v>
      </c>
      <c r="E2426" s="38" t="str">
        <f>IF(ORCAMENTOS!E2434="","",ORCAMENTOS!E2434)</f>
        <v>HOSPITAL - CAPAO BONITO</v>
      </c>
      <c r="F2426" s="37" t="str">
        <f>IF(ORCAMENTOS!G2434="","",ORCAMENTOS!G2434)</f>
        <v>Fernando</v>
      </c>
      <c r="G2426" s="37" t="str">
        <f>IF(ORCAMENTOS!H2434="","",ORCAMENTOS!H2434)</f>
        <v>Domicio</v>
      </c>
      <c r="H2426" s="39">
        <f>IF(ORCAMENTOS!I2434="","",ORCAMENTOS!I2434)</f>
        <v>46136.47</v>
      </c>
      <c r="I2426" s="60">
        <f>IF(ORCAMENTOS!J2434="","",ORCAMENTOS!J2434)</f>
        <v>7.0000000000000007E-2</v>
      </c>
      <c r="J2426" s="40" t="str">
        <f>IF(ORCAMENTOS!L2434="","",ORCAMENTOS!L2434)</f>
        <v>ORCAMENTO</v>
      </c>
      <c r="K2426" s="34" t="str">
        <f>IF(ORCAMENTOS!M2434="","",ORCAMENTOS!M2434)</f>
        <v>-</v>
      </c>
      <c r="L2426" t="str">
        <f>IF(ORCAMENTOS!R2434="","",ORCAMENTOS!R2434)</f>
        <v>-</v>
      </c>
    </row>
    <row r="2427" spans="1:12" ht="15.75" hidden="1" customHeight="1" x14ac:dyDescent="0.25">
      <c r="A2427" s="36">
        <f>IF(ORCAMENTOS!A2435="","",ORCAMENTOS!A2435)</f>
        <v>46064</v>
      </c>
      <c r="B2427" s="46">
        <f>IF(ORCAMENTOS!B2435="","",ORCAMENTOS!B2435)</f>
        <v>250</v>
      </c>
      <c r="C2427" s="46" t="str">
        <f>IF(ORCAMENTOS!C2435="","",ORCAMENTOS!C2435)</f>
        <v/>
      </c>
      <c r="D2427" s="37" t="str">
        <f>IF(ORCAMENTOS!D2435="","",ORCAMENTOS!D2435)</f>
        <v>YAMA ENGENHARIA</v>
      </c>
      <c r="E2427" s="38" t="str">
        <f>IF(ORCAMENTOS!E2435="","",ORCAMENTOS!E2435)</f>
        <v>RESIDENCIA UNIFAMILIAR - DIEGO MESTRINER - ARACATUBA - SP</v>
      </c>
      <c r="F2427" s="37" t="str">
        <f>IF(ORCAMENTOS!G2435="","",ORCAMENTOS!G2435)</f>
        <v>Gabriel</v>
      </c>
      <c r="G2427" s="37" t="str">
        <f>IF(ORCAMENTOS!H2435="","",ORCAMENTOS!H2435)</f>
        <v/>
      </c>
      <c r="H2427" s="39">
        <f>IF(ORCAMENTOS!I2435="","",ORCAMENTOS!I2435)</f>
        <v>3721.27</v>
      </c>
      <c r="I2427" s="60">
        <f>IF(ORCAMENTOS!J2435="","",ORCAMENTOS!J2435)</f>
        <v>7.0000000000000007E-2</v>
      </c>
      <c r="J2427" s="40" t="str">
        <f>IF(ORCAMENTOS!L2435="","",ORCAMENTOS!L2435)</f>
        <v>CANCELADO</v>
      </c>
      <c r="K2427" s="34" t="str">
        <f>IF(ORCAMENTOS!M2435="","",ORCAMENTOS!M2435)</f>
        <v>-</v>
      </c>
      <c r="L2427" t="str">
        <f>IF(ORCAMENTOS!R2435="","",ORCAMENTOS!R2435)</f>
        <v>ACO GALVANIZADO</v>
      </c>
    </row>
    <row r="2428" spans="1:12" ht="15.75" hidden="1" customHeight="1" x14ac:dyDescent="0.25">
      <c r="A2428" s="36">
        <f>IF(ORCAMENTOS!A2436="","",ORCAMENTOS!A2436)</f>
        <v>46064</v>
      </c>
      <c r="B2428" s="46">
        <f>IF(ORCAMENTOS!B2436="","",ORCAMENTOS!B2436)</f>
        <v>251</v>
      </c>
      <c r="C2428" s="46" t="str">
        <f>IF(ORCAMENTOS!C2436="","",ORCAMENTOS!C2436)</f>
        <v/>
      </c>
      <c r="D2428" s="37" t="str">
        <f>IF(ORCAMENTOS!D2436="","",ORCAMENTOS!D2436)</f>
        <v>CIVIL AR</v>
      </c>
      <c r="E2428" s="38" t="str">
        <f>IF(ORCAMENTOS!E2436="","",ORCAMENTOS!E2436)</f>
        <v>CLE - TAMBORE</v>
      </c>
      <c r="F2428" s="37" t="str">
        <f>IF(ORCAMENTOS!G2436="","",ORCAMENTOS!G2436)</f>
        <v>Fernando</v>
      </c>
      <c r="G2428" s="37" t="str">
        <f>IF(ORCAMENTOS!H2436="","",ORCAMENTOS!H2436)</f>
        <v>Carmen</v>
      </c>
      <c r="H2428" s="39">
        <f>IF(ORCAMENTOS!I2436="","",ORCAMENTOS!I2436)</f>
        <v>150200</v>
      </c>
      <c r="I2428" s="60">
        <f>IF(ORCAMENTOS!J2436="","",ORCAMENTOS!J2436)</f>
        <v>7.0000000000000007E-2</v>
      </c>
      <c r="J2428" s="40" t="str">
        <f>IF(ORCAMENTOS!L2436="","",ORCAMENTOS!L2436)</f>
        <v>CANCELADO</v>
      </c>
      <c r="K2428" s="34" t="str">
        <f>IF(ORCAMENTOS!M2436="","",ORCAMENTOS!M2436)</f>
        <v>PREV. MARÇO</v>
      </c>
      <c r="L2428" t="str">
        <f>IF(ORCAMENTOS!R2436="","",ORCAMENTOS!R2436)</f>
        <v>N/E</v>
      </c>
    </row>
    <row r="2429" spans="1:12" ht="15.75" hidden="1" customHeight="1" x14ac:dyDescent="0.25">
      <c r="A2429" s="36">
        <f>IF(ORCAMENTOS!A2437="","",ORCAMENTOS!A2437)</f>
        <v>46064</v>
      </c>
      <c r="B2429" s="46">
        <f>IF(ORCAMENTOS!B2437="","",ORCAMENTOS!B2437)</f>
        <v>252</v>
      </c>
      <c r="C2429" s="46" t="str">
        <f>IF(ORCAMENTOS!C2437="","",ORCAMENTOS!C2437)</f>
        <v/>
      </c>
      <c r="D2429" s="37" t="str">
        <f>IF(ORCAMENTOS!D2437="","",ORCAMENTOS!D2437)</f>
        <v>JAILSON BARBOSA</v>
      </c>
      <c r="E2429" s="38" t="str">
        <f>IF(ORCAMENTOS!E2437="","",ORCAMENTOS!E2437)</f>
        <v>-</v>
      </c>
      <c r="F2429" s="37" t="str">
        <f>IF(ORCAMENTOS!G2437="","",ORCAMENTOS!G2437)</f>
        <v>Michel</v>
      </c>
      <c r="G2429" s="37" t="str">
        <f>IF(ORCAMENTOS!H2437="","",ORCAMENTOS!H2437)</f>
        <v>Jailson</v>
      </c>
      <c r="H2429" s="39">
        <f>IF(ORCAMENTOS!I2437="","",ORCAMENTOS!I2437)</f>
        <v>5007.1899999999996</v>
      </c>
      <c r="I2429" s="60">
        <f>IF(ORCAMENTOS!J2437="","",ORCAMENTOS!J2437)</f>
        <v>0.03</v>
      </c>
      <c r="J2429" s="40" t="str">
        <f>IF(ORCAMENTOS!L2437="","",ORCAMENTOS!L2437)</f>
        <v>PERDIDO</v>
      </c>
      <c r="K2429" s="34" t="str">
        <f>IF(ORCAMENTOS!M2437="","",ORCAMENTOS!M2437)</f>
        <v>ARCOTEC - PREÇO</v>
      </c>
      <c r="L2429" t="str">
        <f>IF(ORCAMENTOS!R2437="","",ORCAMENTOS!R2437)</f>
        <v>-</v>
      </c>
    </row>
    <row r="2430" spans="1:12" ht="15.75" hidden="1" customHeight="1" x14ac:dyDescent="0.25">
      <c r="A2430" s="36">
        <f>IF(ORCAMENTOS!A2438="","",ORCAMENTOS!A2438)</f>
        <v>46065</v>
      </c>
      <c r="B2430" s="46">
        <f>IF(ORCAMENTOS!B2438="","",ORCAMENTOS!B2438)</f>
        <v>253</v>
      </c>
      <c r="C2430" s="46" t="str">
        <f>IF(ORCAMENTOS!C2438="","",ORCAMENTOS!C2438)</f>
        <v/>
      </c>
      <c r="D2430" s="37" t="str">
        <f>IF(ORCAMENTOS!D2438="","",ORCAMENTOS!D2438)</f>
        <v>NP CLIMATIZAÇÃO</v>
      </c>
      <c r="E2430" s="38" t="str">
        <f>IF(ORCAMENTOS!E2438="","",ORCAMENTOS!E2438)</f>
        <v>AC - JUSTUS</v>
      </c>
      <c r="F2430" s="37" t="str">
        <f>IF(ORCAMENTOS!G2438="","",ORCAMENTOS!G2438)</f>
        <v>Guilherme</v>
      </c>
      <c r="G2430" s="37" t="str">
        <f>IF(ORCAMENTOS!H2438="","",ORCAMENTOS!H2438)</f>
        <v>Maria</v>
      </c>
      <c r="H2430" s="39">
        <f>IF(ORCAMENTOS!I2438="","",ORCAMENTOS!I2438)</f>
        <v>72061.48</v>
      </c>
      <c r="I2430" s="60">
        <f>IF(ORCAMENTOS!J2438="","",ORCAMENTOS!J2438)</f>
        <v>7.0000000000000007E-2</v>
      </c>
      <c r="J2430" s="40" t="str">
        <f>IF(ORCAMENTOS!L2438="","",ORCAMENTOS!L2438)</f>
        <v>CANCELADO</v>
      </c>
      <c r="K2430" s="34" t="str">
        <f>IF(ORCAMENTOS!M2438="","",ORCAMENTOS!M2438)</f>
        <v>-</v>
      </c>
      <c r="L2430" t="str">
        <f>IF(ORCAMENTOS!R2438="","",ORCAMENTOS!R2438)</f>
        <v>-</v>
      </c>
    </row>
    <row r="2431" spans="1:12" ht="15.75" hidden="1" customHeight="1" x14ac:dyDescent="0.25">
      <c r="A2431" s="36">
        <f>IF(ORCAMENTOS!A2439="","",ORCAMENTOS!A2439)</f>
        <v>46065</v>
      </c>
      <c r="B2431" s="46">
        <f>IF(ORCAMENTOS!B2439="","",ORCAMENTOS!B2439)</f>
        <v>254</v>
      </c>
      <c r="C2431" s="46" t="str">
        <f>IF(ORCAMENTOS!C2439="","",ORCAMENTOS!C2439)</f>
        <v/>
      </c>
      <c r="D2431" s="37" t="str">
        <f>IF(ORCAMENTOS!D2439="","",ORCAMENTOS!D2439)</f>
        <v>AR CLEAN</v>
      </c>
      <c r="E2431" s="38" t="str">
        <f>IF(ORCAMENTOS!E2439="","",ORCAMENTOS!E2439)</f>
        <v>ESTUDIO MODULO - CURY - CENTRO CULTURAL - RIO AFRICA - RJ</v>
      </c>
      <c r="F2431" s="37" t="str">
        <f>IF(ORCAMENTOS!G2439="","",ORCAMENTOS!G2439)</f>
        <v xml:space="preserve">Aldavir </v>
      </c>
      <c r="G2431" s="37" t="str">
        <f>IF(ORCAMENTOS!H2439="","",ORCAMENTOS!H2439)</f>
        <v>Caio</v>
      </c>
      <c r="H2431" s="39">
        <f>IF(ORCAMENTOS!I2439="","",ORCAMENTOS!I2439)</f>
        <v>122014.18</v>
      </c>
      <c r="I2431" s="60">
        <f>IF(ORCAMENTOS!J2439="","",ORCAMENTOS!J2439)</f>
        <v>7.0000000000000007E-2</v>
      </c>
      <c r="J2431" s="40" t="str">
        <f>IF(ORCAMENTOS!L2439="","",ORCAMENTOS!L2439)</f>
        <v>CANCELADO</v>
      </c>
      <c r="K2431" s="34" t="str">
        <f>IF(ORCAMENTOS!M2439="","",ORCAMENTOS!M2439)</f>
        <v>-</v>
      </c>
      <c r="L2431" t="str">
        <f>IF(ORCAMENTOS!R2439="","",ORCAMENTOS!R2439)</f>
        <v/>
      </c>
    </row>
    <row r="2432" spans="1:12" ht="15.75" hidden="1" customHeight="1" x14ac:dyDescent="0.25">
      <c r="A2432" s="36">
        <f>IF(ORCAMENTOS!A2440="","",ORCAMENTOS!A2440)</f>
        <v>46065</v>
      </c>
      <c r="B2432" s="46">
        <f>IF(ORCAMENTOS!B2440="","",ORCAMENTOS!B2440)</f>
        <v>255</v>
      </c>
      <c r="C2432" s="46" t="str">
        <f>IF(ORCAMENTOS!C2440="","",ORCAMENTOS!C2440)</f>
        <v/>
      </c>
      <c r="D2432" s="37" t="str">
        <f>IF(ORCAMENTOS!D2440="","",ORCAMENTOS!D2440)</f>
        <v>AMS INSTALACOES</v>
      </c>
      <c r="E2432" s="38" t="str">
        <f>IF(ORCAMENTOS!E2440="","",ORCAMENTOS!E2440)</f>
        <v>FORT ATACADISTA 455 - ERECHIM - RS</v>
      </c>
      <c r="F2432" s="37" t="str">
        <f>IF(ORCAMENTOS!G2440="","",ORCAMENTOS!G2440)</f>
        <v>Gabriel</v>
      </c>
      <c r="G2432" s="37" t="str">
        <f>IF(ORCAMENTOS!H2440="","",ORCAMENTOS!H2440)</f>
        <v>Albertino</v>
      </c>
      <c r="H2432" s="39">
        <f>IF(ORCAMENTOS!I2440="","",ORCAMENTOS!I2440)</f>
        <v>131211.34</v>
      </c>
      <c r="I2432" s="60">
        <f>IF(ORCAMENTOS!J2440="","",ORCAMENTOS!J2440)</f>
        <v>7.0000000000000007E-2</v>
      </c>
      <c r="J2432" s="40" t="str">
        <f>IF(ORCAMENTOS!L2440="","",ORCAMENTOS!L2440)</f>
        <v>CANCELADO</v>
      </c>
      <c r="K2432" s="34" t="str">
        <f>IF(ORCAMENTOS!M2440="","",ORCAMENTOS!M2440)</f>
        <v>-</v>
      </c>
      <c r="L2432" t="str">
        <f>IF(ORCAMENTOS!R2440="","",ORCAMENTOS!R2440)</f>
        <v>MPU</v>
      </c>
    </row>
    <row r="2433" spans="1:12" ht="15.75" hidden="1" customHeight="1" x14ac:dyDescent="0.25">
      <c r="A2433" s="36">
        <f>IF(ORCAMENTOS!A2441="","",ORCAMENTOS!A2441)</f>
        <v>46066</v>
      </c>
      <c r="B2433" s="46">
        <f>IF(ORCAMENTOS!B2441="","",ORCAMENTOS!B2441)</f>
        <v>256</v>
      </c>
      <c r="C2433" s="46" t="str">
        <f>IF(ORCAMENTOS!C2441="","",ORCAMENTOS!C2441)</f>
        <v>R2</v>
      </c>
      <c r="D2433" s="37" t="str">
        <f>IF(ORCAMENTOS!D2441="","",ORCAMENTOS!D2441)</f>
        <v>DUCTBUSTERS</v>
      </c>
      <c r="E2433" s="38" t="str">
        <f>IF(ORCAMENTOS!E2441="","",ORCAMENTOS!E2441)</f>
        <v>-</v>
      </c>
      <c r="F2433" s="37" t="str">
        <f>IF(ORCAMENTOS!G2441="","",ORCAMENTOS!G2441)</f>
        <v>Michel</v>
      </c>
      <c r="G2433" s="37" t="str">
        <f>IF(ORCAMENTOS!H2441="","",ORCAMENTOS!H2441)</f>
        <v>Camila</v>
      </c>
      <c r="H2433" s="39">
        <f>IF(ORCAMENTOS!I2441="","",ORCAMENTOS!I2441)</f>
        <v>7588.04</v>
      </c>
      <c r="I2433" s="60">
        <f>IF(ORCAMENTOS!J2441="","",ORCAMENTOS!J2441)</f>
        <v>0.05</v>
      </c>
      <c r="J2433" s="40" t="str">
        <f>IF(ORCAMENTOS!L2441="","",ORCAMENTOS!L2441)</f>
        <v>FECHADO</v>
      </c>
      <c r="K2433" s="34" t="str">
        <f>IF(ORCAMENTOS!M2441="","",ORCAMENTOS!M2441)</f>
        <v>-</v>
      </c>
      <c r="L2433" t="str">
        <f>IF(ORCAMENTOS!R2441="","",ORCAMENTOS!R2441)</f>
        <v>-</v>
      </c>
    </row>
    <row r="2434" spans="1:12" ht="15.75" hidden="1" customHeight="1" x14ac:dyDescent="0.25">
      <c r="A2434" s="36">
        <f>IF(ORCAMENTOS!A2442="","",ORCAMENTOS!A2442)</f>
        <v>46065</v>
      </c>
      <c r="B2434" s="46">
        <f>IF(ORCAMENTOS!B2442="","",ORCAMENTOS!B2442)</f>
        <v>257</v>
      </c>
      <c r="C2434" s="46" t="str">
        <f>IF(ORCAMENTOS!C2442="","",ORCAMENTOS!C2442)</f>
        <v/>
      </c>
      <c r="D2434" s="37" t="str">
        <f>IF(ORCAMENTOS!D2442="","",ORCAMENTOS!D2442)</f>
        <v>AMS INSTALACOES</v>
      </c>
      <c r="E2434" s="38" t="str">
        <f>IF(ORCAMENTOS!E2442="","",ORCAMENTOS!E2442)</f>
        <v>FORT ATACADISTA 845 - MANOEL ELIAS - RS</v>
      </c>
      <c r="F2434" s="37" t="str">
        <f>IF(ORCAMENTOS!G2442="","",ORCAMENTOS!G2442)</f>
        <v>Gabriel</v>
      </c>
      <c r="G2434" s="37" t="str">
        <f>IF(ORCAMENTOS!H2442="","",ORCAMENTOS!H2442)</f>
        <v>Albertino</v>
      </c>
      <c r="H2434" s="39">
        <f>IF(ORCAMENTOS!I2442="","",ORCAMENTOS!I2442)</f>
        <v>129777.14</v>
      </c>
      <c r="I2434" s="60">
        <f>IF(ORCAMENTOS!J2442="","",ORCAMENTOS!J2442)</f>
        <v>7.0000000000000007E-2</v>
      </c>
      <c r="J2434" s="40" t="str">
        <f>IF(ORCAMENTOS!L2442="","",ORCAMENTOS!L2442)</f>
        <v>COMPRA</v>
      </c>
      <c r="K2434" s="34" t="str">
        <f>IF(ORCAMENTOS!M2442="","",ORCAMENTOS!M2442)</f>
        <v>-</v>
      </c>
      <c r="L2434" t="str">
        <f>IF(ORCAMENTOS!R2442="","",ORCAMENTOS!R2442)</f>
        <v>MPU</v>
      </c>
    </row>
    <row r="2435" spans="1:12" ht="15.75" hidden="1" customHeight="1" x14ac:dyDescent="0.25">
      <c r="A2435" s="36">
        <f>IF(ORCAMENTOS!A2443="","",ORCAMENTOS!A2443)</f>
        <v>46065</v>
      </c>
      <c r="B2435" s="46">
        <f>IF(ORCAMENTOS!B2443="","",ORCAMENTOS!B2443)</f>
        <v>258</v>
      </c>
      <c r="C2435" s="46" t="str">
        <f>IF(ORCAMENTOS!C2443="","",ORCAMENTOS!C2443)</f>
        <v/>
      </c>
      <c r="D2435" s="37" t="str">
        <f>IF(ORCAMENTOS!D2443="","",ORCAMENTOS!D2443)</f>
        <v>AMS INSTALACOES</v>
      </c>
      <c r="E2435" s="38" t="str">
        <f>IF(ORCAMENTOS!E2443="","",ORCAMENTOS!E2443)</f>
        <v>FORT ATACADISTA 400 - SÃO BENTO DO SUL - SC</v>
      </c>
      <c r="F2435" s="37" t="str">
        <f>IF(ORCAMENTOS!G2443="","",ORCAMENTOS!G2443)</f>
        <v>Gabriel</v>
      </c>
      <c r="G2435" s="37" t="str">
        <f>IF(ORCAMENTOS!H2443="","",ORCAMENTOS!H2443)</f>
        <v>Albertino</v>
      </c>
      <c r="H2435" s="39">
        <f>IF(ORCAMENTOS!I2443="","",ORCAMENTOS!I2443)</f>
        <v>118809.31</v>
      </c>
      <c r="I2435" s="60">
        <f>IF(ORCAMENTOS!J2443="","",ORCAMENTOS!J2443)</f>
        <v>7.0000000000000007E-2</v>
      </c>
      <c r="J2435" s="40" t="str">
        <f>IF(ORCAMENTOS!L2443="","",ORCAMENTOS!L2443)</f>
        <v>COMPRA</v>
      </c>
      <c r="K2435" s="34" t="str">
        <f>IF(ORCAMENTOS!M2443="","",ORCAMENTOS!M2443)</f>
        <v>-</v>
      </c>
      <c r="L2435" t="str">
        <f>IF(ORCAMENTOS!R2443="","",ORCAMENTOS!R2443)</f>
        <v>MPU</v>
      </c>
    </row>
    <row r="2436" spans="1:12" ht="15.75" hidden="1" customHeight="1" x14ac:dyDescent="0.25">
      <c r="A2436" s="36">
        <f>IF(ORCAMENTOS!A2444="","",ORCAMENTOS!A2444)</f>
        <v>46065</v>
      </c>
      <c r="B2436" s="46">
        <f>IF(ORCAMENTOS!B2444="","",ORCAMENTOS!B2444)</f>
        <v>259</v>
      </c>
      <c r="C2436" s="46" t="str">
        <f>IF(ORCAMENTOS!C2444="","",ORCAMENTOS!C2444)</f>
        <v/>
      </c>
      <c r="D2436" s="37" t="str">
        <f>IF(ORCAMENTOS!D2444="","",ORCAMENTOS!D2444)</f>
        <v>AWA AR CONDICIONADO</v>
      </c>
      <c r="E2436" s="38" t="str">
        <f>IF(ORCAMENTOS!E2444="","",ORCAMENTOS!E2444)</f>
        <v>ATACADAO - MATRIZ TATUAPE - SÃO PAULO -</v>
      </c>
      <c r="F2436" s="37" t="str">
        <f>IF(ORCAMENTOS!G2444="","",ORCAMENTOS!G2444)</f>
        <v>Guilherme</v>
      </c>
      <c r="G2436" s="37" t="str">
        <f>IF(ORCAMENTOS!H2444="","",ORCAMENTOS!H2444)</f>
        <v>Paula</v>
      </c>
      <c r="H2436" s="39">
        <f>IF(ORCAMENTOS!I2444="","",ORCAMENTOS!I2444)</f>
        <v>140503.63</v>
      </c>
      <c r="I2436" s="60">
        <f>IF(ORCAMENTOS!J2444="","",ORCAMENTOS!J2444)</f>
        <v>0.05</v>
      </c>
      <c r="J2436" s="40" t="str">
        <f>IF(ORCAMENTOS!L2444="","",ORCAMENTOS!L2444)</f>
        <v>CANCELADO</v>
      </c>
      <c r="K2436" s="34" t="str">
        <f>IF(ORCAMENTOS!M2444="","",ORCAMENTOS!M2444)</f>
        <v>-</v>
      </c>
      <c r="L2436" t="str">
        <f>IF(ORCAMENTOS!R2444="","",ORCAMENTOS!R2444)</f>
        <v>MPU</v>
      </c>
    </row>
    <row r="2437" spans="1:12" ht="15.75" hidden="1" customHeight="1" x14ac:dyDescent="0.25">
      <c r="A2437" s="36">
        <f>IF(ORCAMENTOS!A2445="","",ORCAMENTOS!A2445)</f>
        <v>46071</v>
      </c>
      <c r="B2437" s="46">
        <f>IF(ORCAMENTOS!B2445="","",ORCAMENTOS!B2445)</f>
        <v>260</v>
      </c>
      <c r="C2437" s="46" t="str">
        <f>IF(ORCAMENTOS!C2445="","",ORCAMENTOS!C2445)</f>
        <v>R1</v>
      </c>
      <c r="D2437" s="37" t="str">
        <f>IF(ORCAMENTOS!D2445="","",ORCAMENTOS!D2445)</f>
        <v>NEWSET</v>
      </c>
      <c r="E2437" s="38" t="str">
        <f>IF(ORCAMENTOS!E2445="","",ORCAMENTOS!E2445)</f>
        <v>REDE DOR - HOSPITAL SÃO LUIZ TATUAPÉ</v>
      </c>
      <c r="F2437" s="37" t="str">
        <f>IF(ORCAMENTOS!G2445="","",ORCAMENTOS!G2445)</f>
        <v xml:space="preserve">Aldavir </v>
      </c>
      <c r="G2437" s="37" t="str">
        <f>IF(ORCAMENTOS!H2445="","",ORCAMENTOS!H2445)</f>
        <v>Karina</v>
      </c>
      <c r="H2437" s="39">
        <f>IF(ORCAMENTOS!I2445="","",ORCAMENTOS!I2445)</f>
        <v>254628.97</v>
      </c>
      <c r="I2437" s="60">
        <f>IF(ORCAMENTOS!J2445="","",ORCAMENTOS!J2445)</f>
        <v>0.05</v>
      </c>
      <c r="J2437" s="40" t="str">
        <f>IF(ORCAMENTOS!L2445="","",ORCAMENTOS!L2445)</f>
        <v>CANCELADO</v>
      </c>
      <c r="K2437" s="34" t="str">
        <f>IF(ORCAMENTOS!M2445="","",ORCAMENTOS!M2445)</f>
        <v>-</v>
      </c>
      <c r="L2437" t="str">
        <f>IF(ORCAMENTOS!R2445="","",ORCAMENTOS!R2445)</f>
        <v>-</v>
      </c>
    </row>
    <row r="2438" spans="1:12" ht="15.75" hidden="1" customHeight="1" x14ac:dyDescent="0.25">
      <c r="A2438" s="36">
        <f>IF(ORCAMENTOS!A2446="","",ORCAMENTOS!A2446)</f>
        <v>46065</v>
      </c>
      <c r="B2438" s="46">
        <f>IF(ORCAMENTOS!B2446="","",ORCAMENTOS!B2446)</f>
        <v>261</v>
      </c>
      <c r="C2438" s="46" t="str">
        <f>IF(ORCAMENTOS!C2446="","",ORCAMENTOS!C2446)</f>
        <v/>
      </c>
      <c r="D2438" s="37" t="str">
        <f>IF(ORCAMENTOS!D2446="","",ORCAMENTOS!D2446)</f>
        <v>M&amp;M ENGENHARIA</v>
      </c>
      <c r="E2438" s="38" t="str">
        <f>IF(ORCAMENTOS!E2446="","",ORCAMENTOS!E2446)</f>
        <v>HOSPITAL - CAPAO REDONDO</v>
      </c>
      <c r="F2438" s="37" t="str">
        <f>IF(ORCAMENTOS!G2446="","",ORCAMENTOS!G2446)</f>
        <v>Emanuel</v>
      </c>
      <c r="G2438" s="37" t="str">
        <f>IF(ORCAMENTOS!H2446="","",ORCAMENTOS!H2446)</f>
        <v>Janaina</v>
      </c>
      <c r="H2438" s="39">
        <f>IF(ORCAMENTOS!I2446="","",ORCAMENTOS!I2446)</f>
        <v>59742.04</v>
      </c>
      <c r="I2438" s="60">
        <f>IF(ORCAMENTOS!J2446="","",ORCAMENTOS!J2446)</f>
        <v>7.0000000000000007E-2</v>
      </c>
      <c r="J2438" s="40" t="str">
        <f>IF(ORCAMENTOS!L2446="","",ORCAMENTOS!L2446)</f>
        <v>ORCAMENTO</v>
      </c>
      <c r="K2438" s="34" t="str">
        <f>IF(ORCAMENTOS!M2446="","",ORCAMENTOS!M2446)</f>
        <v>-</v>
      </c>
      <c r="L2438" t="str">
        <f>IF(ORCAMENTOS!R2446="","",ORCAMENTOS!R2446)</f>
        <v>-</v>
      </c>
    </row>
    <row r="2439" spans="1:12" ht="15.75" hidden="1" customHeight="1" x14ac:dyDescent="0.25">
      <c r="A2439" s="36">
        <f>IF(ORCAMENTOS!A2447="","",ORCAMENTOS!A2447)</f>
        <v>46066</v>
      </c>
      <c r="B2439" s="46">
        <f>IF(ORCAMENTOS!B2447="","",ORCAMENTOS!B2447)</f>
        <v>262</v>
      </c>
      <c r="C2439" s="46" t="str">
        <f>IF(ORCAMENTOS!C2447="","",ORCAMENTOS!C2447)</f>
        <v/>
      </c>
      <c r="D2439" s="37" t="str">
        <f>IF(ORCAMENTOS!D2447="","",ORCAMENTOS!D2447)</f>
        <v>ABS CONSTRUCOES</v>
      </c>
      <c r="E2439" s="38" t="str">
        <f>IF(ORCAMENTOS!E2447="","",ORCAMENTOS!E2447)</f>
        <v>-</v>
      </c>
      <c r="F2439" s="37" t="str">
        <f>IF(ORCAMENTOS!G2447="","",ORCAMENTOS!G2447)</f>
        <v>Gabriel</v>
      </c>
      <c r="G2439" s="37" t="str">
        <f>IF(ORCAMENTOS!H2447="","",ORCAMENTOS!H2447)</f>
        <v>Adriana</v>
      </c>
      <c r="H2439" s="39">
        <f>IF(ORCAMENTOS!I2447="","",ORCAMENTOS!I2447)</f>
        <v>9045.73</v>
      </c>
      <c r="I2439" s="60">
        <f>IF(ORCAMENTOS!J2447="","",ORCAMENTOS!J2447)</f>
        <v>7.0000000000000007E-2</v>
      </c>
      <c r="J2439" s="40" t="str">
        <f>IF(ORCAMENTOS!L2447="","",ORCAMENTOS!L2447)</f>
        <v>CANCELADO</v>
      </c>
      <c r="K2439" s="34" t="str">
        <f>IF(ORCAMENTOS!M2447="","",ORCAMENTOS!M2447)</f>
        <v>-</v>
      </c>
      <c r="L2439" t="str">
        <f>IF(ORCAMENTOS!R2447="","",ORCAMENTOS!R2447)</f>
        <v>-</v>
      </c>
    </row>
    <row r="2440" spans="1:12" ht="15.75" hidden="1" customHeight="1" x14ac:dyDescent="0.25">
      <c r="A2440" s="36">
        <f>IF(ORCAMENTOS!A2448="","",ORCAMENTOS!A2448)</f>
        <v>46066</v>
      </c>
      <c r="B2440" s="46">
        <f>IF(ORCAMENTOS!B2448="","",ORCAMENTOS!B2448)</f>
        <v>263</v>
      </c>
      <c r="C2440" s="46" t="str">
        <f>IF(ORCAMENTOS!C2448="","",ORCAMENTOS!C2448)</f>
        <v/>
      </c>
      <c r="D2440" s="37" t="str">
        <f>IF(ORCAMENTOS!D2448="","",ORCAMENTOS!D2448)</f>
        <v>LKT AR CONDICIONADO</v>
      </c>
      <c r="E2440" s="38" t="str">
        <f>IF(ORCAMENTOS!E2448="","",ORCAMENTOS!E2448)</f>
        <v>ABB</v>
      </c>
      <c r="F2440" s="37" t="str">
        <f>IF(ORCAMENTOS!G2448="","",ORCAMENTOS!G2448)</f>
        <v>Fernando</v>
      </c>
      <c r="G2440" s="37" t="str">
        <f>IF(ORCAMENTOS!H2448="","",ORCAMENTOS!H2448)</f>
        <v>Nicolas</v>
      </c>
      <c r="H2440" s="39">
        <f>IF(ORCAMENTOS!I2448="","",ORCAMENTOS!I2448)</f>
        <v>3026.05</v>
      </c>
      <c r="I2440" s="60">
        <f>IF(ORCAMENTOS!J2448="","",ORCAMENTOS!J2448)</f>
        <v>7.0000000000000007E-2</v>
      </c>
      <c r="J2440" s="40" t="str">
        <f>IF(ORCAMENTOS!L2448="","",ORCAMENTOS!L2448)</f>
        <v>CANCELADO</v>
      </c>
      <c r="K2440" s="34" t="str">
        <f>IF(ORCAMENTOS!M2448="","",ORCAMENTOS!M2448)</f>
        <v>-</v>
      </c>
      <c r="L2440" t="str">
        <f>IF(ORCAMENTOS!R2448="","",ORCAMENTOS!R2448)</f>
        <v>-</v>
      </c>
    </row>
    <row r="2441" spans="1:12" ht="15.75" hidden="1" customHeight="1" x14ac:dyDescent="0.25">
      <c r="A2441" s="36">
        <f>IF(ORCAMENTOS!A2449="","",ORCAMENTOS!A2449)</f>
        <v>46071</v>
      </c>
      <c r="B2441" s="46">
        <f>IF(ORCAMENTOS!B2449="","",ORCAMENTOS!B2449)</f>
        <v>264</v>
      </c>
      <c r="C2441" s="46" t="str">
        <f>IF(ORCAMENTOS!C2449="","",ORCAMENTOS!C2449)</f>
        <v>R1</v>
      </c>
      <c r="D2441" s="37" t="str">
        <f>IF(ORCAMENTOS!D2449="","",ORCAMENTOS!D2449)</f>
        <v>TECNOVENTI</v>
      </c>
      <c r="E2441" s="38" t="str">
        <f>IF(ORCAMENTOS!E2449="","",ORCAMENTOS!E2449)</f>
        <v>ABB</v>
      </c>
      <c r="F2441" s="37" t="str">
        <f>IF(ORCAMENTOS!G2449="","",ORCAMENTOS!G2449)</f>
        <v>Gabriel</v>
      </c>
      <c r="G2441" s="37" t="str">
        <f>IF(ORCAMENTOS!H2449="","",ORCAMENTOS!H2449)</f>
        <v>Nathan</v>
      </c>
      <c r="H2441" s="39">
        <f>IF(ORCAMENTOS!I2449="","",ORCAMENTOS!I2449)</f>
        <v>12128.35</v>
      </c>
      <c r="I2441" s="60">
        <f>IF(ORCAMENTOS!J2449="","",ORCAMENTOS!J2449)</f>
        <v>0.04</v>
      </c>
      <c r="J2441" s="40" t="str">
        <f>IF(ORCAMENTOS!L2449="","",ORCAMENTOS!L2449)</f>
        <v>FECHADO</v>
      </c>
      <c r="K2441" s="34" t="str">
        <f>IF(ORCAMENTOS!M2449="","",ORCAMENTOS!M2449)</f>
        <v>-</v>
      </c>
      <c r="L2441" t="str">
        <f>IF(ORCAMENTOS!R2449="","",ORCAMENTOS!R2449)</f>
        <v>-</v>
      </c>
    </row>
    <row r="2442" spans="1:12" ht="15.75" hidden="1" customHeight="1" x14ac:dyDescent="0.25">
      <c r="A2442" s="36">
        <f>IF(ORCAMENTOS!A2450="","",ORCAMENTOS!A2450)</f>
        <v>46066</v>
      </c>
      <c r="B2442" s="46">
        <f>IF(ORCAMENTOS!B2450="","",ORCAMENTOS!B2450)</f>
        <v>265</v>
      </c>
      <c r="C2442" s="46" t="str">
        <f>IF(ORCAMENTOS!C2450="","",ORCAMENTOS!C2450)</f>
        <v>R1</v>
      </c>
      <c r="D2442" s="37" t="str">
        <f>IF(ORCAMENTOS!D2450="","",ORCAMENTOS!D2450)</f>
        <v>ENGEMAC</v>
      </c>
      <c r="E2442" s="38" t="str">
        <f>IF(ORCAMENTOS!E2450="","",ORCAMENTOS!E2450)</f>
        <v>SMART FIT - PENHA - SAO PAULO - SP</v>
      </c>
      <c r="F2442" s="37" t="str">
        <f>IF(ORCAMENTOS!G2450="","",ORCAMENTOS!G2450)</f>
        <v>Fernando</v>
      </c>
      <c r="G2442" s="37" t="str">
        <f>IF(ORCAMENTOS!H2450="","",ORCAMENTOS!H2450)</f>
        <v>Edmilson</v>
      </c>
      <c r="H2442" s="39">
        <f>IF(ORCAMENTOS!I2450="","",ORCAMENTOS!I2450)</f>
        <v>13030.42</v>
      </c>
      <c r="I2442" s="60">
        <f>IF(ORCAMENTOS!J2450="","",ORCAMENTOS!J2450)</f>
        <v>0.03</v>
      </c>
      <c r="J2442" s="40" t="str">
        <f>IF(ORCAMENTOS!L2450="","",ORCAMENTOS!L2450)</f>
        <v>PERDIDO</v>
      </c>
      <c r="K2442" s="34" t="str">
        <f>IF(ORCAMENTOS!M2450="","",ORCAMENTOS!M2450)</f>
        <v>MULTIVAC - ESTOQUE</v>
      </c>
      <c r="L2442" t="str">
        <f>IF(ORCAMENTOS!R2450="","",ORCAMENTOS!R2450)</f>
        <v>-</v>
      </c>
    </row>
    <row r="2443" spans="1:12" ht="15.75" hidden="1" customHeight="1" x14ac:dyDescent="0.25">
      <c r="A2443" s="36">
        <f>IF(ORCAMENTOS!A2451="","",ORCAMENTOS!A2451)</f>
        <v>46066</v>
      </c>
      <c r="B2443" s="46">
        <f>IF(ORCAMENTOS!B2451="","",ORCAMENTOS!B2451)</f>
        <v>266</v>
      </c>
      <c r="C2443" s="46" t="str">
        <f>IF(ORCAMENTOS!C2451="","",ORCAMENTOS!C2451)</f>
        <v/>
      </c>
      <c r="D2443" s="37" t="str">
        <f>IF(ORCAMENTOS!D2451="","",ORCAMENTOS!D2451)</f>
        <v>VELTTER ENGENHARIA</v>
      </c>
      <c r="E2443" s="38" t="str">
        <f>IF(ORCAMENTOS!E2451="","",ORCAMENTOS!E2451)</f>
        <v>RESIDENCIA RODRIGO - OURINHOS - SP</v>
      </c>
      <c r="F2443" s="37" t="str">
        <f>IF(ORCAMENTOS!G2451="","",ORCAMENTOS!G2451)</f>
        <v>Gabriel</v>
      </c>
      <c r="G2443" s="37" t="str">
        <f>IF(ORCAMENTOS!H2451="","",ORCAMENTOS!H2451)</f>
        <v>Guilherme</v>
      </c>
      <c r="H2443" s="39">
        <f>IF(ORCAMENTOS!I2451="","",ORCAMENTOS!I2451)</f>
        <v>14246.22</v>
      </c>
      <c r="I2443" s="60">
        <f>IF(ORCAMENTOS!J2451="","",ORCAMENTOS!J2451)</f>
        <v>7.0000000000000007E-2</v>
      </c>
      <c r="J2443" s="40" t="str">
        <f>IF(ORCAMENTOS!L2451="","",ORCAMENTOS!L2451)</f>
        <v>CANCELADO</v>
      </c>
      <c r="K2443" s="34" t="str">
        <f>IF(ORCAMENTOS!M2451="","",ORCAMENTOS!M2451)</f>
        <v>-</v>
      </c>
      <c r="L2443" t="str">
        <f>IF(ORCAMENTOS!R2451="","",ORCAMENTOS!R2451)</f>
        <v>N/E</v>
      </c>
    </row>
    <row r="2444" spans="1:12" ht="15.75" hidden="1" customHeight="1" x14ac:dyDescent="0.25">
      <c r="A2444" s="36">
        <f>IF(ORCAMENTOS!A2452="","",ORCAMENTOS!A2452)</f>
        <v>46066</v>
      </c>
      <c r="B2444" s="46">
        <f>IF(ORCAMENTOS!B2452="","",ORCAMENTOS!B2452)</f>
        <v>267</v>
      </c>
      <c r="C2444" s="46" t="str">
        <f>IF(ORCAMENTOS!C2452="","",ORCAMENTOS!C2452)</f>
        <v/>
      </c>
      <c r="D2444" s="37" t="str">
        <f>IF(ORCAMENTOS!D2452="","",ORCAMENTOS!D2452)</f>
        <v>AIR SOLUTION</v>
      </c>
      <c r="E2444" s="38" t="str">
        <f>IF(ORCAMENTOS!E2452="","",ORCAMENTOS!E2452)</f>
        <v>-</v>
      </c>
      <c r="F2444" s="37" t="str">
        <f>IF(ORCAMENTOS!G2452="","",ORCAMENTOS!G2452)</f>
        <v>Gabriel</v>
      </c>
      <c r="G2444" s="37" t="str">
        <f>IF(ORCAMENTOS!H2452="","",ORCAMENTOS!H2452)</f>
        <v>Talita</v>
      </c>
      <c r="H2444" s="39">
        <f>IF(ORCAMENTOS!I2452="","",ORCAMENTOS!I2452)</f>
        <v>19740.169999999998</v>
      </c>
      <c r="I2444" s="60">
        <f>IF(ORCAMENTOS!J2452="","",ORCAMENTOS!J2452)</f>
        <v>7.0000000000000007E-2</v>
      </c>
      <c r="J2444" s="40" t="str">
        <f>IF(ORCAMENTOS!L2452="","",ORCAMENTOS!L2452)</f>
        <v>CANCELADO</v>
      </c>
      <c r="K2444" s="34" t="str">
        <f>IF(ORCAMENTOS!M2452="","",ORCAMENTOS!M2452)</f>
        <v>-</v>
      </c>
      <c r="L2444" t="str">
        <f>IF(ORCAMENTOS!R2452="","",ORCAMENTOS!R2452)</f>
        <v>-</v>
      </c>
    </row>
    <row r="2445" spans="1:12" ht="15.75" hidden="1" customHeight="1" x14ac:dyDescent="0.25">
      <c r="A2445" s="36">
        <f>IF(ORCAMENTOS!A2453="","",ORCAMENTOS!A2453)</f>
        <v>46066</v>
      </c>
      <c r="B2445" s="46">
        <f>IF(ORCAMENTOS!B2453="","",ORCAMENTOS!B2453)</f>
        <v>268</v>
      </c>
      <c r="C2445" s="46" t="str">
        <f>IF(ORCAMENTOS!C2453="","",ORCAMENTOS!C2453)</f>
        <v/>
      </c>
      <c r="D2445" s="37" t="str">
        <f>IF(ORCAMENTOS!D2453="","",ORCAMENTOS!D2453)</f>
        <v>AMS INSTALACOES</v>
      </c>
      <c r="E2445" s="38" t="str">
        <f>IF(ORCAMENTOS!E2453="","",ORCAMENTOS!E2453)</f>
        <v>ATACADAO - LOJA SANTANA - AP - AMAPA</v>
      </c>
      <c r="F2445" s="37" t="str">
        <f>IF(ORCAMENTOS!G2453="","",ORCAMENTOS!G2453)</f>
        <v>Gabriel</v>
      </c>
      <c r="G2445" s="37" t="str">
        <f>IF(ORCAMENTOS!H2453="","",ORCAMENTOS!H2453)</f>
        <v>Albertino</v>
      </c>
      <c r="H2445" s="39">
        <f>IF(ORCAMENTOS!I2453="","",ORCAMENTOS!I2453)</f>
        <v>209843.02</v>
      </c>
      <c r="I2445" s="60">
        <f>IF(ORCAMENTOS!J2453="","",ORCAMENTOS!J2453)</f>
        <v>7.0000000000000007E-2</v>
      </c>
      <c r="J2445" s="40" t="str">
        <f>IF(ORCAMENTOS!L2453="","",ORCAMENTOS!L2453)</f>
        <v>COMPRA</v>
      </c>
      <c r="K2445" s="34" t="str">
        <f>IF(ORCAMENTOS!M2453="","",ORCAMENTOS!M2453)</f>
        <v>-</v>
      </c>
      <c r="L2445" t="str">
        <f>IF(ORCAMENTOS!R2453="","",ORCAMENTOS!R2453)</f>
        <v>MPU</v>
      </c>
    </row>
    <row r="2446" spans="1:12" ht="15.75" hidden="1" customHeight="1" x14ac:dyDescent="0.25">
      <c r="A2446" s="36">
        <f>IF(ORCAMENTOS!A2454="","",ORCAMENTOS!A2454)</f>
        <v>46066</v>
      </c>
      <c r="B2446" s="46">
        <f>IF(ORCAMENTOS!B2454="","",ORCAMENTOS!B2454)</f>
        <v>269</v>
      </c>
      <c r="C2446" s="46" t="str">
        <f>IF(ORCAMENTOS!C2454="","",ORCAMENTOS!C2454)</f>
        <v/>
      </c>
      <c r="D2446" s="37" t="str">
        <f>IF(ORCAMENTOS!D2454="","",ORCAMENTOS!D2454)</f>
        <v>MJ CLIMATIZACAO</v>
      </c>
      <c r="E2446" s="38" t="str">
        <f>IF(ORCAMENTOS!E2454="","",ORCAMENTOS!E2454)</f>
        <v>ASSAI SOROCABA - ITAVUVU</v>
      </c>
      <c r="F2446" s="37" t="str">
        <f>IF(ORCAMENTOS!G2454="","",ORCAMENTOS!G2454)</f>
        <v>Emanuel</v>
      </c>
      <c r="G2446" s="37" t="str">
        <f>IF(ORCAMENTOS!H2454="","",ORCAMENTOS!H2454)</f>
        <v>Andreia</v>
      </c>
      <c r="H2446" s="39">
        <f>IF(ORCAMENTOS!I2454="","",ORCAMENTOS!I2454)</f>
        <v>35609.53</v>
      </c>
      <c r="I2446" s="60">
        <f>IF(ORCAMENTOS!J2454="","",ORCAMENTOS!J2454)</f>
        <v>7.0000000000000007E-2</v>
      </c>
      <c r="J2446" s="40" t="str">
        <f>IF(ORCAMENTOS!L2454="","",ORCAMENTOS!L2454)</f>
        <v>CANCELADO</v>
      </c>
      <c r="K2446" s="34" t="str">
        <f>IF(ORCAMENTOS!M2454="","",ORCAMENTOS!M2454)</f>
        <v>-</v>
      </c>
      <c r="L2446" t="str">
        <f>IF(ORCAMENTOS!R2454="","",ORCAMENTOS!R2454)</f>
        <v>-</v>
      </c>
    </row>
    <row r="2447" spans="1:12" ht="15.75" hidden="1" customHeight="1" x14ac:dyDescent="0.25">
      <c r="A2447" s="36">
        <f>IF(ORCAMENTOS!A2455="","",ORCAMENTOS!A2455)</f>
        <v>46066</v>
      </c>
      <c r="B2447" s="46">
        <f>IF(ORCAMENTOS!B2455="","",ORCAMENTOS!B2455)</f>
        <v>270</v>
      </c>
      <c r="C2447" s="46" t="str">
        <f>IF(ORCAMENTOS!C2455="","",ORCAMENTOS!C2455)</f>
        <v/>
      </c>
      <c r="D2447" s="37" t="str">
        <f>IF(ORCAMENTOS!D2455="","",ORCAMENTOS!D2455)</f>
        <v>OUROFRIO</v>
      </c>
      <c r="E2447" s="38" t="str">
        <f>IF(ORCAMENTOS!E2455="","",ORCAMENTOS!E2455)</f>
        <v>-</v>
      </c>
      <c r="F2447" s="37" t="str">
        <f>IF(ORCAMENTOS!G2455="","",ORCAMENTOS!G2455)</f>
        <v>Gabriel</v>
      </c>
      <c r="G2447" s="37" t="str">
        <f>IF(ORCAMENTOS!H2455="","",ORCAMENTOS!H2455)</f>
        <v>Marco</v>
      </c>
      <c r="H2447" s="39">
        <f>IF(ORCAMENTOS!I2455="","",ORCAMENTOS!I2455)</f>
        <v>20565.29</v>
      </c>
      <c r="I2447" s="60">
        <f>IF(ORCAMENTOS!J2455="","",ORCAMENTOS!J2455)</f>
        <v>0.05</v>
      </c>
      <c r="J2447" s="40" t="str">
        <f>IF(ORCAMENTOS!L2455="","",ORCAMENTOS!L2455)</f>
        <v>CANCELADO</v>
      </c>
      <c r="K2447" s="34" t="str">
        <f>IF(ORCAMENTOS!M2455="","",ORCAMENTOS!M2455)</f>
        <v>-</v>
      </c>
      <c r="L2447" t="str">
        <f>IF(ORCAMENTOS!R2455="","",ORCAMENTOS!R2455)</f>
        <v>-</v>
      </c>
    </row>
    <row r="2448" spans="1:12" ht="15.75" hidden="1" customHeight="1" x14ac:dyDescent="0.25">
      <c r="A2448" s="36">
        <f>IF(ORCAMENTOS!A2456="","",ORCAMENTOS!A2456)</f>
        <v>46066</v>
      </c>
      <c r="B2448" s="46">
        <f>IF(ORCAMENTOS!B2456="","",ORCAMENTOS!B2456)</f>
        <v>271</v>
      </c>
      <c r="C2448" s="46" t="str">
        <f>IF(ORCAMENTOS!C2456="","",ORCAMENTOS!C2456)</f>
        <v/>
      </c>
      <c r="D2448" s="37" t="str">
        <f>IF(ORCAMENTOS!D2456="","",ORCAMENTOS!D2456)</f>
        <v>MONTAGEM VIEIRA</v>
      </c>
      <c r="E2448" s="38" t="str">
        <f>IF(ORCAMENTOS!E2456="","",ORCAMENTOS!E2456)</f>
        <v>WHEATON</v>
      </c>
      <c r="F2448" s="37" t="str">
        <f>IF(ORCAMENTOS!G2456="","",ORCAMENTOS!G2456)</f>
        <v>Fernando</v>
      </c>
      <c r="G2448" s="37" t="str">
        <f>IF(ORCAMENTOS!H2456="","",ORCAMENTOS!H2456)</f>
        <v>Sergio</v>
      </c>
      <c r="H2448" s="39">
        <f>IF(ORCAMENTOS!I2456="","",ORCAMENTOS!I2456)</f>
        <v>27008.85</v>
      </c>
      <c r="I2448" s="60">
        <f>IF(ORCAMENTOS!J2456="","",ORCAMENTOS!J2456)</f>
        <v>7.0000000000000007E-2</v>
      </c>
      <c r="J2448" s="40" t="str">
        <f>IF(ORCAMENTOS!L2456="","",ORCAMENTOS!L2456)</f>
        <v>ORCAMENTO</v>
      </c>
      <c r="K2448" s="34" t="str">
        <f>IF(ORCAMENTOS!M2456="","",ORCAMENTOS!M2456)</f>
        <v xml:space="preserve">CLIENTE NEGOCIANDO PREV. MAIO </v>
      </c>
      <c r="L2448" t="str">
        <f>IF(ORCAMENTOS!R2456="","",ORCAMENTOS!R2456)</f>
        <v>-</v>
      </c>
    </row>
    <row r="2449" spans="1:12" ht="15.75" hidden="1" customHeight="1" x14ac:dyDescent="0.25">
      <c r="A2449" s="36">
        <f>IF(ORCAMENTOS!A2457="","",ORCAMENTOS!A2457)</f>
        <v>46066</v>
      </c>
      <c r="B2449" s="46">
        <f>IF(ORCAMENTOS!B2457="","",ORCAMENTOS!B2457)</f>
        <v>272</v>
      </c>
      <c r="C2449" s="46" t="str">
        <f>IF(ORCAMENTOS!C2457="","",ORCAMENTOS!C2457)</f>
        <v/>
      </c>
      <c r="D2449" s="37" t="str">
        <f>IF(ORCAMENTOS!D2457="","",ORCAMENTOS!D2457)</f>
        <v>AIRPLAN</v>
      </c>
      <c r="E2449" s="38" t="str">
        <f>IF(ORCAMENTOS!E2457="","",ORCAMENTOS!E2457)</f>
        <v>PETZ - JACANA - VILA CONSTANCIA - SP</v>
      </c>
      <c r="F2449" s="37" t="str">
        <f>IF(ORCAMENTOS!G2457="","",ORCAMENTOS!G2457)</f>
        <v>Guilherme</v>
      </c>
      <c r="G2449" s="37" t="str">
        <f>IF(ORCAMENTOS!H2457="","",ORCAMENTOS!H2457)</f>
        <v>Gabriel</v>
      </c>
      <c r="H2449" s="39">
        <f>IF(ORCAMENTOS!I2457="","",ORCAMENTOS!I2457)</f>
        <v>46212.13</v>
      </c>
      <c r="I2449" s="60">
        <f>IF(ORCAMENTOS!J2457="","",ORCAMENTOS!J2457)</f>
        <v>7.0000000000000007E-2</v>
      </c>
      <c r="J2449" s="40" t="str">
        <f>IF(ORCAMENTOS!L2457="","",ORCAMENTOS!L2457)</f>
        <v>CANCELADO</v>
      </c>
      <c r="K2449" s="34" t="str">
        <f>IF(ORCAMENTOS!M2457="","",ORCAMENTOS!M2457)</f>
        <v>-</v>
      </c>
      <c r="L2449" t="str">
        <f>IF(ORCAMENTOS!R2457="","",ORCAMENTOS!R2457)</f>
        <v>MPU</v>
      </c>
    </row>
    <row r="2450" spans="1:12" ht="15.75" hidden="1" customHeight="1" x14ac:dyDescent="0.25">
      <c r="A2450" s="36">
        <f>IF(ORCAMENTOS!A2458="","",ORCAMENTOS!A2458)</f>
        <v>46071</v>
      </c>
      <c r="B2450" s="46">
        <f>IF(ORCAMENTOS!B2458="","",ORCAMENTOS!B2458)</f>
        <v>273</v>
      </c>
      <c r="C2450" s="46" t="str">
        <f>IF(ORCAMENTOS!C2458="","",ORCAMENTOS!C2458)</f>
        <v/>
      </c>
      <c r="D2450" s="37" t="str">
        <f>IF(ORCAMENTOS!D2458="","",ORCAMENTOS!D2458)</f>
        <v>COLD CONTROL</v>
      </c>
      <c r="E2450" s="38" t="str">
        <f>IF(ORCAMENTOS!E2458="","",ORCAMENTOS!E2458)</f>
        <v>UNILEVER - VALINHOS</v>
      </c>
      <c r="F2450" s="37" t="str">
        <f>IF(ORCAMENTOS!G2458="","",ORCAMENTOS!G2458)</f>
        <v>Emanuel</v>
      </c>
      <c r="G2450" s="37" t="str">
        <f>IF(ORCAMENTOS!H2458="","",ORCAMENTOS!H2458)</f>
        <v>Marcelo</v>
      </c>
      <c r="H2450" s="39">
        <f>IF(ORCAMENTOS!I2458="","",ORCAMENTOS!I2458)</f>
        <v>36010.199999999997</v>
      </c>
      <c r="I2450" s="60">
        <f>IF(ORCAMENTOS!J2458="","",ORCAMENTOS!J2458)</f>
        <v>7.0000000000000007E-2</v>
      </c>
      <c r="J2450" s="40" t="str">
        <f>IF(ORCAMENTOS!L2458="","",ORCAMENTOS!L2458)</f>
        <v>CANCELADO</v>
      </c>
      <c r="K2450" s="34" t="str">
        <f>IF(ORCAMENTOS!M2458="","",ORCAMENTOS!M2458)</f>
        <v>-</v>
      </c>
      <c r="L2450" t="str">
        <f>IF(ORCAMENTOS!R2458="","",ORCAMENTOS!R2458)</f>
        <v>-</v>
      </c>
    </row>
    <row r="2451" spans="1:12" ht="15.75" hidden="1" customHeight="1" x14ac:dyDescent="0.25">
      <c r="A2451" s="36">
        <f>IF(ORCAMENTOS!A2459="","",ORCAMENTOS!A2459)</f>
        <v>46071</v>
      </c>
      <c r="B2451" s="46">
        <f>IF(ORCAMENTOS!B2459="","",ORCAMENTOS!B2459)</f>
        <v>274</v>
      </c>
      <c r="C2451" s="46" t="str">
        <f>IF(ORCAMENTOS!C2459="","",ORCAMENTOS!C2459)</f>
        <v/>
      </c>
      <c r="D2451" s="37" t="str">
        <f>IF(ORCAMENTOS!D2459="","",ORCAMENTOS!D2459)</f>
        <v>KONAR</v>
      </c>
      <c r="E2451" s="38" t="str">
        <f>IF(ORCAMENTOS!E2459="","",ORCAMENTOS!E2459)</f>
        <v>121-25 - Shopping Mall Americana - Cine A</v>
      </c>
      <c r="F2451" s="37" t="str">
        <f>IF(ORCAMENTOS!G2459="","",ORCAMENTOS!G2459)</f>
        <v>Michel</v>
      </c>
      <c r="G2451" s="37" t="str">
        <f>IF(ORCAMENTOS!H2459="","",ORCAMENTOS!H2459)</f>
        <v>Fabio</v>
      </c>
      <c r="H2451" s="39">
        <f>IF(ORCAMENTOS!I2459="","",ORCAMENTOS!I2459)</f>
        <v>11844.78</v>
      </c>
      <c r="I2451" s="60">
        <f>IF(ORCAMENTOS!J2459="","",ORCAMENTOS!J2459)</f>
        <v>7.0000000000000007E-2</v>
      </c>
      <c r="J2451" s="40" t="str">
        <f>IF(ORCAMENTOS!L2459="","",ORCAMENTOS!L2459)</f>
        <v>FECHADO</v>
      </c>
      <c r="K2451" s="34" t="str">
        <f>IF(ORCAMENTOS!M2459="","",ORCAMENTOS!M2459)</f>
        <v>-</v>
      </c>
      <c r="L2451" t="str">
        <f>IF(ORCAMENTOS!R2459="","",ORCAMENTOS!R2459)</f>
        <v>-</v>
      </c>
    </row>
    <row r="2452" spans="1:12" ht="15.75" hidden="1" customHeight="1" x14ac:dyDescent="0.25">
      <c r="A2452" s="36">
        <f>IF(ORCAMENTOS!A2460="","",ORCAMENTOS!A2460)</f>
        <v>46071</v>
      </c>
      <c r="B2452" s="46">
        <f>IF(ORCAMENTOS!B2460="","",ORCAMENTOS!B2460)</f>
        <v>275</v>
      </c>
      <c r="C2452" s="46" t="str">
        <f>IF(ORCAMENTOS!C2460="","",ORCAMENTOS!C2460)</f>
        <v>R2</v>
      </c>
      <c r="D2452" s="37" t="str">
        <f>IF(ORCAMENTOS!D2460="","",ORCAMENTOS!D2460)</f>
        <v>KONAR</v>
      </c>
      <c r="E2452" s="38" t="str">
        <f>IF(ORCAMENTOS!E2460="","",ORCAMENTOS!E2460)</f>
        <v>121-25 - CINE A</v>
      </c>
      <c r="F2452" s="37" t="str">
        <f>IF(ORCAMENTOS!G2460="","",ORCAMENTOS!G2460)</f>
        <v>Michel</v>
      </c>
      <c r="G2452" s="37" t="str">
        <f>IF(ORCAMENTOS!H2460="","",ORCAMENTOS!H2460)</f>
        <v>Pedro</v>
      </c>
      <c r="H2452" s="39">
        <f>IF(ORCAMENTOS!I2460="","",ORCAMENTOS!I2460)</f>
        <v>35000</v>
      </c>
      <c r="I2452" s="60">
        <f>IF(ORCAMENTOS!J2460="","",ORCAMENTOS!J2460)</f>
        <v>0.03</v>
      </c>
      <c r="J2452" s="40" t="str">
        <f>IF(ORCAMENTOS!L2460="","",ORCAMENTOS!L2460)</f>
        <v>FECHADO</v>
      </c>
      <c r="K2452" s="34" t="str">
        <f>IF(ORCAMENTOS!M2460="","",ORCAMENTOS!M2460)</f>
        <v>-</v>
      </c>
      <c r="L2452" t="str">
        <f>IF(ORCAMENTOS!R2460="","",ORCAMENTOS!R2460)</f>
        <v>-</v>
      </c>
    </row>
    <row r="2453" spans="1:12" ht="15.75" hidden="1" customHeight="1" x14ac:dyDescent="0.25">
      <c r="A2453" s="36">
        <f>IF(ORCAMENTOS!A2461="","",ORCAMENTOS!A2461)</f>
        <v>46071</v>
      </c>
      <c r="B2453" s="46">
        <f>IF(ORCAMENTOS!B2461="","",ORCAMENTOS!B2461)</f>
        <v>276</v>
      </c>
      <c r="C2453" s="46" t="str">
        <f>IF(ORCAMENTOS!C2461="","",ORCAMENTOS!C2461)</f>
        <v/>
      </c>
      <c r="D2453" s="37" t="str">
        <f>IF(ORCAMENTOS!D2461="","",ORCAMENTOS!D2461)</f>
        <v>AR SISTEMAS</v>
      </c>
      <c r="E2453" s="38" t="str">
        <f>IF(ORCAMENTOS!E2461="","",ORCAMENTOS!E2461)</f>
        <v>FUNDACAO ZERBINI - CERQUEIRA CESAR - SP</v>
      </c>
      <c r="F2453" s="37" t="str">
        <f>IF(ORCAMENTOS!G2461="","",ORCAMENTOS!G2461)</f>
        <v>Michel</v>
      </c>
      <c r="G2453" s="37" t="str">
        <f>IF(ORCAMENTOS!H2461="","",ORCAMENTOS!H2461)</f>
        <v>Anderson</v>
      </c>
      <c r="H2453" s="39">
        <f>IF(ORCAMENTOS!I2461="","",ORCAMENTOS!I2461)</f>
        <v>13589.56</v>
      </c>
      <c r="I2453" s="60">
        <f>IF(ORCAMENTOS!J2461="","",ORCAMENTOS!J2461)</f>
        <v>7.0000000000000007E-2</v>
      </c>
      <c r="J2453" s="40" t="str">
        <f>IF(ORCAMENTOS!L2461="","",ORCAMENTOS!L2461)</f>
        <v>CANCELADO</v>
      </c>
      <c r="K2453" s="34" t="str">
        <f>IF(ORCAMENTOS!M2461="","",ORCAMENTOS!M2461)</f>
        <v>-</v>
      </c>
      <c r="L2453" t="str">
        <f>IF(ORCAMENTOS!R2461="","",ORCAMENTOS!R2461)</f>
        <v>ALUMINIO PRE ISOLADO</v>
      </c>
    </row>
    <row r="2454" spans="1:12" ht="15.75" hidden="1" customHeight="1" x14ac:dyDescent="0.25">
      <c r="A2454" s="36">
        <f>IF(ORCAMENTOS!A2462="","",ORCAMENTOS!A2462)</f>
        <v>46071</v>
      </c>
      <c r="B2454" s="46">
        <f>IF(ORCAMENTOS!B2462="","",ORCAMENTOS!B2462)</f>
        <v>277</v>
      </c>
      <c r="C2454" s="46" t="str">
        <f>IF(ORCAMENTOS!C2462="","",ORCAMENTOS!C2462)</f>
        <v/>
      </c>
      <c r="D2454" s="37" t="str">
        <f>IF(ORCAMENTOS!D2462="","",ORCAMENTOS!D2462)</f>
        <v>AWA AR CONDICIONADO</v>
      </c>
      <c r="E2454" s="38" t="str">
        <f>IF(ORCAMENTOS!E2462="","",ORCAMENTOS!E2462)</f>
        <v>ATACADAO - LOJA SANTANA - AP - AMAPA</v>
      </c>
      <c r="F2454" s="37" t="str">
        <f>IF(ORCAMENTOS!G2462="","",ORCAMENTOS!G2462)</f>
        <v>Guilherme</v>
      </c>
      <c r="G2454" s="37" t="str">
        <f>IF(ORCAMENTOS!H2462="","",ORCAMENTOS!H2462)</f>
        <v>Paula</v>
      </c>
      <c r="H2454" s="39">
        <f>IF(ORCAMENTOS!I2462="","",ORCAMENTOS!I2462)</f>
        <v>188226.97</v>
      </c>
      <c r="I2454" s="60">
        <f>IF(ORCAMENTOS!J2462="","",ORCAMENTOS!J2462)</f>
        <v>0.05</v>
      </c>
      <c r="J2454" s="40" t="str">
        <f>IF(ORCAMENTOS!L2462="","",ORCAMENTOS!L2462)</f>
        <v>CANCELADO</v>
      </c>
      <c r="K2454" s="34" t="str">
        <f>IF(ORCAMENTOS!M2462="","",ORCAMENTOS!M2462)</f>
        <v>-</v>
      </c>
      <c r="L2454" t="str">
        <f>IF(ORCAMENTOS!R2462="","",ORCAMENTOS!R2462)</f>
        <v>MPU</v>
      </c>
    </row>
    <row r="2455" spans="1:12" ht="15.75" hidden="1" customHeight="1" x14ac:dyDescent="0.25">
      <c r="A2455" s="36">
        <f>IF(ORCAMENTOS!A2463="","",ORCAMENTOS!A2463)</f>
        <v>46071</v>
      </c>
      <c r="B2455" s="46">
        <f>IF(ORCAMENTOS!B2463="","",ORCAMENTOS!B2463)</f>
        <v>278</v>
      </c>
      <c r="C2455" s="46" t="str">
        <f>IF(ORCAMENTOS!C2463="","",ORCAMENTOS!C2463)</f>
        <v/>
      </c>
      <c r="D2455" s="37" t="str">
        <f>IF(ORCAMENTOS!D2463="","",ORCAMENTOS!D2463)</f>
        <v>YAMA ENGENHARIA</v>
      </c>
      <c r="E2455" s="38" t="str">
        <f>IF(ORCAMENTOS!E2463="","",ORCAMENTOS!E2463)</f>
        <v>RESIDENCIA UNIFALIMIAR - BEATRIZ CINTRA - SP</v>
      </c>
      <c r="F2455" s="37" t="str">
        <f>IF(ORCAMENTOS!G2463="","",ORCAMENTOS!G2463)</f>
        <v>Gabriel</v>
      </c>
      <c r="G2455" s="37" t="str">
        <f>IF(ORCAMENTOS!H2463="","",ORCAMENTOS!H2463)</f>
        <v>Fagner</v>
      </c>
      <c r="H2455" s="39">
        <f>IF(ORCAMENTOS!I2463="","",ORCAMENTOS!I2463)</f>
        <v>14319.18</v>
      </c>
      <c r="I2455" s="60">
        <f>IF(ORCAMENTOS!J2463="","",ORCAMENTOS!J2463)</f>
        <v>7.0000000000000007E-2</v>
      </c>
      <c r="J2455" s="40" t="str">
        <f>IF(ORCAMENTOS!L2463="","",ORCAMENTOS!L2463)</f>
        <v>CANCELADO</v>
      </c>
      <c r="K2455" s="34" t="str">
        <f>IF(ORCAMENTOS!M2463="","",ORCAMENTOS!M2463)</f>
        <v>-</v>
      </c>
      <c r="L2455" t="str">
        <f>IF(ORCAMENTOS!R2463="","",ORCAMENTOS!R2463)</f>
        <v>CHAPA DE ACO GALVANIZADO</v>
      </c>
    </row>
    <row r="2456" spans="1:12" ht="15.75" hidden="1" customHeight="1" x14ac:dyDescent="0.25">
      <c r="A2456" s="36">
        <f>IF(ORCAMENTOS!A2464="","",ORCAMENTOS!A2464)</f>
        <v>46071</v>
      </c>
      <c r="B2456" s="46">
        <f>IF(ORCAMENTOS!B2464="","",ORCAMENTOS!B2464)</f>
        <v>279</v>
      </c>
      <c r="C2456" s="46" t="str">
        <f>IF(ORCAMENTOS!C2464="","",ORCAMENTOS!C2464)</f>
        <v/>
      </c>
      <c r="D2456" s="37" t="str">
        <f>IF(ORCAMENTOS!D2464="","",ORCAMENTOS!D2464)</f>
        <v>ASF SERVICOS</v>
      </c>
      <c r="E2456" s="38" t="str">
        <f>IF(ORCAMENTOS!E2464="","",ORCAMENTOS!E2464)</f>
        <v>ATC - SANTANA</v>
      </c>
      <c r="F2456" s="37" t="str">
        <f>IF(ORCAMENTOS!G2464="","",ORCAMENTOS!G2464)</f>
        <v>Fernando</v>
      </c>
      <c r="G2456" s="37" t="str">
        <f>IF(ORCAMENTOS!H2464="","",ORCAMENTOS!H2464)</f>
        <v>Andre</v>
      </c>
      <c r="H2456" s="39">
        <f>IF(ORCAMENTOS!I2464="","",ORCAMENTOS!I2464)</f>
        <v>181938.33</v>
      </c>
      <c r="I2456" s="60">
        <f>IF(ORCAMENTOS!J2464="","",ORCAMENTOS!J2464)</f>
        <v>0.03</v>
      </c>
      <c r="J2456" s="40" t="str">
        <f>IF(ORCAMENTOS!L2464="","",ORCAMENTOS!L2464)</f>
        <v>ORCAMENTO</v>
      </c>
      <c r="K2456" s="34" t="str">
        <f>IF(ORCAMENTOS!M2464="","",ORCAMENTOS!M2464)</f>
        <v>CLIENTE NEGOCIANDO</v>
      </c>
      <c r="L2456" t="str">
        <f>IF(ORCAMENTOS!R2464="","",ORCAMENTOS!R2464)</f>
        <v>-</v>
      </c>
    </row>
    <row r="2457" spans="1:12" ht="15.75" hidden="1" customHeight="1" x14ac:dyDescent="0.25">
      <c r="A2457" s="36">
        <f>IF(ORCAMENTOS!A2465="","",ORCAMENTOS!A2465)</f>
        <v>46071</v>
      </c>
      <c r="B2457" s="46">
        <f>IF(ORCAMENTOS!B2465="","",ORCAMENTOS!B2465)</f>
        <v>280</v>
      </c>
      <c r="C2457" s="46" t="str">
        <f>IF(ORCAMENTOS!C2465="","",ORCAMENTOS!C2465)</f>
        <v/>
      </c>
      <c r="D2457" s="37" t="str">
        <f>IF(ORCAMENTOS!D2465="","",ORCAMENTOS!D2465)</f>
        <v>AIR SYSTEMS</v>
      </c>
      <c r="E2457" s="38" t="str">
        <f>IF(ORCAMENTOS!E2465="","",ORCAMENTOS!E2465)</f>
        <v>PREMIUM CARE - MORUMBI - SP</v>
      </c>
      <c r="F2457" s="37" t="str">
        <f>IF(ORCAMENTOS!G2465="","",ORCAMENTOS!G2465)</f>
        <v>Michel</v>
      </c>
      <c r="G2457" s="37" t="str">
        <f>IF(ORCAMENTOS!H2465="","",ORCAMENTOS!H2465)</f>
        <v>Mauro</v>
      </c>
      <c r="H2457" s="39">
        <f>IF(ORCAMENTOS!I2465="","",ORCAMENTOS!I2465)</f>
        <v>65532.88</v>
      </c>
      <c r="I2457" s="60">
        <f>IF(ORCAMENTOS!J2465="","",ORCAMENTOS!J2465)</f>
        <v>7.0000000000000007E-2</v>
      </c>
      <c r="J2457" s="40" t="str">
        <f>IF(ORCAMENTOS!L2465="","",ORCAMENTOS!L2465)</f>
        <v>CANCELADO</v>
      </c>
      <c r="K2457" s="34" t="str">
        <f>IF(ORCAMENTOS!M2465="","",ORCAMENTOS!M2465)</f>
        <v>-</v>
      </c>
      <c r="L2457" t="str">
        <f>IF(ORCAMENTOS!R2465="","",ORCAMENTOS!R2465)</f>
        <v>-</v>
      </c>
    </row>
    <row r="2458" spans="1:12" ht="15.75" hidden="1" customHeight="1" x14ac:dyDescent="0.25">
      <c r="A2458" s="36">
        <f>IF(ORCAMENTOS!A2466="","",ORCAMENTOS!A2466)</f>
        <v>46071</v>
      </c>
      <c r="B2458" s="46">
        <f>IF(ORCAMENTOS!B2466="","",ORCAMENTOS!B2466)</f>
        <v>281</v>
      </c>
      <c r="C2458" s="46" t="str">
        <f>IF(ORCAMENTOS!C2466="","",ORCAMENTOS!C2466)</f>
        <v>R1</v>
      </c>
      <c r="D2458" s="37" t="str">
        <f>IF(ORCAMENTOS!D2466="","",ORCAMENTOS!D2466)</f>
        <v>AR SET</v>
      </c>
      <c r="E2458" s="38" t="str">
        <f>IF(ORCAMENTOS!E2466="","",ORCAMENTOS!E2466)</f>
        <v>-</v>
      </c>
      <c r="F2458" s="37" t="str">
        <f>IF(ORCAMENTOS!G2466="","",ORCAMENTOS!G2466)</f>
        <v>Fernando</v>
      </c>
      <c r="G2458" s="37" t="str">
        <f>IF(ORCAMENTOS!H2466="","",ORCAMENTOS!H2466)</f>
        <v>Danilo</v>
      </c>
      <c r="H2458" s="39">
        <f>IF(ORCAMENTOS!I2466="","",ORCAMENTOS!I2466)</f>
        <v>1475.44</v>
      </c>
      <c r="I2458" s="60">
        <f>IF(ORCAMENTOS!J2466="","",ORCAMENTOS!J2466)</f>
        <v>0.03</v>
      </c>
      <c r="J2458" s="40" t="str">
        <f>IF(ORCAMENTOS!L2466="","",ORCAMENTOS!L2466)</f>
        <v>FECHADO</v>
      </c>
      <c r="K2458" s="34" t="str">
        <f>IF(ORCAMENTOS!M2466="","",ORCAMENTOS!M2466)</f>
        <v>-</v>
      </c>
      <c r="L2458" t="str">
        <f>IF(ORCAMENTOS!R2466="","",ORCAMENTOS!R2466)</f>
        <v>-</v>
      </c>
    </row>
    <row r="2459" spans="1:12" ht="15.75" hidden="1" customHeight="1" x14ac:dyDescent="0.25">
      <c r="A2459" s="36">
        <f>IF(ORCAMENTOS!A2467="","",ORCAMENTOS!A2467)</f>
        <v>46071</v>
      </c>
      <c r="B2459" s="46">
        <f>IF(ORCAMENTOS!B2467="","",ORCAMENTOS!B2467)</f>
        <v>282</v>
      </c>
      <c r="C2459" s="46" t="str">
        <f>IF(ORCAMENTOS!C2467="","",ORCAMENTOS!C2467)</f>
        <v/>
      </c>
      <c r="D2459" s="37" t="str">
        <f>IF(ORCAMENTOS!D2467="","",ORCAMENTOS!D2467)</f>
        <v>ACTEC ENGENHARIA</v>
      </c>
      <c r="E2459" s="38" t="str">
        <f>IF(ORCAMENTOS!E2467="","",ORCAMENTOS!E2467)</f>
        <v>-</v>
      </c>
      <c r="F2459" s="37" t="str">
        <f>IF(ORCAMENTOS!G2467="","",ORCAMENTOS!G2467)</f>
        <v xml:space="preserve">Aldavir </v>
      </c>
      <c r="G2459" s="37" t="str">
        <f>IF(ORCAMENTOS!H2467="","",ORCAMENTOS!H2467)</f>
        <v>-</v>
      </c>
      <c r="H2459" s="39" t="str">
        <f>IF(ORCAMENTOS!I2467="","",ORCAMENTOS!I2467)</f>
        <v>-</v>
      </c>
      <c r="I2459" s="60" t="str">
        <f>IF(ORCAMENTOS!J2467="","",ORCAMENTOS!J2467)</f>
        <v/>
      </c>
      <c r="J2459" s="40" t="str">
        <f>IF(ORCAMENTOS!L2467="","",ORCAMENTOS!L2467)</f>
        <v>CANCELADO</v>
      </c>
      <c r="K2459" s="34" t="str">
        <f>IF(ORCAMENTOS!M2467="","",ORCAMENTOS!M2467)</f>
        <v>-</v>
      </c>
      <c r="L2459" t="str">
        <f>IF(ORCAMENTOS!R2467="","",ORCAMENTOS!R2467)</f>
        <v>-</v>
      </c>
    </row>
    <row r="2460" spans="1:12" ht="15.75" hidden="1" customHeight="1" x14ac:dyDescent="0.25">
      <c r="A2460" s="36">
        <f>IF(ORCAMENTOS!A2468="","",ORCAMENTOS!A2468)</f>
        <v>46072</v>
      </c>
      <c r="B2460" s="46">
        <f>IF(ORCAMENTOS!B2468="","",ORCAMENTOS!B2468)</f>
        <v>283</v>
      </c>
      <c r="C2460" s="46" t="str">
        <f>IF(ORCAMENTOS!C2468="","",ORCAMENTOS!C2468)</f>
        <v/>
      </c>
      <c r="D2460" s="37" t="str">
        <f>IF(ORCAMENTOS!D2468="","",ORCAMENTOS!D2468)</f>
        <v>SOMMARE</v>
      </c>
      <c r="E2460" s="38" t="str">
        <f>IF(ORCAMENTOS!E2468="","",ORCAMENTOS!E2468)</f>
        <v>-</v>
      </c>
      <c r="F2460" s="37" t="str">
        <f>IF(ORCAMENTOS!G2468="","",ORCAMENTOS!G2468)</f>
        <v>Gabriel</v>
      </c>
      <c r="G2460" s="37" t="str">
        <f>IF(ORCAMENTOS!H2468="","",ORCAMENTOS!H2468)</f>
        <v>Carlos</v>
      </c>
      <c r="H2460" s="39">
        <f>IF(ORCAMENTOS!I2468="","",ORCAMENTOS!I2468)</f>
        <v>15387.86</v>
      </c>
      <c r="I2460" s="60">
        <f>IF(ORCAMENTOS!J2468="","",ORCAMENTOS!J2468)</f>
        <v>0.05</v>
      </c>
      <c r="J2460" s="40" t="str">
        <f>IF(ORCAMENTOS!L2468="","",ORCAMENTOS!L2468)</f>
        <v>CANCELADO</v>
      </c>
      <c r="K2460" s="34" t="str">
        <f>IF(ORCAMENTOS!M2468="","",ORCAMENTOS!M2468)</f>
        <v>-</v>
      </c>
      <c r="L2460" t="str">
        <f>IF(ORCAMENTOS!R2468="","",ORCAMENTOS!R2468)</f>
        <v>-</v>
      </c>
    </row>
    <row r="2461" spans="1:12" ht="15.75" hidden="1" customHeight="1" x14ac:dyDescent="0.25">
      <c r="A2461" s="36">
        <f>IF(ORCAMENTOS!A2469="","",ORCAMENTOS!A2469)</f>
        <v>46072</v>
      </c>
      <c r="B2461" s="46">
        <f>IF(ORCAMENTOS!B2469="","",ORCAMENTOS!B2469)</f>
        <v>284</v>
      </c>
      <c r="C2461" s="46" t="str">
        <f>IF(ORCAMENTOS!C2469="","",ORCAMENTOS!C2469)</f>
        <v>R1</v>
      </c>
      <c r="D2461" s="37" t="str">
        <f>IF(ORCAMENTOS!D2469="","",ORCAMENTOS!D2469)</f>
        <v>PROTHERM</v>
      </c>
      <c r="E2461" s="38" t="str">
        <f>IF(ORCAMENTOS!E2469="","",ORCAMENTOS!E2469)</f>
        <v>PRISMA</v>
      </c>
      <c r="F2461" s="37" t="str">
        <f>IF(ORCAMENTOS!G2469="","",ORCAMENTOS!G2469)</f>
        <v>Fernando</v>
      </c>
      <c r="G2461" s="37" t="str">
        <f>IF(ORCAMENTOS!H2469="","",ORCAMENTOS!H2469)</f>
        <v>Leonardo</v>
      </c>
      <c r="H2461" s="39">
        <f>IF(ORCAMENTOS!I2469="","",ORCAMENTOS!I2469)</f>
        <v>18883.009999999998</v>
      </c>
      <c r="I2461" s="60">
        <f>IF(ORCAMENTOS!J2469="","",ORCAMENTOS!J2469)</f>
        <v>0.03</v>
      </c>
      <c r="J2461" s="40" t="str">
        <f>IF(ORCAMENTOS!L2469="","",ORCAMENTOS!L2469)</f>
        <v>FECHADO</v>
      </c>
      <c r="K2461" s="34" t="str">
        <f>IF(ORCAMENTOS!M2469="","",ORCAMENTOS!M2469)</f>
        <v>-</v>
      </c>
      <c r="L2461" t="str">
        <f>IF(ORCAMENTOS!R2469="","",ORCAMENTOS!R2469)</f>
        <v>-</v>
      </c>
    </row>
    <row r="2462" spans="1:12" ht="15.75" hidden="1" customHeight="1" x14ac:dyDescent="0.25">
      <c r="A2462" s="36">
        <f>IF(ORCAMENTOS!A2470="","",ORCAMENTOS!A2470)</f>
        <v>46078</v>
      </c>
      <c r="B2462" s="46">
        <f>IF(ORCAMENTOS!B2470="","",ORCAMENTOS!B2470)</f>
        <v>285</v>
      </c>
      <c r="C2462" s="46" t="str">
        <f>IF(ORCAMENTOS!C2470="","",ORCAMENTOS!C2470)</f>
        <v>R1</v>
      </c>
      <c r="D2462" s="37" t="str">
        <f>IF(ORCAMENTOS!D2470="","",ORCAMENTOS!D2470)</f>
        <v>RECLIMA</v>
      </c>
      <c r="E2462" s="38" t="str">
        <f>IF(ORCAMENTOS!E2470="","",ORCAMENTOS!E2470)</f>
        <v>-</v>
      </c>
      <c r="F2462" s="37" t="str">
        <f>IF(ORCAMENTOS!G2470="","",ORCAMENTOS!G2470)</f>
        <v>Michel</v>
      </c>
      <c r="G2462" s="37" t="str">
        <f>IF(ORCAMENTOS!H2470="","",ORCAMENTOS!H2470)</f>
        <v>Renata</v>
      </c>
      <c r="H2462" s="39">
        <f>IF(ORCAMENTOS!I2470="","",ORCAMENTOS!I2470)</f>
        <v>8667.74</v>
      </c>
      <c r="I2462" s="60">
        <f>IF(ORCAMENTOS!J2470="","",ORCAMENTOS!J2470)</f>
        <v>0.05</v>
      </c>
      <c r="J2462" s="40" t="str">
        <f>IF(ORCAMENTOS!L2470="","",ORCAMENTOS!L2470)</f>
        <v>FECHADO</v>
      </c>
      <c r="K2462" s="34" t="str">
        <f>IF(ORCAMENTOS!M2470="","",ORCAMENTOS!M2470)</f>
        <v>-</v>
      </c>
      <c r="L2462" t="str">
        <f>IF(ORCAMENTOS!R2470="","",ORCAMENTOS!R2470)</f>
        <v>-</v>
      </c>
    </row>
    <row r="2463" spans="1:12" ht="15.75" hidden="1" customHeight="1" x14ac:dyDescent="0.25">
      <c r="A2463" s="36">
        <f>IF(ORCAMENTOS!A2471="","",ORCAMENTOS!A2471)</f>
        <v>46072</v>
      </c>
      <c r="B2463" s="46">
        <f>IF(ORCAMENTOS!B2471="","",ORCAMENTOS!B2471)</f>
        <v>286</v>
      </c>
      <c r="C2463" s="46" t="str">
        <f>IF(ORCAMENTOS!C2471="","",ORCAMENTOS!C2471)</f>
        <v/>
      </c>
      <c r="D2463" s="37" t="str">
        <f>IF(ORCAMENTOS!D2471="","",ORCAMENTOS!D2471)</f>
        <v>AIR SOLUTION</v>
      </c>
      <c r="E2463" s="38" t="str">
        <f>IF(ORCAMENTOS!E2471="","",ORCAMENTOS!E2471)</f>
        <v>-</v>
      </c>
      <c r="F2463" s="37" t="str">
        <f>IF(ORCAMENTOS!G2471="","",ORCAMENTOS!G2471)</f>
        <v>Gabriel</v>
      </c>
      <c r="G2463" s="37" t="str">
        <f>IF(ORCAMENTOS!H2471="","",ORCAMENTOS!H2471)</f>
        <v>Talita</v>
      </c>
      <c r="H2463" s="39">
        <f>IF(ORCAMENTOS!I2471="","",ORCAMENTOS!I2471)</f>
        <v>24269.72</v>
      </c>
      <c r="I2463" s="60">
        <f>IF(ORCAMENTOS!J2471="","",ORCAMENTOS!J2471)</f>
        <v>7.0000000000000007E-2</v>
      </c>
      <c r="J2463" s="40" t="str">
        <f>IF(ORCAMENTOS!L2471="","",ORCAMENTOS!L2471)</f>
        <v>CANCELADO</v>
      </c>
      <c r="K2463" s="34" t="str">
        <f>IF(ORCAMENTOS!M2471="","",ORCAMENTOS!M2471)</f>
        <v>-</v>
      </c>
      <c r="L2463" t="str">
        <f>IF(ORCAMENTOS!R2471="","",ORCAMENTOS!R2471)</f>
        <v>-</v>
      </c>
    </row>
    <row r="2464" spans="1:12" ht="15.75" hidden="1" customHeight="1" x14ac:dyDescent="0.25">
      <c r="A2464" s="36">
        <f>IF(ORCAMENTOS!A2472="","",ORCAMENTOS!A2472)</f>
        <v>46078</v>
      </c>
      <c r="B2464" s="46">
        <f>IF(ORCAMENTOS!B2472="","",ORCAMENTOS!B2472)</f>
        <v>287</v>
      </c>
      <c r="C2464" s="46" t="str">
        <f>IF(ORCAMENTOS!C2472="","",ORCAMENTOS!C2472)</f>
        <v/>
      </c>
      <c r="D2464" s="37" t="str">
        <f>IF(ORCAMENTOS!D2472="","",ORCAMENTOS!D2472)</f>
        <v>WH ENGENHARIA</v>
      </c>
      <c r="E2464" s="38" t="str">
        <f>IF(ORCAMENTOS!E2472="","",ORCAMENTOS!E2472)</f>
        <v>-</v>
      </c>
      <c r="F2464" s="37" t="str">
        <f>IF(ORCAMENTOS!G2472="","",ORCAMENTOS!G2472)</f>
        <v>Michel</v>
      </c>
      <c r="G2464" s="37" t="str">
        <f>IF(ORCAMENTOS!H2472="","",ORCAMENTOS!H2472)</f>
        <v>Roberto</v>
      </c>
      <c r="H2464" s="39">
        <f>IF(ORCAMENTOS!I2472="","",ORCAMENTOS!I2472)</f>
        <v>185000</v>
      </c>
      <c r="I2464" s="60">
        <f>IF(ORCAMENTOS!J2472="","",ORCAMENTOS!J2472)</f>
        <v>0.03</v>
      </c>
      <c r="J2464" s="40" t="str">
        <f>IF(ORCAMENTOS!L2472="","",ORCAMENTOS!L2472)</f>
        <v>FECHADO</v>
      </c>
      <c r="K2464" s="34" t="str">
        <f>IF(ORCAMENTOS!M2472="","",ORCAMENTOS!M2472)</f>
        <v>-</v>
      </c>
      <c r="L2464" t="str">
        <f>IF(ORCAMENTOS!R2472="","",ORCAMENTOS!R2472)</f>
        <v>-</v>
      </c>
    </row>
    <row r="2465" spans="1:12" ht="15.75" hidden="1" customHeight="1" x14ac:dyDescent="0.25">
      <c r="A2465" s="36">
        <f>IF(ORCAMENTOS!A2473="","",ORCAMENTOS!A2473)</f>
        <v>46073</v>
      </c>
      <c r="B2465" s="46">
        <f>IF(ORCAMENTOS!B2473="","",ORCAMENTOS!B2473)</f>
        <v>288</v>
      </c>
      <c r="C2465" s="46" t="str">
        <f>IF(ORCAMENTOS!C2473="","",ORCAMENTOS!C2473)</f>
        <v/>
      </c>
      <c r="D2465" s="37" t="str">
        <f>IF(ORCAMENTOS!D2473="","",ORCAMENTOS!D2473)</f>
        <v>AVM AR CONDICIONADO</v>
      </c>
      <c r="E2465" s="38" t="str">
        <f>IF(ORCAMENTOS!E2473="","",ORCAMENTOS!E2473)</f>
        <v>-</v>
      </c>
      <c r="F2465" s="37" t="str">
        <f>IF(ORCAMENTOS!G2473="","",ORCAMENTOS!G2473)</f>
        <v>Gabriel</v>
      </c>
      <c r="G2465" s="37" t="str">
        <f>IF(ORCAMENTOS!H2473="","",ORCAMENTOS!H2473)</f>
        <v>Ed</v>
      </c>
      <c r="H2465" s="39">
        <f>IF(ORCAMENTOS!I2473="","",ORCAMENTOS!I2473)</f>
        <v>22151.88</v>
      </c>
      <c r="I2465" s="60">
        <f>IF(ORCAMENTOS!J2473="","",ORCAMENTOS!J2473)</f>
        <v>7.0000000000000007E-2</v>
      </c>
      <c r="J2465" s="40" t="str">
        <f>IF(ORCAMENTOS!L2473="","",ORCAMENTOS!L2473)</f>
        <v>CANCELADO</v>
      </c>
      <c r="K2465" s="34" t="str">
        <f>IF(ORCAMENTOS!M2473="","",ORCAMENTOS!M2473)</f>
        <v>-</v>
      </c>
      <c r="L2465" t="str">
        <f>IF(ORCAMENTOS!R2473="","",ORCAMENTOS!R2473)</f>
        <v>-</v>
      </c>
    </row>
    <row r="2466" spans="1:12" ht="15.75" hidden="1" customHeight="1" x14ac:dyDescent="0.25">
      <c r="A2466" s="36">
        <f>IF(ORCAMENTOS!A2474="","",ORCAMENTOS!A2474)</f>
        <v>46073</v>
      </c>
      <c r="B2466" s="46">
        <f>IF(ORCAMENTOS!B2474="","",ORCAMENTOS!B2474)</f>
        <v>289</v>
      </c>
      <c r="C2466" s="46" t="str">
        <f>IF(ORCAMENTOS!C2474="","",ORCAMENTOS!C2474)</f>
        <v/>
      </c>
      <c r="D2466" s="37" t="str">
        <f>IF(ORCAMENTOS!D2474="","",ORCAMENTOS!D2474)</f>
        <v>MR IN SITE</v>
      </c>
      <c r="E2466" s="38" t="str">
        <f>IF(ORCAMENTOS!E2474="","",ORCAMENTOS!E2474)</f>
        <v>-</v>
      </c>
      <c r="F2466" s="37" t="str">
        <f>IF(ORCAMENTOS!G2474="","",ORCAMENTOS!G2474)</f>
        <v>Gabriel</v>
      </c>
      <c r="G2466" s="37" t="str">
        <f>IF(ORCAMENTOS!H2474="","",ORCAMENTOS!H2474)</f>
        <v>Everton</v>
      </c>
      <c r="H2466" s="39">
        <f>IF(ORCAMENTOS!I2474="","",ORCAMENTOS!I2474)</f>
        <v>2619.58</v>
      </c>
      <c r="I2466" s="60">
        <f>IF(ORCAMENTOS!J2474="","",ORCAMENTOS!J2474)</f>
        <v>7.0000000000000007E-2</v>
      </c>
      <c r="J2466" s="40" t="str">
        <f>IF(ORCAMENTOS!L2474="","",ORCAMENTOS!L2474)</f>
        <v>CANCELADO</v>
      </c>
      <c r="K2466" s="34" t="str">
        <f>IF(ORCAMENTOS!M2474="","",ORCAMENTOS!M2474)</f>
        <v>-</v>
      </c>
      <c r="L2466" t="str">
        <f>IF(ORCAMENTOS!R2474="","",ORCAMENTOS!R2474)</f>
        <v>-</v>
      </c>
    </row>
    <row r="2467" spans="1:12" ht="15.75" hidden="1" customHeight="1" x14ac:dyDescent="0.25">
      <c r="A2467" s="36">
        <f>IF(ORCAMENTOS!A2475="","",ORCAMENTOS!A2475)</f>
        <v>46073</v>
      </c>
      <c r="B2467" s="46">
        <f>IF(ORCAMENTOS!B2475="","",ORCAMENTOS!B2475)</f>
        <v>290</v>
      </c>
      <c r="C2467" s="46" t="str">
        <f>IF(ORCAMENTOS!C2475="","",ORCAMENTOS!C2475)</f>
        <v/>
      </c>
      <c r="D2467" s="37" t="str">
        <f>IF(ORCAMENTOS!D2475="","",ORCAMENTOS!D2475)</f>
        <v>JESSICA ANDRADE</v>
      </c>
      <c r="E2467" s="38" t="str">
        <f>IF(ORCAMENTOS!E2475="","",ORCAMENTOS!E2475)</f>
        <v>-</v>
      </c>
      <c r="F2467" s="37" t="str">
        <f>IF(ORCAMENTOS!G2475="","",ORCAMENTOS!G2475)</f>
        <v>Gabriel</v>
      </c>
      <c r="G2467" s="37" t="str">
        <f>IF(ORCAMENTOS!H2475="","",ORCAMENTOS!H2475)</f>
        <v>Jessica</v>
      </c>
      <c r="H2467" s="39">
        <f>IF(ORCAMENTOS!I2475="","",ORCAMENTOS!I2475)</f>
        <v>5502.29</v>
      </c>
      <c r="I2467" s="60">
        <f>IF(ORCAMENTOS!J2475="","",ORCAMENTOS!J2475)</f>
        <v>0.06</v>
      </c>
      <c r="J2467" s="40" t="str">
        <f>IF(ORCAMENTOS!L2475="","",ORCAMENTOS!L2475)</f>
        <v>FECHADO</v>
      </c>
      <c r="K2467" s="34" t="str">
        <f>IF(ORCAMENTOS!M2475="","",ORCAMENTOS!M2475)</f>
        <v>-</v>
      </c>
      <c r="L2467" t="str">
        <f>IF(ORCAMENTOS!R2475="","",ORCAMENTOS!R2475)</f>
        <v>-</v>
      </c>
    </row>
    <row r="2468" spans="1:12" ht="15.75" hidden="1" customHeight="1" x14ac:dyDescent="0.25">
      <c r="A2468" s="36">
        <f>IF(ORCAMENTOS!A2476="","",ORCAMENTOS!A2476)</f>
        <v>46073</v>
      </c>
      <c r="B2468" s="46">
        <f>IF(ORCAMENTOS!B2476="","",ORCAMENTOS!B2476)</f>
        <v>291</v>
      </c>
      <c r="C2468" s="46" t="str">
        <f>IF(ORCAMENTOS!C2476="","",ORCAMENTOS!C2476)</f>
        <v/>
      </c>
      <c r="D2468" s="37" t="str">
        <f>IF(ORCAMENTOS!D2476="","",ORCAMENTOS!D2476)</f>
        <v>AR SISTEMAS</v>
      </c>
      <c r="E2468" s="38" t="str">
        <f>IF(ORCAMENTOS!E2476="","",ORCAMENTOS!E2476)</f>
        <v>AMERICAS HOSPITAL ALVORADA - VILA SÃO PAULO - SP</v>
      </c>
      <c r="F2468" s="37" t="str">
        <f>IF(ORCAMENTOS!G2476="","",ORCAMENTOS!G2476)</f>
        <v>Michel</v>
      </c>
      <c r="G2468" s="37" t="str">
        <f>IF(ORCAMENTOS!H2476="","",ORCAMENTOS!H2476)</f>
        <v>Anderson</v>
      </c>
      <c r="H2468" s="39">
        <f>IF(ORCAMENTOS!I2476="","",ORCAMENTOS!I2476)</f>
        <v>191621.94</v>
      </c>
      <c r="I2468" s="60">
        <f>IF(ORCAMENTOS!J2476="","",ORCAMENTOS!J2476)</f>
        <v>7.0000000000000007E-2</v>
      </c>
      <c r="J2468" s="40" t="str">
        <f>IF(ORCAMENTOS!L2476="","",ORCAMENTOS!L2476)</f>
        <v>CANCELADO</v>
      </c>
      <c r="K2468" s="34" t="str">
        <f>IF(ORCAMENTOS!M2476="","",ORCAMENTOS!M2476)</f>
        <v>-</v>
      </c>
      <c r="L2468" t="str">
        <f>IF(ORCAMENTOS!R2476="","",ORCAMENTOS!R2476)</f>
        <v>MPU</v>
      </c>
    </row>
    <row r="2469" spans="1:12" ht="15.75" hidden="1" customHeight="1" x14ac:dyDescent="0.25">
      <c r="A2469" s="36">
        <f>IF(ORCAMENTOS!A2477="","",ORCAMENTOS!A2477)</f>
        <v>46073</v>
      </c>
      <c r="B2469" s="46">
        <f>IF(ORCAMENTOS!B2477="","",ORCAMENTOS!B2477)</f>
        <v>292</v>
      </c>
      <c r="C2469" s="46" t="str">
        <f>IF(ORCAMENTOS!C2477="","",ORCAMENTOS!C2477)</f>
        <v/>
      </c>
      <c r="D2469" s="37" t="str">
        <f>IF(ORCAMENTOS!D2477="","",ORCAMENTOS!D2477)</f>
        <v>LOGITEC</v>
      </c>
      <c r="E2469" s="38" t="str">
        <f>IF(ORCAMENTOS!E2477="","",ORCAMENTOS!E2477)</f>
        <v>NIKE - DOM PEDRO</v>
      </c>
      <c r="F2469" s="37" t="str">
        <f>IF(ORCAMENTOS!G2477="","",ORCAMENTOS!G2477)</f>
        <v>Emanuel</v>
      </c>
      <c r="G2469" s="37" t="str">
        <f>IF(ORCAMENTOS!H2477="","",ORCAMENTOS!H2477)</f>
        <v>Junior</v>
      </c>
      <c r="H2469" s="39">
        <f>IF(ORCAMENTOS!I2477="","",ORCAMENTOS!I2477)</f>
        <v>61962.38</v>
      </c>
      <c r="I2469" s="60">
        <f>IF(ORCAMENTOS!J2477="","",ORCAMENTOS!J2477)</f>
        <v>0.05</v>
      </c>
      <c r="J2469" s="40" t="str">
        <f>IF(ORCAMENTOS!L2477="","",ORCAMENTOS!L2477)</f>
        <v>CANCELADO</v>
      </c>
      <c r="K2469" s="34" t="str">
        <f>IF(ORCAMENTOS!M2477="","",ORCAMENTOS!M2477)</f>
        <v>-</v>
      </c>
      <c r="L2469" t="str">
        <f>IF(ORCAMENTOS!R2477="","",ORCAMENTOS!R2477)</f>
        <v>N/E</v>
      </c>
    </row>
    <row r="2470" spans="1:12" ht="15.75" hidden="1" customHeight="1" x14ac:dyDescent="0.25">
      <c r="A2470" s="36">
        <f>IF(ORCAMENTOS!A2478="","",ORCAMENTOS!A2478)</f>
        <v>46073</v>
      </c>
      <c r="B2470" s="46">
        <f>IF(ORCAMENTOS!B2478="","",ORCAMENTOS!B2478)</f>
        <v>293</v>
      </c>
      <c r="C2470" s="46" t="str">
        <f>IF(ORCAMENTOS!C2478="","",ORCAMENTOS!C2478)</f>
        <v/>
      </c>
      <c r="D2470" s="37" t="str">
        <f>IF(ORCAMENTOS!D2478="","",ORCAMENTOS!D2478)</f>
        <v>TERMOCLIMA</v>
      </c>
      <c r="E2470" s="38" t="str">
        <f>IF(ORCAMENTOS!E2478="","",ORCAMENTOS!E2478)</f>
        <v>PAULISTAO EMPREENDIMENTOS - PAULISTA 15 - INDAIATUBA - SP</v>
      </c>
      <c r="F2470" s="37" t="str">
        <f>IF(ORCAMENTOS!G2478="","",ORCAMENTOS!G2478)</f>
        <v>Gabriel</v>
      </c>
      <c r="G2470" s="37" t="str">
        <f>IF(ORCAMENTOS!H2478="","",ORCAMENTOS!H2478)</f>
        <v>Pedro</v>
      </c>
      <c r="H2470" s="39">
        <f>IF(ORCAMENTOS!I2478="","",ORCAMENTOS!I2478)</f>
        <v>264787.38</v>
      </c>
      <c r="I2470" s="60">
        <f>IF(ORCAMENTOS!J2478="","",ORCAMENTOS!J2478)</f>
        <v>7.0000000000000007E-2</v>
      </c>
      <c r="J2470" s="40" t="str">
        <f>IF(ORCAMENTOS!L2478="","",ORCAMENTOS!L2478)</f>
        <v>CANCELADO</v>
      </c>
      <c r="K2470" s="34" t="str">
        <f>IF(ORCAMENTOS!M2478="","",ORCAMENTOS!M2478)</f>
        <v>-</v>
      </c>
      <c r="L2470" t="str">
        <f>IF(ORCAMENTOS!R2478="","",ORCAMENTOS!R2478)</f>
        <v>MPU</v>
      </c>
    </row>
    <row r="2471" spans="1:12" ht="15.75" hidden="1" customHeight="1" x14ac:dyDescent="0.25">
      <c r="A2471" s="36">
        <f>IF(ORCAMENTOS!A2479="","",ORCAMENTOS!A2479)</f>
        <v>46073</v>
      </c>
      <c r="B2471" s="46">
        <f>IF(ORCAMENTOS!B2479="","",ORCAMENTOS!B2479)</f>
        <v>294</v>
      </c>
      <c r="C2471" s="46" t="str">
        <f>IF(ORCAMENTOS!C2479="","",ORCAMENTOS!C2479)</f>
        <v/>
      </c>
      <c r="D2471" s="37" t="str">
        <f>IF(ORCAMENTOS!D2479="","",ORCAMENTOS!D2479)</f>
        <v>INOVECTOR</v>
      </c>
      <c r="E2471" s="38" t="str">
        <f>IF(ORCAMENTOS!E2479="","",ORCAMENTOS!E2479)</f>
        <v>-</v>
      </c>
      <c r="F2471" s="37" t="str">
        <f>IF(ORCAMENTOS!G2479="","",ORCAMENTOS!G2479)</f>
        <v>Fernando</v>
      </c>
      <c r="G2471" s="37" t="str">
        <f>IF(ORCAMENTOS!H2479="","",ORCAMENTOS!H2479)</f>
        <v>Cristina</v>
      </c>
      <c r="H2471" s="39">
        <f>IF(ORCAMENTOS!I2479="","",ORCAMENTOS!I2479)</f>
        <v>303.31</v>
      </c>
      <c r="I2471" s="60">
        <f>IF(ORCAMENTOS!J2479="","",ORCAMENTOS!J2479)</f>
        <v>7.0000000000000007E-2</v>
      </c>
      <c r="J2471" s="40" t="str">
        <f>IF(ORCAMENTOS!L2479="","",ORCAMENTOS!L2479)</f>
        <v>FECHADO</v>
      </c>
      <c r="K2471" s="34" t="str">
        <f>IF(ORCAMENTOS!M2479="","",ORCAMENTOS!M2479)</f>
        <v>-</v>
      </c>
      <c r="L2471" t="str">
        <f>IF(ORCAMENTOS!R2479="","",ORCAMENTOS!R2479)</f>
        <v>-</v>
      </c>
    </row>
    <row r="2472" spans="1:12" ht="15.75" hidden="1" customHeight="1" x14ac:dyDescent="0.25">
      <c r="A2472" s="36">
        <f>IF(ORCAMENTOS!A2480="","",ORCAMENTOS!A2480)</f>
        <v>46073</v>
      </c>
      <c r="B2472" s="46">
        <f>IF(ORCAMENTOS!B2480="","",ORCAMENTOS!B2480)</f>
        <v>295</v>
      </c>
      <c r="C2472" s="46" t="str">
        <f>IF(ORCAMENTOS!C2480="","",ORCAMENTOS!C2480)</f>
        <v/>
      </c>
      <c r="D2472" s="37" t="str">
        <f>IF(ORCAMENTOS!D2480="","",ORCAMENTOS!D2480)</f>
        <v>RONALDO DONIZETE</v>
      </c>
      <c r="E2472" s="38" t="str">
        <f>IF(ORCAMENTOS!E2480="","",ORCAMENTOS!E2480)</f>
        <v>-</v>
      </c>
      <c r="F2472" s="37" t="str">
        <f>IF(ORCAMENTOS!G2480="","",ORCAMENTOS!G2480)</f>
        <v>Michel</v>
      </c>
      <c r="G2472" s="37" t="str">
        <f>IF(ORCAMENTOS!H2480="","",ORCAMENTOS!H2480)</f>
        <v>Ronaldo</v>
      </c>
      <c r="H2472" s="39">
        <f>IF(ORCAMENTOS!I2480="","",ORCAMENTOS!I2480)</f>
        <v>32421.599999999999</v>
      </c>
      <c r="I2472" s="60">
        <f>IF(ORCAMENTOS!J2480="","",ORCAMENTOS!J2480)</f>
        <v>0.05</v>
      </c>
      <c r="J2472" s="40" t="str">
        <f>IF(ORCAMENTOS!L2480="","",ORCAMENTOS!L2480)</f>
        <v>CANCELADO</v>
      </c>
      <c r="K2472" s="34" t="str">
        <f>IF(ORCAMENTOS!M2480="","",ORCAMENTOS!M2480)</f>
        <v>-</v>
      </c>
      <c r="L2472" t="str">
        <f>IF(ORCAMENTOS!R2480="","",ORCAMENTOS!R2480)</f>
        <v>-</v>
      </c>
    </row>
    <row r="2473" spans="1:12" ht="15.75" hidden="1" customHeight="1" x14ac:dyDescent="0.25">
      <c r="A2473" s="36">
        <f>IF(ORCAMENTOS!A2481="","",ORCAMENTOS!A2481)</f>
        <v>46073</v>
      </c>
      <c r="B2473" s="46">
        <f>IF(ORCAMENTOS!B2481="","",ORCAMENTOS!B2481)</f>
        <v>296</v>
      </c>
      <c r="C2473" s="46" t="str">
        <f>IF(ORCAMENTOS!C2481="","",ORCAMENTOS!C2481)</f>
        <v/>
      </c>
      <c r="D2473" s="37" t="str">
        <f>IF(ORCAMENTOS!D2481="","",ORCAMENTOS!D2481)</f>
        <v>AIR CONDYGIO</v>
      </c>
      <c r="E2473" s="38" t="str">
        <f>IF(ORCAMENTOS!E2481="","",ORCAMENTOS!E2481)</f>
        <v>AEROPORTO INTERNACIONAL DE PORTO ALEGRE - W PREMIUM - SALA VIP</v>
      </c>
      <c r="F2473" s="37" t="str">
        <f>IF(ORCAMENTOS!G2481="","",ORCAMENTOS!G2481)</f>
        <v>Gabriel</v>
      </c>
      <c r="G2473" s="37" t="str">
        <f>IF(ORCAMENTOS!H2481="","",ORCAMENTOS!H2481)</f>
        <v>David</v>
      </c>
      <c r="H2473" s="39">
        <f>IF(ORCAMENTOS!I2481="","",ORCAMENTOS!I2481)</f>
        <v>21869.66</v>
      </c>
      <c r="I2473" s="60">
        <f>IF(ORCAMENTOS!J2481="","",ORCAMENTOS!J2481)</f>
        <v>7.0000000000000007E-2</v>
      </c>
      <c r="J2473" s="40" t="str">
        <f>IF(ORCAMENTOS!L2481="","",ORCAMENTOS!L2481)</f>
        <v>CANCELADO</v>
      </c>
      <c r="K2473" s="34" t="str">
        <f>IF(ORCAMENTOS!M2481="","",ORCAMENTOS!M2481)</f>
        <v>-</v>
      </c>
      <c r="L2473" t="str">
        <f>IF(ORCAMENTOS!R2481="","",ORCAMENTOS!R2481)</f>
        <v>N/E</v>
      </c>
    </row>
    <row r="2474" spans="1:12" ht="15.75" hidden="1" customHeight="1" x14ac:dyDescent="0.25">
      <c r="A2474" s="36">
        <f>IF(ORCAMENTOS!A2482="","",ORCAMENTOS!A2482)</f>
        <v>46073</v>
      </c>
      <c r="B2474" s="46">
        <f>IF(ORCAMENTOS!B2482="","",ORCAMENTOS!B2482)</f>
        <v>297</v>
      </c>
      <c r="C2474" s="46" t="str">
        <f>IF(ORCAMENTOS!C2482="","",ORCAMENTOS!C2482)</f>
        <v/>
      </c>
      <c r="D2474" s="37" t="str">
        <f>IF(ORCAMENTOS!D2482="","",ORCAMENTOS!D2482)</f>
        <v>WELLNESS</v>
      </c>
      <c r="E2474" s="38" t="str">
        <f>IF(ORCAMENTOS!E2482="","",ORCAMENTOS!E2482)</f>
        <v>Sicoob Guaxupe/MG</v>
      </c>
      <c r="F2474" s="37" t="str">
        <f>IF(ORCAMENTOS!G2482="","",ORCAMENTOS!G2482)</f>
        <v>Gabriel</v>
      </c>
      <c r="G2474" s="37" t="str">
        <f>IF(ORCAMENTOS!H2482="","",ORCAMENTOS!H2482)</f>
        <v>Ivanise</v>
      </c>
      <c r="H2474" s="39">
        <f>IF(ORCAMENTOS!I2482="","",ORCAMENTOS!I2482)</f>
        <v>15868.73</v>
      </c>
      <c r="I2474" s="60">
        <f>IF(ORCAMENTOS!J2482="","",ORCAMENTOS!J2482)</f>
        <v>0.05</v>
      </c>
      <c r="J2474" s="40" t="str">
        <f>IF(ORCAMENTOS!L2482="","",ORCAMENTOS!L2482)</f>
        <v>CANCELADO</v>
      </c>
      <c r="K2474" s="34" t="str">
        <f>IF(ORCAMENTOS!M2482="","",ORCAMENTOS!M2482)</f>
        <v>-</v>
      </c>
      <c r="L2474" t="str">
        <f>IF(ORCAMENTOS!R2482="","",ORCAMENTOS!R2482)</f>
        <v>-</v>
      </c>
    </row>
    <row r="2475" spans="1:12" ht="15.75" hidden="1" customHeight="1" x14ac:dyDescent="0.25">
      <c r="A2475" s="36">
        <f>IF(ORCAMENTOS!A2483="","",ORCAMENTOS!A2483)</f>
        <v>46073</v>
      </c>
      <c r="B2475" s="46">
        <f>IF(ORCAMENTOS!B2483="","",ORCAMENTOS!B2483)</f>
        <v>298</v>
      </c>
      <c r="C2475" s="46" t="str">
        <f>IF(ORCAMENTOS!C2483="","",ORCAMENTOS!C2483)</f>
        <v/>
      </c>
      <c r="D2475" s="37" t="str">
        <f>IF(ORCAMENTOS!D2483="","",ORCAMENTOS!D2483)</f>
        <v>AWA AR CONDICIONADO</v>
      </c>
      <c r="E2475" s="38" t="str">
        <f>IF(ORCAMENTOS!E2483="","",ORCAMENTOS!E2483)</f>
        <v>SUPER CEARA - IMPERATRIZ - MA</v>
      </c>
      <c r="F2475" s="37" t="str">
        <f>IF(ORCAMENTOS!G2483="","",ORCAMENTOS!G2483)</f>
        <v>Guilherme</v>
      </c>
      <c r="G2475" s="37" t="str">
        <f>IF(ORCAMENTOS!H2483="","",ORCAMENTOS!H2483)</f>
        <v>Guilherme</v>
      </c>
      <c r="H2475" s="39">
        <f>IF(ORCAMENTOS!I2483="","",ORCAMENTOS!I2483)</f>
        <v>54188.98</v>
      </c>
      <c r="I2475" s="60">
        <f>IF(ORCAMENTOS!J2483="","",ORCAMENTOS!J2483)</f>
        <v>0.05</v>
      </c>
      <c r="J2475" s="40" t="str">
        <f>IF(ORCAMENTOS!L2483="","",ORCAMENTOS!L2483)</f>
        <v>CANCELADO</v>
      </c>
      <c r="K2475" s="34" t="str">
        <f>IF(ORCAMENTOS!M2483="","",ORCAMENTOS!M2483)</f>
        <v>-</v>
      </c>
      <c r="L2475" t="str">
        <f>IF(ORCAMENTOS!R2483="","",ORCAMENTOS!R2483)</f>
        <v>MPU</v>
      </c>
    </row>
    <row r="2476" spans="1:12" ht="15.75" hidden="1" customHeight="1" x14ac:dyDescent="0.25">
      <c r="A2476" s="36">
        <f>IF(ORCAMENTOS!A2484="","",ORCAMENTOS!A2484)</f>
        <v>46073</v>
      </c>
      <c r="B2476" s="46">
        <f>IF(ORCAMENTOS!B2484="","",ORCAMENTOS!B2484)</f>
        <v>299</v>
      </c>
      <c r="C2476" s="46" t="str">
        <f>IF(ORCAMENTOS!C2484="","",ORCAMENTOS!C2484)</f>
        <v/>
      </c>
      <c r="D2476" s="37" t="str">
        <f>IF(ORCAMENTOS!D2484="","",ORCAMENTOS!D2484)</f>
        <v>AWA AR CONDICIONADO</v>
      </c>
      <c r="E2476" s="38" t="str">
        <f>IF(ORCAMENTOS!E2484="","",ORCAMENTOS!E2484)</f>
        <v>SUPER GOIAS - IMPERATRIZ - MA</v>
      </c>
      <c r="F2476" s="37" t="str">
        <f>IF(ORCAMENTOS!G2484="","",ORCAMENTOS!G2484)</f>
        <v>Guilherme</v>
      </c>
      <c r="G2476" s="37" t="str">
        <f>IF(ORCAMENTOS!H2484="","",ORCAMENTOS!H2484)</f>
        <v>Paula</v>
      </c>
      <c r="H2476" s="39">
        <f>IF(ORCAMENTOS!I2484="","",ORCAMENTOS!I2484)</f>
        <v>71434</v>
      </c>
      <c r="I2476" s="60">
        <f>IF(ORCAMENTOS!J2484="","",ORCAMENTOS!J2484)</f>
        <v>0.05</v>
      </c>
      <c r="J2476" s="40" t="str">
        <f>IF(ORCAMENTOS!L2484="","",ORCAMENTOS!L2484)</f>
        <v>CANCELADO</v>
      </c>
      <c r="K2476" s="34" t="str">
        <f>IF(ORCAMENTOS!M2484="","",ORCAMENTOS!M2484)</f>
        <v>-</v>
      </c>
      <c r="L2476" t="str">
        <f>IF(ORCAMENTOS!R2484="","",ORCAMENTOS!R2484)</f>
        <v>MPU</v>
      </c>
    </row>
    <row r="2477" spans="1:12" ht="15.75" hidden="1" customHeight="1" x14ac:dyDescent="0.25">
      <c r="A2477" s="36">
        <f>IF(ORCAMENTOS!A2485="","",ORCAMENTOS!A2485)</f>
        <v>46073</v>
      </c>
      <c r="B2477" s="46">
        <f>IF(ORCAMENTOS!B2485="","",ORCAMENTOS!B2485)</f>
        <v>300</v>
      </c>
      <c r="C2477" s="46" t="str">
        <f>IF(ORCAMENTOS!C2485="","",ORCAMENTOS!C2485)</f>
        <v/>
      </c>
      <c r="D2477" s="37" t="str">
        <f>IF(ORCAMENTOS!D2485="","",ORCAMENTOS!D2485)</f>
        <v>AIR CONDYGIO</v>
      </c>
      <c r="E2477" s="38" t="str">
        <f>IF(ORCAMENTOS!E2485="","",ORCAMENTOS!E2485)</f>
        <v>NIKE - DOM PEDRO</v>
      </c>
      <c r="F2477" s="37" t="str">
        <f>IF(ORCAMENTOS!G2485="","",ORCAMENTOS!G2485)</f>
        <v>Gabriel</v>
      </c>
      <c r="G2477" s="37" t="str">
        <f>IF(ORCAMENTOS!H2485="","",ORCAMENTOS!H2485)</f>
        <v>David</v>
      </c>
      <c r="H2477" s="39">
        <f>IF(ORCAMENTOS!I2485="","",ORCAMENTOS!I2485)</f>
        <v>69121.2</v>
      </c>
      <c r="I2477" s="60">
        <f>IF(ORCAMENTOS!J2485="","",ORCAMENTOS!J2485)</f>
        <v>7.0000000000000007E-2</v>
      </c>
      <c r="J2477" s="40" t="str">
        <f>IF(ORCAMENTOS!L2485="","",ORCAMENTOS!L2485)</f>
        <v>CANCELADO</v>
      </c>
      <c r="K2477" s="34" t="str">
        <f>IF(ORCAMENTOS!M2485="","",ORCAMENTOS!M2485)</f>
        <v>-</v>
      </c>
      <c r="L2477" t="str">
        <f>IF(ORCAMENTOS!R2485="","",ORCAMENTOS!R2485)</f>
        <v>N/E</v>
      </c>
    </row>
    <row r="2478" spans="1:12" ht="15.75" hidden="1" customHeight="1" x14ac:dyDescent="0.25">
      <c r="A2478" s="36">
        <f>IF(ORCAMENTOS!A2486="","",ORCAMENTOS!A2486)</f>
        <v>46073</v>
      </c>
      <c r="B2478" s="46">
        <f>IF(ORCAMENTOS!B2486="","",ORCAMENTOS!B2486)</f>
        <v>301</v>
      </c>
      <c r="C2478" s="46" t="str">
        <f>IF(ORCAMENTOS!C2486="","",ORCAMENTOS!C2486)</f>
        <v/>
      </c>
      <c r="D2478" s="37" t="str">
        <f>IF(ORCAMENTOS!D2486="","",ORCAMENTOS!D2486)</f>
        <v>DUTOLEVE</v>
      </c>
      <c r="E2478" s="38" t="str">
        <f>IF(ORCAMENTOS!E2486="","",ORCAMENTOS!E2486)</f>
        <v>NIKE - PARQUE DOM PEDRO</v>
      </c>
      <c r="F2478" s="37" t="str">
        <f>IF(ORCAMENTOS!G2486="","",ORCAMENTOS!G2486)</f>
        <v>Gabriel</v>
      </c>
      <c r="G2478" s="37" t="str">
        <f>IF(ORCAMENTOS!H2486="","",ORCAMENTOS!H2486)</f>
        <v>Newton</v>
      </c>
      <c r="H2478" s="39">
        <f>IF(ORCAMENTOS!I2486="","",ORCAMENTOS!I2486)</f>
        <v>64779.39</v>
      </c>
      <c r="I2478" s="60">
        <f>IF(ORCAMENTOS!J2486="","",ORCAMENTOS!J2486)</f>
        <v>7.0000000000000007E-2</v>
      </c>
      <c r="J2478" s="40" t="str">
        <f>IF(ORCAMENTOS!L2486="","",ORCAMENTOS!L2486)</f>
        <v>CANCELADO</v>
      </c>
      <c r="K2478" s="34" t="str">
        <f>IF(ORCAMENTOS!M2486="","",ORCAMENTOS!M2486)</f>
        <v>-</v>
      </c>
      <c r="L2478" t="str">
        <f>IF(ORCAMENTOS!R2486="","",ORCAMENTOS!R2486)</f>
        <v>N/E</v>
      </c>
    </row>
    <row r="2479" spans="1:12" ht="15.75" hidden="1" customHeight="1" x14ac:dyDescent="0.25">
      <c r="A2479" s="36">
        <f>IF(ORCAMENTOS!A2487="","",ORCAMENTOS!A2487)</f>
        <v>46073</v>
      </c>
      <c r="B2479" s="46">
        <f>IF(ORCAMENTOS!B2487="","",ORCAMENTOS!B2487)</f>
        <v>302</v>
      </c>
      <c r="C2479" s="46" t="str">
        <f>IF(ORCAMENTOS!C2487="","",ORCAMENTOS!C2487)</f>
        <v/>
      </c>
      <c r="D2479" s="37" t="str">
        <f>IF(ORCAMENTOS!D2487="","",ORCAMENTOS!D2487)</f>
        <v>AIRCAM</v>
      </c>
      <c r="E2479" s="38" t="str">
        <f>IF(ORCAMENTOS!E2487="","",ORCAMENTOS!E2487)</f>
        <v>-</v>
      </c>
      <c r="F2479" s="37" t="str">
        <f>IF(ORCAMENTOS!G2487="","",ORCAMENTOS!G2487)</f>
        <v>Gabriel</v>
      </c>
      <c r="G2479" s="37" t="str">
        <f>IF(ORCAMENTOS!H2487="","",ORCAMENTOS!H2487)</f>
        <v>Karina</v>
      </c>
      <c r="H2479" s="39">
        <f>IF(ORCAMENTOS!I2487="","",ORCAMENTOS!I2487)</f>
        <v>133580.28</v>
      </c>
      <c r="I2479" s="60">
        <f>IF(ORCAMENTOS!J2487="","",ORCAMENTOS!J2487)</f>
        <v>7.0000000000000007E-2</v>
      </c>
      <c r="J2479" s="40" t="str">
        <f>IF(ORCAMENTOS!L2487="","",ORCAMENTOS!L2487)</f>
        <v>CANCELADO</v>
      </c>
      <c r="K2479" s="34" t="str">
        <f>IF(ORCAMENTOS!M2487="","",ORCAMENTOS!M2487)</f>
        <v>-</v>
      </c>
      <c r="L2479" t="str">
        <f>IF(ORCAMENTOS!R2487="","",ORCAMENTOS!R2487)</f>
        <v>-</v>
      </c>
    </row>
    <row r="2480" spans="1:12" ht="15.75" hidden="1" customHeight="1" x14ac:dyDescent="0.25">
      <c r="A2480" s="36">
        <f>IF(ORCAMENTOS!A2488="","",ORCAMENTOS!A2488)</f>
        <v>46073</v>
      </c>
      <c r="B2480" s="46">
        <f>IF(ORCAMENTOS!B2488="","",ORCAMENTOS!B2488)</f>
        <v>303</v>
      </c>
      <c r="C2480" s="46" t="str">
        <f>IF(ORCAMENTOS!C2488="","",ORCAMENTOS!C2488)</f>
        <v/>
      </c>
      <c r="D2480" s="37" t="str">
        <f>IF(ORCAMENTOS!D2488="","",ORCAMENTOS!D2488)</f>
        <v>MONDARC</v>
      </c>
      <c r="E2480" s="38" t="str">
        <f>IF(ORCAMENTOS!E2488="","",ORCAMENTOS!E2488)</f>
        <v>MADEIRAMADEIRA - ITAQUERA</v>
      </c>
      <c r="F2480" s="37" t="str">
        <f>IF(ORCAMENTOS!G2488="","",ORCAMENTOS!G2488)</f>
        <v>Michel</v>
      </c>
      <c r="G2480" s="37" t="str">
        <f>IF(ORCAMENTOS!H2488="","",ORCAMENTOS!H2488)</f>
        <v>Fabiana</v>
      </c>
      <c r="H2480" s="39">
        <f>IF(ORCAMENTOS!I2488="","",ORCAMENTOS!I2488)</f>
        <v>8590.01</v>
      </c>
      <c r="I2480" s="60">
        <f>IF(ORCAMENTOS!J2488="","",ORCAMENTOS!J2488)</f>
        <v>7.0000000000000007E-2</v>
      </c>
      <c r="J2480" s="40" t="str">
        <f>IF(ORCAMENTOS!L2488="","",ORCAMENTOS!L2488)</f>
        <v>CANCELADO</v>
      </c>
      <c r="K2480" s="34" t="str">
        <f>IF(ORCAMENTOS!M2488="","",ORCAMENTOS!M2488)</f>
        <v>-</v>
      </c>
      <c r="L2480" t="str">
        <f>IF(ORCAMENTOS!R2488="","",ORCAMENTOS!R2488)</f>
        <v>N/E</v>
      </c>
    </row>
    <row r="2481" spans="1:12" ht="15.75" hidden="1" customHeight="1" x14ac:dyDescent="0.25">
      <c r="A2481" s="36">
        <f>IF(ORCAMENTOS!A2489="","",ORCAMENTOS!A2489)</f>
        <v>46076</v>
      </c>
      <c r="B2481" s="46">
        <f>IF(ORCAMENTOS!B2489="","",ORCAMENTOS!B2489)</f>
        <v>304</v>
      </c>
      <c r="C2481" s="46" t="str">
        <f>IF(ORCAMENTOS!C2489="","",ORCAMENTOS!C2489)</f>
        <v/>
      </c>
      <c r="D2481" s="37" t="str">
        <f>IF(ORCAMENTOS!D2489="","",ORCAMENTOS!D2489)</f>
        <v>CONTROLE CLIMA</v>
      </c>
      <c r="E2481" s="38" t="str">
        <f>IF(ORCAMENTOS!E2489="","",ORCAMENTOS!E2489)</f>
        <v>-</v>
      </c>
      <c r="F2481" s="37" t="str">
        <f>IF(ORCAMENTOS!G2489="","",ORCAMENTOS!G2489)</f>
        <v>Gabriel</v>
      </c>
      <c r="G2481" s="37" t="str">
        <f>IF(ORCAMENTOS!H2489="","",ORCAMENTOS!H2489)</f>
        <v>Samuel</v>
      </c>
      <c r="H2481" s="39">
        <f>IF(ORCAMENTOS!I2489="","",ORCAMENTOS!I2489)</f>
        <v>6198.48</v>
      </c>
      <c r="I2481" s="60">
        <f>IF(ORCAMENTOS!J2489="","",ORCAMENTOS!J2489)</f>
        <v>0.04</v>
      </c>
      <c r="J2481" s="40" t="str">
        <f>IF(ORCAMENTOS!L2489="","",ORCAMENTOS!L2489)</f>
        <v>FECHADO</v>
      </c>
      <c r="K2481" s="34" t="str">
        <f>IF(ORCAMENTOS!M2489="","",ORCAMENTOS!M2489)</f>
        <v>-</v>
      </c>
      <c r="L2481" t="str">
        <f>IF(ORCAMENTOS!R2489="","",ORCAMENTOS!R2489)</f>
        <v>-</v>
      </c>
    </row>
    <row r="2482" spans="1:12" ht="15.75" hidden="1" customHeight="1" x14ac:dyDescent="0.25">
      <c r="A2482" s="36">
        <f>IF(ORCAMENTOS!A2490="","",ORCAMENTOS!A2490)</f>
        <v>46076</v>
      </c>
      <c r="B2482" s="46">
        <f>IF(ORCAMENTOS!B2490="","",ORCAMENTOS!B2490)</f>
        <v>305</v>
      </c>
      <c r="C2482" s="46" t="str">
        <f>IF(ORCAMENTOS!C2490="","",ORCAMENTOS!C2490)</f>
        <v/>
      </c>
      <c r="D2482" s="37" t="str">
        <f>IF(ORCAMENTOS!D2490="","",ORCAMENTOS!D2490)</f>
        <v>AR SISTEMAS</v>
      </c>
      <c r="E2482" s="38" t="str">
        <f>IF(ORCAMENTOS!E2490="","",ORCAMENTOS!E2490)</f>
        <v>NIKE - PARQUE DOM PEDRO</v>
      </c>
      <c r="F2482" s="37" t="str">
        <f>IF(ORCAMENTOS!G2490="","",ORCAMENTOS!G2490)</f>
        <v>Michel</v>
      </c>
      <c r="G2482" s="37" t="str">
        <f>IF(ORCAMENTOS!H2490="","",ORCAMENTOS!H2490)</f>
        <v>Anderson</v>
      </c>
      <c r="H2482" s="39">
        <f>IF(ORCAMENTOS!I2490="","",ORCAMENTOS!I2490)</f>
        <v>69121.2</v>
      </c>
      <c r="I2482" s="60">
        <f>IF(ORCAMENTOS!J2490="","",ORCAMENTOS!J2490)</f>
        <v>7.0000000000000007E-2</v>
      </c>
      <c r="J2482" s="40" t="str">
        <f>IF(ORCAMENTOS!L2490="","",ORCAMENTOS!L2490)</f>
        <v>CANCELADO</v>
      </c>
      <c r="K2482" s="34" t="str">
        <f>IF(ORCAMENTOS!M2490="","",ORCAMENTOS!M2490)</f>
        <v>-</v>
      </c>
      <c r="L2482" t="str">
        <f>IF(ORCAMENTOS!R2490="","",ORCAMENTOS!R2490)</f>
        <v>N/E</v>
      </c>
    </row>
    <row r="2483" spans="1:12" ht="15.75" hidden="1" customHeight="1" x14ac:dyDescent="0.25">
      <c r="A2483" s="36">
        <f>IF(ORCAMENTOS!A2491="","",ORCAMENTOS!A2491)</f>
        <v>46076</v>
      </c>
      <c r="B2483" s="46">
        <f>IF(ORCAMENTOS!B2491="","",ORCAMENTOS!B2491)</f>
        <v>306</v>
      </c>
      <c r="C2483" s="46" t="str">
        <f>IF(ORCAMENTOS!C2491="","",ORCAMENTOS!C2491)</f>
        <v/>
      </c>
      <c r="D2483" s="37" t="str">
        <f>IF(ORCAMENTOS!D2491="","",ORCAMENTOS!D2491)</f>
        <v>AIRPLAN</v>
      </c>
      <c r="E2483" s="38" t="str">
        <f>IF(ORCAMENTOS!E2491="","",ORCAMENTOS!E2491)</f>
        <v>NIKE - BH SHOPPING</v>
      </c>
      <c r="F2483" s="37" t="str">
        <f>IF(ORCAMENTOS!G2491="","",ORCAMENTOS!G2491)</f>
        <v>Guilherme</v>
      </c>
      <c r="G2483" s="37" t="str">
        <f>IF(ORCAMENTOS!H2491="","",ORCAMENTOS!H2491)</f>
        <v>Gabriel</v>
      </c>
      <c r="H2483" s="39">
        <f>IF(ORCAMENTOS!I2491="","",ORCAMENTOS!I2491)</f>
        <v>40797.089999999997</v>
      </c>
      <c r="I2483" s="60">
        <f>IF(ORCAMENTOS!J2491="","",ORCAMENTOS!J2491)</f>
        <v>7.0000000000000007E-2</v>
      </c>
      <c r="J2483" s="40" t="str">
        <f>IF(ORCAMENTOS!L2491="","",ORCAMENTOS!L2491)</f>
        <v>ORCAMENTO</v>
      </c>
      <c r="K2483" s="34" t="str">
        <f>IF(ORCAMENTOS!M2491="","",ORCAMENTOS!M2491)</f>
        <v>-</v>
      </c>
      <c r="L2483" t="str">
        <f>IF(ORCAMENTOS!R2491="","",ORCAMENTOS!R2491)</f>
        <v>MPU</v>
      </c>
    </row>
    <row r="2484" spans="1:12" ht="15.75" hidden="1" customHeight="1" x14ac:dyDescent="0.25">
      <c r="A2484" s="36">
        <f>IF(ORCAMENTOS!A2492="","",ORCAMENTOS!A2492)</f>
        <v>46076</v>
      </c>
      <c r="B2484" s="46">
        <f>IF(ORCAMENTOS!B2492="","",ORCAMENTOS!B2492)</f>
        <v>307</v>
      </c>
      <c r="C2484" s="46" t="str">
        <f>IF(ORCAMENTOS!C2492="","",ORCAMENTOS!C2492)</f>
        <v/>
      </c>
      <c r="D2484" s="37" t="str">
        <f>IF(ORCAMENTOS!D2492="","",ORCAMENTOS!D2492)</f>
        <v>AMS INSTALACOES</v>
      </c>
      <c r="E2484" s="38" t="str">
        <f>IF(ORCAMENTOS!E2492="","",ORCAMENTOS!E2492)</f>
        <v>ATACADAO - TAMOIOS SANTO ANDRE - CAPUAVA - SP</v>
      </c>
      <c r="F2484" s="37" t="str">
        <f>IF(ORCAMENTOS!G2492="","",ORCAMENTOS!G2492)</f>
        <v>Gabriel</v>
      </c>
      <c r="G2484" s="37" t="str">
        <f>IF(ORCAMENTOS!H2492="","",ORCAMENTOS!H2492)</f>
        <v>Albertino</v>
      </c>
      <c r="H2484" s="39">
        <f>IF(ORCAMENTOS!I2492="","",ORCAMENTOS!I2492)</f>
        <v>361196.63</v>
      </c>
      <c r="I2484" s="60">
        <f>IF(ORCAMENTOS!J2492="","",ORCAMENTOS!J2492)</f>
        <v>7.0000000000000007E-2</v>
      </c>
      <c r="J2484" s="40" t="str">
        <f>IF(ORCAMENTOS!L2492="","",ORCAMENTOS!L2492)</f>
        <v>CANCELADO</v>
      </c>
      <c r="K2484" s="34" t="str">
        <f>IF(ORCAMENTOS!M2492="","",ORCAMENTOS!M2492)</f>
        <v>-</v>
      </c>
      <c r="L2484" t="str">
        <f>IF(ORCAMENTOS!R2492="","",ORCAMENTOS!R2492)</f>
        <v>MPU</v>
      </c>
    </row>
    <row r="2485" spans="1:12" ht="15.75" hidden="1" customHeight="1" x14ac:dyDescent="0.25">
      <c r="A2485" s="36">
        <f>IF(ORCAMENTOS!A2493="","",ORCAMENTOS!A2493)</f>
        <v>46076</v>
      </c>
      <c r="B2485" s="46">
        <f>IF(ORCAMENTOS!B2493="","",ORCAMENTOS!B2493)</f>
        <v>308</v>
      </c>
      <c r="C2485" s="46" t="str">
        <f>IF(ORCAMENTOS!C2493="","",ORCAMENTOS!C2493)</f>
        <v/>
      </c>
      <c r="D2485" s="37" t="str">
        <f>IF(ORCAMENTOS!D2493="","",ORCAMENTOS!D2493)</f>
        <v>KONAR</v>
      </c>
      <c r="E2485" s="38" t="str">
        <f>IF(ORCAMENTOS!E2493="","",ORCAMENTOS!E2493)</f>
        <v>003-26 - EBM - GW</v>
      </c>
      <c r="F2485" s="37" t="str">
        <f>IF(ORCAMENTOS!G2493="","",ORCAMENTOS!G2493)</f>
        <v>Michel</v>
      </c>
      <c r="G2485" s="37" t="str">
        <f>IF(ORCAMENTOS!H2493="","",ORCAMENTOS!H2493)</f>
        <v>Pedro</v>
      </c>
      <c r="H2485" s="39">
        <f>IF(ORCAMENTOS!I2493="","",ORCAMENTOS!I2493)</f>
        <v>15941.96</v>
      </c>
      <c r="I2485" s="60">
        <f>IF(ORCAMENTOS!J2493="","",ORCAMENTOS!J2493)</f>
        <v>0.03</v>
      </c>
      <c r="J2485" s="40" t="str">
        <f>IF(ORCAMENTOS!L2493="","",ORCAMENTOS!L2493)</f>
        <v>FECHADO</v>
      </c>
      <c r="K2485" s="34" t="str">
        <f>IF(ORCAMENTOS!M2493="","",ORCAMENTOS!M2493)</f>
        <v>-</v>
      </c>
      <c r="L2485" t="str">
        <f>IF(ORCAMENTOS!R2493="","",ORCAMENTOS!R2493)</f>
        <v>-</v>
      </c>
    </row>
    <row r="2486" spans="1:12" ht="15.75" hidden="1" customHeight="1" x14ac:dyDescent="0.25">
      <c r="A2486" s="36">
        <f>IF(ORCAMENTOS!A2494="","",ORCAMENTOS!A2494)</f>
        <v>46076</v>
      </c>
      <c r="B2486" s="46">
        <f>IF(ORCAMENTOS!B2494="","",ORCAMENTOS!B2494)</f>
        <v>309</v>
      </c>
      <c r="C2486" s="46" t="str">
        <f>IF(ORCAMENTOS!C2494="","",ORCAMENTOS!C2494)</f>
        <v/>
      </c>
      <c r="D2486" s="37" t="str">
        <f>IF(ORCAMENTOS!D2494="","",ORCAMENTOS!D2494)</f>
        <v>CRIOVAC</v>
      </c>
      <c r="E2486" s="38" t="str">
        <f>IF(ORCAMENTOS!E2494="","",ORCAMENTOS!E2494)</f>
        <v>-</v>
      </c>
      <c r="F2486" s="37" t="str">
        <f>IF(ORCAMENTOS!G2494="","",ORCAMENTOS!G2494)</f>
        <v>Emanuel</v>
      </c>
      <c r="G2486" s="37" t="str">
        <f>IF(ORCAMENTOS!H2494="","",ORCAMENTOS!H2494)</f>
        <v>Karen</v>
      </c>
      <c r="H2486" s="39">
        <f>IF(ORCAMENTOS!I2494="","",ORCAMENTOS!I2494)</f>
        <v>2523.4699999999998</v>
      </c>
      <c r="I2486" s="60">
        <f>IF(ORCAMENTOS!J2494="","",ORCAMENTOS!J2494)</f>
        <v>7.0000000000000007E-2</v>
      </c>
      <c r="J2486" s="40" t="str">
        <f>IF(ORCAMENTOS!L2494="","",ORCAMENTOS!L2494)</f>
        <v>FECHADO</v>
      </c>
      <c r="K2486" s="34" t="str">
        <f>IF(ORCAMENTOS!M2494="","",ORCAMENTOS!M2494)</f>
        <v>-</v>
      </c>
      <c r="L2486" t="str">
        <f>IF(ORCAMENTOS!R2494="","",ORCAMENTOS!R2494)</f>
        <v>-</v>
      </c>
    </row>
    <row r="2487" spans="1:12" ht="15.75" hidden="1" customHeight="1" x14ac:dyDescent="0.25">
      <c r="A2487" s="36">
        <f>IF(ORCAMENTOS!A2495="","",ORCAMENTOS!A2495)</f>
        <v>46076</v>
      </c>
      <c r="B2487" s="46">
        <f>IF(ORCAMENTOS!B2495="","",ORCAMENTOS!B2495)</f>
        <v>310</v>
      </c>
      <c r="C2487" s="46" t="str">
        <f>IF(ORCAMENTOS!C2495="","",ORCAMENTOS!C2495)</f>
        <v/>
      </c>
      <c r="D2487" s="37" t="str">
        <f>IF(ORCAMENTOS!D2495="","",ORCAMENTOS!D2495)</f>
        <v>BR AR SISTEMAS</v>
      </c>
      <c r="E2487" s="38" t="str">
        <f>IF(ORCAMENTOS!E2495="","",ORCAMENTOS!E2495)</f>
        <v>-</v>
      </c>
      <c r="F2487" s="37" t="str">
        <f>IF(ORCAMENTOS!G2495="","",ORCAMENTOS!G2495)</f>
        <v>Gabriel</v>
      </c>
      <c r="G2487" s="37" t="str">
        <f>IF(ORCAMENTOS!H2495="","",ORCAMENTOS!H2495)</f>
        <v>Tatiana</v>
      </c>
      <c r="H2487" s="39">
        <f>IF(ORCAMENTOS!I2495="","",ORCAMENTOS!I2495)</f>
        <v>2201.19</v>
      </c>
      <c r="I2487" s="60">
        <f>IF(ORCAMENTOS!J2495="","",ORCAMENTOS!J2495)</f>
        <v>7.0000000000000007E-2</v>
      </c>
      <c r="J2487" s="40" t="str">
        <f>IF(ORCAMENTOS!L2495="","",ORCAMENTOS!L2495)</f>
        <v>CANCELADO</v>
      </c>
      <c r="K2487" s="34" t="str">
        <f>IF(ORCAMENTOS!M2495="","",ORCAMENTOS!M2495)</f>
        <v>-</v>
      </c>
      <c r="L2487" t="str">
        <f>IF(ORCAMENTOS!R2495="","",ORCAMENTOS!R2495)</f>
        <v>-</v>
      </c>
    </row>
    <row r="2488" spans="1:12" ht="15.75" hidden="1" customHeight="1" x14ac:dyDescent="0.25">
      <c r="A2488" s="36">
        <f>IF(ORCAMENTOS!A2496="","",ORCAMENTOS!A2496)</f>
        <v>46076</v>
      </c>
      <c r="B2488" s="46">
        <f>IF(ORCAMENTOS!B2496="","",ORCAMENTOS!B2496)</f>
        <v>311</v>
      </c>
      <c r="C2488" s="46" t="str">
        <f>IF(ORCAMENTOS!C2496="","",ORCAMENTOS!C2496)</f>
        <v/>
      </c>
      <c r="D2488" s="37" t="str">
        <f>IF(ORCAMENTOS!D2496="","",ORCAMENTOS!D2496)</f>
        <v>NP CLIMATIZAÇÃO</v>
      </c>
      <c r="E2488" s="38" t="str">
        <f>IF(ORCAMENTOS!E2496="","",ORCAMENTOS!E2496)</f>
        <v>STAND ATILIO</v>
      </c>
      <c r="F2488" s="37" t="str">
        <f>IF(ORCAMENTOS!G2496="","",ORCAMENTOS!G2496)</f>
        <v>Guilherme</v>
      </c>
      <c r="G2488" s="37" t="str">
        <f>IF(ORCAMENTOS!H2496="","",ORCAMENTOS!H2496)</f>
        <v>Maria</v>
      </c>
      <c r="H2488" s="39">
        <f>IF(ORCAMENTOS!I2496="","",ORCAMENTOS!I2496)</f>
        <v>3968.07</v>
      </c>
      <c r="I2488" s="60">
        <f>IF(ORCAMENTOS!J2496="","",ORCAMENTOS!J2496)</f>
        <v>7.0000000000000007E-2</v>
      </c>
      <c r="J2488" s="40" t="str">
        <f>IF(ORCAMENTOS!L2496="","",ORCAMENTOS!L2496)</f>
        <v>CANCELADO</v>
      </c>
      <c r="K2488" s="34" t="str">
        <f>IF(ORCAMENTOS!M2496="","",ORCAMENTOS!M2496)</f>
        <v>-</v>
      </c>
      <c r="L2488" t="str">
        <f>IF(ORCAMENTOS!R2496="","",ORCAMENTOS!R2496)</f>
        <v>-</v>
      </c>
    </row>
    <row r="2489" spans="1:12" ht="15.75" hidden="1" customHeight="1" x14ac:dyDescent="0.25">
      <c r="A2489" s="36">
        <f>IF(ORCAMENTOS!A2497="","",ORCAMENTOS!A2497)</f>
        <v>46076</v>
      </c>
      <c r="B2489" s="46">
        <f>IF(ORCAMENTOS!B2497="","",ORCAMENTOS!B2497)</f>
        <v>312</v>
      </c>
      <c r="C2489" s="46" t="str">
        <f>IF(ORCAMENTOS!C2497="","",ORCAMENTOS!C2497)</f>
        <v/>
      </c>
      <c r="D2489" s="37" t="str">
        <f>IF(ORCAMENTOS!D2497="","",ORCAMENTOS!D2497)</f>
        <v>ADRIATIC</v>
      </c>
      <c r="E2489" s="38" t="str">
        <f>IF(ORCAMENTOS!E2497="","",ORCAMENTOS!E2497)</f>
        <v>HOSPITAL DO RIM - COZINHA - VILA CLEMENTINO - SP</v>
      </c>
      <c r="F2489" s="37" t="str">
        <f>IF(ORCAMENTOS!G2497="","",ORCAMENTOS!G2497)</f>
        <v>Emanuel</v>
      </c>
      <c r="G2489" s="37" t="str">
        <f>IF(ORCAMENTOS!H2497="","",ORCAMENTOS!H2497)</f>
        <v>Carlos</v>
      </c>
      <c r="H2489" s="39">
        <f>IF(ORCAMENTOS!I2497="","",ORCAMENTOS!I2497)</f>
        <v>7681.13</v>
      </c>
      <c r="I2489" s="60">
        <f>IF(ORCAMENTOS!J2497="","",ORCAMENTOS!J2497)</f>
        <v>7.0000000000000007E-2</v>
      </c>
      <c r="J2489" s="40" t="str">
        <f>IF(ORCAMENTOS!L2497="","",ORCAMENTOS!L2497)</f>
        <v>CANCELADO</v>
      </c>
      <c r="K2489" s="34" t="str">
        <f>IF(ORCAMENTOS!M2497="","",ORCAMENTOS!M2497)</f>
        <v>-</v>
      </c>
      <c r="L2489" t="str">
        <f>IF(ORCAMENTOS!R2497="","",ORCAMENTOS!R2497)</f>
        <v>-</v>
      </c>
    </row>
    <row r="2490" spans="1:12" ht="15.75" hidden="1" customHeight="1" x14ac:dyDescent="0.25">
      <c r="A2490" s="36">
        <f>IF(ORCAMENTOS!A2498="","",ORCAMENTOS!A2498)</f>
        <v>46076</v>
      </c>
      <c r="B2490" s="46">
        <f>IF(ORCAMENTOS!B2498="","",ORCAMENTOS!B2498)</f>
        <v>313</v>
      </c>
      <c r="C2490" s="46" t="str">
        <f>IF(ORCAMENTOS!C2498="","",ORCAMENTOS!C2498)</f>
        <v/>
      </c>
      <c r="D2490" s="37" t="str">
        <f>IF(ORCAMENTOS!D2498="","",ORCAMENTOS!D2498)</f>
        <v>MANENG</v>
      </c>
      <c r="E2490" s="38" t="str">
        <f>IF(ORCAMENTOS!E2498="","",ORCAMENTOS!E2498)</f>
        <v>CLARO - ESTACAO ARACAJU - AJU - IT - CE</v>
      </c>
      <c r="F2490" s="37" t="str">
        <f>IF(ORCAMENTOS!G2498="","",ORCAMENTOS!G2498)</f>
        <v>Guilherme</v>
      </c>
      <c r="G2490" s="37" t="str">
        <f>IF(ORCAMENTOS!H2498="","",ORCAMENTOS!H2498)</f>
        <v>Gustavo</v>
      </c>
      <c r="H2490" s="39">
        <f>IF(ORCAMENTOS!I2498="","",ORCAMENTOS!I2498)</f>
        <v>13808.67</v>
      </c>
      <c r="I2490" s="60">
        <f>IF(ORCAMENTOS!J2498="","",ORCAMENTOS!J2498)</f>
        <v>0.05</v>
      </c>
      <c r="J2490" s="40" t="str">
        <f>IF(ORCAMENTOS!L2498="","",ORCAMENTOS!L2498)</f>
        <v>CANCELADO</v>
      </c>
      <c r="K2490" s="34" t="str">
        <f>IF(ORCAMENTOS!M2498="","",ORCAMENTOS!M2498)</f>
        <v>-</v>
      </c>
      <c r="L2490" t="str">
        <f>IF(ORCAMENTOS!R2498="","",ORCAMENTOS!R2498)</f>
        <v>-</v>
      </c>
    </row>
    <row r="2491" spans="1:12" ht="15.75" hidden="1" customHeight="1" x14ac:dyDescent="0.25">
      <c r="A2491" s="36">
        <f>IF(ORCAMENTOS!A2499="","",ORCAMENTOS!A2499)</f>
        <v>46076</v>
      </c>
      <c r="B2491" s="46">
        <f>IF(ORCAMENTOS!B2499="","",ORCAMENTOS!B2499)</f>
        <v>314</v>
      </c>
      <c r="C2491" s="46" t="str">
        <f>IF(ORCAMENTOS!C2499="","",ORCAMENTOS!C2499)</f>
        <v/>
      </c>
      <c r="D2491" s="37" t="str">
        <f>IF(ORCAMENTOS!D2499="","",ORCAMENTOS!D2499)</f>
        <v>VELTTER ENGENHARIA</v>
      </c>
      <c r="E2491" s="38" t="str">
        <f>IF(ORCAMENTOS!E2499="","",ORCAMENTOS!E2499)</f>
        <v>PIB - SOROCABA - SP</v>
      </c>
      <c r="F2491" s="37" t="str">
        <f>IF(ORCAMENTOS!G2499="","",ORCAMENTOS!G2499)</f>
        <v>Gabriel</v>
      </c>
      <c r="G2491" s="37" t="str">
        <f>IF(ORCAMENTOS!H2499="","",ORCAMENTOS!H2499)</f>
        <v>Joao</v>
      </c>
      <c r="H2491" s="39">
        <f>IF(ORCAMENTOS!I2499="","",ORCAMENTOS!I2499)</f>
        <v>20955.650000000001</v>
      </c>
      <c r="I2491" s="60">
        <f>IF(ORCAMENTOS!J2499="","",ORCAMENTOS!J2499)</f>
        <v>0.05</v>
      </c>
      <c r="J2491" s="40" t="str">
        <f>IF(ORCAMENTOS!L2499="","",ORCAMENTOS!L2499)</f>
        <v>CANCELADO</v>
      </c>
      <c r="K2491" s="34" t="str">
        <f>IF(ORCAMENTOS!M2499="","",ORCAMENTOS!M2499)</f>
        <v>-</v>
      </c>
      <c r="L2491" t="str">
        <f>IF(ORCAMENTOS!R2499="","",ORCAMENTOS!R2499)</f>
        <v>MPU</v>
      </c>
    </row>
    <row r="2492" spans="1:12" ht="15.75" hidden="1" customHeight="1" x14ac:dyDescent="0.25">
      <c r="A2492" s="36">
        <f>IF(ORCAMENTOS!A2500="","",ORCAMENTOS!A2500)</f>
        <v>46076</v>
      </c>
      <c r="B2492" s="46">
        <f>IF(ORCAMENTOS!B2500="","",ORCAMENTOS!B2500)</f>
        <v>315</v>
      </c>
      <c r="C2492" s="46" t="str">
        <f>IF(ORCAMENTOS!C2500="","",ORCAMENTOS!C2500)</f>
        <v/>
      </c>
      <c r="D2492" s="37" t="str">
        <f>IF(ORCAMENTOS!D2500="","",ORCAMENTOS!D2500)</f>
        <v>AWA AR CONDICIONADO</v>
      </c>
      <c r="E2492" s="38" t="str">
        <f>IF(ORCAMENTOS!E2500="","",ORCAMENTOS!E2500)</f>
        <v>HIPER BALSAS - BALSAS - MA</v>
      </c>
      <c r="F2492" s="37" t="str">
        <f>IF(ORCAMENTOS!G2500="","",ORCAMENTOS!G2500)</f>
        <v>Guilherme</v>
      </c>
      <c r="G2492" s="37" t="str">
        <f>IF(ORCAMENTOS!H2500="","",ORCAMENTOS!H2500)</f>
        <v>Paula</v>
      </c>
      <c r="H2492" s="39">
        <f>IF(ORCAMENTOS!I2500="","",ORCAMENTOS!I2500)</f>
        <v>160040.01</v>
      </c>
      <c r="I2492" s="60">
        <f>IF(ORCAMENTOS!J2500="","",ORCAMENTOS!J2500)</f>
        <v>0.05</v>
      </c>
      <c r="J2492" s="40" t="str">
        <f>IF(ORCAMENTOS!L2500="","",ORCAMENTOS!L2500)</f>
        <v>CANCELADO</v>
      </c>
      <c r="K2492" s="34" t="str">
        <f>IF(ORCAMENTOS!M2500="","",ORCAMENTOS!M2500)</f>
        <v>-</v>
      </c>
      <c r="L2492" t="str">
        <f>IF(ORCAMENTOS!R2500="","",ORCAMENTOS!R2500)</f>
        <v>MPU</v>
      </c>
    </row>
    <row r="2493" spans="1:12" ht="15.75" hidden="1" customHeight="1" x14ac:dyDescent="0.25">
      <c r="A2493" s="36" t="str">
        <f>IF(ORCAMENTOS!A2501="","",ORCAMENTOS!A2501)</f>
        <v>30/02</v>
      </c>
      <c r="B2493" s="46">
        <f>IF(ORCAMENTOS!B2501="","",ORCAMENTOS!B2501)</f>
        <v>316</v>
      </c>
      <c r="C2493" s="46" t="str">
        <f>IF(ORCAMENTOS!C2501="","",ORCAMENTOS!C2501)</f>
        <v/>
      </c>
      <c r="D2493" s="37" t="str">
        <f>IF(ORCAMENTOS!D2501="","",ORCAMENTOS!D2501)</f>
        <v>RICH ENGENHARIA</v>
      </c>
      <c r="E2493" s="38" t="str">
        <f>IF(ORCAMENTOS!E2501="","",ORCAMENTOS!E2501)</f>
        <v>ACADEMIA TERRAS - 2 - CONDOMINIO TERRAS DE SÃO JOSE II - ITU - SP</v>
      </c>
      <c r="F2493" s="37" t="str">
        <f>IF(ORCAMENTOS!G2501="","",ORCAMENTOS!G2501)</f>
        <v>Guilherme</v>
      </c>
      <c r="G2493" s="37" t="str">
        <f>IF(ORCAMENTOS!H2501="","",ORCAMENTOS!H2501)</f>
        <v>Ricardo</v>
      </c>
      <c r="H2493" s="39">
        <f>IF(ORCAMENTOS!I2501="","",ORCAMENTOS!I2501)</f>
        <v>9783.42</v>
      </c>
      <c r="I2493" s="60">
        <f>IF(ORCAMENTOS!J2501="","",ORCAMENTOS!J2501)</f>
        <v>7.0000000000000007E-2</v>
      </c>
      <c r="J2493" s="40" t="str">
        <f>IF(ORCAMENTOS!L2501="","",ORCAMENTOS!L2501)</f>
        <v>ORCAMENTO</v>
      </c>
      <c r="K2493" s="34" t="str">
        <f>IF(ORCAMENTOS!M2501="","",ORCAMENTOS!M2501)</f>
        <v>-</v>
      </c>
      <c r="L2493" t="str">
        <f>IF(ORCAMENTOS!R2501="","",ORCAMENTOS!R2501)</f>
        <v>CHAPA DE ACO GALVANIZADO</v>
      </c>
    </row>
    <row r="2494" spans="1:12" ht="15.75" hidden="1" customHeight="1" x14ac:dyDescent="0.25">
      <c r="A2494" s="36">
        <f>IF(ORCAMENTOS!A2502="","",ORCAMENTOS!A2502)</f>
        <v>46076</v>
      </c>
      <c r="B2494" s="46">
        <f>IF(ORCAMENTOS!B2502="","",ORCAMENTOS!B2502)</f>
        <v>317</v>
      </c>
      <c r="C2494" s="46" t="str">
        <f>IF(ORCAMENTOS!C2502="","",ORCAMENTOS!C2502)</f>
        <v/>
      </c>
      <c r="D2494" s="37" t="str">
        <f>IF(ORCAMENTOS!D2502="","",ORCAMENTOS!D2502)</f>
        <v>NP CLIMATIZAÇÃO</v>
      </c>
      <c r="E2494" s="38" t="str">
        <f>IF(ORCAMENTOS!E2502="","",ORCAMENTOS!E2502)</f>
        <v>FAMILIA SILVA SANTOS - NEYMAR - TRIPLEX</v>
      </c>
      <c r="F2494" s="37" t="str">
        <f>IF(ORCAMENTOS!G2502="","",ORCAMENTOS!G2502)</f>
        <v>Guilherme</v>
      </c>
      <c r="G2494" s="37" t="str">
        <f>IF(ORCAMENTOS!H2502="","",ORCAMENTOS!H2502)</f>
        <v>Maria</v>
      </c>
      <c r="H2494" s="39">
        <f>IF(ORCAMENTOS!I2502="","",ORCAMENTOS!I2502)</f>
        <v>23644.02</v>
      </c>
      <c r="I2494" s="60">
        <f>IF(ORCAMENTOS!J2502="","",ORCAMENTOS!J2502)</f>
        <v>0.04</v>
      </c>
      <c r="J2494" s="40" t="str">
        <f>IF(ORCAMENTOS!L2502="","",ORCAMENTOS!L2502)</f>
        <v>FECHADO</v>
      </c>
      <c r="K2494" s="34" t="str">
        <f>IF(ORCAMENTOS!M2502="","",ORCAMENTOS!M2502)</f>
        <v>-</v>
      </c>
      <c r="L2494" t="str">
        <f>IF(ORCAMENTOS!R2502="","",ORCAMENTOS!R2502)</f>
        <v>-</v>
      </c>
    </row>
    <row r="2495" spans="1:12" ht="15.75" hidden="1" customHeight="1" x14ac:dyDescent="0.25">
      <c r="A2495" s="36">
        <f>IF(ORCAMENTOS!A2503="","",ORCAMENTOS!A2503)</f>
        <v>46077</v>
      </c>
      <c r="B2495" s="46">
        <f>IF(ORCAMENTOS!B2503="","",ORCAMENTOS!B2503)</f>
        <v>318</v>
      </c>
      <c r="C2495" s="46" t="str">
        <f>IF(ORCAMENTOS!C2503="","",ORCAMENTOS!C2503)</f>
        <v/>
      </c>
      <c r="D2495" s="37" t="str">
        <f>IF(ORCAMENTOS!D2503="","",ORCAMENTOS!D2503)</f>
        <v>COMPARCO</v>
      </c>
      <c r="E2495" s="38" t="str">
        <f>IF(ORCAMENTOS!E2503="","",ORCAMENTOS!E2503)</f>
        <v>-</v>
      </c>
      <c r="F2495" s="37" t="str">
        <f>IF(ORCAMENTOS!G2503="","",ORCAMENTOS!G2503)</f>
        <v>Gabriel</v>
      </c>
      <c r="G2495" s="37" t="str">
        <f>IF(ORCAMENTOS!H2503="","",ORCAMENTOS!H2503)</f>
        <v>Eliane</v>
      </c>
      <c r="H2495" s="39">
        <f>IF(ORCAMENTOS!I2503="","",ORCAMENTOS!I2503)</f>
        <v>1632.84</v>
      </c>
      <c r="I2495" s="60">
        <f>IF(ORCAMENTOS!J2503="","",ORCAMENTOS!J2503)</f>
        <v>7.0000000000000007E-2</v>
      </c>
      <c r="J2495" s="40" t="str">
        <f>IF(ORCAMENTOS!L2503="","",ORCAMENTOS!L2503)</f>
        <v>FECHADO</v>
      </c>
      <c r="K2495" s="34" t="str">
        <f>IF(ORCAMENTOS!M2503="","",ORCAMENTOS!M2503)</f>
        <v>-</v>
      </c>
      <c r="L2495" t="str">
        <f>IF(ORCAMENTOS!R2503="","",ORCAMENTOS!R2503)</f>
        <v>-</v>
      </c>
    </row>
    <row r="2496" spans="1:12" ht="15.75" hidden="1" customHeight="1" x14ac:dyDescent="0.25">
      <c r="A2496" s="36">
        <f>IF(ORCAMENTOS!A2504="","",ORCAMENTOS!A2504)</f>
        <v>46078</v>
      </c>
      <c r="B2496" s="46">
        <f>IF(ORCAMENTOS!B2504="","",ORCAMENTOS!B2504)</f>
        <v>319</v>
      </c>
      <c r="C2496" s="46" t="str">
        <f>IF(ORCAMENTOS!C2504="","",ORCAMENTOS!C2504)</f>
        <v>R1</v>
      </c>
      <c r="D2496" s="37" t="str">
        <f>IF(ORCAMENTOS!D2504="","",ORCAMENTOS!D2504)</f>
        <v>COLDTERMICA</v>
      </c>
      <c r="E2496" s="38" t="str">
        <f>IF(ORCAMENTOS!E2504="","",ORCAMENTOS!E2504)</f>
        <v>RENNER PARTAGE - DF</v>
      </c>
      <c r="F2496" s="37" t="str">
        <f>IF(ORCAMENTOS!G2504="","",ORCAMENTOS!G2504)</f>
        <v>Gabriel</v>
      </c>
      <c r="G2496" s="37" t="str">
        <f>IF(ORCAMENTOS!H2504="","",ORCAMENTOS!H2504)</f>
        <v>Denis</v>
      </c>
      <c r="H2496" s="39">
        <f>IF(ORCAMENTOS!I2504="","",ORCAMENTOS!I2504)</f>
        <v>125196.12</v>
      </c>
      <c r="I2496" s="60">
        <f>IF(ORCAMENTOS!J2504="","",ORCAMENTOS!J2504)</f>
        <v>0.03</v>
      </c>
      <c r="J2496" s="40" t="str">
        <f>IF(ORCAMENTOS!L2504="","",ORCAMENTOS!L2504)</f>
        <v>PERDIDO</v>
      </c>
      <c r="K2496" s="34" t="str">
        <f>IF(ORCAMENTOS!M2504="","",ORCAMENTOS!M2504)</f>
        <v>MULTIVAC - QUALIDADE</v>
      </c>
      <c r="L2496" t="str">
        <f>IF(ORCAMENTOS!R2504="","",ORCAMENTOS!R2504)</f>
        <v>-</v>
      </c>
    </row>
    <row r="2497" spans="1:12" ht="15.75" hidden="1" customHeight="1" x14ac:dyDescent="0.25">
      <c r="A2497" s="36">
        <f>IF(ORCAMENTOS!A2505="","",ORCAMENTOS!A2505)</f>
        <v>46077</v>
      </c>
      <c r="B2497" s="46">
        <f>IF(ORCAMENTOS!B2505="","",ORCAMENTOS!B2505)</f>
        <v>320</v>
      </c>
      <c r="C2497" s="46" t="str">
        <f>IF(ORCAMENTOS!C2505="","",ORCAMENTOS!C2505)</f>
        <v/>
      </c>
      <c r="D2497" s="37" t="str">
        <f>IF(ORCAMENTOS!D2505="","",ORCAMENTOS!D2505)</f>
        <v>AWA AR CONDICIONADO</v>
      </c>
      <c r="E2497" s="38" t="str">
        <f>IF(ORCAMENTOS!E2505="","",ORCAMENTOS!E2505)</f>
        <v>YOUCOM - SHOP PARK - JACAREPAGUA - RJ</v>
      </c>
      <c r="F2497" s="37" t="str">
        <f>IF(ORCAMENTOS!G2505="","",ORCAMENTOS!G2505)</f>
        <v>Guilherme</v>
      </c>
      <c r="G2497" s="37" t="str">
        <f>IF(ORCAMENTOS!H2505="","",ORCAMENTOS!H2505)</f>
        <v>Guilherme</v>
      </c>
      <c r="H2497" s="39">
        <f>IF(ORCAMENTOS!I2505="","",ORCAMENTOS!I2505)</f>
        <v>17577.189999999999</v>
      </c>
      <c r="I2497" s="60">
        <f>IF(ORCAMENTOS!J2505="","",ORCAMENTOS!J2505)</f>
        <v>0.05</v>
      </c>
      <c r="J2497" s="40" t="str">
        <f>IF(ORCAMENTOS!L2505="","",ORCAMENTOS!L2505)</f>
        <v>CANCELADO</v>
      </c>
      <c r="K2497" s="34" t="str">
        <f>IF(ORCAMENTOS!M2505="","",ORCAMENTOS!M2505)</f>
        <v>-</v>
      </c>
      <c r="L2497" t="str">
        <f>IF(ORCAMENTOS!R2505="","",ORCAMENTOS!R2505)</f>
        <v>MPU</v>
      </c>
    </row>
    <row r="2498" spans="1:12" ht="15.75" hidden="1" customHeight="1" x14ac:dyDescent="0.25">
      <c r="A2498" s="36">
        <f>IF(ORCAMENTOS!A2506="","",ORCAMENTOS!A2506)</f>
        <v>46077</v>
      </c>
      <c r="B2498" s="46">
        <f>IF(ORCAMENTOS!B2506="","",ORCAMENTOS!B2506)</f>
        <v>321</v>
      </c>
      <c r="C2498" s="46" t="str">
        <f>IF(ORCAMENTOS!C2506="","",ORCAMENTOS!C2506)</f>
        <v/>
      </c>
      <c r="D2498" s="37" t="str">
        <f>IF(ORCAMENTOS!D2506="","",ORCAMENTOS!D2506)</f>
        <v>ARDORO</v>
      </c>
      <c r="E2498" s="38" t="str">
        <f>IF(ORCAMENTOS!E2506="","",ORCAMENTOS!E2506)</f>
        <v>RIO NEGRO</v>
      </c>
      <c r="F2498" s="37" t="str">
        <f>IF(ORCAMENTOS!G2506="","",ORCAMENTOS!G2506)</f>
        <v>Emanuel</v>
      </c>
      <c r="G2498" s="37" t="str">
        <f>IF(ORCAMENTOS!H2506="","",ORCAMENTOS!H2506)</f>
        <v>Andre</v>
      </c>
      <c r="H2498" s="39">
        <f>IF(ORCAMENTOS!I2506="","",ORCAMENTOS!I2506)</f>
        <v>10074.459999999999</v>
      </c>
      <c r="I2498" s="60">
        <f>IF(ORCAMENTOS!J2506="","",ORCAMENTOS!J2506)</f>
        <v>0.04</v>
      </c>
      <c r="J2498" s="40" t="str">
        <f>IF(ORCAMENTOS!L2506="","",ORCAMENTOS!L2506)</f>
        <v>CANCELADO</v>
      </c>
      <c r="K2498" s="34" t="str">
        <f>IF(ORCAMENTOS!M2506="","",ORCAMENTOS!M2506)</f>
        <v>AJUSTE DE QUANTITATIVO</v>
      </c>
      <c r="L2498" t="str">
        <f>IF(ORCAMENTOS!R2506="","",ORCAMENTOS!R2506)</f>
        <v>-</v>
      </c>
    </row>
    <row r="2499" spans="1:12" ht="15.75" hidden="1" customHeight="1" x14ac:dyDescent="0.25">
      <c r="A2499" s="36">
        <f>IF(ORCAMENTOS!A2507="","",ORCAMENTOS!A2507)</f>
        <v>46078</v>
      </c>
      <c r="B2499" s="46">
        <f>IF(ORCAMENTOS!B2507="","",ORCAMENTOS!B2507)</f>
        <v>322</v>
      </c>
      <c r="C2499" s="46" t="str">
        <f>IF(ORCAMENTOS!C2507="","",ORCAMENTOS!C2507)</f>
        <v/>
      </c>
      <c r="D2499" s="37" t="str">
        <f>IF(ORCAMENTOS!D2507="","",ORCAMENTOS!D2507)</f>
        <v>CIVIL AR</v>
      </c>
      <c r="E2499" s="38" t="str">
        <f>IF(ORCAMENTOS!E2507="","",ORCAMENTOS!E2507)</f>
        <v>SOGO PLAZA</v>
      </c>
      <c r="F2499" s="37" t="str">
        <f>IF(ORCAMENTOS!G2507="","",ORCAMENTOS!G2507)</f>
        <v>Fernando</v>
      </c>
      <c r="G2499" s="37" t="str">
        <f>IF(ORCAMENTOS!H2507="","",ORCAMENTOS!H2507)</f>
        <v>Lucas</v>
      </c>
      <c r="H2499" s="39">
        <f>IF(ORCAMENTOS!I2507="","",ORCAMENTOS!I2507)</f>
        <v>10365.58</v>
      </c>
      <c r="I2499" s="60">
        <f>IF(ORCAMENTOS!J2507="","",ORCAMENTOS!J2507)</f>
        <v>7.0000000000000007E-2</v>
      </c>
      <c r="J2499" s="40" t="str">
        <f>IF(ORCAMENTOS!L2507="","",ORCAMENTOS!L2507)</f>
        <v>ORCAMENTO</v>
      </c>
      <c r="K2499" s="34" t="str">
        <f>IF(ORCAMENTOS!M2507="","",ORCAMENTOS!M2507)</f>
        <v>-</v>
      </c>
      <c r="L2499" t="str">
        <f>IF(ORCAMENTOS!R2507="","",ORCAMENTOS!R2507)</f>
        <v>-</v>
      </c>
    </row>
    <row r="2500" spans="1:12" ht="15.75" hidden="1" customHeight="1" x14ac:dyDescent="0.25">
      <c r="A2500" s="36">
        <f>IF(ORCAMENTOS!A2508="","",ORCAMENTOS!A2508)</f>
        <v>46078</v>
      </c>
      <c r="B2500" s="46">
        <f>IF(ORCAMENTOS!B2508="","",ORCAMENTOS!B2508)</f>
        <v>323</v>
      </c>
      <c r="C2500" s="46" t="str">
        <f>IF(ORCAMENTOS!C2508="","",ORCAMENTOS!C2508)</f>
        <v>R1</v>
      </c>
      <c r="D2500" s="37" t="str">
        <f>IF(ORCAMENTOS!D2508="","",ORCAMENTOS!D2508)</f>
        <v>AIR NET</v>
      </c>
      <c r="E2500" s="38" t="str">
        <f>IF(ORCAMENTOS!E2508="","",ORCAMENTOS!E2508)</f>
        <v>PAULISTAO EMPREENDIMENTOS - PAULISTA 15 - INDAIATUBA - SP</v>
      </c>
      <c r="F2500" s="37" t="str">
        <f>IF(ORCAMENTOS!G2508="","",ORCAMENTOS!G2508)</f>
        <v>Fernando</v>
      </c>
      <c r="G2500" s="37" t="str">
        <f>IF(ORCAMENTOS!H2508="","",ORCAMENTOS!H2508)</f>
        <v>Domicio</v>
      </c>
      <c r="H2500" s="39">
        <f>IF(ORCAMENTOS!I2508="","",ORCAMENTOS!I2508)</f>
        <v>239486.93</v>
      </c>
      <c r="I2500" s="60">
        <f>IF(ORCAMENTOS!J2508="","",ORCAMENTOS!J2508)</f>
        <v>0.05</v>
      </c>
      <c r="J2500" s="40" t="str">
        <f>IF(ORCAMENTOS!L2508="","",ORCAMENTOS!L2508)</f>
        <v>ORCAMENTO</v>
      </c>
      <c r="K2500" s="34" t="str">
        <f>IF(ORCAMENTOS!M2508="","",ORCAMENTOS!M2508)</f>
        <v>-</v>
      </c>
      <c r="L2500" t="str">
        <f>IF(ORCAMENTOS!R2508="","",ORCAMENTOS!R2508)</f>
        <v>MPU</v>
      </c>
    </row>
    <row r="2501" spans="1:12" ht="15.75" hidden="1" customHeight="1" x14ac:dyDescent="0.25">
      <c r="A2501" s="36">
        <f>IF(ORCAMENTOS!A2509="","",ORCAMENTOS!A2509)</f>
        <v>46078</v>
      </c>
      <c r="B2501" s="46">
        <f>IF(ORCAMENTOS!B2509="","",ORCAMENTOS!B2509)</f>
        <v>324</v>
      </c>
      <c r="C2501" s="46" t="str">
        <f>IF(ORCAMENTOS!C2509="","",ORCAMENTOS!C2509)</f>
        <v/>
      </c>
      <c r="D2501" s="37" t="str">
        <f>IF(ORCAMENTOS!D2509="","",ORCAMENTOS!D2509)</f>
        <v>CONSTARCO</v>
      </c>
      <c r="E2501" s="38" t="str">
        <f>IF(ORCAMENTOS!E2509="","",ORCAMENTOS!E2509)</f>
        <v>CENTRO DE REABILITAÇÃO UBERLANDIA-MG</v>
      </c>
      <c r="F2501" s="37" t="str">
        <f>IF(ORCAMENTOS!G2509="","",ORCAMENTOS!G2509)</f>
        <v>Fernando</v>
      </c>
      <c r="G2501" s="37" t="str">
        <f>IF(ORCAMENTOS!H2509="","",ORCAMENTOS!H2509)</f>
        <v>Genilson</v>
      </c>
      <c r="H2501" s="39">
        <f>IF(ORCAMENTOS!I2509="","",ORCAMENTOS!I2509)</f>
        <v>98747.85</v>
      </c>
      <c r="I2501" s="60">
        <f>IF(ORCAMENTOS!J2509="","",ORCAMENTOS!J2509)</f>
        <v>7.0000000000000007E-2</v>
      </c>
      <c r="J2501" s="40" t="str">
        <f>IF(ORCAMENTOS!L2509="","",ORCAMENTOS!L2509)</f>
        <v>ORCAMENTO</v>
      </c>
      <c r="K2501" s="34" t="str">
        <f>IF(ORCAMENTOS!M2509="","",ORCAMENTOS!M2509)</f>
        <v>-</v>
      </c>
      <c r="L2501" t="str">
        <f>IF(ORCAMENTOS!R2509="","",ORCAMENTOS!R2509)</f>
        <v>-</v>
      </c>
    </row>
    <row r="2502" spans="1:12" ht="15.75" hidden="1" customHeight="1" x14ac:dyDescent="0.25">
      <c r="A2502" s="36">
        <f>IF(ORCAMENTOS!A2510="","",ORCAMENTOS!A2510)</f>
        <v>46078</v>
      </c>
      <c r="B2502" s="46">
        <f>IF(ORCAMENTOS!B2510="","",ORCAMENTOS!B2510)</f>
        <v>325</v>
      </c>
      <c r="C2502" s="46" t="str">
        <f>IF(ORCAMENTOS!C2510="","",ORCAMENTOS!C2510)</f>
        <v/>
      </c>
      <c r="D2502" s="37" t="str">
        <f>IF(ORCAMENTOS!D2510="","",ORCAMENTOS!D2510)</f>
        <v>CHRISTAR</v>
      </c>
      <c r="E2502" s="38" t="str">
        <f>IF(ORCAMENTOS!E2510="","",ORCAMENTOS!E2510)</f>
        <v>JOSUE CONCEIÇÃO CARVALHO</v>
      </c>
      <c r="F2502" s="37" t="str">
        <f>IF(ORCAMENTOS!G2510="","",ORCAMENTOS!G2510)</f>
        <v xml:space="preserve">Aldavir </v>
      </c>
      <c r="G2502" s="37" t="str">
        <f>IF(ORCAMENTOS!H2510="","",ORCAMENTOS!H2510)</f>
        <v>Jessica</v>
      </c>
      <c r="H2502" s="39">
        <f>IF(ORCAMENTOS!I2510="","",ORCAMENTOS!I2510)</f>
        <v>197113.25</v>
      </c>
      <c r="I2502" s="60">
        <f>IF(ORCAMENTOS!J2510="","",ORCAMENTOS!J2510)</f>
        <v>7.0000000000000007E-2</v>
      </c>
      <c r="J2502" s="40" t="str">
        <f>IF(ORCAMENTOS!L2510="","",ORCAMENTOS!L2510)</f>
        <v>CANCELADO</v>
      </c>
      <c r="K2502" s="34" t="str">
        <f>IF(ORCAMENTOS!M2510="","",ORCAMENTOS!M2510)</f>
        <v>AGUARDANDO PEDIDO</v>
      </c>
      <c r="L2502" t="str">
        <f>IF(ORCAMENTOS!R2510="","",ORCAMENTOS!R2510)</f>
        <v>-</v>
      </c>
    </row>
    <row r="2503" spans="1:12" ht="15.75" hidden="1" customHeight="1" x14ac:dyDescent="0.25">
      <c r="A2503" s="36">
        <f>IF(ORCAMENTOS!A2511="","",ORCAMENTOS!A2511)</f>
        <v>46078</v>
      </c>
      <c r="B2503" s="46">
        <f>IF(ORCAMENTOS!B2511="","",ORCAMENTOS!B2511)</f>
        <v>326</v>
      </c>
      <c r="C2503" s="46" t="str">
        <f>IF(ORCAMENTOS!C2511="","",ORCAMENTOS!C2511)</f>
        <v/>
      </c>
      <c r="D2503" s="37" t="str">
        <f>IF(ORCAMENTOS!D2511="","",ORCAMENTOS!D2511)</f>
        <v>DUTOBRAS</v>
      </c>
      <c r="E2503" s="38" t="str">
        <f>IF(ORCAMENTOS!E2511="","",ORCAMENTOS!E2511)</f>
        <v>-</v>
      </c>
      <c r="F2503" s="37" t="str">
        <f>IF(ORCAMENTOS!G2511="","",ORCAMENTOS!G2511)</f>
        <v>Gabriel</v>
      </c>
      <c r="G2503" s="37" t="str">
        <f>IF(ORCAMENTOS!H2511="","",ORCAMENTOS!H2511)</f>
        <v>Ieda</v>
      </c>
      <c r="H2503" s="39">
        <f>IF(ORCAMENTOS!I2511="","",ORCAMENTOS!I2511)</f>
        <v>49904.44</v>
      </c>
      <c r="I2503" s="60">
        <f>IF(ORCAMENTOS!J2511="","",ORCAMENTOS!J2511)</f>
        <v>7.0000000000000007E-2</v>
      </c>
      <c r="J2503" s="40" t="str">
        <f>IF(ORCAMENTOS!L2511="","",ORCAMENTOS!L2511)</f>
        <v>FECHADO</v>
      </c>
      <c r="K2503" s="34" t="str">
        <f>IF(ORCAMENTOS!M2511="","",ORCAMENTOS!M2511)</f>
        <v>-</v>
      </c>
      <c r="L2503" t="str">
        <f>IF(ORCAMENTOS!R2511="","",ORCAMENTOS!R2511)</f>
        <v>-</v>
      </c>
    </row>
    <row r="2504" spans="1:12" ht="15.75" hidden="1" customHeight="1" x14ac:dyDescent="0.25">
      <c r="A2504" s="36">
        <f>IF(ORCAMENTOS!A2512="","",ORCAMENTOS!A2512)</f>
        <v>46100</v>
      </c>
      <c r="B2504" s="46">
        <f>IF(ORCAMENTOS!B2512="","",ORCAMENTOS!B2512)</f>
        <v>327</v>
      </c>
      <c r="C2504" s="46" t="str">
        <f>IF(ORCAMENTOS!C2512="","",ORCAMENTOS!C2512)</f>
        <v/>
      </c>
      <c r="D2504" s="37" t="str">
        <f>IF(ORCAMENTOS!D2512="","",ORCAMENTOS!D2512)</f>
        <v>AR SET</v>
      </c>
      <c r="E2504" s="38" t="str">
        <f>IF(ORCAMENTOS!E2512="","",ORCAMENTOS!E2512)</f>
        <v>ANA LUIZA RIBEIRO</v>
      </c>
      <c r="F2504" s="37" t="str">
        <f>IF(ORCAMENTOS!G2512="","",ORCAMENTOS!G2512)</f>
        <v>Fernando</v>
      </c>
      <c r="G2504" s="37" t="str">
        <f>IF(ORCAMENTOS!H2512="","",ORCAMENTOS!H2512)</f>
        <v>Danilo</v>
      </c>
      <c r="H2504" s="39">
        <f>IF(ORCAMENTOS!I2512="","",ORCAMENTOS!I2512)</f>
        <v>22003.16</v>
      </c>
      <c r="I2504" s="60">
        <f>IF(ORCAMENTOS!J2512="","",ORCAMENTOS!J2512)</f>
        <v>7.0000000000000007E-2</v>
      </c>
      <c r="J2504" s="40" t="str">
        <f>IF(ORCAMENTOS!L2512="","",ORCAMENTOS!L2512)</f>
        <v>PERDIDO</v>
      </c>
      <c r="K2504" s="34" t="str">
        <f>IF(ORCAMENTOS!M2512="","",ORCAMENTOS!M2512)</f>
        <v>MULTIVAC - COND PAGTO</v>
      </c>
      <c r="L2504" t="str">
        <f>IF(ORCAMENTOS!R2512="","",ORCAMENTOS!R2512)</f>
        <v>-</v>
      </c>
    </row>
    <row r="2505" spans="1:12" ht="15.75" hidden="1" customHeight="1" x14ac:dyDescent="0.25">
      <c r="A2505" s="36">
        <f>IF(ORCAMENTOS!A2513="","",ORCAMENTOS!A2513)</f>
        <v>46078</v>
      </c>
      <c r="B2505" s="46">
        <f>IF(ORCAMENTOS!B2513="","",ORCAMENTOS!B2513)</f>
        <v>328</v>
      </c>
      <c r="C2505" s="46" t="str">
        <f>IF(ORCAMENTOS!C2513="","",ORCAMENTOS!C2513)</f>
        <v/>
      </c>
      <c r="D2505" s="37" t="str">
        <f>IF(ORCAMENTOS!D2513="","",ORCAMENTOS!D2513)</f>
        <v>ASF SERVICOS</v>
      </c>
      <c r="E2505" s="38" t="str">
        <f>IF(ORCAMENTOS!E2513="","",ORCAMENTOS!E2513)</f>
        <v>ATC TATUAPE - ESCRITORIO</v>
      </c>
      <c r="F2505" s="37" t="str">
        <f>IF(ORCAMENTOS!G2513="","",ORCAMENTOS!G2513)</f>
        <v>Fernando</v>
      </c>
      <c r="G2505" s="37" t="str">
        <f>IF(ORCAMENTOS!H2513="","",ORCAMENTOS!H2513)</f>
        <v>Andre</v>
      </c>
      <c r="H2505" s="39">
        <f>IF(ORCAMENTOS!I2513="","",ORCAMENTOS!I2513)</f>
        <v>122268.8</v>
      </c>
      <c r="I2505" s="60">
        <f>IF(ORCAMENTOS!J2513="","",ORCAMENTOS!J2513)</f>
        <v>0.04</v>
      </c>
      <c r="J2505" s="40" t="str">
        <f>IF(ORCAMENTOS!L2513="","",ORCAMENTOS!L2513)</f>
        <v>CANCELADO</v>
      </c>
      <c r="K2505" s="34" t="str">
        <f>IF(ORCAMENTOS!M2513="","",ORCAMENTOS!M2513)</f>
        <v>-</v>
      </c>
      <c r="L2505" t="str">
        <f>IF(ORCAMENTOS!R2513="","",ORCAMENTOS!R2513)</f>
        <v>-</v>
      </c>
    </row>
    <row r="2506" spans="1:12" ht="15.75" hidden="1" customHeight="1" x14ac:dyDescent="0.25">
      <c r="A2506" s="36">
        <f>IF(ORCAMENTOS!A2514="","",ORCAMENTOS!A2514)</f>
        <v>46078</v>
      </c>
      <c r="B2506" s="46">
        <f>IF(ORCAMENTOS!B2514="","",ORCAMENTOS!B2514)</f>
        <v>329</v>
      </c>
      <c r="C2506" s="46" t="str">
        <f>IF(ORCAMENTOS!C2514="","",ORCAMENTOS!C2514)</f>
        <v/>
      </c>
      <c r="D2506" s="37" t="str">
        <f>IF(ORCAMENTOS!D2514="","",ORCAMENTOS!D2514)</f>
        <v>AIRPLAN</v>
      </c>
      <c r="E2506" s="38" t="str">
        <f>IF(ORCAMENTOS!E2514="","",ORCAMENTOS!E2514)</f>
        <v>NIKE - PARQUE DOM PEDRO</v>
      </c>
      <c r="F2506" s="37" t="str">
        <f>IF(ORCAMENTOS!G2514="","",ORCAMENTOS!G2514)</f>
        <v>Guilherme</v>
      </c>
      <c r="G2506" s="37" t="str">
        <f>IF(ORCAMENTOS!H2514="","",ORCAMENTOS!H2514)</f>
        <v>Gabriel</v>
      </c>
      <c r="H2506" s="39">
        <f>IF(ORCAMENTOS!I2514="","",ORCAMENTOS!I2514)</f>
        <v>69121.2</v>
      </c>
      <c r="I2506" s="60">
        <f>IF(ORCAMENTOS!J2514="","",ORCAMENTOS!J2514)</f>
        <v>7.0000000000000007E-2</v>
      </c>
      <c r="J2506" s="40" t="str">
        <f>IF(ORCAMENTOS!L2514="","",ORCAMENTOS!L2514)</f>
        <v>ORCAMENTO</v>
      </c>
      <c r="K2506" s="34" t="str">
        <f>IF(ORCAMENTOS!M2514="","",ORCAMENTOS!M2514)</f>
        <v>-</v>
      </c>
      <c r="L2506" t="str">
        <f>IF(ORCAMENTOS!R2514="","",ORCAMENTOS!R2514)</f>
        <v>N/E</v>
      </c>
    </row>
    <row r="2507" spans="1:12" ht="15.75" hidden="1" customHeight="1" x14ac:dyDescent="0.25">
      <c r="A2507" s="36">
        <f>IF(ORCAMENTOS!A2515="","",ORCAMENTOS!A2515)</f>
        <v>46078</v>
      </c>
      <c r="B2507" s="46">
        <f>IF(ORCAMENTOS!B2515="","",ORCAMENTOS!B2515)</f>
        <v>330</v>
      </c>
      <c r="C2507" s="46" t="str">
        <f>IF(ORCAMENTOS!C2515="","",ORCAMENTOS!C2515)</f>
        <v>R1</v>
      </c>
      <c r="D2507" s="37" t="str">
        <f>IF(ORCAMENTOS!D2515="","",ORCAMENTOS!D2515)</f>
        <v>PROTHERM</v>
      </c>
      <c r="E2507" s="38" t="str">
        <f>IF(ORCAMENTOS!E2515="","",ORCAMENTOS!E2515)</f>
        <v>SMART FIT - BIO RITMO - GOIANIA - GO</v>
      </c>
      <c r="F2507" s="37" t="str">
        <f>IF(ORCAMENTOS!G2515="","",ORCAMENTOS!G2515)</f>
        <v>Fernando</v>
      </c>
      <c r="G2507" s="37" t="str">
        <f>IF(ORCAMENTOS!H2515="","",ORCAMENTOS!H2515)</f>
        <v>Leonardo</v>
      </c>
      <c r="H2507" s="39">
        <f>IF(ORCAMENTOS!I2515="","",ORCAMENTOS!I2515)</f>
        <v>73286.58</v>
      </c>
      <c r="I2507" s="60">
        <f>IF(ORCAMENTOS!J2515="","",ORCAMENTOS!J2515)</f>
        <v>0.03</v>
      </c>
      <c r="J2507" s="40" t="str">
        <f>IF(ORCAMENTOS!L2515="","",ORCAMENTOS!L2515)</f>
        <v>FECHADO</v>
      </c>
      <c r="K2507" s="34" t="str">
        <f>IF(ORCAMENTOS!M2515="","",ORCAMENTOS!M2515)</f>
        <v>PREV. MARÇO</v>
      </c>
      <c r="L2507" t="str">
        <f>IF(ORCAMENTOS!R2515="","",ORCAMENTOS!R2515)</f>
        <v>-</v>
      </c>
    </row>
    <row r="2508" spans="1:12" ht="15.75" hidden="1" customHeight="1" x14ac:dyDescent="0.25">
      <c r="A2508" s="36">
        <f>IF(ORCAMENTOS!A2516="","",ORCAMENTOS!A2516)</f>
        <v>46078</v>
      </c>
      <c r="B2508" s="46">
        <f>IF(ORCAMENTOS!B2516="","",ORCAMENTOS!B2516)</f>
        <v>331</v>
      </c>
      <c r="C2508" s="46" t="str">
        <f>IF(ORCAMENTOS!C2516="","",ORCAMENTOS!C2516)</f>
        <v/>
      </c>
      <c r="D2508" s="37" t="str">
        <f>IF(ORCAMENTOS!D2516="","",ORCAMENTOS!D2516)</f>
        <v>SANTA CASA SOROCABA</v>
      </c>
      <c r="E2508" s="38" t="str">
        <f>IF(ORCAMENTOS!E2516="","",ORCAMENTOS!E2516)</f>
        <v>BI SÃO CAMILO - 1 E 2 PV CENTRAL</v>
      </c>
      <c r="F2508" s="37" t="str">
        <f>IF(ORCAMENTOS!G2516="","",ORCAMENTOS!G2516)</f>
        <v>Gabriel</v>
      </c>
      <c r="G2508" s="37" t="str">
        <f>IF(ORCAMENTOS!H2516="","",ORCAMENTOS!H2516)</f>
        <v>Daniel</v>
      </c>
      <c r="H2508" s="39">
        <f>IF(ORCAMENTOS!I2516="","",ORCAMENTOS!I2516)</f>
        <v>48680.34</v>
      </c>
      <c r="I2508" s="60">
        <f>IF(ORCAMENTOS!J2516="","",ORCAMENTOS!J2516)</f>
        <v>7.0000000000000007E-2</v>
      </c>
      <c r="J2508" s="40" t="str">
        <f>IF(ORCAMENTOS!L2516="","",ORCAMENTOS!L2516)</f>
        <v>CANCELADO</v>
      </c>
      <c r="K2508" s="34" t="str">
        <f>IF(ORCAMENTOS!M2516="","",ORCAMENTOS!M2516)</f>
        <v>-</v>
      </c>
      <c r="L2508" t="str">
        <f>IF(ORCAMENTOS!R2516="","",ORCAMENTOS!R2516)</f>
        <v>-</v>
      </c>
    </row>
    <row r="2509" spans="1:12" ht="15.75" hidden="1" customHeight="1" x14ac:dyDescent="0.25">
      <c r="A2509" s="36">
        <f>IF(ORCAMENTOS!A2517="","",ORCAMENTOS!A2517)</f>
        <v>46078</v>
      </c>
      <c r="B2509" s="46">
        <f>IF(ORCAMENTOS!B2517="","",ORCAMENTOS!B2517)</f>
        <v>332</v>
      </c>
      <c r="C2509" s="46" t="str">
        <f>IF(ORCAMENTOS!C2517="","",ORCAMENTOS!C2517)</f>
        <v/>
      </c>
      <c r="D2509" s="37" t="str">
        <f>IF(ORCAMENTOS!D2517="","",ORCAMENTOS!D2517)</f>
        <v>KONAR</v>
      </c>
      <c r="E2509" s="38" t="str">
        <f>IF(ORCAMENTOS!E2517="","",ORCAMENTOS!E2517)</f>
        <v>121-25 - CINE A</v>
      </c>
      <c r="F2509" s="37" t="str">
        <f>IF(ORCAMENTOS!G2517="","",ORCAMENTOS!G2517)</f>
        <v>Michel</v>
      </c>
      <c r="G2509" s="37" t="str">
        <f>IF(ORCAMENTOS!H2517="","",ORCAMENTOS!H2517)</f>
        <v>Pedro</v>
      </c>
      <c r="H2509" s="39">
        <f>IF(ORCAMENTOS!I2517="","",ORCAMENTOS!I2517)</f>
        <v>4764.91</v>
      </c>
      <c r="I2509" s="60">
        <f>IF(ORCAMENTOS!J2517="","",ORCAMENTOS!J2517)</f>
        <v>7.0000000000000007E-2</v>
      </c>
      <c r="J2509" s="40" t="str">
        <f>IF(ORCAMENTOS!L2517="","",ORCAMENTOS!L2517)</f>
        <v>FECHADO</v>
      </c>
      <c r="K2509" s="34" t="str">
        <f>IF(ORCAMENTOS!M2517="","",ORCAMENTOS!M2517)</f>
        <v>-</v>
      </c>
      <c r="L2509" t="str">
        <f>IF(ORCAMENTOS!R2517="","",ORCAMENTOS!R2517)</f>
        <v>-</v>
      </c>
    </row>
    <row r="2510" spans="1:12" ht="15.75" hidden="1" customHeight="1" x14ac:dyDescent="0.25">
      <c r="A2510" s="36">
        <f>IF(ORCAMENTOS!A2518="","",ORCAMENTOS!A2518)</f>
        <v>46078</v>
      </c>
      <c r="B2510" s="46">
        <f>IF(ORCAMENTOS!B2518="","",ORCAMENTOS!B2518)</f>
        <v>333</v>
      </c>
      <c r="C2510" s="46" t="str">
        <f>IF(ORCAMENTOS!C2518="","",ORCAMENTOS!C2518)</f>
        <v/>
      </c>
      <c r="D2510" s="37" t="str">
        <f>IF(ORCAMENTOS!D2518="","",ORCAMENTOS!D2518)</f>
        <v>LKT AR CONDICIONADO</v>
      </c>
      <c r="E2510" s="38" t="str">
        <f>IF(ORCAMENTOS!E2518="","",ORCAMENTOS!E2518)</f>
        <v>ON RUNNING</v>
      </c>
      <c r="F2510" s="37" t="str">
        <f>IF(ORCAMENTOS!G2518="","",ORCAMENTOS!G2518)</f>
        <v>Fernando</v>
      </c>
      <c r="G2510" s="37" t="str">
        <f>IF(ORCAMENTOS!H2518="","",ORCAMENTOS!H2518)</f>
        <v>Gabriel</v>
      </c>
      <c r="H2510" s="39">
        <f>IF(ORCAMENTOS!I2518="","",ORCAMENTOS!I2518)</f>
        <v>28308.78</v>
      </c>
      <c r="I2510" s="60">
        <f>IF(ORCAMENTOS!J2518="","",ORCAMENTOS!J2518)</f>
        <v>7.0000000000000007E-2</v>
      </c>
      <c r="J2510" s="40" t="str">
        <f>IF(ORCAMENTOS!L2518="","",ORCAMENTOS!L2518)</f>
        <v>CANCELADO</v>
      </c>
      <c r="K2510" s="34" t="str">
        <f>IF(ORCAMENTOS!M2518="","",ORCAMENTOS!M2518)</f>
        <v>-</v>
      </c>
      <c r="L2510" t="str">
        <f>IF(ORCAMENTOS!R2518="","",ORCAMENTOS!R2518)</f>
        <v>-</v>
      </c>
    </row>
    <row r="2511" spans="1:12" ht="15.75" hidden="1" customHeight="1" x14ac:dyDescent="0.25">
      <c r="A2511" s="36">
        <f>IF(ORCAMENTOS!A2519="","",ORCAMENTOS!A2519)</f>
        <v>46078</v>
      </c>
      <c r="B2511" s="46">
        <f>IF(ORCAMENTOS!B2519="","",ORCAMENTOS!B2519)</f>
        <v>334</v>
      </c>
      <c r="C2511" s="46" t="str">
        <f>IF(ORCAMENTOS!C2519="","",ORCAMENTOS!C2519)</f>
        <v/>
      </c>
      <c r="D2511" s="37" t="str">
        <f>IF(ORCAMENTOS!D2519="","",ORCAMENTOS!D2519)</f>
        <v>MONTAGEM VIEIRA</v>
      </c>
      <c r="E2511" s="38" t="str">
        <f>IF(ORCAMENTOS!E2519="","",ORCAMENTOS!E2519)</f>
        <v>AMIL BOTAFOGO</v>
      </c>
      <c r="F2511" s="37" t="str">
        <f>IF(ORCAMENTOS!G2519="","",ORCAMENTOS!G2519)</f>
        <v>Fernando</v>
      </c>
      <c r="G2511" s="37" t="str">
        <f>IF(ORCAMENTOS!H2519="","",ORCAMENTOS!H2519)</f>
        <v>Sergio</v>
      </c>
      <c r="H2511" s="39">
        <f>IF(ORCAMENTOS!I2519="","",ORCAMENTOS!I2519)</f>
        <v>56398.47</v>
      </c>
      <c r="I2511" s="60">
        <f>IF(ORCAMENTOS!J2519="","",ORCAMENTOS!J2519)</f>
        <v>0.05</v>
      </c>
      <c r="J2511" s="40" t="str">
        <f>IF(ORCAMENTOS!L2519="","",ORCAMENTOS!L2519)</f>
        <v>CANCELADO</v>
      </c>
      <c r="K2511" s="34" t="str">
        <f>IF(ORCAMENTOS!M2519="","",ORCAMENTOS!M2519)</f>
        <v>REPRES. RJ</v>
      </c>
      <c r="L2511" t="str">
        <f>IF(ORCAMENTOS!R2519="","",ORCAMENTOS!R2519)</f>
        <v>-</v>
      </c>
    </row>
    <row r="2512" spans="1:12" ht="15.75" hidden="1" customHeight="1" x14ac:dyDescent="0.25">
      <c r="A2512" s="36">
        <f>IF(ORCAMENTOS!A2520="","",ORCAMENTOS!A2520)</f>
        <v>46078</v>
      </c>
      <c r="B2512" s="46">
        <f>IF(ORCAMENTOS!B2520="","",ORCAMENTOS!B2520)</f>
        <v>335</v>
      </c>
      <c r="C2512" s="46" t="str">
        <f>IF(ORCAMENTOS!C2520="","",ORCAMENTOS!C2520)</f>
        <v/>
      </c>
      <c r="D2512" s="37" t="str">
        <f>IF(ORCAMENTOS!D2520="","",ORCAMENTOS!D2520)</f>
        <v>LKT AR CONDICIONADO</v>
      </c>
      <c r="E2512" s="38" t="str">
        <f>IF(ORCAMENTOS!E2520="","",ORCAMENTOS!E2520)</f>
        <v>HOSPITAL ALVORADA</v>
      </c>
      <c r="F2512" s="37" t="str">
        <f>IF(ORCAMENTOS!G2520="","",ORCAMENTOS!G2520)</f>
        <v>Fernando</v>
      </c>
      <c r="G2512" s="37" t="str">
        <f>IF(ORCAMENTOS!H2520="","",ORCAMENTOS!H2520)</f>
        <v>Gabriel</v>
      </c>
      <c r="H2512" s="39">
        <f>IF(ORCAMENTOS!I2520="","",ORCAMENTOS!I2520)</f>
        <v>148708.81</v>
      </c>
      <c r="I2512" s="60">
        <f>IF(ORCAMENTOS!J2520="","",ORCAMENTOS!J2520)</f>
        <v>7.0000000000000007E-2</v>
      </c>
      <c r="J2512" s="40" t="str">
        <f>IF(ORCAMENTOS!L2520="","",ORCAMENTOS!L2520)</f>
        <v>ORCAMENTO</v>
      </c>
      <c r="K2512" s="34" t="str">
        <f>IF(ORCAMENTOS!M2520="","",ORCAMENTOS!M2520)</f>
        <v>-</v>
      </c>
      <c r="L2512" t="str">
        <f>IF(ORCAMENTOS!R2520="","",ORCAMENTOS!R2520)</f>
        <v>-</v>
      </c>
    </row>
    <row r="2513" spans="1:12" ht="15.75" hidden="1" customHeight="1" x14ac:dyDescent="0.25">
      <c r="A2513" s="36">
        <f>IF(ORCAMENTOS!A2521="","",ORCAMENTOS!A2521)</f>
        <v>46078</v>
      </c>
      <c r="B2513" s="46">
        <f>IF(ORCAMENTOS!B2521="","",ORCAMENTOS!B2521)</f>
        <v>336</v>
      </c>
      <c r="C2513" s="46" t="str">
        <f>IF(ORCAMENTOS!C2521="","",ORCAMENTOS!C2521)</f>
        <v/>
      </c>
      <c r="D2513" s="37" t="str">
        <f>IF(ORCAMENTOS!D2521="","",ORCAMENTOS!D2521)</f>
        <v>PROTHERM</v>
      </c>
      <c r="E2513" s="38" t="str">
        <f>IF(ORCAMENTOS!E2521="","",ORCAMENTOS!E2521)</f>
        <v>Lakeshore</v>
      </c>
      <c r="F2513" s="37" t="str">
        <f>IF(ORCAMENTOS!G2521="","",ORCAMENTOS!G2521)</f>
        <v>Fernando</v>
      </c>
      <c r="G2513" s="37" t="str">
        <f>IF(ORCAMENTOS!H2521="","",ORCAMENTOS!H2521)</f>
        <v>Leonardo</v>
      </c>
      <c r="H2513" s="39">
        <f>IF(ORCAMENTOS!I2521="","",ORCAMENTOS!I2521)</f>
        <v>16844.5</v>
      </c>
      <c r="I2513" s="60">
        <f>IF(ORCAMENTOS!J2521="","",ORCAMENTOS!J2521)</f>
        <v>0.03</v>
      </c>
      <c r="J2513" s="40" t="str">
        <f>IF(ORCAMENTOS!L2521="","",ORCAMENTOS!L2521)</f>
        <v>FECHADO</v>
      </c>
      <c r="K2513" s="34" t="str">
        <f>IF(ORCAMENTOS!M2521="","",ORCAMENTOS!M2521)</f>
        <v>AGUARDANDO PEDIDO</v>
      </c>
      <c r="L2513" t="str">
        <f>IF(ORCAMENTOS!R2521="","",ORCAMENTOS!R2521)</f>
        <v>-</v>
      </c>
    </row>
    <row r="2514" spans="1:12" ht="15.75" hidden="1" customHeight="1" x14ac:dyDescent="0.25">
      <c r="A2514" s="36">
        <f>IF(ORCAMENTOS!A2522="","",ORCAMENTOS!A2522)</f>
        <v>46078</v>
      </c>
      <c r="B2514" s="46">
        <f>IF(ORCAMENTOS!B2522="","",ORCAMENTOS!B2522)</f>
        <v>337</v>
      </c>
      <c r="C2514" s="46" t="str">
        <f>IF(ORCAMENTOS!C2522="","",ORCAMENTOS!C2522)</f>
        <v/>
      </c>
      <c r="D2514" s="37" t="str">
        <f>IF(ORCAMENTOS!D2522="","",ORCAMENTOS!D2522)</f>
        <v>AIRPLAN</v>
      </c>
      <c r="E2514" s="38" t="str">
        <f>IF(ORCAMENTOS!E2522="","",ORCAMENTOS!E2522)</f>
        <v>NIKE - SHOPPING ANALIA FRANCO</v>
      </c>
      <c r="F2514" s="37" t="str">
        <f>IF(ORCAMENTOS!G2522="","",ORCAMENTOS!G2522)</f>
        <v>Guilherme</v>
      </c>
      <c r="G2514" s="37" t="str">
        <f>IF(ORCAMENTOS!H2522="","",ORCAMENTOS!H2522)</f>
        <v>Gabriel</v>
      </c>
      <c r="H2514" s="39">
        <f>IF(ORCAMENTOS!I2522="","",ORCAMENTOS!I2522)</f>
        <v>76091.14</v>
      </c>
      <c r="I2514" s="60">
        <f>IF(ORCAMENTOS!J2522="","",ORCAMENTOS!J2522)</f>
        <v>7.0000000000000007E-2</v>
      </c>
      <c r="J2514" s="40" t="str">
        <f>IF(ORCAMENTOS!L2522="","",ORCAMENTOS!L2522)</f>
        <v>ORCAMENTO</v>
      </c>
      <c r="K2514" s="34" t="str">
        <f>IF(ORCAMENTOS!M2522="","",ORCAMENTOS!M2522)</f>
        <v>-</v>
      </c>
      <c r="L2514" t="str">
        <f>IF(ORCAMENTOS!R2522="","",ORCAMENTOS!R2522)</f>
        <v>MPU</v>
      </c>
    </row>
    <row r="2515" spans="1:12" ht="15.75" hidden="1" customHeight="1" x14ac:dyDescent="0.25">
      <c r="A2515" s="36">
        <f>IF(ORCAMENTOS!A2523="","",ORCAMENTOS!A2523)</f>
        <v>46078</v>
      </c>
      <c r="B2515" s="46">
        <f>IF(ORCAMENTOS!B2523="","",ORCAMENTOS!B2523)</f>
        <v>338</v>
      </c>
      <c r="C2515" s="46" t="str">
        <f>IF(ORCAMENTOS!C2523="","",ORCAMENTOS!C2523)</f>
        <v/>
      </c>
      <c r="D2515" s="37" t="str">
        <f>IF(ORCAMENTOS!D2523="","",ORCAMENTOS!D2523)</f>
        <v>SANTA CASA SOROCABA</v>
      </c>
      <c r="E2515" s="38" t="str">
        <f>IF(ORCAMENTOS!E2523="","",ORCAMENTOS!E2523)</f>
        <v>BI SÃO CAMILO - PV TERREO - FRONTAL FASE</v>
      </c>
      <c r="F2515" s="37" t="str">
        <f>IF(ORCAMENTOS!G2523="","",ORCAMENTOS!G2523)</f>
        <v>Gabriel</v>
      </c>
      <c r="G2515" s="37" t="str">
        <f>IF(ORCAMENTOS!H2523="","",ORCAMENTOS!H2523)</f>
        <v>Daniel</v>
      </c>
      <c r="H2515" s="39">
        <f>IF(ORCAMENTOS!I2523="","",ORCAMENTOS!I2523)</f>
        <v>34193.54</v>
      </c>
      <c r="I2515" s="60">
        <f>IF(ORCAMENTOS!J2523="","",ORCAMENTOS!J2523)</f>
        <v>7.0000000000000007E-2</v>
      </c>
      <c r="J2515" s="40" t="str">
        <f>IF(ORCAMENTOS!L2523="","",ORCAMENTOS!L2523)</f>
        <v>CANCELADO</v>
      </c>
      <c r="K2515" s="34" t="str">
        <f>IF(ORCAMENTOS!M2523="","",ORCAMENTOS!M2523)</f>
        <v>-</v>
      </c>
      <c r="L2515" t="str">
        <f>IF(ORCAMENTOS!R2523="","",ORCAMENTOS!R2523)</f>
        <v>-</v>
      </c>
    </row>
    <row r="2516" spans="1:12" ht="15.75" hidden="1" customHeight="1" x14ac:dyDescent="0.25">
      <c r="A2516" s="36">
        <f>IF(ORCAMENTOS!A2524="","",ORCAMENTOS!A2524)</f>
        <v>46078</v>
      </c>
      <c r="B2516" s="46">
        <f>IF(ORCAMENTOS!B2524="","",ORCAMENTOS!B2524)</f>
        <v>339</v>
      </c>
      <c r="C2516" s="46" t="str">
        <f>IF(ORCAMENTOS!C2524="","",ORCAMENTOS!C2524)</f>
        <v/>
      </c>
      <c r="D2516" s="37" t="str">
        <f>IF(ORCAMENTOS!D2524="","",ORCAMENTOS!D2524)</f>
        <v>ADRIATIC</v>
      </c>
      <c r="E2516" s="38" t="str">
        <f>IF(ORCAMENTOS!E2524="","",ORCAMENTOS!E2524)</f>
        <v>C&amp;A - PATIO PAULISTA - BELA VISTA - SP</v>
      </c>
      <c r="F2516" s="37" t="str">
        <f>IF(ORCAMENTOS!G2524="","",ORCAMENTOS!G2524)</f>
        <v>Emanuel</v>
      </c>
      <c r="G2516" s="37" t="str">
        <f>IF(ORCAMENTOS!H2524="","",ORCAMENTOS!H2524)</f>
        <v>Erika</v>
      </c>
      <c r="H2516" s="39">
        <f>IF(ORCAMENTOS!I2524="","",ORCAMENTOS!I2524)</f>
        <v>201964.05</v>
      </c>
      <c r="I2516" s="60">
        <f>IF(ORCAMENTOS!J2524="","",ORCAMENTOS!J2524)</f>
        <v>0.03</v>
      </c>
      <c r="J2516" s="40" t="str">
        <f>IF(ORCAMENTOS!L2524="","",ORCAMENTOS!L2524)</f>
        <v>FECHADO</v>
      </c>
      <c r="K2516" s="34" t="str">
        <f>IF(ORCAMENTOS!M2524="","",ORCAMENTOS!M2524)</f>
        <v>-</v>
      </c>
      <c r="L2516" t="str">
        <f>IF(ORCAMENTOS!R2524="","",ORCAMENTOS!R2524)</f>
        <v>N/E</v>
      </c>
    </row>
    <row r="2517" spans="1:12" ht="15.75" hidden="1" customHeight="1" x14ac:dyDescent="0.25">
      <c r="A2517" s="36">
        <f>IF(ORCAMENTOS!A2525="","",ORCAMENTOS!A2525)</f>
        <v>46079</v>
      </c>
      <c r="B2517" s="46">
        <f>IF(ORCAMENTOS!B2525="","",ORCAMENTOS!B2525)</f>
        <v>340</v>
      </c>
      <c r="C2517" s="46" t="str">
        <f>IF(ORCAMENTOS!C2525="","",ORCAMENTOS!C2525)</f>
        <v>R1</v>
      </c>
      <c r="D2517" s="37" t="str">
        <f>IF(ORCAMENTOS!D2525="","",ORCAMENTOS!D2525)</f>
        <v>DUTOMAX</v>
      </c>
      <c r="E2517" s="38" t="str">
        <f>IF(ORCAMENTOS!E2525="","",ORCAMENTOS!E2525)</f>
        <v>BLUEFIT - JATAI GO - 1261</v>
      </c>
      <c r="F2517" s="37" t="str">
        <f>IF(ORCAMENTOS!G2525="","",ORCAMENTOS!G2525)</f>
        <v>Gabriel</v>
      </c>
      <c r="G2517" s="37" t="str">
        <f>IF(ORCAMENTOS!H2525="","",ORCAMENTOS!H2525)</f>
        <v>Jura</v>
      </c>
      <c r="H2517" s="39">
        <f>IF(ORCAMENTOS!I2525="","",ORCAMENTOS!I2525)</f>
        <v>19970.93</v>
      </c>
      <c r="I2517" s="60">
        <f>IF(ORCAMENTOS!J2525="","",ORCAMENTOS!J2525)</f>
        <v>7.0000000000000007E-2</v>
      </c>
      <c r="J2517" s="40" t="str">
        <f>IF(ORCAMENTOS!L2525="","",ORCAMENTOS!L2525)</f>
        <v>CANCELADO</v>
      </c>
      <c r="K2517" s="34" t="str">
        <f>IF(ORCAMENTOS!M2525="","",ORCAMENTOS!M2525)</f>
        <v>-</v>
      </c>
      <c r="L2517" t="str">
        <f>IF(ORCAMENTOS!R2525="","",ORCAMENTOS!R2525)</f>
        <v>N/E</v>
      </c>
    </row>
    <row r="2518" spans="1:12" ht="15.75" hidden="1" customHeight="1" x14ac:dyDescent="0.25">
      <c r="A2518" s="36">
        <f>IF(ORCAMENTOS!A2526="","",ORCAMENTOS!A2526)</f>
        <v>46079</v>
      </c>
      <c r="B2518" s="46">
        <f>IF(ORCAMENTOS!B2526="","",ORCAMENTOS!B2526)</f>
        <v>341</v>
      </c>
      <c r="C2518" s="46" t="str">
        <f>IF(ORCAMENTOS!C2526="","",ORCAMENTOS!C2526)</f>
        <v>R2</v>
      </c>
      <c r="D2518" s="37" t="str">
        <f>IF(ORCAMENTOS!D2526="","",ORCAMENTOS!D2526)</f>
        <v>CONTROLE CLIMA</v>
      </c>
      <c r="E2518" s="38" t="str">
        <f>IF(ORCAMENTOS!E2526="","",ORCAMENTOS!E2526)</f>
        <v>SMART FIT - ROLDAO BRASILANDIA - SP</v>
      </c>
      <c r="F2518" s="37" t="str">
        <f>IF(ORCAMENTOS!G2526="","",ORCAMENTOS!G2526)</f>
        <v>Gabriel</v>
      </c>
      <c r="G2518" s="37" t="str">
        <f>IF(ORCAMENTOS!H2526="","",ORCAMENTOS!H2526)</f>
        <v>Samuel</v>
      </c>
      <c r="H2518" s="39">
        <f>IF(ORCAMENTOS!I2526="","",ORCAMENTOS!I2526)</f>
        <v>16057.8</v>
      </c>
      <c r="I2518" s="60">
        <f>IF(ORCAMENTOS!J2526="","",ORCAMENTOS!J2526)</f>
        <v>0.04</v>
      </c>
      <c r="J2518" s="40" t="str">
        <f>IF(ORCAMENTOS!L2526="","",ORCAMENTOS!L2526)</f>
        <v>COMPRA</v>
      </c>
      <c r="K2518" s="34" t="str">
        <f>IF(ORCAMENTOS!M2526="","",ORCAMENTOS!M2526)</f>
        <v>-</v>
      </c>
      <c r="L2518" t="str">
        <f>IF(ORCAMENTOS!R2526="","",ORCAMENTOS!R2526)</f>
        <v>-</v>
      </c>
    </row>
    <row r="2519" spans="1:12" ht="15.75" hidden="1" customHeight="1" x14ac:dyDescent="0.25">
      <c r="A2519" s="36">
        <f>IF(ORCAMENTOS!A2527="","",ORCAMENTOS!A2527)</f>
        <v>46083</v>
      </c>
      <c r="B2519" s="46">
        <f>IF(ORCAMENTOS!B2527="","",ORCAMENTOS!B2527)</f>
        <v>342</v>
      </c>
      <c r="C2519" s="46" t="str">
        <f>IF(ORCAMENTOS!C2527="","",ORCAMENTOS!C2527)</f>
        <v>R2</v>
      </c>
      <c r="D2519" s="37" t="str">
        <f>IF(ORCAMENTOS!D2527="","",ORCAMENTOS!D2527)</f>
        <v>HEATING COOLING</v>
      </c>
      <c r="E2519" s="38" t="str">
        <f>IF(ORCAMENTOS!E2527="","",ORCAMENTOS!E2527)</f>
        <v>-</v>
      </c>
      <c r="F2519" s="37" t="str">
        <f>IF(ORCAMENTOS!G2527="","",ORCAMENTOS!G2527)</f>
        <v>Gabriel</v>
      </c>
      <c r="G2519" s="37" t="str">
        <f>IF(ORCAMENTOS!H2527="","",ORCAMENTOS!H2527)</f>
        <v>Vanessa</v>
      </c>
      <c r="H2519" s="39">
        <f>IF(ORCAMENTOS!I2527="","",ORCAMENTOS!I2527)</f>
        <v>24981.29</v>
      </c>
      <c r="I2519" s="60">
        <f>IF(ORCAMENTOS!J2527="","",ORCAMENTOS!J2527)</f>
        <v>0.05</v>
      </c>
      <c r="J2519" s="40" t="str">
        <f>IF(ORCAMENTOS!L2527="","",ORCAMENTOS!L2527)</f>
        <v>CANCELADO</v>
      </c>
      <c r="K2519" s="34" t="str">
        <f>IF(ORCAMENTOS!M2527="","",ORCAMENTOS!M2527)</f>
        <v>-</v>
      </c>
      <c r="L2519" t="str">
        <f>IF(ORCAMENTOS!R2527="","",ORCAMENTOS!R2527)</f>
        <v>-</v>
      </c>
    </row>
    <row r="2520" spans="1:12" ht="15.75" hidden="1" customHeight="1" x14ac:dyDescent="0.25">
      <c r="A2520" s="36">
        <f>IF(ORCAMENTOS!A2528="","",ORCAMENTOS!A2528)</f>
        <v>46080</v>
      </c>
      <c r="B2520" s="46">
        <f>IF(ORCAMENTOS!B2528="","",ORCAMENTOS!B2528)</f>
        <v>343</v>
      </c>
      <c r="C2520" s="46" t="str">
        <f>IF(ORCAMENTOS!C2528="","",ORCAMENTOS!C2528)</f>
        <v>R1</v>
      </c>
      <c r="D2520" s="37" t="str">
        <f>IF(ORCAMENTOS!D2528="","",ORCAMENTOS!D2528)</f>
        <v>PROTHERM</v>
      </c>
      <c r="E2520" s="38" t="str">
        <f>IF(ORCAMENTOS!E2528="","",ORCAMENTOS!E2528)</f>
        <v>ENTAIN</v>
      </c>
      <c r="F2520" s="37" t="str">
        <f>IF(ORCAMENTOS!G2528="","",ORCAMENTOS!G2528)</f>
        <v>Fernando</v>
      </c>
      <c r="G2520" s="37" t="str">
        <f>IF(ORCAMENTOS!H2528="","",ORCAMENTOS!H2528)</f>
        <v>Leonardo</v>
      </c>
      <c r="H2520" s="39">
        <f>IF(ORCAMENTOS!I2528="","",ORCAMENTOS!I2528)</f>
        <v>16433.580000000002</v>
      </c>
      <c r="I2520" s="60">
        <f>IF(ORCAMENTOS!J2528="","",ORCAMENTOS!J2528)</f>
        <v>0.03</v>
      </c>
      <c r="J2520" s="40" t="str">
        <f>IF(ORCAMENTOS!L2528="","",ORCAMENTOS!L2528)</f>
        <v>FECHADO</v>
      </c>
      <c r="K2520" s="34" t="str">
        <f>IF(ORCAMENTOS!M2528="","",ORCAMENTOS!M2528)</f>
        <v>-</v>
      </c>
      <c r="L2520" t="str">
        <f>IF(ORCAMENTOS!R2528="","",ORCAMENTOS!R2528)</f>
        <v>-</v>
      </c>
    </row>
    <row r="2521" spans="1:12" ht="15.75" hidden="1" customHeight="1" x14ac:dyDescent="0.25">
      <c r="A2521" s="36">
        <f>IF(ORCAMENTOS!A2529="","",ORCAMENTOS!A2529)</f>
        <v>46079</v>
      </c>
      <c r="B2521" s="46">
        <f>IF(ORCAMENTOS!B2529="","",ORCAMENTOS!B2529)</f>
        <v>344</v>
      </c>
      <c r="C2521" s="46" t="str">
        <f>IF(ORCAMENTOS!C2529="","",ORCAMENTOS!C2529)</f>
        <v/>
      </c>
      <c r="D2521" s="37" t="str">
        <f>IF(ORCAMENTOS!D2529="","",ORCAMENTOS!D2529)</f>
        <v>AIRPLAN</v>
      </c>
      <c r="E2521" s="38" t="str">
        <f>IF(ORCAMENTOS!E2529="","",ORCAMENTOS!E2529)</f>
        <v>RIACHUELO - SHOPPING CIDADE DA SERRA - LAVRAS - MG</v>
      </c>
      <c r="F2521" s="37" t="str">
        <f>IF(ORCAMENTOS!G2529="","",ORCAMENTOS!G2529)</f>
        <v>Guilherme</v>
      </c>
      <c r="G2521" s="37" t="str">
        <f>IF(ORCAMENTOS!H2529="","",ORCAMENTOS!H2529)</f>
        <v>Gabriel</v>
      </c>
      <c r="H2521" s="39">
        <f>IF(ORCAMENTOS!I2529="","",ORCAMENTOS!I2529)</f>
        <v>82549.03</v>
      </c>
      <c r="I2521" s="60">
        <f>IF(ORCAMENTOS!J2529="","",ORCAMENTOS!J2529)</f>
        <v>7.0000000000000007E-2</v>
      </c>
      <c r="J2521" s="40" t="str">
        <f>IF(ORCAMENTOS!L2529="","",ORCAMENTOS!L2529)</f>
        <v>ORCAMENTO</v>
      </c>
      <c r="K2521" s="34" t="str">
        <f>IF(ORCAMENTOS!M2529="","",ORCAMENTOS!M2529)</f>
        <v>PREV. JULHO/26</v>
      </c>
      <c r="L2521" t="str">
        <f>IF(ORCAMENTOS!R2529="","",ORCAMENTOS!R2529)</f>
        <v>MPU</v>
      </c>
    </row>
    <row r="2522" spans="1:12" ht="15.75" hidden="1" customHeight="1" x14ac:dyDescent="0.25">
      <c r="A2522" s="36">
        <f>IF(ORCAMENTOS!A2530="","",ORCAMENTOS!A2530)</f>
        <v>46079</v>
      </c>
      <c r="B2522" s="46">
        <f>IF(ORCAMENTOS!B2530="","",ORCAMENTOS!B2530)</f>
        <v>345</v>
      </c>
      <c r="C2522" s="46" t="str">
        <f>IF(ORCAMENTOS!C2530="","",ORCAMENTOS!C2530)</f>
        <v/>
      </c>
      <c r="D2522" s="37" t="str">
        <f>IF(ORCAMENTOS!D2530="","",ORCAMENTOS!D2530)</f>
        <v>AWA AR CONDICIONADO</v>
      </c>
      <c r="E2522" s="38" t="str">
        <f>IF(ORCAMENTOS!E2530="","",ORCAMENTOS!E2530)</f>
        <v>YOUCOM - SH MESTRE ALVARO - SERRA - ES</v>
      </c>
      <c r="F2522" s="37" t="str">
        <f>IF(ORCAMENTOS!G2530="","",ORCAMENTOS!G2530)</f>
        <v>Guilherme</v>
      </c>
      <c r="G2522" s="37" t="str">
        <f>IF(ORCAMENTOS!H2530="","",ORCAMENTOS!H2530)</f>
        <v>Paula</v>
      </c>
      <c r="H2522" s="39">
        <f>IF(ORCAMENTOS!I2530="","",ORCAMENTOS!I2530)</f>
        <v>19544.669999999998</v>
      </c>
      <c r="I2522" s="60">
        <f>IF(ORCAMENTOS!J2530="","",ORCAMENTOS!J2530)</f>
        <v>0.05</v>
      </c>
      <c r="J2522" s="40" t="str">
        <f>IF(ORCAMENTOS!L2530="","",ORCAMENTOS!L2530)</f>
        <v>CANCELADO</v>
      </c>
      <c r="K2522" s="34" t="str">
        <f>IF(ORCAMENTOS!M2530="","",ORCAMENTOS!M2530)</f>
        <v>-</v>
      </c>
      <c r="L2522" t="str">
        <f>IF(ORCAMENTOS!R2530="","",ORCAMENTOS!R2530)</f>
        <v>MPU</v>
      </c>
    </row>
    <row r="2523" spans="1:12" ht="15.75" hidden="1" customHeight="1" x14ac:dyDescent="0.25">
      <c r="A2523" s="36">
        <f>IF(ORCAMENTOS!A2531="","",ORCAMENTOS!A2531)</f>
        <v>46079</v>
      </c>
      <c r="B2523" s="46">
        <f>IF(ORCAMENTOS!B2531="","",ORCAMENTOS!B2531)</f>
        <v>346</v>
      </c>
      <c r="C2523" s="46" t="str">
        <f>IF(ORCAMENTOS!C2531="","",ORCAMENTOS!C2531)</f>
        <v/>
      </c>
      <c r="D2523" s="37" t="str">
        <f>IF(ORCAMENTOS!D2531="","",ORCAMENTOS!D2531)</f>
        <v>AGEPLAN</v>
      </c>
      <c r="E2523" s="38" t="str">
        <f>IF(ORCAMENTOS!E2531="","",ORCAMENTOS!E2531)</f>
        <v>CLARO - ESTACAO TERMINAL DE SÃO PAULO - SPO - PH</v>
      </c>
      <c r="F2523" s="37" t="str">
        <f>IF(ORCAMENTOS!G2531="","",ORCAMENTOS!G2531)</f>
        <v>Fernando</v>
      </c>
      <c r="G2523" s="37" t="str">
        <f>IF(ORCAMENTOS!H2531="","",ORCAMENTOS!H2531)</f>
        <v>Helena</v>
      </c>
      <c r="H2523" s="39">
        <f>IF(ORCAMENTOS!I2531="","",ORCAMENTOS!I2531)</f>
        <v>57922.48</v>
      </c>
      <c r="I2523" s="60">
        <f>IF(ORCAMENTOS!J2531="","",ORCAMENTOS!J2531)</f>
        <v>7.0000000000000007E-2</v>
      </c>
      <c r="J2523" s="40" t="str">
        <f>IF(ORCAMENTOS!L2531="","",ORCAMENTOS!L2531)</f>
        <v>ORCAMENTO</v>
      </c>
      <c r="K2523" s="34" t="str">
        <f>IF(ORCAMENTOS!M2531="","",ORCAMENTOS!M2531)</f>
        <v>-</v>
      </c>
      <c r="L2523" t="str">
        <f>IF(ORCAMENTOS!R2531="","",ORCAMENTOS!R2531)</f>
        <v>-</v>
      </c>
    </row>
    <row r="2524" spans="1:12" ht="15.75" hidden="1" customHeight="1" x14ac:dyDescent="0.25">
      <c r="A2524" s="36">
        <f>IF(ORCAMENTOS!A2532="","",ORCAMENTOS!A2532)</f>
        <v>46079</v>
      </c>
      <c r="B2524" s="46">
        <f>IF(ORCAMENTOS!B2532="","",ORCAMENTOS!B2532)</f>
        <v>347</v>
      </c>
      <c r="C2524" s="46" t="str">
        <f>IF(ORCAMENTOS!C2532="","",ORCAMENTOS!C2532)</f>
        <v/>
      </c>
      <c r="D2524" s="37" t="str">
        <f>IF(ORCAMENTOS!D2532="","",ORCAMENTOS!D2532)</f>
        <v>AMS INSTALACOES</v>
      </c>
      <c r="E2524" s="38" t="str">
        <f>IF(ORCAMENTOS!E2532="","",ORCAMENTOS!E2532)</f>
        <v>CASH</v>
      </c>
      <c r="F2524" s="37" t="str">
        <f>IF(ORCAMENTOS!G2532="","",ORCAMENTOS!G2532)</f>
        <v>Gabriel</v>
      </c>
      <c r="G2524" s="37" t="str">
        <f>IF(ORCAMENTOS!H2532="","",ORCAMENTOS!H2532)</f>
        <v>Renan</v>
      </c>
      <c r="H2524" s="39">
        <f>IF(ORCAMENTOS!I2532="","",ORCAMENTOS!I2532)</f>
        <v>8001.54</v>
      </c>
      <c r="I2524" s="60">
        <f>IF(ORCAMENTOS!J2532="","",ORCAMENTOS!J2532)</f>
        <v>0.04</v>
      </c>
      <c r="J2524" s="40" t="str">
        <f>IF(ORCAMENTOS!L2532="","",ORCAMENTOS!L2532)</f>
        <v>FECHADO</v>
      </c>
      <c r="K2524" s="34" t="str">
        <f>IF(ORCAMENTOS!M2532="","",ORCAMENTOS!M2532)</f>
        <v>-</v>
      </c>
      <c r="L2524" t="str">
        <f>IF(ORCAMENTOS!R2532="","",ORCAMENTOS!R2532)</f>
        <v>-</v>
      </c>
    </row>
    <row r="2525" spans="1:12" ht="15.75" hidden="1" customHeight="1" x14ac:dyDescent="0.25">
      <c r="A2525" s="36">
        <f>IF(ORCAMENTOS!A2533="","",ORCAMENTOS!A2533)</f>
        <v>46080</v>
      </c>
      <c r="B2525" s="46">
        <f>IF(ORCAMENTOS!B2533="","",ORCAMENTOS!B2533)</f>
        <v>348</v>
      </c>
      <c r="C2525" s="46" t="str">
        <f>IF(ORCAMENTOS!C2533="","",ORCAMENTOS!C2533)</f>
        <v>R2</v>
      </c>
      <c r="D2525" s="37" t="str">
        <f>IF(ORCAMENTOS!D2533="","",ORCAMENTOS!D2533)</f>
        <v>SOMMARE</v>
      </c>
      <c r="E2525" s="38" t="str">
        <f>IF(ORCAMENTOS!E2533="","",ORCAMENTOS!E2533)</f>
        <v>-</v>
      </c>
      <c r="F2525" s="37" t="str">
        <f>IF(ORCAMENTOS!G2533="","",ORCAMENTOS!G2533)</f>
        <v>Gabriel</v>
      </c>
      <c r="G2525" s="37" t="str">
        <f>IF(ORCAMENTOS!H2533="","",ORCAMENTOS!H2533)</f>
        <v>Carlos</v>
      </c>
      <c r="H2525" s="39">
        <f>IF(ORCAMENTOS!I2533="","",ORCAMENTOS!I2533)</f>
        <v>14869.58</v>
      </c>
      <c r="I2525" s="60">
        <f>IF(ORCAMENTOS!J2533="","",ORCAMENTOS!J2533)</f>
        <v>0.05</v>
      </c>
      <c r="J2525" s="40" t="str">
        <f>IF(ORCAMENTOS!L2533="","",ORCAMENTOS!L2533)</f>
        <v>FECHADO</v>
      </c>
      <c r="K2525" s="34" t="str">
        <f>IF(ORCAMENTOS!M2533="","",ORCAMENTOS!M2533)</f>
        <v>-</v>
      </c>
      <c r="L2525" t="str">
        <f>IF(ORCAMENTOS!R2533="","",ORCAMENTOS!R2533)</f>
        <v>-</v>
      </c>
    </row>
    <row r="2526" spans="1:12" ht="15.75" hidden="1" customHeight="1" x14ac:dyDescent="0.25">
      <c r="A2526" s="36">
        <f>IF(ORCAMENTOS!A2534="","",ORCAMENTOS!A2534)</f>
        <v>46080</v>
      </c>
      <c r="B2526" s="46">
        <f>IF(ORCAMENTOS!B2534="","",ORCAMENTOS!B2534)</f>
        <v>349</v>
      </c>
      <c r="C2526" s="46" t="str">
        <f>IF(ORCAMENTOS!C2534="","",ORCAMENTOS!C2534)</f>
        <v/>
      </c>
      <c r="D2526" s="37" t="str">
        <f>IF(ORCAMENTOS!D2534="","",ORCAMENTOS!D2534)</f>
        <v>MONDARC</v>
      </c>
      <c r="E2526" s="38" t="str">
        <f>IF(ORCAMENTOS!E2534="","",ORCAMENTOS!E2534)</f>
        <v>-</v>
      </c>
      <c r="F2526" s="37" t="str">
        <f>IF(ORCAMENTOS!G2534="","",ORCAMENTOS!G2534)</f>
        <v>Michel</v>
      </c>
      <c r="G2526" s="37" t="str">
        <f>IF(ORCAMENTOS!H2534="","",ORCAMENTOS!H2534)</f>
        <v>Barbara</v>
      </c>
      <c r="H2526" s="39">
        <f>IF(ORCAMENTOS!I2534="","",ORCAMENTOS!I2534)</f>
        <v>24883.33</v>
      </c>
      <c r="I2526" s="60">
        <f>IF(ORCAMENTOS!J2534="","",ORCAMENTOS!J2534)</f>
        <v>7.0000000000000007E-2</v>
      </c>
      <c r="J2526" s="40" t="str">
        <f>IF(ORCAMENTOS!L2534="","",ORCAMENTOS!L2534)</f>
        <v>CANCELADO</v>
      </c>
      <c r="K2526" s="34" t="str">
        <f>IF(ORCAMENTOS!M2534="","",ORCAMENTOS!M2534)</f>
        <v>-</v>
      </c>
      <c r="L2526" t="str">
        <f>IF(ORCAMENTOS!R2534="","",ORCAMENTOS!R2534)</f>
        <v>-</v>
      </c>
    </row>
    <row r="2527" spans="1:12" ht="15.75" hidden="1" customHeight="1" x14ac:dyDescent="0.25">
      <c r="A2527" s="36">
        <f>IF(ORCAMENTOS!A2535="","",ORCAMENTOS!A2535)</f>
        <v>46080</v>
      </c>
      <c r="B2527" s="46">
        <f>IF(ORCAMENTOS!B2535="","",ORCAMENTOS!B2535)</f>
        <v>350</v>
      </c>
      <c r="C2527" s="46" t="str">
        <f>IF(ORCAMENTOS!C2535="","",ORCAMENTOS!C2535)</f>
        <v/>
      </c>
      <c r="D2527" s="37" t="str">
        <f>IF(ORCAMENTOS!D2535="","",ORCAMENTOS!D2535)</f>
        <v>AWA AR CONDICIONADO</v>
      </c>
      <c r="E2527" s="38" t="str">
        <f>IF(ORCAMENTOS!E2535="","",ORCAMENTOS!E2535)</f>
        <v>CAMICADO - IGUATEMI RIBEIRAO PRETO - SP</v>
      </c>
      <c r="F2527" s="37" t="str">
        <f>IF(ORCAMENTOS!G2535="","",ORCAMENTOS!G2535)</f>
        <v>Guilherme</v>
      </c>
      <c r="G2527" s="37" t="str">
        <f>IF(ORCAMENTOS!H2535="","",ORCAMENTOS!H2535)</f>
        <v>Guilherme</v>
      </c>
      <c r="H2527" s="39">
        <f>IF(ORCAMENTOS!I2535="","",ORCAMENTOS!I2535)</f>
        <v>19428.84</v>
      </c>
      <c r="I2527" s="60">
        <f>IF(ORCAMENTOS!J2535="","",ORCAMENTOS!J2535)</f>
        <v>0.05</v>
      </c>
      <c r="J2527" s="40" t="str">
        <f>IF(ORCAMENTOS!L2535="","",ORCAMENTOS!L2535)</f>
        <v>CANCELADO</v>
      </c>
      <c r="K2527" s="34" t="str">
        <f>IF(ORCAMENTOS!M2535="","",ORCAMENTOS!M2535)</f>
        <v>-</v>
      </c>
      <c r="L2527" t="str">
        <f>IF(ORCAMENTOS!R2535="","",ORCAMENTOS!R2535)</f>
        <v>MPU</v>
      </c>
    </row>
    <row r="2528" spans="1:12" ht="15.75" hidden="1" customHeight="1" x14ac:dyDescent="0.25">
      <c r="A2528" s="36">
        <f>IF(ORCAMENTOS!A2536="","",ORCAMENTOS!A2536)</f>
        <v>46080</v>
      </c>
      <c r="B2528" s="46">
        <f>IF(ORCAMENTOS!B2536="","",ORCAMENTOS!B2536)</f>
        <v>351</v>
      </c>
      <c r="C2528" s="46" t="str">
        <f>IF(ORCAMENTOS!C2536="","",ORCAMENTOS!C2536)</f>
        <v/>
      </c>
      <c r="D2528" s="37" t="str">
        <f>IF(ORCAMENTOS!D2536="","",ORCAMENTOS!D2536)</f>
        <v>UNITEC</v>
      </c>
      <c r="E2528" s="38" t="str">
        <f>IF(ORCAMENTOS!E2536="","",ORCAMENTOS!E2536)</f>
        <v>FAST SHOP</v>
      </c>
      <c r="F2528" s="37" t="str">
        <f>IF(ORCAMENTOS!G2536="","",ORCAMENTOS!G2536)</f>
        <v>Gabriel</v>
      </c>
      <c r="G2528" s="37" t="str">
        <f>IF(ORCAMENTOS!H2536="","",ORCAMENTOS!H2536)</f>
        <v>Lucas</v>
      </c>
      <c r="H2528" s="39">
        <f>IF(ORCAMENTOS!I2536="","",ORCAMENTOS!I2536)</f>
        <v>17401.759999999998</v>
      </c>
      <c r="I2528" s="60">
        <f>IF(ORCAMENTOS!J2536="","",ORCAMENTOS!J2536)</f>
        <v>7.0000000000000007E-2</v>
      </c>
      <c r="J2528" s="40" t="str">
        <f>IF(ORCAMENTOS!L2536="","",ORCAMENTOS!L2536)</f>
        <v>CANCELADO</v>
      </c>
      <c r="K2528" s="34" t="str">
        <f>IF(ORCAMENTOS!M2536="","",ORCAMENTOS!M2536)</f>
        <v>-</v>
      </c>
      <c r="L2528" t="str">
        <f>IF(ORCAMENTOS!R2536="","",ORCAMENTOS!R2536)</f>
        <v>-</v>
      </c>
    </row>
    <row r="2529" spans="1:12" ht="15.75" hidden="1" customHeight="1" x14ac:dyDescent="0.25">
      <c r="A2529" s="36">
        <f>IF(ORCAMENTOS!A2537="","",ORCAMENTOS!A2537)</f>
        <v>46080</v>
      </c>
      <c r="B2529" s="46">
        <f>IF(ORCAMENTOS!B2537="","",ORCAMENTOS!B2537)</f>
        <v>352</v>
      </c>
      <c r="C2529" s="46" t="str">
        <f>IF(ORCAMENTOS!C2537="","",ORCAMENTOS!C2537)</f>
        <v/>
      </c>
      <c r="D2529" s="37" t="str">
        <f>IF(ORCAMENTOS!D2537="","",ORCAMENTOS!D2537)</f>
        <v>AWA AR CONDICIONADO</v>
      </c>
      <c r="E2529" s="38" t="str">
        <f>IF(ORCAMENTOS!E2537="","",ORCAMENTOS!E2537)</f>
        <v>YOUCOM - SHOPPING NOVA IGUACU - RJ</v>
      </c>
      <c r="F2529" s="37" t="str">
        <f>IF(ORCAMENTOS!G2537="","",ORCAMENTOS!G2537)</f>
        <v>Guilherme</v>
      </c>
      <c r="G2529" s="37" t="str">
        <f>IF(ORCAMENTOS!H2537="","",ORCAMENTOS!H2537)</f>
        <v>Guilherme</v>
      </c>
      <c r="H2529" s="39">
        <f>IF(ORCAMENTOS!I2537="","",ORCAMENTOS!I2537)</f>
        <v>16724.71</v>
      </c>
      <c r="I2529" s="60">
        <f>IF(ORCAMENTOS!J2537="","",ORCAMENTOS!J2537)</f>
        <v>0.05</v>
      </c>
      <c r="J2529" s="40" t="str">
        <f>IF(ORCAMENTOS!L2537="","",ORCAMENTOS!L2537)</f>
        <v>CANCELADO</v>
      </c>
      <c r="K2529" s="34" t="str">
        <f>IF(ORCAMENTOS!M2537="","",ORCAMENTOS!M2537)</f>
        <v>-</v>
      </c>
      <c r="L2529" t="str">
        <f>IF(ORCAMENTOS!R2537="","",ORCAMENTOS!R2537)</f>
        <v>MPU</v>
      </c>
    </row>
    <row r="2530" spans="1:12" ht="15.75" hidden="1" customHeight="1" x14ac:dyDescent="0.25">
      <c r="A2530" s="36">
        <f>IF(ORCAMENTOS!A2538="","",ORCAMENTOS!A2538)</f>
        <v>46080</v>
      </c>
      <c r="B2530" s="46">
        <f>IF(ORCAMENTOS!B2538="","",ORCAMENTOS!B2538)</f>
        <v>353</v>
      </c>
      <c r="C2530" s="46" t="str">
        <f>IF(ORCAMENTOS!C2538="","",ORCAMENTOS!C2538)</f>
        <v/>
      </c>
      <c r="D2530" s="37" t="str">
        <f>IF(ORCAMENTOS!D2538="","",ORCAMENTOS!D2538)</f>
        <v>ASF SERVICOS</v>
      </c>
      <c r="E2530" s="38" t="str">
        <f>IF(ORCAMENTOS!E2538="","",ORCAMENTOS!E2538)</f>
        <v>PA MOEMA</v>
      </c>
      <c r="F2530" s="37" t="str">
        <f>IF(ORCAMENTOS!G2538="","",ORCAMENTOS!G2538)</f>
        <v>Fernando</v>
      </c>
      <c r="G2530" s="37" t="str">
        <f>IF(ORCAMENTOS!H2538="","",ORCAMENTOS!H2538)</f>
        <v>Andre</v>
      </c>
      <c r="H2530" s="39">
        <f>IF(ORCAMENTOS!I2538="","",ORCAMENTOS!I2538)</f>
        <v>116796.69</v>
      </c>
      <c r="I2530" s="60">
        <f>IF(ORCAMENTOS!J2538="","",ORCAMENTOS!J2538)</f>
        <v>0.04</v>
      </c>
      <c r="J2530" s="40" t="str">
        <f>IF(ORCAMENTOS!L2538="","",ORCAMENTOS!L2538)</f>
        <v>CANCELADO</v>
      </c>
      <c r="K2530" s="34" t="str">
        <f>IF(ORCAMENTOS!M2538="","",ORCAMENTOS!M2538)</f>
        <v xml:space="preserve">CLIENTE NEGOCIANDO  </v>
      </c>
      <c r="L2530" t="str">
        <f>IF(ORCAMENTOS!R2538="","",ORCAMENTOS!R2538)</f>
        <v>-</v>
      </c>
    </row>
    <row r="2531" spans="1:12" ht="15.75" hidden="1" customHeight="1" x14ac:dyDescent="0.25">
      <c r="A2531" s="36">
        <f>IF(ORCAMENTOS!A2539="","",ORCAMENTOS!A2539)</f>
        <v>46083</v>
      </c>
      <c r="B2531" s="46">
        <f>IF(ORCAMENTOS!B2539="","",ORCAMENTOS!B2539)</f>
        <v>354</v>
      </c>
      <c r="C2531" s="46" t="str">
        <f>IF(ORCAMENTOS!C2539="","",ORCAMENTOS!C2539)</f>
        <v>R2</v>
      </c>
      <c r="D2531" s="37" t="str">
        <f>IF(ORCAMENTOS!D2539="","",ORCAMENTOS!D2539)</f>
        <v>PRODAC</v>
      </c>
      <c r="E2531" s="38" t="str">
        <f>IF(ORCAMENTOS!E2539="","",ORCAMENTOS!E2539)</f>
        <v>DF STRAR</v>
      </c>
      <c r="F2531" s="37" t="str">
        <f>IF(ORCAMENTOS!G2539="","",ORCAMENTOS!G2539)</f>
        <v>Fernando</v>
      </c>
      <c r="G2531" s="37" t="str">
        <f>IF(ORCAMENTOS!H2539="","",ORCAMENTOS!H2539)</f>
        <v>Henrique</v>
      </c>
      <c r="H2531" s="39">
        <f>IF(ORCAMENTOS!I2539="","",ORCAMENTOS!I2539)</f>
        <v>15675.1</v>
      </c>
      <c r="I2531" s="60">
        <f>IF(ORCAMENTOS!J2539="","",ORCAMENTOS!J2539)</f>
        <v>7.0000000000000007E-2</v>
      </c>
      <c r="J2531" s="40" t="str">
        <f>IF(ORCAMENTOS!L2539="","",ORCAMENTOS!L2539)</f>
        <v>FECHADO</v>
      </c>
      <c r="K2531" s="34" t="str">
        <f>IF(ORCAMENTOS!M2539="","",ORCAMENTOS!M2539)</f>
        <v>-</v>
      </c>
      <c r="L2531" t="str">
        <f>IF(ORCAMENTOS!R2539="","",ORCAMENTOS!R2539)</f>
        <v>-</v>
      </c>
    </row>
    <row r="2532" spans="1:12" ht="15.75" hidden="1" customHeight="1" x14ac:dyDescent="0.25">
      <c r="A2532" s="36">
        <f>IF(ORCAMENTOS!A2540="","",ORCAMENTOS!A2540)</f>
        <v>46080</v>
      </c>
      <c r="B2532" s="46">
        <f>IF(ORCAMENTOS!B2540="","",ORCAMENTOS!B2540)</f>
        <v>355</v>
      </c>
      <c r="C2532" s="46" t="str">
        <f>IF(ORCAMENTOS!C2540="","",ORCAMENTOS!C2540)</f>
        <v/>
      </c>
      <c r="D2532" s="37" t="str">
        <f>IF(ORCAMENTOS!D2540="","",ORCAMENTOS!D2540)</f>
        <v>HEATING COOLING</v>
      </c>
      <c r="E2532" s="38" t="str">
        <f>IF(ORCAMENTOS!E2540="","",ORCAMENTOS!E2540)</f>
        <v>-</v>
      </c>
      <c r="F2532" s="37" t="str">
        <f>IF(ORCAMENTOS!G2540="","",ORCAMENTOS!G2540)</f>
        <v>Gabriel</v>
      </c>
      <c r="G2532" s="37" t="str">
        <f>IF(ORCAMENTOS!H2540="","",ORCAMENTOS!H2540)</f>
        <v>Giulia</v>
      </c>
      <c r="H2532" s="39">
        <f>IF(ORCAMENTOS!I2540="","",ORCAMENTOS!I2540)</f>
        <v>1280.6600000000001</v>
      </c>
      <c r="I2532" s="60">
        <f>IF(ORCAMENTOS!J2540="","",ORCAMENTOS!J2540)</f>
        <v>7.0000000000000007E-2</v>
      </c>
      <c r="J2532" s="40" t="str">
        <f>IF(ORCAMENTOS!L2540="","",ORCAMENTOS!L2540)</f>
        <v>FECHADO</v>
      </c>
      <c r="K2532" s="34" t="str">
        <f>IF(ORCAMENTOS!M2540="","",ORCAMENTOS!M2540)</f>
        <v>-</v>
      </c>
      <c r="L2532" t="str">
        <f>IF(ORCAMENTOS!R2540="","",ORCAMENTOS!R2540)</f>
        <v>-</v>
      </c>
    </row>
    <row r="2533" spans="1:12" ht="15.75" hidden="1" customHeight="1" x14ac:dyDescent="0.25">
      <c r="A2533" s="36">
        <f>IF(ORCAMENTOS!A2541="","",ORCAMENTOS!A2541)</f>
        <v>46080</v>
      </c>
      <c r="B2533" s="46">
        <f>IF(ORCAMENTOS!B2541="","",ORCAMENTOS!B2541)</f>
        <v>356</v>
      </c>
      <c r="C2533" s="46" t="str">
        <f>IF(ORCAMENTOS!C2541="","",ORCAMENTOS!C2541)</f>
        <v/>
      </c>
      <c r="D2533" s="37" t="str">
        <f>IF(ORCAMENTOS!D2541="","",ORCAMENTOS!D2541)</f>
        <v>AIRPLAN</v>
      </c>
      <c r="E2533" s="38" t="str">
        <f>IF(ORCAMENTOS!E2541="","",ORCAMENTOS!E2541)</f>
        <v>CAMICADO - IGUATEMI RIBEIRAO PRETO - SP</v>
      </c>
      <c r="F2533" s="37" t="str">
        <f>IF(ORCAMENTOS!G2541="","",ORCAMENTOS!G2541)</f>
        <v>Guilherme</v>
      </c>
      <c r="G2533" s="37" t="str">
        <f>IF(ORCAMENTOS!H2541="","",ORCAMENTOS!H2541)</f>
        <v>Gabriel</v>
      </c>
      <c r="H2533" s="39">
        <f>IF(ORCAMENTOS!I2541="","",ORCAMENTOS!I2541)</f>
        <v>21635.29</v>
      </c>
      <c r="I2533" s="60">
        <f>IF(ORCAMENTOS!J2541="","",ORCAMENTOS!J2541)</f>
        <v>7.0000000000000007E-2</v>
      </c>
      <c r="J2533" s="40" t="str">
        <f>IF(ORCAMENTOS!L2541="","",ORCAMENTOS!L2541)</f>
        <v>CANCELADO</v>
      </c>
      <c r="K2533" s="34" t="str">
        <f>IF(ORCAMENTOS!M2541="","",ORCAMENTOS!M2541)</f>
        <v>-</v>
      </c>
      <c r="L2533" t="str">
        <f>IF(ORCAMENTOS!R2541="","",ORCAMENTOS!R2541)</f>
        <v>MPU</v>
      </c>
    </row>
    <row r="2534" spans="1:12" ht="15.75" hidden="1" customHeight="1" x14ac:dyDescent="0.25">
      <c r="A2534" s="36">
        <f>IF(ORCAMENTOS!A2542="","",ORCAMENTOS!A2542)</f>
        <v>46080</v>
      </c>
      <c r="B2534" s="46">
        <f>IF(ORCAMENTOS!B2542="","",ORCAMENTOS!B2542)</f>
        <v>357</v>
      </c>
      <c r="C2534" s="46" t="str">
        <f>IF(ORCAMENTOS!C2542="","",ORCAMENTOS!C2542)</f>
        <v/>
      </c>
      <c r="D2534" s="37" t="str">
        <f>IF(ORCAMENTOS!D2542="","",ORCAMENTOS!D2542)</f>
        <v>AWA AR CONDICIONADO</v>
      </c>
      <c r="E2534" s="38" t="str">
        <f>IF(ORCAMENTOS!E2542="","",ORCAMENTOS!E2542)</f>
        <v>RIACHUELO - SHOPPING CIDADE DA SERRA - LAVRAS - MG</v>
      </c>
      <c r="F2534" s="37" t="str">
        <f>IF(ORCAMENTOS!G2542="","",ORCAMENTOS!G2542)</f>
        <v>Guilherme</v>
      </c>
      <c r="G2534" s="37" t="str">
        <f>IF(ORCAMENTOS!H2542="","",ORCAMENTOS!H2542)</f>
        <v>Paula</v>
      </c>
      <c r="H2534" s="39">
        <f>IF(ORCAMENTOS!I2542="","",ORCAMENTOS!I2542)</f>
        <v>74661.25</v>
      </c>
      <c r="I2534" s="60">
        <f>IF(ORCAMENTOS!J2542="","",ORCAMENTOS!J2542)</f>
        <v>0.05</v>
      </c>
      <c r="J2534" s="40" t="str">
        <f>IF(ORCAMENTOS!L2542="","",ORCAMENTOS!L2542)</f>
        <v>CANCELADO</v>
      </c>
      <c r="K2534" s="34" t="str">
        <f>IF(ORCAMENTOS!M2542="","",ORCAMENTOS!M2542)</f>
        <v>-</v>
      </c>
      <c r="L2534" t="str">
        <f>IF(ORCAMENTOS!R2542="","",ORCAMENTOS!R2542)</f>
        <v>MPU</v>
      </c>
    </row>
    <row r="2535" spans="1:12" ht="15.75" hidden="1" customHeight="1" x14ac:dyDescent="0.25">
      <c r="A2535" s="36">
        <f>IF(ORCAMENTOS!A2543="","",ORCAMENTOS!A2543)</f>
        <v>46080</v>
      </c>
      <c r="B2535" s="46">
        <f>IF(ORCAMENTOS!B2543="","",ORCAMENTOS!B2543)</f>
        <v>358</v>
      </c>
      <c r="C2535" s="46" t="str">
        <f>IF(ORCAMENTOS!C2543="","",ORCAMENTOS!C2543)</f>
        <v/>
      </c>
      <c r="D2535" s="37" t="str">
        <f>IF(ORCAMENTOS!D2543="","",ORCAMENTOS!D2543)</f>
        <v>ASF SERVICOS</v>
      </c>
      <c r="E2535" s="38" t="str">
        <f>IF(ORCAMENTOS!E2543="","",ORCAMENTOS!E2543)</f>
        <v>ARMARINHOS FERNANDO - CAMPINAS - SP</v>
      </c>
      <c r="F2535" s="37" t="str">
        <f>IF(ORCAMENTOS!G2543="","",ORCAMENTOS!G2543)</f>
        <v>Fernando</v>
      </c>
      <c r="G2535" s="37" t="str">
        <f>IF(ORCAMENTOS!H2543="","",ORCAMENTOS!H2543)</f>
        <v>Andre</v>
      </c>
      <c r="H2535" s="39">
        <f>IF(ORCAMENTOS!I2543="","",ORCAMENTOS!I2543)</f>
        <v>133233.29999999999</v>
      </c>
      <c r="I2535" s="60">
        <f>IF(ORCAMENTOS!J2543="","",ORCAMENTOS!J2543)</f>
        <v>0.04</v>
      </c>
      <c r="J2535" s="40" t="str">
        <f>IF(ORCAMENTOS!L2543="","",ORCAMENTOS!L2543)</f>
        <v>ORCAMENTO</v>
      </c>
      <c r="K2535" s="34" t="str">
        <f>IF(ORCAMENTOS!M2543="","",ORCAMENTOS!M2543)</f>
        <v>-</v>
      </c>
      <c r="L2535" t="str">
        <f>IF(ORCAMENTOS!R2543="","",ORCAMENTOS!R2543)</f>
        <v>CHAPA DE ACO GALVANIZADO</v>
      </c>
    </row>
    <row r="2536" spans="1:12" ht="15.75" hidden="1" customHeight="1" x14ac:dyDescent="0.25">
      <c r="A2536" s="36">
        <f>IF(ORCAMENTOS!A2544="","",ORCAMENTOS!A2544)</f>
        <v>46084</v>
      </c>
      <c r="B2536" s="46">
        <f>IF(ORCAMENTOS!B2544="","",ORCAMENTOS!B2544)</f>
        <v>359</v>
      </c>
      <c r="C2536" s="46" t="str">
        <f>IF(ORCAMENTOS!C2544="","",ORCAMENTOS!C2544)</f>
        <v/>
      </c>
      <c r="D2536" s="37" t="str">
        <f>IF(ORCAMENTOS!D2544="","",ORCAMENTOS!D2544)</f>
        <v>DUTOBRAS</v>
      </c>
      <c r="E2536" s="38" t="str">
        <f>IF(ORCAMENTOS!E2544="","",ORCAMENTOS!E2544)</f>
        <v>-</v>
      </c>
      <c r="F2536" s="37" t="str">
        <f>IF(ORCAMENTOS!G2544="","",ORCAMENTOS!G2544)</f>
        <v>Gabriel</v>
      </c>
      <c r="G2536" s="37" t="str">
        <f>IF(ORCAMENTOS!H2544="","",ORCAMENTOS!H2544)</f>
        <v>Ieda</v>
      </c>
      <c r="H2536" s="39">
        <f>IF(ORCAMENTOS!I2544="","",ORCAMENTOS!I2544)</f>
        <v>17783.400000000001</v>
      </c>
      <c r="I2536" s="60">
        <f>IF(ORCAMENTOS!J2544="","",ORCAMENTOS!J2544)</f>
        <v>7.0000000000000007E-2</v>
      </c>
      <c r="J2536" s="40" t="str">
        <f>IF(ORCAMENTOS!L2544="","",ORCAMENTOS!L2544)</f>
        <v>FECHADO</v>
      </c>
      <c r="K2536" s="34" t="str">
        <f>IF(ORCAMENTOS!M2544="","",ORCAMENTOS!M2544)</f>
        <v>-</v>
      </c>
      <c r="L2536" t="str">
        <f>IF(ORCAMENTOS!R2544="","",ORCAMENTOS!R2544)</f>
        <v>-</v>
      </c>
    </row>
    <row r="2537" spans="1:12" ht="15.75" hidden="1" customHeight="1" x14ac:dyDescent="0.25">
      <c r="A2537" s="36">
        <f>IF(ORCAMENTOS!A2545="","",ORCAMENTOS!A2545)</f>
        <v>46083</v>
      </c>
      <c r="B2537" s="46">
        <f>IF(ORCAMENTOS!B2545="","",ORCAMENTOS!B2545)</f>
        <v>360</v>
      </c>
      <c r="C2537" s="46" t="str">
        <f>IF(ORCAMENTOS!C2545="","",ORCAMENTOS!C2545)</f>
        <v>R3</v>
      </c>
      <c r="D2537" s="37" t="str">
        <f>IF(ORCAMENTOS!D2545="","",ORCAMENTOS!D2545)</f>
        <v>AWA AR CONDICIONADO</v>
      </c>
      <c r="E2537" s="38" t="str">
        <f>IF(ORCAMENTOS!E2545="","",ORCAMENTOS!E2545)</f>
        <v>CSMOBI</v>
      </c>
      <c r="F2537" s="37" t="str">
        <f>IF(ORCAMENTOS!G2545="","",ORCAMENTOS!G2545)</f>
        <v>Guilherme</v>
      </c>
      <c r="G2537" s="37" t="str">
        <f>IF(ORCAMENTOS!H2545="","",ORCAMENTOS!H2545)</f>
        <v>Marcela</v>
      </c>
      <c r="H2537" s="39">
        <f>IF(ORCAMENTOS!I2545="","",ORCAMENTOS!I2545)</f>
        <v>9545.65</v>
      </c>
      <c r="I2537" s="60">
        <f>IF(ORCAMENTOS!J2545="","",ORCAMENTOS!J2545)</f>
        <v>0.04</v>
      </c>
      <c r="J2537" s="40" t="str">
        <f>IF(ORCAMENTOS!L2545="","",ORCAMENTOS!L2545)</f>
        <v>FECHADO</v>
      </c>
      <c r="K2537" s="34" t="str">
        <f>IF(ORCAMENTOS!M2545="","",ORCAMENTOS!M2545)</f>
        <v>-</v>
      </c>
      <c r="L2537" t="str">
        <f>IF(ORCAMENTOS!R2545="","",ORCAMENTOS!R2545)</f>
        <v>-</v>
      </c>
    </row>
    <row r="2538" spans="1:12" ht="15.75" hidden="1" customHeight="1" x14ac:dyDescent="0.25">
      <c r="A2538" s="36">
        <f>IF(ORCAMENTOS!A2546="","",ORCAMENTOS!A2546)</f>
        <v>46083</v>
      </c>
      <c r="B2538" s="46">
        <f>IF(ORCAMENTOS!B2546="","",ORCAMENTOS!B2546)</f>
        <v>361</v>
      </c>
      <c r="C2538" s="46" t="str">
        <f>IF(ORCAMENTOS!C2546="","",ORCAMENTOS!C2546)</f>
        <v/>
      </c>
      <c r="D2538" s="37" t="str">
        <f>IF(ORCAMENTOS!D2546="","",ORCAMENTOS!D2546)</f>
        <v>BEST CLIMA</v>
      </c>
      <c r="E2538" s="38" t="str">
        <f>IF(ORCAMENTOS!E2546="","",ORCAMENTOS!E2546)</f>
        <v>E10 - 5901 - HOSPITAL IBIRAPUERA</v>
      </c>
      <c r="F2538" s="37" t="str">
        <f>IF(ORCAMENTOS!G2546="","",ORCAMENTOS!G2546)</f>
        <v xml:space="preserve">Aldavir </v>
      </c>
      <c r="G2538" s="37" t="str">
        <f>IF(ORCAMENTOS!H2546="","",ORCAMENTOS!H2546)</f>
        <v>Marcelo</v>
      </c>
      <c r="H2538" s="39">
        <f>IF(ORCAMENTOS!I2546="","",ORCAMENTOS!I2546)</f>
        <v>3558617.6</v>
      </c>
      <c r="I2538" s="60">
        <f>IF(ORCAMENTOS!J2546="","",ORCAMENTOS!J2546)</f>
        <v>0.06</v>
      </c>
      <c r="J2538" s="40" t="str">
        <f>IF(ORCAMENTOS!L2546="","",ORCAMENTOS!L2546)</f>
        <v>ORCAMENTO</v>
      </c>
      <c r="K2538" s="34" t="str">
        <f>IF(ORCAMENTOS!M2546="","",ORCAMENTOS!M2546)</f>
        <v>-</v>
      </c>
      <c r="L2538" t="str">
        <f>IF(ORCAMENTOS!R2546="","",ORCAMENTOS!R2546)</f>
        <v>-</v>
      </c>
    </row>
    <row r="2539" spans="1:12" ht="15.75" hidden="1" customHeight="1" x14ac:dyDescent="0.25">
      <c r="A2539" s="36">
        <f>IF(ORCAMENTOS!A2547="","",ORCAMENTOS!A2547)</f>
        <v>46083</v>
      </c>
      <c r="B2539" s="46">
        <f>IF(ORCAMENTOS!B2547="","",ORCAMENTOS!B2547)</f>
        <v>362</v>
      </c>
      <c r="C2539" s="46" t="str">
        <f>IF(ORCAMENTOS!C2547="","",ORCAMENTOS!C2547)</f>
        <v/>
      </c>
      <c r="D2539" s="37" t="str">
        <f>IF(ORCAMENTOS!D2547="","",ORCAMENTOS!D2547)</f>
        <v>R REFRIGERACAO</v>
      </c>
      <c r="E2539" s="38" t="str">
        <f>IF(ORCAMENTOS!E2547="","",ORCAMENTOS!E2547)</f>
        <v>-</v>
      </c>
      <c r="F2539" s="37" t="str">
        <f>IF(ORCAMENTOS!G2547="","",ORCAMENTOS!G2547)</f>
        <v>Gabriel</v>
      </c>
      <c r="G2539" s="37" t="str">
        <f>IF(ORCAMENTOS!H2547="","",ORCAMENTOS!H2547)</f>
        <v>Michele</v>
      </c>
      <c r="H2539" s="39">
        <f>IF(ORCAMENTOS!I2547="","",ORCAMENTOS!I2547)</f>
        <v>7744.21</v>
      </c>
      <c r="I2539" s="60">
        <f>IF(ORCAMENTOS!J2547="","",ORCAMENTOS!J2547)</f>
        <v>7.0000000000000007E-2</v>
      </c>
      <c r="J2539" s="40" t="str">
        <f>IF(ORCAMENTOS!L2547="","",ORCAMENTOS!L2547)</f>
        <v>CANCELADO</v>
      </c>
      <c r="K2539" s="34" t="str">
        <f>IF(ORCAMENTOS!M2547="","",ORCAMENTOS!M2547)</f>
        <v>-</v>
      </c>
      <c r="L2539" t="str">
        <f>IF(ORCAMENTOS!R2547="","",ORCAMENTOS!R2547)</f>
        <v>-</v>
      </c>
    </row>
    <row r="2540" spans="1:12" ht="15.75" hidden="1" customHeight="1" x14ac:dyDescent="0.25">
      <c r="A2540" s="36">
        <f>IF(ORCAMENTOS!A2548="","",ORCAMENTOS!A2548)</f>
        <v>46083</v>
      </c>
      <c r="B2540" s="46">
        <f>IF(ORCAMENTOS!B2548="","",ORCAMENTOS!B2548)</f>
        <v>363</v>
      </c>
      <c r="C2540" s="46" t="str">
        <f>IF(ORCAMENTOS!C2548="","",ORCAMENTOS!C2548)</f>
        <v/>
      </c>
      <c r="D2540" s="37" t="str">
        <f>IF(ORCAMENTOS!D2548="","",ORCAMENTOS!D2548)</f>
        <v>CACR ENGENHARIA</v>
      </c>
      <c r="E2540" s="38" t="str">
        <f>IF(ORCAMENTOS!E2548="","",ORCAMENTOS!E2548)</f>
        <v>UNIGRA BRASIL - PROJETO PRODUÇÃO DE CHOCOLATES</v>
      </c>
      <c r="F2540" s="37" t="str">
        <f>IF(ORCAMENTOS!G2548="","",ORCAMENTOS!G2548)</f>
        <v xml:space="preserve">Aldavir </v>
      </c>
      <c r="G2540" s="37" t="str">
        <f>IF(ORCAMENTOS!H2548="","",ORCAMENTOS!H2548)</f>
        <v>Leonardo</v>
      </c>
      <c r="H2540" s="39">
        <f>IF(ORCAMENTOS!I2548="","",ORCAMENTOS!I2548)</f>
        <v>16933.88</v>
      </c>
      <c r="I2540" s="60">
        <f>IF(ORCAMENTOS!J2548="","",ORCAMENTOS!J2548)</f>
        <v>7.0000000000000007E-2</v>
      </c>
      <c r="J2540" s="40" t="str">
        <f>IF(ORCAMENTOS!L2548="","",ORCAMENTOS!L2548)</f>
        <v>FECHADO</v>
      </c>
      <c r="K2540" s="34" t="str">
        <f>IF(ORCAMENTOS!M2548="","",ORCAMENTOS!M2548)</f>
        <v>-</v>
      </c>
      <c r="L2540" t="str">
        <f>IF(ORCAMENTOS!R2548="","",ORCAMENTOS!R2548)</f>
        <v>-</v>
      </c>
    </row>
    <row r="2541" spans="1:12" ht="15.75" hidden="1" customHeight="1" x14ac:dyDescent="0.25">
      <c r="A2541" s="36">
        <f>IF(ORCAMENTOS!A2549="","",ORCAMENTOS!A2549)</f>
        <v>46103</v>
      </c>
      <c r="B2541" s="46">
        <f>IF(ORCAMENTOS!B2549="","",ORCAMENTOS!B2549)</f>
        <v>364</v>
      </c>
      <c r="C2541" s="46" t="str">
        <f>IF(ORCAMENTOS!C2549="","",ORCAMENTOS!C2549)</f>
        <v/>
      </c>
      <c r="D2541" s="37" t="str">
        <f>IF(ORCAMENTOS!D2549="","",ORCAMENTOS!D2549)</f>
        <v>CACR ENGENHARIA</v>
      </c>
      <c r="E2541" s="38" t="str">
        <f>IF(ORCAMENTOS!E2549="","",ORCAMENTOS!E2549)</f>
        <v>FIRMENICH</v>
      </c>
      <c r="F2541" s="37" t="str">
        <f>IF(ORCAMENTOS!G2549="","",ORCAMENTOS!G2549)</f>
        <v xml:space="preserve">Aldavir </v>
      </c>
      <c r="G2541" s="37" t="str">
        <f>IF(ORCAMENTOS!H2549="","",ORCAMENTOS!H2549)</f>
        <v xml:space="preserve">Lucimar </v>
      </c>
      <c r="H2541" s="39">
        <f>IF(ORCAMENTOS!I2549="","",ORCAMENTOS!I2549)</f>
        <v>594001.19999999995</v>
      </c>
      <c r="I2541" s="60">
        <f>IF(ORCAMENTOS!J2549="","",ORCAMENTOS!J2549)</f>
        <v>7.0000000000000007E-2</v>
      </c>
      <c r="J2541" s="40" t="str">
        <f>IF(ORCAMENTOS!L2549="","",ORCAMENTOS!L2549)</f>
        <v>ORCAMENTO</v>
      </c>
      <c r="K2541" s="34" t="str">
        <f>IF(ORCAMENTOS!M2549="","",ORCAMENTOS!M2549)</f>
        <v>-</v>
      </c>
      <c r="L2541" t="str">
        <f>IF(ORCAMENTOS!R2549="","",ORCAMENTOS!R2549)</f>
        <v>-</v>
      </c>
    </row>
    <row r="2542" spans="1:12" ht="15.75" hidden="1" customHeight="1" x14ac:dyDescent="0.25">
      <c r="A2542" s="36">
        <f>IF(ORCAMENTOS!A2550="","",ORCAMENTOS!A2550)</f>
        <v>46083</v>
      </c>
      <c r="B2542" s="46">
        <f>IF(ORCAMENTOS!B2550="","",ORCAMENTOS!B2550)</f>
        <v>365</v>
      </c>
      <c r="C2542" s="46" t="str">
        <f>IF(ORCAMENTOS!C2550="","",ORCAMENTOS!C2550)</f>
        <v/>
      </c>
      <c r="D2542" s="37" t="str">
        <f>IF(ORCAMENTOS!D2550="","",ORCAMENTOS!D2550)</f>
        <v>NP CLIMATIZAÇÃO</v>
      </c>
      <c r="E2542" s="38" t="str">
        <f>IF(ORCAMENTOS!E2550="","",ORCAMENTOS!E2550)</f>
        <v>AC - REREN</v>
      </c>
      <c r="F2542" s="37" t="str">
        <f>IF(ORCAMENTOS!G2550="","",ORCAMENTOS!G2550)</f>
        <v>Guilherme</v>
      </c>
      <c r="G2542" s="37" t="str">
        <f>IF(ORCAMENTOS!H2550="","",ORCAMENTOS!H2550)</f>
        <v>Maria</v>
      </c>
      <c r="H2542" s="39">
        <f>IF(ORCAMENTOS!I2550="","",ORCAMENTOS!I2550)</f>
        <v>8885.89</v>
      </c>
      <c r="I2542" s="60">
        <f>IF(ORCAMENTOS!J2550="","",ORCAMENTOS!J2550)</f>
        <v>7.0000000000000007E-2</v>
      </c>
      <c r="J2542" s="40" t="str">
        <f>IF(ORCAMENTOS!L2550="","",ORCAMENTOS!L2550)</f>
        <v>CANCELADO</v>
      </c>
      <c r="K2542" s="34" t="str">
        <f>IF(ORCAMENTOS!M2550="","",ORCAMENTOS!M2550)</f>
        <v>-</v>
      </c>
      <c r="L2542" t="str">
        <f>IF(ORCAMENTOS!R2550="","",ORCAMENTOS!R2550)</f>
        <v>-</v>
      </c>
    </row>
    <row r="2543" spans="1:12" ht="15.75" hidden="1" customHeight="1" x14ac:dyDescent="0.25">
      <c r="A2543" s="36">
        <f>IF(ORCAMENTOS!A2551="","",ORCAMENTOS!A2551)</f>
        <v>46084</v>
      </c>
      <c r="B2543" s="46">
        <f>IF(ORCAMENTOS!B2551="","",ORCAMENTOS!B2551)</f>
        <v>366</v>
      </c>
      <c r="C2543" s="46" t="str">
        <f>IF(ORCAMENTOS!C2551="","",ORCAMENTOS!C2551)</f>
        <v>R1</v>
      </c>
      <c r="D2543" s="37" t="str">
        <f>IF(ORCAMENTOS!D2551="","",ORCAMENTOS!D2551)</f>
        <v>ADL DUTOS</v>
      </c>
      <c r="E2543" s="38" t="str">
        <f>IF(ORCAMENTOS!E2551="","",ORCAMENTOS!E2551)</f>
        <v>-</v>
      </c>
      <c r="F2543" s="37" t="str">
        <f>IF(ORCAMENTOS!G2551="","",ORCAMENTOS!G2551)</f>
        <v>Gabriel</v>
      </c>
      <c r="G2543" s="37" t="str">
        <f>IF(ORCAMENTOS!H2551="","",ORCAMENTOS!H2551)</f>
        <v>Andre</v>
      </c>
      <c r="H2543" s="39">
        <f>IF(ORCAMENTOS!I2551="","",ORCAMENTOS!I2551)</f>
        <v>2059.66</v>
      </c>
      <c r="I2543" s="60">
        <f>IF(ORCAMENTOS!J2551="","",ORCAMENTOS!J2551)</f>
        <v>7.0000000000000007E-2</v>
      </c>
      <c r="J2543" s="40" t="str">
        <f>IF(ORCAMENTOS!L2551="","",ORCAMENTOS!L2551)</f>
        <v>PERDIDO</v>
      </c>
      <c r="K2543" s="34" t="str">
        <f>IF(ORCAMENTOS!M2551="","",ORCAMENTOS!M2551)</f>
        <v>PERDIDO - FRETE</v>
      </c>
      <c r="L2543" t="str">
        <f>IF(ORCAMENTOS!R2551="","",ORCAMENTOS!R2551)</f>
        <v>-</v>
      </c>
    </row>
    <row r="2544" spans="1:12" ht="15.75" hidden="1" customHeight="1" x14ac:dyDescent="0.25">
      <c r="A2544" s="36">
        <f>IF(ORCAMENTOS!A2552="","",ORCAMENTOS!A2552)</f>
        <v>46083</v>
      </c>
      <c r="B2544" s="46">
        <f>IF(ORCAMENTOS!B2552="","",ORCAMENTOS!B2552)</f>
        <v>367</v>
      </c>
      <c r="C2544" s="46" t="str">
        <f>IF(ORCAMENTOS!C2552="","",ORCAMENTOS!C2552)</f>
        <v/>
      </c>
      <c r="D2544" s="37" t="str">
        <f>IF(ORCAMENTOS!D2552="","",ORCAMENTOS!D2552)</f>
        <v>AWA AR CONDICIONADO</v>
      </c>
      <c r="E2544" s="38" t="str">
        <f>IF(ORCAMENTOS!E2552="","",ORCAMENTOS!E2552)</f>
        <v>YOUCOM - SH MORUMBI - SP</v>
      </c>
      <c r="F2544" s="37" t="str">
        <f>IF(ORCAMENTOS!G2552="","",ORCAMENTOS!G2552)</f>
        <v>Guilherme</v>
      </c>
      <c r="G2544" s="37" t="str">
        <f>IF(ORCAMENTOS!H2552="","",ORCAMENTOS!H2552)</f>
        <v>Paula</v>
      </c>
      <c r="H2544" s="39">
        <f>IF(ORCAMENTOS!I2552="","",ORCAMENTOS!I2552)</f>
        <v>23568.82</v>
      </c>
      <c r="I2544" s="60">
        <f>IF(ORCAMENTOS!J2552="","",ORCAMENTOS!J2552)</f>
        <v>0.05</v>
      </c>
      <c r="J2544" s="40" t="str">
        <f>IF(ORCAMENTOS!L2552="","",ORCAMENTOS!L2552)</f>
        <v>CANCELADO</v>
      </c>
      <c r="K2544" s="34" t="str">
        <f>IF(ORCAMENTOS!M2552="","",ORCAMENTOS!M2552)</f>
        <v>-</v>
      </c>
      <c r="L2544" t="str">
        <f>IF(ORCAMENTOS!R2552="","",ORCAMENTOS!R2552)</f>
        <v>MPU</v>
      </c>
    </row>
    <row r="2545" spans="1:12" ht="15.75" hidden="1" customHeight="1" x14ac:dyDescent="0.25">
      <c r="A2545" s="36">
        <f>IF(ORCAMENTOS!A2553="","",ORCAMENTOS!A2553)</f>
        <v>46083</v>
      </c>
      <c r="B2545" s="46">
        <f>IF(ORCAMENTOS!B2553="","",ORCAMENTOS!B2553)</f>
        <v>368</v>
      </c>
      <c r="C2545" s="46" t="str">
        <f>IF(ORCAMENTOS!C2553="","",ORCAMENTOS!C2553)</f>
        <v/>
      </c>
      <c r="D2545" s="37" t="str">
        <f>IF(ORCAMENTOS!D2553="","",ORCAMENTOS!D2553)</f>
        <v>AIRPLAN</v>
      </c>
      <c r="E2545" s="38" t="str">
        <f>IF(ORCAMENTOS!E2553="","",ORCAMENTOS!E2553)</f>
        <v>YOUCOM - SH MORUMBI - SP</v>
      </c>
      <c r="F2545" s="37" t="str">
        <f>IF(ORCAMENTOS!G2553="","",ORCAMENTOS!G2553)</f>
        <v>Guilherme</v>
      </c>
      <c r="G2545" s="37" t="str">
        <f>IF(ORCAMENTOS!H2553="","",ORCAMENTOS!H2553)</f>
        <v>Gabriel</v>
      </c>
      <c r="H2545" s="39">
        <f>IF(ORCAMENTOS!I2553="","",ORCAMENTOS!I2553)</f>
        <v>25082.74</v>
      </c>
      <c r="I2545" s="60">
        <f>IF(ORCAMENTOS!J2553="","",ORCAMENTOS!J2553)</f>
        <v>7.0000000000000007E-2</v>
      </c>
      <c r="J2545" s="40" t="str">
        <f>IF(ORCAMENTOS!L2553="","",ORCAMENTOS!L2553)</f>
        <v>CANCELADO</v>
      </c>
      <c r="K2545" s="34" t="str">
        <f>IF(ORCAMENTOS!M2553="","",ORCAMENTOS!M2553)</f>
        <v>-</v>
      </c>
      <c r="L2545" t="str">
        <f>IF(ORCAMENTOS!R2553="","",ORCAMENTOS!R2553)</f>
        <v>MPU</v>
      </c>
    </row>
    <row r="2546" spans="1:12" ht="15.75" hidden="1" customHeight="1" x14ac:dyDescent="0.25">
      <c r="A2546" s="36">
        <f>IF(ORCAMENTOS!A2554="","",ORCAMENTOS!A2554)</f>
        <v>46083</v>
      </c>
      <c r="B2546" s="46">
        <f>IF(ORCAMENTOS!B2554="","",ORCAMENTOS!B2554)</f>
        <v>369</v>
      </c>
      <c r="C2546" s="46" t="str">
        <f>IF(ORCAMENTOS!C2554="","",ORCAMENTOS!C2554)</f>
        <v/>
      </c>
      <c r="D2546" s="37" t="str">
        <f>IF(ORCAMENTOS!D2554="","",ORCAMENTOS!D2554)</f>
        <v>GELOMAC</v>
      </c>
      <c r="E2546" s="38" t="str">
        <f>IF(ORCAMENTOS!E2554="","",ORCAMENTOS!E2554)</f>
        <v>SUPERPERCADIO - KRILL - PRAIA GRANDE</v>
      </c>
      <c r="F2546" s="37" t="str">
        <f>IF(ORCAMENTOS!G2554="","",ORCAMENTOS!G2554)</f>
        <v>Gabriel</v>
      </c>
      <c r="G2546" s="37" t="str">
        <f>IF(ORCAMENTOS!H2554="","",ORCAMENTOS!H2554)</f>
        <v>Gabriel</v>
      </c>
      <c r="H2546" s="39">
        <f>IF(ORCAMENTOS!I2554="","",ORCAMENTOS!I2554)</f>
        <v>97949.36</v>
      </c>
      <c r="I2546" s="60">
        <f>IF(ORCAMENTOS!J2554="","",ORCAMENTOS!J2554)</f>
        <v>7.0000000000000007E-2</v>
      </c>
      <c r="J2546" s="40" t="str">
        <f>IF(ORCAMENTOS!L2554="","",ORCAMENTOS!L2554)</f>
        <v>CANCELADO</v>
      </c>
      <c r="K2546" s="34" t="str">
        <f>IF(ORCAMENTOS!M2554="","",ORCAMENTOS!M2554)</f>
        <v>-</v>
      </c>
      <c r="L2546" t="str">
        <f>IF(ORCAMENTOS!R2554="","",ORCAMENTOS!R2554)</f>
        <v>N/E</v>
      </c>
    </row>
    <row r="2547" spans="1:12" ht="15.75" hidden="1" customHeight="1" x14ac:dyDescent="0.25">
      <c r="A2547" s="36">
        <f>IF(ORCAMENTOS!A2555="","",ORCAMENTOS!A2555)</f>
        <v>46083</v>
      </c>
      <c r="B2547" s="46">
        <f>IF(ORCAMENTOS!B2555="","",ORCAMENTOS!B2555)</f>
        <v>370</v>
      </c>
      <c r="C2547" s="46" t="str">
        <f>IF(ORCAMENTOS!C2555="","",ORCAMENTOS!C2555)</f>
        <v/>
      </c>
      <c r="D2547" s="37" t="str">
        <f>IF(ORCAMENTOS!D2555="","",ORCAMENTOS!D2555)</f>
        <v>DUTOLEVE</v>
      </c>
      <c r="E2547" s="38" t="str">
        <f>IF(ORCAMENTOS!E2555="","",ORCAMENTOS!E2555)</f>
        <v>LEVEMAX PARANAIBA</v>
      </c>
      <c r="F2547" s="37" t="str">
        <f>IF(ORCAMENTOS!G2555="","",ORCAMENTOS!G2555)</f>
        <v>Gabriel</v>
      </c>
      <c r="G2547" s="37" t="str">
        <f>IF(ORCAMENTOS!H2555="","",ORCAMENTOS!H2555)</f>
        <v>Newton</v>
      </c>
      <c r="H2547" s="39">
        <f>IF(ORCAMENTOS!I2555="","",ORCAMENTOS!I2555)</f>
        <v>95000</v>
      </c>
      <c r="I2547" s="60">
        <f>IF(ORCAMENTOS!J2555="","",ORCAMENTOS!J2555)</f>
        <v>0.04</v>
      </c>
      <c r="J2547" s="40" t="str">
        <f>IF(ORCAMENTOS!L2555="","",ORCAMENTOS!L2555)</f>
        <v>FECHADO</v>
      </c>
      <c r="K2547" s="34" t="str">
        <f>IF(ORCAMENTOS!M2555="","",ORCAMENTOS!M2555)</f>
        <v>-</v>
      </c>
      <c r="L2547" t="str">
        <f>IF(ORCAMENTOS!R2555="","",ORCAMENTOS!R2555)</f>
        <v>-</v>
      </c>
    </row>
    <row r="2548" spans="1:12" ht="15.75" hidden="1" customHeight="1" x14ac:dyDescent="0.25">
      <c r="A2548" s="36">
        <f>IF(ORCAMENTOS!A2556="","",ORCAMENTOS!A2556)</f>
        <v>46083</v>
      </c>
      <c r="B2548" s="46">
        <f>IF(ORCAMENTOS!B2556="","",ORCAMENTOS!B2556)</f>
        <v>371</v>
      </c>
      <c r="C2548" s="46" t="str">
        <f>IF(ORCAMENTOS!C2556="","",ORCAMENTOS!C2556)</f>
        <v/>
      </c>
      <c r="D2548" s="37" t="str">
        <f>IF(ORCAMENTOS!D2556="","",ORCAMENTOS!D2556)</f>
        <v>CONTROLE CLIMA</v>
      </c>
      <c r="E2548" s="38" t="str">
        <f>IF(ORCAMENTOS!E2556="","",ORCAMENTOS!E2556)</f>
        <v>SMART FIT - JACANA</v>
      </c>
      <c r="F2548" s="37" t="str">
        <f>IF(ORCAMENTOS!G2556="","",ORCAMENTOS!G2556)</f>
        <v>Gabriel</v>
      </c>
      <c r="G2548" s="37" t="str">
        <f>IF(ORCAMENTOS!H2556="","",ORCAMENTOS!H2556)</f>
        <v>Samuel</v>
      </c>
      <c r="H2548" s="39">
        <f>IF(ORCAMENTOS!I2556="","",ORCAMENTOS!I2556)</f>
        <v>51096.639999999999</v>
      </c>
      <c r="I2548" s="60">
        <f>IF(ORCAMENTOS!J2556="","",ORCAMENTOS!J2556)</f>
        <v>7.0000000000000007E-2</v>
      </c>
      <c r="J2548" s="40" t="str">
        <f>IF(ORCAMENTOS!L2556="","",ORCAMENTOS!L2556)</f>
        <v>CANCELADO</v>
      </c>
      <c r="K2548" s="34" t="str">
        <f>IF(ORCAMENTOS!M2556="","",ORCAMENTOS!M2556)</f>
        <v>-</v>
      </c>
      <c r="L2548" t="str">
        <f>IF(ORCAMENTOS!R2556="","",ORCAMENTOS!R2556)</f>
        <v>CHAPA DE ACO GALVANIZADO</v>
      </c>
    </row>
    <row r="2549" spans="1:12" ht="15.75" hidden="1" customHeight="1" x14ac:dyDescent="0.25">
      <c r="A2549" s="36">
        <f>IF(ORCAMENTOS!A2557="","",ORCAMENTOS!A2557)</f>
        <v>46084</v>
      </c>
      <c r="B2549" s="46">
        <f>IF(ORCAMENTOS!B2557="","",ORCAMENTOS!B2557)</f>
        <v>372</v>
      </c>
      <c r="C2549" s="46" t="str">
        <f>IF(ORCAMENTOS!C2557="","",ORCAMENTOS!C2557)</f>
        <v/>
      </c>
      <c r="D2549" s="37" t="str">
        <f>IF(ORCAMENTOS!D2557="","",ORCAMENTOS!D2557)</f>
        <v>AMS INSTALACOES</v>
      </c>
      <c r="E2549" s="38" t="str">
        <f>IF(ORCAMENTOS!E2557="","",ORCAMENTOS!E2557)</f>
        <v>ATACADÃO MATRIZ - VILA MARIA</v>
      </c>
      <c r="F2549" s="37" t="str">
        <f>IF(ORCAMENTOS!G2557="","",ORCAMENTOS!G2557)</f>
        <v>Gabriel</v>
      </c>
      <c r="G2549" s="37" t="str">
        <f>IF(ORCAMENTOS!H2557="","",ORCAMENTOS!H2557)</f>
        <v>Renan</v>
      </c>
      <c r="H2549" s="39">
        <f>IF(ORCAMENTOS!I2557="","",ORCAMENTOS!I2557)</f>
        <v>80117.75</v>
      </c>
      <c r="I2549" s="60">
        <f>IF(ORCAMENTOS!J2557="","",ORCAMENTOS!J2557)</f>
        <v>0.04</v>
      </c>
      <c r="J2549" s="40" t="str">
        <f>IF(ORCAMENTOS!L2557="","",ORCAMENTOS!L2557)</f>
        <v>FECHADO</v>
      </c>
      <c r="K2549" s="34" t="str">
        <f>IF(ORCAMENTOS!M2557="","",ORCAMENTOS!M2557)</f>
        <v>-</v>
      </c>
      <c r="L2549" t="str">
        <f>IF(ORCAMENTOS!R2557="","",ORCAMENTOS!R2557)</f>
        <v>-</v>
      </c>
    </row>
    <row r="2550" spans="1:12" ht="15.75" hidden="1" customHeight="1" x14ac:dyDescent="0.25">
      <c r="A2550" s="36">
        <f>IF(ORCAMENTOS!A2558="","",ORCAMENTOS!A2558)</f>
        <v>46084</v>
      </c>
      <c r="B2550" s="46">
        <f>IF(ORCAMENTOS!B2558="","",ORCAMENTOS!B2558)</f>
        <v>373</v>
      </c>
      <c r="C2550" s="46" t="str">
        <f>IF(ORCAMENTOS!C2558="","",ORCAMENTOS!C2558)</f>
        <v/>
      </c>
      <c r="D2550" s="37" t="str">
        <f>IF(ORCAMENTOS!D2558="","",ORCAMENTOS!D2558)</f>
        <v>COLDTERMICA</v>
      </c>
      <c r="E2550" s="38" t="str">
        <f>IF(ORCAMENTOS!E2558="","",ORCAMENTOS!E2558)</f>
        <v>Loja RNR 621 Sh Prêmio</v>
      </c>
      <c r="F2550" s="37" t="str">
        <f>IF(ORCAMENTOS!G2558="","",ORCAMENTOS!G2558)</f>
        <v>Gabriel</v>
      </c>
      <c r="G2550" s="37" t="str">
        <f>IF(ORCAMENTOS!H2558="","",ORCAMENTOS!H2558)</f>
        <v>Denis</v>
      </c>
      <c r="H2550" s="39">
        <f>IF(ORCAMENTOS!I2558="","",ORCAMENTOS!I2558)</f>
        <v>50837.87</v>
      </c>
      <c r="I2550" s="60">
        <f>IF(ORCAMENTOS!J2558="","",ORCAMENTOS!J2558)</f>
        <v>0.03</v>
      </c>
      <c r="J2550" s="40" t="str">
        <f>IF(ORCAMENTOS!L2558="","",ORCAMENTOS!L2558)</f>
        <v>FECHADO</v>
      </c>
      <c r="K2550" s="34" t="str">
        <f>IF(ORCAMENTOS!M2558="","",ORCAMENTOS!M2558)</f>
        <v>-</v>
      </c>
      <c r="L2550" t="str">
        <f>IF(ORCAMENTOS!R2558="","",ORCAMENTOS!R2558)</f>
        <v>-</v>
      </c>
    </row>
    <row r="2551" spans="1:12" ht="15.75" hidden="1" customHeight="1" x14ac:dyDescent="0.25">
      <c r="A2551" s="36">
        <f>IF(ORCAMENTOS!A2559="","",ORCAMENTOS!A2559)</f>
        <v>46084</v>
      </c>
      <c r="B2551" s="46">
        <f>IF(ORCAMENTOS!B2559="","",ORCAMENTOS!B2559)</f>
        <v>374</v>
      </c>
      <c r="C2551" s="46" t="str">
        <f>IF(ORCAMENTOS!C2559="","",ORCAMENTOS!C2559)</f>
        <v/>
      </c>
      <c r="D2551" s="37" t="str">
        <f>IF(ORCAMENTOS!D2559="","",ORCAMENTOS!D2559)</f>
        <v>ALMEIDA E LIMA</v>
      </c>
      <c r="E2551" s="38" t="str">
        <f>IF(ORCAMENTOS!E2559="","",ORCAMENTOS!E2559)</f>
        <v>-</v>
      </c>
      <c r="F2551" s="37" t="str">
        <f>IF(ORCAMENTOS!G2559="","",ORCAMENTOS!G2559)</f>
        <v>Gabriel</v>
      </c>
      <c r="G2551" s="37" t="str">
        <f>IF(ORCAMENTOS!H2559="","",ORCAMENTOS!H2559)</f>
        <v>Marcelo</v>
      </c>
      <c r="H2551" s="39">
        <f>IF(ORCAMENTOS!I2559="","",ORCAMENTOS!I2559)</f>
        <v>715.68</v>
      </c>
      <c r="I2551" s="60">
        <f>IF(ORCAMENTOS!J2559="","",ORCAMENTOS!J2559)</f>
        <v>7.0000000000000007E-2</v>
      </c>
      <c r="J2551" s="40" t="str">
        <f>IF(ORCAMENTOS!L2559="","",ORCAMENTOS!L2559)</f>
        <v>CANCELADO</v>
      </c>
      <c r="K2551" s="34" t="str">
        <f>IF(ORCAMENTOS!M2559="","",ORCAMENTOS!M2559)</f>
        <v>-</v>
      </c>
      <c r="L2551" t="str">
        <f>IF(ORCAMENTOS!R2559="","",ORCAMENTOS!R2559)</f>
        <v>-</v>
      </c>
    </row>
    <row r="2552" spans="1:12" ht="15.75" hidden="1" customHeight="1" x14ac:dyDescent="0.25">
      <c r="A2552" s="36">
        <f>IF(ORCAMENTOS!A2560="","",ORCAMENTOS!A2560)</f>
        <v>46084</v>
      </c>
      <c r="B2552" s="46">
        <f>IF(ORCAMENTOS!B2560="","",ORCAMENTOS!B2560)</f>
        <v>375</v>
      </c>
      <c r="C2552" s="46" t="str">
        <f>IF(ORCAMENTOS!C2560="","",ORCAMENTOS!C2560)</f>
        <v/>
      </c>
      <c r="D2552" s="37" t="str">
        <f>IF(ORCAMENTOS!D2560="","",ORCAMENTOS!D2560)</f>
        <v>INTERA ENGENHARIA</v>
      </c>
      <c r="E2552" s="38" t="str">
        <f>IF(ORCAMENTOS!E2560="","",ORCAMENTOS!E2560)</f>
        <v>UNIMED - SÃO CARLOS</v>
      </c>
      <c r="F2552" s="37" t="str">
        <f>IF(ORCAMENTOS!G2560="","",ORCAMENTOS!G2560)</f>
        <v>Michel</v>
      </c>
      <c r="G2552" s="37" t="str">
        <f>IF(ORCAMENTOS!H2560="","",ORCAMENTOS!H2560)</f>
        <v>Luan</v>
      </c>
      <c r="H2552" s="39">
        <f>IF(ORCAMENTOS!I2560="","",ORCAMENTOS!I2560)</f>
        <v>604777.46</v>
      </c>
      <c r="I2552" s="60">
        <f>IF(ORCAMENTOS!J2560="","",ORCAMENTOS!J2560)</f>
        <v>7.0000000000000007E-2</v>
      </c>
      <c r="J2552" s="40" t="str">
        <f>IF(ORCAMENTOS!L2560="","",ORCAMENTOS!L2560)</f>
        <v>ORCAMENTO</v>
      </c>
      <c r="K2552" s="34" t="str">
        <f>IF(ORCAMENTOS!M2560="","",ORCAMENTOS!M2560)</f>
        <v>-</v>
      </c>
      <c r="L2552" t="str">
        <f>IF(ORCAMENTOS!R2560="","",ORCAMENTOS!R2560)</f>
        <v>N/E</v>
      </c>
    </row>
    <row r="2553" spans="1:12" ht="15.75" hidden="1" customHeight="1" x14ac:dyDescent="0.25">
      <c r="A2553" s="36">
        <f>IF(ORCAMENTOS!A2561="","",ORCAMENTOS!A2561)</f>
        <v>46084</v>
      </c>
      <c r="B2553" s="46">
        <f>IF(ORCAMENTOS!B2561="","",ORCAMENTOS!B2561)</f>
        <v>376</v>
      </c>
      <c r="C2553" s="46" t="str">
        <f>IF(ORCAMENTOS!C2561="","",ORCAMENTOS!C2561)</f>
        <v/>
      </c>
      <c r="D2553" s="37" t="str">
        <f>IF(ORCAMENTOS!D2561="","",ORCAMENTOS!D2561)</f>
        <v>AVANT ENGENHARIA</v>
      </c>
      <c r="E2553" s="38" t="str">
        <f>IF(ORCAMENTOS!E2561="","",ORCAMENTOS!E2561)</f>
        <v>-</v>
      </c>
      <c r="F2553" s="37" t="str">
        <f>IF(ORCAMENTOS!G2561="","",ORCAMENTOS!G2561)</f>
        <v>Gabriel</v>
      </c>
      <c r="G2553" s="37" t="str">
        <f>IF(ORCAMENTOS!H2561="","",ORCAMENTOS!H2561)</f>
        <v>Marcelo</v>
      </c>
      <c r="H2553" s="39">
        <f>IF(ORCAMENTOS!I2561="","",ORCAMENTOS!I2561)</f>
        <v>5659.21</v>
      </c>
      <c r="I2553" s="60">
        <f>IF(ORCAMENTOS!J2561="","",ORCAMENTOS!J2561)</f>
        <v>7.0000000000000007E-2</v>
      </c>
      <c r="J2553" s="40" t="str">
        <f>IF(ORCAMENTOS!L2561="","",ORCAMENTOS!L2561)</f>
        <v>FECHADO</v>
      </c>
      <c r="K2553" s="34" t="str">
        <f>IF(ORCAMENTOS!M2561="","",ORCAMENTOS!M2561)</f>
        <v>-</v>
      </c>
      <c r="L2553" t="str">
        <f>IF(ORCAMENTOS!R2561="","",ORCAMENTOS!R2561)</f>
        <v>-</v>
      </c>
    </row>
    <row r="2554" spans="1:12" ht="15.75" hidden="1" customHeight="1" x14ac:dyDescent="0.25">
      <c r="A2554" s="36">
        <f>IF(ORCAMENTOS!A2562="","",ORCAMENTOS!A2562)</f>
        <v>46084</v>
      </c>
      <c r="B2554" s="46">
        <f>IF(ORCAMENTOS!B2562="","",ORCAMENTOS!B2562)</f>
        <v>377</v>
      </c>
      <c r="C2554" s="46" t="str">
        <f>IF(ORCAMENTOS!C2562="","",ORCAMENTOS!C2562)</f>
        <v/>
      </c>
      <c r="D2554" s="37" t="str">
        <f>IF(ORCAMENTOS!D2562="","",ORCAMENTOS!D2562)</f>
        <v>HAITEC AR CONDICIONADO</v>
      </c>
      <c r="E2554" s="38" t="str">
        <f>IF(ORCAMENTOS!E2562="","",ORCAMENTOS!E2562)</f>
        <v>FARM RIO - SHOPPING IGUATEMI - SÃO PAULO - SP</v>
      </c>
      <c r="F2554" s="37" t="str">
        <f>IF(ORCAMENTOS!G2562="","",ORCAMENTOS!G2562)</f>
        <v>Michel</v>
      </c>
      <c r="G2554" s="37" t="str">
        <f>IF(ORCAMENTOS!H2562="","",ORCAMENTOS!H2562)</f>
        <v>Nilson</v>
      </c>
      <c r="H2554" s="39">
        <f>IF(ORCAMENTOS!I2562="","",ORCAMENTOS!I2562)</f>
        <v>7953.92</v>
      </c>
      <c r="I2554" s="60">
        <f>IF(ORCAMENTOS!J2562="","",ORCAMENTOS!J2562)</f>
        <v>7.0000000000000007E-2</v>
      </c>
      <c r="J2554" s="40" t="str">
        <f>IF(ORCAMENTOS!L2562="","",ORCAMENTOS!L2562)</f>
        <v>CANCELADO</v>
      </c>
      <c r="K2554" s="34" t="str">
        <f>IF(ORCAMENTOS!M2562="","",ORCAMENTOS!M2562)</f>
        <v>-</v>
      </c>
      <c r="L2554" t="str">
        <f>IF(ORCAMENTOS!R2562="","",ORCAMENTOS!R2562)</f>
        <v>N/E</v>
      </c>
    </row>
    <row r="2555" spans="1:12" ht="15.75" hidden="1" customHeight="1" x14ac:dyDescent="0.25">
      <c r="A2555" s="36">
        <f>IF(ORCAMENTOS!A2563="","",ORCAMENTOS!A2563)</f>
        <v>46085</v>
      </c>
      <c r="B2555" s="46">
        <f>IF(ORCAMENTOS!B2563="","",ORCAMENTOS!B2563)</f>
        <v>378</v>
      </c>
      <c r="C2555" s="46" t="str">
        <f>IF(ORCAMENTOS!C2563="","",ORCAMENTOS!C2563)</f>
        <v/>
      </c>
      <c r="D2555" s="37" t="str">
        <f>IF(ORCAMENTOS!D2563="","",ORCAMENTOS!D2563)</f>
        <v>WELLNESS</v>
      </c>
      <c r="E2555" s="38" t="str">
        <f>IF(ORCAMENTOS!E2563="","",ORCAMENTOS!E2563)</f>
        <v>-</v>
      </c>
      <c r="F2555" s="37" t="str">
        <f>IF(ORCAMENTOS!G2563="","",ORCAMENTOS!G2563)</f>
        <v>Gabriel</v>
      </c>
      <c r="G2555" s="37" t="str">
        <f>IF(ORCAMENTOS!H2563="","",ORCAMENTOS!H2563)</f>
        <v>Ivanise</v>
      </c>
      <c r="H2555" s="39">
        <f>IF(ORCAMENTOS!I2563="","",ORCAMENTOS!I2563)</f>
        <v>33489.14</v>
      </c>
      <c r="I2555" s="60">
        <f>IF(ORCAMENTOS!J2563="","",ORCAMENTOS!J2563)</f>
        <v>0.05</v>
      </c>
      <c r="J2555" s="40" t="str">
        <f>IF(ORCAMENTOS!L2563="","",ORCAMENTOS!L2563)</f>
        <v>FECHADO</v>
      </c>
      <c r="K2555" s="34" t="str">
        <f>IF(ORCAMENTOS!M2563="","",ORCAMENTOS!M2563)</f>
        <v>-</v>
      </c>
      <c r="L2555" t="str">
        <f>IF(ORCAMENTOS!R2563="","",ORCAMENTOS!R2563)</f>
        <v>-</v>
      </c>
    </row>
    <row r="2556" spans="1:12" ht="15.75" hidden="1" customHeight="1" x14ac:dyDescent="0.25">
      <c r="A2556" s="36">
        <f>IF(ORCAMENTOS!A2564="","",ORCAMENTOS!A2564)</f>
        <v>46091</v>
      </c>
      <c r="B2556" s="46">
        <f>IF(ORCAMENTOS!B2564="","",ORCAMENTOS!B2564)</f>
        <v>379</v>
      </c>
      <c r="C2556" s="46" t="str">
        <f>IF(ORCAMENTOS!C2564="","",ORCAMENTOS!C2564)</f>
        <v>R1</v>
      </c>
      <c r="D2556" s="37" t="str">
        <f>IF(ORCAMENTOS!D2564="","",ORCAMENTOS!D2564)</f>
        <v>REFRIARTEC</v>
      </c>
      <c r="E2556" s="38" t="str">
        <f>IF(ORCAMENTOS!E2564="","",ORCAMENTOS!E2564)</f>
        <v>BLUEFIT - CURSINO SP - 1317 - JARDIM SAUDE - SP</v>
      </c>
      <c r="F2556" s="37" t="str">
        <f>IF(ORCAMENTOS!G2564="","",ORCAMENTOS!G2564)</f>
        <v>Gabriel</v>
      </c>
      <c r="G2556" s="37" t="str">
        <f>IF(ORCAMENTOS!H2564="","",ORCAMENTOS!H2564)</f>
        <v>Neusa</v>
      </c>
      <c r="H2556" s="39">
        <f>IF(ORCAMENTOS!I2564="","",ORCAMENTOS!I2564)</f>
        <v>117603.79</v>
      </c>
      <c r="I2556" s="60">
        <f>IF(ORCAMENTOS!J2564="","",ORCAMENTOS!J2564)</f>
        <v>7.0000000000000007E-2</v>
      </c>
      <c r="J2556" s="40" t="str">
        <f>IF(ORCAMENTOS!L2564="","",ORCAMENTOS!L2564)</f>
        <v>CANCELADO</v>
      </c>
      <c r="K2556" s="34" t="str">
        <f>IF(ORCAMENTOS!M2564="","",ORCAMENTOS!M2564)</f>
        <v>-</v>
      </c>
      <c r="L2556" t="str">
        <f>IF(ORCAMENTOS!R2564="","",ORCAMENTOS!R2564)</f>
        <v/>
      </c>
    </row>
    <row r="2557" spans="1:12" ht="15.75" hidden="1" customHeight="1" x14ac:dyDescent="0.25">
      <c r="A2557" s="36">
        <f>IF(ORCAMENTOS!A2565="","",ORCAMENTOS!A2565)</f>
        <v>46085</v>
      </c>
      <c r="B2557" s="46">
        <f>IF(ORCAMENTOS!B2565="","",ORCAMENTOS!B2565)</f>
        <v>380</v>
      </c>
      <c r="C2557" s="46" t="str">
        <f>IF(ORCAMENTOS!C2565="","",ORCAMENTOS!C2565)</f>
        <v/>
      </c>
      <c r="D2557" s="37" t="str">
        <f>IF(ORCAMENTOS!D2565="","",ORCAMENTOS!D2565)</f>
        <v>R1 SOLUCOES</v>
      </c>
      <c r="E2557" s="38" t="str">
        <f>IF(ORCAMENTOS!E2565="","",ORCAMENTOS!E2565)</f>
        <v>-</v>
      </c>
      <c r="F2557" s="37" t="str">
        <f>IF(ORCAMENTOS!G2565="","",ORCAMENTOS!G2565)</f>
        <v>Gabriel</v>
      </c>
      <c r="G2557" s="37" t="str">
        <f>IF(ORCAMENTOS!H2565="","",ORCAMENTOS!H2565)</f>
        <v>Fanny</v>
      </c>
      <c r="H2557" s="39">
        <f>IF(ORCAMENTOS!I2565="","",ORCAMENTOS!I2565)</f>
        <v>4737</v>
      </c>
      <c r="I2557" s="60">
        <f>IF(ORCAMENTOS!J2565="","",ORCAMENTOS!J2565)</f>
        <v>7.0000000000000007E-2</v>
      </c>
      <c r="J2557" s="40" t="str">
        <f>IF(ORCAMENTOS!L2565="","",ORCAMENTOS!L2565)</f>
        <v>FECHADO</v>
      </c>
      <c r="K2557" s="34" t="str">
        <f>IF(ORCAMENTOS!M2565="","",ORCAMENTOS!M2565)</f>
        <v>-</v>
      </c>
      <c r="L2557" t="str">
        <f>IF(ORCAMENTOS!R2565="","",ORCAMENTOS!R2565)</f>
        <v>-</v>
      </c>
    </row>
    <row r="2558" spans="1:12" ht="15.75" hidden="1" customHeight="1" x14ac:dyDescent="0.25">
      <c r="A2558" s="36">
        <f>IF(ORCAMENTOS!A2566="","",ORCAMENTOS!A2566)</f>
        <v>46086</v>
      </c>
      <c r="B2558" s="46">
        <f>IF(ORCAMENTOS!B2566="","",ORCAMENTOS!B2566)</f>
        <v>381</v>
      </c>
      <c r="C2558" s="46" t="str">
        <f>IF(ORCAMENTOS!C2566="","",ORCAMENTOS!C2566)</f>
        <v>R1</v>
      </c>
      <c r="D2558" s="37" t="str">
        <f>IF(ORCAMENTOS!D2566="","",ORCAMENTOS!D2566)</f>
        <v>ISODUR</v>
      </c>
      <c r="E2558" s="38" t="str">
        <f>IF(ORCAMENTOS!E2566="","",ORCAMENTOS!E2566)</f>
        <v>-</v>
      </c>
      <c r="F2558" s="37" t="str">
        <f>IF(ORCAMENTOS!G2566="","",ORCAMENTOS!G2566)</f>
        <v>Gabriel</v>
      </c>
      <c r="G2558" s="37" t="str">
        <f>IF(ORCAMENTOS!H2566="","",ORCAMENTOS!H2566)</f>
        <v>Rodemir</v>
      </c>
      <c r="H2558" s="39">
        <f>IF(ORCAMENTOS!I2566="","",ORCAMENTOS!I2566)</f>
        <v>25554.38</v>
      </c>
      <c r="I2558" s="60">
        <f>IF(ORCAMENTOS!J2566="","",ORCAMENTOS!J2566)</f>
        <v>0.06</v>
      </c>
      <c r="J2558" s="40" t="str">
        <f>IF(ORCAMENTOS!L2566="","",ORCAMENTOS!L2566)</f>
        <v>CANCELADO</v>
      </c>
      <c r="K2558" s="34" t="str">
        <f>IF(ORCAMENTOS!M2566="","",ORCAMENTOS!M2566)</f>
        <v>-</v>
      </c>
      <c r="L2558" t="str">
        <f>IF(ORCAMENTOS!R2566="","",ORCAMENTOS!R2566)</f>
        <v>-</v>
      </c>
    </row>
    <row r="2559" spans="1:12" ht="15.75" hidden="1" customHeight="1" x14ac:dyDescent="0.25">
      <c r="A2559" s="36">
        <f>IF(ORCAMENTOS!A2567="","",ORCAMENTOS!A2567)</f>
        <v>46090</v>
      </c>
      <c r="B2559" s="46">
        <f>IF(ORCAMENTOS!B2567="","",ORCAMENTOS!B2567)</f>
        <v>382</v>
      </c>
      <c r="C2559" s="46" t="str">
        <f>IF(ORCAMENTOS!C2567="","",ORCAMENTOS!C2567)</f>
        <v>R3</v>
      </c>
      <c r="D2559" s="37" t="str">
        <f>IF(ORCAMENTOS!D2567="","",ORCAMENTOS!D2567)</f>
        <v>LACORTE REFRIGERACAO</v>
      </c>
      <c r="E2559" s="38" t="str">
        <f>IF(ORCAMENTOS!E2567="","",ORCAMENTOS!E2567)</f>
        <v>-</v>
      </c>
      <c r="F2559" s="37" t="str">
        <f>IF(ORCAMENTOS!G2567="","",ORCAMENTOS!G2567)</f>
        <v>Gabriel</v>
      </c>
      <c r="G2559" s="37" t="str">
        <f>IF(ORCAMENTOS!H2567="","",ORCAMENTOS!H2567)</f>
        <v>Carlos</v>
      </c>
      <c r="H2559" s="39">
        <f>IF(ORCAMENTOS!I2567="","",ORCAMENTOS!I2567)</f>
        <v>22278.53</v>
      </c>
      <c r="I2559" s="60">
        <f>IF(ORCAMENTOS!J2567="","",ORCAMENTOS!J2567)</f>
        <v>0.04</v>
      </c>
      <c r="J2559" s="40" t="str">
        <f>IF(ORCAMENTOS!L2567="","",ORCAMENTOS!L2567)</f>
        <v>FECHADO</v>
      </c>
      <c r="K2559" s="34" t="str">
        <f>IF(ORCAMENTOS!M2567="","",ORCAMENTOS!M2567)</f>
        <v>-</v>
      </c>
      <c r="L2559" t="str">
        <f>IF(ORCAMENTOS!R2567="","",ORCAMENTOS!R2567)</f>
        <v>-</v>
      </c>
    </row>
    <row r="2560" spans="1:12" ht="15.75" hidden="1" customHeight="1" x14ac:dyDescent="0.25">
      <c r="A2560" s="36">
        <f>IF(ORCAMENTOS!A2568="","",ORCAMENTOS!A2568)</f>
        <v>46085</v>
      </c>
      <c r="B2560" s="46">
        <f>IF(ORCAMENTOS!B2568="","",ORCAMENTOS!B2568)</f>
        <v>383</v>
      </c>
      <c r="C2560" s="46" t="str">
        <f>IF(ORCAMENTOS!C2568="","",ORCAMENTOS!C2568)</f>
        <v/>
      </c>
      <c r="D2560" s="37" t="str">
        <f>IF(ORCAMENTOS!D2568="","",ORCAMENTOS!D2568)</f>
        <v>DUCTBUSTERS</v>
      </c>
      <c r="E2560" s="38" t="str">
        <f>IF(ORCAMENTOS!E2568="","",ORCAMENTOS!E2568)</f>
        <v>-</v>
      </c>
      <c r="F2560" s="37" t="str">
        <f>IF(ORCAMENTOS!G2568="","",ORCAMENTOS!G2568)</f>
        <v>Michel</v>
      </c>
      <c r="G2560" s="37" t="str">
        <f>IF(ORCAMENTOS!H2568="","",ORCAMENTOS!H2568)</f>
        <v>Camila</v>
      </c>
      <c r="H2560" s="39">
        <f>IF(ORCAMENTOS!I2568="","",ORCAMENTOS!I2568)</f>
        <v>1569.4</v>
      </c>
      <c r="I2560" s="60">
        <f>IF(ORCAMENTOS!J2568="","",ORCAMENTOS!J2568)</f>
        <v>0.24</v>
      </c>
      <c r="J2560" s="40" t="str">
        <f>IF(ORCAMENTOS!L2568="","",ORCAMENTOS!L2568)</f>
        <v>FECHADO</v>
      </c>
      <c r="K2560" s="34" t="str">
        <f>IF(ORCAMENTOS!M2568="","",ORCAMENTOS!M2568)</f>
        <v>-</v>
      </c>
      <c r="L2560" t="str">
        <f>IF(ORCAMENTOS!R2568="","",ORCAMENTOS!R2568)</f>
        <v>-</v>
      </c>
    </row>
    <row r="2561" spans="1:12" ht="15.75" hidden="1" customHeight="1" x14ac:dyDescent="0.25">
      <c r="A2561" s="36">
        <f>IF(ORCAMENTOS!A2569="","",ORCAMENTOS!A2569)</f>
        <v>46085</v>
      </c>
      <c r="B2561" s="46">
        <f>IF(ORCAMENTOS!B2569="","",ORCAMENTOS!B2569)</f>
        <v>384</v>
      </c>
      <c r="C2561" s="46" t="str">
        <f>IF(ORCAMENTOS!C2569="","",ORCAMENTOS!C2569)</f>
        <v>R1</v>
      </c>
      <c r="D2561" s="37" t="str">
        <f>IF(ORCAMENTOS!D2569="","",ORCAMENTOS!D2569)</f>
        <v>AR CLEAN</v>
      </c>
      <c r="E2561" s="38" t="str">
        <f>IF(ORCAMENTOS!E2569="","",ORCAMENTOS!E2569)</f>
        <v>SHOPEE - FORTALEZA - CE</v>
      </c>
      <c r="F2561" s="37" t="str">
        <f>IF(ORCAMENTOS!G2569="","",ORCAMENTOS!G2569)</f>
        <v xml:space="preserve">Aldavir </v>
      </c>
      <c r="G2561" s="37" t="str">
        <f>IF(ORCAMENTOS!H2569="","",ORCAMENTOS!H2569)</f>
        <v>Melanie</v>
      </c>
      <c r="H2561" s="39">
        <f>IF(ORCAMENTOS!I2569="","",ORCAMENTOS!I2569)</f>
        <v>1433859.02</v>
      </c>
      <c r="I2561" s="60">
        <f>IF(ORCAMENTOS!J2569="","",ORCAMENTOS!J2569)</f>
        <v>0.04</v>
      </c>
      <c r="J2561" s="40" t="str">
        <f>IF(ORCAMENTOS!L2569="","",ORCAMENTOS!L2569)</f>
        <v>ORCAMENTO</v>
      </c>
      <c r="K2561" s="34" t="str">
        <f>IF(ORCAMENTOS!M2569="","",ORCAMENTOS!M2569)</f>
        <v>-</v>
      </c>
      <c r="L2561" t="str">
        <f>IF(ORCAMENTOS!R2569="","",ORCAMENTOS!R2569)</f>
        <v>-</v>
      </c>
    </row>
    <row r="2562" spans="1:12" ht="15.75" hidden="1" customHeight="1" x14ac:dyDescent="0.25">
      <c r="A2562" s="36">
        <f>IF(ORCAMENTOS!A2570="","",ORCAMENTOS!A2570)</f>
        <v>46086</v>
      </c>
      <c r="B2562" s="46">
        <f>IF(ORCAMENTOS!B2570="","",ORCAMENTOS!B2570)</f>
        <v>385</v>
      </c>
      <c r="C2562" s="46" t="str">
        <f>IF(ORCAMENTOS!C2570="","",ORCAMENTOS!C2570)</f>
        <v/>
      </c>
      <c r="D2562" s="37" t="str">
        <f>IF(ORCAMENTOS!D2570="","",ORCAMENTOS!D2570)</f>
        <v>INOVECTOR</v>
      </c>
      <c r="E2562" s="38" t="str">
        <f>IF(ORCAMENTOS!E2570="","",ORCAMENTOS!E2570)</f>
        <v>BP - CONSULTÓRIOS 2º ANDAR -T2</v>
      </c>
      <c r="F2562" s="37" t="str">
        <f>IF(ORCAMENTOS!G2570="","",ORCAMENTOS!G2570)</f>
        <v>Fernando</v>
      </c>
      <c r="G2562" s="37" t="str">
        <f>IF(ORCAMENTOS!H2570="","",ORCAMENTOS!H2570)</f>
        <v>Cristina</v>
      </c>
      <c r="H2562" s="39">
        <f>IF(ORCAMENTOS!I2570="","",ORCAMENTOS!I2570)</f>
        <v>31782.01</v>
      </c>
      <c r="I2562" s="60">
        <f>IF(ORCAMENTOS!J2570="","",ORCAMENTOS!J2570)</f>
        <v>0.04</v>
      </c>
      <c r="J2562" s="40" t="str">
        <f>IF(ORCAMENTOS!L2570="","",ORCAMENTOS!L2570)</f>
        <v>PERDIDO</v>
      </c>
      <c r="K2562" s="34" t="str">
        <f>IF(ORCAMENTOS!M2570="","",ORCAMENTOS!M2570)</f>
        <v>MULTIVAC - PRAZO</v>
      </c>
      <c r="L2562" t="str">
        <f>IF(ORCAMENTOS!R2570="","",ORCAMENTOS!R2570)</f>
        <v>-</v>
      </c>
    </row>
    <row r="2563" spans="1:12" ht="15.75" hidden="1" customHeight="1" x14ac:dyDescent="0.25">
      <c r="A2563" s="36">
        <f>IF(ORCAMENTOS!A2571="","",ORCAMENTOS!A2571)</f>
        <v>46086</v>
      </c>
      <c r="B2563" s="46">
        <f>IF(ORCAMENTOS!B2571="","",ORCAMENTOS!B2571)</f>
        <v>386</v>
      </c>
      <c r="C2563" s="46" t="str">
        <f>IF(ORCAMENTOS!C2571="","",ORCAMENTOS!C2571)</f>
        <v/>
      </c>
      <c r="D2563" s="37" t="str">
        <f>IF(ORCAMENTOS!D2571="","",ORCAMENTOS!D2571)</f>
        <v>YAMA ENGENHARIA</v>
      </c>
      <c r="E2563" s="38" t="str">
        <f>IF(ORCAMENTOS!E2571="","",ORCAMENTOS!E2571)</f>
        <v>FABIO ANDRADE GOTTARDI - RESID. DELTA PARK – ARAÇATUBA/SP</v>
      </c>
      <c r="F2563" s="37" t="str">
        <f>IF(ORCAMENTOS!G2571="","",ORCAMENTOS!G2571)</f>
        <v>Gabriel</v>
      </c>
      <c r="G2563" s="37" t="str">
        <f>IF(ORCAMENTOS!H2571="","",ORCAMENTOS!H2571)</f>
        <v>Fagner</v>
      </c>
      <c r="H2563" s="39">
        <f>IF(ORCAMENTOS!I2571="","",ORCAMENTOS!I2571)</f>
        <v>920.04</v>
      </c>
      <c r="I2563" s="60">
        <f>IF(ORCAMENTOS!J2571="","",ORCAMENTOS!J2571)</f>
        <v>7.0000000000000007E-2</v>
      </c>
      <c r="J2563" s="40" t="str">
        <f>IF(ORCAMENTOS!L2571="","",ORCAMENTOS!L2571)</f>
        <v>FECHADO</v>
      </c>
      <c r="K2563" s="34" t="str">
        <f>IF(ORCAMENTOS!M2571="","",ORCAMENTOS!M2571)</f>
        <v>-</v>
      </c>
      <c r="L2563" t="str">
        <f>IF(ORCAMENTOS!R2571="","",ORCAMENTOS!R2571)</f>
        <v/>
      </c>
    </row>
    <row r="2564" spans="1:12" ht="15.75" hidden="1" customHeight="1" x14ac:dyDescent="0.25">
      <c r="A2564" s="36">
        <f>IF(ORCAMENTOS!A2572="","",ORCAMENTOS!A2572)</f>
        <v>46086</v>
      </c>
      <c r="B2564" s="46">
        <f>IF(ORCAMENTOS!B2572="","",ORCAMENTOS!B2572)</f>
        <v>387</v>
      </c>
      <c r="C2564" s="46" t="str">
        <f>IF(ORCAMENTOS!C2572="","",ORCAMENTOS!C2572)</f>
        <v>R1</v>
      </c>
      <c r="D2564" s="37" t="str">
        <f>IF(ORCAMENTOS!D2572="","",ORCAMENTOS!D2572)</f>
        <v>OFFICEZ COMPANY</v>
      </c>
      <c r="E2564" s="38" t="str">
        <f>IF(ORCAMENTOS!E2572="","",ORCAMENTOS!E2572)</f>
        <v>LOJA INDAIATUBA</v>
      </c>
      <c r="F2564" s="37" t="str">
        <f>IF(ORCAMENTOS!G2572="","",ORCAMENTOS!G2572)</f>
        <v>Fernando</v>
      </c>
      <c r="G2564" s="37" t="str">
        <f>IF(ORCAMENTOS!H2572="","",ORCAMENTOS!H2572)</f>
        <v>Marcos</v>
      </c>
      <c r="H2564" s="39">
        <f>IF(ORCAMENTOS!I2572="","",ORCAMENTOS!I2572)</f>
        <v>11191.37</v>
      </c>
      <c r="I2564" s="60">
        <f>IF(ORCAMENTOS!J2572="","",ORCAMENTOS!J2572)</f>
        <v>0.04</v>
      </c>
      <c r="J2564" s="40" t="str">
        <f>IF(ORCAMENTOS!L2572="","",ORCAMENTOS!L2572)</f>
        <v>FECHADO</v>
      </c>
      <c r="K2564" s="34" t="str">
        <f>IF(ORCAMENTOS!M2572="","",ORCAMENTOS!M2572)</f>
        <v>-</v>
      </c>
      <c r="L2564" t="str">
        <f>IF(ORCAMENTOS!R2572="","",ORCAMENTOS!R2572)</f>
        <v>-</v>
      </c>
    </row>
    <row r="2565" spans="1:12" ht="15.75" hidden="1" customHeight="1" x14ac:dyDescent="0.25">
      <c r="A2565" s="36">
        <f>IF(ORCAMENTOS!A2573="","",ORCAMENTOS!A2573)</f>
        <v>46141</v>
      </c>
      <c r="B2565" s="46">
        <f>IF(ORCAMENTOS!B2573="","",ORCAMENTOS!B2573)</f>
        <v>388</v>
      </c>
      <c r="C2565" s="46" t="str">
        <f>IF(ORCAMENTOS!C2573="","",ORCAMENTOS!C2573)</f>
        <v/>
      </c>
      <c r="D2565" s="37" t="str">
        <f>IF(ORCAMENTOS!D2573="","",ORCAMENTOS!D2573)</f>
        <v>INOVECTOR</v>
      </c>
      <c r="E2565" s="38" t="str">
        <f>IF(ORCAMENTOS!E2573="","",ORCAMENTOS!E2573)</f>
        <v>Orçamento nº 2026.000134</v>
      </c>
      <c r="F2565" s="37" t="str">
        <f>IF(ORCAMENTOS!G2573="","",ORCAMENTOS!G2573)</f>
        <v>Fernando</v>
      </c>
      <c r="G2565" s="37" t="str">
        <f>IF(ORCAMENTOS!H2573="","",ORCAMENTOS!H2573)</f>
        <v>Eliete</v>
      </c>
      <c r="H2565" s="39">
        <f>IF(ORCAMENTOS!I2573="","",ORCAMENTOS!I2573)</f>
        <v>11016.06</v>
      </c>
      <c r="I2565" s="60">
        <f>IF(ORCAMENTOS!J2573="","",ORCAMENTOS!J2573)</f>
        <v>0.04</v>
      </c>
      <c r="J2565" s="40" t="str">
        <f>IF(ORCAMENTOS!L2573="","",ORCAMENTOS!L2573)</f>
        <v>PERDIDO</v>
      </c>
      <c r="K2565" s="34" t="str">
        <f>IF(ORCAMENTOS!M2573="","",ORCAMENTOS!M2573)</f>
        <v>MULTIVAC - PACOTE</v>
      </c>
      <c r="L2565" t="str">
        <f>IF(ORCAMENTOS!R2573="","",ORCAMENTOS!R2573)</f>
        <v>-</v>
      </c>
    </row>
    <row r="2566" spans="1:12" ht="15.75" hidden="1" customHeight="1" x14ac:dyDescent="0.25">
      <c r="A2566" s="36">
        <f>IF(ORCAMENTOS!A2574="","",ORCAMENTOS!A2574)</f>
        <v>46086</v>
      </c>
      <c r="B2566" s="46">
        <f>IF(ORCAMENTOS!B2574="","",ORCAMENTOS!B2574)</f>
        <v>389</v>
      </c>
      <c r="C2566" s="46" t="str">
        <f>IF(ORCAMENTOS!C2574="","",ORCAMENTOS!C2574)</f>
        <v/>
      </c>
      <c r="D2566" s="37" t="str">
        <f>IF(ORCAMENTOS!D2574="","",ORCAMENTOS!D2574)</f>
        <v>EXAUSTAR</v>
      </c>
      <c r="E2566" s="38" t="str">
        <f>IF(ORCAMENTOS!E2574="","",ORCAMENTOS!E2574)</f>
        <v>-</v>
      </c>
      <c r="F2566" s="37" t="str">
        <f>IF(ORCAMENTOS!G2574="","",ORCAMENTOS!G2574)</f>
        <v>Gabriel</v>
      </c>
      <c r="G2566" s="37" t="str">
        <f>IF(ORCAMENTOS!H2574="","",ORCAMENTOS!H2574)</f>
        <v>Junior</v>
      </c>
      <c r="H2566" s="39">
        <f>IF(ORCAMENTOS!I2574="","",ORCAMENTOS!I2574)</f>
        <v>6416.65</v>
      </c>
      <c r="I2566" s="60">
        <f>IF(ORCAMENTOS!J2574="","",ORCAMENTOS!J2574)</f>
        <v>7.0000000000000007E-2</v>
      </c>
      <c r="J2566" s="40" t="str">
        <f>IF(ORCAMENTOS!L2574="","",ORCAMENTOS!L2574)</f>
        <v>CANCELADO</v>
      </c>
      <c r="K2566" s="34" t="str">
        <f>IF(ORCAMENTOS!M2574="","",ORCAMENTOS!M2574)</f>
        <v>-</v>
      </c>
      <c r="L2566" t="str">
        <f>IF(ORCAMENTOS!R2574="","",ORCAMENTOS!R2574)</f>
        <v>-</v>
      </c>
    </row>
    <row r="2567" spans="1:12" ht="15.75" hidden="1" customHeight="1" x14ac:dyDescent="0.25">
      <c r="A2567" s="36">
        <f>IF(ORCAMENTOS!A2575="","",ORCAMENTOS!A2575)</f>
        <v>46087</v>
      </c>
      <c r="B2567" s="46">
        <f>IF(ORCAMENTOS!B2575="","",ORCAMENTOS!B2575)</f>
        <v>390</v>
      </c>
      <c r="C2567" s="46" t="str">
        <f>IF(ORCAMENTOS!C2575="","",ORCAMENTOS!C2575)</f>
        <v>R2</v>
      </c>
      <c r="D2567" s="37" t="str">
        <f>IF(ORCAMENTOS!D2575="","",ORCAMENTOS!D2575)</f>
        <v>SESIL AR</v>
      </c>
      <c r="E2567" s="38" t="str">
        <f>IF(ORCAMENTOS!E2575="","",ORCAMENTOS!E2575)</f>
        <v>Blanver - Nova área</v>
      </c>
      <c r="F2567" s="37" t="str">
        <f>IF(ORCAMENTOS!G2575="","",ORCAMENTOS!G2575)</f>
        <v>Fernando</v>
      </c>
      <c r="G2567" s="37" t="str">
        <f>IF(ORCAMENTOS!H2575="","",ORCAMENTOS!H2575)</f>
        <v>Wagner</v>
      </c>
      <c r="H2567" s="39">
        <f>IF(ORCAMENTOS!I2575="","",ORCAMENTOS!I2575)</f>
        <v>4161.49</v>
      </c>
      <c r="I2567" s="60">
        <f>IF(ORCAMENTOS!J2575="","",ORCAMENTOS!J2575)</f>
        <v>0.04</v>
      </c>
      <c r="J2567" s="40" t="str">
        <f>IF(ORCAMENTOS!L2575="","",ORCAMENTOS!L2575)</f>
        <v>CANCELADO</v>
      </c>
      <c r="K2567" s="34" t="str">
        <f>IF(ORCAMENTOS!M2575="","",ORCAMENTOS!M2575)</f>
        <v>CLIENTE NEGOCIANDO</v>
      </c>
      <c r="L2567" t="str">
        <f>IF(ORCAMENTOS!R2575="","",ORCAMENTOS!R2575)</f>
        <v>-</v>
      </c>
    </row>
    <row r="2568" spans="1:12" ht="15.75" hidden="1" customHeight="1" x14ac:dyDescent="0.25">
      <c r="A2568" s="36">
        <f>IF(ORCAMENTOS!A2576="","",ORCAMENTOS!A2576)</f>
        <v>46086</v>
      </c>
      <c r="B2568" s="46">
        <f>IF(ORCAMENTOS!B2576="","",ORCAMENTOS!B2576)</f>
        <v>391</v>
      </c>
      <c r="C2568" s="46" t="str">
        <f>IF(ORCAMENTOS!C2576="","",ORCAMENTOS!C2576)</f>
        <v/>
      </c>
      <c r="D2568" s="37" t="str">
        <f>IF(ORCAMENTOS!D2576="","",ORCAMENTOS!D2576)</f>
        <v>JEFFERSON SANTOS</v>
      </c>
      <c r="E2568" s="38" t="str">
        <f>IF(ORCAMENTOS!E2576="","",ORCAMENTOS!E2576)</f>
        <v>FREMIX</v>
      </c>
      <c r="F2568" s="37" t="str">
        <f>IF(ORCAMENTOS!G2576="","",ORCAMENTOS!G2576)</f>
        <v>Gabriel</v>
      </c>
      <c r="G2568" s="37" t="str">
        <f>IF(ORCAMENTOS!H2576="","",ORCAMENTOS!H2576)</f>
        <v>Jefferson</v>
      </c>
      <c r="H2568" s="39">
        <f>IF(ORCAMENTOS!I2576="","",ORCAMENTOS!I2576)</f>
        <v>24244.61</v>
      </c>
      <c r="I2568" s="60">
        <f>IF(ORCAMENTOS!J2576="","",ORCAMENTOS!J2576)</f>
        <v>7.0000000000000007E-2</v>
      </c>
      <c r="J2568" s="40" t="str">
        <f>IF(ORCAMENTOS!L2576="","",ORCAMENTOS!L2576)</f>
        <v>CANCELADO</v>
      </c>
      <c r="K2568" s="34" t="str">
        <f>IF(ORCAMENTOS!M2576="","",ORCAMENTOS!M2576)</f>
        <v>-</v>
      </c>
      <c r="L2568" t="str">
        <f>IF(ORCAMENTOS!R2576="","",ORCAMENTOS!R2576)</f>
        <v>-</v>
      </c>
    </row>
    <row r="2569" spans="1:12" ht="15.75" hidden="1" customHeight="1" x14ac:dyDescent="0.25">
      <c r="A2569" s="36">
        <f>IF(ORCAMENTOS!A2577="","",ORCAMENTOS!A2577)</f>
        <v>46086</v>
      </c>
      <c r="B2569" s="46">
        <f>IF(ORCAMENTOS!B2577="","",ORCAMENTOS!B2577)</f>
        <v>392</v>
      </c>
      <c r="C2569" s="46" t="str">
        <f>IF(ORCAMENTOS!C2577="","",ORCAMENTOS!C2577)</f>
        <v/>
      </c>
      <c r="D2569" s="37" t="str">
        <f>IF(ORCAMENTOS!D2577="","",ORCAMENTOS!D2577)</f>
        <v>NEWSET</v>
      </c>
      <c r="E2569" s="38" t="str">
        <f>IF(ORCAMENTOS!E2577="","",ORCAMENTOS!E2577)</f>
        <v>DASA - NSP015B26</v>
      </c>
      <c r="F2569" s="37" t="str">
        <f>IF(ORCAMENTOS!G2577="","",ORCAMENTOS!G2577)</f>
        <v xml:space="preserve">Aldavir </v>
      </c>
      <c r="G2569" s="37" t="str">
        <f>IF(ORCAMENTOS!H2577="","",ORCAMENTOS!H2577)</f>
        <v>Atila</v>
      </c>
      <c r="H2569" s="39">
        <f>IF(ORCAMENTOS!I2577="","",ORCAMENTOS!I2577)</f>
        <v>142532.54</v>
      </c>
      <c r="I2569" s="60">
        <f>IF(ORCAMENTOS!J2577="","",ORCAMENTOS!J2577)</f>
        <v>7.0000000000000007E-2</v>
      </c>
      <c r="J2569" s="40" t="str">
        <f>IF(ORCAMENTOS!L2577="","",ORCAMENTOS!L2577)</f>
        <v>ORCAMENTO</v>
      </c>
      <c r="K2569" s="34" t="str">
        <f>IF(ORCAMENTOS!M2577="","",ORCAMENTOS!M2577)</f>
        <v>-</v>
      </c>
      <c r="L2569" t="str">
        <f>IF(ORCAMENTOS!R2577="","",ORCAMENTOS!R2577)</f>
        <v>-</v>
      </c>
    </row>
    <row r="2570" spans="1:12" ht="15.75" hidden="1" customHeight="1" x14ac:dyDescent="0.25">
      <c r="A2570" s="36">
        <f>IF(ORCAMENTOS!A2578="","",ORCAMENTOS!A2578)</f>
        <v>46086</v>
      </c>
      <c r="B2570" s="46">
        <f>IF(ORCAMENTOS!B2578="","",ORCAMENTOS!B2578)</f>
        <v>393</v>
      </c>
      <c r="C2570" s="46" t="str">
        <f>IF(ORCAMENTOS!C2578="","",ORCAMENTOS!C2578)</f>
        <v>R2</v>
      </c>
      <c r="D2570" s="37" t="str">
        <f>IF(ORCAMENTOS!D2578="","",ORCAMENTOS!D2578)</f>
        <v>AWA AR CONDICIONADO</v>
      </c>
      <c r="E2570" s="38" t="str">
        <f>IF(ORCAMENTOS!E2578="","",ORCAMENTOS!E2578)</f>
        <v>OBRAMAX VARZEA GRANDE</v>
      </c>
      <c r="F2570" s="37" t="str">
        <f>IF(ORCAMENTOS!G2578="","",ORCAMENTOS!G2578)</f>
        <v>Guilherme</v>
      </c>
      <c r="G2570" s="37" t="str">
        <f>IF(ORCAMENTOS!H2578="","",ORCAMENTOS!H2578)</f>
        <v>Isabela</v>
      </c>
      <c r="H2570" s="39">
        <f>IF(ORCAMENTOS!I2578="","",ORCAMENTOS!I2578)</f>
        <v>9817.36</v>
      </c>
      <c r="I2570" s="60">
        <f>IF(ORCAMENTOS!J2578="","",ORCAMENTOS!J2578)</f>
        <v>7.0000000000000007E-2</v>
      </c>
      <c r="J2570" s="40" t="str">
        <f>IF(ORCAMENTOS!L2578="","",ORCAMENTOS!L2578)</f>
        <v>FECHADO</v>
      </c>
      <c r="K2570" s="34" t="str">
        <f>IF(ORCAMENTOS!M2578="","",ORCAMENTOS!M2578)</f>
        <v>-</v>
      </c>
      <c r="L2570" t="str">
        <f>IF(ORCAMENTOS!R2578="","",ORCAMENTOS!R2578)</f>
        <v>-</v>
      </c>
    </row>
    <row r="2571" spans="1:12" ht="15.75" hidden="1" customHeight="1" x14ac:dyDescent="0.25">
      <c r="A2571" s="36">
        <f>IF(ORCAMENTOS!A2579="","",ORCAMENTOS!A2579)</f>
        <v>46086</v>
      </c>
      <c r="B2571" s="46">
        <f>IF(ORCAMENTOS!B2579="","",ORCAMENTOS!B2579)</f>
        <v>394</v>
      </c>
      <c r="C2571" s="46" t="str">
        <f>IF(ORCAMENTOS!C2579="","",ORCAMENTOS!C2579)</f>
        <v/>
      </c>
      <c r="D2571" s="37" t="str">
        <f>IF(ORCAMENTOS!D2579="","",ORCAMENTOS!D2579)</f>
        <v>R1 SOLUCOES</v>
      </c>
      <c r="E2571" s="38" t="str">
        <f>IF(ORCAMENTOS!E2579="","",ORCAMENTOS!E2579)</f>
        <v>DUTO UCI</v>
      </c>
      <c r="F2571" s="37" t="str">
        <f>IF(ORCAMENTOS!G2579="","",ORCAMENTOS!G2579)</f>
        <v>Gabriel</v>
      </c>
      <c r="G2571" s="37" t="str">
        <f>IF(ORCAMENTOS!H2579="","",ORCAMENTOS!H2579)</f>
        <v>Fanny</v>
      </c>
      <c r="H2571" s="39">
        <f>IF(ORCAMENTOS!I2579="","",ORCAMENTOS!I2579)</f>
        <v>2431.9899999999998</v>
      </c>
      <c r="I2571" s="60">
        <f>IF(ORCAMENTOS!J2579="","",ORCAMENTOS!J2579)</f>
        <v>7.0000000000000007E-2</v>
      </c>
      <c r="J2571" s="40" t="str">
        <f>IF(ORCAMENTOS!L2579="","",ORCAMENTOS!L2579)</f>
        <v>FECHADO</v>
      </c>
      <c r="K2571" s="34" t="str">
        <f>IF(ORCAMENTOS!M2579="","",ORCAMENTOS!M2579)</f>
        <v>-</v>
      </c>
      <c r="L2571" t="str">
        <f>IF(ORCAMENTOS!R2579="","",ORCAMENTOS!R2579)</f>
        <v>-</v>
      </c>
    </row>
    <row r="2572" spans="1:12" ht="15.75" hidden="1" customHeight="1" x14ac:dyDescent="0.25">
      <c r="A2572" s="36">
        <f>IF(ORCAMENTOS!A2580="","",ORCAMENTOS!A2580)</f>
        <v>46091</v>
      </c>
      <c r="B2572" s="46">
        <f>IF(ORCAMENTOS!B2580="","",ORCAMENTOS!B2580)</f>
        <v>395</v>
      </c>
      <c r="C2572" s="46" t="str">
        <f>IF(ORCAMENTOS!C2580="","",ORCAMENTOS!C2580)</f>
        <v>R4</v>
      </c>
      <c r="D2572" s="37" t="str">
        <f>IF(ORCAMENTOS!D2580="","",ORCAMENTOS!D2580)</f>
        <v>HVAC ENGENHARIA</v>
      </c>
      <c r="E2572" s="38" t="str">
        <f>IF(ORCAMENTOS!E2580="","",ORCAMENTOS!E2580)</f>
        <v>112 - INTERLAR ARICANDUVA - 62 - ÂNCORA A (1 - Geral)</v>
      </c>
      <c r="F2572" s="37" t="str">
        <f>IF(ORCAMENTOS!G2580="","",ORCAMENTOS!G2580)</f>
        <v>Michel</v>
      </c>
      <c r="G2572" s="37" t="str">
        <f>IF(ORCAMENTOS!H2580="","",ORCAMENTOS!H2580)</f>
        <v>Anders</v>
      </c>
      <c r="H2572" s="39">
        <f>IF(ORCAMENTOS!I2580="","",ORCAMENTOS!I2580)</f>
        <v>35503.61</v>
      </c>
      <c r="I2572" s="60">
        <f>IF(ORCAMENTOS!J2580="","",ORCAMENTOS!J2580)</f>
        <v>0.04</v>
      </c>
      <c r="J2572" s="40" t="str">
        <f>IF(ORCAMENTOS!L2580="","",ORCAMENTOS!L2580)</f>
        <v>FECHADO</v>
      </c>
      <c r="K2572" s="34" t="str">
        <f>IF(ORCAMENTOS!M2580="","",ORCAMENTOS!M2580)</f>
        <v>-</v>
      </c>
      <c r="L2572" t="str">
        <f>IF(ORCAMENTOS!R2580="","",ORCAMENTOS!R2580)</f>
        <v>-</v>
      </c>
    </row>
    <row r="2573" spans="1:12" ht="15.75" hidden="1" customHeight="1" x14ac:dyDescent="0.25">
      <c r="A2573" s="36">
        <f>IF(ORCAMENTOS!A2581="","",ORCAMENTOS!A2581)</f>
        <v>46092</v>
      </c>
      <c r="B2573" s="46">
        <f>IF(ORCAMENTOS!B2581="","",ORCAMENTOS!B2581)</f>
        <v>396</v>
      </c>
      <c r="C2573" s="46" t="str">
        <f>IF(ORCAMENTOS!C2581="","",ORCAMENTOS!C2581)</f>
        <v>R3</v>
      </c>
      <c r="D2573" s="37" t="str">
        <f>IF(ORCAMENTOS!D2581="","",ORCAMENTOS!D2581)</f>
        <v>UNION RHAC</v>
      </c>
      <c r="E2573" s="38" t="str">
        <f>IF(ORCAMENTOS!E2581="","",ORCAMENTOS!E2581)</f>
        <v>NISSIN FOODS DO BRASIL - FABRICA PONTA GROSSA - PR</v>
      </c>
      <c r="F2573" s="37" t="str">
        <f>IF(ORCAMENTOS!G2581="","",ORCAMENTOS!G2581)</f>
        <v>Emanuel</v>
      </c>
      <c r="G2573" s="37" t="str">
        <f>IF(ORCAMENTOS!H2581="","",ORCAMENTOS!H2581)</f>
        <v>Luiz</v>
      </c>
      <c r="H2573" s="39">
        <f>IF(ORCAMENTOS!I2581="","",ORCAMENTOS!I2581)</f>
        <v>1287000</v>
      </c>
      <c r="I2573" s="60">
        <f>IF(ORCAMENTOS!J2581="","",ORCAMENTOS!J2581)</f>
        <v>0.04</v>
      </c>
      <c r="J2573" s="40" t="str">
        <f>IF(ORCAMENTOS!L2581="","",ORCAMENTOS!L2581)</f>
        <v>FECHADO</v>
      </c>
      <c r="K2573" s="34" t="str">
        <f>IF(ORCAMENTOS!M2581="","",ORCAMENTOS!M2581)</f>
        <v>-</v>
      </c>
      <c r="L2573" t="str">
        <f>IF(ORCAMENTOS!R2581="","",ORCAMENTOS!R2581)</f>
        <v>-</v>
      </c>
    </row>
    <row r="2574" spans="1:12" ht="15.75" hidden="1" customHeight="1" x14ac:dyDescent="0.25">
      <c r="A2574" s="36">
        <f>IF(ORCAMENTOS!A2582="","",ORCAMENTOS!A2582)</f>
        <v>46087</v>
      </c>
      <c r="B2574" s="46">
        <f>IF(ORCAMENTOS!B2582="","",ORCAMENTOS!B2582)</f>
        <v>397</v>
      </c>
      <c r="C2574" s="46" t="str">
        <f>IF(ORCAMENTOS!C2582="","",ORCAMENTOS!C2582)</f>
        <v/>
      </c>
      <c r="D2574" s="37" t="str">
        <f>IF(ORCAMENTOS!D2582="","",ORCAMENTOS!D2582)</f>
        <v>NP CLIMATIZAÇÃO</v>
      </c>
      <c r="E2574" s="38" t="str">
        <f>IF(ORCAMENTOS!E2582="","",ORCAMENTOS!E2582)</f>
        <v>EDUARDO GRINBERG</v>
      </c>
      <c r="F2574" s="37" t="str">
        <f>IF(ORCAMENTOS!G2582="","",ORCAMENTOS!G2582)</f>
        <v>Guilherme</v>
      </c>
      <c r="G2574" s="37" t="str">
        <f>IF(ORCAMENTOS!H2582="","",ORCAMENTOS!H2582)</f>
        <v>Maria</v>
      </c>
      <c r="H2574" s="39">
        <f>IF(ORCAMENTOS!I2582="","",ORCAMENTOS!I2582)</f>
        <v>6874.96</v>
      </c>
      <c r="I2574" s="60">
        <f>IF(ORCAMENTOS!J2582="","",ORCAMENTOS!J2582)</f>
        <v>7.0000000000000007E-2</v>
      </c>
      <c r="J2574" s="40" t="str">
        <f>IF(ORCAMENTOS!L2582="","",ORCAMENTOS!L2582)</f>
        <v>ORCAMENTO</v>
      </c>
      <c r="K2574" s="34" t="str">
        <f>IF(ORCAMENTOS!M2582="","",ORCAMENTOS!M2582)</f>
        <v>-</v>
      </c>
      <c r="L2574" t="str">
        <f>IF(ORCAMENTOS!R2582="","",ORCAMENTOS!R2582)</f>
        <v>-</v>
      </c>
    </row>
    <row r="2575" spans="1:12" ht="15.75" hidden="1" customHeight="1" x14ac:dyDescent="0.25">
      <c r="A2575" s="36">
        <f>IF(ORCAMENTOS!A2583="","",ORCAMENTOS!A2583)</f>
        <v>46087</v>
      </c>
      <c r="B2575" s="46">
        <f>IF(ORCAMENTOS!B2583="","",ORCAMENTOS!B2583)</f>
        <v>398</v>
      </c>
      <c r="C2575" s="46" t="str">
        <f>IF(ORCAMENTOS!C2583="","",ORCAMENTOS!C2583)</f>
        <v/>
      </c>
      <c r="D2575" s="37" t="str">
        <f>IF(ORCAMENTOS!D2583="","",ORCAMENTOS!D2583)</f>
        <v>DUTOBRAS</v>
      </c>
      <c r="E2575" s="38" t="str">
        <f>IF(ORCAMENTOS!E2583="","",ORCAMENTOS!E2583)</f>
        <v>-</v>
      </c>
      <c r="F2575" s="37" t="str">
        <f>IF(ORCAMENTOS!G2583="","",ORCAMENTOS!G2583)</f>
        <v>Gabriel</v>
      </c>
      <c r="G2575" s="37" t="str">
        <f>IF(ORCAMENTOS!H2583="","",ORCAMENTOS!H2583)</f>
        <v>Ieda</v>
      </c>
      <c r="H2575" s="39">
        <f>IF(ORCAMENTOS!I2583="","",ORCAMENTOS!I2583)</f>
        <v>33723.300000000003</v>
      </c>
      <c r="I2575" s="60">
        <f>IF(ORCAMENTOS!J2583="","",ORCAMENTOS!J2583)</f>
        <v>7.0000000000000007E-2</v>
      </c>
      <c r="J2575" s="40" t="str">
        <f>IF(ORCAMENTOS!L2583="","",ORCAMENTOS!L2583)</f>
        <v>FECHADO</v>
      </c>
      <c r="K2575" s="34" t="str">
        <f>IF(ORCAMENTOS!M2583="","",ORCAMENTOS!M2583)</f>
        <v>-</v>
      </c>
      <c r="L2575" t="str">
        <f>IF(ORCAMENTOS!R2583="","",ORCAMENTOS!R2583)</f>
        <v>-</v>
      </c>
    </row>
    <row r="2576" spans="1:12" ht="15.75" hidden="1" customHeight="1" x14ac:dyDescent="0.25">
      <c r="A2576" s="36">
        <f>IF(ORCAMENTOS!A2584="","",ORCAMENTOS!A2584)</f>
        <v>46087</v>
      </c>
      <c r="B2576" s="46">
        <f>IF(ORCAMENTOS!B2584="","",ORCAMENTOS!B2584)</f>
        <v>399</v>
      </c>
      <c r="C2576" s="46" t="str">
        <f>IF(ORCAMENTOS!C2584="","",ORCAMENTOS!C2584)</f>
        <v/>
      </c>
      <c r="D2576" s="37" t="str">
        <f>IF(ORCAMENTOS!D2584="","",ORCAMENTOS!D2584)</f>
        <v>PROTHERM</v>
      </c>
      <c r="E2576" s="38" t="str">
        <f>IF(ORCAMENTOS!E2584="","",ORCAMENTOS!E2584)</f>
        <v>-</v>
      </c>
      <c r="F2576" s="37" t="str">
        <f>IF(ORCAMENTOS!G2584="","",ORCAMENTOS!G2584)</f>
        <v>Fernando</v>
      </c>
      <c r="G2576" s="37" t="str">
        <f>IF(ORCAMENTOS!H2584="","",ORCAMENTOS!H2584)</f>
        <v>Leonardo</v>
      </c>
      <c r="H2576" s="39">
        <f>IF(ORCAMENTOS!I2584="","",ORCAMENTOS!I2584)</f>
        <v>2864.16</v>
      </c>
      <c r="I2576" s="60">
        <f>IF(ORCAMENTOS!J2584="","",ORCAMENTOS!J2584)</f>
        <v>0.03</v>
      </c>
      <c r="J2576" s="40" t="str">
        <f>IF(ORCAMENTOS!L2584="","",ORCAMENTOS!L2584)</f>
        <v>FECHADO</v>
      </c>
      <c r="K2576" s="34" t="str">
        <f>IF(ORCAMENTOS!M2584="","",ORCAMENTOS!M2584)</f>
        <v>-</v>
      </c>
      <c r="L2576" t="str">
        <f>IF(ORCAMENTOS!R2584="","",ORCAMENTOS!R2584)</f>
        <v>-</v>
      </c>
    </row>
    <row r="2577" spans="1:12" ht="15.75" hidden="1" customHeight="1" x14ac:dyDescent="0.25">
      <c r="A2577" s="36">
        <f>IF(ORCAMENTOS!A2585="","",ORCAMENTOS!A2585)</f>
        <v>46087</v>
      </c>
      <c r="B2577" s="46">
        <f>IF(ORCAMENTOS!B2585="","",ORCAMENTOS!B2585)</f>
        <v>400</v>
      </c>
      <c r="C2577" s="46" t="str">
        <f>IF(ORCAMENTOS!C2585="","",ORCAMENTOS!C2585)</f>
        <v/>
      </c>
      <c r="D2577" s="37" t="str">
        <f>IF(ORCAMENTOS!D2585="","",ORCAMENTOS!D2585)</f>
        <v>NP CLIMATIZAÇÃO</v>
      </c>
      <c r="E2577" s="38" t="str">
        <f>IF(ORCAMENTOS!E2585="","",ORCAMENTOS!E2585)</f>
        <v>EDUARDO GRINBERG</v>
      </c>
      <c r="F2577" s="37" t="str">
        <f>IF(ORCAMENTOS!G2585="","",ORCAMENTOS!G2585)</f>
        <v>Guilherme</v>
      </c>
      <c r="G2577" s="37" t="str">
        <f>IF(ORCAMENTOS!H2585="","",ORCAMENTOS!H2585)</f>
        <v>Maria</v>
      </c>
      <c r="H2577" s="39">
        <f>IF(ORCAMENTOS!I2585="","",ORCAMENTOS!I2585)</f>
        <v>3760.87</v>
      </c>
      <c r="I2577" s="60">
        <f>IF(ORCAMENTOS!J2585="","",ORCAMENTOS!J2585)</f>
        <v>7.0000000000000007E-2</v>
      </c>
      <c r="J2577" s="40" t="str">
        <f>IF(ORCAMENTOS!L2585="","",ORCAMENTOS!L2585)</f>
        <v>ORCAMENTO</v>
      </c>
      <c r="K2577" s="34" t="str">
        <f>IF(ORCAMENTOS!M2585="","",ORCAMENTOS!M2585)</f>
        <v>-</v>
      </c>
      <c r="L2577" t="str">
        <f>IF(ORCAMENTOS!R2585="","",ORCAMENTOS!R2585)</f>
        <v>-</v>
      </c>
    </row>
    <row r="2578" spans="1:12" ht="15.75" hidden="1" customHeight="1" x14ac:dyDescent="0.25">
      <c r="A2578" s="36">
        <f>IF(ORCAMENTOS!A2586="","",ORCAMENTOS!A2586)</f>
        <v>46087</v>
      </c>
      <c r="B2578" s="46">
        <f>IF(ORCAMENTOS!B2586="","",ORCAMENTOS!B2586)</f>
        <v>401</v>
      </c>
      <c r="C2578" s="46" t="str">
        <f>IF(ORCAMENTOS!C2586="","",ORCAMENTOS!C2586)</f>
        <v/>
      </c>
      <c r="D2578" s="37" t="str">
        <f>IF(ORCAMENTOS!D2586="","",ORCAMENTOS!D2586)</f>
        <v>CIVIL AR</v>
      </c>
      <c r="E2578" s="38" t="str">
        <f>IF(ORCAMENTOS!E2586="","",ORCAMENTOS!E2586)</f>
        <v>CENTRO NACIONAL DE PESQUISA E ENERGIA - AUDITORIO SIRIUS</v>
      </c>
      <c r="F2578" s="37" t="str">
        <f>IF(ORCAMENTOS!G2586="","",ORCAMENTOS!G2586)</f>
        <v>Fernando</v>
      </c>
      <c r="G2578" s="37" t="str">
        <f>IF(ORCAMENTOS!H2586="","",ORCAMENTOS!H2586)</f>
        <v>Atila</v>
      </c>
      <c r="H2578" s="39">
        <f>IF(ORCAMENTOS!I2586="","",ORCAMENTOS!I2586)</f>
        <v>35496.269999999997</v>
      </c>
      <c r="I2578" s="60">
        <f>IF(ORCAMENTOS!J2586="","",ORCAMENTOS!J2586)</f>
        <v>7.0000000000000007E-2</v>
      </c>
      <c r="J2578" s="40" t="str">
        <f>IF(ORCAMENTOS!L2586="","",ORCAMENTOS!L2586)</f>
        <v>CANCELADO</v>
      </c>
      <c r="K2578" s="34" t="str">
        <f>IF(ORCAMENTOS!M2586="","",ORCAMENTOS!M2586)</f>
        <v>-</v>
      </c>
      <c r="L2578" t="str">
        <f>IF(ORCAMENTOS!R2586="","",ORCAMENTOS!R2586)</f>
        <v/>
      </c>
    </row>
    <row r="2579" spans="1:12" ht="15.75" hidden="1" customHeight="1" x14ac:dyDescent="0.25">
      <c r="A2579" s="36">
        <f>IF(ORCAMENTOS!A2587="","",ORCAMENTOS!A2587)</f>
        <v>46087</v>
      </c>
      <c r="B2579" s="46">
        <f>IF(ORCAMENTOS!B2587="","",ORCAMENTOS!B2587)</f>
        <v>402</v>
      </c>
      <c r="C2579" s="46" t="str">
        <f>IF(ORCAMENTOS!C2587="","",ORCAMENTOS!C2587)</f>
        <v/>
      </c>
      <c r="D2579" s="37" t="str">
        <f>IF(ORCAMENTOS!D2587="","",ORCAMENTOS!D2587)</f>
        <v>INOVECTOR</v>
      </c>
      <c r="E2579" s="38" t="str">
        <f>IF(ORCAMENTOS!E2587="","",ORCAMENTOS!E2587)</f>
        <v>SANTA CRUZ</v>
      </c>
      <c r="F2579" s="37" t="str">
        <f>IF(ORCAMENTOS!G2587="","",ORCAMENTOS!G2587)</f>
        <v>Fernando</v>
      </c>
      <c r="G2579" s="37" t="str">
        <f>IF(ORCAMENTOS!H2587="","",ORCAMENTOS!H2587)</f>
        <v>Cristina</v>
      </c>
      <c r="H2579" s="39">
        <f>IF(ORCAMENTOS!I2587="","",ORCAMENTOS!I2587)</f>
        <v>5904.9</v>
      </c>
      <c r="I2579" s="60">
        <f>IF(ORCAMENTOS!J2587="","",ORCAMENTOS!J2587)</f>
        <v>7.0000000000000007E-2</v>
      </c>
      <c r="J2579" s="40" t="str">
        <f>IF(ORCAMENTOS!L2587="","",ORCAMENTOS!L2587)</f>
        <v>CANCELADO</v>
      </c>
      <c r="K2579" s="34" t="str">
        <f>IF(ORCAMENTOS!M2587="","",ORCAMENTOS!M2587)</f>
        <v>-</v>
      </c>
      <c r="L2579" t="str">
        <f>IF(ORCAMENTOS!R2587="","",ORCAMENTOS!R2587)</f>
        <v>-</v>
      </c>
    </row>
    <row r="2580" spans="1:12" ht="15.75" hidden="1" customHeight="1" x14ac:dyDescent="0.25">
      <c r="A2580" s="36">
        <f>IF(ORCAMENTOS!A2588="","",ORCAMENTOS!A2588)</f>
        <v>46087</v>
      </c>
      <c r="B2580" s="46">
        <f>IF(ORCAMENTOS!B2588="","",ORCAMENTOS!B2588)</f>
        <v>403</v>
      </c>
      <c r="C2580" s="46" t="str">
        <f>IF(ORCAMENTOS!C2588="","",ORCAMENTOS!C2588)</f>
        <v/>
      </c>
      <c r="D2580" s="37" t="str">
        <f>IF(ORCAMENTOS!D2588="","",ORCAMENTOS!D2588)</f>
        <v>RECLIMA</v>
      </c>
      <c r="E2580" s="38" t="str">
        <f>IF(ORCAMENTOS!E2588="","",ORCAMENTOS!E2588)</f>
        <v>-</v>
      </c>
      <c r="F2580" s="37" t="str">
        <f>IF(ORCAMENTOS!G2588="","",ORCAMENTOS!G2588)</f>
        <v>Michel</v>
      </c>
      <c r="G2580" s="37" t="str">
        <f>IF(ORCAMENTOS!H2588="","",ORCAMENTOS!H2588)</f>
        <v>Renata</v>
      </c>
      <c r="H2580" s="39">
        <f>IF(ORCAMENTOS!I2588="","",ORCAMENTOS!I2588)</f>
        <v>9491.36</v>
      </c>
      <c r="I2580" s="60">
        <f>IF(ORCAMENTOS!J2588="","",ORCAMENTOS!J2588)</f>
        <v>0.05</v>
      </c>
      <c r="J2580" s="40" t="str">
        <f>IF(ORCAMENTOS!L2588="","",ORCAMENTOS!L2588)</f>
        <v>FECHADO</v>
      </c>
      <c r="K2580" s="34" t="str">
        <f>IF(ORCAMENTOS!M2588="","",ORCAMENTOS!M2588)</f>
        <v>-</v>
      </c>
      <c r="L2580" t="str">
        <f>IF(ORCAMENTOS!R2588="","",ORCAMENTOS!R2588)</f>
        <v>-</v>
      </c>
    </row>
    <row r="2581" spans="1:12" ht="15.75" hidden="1" customHeight="1" x14ac:dyDescent="0.25">
      <c r="A2581" s="36">
        <f>IF(ORCAMENTOS!A2589="","",ORCAMENTOS!A2589)</f>
        <v>46090</v>
      </c>
      <c r="B2581" s="46">
        <f>IF(ORCAMENTOS!B2589="","",ORCAMENTOS!B2589)</f>
        <v>404</v>
      </c>
      <c r="C2581" s="46" t="str">
        <f>IF(ORCAMENTOS!C2589="","",ORCAMENTOS!C2589)</f>
        <v/>
      </c>
      <c r="D2581" s="37" t="str">
        <f>IF(ORCAMENTOS!D2589="","",ORCAMENTOS!D2589)</f>
        <v>CN COLD</v>
      </c>
      <c r="E2581" s="38" t="str">
        <f>IF(ORCAMENTOS!E2589="","",ORCAMENTOS!E2589)</f>
        <v>WEGER - SEROPEDICA - RJ - CN 2024 560</v>
      </c>
      <c r="F2581" s="37" t="str">
        <f>IF(ORCAMENTOS!G2589="","",ORCAMENTOS!G2589)</f>
        <v>Emanuel</v>
      </c>
      <c r="G2581" s="37" t="str">
        <f>IF(ORCAMENTOS!H2589="","",ORCAMENTOS!H2589)</f>
        <v>Caio</v>
      </c>
      <c r="H2581" s="39">
        <f>IF(ORCAMENTOS!I2589="","",ORCAMENTOS!I2589)</f>
        <v>7847.68</v>
      </c>
      <c r="I2581" s="60">
        <f>IF(ORCAMENTOS!J2589="","",ORCAMENTOS!J2589)</f>
        <v>7.0000000000000007E-2</v>
      </c>
      <c r="J2581" s="40" t="str">
        <f>IF(ORCAMENTOS!L2589="","",ORCAMENTOS!L2589)</f>
        <v>FECHADO</v>
      </c>
      <c r="K2581" s="34" t="str">
        <f>IF(ORCAMENTOS!M2589="","",ORCAMENTOS!M2589)</f>
        <v>-</v>
      </c>
      <c r="L2581" t="str">
        <f>IF(ORCAMENTOS!R2589="","",ORCAMENTOS!R2589)</f>
        <v>-</v>
      </c>
    </row>
    <row r="2582" spans="1:12" ht="15.75" hidden="1" customHeight="1" x14ac:dyDescent="0.25">
      <c r="A2582" s="36">
        <f>IF(ORCAMENTOS!A2590="","",ORCAMENTOS!A2590)</f>
        <v>46090</v>
      </c>
      <c r="B2582" s="46">
        <f>IF(ORCAMENTOS!B2590="","",ORCAMENTOS!B2590)</f>
        <v>405</v>
      </c>
      <c r="C2582" s="46" t="str">
        <f>IF(ORCAMENTOS!C2590="","",ORCAMENTOS!C2590)</f>
        <v>R2</v>
      </c>
      <c r="D2582" s="37" t="str">
        <f>IF(ORCAMENTOS!D2590="","",ORCAMENTOS!D2590)</f>
        <v>NEW AIR</v>
      </c>
      <c r="E2582" s="38" t="str">
        <f>IF(ORCAMENTOS!E2590="","",ORCAMENTOS!E2590)</f>
        <v>-</v>
      </c>
      <c r="F2582" s="37" t="str">
        <f>IF(ORCAMENTOS!G2590="","",ORCAMENTOS!G2590)</f>
        <v>Fernando</v>
      </c>
      <c r="G2582" s="37" t="str">
        <f>IF(ORCAMENTOS!H2590="","",ORCAMENTOS!H2590)</f>
        <v>Igor</v>
      </c>
      <c r="H2582" s="39">
        <f>IF(ORCAMENTOS!I2590="","",ORCAMENTOS!I2590)</f>
        <v>2564.87</v>
      </c>
      <c r="I2582" s="60">
        <f>IF(ORCAMENTOS!J2590="","",ORCAMENTOS!J2590)</f>
        <v>0.06</v>
      </c>
      <c r="J2582" s="40" t="str">
        <f>IF(ORCAMENTOS!L2590="","",ORCAMENTOS!L2590)</f>
        <v>FECHADO</v>
      </c>
      <c r="K2582" s="34" t="str">
        <f>IF(ORCAMENTOS!M2590="","",ORCAMENTOS!M2590)</f>
        <v>-</v>
      </c>
      <c r="L2582" t="str">
        <f>IF(ORCAMENTOS!R2590="","",ORCAMENTOS!R2590)</f>
        <v>-</v>
      </c>
    </row>
    <row r="2583" spans="1:12" ht="15.75" hidden="1" customHeight="1" x14ac:dyDescent="0.25">
      <c r="A2583" s="36">
        <f>IF(ORCAMENTOS!A2591="","",ORCAMENTOS!A2591)</f>
        <v>46090</v>
      </c>
      <c r="B2583" s="46">
        <f>IF(ORCAMENTOS!B2591="","",ORCAMENTOS!B2591)</f>
        <v>406</v>
      </c>
      <c r="C2583" s="46" t="str">
        <f>IF(ORCAMENTOS!C2591="","",ORCAMENTOS!C2591)</f>
        <v/>
      </c>
      <c r="D2583" s="37" t="str">
        <f>IF(ORCAMENTOS!D2591="","",ORCAMENTOS!D2591)</f>
        <v>OUROFRIO</v>
      </c>
      <c r="E2583" s="38" t="str">
        <f>IF(ORCAMENTOS!E2591="","",ORCAMENTOS!E2591)</f>
        <v>-</v>
      </c>
      <c r="F2583" s="37" t="str">
        <f>IF(ORCAMENTOS!G2591="","",ORCAMENTOS!G2591)</f>
        <v>Gabriel</v>
      </c>
      <c r="G2583" s="37" t="str">
        <f>IF(ORCAMENTOS!H2591="","",ORCAMENTOS!H2591)</f>
        <v>Marcos</v>
      </c>
      <c r="H2583" s="39">
        <f>IF(ORCAMENTOS!I2591="","",ORCAMENTOS!I2591)</f>
        <v>70576.2</v>
      </c>
      <c r="I2583" s="60">
        <f>IF(ORCAMENTOS!J2591="","",ORCAMENTOS!J2591)</f>
        <v>0.04</v>
      </c>
      <c r="J2583" s="40" t="str">
        <f>IF(ORCAMENTOS!L2591="","",ORCAMENTOS!L2591)</f>
        <v>ORCAMENTO</v>
      </c>
      <c r="K2583" s="34" t="str">
        <f>IF(ORCAMENTOS!M2591="","",ORCAMENTOS!M2591)</f>
        <v>-</v>
      </c>
      <c r="L2583" t="str">
        <f>IF(ORCAMENTOS!R2591="","",ORCAMENTOS!R2591)</f>
        <v>-</v>
      </c>
    </row>
    <row r="2584" spans="1:12" ht="15.75" hidden="1" customHeight="1" x14ac:dyDescent="0.25">
      <c r="A2584" s="36">
        <f>IF(ORCAMENTOS!A2592="","",ORCAMENTOS!A2592)</f>
        <v>46090</v>
      </c>
      <c r="B2584" s="46">
        <f>IF(ORCAMENTOS!B2592="","",ORCAMENTOS!B2592)</f>
        <v>407</v>
      </c>
      <c r="C2584" s="46" t="str">
        <f>IF(ORCAMENTOS!C2592="","",ORCAMENTOS!C2592)</f>
        <v>R1</v>
      </c>
      <c r="D2584" s="37" t="str">
        <f>IF(ORCAMENTOS!D2592="","",ORCAMENTOS!D2592)</f>
        <v>AMS INSTALACOES</v>
      </c>
      <c r="E2584" s="38" t="str">
        <f>IF(ORCAMENTOS!E2592="","",ORCAMENTOS!E2592)</f>
        <v>ATACADAO - LOJA ARAGUAINA - TO</v>
      </c>
      <c r="F2584" s="37" t="str">
        <f>IF(ORCAMENTOS!G2592="","",ORCAMENTOS!G2592)</f>
        <v>Gabriel</v>
      </c>
      <c r="G2584" s="37" t="str">
        <f>IF(ORCAMENTOS!H2592="","",ORCAMENTOS!H2592)</f>
        <v>Albertino</v>
      </c>
      <c r="H2584" s="39">
        <f>IF(ORCAMENTOS!I2592="","",ORCAMENTOS!I2592)</f>
        <v>231077.03</v>
      </c>
      <c r="I2584" s="60">
        <f>IF(ORCAMENTOS!J2592="","",ORCAMENTOS!J2592)</f>
        <v>7.0000000000000007E-2</v>
      </c>
      <c r="J2584" s="40" t="str">
        <f>IF(ORCAMENTOS!L2592="","",ORCAMENTOS!L2592)</f>
        <v>ORCAMENTO</v>
      </c>
      <c r="K2584" s="34" t="str">
        <f>IF(ORCAMENTOS!M2592="","",ORCAMENTOS!M2592)</f>
        <v>-</v>
      </c>
      <c r="L2584" t="str">
        <f>IF(ORCAMENTOS!R2592="","",ORCAMENTOS!R2592)</f>
        <v>MPU</v>
      </c>
    </row>
    <row r="2585" spans="1:12" ht="15.75" hidden="1" customHeight="1" x14ac:dyDescent="0.25">
      <c r="A2585" s="36">
        <f>IF(ORCAMENTOS!A2593="","",ORCAMENTOS!A2593)</f>
        <v>46090</v>
      </c>
      <c r="B2585" s="46">
        <f>IF(ORCAMENTOS!B2593="","",ORCAMENTOS!B2593)</f>
        <v>408</v>
      </c>
      <c r="C2585" s="46" t="str">
        <f>IF(ORCAMENTOS!C2593="","",ORCAMENTOS!C2593)</f>
        <v/>
      </c>
      <c r="D2585" s="37" t="str">
        <f>IF(ORCAMENTOS!D2593="","",ORCAMENTOS!D2593)</f>
        <v>AIRPLAN</v>
      </c>
      <c r="E2585" s="38" t="str">
        <f>IF(ORCAMENTOS!E2593="","",ORCAMENTOS!E2593)</f>
        <v>RNR 146 - SHOPPING MANAUARA</v>
      </c>
      <c r="F2585" s="37" t="str">
        <f>IF(ORCAMENTOS!G2593="","",ORCAMENTOS!G2593)</f>
        <v>Guilherme</v>
      </c>
      <c r="G2585" s="37" t="str">
        <f>IF(ORCAMENTOS!H2593="","",ORCAMENTOS!H2593)</f>
        <v>Henrique</v>
      </c>
      <c r="H2585" s="39">
        <f>IF(ORCAMENTOS!I2593="","",ORCAMENTOS!I2593)</f>
        <v>24519.8</v>
      </c>
      <c r="I2585" s="60">
        <f>IF(ORCAMENTOS!J2593="","",ORCAMENTOS!J2593)</f>
        <v>7.0000000000000007E-2</v>
      </c>
      <c r="J2585" s="40" t="str">
        <f>IF(ORCAMENTOS!L2593="","",ORCAMENTOS!L2593)</f>
        <v>CANCELADO</v>
      </c>
      <c r="K2585" s="34" t="str">
        <f>IF(ORCAMENTOS!M2593="","",ORCAMENTOS!M2593)</f>
        <v>-</v>
      </c>
      <c r="L2585" t="str">
        <f>IF(ORCAMENTOS!R2593="","",ORCAMENTOS!R2593)</f>
        <v/>
      </c>
    </row>
    <row r="2586" spans="1:12" ht="15.75" hidden="1" customHeight="1" x14ac:dyDescent="0.25">
      <c r="A2586" s="36">
        <f>IF(ORCAMENTOS!A2594="","",ORCAMENTOS!A2594)</f>
        <v>46090</v>
      </c>
      <c r="B2586" s="46">
        <f>IF(ORCAMENTOS!B2594="","",ORCAMENTOS!B2594)</f>
        <v>409</v>
      </c>
      <c r="C2586" s="46" t="str">
        <f>IF(ORCAMENTOS!C2594="","",ORCAMENTOS!C2594)</f>
        <v/>
      </c>
      <c r="D2586" s="37" t="str">
        <f>IF(ORCAMENTOS!D2594="","",ORCAMENTOS!D2594)</f>
        <v>TERMOCLIMA</v>
      </c>
      <c r="E2586" s="38" t="str">
        <f>IF(ORCAMENTOS!E2594="","",ORCAMENTOS!E2594)</f>
        <v>G BARBOSA - BARRA DOS COQUEIROS - SE</v>
      </c>
      <c r="F2586" s="37" t="str">
        <f>IF(ORCAMENTOS!G2594="","",ORCAMENTOS!G2594)</f>
        <v>Gabriel</v>
      </c>
      <c r="G2586" s="37" t="str">
        <f>IF(ORCAMENTOS!H2594="","",ORCAMENTOS!H2594)</f>
        <v>Pedro</v>
      </c>
      <c r="H2586" s="39">
        <f>IF(ORCAMENTOS!I2594="","",ORCAMENTOS!I2594)</f>
        <v>10965.5</v>
      </c>
      <c r="I2586" s="60">
        <f>IF(ORCAMENTOS!J2594="","",ORCAMENTOS!J2594)</f>
        <v>7.0000000000000007E-2</v>
      </c>
      <c r="J2586" s="40" t="str">
        <f>IF(ORCAMENTOS!L2594="","",ORCAMENTOS!L2594)</f>
        <v>ORCAMENTO</v>
      </c>
      <c r="K2586" s="34" t="str">
        <f>IF(ORCAMENTOS!M2594="","",ORCAMENTOS!M2594)</f>
        <v>-</v>
      </c>
      <c r="L2586" t="str">
        <f>IF(ORCAMENTOS!R2594="","",ORCAMENTOS!R2594)</f>
        <v/>
      </c>
    </row>
    <row r="2587" spans="1:12" ht="15.75" hidden="1" customHeight="1" x14ac:dyDescent="0.25">
      <c r="A2587" s="36">
        <f>IF(ORCAMENTOS!A2595="","",ORCAMENTOS!A2595)</f>
        <v>46092</v>
      </c>
      <c r="B2587" s="46">
        <f>IF(ORCAMENTOS!B2595="","",ORCAMENTOS!B2595)</f>
        <v>410</v>
      </c>
      <c r="C2587" s="46" t="str">
        <f>IF(ORCAMENTOS!C2595="","",ORCAMENTOS!C2595)</f>
        <v/>
      </c>
      <c r="D2587" s="37" t="str">
        <f>IF(ORCAMENTOS!D2595="","",ORCAMENTOS!D2595)</f>
        <v>AWA AR CONDICIONADO</v>
      </c>
      <c r="E2587" s="38" t="str">
        <f>IF(ORCAMENTOS!E2595="","",ORCAMENTOS!E2595)</f>
        <v>SM 94. MATEUS SUPERMERCADOS S.A – MIX BALSAS</v>
      </c>
      <c r="F2587" s="37" t="str">
        <f>IF(ORCAMENTOS!G2595="","",ORCAMENTOS!G2595)</f>
        <v>Guilherme</v>
      </c>
      <c r="G2587" s="37" t="str">
        <f>IF(ORCAMENTOS!H2595="","",ORCAMENTOS!H2595)</f>
        <v>Paula</v>
      </c>
      <c r="H2587" s="39">
        <f>IF(ORCAMENTOS!I2595="","",ORCAMENTOS!I2595)</f>
        <v>134775.60999999999</v>
      </c>
      <c r="I2587" s="60">
        <f>IF(ORCAMENTOS!J2595="","",ORCAMENTOS!J2595)</f>
        <v>0.03</v>
      </c>
      <c r="J2587" s="40" t="str">
        <f>IF(ORCAMENTOS!L2595="","",ORCAMENTOS!L2595)</f>
        <v>FECHADO</v>
      </c>
      <c r="K2587" s="34" t="str">
        <f>IF(ORCAMENTOS!M2595="","",ORCAMENTOS!M2595)</f>
        <v>-</v>
      </c>
      <c r="L2587" t="str">
        <f>IF(ORCAMENTOS!R2595="","",ORCAMENTOS!R2595)</f>
        <v/>
      </c>
    </row>
    <row r="2588" spans="1:12" ht="15.75" hidden="1" customHeight="1" x14ac:dyDescent="0.25">
      <c r="A2588" s="36">
        <f>IF(ORCAMENTOS!A2596="","",ORCAMENTOS!A2596)</f>
        <v>46090</v>
      </c>
      <c r="B2588" s="46">
        <f>IF(ORCAMENTOS!B2596="","",ORCAMENTOS!B2596)</f>
        <v>411</v>
      </c>
      <c r="C2588" s="46" t="str">
        <f>IF(ORCAMENTOS!C2596="","",ORCAMENTOS!C2596)</f>
        <v/>
      </c>
      <c r="D2588" s="37" t="str">
        <f>IF(ORCAMENTOS!D2596="","",ORCAMENTOS!D2596)</f>
        <v>AWA AR CONDICIONADO</v>
      </c>
      <c r="E2588" s="38" t="str">
        <f>IF(ORCAMENTOS!E2596="","",ORCAMENTOS!E2596)</f>
        <v>-</v>
      </c>
      <c r="F2588" s="37" t="str">
        <f>IF(ORCAMENTOS!G2596="","",ORCAMENTOS!G2596)</f>
        <v>Guilherme</v>
      </c>
      <c r="G2588" s="37" t="str">
        <f>IF(ORCAMENTOS!H2596="","",ORCAMENTOS!H2596)</f>
        <v>Paula</v>
      </c>
      <c r="H2588" s="39">
        <f>IF(ORCAMENTOS!I2596="","",ORCAMENTOS!I2596)</f>
        <v>106997.87</v>
      </c>
      <c r="I2588" s="60">
        <f>IF(ORCAMENTOS!J2596="","",ORCAMENTOS!J2596)</f>
        <v>0.05</v>
      </c>
      <c r="J2588" s="40" t="str">
        <f>IF(ORCAMENTOS!L2596="","",ORCAMENTOS!L2596)</f>
        <v>CANCELADO</v>
      </c>
      <c r="K2588" s="34" t="str">
        <f>IF(ORCAMENTOS!M2596="","",ORCAMENTOS!M2596)</f>
        <v>-</v>
      </c>
      <c r="L2588" t="str">
        <f>IF(ORCAMENTOS!R2596="","",ORCAMENTOS!R2596)</f>
        <v>-</v>
      </c>
    </row>
    <row r="2589" spans="1:12" ht="15.75" hidden="1" customHeight="1" x14ac:dyDescent="0.25">
      <c r="A2589" s="36">
        <f>IF(ORCAMENTOS!A2597="","",ORCAMENTOS!A2597)</f>
        <v>46092</v>
      </c>
      <c r="B2589" s="46">
        <f>IF(ORCAMENTOS!B2597="","",ORCAMENTOS!B2597)</f>
        <v>412</v>
      </c>
      <c r="C2589" s="46" t="str">
        <f>IF(ORCAMENTOS!C2597="","",ORCAMENTOS!C2597)</f>
        <v>R1</v>
      </c>
      <c r="D2589" s="37" t="str">
        <f>IF(ORCAMENTOS!D2597="","",ORCAMENTOS!D2597)</f>
        <v>AIR NET</v>
      </c>
      <c r="E2589" s="38" t="str">
        <f>IF(ORCAMENTOS!E2597="","",ORCAMENTOS!E2597)</f>
        <v>HOSPITAL BOM JESUS DE MATOSINHOS - CONCEICAO DO MATO DENTRO - MG</v>
      </c>
      <c r="F2589" s="37" t="str">
        <f>IF(ORCAMENTOS!G2597="","",ORCAMENTOS!G2597)</f>
        <v>Fernando</v>
      </c>
      <c r="G2589" s="37" t="str">
        <f>IF(ORCAMENTOS!H2597="","",ORCAMENTOS!H2597)</f>
        <v>Gardner</v>
      </c>
      <c r="H2589" s="39">
        <f>IF(ORCAMENTOS!I2597="","",ORCAMENTOS!I2597)</f>
        <v>16086.19</v>
      </c>
      <c r="I2589" s="60">
        <f>IF(ORCAMENTOS!J2597="","",ORCAMENTOS!J2597)</f>
        <v>0.03</v>
      </c>
      <c r="J2589" s="40" t="str">
        <f>IF(ORCAMENTOS!L2597="","",ORCAMENTOS!L2597)</f>
        <v>FECHADO</v>
      </c>
      <c r="K2589" s="34" t="str">
        <f>IF(ORCAMENTOS!M2597="","",ORCAMENTOS!M2597)</f>
        <v>AGUARDANDO PEDIDO</v>
      </c>
      <c r="L2589" t="str">
        <f>IF(ORCAMENTOS!R2597="","",ORCAMENTOS!R2597)</f>
        <v/>
      </c>
    </row>
    <row r="2590" spans="1:12" ht="15.75" hidden="1" customHeight="1" x14ac:dyDescent="0.25">
      <c r="A2590" s="36">
        <f>IF(ORCAMENTOS!A2598="","",ORCAMENTOS!A2598)</f>
        <v>46091</v>
      </c>
      <c r="B2590" s="46">
        <f>IF(ORCAMENTOS!B2598="","",ORCAMENTOS!B2598)</f>
        <v>413</v>
      </c>
      <c r="C2590" s="46" t="str">
        <f>IF(ORCAMENTOS!C2598="","",ORCAMENTOS!C2598)</f>
        <v/>
      </c>
      <c r="D2590" s="37" t="str">
        <f>IF(ORCAMENTOS!D2598="","",ORCAMENTOS!D2598)</f>
        <v>MJ CLIMATIZACAO</v>
      </c>
      <c r="E2590" s="38" t="str">
        <f>IF(ORCAMENTOS!E2598="","",ORCAMENTOS!E2598)</f>
        <v>OBRAMAX - SP - SUZANO</v>
      </c>
      <c r="F2590" s="37" t="str">
        <f>IF(ORCAMENTOS!G2598="","",ORCAMENTOS!G2598)</f>
        <v>Emanuel</v>
      </c>
      <c r="G2590" s="37" t="str">
        <f>IF(ORCAMENTOS!H2598="","",ORCAMENTOS!H2598)</f>
        <v>Escobar</v>
      </c>
      <c r="H2590" s="39">
        <f>IF(ORCAMENTOS!I2598="","",ORCAMENTOS!I2598)</f>
        <v>129438.47</v>
      </c>
      <c r="I2590" s="60">
        <f>IF(ORCAMENTOS!J2598="","",ORCAMENTOS!J2598)</f>
        <v>7.0000000000000007E-2</v>
      </c>
      <c r="J2590" s="40" t="str">
        <f>IF(ORCAMENTOS!L2598="","",ORCAMENTOS!L2598)</f>
        <v>ORCAMENTO</v>
      </c>
      <c r="K2590" s="34" t="str">
        <f>IF(ORCAMENTOS!M2598="","",ORCAMENTOS!M2598)</f>
        <v>-</v>
      </c>
      <c r="L2590" t="str">
        <f>IF(ORCAMENTOS!R2598="","",ORCAMENTOS!R2598)</f>
        <v/>
      </c>
    </row>
    <row r="2591" spans="1:12" ht="15.75" hidden="1" customHeight="1" x14ac:dyDescent="0.25">
      <c r="A2591" s="36">
        <f>IF(ORCAMENTOS!A2599="","",ORCAMENTOS!A2599)</f>
        <v>46091</v>
      </c>
      <c r="B2591" s="46">
        <f>IF(ORCAMENTOS!B2599="","",ORCAMENTOS!B2599)</f>
        <v>414</v>
      </c>
      <c r="C2591" s="46" t="str">
        <f>IF(ORCAMENTOS!C2599="","",ORCAMENTOS!C2599)</f>
        <v/>
      </c>
      <c r="D2591" s="37" t="str">
        <f>IF(ORCAMENTOS!D2599="","",ORCAMENTOS!D2599)</f>
        <v>INOVECTOR</v>
      </c>
      <c r="E2591" s="38" t="str">
        <f>IF(ORCAMENTOS!E2599="","",ORCAMENTOS!E2599)</f>
        <v>HOSP SANTA ISABEL</v>
      </c>
      <c r="F2591" s="37" t="str">
        <f>IF(ORCAMENTOS!G2599="","",ORCAMENTOS!G2599)</f>
        <v>Fernando</v>
      </c>
      <c r="G2591" s="37" t="str">
        <f>IF(ORCAMENTOS!H2599="","",ORCAMENTOS!H2599)</f>
        <v>Cristina</v>
      </c>
      <c r="H2591" s="39">
        <f>IF(ORCAMENTOS!I2599="","",ORCAMENTOS!I2599)</f>
        <v>3869.19</v>
      </c>
      <c r="I2591" s="60">
        <f>IF(ORCAMENTOS!J2599="","",ORCAMENTOS!J2599)</f>
        <v>0.04</v>
      </c>
      <c r="J2591" s="40" t="str">
        <f>IF(ORCAMENTOS!L2599="","",ORCAMENTOS!L2599)</f>
        <v>PERDIDO</v>
      </c>
      <c r="K2591" s="34" t="str">
        <f>IF(ORCAMENTOS!M2599="","",ORCAMENTOS!M2599)</f>
        <v>MULTIVAC - PRAZO</v>
      </c>
      <c r="L2591" t="str">
        <f>IF(ORCAMENTOS!R2599="","",ORCAMENTOS!R2599)</f>
        <v>-</v>
      </c>
    </row>
    <row r="2592" spans="1:12" ht="15.75" hidden="1" customHeight="1" x14ac:dyDescent="0.25">
      <c r="A2592" s="36">
        <f>IF(ORCAMENTOS!A2600="","",ORCAMENTOS!A2600)</f>
        <v>46091</v>
      </c>
      <c r="B2592" s="46">
        <f>IF(ORCAMENTOS!B2600="","",ORCAMENTOS!B2600)</f>
        <v>415</v>
      </c>
      <c r="C2592" s="46" t="str">
        <f>IF(ORCAMENTOS!C2600="","",ORCAMENTOS!C2600)</f>
        <v/>
      </c>
      <c r="D2592" s="37" t="str">
        <f>IF(ORCAMENTOS!D2600="","",ORCAMENTOS!D2600)</f>
        <v>CONSTARCO</v>
      </c>
      <c r="E2592" s="38" t="str">
        <f>IF(ORCAMENTOS!E2600="","",ORCAMENTOS!E2600)</f>
        <v>BLUEFIT - CURSINO SP - 1317 - JARDIM SAUDE - SP</v>
      </c>
      <c r="F2592" s="37" t="str">
        <f>IF(ORCAMENTOS!G2600="","",ORCAMENTOS!G2600)</f>
        <v>Fernando</v>
      </c>
      <c r="G2592" s="37" t="str">
        <f>IF(ORCAMENTOS!H2600="","",ORCAMENTOS!H2600)</f>
        <v>Genilson</v>
      </c>
      <c r="H2592" s="39">
        <f>IF(ORCAMENTOS!I2600="","",ORCAMENTOS!I2600)</f>
        <v>117603.79</v>
      </c>
      <c r="I2592" s="60">
        <f>IF(ORCAMENTOS!J2600="","",ORCAMENTOS!J2600)</f>
        <v>7.0000000000000007E-2</v>
      </c>
      <c r="J2592" s="40" t="str">
        <f>IF(ORCAMENTOS!L2600="","",ORCAMENTOS!L2600)</f>
        <v>CANCELADO</v>
      </c>
      <c r="K2592" s="34" t="str">
        <f>IF(ORCAMENTOS!M2600="","",ORCAMENTOS!M2600)</f>
        <v>-</v>
      </c>
      <c r="L2592" t="str">
        <f>IF(ORCAMENTOS!R2600="","",ORCAMENTOS!R2600)</f>
        <v/>
      </c>
    </row>
    <row r="2593" spans="1:12" ht="15.75" hidden="1" customHeight="1" x14ac:dyDescent="0.25">
      <c r="A2593" s="36">
        <f>IF(ORCAMENTOS!A2601="","",ORCAMENTOS!A2601)</f>
        <v>46091</v>
      </c>
      <c r="B2593" s="46">
        <f>IF(ORCAMENTOS!B2601="","",ORCAMENTOS!B2601)</f>
        <v>416</v>
      </c>
      <c r="C2593" s="46" t="str">
        <f>IF(ORCAMENTOS!C2601="","",ORCAMENTOS!C2601)</f>
        <v/>
      </c>
      <c r="D2593" s="37" t="str">
        <f>IF(ORCAMENTOS!D2601="","",ORCAMENTOS!D2601)</f>
        <v>AR SISTEMAS</v>
      </c>
      <c r="E2593" s="38" t="str">
        <f>IF(ORCAMENTOS!E2601="","",ORCAMENTOS!E2601)</f>
        <v>SMART FIT - JARDIM SÃO RAFAEL - SP</v>
      </c>
      <c r="F2593" s="37" t="str">
        <f>IF(ORCAMENTOS!G2601="","",ORCAMENTOS!G2601)</f>
        <v>Michel</v>
      </c>
      <c r="G2593" s="37" t="str">
        <f>IF(ORCAMENTOS!H2601="","",ORCAMENTOS!H2601)</f>
        <v>Marcos</v>
      </c>
      <c r="H2593" s="39">
        <f>IF(ORCAMENTOS!I2601="","",ORCAMENTOS!I2601)</f>
        <v>69225.63</v>
      </c>
      <c r="I2593" s="60">
        <f>IF(ORCAMENTOS!J2601="","",ORCAMENTOS!J2601)</f>
        <v>7.0000000000000007E-2</v>
      </c>
      <c r="J2593" s="40" t="str">
        <f>IF(ORCAMENTOS!L2601="","",ORCAMENTOS!L2601)</f>
        <v>ORCAMENTO</v>
      </c>
      <c r="K2593" s="34" t="str">
        <f>IF(ORCAMENTOS!M2601="","",ORCAMENTOS!M2601)</f>
        <v>-</v>
      </c>
      <c r="L2593" t="str">
        <f>IF(ORCAMENTOS!R2601="","",ORCAMENTOS!R2601)</f>
        <v/>
      </c>
    </row>
    <row r="2594" spans="1:12" ht="15.75" hidden="1" customHeight="1" x14ac:dyDescent="0.25">
      <c r="A2594" s="36">
        <f>IF(ORCAMENTOS!A2602="","",ORCAMENTOS!A2602)</f>
        <v>46091</v>
      </c>
      <c r="B2594" s="46">
        <f>IF(ORCAMENTOS!B2602="","",ORCAMENTOS!B2602)</f>
        <v>417</v>
      </c>
      <c r="C2594" s="46" t="str">
        <f>IF(ORCAMENTOS!C2602="","",ORCAMENTOS!C2602)</f>
        <v/>
      </c>
      <c r="D2594" s="37" t="str">
        <f>IF(ORCAMENTOS!D2602="","",ORCAMENTOS!D2602)</f>
        <v>AMS INSTALACOES</v>
      </c>
      <c r="E2594" s="38" t="str">
        <f>IF(ORCAMENTOS!E2602="","",ORCAMENTOS!E2602)</f>
        <v>ATACADAO - MOGI DAS CRUZES MODERNO - SP</v>
      </c>
      <c r="F2594" s="37" t="str">
        <f>IF(ORCAMENTOS!G2602="","",ORCAMENTOS!G2602)</f>
        <v>Gabriel</v>
      </c>
      <c r="G2594" s="37" t="str">
        <f>IF(ORCAMENTOS!H2602="","",ORCAMENTOS!H2602)</f>
        <v>Albertino</v>
      </c>
      <c r="H2594" s="39">
        <f>IF(ORCAMENTOS!I2602="","",ORCAMENTOS!I2602)</f>
        <v>174853.79</v>
      </c>
      <c r="I2594" s="60">
        <f>IF(ORCAMENTOS!J2602="","",ORCAMENTOS!J2602)</f>
        <v>7.0000000000000007E-2</v>
      </c>
      <c r="J2594" s="40" t="str">
        <f>IF(ORCAMENTOS!L2602="","",ORCAMENTOS!L2602)</f>
        <v>ORCAMENTO</v>
      </c>
      <c r="K2594" s="34" t="str">
        <f>IF(ORCAMENTOS!M2602="","",ORCAMENTOS!M2602)</f>
        <v>-</v>
      </c>
      <c r="L2594" t="str">
        <f>IF(ORCAMENTOS!R2602="","",ORCAMENTOS!R2602)</f>
        <v>MPU</v>
      </c>
    </row>
    <row r="2595" spans="1:12" ht="15.75" hidden="1" customHeight="1" x14ac:dyDescent="0.25">
      <c r="A2595" s="36">
        <f>IF(ORCAMENTOS!A2603="","",ORCAMENTOS!A2603)</f>
        <v>46091</v>
      </c>
      <c r="B2595" s="46">
        <f>IF(ORCAMENTOS!B2603="","",ORCAMENTOS!B2603)</f>
        <v>418</v>
      </c>
      <c r="C2595" s="46" t="str">
        <f>IF(ORCAMENTOS!C2603="","",ORCAMENTOS!C2603)</f>
        <v/>
      </c>
      <c r="D2595" s="37" t="str">
        <f>IF(ORCAMENTOS!D2603="","",ORCAMENTOS!D2603)</f>
        <v>ASF SERVICOS</v>
      </c>
      <c r="E2595" s="38" t="str">
        <f>IF(ORCAMENTOS!E2603="","",ORCAMENTOS!E2603)</f>
        <v>ATC - ARAGUAINA</v>
      </c>
      <c r="F2595" s="37" t="str">
        <f>IF(ORCAMENTOS!G2603="","",ORCAMENTOS!G2603)</f>
        <v>Fernando</v>
      </c>
      <c r="G2595" s="37" t="str">
        <f>IF(ORCAMENTOS!H2603="","",ORCAMENTOS!H2603)</f>
        <v>Andre</v>
      </c>
      <c r="H2595" s="39">
        <f>IF(ORCAMENTOS!I2603="","",ORCAMENTOS!I2603)</f>
        <v>180376.78</v>
      </c>
      <c r="I2595" s="60">
        <f>IF(ORCAMENTOS!J2603="","",ORCAMENTOS!J2603)</f>
        <v>0.04</v>
      </c>
      <c r="J2595" s="40" t="str">
        <f>IF(ORCAMENTOS!L2603="","",ORCAMENTOS!L2603)</f>
        <v>ORCAMENTO</v>
      </c>
      <c r="K2595" s="34" t="str">
        <f>IF(ORCAMENTOS!M2603="","",ORCAMENTOS!M2603)</f>
        <v>CLIENTE NEGOCIANDO</v>
      </c>
      <c r="L2595" t="str">
        <f>IF(ORCAMENTOS!R2603="","",ORCAMENTOS!R2603)</f>
        <v>-</v>
      </c>
    </row>
    <row r="2596" spans="1:12" ht="15.75" hidden="1" customHeight="1" x14ac:dyDescent="0.25">
      <c r="A2596" s="36">
        <f>IF(ORCAMENTOS!A2604="","",ORCAMENTOS!A2604)</f>
        <v>46092</v>
      </c>
      <c r="B2596" s="46">
        <f>IF(ORCAMENTOS!B2604="","",ORCAMENTOS!B2604)</f>
        <v>419</v>
      </c>
      <c r="C2596" s="46" t="str">
        <f>IF(ORCAMENTOS!C2604="","",ORCAMENTOS!C2604)</f>
        <v>R1</v>
      </c>
      <c r="D2596" s="37" t="str">
        <f>IF(ORCAMENTOS!D2604="","",ORCAMENTOS!D2604)</f>
        <v>SAFETY WALL</v>
      </c>
      <c r="E2596" s="38" t="str">
        <f>IF(ORCAMENTOS!E2604="","",ORCAMENTOS!E2604)</f>
        <v>-</v>
      </c>
      <c r="F2596" s="37" t="str">
        <f>IF(ORCAMENTOS!G2604="","",ORCAMENTOS!G2604)</f>
        <v>Gabriel</v>
      </c>
      <c r="G2596" s="37" t="str">
        <f>IF(ORCAMENTOS!H2604="","",ORCAMENTOS!H2604)</f>
        <v>Fabiana</v>
      </c>
      <c r="H2596" s="39">
        <f>IF(ORCAMENTOS!I2604="","",ORCAMENTOS!I2604)</f>
        <v>6980.41</v>
      </c>
      <c r="I2596" s="60">
        <f>IF(ORCAMENTOS!J2604="","",ORCAMENTOS!J2604)</f>
        <v>7.0000000000000007E-2</v>
      </c>
      <c r="J2596" s="40" t="str">
        <f>IF(ORCAMENTOS!L2604="","",ORCAMENTOS!L2604)</f>
        <v>FECHADO</v>
      </c>
      <c r="K2596" s="34" t="str">
        <f>IF(ORCAMENTOS!M2604="","",ORCAMENTOS!M2604)</f>
        <v>-</v>
      </c>
      <c r="L2596" t="str">
        <f>IF(ORCAMENTOS!R2604="","",ORCAMENTOS!R2604)</f>
        <v>-</v>
      </c>
    </row>
    <row r="2597" spans="1:12" ht="15.75" hidden="1" customHeight="1" x14ac:dyDescent="0.25">
      <c r="A2597" s="36">
        <f>IF(ORCAMENTOS!A2605="","",ORCAMENTOS!A2605)</f>
        <v>46091</v>
      </c>
      <c r="B2597" s="46">
        <f>IF(ORCAMENTOS!B2605="","",ORCAMENTOS!B2605)</f>
        <v>420</v>
      </c>
      <c r="C2597" s="46" t="str">
        <f>IF(ORCAMENTOS!C2605="","",ORCAMENTOS!C2605)</f>
        <v/>
      </c>
      <c r="D2597" s="37" t="str">
        <f>IF(ORCAMENTOS!D2605="","",ORCAMENTOS!D2605)</f>
        <v>AWA AR CONDICIONADO</v>
      </c>
      <c r="E2597" s="38" t="str">
        <f>IF(ORCAMENTOS!E2605="","",ORCAMENTOS!E2605)</f>
        <v>AUDITORIO SIRIUS - PE</v>
      </c>
      <c r="F2597" s="37" t="str">
        <f>IF(ORCAMENTOS!G2605="","",ORCAMENTOS!G2605)</f>
        <v>Guilherme</v>
      </c>
      <c r="G2597" s="37" t="str">
        <f>IF(ORCAMENTOS!H2605="","",ORCAMENTOS!H2605)</f>
        <v>Guilherme</v>
      </c>
      <c r="H2597" s="39">
        <f>IF(ORCAMENTOS!I2605="","",ORCAMENTOS!I2605)</f>
        <v>70331.820000000007</v>
      </c>
      <c r="I2597" s="60">
        <f>IF(ORCAMENTOS!J2605="","",ORCAMENTOS!J2605)</f>
        <v>0.05</v>
      </c>
      <c r="J2597" s="40" t="str">
        <f>IF(ORCAMENTOS!L2605="","",ORCAMENTOS!L2605)</f>
        <v>CANCELADO</v>
      </c>
      <c r="K2597" s="34" t="str">
        <f>IF(ORCAMENTOS!M2605="","",ORCAMENTOS!M2605)</f>
        <v>-</v>
      </c>
      <c r="L2597" t="str">
        <f>IF(ORCAMENTOS!R2605="","",ORCAMENTOS!R2605)</f>
        <v/>
      </c>
    </row>
    <row r="2598" spans="1:12" ht="15.75" hidden="1" customHeight="1" x14ac:dyDescent="0.25">
      <c r="A2598" s="36">
        <f>IF(ORCAMENTOS!A2606="","",ORCAMENTOS!A2606)</f>
        <v>46091</v>
      </c>
      <c r="B2598" s="46">
        <f>IF(ORCAMENTOS!B2606="","",ORCAMENTOS!B2606)</f>
        <v>421</v>
      </c>
      <c r="C2598" s="46" t="str">
        <f>IF(ORCAMENTOS!C2606="","",ORCAMENTOS!C2606)</f>
        <v/>
      </c>
      <c r="D2598" s="37" t="str">
        <f>IF(ORCAMENTOS!D2606="","",ORCAMENTOS!D2606)</f>
        <v>AMS INSTALACOES</v>
      </c>
      <c r="E2598" s="38" t="str">
        <f>IF(ORCAMENTOS!E2606="","",ORCAMENTOS!E2606)</f>
        <v>ATACADAO - SUZANO - SP</v>
      </c>
      <c r="F2598" s="37" t="str">
        <f>IF(ORCAMENTOS!G2606="","",ORCAMENTOS!G2606)</f>
        <v>Gabriel</v>
      </c>
      <c r="G2598" s="37" t="str">
        <f>IF(ORCAMENTOS!H2606="","",ORCAMENTOS!H2606)</f>
        <v>Albertino</v>
      </c>
      <c r="H2598" s="39">
        <f>IF(ORCAMENTOS!I2606="","",ORCAMENTOS!I2606)</f>
        <v>185811.49</v>
      </c>
      <c r="I2598" s="60">
        <f>IF(ORCAMENTOS!J2606="","",ORCAMENTOS!J2606)</f>
        <v>7.0000000000000007E-2</v>
      </c>
      <c r="J2598" s="40" t="str">
        <f>IF(ORCAMENTOS!L2606="","",ORCAMENTOS!L2606)</f>
        <v>ORCAMENTO</v>
      </c>
      <c r="K2598" s="34" t="str">
        <f>IF(ORCAMENTOS!M2606="","",ORCAMENTOS!M2606)</f>
        <v>-</v>
      </c>
      <c r="L2598" t="str">
        <f>IF(ORCAMENTOS!R2606="","",ORCAMENTOS!R2606)</f>
        <v>MPU</v>
      </c>
    </row>
    <row r="2599" spans="1:12" ht="15.75" hidden="1" customHeight="1" x14ac:dyDescent="0.25">
      <c r="A2599" s="36">
        <f>IF(ORCAMENTOS!A2607="","",ORCAMENTOS!A2607)</f>
        <v>46092</v>
      </c>
      <c r="B2599" s="46">
        <f>IF(ORCAMENTOS!B2607="","",ORCAMENTOS!B2607)</f>
        <v>422</v>
      </c>
      <c r="C2599" s="46" t="str">
        <f>IF(ORCAMENTOS!C2607="","",ORCAMENTOS!C2607)</f>
        <v/>
      </c>
      <c r="D2599" s="37" t="str">
        <f>IF(ORCAMENTOS!D2607="","",ORCAMENTOS!D2607)</f>
        <v>RM3 ENGENHARIA</v>
      </c>
      <c r="E2599" s="38" t="str">
        <f>IF(ORCAMENTOS!E2607="","",ORCAMENTOS!E2607)</f>
        <v>BLUEFIT - MT RND - VILA ELDORADO - RONDONOPOLIS - MT</v>
      </c>
      <c r="F2599" s="37" t="str">
        <f>IF(ORCAMENTOS!G2607="","",ORCAMENTOS!G2607)</f>
        <v>Guilherme</v>
      </c>
      <c r="G2599" s="37" t="str">
        <f>IF(ORCAMENTOS!H2607="","",ORCAMENTOS!H2607)</f>
        <v>Diego</v>
      </c>
      <c r="H2599" s="39">
        <f>IF(ORCAMENTOS!I2607="","",ORCAMENTOS!I2607)</f>
        <v>61188.17</v>
      </c>
      <c r="I2599" s="60">
        <f>IF(ORCAMENTOS!J2607="","",ORCAMENTOS!J2607)</f>
        <v>0.04</v>
      </c>
      <c r="J2599" s="40" t="str">
        <f>IF(ORCAMENTOS!L2607="","",ORCAMENTOS!L2607)</f>
        <v>FECHADO</v>
      </c>
      <c r="K2599" s="34" t="str">
        <f>IF(ORCAMENTOS!M2607="","",ORCAMENTOS!M2607)</f>
        <v>-</v>
      </c>
      <c r="L2599" t="str">
        <f>IF(ORCAMENTOS!R2607="","",ORCAMENTOS!R2607)</f>
        <v/>
      </c>
    </row>
    <row r="2600" spans="1:12" ht="15.75" hidden="1" customHeight="1" x14ac:dyDescent="0.25">
      <c r="A2600" s="36">
        <f>IF(ORCAMENTOS!A2608="","",ORCAMENTOS!A2608)</f>
        <v>1003</v>
      </c>
      <c r="B2600" s="46">
        <f>IF(ORCAMENTOS!B2608="","",ORCAMENTOS!B2608)</f>
        <v>423</v>
      </c>
      <c r="C2600" s="46" t="str">
        <f>IF(ORCAMENTOS!C2608="","",ORCAMENTOS!C2608)</f>
        <v/>
      </c>
      <c r="D2600" s="37" t="str">
        <f>IF(ORCAMENTOS!D2608="","",ORCAMENTOS!D2608)</f>
        <v>APOLLO CLIMA</v>
      </c>
      <c r="E2600" s="38" t="str">
        <f>IF(ORCAMENTOS!E2608="","",ORCAMENTOS!E2608)</f>
        <v>CINEMA UBERLANDIA</v>
      </c>
      <c r="F2600" s="37" t="str">
        <f>IF(ORCAMENTOS!G2608="","",ORCAMENTOS!G2608)</f>
        <v>Emanuel</v>
      </c>
      <c r="G2600" s="37" t="str">
        <f>IF(ORCAMENTOS!H2608="","",ORCAMENTOS!H2608)</f>
        <v>Cleverson</v>
      </c>
      <c r="H2600" s="39">
        <f>IF(ORCAMENTOS!I2608="","",ORCAMENTOS!I2608)</f>
        <v>18955.939999999999</v>
      </c>
      <c r="I2600" s="60">
        <f>IF(ORCAMENTOS!J2608="","",ORCAMENTOS!J2608)</f>
        <v>7.0000000000000007E-2</v>
      </c>
      <c r="J2600" s="40" t="str">
        <f>IF(ORCAMENTOS!L2608="","",ORCAMENTOS!L2608)</f>
        <v>CANCELADO</v>
      </c>
      <c r="K2600" s="34" t="str">
        <f>IF(ORCAMENTOS!M2608="","",ORCAMENTOS!M2608)</f>
        <v>-</v>
      </c>
      <c r="L2600" t="str">
        <f>IF(ORCAMENTOS!R2608="","",ORCAMENTOS!R2608)</f>
        <v>-</v>
      </c>
    </row>
    <row r="2601" spans="1:12" ht="15.75" hidden="1" customHeight="1" x14ac:dyDescent="0.25">
      <c r="A2601" s="36">
        <f>IF(ORCAMENTOS!A2609="","",ORCAMENTOS!A2609)</f>
        <v>46091</v>
      </c>
      <c r="B2601" s="46">
        <f>IF(ORCAMENTOS!B2609="","",ORCAMENTOS!B2609)</f>
        <v>424</v>
      </c>
      <c r="C2601" s="46" t="str">
        <f>IF(ORCAMENTOS!C2609="","",ORCAMENTOS!C2609)</f>
        <v/>
      </c>
      <c r="D2601" s="37" t="str">
        <f>IF(ORCAMENTOS!D2609="","",ORCAMENTOS!D2609)</f>
        <v>NEWSET</v>
      </c>
      <c r="E2601" s="38" t="str">
        <f>IF(ORCAMENTOS!E2609="","",ORCAMENTOS!E2609)</f>
        <v>NSP057.25</v>
      </c>
      <c r="F2601" s="37" t="str">
        <f>IF(ORCAMENTOS!G2609="","",ORCAMENTOS!G2609)</f>
        <v xml:space="preserve">Aldavir </v>
      </c>
      <c r="G2601" s="37" t="str">
        <f>IF(ORCAMENTOS!H2609="","",ORCAMENTOS!H2609)</f>
        <v>David</v>
      </c>
      <c r="H2601" s="39">
        <f>IF(ORCAMENTOS!I2609="","",ORCAMENTOS!I2609)</f>
        <v>102010.08</v>
      </c>
      <c r="I2601" s="60">
        <f>IF(ORCAMENTOS!J2609="","",ORCAMENTOS!J2609)</f>
        <v>7.0000000000000007E-2</v>
      </c>
      <c r="J2601" s="40" t="str">
        <f>IF(ORCAMENTOS!L2609="","",ORCAMENTOS!L2609)</f>
        <v>ORCAMENTO</v>
      </c>
      <c r="K2601" s="34" t="str">
        <f>IF(ORCAMENTOS!M2609="","",ORCAMENTOS!M2609)</f>
        <v>-</v>
      </c>
      <c r="L2601" t="str">
        <f>IF(ORCAMENTOS!R2609="","",ORCAMENTOS!R2609)</f>
        <v>-</v>
      </c>
    </row>
    <row r="2602" spans="1:12" ht="15.75" hidden="1" customHeight="1" x14ac:dyDescent="0.25">
      <c r="A2602" s="36">
        <f>IF(ORCAMENTOS!A2610="","",ORCAMENTOS!A2610)</f>
        <v>46091</v>
      </c>
      <c r="B2602" s="46">
        <f>IF(ORCAMENTOS!B2610="","",ORCAMENTOS!B2610)</f>
        <v>425</v>
      </c>
      <c r="C2602" s="46" t="str">
        <f>IF(ORCAMENTOS!C2610="","",ORCAMENTOS!C2610)</f>
        <v/>
      </c>
      <c r="D2602" s="37" t="str">
        <f>IF(ORCAMENTOS!D2610="","",ORCAMENTOS!D2610)</f>
        <v>CONSTARCO</v>
      </c>
      <c r="E2602" s="38" t="str">
        <f>IF(ORCAMENTOS!E2610="","",ORCAMENTOS!E2610)</f>
        <v>WEG - JARAGUA DO SUL - SC - REFEITORIO</v>
      </c>
      <c r="F2602" s="37" t="str">
        <f>IF(ORCAMENTOS!G2610="","",ORCAMENTOS!G2610)</f>
        <v>Fernando</v>
      </c>
      <c r="G2602" s="37" t="str">
        <f>IF(ORCAMENTOS!H2610="","",ORCAMENTOS!H2610)</f>
        <v>Genilson</v>
      </c>
      <c r="H2602" s="39">
        <f>IF(ORCAMENTOS!I2610="","",ORCAMENTOS!I2610)</f>
        <v>126720.39</v>
      </c>
      <c r="I2602" s="60">
        <f>IF(ORCAMENTOS!J2610="","",ORCAMENTOS!J2610)</f>
        <v>7.0000000000000007E-2</v>
      </c>
      <c r="J2602" s="40" t="str">
        <f>IF(ORCAMENTOS!L2610="","",ORCAMENTOS!L2610)</f>
        <v>ORCAMENTO</v>
      </c>
      <c r="K2602" s="34" t="str">
        <f>IF(ORCAMENTOS!M2610="","",ORCAMENTOS!M2610)</f>
        <v xml:space="preserve">CLIENTE NEGOCIANDO  </v>
      </c>
      <c r="L2602" t="str">
        <f>IF(ORCAMENTOS!R2610="","",ORCAMENTOS!R2610)</f>
        <v>-</v>
      </c>
    </row>
    <row r="2603" spans="1:12" ht="15.75" hidden="1" customHeight="1" x14ac:dyDescent="0.25">
      <c r="A2603" s="36">
        <f>IF(ORCAMENTOS!A2611="","",ORCAMENTOS!A2611)</f>
        <v>46091</v>
      </c>
      <c r="B2603" s="46">
        <f>IF(ORCAMENTOS!B2611="","",ORCAMENTOS!B2611)</f>
        <v>426</v>
      </c>
      <c r="C2603" s="46" t="str">
        <f>IF(ORCAMENTOS!C2611="","",ORCAMENTOS!C2611)</f>
        <v/>
      </c>
      <c r="D2603" s="37" t="str">
        <f>IF(ORCAMENTOS!D2611="","",ORCAMENTOS!D2611)</f>
        <v>AMS INSTALACOES</v>
      </c>
      <c r="E2603" s="38" t="str">
        <f>IF(ORCAMENTOS!E2611="","",ORCAMENTOS!E2611)</f>
        <v>ATACADAO - LOJA CAIEIRAS - SP</v>
      </c>
      <c r="F2603" s="37" t="str">
        <f>IF(ORCAMENTOS!G2611="","",ORCAMENTOS!G2611)</f>
        <v>Gabriel</v>
      </c>
      <c r="G2603" s="37" t="str">
        <f>IF(ORCAMENTOS!H2611="","",ORCAMENTOS!H2611)</f>
        <v>Albertino</v>
      </c>
      <c r="H2603" s="39">
        <f>IF(ORCAMENTOS!I2611="","",ORCAMENTOS!I2611)</f>
        <v>227808.57</v>
      </c>
      <c r="I2603" s="60">
        <f>IF(ORCAMENTOS!J2611="","",ORCAMENTOS!J2611)</f>
        <v>7.0000000000000007E-2</v>
      </c>
      <c r="J2603" s="40" t="str">
        <f>IF(ORCAMENTOS!L2611="","",ORCAMENTOS!L2611)</f>
        <v>ORCAMENTO</v>
      </c>
      <c r="K2603" s="34" t="str">
        <f>IF(ORCAMENTOS!M2611="","",ORCAMENTOS!M2611)</f>
        <v>-</v>
      </c>
      <c r="L2603" t="str">
        <f>IF(ORCAMENTOS!R2611="","",ORCAMENTOS!R2611)</f>
        <v>MPU</v>
      </c>
    </row>
    <row r="2604" spans="1:12" ht="15.75" hidden="1" customHeight="1" x14ac:dyDescent="0.25">
      <c r="A2604" s="36">
        <f>IF(ORCAMENTOS!A2612="","",ORCAMENTOS!A2612)</f>
        <v>46091</v>
      </c>
      <c r="B2604" s="46">
        <f>IF(ORCAMENTOS!B2612="","",ORCAMENTOS!B2612)</f>
        <v>427</v>
      </c>
      <c r="C2604" s="46" t="str">
        <f>IF(ORCAMENTOS!C2612="","",ORCAMENTOS!C2612)</f>
        <v/>
      </c>
      <c r="D2604" s="37" t="str">
        <f>IF(ORCAMENTOS!D2612="","",ORCAMENTOS!D2612)</f>
        <v>ZEMPACK</v>
      </c>
      <c r="E2604" s="38" t="str">
        <f>IF(ORCAMENTOS!E2612="","",ORCAMENTOS!E2612)</f>
        <v>-</v>
      </c>
      <c r="F2604" s="37" t="str">
        <f>IF(ORCAMENTOS!G2612="","",ORCAMENTOS!G2612)</f>
        <v>Gabriel</v>
      </c>
      <c r="G2604" s="37" t="str">
        <f>IF(ORCAMENTOS!H2612="","",ORCAMENTOS!H2612)</f>
        <v>Vagner</v>
      </c>
      <c r="H2604" s="39">
        <f>IF(ORCAMENTOS!I2612="","",ORCAMENTOS!I2612)</f>
        <v>70556.710000000006</v>
      </c>
      <c r="I2604" s="60">
        <f>IF(ORCAMENTOS!J2612="","",ORCAMENTOS!J2612)</f>
        <v>7.0000000000000007E-2</v>
      </c>
      <c r="J2604" s="40" t="str">
        <f>IF(ORCAMENTOS!L2612="","",ORCAMENTOS!L2612)</f>
        <v>ORCAMENTO</v>
      </c>
      <c r="K2604" s="34" t="str">
        <f>IF(ORCAMENTOS!M2612="","",ORCAMENTOS!M2612)</f>
        <v>-</v>
      </c>
      <c r="L2604" t="str">
        <f>IF(ORCAMENTOS!R2612="","",ORCAMENTOS!R2612)</f>
        <v>-</v>
      </c>
    </row>
    <row r="2605" spans="1:12" ht="15.75" hidden="1" customHeight="1" x14ac:dyDescent="0.25">
      <c r="A2605" s="36">
        <f>IF(ORCAMENTOS!A2613="","",ORCAMENTOS!A2613)</f>
        <v>46091</v>
      </c>
      <c r="B2605" s="46">
        <f>IF(ORCAMENTOS!B2613="","",ORCAMENTOS!B2613)</f>
        <v>428</v>
      </c>
      <c r="C2605" s="46" t="str">
        <f>IF(ORCAMENTOS!C2613="","",ORCAMENTOS!C2613)</f>
        <v/>
      </c>
      <c r="D2605" s="37" t="str">
        <f>IF(ORCAMENTOS!D2613="","",ORCAMENTOS!D2613)</f>
        <v>ENGPLAN</v>
      </c>
      <c r="E2605" s="38" t="str">
        <f>IF(ORCAMENTOS!E2613="","",ORCAMENTOS!E2613)</f>
        <v>ESTOQUE</v>
      </c>
      <c r="F2605" s="37" t="str">
        <f>IF(ORCAMENTOS!G2613="","",ORCAMENTOS!G2613)</f>
        <v>Fernando</v>
      </c>
      <c r="G2605" s="37" t="str">
        <f>IF(ORCAMENTOS!H2613="","",ORCAMENTOS!H2613)</f>
        <v>Jandira</v>
      </c>
      <c r="H2605" s="39">
        <f>IF(ORCAMENTOS!I2613="","",ORCAMENTOS!I2613)</f>
        <v>7442.78</v>
      </c>
      <c r="I2605" s="60">
        <f>IF(ORCAMENTOS!J2613="","",ORCAMENTOS!J2613)</f>
        <v>0.04</v>
      </c>
      <c r="J2605" s="40" t="str">
        <f>IF(ORCAMENTOS!L2613="","",ORCAMENTOS!L2613)</f>
        <v>FECHADO</v>
      </c>
      <c r="K2605" s="34" t="str">
        <f>IF(ORCAMENTOS!M2613="","",ORCAMENTOS!M2613)</f>
        <v>PREV. MARÇO</v>
      </c>
      <c r="L2605" t="str">
        <f>IF(ORCAMENTOS!R2613="","",ORCAMENTOS!R2613)</f>
        <v>-</v>
      </c>
    </row>
    <row r="2606" spans="1:12" ht="15.75" hidden="1" customHeight="1" x14ac:dyDescent="0.25">
      <c r="A2606" s="36">
        <f>IF(ORCAMENTOS!A2614="","",ORCAMENTOS!A2614)</f>
        <v>46092</v>
      </c>
      <c r="B2606" s="46">
        <f>IF(ORCAMENTOS!B2614="","",ORCAMENTOS!B2614)</f>
        <v>429</v>
      </c>
      <c r="C2606" s="46" t="str">
        <f>IF(ORCAMENTOS!C2614="","",ORCAMENTOS!C2614)</f>
        <v/>
      </c>
      <c r="D2606" s="37" t="str">
        <f>IF(ORCAMENTOS!D2614="","",ORCAMENTOS!D2614)</f>
        <v>X AIR</v>
      </c>
      <c r="E2606" s="38" t="str">
        <f>IF(ORCAMENTOS!E2614="","",ORCAMENTOS!E2614)</f>
        <v>Santa Casa de Araraquara</v>
      </c>
      <c r="F2606" s="37" t="str">
        <f>IF(ORCAMENTOS!G2614="","",ORCAMENTOS!G2614)</f>
        <v>Emanuel</v>
      </c>
      <c r="G2606" s="37" t="str">
        <f>IF(ORCAMENTOS!H2614="","",ORCAMENTOS!H2614)</f>
        <v>Isabela</v>
      </c>
      <c r="H2606" s="39">
        <f>IF(ORCAMENTOS!I2614="","",ORCAMENTOS!I2614)</f>
        <v>3787.68</v>
      </c>
      <c r="I2606" s="60">
        <f>IF(ORCAMENTOS!J2614="","",ORCAMENTOS!J2614)</f>
        <v>7.0000000000000007E-2</v>
      </c>
      <c r="J2606" s="40" t="str">
        <f>IF(ORCAMENTOS!L2614="","",ORCAMENTOS!L2614)</f>
        <v>PERDIDO</v>
      </c>
      <c r="K2606" s="34" t="str">
        <f>IF(ORCAMENTOS!M2614="","",ORCAMENTOS!M2614)</f>
        <v>ARCOTEC - PRAZO</v>
      </c>
      <c r="L2606" t="str">
        <f>IF(ORCAMENTOS!R2614="","",ORCAMENTOS!R2614)</f>
        <v>-</v>
      </c>
    </row>
    <row r="2607" spans="1:12" ht="15.75" hidden="1" customHeight="1" x14ac:dyDescent="0.25">
      <c r="A2607" s="36">
        <f>IF(ORCAMENTOS!A2615="","",ORCAMENTOS!A2615)</f>
        <v>46092</v>
      </c>
      <c r="B2607" s="46">
        <f>IF(ORCAMENTOS!B2615="","",ORCAMENTOS!B2615)</f>
        <v>430</v>
      </c>
      <c r="C2607" s="46" t="str">
        <f>IF(ORCAMENTOS!C2615="","",ORCAMENTOS!C2615)</f>
        <v/>
      </c>
      <c r="D2607" s="37" t="str">
        <f>IF(ORCAMENTOS!D2615="","",ORCAMENTOS!D2615)</f>
        <v>AR SISTEMAS</v>
      </c>
      <c r="E2607" s="38" t="str">
        <f>IF(ORCAMENTOS!E2615="","",ORCAMENTOS!E2615)</f>
        <v>LIEBHERR - GALPÃO PRODUÇÃO - GUARATINGUETA - SP</v>
      </c>
      <c r="F2607" s="37" t="str">
        <f>IF(ORCAMENTOS!G2615="","",ORCAMENTOS!G2615)</f>
        <v>Michel</v>
      </c>
      <c r="G2607" s="37" t="str">
        <f>IF(ORCAMENTOS!H2615="","",ORCAMENTOS!H2615)</f>
        <v>Andre</v>
      </c>
      <c r="H2607" s="39">
        <f>IF(ORCAMENTOS!I2615="","",ORCAMENTOS!I2615)</f>
        <v>11191.89</v>
      </c>
      <c r="I2607" s="60">
        <f>IF(ORCAMENTOS!J2615="","",ORCAMENTOS!J2615)</f>
        <v>0.04</v>
      </c>
      <c r="J2607" s="40" t="str">
        <f>IF(ORCAMENTOS!L2615="","",ORCAMENTOS!L2615)</f>
        <v>FECHADO</v>
      </c>
      <c r="K2607" s="34" t="str">
        <f>IF(ORCAMENTOS!M2615="","",ORCAMENTOS!M2615)</f>
        <v>-</v>
      </c>
      <c r="L2607" t="str">
        <f>IF(ORCAMENTOS!R2615="","",ORCAMENTOS!R2615)</f>
        <v>-</v>
      </c>
    </row>
    <row r="2608" spans="1:12" ht="15.75" hidden="1" customHeight="1" x14ac:dyDescent="0.25">
      <c r="A2608" s="36">
        <f>IF(ORCAMENTOS!A2616="","",ORCAMENTOS!A2616)</f>
        <v>46092</v>
      </c>
      <c r="B2608" s="46">
        <f>IF(ORCAMENTOS!B2616="","",ORCAMENTOS!B2616)</f>
        <v>431</v>
      </c>
      <c r="C2608" s="46" t="str">
        <f>IF(ORCAMENTOS!C2616="","",ORCAMENTOS!C2616)</f>
        <v/>
      </c>
      <c r="D2608" s="37" t="str">
        <f>IF(ORCAMENTOS!D2616="","",ORCAMENTOS!D2616)</f>
        <v>ISOTEMP</v>
      </c>
      <c r="E2608" s="38" t="str">
        <f>IF(ORCAMENTOS!E2616="","",ORCAMENTOS!E2616)</f>
        <v>HID - LAPA - SP</v>
      </c>
      <c r="F2608" s="37" t="str">
        <f>IF(ORCAMENTOS!G2616="","",ORCAMENTOS!G2616)</f>
        <v>Michel</v>
      </c>
      <c r="G2608" s="37" t="str">
        <f>IF(ORCAMENTOS!H2616="","",ORCAMENTOS!H2616)</f>
        <v>Caique</v>
      </c>
      <c r="H2608" s="39">
        <f>IF(ORCAMENTOS!I2616="","",ORCAMENTOS!I2616)</f>
        <v>16472.900000000001</v>
      </c>
      <c r="I2608" s="60">
        <f>IF(ORCAMENTOS!J2616="","",ORCAMENTOS!J2616)</f>
        <v>7.0000000000000007E-2</v>
      </c>
      <c r="J2608" s="40" t="str">
        <f>IF(ORCAMENTOS!L2616="","",ORCAMENTOS!L2616)</f>
        <v>CANCELADO</v>
      </c>
      <c r="K2608" s="34" t="str">
        <f>IF(ORCAMENTOS!M2616="","",ORCAMENTOS!M2616)</f>
        <v>DUTOS DE CHAPA</v>
      </c>
      <c r="L2608" t="str">
        <f>IF(ORCAMENTOS!R2616="","",ORCAMENTOS!R2616)</f>
        <v>MPU</v>
      </c>
    </row>
    <row r="2609" spans="1:12" ht="15.75" hidden="1" customHeight="1" x14ac:dyDescent="0.25">
      <c r="A2609" s="36">
        <f>IF(ORCAMENTOS!A2617="","",ORCAMENTOS!A2617)</f>
        <v>46092</v>
      </c>
      <c r="B2609" s="46">
        <f>IF(ORCAMENTOS!B2617="","",ORCAMENTOS!B2617)</f>
        <v>432</v>
      </c>
      <c r="C2609" s="46" t="str">
        <f>IF(ORCAMENTOS!C2617="","",ORCAMENTOS!C2617)</f>
        <v/>
      </c>
      <c r="D2609" s="37" t="str">
        <f>IF(ORCAMENTOS!D2617="","",ORCAMENTOS!D2617)</f>
        <v>BMS ENGENHARIA</v>
      </c>
      <c r="E2609" s="38" t="str">
        <f>IF(ORCAMENTOS!E2617="","",ORCAMENTOS!E2617)</f>
        <v>Galpão logístico (TPC) em Cajamar</v>
      </c>
      <c r="F2609" s="37" t="str">
        <f>IF(ORCAMENTOS!G2617="","",ORCAMENTOS!G2617)</f>
        <v>Guilherme</v>
      </c>
      <c r="G2609" s="37" t="str">
        <f>IF(ORCAMENTOS!H2617="","",ORCAMENTOS!H2617)</f>
        <v>Heber</v>
      </c>
      <c r="H2609" s="39">
        <f>IF(ORCAMENTOS!I2617="","",ORCAMENTOS!I2617)</f>
        <v>86007.18</v>
      </c>
      <c r="I2609" s="60">
        <f>IF(ORCAMENTOS!J2617="","",ORCAMENTOS!J2617)</f>
        <v>7.0000000000000007E-2</v>
      </c>
      <c r="J2609" s="40" t="str">
        <f>IF(ORCAMENTOS!L2617="","",ORCAMENTOS!L2617)</f>
        <v>ORCAMENTO</v>
      </c>
      <c r="K2609" s="34" t="str">
        <f>IF(ORCAMENTOS!M2617="","",ORCAMENTOS!M2617)</f>
        <v>-</v>
      </c>
      <c r="L2609" t="str">
        <f>IF(ORCAMENTOS!R2617="","",ORCAMENTOS!R2617)</f>
        <v>-</v>
      </c>
    </row>
    <row r="2610" spans="1:12" ht="15.75" hidden="1" customHeight="1" x14ac:dyDescent="0.25">
      <c r="A2610" s="36">
        <f>IF(ORCAMENTOS!A2618="","",ORCAMENTOS!A2618)</f>
        <v>46093</v>
      </c>
      <c r="B2610" s="46">
        <f>IF(ORCAMENTOS!B2618="","",ORCAMENTOS!B2618)</f>
        <v>433</v>
      </c>
      <c r="C2610" s="46" t="str">
        <f>IF(ORCAMENTOS!C2618="","",ORCAMENTOS!C2618)</f>
        <v>R2</v>
      </c>
      <c r="D2610" s="37" t="str">
        <f>IF(ORCAMENTOS!D2618="","",ORCAMENTOS!D2618)</f>
        <v>ECOLOGIC AIR</v>
      </c>
      <c r="E2610" s="38" t="str">
        <f>IF(ORCAMENTOS!E2618="","",ORCAMENTOS!E2618)</f>
        <v>UNIMED - HOSPITAL UNIMED - MACEIO - AL</v>
      </c>
      <c r="F2610" s="37" t="str">
        <f>IF(ORCAMENTOS!G2618="","",ORCAMENTOS!G2618)</f>
        <v>Michel</v>
      </c>
      <c r="G2610" s="37" t="str">
        <f>IF(ORCAMENTOS!H2618="","",ORCAMENTOS!H2618)</f>
        <v>Vinicius</v>
      </c>
      <c r="H2610" s="39">
        <f>IF(ORCAMENTOS!I2618="","",ORCAMENTOS!I2618)</f>
        <v>45643.86</v>
      </c>
      <c r="I2610" s="60">
        <f>IF(ORCAMENTOS!J2618="","",ORCAMENTOS!J2618)</f>
        <v>0.04</v>
      </c>
      <c r="J2610" s="40" t="str">
        <f>IF(ORCAMENTOS!L2618="","",ORCAMENTOS!L2618)</f>
        <v>FECHADO</v>
      </c>
      <c r="K2610" s="34" t="str">
        <f>IF(ORCAMENTOS!M2618="","",ORCAMENTOS!M2618)</f>
        <v>-</v>
      </c>
      <c r="L2610" t="str">
        <f>IF(ORCAMENTOS!R2618="","",ORCAMENTOS!R2618)</f>
        <v>ACO GALVANIZADO</v>
      </c>
    </row>
    <row r="2611" spans="1:12" ht="15.75" hidden="1" customHeight="1" x14ac:dyDescent="0.25">
      <c r="A2611" s="36">
        <f>IF(ORCAMENTOS!A2619="","",ORCAMENTOS!A2619)</f>
        <v>46092</v>
      </c>
      <c r="B2611" s="46">
        <f>IF(ORCAMENTOS!B2619="","",ORCAMENTOS!B2619)</f>
        <v>434</v>
      </c>
      <c r="C2611" s="46" t="str">
        <f>IF(ORCAMENTOS!C2619="","",ORCAMENTOS!C2619)</f>
        <v>R1</v>
      </c>
      <c r="D2611" s="37" t="str">
        <f>IF(ORCAMENTOS!D2619="","",ORCAMENTOS!D2619)</f>
        <v>SENSCO</v>
      </c>
      <c r="E2611" s="38" t="str">
        <f>IF(ORCAMENTOS!E2619="","",ORCAMENTOS!E2619)</f>
        <v>-</v>
      </c>
      <c r="F2611" s="37" t="str">
        <f>IF(ORCAMENTOS!G2619="","",ORCAMENTOS!G2619)</f>
        <v>Michel</v>
      </c>
      <c r="G2611" s="37" t="str">
        <f>IF(ORCAMENTOS!H2619="","",ORCAMENTOS!H2619)</f>
        <v>Luciete</v>
      </c>
      <c r="H2611" s="39">
        <f>IF(ORCAMENTOS!I2619="","",ORCAMENTOS!I2619)</f>
        <v>20037.73</v>
      </c>
      <c r="I2611" s="60">
        <f>IF(ORCAMENTOS!J2619="","",ORCAMENTOS!J2619)</f>
        <v>0.03</v>
      </c>
      <c r="J2611" s="40" t="str">
        <f>IF(ORCAMENTOS!L2619="","",ORCAMENTOS!L2619)</f>
        <v>PERDIDO</v>
      </c>
      <c r="K2611" s="34" t="str">
        <f>IF(ORCAMENTOS!M2619="","",ORCAMENTOS!M2619)</f>
        <v>ARCOTEC - PACOTE</v>
      </c>
      <c r="L2611" t="str">
        <f>IF(ORCAMENTOS!R2619="","",ORCAMENTOS!R2619)</f>
        <v>-</v>
      </c>
    </row>
    <row r="2612" spans="1:12" ht="15.75" hidden="1" customHeight="1" x14ac:dyDescent="0.25">
      <c r="A2612" s="36">
        <f>IF(ORCAMENTOS!A2620="","",ORCAMENTOS!A2620)</f>
        <v>46092</v>
      </c>
      <c r="B2612" s="46">
        <f>IF(ORCAMENTOS!B2620="","",ORCAMENTOS!B2620)</f>
        <v>435</v>
      </c>
      <c r="C2612" s="46" t="str">
        <f>IF(ORCAMENTOS!C2620="","",ORCAMENTOS!C2620)</f>
        <v/>
      </c>
      <c r="D2612" s="37" t="str">
        <f>IF(ORCAMENTOS!D2620="","",ORCAMENTOS!D2620)</f>
        <v>LKT AR CONDICIONADO</v>
      </c>
      <c r="E2612" s="38" t="str">
        <f>IF(ORCAMENTOS!E2620="","",ORCAMENTOS!E2620)</f>
        <v>GENERAL MOTORS - RONDA - SÃO JOSE DOS CAMPOS</v>
      </c>
      <c r="F2612" s="37" t="str">
        <f>IF(ORCAMENTOS!G2620="","",ORCAMENTOS!G2620)</f>
        <v>Fernando</v>
      </c>
      <c r="G2612" s="37" t="str">
        <f>IF(ORCAMENTOS!H2620="","",ORCAMENTOS!H2620)</f>
        <v>Nicolas</v>
      </c>
      <c r="H2612" s="39">
        <f>IF(ORCAMENTOS!I2620="","",ORCAMENTOS!I2620)</f>
        <v>159084.95000000001</v>
      </c>
      <c r="I2612" s="60">
        <f>IF(ORCAMENTOS!J2620="","",ORCAMENTOS!J2620)</f>
        <v>7.0000000000000007E-2</v>
      </c>
      <c r="J2612" s="40" t="str">
        <f>IF(ORCAMENTOS!L2620="","",ORCAMENTOS!L2620)</f>
        <v>PERDIDO</v>
      </c>
      <c r="K2612" s="34" t="str">
        <f>IF(ORCAMENTOS!M2620="","",ORCAMENTOS!M2620)</f>
        <v>MULTIVAC - CADASTRO</v>
      </c>
      <c r="L2612" t="str">
        <f>IF(ORCAMENTOS!R2620="","",ORCAMENTOS!R2620)</f>
        <v>MPU</v>
      </c>
    </row>
    <row r="2613" spans="1:12" ht="15.75" hidden="1" customHeight="1" x14ac:dyDescent="0.25">
      <c r="A2613" s="36">
        <f>IF(ORCAMENTOS!A2621="","",ORCAMENTOS!A2621)</f>
        <v>46092</v>
      </c>
      <c r="B2613" s="46">
        <f>IF(ORCAMENTOS!B2621="","",ORCAMENTOS!B2621)</f>
        <v>436</v>
      </c>
      <c r="C2613" s="46" t="str">
        <f>IF(ORCAMENTOS!C2621="","",ORCAMENTOS!C2621)</f>
        <v/>
      </c>
      <c r="D2613" s="37" t="str">
        <f>IF(ORCAMENTOS!D2621="","",ORCAMENTOS!D2621)</f>
        <v>HEATING COOLING</v>
      </c>
      <c r="E2613" s="38">
        <f>IF(ORCAMENTOS!E2621="","",ORCAMENTOS!E2621)</f>
        <v>64622</v>
      </c>
      <c r="F2613" s="37" t="str">
        <f>IF(ORCAMENTOS!G2621="","",ORCAMENTOS!G2621)</f>
        <v>Gabriel</v>
      </c>
      <c r="G2613" s="37" t="str">
        <f>IF(ORCAMENTOS!H2621="","",ORCAMENTOS!H2621)</f>
        <v>Vanessa</v>
      </c>
      <c r="H2613" s="39">
        <f>IF(ORCAMENTOS!I2621="","",ORCAMENTOS!I2621)</f>
        <v>38705.230000000003</v>
      </c>
      <c r="I2613" s="60">
        <f>IF(ORCAMENTOS!J2621="","",ORCAMENTOS!J2621)</f>
        <v>7.0000000000000007E-2</v>
      </c>
      <c r="J2613" s="40" t="str">
        <f>IF(ORCAMENTOS!L2621="","",ORCAMENTOS!L2621)</f>
        <v>ORCAMENTO</v>
      </c>
      <c r="K2613" s="34" t="str">
        <f>IF(ORCAMENTOS!M2621="","",ORCAMENTOS!M2621)</f>
        <v>-</v>
      </c>
      <c r="L2613" t="str">
        <f>IF(ORCAMENTOS!R2621="","",ORCAMENTOS!R2621)</f>
        <v>-</v>
      </c>
    </row>
    <row r="2614" spans="1:12" ht="15.75" hidden="1" customHeight="1" x14ac:dyDescent="0.25">
      <c r="A2614" s="36">
        <f>IF(ORCAMENTOS!A2622="","",ORCAMENTOS!A2622)</f>
        <v>46094</v>
      </c>
      <c r="B2614" s="46">
        <f>IF(ORCAMENTOS!B2622="","",ORCAMENTOS!B2622)</f>
        <v>437</v>
      </c>
      <c r="C2614" s="46" t="str">
        <f>IF(ORCAMENTOS!C2622="","",ORCAMENTOS!C2622)</f>
        <v/>
      </c>
      <c r="D2614" s="37" t="str">
        <f>IF(ORCAMENTOS!D2622="","",ORCAMENTOS!D2622)</f>
        <v>SATURNO AR</v>
      </c>
      <c r="E2614" s="38" t="str">
        <f>IF(ORCAMENTOS!E2622="","",ORCAMENTOS!E2622)</f>
        <v>SULMEDIC - COMERCIO DE MEDICAMENTOS - CONDOMINIO BUSSINES PARK</v>
      </c>
      <c r="F2614" s="37" t="str">
        <f>IF(ORCAMENTOS!G2622="","",ORCAMENTOS!G2622)</f>
        <v>Gabriel</v>
      </c>
      <c r="G2614" s="37" t="str">
        <f>IF(ORCAMENTOS!H2622="","",ORCAMENTOS!H2622)</f>
        <v>Sidinei</v>
      </c>
      <c r="H2614" s="39">
        <f>IF(ORCAMENTOS!I2622="","",ORCAMENTOS!I2622)</f>
        <v>260585.59</v>
      </c>
      <c r="I2614" s="60">
        <f>IF(ORCAMENTOS!J2622="","",ORCAMENTOS!J2622)</f>
        <v>7.0000000000000007E-2</v>
      </c>
      <c r="J2614" s="40" t="str">
        <f>IF(ORCAMENTOS!L2622="","",ORCAMENTOS!L2622)</f>
        <v>ORCAMENTO</v>
      </c>
      <c r="K2614" s="34" t="str">
        <f>IF(ORCAMENTOS!M2622="","",ORCAMENTOS!M2622)</f>
        <v>-</v>
      </c>
      <c r="L2614" t="str">
        <f>IF(ORCAMENTOS!R2622="","",ORCAMENTOS!R2622)</f>
        <v>-</v>
      </c>
    </row>
    <row r="2615" spans="1:12" ht="15.75" hidden="1" customHeight="1" x14ac:dyDescent="0.25">
      <c r="A2615" s="36">
        <f>IF(ORCAMENTOS!A2623="","",ORCAMENTOS!A2623)</f>
        <v>46092</v>
      </c>
      <c r="B2615" s="46">
        <f>IF(ORCAMENTOS!B2623="","",ORCAMENTOS!B2623)</f>
        <v>438</v>
      </c>
      <c r="C2615" s="46" t="str">
        <f>IF(ORCAMENTOS!C2623="","",ORCAMENTOS!C2623)</f>
        <v/>
      </c>
      <c r="D2615" s="37" t="str">
        <f>IF(ORCAMENTOS!D2623="","",ORCAMENTOS!D2623)</f>
        <v>SATURNO AR</v>
      </c>
      <c r="E2615" s="38" t="str">
        <f>IF(ORCAMENTOS!E2623="","",ORCAMENTOS!E2623)</f>
        <v>SULMEDIC - COMERCIO DE MEDICAMENTOS - CONDOMINIO BUSSINES PARK</v>
      </c>
      <c r="F2615" s="37" t="str">
        <f>IF(ORCAMENTOS!G2623="","",ORCAMENTOS!G2623)</f>
        <v>Gabriel</v>
      </c>
      <c r="G2615" s="37" t="str">
        <f>IF(ORCAMENTOS!H2623="","",ORCAMENTOS!H2623)</f>
        <v>Sidinei</v>
      </c>
      <c r="H2615" s="39">
        <f>IF(ORCAMENTOS!I2623="","",ORCAMENTOS!I2623)</f>
        <v>277779.84000000003</v>
      </c>
      <c r="I2615" s="60">
        <f>IF(ORCAMENTOS!J2623="","",ORCAMENTOS!J2623)</f>
        <v>7.0000000000000007E-2</v>
      </c>
      <c r="J2615" s="40" t="str">
        <f>IF(ORCAMENTOS!L2623="","",ORCAMENTOS!L2623)</f>
        <v>ORCAMENTO</v>
      </c>
      <c r="K2615" s="34" t="str">
        <f>IF(ORCAMENTOS!M2623="","",ORCAMENTOS!M2623)</f>
        <v>-</v>
      </c>
      <c r="L2615" t="str">
        <f>IF(ORCAMENTOS!R2623="","",ORCAMENTOS!R2623)</f>
        <v>-</v>
      </c>
    </row>
    <row r="2616" spans="1:12" ht="15.75" hidden="1" customHeight="1" x14ac:dyDescent="0.25">
      <c r="A2616" s="36">
        <f>IF(ORCAMENTOS!A2624="","",ORCAMENTOS!A2624)</f>
        <v>46093</v>
      </c>
      <c r="B2616" s="46">
        <f>IF(ORCAMENTOS!B2624="","",ORCAMENTOS!B2624)</f>
        <v>439</v>
      </c>
      <c r="C2616" s="46" t="str">
        <f>IF(ORCAMENTOS!C2624="","",ORCAMENTOS!C2624)</f>
        <v/>
      </c>
      <c r="D2616" s="37" t="str">
        <f>IF(ORCAMENTOS!D2624="","",ORCAMENTOS!D2624)</f>
        <v>ACTEC ENGENHARIA</v>
      </c>
      <c r="E2616" s="38" t="str">
        <f>IF(ORCAMENTOS!E2624="","",ORCAMENTOS!E2624)</f>
        <v>OBRAMAX SUZANO</v>
      </c>
      <c r="F2616" s="37" t="str">
        <f>IF(ORCAMENTOS!G2624="","",ORCAMENTOS!G2624)</f>
        <v xml:space="preserve">Aldavir </v>
      </c>
      <c r="G2616" s="37" t="str">
        <f>IF(ORCAMENTOS!H2624="","",ORCAMENTOS!H2624)</f>
        <v>Genivon</v>
      </c>
      <c r="H2616" s="39">
        <f>IF(ORCAMENTOS!I2624="","",ORCAMENTOS!I2624)</f>
        <v>226908.43</v>
      </c>
      <c r="I2616" s="60">
        <f>IF(ORCAMENTOS!J2624="","",ORCAMENTOS!J2624)</f>
        <v>7.0000000000000007E-2</v>
      </c>
      <c r="J2616" s="40" t="str">
        <f>IF(ORCAMENTOS!L2624="","",ORCAMENTOS!L2624)</f>
        <v>ORCAMENTO</v>
      </c>
      <c r="K2616" s="34" t="str">
        <f>IF(ORCAMENTOS!M2624="","",ORCAMENTOS!M2624)</f>
        <v>-</v>
      </c>
      <c r="L2616" t="str">
        <f>IF(ORCAMENTOS!R2624="","",ORCAMENTOS!R2624)</f>
        <v>-</v>
      </c>
    </row>
    <row r="2617" spans="1:12" ht="15.75" hidden="1" customHeight="1" x14ac:dyDescent="0.25">
      <c r="A2617" s="36">
        <f>IF(ORCAMENTOS!A2625="","",ORCAMENTOS!A2625)</f>
        <v>46093</v>
      </c>
      <c r="B2617" s="46">
        <f>IF(ORCAMENTOS!B2625="","",ORCAMENTOS!B2625)</f>
        <v>440</v>
      </c>
      <c r="C2617" s="46" t="str">
        <f>IF(ORCAMENTOS!C2625="","",ORCAMENTOS!C2625)</f>
        <v/>
      </c>
      <c r="D2617" s="37" t="str">
        <f>IF(ORCAMENTOS!D2625="","",ORCAMENTOS!D2625)</f>
        <v>AWA AR CONDICIONADO</v>
      </c>
      <c r="E2617" s="38" t="str">
        <f>IF(ORCAMENTOS!E2625="","",ORCAMENTOS!E2625)</f>
        <v>MIX TAMANDARE - IMPERATRIZ - MA</v>
      </c>
      <c r="F2617" s="37" t="str">
        <f>IF(ORCAMENTOS!G2625="","",ORCAMENTOS!G2625)</f>
        <v>Guilherme</v>
      </c>
      <c r="G2617" s="37" t="str">
        <f>IF(ORCAMENTOS!H2625="","",ORCAMENTOS!H2625)</f>
        <v>Guilherme</v>
      </c>
      <c r="H2617" s="39">
        <f>IF(ORCAMENTOS!I2625="","",ORCAMENTOS!I2625)</f>
        <v>257397.55</v>
      </c>
      <c r="I2617" s="60">
        <f>IF(ORCAMENTOS!J2625="","",ORCAMENTOS!J2625)</f>
        <v>0.05</v>
      </c>
      <c r="J2617" s="40" t="str">
        <f>IF(ORCAMENTOS!L2625="","",ORCAMENTOS!L2625)</f>
        <v>CANCELADO</v>
      </c>
      <c r="K2617" s="34" t="str">
        <f>IF(ORCAMENTOS!M2625="","",ORCAMENTOS!M2625)</f>
        <v>-</v>
      </c>
      <c r="L2617" t="str">
        <f>IF(ORCAMENTOS!R2625="","",ORCAMENTOS!R2625)</f>
        <v>-</v>
      </c>
    </row>
    <row r="2618" spans="1:12" ht="15.75" hidden="1" customHeight="1" x14ac:dyDescent="0.25">
      <c r="A2618" s="36">
        <f>IF(ORCAMENTOS!A2626="","",ORCAMENTOS!A2626)</f>
        <v>46093</v>
      </c>
      <c r="B2618" s="46">
        <f>IF(ORCAMENTOS!B2626="","",ORCAMENTOS!B2626)</f>
        <v>441</v>
      </c>
      <c r="C2618" s="46" t="str">
        <f>IF(ORCAMENTOS!C2626="","",ORCAMENTOS!C2626)</f>
        <v/>
      </c>
      <c r="D2618" s="37" t="str">
        <f>IF(ORCAMENTOS!D2626="","",ORCAMENTOS!D2626)</f>
        <v>ENGEMAC</v>
      </c>
      <c r="E2618" s="38" t="str">
        <f>IF(ORCAMENTOS!E2626="","",ORCAMENTOS!E2626)</f>
        <v>SMART FIT - JACANA - SÃO PAULO</v>
      </c>
      <c r="F2618" s="37" t="str">
        <f>IF(ORCAMENTOS!G2626="","",ORCAMENTOS!G2626)</f>
        <v>Fernando</v>
      </c>
      <c r="G2618" s="37" t="str">
        <f>IF(ORCAMENTOS!H2626="","",ORCAMENTOS!H2626)</f>
        <v>Edmilson</v>
      </c>
      <c r="H2618" s="39">
        <f>IF(ORCAMENTOS!I2626="","",ORCAMENTOS!I2626)</f>
        <v>57199.19</v>
      </c>
      <c r="I2618" s="60">
        <f>IF(ORCAMENTOS!J2626="","",ORCAMENTOS!J2626)</f>
        <v>0.03</v>
      </c>
      <c r="J2618" s="40" t="str">
        <f>IF(ORCAMENTOS!L2626="","",ORCAMENTOS!L2626)</f>
        <v>FECHADO</v>
      </c>
      <c r="K2618" s="34" t="str">
        <f>IF(ORCAMENTOS!M2626="","",ORCAMENTOS!M2626)</f>
        <v>-</v>
      </c>
      <c r="L2618" t="str">
        <f>IF(ORCAMENTOS!R2626="","",ORCAMENTOS!R2626)</f>
        <v>-</v>
      </c>
    </row>
    <row r="2619" spans="1:12" ht="15.75" hidden="1" customHeight="1" x14ac:dyDescent="0.25">
      <c r="A2619" s="36">
        <f>IF(ORCAMENTOS!A2627="","",ORCAMENTOS!A2627)</f>
        <v>46093</v>
      </c>
      <c r="B2619" s="46">
        <f>IF(ORCAMENTOS!B2627="","",ORCAMENTOS!B2627)</f>
        <v>442</v>
      </c>
      <c r="C2619" s="46" t="str">
        <f>IF(ORCAMENTOS!C2627="","",ORCAMENTOS!C2627)</f>
        <v/>
      </c>
      <c r="D2619" s="37" t="str">
        <f>IF(ORCAMENTOS!D2627="","",ORCAMENTOS!D2627)</f>
        <v>THERMO CENTRAL</v>
      </c>
      <c r="E2619" s="38" t="str">
        <f>IF(ORCAMENTOS!E2627="","",ORCAMENTOS!E2627)</f>
        <v>VETERANOS DE AMERICANA</v>
      </c>
      <c r="F2619" s="37" t="str">
        <f>IF(ORCAMENTOS!G2627="","",ORCAMENTOS!G2627)</f>
        <v xml:space="preserve">Aldavir </v>
      </c>
      <c r="G2619" s="37" t="str">
        <f>IF(ORCAMENTOS!H2627="","",ORCAMENTOS!H2627)</f>
        <v>Sandra</v>
      </c>
      <c r="H2619" s="39">
        <f>IF(ORCAMENTOS!I2627="","",ORCAMENTOS!I2627)</f>
        <v>81220.97</v>
      </c>
      <c r="I2619" s="60">
        <f>IF(ORCAMENTOS!J2627="","",ORCAMENTOS!J2627)</f>
        <v>7.0000000000000007E-2</v>
      </c>
      <c r="J2619" s="40" t="str">
        <f>IF(ORCAMENTOS!L2627="","",ORCAMENTOS!L2627)</f>
        <v>CANCELADO</v>
      </c>
      <c r="K2619" s="34" t="str">
        <f>IF(ORCAMENTOS!M2627="","",ORCAMENTOS!M2627)</f>
        <v>-</v>
      </c>
      <c r="L2619" t="str">
        <f>IF(ORCAMENTOS!R2627="","",ORCAMENTOS!R2627)</f>
        <v>-</v>
      </c>
    </row>
    <row r="2620" spans="1:12" ht="15.75" hidden="1" customHeight="1" x14ac:dyDescent="0.25">
      <c r="A2620" s="36">
        <f>IF(ORCAMENTOS!A2628="","",ORCAMENTOS!A2628)</f>
        <v>46093</v>
      </c>
      <c r="B2620" s="46">
        <f>IF(ORCAMENTOS!B2628="","",ORCAMENTOS!B2628)</f>
        <v>443</v>
      </c>
      <c r="C2620" s="46" t="str">
        <f>IF(ORCAMENTOS!C2628="","",ORCAMENTOS!C2628)</f>
        <v/>
      </c>
      <c r="D2620" s="37" t="str">
        <f>IF(ORCAMENTOS!D2628="","",ORCAMENTOS!D2628)</f>
        <v>THERMO CENTRAL</v>
      </c>
      <c r="E2620" s="38" t="str">
        <f>IF(ORCAMENTOS!E2628="","",ORCAMENTOS!E2628)</f>
        <v>TERMO FISHER - BARUERI / SP</v>
      </c>
      <c r="F2620" s="37" t="str">
        <f>IF(ORCAMENTOS!G2628="","",ORCAMENTOS!G2628)</f>
        <v xml:space="preserve">Aldavir </v>
      </c>
      <c r="G2620" s="37" t="str">
        <f>IF(ORCAMENTOS!H2628="","",ORCAMENTOS!H2628)</f>
        <v>Sandra</v>
      </c>
      <c r="H2620" s="39">
        <f>IF(ORCAMENTOS!I2628="","",ORCAMENTOS!I2628)</f>
        <v>83026.97</v>
      </c>
      <c r="I2620" s="60">
        <f>IF(ORCAMENTOS!J2628="","",ORCAMENTOS!J2628)</f>
        <v>7.0000000000000007E-2</v>
      </c>
      <c r="J2620" s="40" t="str">
        <f>IF(ORCAMENTOS!L2628="","",ORCAMENTOS!L2628)</f>
        <v>CANCELADO</v>
      </c>
      <c r="K2620" s="34" t="str">
        <f>IF(ORCAMENTOS!M2628="","",ORCAMENTOS!M2628)</f>
        <v>-</v>
      </c>
      <c r="L2620" t="str">
        <f>IF(ORCAMENTOS!R2628="","",ORCAMENTOS!R2628)</f>
        <v>-</v>
      </c>
    </row>
    <row r="2621" spans="1:12" ht="15.75" hidden="1" customHeight="1" x14ac:dyDescent="0.25">
      <c r="A2621" s="36">
        <f>IF(ORCAMENTOS!A2629="","",ORCAMENTOS!A2629)</f>
        <v>46093</v>
      </c>
      <c r="B2621" s="46">
        <f>IF(ORCAMENTOS!B2629="","",ORCAMENTOS!B2629)</f>
        <v>444</v>
      </c>
      <c r="C2621" s="46" t="str">
        <f>IF(ORCAMENTOS!C2629="","",ORCAMENTOS!C2629)</f>
        <v/>
      </c>
      <c r="D2621" s="37" t="str">
        <f>IF(ORCAMENTOS!D2629="","",ORCAMENTOS!D2629)</f>
        <v>MONDARC</v>
      </c>
      <c r="E2621" s="38" t="str">
        <f>IF(ORCAMENTOS!E2629="","",ORCAMENTOS!E2629)</f>
        <v>GALPAO 2 - BETIM - MG</v>
      </c>
      <c r="F2621" s="37" t="str">
        <f>IF(ORCAMENTOS!G2629="","",ORCAMENTOS!G2629)</f>
        <v>Michel</v>
      </c>
      <c r="G2621" s="37" t="str">
        <f>IF(ORCAMENTOS!H2629="","",ORCAMENTOS!H2629)</f>
        <v>Mateus</v>
      </c>
      <c r="H2621" s="39">
        <f>IF(ORCAMENTOS!I2629="","",ORCAMENTOS!I2629)</f>
        <v>61464.95</v>
      </c>
      <c r="I2621" s="60">
        <f>IF(ORCAMENTOS!J2629="","",ORCAMENTOS!J2629)</f>
        <v>7.0000000000000007E-2</v>
      </c>
      <c r="J2621" s="40" t="str">
        <f>IF(ORCAMENTOS!L2629="","",ORCAMENTOS!L2629)</f>
        <v>CANCELADO</v>
      </c>
      <c r="K2621" s="34" t="str">
        <f>IF(ORCAMENTOS!M2629="","",ORCAMENTOS!M2629)</f>
        <v>-</v>
      </c>
      <c r="L2621" t="str">
        <f>IF(ORCAMENTOS!R2629="","",ORCAMENTOS!R2629)</f>
        <v>-</v>
      </c>
    </row>
    <row r="2622" spans="1:12" ht="15.75" hidden="1" customHeight="1" x14ac:dyDescent="0.25">
      <c r="A2622" s="36">
        <f>IF(ORCAMENTOS!A2630="","",ORCAMENTOS!A2630)</f>
        <v>46093</v>
      </c>
      <c r="B2622" s="46">
        <f>IF(ORCAMENTOS!B2630="","",ORCAMENTOS!B2630)</f>
        <v>445</v>
      </c>
      <c r="C2622" s="46" t="str">
        <f>IF(ORCAMENTOS!C2630="","",ORCAMENTOS!C2630)</f>
        <v/>
      </c>
      <c r="D2622" s="37" t="str">
        <f>IF(ORCAMENTOS!D2630="","",ORCAMENTOS!D2630)</f>
        <v>RECLIMA</v>
      </c>
      <c r="E2622" s="38" t="str">
        <f>IF(ORCAMENTOS!E2630="","",ORCAMENTOS!E2630)</f>
        <v>-</v>
      </c>
      <c r="F2622" s="37" t="str">
        <f>IF(ORCAMENTOS!G2630="","",ORCAMENTOS!G2630)</f>
        <v>Michel</v>
      </c>
      <c r="G2622" s="37" t="str">
        <f>IF(ORCAMENTOS!H2630="","",ORCAMENTOS!H2630)</f>
        <v>Renata</v>
      </c>
      <c r="H2622" s="39">
        <f>IF(ORCAMENTOS!I2630="","",ORCAMENTOS!I2630)</f>
        <v>7909.47</v>
      </c>
      <c r="I2622" s="60">
        <f>IF(ORCAMENTOS!J2630="","",ORCAMENTOS!J2630)</f>
        <v>0.05</v>
      </c>
      <c r="J2622" s="40" t="str">
        <f>IF(ORCAMENTOS!L2630="","",ORCAMENTOS!L2630)</f>
        <v>FECHADO</v>
      </c>
      <c r="K2622" s="34" t="str">
        <f>IF(ORCAMENTOS!M2630="","",ORCAMENTOS!M2630)</f>
        <v>-</v>
      </c>
      <c r="L2622" t="str">
        <f>IF(ORCAMENTOS!R2630="","",ORCAMENTOS!R2630)</f>
        <v>-</v>
      </c>
    </row>
    <row r="2623" spans="1:12" ht="15.75" hidden="1" customHeight="1" x14ac:dyDescent="0.25">
      <c r="A2623" s="36">
        <f>IF(ORCAMENTOS!A2631="","",ORCAMENTOS!A2631)</f>
        <v>46094</v>
      </c>
      <c r="B2623" s="46">
        <f>IF(ORCAMENTOS!B2631="","",ORCAMENTOS!B2631)</f>
        <v>446</v>
      </c>
      <c r="C2623" s="46" t="str">
        <f>IF(ORCAMENTOS!C2631="","",ORCAMENTOS!C2631)</f>
        <v/>
      </c>
      <c r="D2623" s="37" t="str">
        <f>IF(ORCAMENTOS!D2631="","",ORCAMENTOS!D2631)</f>
        <v>ENTHAL ENGENHARIA</v>
      </c>
      <c r="E2623" s="38" t="str">
        <f>IF(ORCAMENTOS!E2631="","",ORCAMENTOS!E2631)</f>
        <v>-</v>
      </c>
      <c r="F2623" s="37" t="str">
        <f>IF(ORCAMENTOS!G2631="","",ORCAMENTOS!G2631)</f>
        <v>Emanuel</v>
      </c>
      <c r="G2623" s="37" t="str">
        <f>IF(ORCAMENTOS!H2631="","",ORCAMENTOS!H2631)</f>
        <v>Carlos</v>
      </c>
      <c r="H2623" s="39">
        <f>IF(ORCAMENTOS!I2631="","",ORCAMENTOS!I2631)</f>
        <v>306223.06</v>
      </c>
      <c r="I2623" s="60">
        <f>IF(ORCAMENTOS!J2631="","",ORCAMENTOS!J2631)</f>
        <v>7.0000000000000007E-2</v>
      </c>
      <c r="J2623" s="40" t="str">
        <f>IF(ORCAMENTOS!L2631="","",ORCAMENTOS!L2631)</f>
        <v>ORCAMENTO</v>
      </c>
      <c r="K2623" s="34" t="str">
        <f>IF(ORCAMENTOS!M2631="","",ORCAMENTOS!M2631)</f>
        <v>-</v>
      </c>
      <c r="L2623" t="str">
        <f>IF(ORCAMENTOS!R2631="","",ORCAMENTOS!R2631)</f>
        <v>-</v>
      </c>
    </row>
    <row r="2624" spans="1:12" ht="15.75" hidden="1" customHeight="1" x14ac:dyDescent="0.25">
      <c r="A2624" s="36">
        <f>IF(ORCAMENTOS!A2632="","",ORCAMENTOS!A2632)</f>
        <v>46093</v>
      </c>
      <c r="B2624" s="46">
        <f>IF(ORCAMENTOS!B2632="","",ORCAMENTOS!B2632)</f>
        <v>447</v>
      </c>
      <c r="C2624" s="46" t="str">
        <f>IF(ORCAMENTOS!C2632="","",ORCAMENTOS!C2632)</f>
        <v/>
      </c>
      <c r="D2624" s="37" t="str">
        <f>IF(ORCAMENTOS!D2632="","",ORCAMENTOS!D2632)</f>
        <v>CONTROLE CLIMA</v>
      </c>
      <c r="E2624" s="38" t="str">
        <f>IF(ORCAMENTOS!E2632="","",ORCAMENTOS!E2632)</f>
        <v>SMART FIT - CLUBE DE REGATAS FLAMENGO - LAGOA - SP</v>
      </c>
      <c r="F2624" s="37" t="str">
        <f>IF(ORCAMENTOS!G2632="","",ORCAMENTOS!G2632)</f>
        <v>Gabriel</v>
      </c>
      <c r="G2624" s="37" t="str">
        <f>IF(ORCAMENTOS!H2632="","",ORCAMENTOS!H2632)</f>
        <v>Samuel</v>
      </c>
      <c r="H2624" s="39">
        <f>IF(ORCAMENTOS!I2632="","",ORCAMENTOS!I2632)</f>
        <v>48659.77</v>
      </c>
      <c r="I2624" s="60">
        <f>IF(ORCAMENTOS!J2632="","",ORCAMENTOS!J2632)</f>
        <v>7.0000000000000007E-2</v>
      </c>
      <c r="J2624" s="40" t="str">
        <f>IF(ORCAMENTOS!L2632="","",ORCAMENTOS!L2632)</f>
        <v>ORCAMENTO</v>
      </c>
      <c r="K2624" s="34" t="str">
        <f>IF(ORCAMENTOS!M2632="","",ORCAMENTOS!M2632)</f>
        <v>-</v>
      </c>
      <c r="L2624" t="str">
        <f>IF(ORCAMENTOS!R2632="","",ORCAMENTOS!R2632)</f>
        <v>-</v>
      </c>
    </row>
    <row r="2625" spans="1:12" ht="15.75" hidden="1" customHeight="1" x14ac:dyDescent="0.25">
      <c r="A2625" s="36">
        <f>IF(ORCAMENTOS!A2633="","",ORCAMENTOS!A2633)</f>
        <v>46093</v>
      </c>
      <c r="B2625" s="46">
        <f>IF(ORCAMENTOS!B2633="","",ORCAMENTOS!B2633)</f>
        <v>448</v>
      </c>
      <c r="C2625" s="46" t="str">
        <f>IF(ORCAMENTOS!C2633="","",ORCAMENTOS!C2633)</f>
        <v/>
      </c>
      <c r="D2625" s="37" t="str">
        <f>IF(ORCAMENTOS!D2633="","",ORCAMENTOS!D2633)</f>
        <v>COLD CONTROL</v>
      </c>
      <c r="E2625" s="38" t="str">
        <f>IF(ORCAMENTOS!E2633="","",ORCAMENTOS!E2633)</f>
        <v>CCR JUNDIA 2ª Fase</v>
      </c>
      <c r="F2625" s="37" t="str">
        <f>IF(ORCAMENTOS!G2633="","",ORCAMENTOS!G2633)</f>
        <v>Emanuel</v>
      </c>
      <c r="G2625" s="37" t="str">
        <f>IF(ORCAMENTOS!H2633="","",ORCAMENTOS!H2633)</f>
        <v>Armando</v>
      </c>
      <c r="H2625" s="39">
        <f>IF(ORCAMENTOS!I2633="","",ORCAMENTOS!I2633)</f>
        <v>3995.31</v>
      </c>
      <c r="I2625" s="60">
        <f>IF(ORCAMENTOS!J2633="","",ORCAMENTOS!J2633)</f>
        <v>7.0000000000000007E-2</v>
      </c>
      <c r="J2625" s="40" t="str">
        <f>IF(ORCAMENTOS!L2633="","",ORCAMENTOS!L2633)</f>
        <v>ORCAMENTO</v>
      </c>
      <c r="K2625" s="34" t="str">
        <f>IF(ORCAMENTOS!M2633="","",ORCAMENTOS!M2633)</f>
        <v>-</v>
      </c>
      <c r="L2625" t="str">
        <f>IF(ORCAMENTOS!R2633="","",ORCAMENTOS!R2633)</f>
        <v>-</v>
      </c>
    </row>
    <row r="2626" spans="1:12" ht="15.75" hidden="1" customHeight="1" x14ac:dyDescent="0.25">
      <c r="A2626" s="36">
        <f>IF(ORCAMENTOS!A2634="","",ORCAMENTOS!A2634)</f>
        <v>46093</v>
      </c>
      <c r="B2626" s="46">
        <f>IF(ORCAMENTOS!B2634="","",ORCAMENTOS!B2634)</f>
        <v>449</v>
      </c>
      <c r="C2626" s="46" t="str">
        <f>IF(ORCAMENTOS!C2634="","",ORCAMENTOS!C2634)</f>
        <v/>
      </c>
      <c r="D2626" s="37" t="str">
        <f>IF(ORCAMENTOS!D2634="","",ORCAMENTOS!D2634)</f>
        <v>ALS INDUSTRIA</v>
      </c>
      <c r="E2626" s="38" t="str">
        <f>IF(ORCAMENTOS!E2634="","",ORCAMENTOS!E2634)</f>
        <v>-</v>
      </c>
      <c r="F2626" s="37" t="str">
        <f>IF(ORCAMENTOS!G2634="","",ORCAMENTOS!G2634)</f>
        <v>Gabriel</v>
      </c>
      <c r="G2626" s="37" t="str">
        <f>IF(ORCAMENTOS!H2634="","",ORCAMENTOS!H2634)</f>
        <v>Alessandro</v>
      </c>
      <c r="H2626" s="39">
        <f>IF(ORCAMENTOS!I2634="","",ORCAMENTOS!I2634)</f>
        <v>79094.66</v>
      </c>
      <c r="I2626" s="60">
        <f>IF(ORCAMENTOS!J2634="","",ORCAMENTOS!J2634)</f>
        <v>0.05</v>
      </c>
      <c r="J2626" s="40" t="str">
        <f>IF(ORCAMENTOS!L2634="","",ORCAMENTOS!L2634)</f>
        <v>ORCAMENTO</v>
      </c>
      <c r="K2626" s="34" t="str">
        <f>IF(ORCAMENTOS!M2634="","",ORCAMENTOS!M2634)</f>
        <v>-</v>
      </c>
      <c r="L2626" t="str">
        <f>IF(ORCAMENTOS!R2634="","",ORCAMENTOS!R2634)</f>
        <v>-</v>
      </c>
    </row>
    <row r="2627" spans="1:12" ht="15.75" hidden="1" customHeight="1" x14ac:dyDescent="0.25">
      <c r="A2627" s="36">
        <f>IF(ORCAMENTOS!A2635="","",ORCAMENTOS!A2635)</f>
        <v>46093</v>
      </c>
      <c r="B2627" s="46">
        <f>IF(ORCAMENTOS!B2635="","",ORCAMENTOS!B2635)</f>
        <v>450</v>
      </c>
      <c r="C2627" s="46" t="str">
        <f>IF(ORCAMENTOS!C2635="","",ORCAMENTOS!C2635)</f>
        <v/>
      </c>
      <c r="D2627" s="37" t="str">
        <f>IF(ORCAMENTOS!D2635="","",ORCAMENTOS!D2635)</f>
        <v>MHEGA CONSTRUCOES</v>
      </c>
      <c r="E2627" s="38" t="str">
        <f>IF(ORCAMENTOS!E2635="","",ORCAMENTOS!E2635)</f>
        <v>-</v>
      </c>
      <c r="F2627" s="37" t="str">
        <f>IF(ORCAMENTOS!G2635="","",ORCAMENTOS!G2635)</f>
        <v>Gabriel</v>
      </c>
      <c r="G2627" s="37" t="str">
        <f>IF(ORCAMENTOS!H2635="","",ORCAMENTOS!H2635)</f>
        <v>Tiago</v>
      </c>
      <c r="H2627" s="39">
        <f>IF(ORCAMENTOS!I2635="","",ORCAMENTOS!I2635)</f>
        <v>32623.26</v>
      </c>
      <c r="I2627" s="60">
        <f>IF(ORCAMENTOS!J2635="","",ORCAMENTOS!J2635)</f>
        <v>7.0000000000000007E-2</v>
      </c>
      <c r="J2627" s="40" t="str">
        <f>IF(ORCAMENTOS!L2635="","",ORCAMENTOS!L2635)</f>
        <v>ORCAMENTO</v>
      </c>
      <c r="K2627" s="34" t="str">
        <f>IF(ORCAMENTOS!M2635="","",ORCAMENTOS!M2635)</f>
        <v>-</v>
      </c>
      <c r="L2627" t="str">
        <f>IF(ORCAMENTOS!R2635="","",ORCAMENTOS!R2635)</f>
        <v>-</v>
      </c>
    </row>
    <row r="2628" spans="1:12" ht="15.75" hidden="1" customHeight="1" x14ac:dyDescent="0.25">
      <c r="A2628" s="36">
        <f>IF(ORCAMENTOS!A2636="","",ORCAMENTOS!A2636)</f>
        <v>46094</v>
      </c>
      <c r="B2628" s="46">
        <f>IF(ORCAMENTOS!B2636="","",ORCAMENTOS!B2636)</f>
        <v>451</v>
      </c>
      <c r="C2628" s="46" t="str">
        <f>IF(ORCAMENTOS!C2636="","",ORCAMENTOS!C2636)</f>
        <v>R2</v>
      </c>
      <c r="D2628" s="37" t="str">
        <f>IF(ORCAMENTOS!D2636="","",ORCAMENTOS!D2636)</f>
        <v>NOSSO AR</v>
      </c>
      <c r="E2628" s="38" t="str">
        <f>IF(ORCAMENTOS!E2636="","",ORCAMENTOS!E2636)</f>
        <v>-</v>
      </c>
      <c r="F2628" s="37" t="str">
        <f>IF(ORCAMENTOS!G2636="","",ORCAMENTOS!G2636)</f>
        <v>Gabriel</v>
      </c>
      <c r="G2628" s="37" t="str">
        <f>IF(ORCAMENTOS!H2636="","",ORCAMENTOS!H2636)</f>
        <v>Leonardo</v>
      </c>
      <c r="H2628" s="39">
        <f>IF(ORCAMENTOS!I2636="","",ORCAMENTOS!I2636)</f>
        <v>4997.08</v>
      </c>
      <c r="I2628" s="60">
        <f>IF(ORCAMENTOS!J2636="","",ORCAMENTOS!J2636)</f>
        <v>7.0000000000000007E-2</v>
      </c>
      <c r="J2628" s="40" t="str">
        <f>IF(ORCAMENTOS!L2636="","",ORCAMENTOS!L2636)</f>
        <v>FECHADO</v>
      </c>
      <c r="K2628" s="34" t="str">
        <f>IF(ORCAMENTOS!M2636="","",ORCAMENTOS!M2636)</f>
        <v>-</v>
      </c>
      <c r="L2628" t="str">
        <f>IF(ORCAMENTOS!R2636="","",ORCAMENTOS!R2636)</f>
        <v>-</v>
      </c>
    </row>
    <row r="2629" spans="1:12" ht="15.75" hidden="1" customHeight="1" x14ac:dyDescent="0.25">
      <c r="A2629" s="36">
        <f>IF(ORCAMENTOS!A2637="","",ORCAMENTOS!A2637)</f>
        <v>46094</v>
      </c>
      <c r="B2629" s="46">
        <f>IF(ORCAMENTOS!B2637="","",ORCAMENTOS!B2637)</f>
        <v>452</v>
      </c>
      <c r="C2629" s="46" t="str">
        <f>IF(ORCAMENTOS!C2637="","",ORCAMENTOS!C2637)</f>
        <v>R2</v>
      </c>
      <c r="D2629" s="37" t="str">
        <f>IF(ORCAMENTOS!D2637="","",ORCAMENTOS!D2637)</f>
        <v>ADRIATIC</v>
      </c>
      <c r="E2629" s="38" t="str">
        <f>IF(ORCAMENTOS!E2637="","",ORCAMENTOS!E2637)</f>
        <v>C&amp;A 240 JND - MAXI SHOPPING JUNDIAI - SP</v>
      </c>
      <c r="F2629" s="37" t="str">
        <f>IF(ORCAMENTOS!G2637="","",ORCAMENTOS!G2637)</f>
        <v>Emanuel</v>
      </c>
      <c r="G2629" s="37" t="str">
        <f>IF(ORCAMENTOS!H2637="","",ORCAMENTOS!H2637)</f>
        <v>Erika</v>
      </c>
      <c r="H2629" s="39">
        <f>IF(ORCAMENTOS!I2637="","",ORCAMENTOS!I2637)</f>
        <v>69175.45</v>
      </c>
      <c r="I2629" s="60">
        <f>IF(ORCAMENTOS!J2637="","",ORCAMENTOS!J2637)</f>
        <v>0.03</v>
      </c>
      <c r="J2629" s="40" t="str">
        <f>IF(ORCAMENTOS!L2637="","",ORCAMENTOS!L2637)</f>
        <v>FECHADO</v>
      </c>
      <c r="K2629" s="34" t="str">
        <f>IF(ORCAMENTOS!M2637="","",ORCAMENTOS!M2637)</f>
        <v>-</v>
      </c>
      <c r="L2629" t="str">
        <f>IF(ORCAMENTOS!R2637="","",ORCAMENTOS!R2637)</f>
        <v>MPU</v>
      </c>
    </row>
    <row r="2630" spans="1:12" ht="15.75" hidden="1" customHeight="1" x14ac:dyDescent="0.25">
      <c r="A2630" s="36">
        <f>IF(ORCAMENTOS!A2638="","",ORCAMENTOS!A2638)</f>
        <v>46094</v>
      </c>
      <c r="B2630" s="46">
        <f>IF(ORCAMENTOS!B2638="","",ORCAMENTOS!B2638)</f>
        <v>453</v>
      </c>
      <c r="C2630" s="46" t="str">
        <f>IF(ORCAMENTOS!C2638="","",ORCAMENTOS!C2638)</f>
        <v/>
      </c>
      <c r="D2630" s="37" t="str">
        <f>IF(ORCAMENTOS!D2638="","",ORCAMENTOS!D2638)</f>
        <v>NEWSET</v>
      </c>
      <c r="E2630" s="38" t="str">
        <f>IF(ORCAMENTOS!E2638="","",ORCAMENTOS!E2638)</f>
        <v>CEMED</v>
      </c>
      <c r="F2630" s="37" t="str">
        <f>IF(ORCAMENTOS!G2638="","",ORCAMENTOS!G2638)</f>
        <v xml:space="preserve">Aldavir </v>
      </c>
      <c r="G2630" s="37" t="str">
        <f>IF(ORCAMENTOS!H2638="","",ORCAMENTOS!H2638)</f>
        <v>Andressa</v>
      </c>
      <c r="H2630" s="39">
        <f>IF(ORCAMENTOS!I2638="","",ORCAMENTOS!I2638)</f>
        <v>5483.5</v>
      </c>
      <c r="I2630" s="60">
        <f>IF(ORCAMENTOS!J2638="","",ORCAMENTOS!J2638)</f>
        <v>7.0000000000000007E-2</v>
      </c>
      <c r="J2630" s="40" t="str">
        <f>IF(ORCAMENTOS!L2638="","",ORCAMENTOS!L2638)</f>
        <v>FECHADO</v>
      </c>
      <c r="K2630" s="34" t="str">
        <f>IF(ORCAMENTOS!M2638="","",ORCAMENTOS!M2638)</f>
        <v>-</v>
      </c>
      <c r="L2630" t="str">
        <f>IF(ORCAMENTOS!R2638="","",ORCAMENTOS!R2638)</f>
        <v>-</v>
      </c>
    </row>
    <row r="2631" spans="1:12" ht="15.75" hidden="1" customHeight="1" x14ac:dyDescent="0.25">
      <c r="A2631" s="36">
        <f>IF(ORCAMENTOS!A2639="","",ORCAMENTOS!A2639)</f>
        <v>46094</v>
      </c>
      <c r="B2631" s="46">
        <f>IF(ORCAMENTOS!B2639="","",ORCAMENTOS!B2639)</f>
        <v>454</v>
      </c>
      <c r="C2631" s="46" t="str">
        <f>IF(ORCAMENTOS!C2639="","",ORCAMENTOS!C2639)</f>
        <v/>
      </c>
      <c r="D2631" s="37" t="str">
        <f>IF(ORCAMENTOS!D2639="","",ORCAMENTOS!D2639)</f>
        <v>NEWSET</v>
      </c>
      <c r="E2631" s="38" t="str">
        <f>IF(ORCAMENTOS!E2639="","",ORCAMENTOS!E2639)</f>
        <v>CEMED II</v>
      </c>
      <c r="F2631" s="37" t="str">
        <f>IF(ORCAMENTOS!G2639="","",ORCAMENTOS!G2639)</f>
        <v xml:space="preserve">Aldavir </v>
      </c>
      <c r="G2631" s="37" t="str">
        <f>IF(ORCAMENTOS!H2639="","",ORCAMENTOS!H2639)</f>
        <v>Andressa</v>
      </c>
      <c r="H2631" s="39">
        <f>IF(ORCAMENTOS!I2639="","",ORCAMENTOS!I2639)</f>
        <v>5934.4</v>
      </c>
      <c r="I2631" s="60">
        <f>IF(ORCAMENTOS!J2639="","",ORCAMENTOS!J2639)</f>
        <v>7.0000000000000007E-2</v>
      </c>
      <c r="J2631" s="40" t="str">
        <f>IF(ORCAMENTOS!L2639="","",ORCAMENTOS!L2639)</f>
        <v>FECHADO</v>
      </c>
      <c r="K2631" s="34" t="str">
        <f>IF(ORCAMENTOS!M2639="","",ORCAMENTOS!M2639)</f>
        <v>-</v>
      </c>
      <c r="L2631" t="str">
        <f>IF(ORCAMENTOS!R2639="","",ORCAMENTOS!R2639)</f>
        <v/>
      </c>
    </row>
    <row r="2632" spans="1:12" ht="15.75" hidden="1" customHeight="1" x14ac:dyDescent="0.25">
      <c r="A2632" s="36">
        <f>IF(ORCAMENTOS!A2640="","",ORCAMENTOS!A2640)</f>
        <v>46094</v>
      </c>
      <c r="B2632" s="46">
        <f>IF(ORCAMENTOS!B2640="","",ORCAMENTOS!B2640)</f>
        <v>455</v>
      </c>
      <c r="C2632" s="46" t="str">
        <f>IF(ORCAMENTOS!C2640="","",ORCAMENTOS!C2640)</f>
        <v/>
      </c>
      <c r="D2632" s="37" t="str">
        <f>IF(ORCAMENTOS!D2640="","",ORCAMENTOS!D2640)</f>
        <v>AIR CONDYGIO</v>
      </c>
      <c r="E2632" s="38" t="str">
        <f>IF(ORCAMENTOS!E2640="","",ORCAMENTOS!E2640)</f>
        <v>ADRIANO E VANESSA</v>
      </c>
      <c r="F2632" s="37" t="str">
        <f>IF(ORCAMENTOS!G2640="","",ORCAMENTOS!G2640)</f>
        <v>Gabriel</v>
      </c>
      <c r="G2632" s="37" t="str">
        <f>IF(ORCAMENTOS!H2640="","",ORCAMENTOS!H2640)</f>
        <v>David</v>
      </c>
      <c r="H2632" s="39">
        <f>IF(ORCAMENTOS!I2640="","",ORCAMENTOS!I2640)</f>
        <v>11785.22</v>
      </c>
      <c r="I2632" s="60">
        <f>IF(ORCAMENTOS!J2640="","",ORCAMENTOS!J2640)</f>
        <v>7.0000000000000007E-2</v>
      </c>
      <c r="J2632" s="40" t="str">
        <f>IF(ORCAMENTOS!L2640="","",ORCAMENTOS!L2640)</f>
        <v>ORCAMENTO</v>
      </c>
      <c r="K2632" s="34" t="str">
        <f>IF(ORCAMENTOS!M2640="","",ORCAMENTOS!M2640)</f>
        <v>-</v>
      </c>
      <c r="L2632" t="str">
        <f>IF(ORCAMENTOS!R2640="","",ORCAMENTOS!R2640)</f>
        <v/>
      </c>
    </row>
    <row r="2633" spans="1:12" ht="15.75" hidden="1" customHeight="1" x14ac:dyDescent="0.25">
      <c r="A2633" s="36">
        <f>IF(ORCAMENTOS!A2641="","",ORCAMENTOS!A2641)</f>
        <v>46094</v>
      </c>
      <c r="B2633" s="46">
        <f>IF(ORCAMENTOS!B2641="","",ORCAMENTOS!B2641)</f>
        <v>456</v>
      </c>
      <c r="C2633" s="46" t="str">
        <f>IF(ORCAMENTOS!C2641="","",ORCAMENTOS!C2641)</f>
        <v/>
      </c>
      <c r="D2633" s="37" t="str">
        <f>IF(ORCAMENTOS!D2641="","",ORCAMENTOS!D2641)</f>
        <v>INOVACAO AR</v>
      </c>
      <c r="E2633" s="38" t="str">
        <f>IF(ORCAMENTOS!E2641="","",ORCAMENTOS!E2641)</f>
        <v>SULMEDIC - COMERCIO DE MEDICAMENTOS - CONDOMINIO BUSSINES PARK</v>
      </c>
      <c r="F2633" s="37" t="str">
        <f>IF(ORCAMENTOS!G2641="","",ORCAMENTOS!G2641)</f>
        <v>Gabriel</v>
      </c>
      <c r="G2633" s="37" t="str">
        <f>IF(ORCAMENTOS!H2641="","",ORCAMENTOS!H2641)</f>
        <v>Rosania</v>
      </c>
      <c r="H2633" s="39">
        <f>IF(ORCAMENTOS!I2641="","",ORCAMENTOS!I2641)</f>
        <v>277779.84000000003</v>
      </c>
      <c r="I2633" s="60">
        <f>IF(ORCAMENTOS!J2641="","",ORCAMENTOS!J2641)</f>
        <v>7.0000000000000007E-2</v>
      </c>
      <c r="J2633" s="40" t="str">
        <f>IF(ORCAMENTOS!L2641="","",ORCAMENTOS!L2641)</f>
        <v>ORCAMENTO</v>
      </c>
      <c r="K2633" s="34" t="str">
        <f>IF(ORCAMENTOS!M2641="","",ORCAMENTOS!M2641)</f>
        <v>-</v>
      </c>
      <c r="L2633" t="str">
        <f>IF(ORCAMENTOS!R2641="","",ORCAMENTOS!R2641)</f>
        <v>MPU</v>
      </c>
    </row>
    <row r="2634" spans="1:12" ht="15.75" hidden="1" customHeight="1" x14ac:dyDescent="0.25">
      <c r="A2634" s="36">
        <f>IF(ORCAMENTOS!A2642="","",ORCAMENTOS!A2642)</f>
        <v>46094</v>
      </c>
      <c r="B2634" s="46">
        <f>IF(ORCAMENTOS!B2642="","",ORCAMENTOS!B2642)</f>
        <v>457</v>
      </c>
      <c r="C2634" s="46" t="str">
        <f>IF(ORCAMENTOS!C2642="","",ORCAMENTOS!C2642)</f>
        <v/>
      </c>
      <c r="D2634" s="37" t="str">
        <f>IF(ORCAMENTOS!D2642="","",ORCAMENTOS!D2642)</f>
        <v>AWA AR CONDICIONADO</v>
      </c>
      <c r="E2634" s="38" t="str">
        <f>IF(ORCAMENTOS!E2642="","",ORCAMENTOS!E2642)</f>
        <v>ATACADAO - MOGI DAS CRUZES MODERNO - SP</v>
      </c>
      <c r="F2634" s="37" t="str">
        <f>IF(ORCAMENTOS!G2642="","",ORCAMENTOS!G2642)</f>
        <v>Guilherme</v>
      </c>
      <c r="G2634" s="37" t="str">
        <f>IF(ORCAMENTOS!H2642="","",ORCAMENTOS!H2642)</f>
        <v>Guilherme</v>
      </c>
      <c r="H2634" s="39">
        <f>IF(ORCAMENTOS!I2642="","",ORCAMENTOS!I2642)</f>
        <v>156924.20000000001</v>
      </c>
      <c r="I2634" s="60">
        <f>IF(ORCAMENTOS!J2642="","",ORCAMENTOS!J2642)</f>
        <v>7.0000000000000007E-2</v>
      </c>
      <c r="J2634" s="40" t="str">
        <f>IF(ORCAMENTOS!L2642="","",ORCAMENTOS!L2642)</f>
        <v>ORCAMENTO</v>
      </c>
      <c r="K2634" s="34" t="str">
        <f>IF(ORCAMENTOS!M2642="","",ORCAMENTOS!M2642)</f>
        <v>-</v>
      </c>
      <c r="L2634" t="str">
        <f>IF(ORCAMENTOS!R2642="","",ORCAMENTOS!R2642)</f>
        <v>MPU</v>
      </c>
    </row>
    <row r="2635" spans="1:12" ht="15.75" hidden="1" customHeight="1" x14ac:dyDescent="0.25">
      <c r="A2635" s="36">
        <f>IF(ORCAMENTOS!A2643="","",ORCAMENTOS!A2643)</f>
        <v>46094</v>
      </c>
      <c r="B2635" s="46">
        <f>IF(ORCAMENTOS!B2643="","",ORCAMENTOS!B2643)</f>
        <v>458</v>
      </c>
      <c r="C2635" s="46" t="str">
        <f>IF(ORCAMENTOS!C2643="","",ORCAMENTOS!C2643)</f>
        <v/>
      </c>
      <c r="D2635" s="37" t="str">
        <f>IF(ORCAMENTOS!D2643="","",ORCAMENTOS!D2643)</f>
        <v>AEROGHERMIC</v>
      </c>
      <c r="E2635" s="38" t="str">
        <f>IF(ORCAMENTOS!E2643="","",ORCAMENTOS!E2643)</f>
        <v>ON RUNNING MORUMBI - SÃO PAULO - SP</v>
      </c>
      <c r="F2635" s="37" t="str">
        <f>IF(ORCAMENTOS!G2643="","",ORCAMENTOS!G2643)</f>
        <v>Fernando</v>
      </c>
      <c r="G2635" s="37" t="str">
        <f>IF(ORCAMENTOS!H2643="","",ORCAMENTOS!H2643)</f>
        <v>Claudio</v>
      </c>
      <c r="H2635" s="39">
        <f>IF(ORCAMENTOS!I2643="","",ORCAMENTOS!I2643)</f>
        <v>39076.959999999999</v>
      </c>
      <c r="I2635" s="60">
        <f>IF(ORCAMENTOS!J2643="","",ORCAMENTOS!J2643)</f>
        <v>7.0000000000000007E-2</v>
      </c>
      <c r="J2635" s="40" t="str">
        <f>IF(ORCAMENTOS!L2643="","",ORCAMENTOS!L2643)</f>
        <v>ORCAMENTO</v>
      </c>
      <c r="K2635" s="34" t="str">
        <f>IF(ORCAMENTOS!M2643="","",ORCAMENTOS!M2643)</f>
        <v>-</v>
      </c>
      <c r="L2635" t="str">
        <f>IF(ORCAMENTOS!R2643="","",ORCAMENTOS!R2643)</f>
        <v>MPU</v>
      </c>
    </row>
    <row r="2636" spans="1:12" ht="15.75" hidden="1" customHeight="1" x14ac:dyDescent="0.25">
      <c r="A2636" s="36">
        <f>IF(ORCAMENTOS!A2644="","",ORCAMENTOS!A2644)</f>
        <v>46094</v>
      </c>
      <c r="B2636" s="46">
        <f>IF(ORCAMENTOS!B2644="","",ORCAMENTOS!B2644)</f>
        <v>459</v>
      </c>
      <c r="C2636" s="46" t="str">
        <f>IF(ORCAMENTOS!C2644="","",ORCAMENTOS!C2644)</f>
        <v/>
      </c>
      <c r="D2636" s="37" t="str">
        <f>IF(ORCAMENTOS!D2644="","",ORCAMENTOS!D2644)</f>
        <v>NEWSET</v>
      </c>
      <c r="E2636" s="38" t="str">
        <f>IF(ORCAMENTOS!E2644="","",ORCAMENTOS!E2644)</f>
        <v>REDE DOR TATUAPE</v>
      </c>
      <c r="F2636" s="37" t="str">
        <f>IF(ORCAMENTOS!G2644="","",ORCAMENTOS!G2644)</f>
        <v xml:space="preserve">Aldavir </v>
      </c>
      <c r="G2636" s="37" t="str">
        <f>IF(ORCAMENTOS!H2644="","",ORCAMENTOS!H2644)</f>
        <v>Karina</v>
      </c>
      <c r="H2636" s="39">
        <f>IF(ORCAMENTOS!I2644="","",ORCAMENTOS!I2644)</f>
        <v>20431.7</v>
      </c>
      <c r="I2636" s="60">
        <f>IF(ORCAMENTOS!J2644="","",ORCAMENTOS!J2644)</f>
        <v>7.0000000000000007E-2</v>
      </c>
      <c r="J2636" s="40" t="str">
        <f>IF(ORCAMENTOS!L2644="","",ORCAMENTOS!L2644)</f>
        <v>FECHADO</v>
      </c>
      <c r="K2636" s="34" t="str">
        <f>IF(ORCAMENTOS!M2644="","",ORCAMENTOS!M2644)</f>
        <v>-</v>
      </c>
      <c r="L2636" t="str">
        <f>IF(ORCAMENTOS!R2644="","",ORCAMENTOS!R2644)</f>
        <v>-</v>
      </c>
    </row>
    <row r="2637" spans="1:12" ht="15.75" hidden="1" customHeight="1" x14ac:dyDescent="0.25">
      <c r="A2637" s="36">
        <f>IF(ORCAMENTOS!A2645="","",ORCAMENTOS!A2645)</f>
        <v>46098</v>
      </c>
      <c r="B2637" s="46">
        <f>IF(ORCAMENTOS!B2645="","",ORCAMENTOS!B2645)</f>
        <v>460</v>
      </c>
      <c r="C2637" s="46" t="str">
        <f>IF(ORCAMENTOS!C2645="","",ORCAMENTOS!C2645)</f>
        <v>R1</v>
      </c>
      <c r="D2637" s="37" t="str">
        <f>IF(ORCAMENTOS!D2645="","",ORCAMENTOS!D2645)</f>
        <v>CE PRIME</v>
      </c>
      <c r="E2637" s="38" t="str">
        <f>IF(ORCAMENTOS!E2645="","",ORCAMENTOS!E2645)</f>
        <v>CLINICA NEFROLOGICA</v>
      </c>
      <c r="F2637" s="37" t="str">
        <f>IF(ORCAMENTOS!G2645="","",ORCAMENTOS!G2645)</f>
        <v>Michel</v>
      </c>
      <c r="G2637" s="37" t="str">
        <f>IF(ORCAMENTOS!H2645="","",ORCAMENTOS!H2645)</f>
        <v>Danilo</v>
      </c>
      <c r="H2637" s="39">
        <f>IF(ORCAMENTOS!I2645="","",ORCAMENTOS!I2645)</f>
        <v>1131.21</v>
      </c>
      <c r="I2637" s="60">
        <f>IF(ORCAMENTOS!J2645="","",ORCAMENTOS!J2645)</f>
        <v>7.0000000000000007E-2</v>
      </c>
      <c r="J2637" s="40" t="str">
        <f>IF(ORCAMENTOS!L2645="","",ORCAMENTOS!L2645)</f>
        <v>FECHADO</v>
      </c>
      <c r="K2637" s="34" t="str">
        <f>IF(ORCAMENTOS!M2645="","",ORCAMENTOS!M2645)</f>
        <v>-</v>
      </c>
      <c r="L2637" t="str">
        <f>IF(ORCAMENTOS!R2645="","",ORCAMENTOS!R2645)</f>
        <v>-</v>
      </c>
    </row>
    <row r="2638" spans="1:12" ht="15.75" hidden="1" customHeight="1" x14ac:dyDescent="0.25">
      <c r="A2638" s="36">
        <f>IF(ORCAMENTOS!A2646="","",ORCAMENTOS!A2646)</f>
        <v>46098</v>
      </c>
      <c r="B2638" s="46">
        <f>IF(ORCAMENTOS!B2646="","",ORCAMENTOS!B2646)</f>
        <v>461</v>
      </c>
      <c r="C2638" s="46" t="str">
        <f>IF(ORCAMENTOS!C2646="","",ORCAMENTOS!C2646)</f>
        <v>R3</v>
      </c>
      <c r="D2638" s="37" t="str">
        <f>IF(ORCAMENTOS!D2646="","",ORCAMENTOS!D2646)</f>
        <v>MSE ENGENHARIA</v>
      </c>
      <c r="E2638" s="38" t="str">
        <f>IF(ORCAMENTOS!E2646="","",ORCAMENTOS!E2646)</f>
        <v>CNPEM - AUDITORIO SIRIUS</v>
      </c>
      <c r="F2638" s="37" t="str">
        <f>IF(ORCAMENTOS!G2646="","",ORCAMENTOS!G2646)</f>
        <v>Gabriel</v>
      </c>
      <c r="G2638" s="37" t="str">
        <f>IF(ORCAMENTOS!H2646="","",ORCAMENTOS!H2646)</f>
        <v>Milton</v>
      </c>
      <c r="H2638" s="39">
        <f>IF(ORCAMENTOS!I2646="","",ORCAMENTOS!I2646)</f>
        <v>78774.95</v>
      </c>
      <c r="I2638" s="60">
        <f>IF(ORCAMENTOS!J2646="","",ORCAMENTOS!J2646)</f>
        <v>0.05</v>
      </c>
      <c r="J2638" s="40" t="str">
        <f>IF(ORCAMENTOS!L2646="","",ORCAMENTOS!L2646)</f>
        <v>FECHADO</v>
      </c>
      <c r="K2638" s="34" t="str">
        <f>IF(ORCAMENTOS!M2646="","",ORCAMENTOS!M2646)</f>
        <v>-</v>
      </c>
      <c r="L2638" t="str">
        <f>IF(ORCAMENTOS!R2646="","",ORCAMENTOS!R2646)</f>
        <v>-</v>
      </c>
    </row>
    <row r="2639" spans="1:12" ht="15.75" hidden="1" customHeight="1" x14ac:dyDescent="0.25">
      <c r="A2639" s="36">
        <f>IF(ORCAMENTOS!A2647="","",ORCAMENTOS!A2647)</f>
        <v>46097</v>
      </c>
      <c r="B2639" s="46">
        <f>IF(ORCAMENTOS!B2647="","",ORCAMENTOS!B2647)</f>
        <v>462</v>
      </c>
      <c r="C2639" s="46" t="str">
        <f>IF(ORCAMENTOS!C2647="","",ORCAMENTOS!C2647)</f>
        <v/>
      </c>
      <c r="D2639" s="37" t="str">
        <f>IF(ORCAMENTOS!D2647="","",ORCAMENTOS!D2647)</f>
        <v>CHD SISTEMAS</v>
      </c>
      <c r="E2639" s="38" t="str">
        <f>IF(ORCAMENTOS!E2647="","",ORCAMENTOS!E2647)</f>
        <v>-</v>
      </c>
      <c r="F2639" s="37" t="str">
        <f>IF(ORCAMENTOS!G2647="","",ORCAMENTOS!G2647)</f>
        <v>Fernando</v>
      </c>
      <c r="G2639" s="37" t="str">
        <f>IF(ORCAMENTOS!H2647="","",ORCAMENTOS!H2647)</f>
        <v>Paulo</v>
      </c>
      <c r="H2639" s="39">
        <f>IF(ORCAMENTOS!I2647="","",ORCAMENTOS!I2647)</f>
        <v>45378.68</v>
      </c>
      <c r="I2639" s="60">
        <f>IF(ORCAMENTOS!J2647="","",ORCAMENTOS!J2647)</f>
        <v>0.03</v>
      </c>
      <c r="J2639" s="40" t="str">
        <f>IF(ORCAMENTOS!L2647="","",ORCAMENTOS!L2647)</f>
        <v>FECHADO</v>
      </c>
      <c r="K2639" s="34" t="str">
        <f>IF(ORCAMENTOS!M2647="","",ORCAMENTOS!M2647)</f>
        <v>-</v>
      </c>
      <c r="L2639" t="str">
        <f>IF(ORCAMENTOS!R2647="","",ORCAMENTOS!R2647)</f>
        <v/>
      </c>
    </row>
    <row r="2640" spans="1:12" ht="15.75" hidden="1" customHeight="1" x14ac:dyDescent="0.25">
      <c r="A2640" s="36">
        <f>IF(ORCAMENTOS!A2648="","",ORCAMENTOS!A2648)</f>
        <v>46094</v>
      </c>
      <c r="B2640" s="46">
        <f>IF(ORCAMENTOS!B2648="","",ORCAMENTOS!B2648)</f>
        <v>463</v>
      </c>
      <c r="C2640" s="46" t="str">
        <f>IF(ORCAMENTOS!C2648="","",ORCAMENTOS!C2648)</f>
        <v/>
      </c>
      <c r="D2640" s="37" t="str">
        <f>IF(ORCAMENTOS!D2648="","",ORCAMENTOS!D2648)</f>
        <v>ASF SERVICOS</v>
      </c>
      <c r="E2640" s="38" t="str">
        <f>IF(ORCAMENTOS!E2648="","",ORCAMENTOS!E2648)</f>
        <v>ATC SUZANO</v>
      </c>
      <c r="F2640" s="37" t="str">
        <f>IF(ORCAMENTOS!G2648="","",ORCAMENTOS!G2648)</f>
        <v>Fernando</v>
      </c>
      <c r="G2640" s="37" t="str">
        <f>IF(ORCAMENTOS!H2648="","",ORCAMENTOS!H2648)</f>
        <v>Andre</v>
      </c>
      <c r="H2640" s="39">
        <f>IF(ORCAMENTOS!I2648="","",ORCAMENTOS!I2648)</f>
        <v>169870.07</v>
      </c>
      <c r="I2640" s="60">
        <f>IF(ORCAMENTOS!J2648="","",ORCAMENTOS!J2648)</f>
        <v>0.04</v>
      </c>
      <c r="J2640" s="40" t="str">
        <f>IF(ORCAMENTOS!L2648="","",ORCAMENTOS!L2648)</f>
        <v>ORCAMENTO</v>
      </c>
      <c r="K2640" s="34" t="str">
        <f>IF(ORCAMENTOS!M2648="","",ORCAMENTOS!M2648)</f>
        <v>-</v>
      </c>
      <c r="L2640" t="str">
        <f>IF(ORCAMENTOS!R2648="","",ORCAMENTOS!R2648)</f>
        <v>-</v>
      </c>
    </row>
    <row r="2641" spans="1:12" ht="15.75" hidden="1" customHeight="1" x14ac:dyDescent="0.25">
      <c r="A2641" s="36">
        <f>IF(ORCAMENTOS!A2649="","",ORCAMENTOS!A2649)</f>
        <v>46097</v>
      </c>
      <c r="B2641" s="46">
        <f>IF(ORCAMENTOS!B2649="","",ORCAMENTOS!B2649)</f>
        <v>464</v>
      </c>
      <c r="C2641" s="46" t="str">
        <f>IF(ORCAMENTOS!C2649="","",ORCAMENTOS!C2649)</f>
        <v>R2</v>
      </c>
      <c r="D2641" s="37" t="str">
        <f>IF(ORCAMENTOS!D2649="","",ORCAMENTOS!D2649)</f>
        <v>ISOTEMP</v>
      </c>
      <c r="E2641" s="38" t="str">
        <f>IF(ORCAMENTOS!E2649="","",ORCAMENTOS!E2649)</f>
        <v>HUNTINGTON</v>
      </c>
      <c r="F2641" s="37" t="str">
        <f>IF(ORCAMENTOS!G2649="","",ORCAMENTOS!G2649)</f>
        <v>Michel</v>
      </c>
      <c r="G2641" s="37" t="str">
        <f>IF(ORCAMENTOS!H2649="","",ORCAMENTOS!H2649)</f>
        <v>Vinicius</v>
      </c>
      <c r="H2641" s="39">
        <f>IF(ORCAMENTOS!I2649="","",ORCAMENTOS!I2649)</f>
        <v>2977.11</v>
      </c>
      <c r="I2641" s="60">
        <f>IF(ORCAMENTOS!J2649="","",ORCAMENTOS!J2649)</f>
        <v>0.04</v>
      </c>
      <c r="J2641" s="40" t="str">
        <f>IF(ORCAMENTOS!L2649="","",ORCAMENTOS!L2649)</f>
        <v>FECHADO</v>
      </c>
      <c r="K2641" s="34" t="str">
        <f>IF(ORCAMENTOS!M2649="","",ORCAMENTOS!M2649)</f>
        <v>-</v>
      </c>
      <c r="L2641" t="str">
        <f>IF(ORCAMENTOS!R2649="","",ORCAMENTOS!R2649)</f>
        <v>-</v>
      </c>
    </row>
    <row r="2642" spans="1:12" ht="15.75" hidden="1" customHeight="1" x14ac:dyDescent="0.25">
      <c r="A2642" s="36">
        <f>IF(ORCAMENTOS!A2650="","",ORCAMENTOS!A2650)</f>
        <v>46097</v>
      </c>
      <c r="B2642" s="46">
        <f>IF(ORCAMENTOS!B2650="","",ORCAMENTOS!B2650)</f>
        <v>465</v>
      </c>
      <c r="C2642" s="46" t="str">
        <f>IF(ORCAMENTOS!C2650="","",ORCAMENTOS!C2650)</f>
        <v/>
      </c>
      <c r="D2642" s="37" t="str">
        <f>IF(ORCAMENTOS!D2650="","",ORCAMENTOS!D2650)</f>
        <v>AWA AR CONDICIONADO</v>
      </c>
      <c r="E2642" s="38" t="str">
        <f>IF(ORCAMENTOS!E2650="","",ORCAMENTOS!E2650)</f>
        <v>ATACADAO - LOJA ARAGUAINA - TO</v>
      </c>
      <c r="F2642" s="37" t="str">
        <f>IF(ORCAMENTOS!G2650="","",ORCAMENTOS!G2650)</f>
        <v>Guilherme</v>
      </c>
      <c r="G2642" s="37" t="str">
        <f>IF(ORCAMENTOS!H2650="","",ORCAMENTOS!H2650)</f>
        <v>Guilherme</v>
      </c>
      <c r="H2642" s="39">
        <f>IF(ORCAMENTOS!I2650="","",ORCAMENTOS!I2650)</f>
        <v>207229.89</v>
      </c>
      <c r="I2642" s="60">
        <f>IF(ORCAMENTOS!J2650="","",ORCAMENTOS!J2650)</f>
        <v>0.05</v>
      </c>
      <c r="J2642" s="40" t="str">
        <f>IF(ORCAMENTOS!L2650="","",ORCAMENTOS!L2650)</f>
        <v>ORCAMENTO</v>
      </c>
      <c r="K2642" s="34" t="str">
        <f>IF(ORCAMENTOS!M2650="","",ORCAMENTOS!M2650)</f>
        <v>-</v>
      </c>
      <c r="L2642" t="str">
        <f>IF(ORCAMENTOS!R2650="","",ORCAMENTOS!R2650)</f>
        <v>MPU</v>
      </c>
    </row>
    <row r="2643" spans="1:12" ht="15.75" hidden="1" customHeight="1" x14ac:dyDescent="0.25">
      <c r="A2643" s="36">
        <f>IF(ORCAMENTOS!A2651="","",ORCAMENTOS!A2651)</f>
        <v>46097</v>
      </c>
      <c r="B2643" s="46">
        <f>IF(ORCAMENTOS!B2651="","",ORCAMENTOS!B2651)</f>
        <v>466</v>
      </c>
      <c r="C2643" s="46" t="str">
        <f>IF(ORCAMENTOS!C2651="","",ORCAMENTOS!C2651)</f>
        <v/>
      </c>
      <c r="D2643" s="37" t="str">
        <f>IF(ORCAMENTOS!D2651="","",ORCAMENTOS!D2651)</f>
        <v>REWELL</v>
      </c>
      <c r="E2643" s="38" t="str">
        <f>IF(ORCAMENTOS!E2651="","",ORCAMENTOS!E2651)</f>
        <v>-</v>
      </c>
      <c r="F2643" s="37" t="str">
        <f>IF(ORCAMENTOS!G2651="","",ORCAMENTOS!G2651)</f>
        <v>Gabriel</v>
      </c>
      <c r="G2643" s="37" t="str">
        <f>IF(ORCAMENTOS!H2651="","",ORCAMENTOS!H2651)</f>
        <v>Rewell</v>
      </c>
      <c r="H2643" s="39">
        <f>IF(ORCAMENTOS!I2651="","",ORCAMENTOS!I2651)</f>
        <v>3450</v>
      </c>
      <c r="I2643" s="60">
        <f>IF(ORCAMENTOS!J2651="","",ORCAMENTOS!J2651)</f>
        <v>7.0000000000000007E-2</v>
      </c>
      <c r="J2643" s="40" t="str">
        <f>IF(ORCAMENTOS!L2651="","",ORCAMENTOS!L2651)</f>
        <v>ORCAMENTO</v>
      </c>
      <c r="K2643" s="34" t="str">
        <f>IF(ORCAMENTOS!M2651="","",ORCAMENTOS!M2651)</f>
        <v>-</v>
      </c>
      <c r="L2643" t="str">
        <f>IF(ORCAMENTOS!R2651="","",ORCAMENTOS!R2651)</f>
        <v>-</v>
      </c>
    </row>
    <row r="2644" spans="1:12" ht="15.75" hidden="1" customHeight="1" x14ac:dyDescent="0.25">
      <c r="A2644" s="36">
        <f>IF(ORCAMENTOS!A2652="","",ORCAMENTOS!A2652)</f>
        <v>46097</v>
      </c>
      <c r="B2644" s="46">
        <f>IF(ORCAMENTOS!B2652="","",ORCAMENTOS!B2652)</f>
        <v>467</v>
      </c>
      <c r="C2644" s="46" t="str">
        <f>IF(ORCAMENTOS!C2652="","",ORCAMENTOS!C2652)</f>
        <v/>
      </c>
      <c r="D2644" s="37" t="str">
        <f>IF(ORCAMENTOS!D2652="","",ORCAMENTOS!D2652)</f>
        <v>ECOLOGIC AIR</v>
      </c>
      <c r="E2644" s="38" t="str">
        <f>IF(ORCAMENTOS!E2652="","",ORCAMENTOS!E2652)</f>
        <v>HUAWEI - RECIFE - PE</v>
      </c>
      <c r="F2644" s="37" t="str">
        <f>IF(ORCAMENTOS!G2652="","",ORCAMENTOS!G2652)</f>
        <v>Michel</v>
      </c>
      <c r="G2644" s="37" t="str">
        <f>IF(ORCAMENTOS!H2652="","",ORCAMENTOS!H2652)</f>
        <v>Vinicius</v>
      </c>
      <c r="H2644" s="39">
        <f>IF(ORCAMENTOS!I2652="","",ORCAMENTOS!I2652)</f>
        <v>18211.77</v>
      </c>
      <c r="I2644" s="60">
        <f>IF(ORCAMENTOS!J2652="","",ORCAMENTOS!J2652)</f>
        <v>7.0000000000000007E-2</v>
      </c>
      <c r="J2644" s="40" t="str">
        <f>IF(ORCAMENTOS!L2652="","",ORCAMENTOS!L2652)</f>
        <v>CANCELADO</v>
      </c>
      <c r="K2644" s="34" t="str">
        <f>IF(ORCAMENTOS!M2652="","",ORCAMENTOS!M2652)</f>
        <v>-</v>
      </c>
      <c r="L2644" t="str">
        <f>IF(ORCAMENTOS!R2652="","",ORCAMENTOS!R2652)</f>
        <v>N/E</v>
      </c>
    </row>
    <row r="2645" spans="1:12" ht="15.75" hidden="1" customHeight="1" x14ac:dyDescent="0.25">
      <c r="A2645" s="36">
        <f>IF(ORCAMENTOS!A2653="","",ORCAMENTOS!A2653)</f>
        <v>46097</v>
      </c>
      <c r="B2645" s="46">
        <f>IF(ORCAMENTOS!B2653="","",ORCAMENTOS!B2653)</f>
        <v>468</v>
      </c>
      <c r="C2645" s="46" t="str">
        <f>IF(ORCAMENTOS!C2653="","",ORCAMENTOS!C2653)</f>
        <v/>
      </c>
      <c r="D2645" s="37" t="str">
        <f>IF(ORCAMENTOS!D2653="","",ORCAMENTOS!D2653)</f>
        <v>NEWSET</v>
      </c>
      <c r="E2645" s="38" t="str">
        <f>IF(ORCAMENTOS!E2653="","",ORCAMENTOS!E2653)</f>
        <v>NSP.177C.25 - UNIMED SÃO CARLOS</v>
      </c>
      <c r="F2645" s="37" t="str">
        <f>IF(ORCAMENTOS!G2653="","",ORCAMENTOS!G2653)</f>
        <v xml:space="preserve">Aldavir </v>
      </c>
      <c r="G2645" s="37" t="str">
        <f>IF(ORCAMENTOS!H2653="","",ORCAMENTOS!H2653)</f>
        <v>Rodrigo</v>
      </c>
      <c r="H2645" s="39">
        <f>IF(ORCAMENTOS!I2653="","",ORCAMENTOS!I2653)</f>
        <v>693607.18</v>
      </c>
      <c r="I2645" s="60">
        <f>IF(ORCAMENTOS!J2653="","",ORCAMENTOS!J2653)</f>
        <v>7.0000000000000007E-2</v>
      </c>
      <c r="J2645" s="40" t="str">
        <f>IF(ORCAMENTOS!L2653="","",ORCAMENTOS!L2653)</f>
        <v>ORCAMENTO</v>
      </c>
      <c r="K2645" s="34" t="str">
        <f>IF(ORCAMENTOS!M2653="","",ORCAMENTOS!M2653)</f>
        <v>-</v>
      </c>
      <c r="L2645" t="str">
        <f>IF(ORCAMENTOS!R2653="","",ORCAMENTOS!R2653)</f>
        <v>-</v>
      </c>
    </row>
    <row r="2646" spans="1:12" ht="15.75" hidden="1" customHeight="1" x14ac:dyDescent="0.25">
      <c r="A2646" s="36">
        <f>IF(ORCAMENTOS!A2654="","",ORCAMENTOS!A2654)</f>
        <v>46097</v>
      </c>
      <c r="B2646" s="46">
        <f>IF(ORCAMENTOS!B2654="","",ORCAMENTOS!B2654)</f>
        <v>469</v>
      </c>
      <c r="C2646" s="46" t="str">
        <f>IF(ORCAMENTOS!C2654="","",ORCAMENTOS!C2654)</f>
        <v/>
      </c>
      <c r="D2646" s="37" t="str">
        <f>IF(ORCAMENTOS!D2654="","",ORCAMENTOS!D2654)</f>
        <v>NOSSO AR</v>
      </c>
      <c r="E2646" s="38" t="str">
        <f>IF(ORCAMENTOS!E2654="","",ORCAMENTOS!E2654)</f>
        <v>-</v>
      </c>
      <c r="F2646" s="37" t="str">
        <f>IF(ORCAMENTOS!G2654="","",ORCAMENTOS!G2654)</f>
        <v>Gabriel</v>
      </c>
      <c r="G2646" s="37" t="str">
        <f>IF(ORCAMENTOS!H2654="","",ORCAMENTOS!H2654)</f>
        <v>Lucimeire</v>
      </c>
      <c r="H2646" s="39">
        <f>IF(ORCAMENTOS!I2654="","",ORCAMENTOS!I2654)</f>
        <v>70592.72</v>
      </c>
      <c r="I2646" s="60">
        <f>IF(ORCAMENTOS!J2654="","",ORCAMENTOS!J2654)</f>
        <v>7.0000000000000007E-2</v>
      </c>
      <c r="J2646" s="40" t="str">
        <f>IF(ORCAMENTOS!L2654="","",ORCAMENTOS!L2654)</f>
        <v>ORCAMENTO</v>
      </c>
      <c r="K2646" s="34" t="str">
        <f>IF(ORCAMENTOS!M2654="","",ORCAMENTOS!M2654)</f>
        <v>-</v>
      </c>
      <c r="L2646" t="str">
        <f>IF(ORCAMENTOS!R2654="","",ORCAMENTOS!R2654)</f>
        <v>-</v>
      </c>
    </row>
    <row r="2647" spans="1:12" ht="15.75" hidden="1" customHeight="1" x14ac:dyDescent="0.25">
      <c r="A2647" s="36">
        <f>IF(ORCAMENTOS!A2655="","",ORCAMENTOS!A2655)</f>
        <v>46097</v>
      </c>
      <c r="B2647" s="46">
        <f>IF(ORCAMENTOS!B2655="","",ORCAMENTOS!B2655)</f>
        <v>470</v>
      </c>
      <c r="C2647" s="46" t="str">
        <f>IF(ORCAMENTOS!C2655="","",ORCAMENTOS!C2655)</f>
        <v>R1</v>
      </c>
      <c r="D2647" s="37" t="str">
        <f>IF(ORCAMENTOS!D2655="","",ORCAMENTOS!D2655)</f>
        <v>AIRCAM</v>
      </c>
      <c r="E2647" s="38" t="str">
        <f>IF(ORCAMENTOS!E2655="","",ORCAMENTOS!E2655)</f>
        <v>-</v>
      </c>
      <c r="F2647" s="37" t="str">
        <f>IF(ORCAMENTOS!G2655="","",ORCAMENTOS!G2655)</f>
        <v>Gabriel</v>
      </c>
      <c r="G2647" s="37" t="str">
        <f>IF(ORCAMENTOS!H2655="","",ORCAMENTOS!H2655)</f>
        <v>Karina</v>
      </c>
      <c r="H2647" s="39">
        <f>IF(ORCAMENTOS!I2655="","",ORCAMENTOS!I2655)</f>
        <v>529.94000000000005</v>
      </c>
      <c r="I2647" s="60">
        <f>IF(ORCAMENTOS!J2655="","",ORCAMENTOS!J2655)</f>
        <v>7.0000000000000007E-2</v>
      </c>
      <c r="J2647" s="40" t="str">
        <f>IF(ORCAMENTOS!L2655="","",ORCAMENTOS!L2655)</f>
        <v>FECHADO</v>
      </c>
      <c r="K2647" s="34" t="str">
        <f>IF(ORCAMENTOS!M2655="","",ORCAMENTOS!M2655)</f>
        <v>-</v>
      </c>
      <c r="L2647" t="str">
        <f>IF(ORCAMENTOS!R2655="","",ORCAMENTOS!R2655)</f>
        <v>-</v>
      </c>
    </row>
    <row r="2648" spans="1:12" ht="15.75" hidden="1" customHeight="1" x14ac:dyDescent="0.25">
      <c r="A2648" s="36">
        <f>IF(ORCAMENTOS!A2656="","",ORCAMENTOS!A2656)</f>
        <v>46097</v>
      </c>
      <c r="B2648" s="46">
        <f>IF(ORCAMENTOS!B2656="","",ORCAMENTOS!B2656)</f>
        <v>471</v>
      </c>
      <c r="C2648" s="46" t="str">
        <f>IF(ORCAMENTOS!C2656="","",ORCAMENTOS!C2656)</f>
        <v/>
      </c>
      <c r="D2648" s="37" t="str">
        <f>IF(ORCAMENTOS!D2656="","",ORCAMENTOS!D2656)</f>
        <v>NP CLIMATIZAÇÃO</v>
      </c>
      <c r="E2648" s="38" t="str">
        <f>IF(ORCAMENTOS!E2656="","",ORCAMENTOS!E2656)</f>
        <v>EDUARDO SAMPAIO</v>
      </c>
      <c r="F2648" s="37" t="str">
        <f>IF(ORCAMENTOS!G2656="","",ORCAMENTOS!G2656)</f>
        <v>Guilherme</v>
      </c>
      <c r="G2648" s="37" t="str">
        <f>IF(ORCAMENTOS!H2656="","",ORCAMENTOS!H2656)</f>
        <v>Maria</v>
      </c>
      <c r="H2648" s="39">
        <f>IF(ORCAMENTOS!I2656="","",ORCAMENTOS!I2656)</f>
        <v>17373.759999999998</v>
      </c>
      <c r="I2648" s="60">
        <f>IF(ORCAMENTOS!J2656="","",ORCAMENTOS!J2656)</f>
        <v>7.0000000000000007E-2</v>
      </c>
      <c r="J2648" s="40" t="str">
        <f>IF(ORCAMENTOS!L2656="","",ORCAMENTOS!L2656)</f>
        <v>CANCELADO</v>
      </c>
      <c r="K2648" s="34" t="str">
        <f>IF(ORCAMENTOS!M2656="","",ORCAMENTOS!M2656)</f>
        <v>-</v>
      </c>
      <c r="L2648" t="str">
        <f>IF(ORCAMENTOS!R2656="","",ORCAMENTOS!R2656)</f>
        <v>-</v>
      </c>
    </row>
    <row r="2649" spans="1:12" ht="15.75" hidden="1" customHeight="1" x14ac:dyDescent="0.25">
      <c r="A2649" s="36">
        <f>IF(ORCAMENTOS!A2657="","",ORCAMENTOS!A2657)</f>
        <v>46098</v>
      </c>
      <c r="B2649" s="46">
        <f>IF(ORCAMENTOS!B2657="","",ORCAMENTOS!B2657)</f>
        <v>472</v>
      </c>
      <c r="C2649" s="46" t="str">
        <f>IF(ORCAMENTOS!C2657="","",ORCAMENTOS!C2657)</f>
        <v/>
      </c>
      <c r="D2649" s="37" t="str">
        <f>IF(ORCAMENTOS!D2657="","",ORCAMENTOS!D2657)</f>
        <v>TERMOCLIMA</v>
      </c>
      <c r="E2649" s="38" t="str">
        <f>IF(ORCAMENTOS!E2657="","",ORCAMENTOS!E2657)</f>
        <v>ASSAI - OSASCO AUTONOMISTA - OSASCO - SP</v>
      </c>
      <c r="F2649" s="37" t="str">
        <f>IF(ORCAMENTOS!G2657="","",ORCAMENTOS!G2657)</f>
        <v>Gabriel</v>
      </c>
      <c r="G2649" s="37" t="str">
        <f>IF(ORCAMENTOS!H2657="","",ORCAMENTOS!H2657)</f>
        <v>Pedro</v>
      </c>
      <c r="H2649" s="39">
        <f>IF(ORCAMENTOS!I2657="","",ORCAMENTOS!I2657)</f>
        <v>243072.4</v>
      </c>
      <c r="I2649" s="60">
        <f>IF(ORCAMENTOS!J2657="","",ORCAMENTOS!J2657)</f>
        <v>7.0000000000000007E-2</v>
      </c>
      <c r="J2649" s="40" t="str">
        <f>IF(ORCAMENTOS!L2657="","",ORCAMENTOS!L2657)</f>
        <v>ORCAMENTO</v>
      </c>
      <c r="K2649" s="34" t="str">
        <f>IF(ORCAMENTOS!M2657="","",ORCAMENTOS!M2657)</f>
        <v>-</v>
      </c>
      <c r="L2649" t="str">
        <f>IF(ORCAMENTOS!R2657="","",ORCAMENTOS!R2657)</f>
        <v>MPU</v>
      </c>
    </row>
    <row r="2650" spans="1:12" ht="15.75" hidden="1" customHeight="1" x14ac:dyDescent="0.25">
      <c r="A2650" s="36">
        <f>IF(ORCAMENTOS!A2658="","",ORCAMENTOS!A2658)</f>
        <v>46098</v>
      </c>
      <c r="B2650" s="46">
        <f>IF(ORCAMENTOS!B2658="","",ORCAMENTOS!B2658)</f>
        <v>473</v>
      </c>
      <c r="C2650" s="46" t="str">
        <f>IF(ORCAMENTOS!C2658="","",ORCAMENTOS!C2658)</f>
        <v/>
      </c>
      <c r="D2650" s="37" t="str">
        <f>IF(ORCAMENTOS!D2658="","",ORCAMENTOS!D2658)</f>
        <v>SAFETY WALL</v>
      </c>
      <c r="E2650" s="38" t="str">
        <f>IF(ORCAMENTOS!E2658="","",ORCAMENTOS!E2658)</f>
        <v>-</v>
      </c>
      <c r="F2650" s="37" t="str">
        <f>IF(ORCAMENTOS!G2658="","",ORCAMENTOS!G2658)</f>
        <v>Gabriel</v>
      </c>
      <c r="G2650" s="37" t="str">
        <f>IF(ORCAMENTOS!H2658="","",ORCAMENTOS!H2658)</f>
        <v>Fabiana</v>
      </c>
      <c r="H2650" s="39">
        <f>IF(ORCAMENTOS!I2658="","",ORCAMENTOS!I2658)</f>
        <v>1049.32</v>
      </c>
      <c r="I2650" s="60">
        <f>IF(ORCAMENTOS!J2658="","",ORCAMENTOS!J2658)</f>
        <v>7.0000000000000007E-2</v>
      </c>
      <c r="J2650" s="40" t="str">
        <f>IF(ORCAMENTOS!L2658="","",ORCAMENTOS!L2658)</f>
        <v>FECHADO</v>
      </c>
      <c r="K2650" s="34" t="str">
        <f>IF(ORCAMENTOS!M2658="","",ORCAMENTOS!M2658)</f>
        <v>-</v>
      </c>
      <c r="L2650" t="str">
        <f>IF(ORCAMENTOS!R2658="","",ORCAMENTOS!R2658)</f>
        <v>-</v>
      </c>
    </row>
    <row r="2651" spans="1:12" ht="15.75" hidden="1" customHeight="1" x14ac:dyDescent="0.25">
      <c r="A2651" s="36">
        <f>IF(ORCAMENTOS!A2659="","",ORCAMENTOS!A2659)</f>
        <v>46098</v>
      </c>
      <c r="B2651" s="46">
        <f>IF(ORCAMENTOS!B2659="","",ORCAMENTOS!B2659)</f>
        <v>474</v>
      </c>
      <c r="C2651" s="46" t="str">
        <f>IF(ORCAMENTOS!C2659="","",ORCAMENTOS!C2659)</f>
        <v/>
      </c>
      <c r="D2651" s="37" t="str">
        <f>IF(ORCAMENTOS!D2659="","",ORCAMENTOS!D2659)</f>
        <v>AMS INSTALACOES</v>
      </c>
      <c r="E2651" s="38" t="str">
        <f>IF(ORCAMENTOS!E2659="","",ORCAMENTOS!E2659)</f>
        <v>ASSAI - OSASCO AUTONOMISTA - OSASCO - SP</v>
      </c>
      <c r="F2651" s="37" t="str">
        <f>IF(ORCAMENTOS!G2659="","",ORCAMENTOS!G2659)</f>
        <v>Gabriel</v>
      </c>
      <c r="G2651" s="37" t="str">
        <f>IF(ORCAMENTOS!H2659="","",ORCAMENTOS!H2659)</f>
        <v>Albertino</v>
      </c>
      <c r="H2651" s="39">
        <f>IF(ORCAMENTOS!I2659="","",ORCAMENTOS!I2659)</f>
        <v>243072.4</v>
      </c>
      <c r="I2651" s="60">
        <f>IF(ORCAMENTOS!J2659="","",ORCAMENTOS!J2659)</f>
        <v>7.0000000000000007E-2</v>
      </c>
      <c r="J2651" s="40" t="str">
        <f>IF(ORCAMENTOS!L2659="","",ORCAMENTOS!L2659)</f>
        <v>ORCAMENTO</v>
      </c>
      <c r="K2651" s="34" t="str">
        <f>IF(ORCAMENTOS!M2659="","",ORCAMENTOS!M2659)</f>
        <v>-</v>
      </c>
      <c r="L2651" t="str">
        <f>IF(ORCAMENTOS!R2659="","",ORCAMENTOS!R2659)</f>
        <v>MPU</v>
      </c>
    </row>
    <row r="2652" spans="1:12" ht="15.75" hidden="1" customHeight="1" x14ac:dyDescent="0.25">
      <c r="A2652" s="36">
        <f>IF(ORCAMENTOS!A2660="","",ORCAMENTOS!A2660)</f>
        <v>46098</v>
      </c>
      <c r="B2652" s="46">
        <f>IF(ORCAMENTOS!B2660="","",ORCAMENTOS!B2660)</f>
        <v>475</v>
      </c>
      <c r="C2652" s="46" t="str">
        <f>IF(ORCAMENTOS!C2660="","",ORCAMENTOS!C2660)</f>
        <v/>
      </c>
      <c r="D2652" s="37" t="str">
        <f>IF(ORCAMENTOS!D2660="","",ORCAMENTOS!D2660)</f>
        <v>NP CLIMATIZAÇÃO</v>
      </c>
      <c r="E2652" s="38" t="str">
        <f>IF(ORCAMENTOS!E2660="","",ORCAMENTOS!E2660)</f>
        <v>ALUÍSIO CHAVES</v>
      </c>
      <c r="F2652" s="37" t="str">
        <f>IF(ORCAMENTOS!G2660="","",ORCAMENTOS!G2660)</f>
        <v>Guilherme</v>
      </c>
      <c r="G2652" s="37" t="str">
        <f>IF(ORCAMENTOS!H2660="","",ORCAMENTOS!H2660)</f>
        <v>Maria</v>
      </c>
      <c r="H2652" s="39">
        <f>IF(ORCAMENTOS!I2660="","",ORCAMENTOS!I2660)</f>
        <v>15609.83</v>
      </c>
      <c r="I2652" s="60">
        <f>IF(ORCAMENTOS!J2660="","",ORCAMENTOS!J2660)</f>
        <v>7.0000000000000007E-2</v>
      </c>
      <c r="J2652" s="40" t="str">
        <f>IF(ORCAMENTOS!L2660="","",ORCAMENTOS!L2660)</f>
        <v>COMPRA</v>
      </c>
      <c r="K2652" s="34" t="str">
        <f>IF(ORCAMENTOS!M2660="","",ORCAMENTOS!M2660)</f>
        <v>-</v>
      </c>
      <c r="L2652" t="str">
        <f>IF(ORCAMENTOS!R2660="","",ORCAMENTOS!R2660)</f>
        <v>-</v>
      </c>
    </row>
    <row r="2653" spans="1:12" ht="15.75" hidden="1" customHeight="1" x14ac:dyDescent="0.25">
      <c r="A2653" s="36">
        <f>IF(ORCAMENTOS!A2661="","",ORCAMENTOS!A2661)</f>
        <v>46098</v>
      </c>
      <c r="B2653" s="46">
        <f>IF(ORCAMENTOS!B2661="","",ORCAMENTOS!B2661)</f>
        <v>476</v>
      </c>
      <c r="C2653" s="46" t="str">
        <f>IF(ORCAMENTOS!C2661="","",ORCAMENTOS!C2661)</f>
        <v/>
      </c>
      <c r="D2653" s="37" t="str">
        <f>IF(ORCAMENTOS!D2661="","",ORCAMENTOS!D2661)</f>
        <v>AR SISTEMAS</v>
      </c>
      <c r="E2653" s="38" t="str">
        <f>IF(ORCAMENTOS!E2661="","",ORCAMENTOS!E2661)</f>
        <v>JM - CARDIOLOGIA - DANTE PAZZANESE - SP</v>
      </c>
      <c r="F2653" s="37" t="str">
        <f>IF(ORCAMENTOS!G2661="","",ORCAMENTOS!G2661)</f>
        <v>Michel</v>
      </c>
      <c r="G2653" s="37" t="str">
        <f>IF(ORCAMENTOS!H2661="","",ORCAMENTOS!H2661)</f>
        <v>Anderson</v>
      </c>
      <c r="H2653" s="39">
        <f>IF(ORCAMENTOS!I2661="","",ORCAMENTOS!I2661)</f>
        <v>73516.61</v>
      </c>
      <c r="I2653" s="60">
        <f>IF(ORCAMENTOS!J2661="","",ORCAMENTOS!J2661)</f>
        <v>7.0000000000000007E-2</v>
      </c>
      <c r="J2653" s="40" t="str">
        <f>IF(ORCAMENTOS!L2661="","",ORCAMENTOS!L2661)</f>
        <v>ORCAMENTO</v>
      </c>
      <c r="K2653" s="34" t="str">
        <f>IF(ORCAMENTOS!M2661="","",ORCAMENTOS!M2661)</f>
        <v>-</v>
      </c>
      <c r="L2653" t="str">
        <f>IF(ORCAMENTOS!R2661="","",ORCAMENTOS!R2661)</f>
        <v>MPU</v>
      </c>
    </row>
    <row r="2654" spans="1:12" ht="15.75" hidden="1" customHeight="1" x14ac:dyDescent="0.25">
      <c r="A2654" s="36">
        <f>IF(ORCAMENTOS!A2662="","",ORCAMENTOS!A2662)</f>
        <v>46098</v>
      </c>
      <c r="B2654" s="46">
        <f>IF(ORCAMENTOS!B2662="","",ORCAMENTOS!B2662)</f>
        <v>477</v>
      </c>
      <c r="C2654" s="46" t="str">
        <f>IF(ORCAMENTOS!C2662="","",ORCAMENTOS!C2662)</f>
        <v/>
      </c>
      <c r="D2654" s="37" t="str">
        <f>IF(ORCAMENTOS!D2662="","",ORCAMENTOS!D2662)</f>
        <v>M&amp;M ENGENHARIA</v>
      </c>
      <c r="E2654" s="38" t="str">
        <f>IF(ORCAMENTOS!E2662="","",ORCAMENTOS!E2662)</f>
        <v>TORRA TORRA - BELEM - PA</v>
      </c>
      <c r="F2654" s="37" t="str">
        <f>IF(ORCAMENTOS!G2662="","",ORCAMENTOS!G2662)</f>
        <v>Emanuel</v>
      </c>
      <c r="G2654" s="37" t="str">
        <f>IF(ORCAMENTOS!H2662="","",ORCAMENTOS!H2662)</f>
        <v>Janaina</v>
      </c>
      <c r="H2654" s="39">
        <f>IF(ORCAMENTOS!I2662="","",ORCAMENTOS!I2662)</f>
        <v>100673.12</v>
      </c>
      <c r="I2654" s="60">
        <f>IF(ORCAMENTOS!J2662="","",ORCAMENTOS!J2662)</f>
        <v>7.0000000000000007E-2</v>
      </c>
      <c r="J2654" s="40" t="str">
        <f>IF(ORCAMENTOS!L2662="","",ORCAMENTOS!L2662)</f>
        <v>CANCELADO</v>
      </c>
      <c r="K2654" s="34" t="str">
        <f>IF(ORCAMENTOS!M2662="","",ORCAMENTOS!M2662)</f>
        <v>-</v>
      </c>
      <c r="L2654" t="str">
        <f>IF(ORCAMENTOS!R2662="","",ORCAMENTOS!R2662)</f>
        <v>MPU</v>
      </c>
    </row>
    <row r="2655" spans="1:12" ht="15.75" hidden="1" customHeight="1" x14ac:dyDescent="0.25">
      <c r="A2655" s="36">
        <f>IF(ORCAMENTOS!A2663="","",ORCAMENTOS!A2663)</f>
        <v>46098</v>
      </c>
      <c r="B2655" s="46">
        <f>IF(ORCAMENTOS!B2663="","",ORCAMENTOS!B2663)</f>
        <v>478</v>
      </c>
      <c r="C2655" s="46" t="str">
        <f>IF(ORCAMENTOS!C2663="","",ORCAMENTOS!C2663)</f>
        <v/>
      </c>
      <c r="D2655" s="37" t="str">
        <f>IF(ORCAMENTOS!D2663="","",ORCAMENTOS!D2663)</f>
        <v>APICE CLIMA</v>
      </c>
      <c r="E2655" s="38" t="str">
        <f>IF(ORCAMENTOS!E2663="","",ORCAMENTOS!E2663)</f>
        <v>BANCO DO BRASIL - CORP BANK VL PARAIBA - SP</v>
      </c>
      <c r="F2655" s="37" t="str">
        <f>IF(ORCAMENTOS!G2663="","",ORCAMENTOS!G2663)</f>
        <v>Michel</v>
      </c>
      <c r="G2655" s="37" t="str">
        <f>IF(ORCAMENTOS!H2663="","",ORCAMENTOS!H2663)</f>
        <v>Djair</v>
      </c>
      <c r="H2655" s="39">
        <f>IF(ORCAMENTOS!I2663="","",ORCAMENTOS!I2663)</f>
        <v>23866.06</v>
      </c>
      <c r="I2655" s="60">
        <f>IF(ORCAMENTOS!J2663="","",ORCAMENTOS!J2663)</f>
        <v>0.06</v>
      </c>
      <c r="J2655" s="40" t="str">
        <f>IF(ORCAMENTOS!L2663="","",ORCAMENTOS!L2663)</f>
        <v>FECHADO</v>
      </c>
      <c r="K2655" s="34" t="str">
        <f>IF(ORCAMENTOS!M2663="","",ORCAMENTOS!M2663)</f>
        <v>-</v>
      </c>
      <c r="L2655" t="str">
        <f>IF(ORCAMENTOS!R2663="","",ORCAMENTOS!R2663)</f>
        <v>-</v>
      </c>
    </row>
    <row r="2656" spans="1:12" ht="15.75" hidden="1" customHeight="1" x14ac:dyDescent="0.25">
      <c r="A2656" s="36">
        <f>IF(ORCAMENTOS!A2664="","",ORCAMENTOS!A2664)</f>
        <v>46098</v>
      </c>
      <c r="B2656" s="46">
        <f>IF(ORCAMENTOS!B2664="","",ORCAMENTOS!B2664)</f>
        <v>479</v>
      </c>
      <c r="C2656" s="46" t="str">
        <f>IF(ORCAMENTOS!C2664="","",ORCAMENTOS!C2664)</f>
        <v/>
      </c>
      <c r="D2656" s="37" t="str">
        <f>IF(ORCAMENTOS!D2664="","",ORCAMENTOS!D2664)</f>
        <v>NOSSO AR</v>
      </c>
      <c r="E2656" s="38" t="str">
        <f>IF(ORCAMENTOS!E2664="","",ORCAMENTOS!E2664)</f>
        <v>CBA ALUMÍNIO</v>
      </c>
      <c r="F2656" s="37" t="str">
        <f>IF(ORCAMENTOS!G2664="","",ORCAMENTOS!G2664)</f>
        <v>Gabriel</v>
      </c>
      <c r="G2656" s="37" t="str">
        <f>IF(ORCAMENTOS!H2664="","",ORCAMENTOS!H2664)</f>
        <v>Lenah</v>
      </c>
      <c r="H2656" s="39">
        <f>IF(ORCAMENTOS!I2664="","",ORCAMENTOS!I2664)</f>
        <v>74991.360000000001</v>
      </c>
      <c r="I2656" s="60">
        <f>IF(ORCAMENTOS!J2664="","",ORCAMENTOS!J2664)</f>
        <v>7.0000000000000007E-2</v>
      </c>
      <c r="J2656" s="40" t="str">
        <f>IF(ORCAMENTOS!L2664="","",ORCAMENTOS!L2664)</f>
        <v>ORCAMENTO</v>
      </c>
      <c r="K2656" s="34" t="str">
        <f>IF(ORCAMENTOS!M2664="","",ORCAMENTOS!M2664)</f>
        <v>-</v>
      </c>
      <c r="L2656" t="str">
        <f>IF(ORCAMENTOS!R2664="","",ORCAMENTOS!R2664)</f>
        <v>-</v>
      </c>
    </row>
    <row r="2657" spans="1:12" ht="15.75" hidden="1" customHeight="1" x14ac:dyDescent="0.25">
      <c r="A2657" s="36">
        <f>IF(ORCAMENTOS!A2665="","",ORCAMENTOS!A2665)</f>
        <v>46098</v>
      </c>
      <c r="B2657" s="46">
        <f>IF(ORCAMENTOS!B2665="","",ORCAMENTOS!B2665)</f>
        <v>480</v>
      </c>
      <c r="C2657" s="46" t="str">
        <f>IF(ORCAMENTOS!C2665="","",ORCAMENTOS!C2665)</f>
        <v/>
      </c>
      <c r="D2657" s="37" t="str">
        <f>IF(ORCAMENTOS!D2665="","",ORCAMENTOS!D2665)</f>
        <v>NOSSO AR</v>
      </c>
      <c r="E2657" s="38" t="str">
        <f>IF(ORCAMENTOS!E2665="","",ORCAMENTOS!E2665)</f>
        <v>CBA ALUMÍNIO - SALA ELÉTRICA H3SEB01</v>
      </c>
      <c r="F2657" s="37" t="str">
        <f>IF(ORCAMENTOS!G2665="","",ORCAMENTOS!G2665)</f>
        <v>Gabriel</v>
      </c>
      <c r="G2657" s="37" t="str">
        <f>IF(ORCAMENTOS!H2665="","",ORCAMENTOS!H2665)</f>
        <v>Lenah</v>
      </c>
      <c r="H2657" s="39">
        <f>IF(ORCAMENTOS!I2665="","",ORCAMENTOS!I2665)</f>
        <v>42043.88</v>
      </c>
      <c r="I2657" s="60">
        <f>IF(ORCAMENTOS!J2665="","",ORCAMENTOS!J2665)</f>
        <v>7.0000000000000007E-2</v>
      </c>
      <c r="J2657" s="40" t="str">
        <f>IF(ORCAMENTOS!L2665="","",ORCAMENTOS!L2665)</f>
        <v>ORCAMENTO</v>
      </c>
      <c r="K2657" s="34" t="str">
        <f>IF(ORCAMENTOS!M2665="","",ORCAMENTOS!M2665)</f>
        <v>-</v>
      </c>
      <c r="L2657" t="str">
        <f>IF(ORCAMENTOS!R2665="","",ORCAMENTOS!R2665)</f>
        <v>-</v>
      </c>
    </row>
    <row r="2658" spans="1:12" ht="15.75" hidden="1" customHeight="1" x14ac:dyDescent="0.25">
      <c r="A2658" s="36">
        <f>IF(ORCAMENTOS!A2666="","",ORCAMENTOS!A2666)</f>
        <v>46098</v>
      </c>
      <c r="B2658" s="46">
        <f>IF(ORCAMENTOS!B2666="","",ORCAMENTOS!B2666)</f>
        <v>481</v>
      </c>
      <c r="C2658" s="46" t="str">
        <f>IF(ORCAMENTOS!C2666="","",ORCAMENTOS!C2666)</f>
        <v/>
      </c>
      <c r="D2658" s="37" t="str">
        <f>IF(ORCAMENTOS!D2666="","",ORCAMENTOS!D2666)</f>
        <v>NEWSET</v>
      </c>
      <c r="E2658" s="38" t="str">
        <f>IF(ORCAMENTOS!E2666="","",ORCAMENTOS!E2666)</f>
        <v>HOSPITAL SÃO LUIZ CAMPINAS ATLÂNTICA</v>
      </c>
      <c r="F2658" s="37" t="str">
        <f>IF(ORCAMENTOS!G2666="","",ORCAMENTOS!G2666)</f>
        <v xml:space="preserve">Aldavir </v>
      </c>
      <c r="G2658" s="37" t="str">
        <f>IF(ORCAMENTOS!H2666="","",ORCAMENTOS!H2666)</f>
        <v>Thais</v>
      </c>
      <c r="H2658" s="39">
        <f>IF(ORCAMENTOS!I2666="","",ORCAMENTOS!I2666)</f>
        <v>5784.1</v>
      </c>
      <c r="I2658" s="60">
        <f>IF(ORCAMENTOS!J2666="","",ORCAMENTOS!J2666)</f>
        <v>7.0000000000000007E-2</v>
      </c>
      <c r="J2658" s="40" t="str">
        <f>IF(ORCAMENTOS!L2666="","",ORCAMENTOS!L2666)</f>
        <v>FECHADO</v>
      </c>
      <c r="K2658" s="34" t="str">
        <f>IF(ORCAMENTOS!M2666="","",ORCAMENTOS!M2666)</f>
        <v>-</v>
      </c>
      <c r="L2658" t="str">
        <f>IF(ORCAMENTOS!R2666="","",ORCAMENTOS!R2666)</f>
        <v/>
      </c>
    </row>
    <row r="2659" spans="1:12" ht="15.75" hidden="1" customHeight="1" x14ac:dyDescent="0.25">
      <c r="A2659" s="36">
        <f>IF(ORCAMENTOS!A2667="","",ORCAMENTOS!A2667)</f>
        <v>46099</v>
      </c>
      <c r="B2659" s="46">
        <f>IF(ORCAMENTOS!B2667="","",ORCAMENTOS!B2667)</f>
        <v>482</v>
      </c>
      <c r="C2659" s="46" t="str">
        <f>IF(ORCAMENTOS!C2667="","",ORCAMENTOS!C2667)</f>
        <v/>
      </c>
      <c r="D2659" s="37" t="str">
        <f>IF(ORCAMENTOS!D2667="","",ORCAMENTOS!D2667)</f>
        <v>SP1 AR CONDICIONADO</v>
      </c>
      <c r="E2659" s="38" t="str">
        <f>IF(ORCAMENTOS!E2667="","",ORCAMENTOS!E2667)</f>
        <v>-</v>
      </c>
      <c r="F2659" s="37" t="str">
        <f>IF(ORCAMENTOS!G2667="","",ORCAMENTOS!G2667)</f>
        <v>Emanuel</v>
      </c>
      <c r="G2659" s="37" t="str">
        <f>IF(ORCAMENTOS!H2667="","",ORCAMENTOS!H2667)</f>
        <v>Paulo</v>
      </c>
      <c r="H2659" s="39">
        <f>IF(ORCAMENTOS!I2667="","",ORCAMENTOS!I2667)</f>
        <v>9026.68</v>
      </c>
      <c r="I2659" s="60">
        <f>IF(ORCAMENTOS!J2667="","",ORCAMENTOS!J2667)</f>
        <v>7.0000000000000007E-2</v>
      </c>
      <c r="J2659" s="40" t="str">
        <f>IF(ORCAMENTOS!L2667="","",ORCAMENTOS!L2667)</f>
        <v>ORCAMENTO</v>
      </c>
      <c r="K2659" s="34" t="str">
        <f>IF(ORCAMENTOS!M2667="","",ORCAMENTOS!M2667)</f>
        <v>-</v>
      </c>
      <c r="L2659" t="str">
        <f>IF(ORCAMENTOS!R2667="","",ORCAMENTOS!R2667)</f>
        <v>-</v>
      </c>
    </row>
    <row r="2660" spans="1:12" ht="15.75" hidden="1" customHeight="1" x14ac:dyDescent="0.25">
      <c r="A2660" s="36">
        <f>IF(ORCAMENTOS!A2668="","",ORCAMENTOS!A2668)</f>
        <v>46099</v>
      </c>
      <c r="B2660" s="46">
        <f>IF(ORCAMENTOS!B2668="","",ORCAMENTOS!B2668)</f>
        <v>483</v>
      </c>
      <c r="C2660" s="46" t="str">
        <f>IF(ORCAMENTOS!C2668="","",ORCAMENTOS!C2668)</f>
        <v/>
      </c>
      <c r="D2660" s="37" t="str">
        <f>IF(ORCAMENTOS!D2668="","",ORCAMENTOS!D2668)</f>
        <v>NEWSET</v>
      </c>
      <c r="E2660" s="38" t="str">
        <f>IF(ORCAMENTOS!E2668="","",ORCAMENTOS!E2668)</f>
        <v xml:space="preserve">HOSPITAL SÃO LUIZ CAMPINAS </v>
      </c>
      <c r="F2660" s="37" t="str">
        <f>IF(ORCAMENTOS!G2668="","",ORCAMENTOS!G2668)</f>
        <v xml:space="preserve">Aldavir </v>
      </c>
      <c r="G2660" s="37" t="str">
        <f>IF(ORCAMENTOS!H2668="","",ORCAMENTOS!H2668)</f>
        <v>Thais</v>
      </c>
      <c r="H2660" s="39">
        <f>IF(ORCAMENTOS!I2668="","",ORCAMENTOS!I2668)</f>
        <v>5784.1</v>
      </c>
      <c r="I2660" s="60">
        <f>IF(ORCAMENTOS!J2668="","",ORCAMENTOS!J2668)</f>
        <v>7.0000000000000007E-2</v>
      </c>
      <c r="J2660" s="40" t="str">
        <f>IF(ORCAMENTOS!L2668="","",ORCAMENTOS!L2668)</f>
        <v>FECHADO</v>
      </c>
      <c r="K2660" s="34" t="str">
        <f>IF(ORCAMENTOS!M2668="","",ORCAMENTOS!M2668)</f>
        <v>-</v>
      </c>
      <c r="L2660" t="str">
        <f>IF(ORCAMENTOS!R2668="","",ORCAMENTOS!R2668)</f>
        <v>-</v>
      </c>
    </row>
    <row r="2661" spans="1:12" ht="15.75" hidden="1" customHeight="1" x14ac:dyDescent="0.25">
      <c r="A2661" s="36">
        <f>IF(ORCAMENTOS!A2669="","",ORCAMENTOS!A2669)</f>
        <v>46099</v>
      </c>
      <c r="B2661" s="46">
        <f>IF(ORCAMENTOS!B2669="","",ORCAMENTOS!B2669)</f>
        <v>484</v>
      </c>
      <c r="C2661" s="46" t="str">
        <f>IF(ORCAMENTOS!C2669="","",ORCAMENTOS!C2669)</f>
        <v/>
      </c>
      <c r="D2661" s="37" t="str">
        <f>IF(ORCAMENTOS!D2669="","",ORCAMENTOS!D2669)</f>
        <v>NP CLIMATIZAÇÃO</v>
      </c>
      <c r="E2661" s="38" t="str">
        <f>IF(ORCAMENTOS!E2669="","",ORCAMENTOS!E2669)</f>
        <v>FERNANDA E OCTAVIO</v>
      </c>
      <c r="F2661" s="37" t="str">
        <f>IF(ORCAMENTOS!G2669="","",ORCAMENTOS!G2669)</f>
        <v>Guilherme</v>
      </c>
      <c r="G2661" s="37" t="str">
        <f>IF(ORCAMENTOS!H2669="","",ORCAMENTOS!H2669)</f>
        <v>Maria</v>
      </c>
      <c r="H2661" s="39">
        <f>IF(ORCAMENTOS!I2669="","",ORCAMENTOS!I2669)</f>
        <v>14298</v>
      </c>
      <c r="I2661" s="60">
        <f>IF(ORCAMENTOS!J2669="","",ORCAMENTOS!J2669)</f>
        <v>7.0000000000000007E-2</v>
      </c>
      <c r="J2661" s="40" t="str">
        <f>IF(ORCAMENTOS!L2669="","",ORCAMENTOS!L2669)</f>
        <v>FECHADO</v>
      </c>
      <c r="K2661" s="34" t="str">
        <f>IF(ORCAMENTOS!M2669="","",ORCAMENTOS!M2669)</f>
        <v>-</v>
      </c>
      <c r="L2661" t="str">
        <f>IF(ORCAMENTOS!R2669="","",ORCAMENTOS!R2669)</f>
        <v>-</v>
      </c>
    </row>
    <row r="2662" spans="1:12" ht="15.75" hidden="1" customHeight="1" x14ac:dyDescent="0.25">
      <c r="A2662" s="36">
        <f>IF(ORCAMENTOS!A2670="","",ORCAMENTOS!A2670)</f>
        <v>46099</v>
      </c>
      <c r="B2662" s="46">
        <f>IF(ORCAMENTOS!B2670="","",ORCAMENTOS!B2670)</f>
        <v>485</v>
      </c>
      <c r="C2662" s="46" t="str">
        <f>IF(ORCAMENTOS!C2670="","",ORCAMENTOS!C2670)</f>
        <v/>
      </c>
      <c r="D2662" s="37" t="str">
        <f>IF(ORCAMENTOS!D2670="","",ORCAMENTOS!D2670)</f>
        <v>EXAUSTAR</v>
      </c>
      <c r="E2662" s="38" t="str">
        <f>IF(ORCAMENTOS!E2670="","",ORCAMENTOS!E2670)</f>
        <v>BURGER KING - LAVRAS - MG</v>
      </c>
      <c r="F2662" s="37" t="str">
        <f>IF(ORCAMENTOS!G2670="","",ORCAMENTOS!G2670)</f>
        <v>Gabriel</v>
      </c>
      <c r="G2662" s="37" t="str">
        <f>IF(ORCAMENTOS!H2670="","",ORCAMENTOS!H2670)</f>
        <v>Matheus</v>
      </c>
      <c r="H2662" s="39">
        <f>IF(ORCAMENTOS!I2670="","",ORCAMENTOS!I2670)</f>
        <v>11744.58</v>
      </c>
      <c r="I2662" s="60">
        <f>IF(ORCAMENTOS!J2670="","",ORCAMENTOS!J2670)</f>
        <v>7.0000000000000007E-2</v>
      </c>
      <c r="J2662" s="40" t="str">
        <f>IF(ORCAMENTOS!L2670="","",ORCAMENTOS!L2670)</f>
        <v>ORCAMENTO</v>
      </c>
      <c r="K2662" s="34" t="str">
        <f>IF(ORCAMENTOS!M2670="","",ORCAMENTOS!M2670)</f>
        <v>-</v>
      </c>
      <c r="L2662" t="str">
        <f>IF(ORCAMENTOS!R2670="","",ORCAMENTOS!R2670)</f>
        <v>MPU</v>
      </c>
    </row>
    <row r="2663" spans="1:12" ht="15.75" hidden="1" customHeight="1" x14ac:dyDescent="0.25">
      <c r="A2663" s="36">
        <f>IF(ORCAMENTOS!A2671="","",ORCAMENTOS!A2671)</f>
        <v>46099</v>
      </c>
      <c r="B2663" s="46">
        <f>IF(ORCAMENTOS!B2671="","",ORCAMENTOS!B2671)</f>
        <v>486</v>
      </c>
      <c r="C2663" s="46" t="str">
        <f>IF(ORCAMENTOS!C2671="","",ORCAMENTOS!C2671)</f>
        <v/>
      </c>
      <c r="D2663" s="37" t="str">
        <f>IF(ORCAMENTOS!D2671="","",ORCAMENTOS!D2671)</f>
        <v>EXAUSTAR</v>
      </c>
      <c r="E2663" s="38" t="str">
        <f>IF(ORCAMENTOS!E2671="","",ORCAMENTOS!E2671)</f>
        <v>POPEYES - SHOPPING ABC - SANTO ANDRE - SP</v>
      </c>
      <c r="F2663" s="37" t="str">
        <f>IF(ORCAMENTOS!G2671="","",ORCAMENTOS!G2671)</f>
        <v>Gabriel</v>
      </c>
      <c r="G2663" s="37" t="str">
        <f>IF(ORCAMENTOS!H2671="","",ORCAMENTOS!H2671)</f>
        <v>Matheus</v>
      </c>
      <c r="H2663" s="39">
        <f>IF(ORCAMENTOS!I2671="","",ORCAMENTOS!I2671)</f>
        <v>7683.29</v>
      </c>
      <c r="I2663" s="60">
        <f>IF(ORCAMENTOS!J2671="","",ORCAMENTOS!J2671)</f>
        <v>7.0000000000000007E-2</v>
      </c>
      <c r="J2663" s="40" t="str">
        <f>IF(ORCAMENTOS!L2671="","",ORCAMENTOS!L2671)</f>
        <v>ORCAMENTO</v>
      </c>
      <c r="K2663" s="34" t="str">
        <f>IF(ORCAMENTOS!M2671="","",ORCAMENTOS!M2671)</f>
        <v>-</v>
      </c>
      <c r="L2663" t="str">
        <f>IF(ORCAMENTOS!R2671="","",ORCAMENTOS!R2671)</f>
        <v>MPU</v>
      </c>
    </row>
    <row r="2664" spans="1:12" ht="15.75" hidden="1" customHeight="1" x14ac:dyDescent="0.25">
      <c r="A2664" s="36">
        <f>IF(ORCAMENTOS!A2672="","",ORCAMENTOS!A2672)</f>
        <v>46099</v>
      </c>
      <c r="B2664" s="46">
        <f>IF(ORCAMENTOS!B2672="","",ORCAMENTOS!B2672)</f>
        <v>487</v>
      </c>
      <c r="C2664" s="46" t="str">
        <f>IF(ORCAMENTOS!C2672="","",ORCAMENTOS!C2672)</f>
        <v/>
      </c>
      <c r="D2664" s="37" t="str">
        <f>IF(ORCAMENTOS!D2672="","",ORCAMENTOS!D2672)</f>
        <v>SUSANTHERM</v>
      </c>
      <c r="E2664" s="38" t="str">
        <f>IF(ORCAMENTOS!E2672="","",ORCAMENTOS!E2672)</f>
        <v>CONGREGACAO CRISTA NO BRASIL - FEIRA DE SANTANA - BA</v>
      </c>
      <c r="F2664" s="37" t="str">
        <f>IF(ORCAMENTOS!G2672="","",ORCAMENTOS!G2672)</f>
        <v>Gabriel</v>
      </c>
      <c r="G2664" s="37" t="str">
        <f>IF(ORCAMENTOS!H2672="","",ORCAMENTOS!H2672)</f>
        <v>Cristina</v>
      </c>
      <c r="H2664" s="39">
        <f>IF(ORCAMENTOS!I2672="","",ORCAMENTOS!I2672)</f>
        <v>138164.35</v>
      </c>
      <c r="I2664" s="60">
        <f>IF(ORCAMENTOS!J2672="","",ORCAMENTOS!J2672)</f>
        <v>7.0000000000000007E-2</v>
      </c>
      <c r="J2664" s="40" t="str">
        <f>IF(ORCAMENTOS!L2672="","",ORCAMENTOS!L2672)</f>
        <v>ORCAMENTO</v>
      </c>
      <c r="K2664" s="34" t="str">
        <f>IF(ORCAMENTOS!M2672="","",ORCAMENTOS!M2672)</f>
        <v>-</v>
      </c>
      <c r="L2664" t="str">
        <f>IF(ORCAMENTOS!R2672="","",ORCAMENTOS!R2672)</f>
        <v>-</v>
      </c>
    </row>
    <row r="2665" spans="1:12" ht="15.75" hidden="1" customHeight="1" x14ac:dyDescent="0.25">
      <c r="A2665" s="36">
        <f>IF(ORCAMENTOS!A2673="","",ORCAMENTOS!A2673)</f>
        <v>46099</v>
      </c>
      <c r="B2665" s="46">
        <f>IF(ORCAMENTOS!B2673="","",ORCAMENTOS!B2673)</f>
        <v>488</v>
      </c>
      <c r="C2665" s="46" t="str">
        <f>IF(ORCAMENTOS!C2673="","",ORCAMENTOS!C2673)</f>
        <v/>
      </c>
      <c r="D2665" s="37" t="str">
        <f>IF(ORCAMENTOS!D2673="","",ORCAMENTOS!D2673)</f>
        <v>NOSSO AR</v>
      </c>
      <c r="E2665" s="38" t="str">
        <f>IF(ORCAMENTOS!E2673="","",ORCAMENTOS!E2673)</f>
        <v>UFABC</v>
      </c>
      <c r="F2665" s="37" t="str">
        <f>IF(ORCAMENTOS!G2673="","",ORCAMENTOS!G2673)</f>
        <v>Gabriel</v>
      </c>
      <c r="G2665" s="37" t="str">
        <f>IF(ORCAMENTOS!H2673="","",ORCAMENTOS!H2673)</f>
        <v>Fabio</v>
      </c>
      <c r="H2665" s="39">
        <f>IF(ORCAMENTOS!I2673="","",ORCAMENTOS!I2673)</f>
        <v>73674.41</v>
      </c>
      <c r="I2665" s="60">
        <f>IF(ORCAMENTOS!J2673="","",ORCAMENTOS!J2673)</f>
        <v>7.0000000000000007E-2</v>
      </c>
      <c r="J2665" s="40" t="str">
        <f>IF(ORCAMENTOS!L2673="","",ORCAMENTOS!L2673)</f>
        <v>ORCAMENTO</v>
      </c>
      <c r="K2665" s="34" t="str">
        <f>IF(ORCAMENTOS!M2673="","",ORCAMENTOS!M2673)</f>
        <v>-</v>
      </c>
      <c r="L2665" t="str">
        <f>IF(ORCAMENTOS!R2673="","",ORCAMENTOS!R2673)</f>
        <v>-</v>
      </c>
    </row>
    <row r="2666" spans="1:12" ht="15.75" hidden="1" customHeight="1" x14ac:dyDescent="0.25">
      <c r="A2666" s="36">
        <f>IF(ORCAMENTOS!A2674="","",ORCAMENTOS!A2674)</f>
        <v>46099</v>
      </c>
      <c r="B2666" s="46">
        <f>IF(ORCAMENTOS!B2674="","",ORCAMENTOS!B2674)</f>
        <v>489</v>
      </c>
      <c r="C2666" s="46" t="str">
        <f>IF(ORCAMENTOS!C2674="","",ORCAMENTOS!C2674)</f>
        <v>R1</v>
      </c>
      <c r="D2666" s="37" t="str">
        <f>IF(ORCAMENTOS!D2674="","",ORCAMENTOS!D2674)</f>
        <v>VELTTER ENGENHARIA</v>
      </c>
      <c r="E2666" s="38" t="str">
        <f>IF(ORCAMENTOS!E2674="","",ORCAMENTOS!E2674)</f>
        <v>-</v>
      </c>
      <c r="F2666" s="37" t="str">
        <f>IF(ORCAMENTOS!G2674="","",ORCAMENTOS!G2674)</f>
        <v>Gabriel</v>
      </c>
      <c r="G2666" s="37" t="str">
        <f>IF(ORCAMENTOS!H2674="","",ORCAMENTOS!H2674)</f>
        <v>Guilherme</v>
      </c>
      <c r="H2666" s="39">
        <f>IF(ORCAMENTOS!I2674="","",ORCAMENTOS!I2674)</f>
        <v>4591.58</v>
      </c>
      <c r="I2666" s="60">
        <f>IF(ORCAMENTOS!J2674="","",ORCAMENTOS!J2674)</f>
        <v>7.0000000000000007E-2</v>
      </c>
      <c r="J2666" s="40" t="str">
        <f>IF(ORCAMENTOS!L2674="","",ORCAMENTOS!L2674)</f>
        <v>ORCAMENTO</v>
      </c>
      <c r="K2666" s="34" t="str">
        <f>IF(ORCAMENTOS!M2674="","",ORCAMENTOS!M2674)</f>
        <v>-</v>
      </c>
      <c r="L2666" t="str">
        <f>IF(ORCAMENTOS!R2674="","",ORCAMENTOS!R2674)</f>
        <v>-</v>
      </c>
    </row>
    <row r="2667" spans="1:12" ht="15.75" hidden="1" customHeight="1" x14ac:dyDescent="0.25">
      <c r="A2667" s="36">
        <f>IF(ORCAMENTOS!A2675="","",ORCAMENTOS!A2675)</f>
        <v>46099</v>
      </c>
      <c r="B2667" s="46">
        <f>IF(ORCAMENTOS!B2675="","",ORCAMENTOS!B2675)</f>
        <v>490</v>
      </c>
      <c r="C2667" s="46" t="str">
        <f>IF(ORCAMENTOS!C2675="","",ORCAMENTOS!C2675)</f>
        <v/>
      </c>
      <c r="D2667" s="37" t="str">
        <f>IF(ORCAMENTOS!D2675="","",ORCAMENTOS!D2675)</f>
        <v>GLOBAL AR CONDICIONADO</v>
      </c>
      <c r="E2667" s="38" t="str">
        <f>IF(ORCAMENTOS!E2675="","",ORCAMENTOS!E2675)</f>
        <v>SANCTA MAGGIORE - UNIDADE MADAGASCAR - 1ºPV</v>
      </c>
      <c r="F2667" s="37" t="str">
        <f>IF(ORCAMENTOS!G2675="","",ORCAMENTOS!G2675)</f>
        <v>Emanuel</v>
      </c>
      <c r="G2667" s="37" t="str">
        <f>IF(ORCAMENTOS!H2675="","",ORCAMENTOS!H2675)</f>
        <v>Claudemir</v>
      </c>
      <c r="H2667" s="39">
        <f>IF(ORCAMENTOS!I2675="","",ORCAMENTOS!I2675)</f>
        <v>118676.18</v>
      </c>
      <c r="I2667" s="60">
        <f>IF(ORCAMENTOS!J2675="","",ORCAMENTOS!J2675)</f>
        <v>7.0000000000000007E-2</v>
      </c>
      <c r="J2667" s="40" t="str">
        <f>IF(ORCAMENTOS!L2675="","",ORCAMENTOS!L2675)</f>
        <v>CANCELADO</v>
      </c>
      <c r="K2667" s="34" t="str">
        <f>IF(ORCAMENTOS!M2675="","",ORCAMENTOS!M2675)</f>
        <v>-</v>
      </c>
      <c r="L2667" t="str">
        <f>IF(ORCAMENTOS!R2675="","",ORCAMENTOS!R2675)</f>
        <v/>
      </c>
    </row>
    <row r="2668" spans="1:12" ht="15.75" hidden="1" customHeight="1" x14ac:dyDescent="0.25">
      <c r="A2668" s="36">
        <f>IF(ORCAMENTOS!A2676="","",ORCAMENTOS!A2676)</f>
        <v>46099</v>
      </c>
      <c r="B2668" s="46">
        <f>IF(ORCAMENTOS!B2676="","",ORCAMENTOS!B2676)</f>
        <v>491</v>
      </c>
      <c r="C2668" s="46" t="str">
        <f>IF(ORCAMENTOS!C2676="","",ORCAMENTOS!C2676)</f>
        <v>R1</v>
      </c>
      <c r="D2668" s="37" t="str">
        <f>IF(ORCAMENTOS!D2676="","",ORCAMENTOS!D2676)</f>
        <v>ECOTHERM</v>
      </c>
      <c r="E2668" s="38" t="str">
        <f>IF(ORCAMENTOS!E2676="","",ORCAMENTOS!E2676)</f>
        <v>HOSPITAL RIBEIRÃO PRETO</v>
      </c>
      <c r="F2668" s="37" t="str">
        <f>IF(ORCAMENTOS!G2676="","",ORCAMENTOS!G2676)</f>
        <v>Emanuel</v>
      </c>
      <c r="G2668" s="37" t="str">
        <f>IF(ORCAMENTOS!H2676="","",ORCAMENTOS!H2676)</f>
        <v>Selma</v>
      </c>
      <c r="H2668" s="39">
        <f>IF(ORCAMENTOS!I2676="","",ORCAMENTOS!I2676)</f>
        <v>16515.599999999999</v>
      </c>
      <c r="I2668" s="60">
        <f>IF(ORCAMENTOS!J2676="","",ORCAMENTOS!J2676)</f>
        <v>0.03</v>
      </c>
      <c r="J2668" s="40" t="str">
        <f>IF(ORCAMENTOS!L2676="","",ORCAMENTOS!L2676)</f>
        <v>FECHADO</v>
      </c>
      <c r="K2668" s="34" t="str">
        <f>IF(ORCAMENTOS!M2676="","",ORCAMENTOS!M2676)</f>
        <v>-</v>
      </c>
      <c r="L2668" t="str">
        <f>IF(ORCAMENTOS!R2676="","",ORCAMENTOS!R2676)</f>
        <v>-</v>
      </c>
    </row>
    <row r="2669" spans="1:12" ht="15.75" hidden="1" customHeight="1" x14ac:dyDescent="0.25">
      <c r="A2669" s="36">
        <f>IF(ORCAMENTOS!A2677="","",ORCAMENTOS!A2677)</f>
        <v>46099</v>
      </c>
      <c r="B2669" s="46">
        <f>IF(ORCAMENTOS!B2677="","",ORCAMENTOS!B2677)</f>
        <v>492</v>
      </c>
      <c r="C2669" s="46" t="str">
        <f>IF(ORCAMENTOS!C2677="","",ORCAMENTOS!C2677)</f>
        <v/>
      </c>
      <c r="D2669" s="37" t="str">
        <f>IF(ORCAMENTOS!D2677="","",ORCAMENTOS!D2677)</f>
        <v>WH ENGENHARIA</v>
      </c>
      <c r="E2669" s="38" t="str">
        <f>IF(ORCAMENTOS!E2677="","",ORCAMENTOS!E2677)</f>
        <v>42719-1013</v>
      </c>
      <c r="F2669" s="37" t="str">
        <f>IF(ORCAMENTOS!G2677="","",ORCAMENTOS!G2677)</f>
        <v>Michel</v>
      </c>
      <c r="G2669" s="37" t="str">
        <f>IF(ORCAMENTOS!H2677="","",ORCAMENTOS!H2677)</f>
        <v>Roberto</v>
      </c>
      <c r="H2669" s="39">
        <f>IF(ORCAMENTOS!I2677="","",ORCAMENTOS!I2677)</f>
        <v>1895.67</v>
      </c>
      <c r="I2669" s="60">
        <f>IF(ORCAMENTOS!J2677="","",ORCAMENTOS!J2677)</f>
        <v>7.0000000000000007E-2</v>
      </c>
      <c r="J2669" s="40" t="str">
        <f>IF(ORCAMENTOS!L2677="","",ORCAMENTOS!L2677)</f>
        <v>PERDIDO</v>
      </c>
      <c r="K2669" s="34" t="str">
        <f>IF(ORCAMENTOS!M2677="","",ORCAMENTOS!M2677)</f>
        <v>PRAZO</v>
      </c>
      <c r="L2669" t="str">
        <f>IF(ORCAMENTOS!R2677="","",ORCAMENTOS!R2677)</f>
        <v>-</v>
      </c>
    </row>
    <row r="2670" spans="1:12" ht="15.75" hidden="1" customHeight="1" x14ac:dyDescent="0.25">
      <c r="A2670" s="36">
        <f>IF(ORCAMENTOS!A2678="","",ORCAMENTOS!A2678)</f>
        <v>46099</v>
      </c>
      <c r="B2670" s="46">
        <f>IF(ORCAMENTOS!B2678="","",ORCAMENTOS!B2678)</f>
        <v>493</v>
      </c>
      <c r="C2670" s="46" t="str">
        <f>IF(ORCAMENTOS!C2678="","",ORCAMENTOS!C2678)</f>
        <v/>
      </c>
      <c r="D2670" s="37" t="str">
        <f>IF(ORCAMENTOS!D2678="","",ORCAMENTOS!D2678)</f>
        <v>EDIVANDO SILVA</v>
      </c>
      <c r="E2670" s="38" t="str">
        <f>IF(ORCAMENTOS!E2678="","",ORCAMENTOS!E2678)</f>
        <v>EMPREITEIRO NP - OBRA RESIDENCIAL</v>
      </c>
      <c r="F2670" s="37" t="str">
        <f>IF(ORCAMENTOS!G2678="","",ORCAMENTOS!G2678)</f>
        <v>Guilherme</v>
      </c>
      <c r="G2670" s="37" t="str">
        <f>IF(ORCAMENTOS!H2678="","",ORCAMENTOS!H2678)</f>
        <v>Edivando</v>
      </c>
      <c r="H2670" s="39">
        <f>IF(ORCAMENTOS!I2678="","",ORCAMENTOS!I2678)</f>
        <v>12749.4</v>
      </c>
      <c r="I2670" s="60">
        <f>IF(ORCAMENTOS!J2678="","",ORCAMENTOS!J2678)</f>
        <v>7.0000000000000007E-2</v>
      </c>
      <c r="J2670" s="40" t="str">
        <f>IF(ORCAMENTOS!L2678="","",ORCAMENTOS!L2678)</f>
        <v>CANCELADO</v>
      </c>
      <c r="K2670" s="34" t="str">
        <f>IF(ORCAMENTOS!M2678="","",ORCAMENTOS!M2678)</f>
        <v>-</v>
      </c>
      <c r="L2670" t="str">
        <f>IF(ORCAMENTOS!R2678="","",ORCAMENTOS!R2678)</f>
        <v>-</v>
      </c>
    </row>
    <row r="2671" spans="1:12" ht="15.75" hidden="1" customHeight="1" x14ac:dyDescent="0.25">
      <c r="A2671" s="36">
        <f>IF(ORCAMENTOS!A2679="","",ORCAMENTOS!A2679)</f>
        <v>46099</v>
      </c>
      <c r="B2671" s="46">
        <f>IF(ORCAMENTOS!B2679="","",ORCAMENTOS!B2679)</f>
        <v>494</v>
      </c>
      <c r="C2671" s="46" t="str">
        <f>IF(ORCAMENTOS!C2679="","",ORCAMENTOS!C2679)</f>
        <v/>
      </c>
      <c r="D2671" s="37" t="str">
        <f>IF(ORCAMENTOS!D2679="","",ORCAMENTOS!D2679)</f>
        <v>NOSSO AR</v>
      </c>
      <c r="E2671" s="38" t="str">
        <f>IF(ORCAMENTOS!E2679="","",ORCAMENTOS!E2679)</f>
        <v>FS - CAMPO NOVO DO PARECIS - MT</v>
      </c>
      <c r="F2671" s="37" t="str">
        <f>IF(ORCAMENTOS!G2679="","",ORCAMENTOS!G2679)</f>
        <v>Gabriel</v>
      </c>
      <c r="G2671" s="37" t="str">
        <f>IF(ORCAMENTOS!H2679="","",ORCAMENTOS!H2679)</f>
        <v>Larissa</v>
      </c>
      <c r="H2671" s="39">
        <f>IF(ORCAMENTOS!I2679="","",ORCAMENTOS!I2679)</f>
        <v>674647.26</v>
      </c>
      <c r="I2671" s="60">
        <f>IF(ORCAMENTOS!J2679="","",ORCAMENTOS!J2679)</f>
        <v>0.05</v>
      </c>
      <c r="J2671" s="40" t="str">
        <f>IF(ORCAMENTOS!L2679="","",ORCAMENTOS!L2679)</f>
        <v>ORCAMENTO</v>
      </c>
      <c r="K2671" s="34" t="str">
        <f>IF(ORCAMENTOS!M2679="","",ORCAMENTOS!M2679)</f>
        <v>-</v>
      </c>
      <c r="L2671" t="str">
        <f>IF(ORCAMENTOS!R2679="","",ORCAMENTOS!R2679)</f>
        <v>-</v>
      </c>
    </row>
    <row r="2672" spans="1:12" ht="15.75" hidden="1" customHeight="1" x14ac:dyDescent="0.25">
      <c r="A2672" s="36">
        <f>IF(ORCAMENTOS!A2680="","",ORCAMENTOS!A2680)</f>
        <v>46100</v>
      </c>
      <c r="B2672" s="46">
        <f>IF(ORCAMENTOS!B2680="","",ORCAMENTOS!B2680)</f>
        <v>495</v>
      </c>
      <c r="C2672" s="46" t="str">
        <f>IF(ORCAMENTOS!C2680="","",ORCAMENTOS!C2680)</f>
        <v/>
      </c>
      <c r="D2672" s="37" t="str">
        <f>IF(ORCAMENTOS!D2680="","",ORCAMENTOS!D2680)</f>
        <v>BEST CLIMA</v>
      </c>
      <c r="E2672" s="38" t="str">
        <f>IF(ORCAMENTOS!E2680="","",ORCAMENTOS!E2680)</f>
        <v>E10 -5921</v>
      </c>
      <c r="F2672" s="37" t="str">
        <f>IF(ORCAMENTOS!G2680="","",ORCAMENTOS!G2680)</f>
        <v xml:space="preserve">Aldavir </v>
      </c>
      <c r="G2672" s="37" t="str">
        <f>IF(ORCAMENTOS!H2680="","",ORCAMENTOS!H2680)</f>
        <v>Marcelo</v>
      </c>
      <c r="H2672" s="39">
        <f>IF(ORCAMENTOS!I2680="","",ORCAMENTOS!I2680)</f>
        <v>153964.88</v>
      </c>
      <c r="I2672" s="60">
        <f>IF(ORCAMENTOS!J2680="","",ORCAMENTOS!J2680)</f>
        <v>7.0000000000000007E-2</v>
      </c>
      <c r="J2672" s="40" t="str">
        <f>IF(ORCAMENTOS!L2680="","",ORCAMENTOS!L2680)</f>
        <v>CANCELADO</v>
      </c>
      <c r="K2672" s="34" t="str">
        <f>IF(ORCAMENTOS!M2680="","",ORCAMENTOS!M2680)</f>
        <v>-</v>
      </c>
      <c r="L2672" t="str">
        <f>IF(ORCAMENTOS!R2680="","",ORCAMENTOS!R2680)</f>
        <v>-</v>
      </c>
    </row>
    <row r="2673" spans="1:12" ht="15.75" hidden="1" customHeight="1" x14ac:dyDescent="0.25">
      <c r="A2673" s="36">
        <f>IF(ORCAMENTOS!A2681="","",ORCAMENTOS!A2681)</f>
        <v>46100</v>
      </c>
      <c r="B2673" s="46">
        <f>IF(ORCAMENTOS!B2681="","",ORCAMENTOS!B2681)</f>
        <v>496</v>
      </c>
      <c r="C2673" s="46" t="str">
        <f>IF(ORCAMENTOS!C2681="","",ORCAMENTOS!C2681)</f>
        <v/>
      </c>
      <c r="D2673" s="37" t="str">
        <f>IF(ORCAMENTOS!D2681="","",ORCAMENTOS!D2681)</f>
        <v>SP1 AR CONDICIONADO</v>
      </c>
      <c r="E2673" s="38" t="str">
        <f>IF(ORCAMENTOS!E2681="","",ORCAMENTOS!E2681)</f>
        <v>-</v>
      </c>
      <c r="F2673" s="37" t="str">
        <f>IF(ORCAMENTOS!G2681="","",ORCAMENTOS!G2681)</f>
        <v>Gabriel</v>
      </c>
      <c r="G2673" s="37" t="str">
        <f>IF(ORCAMENTOS!H2681="","",ORCAMENTOS!H2681)</f>
        <v>Paulo</v>
      </c>
      <c r="H2673" s="39">
        <f>IF(ORCAMENTOS!I2681="","",ORCAMENTOS!I2681)</f>
        <v>70024.25</v>
      </c>
      <c r="I2673" s="60">
        <f>IF(ORCAMENTOS!J2681="","",ORCAMENTOS!J2681)</f>
        <v>7.0000000000000007E-2</v>
      </c>
      <c r="J2673" s="40" t="str">
        <f>IF(ORCAMENTOS!L2681="","",ORCAMENTOS!L2681)</f>
        <v>ORCAMENTO</v>
      </c>
      <c r="K2673" s="34" t="str">
        <f>IF(ORCAMENTOS!M2681="","",ORCAMENTOS!M2681)</f>
        <v>-</v>
      </c>
      <c r="L2673" t="str">
        <f>IF(ORCAMENTOS!R2681="","",ORCAMENTOS!R2681)</f>
        <v>-</v>
      </c>
    </row>
    <row r="2674" spans="1:12" ht="15.75" hidden="1" customHeight="1" x14ac:dyDescent="0.25">
      <c r="A2674" s="36">
        <f>IF(ORCAMENTOS!A2682="","",ORCAMENTOS!A2682)</f>
        <v>46100</v>
      </c>
      <c r="B2674" s="46">
        <f>IF(ORCAMENTOS!B2682="","",ORCAMENTOS!B2682)</f>
        <v>497</v>
      </c>
      <c r="C2674" s="46" t="str">
        <f>IF(ORCAMENTOS!C2682="","",ORCAMENTOS!C2682)</f>
        <v/>
      </c>
      <c r="D2674" s="37" t="str">
        <f>IF(ORCAMENTOS!D2682="","",ORCAMENTOS!D2682)</f>
        <v>ASF SERVICOS</v>
      </c>
      <c r="E2674" s="38" t="str">
        <f>IF(ORCAMENTOS!E2682="","",ORCAMENTOS!E2682)</f>
        <v>PA MOEMA</v>
      </c>
      <c r="F2674" s="37" t="str">
        <f>IF(ORCAMENTOS!G2682="","",ORCAMENTOS!G2682)</f>
        <v>Fernando</v>
      </c>
      <c r="G2674" s="37" t="str">
        <f>IF(ORCAMENTOS!H2682="","",ORCAMENTOS!H2682)</f>
        <v>Andre</v>
      </c>
      <c r="H2674" s="39">
        <f>IF(ORCAMENTOS!I2682="","",ORCAMENTOS!I2682)</f>
        <v>95728.63</v>
      </c>
      <c r="I2674" s="60">
        <f>IF(ORCAMENTOS!J2682="","",ORCAMENTOS!J2682)</f>
        <v>0.04</v>
      </c>
      <c r="J2674" s="40" t="str">
        <f>IF(ORCAMENTOS!L2682="","",ORCAMENTOS!L2682)</f>
        <v>ORCAMENTO</v>
      </c>
      <c r="K2674" s="34" t="str">
        <f>IF(ORCAMENTOS!M2682="","",ORCAMENTOS!M2682)</f>
        <v xml:space="preserve">CLIENTE NEGOCIANDO </v>
      </c>
      <c r="L2674" t="str">
        <f>IF(ORCAMENTOS!R2682="","",ORCAMENTOS!R2682)</f>
        <v>-</v>
      </c>
    </row>
    <row r="2675" spans="1:12" ht="15.75" hidden="1" customHeight="1" x14ac:dyDescent="0.25">
      <c r="A2675" s="36">
        <f>IF(ORCAMENTOS!A2683="","",ORCAMENTOS!A2683)</f>
        <v>46100</v>
      </c>
      <c r="B2675" s="46">
        <f>IF(ORCAMENTOS!B2683="","",ORCAMENTOS!B2683)</f>
        <v>498</v>
      </c>
      <c r="C2675" s="46" t="str">
        <f>IF(ORCAMENTOS!C2683="","",ORCAMENTOS!C2683)</f>
        <v/>
      </c>
      <c r="D2675" s="37" t="str">
        <f>IF(ORCAMENTOS!D2683="","",ORCAMENTOS!D2683)</f>
        <v>NEWSET</v>
      </c>
      <c r="E2675" s="38" t="str">
        <f>IF(ORCAMENTOS!E2683="","",ORCAMENTOS!E2683)</f>
        <v>SBT Bloco B - NSP018.26</v>
      </c>
      <c r="F2675" s="37" t="str">
        <f>IF(ORCAMENTOS!G2683="","",ORCAMENTOS!G2683)</f>
        <v xml:space="preserve">Aldavir </v>
      </c>
      <c r="G2675" s="37" t="str">
        <f>IF(ORCAMENTOS!H2683="","",ORCAMENTOS!H2683)</f>
        <v>David</v>
      </c>
      <c r="H2675" s="39">
        <f>IF(ORCAMENTOS!I2683="","",ORCAMENTOS!I2683)</f>
        <v>7126.85</v>
      </c>
      <c r="I2675" s="60">
        <f>IF(ORCAMENTOS!J2683="","",ORCAMENTOS!J2683)</f>
        <v>7.0000000000000007E-2</v>
      </c>
      <c r="J2675" s="40" t="str">
        <f>IF(ORCAMENTOS!L2683="","",ORCAMENTOS!L2683)</f>
        <v>ORCAMENTO</v>
      </c>
      <c r="K2675" s="34" t="str">
        <f>IF(ORCAMENTOS!M2683="","",ORCAMENTOS!M2683)</f>
        <v>-</v>
      </c>
      <c r="L2675" t="str">
        <f>IF(ORCAMENTOS!R2683="","",ORCAMENTOS!R2683)</f>
        <v/>
      </c>
    </row>
    <row r="2676" spans="1:12" ht="15.75" hidden="1" customHeight="1" x14ac:dyDescent="0.25">
      <c r="A2676" s="36">
        <f>IF(ORCAMENTOS!A2684="","",ORCAMENTOS!A2684)</f>
        <v>46100</v>
      </c>
      <c r="B2676" s="46">
        <f>IF(ORCAMENTOS!B2684="","",ORCAMENTOS!B2684)</f>
        <v>499</v>
      </c>
      <c r="C2676" s="46" t="str">
        <f>IF(ORCAMENTOS!C2684="","",ORCAMENTOS!C2684)</f>
        <v/>
      </c>
      <c r="D2676" s="37" t="str">
        <f>IF(ORCAMENTOS!D2684="","",ORCAMENTOS!D2684)</f>
        <v>BMS ENGENHARIA</v>
      </c>
      <c r="E2676" s="38" t="str">
        <f>IF(ORCAMENTOS!E2684="","",ORCAMENTOS!E2684)</f>
        <v>CYRELA - OSCAR FREIRE - SP</v>
      </c>
      <c r="F2676" s="37" t="str">
        <f>IF(ORCAMENTOS!G2684="","",ORCAMENTOS!G2684)</f>
        <v>Guilherme</v>
      </c>
      <c r="G2676" s="37" t="str">
        <f>IF(ORCAMENTOS!H2684="","",ORCAMENTOS!H2684)</f>
        <v>Aleison</v>
      </c>
      <c r="H2676" s="39">
        <f>IF(ORCAMENTOS!I2684="","",ORCAMENTOS!I2684)</f>
        <v>559308.92000000004</v>
      </c>
      <c r="I2676" s="60">
        <f>IF(ORCAMENTOS!J2684="","",ORCAMENTOS!J2684)</f>
        <v>7.0000000000000007E-2</v>
      </c>
      <c r="J2676" s="40" t="str">
        <f>IF(ORCAMENTOS!L2684="","",ORCAMENTOS!L2684)</f>
        <v>ORCAMENTO</v>
      </c>
      <c r="K2676" s="34" t="str">
        <f>IF(ORCAMENTOS!M2684="","",ORCAMENTOS!M2684)</f>
        <v>-</v>
      </c>
      <c r="L2676" t="str">
        <f>IF(ORCAMENTOS!R2684="","",ORCAMENTOS!R2684)</f>
        <v>PU/PI</v>
      </c>
    </row>
    <row r="2677" spans="1:12" ht="15.75" hidden="1" customHeight="1" x14ac:dyDescent="0.25">
      <c r="A2677" s="36">
        <f>IF(ORCAMENTOS!A2685="","",ORCAMENTOS!A2685)</f>
        <v>46101</v>
      </c>
      <c r="B2677" s="46">
        <f>IF(ORCAMENTOS!B2685="","",ORCAMENTOS!B2685)</f>
        <v>500</v>
      </c>
      <c r="C2677" s="46" t="str">
        <f>IF(ORCAMENTOS!C2685="","",ORCAMENTOS!C2685)</f>
        <v>R1</v>
      </c>
      <c r="D2677" s="37" t="str">
        <f>IF(ORCAMENTOS!D2685="","",ORCAMENTOS!D2685)</f>
        <v>ENGEMAC</v>
      </c>
      <c r="E2677" s="38" t="str">
        <f>IF(ORCAMENTOS!E2685="","",ORCAMENTOS!E2685)</f>
        <v>SMART FIT - PARELHEIROS</v>
      </c>
      <c r="F2677" s="37" t="str">
        <f>IF(ORCAMENTOS!G2685="","",ORCAMENTOS!G2685)</f>
        <v>Fernando</v>
      </c>
      <c r="G2677" s="37" t="str">
        <f>IF(ORCAMENTOS!H2685="","",ORCAMENTOS!H2685)</f>
        <v>Carlos</v>
      </c>
      <c r="H2677" s="39">
        <f>IF(ORCAMENTOS!I2685="","",ORCAMENTOS!I2685)</f>
        <v>43172.67</v>
      </c>
      <c r="I2677" s="60">
        <f>IF(ORCAMENTOS!J2685="","",ORCAMENTOS!J2685)</f>
        <v>0.03</v>
      </c>
      <c r="J2677" s="40" t="str">
        <f>IF(ORCAMENTOS!L2685="","",ORCAMENTOS!L2685)</f>
        <v>CANCELADO</v>
      </c>
      <c r="K2677" s="34" t="str">
        <f>IF(ORCAMENTOS!M2685="","",ORCAMENTOS!M2685)</f>
        <v>AGUARDANDO PEDIDO</v>
      </c>
      <c r="L2677" t="str">
        <f>IF(ORCAMENTOS!R2685="","",ORCAMENTOS!R2685)</f>
        <v>-</v>
      </c>
    </row>
    <row r="2678" spans="1:12" ht="15.75" hidden="1" customHeight="1" x14ac:dyDescent="0.25">
      <c r="A2678" s="36">
        <f>IF(ORCAMENTOS!A2686="","",ORCAMENTOS!A2686)</f>
        <v>46100</v>
      </c>
      <c r="B2678" s="46">
        <f>IF(ORCAMENTOS!B2686="","",ORCAMENTOS!B2686)</f>
        <v>501</v>
      </c>
      <c r="C2678" s="46" t="str">
        <f>IF(ORCAMENTOS!C2686="","",ORCAMENTOS!C2686)</f>
        <v>R3</v>
      </c>
      <c r="D2678" s="37" t="str">
        <f>IF(ORCAMENTOS!D2686="","",ORCAMENTOS!D2686)</f>
        <v>RM3 ENGENHARIA</v>
      </c>
      <c r="E2678" s="38" t="str">
        <f>IF(ORCAMENTOS!E2686="","",ORCAMENTOS!E2686)</f>
        <v>CD - LONDRINA - PR</v>
      </c>
      <c r="F2678" s="37" t="str">
        <f>IF(ORCAMENTOS!G2686="","",ORCAMENTOS!G2686)</f>
        <v>Guilherme</v>
      </c>
      <c r="G2678" s="37" t="str">
        <f>IF(ORCAMENTOS!H2686="","",ORCAMENTOS!H2686)</f>
        <v>Angelica</v>
      </c>
      <c r="H2678" s="39">
        <f>IF(ORCAMENTOS!I2686="","",ORCAMENTOS!I2686)</f>
        <v>252862.86</v>
      </c>
      <c r="I2678" s="60">
        <f>IF(ORCAMENTOS!J2686="","",ORCAMENTOS!J2686)</f>
        <v>0.05</v>
      </c>
      <c r="J2678" s="40" t="str">
        <f>IF(ORCAMENTOS!L2686="","",ORCAMENTOS!L2686)</f>
        <v>COMPRA</v>
      </c>
      <c r="K2678" s="34" t="str">
        <f>IF(ORCAMENTOS!M2686="","",ORCAMENTOS!M2686)</f>
        <v>AGUARDANDO PEDIDO</v>
      </c>
      <c r="L2678" t="str">
        <f>IF(ORCAMENTOS!R2686="","",ORCAMENTOS!R2686)</f>
        <v>MPU</v>
      </c>
    </row>
    <row r="2679" spans="1:12" ht="15.75" hidden="1" customHeight="1" x14ac:dyDescent="0.25">
      <c r="A2679" s="36">
        <f>IF(ORCAMENTOS!A2687="","",ORCAMENTOS!A2687)</f>
        <v>46135</v>
      </c>
      <c r="B2679" s="46">
        <f>IF(ORCAMENTOS!B2687="","",ORCAMENTOS!B2687)</f>
        <v>502</v>
      </c>
      <c r="C2679" s="46" t="str">
        <f>IF(ORCAMENTOS!C2687="","",ORCAMENTOS!C2687)</f>
        <v>R2</v>
      </c>
      <c r="D2679" s="37" t="str">
        <f>IF(ORCAMENTOS!D2687="","",ORCAMENTOS!D2687)</f>
        <v>SERTTA CLIMATIZACAO</v>
      </c>
      <c r="E2679" s="38" t="str">
        <f>IF(ORCAMENTOS!E2687="","",ORCAMENTOS!E2687)</f>
        <v>-</v>
      </c>
      <c r="F2679" s="37" t="str">
        <f>IF(ORCAMENTOS!G2687="","",ORCAMENTOS!G2687)</f>
        <v>Emanuel</v>
      </c>
      <c r="G2679" s="37" t="str">
        <f>IF(ORCAMENTOS!H2687="","",ORCAMENTOS!H2687)</f>
        <v>Liliane</v>
      </c>
      <c r="H2679" s="39">
        <f>IF(ORCAMENTOS!I2687="","",ORCAMENTOS!I2687)</f>
        <v>6764.52</v>
      </c>
      <c r="I2679" s="60">
        <f>IF(ORCAMENTOS!J2687="","",ORCAMENTOS!J2687)</f>
        <v>0.03</v>
      </c>
      <c r="J2679" s="40" t="str">
        <f>IF(ORCAMENTOS!L2687="","",ORCAMENTOS!L2687)</f>
        <v>PERDIDO</v>
      </c>
      <c r="K2679" s="34" t="str">
        <f>IF(ORCAMENTOS!M2687="","",ORCAMENTOS!M2687)</f>
        <v>MULTIVAC - PRAZO</v>
      </c>
      <c r="L2679" t="str">
        <f>IF(ORCAMENTOS!R2687="","",ORCAMENTOS!R2687)</f>
        <v>-</v>
      </c>
    </row>
    <row r="2680" spans="1:12" ht="15.75" hidden="1" customHeight="1" x14ac:dyDescent="0.25">
      <c r="A2680" s="36">
        <f>IF(ORCAMENTOS!A2688="","",ORCAMENTOS!A2688)</f>
        <v>46101</v>
      </c>
      <c r="B2680" s="46">
        <f>IF(ORCAMENTOS!B2688="","",ORCAMENTOS!B2688)</f>
        <v>503</v>
      </c>
      <c r="C2680" s="46" t="str">
        <f>IF(ORCAMENTOS!C2688="","",ORCAMENTOS!C2688)</f>
        <v/>
      </c>
      <c r="D2680" s="37" t="str">
        <f>IF(ORCAMENTOS!D2688="","",ORCAMENTOS!D2688)</f>
        <v>AIRPLAN</v>
      </c>
      <c r="E2680" s="38" t="str">
        <f>IF(ORCAMENTOS!E2688="","",ORCAMENTOS!E2688)</f>
        <v>PAO DE ACUCAR - MOEMA - SÃO PAULO - SP</v>
      </c>
      <c r="F2680" s="37" t="str">
        <f>IF(ORCAMENTOS!G2688="","",ORCAMENTOS!G2688)</f>
        <v>Guilherme</v>
      </c>
      <c r="G2680" s="37" t="str">
        <f>IF(ORCAMENTOS!H2688="","",ORCAMENTOS!H2688)</f>
        <v>Laercio</v>
      </c>
      <c r="H2680" s="39">
        <f>IF(ORCAMENTOS!I2688="","",ORCAMENTOS!I2688)</f>
        <v>98949.06</v>
      </c>
      <c r="I2680" s="60">
        <f>IF(ORCAMENTOS!J2688="","",ORCAMENTOS!J2688)</f>
        <v>7.0000000000000007E-2</v>
      </c>
      <c r="J2680" s="40" t="str">
        <f>IF(ORCAMENTOS!L2688="","",ORCAMENTOS!L2688)</f>
        <v>CANCELADO</v>
      </c>
      <c r="K2680" s="34" t="str">
        <f>IF(ORCAMENTOS!M2688="","",ORCAMENTOS!M2688)</f>
        <v>-</v>
      </c>
      <c r="L2680" t="str">
        <f>IF(ORCAMENTOS!R2688="","",ORCAMENTOS!R2688)</f>
        <v>CHAPA GALVANIZADA</v>
      </c>
    </row>
    <row r="2681" spans="1:12" ht="15.75" hidden="1" customHeight="1" x14ac:dyDescent="0.25">
      <c r="A2681" s="36">
        <f>IF(ORCAMENTOS!A2689="","",ORCAMENTOS!A2689)</f>
        <v>46101</v>
      </c>
      <c r="B2681" s="46">
        <f>IF(ORCAMENTOS!B2689="","",ORCAMENTOS!B2689)</f>
        <v>504</v>
      </c>
      <c r="C2681" s="46" t="str">
        <f>IF(ORCAMENTOS!C2689="","",ORCAMENTOS!C2689)</f>
        <v/>
      </c>
      <c r="D2681" s="37" t="str">
        <f>IF(ORCAMENTOS!D2689="","",ORCAMENTOS!D2689)</f>
        <v>AEROTHERMIC</v>
      </c>
      <c r="E2681" s="38" t="str">
        <f>IF(ORCAMENTOS!E2689="","",ORCAMENTOS!E2689)</f>
        <v>FOGO DE CHAO - BOTAFOGO</v>
      </c>
      <c r="F2681" s="37" t="str">
        <f>IF(ORCAMENTOS!G2689="","",ORCAMENTOS!G2689)</f>
        <v>Fernando</v>
      </c>
      <c r="G2681" s="37" t="str">
        <f>IF(ORCAMENTOS!H2689="","",ORCAMENTOS!H2689)</f>
        <v>Claudio</v>
      </c>
      <c r="H2681" s="39">
        <f>IF(ORCAMENTOS!I2689="","",ORCAMENTOS!I2689)</f>
        <v>15530.32</v>
      </c>
      <c r="I2681" s="60">
        <f>IF(ORCAMENTOS!J2689="","",ORCAMENTOS!J2689)</f>
        <v>7.0000000000000007E-2</v>
      </c>
      <c r="J2681" s="40" t="str">
        <f>IF(ORCAMENTOS!L2689="","",ORCAMENTOS!L2689)</f>
        <v>ORCAMENTO</v>
      </c>
      <c r="K2681" s="34" t="str">
        <f>IF(ORCAMENTOS!M2689="","",ORCAMENTOS!M2689)</f>
        <v>-</v>
      </c>
      <c r="L2681" t="str">
        <f>IF(ORCAMENTOS!R2689="","",ORCAMENTOS!R2689)</f>
        <v>N/E</v>
      </c>
    </row>
    <row r="2682" spans="1:12" ht="15.75" hidden="1" customHeight="1" x14ac:dyDescent="0.25">
      <c r="A2682" s="36">
        <f>IF(ORCAMENTOS!A2690="","",ORCAMENTOS!A2690)</f>
        <v>46101</v>
      </c>
      <c r="B2682" s="46">
        <f>IF(ORCAMENTOS!B2690="","",ORCAMENTOS!B2690)</f>
        <v>505</v>
      </c>
      <c r="C2682" s="46" t="str">
        <f>IF(ORCAMENTOS!C2690="","",ORCAMENTOS!C2690)</f>
        <v/>
      </c>
      <c r="D2682" s="37" t="str">
        <f>IF(ORCAMENTOS!D2690="","",ORCAMENTOS!D2690)</f>
        <v>AIR NET</v>
      </c>
      <c r="E2682" s="38" t="str">
        <f>IF(ORCAMENTOS!E2690="","",ORCAMENTOS!E2690)</f>
        <v>UNIMED ITAPETTININGA</v>
      </c>
      <c r="F2682" s="37" t="str">
        <f>IF(ORCAMENTOS!G2690="","",ORCAMENTOS!G2690)</f>
        <v>Fernando</v>
      </c>
      <c r="G2682" s="37" t="str">
        <f>IF(ORCAMENTOS!H2690="","",ORCAMENTOS!H2690)</f>
        <v>Gardner</v>
      </c>
      <c r="H2682" s="39">
        <f>IF(ORCAMENTOS!I2690="","",ORCAMENTOS!I2690)</f>
        <v>7458.57</v>
      </c>
      <c r="I2682" s="60">
        <f>IF(ORCAMENTOS!J2690="","",ORCAMENTOS!J2690)</f>
        <v>0.04</v>
      </c>
      <c r="J2682" s="40" t="str">
        <f>IF(ORCAMENTOS!L2690="","",ORCAMENTOS!L2690)</f>
        <v>FECHADO</v>
      </c>
      <c r="K2682" s="34" t="str">
        <f>IF(ORCAMENTOS!M2690="","",ORCAMENTOS!M2690)</f>
        <v>-</v>
      </c>
      <c r="L2682" t="str">
        <f>IF(ORCAMENTOS!R2690="","",ORCAMENTOS!R2690)</f>
        <v>-</v>
      </c>
    </row>
    <row r="2683" spans="1:12" ht="15.75" hidden="1" customHeight="1" x14ac:dyDescent="0.25">
      <c r="A2683" s="36">
        <f>IF(ORCAMENTOS!A2691="","",ORCAMENTOS!A2691)</f>
        <v>46101</v>
      </c>
      <c r="B2683" s="46">
        <f>IF(ORCAMENTOS!B2691="","",ORCAMENTOS!B2691)</f>
        <v>506</v>
      </c>
      <c r="C2683" s="46" t="str">
        <f>IF(ORCAMENTOS!C2691="","",ORCAMENTOS!C2691)</f>
        <v/>
      </c>
      <c r="D2683" s="37" t="str">
        <f>IF(ORCAMENTOS!D2691="","",ORCAMENTOS!D2691)</f>
        <v>MAX ENGENHARIA</v>
      </c>
      <c r="E2683" s="38" t="str">
        <f>IF(ORCAMENTOS!E2691="","",ORCAMENTOS!E2691)</f>
        <v>HOT BEACH - OLIMPIA</v>
      </c>
      <c r="F2683" s="37" t="str">
        <f>IF(ORCAMENTOS!G2691="","",ORCAMENTOS!G2691)</f>
        <v>Fernando</v>
      </c>
      <c r="G2683" s="37" t="str">
        <f>IF(ORCAMENTOS!H2691="","",ORCAMENTOS!H2691)</f>
        <v>Janeclea</v>
      </c>
      <c r="H2683" s="39">
        <f>IF(ORCAMENTOS!I2691="","",ORCAMENTOS!I2691)</f>
        <v>48646.080000000002</v>
      </c>
      <c r="I2683" s="60">
        <f>IF(ORCAMENTOS!J2691="","",ORCAMENTOS!J2691)</f>
        <v>0.04</v>
      </c>
      <c r="J2683" s="40" t="str">
        <f>IF(ORCAMENTOS!L2691="","",ORCAMENTOS!L2691)</f>
        <v>FECHADO</v>
      </c>
      <c r="K2683" s="34" t="str">
        <f>IF(ORCAMENTOS!M2691="","",ORCAMENTOS!M2691)</f>
        <v>-</v>
      </c>
      <c r="L2683" t="str">
        <f>IF(ORCAMENTOS!R2691="","",ORCAMENTOS!R2691)</f>
        <v>-</v>
      </c>
    </row>
    <row r="2684" spans="1:12" ht="15.75" hidden="1" customHeight="1" x14ac:dyDescent="0.25">
      <c r="A2684" s="36">
        <f>IF(ORCAMENTOS!A2692="","",ORCAMENTOS!A2692)</f>
        <v>46101</v>
      </c>
      <c r="B2684" s="46">
        <f>IF(ORCAMENTOS!B2692="","",ORCAMENTOS!B2692)</f>
        <v>507</v>
      </c>
      <c r="C2684" s="46" t="str">
        <f>IF(ORCAMENTOS!C2692="","",ORCAMENTOS!C2692)</f>
        <v/>
      </c>
      <c r="D2684" s="37" t="str">
        <f>IF(ORCAMENTOS!D2692="","",ORCAMENTOS!D2692)</f>
        <v>RICH ENGENHARIA</v>
      </c>
      <c r="E2684" s="38" t="str">
        <f>IF(ORCAMENTOS!E2692="","",ORCAMENTOS!E2692)</f>
        <v>-</v>
      </c>
      <c r="F2684" s="37" t="str">
        <f>IF(ORCAMENTOS!G2692="","",ORCAMENTOS!G2692)</f>
        <v>Guilherme</v>
      </c>
      <c r="G2684" s="37" t="str">
        <f>IF(ORCAMENTOS!H2692="","",ORCAMENTOS!H2692)</f>
        <v>Ricardo</v>
      </c>
      <c r="H2684" s="39">
        <f>IF(ORCAMENTOS!I2692="","",ORCAMENTOS!I2692)</f>
        <v>10093.23</v>
      </c>
      <c r="I2684" s="60">
        <f>IF(ORCAMENTOS!J2692="","",ORCAMENTOS!J2692)</f>
        <v>7.0000000000000007E-2</v>
      </c>
      <c r="J2684" s="40" t="str">
        <f>IF(ORCAMENTOS!L2692="","",ORCAMENTOS!L2692)</f>
        <v>CANCELADO</v>
      </c>
      <c r="K2684" s="34" t="str">
        <f>IF(ORCAMENTOS!M2692="","",ORCAMENTOS!M2692)</f>
        <v>-</v>
      </c>
      <c r="L2684" t="str">
        <f>IF(ORCAMENTOS!R2692="","",ORCAMENTOS!R2692)</f>
        <v>-</v>
      </c>
    </row>
    <row r="2685" spans="1:12" ht="15.75" hidden="1" customHeight="1" x14ac:dyDescent="0.25">
      <c r="A2685" s="36">
        <f>IF(ORCAMENTOS!A2693="","",ORCAMENTOS!A2693)</f>
        <v>46101</v>
      </c>
      <c r="B2685" s="46">
        <f>IF(ORCAMENTOS!B2693="","",ORCAMENTOS!B2693)</f>
        <v>508</v>
      </c>
      <c r="C2685" s="46" t="str">
        <f>IF(ORCAMENTOS!C2693="","",ORCAMENTOS!C2693)</f>
        <v/>
      </c>
      <c r="D2685" s="37" t="str">
        <f>IF(ORCAMENTOS!D2693="","",ORCAMENTOS!D2693)</f>
        <v>UNITEC</v>
      </c>
      <c r="E2685" s="38" t="str">
        <f>IF(ORCAMENTOS!E2693="","",ORCAMENTOS!E2693)</f>
        <v>McDonald's praia grande</v>
      </c>
      <c r="F2685" s="37" t="str">
        <f>IF(ORCAMENTOS!G2693="","",ORCAMENTOS!G2693)</f>
        <v>Gabriel</v>
      </c>
      <c r="G2685" s="37" t="str">
        <f>IF(ORCAMENTOS!H2693="","",ORCAMENTOS!H2693)</f>
        <v>Lucas</v>
      </c>
      <c r="H2685" s="39">
        <f>IF(ORCAMENTOS!I2693="","",ORCAMENTOS!I2693)</f>
        <v>6558.51</v>
      </c>
      <c r="I2685" s="60">
        <f>IF(ORCAMENTOS!J2693="","",ORCAMENTOS!J2693)</f>
        <v>0.05</v>
      </c>
      <c r="J2685" s="40" t="str">
        <f>IF(ORCAMENTOS!L2693="","",ORCAMENTOS!L2693)</f>
        <v>FECHADO</v>
      </c>
      <c r="K2685" s="34" t="str">
        <f>IF(ORCAMENTOS!M2693="","",ORCAMENTOS!M2693)</f>
        <v>-</v>
      </c>
      <c r="L2685" t="str">
        <f>IF(ORCAMENTOS!R2693="","",ORCAMENTOS!R2693)</f>
        <v>-</v>
      </c>
    </row>
    <row r="2686" spans="1:12" ht="15.75" hidden="1" customHeight="1" x14ac:dyDescent="0.25">
      <c r="A2686" s="36">
        <f>IF(ORCAMENTOS!A2694="","",ORCAMENTOS!A2694)</f>
        <v>46101</v>
      </c>
      <c r="B2686" s="46">
        <f>IF(ORCAMENTOS!B2694="","",ORCAMENTOS!B2694)</f>
        <v>509</v>
      </c>
      <c r="C2686" s="46" t="str">
        <f>IF(ORCAMENTOS!C2694="","",ORCAMENTOS!C2694)</f>
        <v>R1</v>
      </c>
      <c r="D2686" s="37" t="str">
        <f>IF(ORCAMENTOS!D2694="","",ORCAMENTOS!D2694)</f>
        <v>COMPARCO</v>
      </c>
      <c r="E2686" s="38" t="str">
        <f>IF(ORCAMENTOS!E2694="","",ORCAMENTOS!E2694)</f>
        <v>-</v>
      </c>
      <c r="F2686" s="37" t="str">
        <f>IF(ORCAMENTOS!G2694="","",ORCAMENTOS!G2694)</f>
        <v>Gabriel</v>
      </c>
      <c r="G2686" s="37" t="str">
        <f>IF(ORCAMENTOS!H2694="","",ORCAMENTOS!H2694)</f>
        <v>Regiane</v>
      </c>
      <c r="H2686" s="39">
        <f>IF(ORCAMENTOS!I2694="","",ORCAMENTOS!I2694)</f>
        <v>12457.32</v>
      </c>
      <c r="I2686" s="60">
        <f>IF(ORCAMENTOS!J2694="","",ORCAMENTOS!J2694)</f>
        <v>7.0000000000000007E-2</v>
      </c>
      <c r="J2686" s="40" t="str">
        <f>IF(ORCAMENTOS!L2694="","",ORCAMENTOS!L2694)</f>
        <v>ORCAMENTO</v>
      </c>
      <c r="K2686" s="34" t="str">
        <f>IF(ORCAMENTOS!M2694="","",ORCAMENTOS!M2694)</f>
        <v>-</v>
      </c>
      <c r="L2686" t="str">
        <f>IF(ORCAMENTOS!R2694="","",ORCAMENTOS!R2694)</f>
        <v>-</v>
      </c>
    </row>
    <row r="2687" spans="1:12" ht="15.75" hidden="1" customHeight="1" x14ac:dyDescent="0.25">
      <c r="A2687" s="36">
        <f>IF(ORCAMENTOS!A2695="","",ORCAMENTOS!A2695)</f>
        <v>46104</v>
      </c>
      <c r="B2687" s="46">
        <f>IF(ORCAMENTOS!B2695="","",ORCAMENTOS!B2695)</f>
        <v>510</v>
      </c>
      <c r="C2687" s="46" t="str">
        <f>IF(ORCAMENTOS!C2695="","",ORCAMENTOS!C2695)</f>
        <v>R3</v>
      </c>
      <c r="D2687" s="37" t="str">
        <f>IF(ORCAMENTOS!D2695="","",ORCAMENTOS!D2695)</f>
        <v>AR SET</v>
      </c>
      <c r="E2687" s="38" t="str">
        <f>IF(ORCAMENTOS!E2695="","",ORCAMENTOS!E2695)</f>
        <v>-</v>
      </c>
      <c r="F2687" s="37" t="str">
        <f>IF(ORCAMENTOS!G2695="","",ORCAMENTOS!G2695)</f>
        <v>Fernando</v>
      </c>
      <c r="G2687" s="37" t="str">
        <f>IF(ORCAMENTOS!H2695="","",ORCAMENTOS!H2695)</f>
        <v>Danilo</v>
      </c>
      <c r="H2687" s="39">
        <f>IF(ORCAMENTOS!I2695="","",ORCAMENTOS!I2695)</f>
        <v>1688.69</v>
      </c>
      <c r="I2687" s="60">
        <f>IF(ORCAMENTOS!J2695="","",ORCAMENTOS!J2695)</f>
        <v>7.0000000000000007E-2</v>
      </c>
      <c r="J2687" s="40" t="str">
        <f>IF(ORCAMENTOS!L2695="","",ORCAMENTOS!L2695)</f>
        <v>FECHADO</v>
      </c>
      <c r="K2687" s="34" t="str">
        <f>IF(ORCAMENTOS!M2695="","",ORCAMENTOS!M2695)</f>
        <v>-</v>
      </c>
      <c r="L2687" t="str">
        <f>IF(ORCAMENTOS!R2695="","",ORCAMENTOS!R2695)</f>
        <v>-</v>
      </c>
    </row>
    <row r="2688" spans="1:12" ht="15.75" hidden="1" customHeight="1" x14ac:dyDescent="0.25">
      <c r="A2688" s="36">
        <f>IF(ORCAMENTOS!A2696="","",ORCAMENTOS!A2696)</f>
        <v>46104</v>
      </c>
      <c r="B2688" s="46">
        <f>IF(ORCAMENTOS!B2696="","",ORCAMENTOS!B2696)</f>
        <v>511</v>
      </c>
      <c r="C2688" s="46" t="str">
        <f>IF(ORCAMENTOS!C2696="","",ORCAMENTOS!C2696)</f>
        <v/>
      </c>
      <c r="D2688" s="37" t="str">
        <f>IF(ORCAMENTOS!D2696="","",ORCAMENTOS!D2696)</f>
        <v>AIRCOOLTECH</v>
      </c>
      <c r="E2688" s="38" t="str">
        <f>IF(ORCAMENTOS!E2696="","",ORCAMENTOS!E2696)</f>
        <v>Hospital Santa Tereza - Campinas / SP</v>
      </c>
      <c r="F2688" s="37" t="str">
        <f>IF(ORCAMENTOS!G2696="","",ORCAMENTOS!G2696)</f>
        <v xml:space="preserve">Aldavir </v>
      </c>
      <c r="G2688" s="37" t="str">
        <f>IF(ORCAMENTOS!H2696="","",ORCAMENTOS!H2696)</f>
        <v>Irineu</v>
      </c>
      <c r="H2688" s="39">
        <f>IF(ORCAMENTOS!I2696="","",ORCAMENTOS!I2696)</f>
        <v>9297.93</v>
      </c>
      <c r="I2688" s="60">
        <f>IF(ORCAMENTOS!J2696="","",ORCAMENTOS!J2696)</f>
        <v>0.04</v>
      </c>
      <c r="J2688" s="40" t="str">
        <f>IF(ORCAMENTOS!L2696="","",ORCAMENTOS!L2696)</f>
        <v>FECHADO</v>
      </c>
      <c r="K2688" s="34" t="str">
        <f>IF(ORCAMENTOS!M2696="","",ORCAMENTOS!M2696)</f>
        <v>-</v>
      </c>
      <c r="L2688" t="str">
        <f>IF(ORCAMENTOS!R2696="","",ORCAMENTOS!R2696)</f>
        <v>-</v>
      </c>
    </row>
    <row r="2689" spans="1:12" ht="15.75" hidden="1" customHeight="1" x14ac:dyDescent="0.25">
      <c r="A2689" s="36">
        <f>IF(ORCAMENTOS!A2697="","",ORCAMENTOS!A2697)</f>
        <v>46104</v>
      </c>
      <c r="B2689" s="46">
        <f>IF(ORCAMENTOS!B2697="","",ORCAMENTOS!B2697)</f>
        <v>512</v>
      </c>
      <c r="C2689" s="46" t="str">
        <f>IF(ORCAMENTOS!C2697="","",ORCAMENTOS!C2697)</f>
        <v/>
      </c>
      <c r="D2689" s="37" t="str">
        <f>IF(ORCAMENTOS!D2697="","",ORCAMENTOS!D2697)</f>
        <v>RECLIMA</v>
      </c>
      <c r="E2689" s="38" t="str">
        <f>IF(ORCAMENTOS!E2697="","",ORCAMENTOS!E2697)</f>
        <v>-</v>
      </c>
      <c r="F2689" s="37" t="str">
        <f>IF(ORCAMENTOS!G2697="","",ORCAMENTOS!G2697)</f>
        <v>Michel</v>
      </c>
      <c r="G2689" s="37" t="str">
        <f>IF(ORCAMENTOS!H2697="","",ORCAMENTOS!H2697)</f>
        <v>Renata</v>
      </c>
      <c r="H2689" s="39">
        <f>IF(ORCAMENTOS!I2697="","",ORCAMENTOS!I2697)</f>
        <v>3395.89</v>
      </c>
      <c r="I2689" s="60">
        <f>IF(ORCAMENTOS!J2697="","",ORCAMENTOS!J2697)</f>
        <v>0.05</v>
      </c>
      <c r="J2689" s="40" t="str">
        <f>IF(ORCAMENTOS!L2697="","",ORCAMENTOS!L2697)</f>
        <v>FECHADO</v>
      </c>
      <c r="K2689" s="34" t="str">
        <f>IF(ORCAMENTOS!M2697="","",ORCAMENTOS!M2697)</f>
        <v>-</v>
      </c>
      <c r="L2689" t="str">
        <f>IF(ORCAMENTOS!R2697="","",ORCAMENTOS!R2697)</f>
        <v>-</v>
      </c>
    </row>
    <row r="2690" spans="1:12" ht="15.75" hidden="1" customHeight="1" x14ac:dyDescent="0.25">
      <c r="A2690" s="36">
        <f>IF(ORCAMENTOS!A2698="","",ORCAMENTOS!A2698)</f>
        <v>46105</v>
      </c>
      <c r="B2690" s="46">
        <f>IF(ORCAMENTOS!B2698="","",ORCAMENTOS!B2698)</f>
        <v>513</v>
      </c>
      <c r="C2690" s="46" t="str">
        <f>IF(ORCAMENTOS!C2698="","",ORCAMENTOS!C2698)</f>
        <v>R2</v>
      </c>
      <c r="D2690" s="37" t="str">
        <f>IF(ORCAMENTOS!D2698="","",ORCAMENTOS!D2698)</f>
        <v>MONTAGEM VIEIRA</v>
      </c>
      <c r="E2690" s="38" t="str">
        <f>IF(ORCAMENTOS!E2698="","",ORCAMENTOS!E2698)</f>
        <v>LUPO SA - ARARAQUARA - SP</v>
      </c>
      <c r="F2690" s="37" t="str">
        <f>IF(ORCAMENTOS!G2698="","",ORCAMENTOS!G2698)</f>
        <v>Fernando</v>
      </c>
      <c r="G2690" s="37" t="str">
        <f>IF(ORCAMENTOS!H2698="","",ORCAMENTOS!H2698)</f>
        <v>Sergio</v>
      </c>
      <c r="H2690" s="39">
        <f>IF(ORCAMENTOS!I2698="","",ORCAMENTOS!I2698)</f>
        <v>163598.29</v>
      </c>
      <c r="I2690" s="60">
        <f>IF(ORCAMENTOS!J2698="","",ORCAMENTOS!J2698)</f>
        <v>0.05</v>
      </c>
      <c r="J2690" s="40" t="str">
        <f>IF(ORCAMENTOS!L2698="","",ORCAMENTOS!L2698)</f>
        <v>FECHADO</v>
      </c>
      <c r="K2690" s="34" t="str">
        <f>IF(ORCAMENTOS!M2698="","",ORCAMENTOS!M2698)</f>
        <v>-</v>
      </c>
      <c r="L2690" t="str">
        <f>IF(ORCAMENTOS!R2698="","",ORCAMENTOS!R2698)</f>
        <v>CHAPA DE ACO</v>
      </c>
    </row>
    <row r="2691" spans="1:12" ht="15.75" hidden="1" customHeight="1" x14ac:dyDescent="0.25">
      <c r="A2691" s="36">
        <f>IF(ORCAMENTOS!A2699="","",ORCAMENTOS!A2699)</f>
        <v>46104</v>
      </c>
      <c r="B2691" s="46">
        <f>IF(ORCAMENTOS!B2699="","",ORCAMENTOS!B2699)</f>
        <v>514</v>
      </c>
      <c r="C2691" s="46" t="str">
        <f>IF(ORCAMENTOS!C2699="","",ORCAMENTOS!C2699)</f>
        <v/>
      </c>
      <c r="D2691" s="37" t="str">
        <f>IF(ORCAMENTOS!D2699="","",ORCAMENTOS!D2699)</f>
        <v>ALMEIDA E LIMA</v>
      </c>
      <c r="E2691" s="38" t="str">
        <f>IF(ORCAMENTOS!E2699="","",ORCAMENTOS!E2699)</f>
        <v>-</v>
      </c>
      <c r="F2691" s="37" t="str">
        <f>IF(ORCAMENTOS!G2699="","",ORCAMENTOS!G2699)</f>
        <v>Gabriel</v>
      </c>
      <c r="G2691" s="37" t="str">
        <f>IF(ORCAMENTOS!H2699="","",ORCAMENTOS!H2699)</f>
        <v>Marcelo</v>
      </c>
      <c r="H2691" s="39">
        <f>IF(ORCAMENTOS!I2699="","",ORCAMENTOS!I2699)</f>
        <v>1101.27</v>
      </c>
      <c r="I2691" s="60">
        <f>IF(ORCAMENTOS!J2699="","",ORCAMENTOS!J2699)</f>
        <v>7.0000000000000007E-2</v>
      </c>
      <c r="J2691" s="40" t="str">
        <f>IF(ORCAMENTOS!L2699="","",ORCAMENTOS!L2699)</f>
        <v>FECHADO</v>
      </c>
      <c r="K2691" s="34" t="str">
        <f>IF(ORCAMENTOS!M2699="","",ORCAMENTOS!M2699)</f>
        <v>-</v>
      </c>
      <c r="L2691" t="str">
        <f>IF(ORCAMENTOS!R2699="","",ORCAMENTOS!R2699)</f>
        <v>-</v>
      </c>
    </row>
    <row r="2692" spans="1:12" ht="15.75" hidden="1" customHeight="1" x14ac:dyDescent="0.25">
      <c r="A2692" s="36">
        <f>IF(ORCAMENTOS!A2700="","",ORCAMENTOS!A2700)</f>
        <v>46104</v>
      </c>
      <c r="B2692" s="46">
        <f>IF(ORCAMENTOS!B2700="","",ORCAMENTOS!B2700)</f>
        <v>515</v>
      </c>
      <c r="C2692" s="46" t="str">
        <f>IF(ORCAMENTOS!C2700="","",ORCAMENTOS!C2700)</f>
        <v/>
      </c>
      <c r="D2692" s="37" t="str">
        <f>IF(ORCAMENTOS!D2700="","",ORCAMENTOS!D2700)</f>
        <v>AR SISTEMAS</v>
      </c>
      <c r="E2692" s="38" t="str">
        <f>IF(ORCAMENTOS!E2700="","",ORCAMENTOS!E2700)</f>
        <v>HOSPITAL VERA CRUZ - REFORMA UTI E TOMO - CAMPINAS - SP</v>
      </c>
      <c r="F2692" s="37" t="str">
        <f>IF(ORCAMENTOS!G2700="","",ORCAMENTOS!G2700)</f>
        <v>Michel</v>
      </c>
      <c r="G2692" s="37" t="str">
        <f>IF(ORCAMENTOS!H2700="","",ORCAMENTOS!H2700)</f>
        <v>Anderson</v>
      </c>
      <c r="H2692" s="39">
        <f>IF(ORCAMENTOS!I2700="","",ORCAMENTOS!I2700)</f>
        <v>35800.29</v>
      </c>
      <c r="I2692" s="60">
        <f>IF(ORCAMENTOS!J2700="","",ORCAMENTOS!J2700)</f>
        <v>7.0000000000000007E-2</v>
      </c>
      <c r="J2692" s="40" t="str">
        <f>IF(ORCAMENTOS!L2700="","",ORCAMENTOS!L2700)</f>
        <v>ORCAMENTO</v>
      </c>
      <c r="K2692" s="34" t="str">
        <f>IF(ORCAMENTOS!M2700="","",ORCAMENTOS!M2700)</f>
        <v>-</v>
      </c>
      <c r="L2692" t="str">
        <f>IF(ORCAMENTOS!R2700="","",ORCAMENTOS!R2700)</f>
        <v>N/E</v>
      </c>
    </row>
    <row r="2693" spans="1:12" ht="15.75" hidden="1" customHeight="1" x14ac:dyDescent="0.25">
      <c r="A2693" s="36">
        <f>IF(ORCAMENTOS!A2701="","",ORCAMENTOS!A2701)</f>
        <v>46104</v>
      </c>
      <c r="B2693" s="46">
        <f>IF(ORCAMENTOS!B2701="","",ORCAMENTOS!B2701)</f>
        <v>516</v>
      </c>
      <c r="C2693" s="46" t="str">
        <f>IF(ORCAMENTOS!C2701="","",ORCAMENTOS!C2701)</f>
        <v/>
      </c>
      <c r="D2693" s="37" t="str">
        <f>IF(ORCAMENTOS!D2701="","",ORCAMENTOS!D2701)</f>
        <v>AWA AR CONDICIONADO</v>
      </c>
      <c r="E2693" s="38" t="str">
        <f>IF(ORCAMENTOS!E2701="","",ORCAMENTOS!E2701)</f>
        <v>ATACADAO - LOJA CAIEIRAS - SP</v>
      </c>
      <c r="F2693" s="37" t="str">
        <f>IF(ORCAMENTOS!G2701="","",ORCAMENTOS!G2701)</f>
        <v>Guilherme</v>
      </c>
      <c r="G2693" s="37" t="str">
        <f>IF(ORCAMENTOS!H2701="","",ORCAMENTOS!H2701)</f>
        <v>Guilherme</v>
      </c>
      <c r="H2693" s="39">
        <f>IF(ORCAMENTOS!I2701="","",ORCAMENTOS!I2701)</f>
        <v>204447.81</v>
      </c>
      <c r="I2693" s="60">
        <f>IF(ORCAMENTOS!J2701="","",ORCAMENTOS!J2701)</f>
        <v>0.05</v>
      </c>
      <c r="J2693" s="40" t="str">
        <f>IF(ORCAMENTOS!L2701="","",ORCAMENTOS!L2701)</f>
        <v>ORCAMENTO</v>
      </c>
      <c r="K2693" s="34" t="str">
        <f>IF(ORCAMENTOS!M2701="","",ORCAMENTOS!M2701)</f>
        <v>-</v>
      </c>
      <c r="L2693" t="str">
        <f>IF(ORCAMENTOS!R2701="","",ORCAMENTOS!R2701)</f>
        <v>MPU</v>
      </c>
    </row>
    <row r="2694" spans="1:12" ht="15.75" hidden="1" customHeight="1" x14ac:dyDescent="0.25">
      <c r="A2694" s="36">
        <f>IF(ORCAMENTOS!A2702="","",ORCAMENTOS!A2702)</f>
        <v>46104</v>
      </c>
      <c r="B2694" s="46">
        <f>IF(ORCAMENTOS!B2702="","",ORCAMENTOS!B2702)</f>
        <v>517</v>
      </c>
      <c r="C2694" s="46" t="str">
        <f>IF(ORCAMENTOS!C2702="","",ORCAMENTOS!C2702)</f>
        <v/>
      </c>
      <c r="D2694" s="37" t="str">
        <f>IF(ORCAMENTOS!D2702="","",ORCAMENTOS!D2702)</f>
        <v>AWA AR CONDICIONADO</v>
      </c>
      <c r="E2694" s="38" t="str">
        <f>IF(ORCAMENTOS!E2702="","",ORCAMENTOS!E2702)</f>
        <v>SUPER CEARA</v>
      </c>
      <c r="F2694" s="37" t="str">
        <f>IF(ORCAMENTOS!G2702="","",ORCAMENTOS!G2702)</f>
        <v>Guilherme</v>
      </c>
      <c r="G2694" s="37" t="str">
        <f>IF(ORCAMENTOS!H2702="","",ORCAMENTOS!H2702)</f>
        <v>Marcela</v>
      </c>
      <c r="H2694" s="39">
        <f>IF(ORCAMENTOS!I2702="","",ORCAMENTOS!I2702)</f>
        <v>42101.37</v>
      </c>
      <c r="I2694" s="60">
        <f>IF(ORCAMENTOS!J2702="","",ORCAMENTOS!J2702)</f>
        <v>0.03</v>
      </c>
      <c r="J2694" s="40" t="str">
        <f>IF(ORCAMENTOS!L2702="","",ORCAMENTOS!L2702)</f>
        <v>FECHADO</v>
      </c>
      <c r="K2694" s="34" t="str">
        <f>IF(ORCAMENTOS!M2702="","",ORCAMENTOS!M2702)</f>
        <v>-</v>
      </c>
      <c r="L2694" t="str">
        <f>IF(ORCAMENTOS!R2702="","",ORCAMENTOS!R2702)</f>
        <v>-</v>
      </c>
    </row>
    <row r="2695" spans="1:12" ht="15.75" hidden="1" customHeight="1" x14ac:dyDescent="0.25">
      <c r="A2695" s="36">
        <f>IF(ORCAMENTOS!A2703="","",ORCAMENTOS!A2703)</f>
        <v>46104</v>
      </c>
      <c r="B2695" s="46">
        <f>IF(ORCAMENTOS!B2703="","",ORCAMENTOS!B2703)</f>
        <v>518</v>
      </c>
      <c r="C2695" s="46" t="str">
        <f>IF(ORCAMENTOS!C2703="","",ORCAMENTOS!C2703)</f>
        <v/>
      </c>
      <c r="D2695" s="37" t="str">
        <f>IF(ORCAMENTOS!D2703="","",ORCAMENTOS!D2703)</f>
        <v>DUTOLEVE</v>
      </c>
      <c r="E2695" s="38" t="str">
        <f>IF(ORCAMENTOS!E2703="","",ORCAMENTOS!E2703)</f>
        <v>-</v>
      </c>
      <c r="F2695" s="37" t="str">
        <f>IF(ORCAMENTOS!G2703="","",ORCAMENTOS!G2703)</f>
        <v>Gabriel</v>
      </c>
      <c r="G2695" s="37" t="str">
        <f>IF(ORCAMENTOS!H2703="","",ORCAMENTOS!H2703)</f>
        <v>Newton</v>
      </c>
      <c r="H2695" s="39">
        <f>IF(ORCAMENTOS!I2703="","",ORCAMENTOS!I2703)</f>
        <v>609.4</v>
      </c>
      <c r="I2695" s="60">
        <f>IF(ORCAMENTOS!J2703="","",ORCAMENTOS!J2703)</f>
        <v>7.0000000000000007E-2</v>
      </c>
      <c r="J2695" s="40" t="str">
        <f>IF(ORCAMENTOS!L2703="","",ORCAMENTOS!L2703)</f>
        <v>FECHADO</v>
      </c>
      <c r="K2695" s="34" t="str">
        <f>IF(ORCAMENTOS!M2703="","",ORCAMENTOS!M2703)</f>
        <v>-</v>
      </c>
      <c r="L2695" t="str">
        <f>IF(ORCAMENTOS!R2703="","",ORCAMENTOS!R2703)</f>
        <v>-</v>
      </c>
    </row>
    <row r="2696" spans="1:12" ht="15.75" hidden="1" customHeight="1" x14ac:dyDescent="0.25">
      <c r="A2696" s="36">
        <f>IF(ORCAMENTOS!A2704="","",ORCAMENTOS!A2704)</f>
        <v>46105</v>
      </c>
      <c r="B2696" s="46">
        <f>IF(ORCAMENTOS!B2704="","",ORCAMENTOS!B2704)</f>
        <v>519</v>
      </c>
      <c r="C2696" s="46" t="str">
        <f>IF(ORCAMENTOS!C2704="","",ORCAMENTOS!C2704)</f>
        <v/>
      </c>
      <c r="D2696" s="37" t="str">
        <f>IF(ORCAMENTOS!D2704="","",ORCAMENTOS!D2704)</f>
        <v>COOLING HVAC</v>
      </c>
      <c r="E2696" s="38" t="str">
        <f>IF(ORCAMENTOS!E2704="","",ORCAMENTOS!E2704)</f>
        <v>PREVENT SENIOR - HIGIENOPOLIS - SP</v>
      </c>
      <c r="F2696" s="37" t="str">
        <f>IF(ORCAMENTOS!G2704="","",ORCAMENTOS!G2704)</f>
        <v>Michel</v>
      </c>
      <c r="G2696" s="37" t="str">
        <f>IF(ORCAMENTOS!H2704="","",ORCAMENTOS!H2704)</f>
        <v>Henio</v>
      </c>
      <c r="H2696" s="39">
        <f>IF(ORCAMENTOS!I2704="","",ORCAMENTOS!I2704)</f>
        <v>92677.56</v>
      </c>
      <c r="I2696" s="60">
        <f>IF(ORCAMENTOS!J2704="","",ORCAMENTOS!J2704)</f>
        <v>7.0000000000000007E-2</v>
      </c>
      <c r="J2696" s="40" t="str">
        <f>IF(ORCAMENTOS!L2704="","",ORCAMENTOS!L2704)</f>
        <v>ORCAMENTO</v>
      </c>
      <c r="K2696" s="34" t="str">
        <f>IF(ORCAMENTOS!M2704="","",ORCAMENTOS!M2704)</f>
        <v>-</v>
      </c>
      <c r="L2696" t="str">
        <f>IF(ORCAMENTOS!R2704="","",ORCAMENTOS!R2704)</f>
        <v>N/E</v>
      </c>
    </row>
    <row r="2697" spans="1:12" ht="15.75" hidden="1" customHeight="1" x14ac:dyDescent="0.25">
      <c r="A2697" s="36">
        <f>IF(ORCAMENTOS!A2705="","",ORCAMENTOS!A2705)</f>
        <v>46105</v>
      </c>
      <c r="B2697" s="46">
        <f>IF(ORCAMENTOS!B2705="","",ORCAMENTOS!B2705)</f>
        <v>520</v>
      </c>
      <c r="C2697" s="46" t="str">
        <f>IF(ORCAMENTOS!C2705="","",ORCAMENTOS!C2705)</f>
        <v/>
      </c>
      <c r="D2697" s="37" t="str">
        <f>IF(ORCAMENTOS!D2705="","",ORCAMENTOS!D2705)</f>
        <v>FANCOLD SERVICE</v>
      </c>
      <c r="E2697" s="38" t="str">
        <f>IF(ORCAMENTOS!E2705="","",ORCAMENTOS!E2705)</f>
        <v>BAUDUCCO EXTERMA</v>
      </c>
      <c r="F2697" s="37" t="str">
        <f>IF(ORCAMENTOS!G2705="","",ORCAMENTOS!G2705)</f>
        <v>Michel</v>
      </c>
      <c r="G2697" s="37" t="str">
        <f>IF(ORCAMENTOS!H2705="","",ORCAMENTOS!H2705)</f>
        <v>Leandro</v>
      </c>
      <c r="H2697" s="39">
        <f>IF(ORCAMENTOS!I2705="","",ORCAMENTOS!I2705)</f>
        <v>22967.85</v>
      </c>
      <c r="I2697" s="60">
        <f>IF(ORCAMENTOS!J2705="","",ORCAMENTOS!J2705)</f>
        <v>7.0000000000000007E-2</v>
      </c>
      <c r="J2697" s="40" t="str">
        <f>IF(ORCAMENTOS!L2705="","",ORCAMENTOS!L2705)</f>
        <v>ORCAMENTO</v>
      </c>
      <c r="K2697" s="34" t="str">
        <f>IF(ORCAMENTOS!M2705="","",ORCAMENTOS!M2705)</f>
        <v>-</v>
      </c>
      <c r="L2697" t="str">
        <f>IF(ORCAMENTOS!R2705="","",ORCAMENTOS!R2705)</f>
        <v>-</v>
      </c>
    </row>
    <row r="2698" spans="1:12" ht="15.75" hidden="1" customHeight="1" x14ac:dyDescent="0.25">
      <c r="A2698" s="36">
        <f>IF(ORCAMENTOS!A2706="","",ORCAMENTOS!A2706)</f>
        <v>46105</v>
      </c>
      <c r="B2698" s="46">
        <f>IF(ORCAMENTOS!B2706="","",ORCAMENTOS!B2706)</f>
        <v>521</v>
      </c>
      <c r="C2698" s="46" t="str">
        <f>IF(ORCAMENTOS!C2706="","",ORCAMENTOS!C2706)</f>
        <v/>
      </c>
      <c r="D2698" s="37" t="str">
        <f>IF(ORCAMENTOS!D2706="","",ORCAMENTOS!D2706)</f>
        <v>AWA AR CONDICIONADO</v>
      </c>
      <c r="E2698" s="38" t="str">
        <f>IF(ORCAMENTOS!E2706="","",ORCAMENTOS!E2706)</f>
        <v>LOJAS RIACHUELO - IBIRAPUERA SHOPPING - SP</v>
      </c>
      <c r="F2698" s="37" t="str">
        <f>IF(ORCAMENTOS!G2706="","",ORCAMENTOS!G2706)</f>
        <v>Guilherme</v>
      </c>
      <c r="G2698" s="37" t="str">
        <f>IF(ORCAMENTOS!H2706="","",ORCAMENTOS!H2706)</f>
        <v>Guilherme</v>
      </c>
      <c r="H2698" s="39">
        <f>IF(ORCAMENTOS!I2706="","",ORCAMENTOS!I2706)</f>
        <v>77838.34</v>
      </c>
      <c r="I2698" s="60">
        <f>IF(ORCAMENTOS!J2706="","",ORCAMENTOS!J2706)</f>
        <v>0.05</v>
      </c>
      <c r="J2698" s="40" t="str">
        <f>IF(ORCAMENTOS!L2706="","",ORCAMENTOS!L2706)</f>
        <v>ORCAMENTO</v>
      </c>
      <c r="K2698" s="34" t="str">
        <f>IF(ORCAMENTOS!M2706="","",ORCAMENTOS!M2706)</f>
        <v>-</v>
      </c>
      <c r="L2698" t="str">
        <f>IF(ORCAMENTOS!R2706="","",ORCAMENTOS!R2706)</f>
        <v>N/E</v>
      </c>
    </row>
    <row r="2699" spans="1:12" ht="15.75" hidden="1" customHeight="1" x14ac:dyDescent="0.25">
      <c r="A2699" s="36">
        <f>IF(ORCAMENTOS!A2707="","",ORCAMENTOS!A2707)</f>
        <v>46105</v>
      </c>
      <c r="B2699" s="46">
        <f>IF(ORCAMENTOS!B2707="","",ORCAMENTOS!B2707)</f>
        <v>522</v>
      </c>
      <c r="C2699" s="46" t="str">
        <f>IF(ORCAMENTOS!C2707="","",ORCAMENTOS!C2707)</f>
        <v/>
      </c>
      <c r="D2699" s="37" t="str">
        <f>IF(ORCAMENTOS!D2707="","",ORCAMENTOS!D2707)</f>
        <v>AWA AR CONDICIONADO</v>
      </c>
      <c r="E2699" s="38" t="str">
        <f>IF(ORCAMENTOS!E2707="","",ORCAMENTOS!E2707)</f>
        <v>CD - LONDRINA - PR</v>
      </c>
      <c r="F2699" s="37" t="str">
        <f>IF(ORCAMENTOS!G2707="","",ORCAMENTOS!G2707)</f>
        <v>Guilherme</v>
      </c>
      <c r="G2699" s="37" t="str">
        <f>IF(ORCAMENTOS!H2707="","",ORCAMENTOS!H2707)</f>
        <v>Gustavo</v>
      </c>
      <c r="H2699" s="39">
        <f>IF(ORCAMENTOS!I2707="","",ORCAMENTOS!I2707)</f>
        <v>600641.68999999994</v>
      </c>
      <c r="I2699" s="60">
        <f>IF(ORCAMENTOS!J2707="","",ORCAMENTOS!J2707)</f>
        <v>0.05</v>
      </c>
      <c r="J2699" s="40" t="str">
        <f>IF(ORCAMENTOS!L2707="","",ORCAMENTOS!L2707)</f>
        <v>CANCELADO</v>
      </c>
      <c r="K2699" s="34" t="str">
        <f>IF(ORCAMENTOS!M2707="","",ORCAMENTOS!M2707)</f>
        <v>-</v>
      </c>
      <c r="L2699" t="str">
        <f>IF(ORCAMENTOS!R2707="","",ORCAMENTOS!R2707)</f>
        <v>MPU</v>
      </c>
    </row>
    <row r="2700" spans="1:12" ht="15.75" hidden="1" customHeight="1" x14ac:dyDescent="0.25">
      <c r="A2700" s="36">
        <f>IF(ORCAMENTOS!A2708="","",ORCAMENTOS!A2708)</f>
        <v>46105</v>
      </c>
      <c r="B2700" s="46">
        <f>IF(ORCAMENTOS!B2708="","",ORCAMENTOS!B2708)</f>
        <v>523</v>
      </c>
      <c r="C2700" s="46" t="str">
        <f>IF(ORCAMENTOS!C2708="","",ORCAMENTOS!C2708)</f>
        <v/>
      </c>
      <c r="D2700" s="37" t="str">
        <f>IF(ORCAMENTOS!D2708="","",ORCAMENTOS!D2708)</f>
        <v>GLACIAR</v>
      </c>
      <c r="E2700" s="38" t="str">
        <f>IF(ORCAMENTOS!E2708="","",ORCAMENTOS!E2708)</f>
        <v>CLINICA CASSI - FLORIANOPOLIS - SC</v>
      </c>
      <c r="F2700" s="37" t="str">
        <f>IF(ORCAMENTOS!G2708="","",ORCAMENTOS!G2708)</f>
        <v xml:space="preserve">Aldavir </v>
      </c>
      <c r="G2700" s="37" t="str">
        <f>IF(ORCAMENTOS!H2708="","",ORCAMENTOS!H2708)</f>
        <v>Eduardo</v>
      </c>
      <c r="H2700" s="39">
        <f>IF(ORCAMENTOS!I2708="","",ORCAMENTOS!I2708)</f>
        <v>39824.18</v>
      </c>
      <c r="I2700" s="60">
        <f>IF(ORCAMENTOS!J2708="","",ORCAMENTOS!J2708)</f>
        <v>7.0000000000000007E-2</v>
      </c>
      <c r="J2700" s="40" t="str">
        <f>IF(ORCAMENTOS!L2708="","",ORCAMENTOS!L2708)</f>
        <v>ORCAMENTO</v>
      </c>
      <c r="K2700" s="34" t="str">
        <f>IF(ORCAMENTOS!M2708="","",ORCAMENTOS!M2708)</f>
        <v>-</v>
      </c>
      <c r="L2700" t="str">
        <f>IF(ORCAMENTOS!R2708="","",ORCAMENTOS!R2708)</f>
        <v>PAINEIS DE ALUM ISOLADOS</v>
      </c>
    </row>
    <row r="2701" spans="1:12" ht="15.75" hidden="1" customHeight="1" x14ac:dyDescent="0.25">
      <c r="A2701" s="36">
        <f>IF(ORCAMENTOS!A2709="","",ORCAMENTOS!A2709)</f>
        <v>46105</v>
      </c>
      <c r="B2701" s="46">
        <f>IF(ORCAMENTOS!B2709="","",ORCAMENTOS!B2709)</f>
        <v>524</v>
      </c>
      <c r="C2701" s="46" t="str">
        <f>IF(ORCAMENTOS!C2709="","",ORCAMENTOS!C2709)</f>
        <v/>
      </c>
      <c r="D2701" s="37" t="str">
        <f>IF(ORCAMENTOS!D2709="","",ORCAMENTOS!D2709)</f>
        <v>K SET</v>
      </c>
      <c r="E2701" s="38" t="str">
        <f>IF(ORCAMENTOS!E2709="","",ORCAMENTOS!E2709)</f>
        <v>-</v>
      </c>
      <c r="F2701" s="37" t="str">
        <f>IF(ORCAMENTOS!G2709="","",ORCAMENTOS!G2709)</f>
        <v>Gabriel</v>
      </c>
      <c r="G2701" s="37" t="str">
        <f>IF(ORCAMENTOS!H2709="","",ORCAMENTOS!H2709)</f>
        <v>Bruna</v>
      </c>
      <c r="H2701" s="39">
        <f>IF(ORCAMENTOS!I2709="","",ORCAMENTOS!I2709)</f>
        <v>7207.3</v>
      </c>
      <c r="I2701" s="60">
        <f>IF(ORCAMENTOS!J2709="","",ORCAMENTOS!J2709)</f>
        <v>7.0000000000000007E-2</v>
      </c>
      <c r="J2701" s="40" t="str">
        <f>IF(ORCAMENTOS!L2709="","",ORCAMENTOS!L2709)</f>
        <v>COMPRA</v>
      </c>
      <c r="K2701" s="34" t="str">
        <f>IF(ORCAMENTOS!M2709="","",ORCAMENTOS!M2709)</f>
        <v>-</v>
      </c>
      <c r="L2701" t="str">
        <f>IF(ORCAMENTOS!R2709="","",ORCAMENTOS!R2709)</f>
        <v>-</v>
      </c>
    </row>
    <row r="2702" spans="1:12" ht="15.75" hidden="1" customHeight="1" x14ac:dyDescent="0.25">
      <c r="A2702" s="36">
        <f>IF(ORCAMENTOS!A2710="","",ORCAMENTOS!A2710)</f>
        <v>46105</v>
      </c>
      <c r="B2702" s="46">
        <f>IF(ORCAMENTOS!B2710="","",ORCAMENTOS!B2710)</f>
        <v>525</v>
      </c>
      <c r="C2702" s="46" t="str">
        <f>IF(ORCAMENTOS!C2710="","",ORCAMENTOS!C2710)</f>
        <v/>
      </c>
      <c r="D2702" s="37" t="str">
        <f>IF(ORCAMENTOS!D2710="","",ORCAMENTOS!D2710)</f>
        <v>AWA AR CONDICIONADO</v>
      </c>
      <c r="E2702" s="38" t="str">
        <f>IF(ORCAMENTOS!E2710="","",ORCAMENTOS!E2710)</f>
        <v>MIX BALSAS</v>
      </c>
      <c r="F2702" s="37" t="str">
        <f>IF(ORCAMENTOS!G2710="","",ORCAMENTOS!G2710)</f>
        <v>Guilherme</v>
      </c>
      <c r="G2702" s="37" t="str">
        <f>IF(ORCAMENTOS!H2710="","",ORCAMENTOS!H2710)</f>
        <v>Isabela</v>
      </c>
      <c r="H2702" s="39">
        <f>IF(ORCAMENTOS!I2710="","",ORCAMENTOS!I2710)</f>
        <v>145872.71</v>
      </c>
      <c r="I2702" s="60">
        <f>IF(ORCAMENTOS!J2710="","",ORCAMENTOS!J2710)</f>
        <v>0.05</v>
      </c>
      <c r="J2702" s="40" t="str">
        <f>IF(ORCAMENTOS!L2710="","",ORCAMENTOS!L2710)</f>
        <v>CANCELADO</v>
      </c>
      <c r="K2702" s="34" t="str">
        <f>IF(ORCAMENTOS!M2710="","",ORCAMENTOS!M2710)</f>
        <v>-</v>
      </c>
      <c r="L2702" t="str">
        <f>IF(ORCAMENTOS!R2710="","",ORCAMENTOS!R2710)</f>
        <v>-</v>
      </c>
    </row>
    <row r="2703" spans="1:12" ht="15.75" hidden="1" customHeight="1" x14ac:dyDescent="0.25">
      <c r="A2703" s="36">
        <f>IF(ORCAMENTOS!A2711="","",ORCAMENTOS!A2711)</f>
        <v>46105</v>
      </c>
      <c r="B2703" s="46">
        <f>IF(ORCAMENTOS!B2711="","",ORCAMENTOS!B2711)</f>
        <v>526</v>
      </c>
      <c r="C2703" s="46" t="str">
        <f>IF(ORCAMENTOS!C2711="","",ORCAMENTOS!C2711)</f>
        <v/>
      </c>
      <c r="D2703" s="37" t="str">
        <f>IF(ORCAMENTOS!D2711="","",ORCAMENTOS!D2711)</f>
        <v>AWA AR CONDICIONADO</v>
      </c>
      <c r="E2703" s="38" t="str">
        <f>IF(ORCAMENTOS!E2711="","",ORCAMENTOS!E2711)</f>
        <v>ATACADAO - SUZANO - SP</v>
      </c>
      <c r="F2703" s="37" t="str">
        <f>IF(ORCAMENTOS!G2711="","",ORCAMENTOS!G2711)</f>
        <v>Guilherme</v>
      </c>
      <c r="G2703" s="37" t="str">
        <f>IF(ORCAMENTOS!H2711="","",ORCAMENTOS!H2711)</f>
        <v>Guilherme</v>
      </c>
      <c r="H2703" s="39">
        <f>IF(ORCAMENTOS!I2711="","",ORCAMENTOS!I2711)</f>
        <v>166799.53</v>
      </c>
      <c r="I2703" s="60">
        <f>IF(ORCAMENTOS!J2711="","",ORCAMENTOS!J2711)</f>
        <v>0.05</v>
      </c>
      <c r="J2703" s="40" t="str">
        <f>IF(ORCAMENTOS!L2711="","",ORCAMENTOS!L2711)</f>
        <v>ORCAMENTO</v>
      </c>
      <c r="K2703" s="34" t="str">
        <f>IF(ORCAMENTOS!M2711="","",ORCAMENTOS!M2711)</f>
        <v>-</v>
      </c>
      <c r="L2703" t="str">
        <f>IF(ORCAMENTOS!R2711="","",ORCAMENTOS!R2711)</f>
        <v>MPU</v>
      </c>
    </row>
    <row r="2704" spans="1:12" ht="15.75" hidden="1" customHeight="1" x14ac:dyDescent="0.25">
      <c r="A2704" s="36">
        <f>IF(ORCAMENTOS!A2712="","",ORCAMENTOS!A2712)</f>
        <v>46105</v>
      </c>
      <c r="B2704" s="46">
        <f>IF(ORCAMENTOS!B2712="","",ORCAMENTOS!B2712)</f>
        <v>527</v>
      </c>
      <c r="C2704" s="46" t="str">
        <f>IF(ORCAMENTOS!C2712="","",ORCAMENTOS!C2712)</f>
        <v/>
      </c>
      <c r="D2704" s="37" t="str">
        <f>IF(ORCAMENTOS!D2712="","",ORCAMENTOS!D2712)</f>
        <v>EKO CLIMAX</v>
      </c>
      <c r="E2704" s="38" t="str">
        <f>IF(ORCAMENTOS!E2712="","",ORCAMENTOS!E2712)</f>
        <v>-</v>
      </c>
      <c r="F2704" s="37" t="str">
        <f>IF(ORCAMENTOS!G2712="","",ORCAMENTOS!G2712)</f>
        <v>Michel</v>
      </c>
      <c r="G2704" s="37" t="str">
        <f>IF(ORCAMENTOS!H2712="","",ORCAMENTOS!H2712)</f>
        <v>Rogerio</v>
      </c>
      <c r="H2704" s="39">
        <f>IF(ORCAMENTOS!I2712="","",ORCAMENTOS!I2712)</f>
        <v>7266.3</v>
      </c>
      <c r="I2704" s="60">
        <f>IF(ORCAMENTOS!J2712="","",ORCAMENTOS!J2712)</f>
        <v>0.06</v>
      </c>
      <c r="J2704" s="40" t="str">
        <f>IF(ORCAMENTOS!L2712="","",ORCAMENTOS!L2712)</f>
        <v>FECHADO</v>
      </c>
      <c r="K2704" s="34" t="str">
        <f>IF(ORCAMENTOS!M2712="","",ORCAMENTOS!M2712)</f>
        <v>-</v>
      </c>
      <c r="L2704" t="str">
        <f>IF(ORCAMENTOS!R2712="","",ORCAMENTOS!R2712)</f>
        <v>-</v>
      </c>
    </row>
    <row r="2705" spans="1:12" ht="15.75" hidden="1" customHeight="1" x14ac:dyDescent="0.25">
      <c r="A2705" s="36">
        <f>IF(ORCAMENTOS!A2713="","",ORCAMENTOS!A2713)</f>
        <v>46105</v>
      </c>
      <c r="B2705" s="46">
        <f>IF(ORCAMENTOS!B2713="","",ORCAMENTOS!B2713)</f>
        <v>528</v>
      </c>
      <c r="C2705" s="46" t="str">
        <f>IF(ORCAMENTOS!C2713="","",ORCAMENTOS!C2713)</f>
        <v/>
      </c>
      <c r="D2705" s="37" t="str">
        <f>IF(ORCAMENTOS!D2713="","",ORCAMENTOS!D2713)</f>
        <v>MIT TECH</v>
      </c>
      <c r="E2705" s="38" t="str">
        <f>IF(ORCAMENTOS!E2713="","",ORCAMENTOS!E2713)</f>
        <v>METROWAY - SAO PAULO - SP</v>
      </c>
      <c r="F2705" s="37" t="str">
        <f>IF(ORCAMENTOS!G2713="","",ORCAMENTOS!G2713)</f>
        <v>Guilherme</v>
      </c>
      <c r="G2705" s="37" t="str">
        <f>IF(ORCAMENTOS!H2713="","",ORCAMENTOS!H2713)</f>
        <v>Victor</v>
      </c>
      <c r="H2705" s="39">
        <f>IF(ORCAMENTOS!I2713="","",ORCAMENTOS!I2713)</f>
        <v>4361.76</v>
      </c>
      <c r="I2705" s="60">
        <f>IF(ORCAMENTOS!J2713="","",ORCAMENTOS!J2713)</f>
        <v>7.0000000000000007E-2</v>
      </c>
      <c r="J2705" s="40" t="str">
        <f>IF(ORCAMENTOS!L2713="","",ORCAMENTOS!L2713)</f>
        <v>CANCELADO</v>
      </c>
      <c r="K2705" s="34" t="str">
        <f>IF(ORCAMENTOS!M2713="","",ORCAMENTOS!M2713)</f>
        <v>-</v>
      </c>
      <c r="L2705" t="str">
        <f>IF(ORCAMENTOS!R2713="","",ORCAMENTOS!R2713)</f>
        <v>-</v>
      </c>
    </row>
    <row r="2706" spans="1:12" ht="15.75" hidden="1" customHeight="1" x14ac:dyDescent="0.25">
      <c r="A2706" s="36">
        <f>IF(ORCAMENTOS!A2714="","",ORCAMENTOS!A2714)</f>
        <v>46105</v>
      </c>
      <c r="B2706" s="46">
        <f>IF(ORCAMENTOS!B2714="","",ORCAMENTOS!B2714)</f>
        <v>529</v>
      </c>
      <c r="C2706" s="46" t="str">
        <f>IF(ORCAMENTOS!C2714="","",ORCAMENTOS!C2714)</f>
        <v/>
      </c>
      <c r="D2706" s="37" t="str">
        <f>IF(ORCAMENTOS!D2714="","",ORCAMENTOS!D2714)</f>
        <v>AR SISTEMAS</v>
      </c>
      <c r="E2706" s="38" t="str">
        <f>IF(ORCAMENTOS!E2714="","",ORCAMENTOS!E2714)</f>
        <v>ROLDAO - SANTOS</v>
      </c>
      <c r="F2706" s="37" t="str">
        <f>IF(ORCAMENTOS!G2714="","",ORCAMENTOS!G2714)</f>
        <v>Michel</v>
      </c>
      <c r="G2706" s="37" t="str">
        <f>IF(ORCAMENTOS!H2714="","",ORCAMENTOS!H2714)</f>
        <v>Leonardo</v>
      </c>
      <c r="H2706" s="39">
        <f>IF(ORCAMENTOS!I2714="","",ORCAMENTOS!I2714)</f>
        <v>43028.47</v>
      </c>
      <c r="I2706" s="60">
        <f>IF(ORCAMENTOS!J2714="","",ORCAMENTOS!J2714)</f>
        <v>7.0000000000000007E-2</v>
      </c>
      <c r="J2706" s="40" t="str">
        <f>IF(ORCAMENTOS!L2714="","",ORCAMENTOS!L2714)</f>
        <v>ORCAMENTO</v>
      </c>
      <c r="K2706" s="34" t="str">
        <f>IF(ORCAMENTOS!M2714="","",ORCAMENTOS!M2714)</f>
        <v>-</v>
      </c>
      <c r="L2706" t="str">
        <f>IF(ORCAMENTOS!R2714="","",ORCAMENTOS!R2714)</f>
        <v>-</v>
      </c>
    </row>
    <row r="2707" spans="1:12" ht="15.75" hidden="1" customHeight="1" x14ac:dyDescent="0.25">
      <c r="A2707" s="36">
        <f>IF(ORCAMENTOS!A2715="","",ORCAMENTOS!A2715)</f>
        <v>46105</v>
      </c>
      <c r="B2707" s="46">
        <f>IF(ORCAMENTOS!B2715="","",ORCAMENTOS!B2715)</f>
        <v>530</v>
      </c>
      <c r="C2707" s="46" t="str">
        <f>IF(ORCAMENTOS!C2715="","",ORCAMENTOS!C2715)</f>
        <v/>
      </c>
      <c r="D2707" s="37" t="str">
        <f>IF(ORCAMENTOS!D2715="","",ORCAMENTOS!D2715)</f>
        <v>GLACIAL AR</v>
      </c>
      <c r="E2707" s="38" t="str">
        <f>IF(ORCAMENTOS!E2715="","",ORCAMENTOS!E2715)</f>
        <v>MORELLI ODONTO - SOROCABA - SP</v>
      </c>
      <c r="F2707" s="37" t="str">
        <f>IF(ORCAMENTOS!G2715="","",ORCAMENTOS!G2715)</f>
        <v>Fernando</v>
      </c>
      <c r="G2707" s="37" t="str">
        <f>IF(ORCAMENTOS!H2715="","",ORCAMENTOS!H2715)</f>
        <v>Gilvan</v>
      </c>
      <c r="H2707" s="39">
        <f>IF(ORCAMENTOS!I2715="","",ORCAMENTOS!I2715)</f>
        <v>49358.8</v>
      </c>
      <c r="I2707" s="60">
        <f>IF(ORCAMENTOS!J2715="","",ORCAMENTOS!J2715)</f>
        <v>7.0000000000000007E-2</v>
      </c>
      <c r="J2707" s="40" t="str">
        <f>IF(ORCAMENTOS!L2715="","",ORCAMENTOS!L2715)</f>
        <v>CANCELADO</v>
      </c>
      <c r="K2707" s="34" t="str">
        <f>IF(ORCAMENTOS!M2715="","",ORCAMENTOS!M2715)</f>
        <v>-</v>
      </c>
      <c r="L2707" t="str">
        <f>IF(ORCAMENTOS!R2715="","",ORCAMENTOS!R2715)</f>
        <v>PAINEL DE POLIURETANO EXPANDIDO</v>
      </c>
    </row>
    <row r="2708" spans="1:12" ht="15.75" hidden="1" customHeight="1" x14ac:dyDescent="0.25">
      <c r="A2708" s="36">
        <f>IF(ORCAMENTOS!A2716="","",ORCAMENTOS!A2716)</f>
        <v>46106</v>
      </c>
      <c r="B2708" s="46">
        <f>IF(ORCAMENTOS!B2716="","",ORCAMENTOS!B2716)</f>
        <v>531</v>
      </c>
      <c r="C2708" s="46" t="str">
        <f>IF(ORCAMENTOS!C2716="","",ORCAMENTOS!C2716)</f>
        <v/>
      </c>
      <c r="D2708" s="37" t="str">
        <f>IF(ORCAMENTOS!D2716="","",ORCAMENTOS!D2716)</f>
        <v>GENIAR</v>
      </c>
      <c r="E2708" s="38" t="str">
        <f>IF(ORCAMENTOS!E2716="","",ORCAMENTOS!E2716)</f>
        <v>-</v>
      </c>
      <c r="F2708" s="37" t="str">
        <f>IF(ORCAMENTOS!G2716="","",ORCAMENTOS!G2716)</f>
        <v>Gabriel</v>
      </c>
      <c r="G2708" s="37" t="str">
        <f>IF(ORCAMENTOS!H2716="","",ORCAMENTOS!H2716)</f>
        <v>Marcos</v>
      </c>
      <c r="H2708" s="39">
        <f>IF(ORCAMENTOS!I2716="","",ORCAMENTOS!I2716)</f>
        <v>15109.49</v>
      </c>
      <c r="I2708" s="60">
        <f>IF(ORCAMENTOS!J2716="","",ORCAMENTOS!J2716)</f>
        <v>0.05</v>
      </c>
      <c r="J2708" s="40" t="str">
        <f>IF(ORCAMENTOS!L2716="","",ORCAMENTOS!L2716)</f>
        <v>CANCELADO</v>
      </c>
      <c r="K2708" s="34" t="str">
        <f>IF(ORCAMENTOS!M2716="","",ORCAMENTOS!M2716)</f>
        <v>-</v>
      </c>
      <c r="L2708" t="str">
        <f>IF(ORCAMENTOS!R2716="","",ORCAMENTOS!R2716)</f>
        <v>-</v>
      </c>
    </row>
    <row r="2709" spans="1:12" ht="15.75" hidden="1" customHeight="1" x14ac:dyDescent="0.25">
      <c r="A2709" s="36">
        <f>IF(ORCAMENTOS!A2717="","",ORCAMENTOS!A2717)</f>
        <v>46106</v>
      </c>
      <c r="B2709" s="46">
        <f>IF(ORCAMENTOS!B2717="","",ORCAMENTOS!B2717)</f>
        <v>532</v>
      </c>
      <c r="C2709" s="46" t="str">
        <f>IF(ORCAMENTOS!C2717="","",ORCAMENTOS!C2717)</f>
        <v>R1</v>
      </c>
      <c r="D2709" s="37" t="str">
        <f>IF(ORCAMENTOS!D2717="","",ORCAMENTOS!D2717)</f>
        <v>SENSCO</v>
      </c>
      <c r="E2709" s="38" t="str">
        <f>IF(ORCAMENTOS!E2717="","",ORCAMENTOS!E2717)</f>
        <v>2462 - M BOI MIRIM</v>
      </c>
      <c r="F2709" s="37" t="str">
        <f>IF(ORCAMENTOS!G2717="","",ORCAMENTOS!G2717)</f>
        <v>Michel</v>
      </c>
      <c r="G2709" s="37" t="str">
        <f>IF(ORCAMENTOS!H2717="","",ORCAMENTOS!H2717)</f>
        <v>Mateus</v>
      </c>
      <c r="H2709" s="39">
        <f>IF(ORCAMENTOS!I2717="","",ORCAMENTOS!I2717)</f>
        <v>61546.26</v>
      </c>
      <c r="I2709" s="60">
        <f>IF(ORCAMENTOS!J2717="","",ORCAMENTOS!J2717)</f>
        <v>0.03</v>
      </c>
      <c r="J2709" s="40" t="str">
        <f>IF(ORCAMENTOS!L2717="","",ORCAMENTOS!L2717)</f>
        <v>FECHADO</v>
      </c>
      <c r="K2709" s="34" t="str">
        <f>IF(ORCAMENTOS!M2717="","",ORCAMENTOS!M2717)</f>
        <v>-</v>
      </c>
      <c r="L2709" t="str">
        <f>IF(ORCAMENTOS!R2717="","",ORCAMENTOS!R2717)</f>
        <v>-</v>
      </c>
    </row>
    <row r="2710" spans="1:12" ht="15.75" hidden="1" customHeight="1" x14ac:dyDescent="0.25">
      <c r="A2710" s="36">
        <f>IF(ORCAMENTOS!A2718="","",ORCAMENTOS!A2718)</f>
        <v>46106</v>
      </c>
      <c r="B2710" s="46">
        <f>IF(ORCAMENTOS!B2718="","",ORCAMENTOS!B2718)</f>
        <v>533</v>
      </c>
      <c r="C2710" s="46" t="str">
        <f>IF(ORCAMENTOS!C2718="","",ORCAMENTOS!C2718)</f>
        <v/>
      </c>
      <c r="D2710" s="37" t="str">
        <f>IF(ORCAMENTOS!D2718="","",ORCAMENTOS!D2718)</f>
        <v>ENGEVALE</v>
      </c>
      <c r="E2710" s="38" t="str">
        <f>IF(ORCAMENTOS!E2718="","",ORCAMENTOS!E2718)</f>
        <v>PETROBRAS - REFINARIA PRESIDENTE BERNARDES - RPBC</v>
      </c>
      <c r="F2710" s="37" t="str">
        <f>IF(ORCAMENTOS!G2718="","",ORCAMENTOS!G2718)</f>
        <v>Gabriel</v>
      </c>
      <c r="G2710" s="37" t="str">
        <f>IF(ORCAMENTOS!H2718="","",ORCAMENTOS!H2718)</f>
        <v>Mateus</v>
      </c>
      <c r="H2710" s="39">
        <f>IF(ORCAMENTOS!I2718="","",ORCAMENTOS!I2718)</f>
        <v>103432.76</v>
      </c>
      <c r="I2710" s="60">
        <f>IF(ORCAMENTOS!J2718="","",ORCAMENTOS!J2718)</f>
        <v>7.0000000000000007E-2</v>
      </c>
      <c r="J2710" s="40" t="str">
        <f>IF(ORCAMENTOS!L2718="","",ORCAMENTOS!L2718)</f>
        <v>ORCAMENTO</v>
      </c>
      <c r="K2710" s="34" t="str">
        <f>IF(ORCAMENTOS!M2718="","",ORCAMENTOS!M2718)</f>
        <v>-</v>
      </c>
      <c r="L2710" t="str">
        <f>IF(ORCAMENTOS!R2718="","",ORCAMENTOS!R2718)</f>
        <v>CHAPA GALVANIZADA</v>
      </c>
    </row>
    <row r="2711" spans="1:12" ht="15.75" hidden="1" customHeight="1" x14ac:dyDescent="0.25">
      <c r="A2711" s="36">
        <f>IF(ORCAMENTOS!A2719="","",ORCAMENTOS!A2719)</f>
        <v>46106</v>
      </c>
      <c r="B2711" s="46">
        <f>IF(ORCAMENTOS!B2719="","",ORCAMENTOS!B2719)</f>
        <v>534</v>
      </c>
      <c r="C2711" s="46" t="str">
        <f>IF(ORCAMENTOS!C2719="","",ORCAMENTOS!C2719)</f>
        <v/>
      </c>
      <c r="D2711" s="37" t="str">
        <f>IF(ORCAMENTOS!D2719="","",ORCAMENTOS!D2719)</f>
        <v>SEPACO</v>
      </c>
      <c r="E2711" s="38" t="str">
        <f>IF(ORCAMENTOS!E2719="","",ORCAMENTOS!E2719)</f>
        <v>SC 284509</v>
      </c>
      <c r="F2711" s="37" t="str">
        <f>IF(ORCAMENTOS!G2719="","",ORCAMENTOS!G2719)</f>
        <v>Gabriel</v>
      </c>
      <c r="G2711" s="37" t="str">
        <f>IF(ORCAMENTOS!H2719="","",ORCAMENTOS!H2719)</f>
        <v>Wellington</v>
      </c>
      <c r="H2711" s="39">
        <f>IF(ORCAMENTOS!I2719="","",ORCAMENTOS!I2719)</f>
        <v>200.1</v>
      </c>
      <c r="I2711" s="60">
        <f>IF(ORCAMENTOS!J2719="","",ORCAMENTOS!J2719)</f>
        <v>7.0000000000000007E-2</v>
      </c>
      <c r="J2711" s="40" t="str">
        <f>IF(ORCAMENTOS!L2719="","",ORCAMENTOS!L2719)</f>
        <v>ORCAMENTO</v>
      </c>
      <c r="K2711" s="34" t="str">
        <f>IF(ORCAMENTOS!M2719="","",ORCAMENTOS!M2719)</f>
        <v>-</v>
      </c>
      <c r="L2711" t="str">
        <f>IF(ORCAMENTOS!R2719="","",ORCAMENTOS!R2719)</f>
        <v>-</v>
      </c>
    </row>
    <row r="2712" spans="1:12" ht="15.75" hidden="1" customHeight="1" x14ac:dyDescent="0.25">
      <c r="A2712" s="36">
        <f>IF(ORCAMENTOS!A2720="","",ORCAMENTOS!A2720)</f>
        <v>46106</v>
      </c>
      <c r="B2712" s="46">
        <f>IF(ORCAMENTOS!B2720="","",ORCAMENTOS!B2720)</f>
        <v>535</v>
      </c>
      <c r="C2712" s="46" t="str">
        <f>IF(ORCAMENTOS!C2720="","",ORCAMENTOS!C2720)</f>
        <v/>
      </c>
      <c r="D2712" s="37" t="str">
        <f>IF(ORCAMENTOS!D2720="","",ORCAMENTOS!D2720)</f>
        <v>ASF SERVICOS</v>
      </c>
      <c r="E2712" s="38" t="str">
        <f>IF(ORCAMENTOS!E2720="","",ORCAMENTOS!E2720)</f>
        <v>POPEYES</v>
      </c>
      <c r="F2712" s="37" t="str">
        <f>IF(ORCAMENTOS!G2720="","",ORCAMENTOS!G2720)</f>
        <v>Fernando</v>
      </c>
      <c r="G2712" s="37" t="str">
        <f>IF(ORCAMENTOS!H2720="","",ORCAMENTOS!H2720)</f>
        <v>Ricardo</v>
      </c>
      <c r="H2712" s="39">
        <f>IF(ORCAMENTOS!I2720="","",ORCAMENTOS!I2720)</f>
        <v>6643.54</v>
      </c>
      <c r="I2712" s="60">
        <f>IF(ORCAMENTOS!J2720="","",ORCAMENTOS!J2720)</f>
        <v>0.04</v>
      </c>
      <c r="J2712" s="40" t="str">
        <f>IF(ORCAMENTOS!L2720="","",ORCAMENTOS!L2720)</f>
        <v>CANCELADO</v>
      </c>
      <c r="K2712" s="34" t="str">
        <f>IF(ORCAMENTOS!M2720="","",ORCAMENTOS!M2720)</f>
        <v>-</v>
      </c>
      <c r="L2712" t="str">
        <f>IF(ORCAMENTOS!R2720="","",ORCAMENTOS!R2720)</f>
        <v>-</v>
      </c>
    </row>
    <row r="2713" spans="1:12" ht="15.75" hidden="1" customHeight="1" x14ac:dyDescent="0.25">
      <c r="A2713" s="36">
        <f>IF(ORCAMENTOS!A2721="","",ORCAMENTOS!A2721)</f>
        <v>46106</v>
      </c>
      <c r="B2713" s="46">
        <f>IF(ORCAMENTOS!B2721="","",ORCAMENTOS!B2721)</f>
        <v>536</v>
      </c>
      <c r="C2713" s="46" t="str">
        <f>IF(ORCAMENTOS!C2721="","",ORCAMENTOS!C2721)</f>
        <v>R2</v>
      </c>
      <c r="D2713" s="37" t="str">
        <f>IF(ORCAMENTOS!D2721="","",ORCAMENTOS!D2721)</f>
        <v>AIRVENT</v>
      </c>
      <c r="E2713" s="38" t="str">
        <f>IF(ORCAMENTOS!E2721="","",ORCAMENTOS!E2721)</f>
        <v>GRU AIRPORT - AMPLIAÇÃO</v>
      </c>
      <c r="F2713" s="37" t="str">
        <f>IF(ORCAMENTOS!G2721="","",ORCAMENTOS!G2721)</f>
        <v>Gabriel</v>
      </c>
      <c r="G2713" s="37" t="str">
        <f>IF(ORCAMENTOS!H2721="","",ORCAMENTOS!H2721)</f>
        <v>Roberto</v>
      </c>
      <c r="H2713" s="39">
        <f>IF(ORCAMENTOS!I2721="","",ORCAMENTOS!I2721)</f>
        <v>18337.2</v>
      </c>
      <c r="I2713" s="60">
        <f>IF(ORCAMENTOS!J2721="","",ORCAMENTOS!J2721)</f>
        <v>0.04</v>
      </c>
      <c r="J2713" s="40" t="str">
        <f>IF(ORCAMENTOS!L2721="","",ORCAMENTOS!L2721)</f>
        <v>FECHADO</v>
      </c>
      <c r="K2713" s="34" t="str">
        <f>IF(ORCAMENTOS!M2721="","",ORCAMENTOS!M2721)</f>
        <v>-</v>
      </c>
      <c r="L2713" t="str">
        <f>IF(ORCAMENTOS!R2721="","",ORCAMENTOS!R2721)</f>
        <v>-</v>
      </c>
    </row>
    <row r="2714" spans="1:12" ht="15.75" hidden="1" customHeight="1" x14ac:dyDescent="0.25">
      <c r="A2714" s="36">
        <f>IF(ORCAMENTOS!A2722="","",ORCAMENTOS!A2722)</f>
        <v>46106</v>
      </c>
      <c r="B2714" s="46">
        <f>IF(ORCAMENTOS!B2722="","",ORCAMENTOS!B2722)</f>
        <v>537</v>
      </c>
      <c r="C2714" s="46" t="str">
        <f>IF(ORCAMENTOS!C2722="","",ORCAMENTOS!C2722)</f>
        <v/>
      </c>
      <c r="D2714" s="37" t="str">
        <f>IF(ORCAMENTOS!D2722="","",ORCAMENTOS!D2722)</f>
        <v>AIRVENT</v>
      </c>
      <c r="E2714" s="38" t="str">
        <f>IF(ORCAMENTOS!E2722="","",ORCAMENTOS!E2722)</f>
        <v>GRU AIRPORT -  PIER</v>
      </c>
      <c r="F2714" s="37" t="str">
        <f>IF(ORCAMENTOS!G2722="","",ORCAMENTOS!G2722)</f>
        <v>Gabriel</v>
      </c>
      <c r="G2714" s="37" t="str">
        <f>IF(ORCAMENTOS!H2722="","",ORCAMENTOS!H2722)</f>
        <v>Roberto</v>
      </c>
      <c r="H2714" s="39" t="str">
        <f>IF(ORCAMENTOS!I2722="","",ORCAMENTOS!I2722)</f>
        <v/>
      </c>
      <c r="I2714" s="60">
        <f>IF(ORCAMENTOS!J2722="","",ORCAMENTOS!J2722)</f>
        <v>0.04</v>
      </c>
      <c r="J2714" s="40" t="str">
        <f>IF(ORCAMENTOS!L2722="","",ORCAMENTOS!L2722)</f>
        <v>ORCAMENTO</v>
      </c>
      <c r="K2714" s="34" t="str">
        <f>IF(ORCAMENTOS!M2722="","",ORCAMENTOS!M2722)</f>
        <v/>
      </c>
      <c r="L2714" t="str">
        <f>IF(ORCAMENTOS!R2722="","",ORCAMENTOS!R2722)</f>
        <v>-</v>
      </c>
    </row>
    <row r="2715" spans="1:12" ht="15.75" hidden="1" customHeight="1" x14ac:dyDescent="0.25">
      <c r="A2715" s="36">
        <f>IF(ORCAMENTOS!A2723="","",ORCAMENTOS!A2723)</f>
        <v>46121</v>
      </c>
      <c r="B2715" s="46">
        <f>IF(ORCAMENTOS!B2723="","",ORCAMENTOS!B2723)</f>
        <v>538</v>
      </c>
      <c r="C2715" s="46" t="str">
        <f>IF(ORCAMENTOS!C2723="","",ORCAMENTOS!C2723)</f>
        <v/>
      </c>
      <c r="D2715" s="37" t="str">
        <f>IF(ORCAMENTOS!D2723="","",ORCAMENTOS!D2723)</f>
        <v>NEWSET</v>
      </c>
      <c r="E2715" s="38" t="str">
        <f>IF(ORCAMENTOS!E2723="","",ORCAMENTOS!E2723)</f>
        <v>MINISTRO JAU CLINICA HOSPITALAR SPE LTDA</v>
      </c>
      <c r="F2715" s="37" t="str">
        <f>IF(ORCAMENTOS!G2723="","",ORCAMENTOS!G2723)</f>
        <v xml:space="preserve">Aldavir </v>
      </c>
      <c r="G2715" s="37" t="str">
        <f>IF(ORCAMENTOS!H2723="","",ORCAMENTOS!H2723)</f>
        <v>Thais</v>
      </c>
      <c r="H2715" s="39">
        <f>IF(ORCAMENTOS!I2723="","",ORCAMENTOS!I2723)</f>
        <v>76601.100000000006</v>
      </c>
      <c r="I2715" s="60">
        <f>IF(ORCAMENTOS!J2723="","",ORCAMENTOS!J2723)</f>
        <v>0.06</v>
      </c>
      <c r="J2715" s="40" t="str">
        <f>IF(ORCAMENTOS!L2723="","",ORCAMENTOS!L2723)</f>
        <v>PERDIDO</v>
      </c>
      <c r="K2715" s="34" t="str">
        <f>IF(ORCAMENTOS!M2723="","",ORCAMENTOS!M2723)</f>
        <v>MULTIVAC - PRAZO</v>
      </c>
      <c r="L2715" t="str">
        <f>IF(ORCAMENTOS!R2723="","",ORCAMENTOS!R2723)</f>
        <v>-</v>
      </c>
    </row>
    <row r="2716" spans="1:12" ht="15.75" hidden="1" customHeight="1" x14ac:dyDescent="0.25">
      <c r="A2716" s="36">
        <f>IF(ORCAMENTOS!A2724="","",ORCAMENTOS!A2724)</f>
        <v>46104</v>
      </c>
      <c r="B2716" s="46">
        <f>IF(ORCAMENTOS!B2724="","",ORCAMENTOS!B2724)</f>
        <v>539</v>
      </c>
      <c r="C2716" s="46" t="str">
        <f>IF(ORCAMENTOS!C2724="","",ORCAMENTOS!C2724)</f>
        <v/>
      </c>
      <c r="D2716" s="37" t="str">
        <f>IF(ORCAMENTOS!D2724="","",ORCAMENTOS!D2724)</f>
        <v>RM3 ENGENHARIA</v>
      </c>
      <c r="E2716" s="38" t="str">
        <f>IF(ORCAMENTOS!E2724="","",ORCAMENTOS!E2724)</f>
        <v>ADIDAS - GUARULHOS</v>
      </c>
      <c r="F2716" s="37" t="str">
        <f>IF(ORCAMENTOS!G2724="","",ORCAMENTOS!G2724)</f>
        <v>Guilherme</v>
      </c>
      <c r="G2716" s="37" t="str">
        <f>IF(ORCAMENTOS!H2724="","",ORCAMENTOS!H2724)</f>
        <v>Janice</v>
      </c>
      <c r="H2716" s="39">
        <f>IF(ORCAMENTOS!I2724="","",ORCAMENTOS!I2724)</f>
        <v>3163.79</v>
      </c>
      <c r="I2716" s="60">
        <f>IF(ORCAMENTOS!J2724="","",ORCAMENTOS!J2724)</f>
        <v>0.05</v>
      </c>
      <c r="J2716" s="40" t="str">
        <f>IF(ORCAMENTOS!L2724="","",ORCAMENTOS!L2724)</f>
        <v>CANCELADO</v>
      </c>
      <c r="K2716" s="34" t="str">
        <f>IF(ORCAMENTOS!M2724="","",ORCAMENTOS!M2724)</f>
        <v>-</v>
      </c>
      <c r="L2716" t="str">
        <f>IF(ORCAMENTOS!R2724="","",ORCAMENTOS!R2724)</f>
        <v>-</v>
      </c>
    </row>
    <row r="2717" spans="1:12" ht="15.75" hidden="1" customHeight="1" x14ac:dyDescent="0.25">
      <c r="A2717" s="36">
        <f>IF(ORCAMENTOS!A2725="","",ORCAMENTOS!A2725)</f>
        <v>46104</v>
      </c>
      <c r="B2717" s="46">
        <f>IF(ORCAMENTOS!B2725="","",ORCAMENTOS!B2725)</f>
        <v>540</v>
      </c>
      <c r="C2717" s="46" t="str">
        <f>IF(ORCAMENTOS!C2725="","",ORCAMENTOS!C2725)</f>
        <v>R1</v>
      </c>
      <c r="D2717" s="37" t="str">
        <f>IF(ORCAMENTOS!D2725="","",ORCAMENTOS!D2725)</f>
        <v>ENGEMAC</v>
      </c>
      <c r="E2717" s="38" t="str">
        <f>IF(ORCAMENTOS!E2725="","",ORCAMENTOS!E2725)</f>
        <v>SMART FIT JAÇANÃ</v>
      </c>
      <c r="F2717" s="37" t="str">
        <f>IF(ORCAMENTOS!G2725="","",ORCAMENTOS!G2725)</f>
        <v>Fernando</v>
      </c>
      <c r="G2717" s="37" t="str">
        <f>IF(ORCAMENTOS!H2725="","",ORCAMENTOS!H2725)</f>
        <v>Carlos</v>
      </c>
      <c r="H2717" s="39">
        <f>IF(ORCAMENTOS!I2725="","",ORCAMENTOS!I2725)</f>
        <v>96658.38</v>
      </c>
      <c r="I2717" s="60">
        <f>IF(ORCAMENTOS!J2725="","",ORCAMENTOS!J2725)</f>
        <v>0.03</v>
      </c>
      <c r="J2717" s="40" t="str">
        <f>IF(ORCAMENTOS!L2725="","",ORCAMENTOS!L2725)</f>
        <v>FECHADO</v>
      </c>
      <c r="K2717" s="34" t="str">
        <f>IF(ORCAMENTOS!M2725="","",ORCAMENTOS!M2725)</f>
        <v/>
      </c>
      <c r="L2717" t="str">
        <f>IF(ORCAMENTOS!R2725="","",ORCAMENTOS!R2725)</f>
        <v>-</v>
      </c>
    </row>
    <row r="2718" spans="1:12" ht="15.75" hidden="1" customHeight="1" x14ac:dyDescent="0.25">
      <c r="A2718" s="36">
        <f>IF(ORCAMENTOS!A2726="","",ORCAMENTOS!A2726)</f>
        <v>46106</v>
      </c>
      <c r="B2718" s="46">
        <f>IF(ORCAMENTOS!B2726="","",ORCAMENTOS!B2726)</f>
        <v>541</v>
      </c>
      <c r="C2718" s="46" t="str">
        <f>IF(ORCAMENTOS!C2726="","",ORCAMENTOS!C2726)</f>
        <v>R1</v>
      </c>
      <c r="D2718" s="37" t="str">
        <f>IF(ORCAMENTOS!D2726="","",ORCAMENTOS!D2726)</f>
        <v>KONAR</v>
      </c>
      <c r="E2718" s="38" t="str">
        <f>IF(ORCAMENTOS!E2726="","",ORCAMENTOS!E2726)</f>
        <v>025-26 - CASA ALEMANHA</v>
      </c>
      <c r="F2718" s="37" t="str">
        <f>IF(ORCAMENTOS!G2726="","",ORCAMENTOS!G2726)</f>
        <v>Michel</v>
      </c>
      <c r="G2718" s="37" t="str">
        <f>IF(ORCAMENTOS!H2726="","",ORCAMENTOS!H2726)</f>
        <v>Pedro</v>
      </c>
      <c r="H2718" s="39">
        <f>IF(ORCAMENTOS!I2726="","",ORCAMENTOS!I2726)</f>
        <v>30028.3</v>
      </c>
      <c r="I2718" s="60">
        <f>IF(ORCAMENTOS!J2726="","",ORCAMENTOS!J2726)</f>
        <v>0.03</v>
      </c>
      <c r="J2718" s="40" t="str">
        <f>IF(ORCAMENTOS!L2726="","",ORCAMENTOS!L2726)</f>
        <v>FECHADO</v>
      </c>
      <c r="K2718" s="34" t="str">
        <f>IF(ORCAMENTOS!M2726="","",ORCAMENTOS!M2726)</f>
        <v>-</v>
      </c>
      <c r="L2718" t="str">
        <f>IF(ORCAMENTOS!R2726="","",ORCAMENTOS!R2726)</f>
        <v>-</v>
      </c>
    </row>
    <row r="2719" spans="1:12" ht="15.75" hidden="1" customHeight="1" x14ac:dyDescent="0.25">
      <c r="A2719" s="36">
        <f>IF(ORCAMENTOS!A2727="","",ORCAMENTOS!A2727)</f>
        <v>46106</v>
      </c>
      <c r="B2719" s="46">
        <f>IF(ORCAMENTOS!B2727="","",ORCAMENTOS!B2727)</f>
        <v>542</v>
      </c>
      <c r="C2719" s="46" t="str">
        <f>IF(ORCAMENTOS!C2727="","",ORCAMENTOS!C2727)</f>
        <v/>
      </c>
      <c r="D2719" s="37" t="str">
        <f>IF(ORCAMENTOS!D2727="","",ORCAMENTOS!D2727)</f>
        <v>AWA AR CONDICIONADO</v>
      </c>
      <c r="E2719" s="38" t="str">
        <f>IF(ORCAMENTOS!E2727="","",ORCAMENTOS!E2727)</f>
        <v>SEDE JPG - PATOS DE MINAS</v>
      </c>
      <c r="F2719" s="37" t="str">
        <f>IF(ORCAMENTOS!G2727="","",ORCAMENTOS!G2727)</f>
        <v>Guilherme</v>
      </c>
      <c r="G2719" s="37" t="str">
        <f>IF(ORCAMENTOS!H2727="","",ORCAMENTOS!H2727)</f>
        <v>Marcela</v>
      </c>
      <c r="H2719" s="39">
        <f>IF(ORCAMENTOS!I2727="","",ORCAMENTOS!I2727)</f>
        <v>16591.03</v>
      </c>
      <c r="I2719" s="60">
        <f>IF(ORCAMENTOS!J2727="","",ORCAMENTOS!J2727)</f>
        <v>0.05</v>
      </c>
      <c r="J2719" s="40" t="str">
        <f>IF(ORCAMENTOS!L2727="","",ORCAMENTOS!L2727)</f>
        <v>COMPRA</v>
      </c>
      <c r="K2719" s="34" t="str">
        <f>IF(ORCAMENTOS!M2727="","",ORCAMENTOS!M2727)</f>
        <v>AGUARDANDO PEDIDO</v>
      </c>
      <c r="L2719" t="str">
        <f>IF(ORCAMENTOS!R2727="","",ORCAMENTOS!R2727)</f>
        <v>-</v>
      </c>
    </row>
    <row r="2720" spans="1:12" ht="15.75" hidden="1" customHeight="1" x14ac:dyDescent="0.25">
      <c r="A2720" s="36">
        <f>IF(ORCAMENTOS!A2728="","",ORCAMENTOS!A2728)</f>
        <v>46106</v>
      </c>
      <c r="B2720" s="46">
        <f>IF(ORCAMENTOS!B2728="","",ORCAMENTOS!B2728)</f>
        <v>543</v>
      </c>
      <c r="C2720" s="46" t="str">
        <f>IF(ORCAMENTOS!C2728="","",ORCAMENTOS!C2728)</f>
        <v/>
      </c>
      <c r="D2720" s="37" t="str">
        <f>IF(ORCAMENTOS!D2728="","",ORCAMENTOS!D2728)</f>
        <v>ACTEC ENGENHARIA</v>
      </c>
      <c r="E2720" s="38" t="str">
        <f>IF(ORCAMENTOS!E2728="","",ORCAMENTOS!E2728)</f>
        <v>HOSPITAL SANTA MARIA</v>
      </c>
      <c r="F2720" s="37" t="str">
        <f>IF(ORCAMENTOS!G2728="","",ORCAMENTOS!G2728)</f>
        <v xml:space="preserve">Aldavir </v>
      </c>
      <c r="G2720" s="37" t="str">
        <f>IF(ORCAMENTOS!H2728="","",ORCAMENTOS!H2728)</f>
        <v>Pacheco</v>
      </c>
      <c r="H2720" s="39">
        <f>IF(ORCAMENTOS!I2728="","",ORCAMENTOS!I2728)</f>
        <v>49886.75</v>
      </c>
      <c r="I2720" s="60">
        <f>IF(ORCAMENTOS!J2728="","",ORCAMENTOS!J2728)</f>
        <v>0.05</v>
      </c>
      <c r="J2720" s="40" t="str">
        <f>IF(ORCAMENTOS!L2728="","",ORCAMENTOS!L2728)</f>
        <v>FECHADO</v>
      </c>
      <c r="K2720" s="34" t="str">
        <f>IF(ORCAMENTOS!M2728="","",ORCAMENTOS!M2728)</f>
        <v>-</v>
      </c>
      <c r="L2720" t="str">
        <f>IF(ORCAMENTOS!R2728="","",ORCAMENTOS!R2728)</f>
        <v>-</v>
      </c>
    </row>
    <row r="2721" spans="1:12" ht="15.75" hidden="1" customHeight="1" x14ac:dyDescent="0.25">
      <c r="A2721" s="36">
        <f>IF(ORCAMENTOS!A2729="","",ORCAMENTOS!A2729)</f>
        <v>46107</v>
      </c>
      <c r="B2721" s="46">
        <f>IF(ORCAMENTOS!B2729="","",ORCAMENTOS!B2729)</f>
        <v>544</v>
      </c>
      <c r="C2721" s="46" t="str">
        <f>IF(ORCAMENTOS!C2729="","",ORCAMENTOS!C2729)</f>
        <v/>
      </c>
      <c r="D2721" s="37" t="str">
        <f>IF(ORCAMENTOS!D2729="","",ORCAMENTOS!D2729)</f>
        <v>TECNOVENTI</v>
      </c>
      <c r="E2721" s="38" t="str">
        <f>IF(ORCAMENTOS!E2729="","",ORCAMENTOS!E2729)</f>
        <v>-</v>
      </c>
      <c r="F2721" s="37" t="str">
        <f>IF(ORCAMENTOS!G2729="","",ORCAMENTOS!G2729)</f>
        <v>Gabriel</v>
      </c>
      <c r="G2721" s="37" t="str">
        <f>IF(ORCAMENTOS!H2729="","",ORCAMENTOS!H2729)</f>
        <v>Ntahan</v>
      </c>
      <c r="H2721" s="39">
        <f>IF(ORCAMENTOS!I2729="","",ORCAMENTOS!I2729)</f>
        <v>10232.58</v>
      </c>
      <c r="I2721" s="60">
        <f>IF(ORCAMENTOS!J2729="","",ORCAMENTOS!J2729)</f>
        <v>0.04</v>
      </c>
      <c r="J2721" s="40" t="str">
        <f>IF(ORCAMENTOS!L2729="","",ORCAMENTOS!L2729)</f>
        <v>ORCAMENTO</v>
      </c>
      <c r="K2721" s="34" t="str">
        <f>IF(ORCAMENTOS!M2729="","",ORCAMENTOS!M2729)</f>
        <v>-</v>
      </c>
      <c r="L2721" t="str">
        <f>IF(ORCAMENTOS!R2729="","",ORCAMENTOS!R2729)</f>
        <v>-</v>
      </c>
    </row>
    <row r="2722" spans="1:12" ht="15.75" hidden="1" customHeight="1" x14ac:dyDescent="0.25">
      <c r="A2722" s="36">
        <f>IF(ORCAMENTOS!A2730="","",ORCAMENTOS!A2730)</f>
        <v>46108</v>
      </c>
      <c r="B2722" s="46">
        <f>IF(ORCAMENTOS!B2730="","",ORCAMENTOS!B2730)</f>
        <v>545</v>
      </c>
      <c r="C2722" s="46" t="str">
        <f>IF(ORCAMENTOS!C2730="","",ORCAMENTOS!C2730)</f>
        <v>R2</v>
      </c>
      <c r="D2722" s="37" t="str">
        <f>IF(ORCAMENTOS!D2730="","",ORCAMENTOS!D2730)</f>
        <v>POWERTECH</v>
      </c>
      <c r="E2722" s="38" t="str">
        <f>IF(ORCAMENTOS!E2730="","",ORCAMENTOS!E2730)</f>
        <v>-</v>
      </c>
      <c r="F2722" s="37" t="str">
        <f>IF(ORCAMENTOS!G2730="","",ORCAMENTOS!G2730)</f>
        <v>Emanuel</v>
      </c>
      <c r="G2722" s="37" t="str">
        <f>IF(ORCAMENTOS!H2730="","",ORCAMENTOS!H2730)</f>
        <v>Elaine</v>
      </c>
      <c r="H2722" s="39">
        <f>IF(ORCAMENTOS!I2730="","",ORCAMENTOS!I2730)</f>
        <v>22024.29</v>
      </c>
      <c r="I2722" s="60">
        <f>IF(ORCAMENTOS!J2730="","",ORCAMENTOS!J2730)</f>
        <v>0.05</v>
      </c>
      <c r="J2722" s="40" t="str">
        <f>IF(ORCAMENTOS!L2730="","",ORCAMENTOS!L2730)</f>
        <v>FECHADO</v>
      </c>
      <c r="K2722" s="34" t="str">
        <f>IF(ORCAMENTOS!M2730="","",ORCAMENTOS!M2730)</f>
        <v>-</v>
      </c>
      <c r="L2722" t="str">
        <f>IF(ORCAMENTOS!R2730="","",ORCAMENTOS!R2730)</f>
        <v>-</v>
      </c>
    </row>
    <row r="2723" spans="1:12" ht="15.75" hidden="1" customHeight="1" x14ac:dyDescent="0.25">
      <c r="A2723" s="36">
        <f>IF(ORCAMENTOS!A2731="","",ORCAMENTOS!A2731)</f>
        <v>46107</v>
      </c>
      <c r="B2723" s="46">
        <f>IF(ORCAMENTOS!B2731="","",ORCAMENTOS!B2731)</f>
        <v>546</v>
      </c>
      <c r="C2723" s="46" t="str">
        <f>IF(ORCAMENTOS!C2731="","",ORCAMENTOS!C2731)</f>
        <v/>
      </c>
      <c r="D2723" s="37" t="str">
        <f>IF(ORCAMENTOS!D2731="","",ORCAMENTOS!D2731)</f>
        <v>MATRES ENGENHARIA</v>
      </c>
      <c r="E2723" s="38" t="str">
        <f>IF(ORCAMENTOS!E2731="","",ORCAMENTOS!E2731)</f>
        <v>-</v>
      </c>
      <c r="F2723" s="37" t="str">
        <f>IF(ORCAMENTOS!G2731="","",ORCAMENTOS!G2731)</f>
        <v>Gabriel</v>
      </c>
      <c r="G2723" s="37" t="str">
        <f>IF(ORCAMENTOS!H2731="","",ORCAMENTOS!H2731)</f>
        <v>Joao</v>
      </c>
      <c r="H2723" s="39">
        <f>IF(ORCAMENTOS!I2731="","",ORCAMENTOS!I2731)</f>
        <v>2037.65</v>
      </c>
      <c r="I2723" s="60">
        <f>IF(ORCAMENTOS!J2731="","",ORCAMENTOS!J2731)</f>
        <v>7.0000000000000007E-2</v>
      </c>
      <c r="J2723" s="40" t="str">
        <f>IF(ORCAMENTOS!L2731="","",ORCAMENTOS!L2731)</f>
        <v>ORCAMENTO</v>
      </c>
      <c r="K2723" s="34" t="str">
        <f>IF(ORCAMENTOS!M2731="","",ORCAMENTOS!M2731)</f>
        <v>-</v>
      </c>
      <c r="L2723" t="str">
        <f>IF(ORCAMENTOS!R2731="","",ORCAMENTOS!R2731)</f>
        <v>-</v>
      </c>
    </row>
    <row r="2724" spans="1:12" ht="15.75" hidden="1" customHeight="1" x14ac:dyDescent="0.25">
      <c r="A2724" s="36">
        <f>IF(ORCAMENTOS!A2732="","",ORCAMENTOS!A2732)</f>
        <v>46107</v>
      </c>
      <c r="B2724" s="46">
        <f>IF(ORCAMENTOS!B2732="","",ORCAMENTOS!B2732)</f>
        <v>547</v>
      </c>
      <c r="C2724" s="46" t="str">
        <f>IF(ORCAMENTOS!C2732="","",ORCAMENTOS!C2732)</f>
        <v/>
      </c>
      <c r="D2724" s="37" t="str">
        <f>IF(ORCAMENTOS!D2732="","",ORCAMENTOS!D2732)</f>
        <v>NP CLIMATIZAÇÃO</v>
      </c>
      <c r="E2724" s="38" t="str">
        <f>IF(ORCAMENTOS!E2732="","",ORCAMENTOS!E2732)</f>
        <v>APARTAMENTO UNIFAMILIAR - SERGIO E JUJU</v>
      </c>
      <c r="F2724" s="37" t="str">
        <f>IF(ORCAMENTOS!G2732="","",ORCAMENTOS!G2732)</f>
        <v>Guilherme</v>
      </c>
      <c r="G2724" s="37" t="str">
        <f>IF(ORCAMENTOS!H2732="","",ORCAMENTOS!H2732)</f>
        <v>Maria</v>
      </c>
      <c r="H2724" s="39">
        <f>IF(ORCAMENTOS!I2732="","",ORCAMENTOS!I2732)</f>
        <v>12085.16</v>
      </c>
      <c r="I2724" s="60">
        <f>IF(ORCAMENTOS!J2732="","",ORCAMENTOS!J2732)</f>
        <v>7.0000000000000007E-2</v>
      </c>
      <c r="J2724" s="40" t="str">
        <f>IF(ORCAMENTOS!L2732="","",ORCAMENTOS!L2732)</f>
        <v>ORCAMENTO</v>
      </c>
      <c r="K2724" s="34" t="str">
        <f>IF(ORCAMENTOS!M2732="","",ORCAMENTOS!M2732)</f>
        <v>-</v>
      </c>
      <c r="L2724" t="str">
        <f>IF(ORCAMENTOS!R2732="","",ORCAMENTOS!R2732)</f>
        <v>-</v>
      </c>
    </row>
    <row r="2725" spans="1:12" ht="15.75" hidden="1" customHeight="1" x14ac:dyDescent="0.25">
      <c r="A2725" s="36">
        <f>IF(ORCAMENTOS!A2733="","",ORCAMENTOS!A2733)</f>
        <v>46111</v>
      </c>
      <c r="B2725" s="46">
        <f>IF(ORCAMENTOS!B2733="","",ORCAMENTOS!B2733)</f>
        <v>548</v>
      </c>
      <c r="C2725" s="46" t="str">
        <f>IF(ORCAMENTOS!C2733="","",ORCAMENTOS!C2733)</f>
        <v xml:space="preserve">R1 </v>
      </c>
      <c r="D2725" s="37" t="str">
        <f>IF(ORCAMENTOS!D2733="","",ORCAMENTOS!D2733)</f>
        <v>AIR NET</v>
      </c>
      <c r="E2725" s="38" t="str">
        <f>IF(ORCAMENTOS!E2733="","",ORCAMENTOS!E2733)</f>
        <v>TAUSTE SUPERMERCADOS - LOJA SANTANA - SP - INS + RET</v>
      </c>
      <c r="F2725" s="37" t="str">
        <f>IF(ORCAMENTOS!G2733="","",ORCAMENTOS!G2733)</f>
        <v>Fernando</v>
      </c>
      <c r="G2725" s="37" t="str">
        <f>IF(ORCAMENTOS!H2733="","",ORCAMENTOS!H2733)</f>
        <v>Gardner</v>
      </c>
      <c r="H2725" s="39">
        <f>IF(ORCAMENTOS!I2733="","",ORCAMENTOS!I2733)</f>
        <v>263000</v>
      </c>
      <c r="I2725" s="60">
        <f>IF(ORCAMENTOS!J2733="","",ORCAMENTOS!J2733)</f>
        <v>0.04</v>
      </c>
      <c r="J2725" s="40" t="str">
        <f>IF(ORCAMENTOS!L2733="","",ORCAMENTOS!L2733)</f>
        <v>FECHADO</v>
      </c>
      <c r="K2725" s="34" t="str">
        <f>IF(ORCAMENTOS!M2733="","",ORCAMENTOS!M2733)</f>
        <v>-</v>
      </c>
      <c r="L2725" t="str">
        <f>IF(ORCAMENTOS!R2733="","",ORCAMENTOS!R2733)</f>
        <v>MPU</v>
      </c>
    </row>
    <row r="2726" spans="1:12" ht="15.75" hidden="1" customHeight="1" x14ac:dyDescent="0.25">
      <c r="A2726" s="36">
        <f>IF(ORCAMENTOS!A2734="","",ORCAMENTOS!A2734)</f>
        <v>46108</v>
      </c>
      <c r="B2726" s="46">
        <f>IF(ORCAMENTOS!B2734="","",ORCAMENTOS!B2734)</f>
        <v>549</v>
      </c>
      <c r="C2726" s="46" t="str">
        <f>IF(ORCAMENTOS!C2734="","",ORCAMENTOS!C2734)</f>
        <v/>
      </c>
      <c r="D2726" s="37" t="str">
        <f>IF(ORCAMENTOS!D2734="","",ORCAMENTOS!D2734)</f>
        <v>AIR NET</v>
      </c>
      <c r="E2726" s="38" t="str">
        <f>IF(ORCAMENTOS!E2734="","",ORCAMENTOS!E2734)</f>
        <v>TAUSTE SUPERMERCADOS - LOJA SANTANA - SP - RETORNO</v>
      </c>
      <c r="F2726" s="37" t="str">
        <f>IF(ORCAMENTOS!G2734="","",ORCAMENTOS!G2734)</f>
        <v>Fernando</v>
      </c>
      <c r="G2726" s="37" t="str">
        <f>IF(ORCAMENTOS!H2734="","",ORCAMENTOS!H2734)</f>
        <v>Domicio</v>
      </c>
      <c r="H2726" s="39">
        <f>IF(ORCAMENTOS!I2734="","",ORCAMENTOS!I2734)</f>
        <v>59759.839999999997</v>
      </c>
      <c r="I2726" s="60">
        <f>IF(ORCAMENTOS!J2734="","",ORCAMENTOS!J2734)</f>
        <v>0.05</v>
      </c>
      <c r="J2726" s="40" t="str">
        <f>IF(ORCAMENTOS!L2734="","",ORCAMENTOS!L2734)</f>
        <v>CANCELADO</v>
      </c>
      <c r="K2726" s="34" t="str">
        <f>IF(ORCAMENTOS!M2734="","",ORCAMENTOS!M2734)</f>
        <v>-</v>
      </c>
      <c r="L2726" t="str">
        <f>IF(ORCAMENTOS!R2734="","",ORCAMENTOS!R2734)</f>
        <v/>
      </c>
    </row>
    <row r="2727" spans="1:12" ht="15.75" hidden="1" customHeight="1" x14ac:dyDescent="0.25">
      <c r="A2727" s="36">
        <f>IF(ORCAMENTOS!A2735="","",ORCAMENTOS!A2735)</f>
        <v>46108</v>
      </c>
      <c r="B2727" s="46">
        <f>IF(ORCAMENTOS!B2735="","",ORCAMENTOS!B2735)</f>
        <v>550</v>
      </c>
      <c r="C2727" s="46" t="str">
        <f>IF(ORCAMENTOS!C2735="","",ORCAMENTOS!C2735)</f>
        <v/>
      </c>
      <c r="D2727" s="37" t="str">
        <f>IF(ORCAMENTOS!D2735="","",ORCAMENTOS!D2735)</f>
        <v>AIR NET</v>
      </c>
      <c r="E2727" s="38" t="str">
        <f>IF(ORCAMENTOS!E2735="","",ORCAMENTOS!E2735)</f>
        <v>TAUSTE SUPERMERCADOS - LOJA SANTANA - SP - AR EXTERNO</v>
      </c>
      <c r="F2727" s="37" t="str">
        <f>IF(ORCAMENTOS!G2735="","",ORCAMENTOS!G2735)</f>
        <v>Fernando</v>
      </c>
      <c r="G2727" s="37" t="str">
        <f>IF(ORCAMENTOS!H2735="","",ORCAMENTOS!H2735)</f>
        <v>Domicio</v>
      </c>
      <c r="H2727" s="39">
        <f>IF(ORCAMENTOS!I2735="","",ORCAMENTOS!I2735)</f>
        <v>32633.3</v>
      </c>
      <c r="I2727" s="60">
        <f>IF(ORCAMENTOS!J2735="","",ORCAMENTOS!J2735)</f>
        <v>0.05</v>
      </c>
      <c r="J2727" s="40" t="str">
        <f>IF(ORCAMENTOS!L2735="","",ORCAMENTOS!L2735)</f>
        <v>CANCELADO</v>
      </c>
      <c r="K2727" s="34" t="str">
        <f>IF(ORCAMENTOS!M2735="","",ORCAMENTOS!M2735)</f>
        <v>-</v>
      </c>
      <c r="L2727" t="str">
        <f>IF(ORCAMENTOS!R2735="","",ORCAMENTOS!R2735)</f>
        <v/>
      </c>
    </row>
    <row r="2728" spans="1:12" ht="15.75" hidden="1" customHeight="1" x14ac:dyDescent="0.25">
      <c r="A2728" s="36">
        <f>IF(ORCAMENTOS!A2736="","",ORCAMENTOS!A2736)</f>
        <v>46108</v>
      </c>
      <c r="B2728" s="46">
        <f>IF(ORCAMENTOS!B2736="","",ORCAMENTOS!B2736)</f>
        <v>551</v>
      </c>
      <c r="C2728" s="46" t="str">
        <f>IF(ORCAMENTOS!C2736="","",ORCAMENTOS!C2736)</f>
        <v/>
      </c>
      <c r="D2728" s="37" t="str">
        <f>IF(ORCAMENTOS!D2736="","",ORCAMENTOS!D2736)</f>
        <v>AMS INSTALACOES</v>
      </c>
      <c r="E2728" s="38" t="str">
        <f>IF(ORCAMENTOS!E2736="","",ORCAMENTOS!E2736)</f>
        <v>ATACADAO - LOJA SANTOS PORTO - SP</v>
      </c>
      <c r="F2728" s="37" t="str">
        <f>IF(ORCAMENTOS!G2736="","",ORCAMENTOS!G2736)</f>
        <v>Gabriel</v>
      </c>
      <c r="G2728" s="37" t="str">
        <f>IF(ORCAMENTOS!H2736="","",ORCAMENTOS!H2736)</f>
        <v>Albertino</v>
      </c>
      <c r="H2728" s="39">
        <f>IF(ORCAMENTOS!I2736="","",ORCAMENTOS!I2736)</f>
        <v>172609.47</v>
      </c>
      <c r="I2728" s="60">
        <f>IF(ORCAMENTOS!J2736="","",ORCAMENTOS!J2736)</f>
        <v>7.0000000000000007E-2</v>
      </c>
      <c r="J2728" s="40" t="str">
        <f>IF(ORCAMENTOS!L2736="","",ORCAMENTOS!L2736)</f>
        <v>ORCAMENTO</v>
      </c>
      <c r="K2728" s="34" t="str">
        <f>IF(ORCAMENTOS!M2736="","",ORCAMENTOS!M2736)</f>
        <v>-</v>
      </c>
      <c r="L2728" t="str">
        <f>IF(ORCAMENTOS!R2736="","",ORCAMENTOS!R2736)</f>
        <v>MPU</v>
      </c>
    </row>
    <row r="2729" spans="1:12" ht="15.75" hidden="1" customHeight="1" x14ac:dyDescent="0.25">
      <c r="A2729" s="36">
        <f>IF(ORCAMENTOS!A2737="","",ORCAMENTOS!A2737)</f>
        <v>46121</v>
      </c>
      <c r="B2729" s="46">
        <f>IF(ORCAMENTOS!B2737="","",ORCAMENTOS!B2737)</f>
        <v>552</v>
      </c>
      <c r="C2729" s="46" t="str">
        <f>IF(ORCAMENTOS!C2737="","",ORCAMENTOS!C2737)</f>
        <v>R1</v>
      </c>
      <c r="D2729" s="37" t="str">
        <f>IF(ORCAMENTOS!D2737="","",ORCAMENTOS!D2737)</f>
        <v>ASSISTEC</v>
      </c>
      <c r="E2729" s="38" t="str">
        <f>IF(ORCAMENTOS!E2737="","",ORCAMENTOS!E2737)</f>
        <v>-</v>
      </c>
      <c r="F2729" s="37" t="str">
        <f>IF(ORCAMENTOS!G2737="","",ORCAMENTOS!G2737)</f>
        <v>Emanuel</v>
      </c>
      <c r="G2729" s="37" t="str">
        <f>IF(ORCAMENTOS!H2737="","",ORCAMENTOS!H2737)</f>
        <v>Selma</v>
      </c>
      <c r="H2729" s="39">
        <f>IF(ORCAMENTOS!I2737="","",ORCAMENTOS!I2737)</f>
        <v>816.71</v>
      </c>
      <c r="I2729" s="60">
        <f>IF(ORCAMENTOS!J2737="","",ORCAMENTOS!J2737)</f>
        <v>7.0000000000000007E-2</v>
      </c>
      <c r="J2729" s="40" t="str">
        <f>IF(ORCAMENTOS!L2737="","",ORCAMENTOS!L2737)</f>
        <v>PERDIDO</v>
      </c>
      <c r="K2729" s="34" t="str">
        <f>IF(ORCAMENTOS!M2737="","",ORCAMENTOS!M2737)</f>
        <v>ARCOTEC - PRAZO</v>
      </c>
      <c r="L2729" t="str">
        <f>IF(ORCAMENTOS!R2737="","",ORCAMENTOS!R2737)</f>
        <v>-</v>
      </c>
    </row>
    <row r="2730" spans="1:12" ht="15.75" hidden="1" customHeight="1" x14ac:dyDescent="0.25">
      <c r="A2730" s="36">
        <f>IF(ORCAMENTOS!A2738="","",ORCAMENTOS!A2738)</f>
        <v>46107</v>
      </c>
      <c r="B2730" s="46">
        <f>IF(ORCAMENTOS!B2738="","",ORCAMENTOS!B2738)</f>
        <v>533</v>
      </c>
      <c r="C2730" s="46" t="str">
        <f>IF(ORCAMENTOS!C2738="","",ORCAMENTOS!C2738)</f>
        <v/>
      </c>
      <c r="D2730" s="37" t="str">
        <f>IF(ORCAMENTOS!D2738="","",ORCAMENTOS!D2738)</f>
        <v>AIRCAM</v>
      </c>
      <c r="E2730" s="38" t="str">
        <f>IF(ORCAMENTOS!E2738="","",ORCAMENTOS!E2738)</f>
        <v>-</v>
      </c>
      <c r="F2730" s="37" t="str">
        <f>IF(ORCAMENTOS!G2738="","",ORCAMENTOS!G2738)</f>
        <v>Gabriel</v>
      </c>
      <c r="G2730" s="37" t="str">
        <f>IF(ORCAMENTOS!H2738="","",ORCAMENTOS!H2738)</f>
        <v>Karina</v>
      </c>
      <c r="H2730" s="39">
        <f>IF(ORCAMENTOS!I2738="","",ORCAMENTOS!I2738)</f>
        <v>7772.47</v>
      </c>
      <c r="I2730" s="60">
        <f>IF(ORCAMENTOS!J2738="","",ORCAMENTOS!J2738)</f>
        <v>7.0000000000000007E-2</v>
      </c>
      <c r="J2730" s="40" t="str">
        <f>IF(ORCAMENTOS!L2738="","",ORCAMENTOS!L2738)</f>
        <v>FECHADO</v>
      </c>
      <c r="K2730" s="34" t="str">
        <f>IF(ORCAMENTOS!M2738="","",ORCAMENTOS!M2738)</f>
        <v>-</v>
      </c>
      <c r="L2730" t="str">
        <f>IF(ORCAMENTOS!R2738="","",ORCAMENTOS!R2738)</f>
        <v>-</v>
      </c>
    </row>
    <row r="2731" spans="1:12" ht="15.75" hidden="1" customHeight="1" x14ac:dyDescent="0.25">
      <c r="A2731" s="36">
        <f>IF(ORCAMENTOS!A2739="","",ORCAMENTOS!A2739)</f>
        <v>46107</v>
      </c>
      <c r="B2731" s="46">
        <f>IF(ORCAMENTOS!B2739="","",ORCAMENTOS!B2739)</f>
        <v>554</v>
      </c>
      <c r="C2731" s="46" t="str">
        <f>IF(ORCAMENTOS!C2739="","",ORCAMENTOS!C2739)</f>
        <v/>
      </c>
      <c r="D2731" s="37" t="str">
        <f>IF(ORCAMENTOS!D2739="","",ORCAMENTOS!D2739)</f>
        <v>AIR NET</v>
      </c>
      <c r="E2731" s="38" t="str">
        <f>IF(ORCAMENTOS!E2739="","",ORCAMENTOS!E2739)</f>
        <v>-</v>
      </c>
      <c r="F2731" s="37" t="str">
        <f>IF(ORCAMENTOS!G2739="","",ORCAMENTOS!G2739)</f>
        <v>Fernando</v>
      </c>
      <c r="G2731" s="37" t="str">
        <f>IF(ORCAMENTOS!H2739="","",ORCAMENTOS!H2739)</f>
        <v>Danilo</v>
      </c>
      <c r="H2731" s="39">
        <f>IF(ORCAMENTOS!I2739="","",ORCAMENTOS!I2739)</f>
        <v>1696.6</v>
      </c>
      <c r="I2731" s="60">
        <f>IF(ORCAMENTOS!J2739="","",ORCAMENTOS!J2739)</f>
        <v>7.0000000000000007E-2</v>
      </c>
      <c r="J2731" s="40" t="str">
        <f>IF(ORCAMENTOS!L2739="","",ORCAMENTOS!L2739)</f>
        <v>CANCELADO</v>
      </c>
      <c r="K2731" s="34" t="str">
        <f>IF(ORCAMENTOS!M2739="","",ORCAMENTOS!M2739)</f>
        <v>-</v>
      </c>
      <c r="L2731" t="str">
        <f>IF(ORCAMENTOS!R2739="","",ORCAMENTOS!R2739)</f>
        <v>-</v>
      </c>
    </row>
    <row r="2732" spans="1:12" ht="15.75" hidden="1" customHeight="1" x14ac:dyDescent="0.25">
      <c r="A2732" s="36">
        <f>IF(ORCAMENTOS!A2740="","",ORCAMENTOS!A2740)</f>
        <v>46112</v>
      </c>
      <c r="B2732" s="46">
        <f>IF(ORCAMENTOS!B2740="","",ORCAMENTOS!B2740)</f>
        <v>555</v>
      </c>
      <c r="C2732" s="46" t="str">
        <f>IF(ORCAMENTOS!C2740="","",ORCAMENTOS!C2740)</f>
        <v>R1</v>
      </c>
      <c r="D2732" s="37" t="str">
        <f>IF(ORCAMENTOS!D2740="","",ORCAMENTOS!D2740)</f>
        <v>DUTIOBRASS</v>
      </c>
      <c r="E2732" s="38" t="str">
        <f>IF(ORCAMENTOS!E2740="","",ORCAMENTOS!E2740)</f>
        <v>-</v>
      </c>
      <c r="F2732" s="37" t="str">
        <f>IF(ORCAMENTOS!G2740="","",ORCAMENTOS!G2740)</f>
        <v>Gabriel</v>
      </c>
      <c r="G2732" s="37" t="str">
        <f>IF(ORCAMENTOS!H2740="","",ORCAMENTOS!H2740)</f>
        <v>Ieda</v>
      </c>
      <c r="H2732" s="39">
        <f>IF(ORCAMENTOS!I2740="","",ORCAMENTOS!I2740)</f>
        <v>21241.42</v>
      </c>
      <c r="I2732" s="60">
        <f>IF(ORCAMENTOS!J2740="","",ORCAMENTOS!J2740)</f>
        <v>7.0000000000000007E-2</v>
      </c>
      <c r="J2732" s="40" t="str">
        <f>IF(ORCAMENTOS!L2740="","",ORCAMENTOS!L2740)</f>
        <v>ORCAMENTO</v>
      </c>
      <c r="K2732" s="34" t="str">
        <f>IF(ORCAMENTOS!M2740="","",ORCAMENTOS!M2740)</f>
        <v>-</v>
      </c>
      <c r="L2732" t="str">
        <f>IF(ORCAMENTOS!R2740="","",ORCAMENTOS!R2740)</f>
        <v>-</v>
      </c>
    </row>
    <row r="2733" spans="1:12" ht="15.75" hidden="1" customHeight="1" x14ac:dyDescent="0.25">
      <c r="A2733" s="36">
        <f>IF(ORCAMENTOS!A2741="","",ORCAMENTOS!A2741)</f>
        <v>46107</v>
      </c>
      <c r="B2733" s="46">
        <f>IF(ORCAMENTOS!B2741="","",ORCAMENTOS!B2741)</f>
        <v>556</v>
      </c>
      <c r="C2733" s="46" t="str">
        <f>IF(ORCAMENTOS!C2741="","",ORCAMENTOS!C2741)</f>
        <v/>
      </c>
      <c r="D2733" s="37" t="str">
        <f>IF(ORCAMENTOS!D2741="","",ORCAMENTOS!D2741)</f>
        <v>POWERTECH</v>
      </c>
      <c r="E2733" s="38" t="str">
        <f>IF(ORCAMENTOS!E2741="","",ORCAMENTOS!E2741)</f>
        <v>PWT 1001</v>
      </c>
      <c r="F2733" s="37" t="str">
        <f>IF(ORCAMENTOS!G2741="","",ORCAMENTOS!G2741)</f>
        <v>Emanuel</v>
      </c>
      <c r="G2733" s="37" t="str">
        <f>IF(ORCAMENTOS!H2741="","",ORCAMENTOS!H2741)</f>
        <v>Francisco</v>
      </c>
      <c r="H2733" s="39">
        <f>IF(ORCAMENTOS!I2741="","",ORCAMENTOS!I2741)</f>
        <v>62756.15</v>
      </c>
      <c r="I2733" s="60">
        <f>IF(ORCAMENTOS!J2741="","",ORCAMENTOS!J2741)</f>
        <v>7.0000000000000007E-2</v>
      </c>
      <c r="J2733" s="40" t="str">
        <f>IF(ORCAMENTOS!L2741="","",ORCAMENTOS!L2741)</f>
        <v>CANCELADO</v>
      </c>
      <c r="K2733" s="34" t="str">
        <f>IF(ORCAMENTOS!M2741="","",ORCAMENTOS!M2741)</f>
        <v>-</v>
      </c>
      <c r="L2733" t="str">
        <f>IF(ORCAMENTOS!R2741="","",ORCAMENTOS!R2741)</f>
        <v>-</v>
      </c>
    </row>
    <row r="2734" spans="1:12" ht="15.75" hidden="1" customHeight="1" x14ac:dyDescent="0.25">
      <c r="A2734" s="36">
        <f>IF(ORCAMENTOS!A2742="","",ORCAMENTOS!A2742)</f>
        <v>46107</v>
      </c>
      <c r="B2734" s="46">
        <f>IF(ORCAMENTOS!B2742="","",ORCAMENTOS!B2742)</f>
        <v>557</v>
      </c>
      <c r="C2734" s="46" t="str">
        <f>IF(ORCAMENTOS!C2742="","",ORCAMENTOS!C2742)</f>
        <v>R1</v>
      </c>
      <c r="D2734" s="37" t="str">
        <f>IF(ORCAMENTOS!D2742="","",ORCAMENTOS!D2742)</f>
        <v>ADRIATIC</v>
      </c>
      <c r="E2734" s="38" t="str">
        <f>IF(ORCAMENTOS!E2742="","",ORCAMENTOS!E2742)</f>
        <v>C&amp;A - PRAIA DE BELAS</v>
      </c>
      <c r="F2734" s="37" t="str">
        <f>IF(ORCAMENTOS!G2742="","",ORCAMENTOS!G2742)</f>
        <v>Emanuel</v>
      </c>
      <c r="G2734" s="37" t="str">
        <f>IF(ORCAMENTOS!H2742="","",ORCAMENTOS!H2742)</f>
        <v>Renato</v>
      </c>
      <c r="H2734" s="39">
        <f>IF(ORCAMENTOS!I2742="","",ORCAMENTOS!I2742)</f>
        <v>21955.63</v>
      </c>
      <c r="I2734" s="60">
        <f>IF(ORCAMENTOS!J2742="","",ORCAMENTOS!J2742)</f>
        <v>0.05</v>
      </c>
      <c r="J2734" s="40" t="str">
        <f>IF(ORCAMENTOS!L2742="","",ORCAMENTOS!L2742)</f>
        <v>CANCELADO</v>
      </c>
      <c r="K2734" s="34" t="str">
        <f>IF(ORCAMENTOS!M2742="","",ORCAMENTOS!M2742)</f>
        <v>-</v>
      </c>
      <c r="L2734" t="str">
        <f>IF(ORCAMENTOS!R2742="","",ORCAMENTOS!R2742)</f>
        <v>-</v>
      </c>
    </row>
    <row r="2735" spans="1:12" ht="15.75" hidden="1" customHeight="1" x14ac:dyDescent="0.25">
      <c r="A2735" s="36">
        <f>IF(ORCAMENTOS!A2743="","",ORCAMENTOS!A2743)</f>
        <v>46107</v>
      </c>
      <c r="B2735" s="46">
        <f>IF(ORCAMENTOS!B2743="","",ORCAMENTOS!B2743)</f>
        <v>558</v>
      </c>
      <c r="C2735" s="46" t="str">
        <f>IF(ORCAMENTOS!C2743="","",ORCAMENTOS!C2743)</f>
        <v/>
      </c>
      <c r="D2735" s="37" t="str">
        <f>IF(ORCAMENTOS!D2743="","",ORCAMENTOS!D2743)</f>
        <v>MIT TECH</v>
      </c>
      <c r="E2735" s="38" t="str">
        <f>IF(ORCAMENTOS!E2743="","",ORCAMENTOS!E2743)</f>
        <v>-</v>
      </c>
      <c r="F2735" s="37" t="str">
        <f>IF(ORCAMENTOS!G2743="","",ORCAMENTOS!G2743)</f>
        <v>Guilherme</v>
      </c>
      <c r="G2735" s="37" t="str">
        <f>IF(ORCAMENTOS!H2743="","",ORCAMENTOS!H2743)</f>
        <v>Marcos</v>
      </c>
      <c r="H2735" s="39">
        <f>IF(ORCAMENTOS!I2743="","",ORCAMENTOS!I2743)</f>
        <v>208818.13</v>
      </c>
      <c r="I2735" s="60">
        <f>IF(ORCAMENTOS!J2743="","",ORCAMENTOS!J2743)</f>
        <v>7.0000000000000007E-2</v>
      </c>
      <c r="J2735" s="40" t="str">
        <f>IF(ORCAMENTOS!L2743="","",ORCAMENTOS!L2743)</f>
        <v>CANCELADO</v>
      </c>
      <c r="K2735" s="34" t="str">
        <f>IF(ORCAMENTOS!M2743="","",ORCAMENTOS!M2743)</f>
        <v>-</v>
      </c>
      <c r="L2735" t="str">
        <f>IF(ORCAMENTOS!R2743="","",ORCAMENTOS!R2743)</f>
        <v>-</v>
      </c>
    </row>
    <row r="2736" spans="1:12" ht="15.75" hidden="1" customHeight="1" x14ac:dyDescent="0.25">
      <c r="A2736" s="36">
        <f>IF(ORCAMENTOS!A2744="","",ORCAMENTOS!A2744)</f>
        <v>46121</v>
      </c>
      <c r="B2736" s="46">
        <f>IF(ORCAMENTOS!B2744="","",ORCAMENTOS!B2744)</f>
        <v>559</v>
      </c>
      <c r="C2736" s="46" t="str">
        <f>IF(ORCAMENTOS!C2744="","",ORCAMENTOS!C2744)</f>
        <v/>
      </c>
      <c r="D2736" s="37" t="str">
        <f>IF(ORCAMENTOS!D2744="","",ORCAMENTOS!D2744)</f>
        <v>AWA AR CONDICIONADO</v>
      </c>
      <c r="E2736" s="38" t="str">
        <f>IF(ORCAMENTOS!E2744="","",ORCAMENTOS!E2744)</f>
        <v>MTA ARUJA</v>
      </c>
      <c r="F2736" s="37" t="str">
        <f>IF(ORCAMENTOS!G2744="","",ORCAMENTOS!G2744)</f>
        <v>Guilherme</v>
      </c>
      <c r="G2736" s="37" t="str">
        <f>IF(ORCAMENTOS!H2744="","",ORCAMENTOS!H2744)</f>
        <v>Marcela</v>
      </c>
      <c r="H2736" s="39">
        <f>IF(ORCAMENTOS!I2744="","",ORCAMENTOS!I2744)</f>
        <v>9027.07</v>
      </c>
      <c r="I2736" s="60">
        <f>IF(ORCAMENTOS!J2744="","",ORCAMENTOS!J2744)</f>
        <v>0.05</v>
      </c>
      <c r="J2736" s="40" t="str">
        <f>IF(ORCAMENTOS!L2744="","",ORCAMENTOS!L2744)</f>
        <v>PERDIDO</v>
      </c>
      <c r="K2736" s="34" t="str">
        <f>IF(ORCAMENTOS!M2744="","",ORCAMENTOS!M2744)</f>
        <v>MULTIVAC - SEQUENCIA</v>
      </c>
      <c r="L2736" t="str">
        <f>IF(ORCAMENTOS!R2744="","",ORCAMENTOS!R2744)</f>
        <v>-</v>
      </c>
    </row>
    <row r="2737" spans="1:12" ht="15.75" hidden="1" customHeight="1" x14ac:dyDescent="0.25">
      <c r="A2737" s="36">
        <f>IF(ORCAMENTOS!A2745="","",ORCAMENTOS!A2745)</f>
        <v>46107</v>
      </c>
      <c r="B2737" s="46">
        <f>IF(ORCAMENTOS!B2745="","",ORCAMENTOS!B2745)</f>
        <v>560</v>
      </c>
      <c r="C2737" s="46" t="str">
        <f>IF(ORCAMENTOS!C2745="","",ORCAMENTOS!C2745)</f>
        <v/>
      </c>
      <c r="D2737" s="37" t="str">
        <f>IF(ORCAMENTOS!D2745="","",ORCAMENTOS!D2745)</f>
        <v>DE SALTO NA OBRA</v>
      </c>
      <c r="E2737" s="38" t="str">
        <f>IF(ORCAMENTOS!E2745="","",ORCAMENTOS!E2745)</f>
        <v>-</v>
      </c>
      <c r="F2737" s="37" t="str">
        <f>IF(ORCAMENTOS!G2745="","",ORCAMENTOS!G2745)</f>
        <v>Gabriel</v>
      </c>
      <c r="G2737" s="37" t="str">
        <f>IF(ORCAMENTOS!H2745="","",ORCAMENTOS!H2745)</f>
        <v>Fernanda</v>
      </c>
      <c r="H2737" s="39">
        <f>IF(ORCAMENTOS!I2745="","",ORCAMENTOS!I2745)</f>
        <v>9105.5400000000009</v>
      </c>
      <c r="I2737" s="60">
        <f>IF(ORCAMENTOS!J2745="","",ORCAMENTOS!J2745)</f>
        <v>7.0000000000000007E-2</v>
      </c>
      <c r="J2737" s="40" t="str">
        <f>IF(ORCAMENTOS!L2745="","",ORCAMENTOS!L2745)</f>
        <v>ORCAMENTO</v>
      </c>
      <c r="K2737" s="34" t="str">
        <f>IF(ORCAMENTOS!M2745="","",ORCAMENTOS!M2745)</f>
        <v>-</v>
      </c>
      <c r="L2737" t="str">
        <f>IF(ORCAMENTOS!R2745="","",ORCAMENTOS!R2745)</f>
        <v>-</v>
      </c>
    </row>
    <row r="2738" spans="1:12" ht="15.75" hidden="1" customHeight="1" x14ac:dyDescent="0.25">
      <c r="A2738" s="36">
        <f>IF(ORCAMENTOS!A2746="","",ORCAMENTOS!A2746)</f>
        <v>46107</v>
      </c>
      <c r="B2738" s="46">
        <f>IF(ORCAMENTOS!B2746="","",ORCAMENTOS!B2746)</f>
        <v>561</v>
      </c>
      <c r="C2738" s="46" t="str">
        <f>IF(ORCAMENTOS!C2746="","",ORCAMENTOS!C2746)</f>
        <v>R1</v>
      </c>
      <c r="D2738" s="37" t="str">
        <f>IF(ORCAMENTOS!D2746="","",ORCAMENTOS!D2746)</f>
        <v>ISOTEMP</v>
      </c>
      <c r="E2738" s="38" t="str">
        <f>IF(ORCAMENTOS!E2746="","",ORCAMENTOS!E2746)</f>
        <v>HUNTINGTON</v>
      </c>
      <c r="F2738" s="37" t="str">
        <f>IF(ORCAMENTOS!G2746="","",ORCAMENTOS!G2746)</f>
        <v>Michel</v>
      </c>
      <c r="G2738" s="37" t="str">
        <f>IF(ORCAMENTOS!H2746="","",ORCAMENTOS!H2746)</f>
        <v>Vinicius</v>
      </c>
      <c r="H2738" s="39">
        <f>IF(ORCAMENTOS!I2746="","",ORCAMENTOS!I2746)</f>
        <v>5261.15</v>
      </c>
      <c r="I2738" s="60">
        <f>IF(ORCAMENTOS!J2746="","",ORCAMENTOS!J2746)</f>
        <v>0.04</v>
      </c>
      <c r="J2738" s="40" t="str">
        <f>IF(ORCAMENTOS!L2746="","",ORCAMENTOS!L2746)</f>
        <v>FECHADO</v>
      </c>
      <c r="K2738" s="34" t="str">
        <f>IF(ORCAMENTOS!M2746="","",ORCAMENTOS!M2746)</f>
        <v>-</v>
      </c>
      <c r="L2738" t="str">
        <f>IF(ORCAMENTOS!R2746="","",ORCAMENTOS!R2746)</f>
        <v>-</v>
      </c>
    </row>
    <row r="2739" spans="1:12" ht="15.75" hidden="1" customHeight="1" x14ac:dyDescent="0.25">
      <c r="A2739" s="36">
        <f>IF(ORCAMENTOS!A2747="","",ORCAMENTOS!A2747)</f>
        <v>46107</v>
      </c>
      <c r="B2739" s="46">
        <f>IF(ORCAMENTOS!B2747="","",ORCAMENTOS!B2747)</f>
        <v>562</v>
      </c>
      <c r="C2739" s="46" t="str">
        <f>IF(ORCAMENTOS!C2747="","",ORCAMENTOS!C2747)</f>
        <v/>
      </c>
      <c r="D2739" s="37" t="str">
        <f>IF(ORCAMENTOS!D2747="","",ORCAMENTOS!D2747)</f>
        <v>THERMOPOLO</v>
      </c>
      <c r="E2739" s="38" t="str">
        <f>IF(ORCAMENTOS!E2747="","",ORCAMENTOS!E2747)</f>
        <v>JHSF ENGENHARIA LTDA</v>
      </c>
      <c r="F2739" s="37" t="str">
        <f>IF(ORCAMENTOS!G2747="","",ORCAMENTOS!G2747)</f>
        <v xml:space="preserve">Aldavir </v>
      </c>
      <c r="G2739" s="37" t="str">
        <f>IF(ORCAMENTOS!H2747="","",ORCAMENTOS!H2747)</f>
        <v>Nêlia</v>
      </c>
      <c r="H2739" s="39">
        <f>IF(ORCAMENTOS!I2747="","",ORCAMENTOS!I2747)</f>
        <v>36923.93</v>
      </c>
      <c r="I2739" s="60">
        <f>IF(ORCAMENTOS!J2747="","",ORCAMENTOS!J2747)</f>
        <v>0.04</v>
      </c>
      <c r="J2739" s="40" t="str">
        <f>IF(ORCAMENTOS!L2747="","",ORCAMENTOS!L2747)</f>
        <v>FECHADO</v>
      </c>
      <c r="K2739" s="34" t="str">
        <f>IF(ORCAMENTOS!M2747="","",ORCAMENTOS!M2747)</f>
        <v>-</v>
      </c>
      <c r="L2739" t="str">
        <f>IF(ORCAMENTOS!R2747="","",ORCAMENTOS!R2747)</f>
        <v>-</v>
      </c>
    </row>
    <row r="2740" spans="1:12" ht="15.75" hidden="1" customHeight="1" x14ac:dyDescent="0.25">
      <c r="A2740" s="36">
        <f>IF(ORCAMENTOS!A2748="","",ORCAMENTOS!A2748)</f>
        <v>46108</v>
      </c>
      <c r="B2740" s="46">
        <f>IF(ORCAMENTOS!B2748="","",ORCAMENTOS!B2748)</f>
        <v>563</v>
      </c>
      <c r="C2740" s="46" t="str">
        <f>IF(ORCAMENTOS!C2748="","",ORCAMENTOS!C2748)</f>
        <v>R1</v>
      </c>
      <c r="D2740" s="37" t="str">
        <f>IF(ORCAMENTOS!D2748="","",ORCAMENTOS!D2748)</f>
        <v>SOMMARE</v>
      </c>
      <c r="E2740" s="38" t="str">
        <f>IF(ORCAMENTOS!E2748="","",ORCAMENTOS!E2748)</f>
        <v>-</v>
      </c>
      <c r="F2740" s="37" t="str">
        <f>IF(ORCAMENTOS!G2748="","",ORCAMENTOS!G2748)</f>
        <v>Gabriel</v>
      </c>
      <c r="G2740" s="37" t="str">
        <f>IF(ORCAMENTOS!H2748="","",ORCAMENTOS!H2748)</f>
        <v>Carlos</v>
      </c>
      <c r="H2740" s="39">
        <f>IF(ORCAMENTOS!I2748="","",ORCAMENTOS!I2748)</f>
        <v>22000</v>
      </c>
      <c r="I2740" s="60">
        <f>IF(ORCAMENTOS!J2748="","",ORCAMENTOS!J2748)</f>
        <v>0.05</v>
      </c>
      <c r="J2740" s="40" t="str">
        <f>IF(ORCAMENTOS!L2748="","",ORCAMENTOS!L2748)</f>
        <v>FECHADO</v>
      </c>
      <c r="K2740" s="34" t="str">
        <f>IF(ORCAMENTOS!M2748="","",ORCAMENTOS!M2748)</f>
        <v>-</v>
      </c>
      <c r="L2740" t="str">
        <f>IF(ORCAMENTOS!R2748="","",ORCAMENTOS!R2748)</f>
        <v>-</v>
      </c>
    </row>
    <row r="2741" spans="1:12" ht="15.75" hidden="1" customHeight="1" x14ac:dyDescent="0.25">
      <c r="A2741" s="36">
        <f>IF(ORCAMENTOS!A2749="","",ORCAMENTOS!A2749)</f>
        <v>46108</v>
      </c>
      <c r="B2741" s="46">
        <f>IF(ORCAMENTOS!B2749="","",ORCAMENTOS!B2749)</f>
        <v>564</v>
      </c>
      <c r="C2741" s="46" t="str">
        <f>IF(ORCAMENTOS!C2749="","",ORCAMENTOS!C2749)</f>
        <v/>
      </c>
      <c r="D2741" s="37" t="str">
        <f>IF(ORCAMENTOS!D2749="","",ORCAMENTOS!D2749)</f>
        <v>CONTROLE CLIMA</v>
      </c>
      <c r="E2741" s="38" t="str">
        <f>IF(ORCAMENTOS!E2749="","",ORCAMENTOS!E2749)</f>
        <v>AMPLIAÇÃO DUTOS LAR ABC</v>
      </c>
      <c r="F2741" s="37" t="str">
        <f>IF(ORCAMENTOS!G2749="","",ORCAMENTOS!G2749)</f>
        <v>Gabriel</v>
      </c>
      <c r="G2741" s="37" t="str">
        <f>IF(ORCAMENTOS!H2749="","",ORCAMENTOS!H2749)</f>
        <v>Samuel</v>
      </c>
      <c r="H2741" s="39">
        <f>IF(ORCAMENTOS!I2749="","",ORCAMENTOS!I2749)</f>
        <v>6462.24</v>
      </c>
      <c r="I2741" s="60">
        <f>IF(ORCAMENTOS!J2749="","",ORCAMENTOS!J2749)</f>
        <v>7.0000000000000007E-2</v>
      </c>
      <c r="J2741" s="40" t="str">
        <f>IF(ORCAMENTOS!L2749="","",ORCAMENTOS!L2749)</f>
        <v>ORCAMENTO</v>
      </c>
      <c r="K2741" s="34" t="str">
        <f>IF(ORCAMENTOS!M2749="","",ORCAMENTOS!M2749)</f>
        <v>-</v>
      </c>
      <c r="L2741" t="str">
        <f>IF(ORCAMENTOS!R2749="","",ORCAMENTOS!R2749)</f>
        <v>-</v>
      </c>
    </row>
    <row r="2742" spans="1:12" ht="15.75" hidden="1" customHeight="1" x14ac:dyDescent="0.25">
      <c r="A2742" s="36">
        <f>IF(ORCAMENTOS!A2750="","",ORCAMENTOS!A2750)</f>
        <v>46111</v>
      </c>
      <c r="B2742" s="46">
        <f>IF(ORCAMENTOS!B2750="","",ORCAMENTOS!B2750)</f>
        <v>565</v>
      </c>
      <c r="C2742" s="46" t="str">
        <f>IF(ORCAMENTOS!C2750="","",ORCAMENTOS!C2750)</f>
        <v>R1</v>
      </c>
      <c r="D2742" s="37" t="str">
        <f>IF(ORCAMENTOS!D2750="","",ORCAMENTOS!D2750)</f>
        <v>AMARAL CARVALHO</v>
      </c>
      <c r="E2742" s="38">
        <f>IF(ORCAMENTOS!E2750="","",ORCAMENTOS!E2750)</f>
        <v>1485939</v>
      </c>
      <c r="F2742" s="37" t="str">
        <f>IF(ORCAMENTOS!G2750="","",ORCAMENTOS!G2750)</f>
        <v>Gabriel</v>
      </c>
      <c r="G2742" s="37" t="str">
        <f>IF(ORCAMENTOS!H2750="","",ORCAMENTOS!H2750)</f>
        <v>Taina</v>
      </c>
      <c r="H2742" s="39">
        <f>IF(ORCAMENTOS!I2750="","",ORCAMENTOS!I2750)</f>
        <v>9045.73</v>
      </c>
      <c r="I2742" s="60">
        <f>IF(ORCAMENTOS!J2750="","",ORCAMENTOS!J2750)</f>
        <v>7.0000000000000007E-2</v>
      </c>
      <c r="J2742" s="40" t="str">
        <f>IF(ORCAMENTOS!L2750="","",ORCAMENTOS!L2750)</f>
        <v>FECHADO</v>
      </c>
      <c r="K2742" s="34" t="str">
        <f>IF(ORCAMENTOS!M2750="","",ORCAMENTOS!M2750)</f>
        <v>-</v>
      </c>
      <c r="L2742" t="str">
        <f>IF(ORCAMENTOS!R2750="","",ORCAMENTOS!R2750)</f>
        <v>-</v>
      </c>
    </row>
    <row r="2743" spans="1:12" ht="15.75" hidden="1" customHeight="1" x14ac:dyDescent="0.25">
      <c r="A2743" s="36">
        <f>IF(ORCAMENTOS!A2751="","",ORCAMENTOS!A2751)</f>
        <v>46108</v>
      </c>
      <c r="B2743" s="46">
        <f>IF(ORCAMENTOS!B2751="","",ORCAMENTOS!B2751)</f>
        <v>566</v>
      </c>
      <c r="C2743" s="46" t="str">
        <f>IF(ORCAMENTOS!C2751="","",ORCAMENTOS!C2751)</f>
        <v/>
      </c>
      <c r="D2743" s="37" t="str">
        <f>IF(ORCAMENTOS!D2751="","",ORCAMENTOS!D2751)</f>
        <v>EXAUSTAR</v>
      </c>
      <c r="E2743" s="38" t="str">
        <f>IF(ORCAMENTOS!E2751="","",ORCAMENTOS!E2751)</f>
        <v>BLUEFIT - CURSINO SP - 1317 - JARDIM SAUDE - SP</v>
      </c>
      <c r="F2743" s="37" t="str">
        <f>IF(ORCAMENTOS!G2751="","",ORCAMENTOS!G2751)</f>
        <v>Gabriel</v>
      </c>
      <c r="G2743" s="37" t="str">
        <f>IF(ORCAMENTOS!H2751="","",ORCAMENTOS!H2751)</f>
        <v>Matheus</v>
      </c>
      <c r="H2743" s="39">
        <f>IF(ORCAMENTOS!I2751="","",ORCAMENTOS!I2751)</f>
        <v>117603.79</v>
      </c>
      <c r="I2743" s="60">
        <f>IF(ORCAMENTOS!J2751="","",ORCAMENTOS!J2751)</f>
        <v>7.0000000000000007E-2</v>
      </c>
      <c r="J2743" s="40" t="str">
        <f>IF(ORCAMENTOS!L2751="","",ORCAMENTOS!L2751)</f>
        <v>ORCAMENTO</v>
      </c>
      <c r="K2743" s="34" t="str">
        <f>IF(ORCAMENTOS!M2751="","",ORCAMENTOS!M2751)</f>
        <v>-</v>
      </c>
      <c r="L2743" t="str">
        <f>IF(ORCAMENTOS!R2751="","",ORCAMENTOS!R2751)</f>
        <v>N/E</v>
      </c>
    </row>
    <row r="2744" spans="1:12" ht="15.75" hidden="1" customHeight="1" x14ac:dyDescent="0.25">
      <c r="A2744" s="36">
        <f>IF(ORCAMENTOS!A2752="","",ORCAMENTOS!A2752)</f>
        <v>46108</v>
      </c>
      <c r="B2744" s="46">
        <f>IF(ORCAMENTOS!B2752="","",ORCAMENTOS!B2752)</f>
        <v>567</v>
      </c>
      <c r="C2744" s="46" t="str">
        <f>IF(ORCAMENTOS!C2752="","",ORCAMENTOS!C2752)</f>
        <v/>
      </c>
      <c r="D2744" s="37" t="str">
        <f>IF(ORCAMENTOS!D2752="","",ORCAMENTOS!D2752)</f>
        <v>STAR CENTER</v>
      </c>
      <c r="E2744" s="38" t="str">
        <f>IF(ORCAMENTOS!E2752="","",ORCAMENTOS!E2752)</f>
        <v>-</v>
      </c>
      <c r="F2744" s="37" t="str">
        <f>IF(ORCAMENTOS!G2752="","",ORCAMENTOS!G2752)</f>
        <v>Guilherme</v>
      </c>
      <c r="G2744" s="37" t="str">
        <f>IF(ORCAMENTOS!H2752="","",ORCAMENTOS!H2752)</f>
        <v>Beatriz</v>
      </c>
      <c r="H2744" s="39">
        <f>IF(ORCAMENTOS!I2752="","",ORCAMENTOS!I2752)</f>
        <v>266165.64</v>
      </c>
      <c r="I2744" s="60">
        <f>IF(ORCAMENTOS!J2752="","",ORCAMENTOS!J2752)</f>
        <v>7.0000000000000007E-2</v>
      </c>
      <c r="J2744" s="40" t="str">
        <f>IF(ORCAMENTOS!L2752="","",ORCAMENTOS!L2752)</f>
        <v>CANCELADO</v>
      </c>
      <c r="K2744" s="34" t="str">
        <f>IF(ORCAMENTOS!M2752="","",ORCAMENTOS!M2752)</f>
        <v>-</v>
      </c>
      <c r="L2744" t="str">
        <f>IF(ORCAMENTOS!R2752="","",ORCAMENTOS!R2752)</f>
        <v>-</v>
      </c>
    </row>
    <row r="2745" spans="1:12" ht="15.75" hidden="1" customHeight="1" x14ac:dyDescent="0.25">
      <c r="A2745" s="36">
        <f>IF(ORCAMENTOS!A2753="","",ORCAMENTOS!A2753)</f>
        <v>46108</v>
      </c>
      <c r="B2745" s="46">
        <f>IF(ORCAMENTOS!B2753="","",ORCAMENTOS!B2753)</f>
        <v>568</v>
      </c>
      <c r="C2745" s="46" t="str">
        <f>IF(ORCAMENTOS!C2753="","",ORCAMENTOS!C2753)</f>
        <v/>
      </c>
      <c r="D2745" s="37" t="str">
        <f>IF(ORCAMENTOS!D2753="","",ORCAMENTOS!D2753)</f>
        <v>COLD CONTROL</v>
      </c>
      <c r="E2745" s="38" t="str">
        <f>IF(ORCAMENTOS!E2753="","",ORCAMENTOS!E2753)</f>
        <v>CLINICA CASSI - FLORIANOPOLIS - SC</v>
      </c>
      <c r="F2745" s="37" t="str">
        <f>IF(ORCAMENTOS!G2753="","",ORCAMENTOS!G2753)</f>
        <v>Emanuel</v>
      </c>
      <c r="G2745" s="37" t="str">
        <f>IF(ORCAMENTOS!H2753="","",ORCAMENTOS!H2753)</f>
        <v>Clovis</v>
      </c>
      <c r="H2745" s="39">
        <f>IF(ORCAMENTOS!I2753="","",ORCAMENTOS!I2753)</f>
        <v>39824.18</v>
      </c>
      <c r="I2745" s="60">
        <f>IF(ORCAMENTOS!J2753="","",ORCAMENTOS!J2753)</f>
        <v>7.0000000000000007E-2</v>
      </c>
      <c r="J2745" s="40" t="str">
        <f>IF(ORCAMENTOS!L2753="","",ORCAMENTOS!L2753)</f>
        <v>CANCELADO</v>
      </c>
      <c r="K2745" s="34" t="str">
        <f>IF(ORCAMENTOS!M2753="","",ORCAMENTOS!M2753)</f>
        <v>-</v>
      </c>
      <c r="L2745" t="str">
        <f>IF(ORCAMENTOS!R2753="","",ORCAMENTOS!R2753)</f>
        <v>PAINEIS DE ALUM ISOLADOS</v>
      </c>
    </row>
    <row r="2746" spans="1:12" ht="15.75" hidden="1" customHeight="1" x14ac:dyDescent="0.25">
      <c r="A2746" s="36">
        <f>IF(ORCAMENTOS!A2754="","",ORCAMENTOS!A2754)</f>
        <v>46112</v>
      </c>
      <c r="B2746" s="46">
        <f>IF(ORCAMENTOS!B2754="","",ORCAMENTOS!B2754)</f>
        <v>569</v>
      </c>
      <c r="C2746" s="46" t="str">
        <f>IF(ORCAMENTOS!C2754="","",ORCAMENTOS!C2754)</f>
        <v>R1</v>
      </c>
      <c r="D2746" s="37" t="str">
        <f>IF(ORCAMENTOS!D2754="","",ORCAMENTOS!D2754)</f>
        <v>FESTPAN</v>
      </c>
      <c r="E2746" s="38" t="str">
        <f>IF(ORCAMENTOS!E2754="","",ORCAMENTOS!E2754)</f>
        <v>-</v>
      </c>
      <c r="F2746" s="37" t="str">
        <f>IF(ORCAMENTOS!G2754="","",ORCAMENTOS!G2754)</f>
        <v>Gabriel</v>
      </c>
      <c r="G2746" s="37" t="str">
        <f>IF(ORCAMENTOS!H2754="","",ORCAMENTOS!H2754)</f>
        <v>Carlos</v>
      </c>
      <c r="H2746" s="39">
        <f>IF(ORCAMENTOS!I2754="","",ORCAMENTOS!I2754)</f>
        <v>4207.9399999999996</v>
      </c>
      <c r="I2746" s="60">
        <f>IF(ORCAMENTOS!J2754="","",ORCAMENTOS!J2754)</f>
        <v>7.0000000000000007E-2</v>
      </c>
      <c r="J2746" s="40" t="str">
        <f>IF(ORCAMENTOS!L2754="","",ORCAMENTOS!L2754)</f>
        <v>FECHADO</v>
      </c>
      <c r="K2746" s="34" t="str">
        <f>IF(ORCAMENTOS!M2754="","",ORCAMENTOS!M2754)</f>
        <v>-</v>
      </c>
      <c r="L2746" t="str">
        <f>IF(ORCAMENTOS!R2754="","",ORCAMENTOS!R2754)</f>
        <v>-</v>
      </c>
    </row>
    <row r="2747" spans="1:12" ht="15.75" hidden="1" customHeight="1" x14ac:dyDescent="0.25">
      <c r="A2747" s="36">
        <f>IF(ORCAMENTOS!A2755="","",ORCAMENTOS!A2755)</f>
        <v>46111</v>
      </c>
      <c r="B2747" s="46">
        <f>IF(ORCAMENTOS!B2755="","",ORCAMENTOS!B2755)</f>
        <v>570</v>
      </c>
      <c r="C2747" s="46" t="str">
        <f>IF(ORCAMENTOS!C2755="","",ORCAMENTOS!C2755)</f>
        <v>R1</v>
      </c>
      <c r="D2747" s="37" t="str">
        <f>IF(ORCAMENTOS!D2755="","",ORCAMENTOS!D2755)</f>
        <v>INOVECTOR</v>
      </c>
      <c r="E2747" s="38" t="str">
        <f>IF(ORCAMENTOS!E2755="","",ORCAMENTOS!E2755)</f>
        <v>25/100 - NOVA STAR</v>
      </c>
      <c r="F2747" s="37" t="str">
        <f>IF(ORCAMENTOS!G2755="","",ORCAMENTOS!G2755)</f>
        <v>Fernando</v>
      </c>
      <c r="G2747" s="37" t="str">
        <f>IF(ORCAMENTOS!H2755="","",ORCAMENTOS!H2755)</f>
        <v>Cristina</v>
      </c>
      <c r="H2747" s="39">
        <f>IF(ORCAMENTOS!I2755="","",ORCAMENTOS!I2755)</f>
        <v>18238.41</v>
      </c>
      <c r="I2747" s="60">
        <f>IF(ORCAMENTOS!J2755="","",ORCAMENTOS!J2755)</f>
        <v>0.04</v>
      </c>
      <c r="J2747" s="40" t="str">
        <f>IF(ORCAMENTOS!L2755="","",ORCAMENTOS!L2755)</f>
        <v>FECHADO</v>
      </c>
      <c r="K2747" s="34" t="str">
        <f>IF(ORCAMENTOS!M2755="","",ORCAMENTOS!M2755)</f>
        <v>-</v>
      </c>
      <c r="L2747" t="str">
        <f>IF(ORCAMENTOS!R2755="","",ORCAMENTOS!R2755)</f>
        <v>-</v>
      </c>
    </row>
    <row r="2748" spans="1:12" ht="15.75" hidden="1" customHeight="1" x14ac:dyDescent="0.25">
      <c r="A2748" s="36">
        <f>IF(ORCAMENTOS!A2756="","",ORCAMENTOS!A2756)</f>
        <v>46108</v>
      </c>
      <c r="B2748" s="46">
        <f>IF(ORCAMENTOS!B2756="","",ORCAMENTOS!B2756)</f>
        <v>571</v>
      </c>
      <c r="C2748" s="46" t="str">
        <f>IF(ORCAMENTOS!C2756="","",ORCAMENTOS!C2756)</f>
        <v/>
      </c>
      <c r="D2748" s="37" t="str">
        <f>IF(ORCAMENTOS!D2756="","",ORCAMENTOS!D2756)</f>
        <v>MECALOR</v>
      </c>
      <c r="E2748" s="38" t="str">
        <f>IF(ORCAMENTOS!E2756="","",ORCAMENTOS!E2756)</f>
        <v>-</v>
      </c>
      <c r="F2748" s="37" t="str">
        <f>IF(ORCAMENTOS!G2756="","",ORCAMENTOS!G2756)</f>
        <v>Gabriel</v>
      </c>
      <c r="G2748" s="37" t="str">
        <f>IF(ORCAMENTOS!H2756="","",ORCAMENTOS!H2756)</f>
        <v>Pedro</v>
      </c>
      <c r="H2748" s="39">
        <f>IF(ORCAMENTOS!I2756="","",ORCAMENTOS!I2756)</f>
        <v>389.97</v>
      </c>
      <c r="I2748" s="60">
        <f>IF(ORCAMENTOS!J2756="","",ORCAMENTOS!J2756)</f>
        <v>7.0000000000000007E-2</v>
      </c>
      <c r="J2748" s="40" t="str">
        <f>IF(ORCAMENTOS!L2756="","",ORCAMENTOS!L2756)</f>
        <v>FECHADO</v>
      </c>
      <c r="K2748" s="34" t="str">
        <f>IF(ORCAMENTOS!M2756="","",ORCAMENTOS!M2756)</f>
        <v>-</v>
      </c>
      <c r="L2748" t="str">
        <f>IF(ORCAMENTOS!R2756="","",ORCAMENTOS!R2756)</f>
        <v>-</v>
      </c>
    </row>
    <row r="2749" spans="1:12" ht="15.75" hidden="1" customHeight="1" x14ac:dyDescent="0.25">
      <c r="A2749" s="36">
        <f>IF(ORCAMENTOS!A2757="","",ORCAMENTOS!A2757)</f>
        <v>46108</v>
      </c>
      <c r="B2749" s="46">
        <f>IF(ORCAMENTOS!B2757="","",ORCAMENTOS!B2757)</f>
        <v>572</v>
      </c>
      <c r="C2749" s="46" t="str">
        <f>IF(ORCAMENTOS!C2757="","",ORCAMENTOS!C2757)</f>
        <v/>
      </c>
      <c r="D2749" s="37" t="str">
        <f>IF(ORCAMENTOS!D2757="","",ORCAMENTOS!D2757)</f>
        <v>MAICON NASCIMENTO</v>
      </c>
      <c r="E2749" s="38" t="str">
        <f>IF(ORCAMENTOS!E2757="","",ORCAMENTOS!E2757)</f>
        <v>-</v>
      </c>
      <c r="F2749" s="37" t="str">
        <f>IF(ORCAMENTOS!G2757="","",ORCAMENTOS!G2757)</f>
        <v>Gabriel</v>
      </c>
      <c r="G2749" s="37" t="str">
        <f>IF(ORCAMENTOS!H2757="","",ORCAMENTOS!H2757)</f>
        <v>Maycon</v>
      </c>
      <c r="H2749" s="39">
        <f>IF(ORCAMENTOS!I2757="","",ORCAMENTOS!I2757)</f>
        <v>52454.25</v>
      </c>
      <c r="I2749" s="60">
        <f>IF(ORCAMENTOS!J2757="","",ORCAMENTOS!J2757)</f>
        <v>7.0000000000000007E-2</v>
      </c>
      <c r="J2749" s="40" t="str">
        <f>IF(ORCAMENTOS!L2757="","",ORCAMENTOS!L2757)</f>
        <v>ORCAMENTO</v>
      </c>
      <c r="K2749" s="34" t="str">
        <f>IF(ORCAMENTOS!M2757="","",ORCAMENTOS!M2757)</f>
        <v>-</v>
      </c>
      <c r="L2749" t="str">
        <f>IF(ORCAMENTOS!R2757="","",ORCAMENTOS!R2757)</f>
        <v>-</v>
      </c>
    </row>
    <row r="2750" spans="1:12" ht="15.75" hidden="1" customHeight="1" x14ac:dyDescent="0.25">
      <c r="A2750" s="36">
        <f>IF(ORCAMENTOS!A2758="","",ORCAMENTOS!A2758)</f>
        <v>46111</v>
      </c>
      <c r="B2750" s="46">
        <f>IF(ORCAMENTOS!B2758="","",ORCAMENTOS!B2758)</f>
        <v>573</v>
      </c>
      <c r="C2750" s="46" t="str">
        <f>IF(ORCAMENTOS!C2758="","",ORCAMENTOS!C2758)</f>
        <v/>
      </c>
      <c r="D2750" s="37" t="str">
        <f>IF(ORCAMENTOS!D2758="","",ORCAMENTOS!D2758)</f>
        <v>INOVECTOR</v>
      </c>
      <c r="E2750" s="38" t="str">
        <f>IF(ORCAMENTOS!E2758="","",ORCAMENTOS!E2758)</f>
        <v>BP - 2°PAV</v>
      </c>
      <c r="F2750" s="37" t="str">
        <f>IF(ORCAMENTOS!G2758="","",ORCAMENTOS!G2758)</f>
        <v>Fernando</v>
      </c>
      <c r="G2750" s="37" t="str">
        <f>IF(ORCAMENTOS!H2758="","",ORCAMENTOS!H2758)</f>
        <v>Cristina</v>
      </c>
      <c r="H2750" s="39">
        <f>IF(ORCAMENTOS!I2758="","",ORCAMENTOS!I2758)</f>
        <v>7998.98</v>
      </c>
      <c r="I2750" s="60">
        <f>IF(ORCAMENTOS!J2758="","",ORCAMENTOS!J2758)</f>
        <v>0.04</v>
      </c>
      <c r="J2750" s="40" t="str">
        <f>IF(ORCAMENTOS!L2758="","",ORCAMENTOS!L2758)</f>
        <v>FECHADO</v>
      </c>
      <c r="K2750" s="34" t="str">
        <f>IF(ORCAMENTOS!M2758="","",ORCAMENTOS!M2758)</f>
        <v>-</v>
      </c>
      <c r="L2750" t="str">
        <f>IF(ORCAMENTOS!R2758="","",ORCAMENTOS!R2758)</f>
        <v>-</v>
      </c>
    </row>
    <row r="2751" spans="1:12" ht="15.75" hidden="1" customHeight="1" x14ac:dyDescent="0.25">
      <c r="A2751" s="36">
        <f>IF(ORCAMENTOS!A2759="","",ORCAMENTOS!A2759)</f>
        <v>46111</v>
      </c>
      <c r="B2751" s="46">
        <f>IF(ORCAMENTOS!B2759="","",ORCAMENTOS!B2759)</f>
        <v>574</v>
      </c>
      <c r="C2751" s="46" t="str">
        <f>IF(ORCAMENTOS!C2759="","",ORCAMENTOS!C2759)</f>
        <v/>
      </c>
      <c r="D2751" s="37" t="str">
        <f>IF(ORCAMENTOS!D2759="","",ORCAMENTOS!D2759)</f>
        <v>ALMEIDA E LIMA</v>
      </c>
      <c r="E2751" s="38" t="str">
        <f>IF(ORCAMENTOS!E2759="","",ORCAMENTOS!E2759)</f>
        <v>-</v>
      </c>
      <c r="F2751" s="37" t="str">
        <f>IF(ORCAMENTOS!G2759="","",ORCAMENTOS!G2759)</f>
        <v>Gabriel</v>
      </c>
      <c r="G2751" s="37" t="str">
        <f>IF(ORCAMENTOS!H2759="","",ORCAMENTOS!H2759)</f>
        <v>Marcelo</v>
      </c>
      <c r="H2751" s="39">
        <f>IF(ORCAMENTOS!I2759="","",ORCAMENTOS!I2759)</f>
        <v>1780.77</v>
      </c>
      <c r="I2751" s="60">
        <f>IF(ORCAMENTOS!J2759="","",ORCAMENTOS!J2759)</f>
        <v>7.0000000000000007E-2</v>
      </c>
      <c r="J2751" s="40" t="str">
        <f>IF(ORCAMENTOS!L2759="","",ORCAMENTOS!L2759)</f>
        <v>FECHADO</v>
      </c>
      <c r="K2751" s="34" t="str">
        <f>IF(ORCAMENTOS!M2759="","",ORCAMENTOS!M2759)</f>
        <v>-</v>
      </c>
      <c r="L2751" t="str">
        <f>IF(ORCAMENTOS!R2759="","",ORCAMENTOS!R2759)</f>
        <v>-</v>
      </c>
    </row>
    <row r="2752" spans="1:12" ht="15.75" hidden="1" customHeight="1" x14ac:dyDescent="0.25">
      <c r="A2752" s="36">
        <f>IF(ORCAMENTOS!A2760="","",ORCAMENTOS!A2760)</f>
        <v>46141</v>
      </c>
      <c r="B2752" s="46">
        <f>IF(ORCAMENTOS!B2760="","",ORCAMENTOS!B2760)</f>
        <v>575</v>
      </c>
      <c r="C2752" s="46" t="str">
        <f>IF(ORCAMENTOS!C2760="","",ORCAMENTOS!C2760)</f>
        <v/>
      </c>
      <c r="D2752" s="37" t="str">
        <f>IF(ORCAMENTOS!D2760="","",ORCAMENTOS!D2760)</f>
        <v>INOVECTOR</v>
      </c>
      <c r="E2752" s="38">
        <f>IF(ORCAMENTOS!E2760="","",ORCAMENTOS!E2760)</f>
        <v>2026000214</v>
      </c>
      <c r="F2752" s="37" t="str">
        <f>IF(ORCAMENTOS!G2760="","",ORCAMENTOS!G2760)</f>
        <v>Fernando</v>
      </c>
      <c r="G2752" s="37" t="str">
        <f>IF(ORCAMENTOS!H2760="","",ORCAMENTOS!H2760)</f>
        <v>Eliete</v>
      </c>
      <c r="H2752" s="39">
        <f>IF(ORCAMENTOS!I2760="","",ORCAMENTOS!I2760)</f>
        <v>16515.47</v>
      </c>
      <c r="I2752" s="60">
        <f>IF(ORCAMENTOS!J2760="","",ORCAMENTOS!J2760)</f>
        <v>0.04</v>
      </c>
      <c r="J2752" s="40" t="str">
        <f>IF(ORCAMENTOS!L2760="","",ORCAMENTOS!L2760)</f>
        <v>PERDIDO</v>
      </c>
      <c r="K2752" s="34" t="str">
        <f>IF(ORCAMENTOS!M2760="","",ORCAMENTOS!M2760)</f>
        <v>MULTIVAC - PACOTE</v>
      </c>
      <c r="L2752" t="str">
        <f>IF(ORCAMENTOS!R2760="","",ORCAMENTOS!R2760)</f>
        <v>-</v>
      </c>
    </row>
    <row r="2753" spans="1:12" ht="15.75" hidden="1" customHeight="1" x14ac:dyDescent="0.25">
      <c r="A2753" s="36">
        <f>IF(ORCAMENTOS!A2761="","",ORCAMENTOS!A2761)</f>
        <v>46111</v>
      </c>
      <c r="B2753" s="46">
        <f>IF(ORCAMENTOS!B2761="","",ORCAMENTOS!B2761)</f>
        <v>576</v>
      </c>
      <c r="C2753" s="46" t="str">
        <f>IF(ORCAMENTOS!C2761="","",ORCAMENTOS!C2761)</f>
        <v/>
      </c>
      <c r="D2753" s="37" t="str">
        <f>IF(ORCAMENTOS!D2761="","",ORCAMENTOS!D2761)</f>
        <v>CRIOVAC</v>
      </c>
      <c r="E2753" s="38" t="str">
        <f>IF(ORCAMENTOS!E2761="","",ORCAMENTOS!E2761)</f>
        <v>Graacc UTA 1SS (Cozinha)</v>
      </c>
      <c r="F2753" s="37" t="str">
        <f>IF(ORCAMENTOS!G2761="","",ORCAMENTOS!G2761)</f>
        <v>Emanuel</v>
      </c>
      <c r="G2753" s="37" t="str">
        <f>IF(ORCAMENTOS!H2761="","",ORCAMENTOS!H2761)</f>
        <v>Karen</v>
      </c>
      <c r="H2753" s="39">
        <f>IF(ORCAMENTOS!I2761="","",ORCAMENTOS!I2761)</f>
        <v>2528.88</v>
      </c>
      <c r="I2753" s="60">
        <f>IF(ORCAMENTOS!J2761="","",ORCAMENTOS!J2761)</f>
        <v>7.0000000000000007E-2</v>
      </c>
      <c r="J2753" s="40" t="str">
        <f>IF(ORCAMENTOS!L2761="","",ORCAMENTOS!L2761)</f>
        <v>FECHADO</v>
      </c>
      <c r="K2753" s="34" t="str">
        <f>IF(ORCAMENTOS!M2761="","",ORCAMENTOS!M2761)</f>
        <v>-</v>
      </c>
      <c r="L2753" t="str">
        <f>IF(ORCAMENTOS!R2761="","",ORCAMENTOS!R2761)</f>
        <v>-</v>
      </c>
    </row>
    <row r="2754" spans="1:12" ht="15.75" hidden="1" customHeight="1" x14ac:dyDescent="0.25">
      <c r="A2754" s="36">
        <f>IF(ORCAMENTOS!A2762="","",ORCAMENTOS!A2762)</f>
        <v>46111</v>
      </c>
      <c r="B2754" s="46">
        <f>IF(ORCAMENTOS!B2762="","",ORCAMENTOS!B2762)</f>
        <v>577</v>
      </c>
      <c r="C2754" s="46" t="str">
        <f>IF(ORCAMENTOS!C2762="","",ORCAMENTOS!C2762)</f>
        <v>R1</v>
      </c>
      <c r="D2754" s="37" t="str">
        <f>IF(ORCAMENTOS!D2762="","",ORCAMENTOS!D2762)</f>
        <v>INOVECTOR</v>
      </c>
      <c r="E2754" s="38" t="str">
        <f>IF(ORCAMENTOS!E2762="","",ORCAMENTOS!E2762)</f>
        <v>25/094</v>
      </c>
      <c r="F2754" s="37" t="str">
        <f>IF(ORCAMENTOS!G2762="","",ORCAMENTOS!G2762)</f>
        <v>Fernando</v>
      </c>
      <c r="G2754" s="37" t="str">
        <f>IF(ORCAMENTOS!H2762="","",ORCAMENTOS!H2762)</f>
        <v>Eliete</v>
      </c>
      <c r="H2754" s="39">
        <f>IF(ORCAMENTOS!I2762="","",ORCAMENTOS!I2762)</f>
        <v>72668.81</v>
      </c>
      <c r="I2754" s="60">
        <f>IF(ORCAMENTOS!J2762="","",ORCAMENTOS!J2762)</f>
        <v>0.04</v>
      </c>
      <c r="J2754" s="40" t="str">
        <f>IF(ORCAMENTOS!L2762="","",ORCAMENTOS!L2762)</f>
        <v>FECHADO</v>
      </c>
      <c r="K2754" s="34" t="str">
        <f>IF(ORCAMENTOS!M2762="","",ORCAMENTOS!M2762)</f>
        <v>-</v>
      </c>
      <c r="L2754" t="str">
        <f>IF(ORCAMENTOS!R2762="","",ORCAMENTOS!R2762)</f>
        <v>-</v>
      </c>
    </row>
    <row r="2755" spans="1:12" ht="15.75" hidden="1" customHeight="1" x14ac:dyDescent="0.25">
      <c r="A2755" s="36">
        <f>IF(ORCAMENTOS!A2763="","",ORCAMENTOS!A2763)</f>
        <v>46111</v>
      </c>
      <c r="B2755" s="46">
        <f>IF(ORCAMENTOS!B2763="","",ORCAMENTOS!B2763)</f>
        <v>578</v>
      </c>
      <c r="C2755" s="46" t="str">
        <f>IF(ORCAMENTOS!C2763="","",ORCAMENTOS!C2763)</f>
        <v/>
      </c>
      <c r="D2755" s="37" t="str">
        <f>IF(ORCAMENTOS!D2763="","",ORCAMENTOS!D2763)</f>
        <v>ABREU &amp; CARVALHO</v>
      </c>
      <c r="E2755" s="38" t="str">
        <f>IF(ORCAMENTOS!E2763="","",ORCAMENTOS!E2763)</f>
        <v>HOSPITAL ORTO - VILA ICARAI - SP</v>
      </c>
      <c r="F2755" s="37" t="str">
        <f>IF(ORCAMENTOS!G2763="","",ORCAMENTOS!G2763)</f>
        <v>Gabriel</v>
      </c>
      <c r="G2755" s="37" t="str">
        <f>IF(ORCAMENTOS!H2763="","",ORCAMENTOS!H2763)</f>
        <v>Thiago</v>
      </c>
      <c r="H2755" s="39">
        <f>IF(ORCAMENTOS!I2763="","",ORCAMENTOS!I2763)</f>
        <v>26528.73</v>
      </c>
      <c r="I2755" s="60">
        <f>IF(ORCAMENTOS!J2763="","",ORCAMENTOS!J2763)</f>
        <v>7.0000000000000007E-2</v>
      </c>
      <c r="J2755" s="40" t="str">
        <f>IF(ORCAMENTOS!L2763="","",ORCAMENTOS!L2763)</f>
        <v>ORCAMENTO</v>
      </c>
      <c r="K2755" s="34" t="str">
        <f>IF(ORCAMENTOS!M2763="","",ORCAMENTOS!M2763)</f>
        <v>-</v>
      </c>
      <c r="L2755" t="str">
        <f>IF(ORCAMENTOS!R2763="","",ORCAMENTOS!R2763)</f>
        <v>ALUPIR</v>
      </c>
    </row>
    <row r="2756" spans="1:12" ht="15.75" hidden="1" customHeight="1" x14ac:dyDescent="0.25">
      <c r="A2756" s="36">
        <f>IF(ORCAMENTOS!A2764="","",ORCAMENTOS!A2764)</f>
        <v>46112</v>
      </c>
      <c r="B2756" s="46">
        <f>IF(ORCAMENTOS!B2764="","",ORCAMENTOS!B2764)</f>
        <v>579</v>
      </c>
      <c r="C2756" s="46" t="str">
        <f>IF(ORCAMENTOS!C2764="","",ORCAMENTOS!C2764)</f>
        <v>R1</v>
      </c>
      <c r="D2756" s="37" t="str">
        <f>IF(ORCAMENTOS!D2764="","",ORCAMENTOS!D2764)</f>
        <v>COLDTERMICA</v>
      </c>
      <c r="E2756" s="38" t="str">
        <f>IF(ORCAMENTOS!E2764="","",ORCAMENTOS!E2764)</f>
        <v>RENNER BARRA DO GARCA MT</v>
      </c>
      <c r="F2756" s="37" t="str">
        <f>IF(ORCAMENTOS!G2764="","",ORCAMENTOS!G2764)</f>
        <v>Gabriel</v>
      </c>
      <c r="G2756" s="37" t="str">
        <f>IF(ORCAMENTOS!H2764="","",ORCAMENTOS!H2764)</f>
        <v>Denis</v>
      </c>
      <c r="H2756" s="39">
        <f>IF(ORCAMENTOS!I2764="","",ORCAMENTOS!I2764)</f>
        <v>54835.8</v>
      </c>
      <c r="I2756" s="60">
        <f>IF(ORCAMENTOS!J2764="","",ORCAMENTOS!J2764)</f>
        <v>7.0000000000000007E-2</v>
      </c>
      <c r="J2756" s="40" t="str">
        <f>IF(ORCAMENTOS!L2764="","",ORCAMENTOS!L2764)</f>
        <v>PERDIDO</v>
      </c>
      <c r="K2756" s="34" t="str">
        <f>IF(ORCAMENTOS!M2764="","",ORCAMENTOS!M2764)</f>
        <v>MULTIVAC - PREÇO</v>
      </c>
      <c r="L2756" t="str">
        <f>IF(ORCAMENTOS!R2764="","",ORCAMENTOS!R2764)</f>
        <v>-</v>
      </c>
    </row>
    <row r="2757" spans="1:12" ht="15.75" hidden="1" customHeight="1" x14ac:dyDescent="0.25">
      <c r="A2757" s="36">
        <f>IF(ORCAMENTOS!A2765="","",ORCAMENTOS!A2765)</f>
        <v>46112</v>
      </c>
      <c r="B2757" s="46">
        <f>IF(ORCAMENTOS!B2765="","",ORCAMENTOS!B2765)</f>
        <v>580</v>
      </c>
      <c r="C2757" s="46" t="str">
        <f>IF(ORCAMENTOS!C2765="","",ORCAMENTOS!C2765)</f>
        <v/>
      </c>
      <c r="D2757" s="37" t="str">
        <f>IF(ORCAMENTOS!D2765="","",ORCAMENTOS!D2765)</f>
        <v>NOSSO AR</v>
      </c>
      <c r="E2757" s="38" t="str">
        <f>IF(ORCAMENTOS!E2765="","",ORCAMENTOS!E2765)</f>
        <v>SONDA SUPERMERCADOS - TAIPAS - SP</v>
      </c>
      <c r="F2757" s="37" t="str">
        <f>IF(ORCAMENTOS!G2765="","",ORCAMENTOS!G2765)</f>
        <v>Gabriel</v>
      </c>
      <c r="G2757" s="37" t="str">
        <f>IF(ORCAMENTOS!H2765="","",ORCAMENTOS!H2765)</f>
        <v>Lenah</v>
      </c>
      <c r="H2757" s="39">
        <f>IF(ORCAMENTOS!I2765="","",ORCAMENTOS!I2765)</f>
        <v>228734.74</v>
      </c>
      <c r="I2757" s="60">
        <f>IF(ORCAMENTOS!J2765="","",ORCAMENTOS!J2765)</f>
        <v>7.0000000000000007E-2</v>
      </c>
      <c r="J2757" s="40" t="str">
        <f>IF(ORCAMENTOS!L2765="","",ORCAMENTOS!L2765)</f>
        <v>ORCAMENTO</v>
      </c>
      <c r="K2757" s="34" t="str">
        <f>IF(ORCAMENTOS!M2765="","",ORCAMENTOS!M2765)</f>
        <v>-</v>
      </c>
      <c r="L2757" t="str">
        <f>IF(ORCAMENTOS!R2765="","",ORCAMENTOS!R2765)</f>
        <v>-</v>
      </c>
    </row>
    <row r="2758" spans="1:12" ht="15.75" hidden="1" customHeight="1" x14ac:dyDescent="0.25">
      <c r="A2758" s="36">
        <f>IF(ORCAMENTOS!A2766="","",ORCAMENTOS!A2766)</f>
        <v>46112</v>
      </c>
      <c r="B2758" s="46">
        <f>IF(ORCAMENTOS!B2766="","",ORCAMENTOS!B2766)</f>
        <v>581</v>
      </c>
      <c r="C2758" s="46" t="str">
        <f>IF(ORCAMENTOS!C2766="","",ORCAMENTOS!C2766)</f>
        <v/>
      </c>
      <c r="D2758" s="37" t="str">
        <f>IF(ORCAMENTOS!D2766="","",ORCAMENTOS!D2766)</f>
        <v>REWELL</v>
      </c>
      <c r="E2758" s="38" t="str">
        <f>IF(ORCAMENTOS!E2766="","",ORCAMENTOS!E2766)</f>
        <v>-</v>
      </c>
      <c r="F2758" s="37" t="str">
        <f>IF(ORCAMENTOS!G2766="","",ORCAMENTOS!G2766)</f>
        <v>Gabriel</v>
      </c>
      <c r="G2758" s="37" t="str">
        <f>IF(ORCAMENTOS!H2766="","",ORCAMENTOS!H2766)</f>
        <v>Rewell</v>
      </c>
      <c r="H2758" s="39">
        <f>IF(ORCAMENTOS!I2766="","",ORCAMENTOS!I2766)</f>
        <v>2475.11</v>
      </c>
      <c r="I2758" s="60">
        <f>IF(ORCAMENTOS!J2766="","",ORCAMENTOS!J2766)</f>
        <v>7.0000000000000007E-2</v>
      </c>
      <c r="J2758" s="40" t="str">
        <f>IF(ORCAMENTOS!L2766="","",ORCAMENTOS!L2766)</f>
        <v>ORCAMENTO</v>
      </c>
      <c r="K2758" s="34" t="str">
        <f>IF(ORCAMENTOS!M2766="","",ORCAMENTOS!M2766)</f>
        <v>-</v>
      </c>
      <c r="L2758" t="str">
        <f>IF(ORCAMENTOS!R2766="","",ORCAMENTOS!R2766)</f>
        <v>-</v>
      </c>
    </row>
    <row r="2759" spans="1:12" ht="15.75" hidden="1" customHeight="1" x14ac:dyDescent="0.25">
      <c r="A2759" s="36">
        <f>IF(ORCAMENTOS!A2767="","",ORCAMENTOS!A2767)</f>
        <v>46112</v>
      </c>
      <c r="B2759" s="46">
        <f>IF(ORCAMENTOS!B2767="","",ORCAMENTOS!B2767)</f>
        <v>582</v>
      </c>
      <c r="C2759" s="46" t="str">
        <f>IF(ORCAMENTOS!C2767="","",ORCAMENTOS!C2767)</f>
        <v/>
      </c>
      <c r="D2759" s="37" t="str">
        <f>IF(ORCAMENTOS!D2767="","",ORCAMENTOS!D2767)</f>
        <v>NOSSO AR</v>
      </c>
      <c r="E2759" s="38" t="str">
        <f>IF(ORCAMENTOS!E2767="","",ORCAMENTOS!E2767)</f>
        <v>PAGUE MENOS - CD PARAÍBA</v>
      </c>
      <c r="F2759" s="37" t="str">
        <f>IF(ORCAMENTOS!G2767="","",ORCAMENTOS!G2767)</f>
        <v>Gabriel</v>
      </c>
      <c r="G2759" s="37" t="str">
        <f>IF(ORCAMENTOS!H2767="","",ORCAMENTOS!H2767)</f>
        <v>Yasmin</v>
      </c>
      <c r="H2759" s="39">
        <f>IF(ORCAMENTOS!I2767="","",ORCAMENTOS!I2767)</f>
        <v>24463.49</v>
      </c>
      <c r="I2759" s="60">
        <f>IF(ORCAMENTOS!J2767="","",ORCAMENTOS!J2767)</f>
        <v>7.0000000000000007E-2</v>
      </c>
      <c r="J2759" s="40" t="str">
        <f>IF(ORCAMENTOS!L2767="","",ORCAMENTOS!L2767)</f>
        <v>ORCAMENTO</v>
      </c>
      <c r="K2759" s="34" t="str">
        <f>IF(ORCAMENTOS!M2767="","",ORCAMENTOS!M2767)</f>
        <v>-</v>
      </c>
      <c r="L2759" t="str">
        <f>IF(ORCAMENTOS!R2767="","",ORCAMENTOS!R2767)</f>
        <v>-</v>
      </c>
    </row>
    <row r="2760" spans="1:12" ht="15.75" hidden="1" customHeight="1" x14ac:dyDescent="0.25">
      <c r="A2760" s="36">
        <f>IF(ORCAMENTOS!A2768="","",ORCAMENTOS!A2768)</f>
        <v>46112</v>
      </c>
      <c r="B2760" s="46">
        <f>IF(ORCAMENTOS!B2768="","",ORCAMENTOS!B2768)</f>
        <v>583</v>
      </c>
      <c r="C2760" s="46" t="str">
        <f>IF(ORCAMENTOS!C2768="","",ORCAMENTOS!C2768)</f>
        <v/>
      </c>
      <c r="D2760" s="37" t="str">
        <f>IF(ORCAMENTOS!D2768="","",ORCAMENTOS!D2768)</f>
        <v>DUTOMAX</v>
      </c>
      <c r="E2760" s="38" t="str">
        <f>IF(ORCAMENTOS!E2768="","",ORCAMENTOS!E2768)</f>
        <v>EVENTO - CASA CIDADE JARDIM</v>
      </c>
      <c r="F2760" s="37" t="str">
        <f>IF(ORCAMENTOS!G2768="","",ORCAMENTOS!G2768)</f>
        <v>Gabriel</v>
      </c>
      <c r="G2760" s="37" t="str">
        <f>IF(ORCAMENTOS!H2768="","",ORCAMENTOS!H2768)</f>
        <v>Jura</v>
      </c>
      <c r="H2760" s="39">
        <f>IF(ORCAMENTOS!I2768="","",ORCAMENTOS!I2768)</f>
        <v>12142.2</v>
      </c>
      <c r="I2760" s="60">
        <f>IF(ORCAMENTOS!J2768="","",ORCAMENTOS!J2768)</f>
        <v>7.0000000000000007E-2</v>
      </c>
      <c r="J2760" s="40" t="str">
        <f>IF(ORCAMENTOS!L2768="","",ORCAMENTOS!L2768)</f>
        <v>FECHADO</v>
      </c>
      <c r="K2760" s="34" t="str">
        <f>IF(ORCAMENTOS!M2768="","",ORCAMENTOS!M2768)</f>
        <v>-</v>
      </c>
      <c r="L2760" t="str">
        <f>IF(ORCAMENTOS!R2768="","",ORCAMENTOS!R2768)</f>
        <v>-</v>
      </c>
    </row>
    <row r="2761" spans="1:12" ht="15.75" hidden="1" customHeight="1" x14ac:dyDescent="0.25">
      <c r="A2761" s="36">
        <f>IF(ORCAMENTOS!A2769="","",ORCAMENTOS!A2769)</f>
        <v>46112</v>
      </c>
      <c r="B2761" s="46">
        <f>IF(ORCAMENTOS!B2769="","",ORCAMENTOS!B2769)</f>
        <v>584</v>
      </c>
      <c r="C2761" s="46" t="str">
        <f>IF(ORCAMENTOS!C2769="","",ORCAMENTOS!C2769)</f>
        <v/>
      </c>
      <c r="D2761" s="37" t="str">
        <f>IF(ORCAMENTOS!D2769="","",ORCAMENTOS!D2769)</f>
        <v>AWA AR CONDICIONADO</v>
      </c>
      <c r="E2761" s="38" t="str">
        <f>IF(ORCAMENTOS!E2769="","",ORCAMENTOS!E2769)</f>
        <v>RENNER - SH PITAGUARY - MARACANAU - CE</v>
      </c>
      <c r="F2761" s="37" t="str">
        <f>IF(ORCAMENTOS!G2769="","",ORCAMENTOS!G2769)</f>
        <v>Guilherme</v>
      </c>
      <c r="G2761" s="37" t="str">
        <f>IF(ORCAMENTOS!H2769="","",ORCAMENTOS!H2769)</f>
        <v>Guilherme</v>
      </c>
      <c r="H2761" s="39">
        <f>IF(ORCAMENTOS!I2769="","",ORCAMENTOS!I2769)</f>
        <v>47595.5</v>
      </c>
      <c r="I2761" s="60">
        <f>IF(ORCAMENTOS!J2769="","",ORCAMENTOS!J2769)</f>
        <v>0.05</v>
      </c>
      <c r="J2761" s="40" t="str">
        <f>IF(ORCAMENTOS!L2769="","",ORCAMENTOS!L2769)</f>
        <v>CANCELADO</v>
      </c>
      <c r="K2761" s="34" t="str">
        <f>IF(ORCAMENTOS!M2769="","",ORCAMENTOS!M2769)</f>
        <v>-</v>
      </c>
      <c r="L2761" t="str">
        <f>IF(ORCAMENTOS!R2769="","",ORCAMENTOS!R2769)</f>
        <v>MPU</v>
      </c>
    </row>
    <row r="2762" spans="1:12" ht="15.75" hidden="1" customHeight="1" x14ac:dyDescent="0.25">
      <c r="A2762" s="36">
        <f>IF(ORCAMENTOS!A2770="","",ORCAMENTOS!A2770)</f>
        <v>46112</v>
      </c>
      <c r="B2762" s="46">
        <f>IF(ORCAMENTOS!B2770="","",ORCAMENTOS!B2770)</f>
        <v>585</v>
      </c>
      <c r="C2762" s="46" t="str">
        <f>IF(ORCAMENTOS!C2770="","",ORCAMENTOS!C2770)</f>
        <v/>
      </c>
      <c r="D2762" s="37" t="str">
        <f>IF(ORCAMENTOS!D2770="","",ORCAMENTOS!D2770)</f>
        <v>AWA AR CONDICIONADO</v>
      </c>
      <c r="E2762" s="38" t="str">
        <f>IF(ORCAMENTOS!E2770="","",ORCAMENTOS!E2770)</f>
        <v>VILLEFORT MONTES CLAROS</v>
      </c>
      <c r="F2762" s="37" t="str">
        <f>IF(ORCAMENTOS!G2770="","",ORCAMENTOS!G2770)</f>
        <v>Guilherme</v>
      </c>
      <c r="G2762" s="37" t="str">
        <f>IF(ORCAMENTOS!H2770="","",ORCAMENTOS!H2770)</f>
        <v>Gustavo</v>
      </c>
      <c r="H2762" s="39">
        <f>IF(ORCAMENTOS!I2770="","",ORCAMENTOS!I2770)</f>
        <v>231611.79</v>
      </c>
      <c r="I2762" s="60">
        <f>IF(ORCAMENTOS!J2770="","",ORCAMENTOS!J2770)</f>
        <v>0.03</v>
      </c>
      <c r="J2762" s="40" t="str">
        <f>IF(ORCAMENTOS!L2770="","",ORCAMENTOS!L2770)</f>
        <v>CANCELADO</v>
      </c>
      <c r="K2762" s="34" t="str">
        <f>IF(ORCAMENTOS!M2770="","",ORCAMENTOS!M2770)</f>
        <v>-</v>
      </c>
      <c r="L2762" t="str">
        <f>IF(ORCAMENTOS!R2770="","",ORCAMENTOS!R2770)</f>
        <v>-</v>
      </c>
    </row>
    <row r="2763" spans="1:12" ht="15.75" hidden="1" customHeight="1" x14ac:dyDescent="0.25">
      <c r="A2763" s="36">
        <f>IF(ORCAMENTOS!A2771="","",ORCAMENTOS!A2771)</f>
        <v>46112</v>
      </c>
      <c r="B2763" s="46">
        <f>IF(ORCAMENTOS!B2771="","",ORCAMENTOS!B2771)</f>
        <v>586</v>
      </c>
      <c r="C2763" s="46" t="str">
        <f>IF(ORCAMENTOS!C2771="","",ORCAMENTOS!C2771)</f>
        <v/>
      </c>
      <c r="D2763" s="37" t="str">
        <f>IF(ORCAMENTOS!D2771="","",ORCAMENTOS!D2771)</f>
        <v>NOSSO AR</v>
      </c>
      <c r="E2763" s="38" t="str">
        <f>IF(ORCAMENTOS!E2771="","",ORCAMENTOS!E2771)</f>
        <v>CORTEVA - MOGI MIRIN - SP</v>
      </c>
      <c r="F2763" s="37" t="str">
        <f>IF(ORCAMENTOS!G2771="","",ORCAMENTOS!G2771)</f>
        <v>Gabriel</v>
      </c>
      <c r="G2763" s="37" t="str">
        <f>IF(ORCAMENTOS!H2771="","",ORCAMENTOS!H2771)</f>
        <v>Lenah</v>
      </c>
      <c r="H2763" s="39">
        <f>IF(ORCAMENTOS!I2771="","",ORCAMENTOS!I2771)</f>
        <v>5042.75</v>
      </c>
      <c r="I2763" s="60">
        <f>IF(ORCAMENTOS!J2771="","",ORCAMENTOS!J2771)</f>
        <v>7.0000000000000007E-2</v>
      </c>
      <c r="J2763" s="40" t="str">
        <f>IF(ORCAMENTOS!L2771="","",ORCAMENTOS!L2771)</f>
        <v>ORCAMENTO</v>
      </c>
      <c r="K2763" s="34" t="str">
        <f>IF(ORCAMENTOS!M2771="","",ORCAMENTOS!M2771)</f>
        <v>-</v>
      </c>
      <c r="L2763" t="str">
        <f>IF(ORCAMENTOS!R2771="","",ORCAMENTOS!R2771)</f>
        <v>-</v>
      </c>
    </row>
    <row r="2764" spans="1:12" ht="15.75" hidden="1" customHeight="1" x14ac:dyDescent="0.25">
      <c r="A2764" s="36">
        <f>IF(ORCAMENTOS!A2772="","",ORCAMENTOS!A2772)</f>
        <v>46112</v>
      </c>
      <c r="B2764" s="46">
        <f>IF(ORCAMENTOS!B2772="","",ORCAMENTOS!B2772)</f>
        <v>587</v>
      </c>
      <c r="C2764" s="46" t="str">
        <f>IF(ORCAMENTOS!C2772="","",ORCAMENTOS!C2772)</f>
        <v/>
      </c>
      <c r="D2764" s="37" t="str">
        <f>IF(ORCAMENTOS!D2772="","",ORCAMENTOS!D2772)</f>
        <v>SO AR CLIMATIZACAO</v>
      </c>
      <c r="E2764" s="38" t="str">
        <f>IF(ORCAMENTOS!E2772="","",ORCAMENTOS!E2772)</f>
        <v>-</v>
      </c>
      <c r="F2764" s="37" t="str">
        <f>IF(ORCAMENTOS!G2772="","",ORCAMENTOS!G2772)</f>
        <v>Gabriel</v>
      </c>
      <c r="G2764" s="37" t="str">
        <f>IF(ORCAMENTOS!H2772="","",ORCAMENTOS!H2772)</f>
        <v>Gabriel</v>
      </c>
      <c r="H2764" s="39">
        <f>IF(ORCAMENTOS!I2772="","",ORCAMENTOS!I2772)</f>
        <v>7954.54</v>
      </c>
      <c r="I2764" s="60">
        <f>IF(ORCAMENTOS!J2772="","",ORCAMENTOS!J2772)</f>
        <v>0.06</v>
      </c>
      <c r="J2764" s="40" t="str">
        <f>IF(ORCAMENTOS!L2772="","",ORCAMENTOS!L2772)</f>
        <v>ORCAMENTO</v>
      </c>
      <c r="K2764" s="34" t="str">
        <f>IF(ORCAMENTOS!M2772="","",ORCAMENTOS!M2772)</f>
        <v>-</v>
      </c>
      <c r="L2764" t="str">
        <f>IF(ORCAMENTOS!R2772="","",ORCAMENTOS!R2772)</f>
        <v>-</v>
      </c>
    </row>
    <row r="2765" spans="1:12" ht="15.75" hidden="1" customHeight="1" x14ac:dyDescent="0.25">
      <c r="A2765" s="36">
        <f>IF(ORCAMENTOS!A2773="","",ORCAMENTOS!A2773)</f>
        <v>46112</v>
      </c>
      <c r="B2765" s="46">
        <f>IF(ORCAMENTOS!B2773="","",ORCAMENTOS!B2773)</f>
        <v>588</v>
      </c>
      <c r="C2765" s="46" t="str">
        <f>IF(ORCAMENTOS!C2773="","",ORCAMENTOS!C2773)</f>
        <v/>
      </c>
      <c r="D2765" s="37" t="str">
        <f>IF(ORCAMENTOS!D2773="","",ORCAMENTOS!D2773)</f>
        <v>NP CLIMATIZAÇÃO</v>
      </c>
      <c r="E2765" s="38" t="str">
        <f>IF(ORCAMENTOS!E2773="","",ORCAMENTOS!E2773)</f>
        <v>HILEIA CARLOS</v>
      </c>
      <c r="F2765" s="37" t="str">
        <f>IF(ORCAMENTOS!G2773="","",ORCAMENTOS!G2773)</f>
        <v>Guilherme</v>
      </c>
      <c r="G2765" s="37" t="str">
        <f>IF(ORCAMENTOS!H2773="","",ORCAMENTOS!H2773)</f>
        <v>Maria</v>
      </c>
      <c r="H2765" s="39">
        <f>IF(ORCAMENTOS!I2773="","",ORCAMENTOS!I2773)</f>
        <v>4179.63</v>
      </c>
      <c r="I2765" s="60">
        <f>IF(ORCAMENTOS!J2773="","",ORCAMENTOS!J2773)</f>
        <v>7.0000000000000007E-2</v>
      </c>
      <c r="J2765" s="40" t="str">
        <f>IF(ORCAMENTOS!L2773="","",ORCAMENTOS!L2773)</f>
        <v>ORCAMENTO</v>
      </c>
      <c r="K2765" s="34" t="str">
        <f>IF(ORCAMENTOS!M2773="","",ORCAMENTOS!M2773)</f>
        <v>GRANDES CHANCES DE FECHAR / CONC. INSTALADOR</v>
      </c>
      <c r="L2765" t="str">
        <f>IF(ORCAMENTOS!R2773="","",ORCAMENTOS!R2773)</f>
        <v>-</v>
      </c>
    </row>
    <row r="2766" spans="1:12" ht="15.75" hidden="1" customHeight="1" x14ac:dyDescent="0.25">
      <c r="A2766" s="36">
        <f>IF(ORCAMENTOS!A2774="","",ORCAMENTOS!A2774)</f>
        <v>46112</v>
      </c>
      <c r="B2766" s="46">
        <f>IF(ORCAMENTOS!B2774="","",ORCAMENTOS!B2774)</f>
        <v>589</v>
      </c>
      <c r="C2766" s="46" t="str">
        <f>IF(ORCAMENTOS!C2774="","",ORCAMENTOS!C2774)</f>
        <v/>
      </c>
      <c r="D2766" s="37" t="str">
        <f>IF(ORCAMENTOS!D2774="","",ORCAMENTOS!D2774)</f>
        <v>NP CLIMATIZAÇÃO</v>
      </c>
      <c r="E2766" s="38" t="str">
        <f>IF(ORCAMENTOS!E2774="","",ORCAMENTOS!E2774)</f>
        <v>AC - ROBERTO</v>
      </c>
      <c r="F2766" s="37" t="str">
        <f>IF(ORCAMENTOS!G2774="","",ORCAMENTOS!G2774)</f>
        <v>Guilherme</v>
      </c>
      <c r="G2766" s="37" t="str">
        <f>IF(ORCAMENTOS!H2774="","",ORCAMENTOS!H2774)</f>
        <v>Maria</v>
      </c>
      <c r="H2766" s="39">
        <f>IF(ORCAMENTOS!I2774="","",ORCAMENTOS!I2774)</f>
        <v>3833.99</v>
      </c>
      <c r="I2766" s="60">
        <f>IF(ORCAMENTOS!J2774="","",ORCAMENTOS!J2774)</f>
        <v>7.0000000000000007E-2</v>
      </c>
      <c r="J2766" s="40" t="str">
        <f>IF(ORCAMENTOS!L2774="","",ORCAMENTOS!L2774)</f>
        <v>CANCELADO</v>
      </c>
      <c r="K2766" s="34" t="str">
        <f>IF(ORCAMENTOS!M2774="","",ORCAMENTOS!M2774)</f>
        <v>-</v>
      </c>
      <c r="L2766" t="str">
        <f>IF(ORCAMENTOS!R2774="","",ORCAMENTOS!R2774)</f>
        <v>-</v>
      </c>
    </row>
    <row r="2767" spans="1:12" ht="15.75" hidden="1" customHeight="1" x14ac:dyDescent="0.25">
      <c r="A2767" s="36">
        <f>IF(ORCAMENTOS!A2775="","",ORCAMENTOS!A2775)</f>
        <v>46112</v>
      </c>
      <c r="B2767" s="46">
        <f>IF(ORCAMENTOS!B2775="","",ORCAMENTOS!B2775)</f>
        <v>590</v>
      </c>
      <c r="C2767" s="46" t="str">
        <f>IF(ORCAMENTOS!C2775="","",ORCAMENTOS!C2775)</f>
        <v/>
      </c>
      <c r="D2767" s="37" t="str">
        <f>IF(ORCAMENTOS!D2775="","",ORCAMENTOS!D2775)</f>
        <v>KONAR</v>
      </c>
      <c r="E2767" s="38" t="str">
        <f>IF(ORCAMENTOS!E2775="","",ORCAMENTOS!E2775)</f>
        <v>EBM – GW - FUNDO C25 - 003-26 - Retrofit ED. BRASÍLIO</v>
      </c>
      <c r="F2767" s="37" t="str">
        <f>IF(ORCAMENTOS!G2775="","",ORCAMENTOS!G2775)</f>
        <v>Michel</v>
      </c>
      <c r="G2767" s="37" t="str">
        <f>IF(ORCAMENTOS!H2775="","",ORCAMENTOS!H2775)</f>
        <v>Pedro</v>
      </c>
      <c r="H2767" s="39">
        <f>IF(ORCAMENTOS!I2775="","",ORCAMENTOS!I2775)</f>
        <v>14547.12</v>
      </c>
      <c r="I2767" s="60">
        <f>IF(ORCAMENTOS!J2775="","",ORCAMENTOS!J2775)</f>
        <v>0.03</v>
      </c>
      <c r="J2767" s="40" t="str">
        <f>IF(ORCAMENTOS!L2775="","",ORCAMENTOS!L2775)</f>
        <v>FECHADO</v>
      </c>
      <c r="K2767" s="34" t="str">
        <f>IF(ORCAMENTOS!M2775="","",ORCAMENTOS!M2775)</f>
        <v>-</v>
      </c>
      <c r="L2767" t="str">
        <f>IF(ORCAMENTOS!R2775="","",ORCAMENTOS!R2775)</f>
        <v>-</v>
      </c>
    </row>
    <row r="2768" spans="1:12" ht="15.75" hidden="1" customHeight="1" x14ac:dyDescent="0.25">
      <c r="A2768" s="36">
        <f>IF(ORCAMENTOS!A2776="","",ORCAMENTOS!A2776)</f>
        <v>46112</v>
      </c>
      <c r="B2768" s="46">
        <f>IF(ORCAMENTOS!B2776="","",ORCAMENTOS!B2776)</f>
        <v>591</v>
      </c>
      <c r="C2768" s="46" t="str">
        <f>IF(ORCAMENTOS!C2776="","",ORCAMENTOS!C2776)</f>
        <v/>
      </c>
      <c r="D2768" s="37" t="str">
        <f>IF(ORCAMENTOS!D2776="","",ORCAMENTOS!D2776)</f>
        <v>ENERLAB</v>
      </c>
      <c r="E2768" s="38" t="str">
        <f>IF(ORCAMENTOS!E2776="","",ORCAMENTOS!E2776)</f>
        <v>SHOPPING CENTER PENHA</v>
      </c>
      <c r="F2768" s="37" t="str">
        <f>IF(ORCAMENTOS!G2776="","",ORCAMENTOS!G2776)</f>
        <v>Gabriel</v>
      </c>
      <c r="G2768" s="37" t="str">
        <f>IF(ORCAMENTOS!H2776="","",ORCAMENTOS!H2776)</f>
        <v>Erik</v>
      </c>
      <c r="H2768" s="39">
        <f>IF(ORCAMENTOS!I2776="","",ORCAMENTOS!I2776)</f>
        <v>23749.09</v>
      </c>
      <c r="I2768" s="60">
        <f>IF(ORCAMENTOS!J2776="","",ORCAMENTOS!J2776)</f>
        <v>7.0000000000000007E-2</v>
      </c>
      <c r="J2768" s="40" t="str">
        <f>IF(ORCAMENTOS!L2776="","",ORCAMENTOS!L2776)</f>
        <v>COMPRA</v>
      </c>
      <c r="K2768" s="34" t="str">
        <f>IF(ORCAMENTOS!M2776="","",ORCAMENTOS!M2776)</f>
        <v>PREV ABRIL</v>
      </c>
      <c r="L2768" t="str">
        <f>IF(ORCAMENTOS!R2776="","",ORCAMENTOS!R2776)</f>
        <v>-</v>
      </c>
    </row>
    <row r="2769" spans="1:12" ht="15.75" hidden="1" customHeight="1" x14ac:dyDescent="0.25">
      <c r="A2769" s="36">
        <f>IF(ORCAMENTOS!A2777="","",ORCAMENTOS!A2777)</f>
        <v>46112</v>
      </c>
      <c r="B2769" s="46">
        <f>IF(ORCAMENTOS!B2777="","",ORCAMENTOS!B2777)</f>
        <v>592</v>
      </c>
      <c r="C2769" s="46" t="str">
        <f>IF(ORCAMENTOS!C2777="","",ORCAMENTOS!C2777)</f>
        <v/>
      </c>
      <c r="D2769" s="37" t="str">
        <f>IF(ORCAMENTOS!D2777="","",ORCAMENTOS!D2777)</f>
        <v>AMB ENGNEHARIA</v>
      </c>
      <c r="E2769" s="38" t="str">
        <f>IF(ORCAMENTOS!E2777="","",ORCAMENTOS!E2777)</f>
        <v>IGREJA - SAO SEBASTIAO</v>
      </c>
      <c r="F2769" s="37" t="str">
        <f>IF(ORCAMENTOS!G2777="","",ORCAMENTOS!G2777)</f>
        <v>Gabriel</v>
      </c>
      <c r="G2769" s="37" t="str">
        <f>IF(ORCAMENTOS!H2777="","",ORCAMENTOS!H2777)</f>
        <v>Paulo</v>
      </c>
      <c r="H2769" s="39">
        <f>IF(ORCAMENTOS!I2777="","",ORCAMENTOS!I2777)</f>
        <v>35300.92</v>
      </c>
      <c r="I2769" s="60">
        <f>IF(ORCAMENTOS!J2777="","",ORCAMENTOS!J2777)</f>
        <v>7.0000000000000007E-2</v>
      </c>
      <c r="J2769" s="40" t="str">
        <f>IF(ORCAMENTOS!L2777="","",ORCAMENTOS!L2777)</f>
        <v>ORCAMENTO</v>
      </c>
      <c r="K2769" s="34" t="str">
        <f>IF(ORCAMENTOS!M2777="","",ORCAMENTOS!M2777)</f>
        <v>-</v>
      </c>
      <c r="L2769" t="str">
        <f>IF(ORCAMENTOS!R2777="","",ORCAMENTOS!R2777)</f>
        <v>-</v>
      </c>
    </row>
    <row r="2770" spans="1:12" ht="15.75" hidden="1" customHeight="1" x14ac:dyDescent="0.25">
      <c r="A2770" s="36">
        <f>IF(ORCAMENTOS!A2778="","",ORCAMENTOS!A2778)</f>
        <v>46112</v>
      </c>
      <c r="B2770" s="46">
        <f>IF(ORCAMENTOS!B2778="","",ORCAMENTOS!B2778)</f>
        <v>593</v>
      </c>
      <c r="C2770" s="46" t="str">
        <f>IF(ORCAMENTOS!C2778="","",ORCAMENTOS!C2778)</f>
        <v/>
      </c>
      <c r="D2770" s="37" t="str">
        <f>IF(ORCAMENTOS!D2778="","",ORCAMENTOS!D2778)</f>
        <v>AWA AR CONDICIONADO</v>
      </c>
      <c r="E2770" s="38" t="str">
        <f>IF(ORCAMENTOS!E2778="","",ORCAMENTOS!E2778)</f>
        <v>RENNER - UBERLANDIA - MG</v>
      </c>
      <c r="F2770" s="37" t="str">
        <f>IF(ORCAMENTOS!G2778="","",ORCAMENTOS!G2778)</f>
        <v>Guilherme</v>
      </c>
      <c r="G2770" s="37" t="str">
        <f>IF(ORCAMENTOS!H2778="","",ORCAMENTOS!H2778)</f>
        <v>Paula</v>
      </c>
      <c r="H2770" s="39">
        <f>IF(ORCAMENTOS!I2778="","",ORCAMENTOS!I2778)</f>
        <v>49021.25</v>
      </c>
      <c r="I2770" s="60">
        <f>IF(ORCAMENTOS!J2778="","",ORCAMENTOS!J2778)</f>
        <v>0.05</v>
      </c>
      <c r="J2770" s="40" t="str">
        <f>IF(ORCAMENTOS!L2778="","",ORCAMENTOS!L2778)</f>
        <v>ORCAMENTO</v>
      </c>
      <c r="K2770" s="34" t="str">
        <f>IF(ORCAMENTOS!M2778="","",ORCAMENTOS!M2778)</f>
        <v>GRANDES CHANCES DE FECHAR</v>
      </c>
      <c r="L2770" t="str">
        <f>IF(ORCAMENTOS!R2778="","",ORCAMENTOS!R2778)</f>
        <v>MPU</v>
      </c>
    </row>
    <row r="2771" spans="1:12" ht="15.75" hidden="1" customHeight="1" x14ac:dyDescent="0.25">
      <c r="A2771" s="36">
        <f>IF(ORCAMENTOS!A2779="","",ORCAMENTOS!A2779)</f>
        <v>46113</v>
      </c>
      <c r="B2771" s="46">
        <f>IF(ORCAMENTOS!B2779="","",ORCAMENTOS!B2779)</f>
        <v>594</v>
      </c>
      <c r="C2771" s="46" t="str">
        <f>IF(ORCAMENTOS!C2779="","",ORCAMENTOS!C2779)</f>
        <v/>
      </c>
      <c r="D2771" s="37" t="str">
        <f>IF(ORCAMENTOS!D2779="","",ORCAMENTOS!D2779)</f>
        <v>BEST CLIMA</v>
      </c>
      <c r="E2771" s="38" t="str">
        <f>IF(ORCAMENTOS!E2779="","",ORCAMENTOS!E2779)</f>
        <v>USIMINAS CUBATÃO</v>
      </c>
      <c r="F2771" s="37" t="str">
        <f>IF(ORCAMENTOS!G2779="","",ORCAMENTOS!G2779)</f>
        <v xml:space="preserve">Aldavir </v>
      </c>
      <c r="G2771" s="37" t="str">
        <f>IF(ORCAMENTOS!H2779="","",ORCAMENTOS!H2779)</f>
        <v>Arion</v>
      </c>
      <c r="H2771" s="39">
        <f>IF(ORCAMENTOS!I2779="","",ORCAMENTOS!I2779)</f>
        <v>15303.41</v>
      </c>
      <c r="I2771" s="60">
        <f>IF(ORCAMENTOS!J2779="","",ORCAMENTOS!J2779)</f>
        <v>0.04</v>
      </c>
      <c r="J2771" s="40" t="str">
        <f>IF(ORCAMENTOS!L2779="","",ORCAMENTOS!L2779)</f>
        <v>FECHADO</v>
      </c>
      <c r="K2771" s="34" t="str">
        <f>IF(ORCAMENTOS!M2779="","",ORCAMENTOS!M2779)</f>
        <v>AGUARDANDO PEDIDO</v>
      </c>
      <c r="L2771" t="str">
        <f>IF(ORCAMENTOS!R2779="","",ORCAMENTOS!R2779)</f>
        <v>-</v>
      </c>
    </row>
    <row r="2772" spans="1:12" ht="15.75" hidden="1" customHeight="1" x14ac:dyDescent="0.25">
      <c r="A2772" s="36">
        <f>IF(ORCAMENTOS!A2780="","",ORCAMENTOS!A2780)</f>
        <v>46113</v>
      </c>
      <c r="B2772" s="46">
        <f>IF(ORCAMENTOS!B2780="","",ORCAMENTOS!B2780)</f>
        <v>595</v>
      </c>
      <c r="C2772" s="46" t="str">
        <f>IF(ORCAMENTOS!C2780="","",ORCAMENTOS!C2780)</f>
        <v/>
      </c>
      <c r="D2772" s="37" t="str">
        <f>IF(ORCAMENTOS!D2780="","",ORCAMENTOS!D2780)</f>
        <v>INOVECTOR</v>
      </c>
      <c r="E2772" s="38" t="str">
        <f>IF(ORCAMENTOS!E2780="","",ORCAMENTOS!E2780)</f>
        <v>BP - 1ºPAV</v>
      </c>
      <c r="F2772" s="37" t="str">
        <f>IF(ORCAMENTOS!G2780="","",ORCAMENTOS!G2780)</f>
        <v>Fernando</v>
      </c>
      <c r="G2772" s="37" t="str">
        <f>IF(ORCAMENTOS!H2780="","",ORCAMENTOS!H2780)</f>
        <v>Cristina</v>
      </c>
      <c r="H2772" s="39">
        <f>IF(ORCAMENTOS!I2780="","",ORCAMENTOS!I2780)</f>
        <v>47534.080000000002</v>
      </c>
      <c r="I2772" s="60">
        <f>IF(ORCAMENTOS!J2780="","",ORCAMENTOS!J2780)</f>
        <v>7.0000000000000007E-2</v>
      </c>
      <c r="J2772" s="40" t="str">
        <f>IF(ORCAMENTOS!L2780="","",ORCAMENTOS!L2780)</f>
        <v>FECHADO</v>
      </c>
      <c r="K2772" s="34" t="str">
        <f>IF(ORCAMENTOS!M2780="","",ORCAMENTOS!M2780)</f>
        <v>-</v>
      </c>
      <c r="L2772" t="str">
        <f>IF(ORCAMENTOS!R2780="","",ORCAMENTOS!R2780)</f>
        <v>-</v>
      </c>
    </row>
    <row r="2773" spans="1:12" ht="15.75" hidden="1" customHeight="1" x14ac:dyDescent="0.25">
      <c r="A2773" s="36">
        <f>IF(ORCAMENTOS!A2781="","",ORCAMENTOS!A2781)</f>
        <v>46113</v>
      </c>
      <c r="B2773" s="46">
        <f>IF(ORCAMENTOS!B2781="","",ORCAMENTOS!B2781)</f>
        <v>596</v>
      </c>
      <c r="C2773" s="46" t="str">
        <f>IF(ORCAMENTOS!C2781="","",ORCAMENTOS!C2781)</f>
        <v/>
      </c>
      <c r="D2773" s="37" t="str">
        <f>IF(ORCAMENTOS!D2781="","",ORCAMENTOS!D2781)</f>
        <v>NZA ENGENHARIA</v>
      </c>
      <c r="E2773" s="38" t="str">
        <f>IF(ORCAMENTOS!E2781="","",ORCAMENTOS!E2781)</f>
        <v>-</v>
      </c>
      <c r="F2773" s="37" t="str">
        <f>IF(ORCAMENTOS!G2781="","",ORCAMENTOS!G2781)</f>
        <v>Gabriel</v>
      </c>
      <c r="G2773" s="37" t="str">
        <f>IF(ORCAMENTOS!H2781="","",ORCAMENTOS!H2781)</f>
        <v>Arlete</v>
      </c>
      <c r="H2773" s="39">
        <f>IF(ORCAMENTOS!I2781="","",ORCAMENTOS!I2781)</f>
        <v>3451.14</v>
      </c>
      <c r="I2773" s="60">
        <f>IF(ORCAMENTOS!J2781="","",ORCAMENTOS!J2781)</f>
        <v>7.0000000000000007E-2</v>
      </c>
      <c r="J2773" s="40" t="str">
        <f>IF(ORCAMENTOS!L2781="","",ORCAMENTOS!L2781)</f>
        <v>ORCAMENTO</v>
      </c>
      <c r="K2773" s="34" t="str">
        <f>IF(ORCAMENTOS!M2781="","",ORCAMENTOS!M2781)</f>
        <v>-</v>
      </c>
      <c r="L2773" t="str">
        <f>IF(ORCAMENTOS!R2781="","",ORCAMENTOS!R2781)</f>
        <v>-</v>
      </c>
    </row>
    <row r="2774" spans="1:12" ht="15.75" hidden="1" customHeight="1" x14ac:dyDescent="0.25">
      <c r="A2774" s="36">
        <f>IF(ORCAMENTOS!A2782="","",ORCAMENTOS!A2782)</f>
        <v>46113</v>
      </c>
      <c r="B2774" s="46">
        <f>IF(ORCAMENTOS!B2782="","",ORCAMENTOS!B2782)</f>
        <v>597</v>
      </c>
      <c r="C2774" s="46" t="str">
        <f>IF(ORCAMENTOS!C2782="","",ORCAMENTOS!C2782)</f>
        <v/>
      </c>
      <c r="D2774" s="37" t="str">
        <f>IF(ORCAMENTOS!D2782="","",ORCAMENTOS!D2782)</f>
        <v>NOSSO AR</v>
      </c>
      <c r="E2774" s="38" t="str">
        <f>IF(ORCAMENTOS!E2782="","",ORCAMENTOS!E2782)</f>
        <v>RD SAUDE - PE</v>
      </c>
      <c r="F2774" s="37" t="str">
        <f>IF(ORCAMENTOS!G2782="","",ORCAMENTOS!G2782)</f>
        <v>Gabriel</v>
      </c>
      <c r="G2774" s="37" t="str">
        <f>IF(ORCAMENTOS!H2782="","",ORCAMENTOS!H2782)</f>
        <v>Lenah</v>
      </c>
      <c r="H2774" s="39">
        <f>IF(ORCAMENTOS!I2782="","",ORCAMENTOS!I2782)</f>
        <v>99372.5</v>
      </c>
      <c r="I2774" s="60">
        <f>IF(ORCAMENTOS!J2782="","",ORCAMENTOS!J2782)</f>
        <v>7.0000000000000007E-2</v>
      </c>
      <c r="J2774" s="40" t="str">
        <f>IF(ORCAMENTOS!L2782="","",ORCAMENTOS!L2782)</f>
        <v>ORCAMENTO</v>
      </c>
      <c r="K2774" s="34" t="str">
        <f>IF(ORCAMENTOS!M2782="","",ORCAMENTOS!M2782)</f>
        <v>-</v>
      </c>
      <c r="L2774" t="str">
        <f>IF(ORCAMENTOS!R2782="","",ORCAMENTOS!R2782)</f>
        <v>-</v>
      </c>
    </row>
    <row r="2775" spans="1:12" ht="15.75" hidden="1" customHeight="1" x14ac:dyDescent="0.25">
      <c r="A2775" s="36">
        <f>IF(ORCAMENTOS!A2783="","",ORCAMENTOS!A2783)</f>
        <v>46118</v>
      </c>
      <c r="B2775" s="46">
        <f>IF(ORCAMENTOS!B2783="","",ORCAMENTOS!B2783)</f>
        <v>598</v>
      </c>
      <c r="C2775" s="46" t="str">
        <f>IF(ORCAMENTOS!C2783="","",ORCAMENTOS!C2783)</f>
        <v>R1</v>
      </c>
      <c r="D2775" s="37" t="str">
        <f>IF(ORCAMENTOS!D2783="","",ORCAMENTOS!D2783)</f>
        <v>EBM ENGENHARIA</v>
      </c>
      <c r="E2775" s="38" t="str">
        <f>IF(ORCAMENTOS!E2783="","",ORCAMENTOS!E2783)</f>
        <v>-</v>
      </c>
      <c r="F2775" s="37" t="str">
        <f>IF(ORCAMENTOS!G2783="","",ORCAMENTOS!G2783)</f>
        <v>Emanuel</v>
      </c>
      <c r="G2775" s="37" t="str">
        <f>IF(ORCAMENTOS!H2783="","",ORCAMENTOS!H2783)</f>
        <v>Laelda</v>
      </c>
      <c r="H2775" s="39">
        <f>IF(ORCAMENTOS!I2783="","",ORCAMENTOS!I2783)</f>
        <v>122249.36</v>
      </c>
      <c r="I2775" s="60">
        <f>IF(ORCAMENTOS!J2783="","",ORCAMENTOS!J2783)</f>
        <v>7.0000000000000007E-2</v>
      </c>
      <c r="J2775" s="40" t="str">
        <f>IF(ORCAMENTOS!L2783="","",ORCAMENTOS!L2783)</f>
        <v>ORCAMENTO</v>
      </c>
      <c r="K2775" s="34" t="str">
        <f>IF(ORCAMENTOS!M2783="","",ORCAMENTOS!M2783)</f>
        <v>-</v>
      </c>
      <c r="L2775" t="str">
        <f>IF(ORCAMENTOS!R2783="","",ORCAMENTOS!R2783)</f>
        <v>-</v>
      </c>
    </row>
    <row r="2776" spans="1:12" ht="15.75" hidden="1" customHeight="1" x14ac:dyDescent="0.25">
      <c r="A2776" s="36">
        <f>IF(ORCAMENTOS!A2784="","",ORCAMENTOS!A2784)</f>
        <v>46113</v>
      </c>
      <c r="B2776" s="46">
        <f>IF(ORCAMENTOS!B2784="","",ORCAMENTOS!B2784)</f>
        <v>599</v>
      </c>
      <c r="C2776" s="46" t="str">
        <f>IF(ORCAMENTOS!C2784="","",ORCAMENTOS!C2784)</f>
        <v/>
      </c>
      <c r="D2776" s="37" t="str">
        <f>IF(ORCAMENTOS!D2784="","",ORCAMENTOS!D2784)</f>
        <v>ASF SERVICOS</v>
      </c>
      <c r="E2776" s="38" t="str">
        <f>IF(ORCAMENTOS!E2784="","",ORCAMENTOS!E2784)</f>
        <v>MORUMBI</v>
      </c>
      <c r="F2776" s="37" t="str">
        <f>IF(ORCAMENTOS!G2784="","",ORCAMENTOS!G2784)</f>
        <v>Fernando</v>
      </c>
      <c r="G2776" s="37" t="str">
        <f>IF(ORCAMENTOS!H2784="","",ORCAMENTOS!H2784)</f>
        <v>Ricardo</v>
      </c>
      <c r="H2776" s="39">
        <f>IF(ORCAMENTOS!I2784="","",ORCAMENTOS!I2784)</f>
        <v>13245.53</v>
      </c>
      <c r="I2776" s="60">
        <f>IF(ORCAMENTOS!J2784="","",ORCAMENTOS!J2784)</f>
        <v>0.04</v>
      </c>
      <c r="J2776" s="40" t="str">
        <f>IF(ORCAMENTOS!L2784="","",ORCAMENTOS!L2784)</f>
        <v>CANCELADO</v>
      </c>
      <c r="K2776" s="34" t="str">
        <f>IF(ORCAMENTOS!M2784="","",ORCAMENTOS!M2784)</f>
        <v>-</v>
      </c>
      <c r="L2776" t="str">
        <f>IF(ORCAMENTOS!R2784="","",ORCAMENTOS!R2784)</f>
        <v>-</v>
      </c>
    </row>
    <row r="2777" spans="1:12" ht="15.75" hidden="1" customHeight="1" x14ac:dyDescent="0.25">
      <c r="A2777" s="36">
        <f>IF(ORCAMENTOS!A2785="","",ORCAMENTOS!A2785)</f>
        <v>46113</v>
      </c>
      <c r="B2777" s="46">
        <f>IF(ORCAMENTOS!B2785="","",ORCAMENTOS!B2785)</f>
        <v>600</v>
      </c>
      <c r="C2777" s="46" t="str">
        <f>IF(ORCAMENTOS!C2785="","",ORCAMENTOS!C2785)</f>
        <v/>
      </c>
      <c r="D2777" s="37" t="str">
        <f>IF(ORCAMENTOS!D2785="","",ORCAMENTOS!D2785)</f>
        <v>FANCOLD SERVICE</v>
      </c>
      <c r="E2777" s="38" t="str">
        <f>IF(ORCAMENTOS!E2785="","",ORCAMENTOS!E2785)</f>
        <v>BAUDUCCO EXTREMA</v>
      </c>
      <c r="F2777" s="37" t="str">
        <f>IF(ORCAMENTOS!G2785="","",ORCAMENTOS!G2785)</f>
        <v>Michel</v>
      </c>
      <c r="G2777" s="37" t="str">
        <f>IF(ORCAMENTOS!H2785="","",ORCAMENTOS!H2785)</f>
        <v>Diego</v>
      </c>
      <c r="H2777" s="39">
        <f>IF(ORCAMENTOS!I2785="","",ORCAMENTOS!I2785)</f>
        <v>8680.9</v>
      </c>
      <c r="I2777" s="60">
        <f>IF(ORCAMENTOS!J2785="","",ORCAMENTOS!J2785)</f>
        <v>7.0000000000000007E-2</v>
      </c>
      <c r="J2777" s="40" t="str">
        <f>IF(ORCAMENTOS!L2785="","",ORCAMENTOS!L2785)</f>
        <v>FECHADO</v>
      </c>
      <c r="K2777" s="34" t="str">
        <f>IF(ORCAMENTOS!M2785="","",ORCAMENTOS!M2785)</f>
        <v>-</v>
      </c>
      <c r="L2777" t="str">
        <f>IF(ORCAMENTOS!R2785="","",ORCAMENTOS!R2785)</f>
        <v/>
      </c>
    </row>
    <row r="2778" spans="1:12" ht="15.75" hidden="1" customHeight="1" x14ac:dyDescent="0.25">
      <c r="A2778" s="36">
        <f>IF(ORCAMENTOS!A2786="","",ORCAMENTOS!A2786)</f>
        <v>46113</v>
      </c>
      <c r="B2778" s="46">
        <f>IF(ORCAMENTOS!B2786="","",ORCAMENTOS!B2786)</f>
        <v>601</v>
      </c>
      <c r="C2778" s="46" t="str">
        <f>IF(ORCAMENTOS!C2786="","",ORCAMENTOS!C2786)</f>
        <v/>
      </c>
      <c r="D2778" s="37" t="str">
        <f>IF(ORCAMENTOS!D2786="","",ORCAMENTOS!D2786)</f>
        <v>ASF SERVICOS</v>
      </c>
      <c r="E2778" s="38" t="str">
        <f>IF(ORCAMENTOS!E2786="","",ORCAMENTOS!E2786)</f>
        <v>RD - JABOATAO DOS GUARARAPES</v>
      </c>
      <c r="F2778" s="37" t="str">
        <f>IF(ORCAMENTOS!G2786="","",ORCAMENTOS!G2786)</f>
        <v>Fernando</v>
      </c>
      <c r="G2778" s="37" t="str">
        <f>IF(ORCAMENTOS!H2786="","",ORCAMENTOS!H2786)</f>
        <v>Andre</v>
      </c>
      <c r="H2778" s="39">
        <f>IF(ORCAMENTOS!I2786="","",ORCAMENTOS!I2786)</f>
        <v>85316.52</v>
      </c>
      <c r="I2778" s="60">
        <f>IF(ORCAMENTOS!J2786="","",ORCAMENTOS!J2786)</f>
        <v>0.04</v>
      </c>
      <c r="J2778" s="40" t="str">
        <f>IF(ORCAMENTOS!L2786="","",ORCAMENTOS!L2786)</f>
        <v>CANCELADO</v>
      </c>
      <c r="K2778" s="34" t="str">
        <f>IF(ORCAMENTOS!M2786="","",ORCAMENTOS!M2786)</f>
        <v>-</v>
      </c>
      <c r="L2778" t="str">
        <f>IF(ORCAMENTOS!R2786="","",ORCAMENTOS!R2786)</f>
        <v>-</v>
      </c>
    </row>
    <row r="2779" spans="1:12" ht="15.75" hidden="1" customHeight="1" x14ac:dyDescent="0.25">
      <c r="A2779" s="36">
        <f>IF(ORCAMENTOS!A2787="","",ORCAMENTOS!A2787)</f>
        <v>46113</v>
      </c>
      <c r="B2779" s="46">
        <f>IF(ORCAMENTOS!B2787="","",ORCAMENTOS!B2787)</f>
        <v>602</v>
      </c>
      <c r="C2779" s="46" t="str">
        <f>IF(ORCAMENTOS!C2787="","",ORCAMENTOS!C2787)</f>
        <v/>
      </c>
      <c r="D2779" s="37" t="str">
        <f>IF(ORCAMENTOS!D2787="","",ORCAMENTOS!D2787)</f>
        <v>NP CLIMATIZAÇÃO</v>
      </c>
      <c r="E2779" s="38" t="str">
        <f>IF(ORCAMENTOS!E2787="","",ORCAMENTOS!E2787)</f>
        <v>MARIO CRISTIANE</v>
      </c>
      <c r="F2779" s="37" t="str">
        <f>IF(ORCAMENTOS!G2787="","",ORCAMENTOS!G2787)</f>
        <v>Guilherme</v>
      </c>
      <c r="G2779" s="37" t="str">
        <f>IF(ORCAMENTOS!H2787="","",ORCAMENTOS!H2787)</f>
        <v>Maria</v>
      </c>
      <c r="H2779" s="39">
        <f>IF(ORCAMENTOS!I2787="","",ORCAMENTOS!I2787)</f>
        <v>5266.13</v>
      </c>
      <c r="I2779" s="60">
        <f>IF(ORCAMENTOS!J2787="","",ORCAMENTOS!J2787)</f>
        <v>0.04</v>
      </c>
      <c r="J2779" s="40" t="str">
        <f>IF(ORCAMENTOS!L2787="","",ORCAMENTOS!L2787)</f>
        <v>FECHADO</v>
      </c>
      <c r="K2779" s="34" t="str">
        <f>IF(ORCAMENTOS!M2787="","",ORCAMENTOS!M2787)</f>
        <v>-</v>
      </c>
      <c r="L2779" t="str">
        <f>IF(ORCAMENTOS!R2787="","",ORCAMENTOS!R2787)</f>
        <v>-</v>
      </c>
    </row>
    <row r="2780" spans="1:12" ht="15.75" hidden="1" customHeight="1" x14ac:dyDescent="0.25">
      <c r="A2780" s="36">
        <f>IF(ORCAMENTOS!A2788="","",ORCAMENTOS!A2788)</f>
        <v>46135</v>
      </c>
      <c r="B2780" s="46">
        <f>IF(ORCAMENTOS!B2788="","",ORCAMENTOS!B2788)</f>
        <v>603</v>
      </c>
      <c r="C2780" s="46" t="str">
        <f>IF(ORCAMENTOS!C2788="","",ORCAMENTOS!C2788)</f>
        <v/>
      </c>
      <c r="D2780" s="37" t="str">
        <f>IF(ORCAMENTOS!D2788="","",ORCAMENTOS!D2788)</f>
        <v>FUTURA AR</v>
      </c>
      <c r="E2780" s="38" t="str">
        <f>IF(ORCAMENTOS!E2788="","",ORCAMENTOS!E2788)</f>
        <v>-</v>
      </c>
      <c r="F2780" s="37" t="str">
        <f>IF(ORCAMENTOS!G2788="","",ORCAMENTOS!G2788)</f>
        <v>Emanuel</v>
      </c>
      <c r="G2780" s="37" t="str">
        <f>IF(ORCAMENTOS!H2788="","",ORCAMENTOS!H2788)</f>
        <v>Carlos</v>
      </c>
      <c r="H2780" s="39">
        <f>IF(ORCAMENTOS!I2788="","",ORCAMENTOS!I2788)</f>
        <v>2652.21</v>
      </c>
      <c r="I2780" s="60">
        <f>IF(ORCAMENTOS!J2788="","",ORCAMENTOS!J2788)</f>
        <v>7.0000000000000007E-2</v>
      </c>
      <c r="J2780" s="40" t="str">
        <f>IF(ORCAMENTOS!L2788="","",ORCAMENTOS!L2788)</f>
        <v>PERDIDO</v>
      </c>
      <c r="K2780" s="34" t="str">
        <f>IF(ORCAMENTOS!M2788="","",ORCAMENTOS!M2788)</f>
        <v>POWERFIELD - PACOTE</v>
      </c>
      <c r="L2780" t="str">
        <f>IF(ORCAMENTOS!R2788="","",ORCAMENTOS!R2788)</f>
        <v>-</v>
      </c>
    </row>
    <row r="2781" spans="1:12" ht="15.75" hidden="1" customHeight="1" x14ac:dyDescent="0.25">
      <c r="A2781" s="36">
        <f>IF(ORCAMENTOS!A2789="","",ORCAMENTOS!A2789)</f>
        <v>46114</v>
      </c>
      <c r="B2781" s="46">
        <f>IF(ORCAMENTOS!B2789="","",ORCAMENTOS!B2789)</f>
        <v>604</v>
      </c>
      <c r="C2781" s="46" t="str">
        <f>IF(ORCAMENTOS!C2789="","",ORCAMENTOS!C2789)</f>
        <v/>
      </c>
      <c r="D2781" s="37" t="str">
        <f>IF(ORCAMENTOS!D2789="","",ORCAMENTOS!D2789)</f>
        <v>BRITOAR</v>
      </c>
      <c r="E2781" s="38" t="str">
        <f>IF(ORCAMENTOS!E2789="","",ORCAMENTOS!E2789)</f>
        <v>-</v>
      </c>
      <c r="F2781" s="37" t="str">
        <f>IF(ORCAMENTOS!G2789="","",ORCAMENTOS!G2789)</f>
        <v>Gabriel</v>
      </c>
      <c r="G2781" s="37" t="str">
        <f>IF(ORCAMENTOS!H2789="","",ORCAMENTOS!H2789)</f>
        <v>Fernando</v>
      </c>
      <c r="H2781" s="39">
        <f>IF(ORCAMENTOS!I2789="","",ORCAMENTOS!I2789)</f>
        <v>3977.04</v>
      </c>
      <c r="I2781" s="60">
        <f>IF(ORCAMENTOS!J2789="","",ORCAMENTOS!J2789)</f>
        <v>7.0000000000000007E-2</v>
      </c>
      <c r="J2781" s="40" t="str">
        <f>IF(ORCAMENTOS!L2789="","",ORCAMENTOS!L2789)</f>
        <v>FECHADO</v>
      </c>
      <c r="K2781" s="34" t="str">
        <f>IF(ORCAMENTOS!M2789="","",ORCAMENTOS!M2789)</f>
        <v>-</v>
      </c>
      <c r="L2781" t="str">
        <f>IF(ORCAMENTOS!R2789="","",ORCAMENTOS!R2789)</f>
        <v>-</v>
      </c>
    </row>
    <row r="2782" spans="1:12" ht="15.75" hidden="1" customHeight="1" x14ac:dyDescent="0.25">
      <c r="A2782" s="36">
        <f>IF(ORCAMENTOS!A2790="","",ORCAMENTOS!A2790)</f>
        <v>46114</v>
      </c>
      <c r="B2782" s="46">
        <f>IF(ORCAMENTOS!B2790="","",ORCAMENTOS!B2790)</f>
        <v>605</v>
      </c>
      <c r="C2782" s="46" t="str">
        <f>IF(ORCAMENTOS!C2790="","",ORCAMENTOS!C2790)</f>
        <v/>
      </c>
      <c r="D2782" s="37" t="str">
        <f>IF(ORCAMENTOS!D2790="","",ORCAMENTOS!D2790)</f>
        <v>RDS ENGENHARIA</v>
      </c>
      <c r="E2782" s="38" t="str">
        <f>IF(ORCAMENTOS!E2790="","",ORCAMENTOS!E2790)</f>
        <v>REDE D'OR SÃO LUIZ - TAUBATÉ / SP</v>
      </c>
      <c r="F2782" s="37" t="str">
        <f>IF(ORCAMENTOS!G2790="","",ORCAMENTOS!G2790)</f>
        <v xml:space="preserve">Aldavir </v>
      </c>
      <c r="G2782" s="37" t="str">
        <f>IF(ORCAMENTOS!H2790="","",ORCAMENTOS!H2790)</f>
        <v>Tayna</v>
      </c>
      <c r="H2782" s="39">
        <f>IF(ORCAMENTOS!I2790="","",ORCAMENTOS!I2790)</f>
        <v>2230000</v>
      </c>
      <c r="I2782" s="60">
        <f>IF(ORCAMENTOS!J2790="","",ORCAMENTOS!J2790)</f>
        <v>0.05</v>
      </c>
      <c r="J2782" s="40" t="str">
        <f>IF(ORCAMENTOS!L2790="","",ORCAMENTOS!L2790)</f>
        <v>COMPRA</v>
      </c>
      <c r="K2782" s="34" t="str">
        <f>IF(ORCAMENTOS!M2790="","",ORCAMENTOS!M2790)</f>
        <v>-</v>
      </c>
      <c r="L2782" t="str">
        <f>IF(ORCAMENTOS!R2790="","",ORCAMENTOS!R2790)</f>
        <v>-</v>
      </c>
    </row>
    <row r="2783" spans="1:12" ht="15.75" hidden="1" customHeight="1" x14ac:dyDescent="0.25">
      <c r="A2783" s="36">
        <f>IF(ORCAMENTOS!A2791="","",ORCAMENTOS!A2791)</f>
        <v>46114</v>
      </c>
      <c r="B2783" s="46">
        <f>IF(ORCAMENTOS!B2791="","",ORCAMENTOS!B2791)</f>
        <v>606</v>
      </c>
      <c r="C2783" s="46" t="str">
        <f>IF(ORCAMENTOS!C2791="","",ORCAMENTOS!C2791)</f>
        <v/>
      </c>
      <c r="D2783" s="37" t="str">
        <f>IF(ORCAMENTOS!D2791="","",ORCAMENTOS!D2791)</f>
        <v>NP CLIMATIZAÇÃO</v>
      </c>
      <c r="E2783" s="38" t="str">
        <f>IF(ORCAMENTOS!E2791="","",ORCAMENTOS!E2791)</f>
        <v>AKRK</v>
      </c>
      <c r="F2783" s="37" t="str">
        <f>IF(ORCAMENTOS!G2791="","",ORCAMENTOS!G2791)</f>
        <v>Guilherme</v>
      </c>
      <c r="G2783" s="37" t="str">
        <f>IF(ORCAMENTOS!H2791="","",ORCAMENTOS!H2791)</f>
        <v>Maria</v>
      </c>
      <c r="H2783" s="39">
        <f>IF(ORCAMENTOS!I2791="","",ORCAMENTOS!I2791)</f>
        <v>8097.06</v>
      </c>
      <c r="I2783" s="60">
        <f>IF(ORCAMENTOS!J2791="","",ORCAMENTOS!J2791)</f>
        <v>0.04</v>
      </c>
      <c r="J2783" s="40" t="str">
        <f>IF(ORCAMENTOS!L2791="","",ORCAMENTOS!L2791)</f>
        <v>FECHADO</v>
      </c>
      <c r="K2783" s="34" t="str">
        <f>IF(ORCAMENTOS!M2791="","",ORCAMENTOS!M2791)</f>
        <v>-</v>
      </c>
      <c r="L2783" t="str">
        <f>IF(ORCAMENTOS!R2791="","",ORCAMENTOS!R2791)</f>
        <v>-</v>
      </c>
    </row>
    <row r="2784" spans="1:12" ht="15.75" hidden="1" customHeight="1" x14ac:dyDescent="0.25">
      <c r="A2784" s="36">
        <f>IF(ORCAMENTOS!A2792="","",ORCAMENTOS!A2792)</f>
        <v>46114</v>
      </c>
      <c r="B2784" s="46">
        <f>IF(ORCAMENTOS!B2792="","",ORCAMENTOS!B2792)</f>
        <v>607</v>
      </c>
      <c r="C2784" s="46" t="str">
        <f>IF(ORCAMENTOS!C2792="","",ORCAMENTOS!C2792)</f>
        <v/>
      </c>
      <c r="D2784" s="37" t="str">
        <f>IF(ORCAMENTOS!D2792="","",ORCAMENTOS!D2792)</f>
        <v>CLIMTEC</v>
      </c>
      <c r="E2784" s="38" t="str">
        <f>IF(ORCAMENTOS!E2792="","",ORCAMENTOS!E2792)</f>
        <v>COMPLEXO HOSPITALAR C MATERNIDADE SILVERO FONTES - SANTOS</v>
      </c>
      <c r="F2784" s="37" t="str">
        <f>IF(ORCAMENTOS!G2792="","",ORCAMENTOS!G2792)</f>
        <v>Emanuel</v>
      </c>
      <c r="G2784" s="37" t="str">
        <f>IF(ORCAMENTOS!H2792="","",ORCAMENTOS!H2792)</f>
        <v>Sergio</v>
      </c>
      <c r="H2784" s="39">
        <f>IF(ORCAMENTOS!I2792="","",ORCAMENTOS!I2792)</f>
        <v>537227.67000000004</v>
      </c>
      <c r="I2784" s="60">
        <f>IF(ORCAMENTOS!J2792="","",ORCAMENTOS!J2792)</f>
        <v>7.0000000000000007E-2</v>
      </c>
      <c r="J2784" s="40" t="str">
        <f>IF(ORCAMENTOS!L2792="","",ORCAMENTOS!L2792)</f>
        <v>ORCAMENTO</v>
      </c>
      <c r="K2784" s="34" t="str">
        <f>IF(ORCAMENTOS!M2792="","",ORCAMENTOS!M2792)</f>
        <v>BOAS CHANCES - CONSTRUTORA PARCEIRA</v>
      </c>
      <c r="L2784" t="str">
        <f>IF(ORCAMENTOS!R2792="","",ORCAMENTOS!R2792)</f>
        <v>MPU</v>
      </c>
    </row>
    <row r="2785" spans="1:12" ht="15.75" hidden="1" customHeight="1" x14ac:dyDescent="0.25">
      <c r="A2785" s="36">
        <f>IF(ORCAMENTOS!A2793="","",ORCAMENTOS!A2793)</f>
        <v>46114</v>
      </c>
      <c r="B2785" s="46">
        <f>IF(ORCAMENTOS!B2793="","",ORCAMENTOS!B2793)</f>
        <v>608</v>
      </c>
      <c r="C2785" s="46" t="str">
        <f>IF(ORCAMENTOS!C2793="","",ORCAMENTOS!C2793)</f>
        <v/>
      </c>
      <c r="D2785" s="37" t="str">
        <f>IF(ORCAMENTOS!D2793="","",ORCAMENTOS!D2793)</f>
        <v>ADL DUTOS</v>
      </c>
      <c r="E2785" s="38" t="str">
        <f>IF(ORCAMENTOS!E2793="","",ORCAMENTOS!E2793)</f>
        <v>JCL BARUERI - SP</v>
      </c>
      <c r="F2785" s="37" t="str">
        <f>IF(ORCAMENTOS!G2793="","",ORCAMENTOS!G2793)</f>
        <v>Gabriel</v>
      </c>
      <c r="G2785" s="37" t="str">
        <f>IF(ORCAMENTOS!H2793="","",ORCAMENTOS!H2793)</f>
        <v>Andre</v>
      </c>
      <c r="H2785" s="39">
        <f>IF(ORCAMENTOS!I2793="","",ORCAMENTOS!I2793)</f>
        <v>2030.08</v>
      </c>
      <c r="I2785" s="60">
        <f>IF(ORCAMENTOS!J2793="","",ORCAMENTOS!J2793)</f>
        <v>0.06</v>
      </c>
      <c r="J2785" s="40" t="str">
        <f>IF(ORCAMENTOS!L2793="","",ORCAMENTOS!L2793)</f>
        <v>ORCAMENTO</v>
      </c>
      <c r="K2785" s="34" t="str">
        <f>IF(ORCAMENTOS!M2793="","",ORCAMENTOS!M2793)</f>
        <v>-</v>
      </c>
      <c r="L2785" t="str">
        <f>IF(ORCAMENTOS!R2793="","",ORCAMENTOS!R2793)</f>
        <v>-</v>
      </c>
    </row>
    <row r="2786" spans="1:12" ht="15.75" hidden="1" customHeight="1" x14ac:dyDescent="0.25">
      <c r="A2786" s="36">
        <f>IF(ORCAMENTOS!A2794="","",ORCAMENTOS!A2794)</f>
        <v>46114</v>
      </c>
      <c r="B2786" s="46">
        <f>IF(ORCAMENTOS!B2794="","",ORCAMENTOS!B2794)</f>
        <v>609</v>
      </c>
      <c r="C2786" s="46" t="str">
        <f>IF(ORCAMENTOS!C2794="","",ORCAMENTOS!C2794)</f>
        <v/>
      </c>
      <c r="D2786" s="37" t="str">
        <f>IF(ORCAMENTOS!D2794="","",ORCAMENTOS!D2794)</f>
        <v>CLIMAARC</v>
      </c>
      <c r="E2786" s="38" t="str">
        <f>IF(ORCAMENTOS!E2794="","",ORCAMENTOS!E2794)</f>
        <v>SESC CAMPINAS</v>
      </c>
      <c r="F2786" s="37" t="str">
        <f>IF(ORCAMENTOS!G2794="","",ORCAMENTOS!G2794)</f>
        <v xml:space="preserve">Aldavir </v>
      </c>
      <c r="G2786" s="37" t="str">
        <f>IF(ORCAMENTOS!H2794="","",ORCAMENTOS!H2794)</f>
        <v>Pedro</v>
      </c>
      <c r="H2786" s="39">
        <f>IF(ORCAMENTOS!I2794="","",ORCAMENTOS!I2794)</f>
        <v>17188.259999999998</v>
      </c>
      <c r="I2786" s="60">
        <f>IF(ORCAMENTOS!J2794="","",ORCAMENTOS!J2794)</f>
        <v>7.0000000000000007E-2</v>
      </c>
      <c r="J2786" s="40" t="str">
        <f>IF(ORCAMENTOS!L2794="","",ORCAMENTOS!L2794)</f>
        <v>CANCELADO</v>
      </c>
      <c r="K2786" s="34" t="str">
        <f>IF(ORCAMENTOS!M2794="","",ORCAMENTOS!M2794)</f>
        <v>-</v>
      </c>
      <c r="L2786" t="str">
        <f>IF(ORCAMENTOS!R2794="","",ORCAMENTOS!R2794)</f>
        <v>-</v>
      </c>
    </row>
    <row r="2787" spans="1:12" ht="15.75" hidden="1" customHeight="1" x14ac:dyDescent="0.25">
      <c r="A2787" s="36">
        <f>IF(ORCAMENTOS!A2795="","",ORCAMENTOS!A2795)</f>
        <v>46114</v>
      </c>
      <c r="B2787" s="46">
        <f>IF(ORCAMENTOS!B2795="","",ORCAMENTOS!B2795)</f>
        <v>610</v>
      </c>
      <c r="C2787" s="46" t="str">
        <f>IF(ORCAMENTOS!C2795="","",ORCAMENTOS!C2795)</f>
        <v/>
      </c>
      <c r="D2787" s="37" t="str">
        <f>IF(ORCAMENTOS!D2795="","",ORCAMENTOS!D2795)</f>
        <v>CLIMASUL</v>
      </c>
      <c r="E2787" s="38" t="str">
        <f>IF(ORCAMENTOS!E2795="","",ORCAMENTOS!E2795)</f>
        <v>TREND TOWER - COPACABANA - SALA 1 A 10</v>
      </c>
      <c r="F2787" s="37" t="str">
        <f>IF(ORCAMENTOS!G2795="","",ORCAMENTOS!G2795)</f>
        <v>Gabriel</v>
      </c>
      <c r="G2787" s="37" t="str">
        <f>IF(ORCAMENTOS!H2795="","",ORCAMENTOS!H2795)</f>
        <v>Helton</v>
      </c>
      <c r="H2787" s="39">
        <f>IF(ORCAMENTOS!I2795="","",ORCAMENTOS!I2795)</f>
        <v>17132.189999999999</v>
      </c>
      <c r="I2787" s="60">
        <f>IF(ORCAMENTOS!J2795="","",ORCAMENTOS!J2795)</f>
        <v>7.0000000000000007E-2</v>
      </c>
      <c r="J2787" s="40" t="str">
        <f>IF(ORCAMENTOS!L2795="","",ORCAMENTOS!L2795)</f>
        <v>ORCAMENTO</v>
      </c>
      <c r="K2787" s="34" t="str">
        <f>IF(ORCAMENTOS!M2795="","",ORCAMENTOS!M2795)</f>
        <v>-</v>
      </c>
      <c r="L2787" t="str">
        <f>IF(ORCAMENTOS!R2795="","",ORCAMENTOS!R2795)</f>
        <v>N/E</v>
      </c>
    </row>
    <row r="2788" spans="1:12" ht="15.75" hidden="1" customHeight="1" x14ac:dyDescent="0.25">
      <c r="A2788" s="36">
        <f>IF(ORCAMENTOS!A2796="","",ORCAMENTOS!A2796)</f>
        <v>46114</v>
      </c>
      <c r="B2788" s="46">
        <f>IF(ORCAMENTOS!B2796="","",ORCAMENTOS!B2796)</f>
        <v>611</v>
      </c>
      <c r="C2788" s="46" t="str">
        <f>IF(ORCAMENTOS!C2796="","",ORCAMENTOS!C2796)</f>
        <v/>
      </c>
      <c r="D2788" s="37" t="str">
        <f>IF(ORCAMENTOS!D2796="","",ORCAMENTOS!D2796)</f>
        <v>ANALISE PLAN</v>
      </c>
      <c r="E2788" s="38" t="str">
        <f>IF(ORCAMENTOS!E2796="","",ORCAMENTOS!E2796)</f>
        <v>-</v>
      </c>
      <c r="F2788" s="37" t="str">
        <f>IF(ORCAMENTOS!G2796="","",ORCAMENTOS!G2796)</f>
        <v>Michel</v>
      </c>
      <c r="G2788" s="37" t="str">
        <f>IF(ORCAMENTOS!H2796="","",ORCAMENTOS!H2796)</f>
        <v>Mario</v>
      </c>
      <c r="H2788" s="39">
        <f>IF(ORCAMENTOS!I2796="","",ORCAMENTOS!I2796)</f>
        <v>21149.93</v>
      </c>
      <c r="I2788" s="60">
        <f>IF(ORCAMENTOS!J2796="","",ORCAMENTOS!J2796)</f>
        <v>7.0000000000000007E-2</v>
      </c>
      <c r="J2788" s="40" t="str">
        <f>IF(ORCAMENTOS!L2796="","",ORCAMENTOS!L2796)</f>
        <v>PERDIDO</v>
      </c>
      <c r="K2788" s="34" t="str">
        <f>IF(ORCAMENTOS!M2796="","",ORCAMENTOS!M2796)</f>
        <v>MULTIVAC - SEQUENCIA</v>
      </c>
      <c r="L2788" t="str">
        <f>IF(ORCAMENTOS!R2796="","",ORCAMENTOS!R2796)</f>
        <v>-</v>
      </c>
    </row>
    <row r="2789" spans="1:12" ht="15.75" hidden="1" customHeight="1" x14ac:dyDescent="0.25">
      <c r="A2789" s="36">
        <f>IF(ORCAMENTOS!A2797="","",ORCAMENTOS!A2797)</f>
        <v>46114</v>
      </c>
      <c r="B2789" s="46">
        <f>IF(ORCAMENTOS!B2797="","",ORCAMENTOS!B2797)</f>
        <v>612</v>
      </c>
      <c r="C2789" s="46" t="str">
        <f>IF(ORCAMENTOS!C2797="","",ORCAMENTOS!C2797)</f>
        <v/>
      </c>
      <c r="D2789" s="37" t="str">
        <f>IF(ORCAMENTOS!D2797="","",ORCAMENTOS!D2797)</f>
        <v>COMPARCO</v>
      </c>
      <c r="E2789" s="38" t="str">
        <f>IF(ORCAMENTOS!E2797="","",ORCAMENTOS!E2797)</f>
        <v>-</v>
      </c>
      <c r="F2789" s="37" t="str">
        <f>IF(ORCAMENTOS!G2797="","",ORCAMENTOS!G2797)</f>
        <v>Gabriel</v>
      </c>
      <c r="G2789" s="37" t="str">
        <f>IF(ORCAMENTOS!H2797="","",ORCAMENTOS!H2797)</f>
        <v>Eliane</v>
      </c>
      <c r="H2789" s="39">
        <f>IF(ORCAMENTOS!I2797="","",ORCAMENTOS!I2797)</f>
        <v>3026.05</v>
      </c>
      <c r="I2789" s="60">
        <f>IF(ORCAMENTOS!J2797="","",ORCAMENTOS!J2797)</f>
        <v>7.0000000000000007E-2</v>
      </c>
      <c r="J2789" s="40" t="str">
        <f>IF(ORCAMENTOS!L2797="","",ORCAMENTOS!L2797)</f>
        <v>ORCAMENTO</v>
      </c>
      <c r="K2789" s="34" t="str">
        <f>IF(ORCAMENTOS!M2797="","",ORCAMENTOS!M2797)</f>
        <v>-</v>
      </c>
      <c r="L2789" t="str">
        <f>IF(ORCAMENTOS!R2797="","",ORCAMENTOS!R2797)</f>
        <v>-</v>
      </c>
    </row>
    <row r="2790" spans="1:12" ht="15.75" hidden="1" customHeight="1" x14ac:dyDescent="0.25">
      <c r="A2790" s="36">
        <f>IF(ORCAMENTOS!A2798="","",ORCAMENTOS!A2798)</f>
        <v>46118</v>
      </c>
      <c r="B2790" s="46">
        <f>IF(ORCAMENTOS!B2798="","",ORCAMENTOS!B2798)</f>
        <v>613</v>
      </c>
      <c r="C2790" s="46" t="str">
        <f>IF(ORCAMENTOS!C2798="","",ORCAMENTOS!C2798)</f>
        <v>R2</v>
      </c>
      <c r="D2790" s="37" t="str">
        <f>IF(ORCAMENTOS!D2798="","",ORCAMENTOS!D2798)</f>
        <v>NOSSO AR</v>
      </c>
      <c r="E2790" s="38" t="str">
        <f>IF(ORCAMENTOS!E2798="","",ORCAMENTOS!E2798)</f>
        <v>-</v>
      </c>
      <c r="F2790" s="37" t="str">
        <f>IF(ORCAMENTOS!G2798="","",ORCAMENTOS!G2798)</f>
        <v>Gabriel</v>
      </c>
      <c r="G2790" s="37" t="str">
        <f>IF(ORCAMENTOS!H2798="","",ORCAMENTOS!H2798)</f>
        <v>Lucimere</v>
      </c>
      <c r="H2790" s="39">
        <f>IF(ORCAMENTOS!I2798="","",ORCAMENTOS!I2798)</f>
        <v>569028.09</v>
      </c>
      <c r="I2790" s="60">
        <f>IF(ORCAMENTOS!J2798="","",ORCAMENTOS!J2798)</f>
        <v>0.05</v>
      </c>
      <c r="J2790" s="40" t="str">
        <f>IF(ORCAMENTOS!L2798="","",ORCAMENTOS!L2798)</f>
        <v>ORCAMENTO</v>
      </c>
      <c r="K2790" s="34" t="str">
        <f>IF(ORCAMENTOS!M2798="","",ORCAMENTOS!M2798)</f>
        <v>-</v>
      </c>
      <c r="L2790" t="str">
        <f>IF(ORCAMENTOS!R2798="","",ORCAMENTOS!R2798)</f>
        <v>-</v>
      </c>
    </row>
    <row r="2791" spans="1:12" ht="15.75" hidden="1" customHeight="1" x14ac:dyDescent="0.25">
      <c r="A2791" s="36">
        <f>IF(ORCAMENTOS!A2799="","",ORCAMENTOS!A2799)</f>
        <v>46118</v>
      </c>
      <c r="B2791" s="46">
        <f>IF(ORCAMENTOS!B2799="","",ORCAMENTOS!B2799)</f>
        <v>614</v>
      </c>
      <c r="C2791" s="46" t="str">
        <f>IF(ORCAMENTOS!C2799="","",ORCAMENTOS!C2799)</f>
        <v/>
      </c>
      <c r="D2791" s="37" t="str">
        <f>IF(ORCAMENTOS!D2799="","",ORCAMENTOS!D2799)</f>
        <v>NEW AIR</v>
      </c>
      <c r="E2791" s="38" t="str">
        <f>IF(ORCAMENTOS!E2799="","",ORCAMENTOS!E2799)</f>
        <v>HIGIDENT</v>
      </c>
      <c r="F2791" s="37" t="str">
        <f>IF(ORCAMENTOS!G2799="","",ORCAMENTOS!G2799)</f>
        <v>Fernando</v>
      </c>
      <c r="G2791" s="37" t="str">
        <f>IF(ORCAMENTOS!H2799="","",ORCAMENTOS!H2799)</f>
        <v>Igor</v>
      </c>
      <c r="H2791" s="39">
        <f>IF(ORCAMENTOS!I2799="","",ORCAMENTOS!I2799)</f>
        <v>4301.47</v>
      </c>
      <c r="I2791" s="60">
        <f>IF(ORCAMENTOS!J2799="","",ORCAMENTOS!J2799)</f>
        <v>0.06</v>
      </c>
      <c r="J2791" s="40" t="str">
        <f>IF(ORCAMENTOS!L2799="","",ORCAMENTOS!L2799)</f>
        <v>CANCELADO</v>
      </c>
      <c r="K2791" s="34" t="str">
        <f>IF(ORCAMENTOS!M2799="","",ORCAMENTOS!M2799)</f>
        <v xml:space="preserve">CLIENTE NEGOCIANDO PREV. MAIO </v>
      </c>
      <c r="L2791" t="str">
        <f>IF(ORCAMENTOS!R2799="","",ORCAMENTOS!R2799)</f>
        <v>-</v>
      </c>
    </row>
    <row r="2792" spans="1:12" ht="15.75" hidden="1" customHeight="1" x14ac:dyDescent="0.25">
      <c r="A2792" s="36">
        <f>IF(ORCAMENTOS!A2800="","",ORCAMENTOS!A2800)</f>
        <v>46118</v>
      </c>
      <c r="B2792" s="46">
        <f>IF(ORCAMENTOS!B2800="","",ORCAMENTOS!B2800)</f>
        <v>615</v>
      </c>
      <c r="C2792" s="46" t="str">
        <f>IF(ORCAMENTOS!C2800="","",ORCAMENTOS!C2800)</f>
        <v>R1</v>
      </c>
      <c r="D2792" s="37" t="str">
        <f>IF(ORCAMENTOS!D2800="","",ORCAMENTOS!D2800)</f>
        <v>ACSISTEM</v>
      </c>
      <c r="E2792" s="38" t="str">
        <f>IF(ORCAMENTOS!E2800="","",ORCAMENTOS!E2800)</f>
        <v>SF ITAQUERA</v>
      </c>
      <c r="F2792" s="37" t="str">
        <f>IF(ORCAMENTOS!G2800="","",ORCAMENTOS!G2800)</f>
        <v>Emanuel</v>
      </c>
      <c r="G2792" s="37" t="str">
        <f>IF(ORCAMENTOS!H2800="","",ORCAMENTOS!H2800)</f>
        <v>David</v>
      </c>
      <c r="H2792" s="39">
        <f>IF(ORCAMENTOS!I2800="","",ORCAMENTOS!I2800)</f>
        <v>63884.92</v>
      </c>
      <c r="I2792" s="60">
        <f>IF(ORCAMENTOS!J2800="","",ORCAMENTOS!J2800)</f>
        <v>0.04</v>
      </c>
      <c r="J2792" s="40" t="str">
        <f>IF(ORCAMENTOS!L2800="","",ORCAMENTOS!L2800)</f>
        <v>FECHADO</v>
      </c>
      <c r="K2792" s="34" t="str">
        <f>IF(ORCAMENTOS!M2800="","",ORCAMENTOS!M2800)</f>
        <v>-</v>
      </c>
      <c r="L2792" t="str">
        <f>IF(ORCAMENTOS!R2800="","",ORCAMENTOS!R2800)</f>
        <v>-</v>
      </c>
    </row>
    <row r="2793" spans="1:12" ht="15.75" hidden="1" customHeight="1" x14ac:dyDescent="0.25">
      <c r="A2793" s="36">
        <f>IF(ORCAMENTOS!A2801="","",ORCAMENTOS!A2801)</f>
        <v>46120</v>
      </c>
      <c r="B2793" s="46">
        <f>IF(ORCAMENTOS!B2801="","",ORCAMENTOS!B2801)</f>
        <v>616</v>
      </c>
      <c r="C2793" s="46" t="str">
        <f>IF(ORCAMENTOS!C2801="","",ORCAMENTOS!C2801)</f>
        <v>R2</v>
      </c>
      <c r="D2793" s="37" t="str">
        <f>IF(ORCAMENTOS!D2801="","",ORCAMENTOS!D2801)</f>
        <v>EXAUSTAR</v>
      </c>
      <c r="E2793" s="38" t="str">
        <f>IF(ORCAMENTOS!E2801="","",ORCAMENTOS!E2801)</f>
        <v>BLUE NOTE 2 - CONSOLACAO - SALA 2</v>
      </c>
      <c r="F2793" s="37" t="str">
        <f>IF(ORCAMENTOS!G2801="","",ORCAMENTOS!G2801)</f>
        <v>Gabriel</v>
      </c>
      <c r="G2793" s="37" t="str">
        <f>IF(ORCAMENTOS!H2801="","",ORCAMENTOS!H2801)</f>
        <v>Matheus</v>
      </c>
      <c r="H2793" s="39">
        <f>IF(ORCAMENTOS!I2801="","",ORCAMENTOS!I2801)</f>
        <v>49784.3</v>
      </c>
      <c r="I2793" s="60">
        <f>IF(ORCAMENTOS!J2801="","",ORCAMENTOS!J2801)</f>
        <v>0.05</v>
      </c>
      <c r="J2793" s="40" t="str">
        <f>IF(ORCAMENTOS!L2801="","",ORCAMENTOS!L2801)</f>
        <v>FECHADO</v>
      </c>
      <c r="K2793" s="34" t="str">
        <f>IF(ORCAMENTOS!M2801="","",ORCAMENTOS!M2801)</f>
        <v>-</v>
      </c>
      <c r="L2793" t="str">
        <f>IF(ORCAMENTOS!R2801="","",ORCAMENTOS!R2801)</f>
        <v>MPU</v>
      </c>
    </row>
    <row r="2794" spans="1:12" ht="15.75" hidden="1" customHeight="1" x14ac:dyDescent="0.25">
      <c r="A2794" s="36">
        <f>IF(ORCAMENTOS!A2802="","",ORCAMENTOS!A2802)</f>
        <v>46118</v>
      </c>
      <c r="B2794" s="46">
        <f>IF(ORCAMENTOS!B2802="","",ORCAMENTOS!B2802)</f>
        <v>617</v>
      </c>
      <c r="C2794" s="46" t="str">
        <f>IF(ORCAMENTOS!C2802="","",ORCAMENTOS!C2802)</f>
        <v/>
      </c>
      <c r="D2794" s="37" t="str">
        <f>IF(ORCAMENTOS!D2802="","",ORCAMENTOS!D2802)</f>
        <v>AWA AR CONDICIONADO</v>
      </c>
      <c r="E2794" s="38" t="str">
        <f>IF(ORCAMENTOS!E2802="","",ORCAMENTOS!E2802)</f>
        <v>RENNER VENANCIO AIRES - RS</v>
      </c>
      <c r="F2794" s="37" t="str">
        <f>IF(ORCAMENTOS!G2802="","",ORCAMENTOS!G2802)</f>
        <v>Guilherme</v>
      </c>
      <c r="G2794" s="37" t="str">
        <f>IF(ORCAMENTOS!H2802="","",ORCAMENTOS!H2802)</f>
        <v>Guilherme</v>
      </c>
      <c r="H2794" s="39">
        <f>IF(ORCAMENTOS!I2802="","",ORCAMENTOS!I2802)</f>
        <v>72110.11</v>
      </c>
      <c r="I2794" s="60">
        <f>IF(ORCAMENTOS!J2802="","",ORCAMENTOS!J2802)</f>
        <v>0.05</v>
      </c>
      <c r="J2794" s="40" t="str">
        <f>IF(ORCAMENTOS!L2802="","",ORCAMENTOS!L2802)</f>
        <v>ORCAMENTO</v>
      </c>
      <c r="K2794" s="34" t="str">
        <f>IF(ORCAMENTOS!M2802="","",ORCAMENTOS!M2802)</f>
        <v>GRANDES CHANCES DE FECHAR</v>
      </c>
      <c r="L2794" t="str">
        <f>IF(ORCAMENTOS!R2802="","",ORCAMENTOS!R2802)</f>
        <v>MPU</v>
      </c>
    </row>
    <row r="2795" spans="1:12" ht="15.75" hidden="1" customHeight="1" x14ac:dyDescent="0.25">
      <c r="A2795" s="36">
        <f>IF(ORCAMENTOS!A2803="","",ORCAMENTOS!A2803)</f>
        <v>46118</v>
      </c>
      <c r="B2795" s="46">
        <f>IF(ORCAMENTOS!B2803="","",ORCAMENTOS!B2803)</f>
        <v>618</v>
      </c>
      <c r="C2795" s="46" t="str">
        <f>IF(ORCAMENTOS!C2803="","",ORCAMENTOS!C2803)</f>
        <v/>
      </c>
      <c r="D2795" s="37" t="str">
        <f>IF(ORCAMENTOS!D2803="","",ORCAMENTOS!D2803)</f>
        <v>AWA AR CONDICIONADO</v>
      </c>
      <c r="E2795" s="38" t="str">
        <f>IF(ORCAMENTOS!E2803="","",ORCAMENTOS!E2803)</f>
        <v>RENNER - SH PARQUE OESTE</v>
      </c>
      <c r="F2795" s="37" t="str">
        <f>IF(ORCAMENTOS!G2803="","",ORCAMENTOS!G2803)</f>
        <v>Guilherme</v>
      </c>
      <c r="G2795" s="37" t="str">
        <f>IF(ORCAMENTOS!H2803="","",ORCAMENTOS!H2803)</f>
        <v>Guilherme</v>
      </c>
      <c r="H2795" s="39">
        <f>IF(ORCAMENTOS!I2803="","",ORCAMENTOS!I2803)</f>
        <v>75026.59</v>
      </c>
      <c r="I2795" s="60">
        <f>IF(ORCAMENTOS!J2803="","",ORCAMENTOS!J2803)</f>
        <v>0.05</v>
      </c>
      <c r="J2795" s="40" t="str">
        <f>IF(ORCAMENTOS!L2803="","",ORCAMENTOS!L2803)</f>
        <v>ORCAMENTO</v>
      </c>
      <c r="K2795" s="34" t="str">
        <f>IF(ORCAMENTOS!M2803="","",ORCAMENTOS!M2803)</f>
        <v>GRANDES CHANCES DE FECHAR</v>
      </c>
      <c r="L2795" t="str">
        <f>IF(ORCAMENTOS!R2803="","",ORCAMENTOS!R2803)</f>
        <v>MPU</v>
      </c>
    </row>
    <row r="2796" spans="1:12" ht="15.75" hidden="1" customHeight="1" x14ac:dyDescent="0.25">
      <c r="A2796" s="36">
        <f>IF(ORCAMENTOS!A2804="","",ORCAMENTOS!A2804)</f>
        <v>46118</v>
      </c>
      <c r="B2796" s="46">
        <f>IF(ORCAMENTOS!B2804="","",ORCAMENTOS!B2804)</f>
        <v>619</v>
      </c>
      <c r="C2796" s="46" t="str">
        <f>IF(ORCAMENTOS!C2804="","",ORCAMENTOS!C2804)</f>
        <v>R1</v>
      </c>
      <c r="D2796" s="37" t="str">
        <f>IF(ORCAMENTOS!D2804="","",ORCAMENTOS!D2804)</f>
        <v>TELMEC</v>
      </c>
      <c r="E2796" s="38" t="str">
        <f>IF(ORCAMENTOS!E2804="","",ORCAMENTOS!E2804)</f>
        <v>GRU</v>
      </c>
      <c r="F2796" s="37" t="str">
        <f>IF(ORCAMENTOS!G2804="","",ORCAMENTOS!G2804)</f>
        <v>Gabriel</v>
      </c>
      <c r="G2796" s="37" t="str">
        <f>IF(ORCAMENTOS!H2804="","",ORCAMENTOS!H2804)</f>
        <v>Vitor</v>
      </c>
      <c r="H2796" s="39">
        <f>IF(ORCAMENTOS!I2804="","",ORCAMENTOS!I2804)</f>
        <v>18959.14</v>
      </c>
      <c r="I2796" s="60">
        <f>IF(ORCAMENTOS!J2804="","",ORCAMENTOS!J2804)</f>
        <v>7.0000000000000007E-2</v>
      </c>
      <c r="J2796" s="40" t="str">
        <f>IF(ORCAMENTOS!L2804="","",ORCAMENTOS!L2804)</f>
        <v>FECHADO</v>
      </c>
      <c r="K2796" s="34" t="str">
        <f>IF(ORCAMENTOS!M2804="","",ORCAMENTOS!M2804)</f>
        <v>-</v>
      </c>
      <c r="L2796" t="str">
        <f>IF(ORCAMENTOS!R2804="","",ORCAMENTOS!R2804)</f>
        <v>-</v>
      </c>
    </row>
    <row r="2797" spans="1:12" ht="15.75" hidden="1" customHeight="1" x14ac:dyDescent="0.25">
      <c r="A2797" s="36">
        <f>IF(ORCAMENTOS!A2805="","",ORCAMENTOS!A2805)</f>
        <v>46118</v>
      </c>
      <c r="B2797" s="46">
        <f>IF(ORCAMENTOS!B2805="","",ORCAMENTOS!B2805)</f>
        <v>620</v>
      </c>
      <c r="C2797" s="46" t="str">
        <f>IF(ORCAMENTOS!C2805="","",ORCAMENTOS!C2805)</f>
        <v/>
      </c>
      <c r="D2797" s="37" t="str">
        <f>IF(ORCAMENTOS!D2805="","",ORCAMENTOS!D2805)</f>
        <v>MJ CLIMATIZACAO</v>
      </c>
      <c r="E2797" s="38" t="str">
        <f>IF(ORCAMENTOS!E2805="","",ORCAMENTOS!E2805)</f>
        <v>OBRAMAX - TAGUATINGA - DF</v>
      </c>
      <c r="F2797" s="37" t="str">
        <f>IF(ORCAMENTOS!G2805="","",ORCAMENTOS!G2805)</f>
        <v>Emanuel</v>
      </c>
      <c r="G2797" s="37" t="str">
        <f>IF(ORCAMENTOS!H2805="","",ORCAMENTOS!H2805)</f>
        <v>Escobar</v>
      </c>
      <c r="H2797" s="39">
        <f>IF(ORCAMENTOS!I2805="","",ORCAMENTOS!I2805)</f>
        <v>171509.68</v>
      </c>
      <c r="I2797" s="60">
        <f>IF(ORCAMENTOS!J2805="","",ORCAMENTOS!J2805)</f>
        <v>7.0000000000000007E-2</v>
      </c>
      <c r="J2797" s="40" t="str">
        <f>IF(ORCAMENTOS!L2805="","",ORCAMENTOS!L2805)</f>
        <v>CANCELADO</v>
      </c>
      <c r="K2797" s="34" t="str">
        <f>IF(ORCAMENTOS!M2805="","",ORCAMENTOS!M2805)</f>
        <v>-</v>
      </c>
      <c r="L2797" t="str">
        <f>IF(ORCAMENTOS!R2805="","",ORCAMENTOS!R2805)</f>
        <v>MPU</v>
      </c>
    </row>
    <row r="2798" spans="1:12" ht="15.75" hidden="1" customHeight="1" x14ac:dyDescent="0.25">
      <c r="A2798" s="36">
        <f>IF(ORCAMENTOS!A2806="","",ORCAMENTOS!A2806)</f>
        <v>46119</v>
      </c>
      <c r="B2798" s="46">
        <f>IF(ORCAMENTOS!B2806="","",ORCAMENTOS!B2806)</f>
        <v>621</v>
      </c>
      <c r="C2798" s="46" t="str">
        <f>IF(ORCAMENTOS!C2806="","",ORCAMENTOS!C2806)</f>
        <v>R1</v>
      </c>
      <c r="D2798" s="37" t="str">
        <f>IF(ORCAMENTOS!D2806="","",ORCAMENTOS!D2806)</f>
        <v>BMS ENGENHARIA</v>
      </c>
      <c r="E2798" s="38" t="str">
        <f>IF(ORCAMENTOS!E2806="","",ORCAMENTOS!E2806)</f>
        <v>AUTOGLASS - VILA VELHA - ES</v>
      </c>
      <c r="F2798" s="37" t="str">
        <f>IF(ORCAMENTOS!G2806="","",ORCAMENTOS!G2806)</f>
        <v>Guilherme</v>
      </c>
      <c r="G2798" s="37" t="str">
        <f>IF(ORCAMENTOS!H2806="","",ORCAMENTOS!H2806)</f>
        <v>Jesse</v>
      </c>
      <c r="H2798" s="39">
        <f>IF(ORCAMENTOS!I2806="","",ORCAMENTOS!I2806)</f>
        <v>9988.14</v>
      </c>
      <c r="I2798" s="60">
        <f>IF(ORCAMENTOS!J2806="","",ORCAMENTOS!J2806)</f>
        <v>0.05</v>
      </c>
      <c r="J2798" s="40" t="str">
        <f>IF(ORCAMENTOS!L2806="","",ORCAMENTOS!L2806)</f>
        <v>FECHADO</v>
      </c>
      <c r="K2798" s="34" t="str">
        <f>IF(ORCAMENTOS!M2806="","",ORCAMENTOS!M2806)</f>
        <v>ADICIONAL</v>
      </c>
      <c r="L2798" t="str">
        <f>IF(ORCAMENTOS!R2806="","",ORCAMENTOS!R2806)</f>
        <v>CHAPA DE ACO GALVANIZADO</v>
      </c>
    </row>
    <row r="2799" spans="1:12" ht="15.75" hidden="1" customHeight="1" x14ac:dyDescent="0.25">
      <c r="A2799" s="36">
        <f>IF(ORCAMENTOS!A2807="","",ORCAMENTOS!A2807)</f>
        <v>46119</v>
      </c>
      <c r="B2799" s="46">
        <f>IF(ORCAMENTOS!B2807="","",ORCAMENTOS!B2807)</f>
        <v>622</v>
      </c>
      <c r="C2799" s="46" t="str">
        <f>IF(ORCAMENTOS!C2807="","",ORCAMENTOS!C2807)</f>
        <v/>
      </c>
      <c r="D2799" s="37" t="str">
        <f>IF(ORCAMENTOS!D2807="","",ORCAMENTOS!D2807)</f>
        <v>HEATING COOLING</v>
      </c>
      <c r="E2799" s="38">
        <f>IF(ORCAMENTOS!E2807="","",ORCAMENTOS!E2807)</f>
        <v>65024</v>
      </c>
      <c r="F2799" s="37" t="str">
        <f>IF(ORCAMENTOS!G2807="","",ORCAMENTOS!G2807)</f>
        <v>Gabriel</v>
      </c>
      <c r="G2799" s="37" t="str">
        <f>IF(ORCAMENTOS!H2807="","",ORCAMENTOS!H2807)</f>
        <v>Vanessa</v>
      </c>
      <c r="H2799" s="39">
        <f>IF(ORCAMENTOS!I2807="","",ORCAMENTOS!I2807)</f>
        <v>2717.19</v>
      </c>
      <c r="I2799" s="60">
        <f>IF(ORCAMENTOS!J2807="","",ORCAMENTOS!J2807)</f>
        <v>7.0000000000000007E-2</v>
      </c>
      <c r="J2799" s="40" t="str">
        <f>IF(ORCAMENTOS!L2807="","",ORCAMENTOS!L2807)</f>
        <v>ORCAMENTO</v>
      </c>
      <c r="K2799" s="34" t="str">
        <f>IF(ORCAMENTOS!M2807="","",ORCAMENTOS!M2807)</f>
        <v>-</v>
      </c>
      <c r="L2799" t="str">
        <f>IF(ORCAMENTOS!R2807="","",ORCAMENTOS!R2807)</f>
        <v>-</v>
      </c>
    </row>
    <row r="2800" spans="1:12" ht="15.75" hidden="1" customHeight="1" x14ac:dyDescent="0.25">
      <c r="A2800" s="36">
        <f>IF(ORCAMENTOS!A2808="","",ORCAMENTOS!A2808)</f>
        <v>46119</v>
      </c>
      <c r="B2800" s="46">
        <f>IF(ORCAMENTOS!B2808="","",ORCAMENTOS!B2808)</f>
        <v>623</v>
      </c>
      <c r="C2800" s="46" t="str">
        <f>IF(ORCAMENTOS!C2808="","",ORCAMENTOS!C2808)</f>
        <v>R1</v>
      </c>
      <c r="D2800" s="37" t="str">
        <f>IF(ORCAMENTOS!D2808="","",ORCAMENTOS!D2808)</f>
        <v>ADRIATIC</v>
      </c>
      <c r="E2800" s="38" t="str">
        <f>IF(ORCAMENTOS!E2808="","",ORCAMENTOS!E2808)</f>
        <v>RM 26186</v>
      </c>
      <c r="F2800" s="37" t="str">
        <f>IF(ORCAMENTOS!G2808="","",ORCAMENTOS!G2808)</f>
        <v>Emanuel</v>
      </c>
      <c r="G2800" s="37" t="str">
        <f>IF(ORCAMENTOS!H2808="","",ORCAMENTOS!H2808)</f>
        <v>Erika</v>
      </c>
      <c r="H2800" s="39">
        <f>IF(ORCAMENTOS!I2808="","",ORCAMENTOS!I2808)</f>
        <v>1829.51</v>
      </c>
      <c r="I2800" s="60">
        <f>IF(ORCAMENTOS!J2808="","",ORCAMENTOS!J2808)</f>
        <v>7.0000000000000007E-2</v>
      </c>
      <c r="J2800" s="40" t="str">
        <f>IF(ORCAMENTOS!L2808="","",ORCAMENTOS!L2808)</f>
        <v>FECHADO</v>
      </c>
      <c r="K2800" s="34" t="str">
        <f>IF(ORCAMENTOS!M2808="","",ORCAMENTOS!M2808)</f>
        <v>-</v>
      </c>
      <c r="L2800" t="str">
        <f>IF(ORCAMENTOS!R2808="","",ORCAMENTOS!R2808)</f>
        <v>-</v>
      </c>
    </row>
    <row r="2801" spans="1:12" ht="15.75" hidden="1" customHeight="1" x14ac:dyDescent="0.25">
      <c r="A2801" s="36">
        <f>IF(ORCAMENTOS!A2809="","",ORCAMENTOS!A2809)</f>
        <v>46119</v>
      </c>
      <c r="B2801" s="46">
        <f>IF(ORCAMENTOS!B2809="","",ORCAMENTOS!B2809)</f>
        <v>624</v>
      </c>
      <c r="C2801" s="46" t="str">
        <f>IF(ORCAMENTOS!C2809="","",ORCAMENTOS!C2809)</f>
        <v/>
      </c>
      <c r="D2801" s="37" t="str">
        <f>IF(ORCAMENTOS!D2809="","",ORCAMENTOS!D2809)</f>
        <v>ADRIATIC</v>
      </c>
      <c r="E2801" s="38" t="str">
        <f>IF(ORCAMENTOS!E2809="","",ORCAMENTOS!E2809)</f>
        <v>C&amp;A - SHOPPING IBIRAPUERA - SP</v>
      </c>
      <c r="F2801" s="37" t="str">
        <f>IF(ORCAMENTOS!G2809="","",ORCAMENTOS!G2809)</f>
        <v>Emanuel</v>
      </c>
      <c r="G2801" s="37" t="str">
        <f>IF(ORCAMENTOS!H2809="","",ORCAMENTOS!H2809)</f>
        <v>Renato</v>
      </c>
      <c r="H2801" s="39">
        <f>IF(ORCAMENTOS!I2809="","",ORCAMENTOS!I2809)</f>
        <v>42704.76</v>
      </c>
      <c r="I2801" s="60">
        <f>IF(ORCAMENTOS!J2809="","",ORCAMENTOS!J2809)</f>
        <v>0.05</v>
      </c>
      <c r="J2801" s="40" t="str">
        <f>IF(ORCAMENTOS!L2809="","",ORCAMENTOS!L2809)</f>
        <v>CANCELADO</v>
      </c>
      <c r="K2801" s="34" t="str">
        <f>IF(ORCAMENTOS!M2809="","",ORCAMENTOS!M2809)</f>
        <v>-</v>
      </c>
      <c r="L2801" t="str">
        <f>IF(ORCAMENTOS!R2809="","",ORCAMENTOS!R2809)</f>
        <v>MPU</v>
      </c>
    </row>
    <row r="2802" spans="1:12" ht="15.75" hidden="1" customHeight="1" x14ac:dyDescent="0.25">
      <c r="A2802" s="36">
        <f>IF(ORCAMENTOS!A2810="","",ORCAMENTOS!A2810)</f>
        <v>46116</v>
      </c>
      <c r="B2802" s="46">
        <f>IF(ORCAMENTOS!B2810="","",ORCAMENTOS!B2810)</f>
        <v>625</v>
      </c>
      <c r="C2802" s="46" t="str">
        <f>IF(ORCAMENTOS!C2810="","",ORCAMENTOS!C2810)</f>
        <v/>
      </c>
      <c r="D2802" s="37" t="str">
        <f>IF(ORCAMENTOS!D2810="","",ORCAMENTOS!D2810)</f>
        <v>NP CLIMATIZAÇÃO</v>
      </c>
      <c r="E2802" s="38" t="str">
        <f>IF(ORCAMENTOS!E2810="","",ORCAMENTOS!E2810)</f>
        <v>RESIDENCIA VETTORAZZO - SÃO SEBASTIAO - SP</v>
      </c>
      <c r="F2802" s="37" t="str">
        <f>IF(ORCAMENTOS!G2810="","",ORCAMENTOS!G2810)</f>
        <v>Guilherme</v>
      </c>
      <c r="G2802" s="37" t="str">
        <f>IF(ORCAMENTOS!H2810="","",ORCAMENTOS!H2810)</f>
        <v>Maria</v>
      </c>
      <c r="H2802" s="39">
        <f>IF(ORCAMENTOS!I2810="","",ORCAMENTOS!I2810)</f>
        <v>6800.43</v>
      </c>
      <c r="I2802" s="60">
        <f>IF(ORCAMENTOS!J2810="","",ORCAMENTOS!J2810)</f>
        <v>7.0000000000000007E-2</v>
      </c>
      <c r="J2802" s="40" t="str">
        <f>IF(ORCAMENTOS!L2810="","",ORCAMENTOS!L2810)</f>
        <v>ORCAMENTO</v>
      </c>
      <c r="K2802" s="34" t="str">
        <f>IF(ORCAMENTOS!M2810="","",ORCAMENTOS!M2810)</f>
        <v>-</v>
      </c>
      <c r="L2802" t="str">
        <f>IF(ORCAMENTOS!R2810="","",ORCAMENTOS!R2810)</f>
        <v>-</v>
      </c>
    </row>
    <row r="2803" spans="1:12" ht="15.75" hidden="1" customHeight="1" x14ac:dyDescent="0.25">
      <c r="A2803" s="36">
        <f>IF(ORCAMENTOS!A2811="","",ORCAMENTOS!A2811)</f>
        <v>46119</v>
      </c>
      <c r="B2803" s="46">
        <f>IF(ORCAMENTOS!B2811="","",ORCAMENTOS!B2811)</f>
        <v>626</v>
      </c>
      <c r="C2803" s="46" t="str">
        <f>IF(ORCAMENTOS!C2811="","",ORCAMENTOS!C2811)</f>
        <v/>
      </c>
      <c r="D2803" s="37" t="str">
        <f>IF(ORCAMENTOS!D2811="","",ORCAMENTOS!D2811)</f>
        <v>CLIMAARC</v>
      </c>
      <c r="E2803" s="38" t="str">
        <f>IF(ORCAMENTOS!E2811="","",ORCAMENTOS!E2811)</f>
        <v>PUC CAMPINAS - HOSPITAL E MARTENIDADE CELSO PIERRO - CAMPINAS - SP</v>
      </c>
      <c r="F2803" s="37" t="str">
        <f>IF(ORCAMENTOS!G2811="","",ORCAMENTOS!G2811)</f>
        <v xml:space="preserve">Aldavir </v>
      </c>
      <c r="G2803" s="37" t="str">
        <f>IF(ORCAMENTOS!H2811="","",ORCAMENTOS!H2811)</f>
        <v>Pedro</v>
      </c>
      <c r="H2803" s="39">
        <f>IF(ORCAMENTOS!I2811="","",ORCAMENTOS!I2811)</f>
        <v>3189.68</v>
      </c>
      <c r="I2803" s="60">
        <f>IF(ORCAMENTOS!J2811="","",ORCAMENTOS!J2811)</f>
        <v>7.0000000000000007E-2</v>
      </c>
      <c r="J2803" s="40" t="str">
        <f>IF(ORCAMENTOS!L2811="","",ORCAMENTOS!L2811)</f>
        <v>ORCAMENTO</v>
      </c>
      <c r="K2803" s="34" t="str">
        <f>IF(ORCAMENTOS!M2811="","",ORCAMENTOS!M2811)</f>
        <v>-</v>
      </c>
      <c r="L2803" t="str">
        <f>IF(ORCAMENTOS!R2811="","",ORCAMENTOS!R2811)</f>
        <v>MPU</v>
      </c>
    </row>
    <row r="2804" spans="1:12" ht="15.75" hidden="1" customHeight="1" x14ac:dyDescent="0.25">
      <c r="A2804" s="36">
        <f>IF(ORCAMENTOS!A2812="","",ORCAMENTOS!A2812)</f>
        <v>46119</v>
      </c>
      <c r="B2804" s="46">
        <f>IF(ORCAMENTOS!B2812="","",ORCAMENTOS!B2812)</f>
        <v>627</v>
      </c>
      <c r="C2804" s="46" t="str">
        <f>IF(ORCAMENTOS!C2812="","",ORCAMENTOS!C2812)</f>
        <v>R1</v>
      </c>
      <c r="D2804" s="37" t="str">
        <f>IF(ORCAMENTOS!D2812="","",ORCAMENTOS!D2812)</f>
        <v>AR SET</v>
      </c>
      <c r="E2804" s="38" t="str">
        <f>IF(ORCAMENTOS!E2812="","",ORCAMENTOS!E2812)</f>
        <v>7919-25552 MARINA BERTI (9º PAVIMENTO - GAIBOLA)</v>
      </c>
      <c r="F2804" s="37" t="str">
        <f>IF(ORCAMENTOS!G2812="","",ORCAMENTOS!G2812)</f>
        <v>Fernando</v>
      </c>
      <c r="G2804" s="37" t="str">
        <f>IF(ORCAMENTOS!H2812="","",ORCAMENTOS!H2812)</f>
        <v>Danilo</v>
      </c>
      <c r="H2804" s="39">
        <f>IF(ORCAMENTOS!I2812="","",ORCAMENTOS!I2812)</f>
        <v>10518.04</v>
      </c>
      <c r="I2804" s="60">
        <f>IF(ORCAMENTOS!J2812="","",ORCAMENTOS!J2812)</f>
        <v>0.04</v>
      </c>
      <c r="J2804" s="40" t="str">
        <f>IF(ORCAMENTOS!L2812="","",ORCAMENTOS!L2812)</f>
        <v>FECHADO</v>
      </c>
      <c r="K2804" s="34" t="str">
        <f>IF(ORCAMENTOS!M2812="","",ORCAMENTOS!M2812)</f>
        <v>-</v>
      </c>
      <c r="L2804" t="str">
        <f>IF(ORCAMENTOS!R2812="","",ORCAMENTOS!R2812)</f>
        <v>-</v>
      </c>
    </row>
    <row r="2805" spans="1:12" ht="15.75" hidden="1" customHeight="1" x14ac:dyDescent="0.25">
      <c r="A2805" s="36">
        <f>IF(ORCAMENTOS!A2813="","",ORCAMENTOS!A2813)</f>
        <v>46119</v>
      </c>
      <c r="B2805" s="46">
        <f>IF(ORCAMENTOS!B2813="","",ORCAMENTOS!B2813)</f>
        <v>628</v>
      </c>
      <c r="C2805" s="46" t="str">
        <f>IF(ORCAMENTOS!C2813="","",ORCAMENTOS!C2813)</f>
        <v/>
      </c>
      <c r="D2805" s="37" t="str">
        <f>IF(ORCAMENTOS!D2813="","",ORCAMENTOS!D2813)</f>
        <v>AMS INSTALACOES</v>
      </c>
      <c r="E2805" s="38" t="str">
        <f>IF(ORCAMENTOS!E2813="","",ORCAMENTOS!E2813)</f>
        <v>COMPER 223 - CORDEIROS</v>
      </c>
      <c r="F2805" s="37" t="str">
        <f>IF(ORCAMENTOS!G2813="","",ORCAMENTOS!G2813)</f>
        <v>Gabriel</v>
      </c>
      <c r="G2805" s="37" t="str">
        <f>IF(ORCAMENTOS!H2813="","",ORCAMENTOS!H2813)</f>
        <v>Albertino</v>
      </c>
      <c r="H2805" s="39">
        <f>IF(ORCAMENTOS!I2813="","",ORCAMENTOS!I2813)</f>
        <v>139823.03</v>
      </c>
      <c r="I2805" s="60">
        <f>IF(ORCAMENTOS!J2813="","",ORCAMENTOS!J2813)</f>
        <v>7.0000000000000007E-2</v>
      </c>
      <c r="J2805" s="40" t="str">
        <f>IF(ORCAMENTOS!L2813="","",ORCAMENTOS!L2813)</f>
        <v>ORCAMENTO</v>
      </c>
      <c r="K2805" s="34" t="str">
        <f>IF(ORCAMENTOS!M2813="","",ORCAMENTOS!M2813)</f>
        <v>-</v>
      </c>
      <c r="L2805" t="str">
        <f>IF(ORCAMENTOS!R2813="","",ORCAMENTOS!R2813)</f>
        <v>MPU</v>
      </c>
    </row>
    <row r="2806" spans="1:12" ht="15.75" hidden="1" customHeight="1" x14ac:dyDescent="0.25">
      <c r="A2806" s="36">
        <f>IF(ORCAMENTOS!A2814="","",ORCAMENTOS!A2814)</f>
        <v>46135</v>
      </c>
      <c r="B2806" s="46">
        <f>IF(ORCAMENTOS!B2814="","",ORCAMENTOS!B2814)</f>
        <v>629</v>
      </c>
      <c r="C2806" s="46" t="str">
        <f>IF(ORCAMENTOS!C2814="","",ORCAMENTOS!C2814)</f>
        <v/>
      </c>
      <c r="D2806" s="37" t="str">
        <f>IF(ORCAMENTOS!D2814="","",ORCAMENTOS!D2814)</f>
        <v>ECOTHERM</v>
      </c>
      <c r="E2806" s="38" t="str">
        <f>IF(ORCAMENTOS!E2814="","",ORCAMENTOS!E2814)</f>
        <v>REDE DOR</v>
      </c>
      <c r="F2806" s="37" t="str">
        <f>IF(ORCAMENTOS!G2814="","",ORCAMENTOS!G2814)</f>
        <v>Emanuel</v>
      </c>
      <c r="G2806" s="37" t="str">
        <f>IF(ORCAMENTOS!H2814="","",ORCAMENTOS!H2814)</f>
        <v>Helida</v>
      </c>
      <c r="H2806" s="39">
        <f>IF(ORCAMENTOS!I2814="","",ORCAMENTOS!I2814)</f>
        <v>2388.8000000000002</v>
      </c>
      <c r="I2806" s="60">
        <f>IF(ORCAMENTOS!J2814="","",ORCAMENTOS!J2814)</f>
        <v>7.0000000000000007E-2</v>
      </c>
      <c r="J2806" s="40" t="str">
        <f>IF(ORCAMENTOS!L2814="","",ORCAMENTOS!L2814)</f>
        <v>PERDIDO</v>
      </c>
      <c r="K2806" s="34" t="str">
        <f>IF(ORCAMENTOS!M2814="","",ORCAMENTOS!M2814)</f>
        <v>ARCOTEC - PRAZO</v>
      </c>
      <c r="L2806" t="str">
        <f>IF(ORCAMENTOS!R2814="","",ORCAMENTOS!R2814)</f>
        <v>-</v>
      </c>
    </row>
    <row r="2807" spans="1:12" ht="15.75" hidden="1" customHeight="1" x14ac:dyDescent="0.25">
      <c r="A2807" s="36">
        <f>IF(ORCAMENTOS!A2815="","",ORCAMENTOS!A2815)</f>
        <v>46119</v>
      </c>
      <c r="B2807" s="46">
        <f>IF(ORCAMENTOS!B2815="","",ORCAMENTOS!B2815)</f>
        <v>630</v>
      </c>
      <c r="C2807" s="46" t="str">
        <f>IF(ORCAMENTOS!C2815="","",ORCAMENTOS!C2815)</f>
        <v/>
      </c>
      <c r="D2807" s="37" t="str">
        <f>IF(ORCAMENTOS!D2815="","",ORCAMENTOS!D2815)</f>
        <v>INOVECTOR</v>
      </c>
      <c r="E2807" s="38" t="str">
        <f>IF(ORCAMENTOS!E2815="","",ORCAMENTOS!E2815)</f>
        <v>25/007 - SANTA ISABEL</v>
      </c>
      <c r="F2807" s="37" t="str">
        <f>IF(ORCAMENTOS!G2815="","",ORCAMENTOS!G2815)</f>
        <v>Fernando</v>
      </c>
      <c r="G2807" s="37" t="str">
        <f>IF(ORCAMENTOS!H2815="","",ORCAMENTOS!H2815)</f>
        <v>Cristina</v>
      </c>
      <c r="H2807" s="39">
        <f>IF(ORCAMENTOS!I2815="","",ORCAMENTOS!I2815)</f>
        <v>4465.67</v>
      </c>
      <c r="I2807" s="60">
        <f>IF(ORCAMENTOS!J2815="","",ORCAMENTOS!J2815)</f>
        <v>0.04</v>
      </c>
      <c r="J2807" s="40" t="str">
        <f>IF(ORCAMENTOS!L2815="","",ORCAMENTOS!L2815)</f>
        <v>FECHADO</v>
      </c>
      <c r="K2807" s="34" t="str">
        <f>IF(ORCAMENTOS!M2815="","",ORCAMENTOS!M2815)</f>
        <v>-</v>
      </c>
      <c r="L2807" t="str">
        <f>IF(ORCAMENTOS!R2815="","",ORCAMENTOS!R2815)</f>
        <v>-</v>
      </c>
    </row>
    <row r="2808" spans="1:12" ht="15.75" hidden="1" customHeight="1" x14ac:dyDescent="0.25">
      <c r="A2808" s="36" t="str">
        <f>IF(ORCAMENTOS!A2816="","",ORCAMENTOS!A2816)</f>
        <v>070/4</v>
      </c>
      <c r="B2808" s="46">
        <f>IF(ORCAMENTOS!B2816="","",ORCAMENTOS!B2816)</f>
        <v>631</v>
      </c>
      <c r="C2808" s="46" t="str">
        <f>IF(ORCAMENTOS!C2816="","",ORCAMENTOS!C2816)</f>
        <v/>
      </c>
      <c r="D2808" s="37" t="str">
        <f>IF(ORCAMENTOS!D2816="","",ORCAMENTOS!D2816)</f>
        <v>EXAUSTAR</v>
      </c>
      <c r="E2808" s="38" t="str">
        <f>IF(ORCAMENTOS!E2816="","",ORCAMENTOS!E2816)</f>
        <v>BURGUER KING - ALVARENGA - SP</v>
      </c>
      <c r="F2808" s="37" t="str">
        <f>IF(ORCAMENTOS!G2816="","",ORCAMENTOS!G2816)</f>
        <v>Gabriel</v>
      </c>
      <c r="G2808" s="37" t="str">
        <f>IF(ORCAMENTOS!H2816="","",ORCAMENTOS!H2816)</f>
        <v>Guilherme</v>
      </c>
      <c r="H2808" s="39">
        <f>IF(ORCAMENTOS!I2816="","",ORCAMENTOS!I2816)</f>
        <v>19640.43</v>
      </c>
      <c r="I2808" s="60">
        <f>IF(ORCAMENTOS!J2816="","",ORCAMENTOS!J2816)</f>
        <v>7.0000000000000007E-2</v>
      </c>
      <c r="J2808" s="40" t="str">
        <f>IF(ORCAMENTOS!L2816="","",ORCAMENTOS!L2816)</f>
        <v>ORCAMENTO</v>
      </c>
      <c r="K2808" s="34" t="str">
        <f>IF(ORCAMENTOS!M2816="","",ORCAMENTOS!M2816)</f>
        <v>-</v>
      </c>
      <c r="L2808" t="str">
        <f>IF(ORCAMENTOS!R2816="","",ORCAMENTOS!R2816)</f>
        <v>MPU</v>
      </c>
    </row>
    <row r="2809" spans="1:12" ht="15.75" hidden="1" customHeight="1" x14ac:dyDescent="0.25">
      <c r="A2809" s="36">
        <f>IF(ORCAMENTOS!A2817="","",ORCAMENTOS!A2817)</f>
        <v>46119</v>
      </c>
      <c r="B2809" s="46">
        <f>IF(ORCAMENTOS!B2817="","",ORCAMENTOS!B2817)</f>
        <v>632</v>
      </c>
      <c r="C2809" s="46" t="str">
        <f>IF(ORCAMENTOS!C2817="","",ORCAMENTOS!C2817)</f>
        <v/>
      </c>
      <c r="D2809" s="37" t="str">
        <f>IF(ORCAMENTOS!D2817="","",ORCAMENTOS!D2817)</f>
        <v>kONAR</v>
      </c>
      <c r="E2809" s="38" t="str">
        <f>IF(ORCAMENTOS!E2817="","",ORCAMENTOS!E2817)</f>
        <v>426-23 - KSM GUARULHOS</v>
      </c>
      <c r="F2809" s="37" t="str">
        <f>IF(ORCAMENTOS!G2817="","",ORCAMENTOS!G2817)</f>
        <v>Michel</v>
      </c>
      <c r="G2809" s="37" t="str">
        <f>IF(ORCAMENTOS!H2817="","",ORCAMENTOS!H2817)</f>
        <v>Fabio</v>
      </c>
      <c r="H2809" s="39">
        <f>IF(ORCAMENTOS!I2817="","",ORCAMENTOS!I2817)</f>
        <v>9337.8799999999992</v>
      </c>
      <c r="I2809" s="60">
        <f>IF(ORCAMENTOS!J2817="","",ORCAMENTOS!J2817)</f>
        <v>7.0000000000000007E-2</v>
      </c>
      <c r="J2809" s="40" t="str">
        <f>IF(ORCAMENTOS!L2817="","",ORCAMENTOS!L2817)</f>
        <v>FECHADO</v>
      </c>
      <c r="K2809" s="34" t="str">
        <f>IF(ORCAMENTOS!M2817="","",ORCAMENTOS!M2817)</f>
        <v>-</v>
      </c>
      <c r="L2809" t="str">
        <f>IF(ORCAMENTOS!R2817="","",ORCAMENTOS!R2817)</f>
        <v>-</v>
      </c>
    </row>
    <row r="2810" spans="1:12" ht="15.75" hidden="1" customHeight="1" x14ac:dyDescent="0.25">
      <c r="A2810" s="36">
        <f>IF(ORCAMENTOS!A2818="","",ORCAMENTOS!A2818)</f>
        <v>46120</v>
      </c>
      <c r="B2810" s="46">
        <f>IF(ORCAMENTOS!B2818="","",ORCAMENTOS!B2818)</f>
        <v>633</v>
      </c>
      <c r="C2810" s="46" t="str">
        <f>IF(ORCAMENTOS!C2818="","",ORCAMENTOS!C2818)</f>
        <v/>
      </c>
      <c r="D2810" s="37" t="str">
        <f>IF(ORCAMENTOS!D2818="","",ORCAMENTOS!D2818)</f>
        <v>NATIAR CLIMATIZACAO</v>
      </c>
      <c r="E2810" s="38" t="str">
        <f>IF(ORCAMENTOS!E2818="","",ORCAMENTOS!E2818)</f>
        <v>-</v>
      </c>
      <c r="F2810" s="37" t="str">
        <f>IF(ORCAMENTOS!G2818="","",ORCAMENTOS!G2818)</f>
        <v>Gabriel</v>
      </c>
      <c r="G2810" s="37" t="str">
        <f>IF(ORCAMENTOS!H2818="","",ORCAMENTOS!H2818)</f>
        <v>Walquiria</v>
      </c>
      <c r="H2810" s="39">
        <f>IF(ORCAMENTOS!I2818="","",ORCAMENTOS!I2818)</f>
        <v>15457.28</v>
      </c>
      <c r="I2810" s="60">
        <f>IF(ORCAMENTOS!J2818="","",ORCAMENTOS!J2818)</f>
        <v>7.0000000000000007E-2</v>
      </c>
      <c r="J2810" s="40" t="str">
        <f>IF(ORCAMENTOS!L2818="","",ORCAMENTOS!L2818)</f>
        <v>COMPRA</v>
      </c>
      <c r="K2810" s="34" t="str">
        <f>IF(ORCAMENTOS!M2818="","",ORCAMENTOS!M2818)</f>
        <v>-</v>
      </c>
      <c r="L2810" t="str">
        <f>IF(ORCAMENTOS!R2818="","",ORCAMENTOS!R2818)</f>
        <v>-</v>
      </c>
    </row>
    <row r="2811" spans="1:12" ht="15.75" hidden="1" customHeight="1" x14ac:dyDescent="0.25">
      <c r="A2811" s="36">
        <f>IF(ORCAMENTOS!A2819="","",ORCAMENTOS!A2819)</f>
        <v>46120</v>
      </c>
      <c r="B2811" s="46">
        <f>IF(ORCAMENTOS!B2819="","",ORCAMENTOS!B2819)</f>
        <v>634</v>
      </c>
      <c r="C2811" s="46" t="str">
        <f>IF(ORCAMENTOS!C2819="","",ORCAMENTOS!C2819)</f>
        <v>R1</v>
      </c>
      <c r="D2811" s="37" t="str">
        <f>IF(ORCAMENTOS!D2819="","",ORCAMENTOS!D2819)</f>
        <v>SIVAC</v>
      </c>
      <c r="E2811" s="38" t="str">
        <f>IF(ORCAMENTOS!E2819="","",ORCAMENTOS!E2819)</f>
        <v>BLUE NOTE 2 - CONSOLACAO - SALA 2</v>
      </c>
      <c r="F2811" s="37" t="str">
        <f>IF(ORCAMENTOS!G2819="","",ORCAMENTOS!G2819)</f>
        <v>Michel</v>
      </c>
      <c r="G2811" s="37" t="str">
        <f>IF(ORCAMENTOS!H2819="","",ORCAMENTOS!H2819)</f>
        <v>Franco</v>
      </c>
      <c r="H2811" s="39">
        <f>IF(ORCAMENTOS!I2819="","",ORCAMENTOS!I2819)</f>
        <v>50689.62</v>
      </c>
      <c r="I2811" s="60">
        <f>IF(ORCAMENTOS!J2819="","",ORCAMENTOS!J2819)</f>
        <v>0.05</v>
      </c>
      <c r="J2811" s="40" t="str">
        <f>IF(ORCAMENTOS!L2819="","",ORCAMENTOS!L2819)</f>
        <v>CANCELADO</v>
      </c>
      <c r="K2811" s="34" t="str">
        <f>IF(ORCAMENTOS!M2819="","",ORCAMENTOS!M2819)</f>
        <v>-</v>
      </c>
      <c r="L2811" t="str">
        <f>IF(ORCAMENTOS!R2819="","",ORCAMENTOS!R2819)</f>
        <v/>
      </c>
    </row>
    <row r="2812" spans="1:12" ht="15.75" hidden="1" customHeight="1" x14ac:dyDescent="0.25">
      <c r="A2812" s="36">
        <f>IF(ORCAMENTOS!A2820="","",ORCAMENTOS!A2820)</f>
        <v>46120</v>
      </c>
      <c r="B2812" s="46">
        <f>IF(ORCAMENTOS!B2820="","",ORCAMENTOS!B2820)</f>
        <v>635</v>
      </c>
      <c r="C2812" s="46" t="str">
        <f>IF(ORCAMENTOS!C2820="","",ORCAMENTOS!C2820)</f>
        <v>R1</v>
      </c>
      <c r="D2812" s="37" t="str">
        <f>IF(ORCAMENTOS!D2820="","",ORCAMENTOS!D2820)</f>
        <v>PRODAC</v>
      </c>
      <c r="E2812" s="38" t="str">
        <f>IF(ORCAMENTOS!E2820="","",ORCAMENTOS!E2820)</f>
        <v>DF STAR</v>
      </c>
      <c r="F2812" s="37" t="str">
        <f>IF(ORCAMENTOS!G2820="","",ORCAMENTOS!G2820)</f>
        <v>Fernando</v>
      </c>
      <c r="G2812" s="37" t="str">
        <f>IF(ORCAMENTOS!H2820="","",ORCAMENTOS!H2820)</f>
        <v>Henrique</v>
      </c>
      <c r="H2812" s="39">
        <f>IF(ORCAMENTOS!I2820="","",ORCAMENTOS!I2820)</f>
        <v>7938</v>
      </c>
      <c r="I2812" s="60">
        <f>IF(ORCAMENTOS!J2820="","",ORCAMENTOS!J2820)</f>
        <v>0.05</v>
      </c>
      <c r="J2812" s="40" t="str">
        <f>IF(ORCAMENTOS!L2820="","",ORCAMENTOS!L2820)</f>
        <v>FECHADO</v>
      </c>
      <c r="K2812" s="34" t="str">
        <f>IF(ORCAMENTOS!M2820="","",ORCAMENTOS!M2820)</f>
        <v>-</v>
      </c>
      <c r="L2812" t="str">
        <f>IF(ORCAMENTOS!R2820="","",ORCAMENTOS!R2820)</f>
        <v>-</v>
      </c>
    </row>
    <row r="2813" spans="1:12" ht="15.75" hidden="1" customHeight="1" x14ac:dyDescent="0.25">
      <c r="A2813" s="36">
        <f>IF(ORCAMENTOS!A2821="","",ORCAMENTOS!A2821)</f>
        <v>46120</v>
      </c>
      <c r="B2813" s="46">
        <f>IF(ORCAMENTOS!B2821="","",ORCAMENTOS!B2821)</f>
        <v>636</v>
      </c>
      <c r="C2813" s="46" t="str">
        <f>IF(ORCAMENTOS!C2821="","",ORCAMENTOS!C2821)</f>
        <v/>
      </c>
      <c r="D2813" s="37" t="str">
        <f>IF(ORCAMENTOS!D2821="","",ORCAMENTOS!D2821)</f>
        <v>GLACIAL AR</v>
      </c>
      <c r="E2813" s="38" t="str">
        <f>IF(ORCAMENTOS!E2821="","",ORCAMENTOS!E2821)</f>
        <v>RI HAPPY - SHOPPING MORUMBI</v>
      </c>
      <c r="F2813" s="37" t="str">
        <f>IF(ORCAMENTOS!G2821="","",ORCAMENTOS!G2821)</f>
        <v>Fernando</v>
      </c>
      <c r="G2813" s="37" t="str">
        <f>IF(ORCAMENTOS!H2821="","",ORCAMENTOS!H2821)</f>
        <v>Gilvan</v>
      </c>
      <c r="H2813" s="39">
        <f>IF(ORCAMENTOS!I2821="","",ORCAMENTOS!I2821)</f>
        <v>14501.1</v>
      </c>
      <c r="I2813" s="60">
        <f>IF(ORCAMENTOS!J2821="","",ORCAMENTOS!J2821)</f>
        <v>7.0000000000000007E-2</v>
      </c>
      <c r="J2813" s="40" t="str">
        <f>IF(ORCAMENTOS!L2821="","",ORCAMENTOS!L2821)</f>
        <v>ORCAMENTO</v>
      </c>
      <c r="K2813" s="34" t="str">
        <f>IF(ORCAMENTOS!M2821="","",ORCAMENTOS!M2821)</f>
        <v>-</v>
      </c>
      <c r="L2813" t="str">
        <f>IF(ORCAMENTOS!R2821="","",ORCAMENTOS!R2821)</f>
        <v>N/E</v>
      </c>
    </row>
    <row r="2814" spans="1:12" ht="15.75" hidden="1" customHeight="1" x14ac:dyDescent="0.25">
      <c r="A2814" s="36">
        <f>IF(ORCAMENTOS!A2822="","",ORCAMENTOS!A2822)</f>
        <v>46120</v>
      </c>
      <c r="B2814" s="46">
        <f>IF(ORCAMENTOS!B2822="","",ORCAMENTOS!B2822)</f>
        <v>637</v>
      </c>
      <c r="C2814" s="46" t="str">
        <f>IF(ORCAMENTOS!C2822="","",ORCAMENTOS!C2822)</f>
        <v/>
      </c>
      <c r="D2814" s="37" t="str">
        <f>IF(ORCAMENTOS!D2822="","",ORCAMENTOS!D2822)</f>
        <v>POLO CLIMA</v>
      </c>
      <c r="E2814" s="38" t="str">
        <f>IF(ORCAMENTOS!E2822="","",ORCAMENTOS!E2822)</f>
        <v>RI HAPPY - SHOPPING MORUMBI</v>
      </c>
      <c r="F2814" s="37" t="str">
        <f>IF(ORCAMENTOS!G2822="","",ORCAMENTOS!G2822)</f>
        <v>Michel</v>
      </c>
      <c r="G2814" s="37" t="str">
        <f>IF(ORCAMENTOS!H2822="","",ORCAMENTOS!H2822)</f>
        <v>Dalaval</v>
      </c>
      <c r="H2814" s="39">
        <f>IF(ORCAMENTOS!I2822="","",ORCAMENTOS!I2822)</f>
        <v>14501.1</v>
      </c>
      <c r="I2814" s="60">
        <f>IF(ORCAMENTOS!J2822="","",ORCAMENTOS!J2822)</f>
        <v>7.0000000000000007E-2</v>
      </c>
      <c r="J2814" s="40" t="str">
        <f>IF(ORCAMENTOS!L2822="","",ORCAMENTOS!L2822)</f>
        <v>CANCELADO</v>
      </c>
      <c r="K2814" s="34" t="str">
        <f>IF(ORCAMENTOS!M2822="","",ORCAMENTOS!M2822)</f>
        <v>-</v>
      </c>
      <c r="L2814" t="str">
        <f>IF(ORCAMENTOS!R2822="","",ORCAMENTOS!R2822)</f>
        <v>N/E</v>
      </c>
    </row>
    <row r="2815" spans="1:12" ht="15.75" hidden="1" customHeight="1" x14ac:dyDescent="0.25">
      <c r="A2815" s="36">
        <f>IF(ORCAMENTOS!A2823="","",ORCAMENTOS!A2823)</f>
        <v>46120</v>
      </c>
      <c r="B2815" s="46">
        <f>IF(ORCAMENTOS!B2823="","",ORCAMENTOS!B2823)</f>
        <v>638</v>
      </c>
      <c r="C2815" s="46" t="str">
        <f>IF(ORCAMENTOS!C2823="","",ORCAMENTOS!C2823)</f>
        <v/>
      </c>
      <c r="D2815" s="37" t="str">
        <f>IF(ORCAMENTOS!D2823="","",ORCAMENTOS!D2823)</f>
        <v>TARKAT REFRIGERACAO</v>
      </c>
      <c r="E2815" s="38" t="str">
        <f>IF(ORCAMENTOS!E2823="","",ORCAMENTOS!E2823)</f>
        <v>BARRY CALLEBAUT ITABUNA - BA - PULVERIZACAO FASE 1</v>
      </c>
      <c r="F2815" s="37" t="str">
        <f>IF(ORCAMENTOS!G2823="","",ORCAMENTOS!G2823)</f>
        <v>Michel</v>
      </c>
      <c r="G2815" s="37" t="str">
        <f>IF(ORCAMENTOS!H2823="","",ORCAMENTOS!H2823)</f>
        <v>Luiz</v>
      </c>
      <c r="H2815" s="39">
        <f>IF(ORCAMENTOS!I2823="","",ORCAMENTOS!I2823)</f>
        <v>87391.92</v>
      </c>
      <c r="I2815" s="60">
        <f>IF(ORCAMENTOS!J2823="","",ORCAMENTOS!J2823)</f>
        <v>7.0000000000000007E-2</v>
      </c>
      <c r="J2815" s="40" t="str">
        <f>IF(ORCAMENTOS!L2823="","",ORCAMENTOS!L2823)</f>
        <v>ORCAMENTO</v>
      </c>
      <c r="K2815" s="34" t="str">
        <f>IF(ORCAMENTOS!M2823="","",ORCAMENTOS!M2823)</f>
        <v>-</v>
      </c>
      <c r="L2815" t="str">
        <f>IF(ORCAMENTOS!R2823="","",ORCAMENTOS!R2823)</f>
        <v>-</v>
      </c>
    </row>
    <row r="2816" spans="1:12" ht="15.75" hidden="1" customHeight="1" x14ac:dyDescent="0.25">
      <c r="A2816" s="36">
        <f>IF(ORCAMENTOS!A2824="","",ORCAMENTOS!A2824)</f>
        <v>46120</v>
      </c>
      <c r="B2816" s="46">
        <f>IF(ORCAMENTOS!B2824="","",ORCAMENTOS!B2824)</f>
        <v>639</v>
      </c>
      <c r="C2816" s="46" t="str">
        <f>IF(ORCAMENTOS!C2824="","",ORCAMENTOS!C2824)</f>
        <v/>
      </c>
      <c r="D2816" s="37" t="str">
        <f>IF(ORCAMENTOS!D2824="","",ORCAMENTOS!D2824)</f>
        <v>TARKAT REFRIGERACAO</v>
      </c>
      <c r="E2816" s="38" t="str">
        <f>IF(ORCAMENTOS!E2824="","",ORCAMENTOS!E2824)</f>
        <v>BARRY CALLEBAUT ITABUNA - BA - PULVERIZACAO FASE 2</v>
      </c>
      <c r="F2816" s="37" t="str">
        <f>IF(ORCAMENTOS!G2824="","",ORCAMENTOS!G2824)</f>
        <v>Michel</v>
      </c>
      <c r="G2816" s="37" t="str">
        <f>IF(ORCAMENTOS!H2824="","",ORCAMENTOS!H2824)</f>
        <v>Luiz</v>
      </c>
      <c r="H2816" s="39">
        <f>IF(ORCAMENTOS!I2824="","",ORCAMENTOS!I2824)</f>
        <v>80985.33</v>
      </c>
      <c r="I2816" s="60">
        <f>IF(ORCAMENTOS!J2824="","",ORCAMENTOS!J2824)</f>
        <v>7.0000000000000007E-2</v>
      </c>
      <c r="J2816" s="40" t="str">
        <f>IF(ORCAMENTOS!L2824="","",ORCAMENTOS!L2824)</f>
        <v>ORCAMENTO</v>
      </c>
      <c r="K2816" s="34" t="str">
        <f>IF(ORCAMENTOS!M2824="","",ORCAMENTOS!M2824)</f>
        <v>-</v>
      </c>
      <c r="L2816" t="str">
        <f>IF(ORCAMENTOS!R2824="","",ORCAMENTOS!R2824)</f>
        <v>-</v>
      </c>
    </row>
    <row r="2817" spans="1:12" ht="15.75" hidden="1" customHeight="1" x14ac:dyDescent="0.25">
      <c r="A2817" s="36">
        <f>IF(ORCAMENTOS!A2825="","",ORCAMENTOS!A2825)</f>
        <v>46120</v>
      </c>
      <c r="B2817" s="46">
        <f>IF(ORCAMENTOS!B2825="","",ORCAMENTOS!B2825)</f>
        <v>640</v>
      </c>
      <c r="C2817" s="46" t="str">
        <f>IF(ORCAMENTOS!C2825="","",ORCAMENTOS!C2825)</f>
        <v/>
      </c>
      <c r="D2817" s="37" t="str">
        <f>IF(ORCAMENTOS!D2825="","",ORCAMENTOS!D2825)</f>
        <v>KEISAN</v>
      </c>
      <c r="E2817" s="38" t="str">
        <f>IF(ORCAMENTOS!E2825="","",ORCAMENTOS!E2825)</f>
        <v>-</v>
      </c>
      <c r="F2817" s="37" t="str">
        <f>IF(ORCAMENTOS!G2825="","",ORCAMENTOS!G2825)</f>
        <v>Guilherme</v>
      </c>
      <c r="G2817" s="37" t="str">
        <f>IF(ORCAMENTOS!H2825="","",ORCAMENTOS!H2825)</f>
        <v>Jessica</v>
      </c>
      <c r="H2817" s="39">
        <f>IF(ORCAMENTOS!I2825="","",ORCAMENTOS!I2825)</f>
        <v>41051.129999999997</v>
      </c>
      <c r="I2817" s="60">
        <f>IF(ORCAMENTOS!J2825="","",ORCAMENTOS!J2825)</f>
        <v>7.0000000000000007E-2</v>
      </c>
      <c r="J2817" s="40" t="str">
        <f>IF(ORCAMENTOS!L2825="","",ORCAMENTOS!L2825)</f>
        <v>CANCELADO</v>
      </c>
      <c r="K2817" s="34" t="str">
        <f>IF(ORCAMENTOS!M2825="","",ORCAMENTOS!M2825)</f>
        <v>-</v>
      </c>
      <c r="L2817" t="str">
        <f>IF(ORCAMENTOS!R2825="","",ORCAMENTOS!R2825)</f>
        <v>-</v>
      </c>
    </row>
    <row r="2818" spans="1:12" ht="15.75" hidden="1" customHeight="1" x14ac:dyDescent="0.25">
      <c r="A2818" s="36">
        <f>IF(ORCAMENTOS!A2826="","",ORCAMENTOS!A2826)</f>
        <v>46120</v>
      </c>
      <c r="B2818" s="46">
        <f>IF(ORCAMENTOS!B2826="","",ORCAMENTOS!B2826)</f>
        <v>641</v>
      </c>
      <c r="C2818" s="46" t="str">
        <f>IF(ORCAMENTOS!C2826="","",ORCAMENTOS!C2826)</f>
        <v/>
      </c>
      <c r="D2818" s="37" t="str">
        <f>IF(ORCAMENTOS!D2826="","",ORCAMENTOS!D2826)</f>
        <v>ECOTHERM</v>
      </c>
      <c r="E2818" s="38" t="str">
        <f>IF(ORCAMENTOS!E2826="","",ORCAMENTOS!E2826)</f>
        <v>HOSPITAL REDE D ÓR RIBEIRÃO PRETO -SP</v>
      </c>
      <c r="F2818" s="37" t="str">
        <f>IF(ORCAMENTOS!G2826="","",ORCAMENTOS!G2826)</f>
        <v>Emanuel</v>
      </c>
      <c r="G2818" s="37" t="str">
        <f>IF(ORCAMENTOS!H2826="","",ORCAMENTOS!H2826)</f>
        <v>Selma</v>
      </c>
      <c r="H2818" s="39">
        <f>IF(ORCAMENTOS!I2826="","",ORCAMENTOS!I2826)</f>
        <v>158189.32999999999</v>
      </c>
      <c r="I2818" s="60">
        <f>IF(ORCAMENTOS!J2826="","",ORCAMENTOS!J2826)</f>
        <v>0.05</v>
      </c>
      <c r="J2818" s="40" t="str">
        <f>IF(ORCAMENTOS!L2826="","",ORCAMENTOS!L2826)</f>
        <v>PERDIDO</v>
      </c>
      <c r="K2818" s="34" t="str">
        <f>IF(ORCAMENTOS!M2826="","",ORCAMENTOS!M2826)</f>
        <v>MULTIVAC - PREÇO</v>
      </c>
      <c r="L2818" t="str">
        <f>IF(ORCAMENTOS!R2826="","",ORCAMENTOS!R2826)</f>
        <v>-</v>
      </c>
    </row>
    <row r="2819" spans="1:12" ht="15.75" hidden="1" customHeight="1" x14ac:dyDescent="0.25">
      <c r="A2819" s="36">
        <f>IF(ORCAMENTOS!A2827="","",ORCAMENTOS!A2827)</f>
        <v>46120</v>
      </c>
      <c r="B2819" s="46">
        <f>IF(ORCAMENTOS!B2827="","",ORCAMENTOS!B2827)</f>
        <v>642</v>
      </c>
      <c r="C2819" s="46" t="str">
        <f>IF(ORCAMENTOS!C2827="","",ORCAMENTOS!C2827)</f>
        <v>R1</v>
      </c>
      <c r="D2819" s="37" t="str">
        <f>IF(ORCAMENTOS!D2827="","",ORCAMENTOS!D2827)</f>
        <v>AMS INSTALACOES</v>
      </c>
      <c r="E2819" s="38" t="str">
        <f>IF(ORCAMENTOS!E2827="","",ORCAMENTOS!E2827)</f>
        <v>FORT VIDEIRAS</v>
      </c>
      <c r="F2819" s="37" t="str">
        <f>IF(ORCAMENTOS!G2827="","",ORCAMENTOS!G2827)</f>
        <v>Gabriel</v>
      </c>
      <c r="G2819" s="37" t="str">
        <f>IF(ORCAMENTOS!H2827="","",ORCAMENTOS!H2827)</f>
        <v>Albertino</v>
      </c>
      <c r="H2819" s="39">
        <f>IF(ORCAMENTOS!I2827="","",ORCAMENTOS!I2827)</f>
        <v>97694.15</v>
      </c>
      <c r="I2819" s="60">
        <f>IF(ORCAMENTOS!J2827="","",ORCAMENTOS!J2827)</f>
        <v>7.0000000000000007E-2</v>
      </c>
      <c r="J2819" s="40" t="str">
        <f>IF(ORCAMENTOS!L2827="","",ORCAMENTOS!L2827)</f>
        <v>ORCAMENTO</v>
      </c>
      <c r="K2819" s="34" t="str">
        <f>IF(ORCAMENTOS!M2827="","",ORCAMENTOS!M2827)</f>
        <v>-</v>
      </c>
      <c r="L2819" t="str">
        <f>IF(ORCAMENTOS!R2827="","",ORCAMENTOS!R2827)</f>
        <v>MPU</v>
      </c>
    </row>
    <row r="2820" spans="1:12" ht="15.75" hidden="1" customHeight="1" x14ac:dyDescent="0.25">
      <c r="A2820" s="36">
        <f>IF(ORCAMENTOS!A2828="","",ORCAMENTOS!A2828)</f>
        <v>46120</v>
      </c>
      <c r="B2820" s="46">
        <f>IF(ORCAMENTOS!B2828="","",ORCAMENTOS!B2828)</f>
        <v>643</v>
      </c>
      <c r="C2820" s="46" t="str">
        <f>IF(ORCAMENTOS!C2828="","",ORCAMENTOS!C2828)</f>
        <v/>
      </c>
      <c r="D2820" s="37" t="str">
        <f>IF(ORCAMENTOS!D2828="","",ORCAMENTOS!D2828)</f>
        <v>TERMOCLIMA</v>
      </c>
      <c r="E2820" s="38" t="str">
        <f>IF(ORCAMENTOS!E2828="","",ORCAMENTOS!E2828)</f>
        <v>ASSAI - LOJA OSASCO - SP</v>
      </c>
      <c r="F2820" s="37" t="str">
        <f>IF(ORCAMENTOS!G2828="","",ORCAMENTOS!G2828)</f>
        <v>Gabriel</v>
      </c>
      <c r="G2820" s="37" t="str">
        <f>IF(ORCAMENTOS!H2828="","",ORCAMENTOS!H2828)</f>
        <v>Pedro</v>
      </c>
      <c r="H2820" s="39">
        <f>IF(ORCAMENTOS!I2828="","",ORCAMENTOS!I2828)</f>
        <v>51965.5</v>
      </c>
      <c r="I2820" s="60">
        <f>IF(ORCAMENTOS!J2828="","",ORCAMENTOS!J2828)</f>
        <v>7.0000000000000007E-2</v>
      </c>
      <c r="J2820" s="40" t="str">
        <f>IF(ORCAMENTOS!L2828="","",ORCAMENTOS!L2828)</f>
        <v>ORCAMENTO</v>
      </c>
      <c r="K2820" s="34" t="str">
        <f>IF(ORCAMENTOS!M2828="","",ORCAMENTOS!M2828)</f>
        <v>-</v>
      </c>
      <c r="L2820" t="str">
        <f>IF(ORCAMENTOS!R2828="","",ORCAMENTOS!R2828)</f>
        <v>MPU</v>
      </c>
    </row>
    <row r="2821" spans="1:12" ht="15.75" hidden="1" customHeight="1" x14ac:dyDescent="0.25">
      <c r="A2821" s="36">
        <f>IF(ORCAMENTOS!A2829="","",ORCAMENTOS!A2829)</f>
        <v>46121</v>
      </c>
      <c r="B2821" s="46">
        <f>IF(ORCAMENTOS!B2829="","",ORCAMENTOS!B2829)</f>
        <v>644</v>
      </c>
      <c r="C2821" s="46" t="str">
        <f>IF(ORCAMENTOS!C2829="","",ORCAMENTOS!C2829)</f>
        <v/>
      </c>
      <c r="D2821" s="37" t="str">
        <f>IF(ORCAMENTOS!D2829="","",ORCAMENTOS!D2829)</f>
        <v>BQ AR CONDICIONADO</v>
      </c>
      <c r="E2821" s="38" t="str">
        <f>IF(ORCAMENTOS!E2829="","",ORCAMENTOS!E2829)</f>
        <v>-</v>
      </c>
      <c r="F2821" s="37" t="str">
        <f>IF(ORCAMENTOS!G2829="","",ORCAMENTOS!G2829)</f>
        <v>Gabriel</v>
      </c>
      <c r="G2821" s="37" t="str">
        <f>IF(ORCAMENTOS!H2829="","",ORCAMENTOS!H2829)</f>
        <v>Cristian</v>
      </c>
      <c r="H2821" s="39">
        <f>IF(ORCAMENTOS!I2829="","",ORCAMENTOS!I2829)</f>
        <v>11356.82</v>
      </c>
      <c r="I2821" s="60">
        <f>IF(ORCAMENTOS!J2829="","",ORCAMENTOS!J2829)</f>
        <v>7.0000000000000007E-2</v>
      </c>
      <c r="J2821" s="40" t="str">
        <f>IF(ORCAMENTOS!L2829="","",ORCAMENTOS!L2829)</f>
        <v>ORCAMENTO</v>
      </c>
      <c r="K2821" s="34" t="str">
        <f>IF(ORCAMENTOS!M2829="","",ORCAMENTOS!M2829)</f>
        <v>-</v>
      </c>
      <c r="L2821" t="str">
        <f>IF(ORCAMENTOS!R2829="","",ORCAMENTOS!R2829)</f>
        <v>-</v>
      </c>
    </row>
    <row r="2822" spans="1:12" ht="15.75" hidden="1" customHeight="1" x14ac:dyDescent="0.25">
      <c r="A2822" s="36">
        <f>IF(ORCAMENTOS!A2830="","",ORCAMENTOS!A2830)</f>
        <v>46163</v>
      </c>
      <c r="B2822" s="46">
        <f>IF(ORCAMENTOS!B2830="","",ORCAMENTOS!B2830)</f>
        <v>645</v>
      </c>
      <c r="C2822" s="46" t="str">
        <f>IF(ORCAMENTOS!C2830="","",ORCAMENTOS!C2830)</f>
        <v/>
      </c>
      <c r="D2822" s="37" t="str">
        <f>IF(ORCAMENTOS!D2830="","",ORCAMENTOS!D2830)</f>
        <v>ENGEMAC</v>
      </c>
      <c r="E2822" s="38" t="str">
        <f>IF(ORCAMENTOS!E2830="","",ORCAMENTOS!E2830)</f>
        <v>ITV BELÉM -ADICIONAL NO BREAK</v>
      </c>
      <c r="F2822" s="37" t="str">
        <f>IF(ORCAMENTOS!G2830="","",ORCAMENTOS!G2830)</f>
        <v>Fernando</v>
      </c>
      <c r="G2822" s="37" t="str">
        <f>IF(ORCAMENTOS!H2830="","",ORCAMENTOS!H2830)</f>
        <v>Carlos</v>
      </c>
      <c r="H2822" s="39">
        <f>IF(ORCAMENTOS!I2830="","",ORCAMENTOS!I2830)</f>
        <v>3163.58</v>
      </c>
      <c r="I2822" s="60">
        <f>IF(ORCAMENTOS!J2830="","",ORCAMENTOS!J2830)</f>
        <v>0.04</v>
      </c>
      <c r="J2822" s="40" t="str">
        <f>IF(ORCAMENTOS!L2830="","",ORCAMENTOS!L2830)</f>
        <v>PERDIDO</v>
      </c>
      <c r="K2822" s="34" t="str">
        <f>IF(ORCAMENTOS!M2830="","",ORCAMENTOS!M2830)</f>
        <v>MULTIVAC</v>
      </c>
      <c r="L2822" t="str">
        <f>IF(ORCAMENTOS!R2830="","",ORCAMENTOS!R2830)</f>
        <v>-</v>
      </c>
    </row>
    <row r="2823" spans="1:12" ht="15.75" hidden="1" customHeight="1" x14ac:dyDescent="0.25">
      <c r="A2823" s="36">
        <f>IF(ORCAMENTOS!A2831="","",ORCAMENTOS!A2831)</f>
        <v>46121</v>
      </c>
      <c r="B2823" s="46">
        <f>IF(ORCAMENTOS!B2831="","",ORCAMENTOS!B2831)</f>
        <v>646</v>
      </c>
      <c r="C2823" s="46" t="str">
        <f>IF(ORCAMENTOS!C2831="","",ORCAMENTOS!C2831)</f>
        <v/>
      </c>
      <c r="D2823" s="37" t="str">
        <f>IF(ORCAMENTOS!D2831="","",ORCAMENTOS!D2831)</f>
        <v>KONAR</v>
      </c>
      <c r="E2823" s="38" t="str">
        <f>IF(ORCAMENTOS!E2831="","",ORCAMENTOS!E2831)</f>
        <v>426-23 - Libercon - KSM LOG Guarulhos</v>
      </c>
      <c r="F2823" s="37" t="str">
        <f>IF(ORCAMENTOS!G2831="","",ORCAMENTOS!G2831)</f>
        <v>Michel</v>
      </c>
      <c r="G2823" s="37" t="str">
        <f>IF(ORCAMENTOS!H2831="","",ORCAMENTOS!H2831)</f>
        <v>Fabio</v>
      </c>
      <c r="H2823" s="39">
        <f>IF(ORCAMENTOS!I2831="","",ORCAMENTOS!I2831)</f>
        <v>12104.2</v>
      </c>
      <c r="I2823" s="60">
        <f>IF(ORCAMENTOS!J2831="","",ORCAMENTOS!J2831)</f>
        <v>7.0000000000000007E-2</v>
      </c>
      <c r="J2823" s="40" t="str">
        <f>IF(ORCAMENTOS!L2831="","",ORCAMENTOS!L2831)</f>
        <v>CANCELADO</v>
      </c>
      <c r="K2823" s="34" t="str">
        <f>IF(ORCAMENTOS!M2831="","",ORCAMENTOS!M2831)</f>
        <v>-</v>
      </c>
      <c r="L2823" t="str">
        <f>IF(ORCAMENTOS!R2831="","",ORCAMENTOS!R2831)</f>
        <v>-</v>
      </c>
    </row>
    <row r="2824" spans="1:12" ht="15.75" hidden="1" customHeight="1" x14ac:dyDescent="0.25">
      <c r="A2824" s="36">
        <f>IF(ORCAMENTOS!A2832="","",ORCAMENTOS!A2832)</f>
        <v>46121</v>
      </c>
      <c r="B2824" s="46">
        <f>IF(ORCAMENTOS!B2832="","",ORCAMENTOS!B2832)</f>
        <v>647</v>
      </c>
      <c r="C2824" s="46" t="str">
        <f>IF(ORCAMENTOS!C2832="","",ORCAMENTOS!C2832)</f>
        <v/>
      </c>
      <c r="D2824" s="37" t="str">
        <f>IF(ORCAMENTOS!D2832="","",ORCAMENTOS!D2832)</f>
        <v>NP CLIMATIZAÇÃO</v>
      </c>
      <c r="E2824" s="38" t="str">
        <f>IF(ORCAMENTOS!E2832="","",ORCAMENTOS!E2832)</f>
        <v>LUIZ FERNANDO CARDOSO AIRES - RESIDENCIAL TAMBORE</v>
      </c>
      <c r="F2824" s="37" t="str">
        <f>IF(ORCAMENTOS!G2832="","",ORCAMENTOS!G2832)</f>
        <v>Guilherme</v>
      </c>
      <c r="G2824" s="37" t="str">
        <f>IF(ORCAMENTOS!H2832="","",ORCAMENTOS!H2832)</f>
        <v>Maria</v>
      </c>
      <c r="H2824" s="39">
        <f>IF(ORCAMENTOS!I2832="","",ORCAMENTOS!I2832)</f>
        <v>5630.2</v>
      </c>
      <c r="I2824" s="60">
        <f>IF(ORCAMENTOS!J2832="","",ORCAMENTOS!J2832)</f>
        <v>7.0000000000000007E-2</v>
      </c>
      <c r="J2824" s="40" t="str">
        <f>IF(ORCAMENTOS!L2832="","",ORCAMENTOS!L2832)</f>
        <v>ORCAMENTO</v>
      </c>
      <c r="K2824" s="34" t="str">
        <f>IF(ORCAMENTOS!M2832="","",ORCAMENTOS!M2832)</f>
        <v>-</v>
      </c>
      <c r="L2824" t="str">
        <f>IF(ORCAMENTOS!R2832="","",ORCAMENTOS!R2832)</f>
        <v>-</v>
      </c>
    </row>
    <row r="2825" spans="1:12" ht="15.75" hidden="1" customHeight="1" x14ac:dyDescent="0.25">
      <c r="A2825" s="36">
        <f>IF(ORCAMENTOS!A2833="","",ORCAMENTOS!A2833)</f>
        <v>46121</v>
      </c>
      <c r="B2825" s="46">
        <f>IF(ORCAMENTOS!B2833="","",ORCAMENTOS!B2833)</f>
        <v>648</v>
      </c>
      <c r="C2825" s="46" t="str">
        <f>IF(ORCAMENTOS!C2833="","",ORCAMENTOS!C2833)</f>
        <v/>
      </c>
      <c r="D2825" s="37" t="str">
        <f>IF(ORCAMENTOS!D2833="","",ORCAMENTOS!D2833)</f>
        <v>DUTOLEVE</v>
      </c>
      <c r="E2825" s="38" t="str">
        <f>IF(ORCAMENTOS!E2833="","",ORCAMENTOS!E2833)</f>
        <v>LEVEMAX PARANAIBA</v>
      </c>
      <c r="F2825" s="37" t="str">
        <f>IF(ORCAMENTOS!G2833="","",ORCAMENTOS!G2833)</f>
        <v>Gabriel</v>
      </c>
      <c r="G2825" s="37" t="str">
        <f>IF(ORCAMENTOS!H2833="","",ORCAMENTOS!H2833)</f>
        <v>Roberto</v>
      </c>
      <c r="H2825" s="39">
        <f>IF(ORCAMENTOS!I2833="","",ORCAMENTOS!I2833)</f>
        <v>11520</v>
      </c>
      <c r="I2825" s="60">
        <f>IF(ORCAMENTOS!J2833="","",ORCAMENTOS!J2833)</f>
        <v>0.04</v>
      </c>
      <c r="J2825" s="40" t="str">
        <f>IF(ORCAMENTOS!L2833="","",ORCAMENTOS!L2833)</f>
        <v>COMPRA</v>
      </c>
      <c r="K2825" s="34" t="str">
        <f>IF(ORCAMENTOS!M2833="","",ORCAMENTOS!M2833)</f>
        <v>-</v>
      </c>
      <c r="L2825" t="str">
        <f>IF(ORCAMENTOS!R2833="","",ORCAMENTOS!R2833)</f>
        <v>-</v>
      </c>
    </row>
    <row r="2826" spans="1:12" ht="15.75" hidden="1" customHeight="1" x14ac:dyDescent="0.25">
      <c r="A2826" s="36">
        <f>IF(ORCAMENTOS!A2834="","",ORCAMENTOS!A2834)</f>
        <v>46121</v>
      </c>
      <c r="B2826" s="46">
        <f>IF(ORCAMENTOS!B2834="","",ORCAMENTOS!B2834)</f>
        <v>649</v>
      </c>
      <c r="C2826" s="46" t="str">
        <f>IF(ORCAMENTOS!C2834="","",ORCAMENTOS!C2834)</f>
        <v>R1</v>
      </c>
      <c r="D2826" s="37" t="str">
        <f>IF(ORCAMENTOS!D2834="","",ORCAMENTOS!D2834)</f>
        <v>KONAR</v>
      </c>
      <c r="E2826" s="38" t="str">
        <f>IF(ORCAMENTOS!E2834="","",ORCAMENTOS!E2834)</f>
        <v>-</v>
      </c>
      <c r="F2826" s="37" t="str">
        <f>IF(ORCAMENTOS!G2834="","",ORCAMENTOS!G2834)</f>
        <v>Michel</v>
      </c>
      <c r="G2826" s="37" t="str">
        <f>IF(ORCAMENTOS!H2834="","",ORCAMENTOS!H2834)</f>
        <v>Fabio</v>
      </c>
      <c r="H2826" s="39">
        <f>IF(ORCAMENTOS!I2834="","",ORCAMENTOS!I2834)</f>
        <v>14665.86</v>
      </c>
      <c r="I2826" s="60">
        <f>IF(ORCAMENTOS!J2834="","",ORCAMENTOS!J2834)</f>
        <v>0.03</v>
      </c>
      <c r="J2826" s="40" t="str">
        <f>IF(ORCAMENTOS!L2834="","",ORCAMENTOS!L2834)</f>
        <v>FECHADO</v>
      </c>
      <c r="K2826" s="34" t="str">
        <f>IF(ORCAMENTOS!M2834="","",ORCAMENTOS!M2834)</f>
        <v>-</v>
      </c>
      <c r="L2826" t="str">
        <f>IF(ORCAMENTOS!R2834="","",ORCAMENTOS!R2834)</f>
        <v>-</v>
      </c>
    </row>
    <row r="2827" spans="1:12" ht="15.75" hidden="1" customHeight="1" x14ac:dyDescent="0.25">
      <c r="A2827" s="36">
        <f>IF(ORCAMENTOS!A2835="","",ORCAMENTOS!A2835)</f>
        <v>46121</v>
      </c>
      <c r="B2827" s="46">
        <f>IF(ORCAMENTOS!B2835="","",ORCAMENTOS!B2835)</f>
        <v>650</v>
      </c>
      <c r="C2827" s="46" t="str">
        <f>IF(ORCAMENTOS!C2835="","",ORCAMENTOS!C2835)</f>
        <v/>
      </c>
      <c r="D2827" s="37" t="str">
        <f>IF(ORCAMENTOS!D2835="","",ORCAMENTOS!D2835)</f>
        <v>MONTAGEM VIEIRA</v>
      </c>
      <c r="E2827" s="38" t="str">
        <f>IF(ORCAMENTOS!E2835="","",ORCAMENTOS!E2835)</f>
        <v>INNOMOTICS MOTORES - JUNDIAI - SP</v>
      </c>
      <c r="F2827" s="37" t="str">
        <f>IF(ORCAMENTOS!G2835="","",ORCAMENTOS!G2835)</f>
        <v>Fernando</v>
      </c>
      <c r="G2827" s="37" t="str">
        <f>IF(ORCAMENTOS!H2835="","",ORCAMENTOS!H2835)</f>
        <v>Sergio</v>
      </c>
      <c r="H2827" s="39">
        <f>IF(ORCAMENTOS!I2835="","",ORCAMENTOS!I2835)</f>
        <v>4938.66</v>
      </c>
      <c r="I2827" s="60">
        <f>IF(ORCAMENTOS!J2835="","",ORCAMENTOS!J2835)</f>
        <v>7.0000000000000007E-2</v>
      </c>
      <c r="J2827" s="40" t="str">
        <f>IF(ORCAMENTOS!L2835="","",ORCAMENTOS!L2835)</f>
        <v>ORCAMENTO</v>
      </c>
      <c r="K2827" s="34" t="str">
        <f>IF(ORCAMENTOS!M2835="","",ORCAMENTOS!M2835)</f>
        <v>-</v>
      </c>
      <c r="L2827" t="str">
        <f>IF(ORCAMENTOS!R2835="","",ORCAMENTOS!R2835)</f>
        <v>PAINEIS PRE ISOLADOS</v>
      </c>
    </row>
    <row r="2828" spans="1:12" ht="15.75" hidden="1" customHeight="1" x14ac:dyDescent="0.25">
      <c r="A2828" s="36">
        <f>IF(ORCAMENTOS!A2836="","",ORCAMENTOS!A2836)</f>
        <v>46122</v>
      </c>
      <c r="B2828" s="46">
        <f>IF(ORCAMENTOS!B2836="","",ORCAMENTOS!B2836)</f>
        <v>651</v>
      </c>
      <c r="C2828" s="46" t="str">
        <f>IF(ORCAMENTOS!C2836="","",ORCAMENTOS!C2836)</f>
        <v>R1</v>
      </c>
      <c r="D2828" s="37" t="str">
        <f>IF(ORCAMENTOS!D2836="","",ORCAMENTOS!D2836)</f>
        <v>KONAR</v>
      </c>
      <c r="E2828" s="38" t="str">
        <f>IF(ORCAMENTOS!E2836="","",ORCAMENTOS!E2836)</f>
        <v>025-26 - JHSF - Casa Alemanha</v>
      </c>
      <c r="F2828" s="37" t="str">
        <f>IF(ORCAMENTOS!G2836="","",ORCAMENTOS!G2836)</f>
        <v>Michel</v>
      </c>
      <c r="G2828" s="37" t="str">
        <f>IF(ORCAMENTOS!H2836="","",ORCAMENTOS!H2836)</f>
        <v>Fabio</v>
      </c>
      <c r="H2828" s="39">
        <f>IF(ORCAMENTOS!I2836="","",ORCAMENTOS!I2836)</f>
        <v>32801.440000000002</v>
      </c>
      <c r="I2828" s="60">
        <f>IF(ORCAMENTOS!J2836="","",ORCAMENTOS!J2836)</f>
        <v>0.04</v>
      </c>
      <c r="J2828" s="40" t="str">
        <f>IF(ORCAMENTOS!L2836="","",ORCAMENTOS!L2836)</f>
        <v>FECHADO</v>
      </c>
      <c r="K2828" s="34" t="str">
        <f>IF(ORCAMENTOS!M2836="","",ORCAMENTOS!M2836)</f>
        <v>-</v>
      </c>
      <c r="L2828" t="str">
        <f>IF(ORCAMENTOS!R2836="","",ORCAMENTOS!R2836)</f>
        <v>-</v>
      </c>
    </row>
    <row r="2829" spans="1:12" ht="15.75" hidden="1" customHeight="1" x14ac:dyDescent="0.25">
      <c r="A2829" s="36">
        <f>IF(ORCAMENTOS!A2837="","",ORCAMENTOS!A2837)</f>
        <v>46126</v>
      </c>
      <c r="B2829" s="46">
        <f>IF(ORCAMENTOS!B2837="","",ORCAMENTOS!B2837)</f>
        <v>652</v>
      </c>
      <c r="C2829" s="46" t="str">
        <f>IF(ORCAMENTOS!C2837="","",ORCAMENTOS!C2837)</f>
        <v>R4</v>
      </c>
      <c r="D2829" s="37" t="str">
        <f>IF(ORCAMENTOS!D2837="","",ORCAMENTOS!D2837)</f>
        <v>FRM FABRICA</v>
      </c>
      <c r="E2829" s="38" t="str">
        <f>IF(ORCAMENTOS!E2837="","",ORCAMENTOS!E2837)</f>
        <v>BLUEFIT - CURSINO SP - 1317 - JARDIM SAUDE - SP</v>
      </c>
      <c r="F2829" s="37" t="str">
        <f>IF(ORCAMENTOS!G2837="","",ORCAMENTOS!G2837)</f>
        <v>Gabriel</v>
      </c>
      <c r="G2829" s="37" t="str">
        <f>IF(ORCAMENTOS!H2837="","",ORCAMENTOS!H2837)</f>
        <v>Matheus</v>
      </c>
      <c r="H2829" s="39">
        <f>IF(ORCAMENTOS!I2837="","",ORCAMENTOS!I2837)</f>
        <v>81672.22</v>
      </c>
      <c r="I2829" s="60">
        <f>IF(ORCAMENTOS!J2837="","",ORCAMENTOS!J2837)</f>
        <v>0.04</v>
      </c>
      <c r="J2829" s="40" t="str">
        <f>IF(ORCAMENTOS!L2837="","",ORCAMENTOS!L2837)</f>
        <v>FECHADO</v>
      </c>
      <c r="K2829" s="34" t="str">
        <f>IF(ORCAMENTOS!M2837="","",ORCAMENTOS!M2837)</f>
        <v>-</v>
      </c>
      <c r="L2829" t="str">
        <f>IF(ORCAMENTOS!R2837="","",ORCAMENTOS!R2837)</f>
        <v>N/E</v>
      </c>
    </row>
    <row r="2830" spans="1:12" ht="15.75" hidden="1" customHeight="1" x14ac:dyDescent="0.25">
      <c r="A2830" s="36">
        <f>IF(ORCAMENTOS!A2838="","",ORCAMENTOS!A2838)</f>
        <v>46121</v>
      </c>
      <c r="B2830" s="46">
        <f>IF(ORCAMENTOS!B2838="","",ORCAMENTOS!B2838)</f>
        <v>653</v>
      </c>
      <c r="C2830" s="46" t="str">
        <f>IF(ORCAMENTOS!C2838="","",ORCAMENTOS!C2838)</f>
        <v/>
      </c>
      <c r="D2830" s="37" t="str">
        <f>IF(ORCAMENTOS!D2838="","",ORCAMENTOS!D2838)</f>
        <v>ARPOL</v>
      </c>
      <c r="E2830" s="38" t="str">
        <f>IF(ORCAMENTOS!E2838="","",ORCAMENTOS!E2838)</f>
        <v>-</v>
      </c>
      <c r="F2830" s="37" t="str">
        <f>IF(ORCAMENTOS!G2838="","",ORCAMENTOS!G2838)</f>
        <v>Michel</v>
      </c>
      <c r="G2830" s="37" t="str">
        <f>IF(ORCAMENTOS!H2838="","",ORCAMENTOS!H2838)</f>
        <v>Fernando</v>
      </c>
      <c r="H2830" s="39">
        <f>IF(ORCAMENTOS!I2838="","",ORCAMENTOS!I2838)</f>
        <v>173658.83</v>
      </c>
      <c r="I2830" s="60">
        <f>IF(ORCAMENTOS!J2838="","",ORCAMENTOS!J2838)</f>
        <v>7.0000000000000007E-2</v>
      </c>
      <c r="J2830" s="40" t="str">
        <f>IF(ORCAMENTOS!L2838="","",ORCAMENTOS!L2838)</f>
        <v>CANCELADO</v>
      </c>
      <c r="K2830" s="34" t="str">
        <f>IF(ORCAMENTOS!M2838="","",ORCAMENTOS!M2838)</f>
        <v>-</v>
      </c>
      <c r="L2830" t="str">
        <f>IF(ORCAMENTOS!R2838="","",ORCAMENTOS!R2838)</f>
        <v>-</v>
      </c>
    </row>
    <row r="2831" spans="1:12" ht="15.75" hidden="1" customHeight="1" x14ac:dyDescent="0.25">
      <c r="A2831" s="36">
        <f>IF(ORCAMENTOS!A2839="","",ORCAMENTOS!A2839)</f>
        <v>46122</v>
      </c>
      <c r="B2831" s="46">
        <f>IF(ORCAMENTOS!B2839="","",ORCAMENTOS!B2839)</f>
        <v>654</v>
      </c>
      <c r="C2831" s="46" t="str">
        <f>IF(ORCAMENTOS!C2839="","",ORCAMENTOS!C2839)</f>
        <v/>
      </c>
      <c r="D2831" s="37" t="str">
        <f>IF(ORCAMENTOS!D2839="","",ORCAMENTOS!D2839)</f>
        <v>NOSSO AR</v>
      </c>
      <c r="E2831" s="38" t="str">
        <f>IF(ORCAMENTOS!E2839="","",ORCAMENTOS!E2839)</f>
        <v>-</v>
      </c>
      <c r="F2831" s="37" t="str">
        <f>IF(ORCAMENTOS!G2839="","",ORCAMENTOS!G2839)</f>
        <v>Gabriel</v>
      </c>
      <c r="G2831" s="37" t="str">
        <f>IF(ORCAMENTOS!H2839="","",ORCAMENTOS!H2839)</f>
        <v>Yasmin</v>
      </c>
      <c r="H2831" s="39">
        <f>IF(ORCAMENTOS!I2839="","",ORCAMENTOS!I2839)</f>
        <v>1809.15</v>
      </c>
      <c r="I2831" s="60">
        <f>IF(ORCAMENTOS!J2839="","",ORCAMENTOS!J2839)</f>
        <v>7.0000000000000007E-2</v>
      </c>
      <c r="J2831" s="40" t="str">
        <f>IF(ORCAMENTOS!L2839="","",ORCAMENTOS!L2839)</f>
        <v>ORCAMENTO</v>
      </c>
      <c r="K2831" s="34" t="str">
        <f>IF(ORCAMENTOS!M2839="","",ORCAMENTOS!M2839)</f>
        <v>-</v>
      </c>
      <c r="L2831" t="str">
        <f>IF(ORCAMENTOS!R2839="","",ORCAMENTOS!R2839)</f>
        <v>-</v>
      </c>
    </row>
    <row r="2832" spans="1:12" ht="15.75" hidden="1" customHeight="1" x14ac:dyDescent="0.25">
      <c r="A2832" s="36">
        <f>IF(ORCAMENTOS!A2840="","",ORCAMENTOS!A2840)</f>
        <v>46122</v>
      </c>
      <c r="B2832" s="46">
        <f>IF(ORCAMENTOS!B2840="","",ORCAMENTOS!B2840)</f>
        <v>655</v>
      </c>
      <c r="C2832" s="46" t="str">
        <f>IF(ORCAMENTOS!C2840="","",ORCAMENTOS!C2840)</f>
        <v/>
      </c>
      <c r="D2832" s="37" t="str">
        <f>IF(ORCAMENTOS!D2840="","",ORCAMENTOS!D2840)</f>
        <v>WH ENGENHARIA</v>
      </c>
      <c r="E2832" s="38" t="str">
        <f>IF(ORCAMENTOS!E2840="","",ORCAMENTOS!E2840)</f>
        <v>-</v>
      </c>
      <c r="F2832" s="37" t="str">
        <f>IF(ORCAMENTOS!G2840="","",ORCAMENTOS!G2840)</f>
        <v>Michel</v>
      </c>
      <c r="G2832" s="37" t="str">
        <f>IF(ORCAMENTOS!H2840="","",ORCAMENTOS!H2840)</f>
        <v>Roberto</v>
      </c>
      <c r="H2832" s="39">
        <f>IF(ORCAMENTOS!I2840="","",ORCAMENTOS!I2840)</f>
        <v>994</v>
      </c>
      <c r="I2832" s="60">
        <f>IF(ORCAMENTOS!J2840="","",ORCAMENTOS!J2840)</f>
        <v>7.0000000000000007E-2</v>
      </c>
      <c r="J2832" s="40" t="str">
        <f>IF(ORCAMENTOS!L2840="","",ORCAMENTOS!L2840)</f>
        <v>PERDIDO</v>
      </c>
      <c r="K2832" s="34" t="str">
        <f>IF(ORCAMENTOS!M2840="","",ORCAMENTOS!M2840)</f>
        <v>ARCOTEC - PRAZO</v>
      </c>
      <c r="L2832" t="str">
        <f>IF(ORCAMENTOS!R2840="","",ORCAMENTOS!R2840)</f>
        <v>-</v>
      </c>
    </row>
    <row r="2833" spans="1:12" ht="15.75" hidden="1" customHeight="1" x14ac:dyDescent="0.25">
      <c r="A2833" s="36">
        <f>IF(ORCAMENTOS!A2841="","",ORCAMENTOS!A2841)</f>
        <v>46122</v>
      </c>
      <c r="B2833" s="46">
        <f>IF(ORCAMENTOS!B2841="","",ORCAMENTOS!B2841)</f>
        <v>656</v>
      </c>
      <c r="C2833" s="46" t="str">
        <f>IF(ORCAMENTOS!C2841="","",ORCAMENTOS!C2841)</f>
        <v/>
      </c>
      <c r="D2833" s="37" t="str">
        <f>IF(ORCAMENTOS!D2841="","",ORCAMENTOS!D2841)</f>
        <v>OFFICEZ COMPANY</v>
      </c>
      <c r="E2833" s="38" t="str">
        <f>IF(ORCAMENTOS!E2841="","",ORCAMENTOS!E2841)</f>
        <v>07399 - Candeias - SALA DE BATERIAS</v>
      </c>
      <c r="F2833" s="37" t="str">
        <f>IF(ORCAMENTOS!G2841="","",ORCAMENTOS!G2841)</f>
        <v>Fernando</v>
      </c>
      <c r="G2833" s="37" t="str">
        <f>IF(ORCAMENTOS!H2841="","",ORCAMENTOS!H2841)</f>
        <v>Marcos</v>
      </c>
      <c r="H2833" s="39">
        <f>IF(ORCAMENTOS!I2841="","",ORCAMENTOS!I2841)</f>
        <v>2977.11</v>
      </c>
      <c r="I2833" s="60">
        <f>IF(ORCAMENTOS!J2841="","",ORCAMENTOS!J2841)</f>
        <v>0.04</v>
      </c>
      <c r="J2833" s="40" t="str">
        <f>IF(ORCAMENTOS!L2841="","",ORCAMENTOS!L2841)</f>
        <v>PERDIDO</v>
      </c>
      <c r="K2833" s="34" t="str">
        <f>IF(ORCAMENTOS!M2841="","",ORCAMENTOS!M2841)</f>
        <v>-</v>
      </c>
      <c r="L2833" t="str">
        <f>IF(ORCAMENTOS!R2841="","",ORCAMENTOS!R2841)</f>
        <v>-</v>
      </c>
    </row>
    <row r="2834" spans="1:12" ht="15.75" hidden="1" customHeight="1" x14ac:dyDescent="0.25">
      <c r="A2834" s="36">
        <f>IF(ORCAMENTOS!A2842="","",ORCAMENTOS!A2842)</f>
        <v>46125</v>
      </c>
      <c r="B2834" s="46">
        <f>IF(ORCAMENTOS!B2842="","",ORCAMENTOS!B2842)</f>
        <v>657</v>
      </c>
      <c r="C2834" s="46" t="str">
        <f>IF(ORCAMENTOS!C2842="","",ORCAMENTOS!C2842)</f>
        <v/>
      </c>
      <c r="D2834" s="37" t="str">
        <f>IF(ORCAMENTOS!D2842="","",ORCAMENTOS!D2842)</f>
        <v>CDT AR CONDICIONADO</v>
      </c>
      <c r="E2834" s="38" t="str">
        <f>IF(ORCAMENTOS!E2842="","",ORCAMENTOS!E2842)</f>
        <v>CLARO ARACAJU</v>
      </c>
      <c r="F2834" s="37" t="str">
        <f>IF(ORCAMENTOS!G2842="","",ORCAMENTOS!G2842)</f>
        <v>Fernando</v>
      </c>
      <c r="G2834" s="37" t="str">
        <f>IF(ORCAMENTOS!H2842="","",ORCAMENTOS!H2842)</f>
        <v>Caio</v>
      </c>
      <c r="H2834" s="39">
        <f>IF(ORCAMENTOS!I2842="","",ORCAMENTOS!I2842)</f>
        <v>22482.27</v>
      </c>
      <c r="I2834" s="60">
        <f>IF(ORCAMENTOS!J2842="","",ORCAMENTOS!J2842)</f>
        <v>7.0000000000000007E-2</v>
      </c>
      <c r="J2834" s="40" t="str">
        <f>IF(ORCAMENTOS!L2842="","",ORCAMENTOS!L2842)</f>
        <v>COMPRA</v>
      </c>
      <c r="K2834" s="34" t="str">
        <f>IF(ORCAMENTOS!M2842="","",ORCAMENTOS!M2842)</f>
        <v>PREV. MAIO</v>
      </c>
      <c r="L2834" t="str">
        <f>IF(ORCAMENTOS!R2842="","",ORCAMENTOS!R2842)</f>
        <v>-</v>
      </c>
    </row>
    <row r="2835" spans="1:12" ht="15.75" hidden="1" customHeight="1" x14ac:dyDescent="0.25">
      <c r="A2835" s="36">
        <f>IF(ORCAMENTOS!A2843="","",ORCAMENTOS!A2843)</f>
        <v>46125</v>
      </c>
      <c r="B2835" s="46">
        <f>IF(ORCAMENTOS!B2843="","",ORCAMENTOS!B2843)</f>
        <v>658</v>
      </c>
      <c r="C2835" s="46" t="str">
        <f>IF(ORCAMENTOS!C2843="","",ORCAMENTOS!C2843)</f>
        <v/>
      </c>
      <c r="D2835" s="37" t="str">
        <f>IF(ORCAMENTOS!D2843="","",ORCAMENTOS!D2843)</f>
        <v>UNION RHAC</v>
      </c>
      <c r="E2835" s="38" t="str">
        <f>IF(ORCAMENTOS!E2843="","",ORCAMENTOS!E2843)</f>
        <v>Nissin Tempero</v>
      </c>
      <c r="F2835" s="37" t="str">
        <f>IF(ORCAMENTOS!G2843="","",ORCAMENTOS!G2843)</f>
        <v>Emanuel</v>
      </c>
      <c r="G2835" s="37" t="str">
        <f>IF(ORCAMENTOS!H2843="","",ORCAMENTOS!H2843)</f>
        <v>Vinicius</v>
      </c>
      <c r="H2835" s="39">
        <f>IF(ORCAMENTOS!I2843="","",ORCAMENTOS!I2843)</f>
        <v>3000.03</v>
      </c>
      <c r="I2835" s="60">
        <f>IF(ORCAMENTOS!J2843="","",ORCAMENTOS!J2843)</f>
        <v>0.04</v>
      </c>
      <c r="J2835" s="40" t="str">
        <f>IF(ORCAMENTOS!L2843="","",ORCAMENTOS!L2843)</f>
        <v>FECHADO</v>
      </c>
      <c r="K2835" s="34" t="str">
        <f>IF(ORCAMENTOS!M2843="","",ORCAMENTOS!M2843)</f>
        <v>-</v>
      </c>
      <c r="L2835" t="str">
        <f>IF(ORCAMENTOS!R2843="","",ORCAMENTOS!R2843)</f>
        <v>-</v>
      </c>
    </row>
    <row r="2836" spans="1:12" ht="15.75" hidden="1" customHeight="1" x14ac:dyDescent="0.25">
      <c r="A2836" s="36">
        <f>IF(ORCAMENTOS!A2844="","",ORCAMENTOS!A2844)</f>
        <v>46125</v>
      </c>
      <c r="B2836" s="46">
        <f>IF(ORCAMENTOS!B2844="","",ORCAMENTOS!B2844)</f>
        <v>659</v>
      </c>
      <c r="C2836" s="46" t="str">
        <f>IF(ORCAMENTOS!C2844="","",ORCAMENTOS!C2844)</f>
        <v>R2</v>
      </c>
      <c r="D2836" s="37" t="str">
        <f>IF(ORCAMENTOS!D2844="","",ORCAMENTOS!D2844)</f>
        <v>GRIFO ENGENHARIA</v>
      </c>
      <c r="E2836" s="38" t="str">
        <f>IF(ORCAMENTOS!E2844="","",ORCAMENTOS!E2844)</f>
        <v>-</v>
      </c>
      <c r="F2836" s="37" t="str">
        <f>IF(ORCAMENTOS!G2844="","",ORCAMENTOS!G2844)</f>
        <v>Emanuel</v>
      </c>
      <c r="G2836" s="37" t="str">
        <f>IF(ORCAMENTOS!H2844="","",ORCAMENTOS!H2844)</f>
        <v>Tarcisio</v>
      </c>
      <c r="H2836" s="39">
        <f>IF(ORCAMENTOS!I2844="","",ORCAMENTOS!I2844)</f>
        <v>13233.44</v>
      </c>
      <c r="I2836" s="60">
        <f>IF(ORCAMENTOS!J2844="","",ORCAMENTOS!J2844)</f>
        <v>0.05</v>
      </c>
      <c r="J2836" s="40" t="str">
        <f>IF(ORCAMENTOS!L2844="","",ORCAMENTOS!L2844)</f>
        <v>FECHADO</v>
      </c>
      <c r="K2836" s="34" t="str">
        <f>IF(ORCAMENTOS!M2844="","",ORCAMENTOS!M2844)</f>
        <v>-</v>
      </c>
      <c r="L2836" t="str">
        <f>IF(ORCAMENTOS!R2844="","",ORCAMENTOS!R2844)</f>
        <v>-</v>
      </c>
    </row>
    <row r="2837" spans="1:12" ht="15.75" hidden="1" customHeight="1" x14ac:dyDescent="0.25">
      <c r="A2837" s="36">
        <f>IF(ORCAMENTOS!A2845="","",ORCAMENTOS!A2845)</f>
        <v>46125</v>
      </c>
      <c r="B2837" s="46">
        <f>IF(ORCAMENTOS!B2845="","",ORCAMENTOS!B2845)</f>
        <v>660</v>
      </c>
      <c r="C2837" s="46" t="str">
        <f>IF(ORCAMENTOS!C2845="","",ORCAMENTOS!C2845)</f>
        <v/>
      </c>
      <c r="D2837" s="37" t="str">
        <f>IF(ORCAMENTOS!D2845="","",ORCAMENTOS!D2845)</f>
        <v>INOVECTOR</v>
      </c>
      <c r="E2837" s="38" t="str">
        <f>IF(ORCAMENTOS!E2845="","",ORCAMENTOS!E2845)</f>
        <v>CEMED MARENGO</v>
      </c>
      <c r="F2837" s="37" t="str">
        <f>IF(ORCAMENTOS!G2845="","",ORCAMENTOS!G2845)</f>
        <v>Fernando</v>
      </c>
      <c r="G2837" s="37" t="str">
        <f>IF(ORCAMENTOS!H2845="","",ORCAMENTOS!H2845)</f>
        <v>Cristina</v>
      </c>
      <c r="H2837" s="39">
        <f>IF(ORCAMENTOS!I2845="","",ORCAMENTOS!I2845)</f>
        <v>15992.34</v>
      </c>
      <c r="I2837" s="60">
        <f>IF(ORCAMENTOS!J2845="","",ORCAMENTOS!J2845)</f>
        <v>0.04</v>
      </c>
      <c r="J2837" s="40" t="str">
        <f>IF(ORCAMENTOS!L2845="","",ORCAMENTOS!L2845)</f>
        <v>FECHADO</v>
      </c>
      <c r="K2837" s="34" t="str">
        <f>IF(ORCAMENTOS!M2845="","",ORCAMENTOS!M2845)</f>
        <v>-</v>
      </c>
      <c r="L2837" t="str">
        <f>IF(ORCAMENTOS!R2845="","",ORCAMENTOS!R2845)</f>
        <v>-</v>
      </c>
    </row>
    <row r="2838" spans="1:12" ht="15.75" hidden="1" customHeight="1" x14ac:dyDescent="0.25">
      <c r="A2838" s="36">
        <f>IF(ORCAMENTOS!A2846="","",ORCAMENTOS!A2846)</f>
        <v>46126</v>
      </c>
      <c r="B2838" s="46">
        <f>IF(ORCAMENTOS!B2846="","",ORCAMENTOS!B2846)</f>
        <v>661</v>
      </c>
      <c r="C2838" s="46" t="str">
        <f>IF(ORCAMENTOS!C2846="","",ORCAMENTOS!C2846)</f>
        <v>R2</v>
      </c>
      <c r="D2838" s="37" t="str">
        <f>IF(ORCAMENTOS!D2846="","",ORCAMENTOS!D2846)</f>
        <v>AMBI KONTROL</v>
      </c>
      <c r="E2838" s="38" t="str">
        <f>IF(ORCAMENTOS!E2846="","",ORCAMENTOS!E2846)</f>
        <v>-</v>
      </c>
      <c r="F2838" s="37" t="str">
        <f>IF(ORCAMENTOS!G2846="","",ORCAMENTOS!G2846)</f>
        <v>Gabriel</v>
      </c>
      <c r="G2838" s="37" t="str">
        <f>IF(ORCAMENTOS!H2846="","",ORCAMENTOS!H2846)</f>
        <v>Alan</v>
      </c>
      <c r="H2838" s="39">
        <f>IF(ORCAMENTOS!I2846="","",ORCAMENTOS!I2846)</f>
        <v>79094.66</v>
      </c>
      <c r="I2838" s="60">
        <f>IF(ORCAMENTOS!J2846="","",ORCAMENTOS!J2846)</f>
        <v>0.05</v>
      </c>
      <c r="J2838" s="40" t="str">
        <f>IF(ORCAMENTOS!L2846="","",ORCAMENTOS!L2846)</f>
        <v>FECHADO</v>
      </c>
      <c r="K2838" s="34" t="str">
        <f>IF(ORCAMENTOS!M2846="","",ORCAMENTOS!M2846)</f>
        <v>-</v>
      </c>
      <c r="L2838" t="str">
        <f>IF(ORCAMENTOS!R2846="","",ORCAMENTOS!R2846)</f>
        <v>-</v>
      </c>
    </row>
    <row r="2839" spans="1:12" ht="15.75" hidden="1" customHeight="1" x14ac:dyDescent="0.25">
      <c r="A2839" s="36">
        <f>IF(ORCAMENTOS!A2847="","",ORCAMENTOS!A2847)</f>
        <v>46125</v>
      </c>
      <c r="B2839" s="46">
        <f>IF(ORCAMENTOS!B2847="","",ORCAMENTOS!B2847)</f>
        <v>662</v>
      </c>
      <c r="C2839" s="46" t="str">
        <f>IF(ORCAMENTOS!C2847="","",ORCAMENTOS!C2847)</f>
        <v/>
      </c>
      <c r="D2839" s="37" t="str">
        <f>IF(ORCAMENTOS!D2847="","",ORCAMENTOS!D2847)</f>
        <v>AIRPLAN</v>
      </c>
      <c r="E2839" s="38" t="str">
        <f>IF(ORCAMENTOS!E2847="","",ORCAMENTOS!E2847)</f>
        <v>RIACHUELO - LAGO AZUL - BRASILIA - DF</v>
      </c>
      <c r="F2839" s="37" t="str">
        <f>IF(ORCAMENTOS!G2847="","",ORCAMENTOS!G2847)</f>
        <v>Guilherme</v>
      </c>
      <c r="G2839" s="37" t="str">
        <f>IF(ORCAMENTOS!H2847="","",ORCAMENTOS!H2847)</f>
        <v>Gabriel</v>
      </c>
      <c r="H2839" s="39">
        <f>IF(ORCAMENTOS!I2847="","",ORCAMENTOS!I2847)</f>
        <v>50194.17</v>
      </c>
      <c r="I2839" s="60">
        <f>IF(ORCAMENTOS!J2847="","",ORCAMENTOS!J2847)</f>
        <v>7.0000000000000007E-2</v>
      </c>
      <c r="J2839" s="40" t="str">
        <f>IF(ORCAMENTOS!L2847="","",ORCAMENTOS!L2847)</f>
        <v>ORCAMENTO</v>
      </c>
      <c r="K2839" s="34" t="str">
        <f>IF(ORCAMENTOS!M2847="","",ORCAMENTOS!M2847)</f>
        <v>PREV. JUNHO/26</v>
      </c>
      <c r="L2839" t="str">
        <f>IF(ORCAMENTOS!R2847="","",ORCAMENTOS!R2847)</f>
        <v>MPU</v>
      </c>
    </row>
    <row r="2840" spans="1:12" ht="15.75" hidden="1" customHeight="1" x14ac:dyDescent="0.25">
      <c r="A2840" s="36">
        <f>IF(ORCAMENTOS!A2848="","",ORCAMENTOS!A2848)</f>
        <v>46125</v>
      </c>
      <c r="B2840" s="46">
        <f>IF(ORCAMENTOS!B2848="","",ORCAMENTOS!B2848)</f>
        <v>663</v>
      </c>
      <c r="C2840" s="46" t="str">
        <f>IF(ORCAMENTOS!C2848="","",ORCAMENTOS!C2848)</f>
        <v/>
      </c>
      <c r="D2840" s="37" t="str">
        <f>IF(ORCAMENTOS!D2848="","",ORCAMENTOS!D2848)</f>
        <v>AWA AR CONDICIONADO</v>
      </c>
      <c r="E2840" s="38" t="str">
        <f>IF(ORCAMENTOS!E2848="","",ORCAMENTOS!E2848)</f>
        <v>RIACHUELO - LAGO AZUL - BRASILIA - DF</v>
      </c>
      <c r="F2840" s="37" t="str">
        <f>IF(ORCAMENTOS!G2848="","",ORCAMENTOS!G2848)</f>
        <v>Guilherme</v>
      </c>
      <c r="G2840" s="37" t="str">
        <f>IF(ORCAMENTOS!H2848="","",ORCAMENTOS!H2848)</f>
        <v>Guilherme</v>
      </c>
      <c r="H2840" s="39">
        <f>IF(ORCAMENTOS!I2848="","",ORCAMENTOS!I2848)</f>
        <v>44787.16</v>
      </c>
      <c r="I2840" s="60">
        <f>IF(ORCAMENTOS!J2848="","",ORCAMENTOS!J2848)</f>
        <v>0.05</v>
      </c>
      <c r="J2840" s="40" t="str">
        <f>IF(ORCAMENTOS!L2848="","",ORCAMENTOS!L2848)</f>
        <v>ORCAMENTO</v>
      </c>
      <c r="K2840" s="34" t="str">
        <f>IF(ORCAMENTOS!M2848="","",ORCAMENTOS!M2848)</f>
        <v>-</v>
      </c>
      <c r="L2840" t="str">
        <f>IF(ORCAMENTOS!R2848="","",ORCAMENTOS!R2848)</f>
        <v>MPU</v>
      </c>
    </row>
    <row r="2841" spans="1:12" ht="15.75" hidden="1" customHeight="1" x14ac:dyDescent="0.25">
      <c r="A2841" s="36">
        <f>IF(ORCAMENTOS!A2849="","",ORCAMENTOS!A2849)</f>
        <v>46125</v>
      </c>
      <c r="B2841" s="46">
        <f>IF(ORCAMENTOS!B2849="","",ORCAMENTOS!B2849)</f>
        <v>664</v>
      </c>
      <c r="C2841" s="46" t="str">
        <f>IF(ORCAMENTOS!C2849="","",ORCAMENTOS!C2849)</f>
        <v/>
      </c>
      <c r="D2841" s="37" t="str">
        <f>IF(ORCAMENTOS!D2849="","",ORCAMENTOS!D2849)</f>
        <v>RM3 ENGENHARIA</v>
      </c>
      <c r="E2841" s="38" t="str">
        <f>IF(ORCAMENTOS!E2849="","",ORCAMENTOS!E2849)</f>
        <v>OBRAMAX - TAGUATINGA - DF</v>
      </c>
      <c r="F2841" s="37" t="str">
        <f>IF(ORCAMENTOS!G2849="","",ORCAMENTOS!G2849)</f>
        <v>Guilherme</v>
      </c>
      <c r="G2841" s="37" t="str">
        <f>IF(ORCAMENTOS!H2849="","",ORCAMENTOS!H2849)</f>
        <v>Angelica</v>
      </c>
      <c r="H2841" s="39">
        <f>IF(ORCAMENTOS!I2849="","",ORCAMENTOS!I2849)</f>
        <v>242278.69</v>
      </c>
      <c r="I2841" s="60">
        <f>IF(ORCAMENTOS!J2849="","",ORCAMENTOS!J2849)</f>
        <v>0.05</v>
      </c>
      <c r="J2841" s="40" t="str">
        <f>IF(ORCAMENTOS!L2849="","",ORCAMENTOS!L2849)</f>
        <v>CANCELADO</v>
      </c>
      <c r="K2841" s="34" t="str">
        <f>IF(ORCAMENTOS!M2849="","",ORCAMENTOS!M2849)</f>
        <v>GRANDES CHANCES DE FECHAR</v>
      </c>
      <c r="L2841" t="str">
        <f>IF(ORCAMENTOS!R2849="","",ORCAMENTOS!R2849)</f>
        <v>MPU</v>
      </c>
    </row>
    <row r="2842" spans="1:12" ht="15.75" hidden="1" customHeight="1" x14ac:dyDescent="0.25">
      <c r="A2842" s="36">
        <f>IF(ORCAMENTOS!A2850="","",ORCAMENTOS!A2850)</f>
        <v>46125</v>
      </c>
      <c r="B2842" s="46">
        <f>IF(ORCAMENTOS!B2850="","",ORCAMENTOS!B2850)</f>
        <v>665</v>
      </c>
      <c r="C2842" s="46" t="str">
        <f>IF(ORCAMENTOS!C2850="","",ORCAMENTOS!C2850)</f>
        <v/>
      </c>
      <c r="D2842" s="37" t="str">
        <f>IF(ORCAMENTOS!D2850="","",ORCAMENTOS!D2850)</f>
        <v>A R SILVA</v>
      </c>
      <c r="E2842" s="38" t="str">
        <f>IF(ORCAMENTOS!E2850="","",ORCAMENTOS!E2850)</f>
        <v>-</v>
      </c>
      <c r="F2842" s="37" t="str">
        <f>IF(ORCAMENTOS!G2850="","",ORCAMENTOS!G2850)</f>
        <v>Gabriel</v>
      </c>
      <c r="G2842" s="37" t="str">
        <f>IF(ORCAMENTOS!H2850="","",ORCAMENTOS!H2850)</f>
        <v>Roberto</v>
      </c>
      <c r="H2842" s="39">
        <f>IF(ORCAMENTOS!I2850="","",ORCAMENTOS!I2850)</f>
        <v>13248.92</v>
      </c>
      <c r="I2842" s="60">
        <f>IF(ORCAMENTOS!J2850="","",ORCAMENTOS!J2850)</f>
        <v>7.0000000000000007E-2</v>
      </c>
      <c r="J2842" s="40" t="str">
        <f>IF(ORCAMENTOS!L2850="","",ORCAMENTOS!L2850)</f>
        <v>ORCAMENTO</v>
      </c>
      <c r="K2842" s="34" t="str">
        <f>IF(ORCAMENTOS!M2850="","",ORCAMENTOS!M2850)</f>
        <v>-</v>
      </c>
      <c r="L2842" t="str">
        <f>IF(ORCAMENTOS!R2850="","",ORCAMENTOS!R2850)</f>
        <v>-</v>
      </c>
    </row>
    <row r="2843" spans="1:12" ht="15.75" hidden="1" customHeight="1" x14ac:dyDescent="0.25">
      <c r="A2843" s="36">
        <f>IF(ORCAMENTOS!A2851="","",ORCAMENTOS!A2851)</f>
        <v>46125</v>
      </c>
      <c r="B2843" s="46">
        <f>IF(ORCAMENTOS!B2851="","",ORCAMENTOS!B2851)</f>
        <v>666</v>
      </c>
      <c r="C2843" s="46" t="str">
        <f>IF(ORCAMENTOS!C2851="","",ORCAMENTOS!C2851)</f>
        <v/>
      </c>
      <c r="D2843" s="37" t="str">
        <f>IF(ORCAMENTOS!D2851="","",ORCAMENTOS!D2851)</f>
        <v>PWR ENGENHARIA</v>
      </c>
      <c r="E2843" s="38" t="str">
        <f>IF(ORCAMENTOS!E2851="","",ORCAMENTOS!E2851)</f>
        <v>SHOPPING SÃO PAULO - FRAUDARIO</v>
      </c>
      <c r="F2843" s="37" t="str">
        <f>IF(ORCAMENTOS!G2851="","",ORCAMENTOS!G2851)</f>
        <v>Gabriel</v>
      </c>
      <c r="G2843" s="37" t="str">
        <f>IF(ORCAMENTOS!H2851="","",ORCAMENTOS!H2851)</f>
        <v>Rodrigo</v>
      </c>
      <c r="H2843" s="39">
        <f>IF(ORCAMENTOS!I2851="","",ORCAMENTOS!I2851)</f>
        <v>10505.47</v>
      </c>
      <c r="I2843" s="60">
        <f>IF(ORCAMENTOS!J2851="","",ORCAMENTOS!J2851)</f>
        <v>7.0000000000000007E-2</v>
      </c>
      <c r="J2843" s="40" t="str">
        <f>IF(ORCAMENTOS!L2851="","",ORCAMENTOS!L2851)</f>
        <v>ORCAMENTO</v>
      </c>
      <c r="K2843" s="34" t="str">
        <f>IF(ORCAMENTOS!M2851="","",ORCAMENTOS!M2851)</f>
        <v>-</v>
      </c>
      <c r="L2843" t="str">
        <f>IF(ORCAMENTOS!R2851="","",ORCAMENTOS!R2851)</f>
        <v>-</v>
      </c>
    </row>
    <row r="2844" spans="1:12" ht="15.75" hidden="1" customHeight="1" x14ac:dyDescent="0.25">
      <c r="A2844" s="36">
        <f>IF(ORCAMENTOS!A2852="","",ORCAMENTOS!A2852)</f>
        <v>46125</v>
      </c>
      <c r="B2844" s="46">
        <f>IF(ORCAMENTOS!B2852="","",ORCAMENTOS!B2852)</f>
        <v>667</v>
      </c>
      <c r="C2844" s="46" t="str">
        <f>IF(ORCAMENTOS!C2852="","",ORCAMENTOS!C2852)</f>
        <v>R1</v>
      </c>
      <c r="D2844" s="37" t="str">
        <f>IF(ORCAMENTOS!D2852="","",ORCAMENTOS!D2852)</f>
        <v>PRODAC</v>
      </c>
      <c r="E2844" s="38" t="str">
        <f>IF(ORCAMENTOS!E2852="","",ORCAMENTOS!E2852)</f>
        <v>DF STAR</v>
      </c>
      <c r="F2844" s="37" t="str">
        <f>IF(ORCAMENTOS!G2852="","",ORCAMENTOS!G2852)</f>
        <v>Fernando</v>
      </c>
      <c r="G2844" s="37" t="str">
        <f>IF(ORCAMENTOS!H2852="","",ORCAMENTOS!H2852)</f>
        <v>Henrique</v>
      </c>
      <c r="H2844" s="39">
        <f>IF(ORCAMENTOS!I2852="","",ORCAMENTOS!I2852)</f>
        <v>5790.09</v>
      </c>
      <c r="I2844" s="60">
        <f>IF(ORCAMENTOS!J2852="","",ORCAMENTOS!J2852)</f>
        <v>0.04</v>
      </c>
      <c r="J2844" s="40" t="str">
        <f>IF(ORCAMENTOS!L2852="","",ORCAMENTOS!L2852)</f>
        <v>FECHADO</v>
      </c>
      <c r="K2844" s="34" t="str">
        <f>IF(ORCAMENTOS!M2852="","",ORCAMENTOS!M2852)</f>
        <v>-</v>
      </c>
      <c r="L2844" t="str">
        <f>IF(ORCAMENTOS!R2852="","",ORCAMENTOS!R2852)</f>
        <v>-</v>
      </c>
    </row>
    <row r="2845" spans="1:12" ht="15.75" hidden="1" customHeight="1" x14ac:dyDescent="0.25">
      <c r="A2845" s="36">
        <f>IF(ORCAMENTOS!A2853="","",ORCAMENTOS!A2853)</f>
        <v>46125</v>
      </c>
      <c r="B2845" s="46">
        <f>IF(ORCAMENTOS!B2853="","",ORCAMENTOS!B2853)</f>
        <v>668</v>
      </c>
      <c r="C2845" s="46" t="str">
        <f>IF(ORCAMENTOS!C2853="","",ORCAMENTOS!C2853)</f>
        <v/>
      </c>
      <c r="D2845" s="37" t="str">
        <f>IF(ORCAMENTOS!D2853="","",ORCAMENTOS!D2853)</f>
        <v>AWA AR CONDICIONADO</v>
      </c>
      <c r="E2845" s="38" t="str">
        <f>IF(ORCAMENTOS!E2853="","",ORCAMENTOS!E2853)</f>
        <v>MIX BALSAS</v>
      </c>
      <c r="F2845" s="37" t="str">
        <f>IF(ORCAMENTOS!G2853="","",ORCAMENTOS!G2853)</f>
        <v>Guilherme</v>
      </c>
      <c r="G2845" s="37" t="str">
        <f>IF(ORCAMENTOS!H2853="","",ORCAMENTOS!H2853)</f>
        <v>Isabela</v>
      </c>
      <c r="H2845" s="39">
        <f>IF(ORCAMENTOS!I2853="","",ORCAMENTOS!I2853)</f>
        <v>4257.4399999999996</v>
      </c>
      <c r="I2845" s="60">
        <f>IF(ORCAMENTOS!J2853="","",ORCAMENTOS!J2853)</f>
        <v>7.0000000000000007E-2</v>
      </c>
      <c r="J2845" s="40" t="str">
        <f>IF(ORCAMENTOS!L2853="","",ORCAMENTOS!L2853)</f>
        <v>FECHADO</v>
      </c>
      <c r="K2845" s="34" t="str">
        <f>IF(ORCAMENTOS!M2853="","",ORCAMENTOS!M2853)</f>
        <v>-</v>
      </c>
      <c r="L2845" t="str">
        <f>IF(ORCAMENTOS!R2853="","",ORCAMENTOS!R2853)</f>
        <v>-</v>
      </c>
    </row>
    <row r="2846" spans="1:12" ht="15.75" hidden="1" customHeight="1" x14ac:dyDescent="0.25">
      <c r="A2846" s="36">
        <f>IF(ORCAMENTOS!A2854="","",ORCAMENTOS!A2854)</f>
        <v>46125</v>
      </c>
      <c r="B2846" s="46">
        <f>IF(ORCAMENTOS!B2854="","",ORCAMENTOS!B2854)</f>
        <v>669</v>
      </c>
      <c r="C2846" s="46" t="str">
        <f>IF(ORCAMENTOS!C2854="","",ORCAMENTOS!C2854)</f>
        <v/>
      </c>
      <c r="D2846" s="37" t="str">
        <f>IF(ORCAMENTOS!D2854="","",ORCAMENTOS!D2854)</f>
        <v>AWA AR CONDICIONADO</v>
      </c>
      <c r="E2846" s="38" t="str">
        <f>IF(ORCAMENTOS!E2854="","",ORCAMENTOS!E2854)</f>
        <v>SUPER CEARA</v>
      </c>
      <c r="F2846" s="37" t="str">
        <f>IF(ORCAMENTOS!G2854="","",ORCAMENTOS!G2854)</f>
        <v>Guilherme</v>
      </c>
      <c r="G2846" s="37" t="str">
        <f>IF(ORCAMENTOS!H2854="","",ORCAMENTOS!H2854)</f>
        <v>Isabela</v>
      </c>
      <c r="H2846" s="39">
        <f>IF(ORCAMENTOS!I2854="","",ORCAMENTOS!I2854)</f>
        <v>1389.4</v>
      </c>
      <c r="I2846" s="60">
        <f>IF(ORCAMENTOS!J2854="","",ORCAMENTOS!J2854)</f>
        <v>7.0000000000000007E-2</v>
      </c>
      <c r="J2846" s="40" t="str">
        <f>IF(ORCAMENTOS!L2854="","",ORCAMENTOS!L2854)</f>
        <v>FECHADO</v>
      </c>
      <c r="K2846" s="34" t="str">
        <f>IF(ORCAMENTOS!M2854="","",ORCAMENTOS!M2854)</f>
        <v>-</v>
      </c>
      <c r="L2846" t="str">
        <f>IF(ORCAMENTOS!R2854="","",ORCAMENTOS!R2854)</f>
        <v>-</v>
      </c>
    </row>
    <row r="2847" spans="1:12" ht="15.75" hidden="1" customHeight="1" x14ac:dyDescent="0.25">
      <c r="A2847" s="36">
        <f>IF(ORCAMENTOS!A2855="","",ORCAMENTOS!A2855)</f>
        <v>46125</v>
      </c>
      <c r="B2847" s="46">
        <f>IF(ORCAMENTOS!B2855="","",ORCAMENTOS!B2855)</f>
        <v>670</v>
      </c>
      <c r="C2847" s="46" t="str">
        <f>IF(ORCAMENTOS!C2855="","",ORCAMENTOS!C2855)</f>
        <v/>
      </c>
      <c r="D2847" s="37" t="str">
        <f>IF(ORCAMENTOS!D2855="","",ORCAMENTOS!D2855)</f>
        <v>EKO CLIMAX</v>
      </c>
      <c r="E2847" s="38" t="str">
        <f>IF(ORCAMENTOS!E2855="","",ORCAMENTOS!E2855)</f>
        <v>-</v>
      </c>
      <c r="F2847" s="37" t="str">
        <f>IF(ORCAMENTOS!G2855="","",ORCAMENTOS!G2855)</f>
        <v>Michel</v>
      </c>
      <c r="G2847" s="37" t="str">
        <f>IF(ORCAMENTOS!H2855="","",ORCAMENTOS!H2855)</f>
        <v>Rogerio</v>
      </c>
      <c r="H2847" s="39">
        <f>IF(ORCAMENTOS!I2855="","",ORCAMENTOS!I2855)</f>
        <v>2442.2600000000002</v>
      </c>
      <c r="I2847" s="60">
        <f>IF(ORCAMENTOS!J2855="","",ORCAMENTOS!J2855)</f>
        <v>7.0000000000000007E-2</v>
      </c>
      <c r="J2847" s="40" t="str">
        <f>IF(ORCAMENTOS!L2855="","",ORCAMENTOS!L2855)</f>
        <v>FECHADO</v>
      </c>
      <c r="K2847" s="34" t="str">
        <f>IF(ORCAMENTOS!M2855="","",ORCAMENTOS!M2855)</f>
        <v>-</v>
      </c>
      <c r="L2847" t="str">
        <f>IF(ORCAMENTOS!R2855="","",ORCAMENTOS!R2855)</f>
        <v>-</v>
      </c>
    </row>
    <row r="2848" spans="1:12" ht="15.75" hidden="1" customHeight="1" x14ac:dyDescent="0.25">
      <c r="A2848" s="36">
        <f>IF(ORCAMENTOS!A2856="","",ORCAMENTOS!A2856)</f>
        <v>46126</v>
      </c>
      <c r="B2848" s="46">
        <f>IF(ORCAMENTOS!B2856="","",ORCAMENTOS!B2856)</f>
        <v>671</v>
      </c>
      <c r="C2848" s="46" t="str">
        <f>IF(ORCAMENTOS!C2856="","",ORCAMENTOS!C2856)</f>
        <v>R2</v>
      </c>
      <c r="D2848" s="37" t="str">
        <f>IF(ORCAMENTOS!D2856="","",ORCAMENTOS!D2856)</f>
        <v>SERRA BRANCA AR</v>
      </c>
      <c r="E2848" s="38" t="str">
        <f>IF(ORCAMENTOS!E2856="","",ORCAMENTOS!E2856)</f>
        <v>-</v>
      </c>
      <c r="F2848" s="37" t="str">
        <f>IF(ORCAMENTOS!G2856="","",ORCAMENTOS!G2856)</f>
        <v>Gabriel</v>
      </c>
      <c r="G2848" s="37" t="str">
        <f>IF(ORCAMENTOS!H2856="","",ORCAMENTOS!H2856)</f>
        <v>Diego</v>
      </c>
      <c r="H2848" s="39">
        <f>IF(ORCAMENTOS!I2856="","",ORCAMENTOS!I2856)</f>
        <v>29000</v>
      </c>
      <c r="I2848" s="60">
        <f>IF(ORCAMENTOS!J2856="","",ORCAMENTOS!J2856)</f>
        <v>0.04</v>
      </c>
      <c r="J2848" s="40" t="str">
        <f>IF(ORCAMENTOS!L2856="","",ORCAMENTOS!L2856)</f>
        <v>FECHADO</v>
      </c>
      <c r="K2848" s="34" t="str">
        <f>IF(ORCAMENTOS!M2856="","",ORCAMENTOS!M2856)</f>
        <v>-</v>
      </c>
      <c r="L2848" t="str">
        <f>IF(ORCAMENTOS!R2856="","",ORCAMENTOS!R2856)</f>
        <v>-</v>
      </c>
    </row>
    <row r="2849" spans="1:12" ht="15.75" hidden="1" customHeight="1" x14ac:dyDescent="0.25">
      <c r="A2849" s="36">
        <f>IF(ORCAMENTOS!A2857="","",ORCAMENTOS!A2857)</f>
        <v>46126</v>
      </c>
      <c r="B2849" s="46">
        <f>IF(ORCAMENTOS!B2857="","",ORCAMENTOS!B2857)</f>
        <v>672</v>
      </c>
      <c r="C2849" s="46" t="str">
        <f>IF(ORCAMENTOS!C2857="","",ORCAMENTOS!C2857)</f>
        <v>R2</v>
      </c>
      <c r="D2849" s="37" t="str">
        <f>IF(ORCAMENTOS!D2857="","",ORCAMENTOS!D2857)</f>
        <v>SESIL</v>
      </c>
      <c r="E2849" s="38" t="str">
        <f>IF(ORCAMENTOS!E2857="","",ORCAMENTOS!E2857)</f>
        <v>Blaver Mairiporã - SP (2° Fase)</v>
      </c>
      <c r="F2849" s="37" t="str">
        <f>IF(ORCAMENTOS!G2857="","",ORCAMENTOS!G2857)</f>
        <v>Fernando</v>
      </c>
      <c r="G2849" s="37" t="str">
        <f>IF(ORCAMENTOS!H2857="","",ORCAMENTOS!H2857)</f>
        <v/>
      </c>
      <c r="H2849" s="39">
        <f>IF(ORCAMENTOS!I2857="","",ORCAMENTOS!I2857)</f>
        <v>21045.040000000001</v>
      </c>
      <c r="I2849" s="60">
        <f>IF(ORCAMENTOS!J2857="","",ORCAMENTOS!J2857)</f>
        <v>0.04</v>
      </c>
      <c r="J2849" s="40" t="str">
        <f>IF(ORCAMENTOS!L2857="","",ORCAMENTOS!L2857)</f>
        <v>FECHADO</v>
      </c>
      <c r="K2849" s="34" t="str">
        <f>IF(ORCAMENTOS!M2857="","",ORCAMENTOS!M2857)</f>
        <v>-</v>
      </c>
      <c r="L2849" t="str">
        <f>IF(ORCAMENTOS!R2857="","",ORCAMENTOS!R2857)</f>
        <v>-</v>
      </c>
    </row>
    <row r="2850" spans="1:12" ht="15.75" hidden="1" customHeight="1" x14ac:dyDescent="0.25">
      <c r="A2850" s="36">
        <f>IF(ORCAMENTOS!A2858="","",ORCAMENTOS!A2858)</f>
        <v>46126</v>
      </c>
      <c r="B2850" s="46">
        <f>IF(ORCAMENTOS!B2858="","",ORCAMENTOS!B2858)</f>
        <v>673</v>
      </c>
      <c r="C2850" s="46" t="str">
        <f>IF(ORCAMENTOS!C2858="","",ORCAMENTOS!C2858)</f>
        <v/>
      </c>
      <c r="D2850" s="37" t="str">
        <f>IF(ORCAMENTOS!D2858="","",ORCAMENTOS!D2858)</f>
        <v>HVAC ENGENHARIA</v>
      </c>
      <c r="E2850" s="38" t="str">
        <f>IF(ORCAMENTOS!E2858="","",ORCAMENTOS!E2858)</f>
        <v>Obramax - Contagem</v>
      </c>
      <c r="F2850" s="37" t="str">
        <f>IF(ORCAMENTOS!G2858="","",ORCAMENTOS!G2858)</f>
        <v>Michel</v>
      </c>
      <c r="G2850" s="37" t="str">
        <f>IF(ORCAMENTOS!H2858="","",ORCAMENTOS!H2858)</f>
        <v>Anders</v>
      </c>
      <c r="H2850" s="39">
        <f>IF(ORCAMENTOS!I2858="","",ORCAMENTOS!I2858)</f>
        <v>24094.560000000001</v>
      </c>
      <c r="I2850" s="60">
        <f>IF(ORCAMENTOS!J2858="","",ORCAMENTOS!J2858)</f>
        <v>7.0000000000000007E-2</v>
      </c>
      <c r="J2850" s="40" t="str">
        <f>IF(ORCAMENTOS!L2858="","",ORCAMENTOS!L2858)</f>
        <v>FECHADO</v>
      </c>
      <c r="K2850" s="34" t="str">
        <f>IF(ORCAMENTOS!M2858="","",ORCAMENTOS!M2858)</f>
        <v>-</v>
      </c>
      <c r="L2850" t="str">
        <f>IF(ORCAMENTOS!R2858="","",ORCAMENTOS!R2858)</f>
        <v>-</v>
      </c>
    </row>
    <row r="2851" spans="1:12" ht="15.75" hidden="1" customHeight="1" x14ac:dyDescent="0.25">
      <c r="A2851" s="36">
        <f>IF(ORCAMENTOS!A2859="","",ORCAMENTOS!A2859)</f>
        <v>46126</v>
      </c>
      <c r="B2851" s="46">
        <f>IF(ORCAMENTOS!B2859="","",ORCAMENTOS!B2859)</f>
        <v>674</v>
      </c>
      <c r="C2851" s="46" t="str">
        <f>IF(ORCAMENTOS!C2859="","",ORCAMENTOS!C2859)</f>
        <v/>
      </c>
      <c r="D2851" s="37" t="str">
        <f>IF(ORCAMENTOS!D2859="","",ORCAMENTOS!D2859)</f>
        <v>GRIFO ENGENHARIA</v>
      </c>
      <c r="E2851" s="38" t="str">
        <f>IF(ORCAMENTOS!E2859="","",ORCAMENTOS!E2859)</f>
        <v>-</v>
      </c>
      <c r="F2851" s="37" t="str">
        <f>IF(ORCAMENTOS!G2859="","",ORCAMENTOS!G2859)</f>
        <v>Emanuel</v>
      </c>
      <c r="G2851" s="37" t="str">
        <f>IF(ORCAMENTOS!H2859="","",ORCAMENTOS!H2859)</f>
        <v>Tarcisio</v>
      </c>
      <c r="H2851" s="39">
        <f>IF(ORCAMENTOS!I2859="","",ORCAMENTOS!I2859)</f>
        <v>1477.92</v>
      </c>
      <c r="I2851" s="60">
        <f>IF(ORCAMENTOS!J2859="","",ORCAMENTOS!J2859)</f>
        <v>7.0000000000000007E-2</v>
      </c>
      <c r="J2851" s="40" t="str">
        <f>IF(ORCAMENTOS!L2859="","",ORCAMENTOS!L2859)</f>
        <v>FECHADO</v>
      </c>
      <c r="K2851" s="34" t="str">
        <f>IF(ORCAMENTOS!M2859="","",ORCAMENTOS!M2859)</f>
        <v>-</v>
      </c>
      <c r="L2851" t="str">
        <f>IF(ORCAMENTOS!R2859="","",ORCAMENTOS!R2859)</f>
        <v>-</v>
      </c>
    </row>
    <row r="2852" spans="1:12" ht="15.75" hidden="1" customHeight="1" x14ac:dyDescent="0.25">
      <c r="A2852" s="36">
        <f>IF(ORCAMENTOS!A2860="","",ORCAMENTOS!A2860)</f>
        <v>46126</v>
      </c>
      <c r="B2852" s="46">
        <f>IF(ORCAMENTOS!B2860="","",ORCAMENTOS!B2860)</f>
        <v>675</v>
      </c>
      <c r="C2852" s="46" t="str">
        <f>IF(ORCAMENTOS!C2860="","",ORCAMENTOS!C2860)</f>
        <v/>
      </c>
      <c r="D2852" s="37" t="str">
        <f>IF(ORCAMENTOS!D2860="","",ORCAMENTOS!D2860)</f>
        <v>AWA AR CONDICIONADO</v>
      </c>
      <c r="E2852" s="38" t="str">
        <f>IF(ORCAMENTOS!E2860="","",ORCAMENTOS!E2860)</f>
        <v>OBRAMAX - TAGUATINGA - DF</v>
      </c>
      <c r="F2852" s="37" t="str">
        <f>IF(ORCAMENTOS!G2860="","",ORCAMENTOS!G2860)</f>
        <v>Guilherme</v>
      </c>
      <c r="G2852" s="37" t="str">
        <f>IF(ORCAMENTOS!H2860="","",ORCAMENTOS!H2860)</f>
        <v>Guilherme</v>
      </c>
      <c r="H2852" s="39">
        <f>IF(ORCAMENTOS!I2860="","",ORCAMENTOS!I2860)</f>
        <v>242278.69</v>
      </c>
      <c r="I2852" s="60">
        <f>IF(ORCAMENTOS!J2860="","",ORCAMENTOS!J2860)</f>
        <v>0.05</v>
      </c>
      <c r="J2852" s="40" t="str">
        <f>IF(ORCAMENTOS!L2860="","",ORCAMENTOS!L2860)</f>
        <v>COMPRA</v>
      </c>
      <c r="K2852" s="34" t="str">
        <f>IF(ORCAMENTOS!M2860="","",ORCAMENTOS!M2860)</f>
        <v>-</v>
      </c>
      <c r="L2852" t="str">
        <f>IF(ORCAMENTOS!R2860="","",ORCAMENTOS!R2860)</f>
        <v>MPU</v>
      </c>
    </row>
    <row r="2853" spans="1:12" ht="15.75" hidden="1" customHeight="1" x14ac:dyDescent="0.25">
      <c r="A2853" s="36">
        <f>IF(ORCAMENTOS!A2861="","",ORCAMENTOS!A2861)</f>
        <v>46126</v>
      </c>
      <c r="B2853" s="46">
        <f>IF(ORCAMENTOS!B2861="","",ORCAMENTOS!B2861)</f>
        <v>676</v>
      </c>
      <c r="C2853" s="46" t="str">
        <f>IF(ORCAMENTOS!C2861="","",ORCAMENTOS!C2861)</f>
        <v/>
      </c>
      <c r="D2853" s="37" t="str">
        <f>IF(ORCAMENTOS!D2861="","",ORCAMENTOS!D2861)</f>
        <v>ACSISTEM</v>
      </c>
      <c r="E2853" s="38" t="str">
        <f>IF(ORCAMENTOS!E2861="","",ORCAMENTOS!E2861)</f>
        <v>SF PEDRA GUARATIBA</v>
      </c>
      <c r="F2853" s="37" t="str">
        <f>IF(ORCAMENTOS!G2861="","",ORCAMENTOS!G2861)</f>
        <v>Emanuel</v>
      </c>
      <c r="G2853" s="37" t="str">
        <f>IF(ORCAMENTOS!H2861="","",ORCAMENTOS!H2861)</f>
        <v>David</v>
      </c>
      <c r="H2853" s="39">
        <f>IF(ORCAMENTOS!I2861="","",ORCAMENTOS!I2861)</f>
        <v>45718.9</v>
      </c>
      <c r="I2853" s="60">
        <f>IF(ORCAMENTOS!J2861="","",ORCAMENTOS!J2861)</f>
        <v>0.05</v>
      </c>
      <c r="J2853" s="40" t="str">
        <f>IF(ORCAMENTOS!L2861="","",ORCAMENTOS!L2861)</f>
        <v>FECHADO</v>
      </c>
      <c r="K2853" s="34" t="str">
        <f>IF(ORCAMENTOS!M2861="","",ORCAMENTOS!M2861)</f>
        <v>-</v>
      </c>
      <c r="L2853" t="str">
        <f>IF(ORCAMENTOS!R2861="","",ORCAMENTOS!R2861)</f>
        <v>-</v>
      </c>
    </row>
    <row r="2854" spans="1:12" ht="15.75" hidden="1" customHeight="1" x14ac:dyDescent="0.25">
      <c r="A2854" s="36">
        <f>IF(ORCAMENTOS!A2862="","",ORCAMENTOS!A2862)</f>
        <v>46126</v>
      </c>
      <c r="B2854" s="46">
        <f>IF(ORCAMENTOS!B2862="","",ORCAMENTOS!B2862)</f>
        <v>677</v>
      </c>
      <c r="C2854" s="46" t="str">
        <f>IF(ORCAMENTOS!C2862="","",ORCAMENTOS!C2862)</f>
        <v/>
      </c>
      <c r="D2854" s="37" t="str">
        <f>IF(ORCAMENTOS!D2862="","",ORCAMENTOS!D2862)</f>
        <v>ARD AR CONDICIONADO</v>
      </c>
      <c r="E2854" s="38" t="str">
        <f>IF(ORCAMENTOS!E2862="","",ORCAMENTOS!E2862)</f>
        <v>-</v>
      </c>
      <c r="F2854" s="37" t="str">
        <f>IF(ORCAMENTOS!G2862="","",ORCAMENTOS!G2862)</f>
        <v>Gabriel</v>
      </c>
      <c r="G2854" s="37" t="str">
        <f>IF(ORCAMENTOS!H2862="","",ORCAMENTOS!H2862)</f>
        <v>Angelo</v>
      </c>
      <c r="H2854" s="39">
        <f>IF(ORCAMENTOS!I2862="","",ORCAMENTOS!I2862)</f>
        <v>14546.82</v>
      </c>
      <c r="I2854" s="60">
        <f>IF(ORCAMENTOS!J2862="","",ORCAMENTOS!J2862)</f>
        <v>7.0000000000000007E-2</v>
      </c>
      <c r="J2854" s="40" t="str">
        <f>IF(ORCAMENTOS!L2862="","",ORCAMENTOS!L2862)</f>
        <v>ORCAMENTO</v>
      </c>
      <c r="K2854" s="34" t="str">
        <f>IF(ORCAMENTOS!M2862="","",ORCAMENTOS!M2862)</f>
        <v>-</v>
      </c>
      <c r="L2854" t="str">
        <f>IF(ORCAMENTOS!R2862="","",ORCAMENTOS!R2862)</f>
        <v>-</v>
      </c>
    </row>
    <row r="2855" spans="1:12" ht="15.75" hidden="1" customHeight="1" x14ac:dyDescent="0.25">
      <c r="A2855" s="36">
        <f>IF(ORCAMENTOS!A2863="","",ORCAMENTOS!A2863)</f>
        <v>46126</v>
      </c>
      <c r="B2855" s="46">
        <f>IF(ORCAMENTOS!B2863="","",ORCAMENTOS!B2863)</f>
        <v>678</v>
      </c>
      <c r="C2855" s="46" t="str">
        <f>IF(ORCAMENTOS!C2863="","",ORCAMENTOS!C2863)</f>
        <v/>
      </c>
      <c r="D2855" s="37" t="str">
        <f>IF(ORCAMENTOS!D2863="","",ORCAMENTOS!D2863)</f>
        <v>NEWSET</v>
      </c>
      <c r="E2855" s="38" t="str">
        <f>IF(ORCAMENTOS!E2863="","",ORCAMENTOS!E2863)</f>
        <v>REDE D'OR SÃO LUIZ - SÃO BERNARDO DO CAMPO</v>
      </c>
      <c r="F2855" s="37" t="str">
        <f>IF(ORCAMENTOS!G2863="","",ORCAMENTOS!G2863)</f>
        <v xml:space="preserve">Aldavir </v>
      </c>
      <c r="G2855" s="37" t="str">
        <f>IF(ORCAMENTOS!H2863="","",ORCAMENTOS!H2863)</f>
        <v>Alisson</v>
      </c>
      <c r="H2855" s="39">
        <f>IF(ORCAMENTOS!I2863="","",ORCAMENTOS!I2863)</f>
        <v>114316.38</v>
      </c>
      <c r="I2855" s="60" t="str">
        <f>IF(ORCAMENTOS!J2863="","",ORCAMENTOS!J2863)</f>
        <v>-</v>
      </c>
      <c r="J2855" s="40" t="str">
        <f>IF(ORCAMENTOS!L2863="","",ORCAMENTOS!L2863)</f>
        <v>COMPRA</v>
      </c>
      <c r="K2855" s="34" t="str">
        <f>IF(ORCAMENTOS!M2863="","",ORCAMENTOS!M2863)</f>
        <v>-</v>
      </c>
      <c r="L2855" t="str">
        <f>IF(ORCAMENTOS!R2863="","",ORCAMENTOS!R2863)</f>
        <v>-</v>
      </c>
    </row>
    <row r="2856" spans="1:12" ht="15.75" hidden="1" customHeight="1" x14ac:dyDescent="0.25">
      <c r="A2856" s="36">
        <f>IF(ORCAMENTOS!A2864="","",ORCAMENTOS!A2864)</f>
        <v>46126</v>
      </c>
      <c r="B2856" s="46">
        <f>IF(ORCAMENTOS!B2864="","",ORCAMENTOS!B2864)</f>
        <v>679</v>
      </c>
      <c r="C2856" s="46" t="str">
        <f>IF(ORCAMENTOS!C2864="","",ORCAMENTOS!C2864)</f>
        <v/>
      </c>
      <c r="D2856" s="37" t="str">
        <f>IF(ORCAMENTOS!D2864="","",ORCAMENTOS!D2864)</f>
        <v>ACTEC ENGENHARIA</v>
      </c>
      <c r="E2856" s="38" t="str">
        <f>IF(ORCAMENTOS!E2864="","",ORCAMENTOS!E2864)</f>
        <v>HOSPITAL SANTA JOANA</v>
      </c>
      <c r="F2856" s="37" t="str">
        <f>IF(ORCAMENTOS!G2864="","",ORCAMENTOS!G2864)</f>
        <v xml:space="preserve">Aldavir </v>
      </c>
      <c r="G2856" s="37" t="str">
        <f>IF(ORCAMENTOS!H2864="","",ORCAMENTOS!H2864)</f>
        <v>Genivon</v>
      </c>
      <c r="H2856" s="39">
        <f>IF(ORCAMENTOS!I2864="","",ORCAMENTOS!I2864)</f>
        <v>21097.48</v>
      </c>
      <c r="I2856" s="60" t="str">
        <f>IF(ORCAMENTOS!J2864="","",ORCAMENTOS!J2864)</f>
        <v>-</v>
      </c>
      <c r="J2856" s="40" t="str">
        <f>IF(ORCAMENTOS!L2864="","",ORCAMENTOS!L2864)</f>
        <v>FECHADO</v>
      </c>
      <c r="K2856" s="34" t="str">
        <f>IF(ORCAMENTOS!M2864="","",ORCAMENTOS!M2864)</f>
        <v>-</v>
      </c>
      <c r="L2856" t="str">
        <f>IF(ORCAMENTOS!R2864="","",ORCAMENTOS!R2864)</f>
        <v>-</v>
      </c>
    </row>
    <row r="2857" spans="1:12" ht="15.75" hidden="1" customHeight="1" x14ac:dyDescent="0.25">
      <c r="A2857" s="36">
        <f>IF(ORCAMENTOS!A2865="","",ORCAMENTOS!A2865)</f>
        <v>46126</v>
      </c>
      <c r="B2857" s="46">
        <f>IF(ORCAMENTOS!B2865="","",ORCAMENTOS!B2865)</f>
        <v>680</v>
      </c>
      <c r="C2857" s="46" t="str">
        <f>IF(ORCAMENTOS!C2865="","",ORCAMENTOS!C2865)</f>
        <v/>
      </c>
      <c r="D2857" s="37" t="str">
        <f>IF(ORCAMENTOS!D2865="","",ORCAMENTOS!D2865)</f>
        <v>MIRAI</v>
      </c>
      <c r="E2857" s="38" t="str">
        <f>IF(ORCAMENTOS!E2865="","",ORCAMENTOS!E2865)</f>
        <v>-</v>
      </c>
      <c r="F2857" s="37" t="str">
        <f>IF(ORCAMENTOS!G2865="","",ORCAMENTOS!G2865)</f>
        <v>Gabriel</v>
      </c>
      <c r="G2857" s="37" t="str">
        <f>IF(ORCAMENTOS!H2865="","",ORCAMENTOS!H2865)</f>
        <v>Fernando</v>
      </c>
      <c r="H2857" s="39">
        <f>IF(ORCAMENTOS!I2865="","",ORCAMENTOS!I2865)</f>
        <v>1809.15</v>
      </c>
      <c r="I2857" s="60">
        <f>IF(ORCAMENTOS!J2865="","",ORCAMENTOS!J2865)</f>
        <v>7.0000000000000007E-2</v>
      </c>
      <c r="J2857" s="40" t="str">
        <f>IF(ORCAMENTOS!L2865="","",ORCAMENTOS!L2865)</f>
        <v>ORCAMENTO</v>
      </c>
      <c r="K2857" s="34" t="str">
        <f>IF(ORCAMENTOS!M2865="","",ORCAMENTOS!M2865)</f>
        <v>-</v>
      </c>
      <c r="L2857" t="str">
        <f>IF(ORCAMENTOS!R2865="","",ORCAMENTOS!R2865)</f>
        <v>-</v>
      </c>
    </row>
    <row r="2858" spans="1:12" ht="15.75" hidden="1" customHeight="1" x14ac:dyDescent="0.25">
      <c r="A2858" s="36">
        <f>IF(ORCAMENTOS!A2866="","",ORCAMENTOS!A2866)</f>
        <v>46126</v>
      </c>
      <c r="B2858" s="46">
        <f>IF(ORCAMENTOS!B2866="","",ORCAMENTOS!B2866)</f>
        <v>681</v>
      </c>
      <c r="C2858" s="46" t="str">
        <f>IF(ORCAMENTOS!C2866="","",ORCAMENTOS!C2866)</f>
        <v/>
      </c>
      <c r="D2858" s="37" t="str">
        <f>IF(ORCAMENTOS!D2866="","",ORCAMENTOS!D2866)</f>
        <v>L MONTE</v>
      </c>
      <c r="E2858" s="38" t="str">
        <f>IF(ORCAMENTOS!E2866="","",ORCAMENTOS!E2866)</f>
        <v>SM PINIAGO - AGUAS CLARAS - MS</v>
      </c>
      <c r="F2858" s="37" t="str">
        <f>IF(ORCAMENTOS!G2866="","",ORCAMENTOS!G2866)</f>
        <v xml:space="preserve">Aldavir </v>
      </c>
      <c r="G2858" s="37" t="str">
        <f>IF(ORCAMENTOS!H2866="","",ORCAMENTOS!H2866)</f>
        <v>Gurgel</v>
      </c>
      <c r="H2858" s="39">
        <f>IF(ORCAMENTOS!I2866="","",ORCAMENTOS!I2866)</f>
        <v>70000</v>
      </c>
      <c r="I2858" s="60">
        <f>IF(ORCAMENTOS!J2866="","",ORCAMENTOS!J2866)</f>
        <v>7.0000000000000007E-2</v>
      </c>
      <c r="J2858" s="40" t="str">
        <f>IF(ORCAMENTOS!L2866="","",ORCAMENTOS!L2866)</f>
        <v>FECHADO</v>
      </c>
      <c r="K2858" s="34" t="str">
        <f>IF(ORCAMENTOS!M2866="","",ORCAMENTOS!M2866)</f>
        <v>-</v>
      </c>
      <c r="L2858" t="str">
        <f>IF(ORCAMENTOS!R2866="","",ORCAMENTOS!R2866)</f>
        <v>MPU</v>
      </c>
    </row>
    <row r="2859" spans="1:12" ht="15.75" hidden="1" customHeight="1" x14ac:dyDescent="0.25">
      <c r="A2859" s="36">
        <f>IF(ORCAMENTOS!A2867="","",ORCAMENTOS!A2867)</f>
        <v>46126</v>
      </c>
      <c r="B2859" s="46">
        <f>IF(ORCAMENTOS!B2867="","",ORCAMENTOS!B2867)</f>
        <v>682</v>
      </c>
      <c r="C2859" s="46" t="str">
        <f>IF(ORCAMENTOS!C2867="","",ORCAMENTOS!C2867)</f>
        <v/>
      </c>
      <c r="D2859" s="37" t="str">
        <f>IF(ORCAMENTOS!D2867="","",ORCAMENTOS!D2867)</f>
        <v>ADL DUTOS</v>
      </c>
      <c r="E2859" s="38" t="str">
        <f>IF(ORCAMENTOS!E2867="","",ORCAMENTOS!E2867)</f>
        <v>SMART FIT - SERTAOZINHO - SP</v>
      </c>
      <c r="F2859" s="37" t="str">
        <f>IF(ORCAMENTOS!G2867="","",ORCAMENTOS!G2867)</f>
        <v>Gabriel</v>
      </c>
      <c r="G2859" s="37" t="str">
        <f>IF(ORCAMENTOS!H2867="","",ORCAMENTOS!H2867)</f>
        <v>Andre</v>
      </c>
      <c r="H2859" s="39">
        <f>IF(ORCAMENTOS!I2867="","",ORCAMENTOS!I2867)</f>
        <v>62964.09</v>
      </c>
      <c r="I2859" s="60">
        <f>IF(ORCAMENTOS!J2867="","",ORCAMENTOS!J2867)</f>
        <v>7.0000000000000007E-2</v>
      </c>
      <c r="J2859" s="40" t="str">
        <f>IF(ORCAMENTOS!L2867="","",ORCAMENTOS!L2867)</f>
        <v>ORCAMENTO</v>
      </c>
      <c r="K2859" s="34" t="str">
        <f>IF(ORCAMENTOS!M2867="","",ORCAMENTOS!M2867)</f>
        <v>-</v>
      </c>
      <c r="L2859" t="str">
        <f>IF(ORCAMENTOS!R2867="","",ORCAMENTOS!R2867)</f>
        <v>MPU</v>
      </c>
    </row>
    <row r="2860" spans="1:12" ht="15.75" hidden="1" customHeight="1" x14ac:dyDescent="0.25">
      <c r="A2860" s="36">
        <f>IF(ORCAMENTOS!A2868="","",ORCAMENTOS!A2868)</f>
        <v>46126</v>
      </c>
      <c r="B2860" s="46">
        <f>IF(ORCAMENTOS!B2868="","",ORCAMENTOS!B2868)</f>
        <v>683</v>
      </c>
      <c r="C2860" s="46" t="str">
        <f>IF(ORCAMENTOS!C2868="","",ORCAMENTOS!C2868)</f>
        <v/>
      </c>
      <c r="D2860" s="37" t="str">
        <f>IF(ORCAMENTOS!D2868="","",ORCAMENTOS!D2868)</f>
        <v>RECLIMA</v>
      </c>
      <c r="E2860" s="38" t="str">
        <f>IF(ORCAMENTOS!E2868="","",ORCAMENTOS!E2868)</f>
        <v>-</v>
      </c>
      <c r="F2860" s="37" t="str">
        <f>IF(ORCAMENTOS!G2868="","",ORCAMENTOS!G2868)</f>
        <v>Michel</v>
      </c>
      <c r="G2860" s="37" t="str">
        <f>IF(ORCAMENTOS!H2868="","",ORCAMENTOS!H2868)</f>
        <v>Renata</v>
      </c>
      <c r="H2860" s="39">
        <f>IF(ORCAMENTOS!I2868="","",ORCAMENTOS!I2868)</f>
        <v>7909.47</v>
      </c>
      <c r="I2860" s="60">
        <f>IF(ORCAMENTOS!J2868="","",ORCAMENTOS!J2868)</f>
        <v>0.05</v>
      </c>
      <c r="J2860" s="40" t="str">
        <f>IF(ORCAMENTOS!L2868="","",ORCAMENTOS!L2868)</f>
        <v>FECHADO</v>
      </c>
      <c r="K2860" s="34" t="str">
        <f>IF(ORCAMENTOS!M2868="","",ORCAMENTOS!M2868)</f>
        <v>-</v>
      </c>
      <c r="L2860" t="str">
        <f>IF(ORCAMENTOS!R2868="","",ORCAMENTOS!R2868)</f>
        <v>-</v>
      </c>
    </row>
    <row r="2861" spans="1:12" ht="15.75" hidden="1" customHeight="1" x14ac:dyDescent="0.25">
      <c r="A2861" s="36">
        <f>IF(ORCAMENTOS!A2869="","",ORCAMENTOS!A2869)</f>
        <v>46126</v>
      </c>
      <c r="B2861" s="46">
        <f>IF(ORCAMENTOS!B2869="","",ORCAMENTOS!B2869)</f>
        <v>684</v>
      </c>
      <c r="C2861" s="46" t="str">
        <f>IF(ORCAMENTOS!C2869="","",ORCAMENTOS!C2869)</f>
        <v/>
      </c>
      <c r="D2861" s="37" t="str">
        <f>IF(ORCAMENTOS!D2869="","",ORCAMENTOS!D2869)</f>
        <v>AFRIOTHERM</v>
      </c>
      <c r="E2861" s="38" t="str">
        <f>IF(ORCAMENTOS!E2869="","",ORCAMENTOS!E2869)</f>
        <v>ASTRA - NOVA SEDE ADM - JUNDIAI - SP</v>
      </c>
      <c r="F2861" s="37" t="str">
        <f>IF(ORCAMENTOS!G2869="","",ORCAMENTOS!G2869)</f>
        <v>Emanuel</v>
      </c>
      <c r="G2861" s="37" t="str">
        <f>IF(ORCAMENTOS!H2869="","",ORCAMENTOS!H2869)</f>
        <v>Jefferson</v>
      </c>
      <c r="H2861" s="39">
        <f>IF(ORCAMENTOS!I2869="","",ORCAMENTOS!I2869)</f>
        <v>319447.74</v>
      </c>
      <c r="I2861" s="60">
        <f>IF(ORCAMENTOS!J2869="","",ORCAMENTOS!J2869)</f>
        <v>7.0000000000000007E-2</v>
      </c>
      <c r="J2861" s="40" t="str">
        <f>IF(ORCAMENTOS!L2869="","",ORCAMENTOS!L2869)</f>
        <v>ORCAMENTO</v>
      </c>
      <c r="K2861" s="34" t="str">
        <f>IF(ORCAMENTOS!M2869="","",ORCAMENTOS!M2869)</f>
        <v>-</v>
      </c>
      <c r="L2861" t="str">
        <f>IF(ORCAMENTOS!R2869="","",ORCAMENTOS!R2869)</f>
        <v>N/E</v>
      </c>
    </row>
    <row r="2862" spans="1:12" ht="15.75" hidden="1" customHeight="1" x14ac:dyDescent="0.25">
      <c r="A2862" s="36">
        <f>IF(ORCAMENTOS!A2870="","",ORCAMENTOS!A2870)</f>
        <v>46126</v>
      </c>
      <c r="B2862" s="46">
        <f>IF(ORCAMENTOS!B2870="","",ORCAMENTOS!B2870)</f>
        <v>685</v>
      </c>
      <c r="C2862" s="46" t="str">
        <f>IF(ORCAMENTOS!C2870="","",ORCAMENTOS!C2870)</f>
        <v/>
      </c>
      <c r="D2862" s="37" t="str">
        <f>IF(ORCAMENTOS!D2870="","",ORCAMENTOS!D2870)</f>
        <v>GLOBAL QUALITY</v>
      </c>
      <c r="E2862" s="38" t="str">
        <f>IF(ORCAMENTOS!E2870="","",ORCAMENTOS!E2870)</f>
        <v>GQ_2026_04_14 - Casa Barts</v>
      </c>
      <c r="F2862" s="37" t="str">
        <f>IF(ORCAMENTOS!G2870="","",ORCAMENTOS!G2870)</f>
        <v>Fernando</v>
      </c>
      <c r="G2862" s="37" t="str">
        <f>IF(ORCAMENTOS!H2870="","",ORCAMENTOS!H2870)</f>
        <v>Guilherme</v>
      </c>
      <c r="H2862" s="39">
        <f>IF(ORCAMENTOS!I2870="","",ORCAMENTOS!I2870)</f>
        <v>10000</v>
      </c>
      <c r="I2862" s="60">
        <f>IF(ORCAMENTOS!J2870="","",ORCAMENTOS!J2870)</f>
        <v>7.0000000000000007E-2</v>
      </c>
      <c r="J2862" s="40" t="str">
        <f>IF(ORCAMENTOS!L2870="","",ORCAMENTOS!L2870)</f>
        <v>FECHADO</v>
      </c>
      <c r="K2862" s="34" t="str">
        <f>IF(ORCAMENTOS!M2870="","",ORCAMENTOS!M2870)</f>
        <v>-</v>
      </c>
      <c r="L2862" t="str">
        <f>IF(ORCAMENTOS!R2870="","",ORCAMENTOS!R2870)</f>
        <v>-</v>
      </c>
    </row>
    <row r="2863" spans="1:12" ht="15.75" hidden="1" customHeight="1" x14ac:dyDescent="0.25">
      <c r="A2863" s="36">
        <f>IF(ORCAMENTOS!A2871="","",ORCAMENTOS!A2871)</f>
        <v>46127</v>
      </c>
      <c r="B2863" s="46">
        <f>IF(ORCAMENTOS!B2871="","",ORCAMENTOS!B2871)</f>
        <v>686</v>
      </c>
      <c r="C2863" s="46" t="str">
        <f>IF(ORCAMENTOS!C2871="","",ORCAMENTOS!C2871)</f>
        <v>R1</v>
      </c>
      <c r="D2863" s="37" t="str">
        <f>IF(ORCAMENTOS!D2871="","",ORCAMENTOS!D2871)</f>
        <v>NEWSET</v>
      </c>
      <c r="E2863" s="38" t="str">
        <f>IF(ORCAMENTOS!E2871="","",ORCAMENTOS!E2871)</f>
        <v>PARAGUAÇU ENGENHARIA</v>
      </c>
      <c r="F2863" s="37" t="str">
        <f>IF(ORCAMENTOS!G2871="","",ORCAMENTOS!G2871)</f>
        <v xml:space="preserve">Aldavir </v>
      </c>
      <c r="G2863" s="37" t="str">
        <f>IF(ORCAMENTOS!H2871="","",ORCAMENTOS!H2871)</f>
        <v>David</v>
      </c>
      <c r="H2863" s="39">
        <f>IF(ORCAMENTOS!I2871="","",ORCAMENTOS!I2871)</f>
        <v>45730.25</v>
      </c>
      <c r="I2863" s="60">
        <f>IF(ORCAMENTOS!J2871="","",ORCAMENTOS!J2871)</f>
        <v>7.0000000000000007E-2</v>
      </c>
      <c r="J2863" s="40" t="str">
        <f>IF(ORCAMENTOS!L2871="","",ORCAMENTOS!L2871)</f>
        <v>ORCAMENTO</v>
      </c>
      <c r="K2863" s="34" t="str">
        <f>IF(ORCAMENTOS!M2871="","",ORCAMENTOS!M2871)</f>
        <v>-</v>
      </c>
      <c r="L2863" t="str">
        <f>IF(ORCAMENTOS!R2871="","",ORCAMENTOS!R2871)</f>
        <v>-</v>
      </c>
    </row>
    <row r="2864" spans="1:12" ht="15.75" hidden="1" customHeight="1" x14ac:dyDescent="0.25">
      <c r="A2864" s="36">
        <f>IF(ORCAMENTOS!A2872="","",ORCAMENTOS!A2872)</f>
        <v>46127</v>
      </c>
      <c r="B2864" s="46">
        <f>IF(ORCAMENTOS!B2872="","",ORCAMENTOS!B2872)</f>
        <v>687</v>
      </c>
      <c r="C2864" s="46" t="str">
        <f>IF(ORCAMENTOS!C2872="","",ORCAMENTOS!C2872)</f>
        <v/>
      </c>
      <c r="D2864" s="37" t="str">
        <f>IF(ORCAMENTOS!D2872="","",ORCAMENTOS!D2872)</f>
        <v>AMS INSTALACOES</v>
      </c>
      <c r="E2864" s="38" t="str">
        <f>IF(ORCAMENTOS!E2872="","",ORCAMENTOS!E2872)</f>
        <v>-</v>
      </c>
      <c r="F2864" s="37" t="str">
        <f>IF(ORCAMENTOS!G2872="","",ORCAMENTOS!G2872)</f>
        <v>Gabriel</v>
      </c>
      <c r="G2864" s="37" t="str">
        <f>IF(ORCAMENTOS!H2872="","",ORCAMENTOS!H2872)</f>
        <v>Junior</v>
      </c>
      <c r="H2864" s="39">
        <f>IF(ORCAMENTOS!I2872="","",ORCAMENTOS!I2872)</f>
        <v>31888.44</v>
      </c>
      <c r="I2864" s="60">
        <f>IF(ORCAMENTOS!J2872="","",ORCAMENTOS!J2872)</f>
        <v>7.0000000000000007E-2</v>
      </c>
      <c r="J2864" s="40" t="str">
        <f>IF(ORCAMENTOS!L2872="","",ORCAMENTOS!L2872)</f>
        <v>CANCELADO</v>
      </c>
      <c r="K2864" s="34" t="str">
        <f>IF(ORCAMENTOS!M2872="","",ORCAMENTOS!M2872)</f>
        <v>-</v>
      </c>
      <c r="L2864" t="str">
        <f>IF(ORCAMENTOS!R2872="","",ORCAMENTOS!R2872)</f>
        <v>-</v>
      </c>
    </row>
    <row r="2865" spans="1:12" ht="15.75" hidden="1" customHeight="1" x14ac:dyDescent="0.25">
      <c r="A2865" s="36">
        <f>IF(ORCAMENTOS!A2873="","",ORCAMENTOS!A2873)</f>
        <v>46127</v>
      </c>
      <c r="B2865" s="46">
        <f>IF(ORCAMENTOS!B2873="","",ORCAMENTOS!B2873)</f>
        <v>688</v>
      </c>
      <c r="C2865" s="46" t="str">
        <f>IF(ORCAMENTOS!C2873="","",ORCAMENTOS!C2873)</f>
        <v/>
      </c>
      <c r="D2865" s="37" t="str">
        <f>IF(ORCAMENTOS!D2873="","",ORCAMENTOS!D2873)</f>
        <v>LKT INSTALACOES</v>
      </c>
      <c r="E2865" s="38" t="str">
        <f>IF(ORCAMENTOS!E2873="","",ORCAMENTOS!E2873)</f>
        <v>PRUDENTIAL - PORTO ALEGRE</v>
      </c>
      <c r="F2865" s="37" t="str">
        <f>IF(ORCAMENTOS!G2873="","",ORCAMENTOS!G2873)</f>
        <v>Fernando</v>
      </c>
      <c r="G2865" s="37" t="str">
        <f>IF(ORCAMENTOS!H2873="","",ORCAMENTOS!H2873)</f>
        <v>Gabriel</v>
      </c>
      <c r="H2865" s="39">
        <f>IF(ORCAMENTOS!I2873="","",ORCAMENTOS!I2873)</f>
        <v>31467.27</v>
      </c>
      <c r="I2865" s="60">
        <f>IF(ORCAMENTOS!J2873="","",ORCAMENTOS!J2873)</f>
        <v>7.0000000000000007E-2</v>
      </c>
      <c r="J2865" s="40" t="str">
        <f>IF(ORCAMENTOS!L2873="","",ORCAMENTOS!L2873)</f>
        <v>ORCAMENTO</v>
      </c>
      <c r="K2865" s="34" t="str">
        <f>IF(ORCAMENTOS!M2873="","",ORCAMENTOS!M2873)</f>
        <v>-</v>
      </c>
      <c r="L2865" t="str">
        <f>IF(ORCAMENTOS!R2873="","",ORCAMENTOS!R2873)</f>
        <v>-</v>
      </c>
    </row>
    <row r="2866" spans="1:12" ht="15.75" hidden="1" customHeight="1" x14ac:dyDescent="0.25">
      <c r="A2866" s="36">
        <f>IF(ORCAMENTOS!A2874="","",ORCAMENTOS!A2874)</f>
        <v>46127</v>
      </c>
      <c r="B2866" s="46">
        <f>IF(ORCAMENTOS!B2874="","",ORCAMENTOS!B2874)</f>
        <v>689</v>
      </c>
      <c r="C2866" s="46" t="str">
        <f>IF(ORCAMENTOS!C2874="","",ORCAMENTOS!C2874)</f>
        <v>R1</v>
      </c>
      <c r="D2866" s="37" t="str">
        <f>IF(ORCAMENTOS!D2874="","",ORCAMENTOS!D2874)</f>
        <v>RONALDO DONIZETE</v>
      </c>
      <c r="E2866" s="38" t="str">
        <f>IF(ORCAMENTOS!E2874="","",ORCAMENTOS!E2874)</f>
        <v>-</v>
      </c>
      <c r="F2866" s="37" t="str">
        <f>IF(ORCAMENTOS!G2874="","",ORCAMENTOS!G2874)</f>
        <v>Michel</v>
      </c>
      <c r="G2866" s="37" t="str">
        <f>IF(ORCAMENTOS!H2874="","",ORCAMENTOS!H2874)</f>
        <v>Ronaldo</v>
      </c>
      <c r="H2866" s="39">
        <f>IF(ORCAMENTOS!I2874="","",ORCAMENTOS!I2874)</f>
        <v>36326.870000000003</v>
      </c>
      <c r="I2866" s="60">
        <f>IF(ORCAMENTOS!J2874="","",ORCAMENTOS!J2874)</f>
        <v>0.05</v>
      </c>
      <c r="J2866" s="40" t="str">
        <f>IF(ORCAMENTOS!L2874="","",ORCAMENTOS!L2874)</f>
        <v>FECHADO</v>
      </c>
      <c r="K2866" s="34" t="str">
        <f>IF(ORCAMENTOS!M2874="","",ORCAMENTOS!M2874)</f>
        <v>-</v>
      </c>
      <c r="L2866" t="str">
        <f>IF(ORCAMENTOS!R2874="","",ORCAMENTOS!R2874)</f>
        <v>-</v>
      </c>
    </row>
    <row r="2867" spans="1:12" ht="15.75" hidden="1" customHeight="1" x14ac:dyDescent="0.25">
      <c r="A2867" s="36">
        <f>IF(ORCAMENTOS!A2875="","",ORCAMENTOS!A2875)</f>
        <v>46128</v>
      </c>
      <c r="B2867" s="46">
        <f>IF(ORCAMENTOS!B2875="","",ORCAMENTOS!B2875)</f>
        <v>690</v>
      </c>
      <c r="C2867" s="46" t="str">
        <f>IF(ORCAMENTOS!C2875="","",ORCAMENTOS!C2875)</f>
        <v/>
      </c>
      <c r="D2867" s="37" t="str">
        <f>IF(ORCAMENTOS!D2875="","",ORCAMENTOS!D2875)</f>
        <v>AMS INSTALACOES</v>
      </c>
      <c r="E2867" s="38" t="str">
        <f>IF(ORCAMENTOS!E2875="","",ORCAMENTOS!E2875)</f>
        <v>ATACADAO PACAEMBU - SAO PAULO - SP</v>
      </c>
      <c r="F2867" s="37" t="str">
        <f>IF(ORCAMENTOS!G2875="","",ORCAMENTOS!G2875)</f>
        <v>Gabriel</v>
      </c>
      <c r="G2867" s="37" t="str">
        <f>IF(ORCAMENTOS!H2875="","",ORCAMENTOS!H2875)</f>
        <v>Albertino</v>
      </c>
      <c r="H2867" s="39">
        <f>IF(ORCAMENTOS!I2875="","",ORCAMENTOS!I2875)</f>
        <v>436058.59</v>
      </c>
      <c r="I2867" s="60">
        <f>IF(ORCAMENTOS!J2875="","",ORCAMENTOS!J2875)</f>
        <v>7.0000000000000007E-2</v>
      </c>
      <c r="J2867" s="40" t="str">
        <f>IF(ORCAMENTOS!L2875="","",ORCAMENTOS!L2875)</f>
        <v>ORCAMENTO</v>
      </c>
      <c r="K2867" s="34" t="str">
        <f>IF(ORCAMENTOS!M2875="","",ORCAMENTOS!M2875)</f>
        <v>-</v>
      </c>
      <c r="L2867" t="str">
        <f>IF(ORCAMENTOS!R2875="","",ORCAMENTOS!R2875)</f>
        <v>MPU</v>
      </c>
    </row>
    <row r="2868" spans="1:12" ht="15.75" hidden="1" customHeight="1" x14ac:dyDescent="0.25">
      <c r="A2868" s="36">
        <f>IF(ORCAMENTOS!A2876="","",ORCAMENTOS!A2876)</f>
        <v>46128</v>
      </c>
      <c r="B2868" s="46">
        <f>IF(ORCAMENTOS!B2876="","",ORCAMENTOS!B2876)</f>
        <v>691</v>
      </c>
      <c r="C2868" s="46" t="str">
        <f>IF(ORCAMENTOS!C2876="","",ORCAMENTOS!C2876)</f>
        <v/>
      </c>
      <c r="D2868" s="37" t="str">
        <f>IF(ORCAMENTOS!D2876="","",ORCAMENTOS!D2876)</f>
        <v>TECNOVENTI</v>
      </c>
      <c r="E2868" s="38" t="str">
        <f>IF(ORCAMENTOS!E2876="","",ORCAMENTOS!E2876)</f>
        <v>-</v>
      </c>
      <c r="F2868" s="37" t="str">
        <f>IF(ORCAMENTOS!G2876="","",ORCAMENTOS!G2876)</f>
        <v>Gabriel</v>
      </c>
      <c r="G2868" s="37" t="str">
        <f>IF(ORCAMENTOS!H2876="","",ORCAMENTOS!H2876)</f>
        <v>Nathan</v>
      </c>
      <c r="H2868" s="39">
        <f>IF(ORCAMENTOS!I2876="","",ORCAMENTOS!I2876)</f>
        <v>4365</v>
      </c>
      <c r="I2868" s="60">
        <f>IF(ORCAMENTOS!J2876="","",ORCAMENTOS!J2876)</f>
        <v>7.0000000000000007E-2</v>
      </c>
      <c r="J2868" s="40" t="str">
        <f>IF(ORCAMENTOS!L2876="","",ORCAMENTOS!L2876)</f>
        <v>COMPRA</v>
      </c>
      <c r="K2868" s="34" t="str">
        <f>IF(ORCAMENTOS!M2876="","",ORCAMENTOS!M2876)</f>
        <v>-</v>
      </c>
      <c r="L2868" t="str">
        <f>IF(ORCAMENTOS!R2876="","",ORCAMENTOS!R2876)</f>
        <v>-</v>
      </c>
    </row>
    <row r="2869" spans="1:12" ht="15.75" hidden="1" customHeight="1" x14ac:dyDescent="0.25">
      <c r="A2869" s="36">
        <f>IF(ORCAMENTOS!A2877="","",ORCAMENTOS!A2877)</f>
        <v>46128</v>
      </c>
      <c r="B2869" s="46">
        <f>IF(ORCAMENTOS!B2877="","",ORCAMENTOS!B2877)</f>
        <v>692</v>
      </c>
      <c r="C2869" s="46" t="str">
        <f>IF(ORCAMENTOS!C2877="","",ORCAMENTOS!C2877)</f>
        <v>R1</v>
      </c>
      <c r="D2869" s="37" t="str">
        <f>IF(ORCAMENTOS!D2877="","",ORCAMENTOS!D2877)</f>
        <v>ECOLOGIC AIR</v>
      </c>
      <c r="E2869" s="38" t="str">
        <f>IF(ORCAMENTOS!E2877="","",ORCAMENTOS!E2877)</f>
        <v>OBRAMAX - TAGUATINGA - DF</v>
      </c>
      <c r="F2869" s="37" t="str">
        <f>IF(ORCAMENTOS!G2877="","",ORCAMENTOS!G2877)</f>
        <v>Michel</v>
      </c>
      <c r="G2869" s="37" t="str">
        <f>IF(ORCAMENTOS!H2877="","",ORCAMENTOS!H2877)</f>
        <v>Wellington</v>
      </c>
      <c r="H2869" s="39">
        <f>IF(ORCAMENTOS!I2877="","",ORCAMENTOS!I2877)</f>
        <v>266476.69</v>
      </c>
      <c r="I2869" s="60">
        <f>IF(ORCAMENTOS!J2877="","",ORCAMENTOS!J2877)</f>
        <v>7.0000000000000007E-2</v>
      </c>
      <c r="J2869" s="40" t="str">
        <f>IF(ORCAMENTOS!L2877="","",ORCAMENTOS!L2877)</f>
        <v>CANCELADO</v>
      </c>
      <c r="K2869" s="34" t="str">
        <f>IF(ORCAMENTOS!M2877="","",ORCAMENTOS!M2877)</f>
        <v>-</v>
      </c>
      <c r="L2869" t="str">
        <f>IF(ORCAMENTOS!R2877="","",ORCAMENTOS!R2877)</f>
        <v>MPU</v>
      </c>
    </row>
    <row r="2870" spans="1:12" ht="15.75" hidden="1" customHeight="1" x14ac:dyDescent="0.25">
      <c r="A2870" s="36">
        <f>IF(ORCAMENTOS!A2878="","",ORCAMENTOS!A2878)</f>
        <v>46128</v>
      </c>
      <c r="B2870" s="46">
        <f>IF(ORCAMENTOS!B2878="","",ORCAMENTOS!B2878)</f>
        <v>693</v>
      </c>
      <c r="C2870" s="46" t="str">
        <f>IF(ORCAMENTOS!C2878="","",ORCAMENTOS!C2878)</f>
        <v/>
      </c>
      <c r="D2870" s="37" t="str">
        <f>IF(ORCAMENTOS!D2878="","",ORCAMENTOS!D2878)</f>
        <v>GLOBAL QUALITY</v>
      </c>
      <c r="E2870" s="38" t="str">
        <f>IF(ORCAMENTOS!E2878="","",ORCAMENTOS!E2878)</f>
        <v>Marco Mello</v>
      </c>
      <c r="F2870" s="37" t="str">
        <f>IF(ORCAMENTOS!G2878="","",ORCAMENTOS!G2878)</f>
        <v>Fernando</v>
      </c>
      <c r="G2870" s="37" t="str">
        <f>IF(ORCAMENTOS!H2878="","",ORCAMENTOS!H2878)</f>
        <v>Guilherme</v>
      </c>
      <c r="H2870" s="39">
        <f>IF(ORCAMENTOS!I2878="","",ORCAMENTOS!I2878)</f>
        <v>10500</v>
      </c>
      <c r="I2870" s="60">
        <f>IF(ORCAMENTOS!J2878="","",ORCAMENTOS!J2878)</f>
        <v>0.06</v>
      </c>
      <c r="J2870" s="40" t="str">
        <f>IF(ORCAMENTOS!L2878="","",ORCAMENTOS!L2878)</f>
        <v>FECHADO</v>
      </c>
      <c r="K2870" s="34" t="str">
        <f>IF(ORCAMENTOS!M2878="","",ORCAMENTOS!M2878)</f>
        <v>-</v>
      </c>
      <c r="L2870" t="str">
        <f>IF(ORCAMENTOS!R2878="","",ORCAMENTOS!R2878)</f>
        <v>-</v>
      </c>
    </row>
    <row r="2871" spans="1:12" ht="15.75" hidden="1" customHeight="1" x14ac:dyDescent="0.25">
      <c r="A2871" s="36">
        <f>IF(ORCAMENTOS!A2879="","",ORCAMENTOS!A2879)</f>
        <v>46129</v>
      </c>
      <c r="B2871" s="46">
        <f>IF(ORCAMENTOS!B2879="","",ORCAMENTOS!B2879)</f>
        <v>694</v>
      </c>
      <c r="C2871" s="46" t="str">
        <f>IF(ORCAMENTOS!C2879="","",ORCAMENTOS!C2879)</f>
        <v/>
      </c>
      <c r="D2871" s="37" t="str">
        <f>IF(ORCAMENTOS!D2879="","",ORCAMENTOS!D2879)</f>
        <v>AEROTHERMIC</v>
      </c>
      <c r="E2871" s="38" t="str">
        <f>IF(ORCAMENTOS!E2879="","",ORCAMENTOS!E2879)</f>
        <v>FOGO DE CHAO - BOTAFOGO - RV01</v>
      </c>
      <c r="F2871" s="37" t="str">
        <f>IF(ORCAMENTOS!G2879="","",ORCAMENTOS!G2879)</f>
        <v>Fernando</v>
      </c>
      <c r="G2871" s="37" t="str">
        <f>IF(ORCAMENTOS!H2879="","",ORCAMENTOS!H2879)</f>
        <v>Claudio</v>
      </c>
      <c r="H2871" s="39">
        <f>IF(ORCAMENTOS!I2879="","",ORCAMENTOS!I2879)</f>
        <v>13678.34</v>
      </c>
      <c r="I2871" s="60">
        <f>IF(ORCAMENTOS!J2879="","",ORCAMENTOS!J2879)</f>
        <v>7.0000000000000007E-2</v>
      </c>
      <c r="J2871" s="40" t="str">
        <f>IF(ORCAMENTOS!L2879="","",ORCAMENTOS!L2879)</f>
        <v>ORCAMENTO</v>
      </c>
      <c r="K2871" s="34" t="str">
        <f>IF(ORCAMENTOS!M2879="","",ORCAMENTOS!M2879)</f>
        <v>-</v>
      </c>
      <c r="L2871" t="str">
        <f>IF(ORCAMENTOS!R2879="","",ORCAMENTOS!R2879)</f>
        <v>N/E</v>
      </c>
    </row>
    <row r="2872" spans="1:12" ht="15.75" hidden="1" customHeight="1" x14ac:dyDescent="0.25">
      <c r="A2872" s="36">
        <f>IF(ORCAMENTOS!A2880="","",ORCAMENTOS!A2880)</f>
        <v>46129</v>
      </c>
      <c r="B2872" s="46">
        <f>IF(ORCAMENTOS!B2880="","",ORCAMENTOS!B2880)</f>
        <v>695</v>
      </c>
      <c r="C2872" s="46" t="str">
        <f>IF(ORCAMENTOS!C2880="","",ORCAMENTOS!C2880)</f>
        <v>R2</v>
      </c>
      <c r="D2872" s="37" t="str">
        <f>IF(ORCAMENTOS!D2880="","",ORCAMENTOS!D2880)</f>
        <v>KONAR</v>
      </c>
      <c r="E2872" s="38" t="str">
        <f>IF(ORCAMENTOS!E2880="","",ORCAMENTOS!E2880)</f>
        <v>426-23 - KSM GUARULHOS</v>
      </c>
      <c r="F2872" s="37" t="str">
        <f>IF(ORCAMENTOS!G2880="","",ORCAMENTOS!G2880)</f>
        <v>Michel</v>
      </c>
      <c r="G2872" s="37" t="str">
        <f>IF(ORCAMENTOS!H2880="","",ORCAMENTOS!H2880)</f>
        <v>Fabio</v>
      </c>
      <c r="H2872" s="39">
        <f>IF(ORCAMENTOS!I2880="","",ORCAMENTOS!I2880)</f>
        <v>7149.03</v>
      </c>
      <c r="I2872" s="60">
        <f>IF(ORCAMENTOS!J2880="","",ORCAMENTOS!J2880)</f>
        <v>0.03</v>
      </c>
      <c r="J2872" s="40" t="str">
        <f>IF(ORCAMENTOS!L2880="","",ORCAMENTOS!L2880)</f>
        <v>FECHADO</v>
      </c>
      <c r="K2872" s="34" t="str">
        <f>IF(ORCAMENTOS!M2880="","",ORCAMENTOS!M2880)</f>
        <v>-</v>
      </c>
      <c r="L2872" t="str">
        <f>IF(ORCAMENTOS!R2880="","",ORCAMENTOS!R2880)</f>
        <v>-</v>
      </c>
    </row>
    <row r="2873" spans="1:12" ht="15.75" hidden="1" customHeight="1" x14ac:dyDescent="0.25">
      <c r="A2873" s="36">
        <f>IF(ORCAMENTOS!A2881="","",ORCAMENTOS!A2881)</f>
        <v>46129</v>
      </c>
      <c r="B2873" s="46">
        <f>IF(ORCAMENTOS!B2881="","",ORCAMENTOS!B2881)</f>
        <v>696</v>
      </c>
      <c r="C2873" s="46" t="str">
        <f>IF(ORCAMENTOS!C2881="","",ORCAMENTOS!C2881)</f>
        <v/>
      </c>
      <c r="D2873" s="37" t="str">
        <f>IF(ORCAMENTOS!D2881="","",ORCAMENTOS!D2881)</f>
        <v>AMS INSTALACOES</v>
      </c>
      <c r="E2873" s="38" t="str">
        <f>IF(ORCAMENTOS!E2881="","",ORCAMENTOS!E2881)</f>
        <v>FORT 540 VIDEIRAS - SP - EXAUSTAO/AR EXTERNO</v>
      </c>
      <c r="F2873" s="37" t="str">
        <f>IF(ORCAMENTOS!G2881="","",ORCAMENTOS!G2881)</f>
        <v>Gabriel</v>
      </c>
      <c r="G2873" s="37" t="str">
        <f>IF(ORCAMENTOS!H2881="","",ORCAMENTOS!H2881)</f>
        <v>Albertino</v>
      </c>
      <c r="H2873" s="39">
        <f>IF(ORCAMENTOS!I2881="","",ORCAMENTOS!I2881)</f>
        <v>13414.78</v>
      </c>
      <c r="I2873" s="60">
        <f>IF(ORCAMENTOS!J2881="","",ORCAMENTOS!J2881)</f>
        <v>7.0000000000000007E-2</v>
      </c>
      <c r="J2873" s="40" t="str">
        <f>IF(ORCAMENTOS!L2881="","",ORCAMENTOS!L2881)</f>
        <v>ORCAMENTO</v>
      </c>
      <c r="K2873" s="34" t="str">
        <f>IF(ORCAMENTOS!M2881="","",ORCAMENTOS!M2881)</f>
        <v>-</v>
      </c>
      <c r="L2873" t="str">
        <f>IF(ORCAMENTOS!R2881="","",ORCAMENTOS!R2881)</f>
        <v>MPU</v>
      </c>
    </row>
    <row r="2874" spans="1:12" ht="15.75" hidden="1" customHeight="1" x14ac:dyDescent="0.25">
      <c r="A2874" s="36">
        <f>IF(ORCAMENTOS!A2882="","",ORCAMENTOS!A2882)</f>
        <v>46129</v>
      </c>
      <c r="B2874" s="46">
        <f>IF(ORCAMENTOS!B2882="","",ORCAMENTOS!B2882)</f>
        <v>697</v>
      </c>
      <c r="C2874" s="46" t="str">
        <f>IF(ORCAMENTOS!C2882="","",ORCAMENTOS!C2882)</f>
        <v/>
      </c>
      <c r="D2874" s="37" t="str">
        <f>IF(ORCAMENTOS!D2882="","",ORCAMENTOS!D2882)</f>
        <v>ADRIATIC</v>
      </c>
      <c r="E2874" s="38" t="str">
        <f>IF(ORCAMENTOS!E2882="","",ORCAMENTOS!E2882)</f>
        <v>C&amp;A 201 - IGUATEMI - SÃO JOSE DO RIO PRETO</v>
      </c>
      <c r="F2874" s="37" t="str">
        <f>IF(ORCAMENTOS!G2882="","",ORCAMENTOS!G2882)</f>
        <v>Emanuel</v>
      </c>
      <c r="G2874" s="37" t="str">
        <f>IF(ORCAMENTOS!H2882="","",ORCAMENTOS!H2882)</f>
        <v>Renato</v>
      </c>
      <c r="H2874" s="39">
        <f>IF(ORCAMENTOS!I2882="","",ORCAMENTOS!I2882)</f>
        <v>110643.28</v>
      </c>
      <c r="I2874" s="60">
        <f>IF(ORCAMENTOS!J2882="","",ORCAMENTOS!J2882)</f>
        <v>0.05</v>
      </c>
      <c r="J2874" s="40" t="str">
        <f>IF(ORCAMENTOS!L2882="","",ORCAMENTOS!L2882)</f>
        <v>ORCAMENTO</v>
      </c>
      <c r="K2874" s="34" t="str">
        <f>IF(ORCAMENTOS!M2882="","",ORCAMENTOS!M2882)</f>
        <v>-</v>
      </c>
      <c r="L2874" t="str">
        <f>IF(ORCAMENTOS!R2882="","",ORCAMENTOS!R2882)</f>
        <v>MPU</v>
      </c>
    </row>
    <row r="2875" spans="1:12" ht="15.75" hidden="1" customHeight="1" x14ac:dyDescent="0.25">
      <c r="A2875" s="36">
        <f>IF(ORCAMENTOS!A2883="","",ORCAMENTOS!A2883)</f>
        <v>46129</v>
      </c>
      <c r="B2875" s="46">
        <f>IF(ORCAMENTOS!B2883="","",ORCAMENTOS!B2883)</f>
        <v>698</v>
      </c>
      <c r="C2875" s="46" t="str">
        <f>IF(ORCAMENTOS!C2883="","",ORCAMENTOS!C2883)</f>
        <v/>
      </c>
      <c r="D2875" s="37" t="str">
        <f>IF(ORCAMENTOS!D2883="","",ORCAMENTOS!D2883)</f>
        <v>ASF SERVICOS</v>
      </c>
      <c r="E2875" s="38" t="str">
        <f>IF(ORCAMENTOS!E2883="","",ORCAMENTOS!E2883)</f>
        <v>RD LONDRINA</v>
      </c>
      <c r="F2875" s="37" t="str">
        <f>IF(ORCAMENTOS!G2883="","",ORCAMENTOS!G2883)</f>
        <v>Fernando</v>
      </c>
      <c r="G2875" s="37" t="str">
        <f>IF(ORCAMENTOS!H2883="","",ORCAMENTOS!H2883)</f>
        <v>Andre</v>
      </c>
      <c r="H2875" s="39">
        <f>IF(ORCAMENTOS!I2883="","",ORCAMENTOS!I2883)</f>
        <v>641847.25</v>
      </c>
      <c r="I2875" s="60">
        <f>IF(ORCAMENTOS!J2883="","",ORCAMENTOS!J2883)</f>
        <v>0.05</v>
      </c>
      <c r="J2875" s="40" t="str">
        <f>IF(ORCAMENTOS!L2883="","",ORCAMENTOS!L2883)</f>
        <v>CANCELADO</v>
      </c>
      <c r="K2875" s="34" t="str">
        <f>IF(ORCAMENTOS!M2883="","",ORCAMENTOS!M2883)</f>
        <v>CLIENTE NEGOCIANDO</v>
      </c>
      <c r="L2875" t="str">
        <f>IF(ORCAMENTOS!R2883="","",ORCAMENTOS!R2883)</f>
        <v>-</v>
      </c>
    </row>
    <row r="2876" spans="1:12" ht="15.75" hidden="1" customHeight="1" x14ac:dyDescent="0.25">
      <c r="A2876" s="36">
        <f>IF(ORCAMENTOS!A2884="","",ORCAMENTOS!A2884)</f>
        <v>46129</v>
      </c>
      <c r="B2876" s="46">
        <f>IF(ORCAMENTOS!B2884="","",ORCAMENTOS!B2884)</f>
        <v>699</v>
      </c>
      <c r="C2876" s="46" t="str">
        <f>IF(ORCAMENTOS!C2884="","",ORCAMENTOS!C2884)</f>
        <v/>
      </c>
      <c r="D2876" s="37" t="str">
        <f>IF(ORCAMENTOS!D2884="","",ORCAMENTOS!D2884)</f>
        <v>NP CLIMATIZAÇÃO</v>
      </c>
      <c r="E2876" s="38" t="str">
        <f>IF(ORCAMENTOS!E2884="","",ORCAMENTOS!E2884)</f>
        <v>MAUREN JOAO</v>
      </c>
      <c r="F2876" s="37" t="str">
        <f>IF(ORCAMENTOS!G2884="","",ORCAMENTOS!G2884)</f>
        <v>Guilherme</v>
      </c>
      <c r="G2876" s="37" t="str">
        <f>IF(ORCAMENTOS!H2884="","",ORCAMENTOS!H2884)</f>
        <v>Maria</v>
      </c>
      <c r="H2876" s="39">
        <f>IF(ORCAMENTOS!I2884="","",ORCAMENTOS!I2884)</f>
        <v>17575.25</v>
      </c>
      <c r="I2876" s="60">
        <f>IF(ORCAMENTOS!J2884="","",ORCAMENTOS!J2884)</f>
        <v>7.0000000000000007E-2</v>
      </c>
      <c r="J2876" s="40" t="str">
        <f>IF(ORCAMENTOS!L2884="","",ORCAMENTOS!L2884)</f>
        <v>CANCELADO</v>
      </c>
      <c r="K2876" s="34" t="str">
        <f>IF(ORCAMENTOS!M2884="","",ORCAMENTOS!M2884)</f>
        <v>-</v>
      </c>
      <c r="L2876" t="str">
        <f>IF(ORCAMENTOS!R2884="","",ORCAMENTOS!R2884)</f>
        <v>-</v>
      </c>
    </row>
    <row r="2877" spans="1:12" ht="15.75" hidden="1" customHeight="1" x14ac:dyDescent="0.25">
      <c r="A2877" s="36">
        <f>IF(ORCAMENTOS!A2885="","",ORCAMENTOS!A2885)</f>
        <v>46129</v>
      </c>
      <c r="B2877" s="46">
        <f>IF(ORCAMENTOS!B2885="","",ORCAMENTOS!B2885)</f>
        <v>700</v>
      </c>
      <c r="C2877" s="46" t="str">
        <f>IF(ORCAMENTOS!C2885="","",ORCAMENTOS!C2885)</f>
        <v/>
      </c>
      <c r="D2877" s="37" t="str">
        <f>IF(ORCAMENTOS!D2885="","",ORCAMENTOS!D2885)</f>
        <v>EXPANSAO AR</v>
      </c>
      <c r="E2877" s="38" t="str">
        <f>IF(ORCAMENTOS!E2885="","",ORCAMENTOS!E2885)</f>
        <v>CASA DE CULTURA SÃO MATEUS - SP</v>
      </c>
      <c r="F2877" s="37" t="str">
        <f>IF(ORCAMENTOS!G2885="","",ORCAMENTOS!G2885)</f>
        <v>Gabriel</v>
      </c>
      <c r="G2877" s="37" t="str">
        <f>IF(ORCAMENTOS!H2885="","",ORCAMENTOS!H2885)</f>
        <v>Natanael</v>
      </c>
      <c r="H2877" s="39">
        <f>IF(ORCAMENTOS!I2885="","",ORCAMENTOS!I2885)</f>
        <v>12126.06</v>
      </c>
      <c r="I2877" s="60">
        <f>IF(ORCAMENTOS!J2885="","",ORCAMENTOS!J2885)</f>
        <v>7.0000000000000007E-2</v>
      </c>
      <c r="J2877" s="40" t="str">
        <f>IF(ORCAMENTOS!L2885="","",ORCAMENTOS!L2885)</f>
        <v>ORCAMENTO</v>
      </c>
      <c r="K2877" s="34" t="str">
        <f>IF(ORCAMENTOS!M2885="","",ORCAMENTOS!M2885)</f>
        <v>-</v>
      </c>
      <c r="L2877" t="str">
        <f>IF(ORCAMENTOS!R2885="","",ORCAMENTOS!R2885)</f>
        <v>N/E</v>
      </c>
    </row>
    <row r="2878" spans="1:12" ht="15.75" hidden="1" customHeight="1" x14ac:dyDescent="0.25">
      <c r="A2878" s="36">
        <f>IF(ORCAMENTOS!A2886="","",ORCAMENTOS!A2886)</f>
        <v>46129</v>
      </c>
      <c r="B2878" s="46">
        <f>IF(ORCAMENTOS!B2886="","",ORCAMENTOS!B2886)</f>
        <v>701</v>
      </c>
      <c r="C2878" s="46" t="str">
        <f>IF(ORCAMENTOS!C2886="","",ORCAMENTOS!C2886)</f>
        <v/>
      </c>
      <c r="D2878" s="37" t="str">
        <f>IF(ORCAMENTOS!D2886="","",ORCAMENTOS!D2886)</f>
        <v>AMN MONTAGEM</v>
      </c>
      <c r="E2878" s="38" t="str">
        <f>IF(ORCAMENTOS!E2886="","",ORCAMENTOS!E2886)</f>
        <v>CASA DE CULTURA SÃO MATEUS - SP</v>
      </c>
      <c r="F2878" s="37" t="str">
        <f>IF(ORCAMENTOS!G2886="","",ORCAMENTOS!G2886)</f>
        <v>Emanuel</v>
      </c>
      <c r="G2878" s="37" t="str">
        <f>IF(ORCAMENTOS!H2886="","",ORCAMENTOS!H2886)</f>
        <v>Adelmir</v>
      </c>
      <c r="H2878" s="39">
        <f>IF(ORCAMENTOS!I2886="","",ORCAMENTOS!I2886)</f>
        <v>12126.06</v>
      </c>
      <c r="I2878" s="60">
        <f>IF(ORCAMENTOS!J2886="","",ORCAMENTOS!J2886)</f>
        <v>7.0000000000000007E-2</v>
      </c>
      <c r="J2878" s="40" t="str">
        <f>IF(ORCAMENTOS!L2886="","",ORCAMENTOS!L2886)</f>
        <v>CANCELADO</v>
      </c>
      <c r="K2878" s="34" t="str">
        <f>IF(ORCAMENTOS!M2886="","",ORCAMENTOS!M2886)</f>
        <v>-</v>
      </c>
      <c r="L2878" t="str">
        <f>IF(ORCAMENTOS!R2886="","",ORCAMENTOS!R2886)</f>
        <v>N/E</v>
      </c>
    </row>
    <row r="2879" spans="1:12" ht="15.75" hidden="1" customHeight="1" x14ac:dyDescent="0.25">
      <c r="A2879" s="36">
        <f>IF(ORCAMENTOS!A2887="","",ORCAMENTOS!A2887)</f>
        <v>46129</v>
      </c>
      <c r="B2879" s="46">
        <f>IF(ORCAMENTOS!B2887="","",ORCAMENTOS!B2887)</f>
        <v>702</v>
      </c>
      <c r="C2879" s="46" t="str">
        <f>IF(ORCAMENTOS!C2887="","",ORCAMENTOS!C2887)</f>
        <v/>
      </c>
      <c r="D2879" s="37" t="str">
        <f>IF(ORCAMENTOS!D2887="","",ORCAMENTOS!D2887)</f>
        <v>BR AR CONDICIONADO</v>
      </c>
      <c r="E2879" s="38" t="str">
        <f>IF(ORCAMENTOS!E2887="","",ORCAMENTOS!E2887)</f>
        <v>-</v>
      </c>
      <c r="F2879" s="37" t="str">
        <f>IF(ORCAMENTOS!G2887="","",ORCAMENTOS!G2887)</f>
        <v>Gabriel</v>
      </c>
      <c r="G2879" s="37" t="str">
        <f>IF(ORCAMENTOS!H2887="","",ORCAMENTOS!H2887)</f>
        <v>Tatiana</v>
      </c>
      <c r="H2879" s="39">
        <f>IF(ORCAMENTOS!I2887="","",ORCAMENTOS!I2887)</f>
        <v>7743.75</v>
      </c>
      <c r="I2879" s="60">
        <f>IF(ORCAMENTOS!J2887="","",ORCAMENTOS!J2887)</f>
        <v>0.04</v>
      </c>
      <c r="J2879" s="40" t="str">
        <f>IF(ORCAMENTOS!L2887="","",ORCAMENTOS!L2887)</f>
        <v>ORCAMENTO</v>
      </c>
      <c r="K2879" s="34" t="str">
        <f>IF(ORCAMENTOS!M2887="","",ORCAMENTOS!M2887)</f>
        <v>-</v>
      </c>
      <c r="L2879" t="str">
        <f>IF(ORCAMENTOS!R2887="","",ORCAMENTOS!R2887)</f>
        <v>-</v>
      </c>
    </row>
    <row r="2880" spans="1:12" ht="15.75" hidden="1" customHeight="1" x14ac:dyDescent="0.25">
      <c r="A2880" s="36">
        <f>IF(ORCAMENTOS!A2888="","",ORCAMENTOS!A2888)</f>
        <v>46129</v>
      </c>
      <c r="B2880" s="46">
        <f>IF(ORCAMENTOS!B2888="","",ORCAMENTOS!B2888)</f>
        <v>703</v>
      </c>
      <c r="C2880" s="46" t="str">
        <f>IF(ORCAMENTOS!C2888="","",ORCAMENTOS!C2888)</f>
        <v/>
      </c>
      <c r="D2880" s="37" t="str">
        <f>IF(ORCAMENTOS!D2888="","",ORCAMENTOS!D2888)</f>
        <v>HEATING COOLING</v>
      </c>
      <c r="E2880" s="38">
        <f>IF(ORCAMENTOS!E2888="","",ORCAMENTOS!E2888)</f>
        <v>65278</v>
      </c>
      <c r="F2880" s="37" t="str">
        <f>IF(ORCAMENTOS!G2888="","",ORCAMENTOS!G2888)</f>
        <v>Gabriel</v>
      </c>
      <c r="G2880" s="37" t="str">
        <f>IF(ORCAMENTOS!H2888="","",ORCAMENTOS!H2888)</f>
        <v>Giulia</v>
      </c>
      <c r="H2880" s="39">
        <f>IF(ORCAMENTOS!I2888="","",ORCAMENTOS!I2888)</f>
        <v>758.27</v>
      </c>
      <c r="I2880" s="60">
        <f>IF(ORCAMENTOS!J2888="","",ORCAMENTOS!J2888)</f>
        <v>7.0000000000000007E-2</v>
      </c>
      <c r="J2880" s="40" t="str">
        <f>IF(ORCAMENTOS!L2888="","",ORCAMENTOS!L2888)</f>
        <v>ORCAMENTO</v>
      </c>
      <c r="K2880" s="34" t="str">
        <f>IF(ORCAMENTOS!M2888="","",ORCAMENTOS!M2888)</f>
        <v>-</v>
      </c>
      <c r="L2880" t="str">
        <f>IF(ORCAMENTOS!R2888="","",ORCAMENTOS!R2888)</f>
        <v>-</v>
      </c>
    </row>
    <row r="2881" spans="1:12" ht="15.75" hidden="1" customHeight="1" x14ac:dyDescent="0.25">
      <c r="A2881" s="36">
        <f>IF(ORCAMENTOS!A2889="","",ORCAMENTOS!A2889)</f>
        <v>46134</v>
      </c>
      <c r="B2881" s="46">
        <f>IF(ORCAMENTOS!B2889="","",ORCAMENTOS!B2889)</f>
        <v>704</v>
      </c>
      <c r="C2881" s="46" t="str">
        <f>IF(ORCAMENTOS!C2889="","",ORCAMENTOS!C2889)</f>
        <v/>
      </c>
      <c r="D2881" s="37" t="str">
        <f>IF(ORCAMENTOS!D2889="","",ORCAMENTOS!D2889)</f>
        <v>ENERGY AIR</v>
      </c>
      <c r="E2881" s="38" t="str">
        <f>IF(ORCAMENTOS!E2889="","",ORCAMENTOS!E2889)</f>
        <v>CACAU SHOW</v>
      </c>
      <c r="F2881" s="37" t="str">
        <f>IF(ORCAMENTOS!G2889="","",ORCAMENTOS!G2889)</f>
        <v xml:space="preserve">Aldavir </v>
      </c>
      <c r="G2881" s="37" t="str">
        <f>IF(ORCAMENTOS!H2889="","",ORCAMENTOS!H2889)</f>
        <v>Gustavo</v>
      </c>
      <c r="H2881" s="39">
        <f>IF(ORCAMENTOS!I2889="","",ORCAMENTOS!I2889)</f>
        <v>6000</v>
      </c>
      <c r="I2881" s="60">
        <f>IF(ORCAMENTOS!J2889="","",ORCAMENTOS!J2889)</f>
        <v>7.0000000000000007E-2</v>
      </c>
      <c r="J2881" s="40" t="str">
        <f>IF(ORCAMENTOS!L2889="","",ORCAMENTOS!L2889)</f>
        <v>FECHADO</v>
      </c>
      <c r="K2881" s="34" t="str">
        <f>IF(ORCAMENTOS!M2889="","",ORCAMENTOS!M2889)</f>
        <v>-</v>
      </c>
      <c r="L2881" t="str">
        <f>IF(ORCAMENTOS!R2889="","",ORCAMENTOS!R2889)</f>
        <v/>
      </c>
    </row>
    <row r="2882" spans="1:12" ht="15.75" hidden="1" customHeight="1" x14ac:dyDescent="0.25">
      <c r="A2882" s="36">
        <f>IF(ORCAMENTOS!A2890="","",ORCAMENTOS!A2890)</f>
        <v>46134</v>
      </c>
      <c r="B2882" s="46">
        <f>IF(ORCAMENTOS!B2890="","",ORCAMENTOS!B2890)</f>
        <v>705</v>
      </c>
      <c r="C2882" s="46" t="str">
        <f>IF(ORCAMENTOS!C2890="","",ORCAMENTOS!C2890)</f>
        <v/>
      </c>
      <c r="D2882" s="37" t="str">
        <f>IF(ORCAMENTOS!D2890="","",ORCAMENTOS!D2890)</f>
        <v>TERMODINAMICA</v>
      </c>
      <c r="E2882" s="38" t="str">
        <f>IF(ORCAMENTOS!E2890="","",ORCAMENTOS!E2890)</f>
        <v>HOSPITAL SANTA CLARA - BRAGANÇA PAULISTA / S</v>
      </c>
      <c r="F2882" s="37" t="str">
        <f>IF(ORCAMENTOS!G2890="","",ORCAMENTOS!G2890)</f>
        <v xml:space="preserve">Aldavir </v>
      </c>
      <c r="G2882" s="37" t="str">
        <f>IF(ORCAMENTOS!H2890="","",ORCAMENTOS!H2890)</f>
        <v>Luciano</v>
      </c>
      <c r="H2882" s="39">
        <f>IF(ORCAMENTOS!I2890="","",ORCAMENTOS!I2890)</f>
        <v>490203.55</v>
      </c>
      <c r="I2882" s="60">
        <f>IF(ORCAMENTOS!J2890="","",ORCAMENTOS!J2890)</f>
        <v>7.0000000000000007E-2</v>
      </c>
      <c r="J2882" s="40" t="str">
        <f>IF(ORCAMENTOS!L2890="","",ORCAMENTOS!L2890)</f>
        <v>ORCAMENTO</v>
      </c>
      <c r="K2882" s="34" t="str">
        <f>IF(ORCAMENTOS!M2890="","",ORCAMENTOS!M2890)</f>
        <v>-</v>
      </c>
      <c r="L2882" t="str">
        <f>IF(ORCAMENTOS!R2890="","",ORCAMENTOS!R2890)</f>
        <v>-</v>
      </c>
    </row>
    <row r="2883" spans="1:12" ht="15.75" hidden="1" customHeight="1" x14ac:dyDescent="0.25">
      <c r="A2883" s="36">
        <f>IF(ORCAMENTOS!A2891="","",ORCAMENTOS!A2891)</f>
        <v>46134</v>
      </c>
      <c r="B2883" s="46">
        <f>IF(ORCAMENTOS!B2891="","",ORCAMENTOS!B2891)</f>
        <v>706</v>
      </c>
      <c r="C2883" s="46" t="str">
        <f>IF(ORCAMENTOS!C2891="","",ORCAMENTOS!C2891)</f>
        <v/>
      </c>
      <c r="D2883" s="37" t="str">
        <f>IF(ORCAMENTOS!D2891="","",ORCAMENTOS!D2891)</f>
        <v>THERMOPOLO</v>
      </c>
      <c r="E2883" s="38" t="str">
        <f>IF(ORCAMENTOS!E2891="","",ORCAMENTOS!E2891)</f>
        <v>BOA VISTA VILLAGE - GALERIA DE ARTES</v>
      </c>
      <c r="F2883" s="37" t="str">
        <f>IF(ORCAMENTOS!G2891="","",ORCAMENTOS!G2891)</f>
        <v xml:space="preserve">Aldavir </v>
      </c>
      <c r="G2883" s="37" t="str">
        <f>IF(ORCAMENTOS!H2891="","",ORCAMENTOS!H2891)</f>
        <v>Veruza</v>
      </c>
      <c r="H2883" s="39">
        <f>IF(ORCAMENTOS!I2891="","",ORCAMENTOS!I2891)</f>
        <v>87404.08</v>
      </c>
      <c r="I2883" s="60">
        <f>IF(ORCAMENTOS!J2891="","",ORCAMENTOS!J2891)</f>
        <v>7.0000000000000007E-2</v>
      </c>
      <c r="J2883" s="40" t="str">
        <f>IF(ORCAMENTOS!L2891="","",ORCAMENTOS!L2891)</f>
        <v>CANCELADO</v>
      </c>
      <c r="K2883" s="34" t="str">
        <f>IF(ORCAMENTOS!M2891="","",ORCAMENTOS!M2891)</f>
        <v>BOAS CHANCES</v>
      </c>
      <c r="L2883" t="str">
        <f>IF(ORCAMENTOS!R2891="","",ORCAMENTOS!R2891)</f>
        <v>-</v>
      </c>
    </row>
    <row r="2884" spans="1:12" ht="15.75" hidden="1" customHeight="1" x14ac:dyDescent="0.25">
      <c r="A2884" s="36">
        <f>IF(ORCAMENTOS!A2892="","",ORCAMENTOS!A2892)</f>
        <v>46134</v>
      </c>
      <c r="B2884" s="46">
        <f>IF(ORCAMENTOS!B2892="","",ORCAMENTOS!B2892)</f>
        <v>707</v>
      </c>
      <c r="C2884" s="46" t="str">
        <f>IF(ORCAMENTOS!C2892="","",ORCAMENTOS!C2892)</f>
        <v>R1</v>
      </c>
      <c r="D2884" s="37" t="str">
        <f>IF(ORCAMENTOS!D2892="","",ORCAMENTOS!D2892)</f>
        <v>UNION RHAC</v>
      </c>
      <c r="E2884" s="38" t="str">
        <f>IF(ORCAMENTOS!E2892="","",ORCAMENTOS!E2892)</f>
        <v>Nissin Tempero</v>
      </c>
      <c r="F2884" s="37" t="str">
        <f>IF(ORCAMENTOS!G2892="","",ORCAMENTOS!G2892)</f>
        <v>Emanuel</v>
      </c>
      <c r="G2884" s="37" t="str">
        <f>IF(ORCAMENTOS!H2892="","",ORCAMENTOS!H2892)</f>
        <v>Vinicius</v>
      </c>
      <c r="H2884" s="39">
        <f>IF(ORCAMENTOS!I2892="","",ORCAMENTOS!I2892)</f>
        <v>5970.82</v>
      </c>
      <c r="I2884" s="60">
        <f>IF(ORCAMENTOS!J2892="","",ORCAMENTOS!J2892)</f>
        <v>0.04</v>
      </c>
      <c r="J2884" s="40" t="str">
        <f>IF(ORCAMENTOS!L2892="","",ORCAMENTOS!L2892)</f>
        <v>FECHADO</v>
      </c>
      <c r="K2884" s="34" t="str">
        <f>IF(ORCAMENTOS!M2892="","",ORCAMENTOS!M2892)</f>
        <v>-</v>
      </c>
      <c r="L2884" t="str">
        <f>IF(ORCAMENTOS!R2892="","",ORCAMENTOS!R2892)</f>
        <v>-</v>
      </c>
    </row>
    <row r="2885" spans="1:12" ht="15.75" hidden="1" customHeight="1" x14ac:dyDescent="0.25">
      <c r="A2885" s="36">
        <f>IF(ORCAMENTOS!A2893="","",ORCAMENTOS!A2893)</f>
        <v>46134</v>
      </c>
      <c r="B2885" s="46">
        <f>IF(ORCAMENTOS!B2893="","",ORCAMENTOS!B2893)</f>
        <v>708</v>
      </c>
      <c r="C2885" s="46" t="str">
        <f>IF(ORCAMENTOS!C2893="","",ORCAMENTOS!C2893)</f>
        <v>R1</v>
      </c>
      <c r="D2885" s="37" t="str">
        <f>IF(ORCAMENTOS!D2893="","",ORCAMENTOS!D2893)</f>
        <v>ISOTEMP</v>
      </c>
      <c r="E2885" s="38" t="str">
        <f>IF(ORCAMENTOS!E2893="","",ORCAMENTOS!E2893)</f>
        <v>EMBRION</v>
      </c>
      <c r="F2885" s="37" t="str">
        <f>IF(ORCAMENTOS!G2893="","",ORCAMENTOS!G2893)</f>
        <v>Michel</v>
      </c>
      <c r="G2885" s="37" t="str">
        <f>IF(ORCAMENTOS!H2893="","",ORCAMENTOS!H2893)</f>
        <v>Vinicius</v>
      </c>
      <c r="H2885" s="39">
        <f>IF(ORCAMENTOS!I2893="","",ORCAMENTOS!I2893)</f>
        <v>2977.11</v>
      </c>
      <c r="I2885" s="60">
        <f>IF(ORCAMENTOS!J2893="","",ORCAMENTOS!J2893)</f>
        <v>0.04</v>
      </c>
      <c r="J2885" s="40" t="str">
        <f>IF(ORCAMENTOS!L2893="","",ORCAMENTOS!L2893)</f>
        <v>FECHADO</v>
      </c>
      <c r="K2885" s="34" t="str">
        <f>IF(ORCAMENTOS!M2893="","",ORCAMENTOS!M2893)</f>
        <v>-</v>
      </c>
      <c r="L2885" t="str">
        <f>IF(ORCAMENTOS!R2893="","",ORCAMENTOS!R2893)</f>
        <v>-</v>
      </c>
    </row>
    <row r="2886" spans="1:12" ht="15.75" hidden="1" customHeight="1" x14ac:dyDescent="0.25">
      <c r="A2886" s="36">
        <f>IF(ORCAMENTOS!A2894="","",ORCAMENTOS!A2894)</f>
        <v>46134</v>
      </c>
      <c r="B2886" s="46">
        <f>IF(ORCAMENTOS!B2894="","",ORCAMENTOS!B2894)</f>
        <v>709</v>
      </c>
      <c r="C2886" s="46" t="str">
        <f>IF(ORCAMENTOS!C2894="","",ORCAMENTOS!C2894)</f>
        <v>R1</v>
      </c>
      <c r="D2886" s="37" t="str">
        <f>IF(ORCAMENTOS!D2894="","",ORCAMENTOS!D2894)</f>
        <v>MANENG</v>
      </c>
      <c r="E2886" s="38" t="str">
        <f>IF(ORCAMENTOS!E2894="","",ORCAMENTOS!E2894)</f>
        <v>-</v>
      </c>
      <c r="F2886" s="37" t="str">
        <f>IF(ORCAMENTOS!G2894="","",ORCAMENTOS!G2894)</f>
        <v>Guilherme</v>
      </c>
      <c r="G2886" s="37" t="str">
        <f>IF(ORCAMENTOS!H2894="","",ORCAMENTOS!H2894)</f>
        <v>Gabrielle</v>
      </c>
      <c r="H2886" s="39">
        <f>IF(ORCAMENTOS!I2894="","",ORCAMENTOS!I2894)</f>
        <v>4510.67</v>
      </c>
      <c r="I2886" s="60">
        <f>IF(ORCAMENTOS!J2894="","",ORCAMENTOS!J2894)</f>
        <v>0.05</v>
      </c>
      <c r="J2886" s="40" t="str">
        <f>IF(ORCAMENTOS!L2894="","",ORCAMENTOS!L2894)</f>
        <v>COMPRA</v>
      </c>
      <c r="K2886" s="34" t="str">
        <f>IF(ORCAMENTOS!M2894="","",ORCAMENTOS!M2894)</f>
        <v>-</v>
      </c>
      <c r="L2886" t="str">
        <f>IF(ORCAMENTOS!R2894="","",ORCAMENTOS!R2894)</f>
        <v>-</v>
      </c>
    </row>
    <row r="2887" spans="1:12" ht="15.75" hidden="1" customHeight="1" x14ac:dyDescent="0.25">
      <c r="A2887" s="36">
        <f>IF(ORCAMENTOS!A2895="","",ORCAMENTOS!A2895)</f>
        <v>46134</v>
      </c>
      <c r="B2887" s="46">
        <f>IF(ORCAMENTOS!B2895="","",ORCAMENTOS!B2895)</f>
        <v>710</v>
      </c>
      <c r="C2887" s="46" t="str">
        <f>IF(ORCAMENTOS!C2895="","",ORCAMENTOS!C2895)</f>
        <v/>
      </c>
      <c r="D2887" s="37" t="str">
        <f>IF(ORCAMENTOS!D2895="","",ORCAMENTOS!D2895)</f>
        <v>ENERGY AIR</v>
      </c>
      <c r="E2887" s="38" t="str">
        <f>IF(ORCAMENTOS!E2895="","",ORCAMENTOS!E2895)</f>
        <v>CACAU SHOW PARK</v>
      </c>
      <c r="F2887" s="37" t="str">
        <f>IF(ORCAMENTOS!G2895="","",ORCAMENTOS!G2895)</f>
        <v xml:space="preserve">Aldavir </v>
      </c>
      <c r="G2887" s="37" t="str">
        <f>IF(ORCAMENTOS!H2895="","",ORCAMENTOS!H2895)</f>
        <v>Carlos</v>
      </c>
      <c r="H2887" s="39">
        <f>IF(ORCAMENTOS!I2895="","",ORCAMENTOS!I2895)</f>
        <v>25594.2</v>
      </c>
      <c r="I2887" s="60">
        <f>IF(ORCAMENTOS!J2895="","",ORCAMENTOS!J2895)</f>
        <v>0.05</v>
      </c>
      <c r="J2887" s="40" t="str">
        <f>IF(ORCAMENTOS!L2895="","",ORCAMENTOS!L2895)</f>
        <v>FECHADO</v>
      </c>
      <c r="K2887" s="34" t="str">
        <f>IF(ORCAMENTOS!M2895="","",ORCAMENTOS!M2895)</f>
        <v>-</v>
      </c>
      <c r="L2887" t="str">
        <f>IF(ORCAMENTOS!R2895="","",ORCAMENTOS!R2895)</f>
        <v>-</v>
      </c>
    </row>
    <row r="2888" spans="1:12" ht="15.75" hidden="1" customHeight="1" x14ac:dyDescent="0.25">
      <c r="A2888" s="36">
        <f>IF(ORCAMENTOS!A2896="","",ORCAMENTOS!A2896)</f>
        <v>46134</v>
      </c>
      <c r="B2888" s="46">
        <f>IF(ORCAMENTOS!B2896="","",ORCAMENTOS!B2896)</f>
        <v>711</v>
      </c>
      <c r="C2888" s="46" t="str">
        <f>IF(ORCAMENTOS!C2896="","",ORCAMENTOS!C2896)</f>
        <v/>
      </c>
      <c r="D2888" s="37" t="str">
        <f>IF(ORCAMENTOS!D2896="","",ORCAMENTOS!D2896)</f>
        <v>CLIMAARC</v>
      </c>
      <c r="E2888" s="38" t="str">
        <f>IF(ORCAMENTOS!E2896="","",ORCAMENTOS!E2896)</f>
        <v>GRUPO ULTRA - UNIDADE CAMPINAS - SP</v>
      </c>
      <c r="F2888" s="37" t="str">
        <f>IF(ORCAMENTOS!G2896="","",ORCAMENTOS!G2896)</f>
        <v xml:space="preserve">Aldavir </v>
      </c>
      <c r="G2888" s="37" t="str">
        <f>IF(ORCAMENTOS!H2896="","",ORCAMENTOS!H2896)</f>
        <v>Pedro</v>
      </c>
      <c r="H2888" s="39">
        <f>IF(ORCAMENTOS!I2896="","",ORCAMENTOS!I2896)</f>
        <v>45737.25</v>
      </c>
      <c r="I2888" s="60">
        <f>IF(ORCAMENTOS!J2896="","",ORCAMENTOS!J2896)</f>
        <v>7.0000000000000007E-2</v>
      </c>
      <c r="J2888" s="40" t="str">
        <f>IF(ORCAMENTOS!L2896="","",ORCAMENTOS!L2896)</f>
        <v>ORCAMENTO</v>
      </c>
      <c r="K2888" s="34" t="str">
        <f>IF(ORCAMENTOS!M2896="","",ORCAMENTOS!M2896)</f>
        <v>-</v>
      </c>
      <c r="L2888" t="str">
        <f>IF(ORCAMENTOS!R2896="","",ORCAMENTOS!R2896)</f>
        <v>N/E</v>
      </c>
    </row>
    <row r="2889" spans="1:12" ht="15.75" hidden="1" customHeight="1" x14ac:dyDescent="0.25">
      <c r="A2889" s="36">
        <f>IF(ORCAMENTOS!A2897="","",ORCAMENTOS!A2897)</f>
        <v>46134</v>
      </c>
      <c r="B2889" s="46">
        <f>IF(ORCAMENTOS!B2897="","",ORCAMENTOS!B2897)</f>
        <v>712</v>
      </c>
      <c r="C2889" s="46" t="str">
        <f>IF(ORCAMENTOS!C2897="","",ORCAMENTOS!C2897)</f>
        <v/>
      </c>
      <c r="D2889" s="37" t="str">
        <f>IF(ORCAMENTOS!D2897="","",ORCAMENTOS!D2897)</f>
        <v>ARD AR CONDICIONADO</v>
      </c>
      <c r="E2889" s="38" t="str">
        <f>IF(ORCAMENTOS!E2897="","",ORCAMENTOS!E2897)</f>
        <v>HOSPITAL UNIMED - PRESIDENTE PRUDENTE</v>
      </c>
      <c r="F2889" s="37" t="str">
        <f>IF(ORCAMENTOS!G2897="","",ORCAMENTOS!G2897)</f>
        <v>Gabriel</v>
      </c>
      <c r="G2889" s="37" t="str">
        <f>IF(ORCAMENTOS!H2897="","",ORCAMENTOS!H2897)</f>
        <v>Angelo</v>
      </c>
      <c r="H2889" s="39">
        <f>IF(ORCAMENTOS!I2897="","",ORCAMENTOS!I2897)</f>
        <v>19593.03</v>
      </c>
      <c r="I2889" s="60">
        <f>IF(ORCAMENTOS!J2897="","",ORCAMENTOS!J2897)</f>
        <v>0.05</v>
      </c>
      <c r="J2889" s="40" t="str">
        <f>IF(ORCAMENTOS!L2897="","",ORCAMENTOS!L2897)</f>
        <v>FECHADO</v>
      </c>
      <c r="K2889" s="34" t="str">
        <f>IF(ORCAMENTOS!M2897="","",ORCAMENTOS!M2897)</f>
        <v>-</v>
      </c>
      <c r="L2889" t="str">
        <f>IF(ORCAMENTOS!R2897="","",ORCAMENTOS!R2897)</f>
        <v>-</v>
      </c>
    </row>
    <row r="2890" spans="1:12" ht="15.75" hidden="1" customHeight="1" x14ac:dyDescent="0.25">
      <c r="A2890" s="36">
        <f>IF(ORCAMENTOS!A2898="","",ORCAMENTOS!A2898)</f>
        <v>46134</v>
      </c>
      <c r="B2890" s="46">
        <f>IF(ORCAMENTOS!B2898="","",ORCAMENTOS!B2898)</f>
        <v>713</v>
      </c>
      <c r="C2890" s="46" t="str">
        <f>IF(ORCAMENTOS!C2898="","",ORCAMENTOS!C2898)</f>
        <v/>
      </c>
      <c r="D2890" s="37" t="str">
        <f>IF(ORCAMENTOS!D2898="","",ORCAMENTOS!D2898)</f>
        <v>AVM AR CONDICIONADO</v>
      </c>
      <c r="E2890" s="38" t="str">
        <f>IF(ORCAMENTOS!E2898="","",ORCAMENTOS!E2898)</f>
        <v>Pronto Socorro Hospital Dante Pazzanese</v>
      </c>
      <c r="F2890" s="37" t="str">
        <f>IF(ORCAMENTOS!G2898="","",ORCAMENTOS!G2898)</f>
        <v>Gabriel</v>
      </c>
      <c r="G2890" s="37" t="str">
        <f>IF(ORCAMENTOS!H2898="","",ORCAMENTOS!H2898)</f>
        <v>Viviane</v>
      </c>
      <c r="H2890" s="39">
        <f>IF(ORCAMENTOS!I2898="","",ORCAMENTOS!I2898)</f>
        <v>9326.9</v>
      </c>
      <c r="I2890" s="60">
        <f>IF(ORCAMENTOS!J2898="","",ORCAMENTOS!J2898)</f>
        <v>7.0000000000000007E-2</v>
      </c>
      <c r="J2890" s="40" t="str">
        <f>IF(ORCAMENTOS!L2898="","",ORCAMENTOS!L2898)</f>
        <v>FECHADO</v>
      </c>
      <c r="K2890" s="34" t="str">
        <f>IF(ORCAMENTOS!M2898="","",ORCAMENTOS!M2898)</f>
        <v>-</v>
      </c>
      <c r="L2890" t="str">
        <f>IF(ORCAMENTOS!R2898="","",ORCAMENTOS!R2898)</f>
        <v>-</v>
      </c>
    </row>
    <row r="2891" spans="1:12" ht="15.75" hidden="1" customHeight="1" x14ac:dyDescent="0.25">
      <c r="A2891" s="36">
        <f>IF(ORCAMENTOS!A2899="","",ORCAMENTOS!A2899)</f>
        <v>46134</v>
      </c>
      <c r="B2891" s="46">
        <f>IF(ORCAMENTOS!B2899="","",ORCAMENTOS!B2899)</f>
        <v>714</v>
      </c>
      <c r="C2891" s="46" t="str">
        <f>IF(ORCAMENTOS!C2899="","",ORCAMENTOS!C2899)</f>
        <v/>
      </c>
      <c r="D2891" s="37" t="str">
        <f>IF(ORCAMENTOS!D2899="","",ORCAMENTOS!D2899)</f>
        <v>GRIFO ENGENHARIA</v>
      </c>
      <c r="E2891" s="38" t="str">
        <f>IF(ORCAMENTOS!E2899="","",ORCAMENTOS!E2899)</f>
        <v>-</v>
      </c>
      <c r="F2891" s="37" t="str">
        <f>IF(ORCAMENTOS!G2899="","",ORCAMENTOS!G2899)</f>
        <v>Emanuel</v>
      </c>
      <c r="G2891" s="37" t="str">
        <f>IF(ORCAMENTOS!H2899="","",ORCAMENTOS!H2899)</f>
        <v>Tarcisio</v>
      </c>
      <c r="H2891" s="39">
        <f>IF(ORCAMENTOS!I2899="","",ORCAMENTOS!I2899)</f>
        <v>1784.12</v>
      </c>
      <c r="I2891" s="60">
        <f>IF(ORCAMENTOS!J2899="","",ORCAMENTOS!J2899)</f>
        <v>7.0000000000000007E-2</v>
      </c>
      <c r="J2891" s="40" t="str">
        <f>IF(ORCAMENTOS!L2899="","",ORCAMENTOS!L2899)</f>
        <v>FECHADO</v>
      </c>
      <c r="K2891" s="34" t="str">
        <f>IF(ORCAMENTOS!M2899="","",ORCAMENTOS!M2899)</f>
        <v>-</v>
      </c>
      <c r="L2891" t="str">
        <f>IF(ORCAMENTOS!R2899="","",ORCAMENTOS!R2899)</f>
        <v>-</v>
      </c>
    </row>
    <row r="2892" spans="1:12" ht="15.75" hidden="1" customHeight="1" x14ac:dyDescent="0.25">
      <c r="A2892" s="36">
        <f>IF(ORCAMENTOS!A2900="","",ORCAMENTOS!A2900)</f>
        <v>46134</v>
      </c>
      <c r="B2892" s="46">
        <f>IF(ORCAMENTOS!B2900="","",ORCAMENTOS!B2900)</f>
        <v>715</v>
      </c>
      <c r="C2892" s="46" t="str">
        <f>IF(ORCAMENTOS!C2900="","",ORCAMENTOS!C2900)</f>
        <v/>
      </c>
      <c r="D2892" s="37" t="str">
        <f>IF(ORCAMENTOS!D2900="","",ORCAMENTOS!D2900)</f>
        <v>CIVIL AR</v>
      </c>
      <c r="E2892" s="38" t="str">
        <f>IF(ORCAMENTOS!E2900="","",ORCAMENTOS!E2900)</f>
        <v>CLUBE PINHEIROS</v>
      </c>
      <c r="F2892" s="37" t="str">
        <f>IF(ORCAMENTOS!G2900="","",ORCAMENTOS!G2900)</f>
        <v>Fernando</v>
      </c>
      <c r="G2892" s="37" t="str">
        <f>IF(ORCAMENTOS!H2900="","",ORCAMENTOS!H2900)</f>
        <v>Pedro</v>
      </c>
      <c r="H2892" s="39">
        <f>IF(ORCAMENTOS!I2900="","",ORCAMENTOS!I2900)</f>
        <v>7212.92</v>
      </c>
      <c r="I2892" s="60">
        <f>IF(ORCAMENTOS!J2900="","",ORCAMENTOS!J2900)</f>
        <v>7.0000000000000007E-2</v>
      </c>
      <c r="J2892" s="40" t="str">
        <f>IF(ORCAMENTOS!L2900="","",ORCAMENTOS!L2900)</f>
        <v>ORCAMENTO</v>
      </c>
      <c r="K2892" s="34" t="str">
        <f>IF(ORCAMENTOS!M2900="","",ORCAMENTOS!M2900)</f>
        <v>-</v>
      </c>
      <c r="L2892" t="str">
        <f>IF(ORCAMENTOS!R2900="","",ORCAMENTOS!R2900)</f>
        <v>-</v>
      </c>
    </row>
    <row r="2893" spans="1:12" ht="15.75" hidden="1" customHeight="1" x14ac:dyDescent="0.25">
      <c r="A2893" s="36">
        <f>IF(ORCAMENTOS!A2901="","",ORCAMENTOS!A2901)</f>
        <v>46134</v>
      </c>
      <c r="B2893" s="46">
        <f>IF(ORCAMENTOS!B2901="","",ORCAMENTOS!B2901)</f>
        <v>716</v>
      </c>
      <c r="C2893" s="46" t="str">
        <f>IF(ORCAMENTOS!C2901="","",ORCAMENTOS!C2901)</f>
        <v/>
      </c>
      <c r="D2893" s="37" t="str">
        <f>IF(ORCAMENTOS!D2901="","",ORCAMENTOS!D2901)</f>
        <v>NEW AIR</v>
      </c>
      <c r="E2893" s="38" t="str">
        <f>IF(ORCAMENTOS!E2901="","",ORCAMENTOS!E2901)</f>
        <v>-</v>
      </c>
      <c r="F2893" s="37" t="str">
        <f>IF(ORCAMENTOS!G2901="","",ORCAMENTOS!G2901)</f>
        <v>Fernando</v>
      </c>
      <c r="G2893" s="37" t="str">
        <f>IF(ORCAMENTOS!H2901="","",ORCAMENTOS!H2901)</f>
        <v>Igor</v>
      </c>
      <c r="H2893" s="39">
        <f>IF(ORCAMENTOS!I2901="","",ORCAMENTOS!I2901)</f>
        <v>1767.55</v>
      </c>
      <c r="I2893" s="60">
        <f>IF(ORCAMENTOS!J2901="","",ORCAMENTOS!J2901)</f>
        <v>0.06</v>
      </c>
      <c r="J2893" s="40" t="str">
        <f>IF(ORCAMENTOS!L2901="","",ORCAMENTOS!L2901)</f>
        <v>FECHADO</v>
      </c>
      <c r="K2893" s="34" t="str">
        <f>IF(ORCAMENTOS!M2901="","",ORCAMENTOS!M2901)</f>
        <v>-</v>
      </c>
      <c r="L2893" t="str">
        <f>IF(ORCAMENTOS!R2901="","",ORCAMENTOS!R2901)</f>
        <v>-</v>
      </c>
    </row>
    <row r="2894" spans="1:12" ht="15.75" hidden="1" customHeight="1" x14ac:dyDescent="0.25">
      <c r="A2894" s="36">
        <f>IF(ORCAMENTOS!A2902="","",ORCAMENTOS!A2902)</f>
        <v>46135</v>
      </c>
      <c r="B2894" s="46">
        <f>IF(ORCAMENTOS!B2902="","",ORCAMENTOS!B2902)</f>
        <v>717</v>
      </c>
      <c r="C2894" s="46" t="str">
        <f>IF(ORCAMENTOS!C2902="","",ORCAMENTOS!C2902)</f>
        <v/>
      </c>
      <c r="D2894" s="37" t="str">
        <f>IF(ORCAMENTOS!D2902="","",ORCAMENTOS!D2902)</f>
        <v>NEWSET</v>
      </c>
      <c r="E2894" s="38" t="str">
        <f>IF(ORCAMENTOS!E2902="","",ORCAMENTOS!E2902)</f>
        <v>OS2141 - HOSPITAL SÃO LUIZ SÃO BERNARDO - RESÍDUOS</v>
      </c>
      <c r="F2894" s="37" t="str">
        <f>IF(ORCAMENTOS!G2902="","",ORCAMENTOS!G2902)</f>
        <v xml:space="preserve">Aldavir </v>
      </c>
      <c r="G2894" s="37" t="str">
        <f>IF(ORCAMENTOS!H2902="","",ORCAMENTOS!H2902)</f>
        <v>Andressa</v>
      </c>
      <c r="H2894" s="39">
        <f>IF(ORCAMENTOS!I2902="","",ORCAMENTOS!I2902)</f>
        <v>64178.74</v>
      </c>
      <c r="I2894" s="60">
        <f>IF(ORCAMENTOS!J2902="","",ORCAMENTOS!J2902)</f>
        <v>7.0000000000000007E-2</v>
      </c>
      <c r="J2894" s="40" t="str">
        <f>IF(ORCAMENTOS!L2902="","",ORCAMENTOS!L2902)</f>
        <v>COMPRA</v>
      </c>
      <c r="K2894" s="34" t="str">
        <f>IF(ORCAMENTOS!M2902="","",ORCAMENTOS!M2902)</f>
        <v>-</v>
      </c>
      <c r="L2894" t="str">
        <f>IF(ORCAMENTOS!R2902="","",ORCAMENTOS!R2902)</f>
        <v>-</v>
      </c>
    </row>
    <row r="2895" spans="1:12" ht="15.75" hidden="1" customHeight="1" x14ac:dyDescent="0.25">
      <c r="A2895" s="36">
        <f>IF(ORCAMENTOS!A2903="","",ORCAMENTOS!A2903)</f>
        <v>46135</v>
      </c>
      <c r="B2895" s="46">
        <f>IF(ORCAMENTOS!B2903="","",ORCAMENTOS!B2903)</f>
        <v>718</v>
      </c>
      <c r="C2895" s="46" t="str">
        <f>IF(ORCAMENTOS!C2903="","",ORCAMENTOS!C2903)</f>
        <v/>
      </c>
      <c r="D2895" s="37" t="str">
        <f>IF(ORCAMENTOS!D2903="","",ORCAMENTOS!D2903)</f>
        <v>ACTEC ENGENHARIA</v>
      </c>
      <c r="E2895" s="38" t="str">
        <f>IF(ORCAMENTOS!E2903="","",ORCAMENTOS!E2903)</f>
        <v>HRIM - REFORMA DA COZINHA</v>
      </c>
      <c r="F2895" s="37" t="str">
        <f>IF(ORCAMENTOS!G2903="","",ORCAMENTOS!G2903)</f>
        <v xml:space="preserve">Aldavir </v>
      </c>
      <c r="G2895" s="37" t="str">
        <f>IF(ORCAMENTOS!H2903="","",ORCAMENTOS!H2903)</f>
        <v>Sara</v>
      </c>
      <c r="H2895" s="39">
        <f>IF(ORCAMENTOS!I2903="","",ORCAMENTOS!I2903)</f>
        <v>11816.63</v>
      </c>
      <c r="I2895" s="60">
        <f>IF(ORCAMENTOS!J2903="","",ORCAMENTOS!J2903)</f>
        <v>0.06</v>
      </c>
      <c r="J2895" s="40" t="str">
        <f>IF(ORCAMENTOS!L2903="","",ORCAMENTOS!L2903)</f>
        <v>FECHADO</v>
      </c>
      <c r="K2895" s="34" t="str">
        <f>IF(ORCAMENTOS!M2903="","",ORCAMENTOS!M2903)</f>
        <v>-</v>
      </c>
      <c r="L2895" t="str">
        <f>IF(ORCAMENTOS!R2903="","",ORCAMENTOS!R2903)</f>
        <v>-</v>
      </c>
    </row>
    <row r="2896" spans="1:12" ht="15.75" hidden="1" customHeight="1" x14ac:dyDescent="0.25">
      <c r="A2896" s="36">
        <f>IF(ORCAMENTOS!A2904="","",ORCAMENTOS!A2904)</f>
        <v>46135</v>
      </c>
      <c r="B2896" s="46">
        <f>IF(ORCAMENTOS!B2904="","",ORCAMENTOS!B2904)</f>
        <v>719</v>
      </c>
      <c r="C2896" s="46" t="str">
        <f>IF(ORCAMENTOS!C2904="","",ORCAMENTOS!C2904)</f>
        <v/>
      </c>
      <c r="D2896" s="37" t="str">
        <f>IF(ORCAMENTOS!D2904="","",ORCAMENTOS!D2904)</f>
        <v>PRATIKA</v>
      </c>
      <c r="E2896" s="38" t="str">
        <f>IF(ORCAMENTOS!E2904="","",ORCAMENTOS!E2904)</f>
        <v>DESUMIDIFICADOR PISCINA COBERTA</v>
      </c>
      <c r="F2896" s="37" t="str">
        <f>IF(ORCAMENTOS!G2904="","",ORCAMENTOS!G2904)</f>
        <v>Emanuel</v>
      </c>
      <c r="G2896" s="37" t="str">
        <f>IF(ORCAMENTOS!H2904="","",ORCAMENTOS!H2904)</f>
        <v>Lauro</v>
      </c>
      <c r="H2896" s="39">
        <f>IF(ORCAMENTOS!I2904="","",ORCAMENTOS!I2904)</f>
        <v>18679.439999999999</v>
      </c>
      <c r="I2896" s="60">
        <f>IF(ORCAMENTOS!J2904="","",ORCAMENTOS!J2904)</f>
        <v>7.0000000000000007E-2</v>
      </c>
      <c r="J2896" s="40" t="str">
        <f>IF(ORCAMENTOS!L2904="","",ORCAMENTOS!L2904)</f>
        <v>ORCAMENTO</v>
      </c>
      <c r="K2896" s="34" t="str">
        <f>IF(ORCAMENTOS!M2904="","",ORCAMENTOS!M2904)</f>
        <v>-</v>
      </c>
      <c r="L2896" t="str">
        <f>IF(ORCAMENTOS!R2904="","",ORCAMENTOS!R2904)</f>
        <v>-</v>
      </c>
    </row>
    <row r="2897" spans="1:12" ht="15.75" hidden="1" customHeight="1" x14ac:dyDescent="0.25">
      <c r="A2897" s="36">
        <f>IF(ORCAMENTOS!A2905="","",ORCAMENTOS!A2905)</f>
        <v>46045</v>
      </c>
      <c r="B2897" s="46">
        <f>IF(ORCAMENTOS!B2905="","",ORCAMENTOS!B2905)</f>
        <v>720</v>
      </c>
      <c r="C2897" s="46" t="str">
        <f>IF(ORCAMENTOS!C2905="","",ORCAMENTOS!C2905)</f>
        <v/>
      </c>
      <c r="D2897" s="37" t="str">
        <f>IF(ORCAMENTOS!D2905="","",ORCAMENTOS!D2905)</f>
        <v>ACTEC ENGENHARIA</v>
      </c>
      <c r="E2897" s="38" t="str">
        <f>IF(ORCAMENTOS!E2905="","",ORCAMENTOS!E2905)</f>
        <v>HOSPITAL SANTA MARIA - 9º, 10º E 11º PAVIMENTO</v>
      </c>
      <c r="F2897" s="37" t="str">
        <f>IF(ORCAMENTOS!G2905="","",ORCAMENTOS!G2905)</f>
        <v xml:space="preserve">Aldavir </v>
      </c>
      <c r="G2897" s="37" t="str">
        <f>IF(ORCAMENTOS!H2905="","",ORCAMENTOS!H2905)</f>
        <v>Sara</v>
      </c>
      <c r="H2897" s="39">
        <f>IF(ORCAMENTOS!I2905="","",ORCAMENTOS!I2905)</f>
        <v>64422.85</v>
      </c>
      <c r="I2897" s="60">
        <f>IF(ORCAMENTOS!J2905="","",ORCAMENTOS!J2905)</f>
        <v>0.05</v>
      </c>
      <c r="J2897" s="40" t="str">
        <f>IF(ORCAMENTOS!L2905="","",ORCAMENTOS!L2905)</f>
        <v>FECHADO</v>
      </c>
      <c r="K2897" s="34" t="str">
        <f>IF(ORCAMENTOS!M2905="","",ORCAMENTOS!M2905)</f>
        <v>-</v>
      </c>
      <c r="L2897" t="str">
        <f>IF(ORCAMENTOS!R2905="","",ORCAMENTOS!R2905)</f>
        <v>-</v>
      </c>
    </row>
    <row r="2898" spans="1:12" ht="15.75" hidden="1" customHeight="1" x14ac:dyDescent="0.25">
      <c r="A2898" s="36">
        <f>IF(ORCAMENTOS!A2906="","",ORCAMENTOS!A2906)</f>
        <v>46135</v>
      </c>
      <c r="B2898" s="46">
        <f>IF(ORCAMENTOS!B2906="","",ORCAMENTOS!B2906)</f>
        <v>721</v>
      </c>
      <c r="C2898" s="46" t="str">
        <f>IF(ORCAMENTOS!C2906="","",ORCAMENTOS!C2906)</f>
        <v/>
      </c>
      <c r="D2898" s="37" t="str">
        <f>IF(ORCAMENTOS!D2906="","",ORCAMENTOS!D2906)</f>
        <v>COLD CONTROL</v>
      </c>
      <c r="E2898" s="38" t="str">
        <f>IF(ORCAMENTOS!E2906="","",ORCAMENTOS!E2906)</f>
        <v>CCR JUNDIAÍ</v>
      </c>
      <c r="F2898" s="37" t="str">
        <f>IF(ORCAMENTOS!G2906="","",ORCAMENTOS!G2906)</f>
        <v>Emanuel</v>
      </c>
      <c r="G2898" s="37" t="str">
        <f>IF(ORCAMENTOS!H2906="","",ORCAMENTOS!H2906)</f>
        <v>Armando</v>
      </c>
      <c r="H2898" s="39">
        <f>IF(ORCAMENTOS!I2906="","",ORCAMENTOS!I2906)</f>
        <v>150.30000000000001</v>
      </c>
      <c r="I2898" s="60">
        <f>IF(ORCAMENTOS!J2906="","",ORCAMENTOS!J2906)</f>
        <v>7.0000000000000007E-2</v>
      </c>
      <c r="J2898" s="40" t="str">
        <f>IF(ORCAMENTOS!L2906="","",ORCAMENTOS!L2906)</f>
        <v>CANCELADO</v>
      </c>
      <c r="K2898" s="34" t="str">
        <f>IF(ORCAMENTOS!M2906="","",ORCAMENTOS!M2906)</f>
        <v>-</v>
      </c>
      <c r="L2898" t="str">
        <f>IF(ORCAMENTOS!R2906="","",ORCAMENTOS!R2906)</f>
        <v>-</v>
      </c>
    </row>
    <row r="2899" spans="1:12" ht="15.75" hidden="1" customHeight="1" x14ac:dyDescent="0.25">
      <c r="A2899" s="36">
        <f>IF(ORCAMENTOS!A2907="","",ORCAMENTOS!A2907)</f>
        <v>46135</v>
      </c>
      <c r="B2899" s="46">
        <f>IF(ORCAMENTOS!B2907="","",ORCAMENTOS!B2907)</f>
        <v>722</v>
      </c>
      <c r="C2899" s="46" t="str">
        <f>IF(ORCAMENTOS!C2907="","",ORCAMENTOS!C2907)</f>
        <v>R1</v>
      </c>
      <c r="D2899" s="37" t="str">
        <f>IF(ORCAMENTOS!D2907="","",ORCAMENTOS!D2907)</f>
        <v>DUTOCLIMA</v>
      </c>
      <c r="E2899" s="38" t="str">
        <f>IF(ORCAMENTOS!E2907="","",ORCAMENTOS!E2907)</f>
        <v>-</v>
      </c>
      <c r="F2899" s="37" t="str">
        <f>IF(ORCAMENTOS!G2907="","",ORCAMENTOS!G2907)</f>
        <v>Gabriel</v>
      </c>
      <c r="G2899" s="37" t="str">
        <f>IF(ORCAMENTOS!H2907="","",ORCAMENTOS!H2907)</f>
        <v>Valmy</v>
      </c>
      <c r="H2899" s="39">
        <f>IF(ORCAMENTOS!I2907="","",ORCAMENTOS!I2907)</f>
        <v>20242.79</v>
      </c>
      <c r="I2899" s="60">
        <f>IF(ORCAMENTOS!J2907="","",ORCAMENTOS!J2907)</f>
        <v>7.0000000000000007E-2</v>
      </c>
      <c r="J2899" s="40" t="str">
        <f>IF(ORCAMENTOS!L2907="","",ORCAMENTOS!L2907)</f>
        <v>ORCAMENTO</v>
      </c>
      <c r="K2899" s="34" t="str">
        <f>IF(ORCAMENTOS!M2907="","",ORCAMENTOS!M2907)</f>
        <v>-</v>
      </c>
      <c r="L2899" t="str">
        <f>IF(ORCAMENTOS!R2907="","",ORCAMENTOS!R2907)</f>
        <v>-</v>
      </c>
    </row>
    <row r="2900" spans="1:12" ht="15.75" hidden="1" customHeight="1" x14ac:dyDescent="0.25">
      <c r="A2900" s="36">
        <f>IF(ORCAMENTOS!A2908="","",ORCAMENTOS!A2908)</f>
        <v>46136</v>
      </c>
      <c r="B2900" s="46">
        <f>IF(ORCAMENTOS!B2908="","",ORCAMENTOS!B2908)</f>
        <v>723</v>
      </c>
      <c r="C2900" s="46" t="str">
        <f>IF(ORCAMENTOS!C2908="","",ORCAMENTOS!C2908)</f>
        <v>R1</v>
      </c>
      <c r="D2900" s="37" t="str">
        <f>IF(ORCAMENTOS!D2908="","",ORCAMENTOS!D2908)</f>
        <v>AR SET</v>
      </c>
      <c r="E2900" s="38" t="str">
        <f>IF(ORCAMENTOS!E2908="","",ORCAMENTOS!E2908)</f>
        <v>-</v>
      </c>
      <c r="F2900" s="37" t="str">
        <f>IF(ORCAMENTOS!G2908="","",ORCAMENTOS!G2908)</f>
        <v>Fernando</v>
      </c>
      <c r="G2900" s="37" t="str">
        <f>IF(ORCAMENTOS!H2908="","",ORCAMENTOS!H2908)</f>
        <v>Danilo</v>
      </c>
      <c r="H2900" s="39">
        <f>IF(ORCAMENTOS!I2908="","",ORCAMENTOS!I2908)</f>
        <v>1569.19</v>
      </c>
      <c r="I2900" s="60">
        <f>IF(ORCAMENTOS!J2908="","",ORCAMENTOS!J2908)</f>
        <v>7.0000000000000007E-2</v>
      </c>
      <c r="J2900" s="40" t="str">
        <f>IF(ORCAMENTOS!L2908="","",ORCAMENTOS!L2908)</f>
        <v>FECHADO</v>
      </c>
      <c r="K2900" s="34" t="str">
        <f>IF(ORCAMENTOS!M2908="","",ORCAMENTOS!M2908)</f>
        <v>-</v>
      </c>
      <c r="L2900" t="str">
        <f>IF(ORCAMENTOS!R2908="","",ORCAMENTOS!R2908)</f>
        <v>-</v>
      </c>
    </row>
    <row r="2901" spans="1:12" ht="15.75" hidden="1" customHeight="1" x14ac:dyDescent="0.25">
      <c r="A2901" s="36">
        <f>IF(ORCAMENTOS!A2909="","",ORCAMENTOS!A2909)</f>
        <v>46136</v>
      </c>
      <c r="B2901" s="46">
        <f>IF(ORCAMENTOS!B2909="","",ORCAMENTOS!B2909)</f>
        <v>724</v>
      </c>
      <c r="C2901" s="46" t="str">
        <f>IF(ORCAMENTOS!C2909="","",ORCAMENTOS!C2909)</f>
        <v/>
      </c>
      <c r="D2901" s="37" t="str">
        <f>IF(ORCAMENTOS!D2909="","",ORCAMENTOS!D2909)</f>
        <v>KONAR</v>
      </c>
      <c r="E2901" s="38" t="str">
        <f>IF(ORCAMENTOS!E2909="","",ORCAMENTOS!E2909)</f>
        <v>243-25 - HOSS - IMMB LAPA</v>
      </c>
      <c r="F2901" s="37" t="str">
        <f>IF(ORCAMENTOS!G2909="","",ORCAMENTOS!G2909)</f>
        <v>Michel</v>
      </c>
      <c r="G2901" s="37" t="str">
        <f>IF(ORCAMENTOS!H2909="","",ORCAMENTOS!H2909)</f>
        <v>FAbio</v>
      </c>
      <c r="H2901" s="39">
        <f>IF(ORCAMENTOS!I2909="","",ORCAMENTOS!I2909)</f>
        <v>1809.15</v>
      </c>
      <c r="I2901" s="60">
        <f>IF(ORCAMENTOS!J2909="","",ORCAMENTOS!J2909)</f>
        <v>7.0000000000000007E-2</v>
      </c>
      <c r="J2901" s="40" t="str">
        <f>IF(ORCAMENTOS!L2909="","",ORCAMENTOS!L2909)</f>
        <v>PERDIDO</v>
      </c>
      <c r="K2901" s="34" t="str">
        <f>IF(ORCAMENTOS!M2909="","",ORCAMENTOS!M2909)</f>
        <v>ARCOTEC - PRAZO</v>
      </c>
      <c r="L2901" t="str">
        <f>IF(ORCAMENTOS!R2909="","",ORCAMENTOS!R2909)</f>
        <v>-</v>
      </c>
    </row>
    <row r="2902" spans="1:12" ht="15.75" hidden="1" customHeight="1" x14ac:dyDescent="0.25">
      <c r="A2902" s="36">
        <f>IF(ORCAMENTOS!A2910="","",ORCAMENTOS!A2910)</f>
        <v>46136</v>
      </c>
      <c r="B2902" s="46">
        <f>IF(ORCAMENTOS!B2910="","",ORCAMENTOS!B2910)</f>
        <v>725</v>
      </c>
      <c r="C2902" s="46" t="str">
        <f>IF(ORCAMENTOS!C2910="","",ORCAMENTOS!C2910)</f>
        <v/>
      </c>
      <c r="D2902" s="37" t="str">
        <f>IF(ORCAMENTOS!D2910="","",ORCAMENTOS!D2910)</f>
        <v>DUTOBRAS</v>
      </c>
      <c r="E2902" s="38" t="str">
        <f>IF(ORCAMENTOS!E2910="","",ORCAMENTOS!E2910)</f>
        <v>-</v>
      </c>
      <c r="F2902" s="37" t="str">
        <f>IF(ORCAMENTOS!G2910="","",ORCAMENTOS!G2910)</f>
        <v>Gabriel</v>
      </c>
      <c r="G2902" s="37" t="str">
        <f>IF(ORCAMENTOS!H2910="","",ORCAMENTOS!H2910)</f>
        <v>Ieda</v>
      </c>
      <c r="H2902" s="39">
        <f>IF(ORCAMENTOS!I2910="","",ORCAMENTOS!I2910)</f>
        <v>50620.58</v>
      </c>
      <c r="I2902" s="60">
        <f>IF(ORCAMENTOS!J2910="","",ORCAMENTOS!J2910)</f>
        <v>0.05</v>
      </c>
      <c r="J2902" s="40" t="str">
        <f>IF(ORCAMENTOS!L2910="","",ORCAMENTOS!L2910)</f>
        <v>COMPRA</v>
      </c>
      <c r="K2902" s="34" t="str">
        <f>IF(ORCAMENTOS!M2910="","",ORCAMENTOS!M2910)</f>
        <v>-</v>
      </c>
      <c r="L2902" t="str">
        <f>IF(ORCAMENTOS!R2910="","",ORCAMENTOS!R2910)</f>
        <v>-</v>
      </c>
    </row>
    <row r="2903" spans="1:12" ht="15.75" hidden="1" customHeight="1" x14ac:dyDescent="0.25">
      <c r="A2903" s="36">
        <f>IF(ORCAMENTOS!A2911="","",ORCAMENTOS!A2911)</f>
        <v>46140</v>
      </c>
      <c r="B2903" s="46">
        <f>IF(ORCAMENTOS!B2911="","",ORCAMENTOS!B2911)</f>
        <v>726</v>
      </c>
      <c r="C2903" s="46" t="str">
        <f>IF(ORCAMENTOS!C2911="","",ORCAMENTOS!C2911)</f>
        <v>R2</v>
      </c>
      <c r="D2903" s="37" t="str">
        <f>IF(ORCAMENTOS!D2911="","",ORCAMENTOS!D2911)</f>
        <v>GELOMAC</v>
      </c>
      <c r="E2903" s="38" t="str">
        <f>IF(ORCAMENTOS!E2911="","",ORCAMENTOS!E2911)</f>
        <v>SUPERPERCADO KRILL - VILA CAICARA</v>
      </c>
      <c r="F2903" s="37" t="str">
        <f>IF(ORCAMENTOS!G2911="","",ORCAMENTOS!G2911)</f>
        <v>Gabriel</v>
      </c>
      <c r="G2903" s="37" t="str">
        <f>IF(ORCAMENTOS!H2911="","",ORCAMENTOS!H2911)</f>
        <v>Gabriel</v>
      </c>
      <c r="H2903" s="39">
        <f>IF(ORCAMENTOS!I2911="","",ORCAMENTOS!I2911)</f>
        <v>76585.179999999993</v>
      </c>
      <c r="I2903" s="60">
        <f>IF(ORCAMENTOS!J2911="","",ORCAMENTOS!J2911)</f>
        <v>0.05</v>
      </c>
      <c r="J2903" s="40" t="str">
        <f>IF(ORCAMENTOS!L2911="","",ORCAMENTOS!L2911)</f>
        <v>FECHADO</v>
      </c>
      <c r="K2903" s="34" t="str">
        <f>IF(ORCAMENTOS!M2911="","",ORCAMENTOS!M2911)</f>
        <v>-</v>
      </c>
      <c r="L2903" t="str">
        <f>IF(ORCAMENTOS!R2911="","",ORCAMENTOS!R2911)</f>
        <v>-</v>
      </c>
    </row>
    <row r="2904" spans="1:12" ht="15.75" hidden="1" customHeight="1" x14ac:dyDescent="0.25">
      <c r="A2904" s="36">
        <f>IF(ORCAMENTOS!A2912="","",ORCAMENTOS!A2912)</f>
        <v>46136</v>
      </c>
      <c r="B2904" s="46">
        <f>IF(ORCAMENTOS!B2912="","",ORCAMENTOS!B2912)</f>
        <v>727</v>
      </c>
      <c r="C2904" s="46" t="str">
        <f>IF(ORCAMENTOS!C2912="","",ORCAMENTOS!C2912)</f>
        <v/>
      </c>
      <c r="D2904" s="37" t="str">
        <f>IF(ORCAMENTOS!D2912="","",ORCAMENTOS!D2912)</f>
        <v>ALS INDUSTRIA</v>
      </c>
      <c r="E2904" s="38" t="str">
        <f>IF(ORCAMENTOS!E2912="","",ORCAMENTOS!E2912)</f>
        <v>-</v>
      </c>
      <c r="F2904" s="37" t="str">
        <f>IF(ORCAMENTOS!G2912="","",ORCAMENTOS!G2912)</f>
        <v>Gabriel</v>
      </c>
      <c r="G2904" s="37" t="str">
        <f>IF(ORCAMENTOS!H2912="","",ORCAMENTOS!H2912)</f>
        <v>Alessandro</v>
      </c>
      <c r="H2904" s="39">
        <f>IF(ORCAMENTOS!I2912="","",ORCAMENTOS!I2912)</f>
        <v>15818.93</v>
      </c>
      <c r="I2904" s="60">
        <f>IF(ORCAMENTOS!J2912="","",ORCAMENTOS!J2912)</f>
        <v>0.05</v>
      </c>
      <c r="J2904" s="40" t="str">
        <f>IF(ORCAMENTOS!L2912="","",ORCAMENTOS!L2912)</f>
        <v>COMPRA</v>
      </c>
      <c r="K2904" s="34" t="str">
        <f>IF(ORCAMENTOS!M2912="","",ORCAMENTOS!M2912)</f>
        <v>REVENDA</v>
      </c>
      <c r="L2904" t="str">
        <f>IF(ORCAMENTOS!R2912="","",ORCAMENTOS!R2912)</f>
        <v>-</v>
      </c>
    </row>
    <row r="2905" spans="1:12" ht="15.75" hidden="1" customHeight="1" x14ac:dyDescent="0.25">
      <c r="A2905" s="36">
        <f>IF(ORCAMENTOS!A2913="","",ORCAMENTOS!A2913)</f>
        <v>46136</v>
      </c>
      <c r="B2905" s="46">
        <f>IF(ORCAMENTOS!B2913="","",ORCAMENTOS!B2913)</f>
        <v>728</v>
      </c>
      <c r="C2905" s="46" t="str">
        <f>IF(ORCAMENTOS!C2913="","",ORCAMENTOS!C2913)</f>
        <v/>
      </c>
      <c r="D2905" s="37" t="str">
        <f>IF(ORCAMENTOS!D2913="","",ORCAMENTOS!D2913)</f>
        <v>ENEBRAS</v>
      </c>
      <c r="E2905" s="38" t="str">
        <f>IF(ORCAMENTOS!E2913="","",ORCAMENTOS!E2913)</f>
        <v>CLINICA HARMONIA - INDIANOPOLIS</v>
      </c>
      <c r="F2905" s="37" t="str">
        <f>IF(ORCAMENTOS!G2913="","",ORCAMENTOS!G2913)</f>
        <v>Michel</v>
      </c>
      <c r="G2905" s="37" t="str">
        <f>IF(ORCAMENTOS!H2913="","",ORCAMENTOS!H2913)</f>
        <v>Renan</v>
      </c>
      <c r="H2905" s="39">
        <f>IF(ORCAMENTOS!I2913="","",ORCAMENTOS!I2913)</f>
        <v>77802.13</v>
      </c>
      <c r="I2905" s="60">
        <f>IF(ORCAMENTOS!J2913="","",ORCAMENTOS!J2913)</f>
        <v>7.0000000000000007E-2</v>
      </c>
      <c r="J2905" s="40" t="str">
        <f>IF(ORCAMENTOS!L2913="","",ORCAMENTOS!L2913)</f>
        <v>ORCAMENTO</v>
      </c>
      <c r="K2905" s="34" t="str">
        <f>IF(ORCAMENTOS!M2913="","",ORCAMENTOS!M2913)</f>
        <v>-</v>
      </c>
      <c r="L2905" t="str">
        <f>IF(ORCAMENTOS!R2913="","",ORCAMENTOS!R2913)</f>
        <v>-</v>
      </c>
    </row>
    <row r="2906" spans="1:12" ht="15.75" hidden="1" customHeight="1" x14ac:dyDescent="0.25">
      <c r="A2906" s="36">
        <f>IF(ORCAMENTOS!A2914="","",ORCAMENTOS!A2914)</f>
        <v>46139</v>
      </c>
      <c r="B2906" s="46">
        <f>IF(ORCAMENTOS!B2914="","",ORCAMENTOS!B2914)</f>
        <v>729</v>
      </c>
      <c r="C2906" s="46" t="str">
        <f>IF(ORCAMENTOS!C2914="","",ORCAMENTOS!C2914)</f>
        <v/>
      </c>
      <c r="D2906" s="37" t="str">
        <f>IF(ORCAMENTOS!D2914="","",ORCAMENTOS!D2914)</f>
        <v>INOVECTOR</v>
      </c>
      <c r="E2906" s="38" t="str">
        <f>IF(ORCAMENTOS!E2914="","",ORCAMENTOS!E2914)</f>
        <v>CEMED MARENGO</v>
      </c>
      <c r="F2906" s="37" t="str">
        <f>IF(ORCAMENTOS!G2914="","",ORCAMENTOS!G2914)</f>
        <v>Fernando</v>
      </c>
      <c r="G2906" s="37" t="str">
        <f>IF(ORCAMENTOS!H2914="","",ORCAMENTOS!H2914)</f>
        <v>Cristina</v>
      </c>
      <c r="H2906" s="39">
        <f>IF(ORCAMENTOS!I2914="","",ORCAMENTOS!I2914)</f>
        <v>3681.23</v>
      </c>
      <c r="I2906" s="60">
        <f>IF(ORCAMENTOS!J2914="","",ORCAMENTOS!J2914)</f>
        <v>0.04</v>
      </c>
      <c r="J2906" s="40" t="str">
        <f>IF(ORCAMENTOS!L2914="","",ORCAMENTOS!L2914)</f>
        <v>FECHADO</v>
      </c>
      <c r="K2906" s="34" t="str">
        <f>IF(ORCAMENTOS!M2914="","",ORCAMENTOS!M2914)</f>
        <v>-</v>
      </c>
      <c r="L2906" t="str">
        <f>IF(ORCAMENTOS!R2914="","",ORCAMENTOS!R2914)</f>
        <v>-</v>
      </c>
    </row>
    <row r="2907" spans="1:12" ht="15.75" hidden="1" customHeight="1" x14ac:dyDescent="0.25">
      <c r="A2907" s="36">
        <f>IF(ORCAMENTOS!A2915="","",ORCAMENTOS!A2915)</f>
        <v>46139</v>
      </c>
      <c r="B2907" s="46">
        <f>IF(ORCAMENTOS!B2915="","",ORCAMENTOS!B2915)</f>
        <v>730</v>
      </c>
      <c r="C2907" s="46" t="str">
        <f>IF(ORCAMENTOS!C2915="","",ORCAMENTOS!C2915)</f>
        <v/>
      </c>
      <c r="D2907" s="37" t="str">
        <f>IF(ORCAMENTOS!D2915="","",ORCAMENTOS!D2915)</f>
        <v>INOVECTOR</v>
      </c>
      <c r="E2907" s="38" t="str">
        <f>IF(ORCAMENTOS!E2915="","",ORCAMENTOS!E2915)</f>
        <v>PARANÁ CLINICAS</v>
      </c>
      <c r="F2907" s="37" t="str">
        <f>IF(ORCAMENTOS!G2915="","",ORCAMENTOS!G2915)</f>
        <v>Fernando</v>
      </c>
      <c r="G2907" s="37" t="str">
        <f>IF(ORCAMENTOS!H2915="","",ORCAMENTOS!H2915)</f>
        <v>Cristina</v>
      </c>
      <c r="H2907" s="39">
        <f>IF(ORCAMENTOS!I2915="","",ORCAMENTOS!I2915)</f>
        <v>1194.75</v>
      </c>
      <c r="I2907" s="60">
        <f>IF(ORCAMENTOS!J2915="","",ORCAMENTOS!J2915)</f>
        <v>7.0000000000000007E-2</v>
      </c>
      <c r="J2907" s="40" t="str">
        <f>IF(ORCAMENTOS!L2915="","",ORCAMENTOS!L2915)</f>
        <v>PERDIDO</v>
      </c>
      <c r="K2907" s="34" t="str">
        <f>IF(ORCAMENTOS!M2915="","",ORCAMENTOS!M2915)</f>
        <v>ARCOTEC</v>
      </c>
      <c r="L2907" t="str">
        <f>IF(ORCAMENTOS!R2915="","",ORCAMENTOS!R2915)</f>
        <v>-</v>
      </c>
    </row>
    <row r="2908" spans="1:12" ht="15.75" hidden="1" customHeight="1" x14ac:dyDescent="0.25">
      <c r="A2908" s="36">
        <f>IF(ORCAMENTOS!A2916="","",ORCAMENTOS!A2916)</f>
        <v>46139</v>
      </c>
      <c r="B2908" s="46">
        <f>IF(ORCAMENTOS!B2916="","",ORCAMENTOS!B2916)</f>
        <v>731</v>
      </c>
      <c r="C2908" s="46" t="str">
        <f>IF(ORCAMENTOS!C2916="","",ORCAMENTOS!C2916)</f>
        <v/>
      </c>
      <c r="D2908" s="37" t="str">
        <f>IF(ORCAMENTOS!D2916="","",ORCAMENTOS!D2916)</f>
        <v>NP CLIMATIZAÇÃO</v>
      </c>
      <c r="E2908" s="38" t="str">
        <f>IF(ORCAMENTOS!E2916="","",ORCAMENTOS!E2916)</f>
        <v>AP - MONTECARLO</v>
      </c>
      <c r="F2908" s="37" t="str">
        <f>IF(ORCAMENTOS!G2916="","",ORCAMENTOS!G2916)</f>
        <v>Guilherme</v>
      </c>
      <c r="G2908" s="37" t="str">
        <f>IF(ORCAMENTOS!H2916="","",ORCAMENTOS!H2916)</f>
        <v>Maria</v>
      </c>
      <c r="H2908" s="39">
        <f>IF(ORCAMENTOS!I2916="","",ORCAMENTOS!I2916)</f>
        <v>10100.76</v>
      </c>
      <c r="I2908" s="60">
        <f>IF(ORCAMENTOS!J2916="","",ORCAMENTOS!J2916)</f>
        <v>0.05</v>
      </c>
      <c r="J2908" s="40" t="str">
        <f>IF(ORCAMENTOS!L2916="","",ORCAMENTOS!L2916)</f>
        <v>FECHADO</v>
      </c>
      <c r="K2908" s="34" t="str">
        <f>IF(ORCAMENTOS!M2916="","",ORCAMENTOS!M2916)</f>
        <v>-</v>
      </c>
      <c r="L2908" t="str">
        <f>IF(ORCAMENTOS!R2916="","",ORCAMENTOS!R2916)</f>
        <v>-</v>
      </c>
    </row>
    <row r="2909" spans="1:12" ht="15.75" hidden="1" customHeight="1" x14ac:dyDescent="0.25">
      <c r="A2909" s="36">
        <f>IF(ORCAMENTOS!A2917="","",ORCAMENTOS!A2917)</f>
        <v>46139</v>
      </c>
      <c r="B2909" s="46">
        <f>IF(ORCAMENTOS!B2917="","",ORCAMENTOS!B2917)</f>
        <v>732</v>
      </c>
      <c r="C2909" s="46" t="str">
        <f>IF(ORCAMENTOS!C2917="","",ORCAMENTOS!C2917)</f>
        <v/>
      </c>
      <c r="D2909" s="37" t="str">
        <f>IF(ORCAMENTOS!D2917="","",ORCAMENTOS!D2917)</f>
        <v>GLACIAL AR</v>
      </c>
      <c r="E2909" s="38" t="str">
        <f>IF(ORCAMENTOS!E2917="","",ORCAMENTOS!E2917)</f>
        <v>FIACAO SÃO BENTO - UNIDADE 2A - SC</v>
      </c>
      <c r="F2909" s="37" t="str">
        <f>IF(ORCAMENTOS!G2917="","",ORCAMENTOS!G2917)</f>
        <v>Fernando</v>
      </c>
      <c r="G2909" s="37" t="str">
        <f>IF(ORCAMENTOS!H2917="","",ORCAMENTOS!H2917)</f>
        <v>Gilvan</v>
      </c>
      <c r="H2909" s="39">
        <f>IF(ORCAMENTOS!I2917="","",ORCAMENTOS!I2917)</f>
        <v>83890.71</v>
      </c>
      <c r="I2909" s="60">
        <f>IF(ORCAMENTOS!J2917="","",ORCAMENTOS!J2917)</f>
        <v>7.0000000000000007E-2</v>
      </c>
      <c r="J2909" s="40" t="str">
        <f>IF(ORCAMENTOS!L2917="","",ORCAMENTOS!L2917)</f>
        <v>ORCAMENTO</v>
      </c>
      <c r="K2909" s="34" t="str">
        <f>IF(ORCAMENTOS!M2917="","",ORCAMENTOS!M2917)</f>
        <v>-</v>
      </c>
      <c r="L2909" t="str">
        <f>IF(ORCAMENTOS!R2917="","",ORCAMENTOS!R2917)</f>
        <v>-</v>
      </c>
    </row>
    <row r="2910" spans="1:12" ht="15.75" hidden="1" customHeight="1" x14ac:dyDescent="0.25">
      <c r="A2910" s="36">
        <f>IF(ORCAMENTOS!A2918="","",ORCAMENTOS!A2918)</f>
        <v>46139</v>
      </c>
      <c r="B2910" s="46">
        <f>IF(ORCAMENTOS!B2918="","",ORCAMENTOS!B2918)</f>
        <v>733</v>
      </c>
      <c r="C2910" s="46" t="str">
        <f>IF(ORCAMENTOS!C2918="","",ORCAMENTOS!C2918)</f>
        <v/>
      </c>
      <c r="D2910" s="37" t="str">
        <f>IF(ORCAMENTOS!D2918="","",ORCAMENTOS!D2918)</f>
        <v>AWA AR CONDICIONADO</v>
      </c>
      <c r="E2910" s="38" t="str">
        <f>IF(ORCAMENTOS!E2918="","",ORCAMENTOS!E2918)</f>
        <v>-</v>
      </c>
      <c r="F2910" s="37" t="str">
        <f>IF(ORCAMENTOS!G2918="","",ORCAMENTOS!G2918)</f>
        <v>Guilherme</v>
      </c>
      <c r="G2910" s="37" t="str">
        <f>IF(ORCAMENTOS!H2918="","",ORCAMENTOS!H2918)</f>
        <v>Paula</v>
      </c>
      <c r="H2910" s="39">
        <f>IF(ORCAMENTOS!I2918="","",ORCAMENTOS!I2918)</f>
        <v>2500</v>
      </c>
      <c r="I2910" s="60">
        <f>IF(ORCAMENTOS!J2918="","",ORCAMENTOS!J2918)</f>
        <v>7.0000000000000007E-2</v>
      </c>
      <c r="J2910" s="40" t="str">
        <f>IF(ORCAMENTOS!L2918="","",ORCAMENTOS!L2918)</f>
        <v>FECHADO</v>
      </c>
      <c r="K2910" s="34" t="str">
        <f>IF(ORCAMENTOS!M2918="","",ORCAMENTOS!M2918)</f>
        <v>-</v>
      </c>
      <c r="L2910" t="str">
        <f>IF(ORCAMENTOS!R2918="","",ORCAMENTOS!R2918)</f>
        <v>-</v>
      </c>
    </row>
    <row r="2911" spans="1:12" ht="15.75" hidden="1" customHeight="1" x14ac:dyDescent="0.25">
      <c r="A2911" s="36">
        <f>IF(ORCAMENTOS!A2919="","",ORCAMENTOS!A2919)</f>
        <v>46139</v>
      </c>
      <c r="B2911" s="46">
        <f>IF(ORCAMENTOS!B2919="","",ORCAMENTOS!B2919)</f>
        <v>734</v>
      </c>
      <c r="C2911" s="46" t="str">
        <f>IF(ORCAMENTOS!C2919="","",ORCAMENTOS!C2919)</f>
        <v/>
      </c>
      <c r="D2911" s="37" t="str">
        <f>IF(ORCAMENTOS!D2919="","",ORCAMENTOS!D2919)</f>
        <v>SENSCO</v>
      </c>
      <c r="E2911" s="38" t="str">
        <f>IF(ORCAMENTOS!E2919="","",ORCAMENTOS!E2919)</f>
        <v>-</v>
      </c>
      <c r="F2911" s="37" t="str">
        <f>IF(ORCAMENTOS!G2919="","",ORCAMENTOS!G2919)</f>
        <v>Michel</v>
      </c>
      <c r="G2911" s="37" t="str">
        <f>IF(ORCAMENTOS!H2919="","",ORCAMENTOS!H2919)</f>
        <v>Luciete</v>
      </c>
      <c r="H2911" s="39">
        <f>IF(ORCAMENTOS!I2919="","",ORCAMENTOS!I2919)</f>
        <v>3006</v>
      </c>
      <c r="I2911" s="60">
        <f>IF(ORCAMENTOS!J2919="","",ORCAMENTOS!J2919)</f>
        <v>7.0000000000000007E-2</v>
      </c>
      <c r="J2911" s="40" t="str">
        <f>IF(ORCAMENTOS!L2919="","",ORCAMENTOS!L2919)</f>
        <v>PERDIDO</v>
      </c>
      <c r="K2911" s="34" t="str">
        <f>IF(ORCAMENTOS!M2919="","",ORCAMENTOS!M2919)</f>
        <v>ARCOTEC</v>
      </c>
      <c r="L2911" t="str">
        <f>IF(ORCAMENTOS!R2919="","",ORCAMENTOS!R2919)</f>
        <v>-</v>
      </c>
    </row>
    <row r="2912" spans="1:12" ht="15.75" hidden="1" customHeight="1" x14ac:dyDescent="0.25">
      <c r="A2912" s="36">
        <f>IF(ORCAMENTOS!A2920="","",ORCAMENTOS!A2920)</f>
        <v>46139</v>
      </c>
      <c r="B2912" s="46">
        <f>IF(ORCAMENTOS!B2920="","",ORCAMENTOS!B2920)</f>
        <v>735</v>
      </c>
      <c r="C2912" s="46" t="str">
        <f>IF(ORCAMENTOS!C2920="","",ORCAMENTOS!C2920)</f>
        <v/>
      </c>
      <c r="D2912" s="37" t="str">
        <f>IF(ORCAMENTOS!D2920="","",ORCAMENTOS!D2920)</f>
        <v>ASF SERVICOS</v>
      </c>
      <c r="E2912" s="38" t="str">
        <f>IF(ORCAMENTOS!E2920="","",ORCAMENTOS!E2920)</f>
        <v>ATC PACAEMBU</v>
      </c>
      <c r="F2912" s="37" t="str">
        <f>IF(ORCAMENTOS!G2920="","",ORCAMENTOS!G2920)</f>
        <v>Fernando</v>
      </c>
      <c r="G2912" s="37" t="str">
        <f>IF(ORCAMENTOS!H2920="","",ORCAMENTOS!H2920)</f>
        <v>Andre</v>
      </c>
      <c r="H2912" s="39">
        <f>IF(ORCAMENTOS!I2920="","",ORCAMENTOS!I2920)</f>
        <v>434678.5</v>
      </c>
      <c r="I2912" s="60">
        <f>IF(ORCAMENTOS!J2920="","",ORCAMENTOS!J2920)</f>
        <v>0.04</v>
      </c>
      <c r="J2912" s="40" t="str">
        <f>IF(ORCAMENTOS!L2920="","",ORCAMENTOS!L2920)</f>
        <v>ORCAMENTO</v>
      </c>
      <c r="K2912" s="34" t="str">
        <f>IF(ORCAMENTOS!M2920="","",ORCAMENTOS!M2920)</f>
        <v>-</v>
      </c>
      <c r="L2912" t="str">
        <f>IF(ORCAMENTOS!R2920="","",ORCAMENTOS!R2920)</f>
        <v>-</v>
      </c>
    </row>
    <row r="2913" spans="1:12" ht="15.75" hidden="1" customHeight="1" x14ac:dyDescent="0.25">
      <c r="A2913" s="36">
        <f>IF(ORCAMENTOS!A2921="","",ORCAMENTOS!A2921)</f>
        <v>46139</v>
      </c>
      <c r="B2913" s="46">
        <f>IF(ORCAMENTOS!B2921="","",ORCAMENTOS!B2921)</f>
        <v>736</v>
      </c>
      <c r="C2913" s="46" t="str">
        <f>IF(ORCAMENTOS!C2921="","",ORCAMENTOS!C2921)</f>
        <v/>
      </c>
      <c r="D2913" s="37" t="str">
        <f>IF(ORCAMENTOS!D2921="","",ORCAMENTOS!D2921)</f>
        <v>ARCLEAN</v>
      </c>
      <c r="E2913" s="38" t="str">
        <f>IF(ORCAMENTOS!E2921="","",ORCAMENTOS!E2921)</f>
        <v>-</v>
      </c>
      <c r="F2913" s="37" t="str">
        <f>IF(ORCAMENTOS!G2921="","",ORCAMENTOS!G2921)</f>
        <v xml:space="preserve">Aldavir </v>
      </c>
      <c r="G2913" s="37" t="str">
        <f>IF(ORCAMENTOS!H2921="","",ORCAMENTOS!H2921)</f>
        <v>Rodrigo</v>
      </c>
      <c r="H2913" s="39">
        <f>IF(ORCAMENTOS!I2921="","",ORCAMENTOS!I2921)</f>
        <v>19102.03</v>
      </c>
      <c r="I2913" s="60">
        <f>IF(ORCAMENTOS!J2921="","",ORCAMENTOS!J2921)</f>
        <v>7.0000000000000007E-2</v>
      </c>
      <c r="J2913" s="40" t="str">
        <f>IF(ORCAMENTOS!L2921="","",ORCAMENTOS!L2921)</f>
        <v>ORCAMENTO</v>
      </c>
      <c r="K2913" s="34" t="str">
        <f>IF(ORCAMENTOS!M2921="","",ORCAMENTOS!M2921)</f>
        <v>-</v>
      </c>
      <c r="L2913" t="str">
        <f>IF(ORCAMENTOS!R2921="","",ORCAMENTOS!R2921)</f>
        <v>-</v>
      </c>
    </row>
    <row r="2914" spans="1:12" ht="15.75" hidden="1" customHeight="1" x14ac:dyDescent="0.25">
      <c r="A2914" s="36">
        <f>IF(ORCAMENTOS!A2922="","",ORCAMENTOS!A2922)</f>
        <v>46140</v>
      </c>
      <c r="B2914" s="46">
        <f>IF(ORCAMENTOS!B2922="","",ORCAMENTOS!B2922)</f>
        <v>737</v>
      </c>
      <c r="C2914" s="46" t="str">
        <f>IF(ORCAMENTOS!C2922="","",ORCAMENTOS!C2922)</f>
        <v/>
      </c>
      <c r="D2914" s="37" t="str">
        <f>IF(ORCAMENTOS!D2922="","",ORCAMENTOS!D2922)</f>
        <v>SP1 AR CONDICIONADO</v>
      </c>
      <c r="E2914" s="38" t="str">
        <f>IF(ORCAMENTOS!E2922="","",ORCAMENTOS!E2922)</f>
        <v>HOSPITAL MIRANTE DO PARANAPANEMA</v>
      </c>
      <c r="F2914" s="37" t="str">
        <f>IF(ORCAMENTOS!G2922="","",ORCAMENTOS!G2922)</f>
        <v>Emanuel</v>
      </c>
      <c r="G2914" s="37" t="str">
        <f>IF(ORCAMENTOS!H2922="","",ORCAMENTOS!H2922)</f>
        <v>Silvio</v>
      </c>
      <c r="H2914" s="39">
        <f>IF(ORCAMENTOS!I2922="","",ORCAMENTOS!I2922)</f>
        <v>229700.01</v>
      </c>
      <c r="I2914" s="60">
        <f>IF(ORCAMENTOS!J2922="","",ORCAMENTOS!J2922)</f>
        <v>7.0000000000000007E-2</v>
      </c>
      <c r="J2914" s="40" t="str">
        <f>IF(ORCAMENTOS!L2922="","",ORCAMENTOS!L2922)</f>
        <v>ORCAMENTO</v>
      </c>
      <c r="K2914" s="34" t="str">
        <f>IF(ORCAMENTOS!M2922="","",ORCAMENTOS!M2922)</f>
        <v>-</v>
      </c>
      <c r="L2914" t="str">
        <f>IF(ORCAMENTOS!R2922="","",ORCAMENTOS!R2922)</f>
        <v>CHAPA DE ACO GALVANIZADO</v>
      </c>
    </row>
    <row r="2915" spans="1:12" ht="15.75" customHeight="1" x14ac:dyDescent="0.25">
      <c r="A2915" s="36">
        <f>IF(ORCAMENTOS!A2923="","",ORCAMENTOS!A2923)</f>
        <v>46140</v>
      </c>
      <c r="B2915" s="46">
        <f>IF(ORCAMENTOS!B2923="","",ORCAMENTOS!B2923)</f>
        <v>738</v>
      </c>
      <c r="C2915" s="46" t="str">
        <f>IF(ORCAMENTOS!C2923="","",ORCAMENTOS!C2923)</f>
        <v/>
      </c>
      <c r="D2915" s="37" t="str">
        <f>IF(ORCAMENTOS!D2923="","",ORCAMENTOS!D2923)</f>
        <v>KELVIN CLIMA</v>
      </c>
      <c r="E2915" s="38" t="str">
        <f>IF(ORCAMENTOS!E2923="","",ORCAMENTOS!E2923)</f>
        <v>APIACAS - PERDIZES - SP</v>
      </c>
      <c r="F2915" s="37" t="str">
        <f>IF(ORCAMENTOS!G2923="","",ORCAMENTOS!G2923)</f>
        <v>Michel</v>
      </c>
      <c r="G2915" s="37" t="str">
        <f>IF(ORCAMENTOS!H2923="","",ORCAMENTOS!H2923)</f>
        <v>Guilherme</v>
      </c>
      <c r="H2915" s="39">
        <f>IF(ORCAMENTOS!I2923="","",ORCAMENTOS!I2923)</f>
        <v>11355.64</v>
      </c>
      <c r="I2915" s="60">
        <f>IF(ORCAMENTOS!J2923="","",ORCAMENTOS!J2923)</f>
        <v>7.0000000000000007E-2</v>
      </c>
      <c r="J2915" s="40" t="str">
        <f>IF(ORCAMENTOS!L2923="","",ORCAMENTOS!L2923)</f>
        <v>COMPRA</v>
      </c>
      <c r="K2915" s="34" t="str">
        <f>IF(ORCAMENTOS!M2923="","",ORCAMENTOS!M2923)</f>
        <v>PREV. JUNHO/26</v>
      </c>
      <c r="L2915" t="str">
        <f>IF(ORCAMENTOS!R2923="","",ORCAMENTOS!R2923)</f>
        <v>CHAPA DE ACO GALVANIZADO</v>
      </c>
    </row>
    <row r="2916" spans="1:12" ht="15.75" hidden="1" customHeight="1" x14ac:dyDescent="0.25">
      <c r="A2916" s="36">
        <f>IF(ORCAMENTOS!A2924="","",ORCAMENTOS!A2924)</f>
        <v>46140</v>
      </c>
      <c r="B2916" s="46">
        <f>IF(ORCAMENTOS!B2924="","",ORCAMENTOS!B2924)</f>
        <v>739</v>
      </c>
      <c r="C2916" s="46" t="str">
        <f>IF(ORCAMENTOS!C2924="","",ORCAMENTOS!C2924)</f>
        <v/>
      </c>
      <c r="D2916" s="37" t="str">
        <f>IF(ORCAMENTOS!D2924="","",ORCAMENTOS!D2924)</f>
        <v>STAR CENTER</v>
      </c>
      <c r="E2916" s="38" t="str">
        <f>IF(ORCAMENTOS!E2924="","",ORCAMENTOS!E2924)</f>
        <v>CENTRO DE OPERAÇÕES INTEGRADO – COI</v>
      </c>
      <c r="F2916" s="37" t="str">
        <f>IF(ORCAMENTOS!G2924="","",ORCAMENTOS!G2924)</f>
        <v>Guilherme</v>
      </c>
      <c r="G2916" s="37" t="str">
        <f>IF(ORCAMENTOS!H2924="","",ORCAMENTOS!H2924)</f>
        <v>Ayra</v>
      </c>
      <c r="H2916" s="39">
        <f>IF(ORCAMENTOS!I2924="","",ORCAMENTOS!I2924)</f>
        <v>381959.48</v>
      </c>
      <c r="I2916" s="60">
        <f>IF(ORCAMENTOS!J2924="","",ORCAMENTOS!J2924)</f>
        <v>7.0000000000000007E-2</v>
      </c>
      <c r="J2916" s="40" t="str">
        <f>IF(ORCAMENTOS!L2924="","",ORCAMENTOS!L2924)</f>
        <v>ORCAMENTO</v>
      </c>
      <c r="K2916" s="34" t="str">
        <f>IF(ORCAMENTOS!M2924="","",ORCAMENTOS!M2924)</f>
        <v>-</v>
      </c>
      <c r="L2916" t="str">
        <f>IF(ORCAMENTOS!R2924="","",ORCAMENTOS!R2924)</f>
        <v>-</v>
      </c>
    </row>
    <row r="2917" spans="1:12" ht="15.75" hidden="1" customHeight="1" x14ac:dyDescent="0.25">
      <c r="A2917" s="36">
        <f>IF(ORCAMENTOS!A2925="","",ORCAMENTOS!A2925)</f>
        <v>46140</v>
      </c>
      <c r="B2917" s="46">
        <f>IF(ORCAMENTOS!B2925="","",ORCAMENTOS!B2925)</f>
        <v>740</v>
      </c>
      <c r="C2917" s="46" t="str">
        <f>IF(ORCAMENTOS!C2925="","",ORCAMENTOS!C2925)</f>
        <v>R1</v>
      </c>
      <c r="D2917" s="37" t="str">
        <f>IF(ORCAMENTOS!D2925="","",ORCAMENTOS!D2925)</f>
        <v>NOVAX ENGENHARIA</v>
      </c>
      <c r="E2917" s="38" t="str">
        <f>IF(ORCAMENTOS!E2925="","",ORCAMENTOS!E2925)</f>
        <v>MUSEU TAUBATÉ</v>
      </c>
      <c r="F2917" s="37" t="str">
        <f>IF(ORCAMENTOS!G2925="","",ORCAMENTOS!G2925)</f>
        <v>Emanuel</v>
      </c>
      <c r="G2917" s="37" t="str">
        <f>IF(ORCAMENTOS!H2925="","",ORCAMENTOS!H2925)</f>
        <v>Luiz</v>
      </c>
      <c r="H2917" s="39">
        <f>IF(ORCAMENTOS!I2925="","",ORCAMENTOS!I2925)</f>
        <v>59222.82</v>
      </c>
      <c r="I2917" s="60">
        <f>IF(ORCAMENTOS!J2925="","",ORCAMENTOS!J2925)</f>
        <v>7.0000000000000007E-2</v>
      </c>
      <c r="J2917" s="40" t="str">
        <f>IF(ORCAMENTOS!L2925="","",ORCAMENTOS!L2925)</f>
        <v>ORCAMENTO</v>
      </c>
      <c r="K2917" s="34" t="str">
        <f>IF(ORCAMENTOS!M2925="","",ORCAMENTOS!M2925)</f>
        <v>-</v>
      </c>
      <c r="L2917" t="str">
        <f>IF(ORCAMENTOS!R2925="","",ORCAMENTOS!R2925)</f>
        <v>-</v>
      </c>
    </row>
    <row r="2918" spans="1:12" ht="15.75" hidden="1" customHeight="1" x14ac:dyDescent="0.25">
      <c r="A2918" s="36">
        <f>IF(ORCAMENTOS!A2926="","",ORCAMENTOS!A2926)</f>
        <v>46140</v>
      </c>
      <c r="B2918" s="46">
        <f>IF(ORCAMENTOS!B2926="","",ORCAMENTOS!B2926)</f>
        <v>741</v>
      </c>
      <c r="C2918" s="46" t="str">
        <f>IF(ORCAMENTOS!C2926="","",ORCAMENTOS!C2926)</f>
        <v/>
      </c>
      <c r="D2918" s="37" t="str">
        <f>IF(ORCAMENTOS!D2926="","",ORCAMENTOS!D2926)</f>
        <v>RICH ENGENHARIA</v>
      </c>
      <c r="E2918" s="38" t="str">
        <f>IF(ORCAMENTOS!E2926="","",ORCAMENTOS!E2926)</f>
        <v>APARTAMENTO MARTIN MICHAEL SCHULZ - SP</v>
      </c>
      <c r="F2918" s="37" t="str">
        <f>IF(ORCAMENTOS!G2926="","",ORCAMENTOS!G2926)</f>
        <v>Guilherme</v>
      </c>
      <c r="G2918" s="37" t="str">
        <f>IF(ORCAMENTOS!H2926="","",ORCAMENTOS!H2926)</f>
        <v>Ricardo</v>
      </c>
      <c r="H2918" s="39">
        <f>IF(ORCAMENTOS!I2926="","",ORCAMENTOS!I2926)</f>
        <v>6166.91</v>
      </c>
      <c r="I2918" s="60">
        <f>IF(ORCAMENTOS!J2926="","",ORCAMENTOS!J2926)</f>
        <v>7.0000000000000007E-2</v>
      </c>
      <c r="J2918" s="40" t="str">
        <f>IF(ORCAMENTOS!L2926="","",ORCAMENTOS!L2926)</f>
        <v>ORCAMENTO</v>
      </c>
      <c r="K2918" s="34" t="str">
        <f>IF(ORCAMENTOS!M2926="","",ORCAMENTOS!M2926)</f>
        <v>-</v>
      </c>
      <c r="L2918" t="str">
        <f>IF(ORCAMENTOS!R2926="","",ORCAMENTOS!R2926)</f>
        <v>N/E</v>
      </c>
    </row>
    <row r="2919" spans="1:12" ht="15.75" hidden="1" customHeight="1" x14ac:dyDescent="0.25">
      <c r="A2919" s="36">
        <f>IF(ORCAMENTOS!A2927="","",ORCAMENTOS!A2927)</f>
        <v>46140</v>
      </c>
      <c r="B2919" s="46">
        <f>IF(ORCAMENTOS!B2927="","",ORCAMENTOS!B2927)</f>
        <v>742</v>
      </c>
      <c r="C2919" s="46" t="str">
        <f>IF(ORCAMENTOS!C2927="","",ORCAMENTOS!C2927)</f>
        <v/>
      </c>
      <c r="D2919" s="37" t="str">
        <f>IF(ORCAMENTOS!D2927="","",ORCAMENTOS!D2927)</f>
        <v>AEROTHERMIC</v>
      </c>
      <c r="E2919" s="38" t="str">
        <f>IF(ORCAMENTOS!E2927="","",ORCAMENTOS!E2927)</f>
        <v>NOVO RESTAURANTE - SIMEC - PINDAMONHANGABA - SP</v>
      </c>
      <c r="F2919" s="37" t="str">
        <f>IF(ORCAMENTOS!G2927="","",ORCAMENTOS!G2927)</f>
        <v>Fernando</v>
      </c>
      <c r="G2919" s="37" t="str">
        <f>IF(ORCAMENTOS!H2927="","",ORCAMENTOS!H2927)</f>
        <v>Claudio</v>
      </c>
      <c r="H2919" s="39">
        <f>IF(ORCAMENTOS!I2927="","",ORCAMENTOS!I2927)</f>
        <v>62932.57</v>
      </c>
      <c r="I2919" s="60">
        <f>IF(ORCAMENTOS!J2927="","",ORCAMENTOS!J2927)</f>
        <v>7.0000000000000007E-2</v>
      </c>
      <c r="J2919" s="40" t="str">
        <f>IF(ORCAMENTOS!L2927="","",ORCAMENTOS!L2927)</f>
        <v>ORCAMENTO</v>
      </c>
      <c r="K2919" s="34" t="str">
        <f>IF(ORCAMENTOS!M2927="","",ORCAMENTOS!M2927)</f>
        <v>-</v>
      </c>
      <c r="L2919" t="str">
        <f>IF(ORCAMENTOS!R2927="","",ORCAMENTOS!R2927)</f>
        <v>N/E</v>
      </c>
    </row>
    <row r="2920" spans="1:12" ht="15.75" hidden="1" customHeight="1" x14ac:dyDescent="0.25">
      <c r="A2920" s="36">
        <f>IF(ORCAMENTOS!A2928="","",ORCAMENTOS!A2928)</f>
        <v>46141</v>
      </c>
      <c r="B2920" s="46">
        <f>IF(ORCAMENTOS!B2928="","",ORCAMENTOS!B2928)</f>
        <v>743</v>
      </c>
      <c r="C2920" s="46" t="str">
        <f>IF(ORCAMENTOS!C2928="","",ORCAMENTOS!C2928)</f>
        <v>R1</v>
      </c>
      <c r="D2920" s="37" t="str">
        <f>IF(ORCAMENTOS!D2928="","",ORCAMENTOS!D2928)</f>
        <v>SAFETY WALL</v>
      </c>
      <c r="E2920" s="38" t="str">
        <f>IF(ORCAMENTOS!E2928="","",ORCAMENTOS!E2928)</f>
        <v>-</v>
      </c>
      <c r="F2920" s="37" t="str">
        <f>IF(ORCAMENTOS!G2928="","",ORCAMENTOS!G2928)</f>
        <v>Gabriel</v>
      </c>
      <c r="G2920" s="37" t="str">
        <f>IF(ORCAMENTOS!H2928="","",ORCAMENTOS!H2928)</f>
        <v>Fabiana</v>
      </c>
      <c r="H2920" s="39">
        <f>IF(ORCAMENTOS!I2928="","",ORCAMENTOS!I2928)</f>
        <v>7772.47</v>
      </c>
      <c r="I2920" s="60">
        <f>IF(ORCAMENTOS!J2928="","",ORCAMENTOS!J2928)</f>
        <v>7.0000000000000007E-2</v>
      </c>
      <c r="J2920" s="40" t="str">
        <f>IF(ORCAMENTOS!L2928="","",ORCAMENTOS!L2928)</f>
        <v>COMPRA</v>
      </c>
      <c r="K2920" s="34" t="str">
        <f>IF(ORCAMENTOS!M2928="","",ORCAMENTOS!M2928)</f>
        <v>-</v>
      </c>
      <c r="L2920" t="str">
        <f>IF(ORCAMENTOS!R2928="","",ORCAMENTOS!R2928)</f>
        <v>-</v>
      </c>
    </row>
    <row r="2921" spans="1:12" ht="15.75" hidden="1" customHeight="1" x14ac:dyDescent="0.25">
      <c r="A2921" s="36">
        <f>IF(ORCAMENTOS!A2929="","",ORCAMENTOS!A2929)</f>
        <v>46140</v>
      </c>
      <c r="B2921" s="46">
        <f>IF(ORCAMENTOS!B2929="","",ORCAMENTOS!B2929)</f>
        <v>744</v>
      </c>
      <c r="C2921" s="46" t="str">
        <f>IF(ORCAMENTOS!C2929="","",ORCAMENTOS!C2929)</f>
        <v/>
      </c>
      <c r="D2921" s="37" t="str">
        <f>IF(ORCAMENTOS!D2929="","",ORCAMENTOS!D2929)</f>
        <v>MITRA DIOCESANA</v>
      </c>
      <c r="E2921" s="38" t="str">
        <f>IF(ORCAMENTOS!E2929="","",ORCAMENTOS!E2929)</f>
        <v>IGREJA SÃO SEBASTIAO</v>
      </c>
      <c r="F2921" s="37" t="str">
        <f>IF(ORCAMENTOS!G2929="","",ORCAMENTOS!G2929)</f>
        <v>Gabriel</v>
      </c>
      <c r="G2921" s="37" t="str">
        <f>IF(ORCAMENTOS!H2929="","",ORCAMENTOS!H2929)</f>
        <v>Matheus</v>
      </c>
      <c r="H2921" s="39">
        <f>IF(ORCAMENTOS!I2929="","",ORCAMENTOS!I2929)</f>
        <v>36722.17</v>
      </c>
      <c r="I2921" s="60">
        <f>IF(ORCAMENTOS!J2929="","",ORCAMENTOS!J2929)</f>
        <v>7.0000000000000007E-2</v>
      </c>
      <c r="J2921" s="40" t="str">
        <f>IF(ORCAMENTOS!L2929="","",ORCAMENTOS!L2929)</f>
        <v>ORCAMENTO</v>
      </c>
      <c r="K2921" s="34" t="str">
        <f>IF(ORCAMENTOS!M2929="","",ORCAMENTOS!M2929)</f>
        <v>-</v>
      </c>
      <c r="L2921" t="str">
        <f>IF(ORCAMENTOS!R2929="","",ORCAMENTOS!R2929)</f>
        <v>-</v>
      </c>
    </row>
    <row r="2922" spans="1:12" ht="15.75" hidden="1" customHeight="1" x14ac:dyDescent="0.25">
      <c r="A2922" s="36">
        <f>IF(ORCAMENTOS!A2930="","",ORCAMENTOS!A2930)</f>
        <v>46141</v>
      </c>
      <c r="B2922" s="46">
        <f>IF(ORCAMENTOS!B2930="","",ORCAMENTOS!B2930)</f>
        <v>745</v>
      </c>
      <c r="C2922" s="46" t="str">
        <f>IF(ORCAMENTOS!C2930="","",ORCAMENTOS!C2930)</f>
        <v/>
      </c>
      <c r="D2922" s="37" t="str">
        <f>IF(ORCAMENTOS!D2930="","",ORCAMENTOS!D2930)</f>
        <v>BRASFOR</v>
      </c>
      <c r="E2922" s="38" t="str">
        <f>IF(ORCAMENTOS!E2930="","",ORCAMENTOS!E2930)</f>
        <v>-</v>
      </c>
      <c r="F2922" s="37" t="str">
        <f>IF(ORCAMENTOS!G2930="","",ORCAMENTOS!G2930)</f>
        <v>Gabriel</v>
      </c>
      <c r="G2922" s="37" t="str">
        <f>IF(ORCAMENTOS!H2930="","",ORCAMENTOS!H2930)</f>
        <v>Marcio</v>
      </c>
      <c r="H2922" s="39">
        <f>IF(ORCAMENTOS!I2930="","",ORCAMENTOS!I2930)</f>
        <v>18091.47</v>
      </c>
      <c r="I2922" s="60">
        <f>IF(ORCAMENTOS!J2930="","",ORCAMENTOS!J2930)</f>
        <v>7.0000000000000007E-2</v>
      </c>
      <c r="J2922" s="40" t="str">
        <f>IF(ORCAMENTOS!L2930="","",ORCAMENTOS!L2930)</f>
        <v>ORCAMENTO</v>
      </c>
      <c r="K2922" s="34" t="str">
        <f>IF(ORCAMENTOS!M2930="","",ORCAMENTOS!M2930)</f>
        <v>-</v>
      </c>
      <c r="L2922" t="str">
        <f>IF(ORCAMENTOS!R2930="","",ORCAMENTOS!R2930)</f>
        <v>-</v>
      </c>
    </row>
    <row r="2923" spans="1:12" ht="15.75" hidden="1" customHeight="1" x14ac:dyDescent="0.25">
      <c r="A2923" s="36">
        <f>IF(ORCAMENTOS!A2931="","",ORCAMENTOS!A2931)</f>
        <v>46141</v>
      </c>
      <c r="B2923" s="46">
        <f>IF(ORCAMENTOS!B2931="","",ORCAMENTOS!B2931)</f>
        <v>746</v>
      </c>
      <c r="C2923" s="46" t="str">
        <f>IF(ORCAMENTOS!C2931="","",ORCAMENTOS!C2931)</f>
        <v/>
      </c>
      <c r="D2923" s="37" t="str">
        <f>IF(ORCAMENTOS!D2931="","",ORCAMENTOS!D2931)</f>
        <v>YAMA ENGENHARIA</v>
      </c>
      <c r="E2923" s="38" t="str">
        <f>IF(ORCAMENTOS!E2931="","",ORCAMENTOS!E2931)</f>
        <v>RESIDENCIA UNIFAMILIAR - ALEXANDRE E NAYARA</v>
      </c>
      <c r="F2923" s="37" t="str">
        <f>IF(ORCAMENTOS!G2931="","",ORCAMENTOS!G2931)</f>
        <v>Gabriel</v>
      </c>
      <c r="G2923" s="37" t="str">
        <f>IF(ORCAMENTOS!H2931="","",ORCAMENTOS!H2931)</f>
        <v>Fagner</v>
      </c>
      <c r="H2923" s="39">
        <f>IF(ORCAMENTOS!I2931="","",ORCAMENTOS!I2931)</f>
        <v>29101.96</v>
      </c>
      <c r="I2923" s="60">
        <f>IF(ORCAMENTOS!J2931="","",ORCAMENTOS!J2931)</f>
        <v>7.0000000000000007E-2</v>
      </c>
      <c r="J2923" s="40" t="str">
        <f>IF(ORCAMENTOS!L2931="","",ORCAMENTOS!L2931)</f>
        <v>ORCAMENTO</v>
      </c>
      <c r="K2923" s="34" t="str">
        <f>IF(ORCAMENTOS!M2931="","",ORCAMENTOS!M2931)</f>
        <v>-</v>
      </c>
      <c r="L2923" t="str">
        <f>IF(ORCAMENTOS!R2931="","",ORCAMENTOS!R2931)</f>
        <v>CHAPA DE ACO GALVANIZADO</v>
      </c>
    </row>
    <row r="2924" spans="1:12" ht="15.75" hidden="1" customHeight="1" x14ac:dyDescent="0.25">
      <c r="A2924" s="36">
        <f>IF(ORCAMENTOS!A2932="","",ORCAMENTOS!A2932)</f>
        <v>46141</v>
      </c>
      <c r="B2924" s="46">
        <f>IF(ORCAMENTOS!B2932="","",ORCAMENTOS!B2932)</f>
        <v>747</v>
      </c>
      <c r="C2924" s="46" t="str">
        <f>IF(ORCAMENTOS!C2932="","",ORCAMENTOS!C2932)</f>
        <v/>
      </c>
      <c r="D2924" s="37" t="str">
        <f>IF(ORCAMENTOS!D2932="","",ORCAMENTOS!D2932)</f>
        <v>ALEX REPARACAO</v>
      </c>
      <c r="E2924" s="38" t="str">
        <f>IF(ORCAMENTOS!E2932="","",ORCAMENTOS!E2932)</f>
        <v>-</v>
      </c>
      <c r="F2924" s="37" t="str">
        <f>IF(ORCAMENTOS!G2932="","",ORCAMENTOS!G2932)</f>
        <v>Gabriel</v>
      </c>
      <c r="G2924" s="37" t="str">
        <f>IF(ORCAMENTOS!H2932="","",ORCAMENTOS!H2932)</f>
        <v>Alex</v>
      </c>
      <c r="H2924" s="39">
        <f>IF(ORCAMENTOS!I2932="","",ORCAMENTOS!I2932)</f>
        <v>6718.99</v>
      </c>
      <c r="I2924" s="60">
        <f>IF(ORCAMENTOS!J2932="","",ORCAMENTOS!J2932)</f>
        <v>0.05</v>
      </c>
      <c r="J2924" s="40" t="str">
        <f>IF(ORCAMENTOS!L2932="","",ORCAMENTOS!L2932)</f>
        <v>FECHADO</v>
      </c>
      <c r="K2924" s="34" t="str">
        <f>IF(ORCAMENTOS!M2932="","",ORCAMENTOS!M2932)</f>
        <v>-</v>
      </c>
      <c r="L2924" t="str">
        <f>IF(ORCAMENTOS!R2932="","",ORCAMENTOS!R2932)</f>
        <v>-</v>
      </c>
    </row>
    <row r="2925" spans="1:12" ht="15.75" hidden="1" customHeight="1" x14ac:dyDescent="0.25">
      <c r="A2925" s="36">
        <f>IF(ORCAMENTOS!A2933="","",ORCAMENTOS!A2933)</f>
        <v>46141</v>
      </c>
      <c r="B2925" s="46">
        <f>IF(ORCAMENTOS!B2933="","",ORCAMENTOS!B2933)</f>
        <v>748</v>
      </c>
      <c r="C2925" s="46" t="str">
        <f>IF(ORCAMENTOS!C2933="","",ORCAMENTOS!C2933)</f>
        <v/>
      </c>
      <c r="D2925" s="37" t="str">
        <f>IF(ORCAMENTOS!D2933="","",ORCAMENTOS!D2933)</f>
        <v>GLOBAL AR CONDICIONADO</v>
      </c>
      <c r="E2925" s="38" t="str">
        <f>IF(ORCAMENTOS!E2933="","",ORCAMENTOS!E2933)</f>
        <v>-</v>
      </c>
      <c r="F2925" s="37" t="str">
        <f>IF(ORCAMENTOS!G2933="","",ORCAMENTOS!G2933)</f>
        <v>Emanuel</v>
      </c>
      <c r="G2925" s="37" t="str">
        <f>IF(ORCAMENTOS!H2933="","",ORCAMENTOS!H2933)</f>
        <v>Claudemir</v>
      </c>
      <c r="H2925" s="39">
        <f>IF(ORCAMENTOS!I2933="","",ORCAMENTOS!I2933)</f>
        <v>4071.33</v>
      </c>
      <c r="I2925" s="60">
        <f>IF(ORCAMENTOS!J2933="","",ORCAMENTOS!J2933)</f>
        <v>7.0000000000000007E-2</v>
      </c>
      <c r="J2925" s="40" t="str">
        <f>IF(ORCAMENTOS!L2933="","",ORCAMENTOS!L2933)</f>
        <v>CANCELADO</v>
      </c>
      <c r="K2925" s="34" t="str">
        <f>IF(ORCAMENTOS!M2933="","",ORCAMENTOS!M2933)</f>
        <v>-</v>
      </c>
      <c r="L2925" t="str">
        <f>IF(ORCAMENTOS!R2933="","",ORCAMENTOS!R2933)</f>
        <v>-</v>
      </c>
    </row>
    <row r="2926" spans="1:12" ht="15.75" hidden="1" customHeight="1" x14ac:dyDescent="0.25">
      <c r="A2926" s="36">
        <f>IF(ORCAMENTOS!A2934="","",ORCAMENTOS!A2934)</f>
        <v>46141</v>
      </c>
      <c r="B2926" s="46">
        <f>IF(ORCAMENTOS!B2934="","",ORCAMENTOS!B2934)</f>
        <v>749</v>
      </c>
      <c r="C2926" s="46" t="str">
        <f>IF(ORCAMENTOS!C2934="","",ORCAMENTOS!C2934)</f>
        <v/>
      </c>
      <c r="D2926" s="37" t="str">
        <f>IF(ORCAMENTOS!D2934="","",ORCAMENTOS!D2934)</f>
        <v>ADRIATIC</v>
      </c>
      <c r="E2926" s="38" t="str">
        <f>IF(ORCAMENTOS!E2934="","",ORCAMENTOS!E2934)</f>
        <v>C&amp;A BHS - BH SHOPPING</v>
      </c>
      <c r="F2926" s="37" t="str">
        <f>IF(ORCAMENTOS!G2934="","",ORCAMENTOS!G2934)</f>
        <v>Emanuel</v>
      </c>
      <c r="G2926" s="37" t="str">
        <f>IF(ORCAMENTOS!H2934="","",ORCAMENTOS!H2934)</f>
        <v>Renato</v>
      </c>
      <c r="H2926" s="39">
        <f>IF(ORCAMENTOS!I2934="","",ORCAMENTOS!I2934)</f>
        <v>37190.18</v>
      </c>
      <c r="I2926" s="60">
        <f>IF(ORCAMENTOS!J2934="","",ORCAMENTOS!J2934)</f>
        <v>0.05</v>
      </c>
      <c r="J2926" s="40" t="str">
        <f>IF(ORCAMENTOS!L2934="","",ORCAMENTOS!L2934)</f>
        <v>ORCAMENTO</v>
      </c>
      <c r="K2926" s="34" t="str">
        <f>IF(ORCAMENTOS!M2934="","",ORCAMENTOS!M2934)</f>
        <v>-</v>
      </c>
      <c r="L2926" t="str">
        <f>IF(ORCAMENTOS!R2934="","",ORCAMENTOS!R2934)</f>
        <v>MPU</v>
      </c>
    </row>
    <row r="2927" spans="1:12" ht="15.75" hidden="1" customHeight="1" x14ac:dyDescent="0.25">
      <c r="A2927" s="36">
        <f>IF(ORCAMENTOS!A2935="","",ORCAMENTOS!A2935)</f>
        <v>46141</v>
      </c>
      <c r="B2927" s="46">
        <f>IF(ORCAMENTOS!B2935="","",ORCAMENTOS!B2935)</f>
        <v>750</v>
      </c>
      <c r="C2927" s="46" t="str">
        <f>IF(ORCAMENTOS!C2935="","",ORCAMENTOS!C2935)</f>
        <v/>
      </c>
      <c r="D2927" s="37" t="str">
        <f>IF(ORCAMENTOS!D2935="","",ORCAMENTOS!D2935)</f>
        <v>ZEON REFRIGERACAO</v>
      </c>
      <c r="E2927" s="38" t="str">
        <f>IF(ORCAMENTOS!E2935="","",ORCAMENTOS!E2935)</f>
        <v>-</v>
      </c>
      <c r="F2927" s="37" t="str">
        <f>IF(ORCAMENTOS!G2935="","",ORCAMENTOS!G2935)</f>
        <v>Gabriel</v>
      </c>
      <c r="G2927" s="37" t="str">
        <f>IF(ORCAMENTOS!H2935="","",ORCAMENTOS!H2935)</f>
        <v>Alexandro</v>
      </c>
      <c r="H2927" s="39">
        <f>IF(ORCAMENTOS!I2935="","",ORCAMENTOS!I2935)</f>
        <v>466256.35</v>
      </c>
      <c r="I2927" s="60">
        <f>IF(ORCAMENTOS!J2935="","",ORCAMENTOS!J2935)</f>
        <v>0.03</v>
      </c>
      <c r="J2927" s="40" t="str">
        <f>IF(ORCAMENTOS!L2935="","",ORCAMENTOS!L2935)</f>
        <v>ORCAMENTO</v>
      </c>
      <c r="K2927" s="34" t="str">
        <f>IF(ORCAMENTOS!M2935="","",ORCAMENTOS!M2935)</f>
        <v>REVENDA</v>
      </c>
      <c r="L2927" t="str">
        <f>IF(ORCAMENTOS!R2935="","",ORCAMENTOS!R2935)</f>
        <v>-</v>
      </c>
    </row>
    <row r="2928" spans="1:12" ht="15.75" hidden="1" customHeight="1" x14ac:dyDescent="0.25">
      <c r="A2928" s="36">
        <f>IF(ORCAMENTOS!A2936="","",ORCAMENTOS!A2936)</f>
        <v>46146</v>
      </c>
      <c r="B2928" s="46">
        <f>IF(ORCAMENTOS!B2936="","",ORCAMENTOS!B2936)</f>
        <v>751</v>
      </c>
      <c r="C2928" s="46" t="str">
        <f>IF(ORCAMENTOS!C2936="","",ORCAMENTOS!C2936)</f>
        <v>R1</v>
      </c>
      <c r="D2928" s="37" t="str">
        <f>IF(ORCAMENTOS!D2936="","",ORCAMENTOS!D2936)</f>
        <v>NEWSET</v>
      </c>
      <c r="E2928" s="38" t="str">
        <f>IF(ORCAMENTOS!E2936="","",ORCAMENTOS!E2936)</f>
        <v>NISSIN FOODS BRASIL</v>
      </c>
      <c r="F2928" s="37" t="str">
        <f>IF(ORCAMENTOS!G2936="","",ORCAMENTOS!G2936)</f>
        <v xml:space="preserve">Aldavir </v>
      </c>
      <c r="G2928" s="37" t="str">
        <f>IF(ORCAMENTOS!H2936="","",ORCAMENTOS!H2936)</f>
        <v>Andressa</v>
      </c>
      <c r="H2928" s="39">
        <f>IF(ORCAMENTOS!I2936="","",ORCAMENTOS!I2936)</f>
        <v>22061</v>
      </c>
      <c r="I2928" s="60">
        <f>IF(ORCAMENTOS!J2936="","",ORCAMENTOS!J2936)</f>
        <v>7.0000000000000007E-2</v>
      </c>
      <c r="J2928" s="40" t="str">
        <f>IF(ORCAMENTOS!L2936="","",ORCAMENTOS!L2936)</f>
        <v>FECHADO</v>
      </c>
      <c r="K2928" s="34" t="str">
        <f>IF(ORCAMENTOS!M2936="","",ORCAMENTOS!M2936)</f>
        <v>-</v>
      </c>
      <c r="L2928" t="str">
        <f>IF(ORCAMENTOS!R2936="","",ORCAMENTOS!R2936)</f>
        <v>-</v>
      </c>
    </row>
    <row r="2929" spans="1:12" ht="15.75" hidden="1" customHeight="1" x14ac:dyDescent="0.25">
      <c r="A2929" s="36">
        <f>IF(ORCAMENTOS!A2937="","",ORCAMENTOS!A2937)</f>
        <v>46142</v>
      </c>
      <c r="B2929" s="46">
        <f>IF(ORCAMENTOS!B2937="","",ORCAMENTOS!B2937)</f>
        <v>752</v>
      </c>
      <c r="C2929" s="46" t="str">
        <f>IF(ORCAMENTOS!C2937="","",ORCAMENTOS!C2937)</f>
        <v/>
      </c>
      <c r="D2929" s="37" t="str">
        <f>IF(ORCAMENTOS!D2937="","",ORCAMENTOS!D2937)</f>
        <v>AWA AR CONDICIONADO</v>
      </c>
      <c r="E2929" s="38" t="str">
        <f>IF(ORCAMENTOS!E2937="","",ORCAMENTOS!E2937)</f>
        <v>ATACADAO PACAEMBU - SAO PAULO - SP</v>
      </c>
      <c r="F2929" s="37" t="str">
        <f>IF(ORCAMENTOS!G2937="","",ORCAMENTOS!G2937)</f>
        <v>Guilherme</v>
      </c>
      <c r="G2929" s="37" t="str">
        <f>IF(ORCAMENTOS!H2937="","",ORCAMENTOS!H2937)</f>
        <v>Paula</v>
      </c>
      <c r="H2929" s="39">
        <f>IF(ORCAMENTOS!I2937="","",ORCAMENTOS!I2937)</f>
        <v>439254.89</v>
      </c>
      <c r="I2929" s="60">
        <f>IF(ORCAMENTOS!J2937="","",ORCAMENTOS!J2937)</f>
        <v>0.05</v>
      </c>
      <c r="J2929" s="40" t="str">
        <f>IF(ORCAMENTOS!L2937="","",ORCAMENTOS!L2937)</f>
        <v>ORCAMENTO</v>
      </c>
      <c r="K2929" s="34" t="str">
        <f>IF(ORCAMENTOS!M2937="","",ORCAMENTOS!M2937)</f>
        <v>-</v>
      </c>
      <c r="L2929" t="str">
        <f>IF(ORCAMENTOS!R2937="","",ORCAMENTOS!R2937)</f>
        <v>MPU</v>
      </c>
    </row>
    <row r="2930" spans="1:12" ht="15.75" hidden="1" customHeight="1" x14ac:dyDescent="0.25">
      <c r="A2930" s="36">
        <f>IF(ORCAMENTOS!A2938="","",ORCAMENTOS!A2938)</f>
        <v>46142</v>
      </c>
      <c r="B2930" s="46">
        <f>IF(ORCAMENTOS!B2938="","",ORCAMENTOS!B2938)</f>
        <v>753</v>
      </c>
      <c r="C2930" s="46" t="str">
        <f>IF(ORCAMENTOS!C2938="","",ORCAMENTOS!C2938)</f>
        <v/>
      </c>
      <c r="D2930" s="37" t="str">
        <f>IF(ORCAMENTOS!D2938="","",ORCAMENTOS!D2938)</f>
        <v>ECOLOGIC AIR</v>
      </c>
      <c r="E2930" s="38" t="str">
        <f>IF(ORCAMENTOS!E2938="","",ORCAMENTOS!E2938)</f>
        <v>ATACADAO PACAEMBU - SAO PAULO - SP</v>
      </c>
      <c r="F2930" s="37" t="str">
        <f>IF(ORCAMENTOS!G2938="","",ORCAMENTOS!G2938)</f>
        <v>Michel</v>
      </c>
      <c r="G2930" s="37" t="str">
        <f>IF(ORCAMENTOS!H2938="","",ORCAMENTOS!H2938)</f>
        <v>Wellington</v>
      </c>
      <c r="H2930" s="39">
        <f>IF(ORCAMENTOS!I2938="","",ORCAMENTOS!I2938)</f>
        <v>486183.58</v>
      </c>
      <c r="I2930" s="60">
        <f>IF(ORCAMENTOS!J2938="","",ORCAMENTOS!J2938)</f>
        <v>7.0000000000000007E-2</v>
      </c>
      <c r="J2930" s="40" t="str">
        <f>IF(ORCAMENTOS!L2938="","",ORCAMENTOS!L2938)</f>
        <v>ORCAMENTO</v>
      </c>
      <c r="K2930" s="34" t="str">
        <f>IF(ORCAMENTOS!M2938="","",ORCAMENTOS!M2938)</f>
        <v>-</v>
      </c>
      <c r="L2930" t="str">
        <f>IF(ORCAMENTOS!R2938="","",ORCAMENTOS!R2938)</f>
        <v>MPU</v>
      </c>
    </row>
    <row r="2931" spans="1:12" ht="15.75" hidden="1" customHeight="1" x14ac:dyDescent="0.25">
      <c r="A2931" s="36">
        <f>IF(ORCAMENTOS!A2939="","",ORCAMENTOS!A2939)</f>
        <v>46142</v>
      </c>
      <c r="B2931" s="46">
        <f>IF(ORCAMENTOS!B2939="","",ORCAMENTOS!B2939)</f>
        <v>754</v>
      </c>
      <c r="C2931" s="46" t="str">
        <f>IF(ORCAMENTOS!C2939="","",ORCAMENTOS!C2939)</f>
        <v/>
      </c>
      <c r="D2931" s="37" t="str">
        <f>IF(ORCAMENTOS!D2939="","",ORCAMENTOS!D2939)</f>
        <v>EKO CLIMAX</v>
      </c>
      <c r="E2931" s="38" t="str">
        <f>IF(ORCAMENTOS!E2939="","",ORCAMENTOS!E2939)</f>
        <v>-</v>
      </c>
      <c r="F2931" s="37" t="str">
        <f>IF(ORCAMENTOS!G2939="","",ORCAMENTOS!G2939)</f>
        <v>Michel</v>
      </c>
      <c r="G2931" s="37" t="str">
        <f>IF(ORCAMENTOS!H2939="","",ORCAMENTOS!H2939)</f>
        <v>Rogerio</v>
      </c>
      <c r="H2931" s="39">
        <f>IF(ORCAMENTOS!I2939="","",ORCAMENTOS!I2939)</f>
        <v>5621.04</v>
      </c>
      <c r="I2931" s="60">
        <f>IF(ORCAMENTOS!J2939="","",ORCAMENTOS!J2939)</f>
        <v>7.0000000000000007E-2</v>
      </c>
      <c r="J2931" s="40" t="str">
        <f>IF(ORCAMENTOS!L2939="","",ORCAMENTOS!L2939)</f>
        <v>FECHADO</v>
      </c>
      <c r="K2931" s="34" t="str">
        <f>IF(ORCAMENTOS!M2939="","",ORCAMENTOS!M2939)</f>
        <v>-</v>
      </c>
      <c r="L2931" t="str">
        <f>IF(ORCAMENTOS!R2939="","",ORCAMENTOS!R2939)</f>
        <v>-</v>
      </c>
    </row>
    <row r="2932" spans="1:12" ht="15.75" hidden="1" customHeight="1" x14ac:dyDescent="0.25">
      <c r="A2932" s="36">
        <f>IF(ORCAMENTOS!A2940="","",ORCAMENTOS!A2940)</f>
        <v>46142</v>
      </c>
      <c r="B2932" s="46">
        <f>IF(ORCAMENTOS!B2940="","",ORCAMENTOS!B2940)</f>
        <v>755</v>
      </c>
      <c r="C2932" s="46" t="str">
        <f>IF(ORCAMENTOS!C2940="","",ORCAMENTOS!C2940)</f>
        <v/>
      </c>
      <c r="D2932" s="37" t="str">
        <f>IF(ORCAMENTOS!D2940="","",ORCAMENTOS!D2940)</f>
        <v>MIT TECH</v>
      </c>
      <c r="E2932" s="38" t="str">
        <f>IF(ORCAMENTOS!E2940="","",ORCAMENTOS!E2940)</f>
        <v>TIK TOK INFINITY - ITAIM BIBI - SP</v>
      </c>
      <c r="F2932" s="37" t="str">
        <f>IF(ORCAMENTOS!G2940="","",ORCAMENTOS!G2940)</f>
        <v>Guilherme</v>
      </c>
      <c r="G2932" s="37" t="str">
        <f>IF(ORCAMENTOS!H2940="","",ORCAMENTOS!H2940)</f>
        <v>Vinicius</v>
      </c>
      <c r="H2932" s="39">
        <f>IF(ORCAMENTOS!I2940="","",ORCAMENTOS!I2940)</f>
        <v>6345.17</v>
      </c>
      <c r="I2932" s="60">
        <f>IF(ORCAMENTOS!J2940="","",ORCAMENTOS!J2940)</f>
        <v>7.0000000000000007E-2</v>
      </c>
      <c r="J2932" s="40" t="str">
        <f>IF(ORCAMENTOS!L2940="","",ORCAMENTOS!L2940)</f>
        <v>CANCELADO</v>
      </c>
      <c r="K2932" s="34" t="str">
        <f>IF(ORCAMENTOS!M2940="","",ORCAMENTOS!M2940)</f>
        <v>-</v>
      </c>
      <c r="L2932" t="str">
        <f>IF(ORCAMENTOS!R2940="","",ORCAMENTOS!R2940)</f>
        <v/>
      </c>
    </row>
    <row r="2933" spans="1:12" ht="15.75" hidden="1" customHeight="1" x14ac:dyDescent="0.25">
      <c r="A2933" s="36">
        <f>IF(ORCAMENTOS!A2941="","",ORCAMENTOS!A2941)</f>
        <v>46142</v>
      </c>
      <c r="B2933" s="46">
        <f>IF(ORCAMENTOS!B2941="","",ORCAMENTOS!B2941)</f>
        <v>756</v>
      </c>
      <c r="C2933" s="46" t="str">
        <f>IF(ORCAMENTOS!C2941="","",ORCAMENTOS!C2941)</f>
        <v/>
      </c>
      <c r="D2933" s="37" t="str">
        <f>IF(ORCAMENTOS!D2941="","",ORCAMENTOS!D2941)</f>
        <v>DIAGRAMA AR</v>
      </c>
      <c r="E2933" s="38" t="str">
        <f>IF(ORCAMENTOS!E2941="","",ORCAMENTOS!E2941)</f>
        <v>ATLAS - FASE 01</v>
      </c>
      <c r="F2933" s="37" t="str">
        <f>IF(ORCAMENTOS!G2941="","",ORCAMENTOS!G2941)</f>
        <v>Guilherme</v>
      </c>
      <c r="G2933" s="37" t="str">
        <f>IF(ORCAMENTOS!H2941="","",ORCAMENTOS!H2941)</f>
        <v>Sandra</v>
      </c>
      <c r="H2933" s="39">
        <f>IF(ORCAMENTOS!I2941="","",ORCAMENTOS!I2941)</f>
        <v>81764.009999999995</v>
      </c>
      <c r="I2933" s="60">
        <f>IF(ORCAMENTOS!J2941="","",ORCAMENTOS!J2941)</f>
        <v>7.0000000000000007E-2</v>
      </c>
      <c r="J2933" s="40" t="str">
        <f>IF(ORCAMENTOS!L2941="","",ORCAMENTOS!L2941)</f>
        <v>ORCAMENTO</v>
      </c>
      <c r="K2933" s="34" t="str">
        <f>IF(ORCAMENTOS!M2941="","",ORCAMENTOS!M2941)</f>
        <v>-</v>
      </c>
      <c r="L2933" t="str">
        <f>IF(ORCAMENTOS!R2941="","",ORCAMENTOS!R2941)</f>
        <v>-</v>
      </c>
    </row>
    <row r="2934" spans="1:12" ht="15.75" hidden="1" customHeight="1" x14ac:dyDescent="0.25">
      <c r="A2934" s="36">
        <f>IF(ORCAMENTOS!A2942="","",ORCAMENTOS!A2942)</f>
        <v>46142</v>
      </c>
      <c r="B2934" s="46">
        <f>IF(ORCAMENTOS!B2942="","",ORCAMENTOS!B2942)</f>
        <v>757</v>
      </c>
      <c r="C2934" s="46" t="str">
        <f>IF(ORCAMENTOS!C2942="","",ORCAMENTOS!C2942)</f>
        <v/>
      </c>
      <c r="D2934" s="37" t="str">
        <f>IF(ORCAMENTOS!D2942="","",ORCAMENTOS!D2942)</f>
        <v>DIAGRAMA AR</v>
      </c>
      <c r="E2934" s="38" t="str">
        <f>IF(ORCAMENTOS!E2942="","",ORCAMENTOS!E2942)</f>
        <v>ATLAS - FASE 02</v>
      </c>
      <c r="F2934" s="37" t="str">
        <f>IF(ORCAMENTOS!G2942="","",ORCAMENTOS!G2942)</f>
        <v>Guilherme</v>
      </c>
      <c r="G2934" s="37" t="str">
        <f>IF(ORCAMENTOS!H2942="","",ORCAMENTOS!H2942)</f>
        <v>Sandra</v>
      </c>
      <c r="H2934" s="39">
        <f>IF(ORCAMENTOS!I2942="","",ORCAMENTOS!I2942)</f>
        <v>223137.16</v>
      </c>
      <c r="I2934" s="60">
        <f>IF(ORCAMENTOS!J2942="","",ORCAMENTOS!J2942)</f>
        <v>7.0000000000000007E-2</v>
      </c>
      <c r="J2934" s="40" t="str">
        <f>IF(ORCAMENTOS!L2942="","",ORCAMENTOS!L2942)</f>
        <v>ORCAMENTO</v>
      </c>
      <c r="K2934" s="34" t="str">
        <f>IF(ORCAMENTOS!M2942="","",ORCAMENTOS!M2942)</f>
        <v>-</v>
      </c>
      <c r="L2934" t="str">
        <f>IF(ORCAMENTOS!R2942="","",ORCAMENTOS!R2942)</f>
        <v>-</v>
      </c>
    </row>
    <row r="2935" spans="1:12" ht="15.75" hidden="1" customHeight="1" x14ac:dyDescent="0.25">
      <c r="A2935" s="36">
        <f>IF(ORCAMENTOS!A2943="","",ORCAMENTOS!A2943)</f>
        <v>46142</v>
      </c>
      <c r="B2935" s="46">
        <f>IF(ORCAMENTOS!B2943="","",ORCAMENTOS!B2943)</f>
        <v>758</v>
      </c>
      <c r="C2935" s="46" t="str">
        <f>IF(ORCAMENTOS!C2943="","",ORCAMENTOS!C2943)</f>
        <v/>
      </c>
      <c r="D2935" s="37" t="str">
        <f>IF(ORCAMENTOS!D2943="","",ORCAMENTOS!D2943)</f>
        <v>INTERA ENGENHARIA</v>
      </c>
      <c r="E2935" s="38" t="str">
        <f>IF(ORCAMENTOS!E2943="","",ORCAMENTOS!E2943)</f>
        <v>CASA ARG - ALEXANDRA E RENATO GODOI - SP</v>
      </c>
      <c r="F2935" s="37" t="str">
        <f>IF(ORCAMENTOS!G2943="","",ORCAMENTOS!G2943)</f>
        <v>Michel</v>
      </c>
      <c r="G2935" s="37" t="str">
        <f>IF(ORCAMENTOS!H2943="","",ORCAMENTOS!H2943)</f>
        <v>Luan</v>
      </c>
      <c r="H2935" s="39">
        <f>IF(ORCAMENTOS!I2943="","",ORCAMENTOS!I2943)</f>
        <v>18606.77</v>
      </c>
      <c r="I2935" s="60">
        <f>IF(ORCAMENTOS!J2943="","",ORCAMENTOS!J2943)</f>
        <v>7.0000000000000007E-2</v>
      </c>
      <c r="J2935" s="40" t="str">
        <f>IF(ORCAMENTOS!L2943="","",ORCAMENTOS!L2943)</f>
        <v>ORCAMENTO</v>
      </c>
      <c r="K2935" s="34" t="str">
        <f>IF(ORCAMENTOS!M2943="","",ORCAMENTOS!M2943)</f>
        <v>-</v>
      </c>
      <c r="L2935" t="str">
        <f>IF(ORCAMENTOS!R2943="","",ORCAMENTOS!R2943)</f>
        <v>ESPUMA RIGIDA DE POLIURETANO</v>
      </c>
    </row>
    <row r="2936" spans="1:12" ht="15.75" hidden="1" customHeight="1" x14ac:dyDescent="0.25">
      <c r="A2936" s="36">
        <f>IF(ORCAMENTOS!A2944="","",ORCAMENTOS!A2944)</f>
        <v>46146</v>
      </c>
      <c r="B2936" s="46">
        <f>IF(ORCAMENTOS!B2944="","",ORCAMENTOS!B2944)</f>
        <v>759</v>
      </c>
      <c r="C2936" s="46" t="str">
        <f>IF(ORCAMENTOS!C2944="","",ORCAMENTOS!C2944)</f>
        <v/>
      </c>
      <c r="D2936" s="37" t="str">
        <f>IF(ORCAMENTOS!D2944="","",ORCAMENTOS!D2944)</f>
        <v>INOVECTOR</v>
      </c>
      <c r="E2936" s="38" t="str">
        <f>IF(ORCAMENTOS!E2944="","",ORCAMENTOS!E2944)</f>
        <v>26/084 DR. CONSULTA CENTRO MEDICO LTDA_COPACABANA</v>
      </c>
      <c r="F2936" s="37" t="str">
        <f>IF(ORCAMENTOS!G2944="","",ORCAMENTOS!G2944)</f>
        <v>Fernando</v>
      </c>
      <c r="G2936" s="37" t="str">
        <f>IF(ORCAMENTOS!H2944="","",ORCAMENTOS!H2944)</f>
        <v>Eliete</v>
      </c>
      <c r="H2936" s="39">
        <f>IF(ORCAMENTOS!I2944="","",ORCAMENTOS!I2944)</f>
        <v>34693.589999999997</v>
      </c>
      <c r="I2936" s="60">
        <f>IF(ORCAMENTOS!J2944="","",ORCAMENTOS!J2944)</f>
        <v>0.04</v>
      </c>
      <c r="J2936" s="40" t="str">
        <f>IF(ORCAMENTOS!L2944="","",ORCAMENTOS!L2944)</f>
        <v>FECHADO</v>
      </c>
      <c r="K2936" s="34" t="str">
        <f>IF(ORCAMENTOS!M2944="","",ORCAMENTOS!M2944)</f>
        <v>-</v>
      </c>
      <c r="L2936" t="str">
        <f>IF(ORCAMENTOS!R2944="","",ORCAMENTOS!R2944)</f>
        <v>-</v>
      </c>
    </row>
    <row r="2937" spans="1:12" ht="15.75" hidden="1" customHeight="1" x14ac:dyDescent="0.25">
      <c r="A2937" s="36">
        <f>IF(ORCAMENTOS!A2945="","",ORCAMENTOS!A2945)</f>
        <v>46146</v>
      </c>
      <c r="B2937" s="46">
        <f>IF(ORCAMENTOS!B2945="","",ORCAMENTOS!B2945)</f>
        <v>760</v>
      </c>
      <c r="C2937" s="46" t="str">
        <f>IF(ORCAMENTOS!C2945="","",ORCAMENTOS!C2945)</f>
        <v>R2</v>
      </c>
      <c r="D2937" s="37" t="str">
        <f>IF(ORCAMENTOS!D2945="","",ORCAMENTOS!D2945)</f>
        <v>SENSCO</v>
      </c>
      <c r="E2937" s="38">
        <f>IF(ORCAMENTOS!E2945="","",ORCAMENTOS!E2945)</f>
        <v>2465</v>
      </c>
      <c r="F2937" s="37" t="str">
        <f>IF(ORCAMENTOS!G2945="","",ORCAMENTOS!G2945)</f>
        <v>Michel</v>
      </c>
      <c r="G2937" s="37" t="str">
        <f>IF(ORCAMENTOS!H2945="","",ORCAMENTOS!H2945)</f>
        <v/>
      </c>
      <c r="H2937" s="39">
        <f>IF(ORCAMENTOS!I2945="","",ORCAMENTOS!I2945)</f>
        <v>5550.97</v>
      </c>
      <c r="I2937" s="60">
        <f>IF(ORCAMENTOS!J2945="","",ORCAMENTOS!J2945)</f>
        <v>0.03</v>
      </c>
      <c r="J2937" s="40" t="str">
        <f>IF(ORCAMENTOS!L2945="","",ORCAMENTOS!L2945)</f>
        <v>PERDIDO</v>
      </c>
      <c r="K2937" s="34" t="str">
        <f>IF(ORCAMENTOS!M2945="","",ORCAMENTOS!M2945)</f>
        <v>ARCOTEC</v>
      </c>
      <c r="L2937" t="str">
        <f>IF(ORCAMENTOS!R2945="","",ORCAMENTOS!R2945)</f>
        <v>-</v>
      </c>
    </row>
    <row r="2938" spans="1:12" ht="15.75" hidden="1" customHeight="1" x14ac:dyDescent="0.25">
      <c r="A2938" s="36">
        <f>IF(ORCAMENTOS!A2946="","",ORCAMENTOS!A2946)</f>
        <v>46146</v>
      </c>
      <c r="B2938" s="46">
        <f>IF(ORCAMENTOS!B2946="","",ORCAMENTOS!B2946)</f>
        <v>761</v>
      </c>
      <c r="C2938" s="46" t="str">
        <f>IF(ORCAMENTOS!C2946="","",ORCAMENTOS!C2946)</f>
        <v>R2</v>
      </c>
      <c r="D2938" s="37" t="str">
        <f>IF(ORCAMENTOS!D2946="","",ORCAMENTOS!D2946)</f>
        <v>LKT INSTALACOES</v>
      </c>
      <c r="E2938" s="38" t="str">
        <f>IF(ORCAMENTOS!E2946="","",ORCAMENTOS!E2946)</f>
        <v>CALFAT</v>
      </c>
      <c r="F2938" s="37" t="str">
        <f>IF(ORCAMENTOS!G2946="","",ORCAMENTOS!G2946)</f>
        <v>Fernando</v>
      </c>
      <c r="G2938" s="37" t="str">
        <f>IF(ORCAMENTOS!H2946="","",ORCAMENTOS!H2946)</f>
        <v>Nicolas</v>
      </c>
      <c r="H2938" s="39">
        <f>IF(ORCAMENTOS!I2946="","",ORCAMENTOS!I2946)</f>
        <v>11555.37</v>
      </c>
      <c r="I2938" s="60">
        <f>IF(ORCAMENTOS!J2946="","",ORCAMENTOS!J2946)</f>
        <v>0.04</v>
      </c>
      <c r="J2938" s="40" t="str">
        <f>IF(ORCAMENTOS!L2946="","",ORCAMENTOS!L2946)</f>
        <v>PERDIDO</v>
      </c>
      <c r="K2938" s="34" t="str">
        <f>IF(ORCAMENTOS!M2946="","",ORCAMENTOS!M2946)</f>
        <v>MULTIVAC</v>
      </c>
      <c r="L2938" t="str">
        <f>IF(ORCAMENTOS!R2946="","",ORCAMENTOS!R2946)</f>
        <v>-</v>
      </c>
    </row>
    <row r="2939" spans="1:12" ht="15.75" hidden="1" customHeight="1" x14ac:dyDescent="0.25">
      <c r="A2939" s="36">
        <f>IF(ORCAMENTOS!A2947="","",ORCAMENTOS!A2947)</f>
        <v>46146</v>
      </c>
      <c r="B2939" s="46">
        <f>IF(ORCAMENTOS!B2947="","",ORCAMENTOS!B2947)</f>
        <v>762</v>
      </c>
      <c r="C2939" s="46" t="str">
        <f>IF(ORCAMENTOS!C2947="","",ORCAMENTOS!C2947)</f>
        <v>R1</v>
      </c>
      <c r="D2939" s="37" t="str">
        <f>IF(ORCAMENTOS!D2947="","",ORCAMENTOS!D2947)</f>
        <v>RICH ENGENHARIA</v>
      </c>
      <c r="E2939" s="38" t="str">
        <f>IF(ORCAMENTOS!E2947="","",ORCAMENTOS!E2947)</f>
        <v>TULIO DOS SANTOS PATTO</v>
      </c>
      <c r="F2939" s="37" t="str">
        <f>IF(ORCAMENTOS!G2947="","",ORCAMENTOS!G2947)</f>
        <v>Guilherme</v>
      </c>
      <c r="G2939" s="37" t="str">
        <f>IF(ORCAMENTOS!H2947="","",ORCAMENTOS!H2947)</f>
        <v>Ricardo</v>
      </c>
      <c r="H2939" s="39">
        <f>IF(ORCAMENTOS!I2947="","",ORCAMENTOS!I2947)</f>
        <v>3968.07</v>
      </c>
      <c r="I2939" s="60">
        <f>IF(ORCAMENTOS!J2947="","",ORCAMENTOS!J2947)</f>
        <v>7.0000000000000007E-2</v>
      </c>
      <c r="J2939" s="40" t="str">
        <f>IF(ORCAMENTOS!L2947="","",ORCAMENTOS!L2947)</f>
        <v>FECHADO</v>
      </c>
      <c r="K2939" s="34" t="str">
        <f>IF(ORCAMENTOS!M2947="","",ORCAMENTOS!M2947)</f>
        <v>-</v>
      </c>
      <c r="L2939" t="str">
        <f>IF(ORCAMENTOS!R2947="","",ORCAMENTOS!R2947)</f>
        <v>-</v>
      </c>
    </row>
    <row r="2940" spans="1:12" ht="15.75" hidden="1" customHeight="1" x14ac:dyDescent="0.25">
      <c r="A2940" s="36">
        <f>IF(ORCAMENTOS!A2948="","",ORCAMENTOS!A2948)</f>
        <v>46146</v>
      </c>
      <c r="B2940" s="46">
        <f>IF(ORCAMENTOS!B2948="","",ORCAMENTOS!B2948)</f>
        <v>763</v>
      </c>
      <c r="C2940" s="46" t="str">
        <f>IF(ORCAMENTOS!C2948="","",ORCAMENTOS!C2948)</f>
        <v>R1</v>
      </c>
      <c r="D2940" s="37" t="str">
        <f>IF(ORCAMENTOS!D2948="","",ORCAMENTOS!D2948)</f>
        <v>MONTAGEM VIEIRA</v>
      </c>
      <c r="E2940" s="38" t="str">
        <f>IF(ORCAMENTOS!E2948="","",ORCAMENTOS!E2948)</f>
        <v>LUPO SA - ARARAQUARA - SP</v>
      </c>
      <c r="F2940" s="37" t="str">
        <f>IF(ORCAMENTOS!G2948="","",ORCAMENTOS!G2948)</f>
        <v>Fernando</v>
      </c>
      <c r="G2940" s="37" t="str">
        <f>IF(ORCAMENTOS!H2948="","",ORCAMENTOS!H2948)</f>
        <v>Sergio</v>
      </c>
      <c r="H2940" s="39">
        <f>IF(ORCAMENTOS!I2948="","",ORCAMENTOS!I2948)</f>
        <v>1516.54</v>
      </c>
      <c r="I2940" s="60">
        <f>IF(ORCAMENTOS!J2948="","",ORCAMENTOS!J2948)</f>
        <v>7.0000000000000007E-2</v>
      </c>
      <c r="J2940" s="40" t="str">
        <f>IF(ORCAMENTOS!L2948="","",ORCAMENTOS!L2948)</f>
        <v>FECHADO</v>
      </c>
      <c r="K2940" s="34" t="str">
        <f>IF(ORCAMENTOS!M2948="","",ORCAMENTOS!M2948)</f>
        <v>-</v>
      </c>
      <c r="L2940" t="str">
        <f>IF(ORCAMENTOS!R2948="","",ORCAMENTOS!R2948)</f>
        <v>-</v>
      </c>
    </row>
    <row r="2941" spans="1:12" ht="15.75" hidden="1" customHeight="1" x14ac:dyDescent="0.25">
      <c r="A2941" s="36">
        <f>IF(ORCAMENTOS!A2949="","",ORCAMENTOS!A2949)</f>
        <v>46151</v>
      </c>
      <c r="B2941" s="46">
        <f>IF(ORCAMENTOS!B2949="","",ORCAMENTOS!B2949)</f>
        <v>764</v>
      </c>
      <c r="C2941" s="46" t="str">
        <f>IF(ORCAMENTOS!C2949="","",ORCAMENTOS!C2949)</f>
        <v/>
      </c>
      <c r="D2941" s="37" t="str">
        <f>IF(ORCAMENTOS!D2949="","",ORCAMENTOS!D2949)</f>
        <v>AWA AR CONDICIONADO</v>
      </c>
      <c r="E2941" s="38" t="str">
        <f>IF(ORCAMENTOS!E2949="","",ORCAMENTOS!E2949)</f>
        <v>RAIA DROGASIL - RIBEIRAO PRETO - SP</v>
      </c>
      <c r="F2941" s="37" t="str">
        <f>IF(ORCAMENTOS!G2949="","",ORCAMENTOS!G2949)</f>
        <v>Guilherme</v>
      </c>
      <c r="G2941" s="37" t="str">
        <f>IF(ORCAMENTOS!H2949="","",ORCAMENTOS!H2949)</f>
        <v>Guilherme</v>
      </c>
      <c r="H2941" s="39">
        <f>IF(ORCAMENTOS!I2949="","",ORCAMENTOS!I2949)</f>
        <v>143240.6</v>
      </c>
      <c r="I2941" s="60">
        <f>IF(ORCAMENTOS!J2949="","",ORCAMENTOS!J2949)</f>
        <v>7.0000000000000007E-2</v>
      </c>
      <c r="J2941" s="40" t="str">
        <f>IF(ORCAMENTOS!L2949="","",ORCAMENTOS!L2949)</f>
        <v>CANCELADO</v>
      </c>
      <c r="K2941" s="34" t="str">
        <f>IF(ORCAMENTOS!M2949="","",ORCAMENTOS!M2949)</f>
        <v>GRANDES CHANCES DE FECHAR</v>
      </c>
      <c r="L2941" t="str">
        <f>IF(ORCAMENTOS!R2949="","",ORCAMENTOS!R2949)</f>
        <v>-</v>
      </c>
    </row>
    <row r="2942" spans="1:12" ht="15.75" hidden="1" customHeight="1" x14ac:dyDescent="0.25">
      <c r="A2942" s="36">
        <f>IF(ORCAMENTOS!A2950="","",ORCAMENTOS!A2950)</f>
        <v>46151</v>
      </c>
      <c r="B2942" s="46">
        <f>IF(ORCAMENTOS!B2950="","",ORCAMENTOS!B2950)</f>
        <v>765</v>
      </c>
      <c r="C2942" s="46" t="str">
        <f>IF(ORCAMENTOS!C2950="","",ORCAMENTOS!C2950)</f>
        <v/>
      </c>
      <c r="D2942" s="37" t="str">
        <f>IF(ORCAMENTOS!D2950="","",ORCAMENTOS!D2950)</f>
        <v>AMS INSTALACOES</v>
      </c>
      <c r="E2942" s="38" t="str">
        <f>IF(ORCAMENTOS!E2950="","",ORCAMENTOS!E2950)</f>
        <v>ASSAI - JACAREPAGUA - RIO DE JANEIRO - RJ</v>
      </c>
      <c r="F2942" s="37" t="str">
        <f>IF(ORCAMENTOS!G2950="","",ORCAMENTOS!G2950)</f>
        <v>Gabriel</v>
      </c>
      <c r="G2942" s="37" t="str">
        <f>IF(ORCAMENTOS!H2950="","",ORCAMENTOS!H2950)</f>
        <v>Albertino</v>
      </c>
      <c r="H2942" s="39">
        <f>IF(ORCAMENTOS!I2950="","",ORCAMENTOS!I2950)</f>
        <v>270214.89</v>
      </c>
      <c r="I2942" s="60">
        <f>IF(ORCAMENTOS!J2950="","",ORCAMENTOS!J2950)</f>
        <v>7.0000000000000007E-2</v>
      </c>
      <c r="J2942" s="40" t="str">
        <f>IF(ORCAMENTOS!L2950="","",ORCAMENTOS!L2950)</f>
        <v>ORCAMENTO</v>
      </c>
      <c r="K2942" s="34" t="str">
        <f>IF(ORCAMENTOS!M2950="","",ORCAMENTOS!M2950)</f>
        <v>-</v>
      </c>
      <c r="L2942" t="str">
        <f>IF(ORCAMENTOS!R2950="","",ORCAMENTOS!R2950)</f>
        <v>-</v>
      </c>
    </row>
    <row r="2943" spans="1:12" ht="15.75" hidden="1" customHeight="1" x14ac:dyDescent="0.25">
      <c r="A2943" s="36">
        <f>IF(ORCAMENTOS!A2951="","",ORCAMENTOS!A2951)</f>
        <v>46146</v>
      </c>
      <c r="B2943" s="46">
        <f>IF(ORCAMENTOS!B2951="","",ORCAMENTOS!B2951)</f>
        <v>766</v>
      </c>
      <c r="C2943" s="46" t="str">
        <f>IF(ORCAMENTOS!C2951="","",ORCAMENTOS!C2951)</f>
        <v>R1</v>
      </c>
      <c r="D2943" s="37" t="str">
        <f>IF(ORCAMENTOS!D2951="","",ORCAMENTOS!D2951)</f>
        <v>ISOTEMP</v>
      </c>
      <c r="E2943" s="38" t="str">
        <f>IF(ORCAMENTOS!E2951="","",ORCAMENTOS!E2951)</f>
        <v>HUNTINGTON</v>
      </c>
      <c r="F2943" s="37" t="str">
        <f>IF(ORCAMENTOS!G2951="","",ORCAMENTOS!G2951)</f>
        <v>Michel</v>
      </c>
      <c r="G2943" s="37" t="str">
        <f>IF(ORCAMENTOS!H2951="","",ORCAMENTOS!H2951)</f>
        <v>Vinicius</v>
      </c>
      <c r="H2943" s="39">
        <f>IF(ORCAMENTOS!I2951="","",ORCAMENTOS!I2951)</f>
        <v>6555.42</v>
      </c>
      <c r="I2943" s="60">
        <f>IF(ORCAMENTOS!J2951="","",ORCAMENTOS!J2951)</f>
        <v>0.05</v>
      </c>
      <c r="J2943" s="40" t="str">
        <f>IF(ORCAMENTOS!L2951="","",ORCAMENTOS!L2951)</f>
        <v>FECHADO</v>
      </c>
      <c r="K2943" s="34" t="str">
        <f>IF(ORCAMENTOS!M2951="","",ORCAMENTOS!M2951)</f>
        <v>REVENDA</v>
      </c>
      <c r="L2943" t="str">
        <f>IF(ORCAMENTOS!R2951="","",ORCAMENTOS!R2951)</f>
        <v>-</v>
      </c>
    </row>
    <row r="2944" spans="1:12" ht="15.75" hidden="1" customHeight="1" x14ac:dyDescent="0.25">
      <c r="A2944" s="36">
        <f>IF(ORCAMENTOS!A2952="","",ORCAMENTOS!A2952)</f>
        <v>46146</v>
      </c>
      <c r="B2944" s="46">
        <f>IF(ORCAMENTOS!B2952="","",ORCAMENTOS!B2952)</f>
        <v>767</v>
      </c>
      <c r="C2944" s="46" t="str">
        <f>IF(ORCAMENTOS!C2952="","",ORCAMENTOS!C2952)</f>
        <v/>
      </c>
      <c r="D2944" s="37" t="str">
        <f>IF(ORCAMENTOS!D2952="","",ORCAMENTOS!D2952)</f>
        <v>RAVI ENGENHARIA</v>
      </c>
      <c r="E2944" s="38" t="str">
        <f>IF(ORCAMENTOS!E2952="","",ORCAMENTOS!E2952)</f>
        <v>BLUEFIT - CURSINO SP - 1317 - JARDIM SAUDE - SP</v>
      </c>
      <c r="F2944" s="37" t="str">
        <f>IF(ORCAMENTOS!G2952="","",ORCAMENTOS!G2952)</f>
        <v>Gabriel</v>
      </c>
      <c r="G2944" s="37" t="str">
        <f>IF(ORCAMENTOS!H2952="","",ORCAMENTOS!H2952)</f>
        <v>Matheus</v>
      </c>
      <c r="H2944" s="39">
        <f>IF(ORCAMENTOS!I2952="","",ORCAMENTOS!I2952)</f>
        <v>9645.5</v>
      </c>
      <c r="I2944" s="60">
        <f>IF(ORCAMENTOS!J2952="","",ORCAMENTOS!J2952)</f>
        <v>0.04</v>
      </c>
      <c r="J2944" s="40" t="str">
        <f>IF(ORCAMENTOS!L2952="","",ORCAMENTOS!L2952)</f>
        <v>FECHADO</v>
      </c>
      <c r="K2944" s="34" t="str">
        <f>IF(ORCAMENTOS!M2952="","",ORCAMENTOS!M2952)</f>
        <v>-</v>
      </c>
      <c r="L2944" t="str">
        <f>IF(ORCAMENTOS!R2952="","",ORCAMENTOS!R2952)</f>
        <v/>
      </c>
    </row>
    <row r="2945" spans="1:12" ht="15.75" hidden="1" customHeight="1" x14ac:dyDescent="0.25">
      <c r="A2945" s="36">
        <f>IF(ORCAMENTOS!A2953="","",ORCAMENTOS!A2953)</f>
        <v>46151</v>
      </c>
      <c r="B2945" s="46">
        <f>IF(ORCAMENTOS!B2953="","",ORCAMENTOS!B2953)</f>
        <v>768</v>
      </c>
      <c r="C2945" s="46" t="str">
        <f>IF(ORCAMENTOS!C2953="","",ORCAMENTOS!C2953)</f>
        <v/>
      </c>
      <c r="D2945" s="37" t="str">
        <f>IF(ORCAMENTOS!D2953="","",ORCAMENTOS!D2953)</f>
        <v>AWA AR CONDICIONADO</v>
      </c>
      <c r="E2945" s="38" t="str">
        <f>IF(ORCAMENTOS!E2953="","",ORCAMENTOS!E2953)</f>
        <v>ATACADAO OSASCO</v>
      </c>
      <c r="F2945" s="37" t="str">
        <f>IF(ORCAMENTOS!G2953="","",ORCAMENTOS!G2953)</f>
        <v>Guilherme</v>
      </c>
      <c r="G2945" s="37" t="str">
        <f>IF(ORCAMENTOS!H2953="","",ORCAMENTOS!H2953)</f>
        <v>Marcela</v>
      </c>
      <c r="H2945" s="39">
        <f>IF(ORCAMENTOS!I2953="","",ORCAMENTOS!I2953)</f>
        <v>80000</v>
      </c>
      <c r="I2945" s="60">
        <f>IF(ORCAMENTOS!J2953="","",ORCAMENTOS!J2953)</f>
        <v>7.0000000000000007E-2</v>
      </c>
      <c r="J2945" s="40" t="str">
        <f>IF(ORCAMENTOS!L2953="","",ORCAMENTOS!L2953)</f>
        <v>ORCAMENTO</v>
      </c>
      <c r="K2945" s="34" t="str">
        <f>IF(ORCAMENTOS!M2953="","",ORCAMENTOS!M2953)</f>
        <v>-</v>
      </c>
      <c r="L2945" t="str">
        <f>IF(ORCAMENTOS!R2953="","",ORCAMENTOS!R2953)</f>
        <v>-</v>
      </c>
    </row>
    <row r="2946" spans="1:12" ht="15.75" hidden="1" customHeight="1" x14ac:dyDescent="0.25">
      <c r="A2946" s="36">
        <f>IF(ORCAMENTOS!A2954="","",ORCAMENTOS!A2954)</f>
        <v>46146</v>
      </c>
      <c r="B2946" s="46">
        <f>IF(ORCAMENTOS!B2954="","",ORCAMENTOS!B2954)</f>
        <v>769</v>
      </c>
      <c r="C2946" s="46" t="str">
        <f>IF(ORCAMENTOS!C2954="","",ORCAMENTOS!C2954)</f>
        <v/>
      </c>
      <c r="D2946" s="37" t="str">
        <f>IF(ORCAMENTOS!D2954="","",ORCAMENTOS!D2954)</f>
        <v>KONAR</v>
      </c>
      <c r="E2946" s="38" t="str">
        <f>IF(ORCAMENTOS!E2954="","",ORCAMENTOS!E2954)</f>
        <v>068-26 - JHSF - Shopping Cidade Jardins - CJ Fashion</v>
      </c>
      <c r="F2946" s="37" t="str">
        <f>IF(ORCAMENTOS!G2954="","",ORCAMENTOS!G2954)</f>
        <v>Michel</v>
      </c>
      <c r="G2946" s="37" t="str">
        <f>IF(ORCAMENTOS!H2954="","",ORCAMENTOS!H2954)</f>
        <v>Fabio</v>
      </c>
      <c r="H2946" s="39">
        <f>IF(ORCAMENTOS!I2954="","",ORCAMENTOS!I2954)</f>
        <v>38597.58</v>
      </c>
      <c r="I2946" s="60">
        <f>IF(ORCAMENTOS!J2954="","",ORCAMENTOS!J2954)</f>
        <v>0.04</v>
      </c>
      <c r="J2946" s="40" t="str">
        <f>IF(ORCAMENTOS!L2954="","",ORCAMENTOS!L2954)</f>
        <v>FECHADO</v>
      </c>
      <c r="K2946" s="34" t="str">
        <f>IF(ORCAMENTOS!M2954="","",ORCAMENTOS!M2954)</f>
        <v>-</v>
      </c>
      <c r="L2946" t="str">
        <f>IF(ORCAMENTOS!R2954="","",ORCAMENTOS!R2954)</f>
        <v>-</v>
      </c>
    </row>
    <row r="2947" spans="1:12" ht="15.75" hidden="1" customHeight="1" x14ac:dyDescent="0.25">
      <c r="A2947" s="36">
        <f>IF(ORCAMENTOS!A2955="","",ORCAMENTOS!A2955)</f>
        <v>46146</v>
      </c>
      <c r="B2947" s="46">
        <f>IF(ORCAMENTOS!B2955="","",ORCAMENTOS!B2955)</f>
        <v>770</v>
      </c>
      <c r="C2947" s="46" t="str">
        <f>IF(ORCAMENTOS!C2955="","",ORCAMENTOS!C2955)</f>
        <v>R1</v>
      </c>
      <c r="D2947" s="37" t="str">
        <f>IF(ORCAMENTOS!D2955="","",ORCAMENTOS!D2955)</f>
        <v>PRODAC</v>
      </c>
      <c r="E2947" s="38" t="str">
        <f>IF(ORCAMENTOS!E2955="","",ORCAMENTOS!E2955)</f>
        <v>DF Star</v>
      </c>
      <c r="F2947" s="37" t="str">
        <f>IF(ORCAMENTOS!G2955="","",ORCAMENTOS!G2955)</f>
        <v>Fernando</v>
      </c>
      <c r="G2947" s="37" t="str">
        <f>IF(ORCAMENTOS!H2955="","",ORCAMENTOS!H2955)</f>
        <v>Henrique</v>
      </c>
      <c r="H2947" s="39">
        <f>IF(ORCAMENTOS!I2955="","",ORCAMENTOS!I2955)</f>
        <v>10202.870000000001</v>
      </c>
      <c r="I2947" s="60">
        <f>IF(ORCAMENTOS!J2955="","",ORCAMENTOS!J2955)</f>
        <v>0.05</v>
      </c>
      <c r="J2947" s="40" t="str">
        <f>IF(ORCAMENTOS!L2955="","",ORCAMENTOS!L2955)</f>
        <v>FECHADO</v>
      </c>
      <c r="K2947" s="34" t="str">
        <f>IF(ORCAMENTOS!M2955="","",ORCAMENTOS!M2955)</f>
        <v>-</v>
      </c>
      <c r="L2947" t="str">
        <f>IF(ORCAMENTOS!R2955="","",ORCAMENTOS!R2955)</f>
        <v>-</v>
      </c>
    </row>
    <row r="2948" spans="1:12" ht="15.75" hidden="1" customHeight="1" x14ac:dyDescent="0.25">
      <c r="A2948" s="36">
        <f>IF(ORCAMENTOS!A2956="","",ORCAMENTOS!A2956)</f>
        <v>46146</v>
      </c>
      <c r="B2948" s="46">
        <f>IF(ORCAMENTOS!B2956="","",ORCAMENTOS!B2956)</f>
        <v>771</v>
      </c>
      <c r="C2948" s="46" t="str">
        <f>IF(ORCAMENTOS!C2956="","",ORCAMENTOS!C2956)</f>
        <v/>
      </c>
      <c r="D2948" s="37" t="str">
        <f>IF(ORCAMENTOS!D2956="","",ORCAMENTOS!D2956)</f>
        <v>GLTHERM</v>
      </c>
      <c r="E2948" s="38" t="str">
        <f>IF(ORCAMENTOS!E2956="","",ORCAMENTOS!E2956)</f>
        <v>UNIFESP OSASCO</v>
      </c>
      <c r="F2948" s="37" t="str">
        <f>IF(ORCAMENTOS!G2956="","",ORCAMENTOS!G2956)</f>
        <v>Gabriel</v>
      </c>
      <c r="G2948" s="37" t="str">
        <f>IF(ORCAMENTOS!H2956="","",ORCAMENTOS!H2956)</f>
        <v>Thalyson</v>
      </c>
      <c r="H2948" s="39">
        <f>IF(ORCAMENTOS!I2956="","",ORCAMENTOS!I2956)</f>
        <v>188361</v>
      </c>
      <c r="I2948" s="60">
        <f>IF(ORCAMENTOS!J2956="","",ORCAMENTOS!J2956)</f>
        <v>7.0000000000000007E-2</v>
      </c>
      <c r="J2948" s="40" t="str">
        <f>IF(ORCAMENTOS!L2956="","",ORCAMENTOS!L2956)</f>
        <v>ORCAMENTO</v>
      </c>
      <c r="K2948" s="34" t="str">
        <f>IF(ORCAMENTOS!M2956="","",ORCAMENTOS!M2956)</f>
        <v>-</v>
      </c>
      <c r="L2948" t="str">
        <f>IF(ORCAMENTOS!R2956="","",ORCAMENTOS!R2956)</f>
        <v>-</v>
      </c>
    </row>
    <row r="2949" spans="1:12" ht="15.75" hidden="1" customHeight="1" x14ac:dyDescent="0.25">
      <c r="A2949" s="36">
        <f>IF(ORCAMENTOS!A2957="","",ORCAMENTOS!A2957)</f>
        <v>46146</v>
      </c>
      <c r="B2949" s="46">
        <f>IF(ORCAMENTOS!B2957="","",ORCAMENTOS!B2957)</f>
        <v>772</v>
      </c>
      <c r="C2949" s="46" t="str">
        <f>IF(ORCAMENTOS!C2957="","",ORCAMENTOS!C2957)</f>
        <v/>
      </c>
      <c r="D2949" s="37" t="str">
        <f>IF(ORCAMENTOS!D2957="","",ORCAMENTOS!D2957)</f>
        <v>GLTHERM</v>
      </c>
      <c r="E2949" s="38" t="str">
        <f>IF(ORCAMENTOS!E2957="","",ORCAMENTOS!E2957)</f>
        <v>BIBLIOTECA UNIFESP OSASCO - SP - 1PV</v>
      </c>
      <c r="F2949" s="37" t="str">
        <f>IF(ORCAMENTOS!G2957="","",ORCAMENTOS!G2957)</f>
        <v>Gabriel</v>
      </c>
      <c r="G2949" s="37" t="str">
        <f>IF(ORCAMENTOS!H2957="","",ORCAMENTOS!H2957)</f>
        <v>Thalyson</v>
      </c>
      <c r="H2949" s="39">
        <f>IF(ORCAMENTOS!I2957="","",ORCAMENTOS!I2957)</f>
        <v>28715.1</v>
      </c>
      <c r="I2949" s="60">
        <f>IF(ORCAMENTOS!J2957="","",ORCAMENTOS!J2957)</f>
        <v>7.0000000000000007E-2</v>
      </c>
      <c r="J2949" s="40" t="str">
        <f>IF(ORCAMENTOS!L2957="","",ORCAMENTOS!L2957)</f>
        <v>ORCAMENTO</v>
      </c>
      <c r="K2949" s="34" t="str">
        <f>IF(ORCAMENTOS!M2957="","",ORCAMENTOS!M2957)</f>
        <v>-</v>
      </c>
      <c r="L2949" t="str">
        <f>IF(ORCAMENTOS!R2957="","",ORCAMENTOS!R2957)</f>
        <v>MPU</v>
      </c>
    </row>
    <row r="2950" spans="1:12" ht="15.75" hidden="1" customHeight="1" x14ac:dyDescent="0.25">
      <c r="A2950" s="36">
        <f>IF(ORCAMENTOS!A2958="","",ORCAMENTOS!A2958)</f>
        <v>46146</v>
      </c>
      <c r="B2950" s="46">
        <f>IF(ORCAMENTOS!B2958="","",ORCAMENTOS!B2958)</f>
        <v>773</v>
      </c>
      <c r="C2950" s="46" t="str">
        <f>IF(ORCAMENTOS!C2958="","",ORCAMENTOS!C2958)</f>
        <v/>
      </c>
      <c r="D2950" s="37" t="str">
        <f>IF(ORCAMENTOS!D2958="","",ORCAMENTOS!D2958)</f>
        <v>GLTHERM</v>
      </c>
      <c r="E2950" s="38" t="str">
        <f>IF(ORCAMENTOS!E2958="","",ORCAMENTOS!E2958)</f>
        <v>BIBLIOTECA UNIFESP OSASCO - SP - 1 MEZANINO</v>
      </c>
      <c r="F2950" s="37" t="str">
        <f>IF(ORCAMENTOS!G2958="","",ORCAMENTOS!G2958)</f>
        <v>Gabriel</v>
      </c>
      <c r="G2950" s="37" t="str">
        <f>IF(ORCAMENTOS!H2958="","",ORCAMENTOS!H2958)</f>
        <v>Thalyson</v>
      </c>
      <c r="H2950" s="39">
        <f>IF(ORCAMENTOS!I2958="","",ORCAMENTOS!I2958)</f>
        <v>35149.050000000003</v>
      </c>
      <c r="I2950" s="60">
        <f>IF(ORCAMENTOS!J2958="","",ORCAMENTOS!J2958)</f>
        <v>7.0000000000000007E-2</v>
      </c>
      <c r="J2950" s="40" t="str">
        <f>IF(ORCAMENTOS!L2958="","",ORCAMENTOS!L2958)</f>
        <v>ORCAMENTO</v>
      </c>
      <c r="K2950" s="34" t="str">
        <f>IF(ORCAMENTOS!M2958="","",ORCAMENTOS!M2958)</f>
        <v>-</v>
      </c>
      <c r="L2950" t="str">
        <f>IF(ORCAMENTOS!R2958="","",ORCAMENTOS!R2958)</f>
        <v>MPU</v>
      </c>
    </row>
    <row r="2951" spans="1:12" ht="15.75" hidden="1" customHeight="1" x14ac:dyDescent="0.25">
      <c r="A2951" s="36">
        <f>IF(ORCAMENTOS!A2959="","",ORCAMENTOS!A2959)</f>
        <v>46146</v>
      </c>
      <c r="B2951" s="46">
        <f>IF(ORCAMENTOS!B2959="","",ORCAMENTOS!B2959)</f>
        <v>774</v>
      </c>
      <c r="C2951" s="46" t="str">
        <f>IF(ORCAMENTOS!C2959="","",ORCAMENTOS!C2959)</f>
        <v/>
      </c>
      <c r="D2951" s="37" t="str">
        <f>IF(ORCAMENTOS!D2959="","",ORCAMENTOS!D2959)</f>
        <v>GLTHERM</v>
      </c>
      <c r="E2951" s="38" t="str">
        <f>IF(ORCAMENTOS!E2959="","",ORCAMENTOS!E2959)</f>
        <v>BIBLIOTECA UNIFESP OSASCO - SP - 2PV</v>
      </c>
      <c r="F2951" s="37" t="str">
        <f>IF(ORCAMENTOS!G2959="","",ORCAMENTOS!G2959)</f>
        <v>Gabriel</v>
      </c>
      <c r="G2951" s="37" t="str">
        <f>IF(ORCAMENTOS!H2959="","",ORCAMENTOS!H2959)</f>
        <v>Thalyson</v>
      </c>
      <c r="H2951" s="39">
        <f>IF(ORCAMENTOS!I2959="","",ORCAMENTOS!I2959)</f>
        <v>18861.189999999999</v>
      </c>
      <c r="I2951" s="60">
        <f>IF(ORCAMENTOS!J2959="","",ORCAMENTOS!J2959)</f>
        <v>7.0000000000000007E-2</v>
      </c>
      <c r="J2951" s="40" t="str">
        <f>IF(ORCAMENTOS!L2959="","",ORCAMENTOS!L2959)</f>
        <v>ORCAMENTO</v>
      </c>
      <c r="K2951" s="34" t="str">
        <f>IF(ORCAMENTOS!M2959="","",ORCAMENTOS!M2959)</f>
        <v>-</v>
      </c>
      <c r="L2951" t="str">
        <f>IF(ORCAMENTOS!R2959="","",ORCAMENTOS!R2959)</f>
        <v>MPU</v>
      </c>
    </row>
    <row r="2952" spans="1:12" ht="15.75" hidden="1" customHeight="1" x14ac:dyDescent="0.25">
      <c r="A2952" s="36">
        <f>IF(ORCAMENTOS!A2960="","",ORCAMENTOS!A2960)</f>
        <v>46146</v>
      </c>
      <c r="B2952" s="46">
        <f>IF(ORCAMENTOS!B2960="","",ORCAMENTOS!B2960)</f>
        <v>775</v>
      </c>
      <c r="C2952" s="46" t="str">
        <f>IF(ORCAMENTOS!C2960="","",ORCAMENTOS!C2960)</f>
        <v/>
      </c>
      <c r="D2952" s="37" t="str">
        <f>IF(ORCAMENTOS!D2960="","",ORCAMENTOS!D2960)</f>
        <v>GLTHERM</v>
      </c>
      <c r="E2952" s="38" t="str">
        <f>IF(ORCAMENTOS!E2960="","",ORCAMENTOS!E2960)</f>
        <v>BIBLIOTECA UNIFESP OSASCO - SP - 2 MEZANINO</v>
      </c>
      <c r="F2952" s="37" t="str">
        <f>IF(ORCAMENTOS!G2960="","",ORCAMENTOS!G2960)</f>
        <v>Gabriel</v>
      </c>
      <c r="G2952" s="37" t="str">
        <f>IF(ORCAMENTOS!H2960="","",ORCAMENTOS!H2960)</f>
        <v>Thalyson</v>
      </c>
      <c r="H2952" s="39">
        <f>IF(ORCAMENTOS!I2960="","",ORCAMENTOS!I2960)</f>
        <v>49528.86</v>
      </c>
      <c r="I2952" s="60">
        <f>IF(ORCAMENTOS!J2960="","",ORCAMENTOS!J2960)</f>
        <v>7.0000000000000007E-2</v>
      </c>
      <c r="J2952" s="40" t="str">
        <f>IF(ORCAMENTOS!L2960="","",ORCAMENTOS!L2960)</f>
        <v>ORCAMENTO</v>
      </c>
      <c r="K2952" s="34" t="str">
        <f>IF(ORCAMENTOS!M2960="","",ORCAMENTOS!M2960)</f>
        <v>-</v>
      </c>
      <c r="L2952" t="str">
        <f>IF(ORCAMENTOS!R2960="","",ORCAMENTOS!R2960)</f>
        <v>MPU</v>
      </c>
    </row>
    <row r="2953" spans="1:12" ht="15.75" hidden="1" customHeight="1" x14ac:dyDescent="0.25">
      <c r="A2953" s="36">
        <f>IF(ORCAMENTOS!A2961="","",ORCAMENTOS!A2961)</f>
        <v>46146</v>
      </c>
      <c r="B2953" s="46">
        <f>IF(ORCAMENTOS!B2961="","",ORCAMENTOS!B2961)</f>
        <v>776</v>
      </c>
      <c r="C2953" s="46" t="str">
        <f>IF(ORCAMENTOS!C2961="","",ORCAMENTOS!C2961)</f>
        <v/>
      </c>
      <c r="D2953" s="37" t="str">
        <f>IF(ORCAMENTOS!D2961="","",ORCAMENTOS!D2961)</f>
        <v>GLTHERM</v>
      </c>
      <c r="E2953" s="38" t="str">
        <f>IF(ORCAMENTOS!E2961="","",ORCAMENTOS!E2961)</f>
        <v>BIBLIOTECA UNIFESP OSASCO - SP - TERRACO</v>
      </c>
      <c r="F2953" s="37" t="str">
        <f>IF(ORCAMENTOS!G2961="","",ORCAMENTOS!G2961)</f>
        <v>Gabriel</v>
      </c>
      <c r="G2953" s="37" t="str">
        <f>IF(ORCAMENTOS!H2961="","",ORCAMENTOS!H2961)</f>
        <v>Thalyson</v>
      </c>
      <c r="H2953" s="39">
        <f>IF(ORCAMENTOS!I2961="","",ORCAMENTOS!I2961)</f>
        <v>25084.3</v>
      </c>
      <c r="I2953" s="60">
        <f>IF(ORCAMENTOS!J2961="","",ORCAMENTOS!J2961)</f>
        <v>7.0000000000000007E-2</v>
      </c>
      <c r="J2953" s="40" t="str">
        <f>IF(ORCAMENTOS!L2961="","",ORCAMENTOS!L2961)</f>
        <v>ORCAMENTO</v>
      </c>
      <c r="K2953" s="34" t="str">
        <f>IF(ORCAMENTOS!M2961="","",ORCAMENTOS!M2961)</f>
        <v>-</v>
      </c>
      <c r="L2953" t="str">
        <f>IF(ORCAMENTOS!R2961="","",ORCAMENTOS!R2961)</f>
        <v>MPU</v>
      </c>
    </row>
    <row r="2954" spans="1:12" ht="15.75" hidden="1" customHeight="1" x14ac:dyDescent="0.25">
      <c r="A2954" s="36">
        <f>IF(ORCAMENTOS!A2962="","",ORCAMENTOS!A2962)</f>
        <v>46146</v>
      </c>
      <c r="B2954" s="46">
        <f>IF(ORCAMENTOS!B2962="","",ORCAMENTOS!B2962)</f>
        <v>777</v>
      </c>
      <c r="C2954" s="46" t="str">
        <f>IF(ORCAMENTOS!C2962="","",ORCAMENTOS!C2962)</f>
        <v/>
      </c>
      <c r="D2954" s="37" t="str">
        <f>IF(ORCAMENTOS!D2962="","",ORCAMENTOS!D2962)</f>
        <v>ALGITEC</v>
      </c>
      <c r="E2954" s="38" t="str">
        <f>IF(ORCAMENTOS!E2962="","",ORCAMENTOS!E2962)</f>
        <v>-</v>
      </c>
      <c r="F2954" s="37" t="str">
        <f>IF(ORCAMENTOS!G2962="","",ORCAMENTOS!G2962)</f>
        <v>Gabriel</v>
      </c>
      <c r="G2954" s="37" t="str">
        <f>IF(ORCAMENTOS!H2962="","",ORCAMENTOS!H2962)</f>
        <v>Leonardo</v>
      </c>
      <c r="H2954" s="39">
        <f>IF(ORCAMENTOS!I2962="","",ORCAMENTOS!I2962)</f>
        <v>5312.23</v>
      </c>
      <c r="I2954" s="60">
        <f>IF(ORCAMENTOS!J2962="","",ORCAMENTOS!J2962)</f>
        <v>7.0000000000000007E-2</v>
      </c>
      <c r="J2954" s="40" t="str">
        <f>IF(ORCAMENTOS!L2962="","",ORCAMENTOS!L2962)</f>
        <v>ORCAMENTO</v>
      </c>
      <c r="K2954" s="34" t="str">
        <f>IF(ORCAMENTOS!M2962="","",ORCAMENTOS!M2962)</f>
        <v>-</v>
      </c>
      <c r="L2954" t="str">
        <f>IF(ORCAMENTOS!R2962="","",ORCAMENTOS!R2962)</f>
        <v>-</v>
      </c>
    </row>
    <row r="2955" spans="1:12" ht="15.75" hidden="1" customHeight="1" x14ac:dyDescent="0.25">
      <c r="A2955" s="36">
        <f>IF(ORCAMENTOS!A2963="","",ORCAMENTOS!A2963)</f>
        <v>46147</v>
      </c>
      <c r="B2955" s="46">
        <f>IF(ORCAMENTOS!B2963="","",ORCAMENTOS!B2963)</f>
        <v>778</v>
      </c>
      <c r="C2955" s="46" t="str">
        <f>IF(ORCAMENTOS!C2963="","",ORCAMENTOS!C2963)</f>
        <v>R1</v>
      </c>
      <c r="D2955" s="37" t="str">
        <f>IF(ORCAMENTOS!D2963="","",ORCAMENTOS!D2963)</f>
        <v>CHD SISTEMAS</v>
      </c>
      <c r="E2955" s="38" t="str">
        <f>IF(ORCAMENTOS!E2963="","",ORCAMENTOS!E2963)</f>
        <v>POBRE JUAN - PORTO FELIZ - SP</v>
      </c>
      <c r="F2955" s="37" t="str">
        <f>IF(ORCAMENTOS!G2963="","",ORCAMENTOS!G2963)</f>
        <v>Fernando</v>
      </c>
      <c r="G2955" s="37" t="str">
        <f>IF(ORCAMENTOS!H2963="","",ORCAMENTOS!H2963)</f>
        <v>Paulo</v>
      </c>
      <c r="H2955" s="39">
        <f>IF(ORCAMENTOS!I2963="","",ORCAMENTOS!I2963)</f>
        <v>23728.1</v>
      </c>
      <c r="I2955" s="60">
        <f>IF(ORCAMENTOS!J2963="","",ORCAMENTOS!J2963)</f>
        <v>0.05</v>
      </c>
      <c r="J2955" s="40" t="str">
        <f>IF(ORCAMENTOS!L2963="","",ORCAMENTOS!L2963)</f>
        <v>FECHADO</v>
      </c>
      <c r="K2955" s="34" t="str">
        <f>IF(ORCAMENTOS!M2963="","",ORCAMENTOS!M2963)</f>
        <v>-</v>
      </c>
      <c r="L2955" t="str">
        <f>IF(ORCAMENTOS!R2963="","",ORCAMENTOS!R2963)</f>
        <v>-</v>
      </c>
    </row>
    <row r="2956" spans="1:12" ht="15.75" hidden="1" customHeight="1" x14ac:dyDescent="0.25">
      <c r="A2956" s="36">
        <f>IF(ORCAMENTOS!A2964="","",ORCAMENTOS!A2964)</f>
        <v>46147</v>
      </c>
      <c r="B2956" s="46">
        <f>IF(ORCAMENTOS!B2964="","",ORCAMENTOS!B2964)</f>
        <v>779</v>
      </c>
      <c r="C2956" s="46" t="str">
        <f>IF(ORCAMENTOS!C2964="","",ORCAMENTOS!C2964)</f>
        <v>R1</v>
      </c>
      <c r="D2956" s="37" t="str">
        <f>IF(ORCAMENTOS!D2964="","",ORCAMENTOS!D2964)</f>
        <v>RECLIMA</v>
      </c>
      <c r="E2956" s="38" t="str">
        <f>IF(ORCAMENTOS!E2964="","",ORCAMENTOS!E2964)</f>
        <v>-</v>
      </c>
      <c r="F2956" s="37" t="str">
        <f>IF(ORCAMENTOS!G2964="","",ORCAMENTOS!G2964)</f>
        <v>Michel</v>
      </c>
      <c r="G2956" s="37" t="str">
        <f>IF(ORCAMENTOS!H2964="","",ORCAMENTOS!H2964)</f>
        <v>Renata</v>
      </c>
      <c r="H2956" s="39">
        <f>IF(ORCAMENTOS!I2964="","",ORCAMENTOS!I2964)</f>
        <v>9491.36</v>
      </c>
      <c r="I2956" s="60">
        <f>IF(ORCAMENTOS!J2964="","",ORCAMENTOS!J2964)</f>
        <v>0.05</v>
      </c>
      <c r="J2956" s="40" t="str">
        <f>IF(ORCAMENTOS!L2964="","",ORCAMENTOS!L2964)</f>
        <v>FECHADO</v>
      </c>
      <c r="K2956" s="34" t="str">
        <f>IF(ORCAMENTOS!M2964="","",ORCAMENTOS!M2964)</f>
        <v>-</v>
      </c>
      <c r="L2956" t="str">
        <f>IF(ORCAMENTOS!R2964="","",ORCAMENTOS!R2964)</f>
        <v>-</v>
      </c>
    </row>
    <row r="2957" spans="1:12" ht="15.75" hidden="1" customHeight="1" x14ac:dyDescent="0.25">
      <c r="A2957" s="36">
        <f>IF(ORCAMENTOS!A2965="","",ORCAMENTOS!A2965)</f>
        <v>46147</v>
      </c>
      <c r="B2957" s="46">
        <f>IF(ORCAMENTOS!B2965="","",ORCAMENTOS!B2965)</f>
        <v>780</v>
      </c>
      <c r="C2957" s="46" t="str">
        <f>IF(ORCAMENTOS!C2965="","",ORCAMENTOS!C2965)</f>
        <v/>
      </c>
      <c r="D2957" s="37" t="str">
        <f>IF(ORCAMENTOS!D2965="","",ORCAMENTOS!D2965)</f>
        <v>ENERGY AIR</v>
      </c>
      <c r="E2957" s="38" t="str">
        <f>IF(ORCAMENTOS!E2965="","",ORCAMENTOS!E2965)</f>
        <v>IPEPO ITAQUERA 2</v>
      </c>
      <c r="F2957" s="37" t="str">
        <f>IF(ORCAMENTOS!G2965="","",ORCAMENTOS!G2965)</f>
        <v xml:space="preserve">Aldavir </v>
      </c>
      <c r="G2957" s="37" t="str">
        <f>IF(ORCAMENTOS!H2965="","",ORCAMENTOS!H2965)</f>
        <v>Carlos</v>
      </c>
      <c r="H2957" s="39">
        <f>IF(ORCAMENTOS!I2965="","",ORCAMENTOS!I2965)</f>
        <v>1421.78</v>
      </c>
      <c r="I2957" s="60">
        <f>IF(ORCAMENTOS!J2965="","",ORCAMENTOS!J2965)</f>
        <v>0.05</v>
      </c>
      <c r="J2957" s="40" t="str">
        <f>IF(ORCAMENTOS!L2965="","",ORCAMENTOS!L2965)</f>
        <v>FECHADO</v>
      </c>
      <c r="K2957" s="34" t="str">
        <f>IF(ORCAMENTOS!M2965="","",ORCAMENTOS!M2965)</f>
        <v>-</v>
      </c>
      <c r="L2957" t="str">
        <f>IF(ORCAMENTOS!R2965="","",ORCAMENTOS!R2965)</f>
        <v>-</v>
      </c>
    </row>
    <row r="2958" spans="1:12" ht="15.75" hidden="1" customHeight="1" x14ac:dyDescent="0.25">
      <c r="A2958" s="36">
        <f>IF(ORCAMENTOS!A2966="","",ORCAMENTOS!A2966)</f>
        <v>46147</v>
      </c>
      <c r="B2958" s="46">
        <f>IF(ORCAMENTOS!B2966="","",ORCAMENTOS!B2966)</f>
        <v>781</v>
      </c>
      <c r="C2958" s="46" t="str">
        <f>IF(ORCAMENTOS!C2966="","",ORCAMENTOS!C2966)</f>
        <v/>
      </c>
      <c r="D2958" s="37" t="str">
        <f>IF(ORCAMENTOS!D2966="","",ORCAMENTOS!D2966)</f>
        <v>AIRPLAN</v>
      </c>
      <c r="E2958" s="38" t="str">
        <f>IF(ORCAMENTOS!E2966="","",ORCAMENTOS!E2966)</f>
        <v>RIACHUELO - BALNEARIO SHOPPING</v>
      </c>
      <c r="F2958" s="37" t="str">
        <f>IF(ORCAMENTOS!G2966="","",ORCAMENTOS!G2966)</f>
        <v>Guilherme</v>
      </c>
      <c r="G2958" s="37" t="str">
        <f>IF(ORCAMENTOS!H2966="","",ORCAMENTOS!H2966)</f>
        <v>Gabriel</v>
      </c>
      <c r="H2958" s="39">
        <f>IF(ORCAMENTOS!I2966="","",ORCAMENTOS!I2966)</f>
        <v>39231.51</v>
      </c>
      <c r="I2958" s="60">
        <f>IF(ORCAMENTOS!J2966="","",ORCAMENTOS!J2966)</f>
        <v>7.0000000000000007E-2</v>
      </c>
      <c r="J2958" s="40" t="str">
        <f>IF(ORCAMENTOS!L2966="","",ORCAMENTOS!L2966)</f>
        <v>ORCAMENTO</v>
      </c>
      <c r="K2958" s="34" t="str">
        <f>IF(ORCAMENTOS!M2966="","",ORCAMENTOS!M2966)</f>
        <v>-</v>
      </c>
      <c r="L2958" t="str">
        <f>IF(ORCAMENTOS!R2966="","",ORCAMENTOS!R2966)</f>
        <v>MPU</v>
      </c>
    </row>
    <row r="2959" spans="1:12" ht="15.75" hidden="1" customHeight="1" x14ac:dyDescent="0.25">
      <c r="A2959" s="36">
        <f>IF(ORCAMENTOS!A2967="","",ORCAMENTOS!A2967)</f>
        <v>46147</v>
      </c>
      <c r="B2959" s="46">
        <f>IF(ORCAMENTOS!B2967="","",ORCAMENTOS!B2967)</f>
        <v>782</v>
      </c>
      <c r="C2959" s="46" t="str">
        <f>IF(ORCAMENTOS!C2967="","",ORCAMENTOS!C2967)</f>
        <v/>
      </c>
      <c r="D2959" s="37" t="str">
        <f>IF(ORCAMENTOS!D2967="","",ORCAMENTOS!D2967)</f>
        <v>HEATING COOLING</v>
      </c>
      <c r="E2959" s="38" t="str">
        <f>IF(ORCAMENTOS!E2967="","",ORCAMENTOS!E2967)</f>
        <v>HOSPITAL EBSERH - SÃO PAULO</v>
      </c>
      <c r="F2959" s="37" t="str">
        <f>IF(ORCAMENTOS!G2967="","",ORCAMENTOS!G2967)</f>
        <v>Gabriel</v>
      </c>
      <c r="G2959" s="37" t="str">
        <f>IF(ORCAMENTOS!H2967="","",ORCAMENTOS!H2967)</f>
        <v>Cleo</v>
      </c>
      <c r="H2959" s="39">
        <f>IF(ORCAMENTOS!I2967="","",ORCAMENTOS!I2967)</f>
        <v>1427628.5</v>
      </c>
      <c r="I2959" s="60">
        <f>IF(ORCAMENTOS!J2967="","",ORCAMENTOS!J2967)</f>
        <v>0.05</v>
      </c>
      <c r="J2959" s="40" t="str">
        <f>IF(ORCAMENTOS!L2967="","",ORCAMENTOS!L2967)</f>
        <v>ORCAMENTO</v>
      </c>
      <c r="K2959" s="34" t="str">
        <f>IF(ORCAMENTOS!M2967="","",ORCAMENTOS!M2967)</f>
        <v>-</v>
      </c>
      <c r="L2959" t="str">
        <f>IF(ORCAMENTOS!R2967="","",ORCAMENTOS!R2967)</f>
        <v>-</v>
      </c>
    </row>
    <row r="2960" spans="1:12" ht="15.75" hidden="1" customHeight="1" x14ac:dyDescent="0.25">
      <c r="A2960" s="36">
        <f>IF(ORCAMENTOS!A2968="","",ORCAMENTOS!A2968)</f>
        <v>46147</v>
      </c>
      <c r="B2960" s="46">
        <f>IF(ORCAMENTOS!B2968="","",ORCAMENTOS!B2968)</f>
        <v>783</v>
      </c>
      <c r="C2960" s="46" t="str">
        <f>IF(ORCAMENTOS!C2968="","",ORCAMENTOS!C2968)</f>
        <v/>
      </c>
      <c r="D2960" s="37" t="str">
        <f>IF(ORCAMENTOS!D2968="","",ORCAMENTOS!D2968)</f>
        <v>AIRPLAN</v>
      </c>
      <c r="E2960" s="38" t="str">
        <f>IF(ORCAMENTOS!E2968="","",ORCAMENTOS!E2968)</f>
        <v>RENNER - LOJA TATUI - SP</v>
      </c>
      <c r="F2960" s="37" t="str">
        <f>IF(ORCAMENTOS!G2968="","",ORCAMENTOS!G2968)</f>
        <v>Guilherme</v>
      </c>
      <c r="G2960" s="37" t="str">
        <f>IF(ORCAMENTOS!H2968="","",ORCAMENTOS!H2968)</f>
        <v>Gabriel</v>
      </c>
      <c r="H2960" s="39">
        <f>IF(ORCAMENTOS!I2968="","",ORCAMENTOS!I2968)</f>
        <v>82417.52</v>
      </c>
      <c r="I2960" s="60">
        <f>IF(ORCAMENTOS!J2968="","",ORCAMENTOS!J2968)</f>
        <v>7.0000000000000007E-2</v>
      </c>
      <c r="J2960" s="40" t="str">
        <f>IF(ORCAMENTOS!L2968="","",ORCAMENTOS!L2968)</f>
        <v>ORCAMENTO</v>
      </c>
      <c r="K2960" s="34" t="str">
        <f>IF(ORCAMENTOS!M2968="","",ORCAMENTOS!M2968)</f>
        <v>-</v>
      </c>
      <c r="L2960" t="str">
        <f>IF(ORCAMENTOS!R2968="","",ORCAMENTOS!R2968)</f>
        <v>MPU</v>
      </c>
    </row>
    <row r="2961" spans="1:12" ht="15.75" hidden="1" customHeight="1" x14ac:dyDescent="0.25">
      <c r="A2961" s="36">
        <f>IF(ORCAMENTOS!A2969="","",ORCAMENTOS!A2969)</f>
        <v>46147</v>
      </c>
      <c r="B2961" s="46">
        <f>IF(ORCAMENTOS!B2969="","",ORCAMENTOS!B2969)</f>
        <v>784</v>
      </c>
      <c r="C2961" s="46" t="str">
        <f>IF(ORCAMENTOS!C2969="","",ORCAMENTOS!C2969)</f>
        <v/>
      </c>
      <c r="D2961" s="37" t="str">
        <f>IF(ORCAMENTOS!D2969="","",ORCAMENTOS!D2969)</f>
        <v>AWA AR CONDICIONADO</v>
      </c>
      <c r="E2961" s="38" t="str">
        <f>IF(ORCAMENTOS!E2969="","",ORCAMENTOS!E2969)</f>
        <v>RENNER - LOJA TATUI - SP</v>
      </c>
      <c r="F2961" s="37" t="str">
        <f>IF(ORCAMENTOS!G2969="","",ORCAMENTOS!G2969)</f>
        <v>Guilherme</v>
      </c>
      <c r="G2961" s="37" t="str">
        <f>IF(ORCAMENTOS!H2969="","",ORCAMENTOS!H2969)</f>
        <v>Guilherme</v>
      </c>
      <c r="H2961" s="39">
        <f>IF(ORCAMENTOS!I2969="","",ORCAMENTOS!I2969)</f>
        <v>74236.41</v>
      </c>
      <c r="I2961" s="60">
        <f>IF(ORCAMENTOS!J2969="","",ORCAMENTOS!J2969)</f>
        <v>0.05</v>
      </c>
      <c r="J2961" s="40" t="str">
        <f>IF(ORCAMENTOS!L2969="","",ORCAMENTOS!L2969)</f>
        <v>ORCAMENTO</v>
      </c>
      <c r="K2961" s="34" t="str">
        <f>IF(ORCAMENTOS!M2969="","",ORCAMENTOS!M2969)</f>
        <v>-</v>
      </c>
      <c r="L2961" t="str">
        <f>IF(ORCAMENTOS!R2969="","",ORCAMENTOS!R2969)</f>
        <v>MPU</v>
      </c>
    </row>
    <row r="2962" spans="1:12" ht="15.75" hidden="1" customHeight="1" x14ac:dyDescent="0.25">
      <c r="A2962" s="36">
        <f>IF(ORCAMENTOS!A2970="","",ORCAMENTOS!A2970)</f>
        <v>46147</v>
      </c>
      <c r="B2962" s="46">
        <f>IF(ORCAMENTOS!B2970="","",ORCAMENTOS!B2970)</f>
        <v>785</v>
      </c>
      <c r="C2962" s="46" t="str">
        <f>IF(ORCAMENTOS!C2970="","",ORCAMENTOS!C2970)</f>
        <v/>
      </c>
      <c r="D2962" s="37" t="str">
        <f>IF(ORCAMENTOS!D2970="","",ORCAMENTOS!D2970)</f>
        <v>AR SISTEMAS</v>
      </c>
      <c r="E2962" s="38" t="str">
        <f>IF(ORCAMENTOS!E2970="","",ORCAMENTOS!E2970)</f>
        <v>-</v>
      </c>
      <c r="F2962" s="37" t="str">
        <f>IF(ORCAMENTOS!G2970="","",ORCAMENTOS!G2970)</f>
        <v>Michel</v>
      </c>
      <c r="G2962" s="37" t="str">
        <f>IF(ORCAMENTOS!H2970="","",ORCAMENTOS!H2970)</f>
        <v>Joao</v>
      </c>
      <c r="H2962" s="39">
        <f>IF(ORCAMENTOS!I2970="","",ORCAMENTOS!I2970)</f>
        <v>4946.34</v>
      </c>
      <c r="I2962" s="60">
        <f>IF(ORCAMENTOS!J2970="","",ORCAMENTOS!J2970)</f>
        <v>7.0000000000000007E-2</v>
      </c>
      <c r="J2962" s="40" t="str">
        <f>IF(ORCAMENTOS!L2970="","",ORCAMENTOS!L2970)</f>
        <v>FECHADO</v>
      </c>
      <c r="K2962" s="34" t="str">
        <f>IF(ORCAMENTOS!M2970="","",ORCAMENTOS!M2970)</f>
        <v>-</v>
      </c>
      <c r="L2962" t="str">
        <f>IF(ORCAMENTOS!R2970="","",ORCAMENTOS!R2970)</f>
        <v>-</v>
      </c>
    </row>
    <row r="2963" spans="1:12" ht="15.75" hidden="1" customHeight="1" x14ac:dyDescent="0.25">
      <c r="A2963" s="36">
        <f>IF(ORCAMENTOS!A2971="","",ORCAMENTOS!A2971)</f>
        <v>46147</v>
      </c>
      <c r="B2963" s="46">
        <f>IF(ORCAMENTOS!B2971="","",ORCAMENTOS!B2971)</f>
        <v>786</v>
      </c>
      <c r="C2963" s="46" t="str">
        <f>IF(ORCAMENTOS!C2971="","",ORCAMENTOS!C2971)</f>
        <v/>
      </c>
      <c r="D2963" s="37" t="str">
        <f>IF(ORCAMENTOS!D2971="","",ORCAMENTOS!D2971)</f>
        <v>NATIAR CLIMATIZACAO</v>
      </c>
      <c r="E2963" s="38" t="str">
        <f>IF(ORCAMENTOS!E2971="","",ORCAMENTOS!E2971)</f>
        <v>HAPVIDA - IBIRAPUERA</v>
      </c>
      <c r="F2963" s="37" t="str">
        <f>IF(ORCAMENTOS!G2971="","",ORCAMENTOS!G2971)</f>
        <v>Gabriel</v>
      </c>
      <c r="G2963" s="37" t="str">
        <f>IF(ORCAMENTOS!H2971="","",ORCAMENTOS!H2971)</f>
        <v>Walquiria</v>
      </c>
      <c r="H2963" s="39">
        <f>IF(ORCAMENTOS!I2971="","",ORCAMENTOS!I2971)</f>
        <v>10628.85</v>
      </c>
      <c r="I2963" s="60">
        <f>IF(ORCAMENTOS!J2971="","",ORCAMENTOS!J2971)</f>
        <v>7.0000000000000007E-2</v>
      </c>
      <c r="J2963" s="40" t="str">
        <f>IF(ORCAMENTOS!L2971="","",ORCAMENTOS!L2971)</f>
        <v>ORCAMENTO</v>
      </c>
      <c r="K2963" s="34" t="str">
        <f>IF(ORCAMENTOS!M2971="","",ORCAMENTOS!M2971)</f>
        <v>-</v>
      </c>
      <c r="L2963" t="str">
        <f>IF(ORCAMENTOS!R2971="","",ORCAMENTOS!R2971)</f>
        <v>-</v>
      </c>
    </row>
    <row r="2964" spans="1:12" ht="15.75" hidden="1" customHeight="1" x14ac:dyDescent="0.25">
      <c r="A2964" s="36">
        <f>IF(ORCAMENTOS!A2972="","",ORCAMENTOS!A2972)</f>
        <v>46147</v>
      </c>
      <c r="B2964" s="46">
        <f>IF(ORCAMENTOS!B2972="","",ORCAMENTOS!B2972)</f>
        <v>787</v>
      </c>
      <c r="C2964" s="46" t="str">
        <f>IF(ORCAMENTOS!C2972="","",ORCAMENTOS!C2972)</f>
        <v/>
      </c>
      <c r="D2964" s="37" t="str">
        <f>IF(ORCAMENTOS!D2972="","",ORCAMENTOS!D2972)</f>
        <v>CLIMAARC</v>
      </c>
      <c r="E2964" s="38" t="str">
        <f>IF(ORCAMENTOS!E2972="","",ORCAMENTOS!E2972)</f>
        <v>ACM - CENTRO EMPRESARIAL NORTE SUL - CAMPINAS - SP - TERREO</v>
      </c>
      <c r="F2964" s="37" t="str">
        <f>IF(ORCAMENTOS!G2972="","",ORCAMENTOS!G2972)</f>
        <v xml:space="preserve">Aldavir </v>
      </c>
      <c r="G2964" s="37" t="str">
        <f>IF(ORCAMENTOS!H2972="","",ORCAMENTOS!H2972)</f>
        <v>Pedro</v>
      </c>
      <c r="H2964" s="39">
        <f>IF(ORCAMENTOS!I2972="","",ORCAMENTOS!I2972)</f>
        <v>19456.580000000002</v>
      </c>
      <c r="I2964" s="60">
        <f>IF(ORCAMENTOS!J2972="","",ORCAMENTOS!J2972)</f>
        <v>7.0000000000000007E-2</v>
      </c>
      <c r="J2964" s="40" t="str">
        <f>IF(ORCAMENTOS!L2972="","",ORCAMENTOS!L2972)</f>
        <v>ORCAMENTO</v>
      </c>
      <c r="K2964" s="34" t="str">
        <f>IF(ORCAMENTOS!M2972="","",ORCAMENTOS!M2972)</f>
        <v>-</v>
      </c>
      <c r="L2964" t="str">
        <f>IF(ORCAMENTOS!R2972="","",ORCAMENTOS!R2972)</f>
        <v>N/E</v>
      </c>
    </row>
    <row r="2965" spans="1:12" ht="15.75" hidden="1" customHeight="1" x14ac:dyDescent="0.25">
      <c r="A2965" s="36">
        <f>IF(ORCAMENTOS!A2973="","",ORCAMENTOS!A2973)</f>
        <v>46147</v>
      </c>
      <c r="B2965" s="46">
        <f>IF(ORCAMENTOS!B2973="","",ORCAMENTOS!B2973)</f>
        <v>788</v>
      </c>
      <c r="C2965" s="46" t="str">
        <f>IF(ORCAMENTOS!C2973="","",ORCAMENTOS!C2973)</f>
        <v/>
      </c>
      <c r="D2965" s="37" t="str">
        <f>IF(ORCAMENTOS!D2973="","",ORCAMENTOS!D2973)</f>
        <v>CLIMAARC</v>
      </c>
      <c r="E2965" s="38" t="str">
        <f>IF(ORCAMENTOS!E2973="","",ORCAMENTOS!E2973)</f>
        <v>ACM - CENTRO EMPRESARIAL NORTE SUL - CAMPINAS - SP - TERREO 2</v>
      </c>
      <c r="F2965" s="37" t="str">
        <f>IF(ORCAMENTOS!G2973="","",ORCAMENTOS!G2973)</f>
        <v xml:space="preserve">Aldavir </v>
      </c>
      <c r="G2965" s="37" t="str">
        <f>IF(ORCAMENTOS!H2973="","",ORCAMENTOS!H2973)</f>
        <v>Pedro</v>
      </c>
      <c r="H2965" s="39">
        <f>IF(ORCAMENTOS!I2973="","",ORCAMENTOS!I2973)</f>
        <v>6271.51</v>
      </c>
      <c r="I2965" s="60">
        <f>IF(ORCAMENTOS!J2973="","",ORCAMENTOS!J2973)</f>
        <v>7.0000000000000007E-2</v>
      </c>
      <c r="J2965" s="40" t="str">
        <f>IF(ORCAMENTOS!L2973="","",ORCAMENTOS!L2973)</f>
        <v>ORCAMENTO</v>
      </c>
      <c r="K2965" s="34" t="str">
        <f>IF(ORCAMENTOS!M2973="","",ORCAMENTOS!M2973)</f>
        <v>-</v>
      </c>
      <c r="L2965" t="str">
        <f>IF(ORCAMENTOS!R2973="","",ORCAMENTOS!R2973)</f>
        <v>N/E</v>
      </c>
    </row>
    <row r="2966" spans="1:12" ht="15.75" hidden="1" customHeight="1" x14ac:dyDescent="0.25">
      <c r="A2966" s="36">
        <f>IF(ORCAMENTOS!A2974="","",ORCAMENTOS!A2974)</f>
        <v>46147</v>
      </c>
      <c r="B2966" s="46">
        <f>IF(ORCAMENTOS!B2974="","",ORCAMENTOS!B2974)</f>
        <v>789</v>
      </c>
      <c r="C2966" s="46" t="str">
        <f>IF(ORCAMENTOS!C2974="","",ORCAMENTOS!C2974)</f>
        <v/>
      </c>
      <c r="D2966" s="37" t="str">
        <f>IF(ORCAMENTOS!D2974="","",ORCAMENTOS!D2974)</f>
        <v>CLIMAARC</v>
      </c>
      <c r="E2966" s="38" t="str">
        <f>IF(ORCAMENTOS!E2974="","",ORCAMENTOS!E2974)</f>
        <v>ACM - CENTRO EMPRESARIAL NORTE SUL - CAMPINAS - SP - 4 AO 13PV</v>
      </c>
      <c r="F2966" s="37" t="str">
        <f>IF(ORCAMENTOS!G2974="","",ORCAMENTOS!G2974)</f>
        <v xml:space="preserve">Aldavir </v>
      </c>
      <c r="G2966" s="37" t="str">
        <f>IF(ORCAMENTOS!H2974="","",ORCAMENTOS!H2974)</f>
        <v>Pedro</v>
      </c>
      <c r="H2966" s="39">
        <f>IF(ORCAMENTOS!I2974="","",ORCAMENTOS!I2974)</f>
        <v>328664.08</v>
      </c>
      <c r="I2966" s="60">
        <f>IF(ORCAMENTOS!J2974="","",ORCAMENTOS!J2974)</f>
        <v>7.0000000000000007E-2</v>
      </c>
      <c r="J2966" s="40" t="str">
        <f>IF(ORCAMENTOS!L2974="","",ORCAMENTOS!L2974)</f>
        <v>ORCAMENTO</v>
      </c>
      <c r="K2966" s="34" t="str">
        <f>IF(ORCAMENTOS!M2974="","",ORCAMENTOS!M2974)</f>
        <v>-</v>
      </c>
      <c r="L2966" t="str">
        <f>IF(ORCAMENTOS!R2974="","",ORCAMENTOS!R2974)</f>
        <v>N/E</v>
      </c>
    </row>
    <row r="2967" spans="1:12" ht="15.75" hidden="1" customHeight="1" x14ac:dyDescent="0.25">
      <c r="A2967" s="36">
        <f>IF(ORCAMENTOS!A2975="","",ORCAMENTOS!A2975)</f>
        <v>46147</v>
      </c>
      <c r="B2967" s="46">
        <f>IF(ORCAMENTOS!B2975="","",ORCAMENTOS!B2975)</f>
        <v>790</v>
      </c>
      <c r="C2967" s="46" t="str">
        <f>IF(ORCAMENTOS!C2975="","",ORCAMENTOS!C2975)</f>
        <v/>
      </c>
      <c r="D2967" s="37" t="str">
        <f>IF(ORCAMENTOS!D2975="","",ORCAMENTOS!D2975)</f>
        <v>CLIMAARC</v>
      </c>
      <c r="E2967" s="38" t="str">
        <f>IF(ORCAMENTOS!E2975="","",ORCAMENTOS!E2975)</f>
        <v>ACM - CENTRO EMPRESARIAL NORTE SUL - CAMPINAS - SP - 14PV</v>
      </c>
      <c r="F2967" s="37" t="str">
        <f>IF(ORCAMENTOS!G2975="","",ORCAMENTOS!G2975)</f>
        <v xml:space="preserve">Aldavir </v>
      </c>
      <c r="G2967" s="37" t="str">
        <f>IF(ORCAMENTOS!H2975="","",ORCAMENTOS!H2975)</f>
        <v>Pedro</v>
      </c>
      <c r="H2967" s="39">
        <f>IF(ORCAMENTOS!I2975="","",ORCAMENTOS!I2975)</f>
        <v>34297.589999999997</v>
      </c>
      <c r="I2967" s="60">
        <f>IF(ORCAMENTOS!J2975="","",ORCAMENTOS!J2975)</f>
        <v>7.0000000000000007E-2</v>
      </c>
      <c r="J2967" s="40" t="str">
        <f>IF(ORCAMENTOS!L2975="","",ORCAMENTOS!L2975)</f>
        <v>ORCAMENTO</v>
      </c>
      <c r="K2967" s="34" t="str">
        <f>IF(ORCAMENTOS!M2975="","",ORCAMENTOS!M2975)</f>
        <v>-</v>
      </c>
      <c r="L2967" t="str">
        <f>IF(ORCAMENTOS!R2975="","",ORCAMENTOS!R2975)</f>
        <v>N/E</v>
      </c>
    </row>
    <row r="2968" spans="1:12" ht="15.75" hidden="1" customHeight="1" x14ac:dyDescent="0.25">
      <c r="A2968" s="36">
        <f>IF(ORCAMENTOS!A2976="","",ORCAMENTOS!A2976)</f>
        <v>46147</v>
      </c>
      <c r="B2968" s="46">
        <f>IF(ORCAMENTOS!B2976="","",ORCAMENTOS!B2976)</f>
        <v>791</v>
      </c>
      <c r="C2968" s="46" t="str">
        <f>IF(ORCAMENTOS!C2976="","",ORCAMENTOS!C2976)</f>
        <v/>
      </c>
      <c r="D2968" s="37" t="str">
        <f>IF(ORCAMENTOS!D2976="","",ORCAMENTOS!D2976)</f>
        <v>FANCOLD SERVICE</v>
      </c>
      <c r="E2968" s="38" t="str">
        <f>IF(ORCAMENTOS!E2976="","",ORCAMENTOS!E2976)</f>
        <v>-</v>
      </c>
      <c r="F2968" s="37" t="str">
        <f>IF(ORCAMENTOS!G2976="","",ORCAMENTOS!G2976)</f>
        <v>Michel</v>
      </c>
      <c r="G2968" s="37" t="str">
        <f>IF(ORCAMENTOS!H2976="","",ORCAMENTOS!H2976)</f>
        <v>Diego</v>
      </c>
      <c r="H2968" s="39">
        <f>IF(ORCAMENTOS!I2976="","",ORCAMENTOS!I2976)</f>
        <v>35368.68</v>
      </c>
      <c r="I2968" s="60">
        <f>IF(ORCAMENTOS!J2976="","",ORCAMENTOS!J2976)</f>
        <v>0.04</v>
      </c>
      <c r="J2968" s="40" t="str">
        <f>IF(ORCAMENTOS!L2976="","",ORCAMENTOS!L2976)</f>
        <v>FECHADO</v>
      </c>
      <c r="K2968" s="34" t="str">
        <f>IF(ORCAMENTOS!M2976="","",ORCAMENTOS!M2976)</f>
        <v>-</v>
      </c>
      <c r="L2968" t="str">
        <f>IF(ORCAMENTOS!R2976="","",ORCAMENTOS!R2976)</f>
        <v>-</v>
      </c>
    </row>
    <row r="2969" spans="1:12" ht="15.75" hidden="1" customHeight="1" x14ac:dyDescent="0.25">
      <c r="A2969" s="36">
        <f>IF(ORCAMENTOS!A2977="","",ORCAMENTOS!A2977)</f>
        <v>46147</v>
      </c>
      <c r="B2969" s="46">
        <f>IF(ORCAMENTOS!B2977="","",ORCAMENTOS!B2977)</f>
        <v>792</v>
      </c>
      <c r="C2969" s="46" t="str">
        <f>IF(ORCAMENTOS!C2977="","",ORCAMENTOS!C2977)</f>
        <v/>
      </c>
      <c r="D2969" s="37" t="str">
        <f>IF(ORCAMENTOS!D2977="","",ORCAMENTOS!D2977)</f>
        <v>R1 SOLUCOES</v>
      </c>
      <c r="E2969" s="38" t="str">
        <f>IF(ORCAMENTOS!E2977="","",ORCAMENTOS!E2977)</f>
        <v>-</v>
      </c>
      <c r="F2969" s="37" t="str">
        <f>IF(ORCAMENTOS!G2977="","",ORCAMENTOS!G2977)</f>
        <v>Gabriel</v>
      </c>
      <c r="G2969" s="37" t="str">
        <f>IF(ORCAMENTOS!H2977="","",ORCAMENTOS!H2977)</f>
        <v>Janaina</v>
      </c>
      <c r="H2969" s="39">
        <f>IF(ORCAMENTOS!I2977="","",ORCAMENTOS!I2977)</f>
        <v>6253.29</v>
      </c>
      <c r="I2969" s="60">
        <f>IF(ORCAMENTOS!J2977="","",ORCAMENTOS!J2977)</f>
        <v>7.0000000000000007E-2</v>
      </c>
      <c r="J2969" s="40" t="str">
        <f>IF(ORCAMENTOS!L2977="","",ORCAMENTOS!L2977)</f>
        <v>ORCAMENTO</v>
      </c>
      <c r="K2969" s="34" t="str">
        <f>IF(ORCAMENTOS!M2977="","",ORCAMENTOS!M2977)</f>
        <v>-</v>
      </c>
      <c r="L2969" t="str">
        <f>IF(ORCAMENTOS!R2977="","",ORCAMENTOS!R2977)</f>
        <v>-</v>
      </c>
    </row>
    <row r="2970" spans="1:12" ht="15.75" hidden="1" customHeight="1" x14ac:dyDescent="0.25">
      <c r="A2970" s="36">
        <f>IF(ORCAMENTOS!A2978="","",ORCAMENTOS!A2978)</f>
        <v>46147</v>
      </c>
      <c r="B2970" s="46">
        <f>IF(ORCAMENTOS!B2978="","",ORCAMENTOS!B2978)</f>
        <v>793</v>
      </c>
      <c r="C2970" s="46" t="str">
        <f>IF(ORCAMENTOS!C2978="","",ORCAMENTOS!C2978)</f>
        <v/>
      </c>
      <c r="D2970" s="37" t="str">
        <f>IF(ORCAMENTOS!D2978="","",ORCAMENTOS!D2978)</f>
        <v>JOSELITO OLIVEIRA</v>
      </c>
      <c r="E2970" s="38" t="str">
        <f>IF(ORCAMENTOS!E2978="","",ORCAMENTOS!E2978)</f>
        <v>-</v>
      </c>
      <c r="F2970" s="37" t="str">
        <f>IF(ORCAMENTOS!G2978="","",ORCAMENTOS!G2978)</f>
        <v>Guilherme</v>
      </c>
      <c r="G2970" s="37" t="str">
        <f>IF(ORCAMENTOS!H2978="","",ORCAMENTOS!H2978)</f>
        <v>Joselito</v>
      </c>
      <c r="H2970" s="39">
        <f>IF(ORCAMENTOS!I2978="","",ORCAMENTOS!I2978)</f>
        <v>2119.21</v>
      </c>
      <c r="I2970" s="60">
        <f>IF(ORCAMENTOS!J2978="","",ORCAMENTOS!J2978)</f>
        <v>7.0000000000000007E-2</v>
      </c>
      <c r="J2970" s="40" t="str">
        <f>IF(ORCAMENTOS!L2978="","",ORCAMENTOS!L2978)</f>
        <v>CANCELADO</v>
      </c>
      <c r="K2970" s="34" t="str">
        <f>IF(ORCAMENTOS!M2978="","",ORCAMENTOS!M2978)</f>
        <v>-</v>
      </c>
      <c r="L2970" t="str">
        <f>IF(ORCAMENTOS!R2978="","",ORCAMENTOS!R2978)</f>
        <v>-</v>
      </c>
    </row>
    <row r="2971" spans="1:12" ht="15.75" hidden="1" customHeight="1" x14ac:dyDescent="0.25">
      <c r="A2971" s="36">
        <f>IF(ORCAMENTOS!A2979="","",ORCAMENTOS!A2979)</f>
        <v>46148</v>
      </c>
      <c r="B2971" s="46">
        <f>IF(ORCAMENTOS!B2979="","",ORCAMENTOS!B2979)</f>
        <v>794</v>
      </c>
      <c r="C2971" s="46" t="str">
        <f>IF(ORCAMENTOS!C2979="","",ORCAMENTOS!C2979)</f>
        <v/>
      </c>
      <c r="D2971" s="37" t="str">
        <f>IF(ORCAMENTOS!D2979="","",ORCAMENTOS!D2979)</f>
        <v>NOSSO AR</v>
      </c>
      <c r="E2971" s="38" t="str">
        <f>IF(ORCAMENTOS!E2979="","",ORCAMENTOS!E2979)</f>
        <v>CD - LONDRINA - PR</v>
      </c>
      <c r="F2971" s="37" t="str">
        <f>IF(ORCAMENTOS!G2979="","",ORCAMENTOS!G2979)</f>
        <v>Guilherme</v>
      </c>
      <c r="G2971" s="37" t="str">
        <f>IF(ORCAMENTOS!H2979="","",ORCAMENTOS!H2979)</f>
        <v>Fabio</v>
      </c>
      <c r="H2971" s="39">
        <f>IF(ORCAMENTOS!I2979="","",ORCAMENTOS!I2979)</f>
        <v>600641.68999999994</v>
      </c>
      <c r="I2971" s="60">
        <f>IF(ORCAMENTOS!J2979="","",ORCAMENTOS!J2979)</f>
        <v>0.05</v>
      </c>
      <c r="J2971" s="40" t="str">
        <f>IF(ORCAMENTOS!L2979="","",ORCAMENTOS!L2979)</f>
        <v>CANCELADO</v>
      </c>
      <c r="K2971" s="34" t="str">
        <f>IF(ORCAMENTOS!M2979="","",ORCAMENTOS!M2979)</f>
        <v>-</v>
      </c>
      <c r="L2971" t="str">
        <f>IF(ORCAMENTOS!R2979="","",ORCAMENTOS!R2979)</f>
        <v>MPU</v>
      </c>
    </row>
    <row r="2972" spans="1:12" ht="15.75" hidden="1" customHeight="1" x14ac:dyDescent="0.25">
      <c r="A2972" s="36">
        <f>IF(ORCAMENTOS!A2980="","",ORCAMENTOS!A2980)</f>
        <v>46148</v>
      </c>
      <c r="B2972" s="46">
        <f>IF(ORCAMENTOS!B2980="","",ORCAMENTOS!B2980)</f>
        <v>795</v>
      </c>
      <c r="C2972" s="46" t="str">
        <f>IF(ORCAMENTOS!C2980="","",ORCAMENTOS!C2980)</f>
        <v>R2</v>
      </c>
      <c r="D2972" s="37" t="str">
        <f>IF(ORCAMENTOS!D2980="","",ORCAMENTOS!D2980)</f>
        <v>NOSSO AR</v>
      </c>
      <c r="E2972" s="38" t="str">
        <f>IF(ORCAMENTOS!E2980="","",ORCAMENTOS!E2980)</f>
        <v>-</v>
      </c>
      <c r="F2972" s="37" t="str">
        <f>IF(ORCAMENTOS!G2980="","",ORCAMENTOS!G2980)</f>
        <v>Guilherme</v>
      </c>
      <c r="G2972" s="37" t="str">
        <f>IF(ORCAMENTOS!H2980="","",ORCAMENTOS!H2980)</f>
        <v>Fabio</v>
      </c>
      <c r="H2972" s="39">
        <f>IF(ORCAMENTOS!I2980="","",ORCAMENTOS!I2980)</f>
        <v>26091.68</v>
      </c>
      <c r="I2972" s="60">
        <f>IF(ORCAMENTOS!J2980="","",ORCAMENTOS!J2980)</f>
        <v>0.04</v>
      </c>
      <c r="J2972" s="40" t="str">
        <f>IF(ORCAMENTOS!L2980="","",ORCAMENTOS!L2980)</f>
        <v>FECHADO</v>
      </c>
      <c r="K2972" s="34" t="str">
        <f>IF(ORCAMENTOS!M2980="","",ORCAMENTOS!M2980)</f>
        <v>-</v>
      </c>
      <c r="L2972" t="str">
        <f>IF(ORCAMENTOS!R2980="","",ORCAMENTOS!R2980)</f>
        <v>-</v>
      </c>
    </row>
    <row r="2973" spans="1:12" ht="15.75" hidden="1" customHeight="1" x14ac:dyDescent="0.25">
      <c r="A2973" s="36">
        <f>IF(ORCAMENTOS!A2981="","",ORCAMENTOS!A2981)</f>
        <v>46148</v>
      </c>
      <c r="B2973" s="46">
        <f>IF(ORCAMENTOS!B2981="","",ORCAMENTOS!B2981)</f>
        <v>796</v>
      </c>
      <c r="C2973" s="46" t="str">
        <f>IF(ORCAMENTOS!C2981="","",ORCAMENTOS!C2981)</f>
        <v/>
      </c>
      <c r="D2973" s="37" t="str">
        <f>IF(ORCAMENTOS!D2981="","",ORCAMENTOS!D2981)</f>
        <v>KONAR</v>
      </c>
      <c r="E2973" s="38" t="str">
        <f>IF(ORCAMENTOS!E2981="","",ORCAMENTOS!E2981)</f>
        <v>426-23 - KSM</v>
      </c>
      <c r="F2973" s="37" t="str">
        <f>IF(ORCAMENTOS!G2981="","",ORCAMENTOS!G2981)</f>
        <v>Michel</v>
      </c>
      <c r="G2973" s="37" t="str">
        <f>IF(ORCAMENTOS!H2981="","",ORCAMENTOS!H2981)</f>
        <v>Fabio</v>
      </c>
      <c r="H2973" s="39">
        <f>IF(ORCAMENTOS!I2981="","",ORCAMENTOS!I2981)</f>
        <v>22333.59</v>
      </c>
      <c r="I2973" s="60">
        <f>IF(ORCAMENTOS!J2981="","",ORCAMENTOS!J2981)</f>
        <v>0.04</v>
      </c>
      <c r="J2973" s="40" t="str">
        <f>IF(ORCAMENTOS!L2981="","",ORCAMENTOS!L2981)</f>
        <v>PERDIDO</v>
      </c>
      <c r="K2973" s="34" t="str">
        <f>IF(ORCAMENTOS!M2981="","",ORCAMENTOS!M2981)</f>
        <v>ARCOTEC</v>
      </c>
      <c r="L2973" t="str">
        <f>IF(ORCAMENTOS!R2981="","",ORCAMENTOS!R2981)</f>
        <v>-</v>
      </c>
    </row>
    <row r="2974" spans="1:12" ht="15.75" hidden="1" customHeight="1" x14ac:dyDescent="0.25">
      <c r="A2974" s="36">
        <f>IF(ORCAMENTOS!A2982="","",ORCAMENTOS!A2982)</f>
        <v>46148</v>
      </c>
      <c r="B2974" s="46">
        <f>IF(ORCAMENTOS!B2982="","",ORCAMENTOS!B2982)</f>
        <v>797</v>
      </c>
      <c r="C2974" s="46" t="str">
        <f>IF(ORCAMENTOS!C2982="","",ORCAMENTOS!C2982)</f>
        <v>R1</v>
      </c>
      <c r="D2974" s="37" t="str">
        <f>IF(ORCAMENTOS!D2982="","",ORCAMENTOS!D2982)</f>
        <v>INOVECTOR</v>
      </c>
      <c r="E2974" s="38" t="str">
        <f>IF(ORCAMENTOS!E2982="","",ORCAMENTOS!E2982)</f>
        <v>HOSP. SANTA ISABEL - 3° PAV</v>
      </c>
      <c r="F2974" s="37" t="str">
        <f>IF(ORCAMENTOS!G2982="","",ORCAMENTOS!G2982)</f>
        <v>Fernando</v>
      </c>
      <c r="G2974" s="37" t="str">
        <f>IF(ORCAMENTOS!H2982="","",ORCAMENTOS!H2982)</f>
        <v>Cristina</v>
      </c>
      <c r="H2974" s="39">
        <f>IF(ORCAMENTOS!I2982="","",ORCAMENTOS!I2982)</f>
        <v>11706.08</v>
      </c>
      <c r="I2974" s="60">
        <f>IF(ORCAMENTOS!J2982="","",ORCAMENTOS!J2982)</f>
        <v>0.04</v>
      </c>
      <c r="J2974" s="40" t="str">
        <f>IF(ORCAMENTOS!L2982="","",ORCAMENTOS!L2982)</f>
        <v>FECHADO</v>
      </c>
      <c r="K2974" s="34" t="str">
        <f>IF(ORCAMENTOS!M2982="","",ORCAMENTOS!M2982)</f>
        <v>-</v>
      </c>
      <c r="L2974" t="str">
        <f>IF(ORCAMENTOS!R2982="","",ORCAMENTOS!R2982)</f>
        <v>-</v>
      </c>
    </row>
    <row r="2975" spans="1:12" ht="15.75" hidden="1" customHeight="1" x14ac:dyDescent="0.25">
      <c r="A2975" s="36">
        <f>IF(ORCAMENTOS!A2983="","",ORCAMENTOS!A2983)</f>
        <v>46148</v>
      </c>
      <c r="B2975" s="46">
        <f>IF(ORCAMENTOS!B2983="","",ORCAMENTOS!B2983)</f>
        <v>798</v>
      </c>
      <c r="C2975" s="46" t="str">
        <f>IF(ORCAMENTOS!C2983="","",ORCAMENTOS!C2983)</f>
        <v/>
      </c>
      <c r="D2975" s="37" t="str">
        <f>IF(ORCAMENTOS!D2983="","",ORCAMENTOS!D2983)</f>
        <v>ECOFORTO</v>
      </c>
      <c r="E2975" s="38" t="str">
        <f>IF(ORCAMENTOS!E2983="","",ORCAMENTOS!E2983)</f>
        <v>CLINICA HARMONIA - UNIDADE SP</v>
      </c>
      <c r="F2975" s="37" t="str">
        <f>IF(ORCAMENTOS!G2983="","",ORCAMENTOS!G2983)</f>
        <v>Emanuel</v>
      </c>
      <c r="G2975" s="37" t="str">
        <f>IF(ORCAMENTOS!H2983="","",ORCAMENTOS!H2983)</f>
        <v>Alessandro</v>
      </c>
      <c r="H2975" s="39">
        <f>IF(ORCAMENTOS!I2983="","",ORCAMENTOS!I2983)</f>
        <v>59289.68</v>
      </c>
      <c r="I2975" s="60">
        <f>IF(ORCAMENTOS!J2983="","",ORCAMENTOS!J2983)</f>
        <v>7.0000000000000007E-2</v>
      </c>
      <c r="J2975" s="40" t="str">
        <f>IF(ORCAMENTOS!L2983="","",ORCAMENTOS!L2983)</f>
        <v>ORCAMENTO</v>
      </c>
      <c r="K2975" s="34" t="str">
        <f>IF(ORCAMENTOS!M2983="","",ORCAMENTOS!M2983)</f>
        <v>-</v>
      </c>
      <c r="L2975" t="str">
        <f>IF(ORCAMENTOS!R2983="","",ORCAMENTOS!R2983)</f>
        <v>MULTIVAC MPU</v>
      </c>
    </row>
    <row r="2976" spans="1:12" ht="15.75" hidden="1" customHeight="1" x14ac:dyDescent="0.25">
      <c r="A2976" s="36">
        <f>IF(ORCAMENTOS!A2984="","",ORCAMENTOS!A2984)</f>
        <v>46148</v>
      </c>
      <c r="B2976" s="46">
        <f>IF(ORCAMENTOS!B2984="","",ORCAMENTOS!B2984)</f>
        <v>799</v>
      </c>
      <c r="C2976" s="46" t="str">
        <f>IF(ORCAMENTOS!C2984="","",ORCAMENTOS!C2984)</f>
        <v/>
      </c>
      <c r="D2976" s="37" t="str">
        <f>IF(ORCAMENTOS!D2984="","",ORCAMENTOS!D2984)</f>
        <v>CONSTARCO</v>
      </c>
      <c r="E2976" s="38" t="str">
        <f>IF(ORCAMENTOS!E2984="","",ORCAMENTOS!E2984)</f>
        <v>HAPVIDA - IBIRAPUERA</v>
      </c>
      <c r="F2976" s="37" t="str">
        <f>IF(ORCAMENTOS!G2984="","",ORCAMENTOS!G2984)</f>
        <v>Fernando</v>
      </c>
      <c r="G2976" s="37" t="str">
        <f>IF(ORCAMENTOS!H2984="","",ORCAMENTOS!H2984)</f>
        <v>Genilson</v>
      </c>
      <c r="H2976" s="39">
        <f>IF(ORCAMENTOS!I2984="","",ORCAMENTOS!I2984)</f>
        <v>2236377</v>
      </c>
      <c r="I2976" s="60">
        <f>IF(ORCAMENTOS!J2984="","",ORCAMENTOS!J2984)</f>
        <v>0.05</v>
      </c>
      <c r="J2976" s="40" t="str">
        <f>IF(ORCAMENTOS!L2984="","",ORCAMENTOS!L2984)</f>
        <v>ORCAMENTO</v>
      </c>
      <c r="K2976" s="34" t="str">
        <f>IF(ORCAMENTOS!M2984="","",ORCAMENTOS!M2984)</f>
        <v>-</v>
      </c>
      <c r="L2976" t="str">
        <f>IF(ORCAMENTOS!R2984="","",ORCAMENTOS!R2984)</f>
        <v>-</v>
      </c>
    </row>
    <row r="2977" spans="1:12" ht="15.75" hidden="1" customHeight="1" x14ac:dyDescent="0.25">
      <c r="A2977" s="36">
        <f>IF(ORCAMENTOS!A2985="","",ORCAMENTOS!A2985)</f>
        <v>46150</v>
      </c>
      <c r="B2977" s="46">
        <f>IF(ORCAMENTOS!B2985="","",ORCAMENTOS!B2985)</f>
        <v>800</v>
      </c>
      <c r="C2977" s="46" t="str">
        <f>IF(ORCAMENTOS!C2985="","",ORCAMENTOS!C2985)</f>
        <v>R1</v>
      </c>
      <c r="D2977" s="37" t="str">
        <f>IF(ORCAMENTOS!D2985="","",ORCAMENTOS!D2985)</f>
        <v>ANALISEPLAN</v>
      </c>
      <c r="E2977" s="38" t="str">
        <f>IF(ORCAMENTOS!E2985="","",ORCAMENTOS!E2985)</f>
        <v>HC PINHEIROS</v>
      </c>
      <c r="F2977" s="37" t="str">
        <f>IF(ORCAMENTOS!G2985="","",ORCAMENTOS!G2985)</f>
        <v>Michel</v>
      </c>
      <c r="G2977" s="37" t="str">
        <f>IF(ORCAMENTOS!H2985="","",ORCAMENTOS!H2985)</f>
        <v>Marcio</v>
      </c>
      <c r="H2977" s="39">
        <f>IF(ORCAMENTOS!I2985="","",ORCAMENTOS!I2985)</f>
        <v>46160.480000000003</v>
      </c>
      <c r="I2977" s="60">
        <f>IF(ORCAMENTOS!J2985="","",ORCAMENTOS!J2985)</f>
        <v>0.04</v>
      </c>
      <c r="J2977" s="40" t="str">
        <f>IF(ORCAMENTOS!L2985="","",ORCAMENTOS!L2985)</f>
        <v>FECHADO</v>
      </c>
      <c r="K2977" s="34" t="str">
        <f>IF(ORCAMENTOS!M2985="","",ORCAMENTOS!M2985)</f>
        <v>-</v>
      </c>
      <c r="L2977" t="str">
        <f>IF(ORCAMENTOS!R2985="","",ORCAMENTOS!R2985)</f>
        <v>-</v>
      </c>
    </row>
    <row r="2978" spans="1:12" ht="15.75" hidden="1" customHeight="1" x14ac:dyDescent="0.25">
      <c r="A2978" s="36">
        <f>IF(ORCAMENTOS!A2986="","",ORCAMENTOS!A2986)</f>
        <v>46150</v>
      </c>
      <c r="B2978" s="46">
        <f>IF(ORCAMENTOS!B2986="","",ORCAMENTOS!B2986)</f>
        <v>801</v>
      </c>
      <c r="C2978" s="46" t="str">
        <f>IF(ORCAMENTOS!C2986="","",ORCAMENTOS!C2986)</f>
        <v>R1</v>
      </c>
      <c r="D2978" s="37" t="str">
        <f>IF(ORCAMENTOS!D2986="","",ORCAMENTOS!D2986)</f>
        <v>ECOTHERM</v>
      </c>
      <c r="E2978" s="38" t="str">
        <f>IF(ORCAMENTOS!E2986="","",ORCAMENTOS!E2986)</f>
        <v>REDE DOR RIBEIRÃO PRETO</v>
      </c>
      <c r="F2978" s="37" t="str">
        <f>IF(ORCAMENTOS!G2986="","",ORCAMENTOS!G2986)</f>
        <v>Emanuel</v>
      </c>
      <c r="G2978" s="37" t="str">
        <f>IF(ORCAMENTOS!H2986="","",ORCAMENTOS!H2986)</f>
        <v>Helida</v>
      </c>
      <c r="H2978" s="39">
        <f>IF(ORCAMENTOS!I2986="","",ORCAMENTOS!I2986)</f>
        <v>107706.43</v>
      </c>
      <c r="I2978" s="60">
        <f>IF(ORCAMENTOS!J2986="","",ORCAMENTOS!J2986)</f>
        <v>0.03</v>
      </c>
      <c r="J2978" s="40" t="str">
        <f>IF(ORCAMENTOS!L2986="","",ORCAMENTOS!L2986)</f>
        <v>PERDIDO</v>
      </c>
      <c r="K2978" s="34" t="str">
        <f>IF(ORCAMENTOS!M2986="","",ORCAMENTOS!M2986)</f>
        <v>MULTIVAC</v>
      </c>
      <c r="L2978" t="str">
        <f>IF(ORCAMENTOS!R2986="","",ORCAMENTOS!R2986)</f>
        <v>-</v>
      </c>
    </row>
    <row r="2979" spans="1:12" ht="15.75" hidden="1" customHeight="1" x14ac:dyDescent="0.25">
      <c r="A2979" s="36">
        <f>IF(ORCAMENTOS!A2987="","",ORCAMENTOS!A2987)</f>
        <v>46150</v>
      </c>
      <c r="B2979" s="46">
        <f>IF(ORCAMENTOS!B2987="","",ORCAMENTOS!B2987)</f>
        <v>802</v>
      </c>
      <c r="C2979" s="46" t="str">
        <f>IF(ORCAMENTOS!C2987="","",ORCAMENTOS!C2987)</f>
        <v>R2</v>
      </c>
      <c r="D2979" s="37" t="str">
        <f>IF(ORCAMENTOS!D2987="","",ORCAMENTOS!D2987)</f>
        <v>RONALDO DONIZETE</v>
      </c>
      <c r="E2979" s="38" t="str">
        <f>IF(ORCAMENTOS!E2987="","",ORCAMENTOS!E2987)</f>
        <v>-</v>
      </c>
      <c r="F2979" s="37" t="str">
        <f>IF(ORCAMENTOS!G2987="","",ORCAMENTOS!G2987)</f>
        <v>Michel</v>
      </c>
      <c r="G2979" s="37" t="str">
        <f>IF(ORCAMENTOS!H2987="","",ORCAMENTOS!H2987)</f>
        <v>Ronaldo</v>
      </c>
      <c r="H2979" s="39">
        <f>IF(ORCAMENTOS!I2987="","",ORCAMENTOS!I2987)</f>
        <v>484.97</v>
      </c>
      <c r="I2979" s="60">
        <f>IF(ORCAMENTOS!J2987="","",ORCAMENTOS!J2987)</f>
        <v>7.0000000000000007E-2</v>
      </c>
      <c r="J2979" s="40" t="str">
        <f>IF(ORCAMENTOS!L2987="","",ORCAMENTOS!L2987)</f>
        <v>ORCAMENTO</v>
      </c>
      <c r="K2979" s="34" t="str">
        <f>IF(ORCAMENTOS!M2987="","",ORCAMENTOS!M2987)</f>
        <v>-</v>
      </c>
      <c r="L2979" t="str">
        <f>IF(ORCAMENTOS!R2987="","",ORCAMENTOS!R2987)</f>
        <v>-</v>
      </c>
    </row>
    <row r="2980" spans="1:12" ht="15.75" hidden="1" customHeight="1" x14ac:dyDescent="0.25">
      <c r="A2980" s="36">
        <f>IF(ORCAMENTOS!A2988="","",ORCAMENTOS!A2988)</f>
        <v>46150</v>
      </c>
      <c r="B2980" s="46">
        <f>IF(ORCAMENTOS!B2988="","",ORCAMENTOS!B2988)</f>
        <v>803</v>
      </c>
      <c r="C2980" s="46" t="str">
        <f>IF(ORCAMENTOS!C2988="","",ORCAMENTOS!C2988)</f>
        <v>R1</v>
      </c>
      <c r="D2980" s="37" t="str">
        <f>IF(ORCAMENTOS!D2988="","",ORCAMENTOS!D2988)</f>
        <v>EKO CLIMAX</v>
      </c>
      <c r="E2980" s="38" t="str">
        <f>IF(ORCAMENTOS!E2988="","",ORCAMENTOS!E2988)</f>
        <v>-</v>
      </c>
      <c r="F2980" s="37" t="str">
        <f>IF(ORCAMENTOS!G2988="","",ORCAMENTOS!G2988)</f>
        <v>Michel</v>
      </c>
      <c r="G2980" s="37" t="str">
        <f>IF(ORCAMENTOS!H2988="","",ORCAMENTOS!H2988)</f>
        <v>Rogerio</v>
      </c>
      <c r="H2980" s="39">
        <f>IF(ORCAMENTOS!I2988="","",ORCAMENTOS!I2988)</f>
        <v>8314.2099999999991</v>
      </c>
      <c r="I2980" s="60">
        <f>IF(ORCAMENTOS!J2988="","",ORCAMENTOS!J2988)</f>
        <v>0.05</v>
      </c>
      <c r="J2980" s="40" t="str">
        <f>IF(ORCAMENTOS!L2988="","",ORCAMENTOS!L2988)</f>
        <v>FECHADO</v>
      </c>
      <c r="K2980" s="34" t="str">
        <f>IF(ORCAMENTOS!M2988="","",ORCAMENTOS!M2988)</f>
        <v>-</v>
      </c>
      <c r="L2980" t="str">
        <f>IF(ORCAMENTOS!R2988="","",ORCAMENTOS!R2988)</f>
        <v>-</v>
      </c>
    </row>
    <row r="2981" spans="1:12" ht="15.75" hidden="1" customHeight="1" x14ac:dyDescent="0.25">
      <c r="A2981" s="36">
        <f>IF(ORCAMENTOS!A2989="","",ORCAMENTOS!A2989)</f>
        <v>46150</v>
      </c>
      <c r="B2981" s="46">
        <f>IF(ORCAMENTOS!B2989="","",ORCAMENTOS!B2989)</f>
        <v>804</v>
      </c>
      <c r="C2981" s="46" t="str">
        <f>IF(ORCAMENTOS!C2989="","",ORCAMENTOS!C2989)</f>
        <v>R1</v>
      </c>
      <c r="D2981" s="37" t="str">
        <f>IF(ORCAMENTOS!D2989="","",ORCAMENTOS!D2989)</f>
        <v>ECOTHERM</v>
      </c>
      <c r="E2981" s="38" t="str">
        <f>IF(ORCAMENTOS!E2989="","",ORCAMENTOS!E2989)</f>
        <v>UNILA</v>
      </c>
      <c r="F2981" s="37" t="str">
        <f>IF(ORCAMENTOS!G2989="","",ORCAMENTOS!G2989)</f>
        <v>Emanuel</v>
      </c>
      <c r="G2981" s="37" t="str">
        <f>IF(ORCAMENTOS!H2989="","",ORCAMENTOS!H2989)</f>
        <v>Selma</v>
      </c>
      <c r="H2981" s="39">
        <f>IF(ORCAMENTOS!I2989="","",ORCAMENTOS!I2989)</f>
        <v>151484.75</v>
      </c>
      <c r="I2981" s="60">
        <f>IF(ORCAMENTOS!J2989="","",ORCAMENTOS!J2989)</f>
        <v>0.03</v>
      </c>
      <c r="J2981" s="40" t="str">
        <f>IF(ORCAMENTOS!L2989="","",ORCAMENTOS!L2989)</f>
        <v>PERDIDO</v>
      </c>
      <c r="K2981" s="34" t="str">
        <f>IF(ORCAMENTOS!M2989="","",ORCAMENTOS!M2989)</f>
        <v>MULTIVAC</v>
      </c>
      <c r="L2981" t="str">
        <f>IF(ORCAMENTOS!R2989="","",ORCAMENTOS!R2989)</f>
        <v>-</v>
      </c>
    </row>
    <row r="2982" spans="1:12" ht="15.75" hidden="1" customHeight="1" x14ac:dyDescent="0.25">
      <c r="A2982" s="36">
        <f>IF(ORCAMENTOS!A2990="","",ORCAMENTOS!A2990)</f>
        <v>46154</v>
      </c>
      <c r="B2982" s="46">
        <f>IF(ORCAMENTOS!B2990="","",ORCAMENTOS!B2990)</f>
        <v>805</v>
      </c>
      <c r="C2982" s="46" t="str">
        <f>IF(ORCAMENTOS!C2990="","",ORCAMENTOS!C2990)</f>
        <v>R1</v>
      </c>
      <c r="D2982" s="37" t="str">
        <f>IF(ORCAMENTOS!D2990="","",ORCAMENTOS!D2990)</f>
        <v>ENTHAL ENGENHARIA</v>
      </c>
      <c r="E2982" s="38" t="str">
        <f>IF(ORCAMENTOS!E2990="","",ORCAMENTOS!E2990)</f>
        <v>-</v>
      </c>
      <c r="F2982" s="37" t="str">
        <f>IF(ORCAMENTOS!G2990="","",ORCAMENTOS!G2990)</f>
        <v>Emanuel</v>
      </c>
      <c r="G2982" s="37" t="str">
        <f>IF(ORCAMENTOS!H2990="","",ORCAMENTOS!H2990)</f>
        <v>Oscar</v>
      </c>
      <c r="H2982" s="39">
        <f>IF(ORCAMENTOS!I2990="","",ORCAMENTOS!I2990)</f>
        <v>6386.67</v>
      </c>
      <c r="I2982" s="60">
        <f>IF(ORCAMENTOS!J2990="","",ORCAMENTOS!J2990)</f>
        <v>0.04</v>
      </c>
      <c r="J2982" s="40" t="str">
        <f>IF(ORCAMENTOS!L2990="","",ORCAMENTOS!L2990)</f>
        <v>ORCAMENTO</v>
      </c>
      <c r="K2982" s="34" t="str">
        <f>IF(ORCAMENTOS!M2990="","",ORCAMENTOS!M2990)</f>
        <v>-</v>
      </c>
      <c r="L2982" t="str">
        <f>IF(ORCAMENTOS!R2990="","",ORCAMENTOS!R2990)</f>
        <v>-</v>
      </c>
    </row>
    <row r="2983" spans="1:12" ht="15.75" hidden="1" customHeight="1" x14ac:dyDescent="0.25">
      <c r="A2983" s="36">
        <f>IF(ORCAMENTOS!A2991="","",ORCAMENTOS!A2991)</f>
        <v>46150</v>
      </c>
      <c r="B2983" s="46">
        <f>IF(ORCAMENTOS!B2991="","",ORCAMENTOS!B2991)</f>
        <v>806</v>
      </c>
      <c r="C2983" s="46" t="str">
        <f>IF(ORCAMENTOS!C2991="","",ORCAMENTOS!C2991)</f>
        <v/>
      </c>
      <c r="D2983" s="37" t="str">
        <f>IF(ORCAMENTOS!D2991="","",ORCAMENTOS!D2991)</f>
        <v>MIT TECH</v>
      </c>
      <c r="E2983" s="38" t="str">
        <f>IF(ORCAMENTOS!E2991="","",ORCAMENTOS!E2991)</f>
        <v>RESIDENCIA UNIFAMILIAR - EDUARDO CORSETTI - RJ</v>
      </c>
      <c r="F2983" s="37" t="str">
        <f>IF(ORCAMENTOS!G2991="","",ORCAMENTOS!G2991)</f>
        <v>Guilherme</v>
      </c>
      <c r="G2983" s="37" t="str">
        <f>IF(ORCAMENTOS!H2991="","",ORCAMENTOS!H2991)</f>
        <v>Daniele</v>
      </c>
      <c r="H2983" s="39">
        <f>IF(ORCAMENTOS!I2991="","",ORCAMENTOS!I2991)</f>
        <v>12813.37</v>
      </c>
      <c r="I2983" s="60">
        <f>IF(ORCAMENTOS!J2991="","",ORCAMENTOS!J2991)</f>
        <v>7.0000000000000007E-2</v>
      </c>
      <c r="J2983" s="40" t="str">
        <f>IF(ORCAMENTOS!L2991="","",ORCAMENTOS!L2991)</f>
        <v>ORCAMENTO</v>
      </c>
      <c r="K2983" s="34" t="str">
        <f>IF(ORCAMENTOS!M2991="","",ORCAMENTOS!M2991)</f>
        <v>-</v>
      </c>
      <c r="L2983" t="str">
        <f>IF(ORCAMENTOS!R2991="","",ORCAMENTOS!R2991)</f>
        <v/>
      </c>
    </row>
    <row r="2984" spans="1:12" ht="15.75" hidden="1" customHeight="1" x14ac:dyDescent="0.25">
      <c r="A2984" s="36">
        <f>IF(ORCAMENTOS!A2992="","",ORCAMENTOS!A2992)</f>
        <v>46150</v>
      </c>
      <c r="B2984" s="46">
        <f>IF(ORCAMENTOS!B2992="","",ORCAMENTOS!B2992)</f>
        <v>807</v>
      </c>
      <c r="C2984" s="46" t="str">
        <f>IF(ORCAMENTOS!C2992="","",ORCAMENTOS!C2992)</f>
        <v/>
      </c>
      <c r="D2984" s="37" t="str">
        <f>IF(ORCAMENTOS!D2992="","",ORCAMENTOS!D2992)</f>
        <v>GLOBAL AR CONDICIONADO</v>
      </c>
      <c r="E2984" s="38" t="str">
        <f>IF(ORCAMENTOS!E2992="","",ORCAMENTOS!E2992)</f>
        <v>HOSPITAL SANCTA MAGGIORE MADAGASCAR - PREVENT SENIOR</v>
      </c>
      <c r="F2984" s="37" t="str">
        <f>IF(ORCAMENTOS!G2992="","",ORCAMENTOS!G2992)</f>
        <v>Emanuel</v>
      </c>
      <c r="G2984" s="37" t="str">
        <f>IF(ORCAMENTOS!H2992="","",ORCAMENTOS!H2992)</f>
        <v>Claudemir</v>
      </c>
      <c r="H2984" s="39">
        <f>IF(ORCAMENTOS!I2992="","",ORCAMENTOS!I2992)</f>
        <v>92747.95</v>
      </c>
      <c r="I2984" s="60">
        <f>IF(ORCAMENTOS!J2992="","",ORCAMENTOS!J2992)</f>
        <v>0.05</v>
      </c>
      <c r="J2984" s="40" t="str">
        <f>IF(ORCAMENTOS!L2992="","",ORCAMENTOS!L2992)</f>
        <v>FECHADO</v>
      </c>
      <c r="K2984" s="34" t="str">
        <f>IF(ORCAMENTOS!M2992="","",ORCAMENTOS!M2992)</f>
        <v>-</v>
      </c>
      <c r="L2984" t="str">
        <f>IF(ORCAMENTOS!R2992="","",ORCAMENTOS!R2992)</f>
        <v>-</v>
      </c>
    </row>
    <row r="2985" spans="1:12" ht="15.75" hidden="1" customHeight="1" x14ac:dyDescent="0.25">
      <c r="A2985" s="36">
        <f>IF(ORCAMENTOS!A2993="","",ORCAMENTOS!A2993)</f>
        <v>46150</v>
      </c>
      <c r="B2985" s="46">
        <f>IF(ORCAMENTOS!B2993="","",ORCAMENTOS!B2993)</f>
        <v>808</v>
      </c>
      <c r="C2985" s="46" t="str">
        <f>IF(ORCAMENTOS!C2993="","",ORCAMENTOS!C2993)</f>
        <v/>
      </c>
      <c r="D2985" s="37" t="str">
        <f>IF(ORCAMENTOS!D2993="","",ORCAMENTOS!D2993)</f>
        <v>2XR ENGENHARIA</v>
      </c>
      <c r="E2985" s="38" t="str">
        <f>IF(ORCAMENTOS!E2993="","",ORCAMENTOS!E2993)</f>
        <v>NISSAN - RIO DE JANEIRO</v>
      </c>
      <c r="F2985" s="37" t="str">
        <f>IF(ORCAMENTOS!G2993="","",ORCAMENTOS!G2993)</f>
        <v>Gabriel</v>
      </c>
      <c r="G2985" s="37" t="str">
        <f>IF(ORCAMENTOS!H2993="","",ORCAMENTOS!H2993)</f>
        <v>Rafael</v>
      </c>
      <c r="H2985" s="39">
        <f>IF(ORCAMENTOS!I2993="","",ORCAMENTOS!I2993)</f>
        <v>219704.31</v>
      </c>
      <c r="I2985" s="60">
        <f>IF(ORCAMENTOS!J2993="","",ORCAMENTOS!J2993)</f>
        <v>7.0000000000000007E-2</v>
      </c>
      <c r="J2985" s="40" t="str">
        <f>IF(ORCAMENTOS!L2993="","",ORCAMENTOS!L2993)</f>
        <v>ORCAMENTO</v>
      </c>
      <c r="K2985" s="34" t="str">
        <f>IF(ORCAMENTOS!M2993="","",ORCAMENTOS!M2993)</f>
        <v>-</v>
      </c>
      <c r="L2985" t="str">
        <f>IF(ORCAMENTOS!R2993="","",ORCAMENTOS!R2993)</f>
        <v/>
      </c>
    </row>
    <row r="2986" spans="1:12" ht="15.75" hidden="1" customHeight="1" x14ac:dyDescent="0.25">
      <c r="A2986" s="36">
        <f>IF(ORCAMENTOS!A2994="","",ORCAMENTOS!A2994)</f>
        <v>46150</v>
      </c>
      <c r="B2986" s="46">
        <f>IF(ORCAMENTOS!B2994="","",ORCAMENTOS!B2994)</f>
        <v>809</v>
      </c>
      <c r="C2986" s="46" t="str">
        <f>IF(ORCAMENTOS!C2994="","",ORCAMENTOS!C2994)</f>
        <v/>
      </c>
      <c r="D2986" s="37" t="str">
        <f>IF(ORCAMENTOS!D2994="","",ORCAMENTOS!D2994)</f>
        <v>NP CLIMATIZAÇÃO</v>
      </c>
      <c r="E2986" s="38" t="str">
        <f>IF(ORCAMENTOS!E2994="","",ORCAMENTOS!E2994)</f>
        <v>LEONARDO GALVAO</v>
      </c>
      <c r="F2986" s="37" t="str">
        <f>IF(ORCAMENTOS!G2994="","",ORCAMENTOS!G2994)</f>
        <v>Guilherme</v>
      </c>
      <c r="G2986" s="37" t="str">
        <f>IF(ORCAMENTOS!H2994="","",ORCAMENTOS!H2994)</f>
        <v>Maria</v>
      </c>
      <c r="H2986" s="39">
        <f>IF(ORCAMENTOS!I2994="","",ORCAMENTOS!I2994)</f>
        <v>14398.4</v>
      </c>
      <c r="I2986" s="60">
        <f>IF(ORCAMENTOS!J2994="","",ORCAMENTOS!J2994)</f>
        <v>7.0000000000000007E-2</v>
      </c>
      <c r="J2986" s="40" t="str">
        <f>IF(ORCAMENTOS!L2994="","",ORCAMENTOS!L2994)</f>
        <v>ORCAMENTO</v>
      </c>
      <c r="K2986" s="34" t="str">
        <f>IF(ORCAMENTOS!M2994="","",ORCAMENTOS!M2994)</f>
        <v>-</v>
      </c>
      <c r="L2986" t="str">
        <f>IF(ORCAMENTOS!R2994="","",ORCAMENTOS!R2994)</f>
        <v>-</v>
      </c>
    </row>
    <row r="2987" spans="1:12" ht="15.75" hidden="1" customHeight="1" x14ac:dyDescent="0.25">
      <c r="A2987" s="36">
        <f>IF(ORCAMENTOS!A2995="","",ORCAMENTOS!A2995)</f>
        <v>46150</v>
      </c>
      <c r="B2987" s="46">
        <f>IF(ORCAMENTOS!B2995="","",ORCAMENTOS!B2995)</f>
        <v>810</v>
      </c>
      <c r="C2987" s="46" t="str">
        <f>IF(ORCAMENTOS!C2995="","",ORCAMENTOS!C2995)</f>
        <v/>
      </c>
      <c r="D2987" s="37" t="str">
        <f>IF(ORCAMENTOS!D2995="","",ORCAMENTOS!D2995)</f>
        <v>HARCO ENGENHARIA</v>
      </c>
      <c r="E2987" s="38" t="str">
        <f>IF(ORCAMENTOS!E2995="","",ORCAMENTOS!E2995)</f>
        <v>COBERTURA DUPLEX MARCELO TEIXEIRA</v>
      </c>
      <c r="F2987" s="37" t="str">
        <f>IF(ORCAMENTOS!G2995="","",ORCAMENTOS!G2995)</f>
        <v>Emanuel</v>
      </c>
      <c r="G2987" s="37" t="str">
        <f>IF(ORCAMENTOS!H2995="","",ORCAMENTOS!H2995)</f>
        <v>Andre</v>
      </c>
      <c r="H2987" s="39">
        <f>IF(ORCAMENTOS!I2995="","",ORCAMENTOS!I2995)</f>
        <v>29194.81</v>
      </c>
      <c r="I2987" s="60">
        <f>IF(ORCAMENTOS!J2995="","",ORCAMENTOS!J2995)</f>
        <v>0.04</v>
      </c>
      <c r="J2987" s="40" t="str">
        <f>IF(ORCAMENTOS!L2995="","",ORCAMENTOS!L2995)</f>
        <v>FECHADO</v>
      </c>
      <c r="K2987" s="34" t="str">
        <f>IF(ORCAMENTOS!M2995="","",ORCAMENTOS!M2995)</f>
        <v>AGUARDANDO PEDIDO</v>
      </c>
      <c r="L2987" t="str">
        <f>IF(ORCAMENTOS!R2995="","",ORCAMENTOS!R2995)</f>
        <v>-</v>
      </c>
    </row>
    <row r="2988" spans="1:12" ht="15.75" hidden="1" customHeight="1" x14ac:dyDescent="0.25">
      <c r="A2988" s="36">
        <f>IF(ORCAMENTOS!A2996="","",ORCAMENTOS!A2996)</f>
        <v>46150</v>
      </c>
      <c r="B2988" s="46">
        <f>IF(ORCAMENTOS!B2996="","",ORCAMENTOS!B2996)</f>
        <v>811</v>
      </c>
      <c r="C2988" s="46" t="str">
        <f>IF(ORCAMENTOS!C2996="","",ORCAMENTOS!C2996)</f>
        <v/>
      </c>
      <c r="D2988" s="37" t="str">
        <f>IF(ORCAMENTOS!D2996="","",ORCAMENTOS!D2996)</f>
        <v>RAFAEL DA COSTA</v>
      </c>
      <c r="E2988" s="38" t="str">
        <f>IF(ORCAMENTOS!E2996="","",ORCAMENTOS!E2996)</f>
        <v>CHAPADAO - MS</v>
      </c>
      <c r="F2988" s="37" t="str">
        <f>IF(ORCAMENTOS!G2996="","",ORCAMENTOS!G2996)</f>
        <v>Gabriel</v>
      </c>
      <c r="G2988" s="37" t="str">
        <f>IF(ORCAMENTOS!H2996="","",ORCAMENTOS!H2996)</f>
        <v>Rafael</v>
      </c>
      <c r="H2988" s="39">
        <f>IF(ORCAMENTOS!I2996="","",ORCAMENTOS!I2996)</f>
        <v>147783.4</v>
      </c>
      <c r="I2988" s="60">
        <f>IF(ORCAMENTOS!J2996="","",ORCAMENTOS!J2996)</f>
        <v>7.0000000000000007E-2</v>
      </c>
      <c r="J2988" s="40" t="str">
        <f>IF(ORCAMENTOS!L2996="","",ORCAMENTOS!L2996)</f>
        <v>ORCAMENTO</v>
      </c>
      <c r="K2988" s="34" t="str">
        <f>IF(ORCAMENTOS!M2996="","",ORCAMENTOS!M2996)</f>
        <v>-</v>
      </c>
      <c r="L2988" t="str">
        <f>IF(ORCAMENTOS!R2996="","",ORCAMENTOS!R2996)</f>
        <v>N/E</v>
      </c>
    </row>
    <row r="2989" spans="1:12" ht="15.75" hidden="1" customHeight="1" x14ac:dyDescent="0.25">
      <c r="A2989" s="36">
        <f>IF(ORCAMENTOS!A2997="","",ORCAMENTOS!A2997)</f>
        <v>46150</v>
      </c>
      <c r="B2989" s="46">
        <f>IF(ORCAMENTOS!B2997="","",ORCAMENTOS!B2997)</f>
        <v>812</v>
      </c>
      <c r="C2989" s="46" t="str">
        <f>IF(ORCAMENTOS!C2997="","",ORCAMENTOS!C2997)</f>
        <v/>
      </c>
      <c r="D2989" s="37" t="str">
        <f>IF(ORCAMENTOS!D2997="","",ORCAMENTOS!D2997)</f>
        <v>MVJ DUTOS</v>
      </c>
      <c r="E2989" s="38" t="str">
        <f>IF(ORCAMENTOS!E2997="","",ORCAMENTOS!E2997)</f>
        <v>-</v>
      </c>
      <c r="F2989" s="37" t="str">
        <f>IF(ORCAMENTOS!G2997="","",ORCAMENTOS!G2997)</f>
        <v>Gabriel</v>
      </c>
      <c r="G2989" s="37" t="str">
        <f>IF(ORCAMENTOS!H2997="","",ORCAMENTOS!H2997)</f>
        <v>Bruno</v>
      </c>
      <c r="H2989" s="39">
        <f>IF(ORCAMENTOS!I2997="","",ORCAMENTOS!I2997)</f>
        <v>18642.16</v>
      </c>
      <c r="I2989" s="60">
        <f>IF(ORCAMENTOS!J2997="","",ORCAMENTOS!J2997)</f>
        <v>7.0000000000000007E-2</v>
      </c>
      <c r="J2989" s="40" t="str">
        <f>IF(ORCAMENTOS!L2997="","",ORCAMENTOS!L2997)</f>
        <v>ORCAMENTO</v>
      </c>
      <c r="K2989" s="34" t="str">
        <f>IF(ORCAMENTOS!M2997="","",ORCAMENTOS!M2997)</f>
        <v>-</v>
      </c>
      <c r="L2989" t="str">
        <f>IF(ORCAMENTOS!R2997="","",ORCAMENTOS!R2997)</f>
        <v>-</v>
      </c>
    </row>
    <row r="2990" spans="1:12" ht="15.75" hidden="1" customHeight="1" x14ac:dyDescent="0.25">
      <c r="A2990" s="36">
        <f>IF(ORCAMENTOS!A2998="","",ORCAMENTOS!A2998)</f>
        <v>46150</v>
      </c>
      <c r="B2990" s="46">
        <f>IF(ORCAMENTOS!B2998="","",ORCAMENTOS!B2998)</f>
        <v>813</v>
      </c>
      <c r="C2990" s="46" t="str">
        <f>IF(ORCAMENTOS!C2998="","",ORCAMENTOS!C2998)</f>
        <v/>
      </c>
      <c r="D2990" s="37" t="str">
        <f>IF(ORCAMENTOS!D2998="","",ORCAMENTOS!D2998)</f>
        <v>ADRIATIC</v>
      </c>
      <c r="E2990" s="38" t="str">
        <f>IF(ORCAMENTOS!E2998="","",ORCAMENTOS!E2998)</f>
        <v>-</v>
      </c>
      <c r="F2990" s="37" t="str">
        <f>IF(ORCAMENTOS!G2998="","",ORCAMENTOS!G2998)</f>
        <v>Emanuel</v>
      </c>
      <c r="G2990" s="37" t="str">
        <f>IF(ORCAMENTOS!H2998="","",ORCAMENTOS!H2998)</f>
        <v>Erika</v>
      </c>
      <c r="H2990" s="39">
        <f>IF(ORCAMENTOS!I2998="","",ORCAMENTOS!I2998)</f>
        <v>28474.080000000002</v>
      </c>
      <c r="I2990" s="60">
        <f>IF(ORCAMENTOS!J2998="","",ORCAMENTOS!J2998)</f>
        <v>0.05</v>
      </c>
      <c r="J2990" s="40" t="str">
        <f>IF(ORCAMENTOS!L2998="","",ORCAMENTOS!L2998)</f>
        <v>CANCELADO</v>
      </c>
      <c r="K2990" s="34" t="str">
        <f>IF(ORCAMENTOS!M2998="","",ORCAMENTOS!M2998)</f>
        <v>-</v>
      </c>
      <c r="L2990" t="str">
        <f>IF(ORCAMENTOS!R2998="","",ORCAMENTOS!R2998)</f>
        <v>-</v>
      </c>
    </row>
    <row r="2991" spans="1:12" ht="15.75" hidden="1" customHeight="1" x14ac:dyDescent="0.25">
      <c r="A2991" s="36">
        <f>IF(ORCAMENTOS!A2999="","",ORCAMENTOS!A2999)</f>
        <v>46154</v>
      </c>
      <c r="B2991" s="46">
        <f>IF(ORCAMENTOS!B2999="","",ORCAMENTOS!B2999)</f>
        <v>814</v>
      </c>
      <c r="C2991" s="46" t="str">
        <f>IF(ORCAMENTOS!C2999="","",ORCAMENTOS!C2999)</f>
        <v>R2</v>
      </c>
      <c r="D2991" s="37" t="str">
        <f>IF(ORCAMENTOS!D2999="","",ORCAMENTOS!D2999)</f>
        <v>VELTTER ENGENHARIA</v>
      </c>
      <c r="E2991" s="38" t="str">
        <f>IF(ORCAMENTOS!E2999="","",ORCAMENTOS!E2999)</f>
        <v>-</v>
      </c>
      <c r="F2991" s="37" t="str">
        <f>IF(ORCAMENTOS!G2999="","",ORCAMENTOS!G2999)</f>
        <v>Gabriel</v>
      </c>
      <c r="G2991" s="37" t="str">
        <f>IF(ORCAMENTOS!H2999="","",ORCAMENTOS!H2999)</f>
        <v>Wilian</v>
      </c>
      <c r="H2991" s="39">
        <f>IF(ORCAMENTOS!I2999="","",ORCAMENTOS!I2999)</f>
        <v>3144.82</v>
      </c>
      <c r="I2991" s="60">
        <f>IF(ORCAMENTOS!J2999="","",ORCAMENTOS!J2999)</f>
        <v>0.05</v>
      </c>
      <c r="J2991" s="40" t="str">
        <f>IF(ORCAMENTOS!L2999="","",ORCAMENTOS!L2999)</f>
        <v>ORCAMENTO</v>
      </c>
      <c r="K2991" s="34" t="str">
        <f>IF(ORCAMENTOS!M2999="","",ORCAMENTOS!M2999)</f>
        <v>-</v>
      </c>
      <c r="L2991" t="str">
        <f>IF(ORCAMENTOS!R2999="","",ORCAMENTOS!R2999)</f>
        <v>-</v>
      </c>
    </row>
    <row r="2992" spans="1:12" ht="15.75" hidden="1" customHeight="1" x14ac:dyDescent="0.25">
      <c r="A2992" s="36">
        <f>IF(ORCAMENTOS!A3000="","",ORCAMENTOS!A3000)</f>
        <v>46150</v>
      </c>
      <c r="B2992" s="46">
        <f>IF(ORCAMENTOS!B3000="","",ORCAMENTOS!B3000)</f>
        <v>815</v>
      </c>
      <c r="C2992" s="46" t="str">
        <f>IF(ORCAMENTOS!C3000="","",ORCAMENTOS!C3000)</f>
        <v/>
      </c>
      <c r="D2992" s="37" t="str">
        <f>IF(ORCAMENTOS!D3000="","",ORCAMENTOS!D3000)</f>
        <v>INOVECTOR</v>
      </c>
      <c r="E2992" s="38">
        <f>IF(ORCAMENTOS!E3000="","",ORCAMENTOS!E3000)</f>
        <v>2026000333</v>
      </c>
      <c r="F2992" s="37" t="str">
        <f>IF(ORCAMENTOS!G3000="","",ORCAMENTOS!G3000)</f>
        <v>Fernando</v>
      </c>
      <c r="G2992" s="37" t="str">
        <f>IF(ORCAMENTOS!H3000="","",ORCAMENTOS!H3000)</f>
        <v>Eliete</v>
      </c>
      <c r="H2992" s="39">
        <f>IF(ORCAMENTOS!I3000="","",ORCAMENTOS!I3000)</f>
        <v>24343.84</v>
      </c>
      <c r="I2992" s="60">
        <f>IF(ORCAMENTOS!J3000="","",ORCAMENTOS!J3000)</f>
        <v>0.04</v>
      </c>
      <c r="J2992" s="40" t="str">
        <f>IF(ORCAMENTOS!L3000="","",ORCAMENTOS!L3000)</f>
        <v>FECHADO</v>
      </c>
      <c r="K2992" s="34" t="str">
        <f>IF(ORCAMENTOS!M3000="","",ORCAMENTOS!M3000)</f>
        <v>-</v>
      </c>
      <c r="L2992" t="str">
        <f>IF(ORCAMENTOS!R3000="","",ORCAMENTOS!R3000)</f>
        <v>-</v>
      </c>
    </row>
    <row r="2993" spans="1:12" ht="15.75" hidden="1" customHeight="1" x14ac:dyDescent="0.25">
      <c r="A2993" s="36">
        <f>IF(ORCAMENTOS!A3001="","",ORCAMENTOS!A3001)</f>
        <v>46153</v>
      </c>
      <c r="B2993" s="46">
        <f>IF(ORCAMENTOS!B3001="","",ORCAMENTOS!B3001)</f>
        <v>816</v>
      </c>
      <c r="C2993" s="46" t="str">
        <f>IF(ORCAMENTOS!C3001="","",ORCAMENTOS!C3001)</f>
        <v>R1</v>
      </c>
      <c r="D2993" s="37" t="str">
        <f>IF(ORCAMENTOS!D3001="","",ORCAMENTOS!D3001)</f>
        <v>ISOTEMP</v>
      </c>
      <c r="E2993" s="38" t="str">
        <f>IF(ORCAMENTOS!E3001="","",ORCAMENTOS!E3001)</f>
        <v>HUNTINGTON</v>
      </c>
      <c r="F2993" s="37" t="str">
        <f>IF(ORCAMENTOS!G3001="","",ORCAMENTOS!G3001)</f>
        <v>Michel</v>
      </c>
      <c r="G2993" s="37" t="str">
        <f>IF(ORCAMENTOS!H3001="","",ORCAMENTOS!H3001)</f>
        <v>Vinicius</v>
      </c>
      <c r="H2993" s="39">
        <f>IF(ORCAMENTOS!I3001="","",ORCAMENTOS!I3001)</f>
        <v>3277.71</v>
      </c>
      <c r="I2993" s="60">
        <f>IF(ORCAMENTOS!J3001="","",ORCAMENTOS!J3001)</f>
        <v>0.04</v>
      </c>
      <c r="J2993" s="40" t="str">
        <f>IF(ORCAMENTOS!L3001="","",ORCAMENTOS!L3001)</f>
        <v>FECHADO</v>
      </c>
      <c r="K2993" s="34" t="str">
        <f>IF(ORCAMENTOS!M3001="","",ORCAMENTOS!M3001)</f>
        <v>REVENDA</v>
      </c>
      <c r="L2993" t="str">
        <f>IF(ORCAMENTOS!R3001="","",ORCAMENTOS!R3001)</f>
        <v>-</v>
      </c>
    </row>
    <row r="2994" spans="1:12" ht="15.75" hidden="1" customHeight="1" x14ac:dyDescent="0.25">
      <c r="A2994" s="36">
        <f>IF(ORCAMENTOS!A3002="","",ORCAMENTOS!A3002)</f>
        <v>46153</v>
      </c>
      <c r="B2994" s="46">
        <f>IF(ORCAMENTOS!B3002="","",ORCAMENTOS!B3002)</f>
        <v>817</v>
      </c>
      <c r="C2994" s="46" t="str">
        <f>IF(ORCAMENTOS!C3002="","",ORCAMENTOS!C3002)</f>
        <v/>
      </c>
      <c r="D2994" s="37" t="str">
        <f>IF(ORCAMENTOS!D3002="","",ORCAMENTOS!D3002)</f>
        <v>AVANT ENGENHARIA</v>
      </c>
      <c r="E2994" s="38" t="str">
        <f>IF(ORCAMENTOS!E3002="","",ORCAMENTOS!E3002)</f>
        <v>-</v>
      </c>
      <c r="F2994" s="37" t="str">
        <f>IF(ORCAMENTOS!G3002="","",ORCAMENTOS!G3002)</f>
        <v>Gabriel</v>
      </c>
      <c r="G2994" s="37" t="str">
        <f>IF(ORCAMENTOS!H3002="","",ORCAMENTOS!H3002)</f>
        <v>Marcelo</v>
      </c>
      <c r="H2994" s="39">
        <f>IF(ORCAMENTOS!I3002="","",ORCAMENTOS!I3002)</f>
        <v>5814.96</v>
      </c>
      <c r="I2994" s="60">
        <f>IF(ORCAMENTOS!J3002="","",ORCAMENTOS!J3002)</f>
        <v>7.0000000000000007E-2</v>
      </c>
      <c r="J2994" s="40" t="str">
        <f>IF(ORCAMENTOS!L3002="","",ORCAMENTOS!L3002)</f>
        <v>ORCAMENTO</v>
      </c>
      <c r="K2994" s="34" t="str">
        <f>IF(ORCAMENTOS!M3002="","",ORCAMENTOS!M3002)</f>
        <v>-</v>
      </c>
      <c r="L2994" t="str">
        <f>IF(ORCAMENTOS!R3002="","",ORCAMENTOS!R3002)</f>
        <v>-</v>
      </c>
    </row>
    <row r="2995" spans="1:12" ht="15.75" hidden="1" customHeight="1" x14ac:dyDescent="0.25">
      <c r="A2995" s="36">
        <f>IF(ORCAMENTOS!A3003="","",ORCAMENTOS!A3003)</f>
        <v>46153</v>
      </c>
      <c r="B2995" s="46">
        <f>IF(ORCAMENTOS!B3003="","",ORCAMENTOS!B3003)</f>
        <v>818</v>
      </c>
      <c r="C2995" s="46" t="str">
        <f>IF(ORCAMENTOS!C3003="","",ORCAMENTOS!C3003)</f>
        <v/>
      </c>
      <c r="D2995" s="37" t="str">
        <f>IF(ORCAMENTOS!D3003="","",ORCAMENTOS!D3003)</f>
        <v>HARCO ENGENHARIA</v>
      </c>
      <c r="E2995" s="38" t="str">
        <f>IF(ORCAMENTOS!E3003="","",ORCAMENTOS!E3003)</f>
        <v>UNIVERSIDADE DE SAO PAULO - USP - CAMPUS CAPITAL</v>
      </c>
      <c r="F2995" s="37" t="str">
        <f>IF(ORCAMENTOS!G3003="","",ORCAMENTOS!G3003)</f>
        <v>Emanuel</v>
      </c>
      <c r="G2995" s="37" t="str">
        <f>IF(ORCAMENTOS!H3003="","",ORCAMENTOS!H3003)</f>
        <v>Andre</v>
      </c>
      <c r="H2995" s="39">
        <f>IF(ORCAMENTOS!I3003="","",ORCAMENTOS!I3003)</f>
        <v>69475.88</v>
      </c>
      <c r="I2995" s="60">
        <f>IF(ORCAMENTOS!J3003="","",ORCAMENTOS!J3003)</f>
        <v>0.04</v>
      </c>
      <c r="J2995" s="40" t="str">
        <f>IF(ORCAMENTOS!L3003="","",ORCAMENTOS!L3003)</f>
        <v>ORCAMENTO</v>
      </c>
      <c r="K2995" s="34" t="str">
        <f>IF(ORCAMENTOS!M3003="","",ORCAMENTOS!M3003)</f>
        <v>-</v>
      </c>
      <c r="L2995" t="str">
        <f>IF(ORCAMENTOS!R3003="","",ORCAMENTOS!R3003)</f>
        <v>CHAPA DE ACO GALVANIZADO</v>
      </c>
    </row>
    <row r="2996" spans="1:12" ht="15.75" hidden="1" customHeight="1" x14ac:dyDescent="0.25">
      <c r="A2996" s="36">
        <f>IF(ORCAMENTOS!A3004="","",ORCAMENTOS!A3004)</f>
        <v>46153</v>
      </c>
      <c r="B2996" s="46">
        <f>IF(ORCAMENTOS!B3004="","",ORCAMENTOS!B3004)</f>
        <v>819</v>
      </c>
      <c r="C2996" s="46" t="str">
        <f>IF(ORCAMENTOS!C3004="","",ORCAMENTOS!C3004)</f>
        <v/>
      </c>
      <c r="D2996" s="37" t="str">
        <f>IF(ORCAMENTOS!D3004="","",ORCAMENTOS!D3004)</f>
        <v>UNION RHAC</v>
      </c>
      <c r="E2996" s="38" t="str">
        <f>IF(ORCAMENTOS!E3004="","",ORCAMENTOS!E3004)</f>
        <v>-</v>
      </c>
      <c r="F2996" s="37" t="str">
        <f>IF(ORCAMENTOS!G3004="","",ORCAMENTOS!G3004)</f>
        <v>Emanuel</v>
      </c>
      <c r="G2996" s="37" t="str">
        <f>IF(ORCAMENTOS!H3004="","",ORCAMENTOS!H3004)</f>
        <v>Rosana</v>
      </c>
      <c r="H2996" s="39">
        <f>IF(ORCAMENTOS!I3004="","",ORCAMENTOS!I3004)</f>
        <v>10803.91</v>
      </c>
      <c r="I2996" s="60">
        <f>IF(ORCAMENTOS!J3004="","",ORCAMENTOS!J3004)</f>
        <v>7.0000000000000007E-2</v>
      </c>
      <c r="J2996" s="40" t="str">
        <f>IF(ORCAMENTOS!L3004="","",ORCAMENTOS!L3004)</f>
        <v>ORCAMENTO</v>
      </c>
      <c r="K2996" s="34" t="str">
        <f>IF(ORCAMENTOS!M3004="","",ORCAMENTOS!M3004)</f>
        <v>-</v>
      </c>
      <c r="L2996" t="str">
        <f>IF(ORCAMENTOS!R3004="","",ORCAMENTOS!R3004)</f>
        <v>-</v>
      </c>
    </row>
    <row r="2997" spans="1:12" ht="15.75" hidden="1" customHeight="1" x14ac:dyDescent="0.25">
      <c r="A2997" s="36">
        <f>IF(ORCAMENTOS!A3005="","",ORCAMENTOS!A3005)</f>
        <v>46153</v>
      </c>
      <c r="B2997" s="46">
        <f>IF(ORCAMENTOS!B3005="","",ORCAMENTOS!B3005)</f>
        <v>820</v>
      </c>
      <c r="C2997" s="46" t="str">
        <f>IF(ORCAMENTOS!C3005="","",ORCAMENTOS!C3005)</f>
        <v/>
      </c>
      <c r="D2997" s="37" t="str">
        <f>IF(ORCAMENTOS!D3005="","",ORCAMENTOS!D3005)</f>
        <v>COLD CONTROL</v>
      </c>
      <c r="E2997" s="38" t="str">
        <f>IF(ORCAMENTOS!E3005="","",ORCAMENTOS!E3005)</f>
        <v>BRADESCO - JARDIM PAULISTA - SP</v>
      </c>
      <c r="F2997" s="37" t="str">
        <f>IF(ORCAMENTOS!G3005="","",ORCAMENTOS!G3005)</f>
        <v>Emanuel</v>
      </c>
      <c r="G2997" s="37" t="str">
        <f>IF(ORCAMENTOS!H3005="","",ORCAMENTOS!H3005)</f>
        <v>Marcelo</v>
      </c>
      <c r="H2997" s="39">
        <f>IF(ORCAMENTOS!I3005="","",ORCAMENTOS!I3005)</f>
        <v>35668.019999999997</v>
      </c>
      <c r="I2997" s="60">
        <f>IF(ORCAMENTOS!J3005="","",ORCAMENTOS!J3005)</f>
        <v>7.0000000000000007E-2</v>
      </c>
      <c r="J2997" s="40" t="str">
        <f>IF(ORCAMENTOS!L3005="","",ORCAMENTOS!L3005)</f>
        <v>ORCAMENTO</v>
      </c>
      <c r="K2997" s="34" t="str">
        <f>IF(ORCAMENTOS!M3005="","",ORCAMENTOS!M3005)</f>
        <v>-</v>
      </c>
      <c r="L2997" t="str">
        <f>IF(ORCAMENTOS!R3005="","",ORCAMENTOS!R3005)</f>
        <v>MPU</v>
      </c>
    </row>
    <row r="2998" spans="1:12" ht="15.75" hidden="1" customHeight="1" x14ac:dyDescent="0.25">
      <c r="A2998" s="36">
        <f>IF(ORCAMENTOS!A3006="","",ORCAMENTOS!A3006)</f>
        <v>46154</v>
      </c>
      <c r="B2998" s="46">
        <f>IF(ORCAMENTOS!B3006="","",ORCAMENTOS!B3006)</f>
        <v>821</v>
      </c>
      <c r="C2998" s="46" t="str">
        <f>IF(ORCAMENTOS!C3006="","",ORCAMENTOS!C3006)</f>
        <v>R2</v>
      </c>
      <c r="D2998" s="37" t="str">
        <f>IF(ORCAMENTOS!D3006="","",ORCAMENTOS!D3006)</f>
        <v>COLDTERMICA</v>
      </c>
      <c r="E2998" s="38" t="str">
        <f>IF(ORCAMENTOS!E3006="","",ORCAMENTOS!E3006)</f>
        <v>RIACHUELO - LAVRAS - MG</v>
      </c>
      <c r="F2998" s="37" t="str">
        <f>IF(ORCAMENTOS!G3006="","",ORCAMENTOS!G3006)</f>
        <v>Gabriel</v>
      </c>
      <c r="G2998" s="37" t="str">
        <f>IF(ORCAMENTOS!H3006="","",ORCAMENTOS!H3006)</f>
        <v>Nice</v>
      </c>
      <c r="H2998" s="39">
        <f>IF(ORCAMENTOS!I3006="","",ORCAMENTOS!I3006)</f>
        <v>45865.86</v>
      </c>
      <c r="I2998" s="60">
        <f>IF(ORCAMENTOS!J3006="","",ORCAMENTOS!J3006)</f>
        <v>0.03</v>
      </c>
      <c r="J2998" s="40" t="str">
        <f>IF(ORCAMENTOS!L3006="","",ORCAMENTOS!L3006)</f>
        <v>FECHADO</v>
      </c>
      <c r="K2998" s="34" t="str">
        <f>IF(ORCAMENTOS!M3006="","",ORCAMENTOS!M3006)</f>
        <v>-</v>
      </c>
      <c r="L2998" t="str">
        <f>IF(ORCAMENTOS!R3006="","",ORCAMENTOS!R3006)</f>
        <v>-</v>
      </c>
    </row>
    <row r="2999" spans="1:12" ht="15.75" hidden="1" customHeight="1" x14ac:dyDescent="0.25">
      <c r="A2999" s="36">
        <f>IF(ORCAMENTOS!A3007="","",ORCAMENTOS!A3007)</f>
        <v>46154</v>
      </c>
      <c r="B2999" s="46">
        <f>IF(ORCAMENTOS!B3007="","",ORCAMENTOS!B3007)</f>
        <v>822</v>
      </c>
      <c r="C2999" s="46" t="str">
        <f>IF(ORCAMENTOS!C3007="","",ORCAMENTOS!C3007)</f>
        <v/>
      </c>
      <c r="D2999" s="37" t="str">
        <f>IF(ORCAMENTOS!D3007="","",ORCAMENTOS!D3007)</f>
        <v>FERCALLI</v>
      </c>
      <c r="E2999" s="38" t="str">
        <f>IF(ORCAMENTOS!E3007="","",ORCAMENTOS!E3007)</f>
        <v>NOURYON - ITUPEVA - SP</v>
      </c>
      <c r="F2999" s="37" t="str">
        <f>IF(ORCAMENTOS!G3007="","",ORCAMENTOS!G3007)</f>
        <v>Gabriel</v>
      </c>
      <c r="G2999" s="37" t="str">
        <f>IF(ORCAMENTOS!H3007="","",ORCAMENTOS!H3007)</f>
        <v>Eduardo</v>
      </c>
      <c r="H2999" s="39">
        <f>IF(ORCAMENTOS!I3007="","",ORCAMENTOS!I3007)</f>
        <v>10062.33</v>
      </c>
      <c r="I2999" s="60">
        <f>IF(ORCAMENTOS!J3007="","",ORCAMENTOS!J3007)</f>
        <v>7.0000000000000007E-2</v>
      </c>
      <c r="J2999" s="40" t="str">
        <f>IF(ORCAMENTOS!L3007="","",ORCAMENTOS!L3007)</f>
        <v>ORCAMENTO</v>
      </c>
      <c r="K2999" s="34" t="str">
        <f>IF(ORCAMENTOS!M3007="","",ORCAMENTOS!M3007)</f>
        <v>-</v>
      </c>
      <c r="L2999" t="str">
        <f>IF(ORCAMENTOS!R3007="","",ORCAMENTOS!R3007)</f>
        <v>-</v>
      </c>
    </row>
    <row r="3000" spans="1:12" ht="15.75" hidden="1" customHeight="1" x14ac:dyDescent="0.25">
      <c r="A3000" s="36">
        <f>IF(ORCAMENTOS!A3008="","",ORCAMENTOS!A3008)</f>
        <v>46154</v>
      </c>
      <c r="B3000" s="46">
        <f>IF(ORCAMENTOS!B3008="","",ORCAMENTOS!B3008)</f>
        <v>823</v>
      </c>
      <c r="C3000" s="46" t="str">
        <f>IF(ORCAMENTOS!C3008="","",ORCAMENTOS!C3008)</f>
        <v/>
      </c>
      <c r="D3000" s="37" t="str">
        <f>IF(ORCAMENTOS!D3008="","",ORCAMENTOS!D3008)</f>
        <v>OLIVEAR</v>
      </c>
      <c r="E3000" s="38" t="str">
        <f>IF(ORCAMENTOS!E3008="","",ORCAMENTOS!E3008)</f>
        <v>CHAMA SUPERMERCADO - GUARULHOS - SP</v>
      </c>
      <c r="F3000" s="37" t="str">
        <f>IF(ORCAMENTOS!G3008="","",ORCAMENTOS!G3008)</f>
        <v>Gabriel</v>
      </c>
      <c r="G3000" s="37" t="str">
        <f>IF(ORCAMENTOS!H3008="","",ORCAMENTOS!H3008)</f>
        <v>Eraldo</v>
      </c>
      <c r="H3000" s="39">
        <f>IF(ORCAMENTOS!I3008="","",ORCAMENTOS!I3008)</f>
        <v>59718.71</v>
      </c>
      <c r="I3000" s="60">
        <f>IF(ORCAMENTOS!J3008="","",ORCAMENTOS!J3008)</f>
        <v>7.0000000000000007E-2</v>
      </c>
      <c r="J3000" s="40" t="str">
        <f>IF(ORCAMENTOS!L3008="","",ORCAMENTOS!L3008)</f>
        <v>ORCAMENTO</v>
      </c>
      <c r="K3000" s="34" t="str">
        <f>IF(ORCAMENTOS!M3008="","",ORCAMENTOS!M3008)</f>
        <v>-</v>
      </c>
      <c r="L3000" t="str">
        <f>IF(ORCAMENTOS!R3008="","",ORCAMENTOS!R3008)</f>
        <v>MPU</v>
      </c>
    </row>
    <row r="3001" spans="1:12" ht="15.75" hidden="1" customHeight="1" x14ac:dyDescent="0.25">
      <c r="A3001" s="36">
        <f>IF(ORCAMENTOS!A3009="","",ORCAMENTOS!A3009)</f>
        <v>46154</v>
      </c>
      <c r="B3001" s="46">
        <f>IF(ORCAMENTOS!B3009="","",ORCAMENTOS!B3009)</f>
        <v>824</v>
      </c>
      <c r="C3001" s="46" t="str">
        <f>IF(ORCAMENTOS!C3009="","",ORCAMENTOS!C3009)</f>
        <v/>
      </c>
      <c r="D3001" s="37" t="str">
        <f>IF(ORCAMENTOS!D3009="","",ORCAMENTOS!D3009)</f>
        <v>FUTURA AR</v>
      </c>
      <c r="E3001" s="38" t="str">
        <f>IF(ORCAMENTOS!E3009="","",ORCAMENTOS!E3009)</f>
        <v>-</v>
      </c>
      <c r="F3001" s="37" t="str">
        <f>IF(ORCAMENTOS!G3009="","",ORCAMENTOS!G3009)</f>
        <v>Emanuel</v>
      </c>
      <c r="G3001" s="37" t="str">
        <f>IF(ORCAMENTOS!H3009="","",ORCAMENTOS!H3009)</f>
        <v>Carlos</v>
      </c>
      <c r="H3001" s="39">
        <f>IF(ORCAMENTOS!I3009="","",ORCAMENTOS!I3009)</f>
        <v>8364.82</v>
      </c>
      <c r="I3001" s="60">
        <f>IF(ORCAMENTOS!J3009="","",ORCAMENTOS!J3009)</f>
        <v>0.04</v>
      </c>
      <c r="J3001" s="40" t="str">
        <f>IF(ORCAMENTOS!L3009="","",ORCAMENTOS!L3009)</f>
        <v>ORCAMENTO</v>
      </c>
      <c r="K3001" s="34" t="str">
        <f>IF(ORCAMENTOS!M3009="","",ORCAMENTOS!M3009)</f>
        <v>-</v>
      </c>
      <c r="L3001" t="str">
        <f>IF(ORCAMENTOS!R3009="","",ORCAMENTOS!R3009)</f>
        <v>-</v>
      </c>
    </row>
    <row r="3002" spans="1:12" ht="15.75" hidden="1" customHeight="1" x14ac:dyDescent="0.25">
      <c r="A3002" s="36">
        <f>IF(ORCAMENTOS!A3010="","",ORCAMENTOS!A3010)</f>
        <v>46154</v>
      </c>
      <c r="B3002" s="46">
        <f>IF(ORCAMENTOS!B3010="","",ORCAMENTOS!B3010)</f>
        <v>825</v>
      </c>
      <c r="C3002" s="46" t="str">
        <f>IF(ORCAMENTOS!C3010="","",ORCAMENTOS!C3010)</f>
        <v>R1</v>
      </c>
      <c r="D3002" s="37" t="str">
        <f>IF(ORCAMENTOS!D3010="","",ORCAMENTOS!D3010)</f>
        <v>AMS INSTALACOES</v>
      </c>
      <c r="E3002" s="38" t="str">
        <f>IF(ORCAMENTOS!E3010="","",ORCAMENTOS!E3010)</f>
        <v>ATACADAO - GULLIVER - JUAZEIRO DO NORTE - CE</v>
      </c>
      <c r="F3002" s="37" t="str">
        <f>IF(ORCAMENTOS!G3010="","",ORCAMENTOS!G3010)</f>
        <v>Gabriel</v>
      </c>
      <c r="G3002" s="37" t="str">
        <f>IF(ORCAMENTOS!H3010="","",ORCAMENTOS!H3010)</f>
        <v>Albertino</v>
      </c>
      <c r="H3002" s="39">
        <f>IF(ORCAMENTOS!I3010="","",ORCAMENTOS!I3010)</f>
        <v>242788.2</v>
      </c>
      <c r="I3002" s="60">
        <f>IF(ORCAMENTOS!J3010="","",ORCAMENTOS!J3010)</f>
        <v>7.0000000000000007E-2</v>
      </c>
      <c r="J3002" s="40" t="str">
        <f>IF(ORCAMENTOS!L3010="","",ORCAMENTOS!L3010)</f>
        <v>ORCAMENTO</v>
      </c>
      <c r="K3002" s="34" t="str">
        <f>IF(ORCAMENTOS!M3010="","",ORCAMENTOS!M3010)</f>
        <v>-</v>
      </c>
      <c r="L3002" t="str">
        <f>IF(ORCAMENTOS!R3010="","",ORCAMENTOS!R3010)</f>
        <v>-</v>
      </c>
    </row>
    <row r="3003" spans="1:12" ht="15.75" hidden="1" customHeight="1" x14ac:dyDescent="0.25">
      <c r="A3003" s="36">
        <f>IF(ORCAMENTOS!A3011="","",ORCAMENTOS!A3011)</f>
        <v>46154</v>
      </c>
      <c r="B3003" s="46">
        <f>IF(ORCAMENTOS!B3011="","",ORCAMENTOS!B3011)</f>
        <v>826</v>
      </c>
      <c r="C3003" s="46" t="str">
        <f>IF(ORCAMENTOS!C3011="","",ORCAMENTOS!C3011)</f>
        <v/>
      </c>
      <c r="D3003" s="37" t="str">
        <f>IF(ORCAMENTOS!D3011="","",ORCAMENTOS!D3011)</f>
        <v>HEATING COOLING</v>
      </c>
      <c r="E3003" s="38" t="str">
        <f>IF(ORCAMENTOS!E3011="","",ORCAMENTOS!E3011)</f>
        <v>-</v>
      </c>
      <c r="F3003" s="37" t="str">
        <f>IF(ORCAMENTOS!G3011="","",ORCAMENTOS!G3011)</f>
        <v>Gabriel</v>
      </c>
      <c r="G3003" s="37" t="str">
        <f>IF(ORCAMENTOS!H3011="","",ORCAMENTOS!H3011)</f>
        <v>Vanessa</v>
      </c>
      <c r="H3003" s="39">
        <f>IF(ORCAMENTOS!I3011="","",ORCAMENTOS!I3011)</f>
        <v>6554.94</v>
      </c>
      <c r="I3003" s="60">
        <f>IF(ORCAMENTOS!J3011="","",ORCAMENTOS!J3011)</f>
        <v>7.0000000000000007E-2</v>
      </c>
      <c r="J3003" s="40" t="str">
        <f>IF(ORCAMENTOS!L3011="","",ORCAMENTOS!L3011)</f>
        <v>ORCAMENTO</v>
      </c>
      <c r="K3003" s="34" t="str">
        <f>IF(ORCAMENTOS!M3011="","",ORCAMENTOS!M3011)</f>
        <v>-</v>
      </c>
      <c r="L3003" t="str">
        <f>IF(ORCAMENTOS!R3011="","",ORCAMENTOS!R3011)</f>
        <v>-</v>
      </c>
    </row>
    <row r="3004" spans="1:12" ht="15.75" hidden="1" customHeight="1" x14ac:dyDescent="0.25">
      <c r="A3004" s="36">
        <f>IF(ORCAMENTOS!A3012="","",ORCAMENTOS!A3012)</f>
        <v>46155</v>
      </c>
      <c r="B3004" s="46">
        <f>IF(ORCAMENTOS!B3012="","",ORCAMENTOS!B3012)</f>
        <v>827</v>
      </c>
      <c r="C3004" s="46" t="str">
        <f>IF(ORCAMENTOS!C3012="","",ORCAMENTOS!C3012)</f>
        <v/>
      </c>
      <c r="D3004" s="37" t="str">
        <f>IF(ORCAMENTOS!D3012="","",ORCAMENTOS!D3012)</f>
        <v>OPHTHALMOS</v>
      </c>
      <c r="E3004" s="38" t="str">
        <f>IF(ORCAMENTOS!E3012="","",ORCAMENTOS!E3012)</f>
        <v>-</v>
      </c>
      <c r="F3004" s="37" t="str">
        <f>IF(ORCAMENTOS!G3012="","",ORCAMENTOS!G3012)</f>
        <v>Gabriel</v>
      </c>
      <c r="G3004" s="37" t="str">
        <f>IF(ORCAMENTOS!H3012="","",ORCAMENTOS!H3012)</f>
        <v>Thais</v>
      </c>
      <c r="H3004" s="39">
        <f>IF(ORCAMENTOS!I3012="","",ORCAMENTOS!I3012)</f>
        <v>503.52</v>
      </c>
      <c r="I3004" s="60">
        <f>IF(ORCAMENTOS!J3012="","",ORCAMENTOS!J3012)</f>
        <v>7.0000000000000007E-2</v>
      </c>
      <c r="J3004" s="40" t="str">
        <f>IF(ORCAMENTOS!L3012="","",ORCAMENTOS!L3012)</f>
        <v>ORCAMENTO</v>
      </c>
      <c r="K3004" s="34" t="str">
        <f>IF(ORCAMENTOS!M3012="","",ORCAMENTOS!M3012)</f>
        <v>-</v>
      </c>
      <c r="L3004" t="str">
        <f>IF(ORCAMENTOS!R3012="","",ORCAMENTOS!R3012)</f>
        <v>-</v>
      </c>
    </row>
    <row r="3005" spans="1:12" ht="15.75" hidden="1" customHeight="1" x14ac:dyDescent="0.25">
      <c r="A3005" s="36">
        <f>IF(ORCAMENTOS!A3013="","",ORCAMENTOS!A3013)</f>
        <v>46155</v>
      </c>
      <c r="B3005" s="46">
        <f>IF(ORCAMENTOS!B3013="","",ORCAMENTOS!B3013)</f>
        <v>828</v>
      </c>
      <c r="C3005" s="46" t="str">
        <f>IF(ORCAMENTOS!C3013="","",ORCAMENTOS!C3013)</f>
        <v/>
      </c>
      <c r="D3005" s="37" t="str">
        <f>IF(ORCAMENTOS!D3013="","",ORCAMENTOS!D3013)</f>
        <v>NOSSO AR</v>
      </c>
      <c r="E3005" s="38" t="str">
        <f>IF(ORCAMENTOS!E3013="","",ORCAMENTOS!E3013)</f>
        <v>FS INDUSTRIA</v>
      </c>
      <c r="F3005" s="37" t="str">
        <f>IF(ORCAMENTOS!G3013="","",ORCAMENTOS!G3013)</f>
        <v>Guilherme</v>
      </c>
      <c r="G3005" s="37" t="str">
        <f>IF(ORCAMENTOS!H3013="","",ORCAMENTOS!H3013)</f>
        <v>Lucimeire</v>
      </c>
      <c r="H3005" s="39">
        <f>IF(ORCAMENTOS!I3013="","",ORCAMENTOS!I3013)</f>
        <v>30060</v>
      </c>
      <c r="I3005" s="60">
        <f>IF(ORCAMENTOS!J3013="","",ORCAMENTOS!J3013)</f>
        <v>7.0000000000000007E-2</v>
      </c>
      <c r="J3005" s="40" t="str">
        <f>IF(ORCAMENTOS!L3013="","",ORCAMENTOS!L3013)</f>
        <v>COMPRA</v>
      </c>
      <c r="K3005" s="34" t="str">
        <f>IF(ORCAMENTOS!M3013="","",ORCAMENTOS!M3013)</f>
        <v>-</v>
      </c>
      <c r="L3005" t="str">
        <f>IF(ORCAMENTOS!R3013="","",ORCAMENTOS!R3013)</f>
        <v>-</v>
      </c>
    </row>
    <row r="3006" spans="1:12" ht="15.75" hidden="1" customHeight="1" x14ac:dyDescent="0.25">
      <c r="A3006" s="36">
        <f>IF(ORCAMENTOS!A3014="","",ORCAMENTOS!A3014)</f>
        <v>46155</v>
      </c>
      <c r="B3006" s="46">
        <f>IF(ORCAMENTOS!B3014="","",ORCAMENTOS!B3014)</f>
        <v>829</v>
      </c>
      <c r="C3006" s="46" t="str">
        <f>IF(ORCAMENTOS!C3014="","",ORCAMENTOS!C3014)</f>
        <v>R1</v>
      </c>
      <c r="D3006" s="37" t="str">
        <f>IF(ORCAMENTOS!D3014="","",ORCAMENTOS!D3014)</f>
        <v>INOVECTOR</v>
      </c>
      <c r="E3006" s="38" t="str">
        <f>IF(ORCAMENTOS!E3014="","",ORCAMENTOS!E3014)</f>
        <v>DR CONSULTA BOTAFOGO</v>
      </c>
      <c r="F3006" s="37" t="str">
        <f>IF(ORCAMENTOS!G3014="","",ORCAMENTOS!G3014)</f>
        <v>Fernando</v>
      </c>
      <c r="G3006" s="37" t="str">
        <f>IF(ORCAMENTOS!H3014="","",ORCAMENTOS!H3014)</f>
        <v>Eliete</v>
      </c>
      <c r="H3006" s="39">
        <f>IF(ORCAMENTOS!I3014="","",ORCAMENTOS!I3014)</f>
        <v>45141.85</v>
      </c>
      <c r="I3006" s="60">
        <f>IF(ORCAMENTOS!J3014="","",ORCAMENTOS!J3014)</f>
        <v>0.04</v>
      </c>
      <c r="J3006" s="40" t="str">
        <f>IF(ORCAMENTOS!L3014="","",ORCAMENTOS!L3014)</f>
        <v>FECHADO</v>
      </c>
      <c r="K3006" s="34" t="str">
        <f>IF(ORCAMENTOS!M3014="","",ORCAMENTOS!M3014)</f>
        <v>-</v>
      </c>
      <c r="L3006" t="str">
        <f>IF(ORCAMENTOS!R3014="","",ORCAMENTOS!R3014)</f>
        <v>-</v>
      </c>
    </row>
    <row r="3007" spans="1:12" ht="15.75" hidden="1" customHeight="1" x14ac:dyDescent="0.25">
      <c r="A3007" s="36">
        <f>IF(ORCAMENTOS!A3015="","",ORCAMENTOS!A3015)</f>
        <v>46155</v>
      </c>
      <c r="B3007" s="46">
        <f>IF(ORCAMENTOS!B3015="","",ORCAMENTOS!B3015)</f>
        <v>830</v>
      </c>
      <c r="C3007" s="46" t="str">
        <f>IF(ORCAMENTOS!C3015="","",ORCAMENTOS!C3015)</f>
        <v/>
      </c>
      <c r="D3007" s="37" t="str">
        <f>IF(ORCAMENTOS!D3015="","",ORCAMENTOS!D3015)</f>
        <v>AIR NET</v>
      </c>
      <c r="E3007" s="38" t="str">
        <f>IF(ORCAMENTOS!E3015="","",ORCAMENTOS!E3015)</f>
        <v>TAUSTE</v>
      </c>
      <c r="F3007" s="37" t="str">
        <f>IF(ORCAMENTOS!G3015="","",ORCAMENTOS!G3015)</f>
        <v>Fernando</v>
      </c>
      <c r="G3007" s="37" t="str">
        <f>IF(ORCAMENTOS!H3015="","",ORCAMENTOS!H3015)</f>
        <v>Gardner</v>
      </c>
      <c r="H3007" s="39">
        <f>IF(ORCAMENTOS!I3015="","",ORCAMENTOS!I3015)</f>
        <v>1471.19</v>
      </c>
      <c r="I3007" s="60">
        <f>IF(ORCAMENTOS!J3015="","",ORCAMENTOS!J3015)</f>
        <v>7.0000000000000007E-2</v>
      </c>
      <c r="J3007" s="40" t="str">
        <f>IF(ORCAMENTOS!L3015="","",ORCAMENTOS!L3015)</f>
        <v>CANCELADO</v>
      </c>
      <c r="K3007" s="34" t="str">
        <f>IF(ORCAMENTOS!M3015="","",ORCAMENTOS!M3015)</f>
        <v>-</v>
      </c>
      <c r="L3007" t="str">
        <f>IF(ORCAMENTOS!R3015="","",ORCAMENTOS!R3015)</f>
        <v>-</v>
      </c>
    </row>
    <row r="3008" spans="1:12" ht="15.75" hidden="1" customHeight="1" x14ac:dyDescent="0.25">
      <c r="A3008" s="36">
        <f>IF(ORCAMENTOS!A3016="","",ORCAMENTOS!A3016)</f>
        <v>46155</v>
      </c>
      <c r="B3008" s="46">
        <f>IF(ORCAMENTOS!B3016="","",ORCAMENTOS!B3016)</f>
        <v>831</v>
      </c>
      <c r="C3008" s="46" t="str">
        <f>IF(ORCAMENTOS!C3016="","",ORCAMENTOS!C3016)</f>
        <v/>
      </c>
      <c r="D3008" s="37" t="str">
        <f>IF(ORCAMENTOS!D3016="","",ORCAMENTOS!D3016)</f>
        <v>ENERLAB</v>
      </c>
      <c r="E3008" s="38" t="str">
        <f>IF(ORCAMENTOS!E3016="","",ORCAMENTOS!E3016)</f>
        <v>Shopping Sider</v>
      </c>
      <c r="F3008" s="37" t="str">
        <f>IF(ORCAMENTOS!G3016="","",ORCAMENTOS!G3016)</f>
        <v>Guilherme</v>
      </c>
      <c r="G3008" s="37" t="str">
        <f>IF(ORCAMENTOS!H3016="","",ORCAMENTOS!H3016)</f>
        <v>Wellington</v>
      </c>
      <c r="H3008" s="39">
        <f>IF(ORCAMENTOS!I3016="","",ORCAMENTOS!I3016)</f>
        <v>9133.0499999999993</v>
      </c>
      <c r="I3008" s="60">
        <f>IF(ORCAMENTOS!J3016="","",ORCAMENTOS!J3016)</f>
        <v>7.0000000000000007E-2</v>
      </c>
      <c r="J3008" s="40" t="str">
        <f>IF(ORCAMENTOS!L3016="","",ORCAMENTOS!L3016)</f>
        <v>ORCAMENTO</v>
      </c>
      <c r="K3008" s="34" t="str">
        <f>IF(ORCAMENTOS!M3016="","",ORCAMENTOS!M3016)</f>
        <v>-</v>
      </c>
      <c r="L3008" t="str">
        <f>IF(ORCAMENTOS!R3016="","",ORCAMENTOS!R3016)</f>
        <v>-</v>
      </c>
    </row>
    <row r="3009" spans="1:12" ht="15.75" hidden="1" customHeight="1" x14ac:dyDescent="0.25">
      <c r="A3009" s="36">
        <f>IF(ORCAMENTOS!A3017="","",ORCAMENTOS!A3017)</f>
        <v>46155</v>
      </c>
      <c r="B3009" s="46">
        <f>IF(ORCAMENTOS!B3017="","",ORCAMENTOS!B3017)</f>
        <v>832</v>
      </c>
      <c r="C3009" s="46" t="str">
        <f>IF(ORCAMENTOS!C3017="","",ORCAMENTOS!C3017)</f>
        <v/>
      </c>
      <c r="D3009" s="37" t="str">
        <f>IF(ORCAMENTOS!D3017="","",ORCAMENTOS!D3017)</f>
        <v>CLIMA 23</v>
      </c>
      <c r="E3009" s="38" t="str">
        <f>IF(ORCAMENTOS!E3017="","",ORCAMENTOS!E3017)</f>
        <v>-</v>
      </c>
      <c r="F3009" s="37" t="str">
        <f>IF(ORCAMENTOS!G3017="","",ORCAMENTOS!G3017)</f>
        <v>Gabriel</v>
      </c>
      <c r="G3009" s="37" t="str">
        <f>IF(ORCAMENTOS!H3017="","",ORCAMENTOS!H3017)</f>
        <v>Anthony</v>
      </c>
      <c r="H3009" s="39">
        <f>IF(ORCAMENTOS!I3017="","",ORCAMENTOS!I3017)</f>
        <v>3838.44</v>
      </c>
      <c r="I3009" s="60">
        <f>IF(ORCAMENTOS!J3017="","",ORCAMENTOS!J3017)</f>
        <v>0.05</v>
      </c>
      <c r="J3009" s="40" t="str">
        <f>IF(ORCAMENTOS!L3017="","",ORCAMENTOS!L3017)</f>
        <v>ORCAMENTO</v>
      </c>
      <c r="K3009" s="34" t="str">
        <f>IF(ORCAMENTOS!M3017="","",ORCAMENTOS!M3017)</f>
        <v>-</v>
      </c>
      <c r="L3009" t="str">
        <f>IF(ORCAMENTOS!R3017="","",ORCAMENTOS!R3017)</f>
        <v>-</v>
      </c>
    </row>
    <row r="3010" spans="1:12" ht="15.75" hidden="1" customHeight="1" x14ac:dyDescent="0.25">
      <c r="A3010" s="36">
        <f>IF(ORCAMENTOS!A3018="","",ORCAMENTOS!A3018)</f>
        <v>46155</v>
      </c>
      <c r="B3010" s="46">
        <f>IF(ORCAMENTOS!B3018="","",ORCAMENTOS!B3018)</f>
        <v>833</v>
      </c>
      <c r="C3010" s="46" t="str">
        <f>IF(ORCAMENTOS!C3018="","",ORCAMENTOS!C3018)</f>
        <v/>
      </c>
      <c r="D3010" s="37" t="str">
        <f>IF(ORCAMENTOS!D3018="","",ORCAMENTOS!D3018)</f>
        <v>AMS INSTALACOES</v>
      </c>
      <c r="E3010" s="38" t="str">
        <f>IF(ORCAMENTOS!E3018="","",ORCAMENTOS!E3018)</f>
        <v>RIACHUELO - PLAZA MACAE</v>
      </c>
      <c r="F3010" s="37" t="str">
        <f>IF(ORCAMENTOS!G3018="","",ORCAMENTOS!G3018)</f>
        <v>Gabriel</v>
      </c>
      <c r="G3010" s="37" t="str">
        <f>IF(ORCAMENTOS!H3018="","",ORCAMENTOS!H3018)</f>
        <v>Renan</v>
      </c>
      <c r="H3010" s="39">
        <f>IF(ORCAMENTOS!I3018="","",ORCAMENTOS!I3018)</f>
        <v>81969.679999999993</v>
      </c>
      <c r="I3010" s="60">
        <f>IF(ORCAMENTOS!J3018="","",ORCAMENTOS!J3018)</f>
        <v>7.0000000000000007E-2</v>
      </c>
      <c r="J3010" s="40" t="str">
        <f>IF(ORCAMENTOS!L3018="","",ORCAMENTOS!L3018)</f>
        <v>ORCAMENTO</v>
      </c>
      <c r="K3010" s="34" t="str">
        <f>IF(ORCAMENTOS!M3018="","",ORCAMENTOS!M3018)</f>
        <v>-</v>
      </c>
      <c r="L3010" t="str">
        <f>IF(ORCAMENTOS!R3018="","",ORCAMENTOS!R3018)</f>
        <v>MPU</v>
      </c>
    </row>
    <row r="3011" spans="1:12" ht="15.75" hidden="1" customHeight="1" x14ac:dyDescent="0.25">
      <c r="A3011" s="36">
        <f>IF(ORCAMENTOS!A3019="","",ORCAMENTOS!A3019)</f>
        <v>46155</v>
      </c>
      <c r="B3011" s="46">
        <f>IF(ORCAMENTOS!B3019="","",ORCAMENTOS!B3019)</f>
        <v>834</v>
      </c>
      <c r="C3011" s="46" t="str">
        <f>IF(ORCAMENTOS!C3019="","",ORCAMENTOS!C3019)</f>
        <v/>
      </c>
      <c r="D3011" s="37" t="str">
        <f>IF(ORCAMENTOS!D3019="","",ORCAMENTOS!D3019)</f>
        <v>AWA AR CONDICIONADO</v>
      </c>
      <c r="E3011" s="38" t="str">
        <f>IF(ORCAMENTOS!E3019="","",ORCAMENTOS!E3019)</f>
        <v>OBRAMAX - BRASILIA - DF</v>
      </c>
      <c r="F3011" s="37" t="str">
        <f>IF(ORCAMENTOS!G3019="","",ORCAMENTOS!G3019)</f>
        <v>Guilherme</v>
      </c>
      <c r="G3011" s="37" t="str">
        <f>IF(ORCAMENTOS!H3019="","",ORCAMENTOS!H3019)</f>
        <v>Gustavo</v>
      </c>
      <c r="H3011" s="39">
        <f>IF(ORCAMENTOS!I3019="","",ORCAMENTOS!I3019)</f>
        <v>271735.28999999998</v>
      </c>
      <c r="I3011" s="60">
        <f>IF(ORCAMENTOS!J3019="","",ORCAMENTOS!J3019)</f>
        <v>0.05</v>
      </c>
      <c r="J3011" s="40" t="str">
        <f>IF(ORCAMENTOS!L3019="","",ORCAMENTOS!L3019)</f>
        <v>ORCAMENTO</v>
      </c>
      <c r="K3011" s="34" t="str">
        <f>IF(ORCAMENTOS!M3019="","",ORCAMENTOS!M3019)</f>
        <v>BOAS CHANCES</v>
      </c>
      <c r="L3011" t="str">
        <f>IF(ORCAMENTOS!R3019="","",ORCAMENTOS!R3019)</f>
        <v>-</v>
      </c>
    </row>
    <row r="3012" spans="1:12" ht="15.75" hidden="1" customHeight="1" x14ac:dyDescent="0.25">
      <c r="A3012" s="36">
        <f>IF(ORCAMENTOS!A3020="","",ORCAMENTOS!A3020)</f>
        <v>46155</v>
      </c>
      <c r="B3012" s="46">
        <f>IF(ORCAMENTOS!B3020="","",ORCAMENTOS!B3020)</f>
        <v>835</v>
      </c>
      <c r="C3012" s="46" t="str">
        <f>IF(ORCAMENTOS!C3020="","",ORCAMENTOS!C3020)</f>
        <v>R1</v>
      </c>
      <c r="D3012" s="37" t="str">
        <f>IF(ORCAMENTOS!D3020="","",ORCAMENTOS!D3020)</f>
        <v>VENTFRIO</v>
      </c>
      <c r="E3012" s="38" t="str">
        <f>IF(ORCAMENTOS!E3020="","",ORCAMENTOS!E3020)</f>
        <v>-</v>
      </c>
      <c r="F3012" s="37" t="str">
        <f>IF(ORCAMENTOS!G3020="","",ORCAMENTOS!G3020)</f>
        <v>Gabriel</v>
      </c>
      <c r="G3012" s="37" t="str">
        <f>IF(ORCAMENTOS!H3020="","",ORCAMENTOS!H3020)</f>
        <v>Sergio</v>
      </c>
      <c r="H3012" s="39">
        <f>IF(ORCAMENTOS!I3020="","",ORCAMENTOS!I3020)</f>
        <v>921.6</v>
      </c>
      <c r="I3012" s="60">
        <f>IF(ORCAMENTOS!J3020="","",ORCAMENTOS!J3020)</f>
        <v>7.0000000000000007E-2</v>
      </c>
      <c r="J3012" s="40" t="str">
        <f>IF(ORCAMENTOS!L3020="","",ORCAMENTOS!L3020)</f>
        <v>FECHADO</v>
      </c>
      <c r="K3012" s="34" t="str">
        <f>IF(ORCAMENTOS!M3020="","",ORCAMENTOS!M3020)</f>
        <v>-</v>
      </c>
      <c r="L3012" t="str">
        <f>IF(ORCAMENTOS!R3020="","",ORCAMENTOS!R3020)</f>
        <v>-</v>
      </c>
    </row>
    <row r="3013" spans="1:12" ht="15.75" hidden="1" customHeight="1" x14ac:dyDescent="0.25">
      <c r="A3013" s="36">
        <f>IF(ORCAMENTOS!A3021="","",ORCAMENTOS!A3021)</f>
        <v>46155</v>
      </c>
      <c r="B3013" s="46">
        <f>IF(ORCAMENTOS!B3021="","",ORCAMENTOS!B3021)</f>
        <v>836</v>
      </c>
      <c r="C3013" s="46" t="str">
        <f>IF(ORCAMENTOS!C3021="","",ORCAMENTOS!C3021)</f>
        <v/>
      </c>
      <c r="D3013" s="37" t="str">
        <f>IF(ORCAMENTOS!D3021="","",ORCAMENTOS!D3021)</f>
        <v>CACR ENGENHARIA</v>
      </c>
      <c r="E3013" s="38" t="str">
        <f>IF(ORCAMENTOS!E3021="","",ORCAMENTOS!E3021)</f>
        <v>Unigra' Fábrica Chocolate</v>
      </c>
      <c r="F3013" s="37" t="str">
        <f>IF(ORCAMENTOS!G3021="","",ORCAMENTOS!G3021)</f>
        <v xml:space="preserve">Aldavir </v>
      </c>
      <c r="G3013" s="37" t="str">
        <f>IF(ORCAMENTOS!H3021="","",ORCAMENTOS!H3021)</f>
        <v>Marcelo</v>
      </c>
      <c r="H3013" s="39">
        <f>IF(ORCAMENTOS!I3021="","",ORCAMENTOS!I3021)</f>
        <v>9917.2800000000007</v>
      </c>
      <c r="I3013" s="60">
        <f>IF(ORCAMENTOS!J3021="","",ORCAMENTOS!J3021)</f>
        <v>7.0000000000000007E-2</v>
      </c>
      <c r="J3013" s="40" t="str">
        <f>IF(ORCAMENTOS!L3021="","",ORCAMENTOS!L3021)</f>
        <v>FECHADO</v>
      </c>
      <c r="K3013" s="34" t="str">
        <f>IF(ORCAMENTOS!M3021="","",ORCAMENTOS!M3021)</f>
        <v>-</v>
      </c>
      <c r="L3013" t="str">
        <f>IF(ORCAMENTOS!R3021="","",ORCAMENTOS!R3021)</f>
        <v>-</v>
      </c>
    </row>
    <row r="3014" spans="1:12" ht="15.75" hidden="1" customHeight="1" x14ac:dyDescent="0.25">
      <c r="A3014" s="36">
        <f>IF(ORCAMENTOS!A3022="","",ORCAMENTOS!A3022)</f>
        <v>46155</v>
      </c>
      <c r="B3014" s="46">
        <f>IF(ORCAMENTOS!B3022="","",ORCAMENTOS!B3022)</f>
        <v>837</v>
      </c>
      <c r="C3014" s="46" t="str">
        <f>IF(ORCAMENTOS!C3022="","",ORCAMENTOS!C3022)</f>
        <v>R1</v>
      </c>
      <c r="D3014" s="37" t="str">
        <f>IF(ORCAMENTOS!D3022="","",ORCAMENTOS!D3022)</f>
        <v>THERMON ENGENHARIA</v>
      </c>
      <c r="E3014" s="38" t="str">
        <f>IF(ORCAMENTOS!E3022="","",ORCAMENTOS!E3022)</f>
        <v>HOSPITAL SÃO LUIZ REDE DÓR</v>
      </c>
      <c r="F3014" s="37" t="str">
        <f>IF(ORCAMENTOS!G3022="","",ORCAMENTOS!G3022)</f>
        <v>Fernando</v>
      </c>
      <c r="G3014" s="37" t="str">
        <f>IF(ORCAMENTOS!H3022="","",ORCAMENTOS!H3022)</f>
        <v>Luiz</v>
      </c>
      <c r="H3014" s="39">
        <f>IF(ORCAMENTOS!I3022="","",ORCAMENTOS!I3022)</f>
        <v>15110.23</v>
      </c>
      <c r="I3014" s="60">
        <f>IF(ORCAMENTOS!J3022="","",ORCAMENTOS!J3022)</f>
        <v>0.04</v>
      </c>
      <c r="J3014" s="40" t="str">
        <f>IF(ORCAMENTOS!L3022="","",ORCAMENTOS!L3022)</f>
        <v>ORCAMENTO</v>
      </c>
      <c r="K3014" s="34" t="str">
        <f>IF(ORCAMENTOS!M3022="","",ORCAMENTOS!M3022)</f>
        <v>-</v>
      </c>
      <c r="L3014" t="str">
        <f>IF(ORCAMENTOS!R3022="","",ORCAMENTOS!R3022)</f>
        <v>-</v>
      </c>
    </row>
    <row r="3015" spans="1:12" ht="15.75" hidden="1" customHeight="1" x14ac:dyDescent="0.25">
      <c r="A3015" s="36">
        <f>IF(ORCAMENTOS!A3023="","",ORCAMENTOS!A3023)</f>
        <v>46156</v>
      </c>
      <c r="B3015" s="46">
        <f>IF(ORCAMENTOS!B3023="","",ORCAMENTOS!B3023)</f>
        <v>838</v>
      </c>
      <c r="C3015" s="46" t="str">
        <f>IF(ORCAMENTOS!C3023="","",ORCAMENTOS!C3023)</f>
        <v/>
      </c>
      <c r="D3015" s="37" t="str">
        <f>IF(ORCAMENTOS!D3023="","",ORCAMENTOS!D3023)</f>
        <v>VRV AR CONDICIONADO</v>
      </c>
      <c r="E3015" s="38" t="str">
        <f>IF(ORCAMENTOS!E3023="","",ORCAMENTOS!E3023)</f>
        <v>CEMIG</v>
      </c>
      <c r="F3015" s="37" t="str">
        <f>IF(ORCAMENTOS!G3023="","",ORCAMENTOS!G3023)</f>
        <v>Gabriel</v>
      </c>
      <c r="G3015" s="37" t="str">
        <f>IF(ORCAMENTOS!H3023="","",ORCAMENTOS!H3023)</f>
        <v/>
      </c>
      <c r="H3015" s="39">
        <f>IF(ORCAMENTOS!I3023="","",ORCAMENTOS!I3023)</f>
        <v>306535.57</v>
      </c>
      <c r="I3015" s="60">
        <f>IF(ORCAMENTOS!J3023="","",ORCAMENTOS!J3023)</f>
        <v>0.06</v>
      </c>
      <c r="J3015" s="40" t="str">
        <f>IF(ORCAMENTOS!L3023="","",ORCAMENTOS!L3023)</f>
        <v>CANCELADO</v>
      </c>
      <c r="K3015" s="34" t="str">
        <f>IF(ORCAMENTOS!M3023="","",ORCAMENTOS!M3023)</f>
        <v>-</v>
      </c>
      <c r="L3015" t="str">
        <f>IF(ORCAMENTOS!R3023="","",ORCAMENTOS!R3023)</f>
        <v>-</v>
      </c>
    </row>
    <row r="3016" spans="1:12" ht="15.75" hidden="1" customHeight="1" x14ac:dyDescent="0.25">
      <c r="A3016" s="36">
        <f>IF(ORCAMENTOS!A3024="","",ORCAMENTOS!A3024)</f>
        <v>46156</v>
      </c>
      <c r="B3016" s="46">
        <f>IF(ORCAMENTOS!B3024="","",ORCAMENTOS!B3024)</f>
        <v>839</v>
      </c>
      <c r="C3016" s="46" t="str">
        <f>IF(ORCAMENTOS!C3024="","",ORCAMENTOS!C3024)</f>
        <v/>
      </c>
      <c r="D3016" s="37" t="str">
        <f>IF(ORCAMENTOS!D3024="","",ORCAMENTOS!D3024)</f>
        <v>AIR SOLUTION</v>
      </c>
      <c r="E3016" s="38" t="str">
        <f>IF(ORCAMENTOS!E3024="","",ORCAMENTOS!E3024)</f>
        <v>-</v>
      </c>
      <c r="F3016" s="37" t="str">
        <f>IF(ORCAMENTOS!G3024="","",ORCAMENTOS!G3024)</f>
        <v>Gabriel</v>
      </c>
      <c r="G3016" s="37" t="str">
        <f>IF(ORCAMENTOS!H3024="","",ORCAMENTOS!H3024)</f>
        <v>Talita</v>
      </c>
      <c r="H3016" s="39">
        <f>IF(ORCAMENTOS!I3024="","",ORCAMENTOS!I3024)</f>
        <v>1477.92</v>
      </c>
      <c r="I3016" s="60">
        <f>IF(ORCAMENTOS!J3024="","",ORCAMENTOS!J3024)</f>
        <v>7.0000000000000007E-2</v>
      </c>
      <c r="J3016" s="40" t="str">
        <f>IF(ORCAMENTOS!L3024="","",ORCAMENTOS!L3024)</f>
        <v>ORCAMENTO</v>
      </c>
      <c r="K3016" s="34" t="str">
        <f>IF(ORCAMENTOS!M3024="","",ORCAMENTOS!M3024)</f>
        <v>-</v>
      </c>
      <c r="L3016" t="str">
        <f>IF(ORCAMENTOS!R3024="","",ORCAMENTOS!R3024)</f>
        <v>-</v>
      </c>
    </row>
    <row r="3017" spans="1:12" ht="15.75" hidden="1" customHeight="1" x14ac:dyDescent="0.25">
      <c r="A3017" s="36">
        <f>IF(ORCAMENTOS!A3025="","",ORCAMENTOS!A3025)</f>
        <v>46156</v>
      </c>
      <c r="B3017" s="46">
        <f>IF(ORCAMENTOS!B3025="","",ORCAMENTOS!B3025)</f>
        <v>840</v>
      </c>
      <c r="C3017" s="46" t="str">
        <f>IF(ORCAMENTOS!C3025="","",ORCAMENTOS!C3025)</f>
        <v/>
      </c>
      <c r="D3017" s="37" t="str">
        <f>IF(ORCAMENTOS!D3025="","",ORCAMENTOS!D3025)</f>
        <v>AWA AR CONDICIONADO</v>
      </c>
      <c r="E3017" s="38" t="str">
        <f>IF(ORCAMENTOS!E3025="","",ORCAMENTOS!E3025)</f>
        <v>ATACADAO - GULLIVER - JUAZEIRO DO NORTE - CE</v>
      </c>
      <c r="F3017" s="37" t="str">
        <f>IF(ORCAMENTOS!G3025="","",ORCAMENTOS!G3025)</f>
        <v>Guilherme</v>
      </c>
      <c r="G3017" s="37" t="str">
        <f>IF(ORCAMENTOS!H3025="","",ORCAMENTOS!H3025)</f>
        <v>Guilherme</v>
      </c>
      <c r="H3017" s="39">
        <f>IF(ORCAMENTOS!I3025="","",ORCAMENTOS!I3025)</f>
        <v>219488.47</v>
      </c>
      <c r="I3017" s="60">
        <f>IF(ORCAMENTOS!J3025="","",ORCAMENTOS!J3025)</f>
        <v>0.05</v>
      </c>
      <c r="J3017" s="40" t="str">
        <f>IF(ORCAMENTOS!L3025="","",ORCAMENTOS!L3025)</f>
        <v>ORCAMENTO</v>
      </c>
      <c r="K3017" s="34" t="str">
        <f>IF(ORCAMENTOS!M3025="","",ORCAMENTOS!M3025)</f>
        <v>-</v>
      </c>
      <c r="L3017" t="str">
        <f>IF(ORCAMENTOS!R3025="","",ORCAMENTOS!R3025)</f>
        <v>-</v>
      </c>
    </row>
    <row r="3018" spans="1:12" ht="15.75" hidden="1" customHeight="1" x14ac:dyDescent="0.25">
      <c r="A3018" s="36">
        <f>IF(ORCAMENTOS!A3026="","",ORCAMENTOS!A3026)</f>
        <v>46157</v>
      </c>
      <c r="B3018" s="46">
        <f>IF(ORCAMENTOS!B3026="","",ORCAMENTOS!B3026)</f>
        <v>841</v>
      </c>
      <c r="C3018" s="46" t="str">
        <f>IF(ORCAMENTOS!C3026="","",ORCAMENTOS!C3026)</f>
        <v>R1</v>
      </c>
      <c r="D3018" s="37" t="str">
        <f>IF(ORCAMENTOS!D3026="","",ORCAMENTOS!D3026)</f>
        <v>ECOPOLI</v>
      </c>
      <c r="E3018" s="38" t="str">
        <f>IF(ORCAMENTOS!E3026="","",ORCAMENTOS!E3026)</f>
        <v>SENAC - CAMPOS DO JORDAO</v>
      </c>
      <c r="F3018" s="37" t="str">
        <f>IF(ORCAMENTOS!G3026="","",ORCAMENTOS!G3026)</f>
        <v>Emanuel</v>
      </c>
      <c r="G3018" s="37" t="str">
        <f>IF(ORCAMENTOS!H3026="","",ORCAMENTOS!H3026)</f>
        <v>Valquiria</v>
      </c>
      <c r="H3018" s="39">
        <f>IF(ORCAMENTOS!I3026="","",ORCAMENTOS!I3026)</f>
        <v>18791.689999999999</v>
      </c>
      <c r="I3018" s="60">
        <f>IF(ORCAMENTOS!J3026="","",ORCAMENTOS!J3026)</f>
        <v>7.0000000000000007E-2</v>
      </c>
      <c r="J3018" s="40" t="str">
        <f>IF(ORCAMENTOS!L3026="","",ORCAMENTOS!L3026)</f>
        <v>ORCAMENTO</v>
      </c>
      <c r="K3018" s="34" t="str">
        <f>IF(ORCAMENTOS!M3026="","",ORCAMENTOS!M3026)</f>
        <v>-</v>
      </c>
      <c r="L3018" t="str">
        <f>IF(ORCAMENTOS!R3026="","",ORCAMENTOS!R3026)</f>
        <v>-</v>
      </c>
    </row>
    <row r="3019" spans="1:12" ht="15.75" hidden="1" customHeight="1" x14ac:dyDescent="0.25">
      <c r="A3019" s="36">
        <f>IF(ORCAMENTOS!A3027="","",ORCAMENTOS!A3027)</f>
        <v>46156</v>
      </c>
      <c r="B3019" s="46">
        <f>IF(ORCAMENTOS!B3027="","",ORCAMENTOS!B3027)</f>
        <v>842</v>
      </c>
      <c r="C3019" s="46" t="str">
        <f>IF(ORCAMENTOS!C3027="","",ORCAMENTOS!C3027)</f>
        <v/>
      </c>
      <c r="D3019" s="37" t="str">
        <f>IF(ORCAMENTOS!D3027="","",ORCAMENTOS!D3027)</f>
        <v>REFRIARTEC</v>
      </c>
      <c r="E3019" s="38" t="str">
        <f>IF(ORCAMENTOS!E3027="","",ORCAMENTOS!E3027)</f>
        <v>SAUIPE RESORTS - LAKE CLUB</v>
      </c>
      <c r="F3019" s="37" t="str">
        <f>IF(ORCAMENTOS!G3027="","",ORCAMENTOS!G3027)</f>
        <v>Gabriel</v>
      </c>
      <c r="G3019" s="37" t="str">
        <f>IF(ORCAMENTOS!H3027="","",ORCAMENTOS!H3027)</f>
        <v>Neusa</v>
      </c>
      <c r="H3019" s="39">
        <f>IF(ORCAMENTOS!I3027="","",ORCAMENTOS!I3027)</f>
        <v>10939.41</v>
      </c>
      <c r="I3019" s="60">
        <f>IF(ORCAMENTOS!J3027="","",ORCAMENTOS!J3027)</f>
        <v>7.0000000000000007E-2</v>
      </c>
      <c r="J3019" s="40" t="str">
        <f>IF(ORCAMENTOS!L3027="","",ORCAMENTOS!L3027)</f>
        <v>ORCAMENTO</v>
      </c>
      <c r="K3019" s="34" t="str">
        <f>IF(ORCAMENTOS!M3027="","",ORCAMENTOS!M3027)</f>
        <v>-</v>
      </c>
      <c r="L3019" t="str">
        <f>IF(ORCAMENTOS!R3027="","",ORCAMENTOS!R3027)</f>
        <v>-</v>
      </c>
    </row>
    <row r="3020" spans="1:12" ht="15.75" hidden="1" customHeight="1" x14ac:dyDescent="0.25">
      <c r="A3020" s="36">
        <f>IF(ORCAMENTOS!A3028="","",ORCAMENTOS!A3028)</f>
        <v>46156</v>
      </c>
      <c r="B3020" s="46">
        <f>IF(ORCAMENTOS!B3028="","",ORCAMENTOS!B3028)</f>
        <v>843</v>
      </c>
      <c r="C3020" s="46" t="str">
        <f>IF(ORCAMENTOS!C3028="","",ORCAMENTOS!C3028)</f>
        <v/>
      </c>
      <c r="D3020" s="37" t="str">
        <f>IF(ORCAMENTOS!D3028="","",ORCAMENTOS!D3028)</f>
        <v>VRV AR CONDICIONADO</v>
      </c>
      <c r="E3020" s="38" t="str">
        <f>IF(ORCAMENTOS!E3028="","",ORCAMENTOS!E3028)</f>
        <v>CEMIG</v>
      </c>
      <c r="F3020" s="37" t="str">
        <f>IF(ORCAMENTOS!G3028="","",ORCAMENTOS!G3028)</f>
        <v>Gabriel</v>
      </c>
      <c r="G3020" s="37" t="str">
        <f>IF(ORCAMENTOS!H3028="","",ORCAMENTOS!H3028)</f>
        <v>Tarcila</v>
      </c>
      <c r="H3020" s="39">
        <f>IF(ORCAMENTOS!I3028="","",ORCAMENTOS!I3028)</f>
        <v>381877.5</v>
      </c>
      <c r="I3020" s="60">
        <f>IF(ORCAMENTOS!J3028="","",ORCAMENTOS!J3028)</f>
        <v>7.0000000000000007E-2</v>
      </c>
      <c r="J3020" s="40" t="str">
        <f>IF(ORCAMENTOS!L3028="","",ORCAMENTOS!L3028)</f>
        <v>ORCAMENTO</v>
      </c>
      <c r="K3020" s="34" t="str">
        <f>IF(ORCAMENTOS!M3028="","",ORCAMENTOS!M3028)</f>
        <v>-</v>
      </c>
      <c r="L3020" t="str">
        <f>IF(ORCAMENTOS!R3028="","",ORCAMENTOS!R3028)</f>
        <v>-</v>
      </c>
    </row>
    <row r="3021" spans="1:12" ht="15.75" hidden="1" customHeight="1" x14ac:dyDescent="0.25">
      <c r="A3021" s="36">
        <f>IF(ORCAMENTOS!A3029="","",ORCAMENTOS!A3029)</f>
        <v>46156</v>
      </c>
      <c r="B3021" s="46">
        <f>IF(ORCAMENTOS!B3029="","",ORCAMENTOS!B3029)</f>
        <v>844</v>
      </c>
      <c r="C3021" s="46" t="str">
        <f>IF(ORCAMENTOS!C3029="","",ORCAMENTOS!C3029)</f>
        <v/>
      </c>
      <c r="D3021" s="37" t="str">
        <f>IF(ORCAMENTOS!D3029="","",ORCAMENTOS!D3029)</f>
        <v>ISOTEMP</v>
      </c>
      <c r="E3021" s="38" t="str">
        <f>IF(ORCAMENTOS!E3029="","",ORCAMENTOS!E3029)</f>
        <v>EMBRION</v>
      </c>
      <c r="F3021" s="37" t="str">
        <f>IF(ORCAMENTOS!G3029="","",ORCAMENTOS!G3029)</f>
        <v>Michel</v>
      </c>
      <c r="G3021" s="37" t="str">
        <f>IF(ORCAMENTOS!H3029="","",ORCAMENTOS!H3029)</f>
        <v>Vinicius</v>
      </c>
      <c r="H3021" s="39">
        <f>IF(ORCAMENTOS!I3029="","",ORCAMENTOS!I3029)</f>
        <v>6467.53</v>
      </c>
      <c r="I3021" s="60">
        <f>IF(ORCAMENTOS!J3029="","",ORCAMENTOS!J3029)</f>
        <v>0.04</v>
      </c>
      <c r="J3021" s="40" t="str">
        <f>IF(ORCAMENTOS!L3029="","",ORCAMENTOS!L3029)</f>
        <v>FECHADO</v>
      </c>
      <c r="K3021" s="34" t="str">
        <f>IF(ORCAMENTOS!M3029="","",ORCAMENTOS!M3029)</f>
        <v>-</v>
      </c>
      <c r="L3021" t="str">
        <f>IF(ORCAMENTOS!R3029="","",ORCAMENTOS!R3029)</f>
        <v>-</v>
      </c>
    </row>
    <row r="3022" spans="1:12" ht="15.75" hidden="1" customHeight="1" x14ac:dyDescent="0.25">
      <c r="A3022" s="36">
        <f>IF(ORCAMENTOS!A3030="","",ORCAMENTOS!A3030)</f>
        <v>46157</v>
      </c>
      <c r="B3022" s="46">
        <f>IF(ORCAMENTOS!B3030="","",ORCAMENTOS!B3030)</f>
        <v>845</v>
      </c>
      <c r="C3022" s="46" t="str">
        <f>IF(ORCAMENTOS!C3030="","",ORCAMENTOS!C3030)</f>
        <v>R2</v>
      </c>
      <c r="D3022" s="37" t="str">
        <f>IF(ORCAMENTOS!D3030="","",ORCAMENTOS!D3030)</f>
        <v>VITAL CLIMA</v>
      </c>
      <c r="E3022" s="38" t="str">
        <f>IF(ORCAMENTOS!E3030="","",ORCAMENTOS!E3030)</f>
        <v>IGREJA METODISTA - COLATINA - ES</v>
      </c>
      <c r="F3022" s="37" t="str">
        <f>IF(ORCAMENTOS!G3030="","",ORCAMENTOS!G3030)</f>
        <v>Gabriel</v>
      </c>
      <c r="G3022" s="37" t="str">
        <f>IF(ORCAMENTOS!H3030="","",ORCAMENTOS!H3030)</f>
        <v>Daniel</v>
      </c>
      <c r="H3022" s="39">
        <f>IF(ORCAMENTOS!I3030="","",ORCAMENTOS!I3030)</f>
        <v>54158.61</v>
      </c>
      <c r="I3022" s="60">
        <f>IF(ORCAMENTOS!J3030="","",ORCAMENTOS!J3030)</f>
        <v>7.0000000000000007E-2</v>
      </c>
      <c r="J3022" s="40" t="str">
        <f>IF(ORCAMENTOS!L3030="","",ORCAMENTOS!L3030)</f>
        <v>ORCAMENTO</v>
      </c>
      <c r="K3022" s="34" t="str">
        <f>IF(ORCAMENTOS!M3030="","",ORCAMENTOS!M3030)</f>
        <v>-</v>
      </c>
      <c r="L3022" t="str">
        <f>IF(ORCAMENTOS!R3030="","",ORCAMENTOS!R3030)</f>
        <v>-</v>
      </c>
    </row>
    <row r="3023" spans="1:12" ht="15.75" hidden="1" customHeight="1" x14ac:dyDescent="0.25">
      <c r="A3023" s="36">
        <f>IF(ORCAMENTOS!A3031="","",ORCAMENTOS!A3031)</f>
        <v>46157</v>
      </c>
      <c r="B3023" s="46">
        <f>IF(ORCAMENTOS!B3031="","",ORCAMENTOS!B3031)</f>
        <v>846</v>
      </c>
      <c r="C3023" s="46" t="str">
        <f>IF(ORCAMENTOS!C3031="","",ORCAMENTOS!C3031)</f>
        <v>R1</v>
      </c>
      <c r="D3023" s="37" t="str">
        <f>IF(ORCAMENTOS!D3031="","",ORCAMENTOS!D3031)</f>
        <v>INOVECTOR</v>
      </c>
      <c r="E3023" s="38">
        <f>IF(ORCAMENTOS!E3031="","",ORCAMENTOS!E3031)</f>
        <v>2026000319</v>
      </c>
      <c r="F3023" s="37" t="str">
        <f>IF(ORCAMENTOS!G3031="","",ORCAMENTOS!G3031)</f>
        <v>Fernando</v>
      </c>
      <c r="G3023" s="37" t="str">
        <f>IF(ORCAMENTOS!H3031="","",ORCAMENTOS!H3031)</f>
        <v>Eliete</v>
      </c>
      <c r="H3023" s="39">
        <f>IF(ORCAMENTOS!I3031="","",ORCAMENTOS!I3031)</f>
        <v>106291.48</v>
      </c>
      <c r="I3023" s="60">
        <f>IF(ORCAMENTOS!J3031="","",ORCAMENTOS!J3031)</f>
        <v>0.04</v>
      </c>
      <c r="J3023" s="40" t="str">
        <f>IF(ORCAMENTOS!L3031="","",ORCAMENTOS!L3031)</f>
        <v>FECHADO</v>
      </c>
      <c r="K3023" s="34" t="str">
        <f>IF(ORCAMENTOS!M3031="","",ORCAMENTOS!M3031)</f>
        <v>-</v>
      </c>
      <c r="L3023" t="str">
        <f>IF(ORCAMENTOS!R3031="","",ORCAMENTOS!R3031)</f>
        <v>-</v>
      </c>
    </row>
    <row r="3024" spans="1:12" ht="15.75" hidden="1" customHeight="1" x14ac:dyDescent="0.25">
      <c r="A3024" s="36">
        <f>IF(ORCAMENTOS!A3032="","",ORCAMENTOS!A3032)</f>
        <v>46157</v>
      </c>
      <c r="B3024" s="46">
        <f>IF(ORCAMENTOS!B3032="","",ORCAMENTOS!B3032)</f>
        <v>847</v>
      </c>
      <c r="C3024" s="46" t="str">
        <f>IF(ORCAMENTOS!C3032="","",ORCAMENTOS!C3032)</f>
        <v/>
      </c>
      <c r="D3024" s="37" t="str">
        <f>IF(ORCAMENTOS!D3032="","",ORCAMENTOS!D3032)</f>
        <v>ACTEC ENGENHARIA</v>
      </c>
      <c r="E3024" s="38" t="str">
        <f>IF(ORCAMENTOS!E3032="","",ORCAMENTOS!E3032)</f>
        <v>HOSPITAL SANTA MARIA - 9º, 10º E 11º PAVIMENTO</v>
      </c>
      <c r="F3024" s="37" t="str">
        <f>IF(ORCAMENTOS!G3032="","",ORCAMENTOS!G3032)</f>
        <v xml:space="preserve">Aldavir </v>
      </c>
      <c r="G3024" s="37" t="str">
        <f>IF(ORCAMENTOS!H3032="","",ORCAMENTOS!H3032)</f>
        <v>-</v>
      </c>
      <c r="H3024" s="39">
        <f>IF(ORCAMENTOS!I3032="","",ORCAMENTOS!I3032)</f>
        <v>1507.2</v>
      </c>
      <c r="I3024" s="60">
        <f>IF(ORCAMENTOS!J3032="","",ORCAMENTOS!J3032)</f>
        <v>0.05</v>
      </c>
      <c r="J3024" s="40" t="str">
        <f>IF(ORCAMENTOS!L3032="","",ORCAMENTOS!L3032)</f>
        <v>FECHADO</v>
      </c>
      <c r="K3024" s="34" t="str">
        <f>IF(ORCAMENTOS!M3032="","",ORCAMENTOS!M3032)</f>
        <v>-</v>
      </c>
      <c r="L3024" t="str">
        <f>IF(ORCAMENTOS!R3032="","",ORCAMENTOS!R3032)</f>
        <v>-</v>
      </c>
    </row>
    <row r="3025" spans="1:12" ht="15.75" hidden="1" customHeight="1" x14ac:dyDescent="0.25">
      <c r="A3025" s="36">
        <f>IF(ORCAMENTOS!A3033="","",ORCAMENTOS!A3033)</f>
        <v>46157</v>
      </c>
      <c r="B3025" s="46">
        <f>IF(ORCAMENTOS!B3033="","",ORCAMENTOS!B3033)</f>
        <v>848</v>
      </c>
      <c r="C3025" s="46" t="str">
        <f>IF(ORCAMENTOS!C3033="","",ORCAMENTOS!C3033)</f>
        <v/>
      </c>
      <c r="D3025" s="37" t="str">
        <f>IF(ORCAMENTOS!D3033="","",ORCAMENTOS!D3033)</f>
        <v>NEWSET</v>
      </c>
      <c r="E3025" s="38" t="str">
        <f>IF(ORCAMENTOS!E3033="","",ORCAMENTOS!E3033)</f>
        <v>SC 9890</v>
      </c>
      <c r="F3025" s="37" t="str">
        <f>IF(ORCAMENTOS!G3033="","",ORCAMENTOS!G3033)</f>
        <v xml:space="preserve">Aldavir </v>
      </c>
      <c r="G3025" s="37" t="str">
        <f>IF(ORCAMENTOS!H3033="","",ORCAMENTOS!H3033)</f>
        <v>-</v>
      </c>
      <c r="H3025" s="39">
        <f>IF(ORCAMENTOS!I3033="","",ORCAMENTOS!I3033)</f>
        <v>18741.509999999998</v>
      </c>
      <c r="I3025" s="60">
        <f>IF(ORCAMENTOS!J3033="","",ORCAMENTOS!J3033)</f>
        <v>7.0000000000000007E-2</v>
      </c>
      <c r="J3025" s="40" t="str">
        <f>IF(ORCAMENTOS!L3033="","",ORCAMENTOS!L3033)</f>
        <v>FECHADO</v>
      </c>
      <c r="K3025" s="34" t="str">
        <f>IF(ORCAMENTOS!M3033="","",ORCAMENTOS!M3033)</f>
        <v>-</v>
      </c>
      <c r="L3025" t="str">
        <f>IF(ORCAMENTOS!R3033="","",ORCAMENTOS!R3033)</f>
        <v>-</v>
      </c>
    </row>
    <row r="3026" spans="1:12" ht="15.75" hidden="1" customHeight="1" x14ac:dyDescent="0.25">
      <c r="A3026" s="36">
        <f>IF(ORCAMENTOS!A3034="","",ORCAMENTOS!A3034)</f>
        <v>46162</v>
      </c>
      <c r="B3026" s="46">
        <f>IF(ORCAMENTOS!B3034="","",ORCAMENTOS!B3034)</f>
        <v>849</v>
      </c>
      <c r="C3026" s="46" t="str">
        <f>IF(ORCAMENTOS!C3034="","",ORCAMENTOS!C3034)</f>
        <v>R1</v>
      </c>
      <c r="D3026" s="37" t="str">
        <f>IF(ORCAMENTOS!D3034="","",ORCAMENTOS!D3034)</f>
        <v>PROGERAR</v>
      </c>
      <c r="E3026" s="38" t="str">
        <f>IF(ORCAMENTOS!E3034="","",ORCAMENTOS!E3034)</f>
        <v>TRE DONNE - ARUJA - SP</v>
      </c>
      <c r="F3026" s="37" t="str">
        <f>IF(ORCAMENTOS!G3034="","",ORCAMENTOS!G3034)</f>
        <v>Michel</v>
      </c>
      <c r="G3026" s="37" t="str">
        <f>IF(ORCAMENTOS!H3034="","",ORCAMENTOS!H3034)</f>
        <v>Paulo</v>
      </c>
      <c r="H3026" s="39">
        <f>IF(ORCAMENTOS!I3034="","",ORCAMENTOS!I3034)</f>
        <v>15828.71</v>
      </c>
      <c r="I3026" s="60">
        <f>IF(ORCAMENTOS!J3034="","",ORCAMENTOS!J3034)</f>
        <v>0.06</v>
      </c>
      <c r="J3026" s="40" t="str">
        <f>IF(ORCAMENTOS!L3034="","",ORCAMENTOS!L3034)</f>
        <v>ORCAMENTO</v>
      </c>
      <c r="K3026" s="34" t="str">
        <f>IF(ORCAMENTOS!M3034="","",ORCAMENTOS!M3034)</f>
        <v>-</v>
      </c>
      <c r="L3026" t="str">
        <f>IF(ORCAMENTOS!R3034="","",ORCAMENTOS!R3034)</f>
        <v>CHAPA DE ACO GALVANIZADO</v>
      </c>
    </row>
    <row r="3027" spans="1:12" ht="15.75" hidden="1" customHeight="1" x14ac:dyDescent="0.25">
      <c r="A3027" s="36">
        <f>IF(ORCAMENTOS!A3035="","",ORCAMENTOS!A3035)</f>
        <v>46156</v>
      </c>
      <c r="B3027" s="46">
        <f>IF(ORCAMENTOS!B3035="","",ORCAMENTOS!B3035)</f>
        <v>850</v>
      </c>
      <c r="C3027" s="46" t="str">
        <f>IF(ORCAMENTOS!C3035="","",ORCAMENTOS!C3035)</f>
        <v/>
      </c>
      <c r="D3027" s="37" t="str">
        <f>IF(ORCAMENTOS!D3035="","",ORCAMENTOS!D3035)</f>
        <v>APICE CLIMA</v>
      </c>
      <c r="E3027" s="38" t="str">
        <f>IF(ORCAMENTOS!E3035="","",ORCAMENTOS!E3035)</f>
        <v>BANCO DO BRASIL - CESUP IGP - VERBO</v>
      </c>
      <c r="F3027" s="37" t="str">
        <f>IF(ORCAMENTOS!G3035="","",ORCAMENTOS!G3035)</f>
        <v>Michel</v>
      </c>
      <c r="G3027" s="37" t="str">
        <f>IF(ORCAMENTOS!H3035="","",ORCAMENTOS!H3035)</f>
        <v>Djair</v>
      </c>
      <c r="H3027" s="39">
        <f>IF(ORCAMENTOS!I3035="","",ORCAMENTOS!I3035)</f>
        <v>5248.25</v>
      </c>
      <c r="I3027" s="60">
        <f>IF(ORCAMENTOS!J3035="","",ORCAMENTOS!J3035)</f>
        <v>7.0000000000000007E-2</v>
      </c>
      <c r="J3027" s="40" t="str">
        <f>IF(ORCAMENTOS!L3035="","",ORCAMENTOS!L3035)</f>
        <v>ORCAMENTO</v>
      </c>
      <c r="K3027" s="34" t="str">
        <f>IF(ORCAMENTOS!M3035="","",ORCAMENTOS!M3035)</f>
        <v>-</v>
      </c>
      <c r="L3027" t="str">
        <f>IF(ORCAMENTOS!R3035="","",ORCAMENTOS!R3035)</f>
        <v>-</v>
      </c>
    </row>
    <row r="3028" spans="1:12" ht="15.75" hidden="1" customHeight="1" x14ac:dyDescent="0.25">
      <c r="A3028" s="36">
        <f>IF(ORCAMENTOS!A3036="","",ORCAMENTOS!A3036)</f>
        <v>46156</v>
      </c>
      <c r="B3028" s="46">
        <f>IF(ORCAMENTOS!B3036="","",ORCAMENTOS!B3036)</f>
        <v>851</v>
      </c>
      <c r="C3028" s="46" t="str">
        <f>IF(ORCAMENTOS!C3036="","",ORCAMENTOS!C3036)</f>
        <v/>
      </c>
      <c r="D3028" s="37" t="str">
        <f>IF(ORCAMENTOS!D3036="","",ORCAMENTOS!D3036)</f>
        <v>GLTHERM</v>
      </c>
      <c r="E3028" s="38" t="str">
        <f>IF(ORCAMENTOS!E3036="","",ORCAMENTOS!E3036)</f>
        <v>-</v>
      </c>
      <c r="F3028" s="37" t="str">
        <f>IF(ORCAMENTOS!G3036="","",ORCAMENTOS!G3036)</f>
        <v>Gabriel</v>
      </c>
      <c r="G3028" s="37" t="str">
        <f>IF(ORCAMENTOS!H3036="","",ORCAMENTOS!H3036)</f>
        <v>Thalyson</v>
      </c>
      <c r="H3028" s="39">
        <f>IF(ORCAMENTOS!I3036="","",ORCAMENTOS!I3036)</f>
        <v>13074.28</v>
      </c>
      <c r="I3028" s="60">
        <f>IF(ORCAMENTOS!J3036="","",ORCAMENTOS!J3036)</f>
        <v>7.0000000000000007E-2</v>
      </c>
      <c r="J3028" s="40" t="str">
        <f>IF(ORCAMENTOS!L3036="","",ORCAMENTOS!L3036)</f>
        <v>ORCAMENTO</v>
      </c>
      <c r="K3028" s="34" t="str">
        <f>IF(ORCAMENTOS!M3036="","",ORCAMENTOS!M3036)</f>
        <v>-</v>
      </c>
      <c r="L3028" t="str">
        <f>IF(ORCAMENTOS!R3036="","",ORCAMENTOS!R3036)</f>
        <v>-</v>
      </c>
    </row>
    <row r="3029" spans="1:12" ht="15.75" hidden="1" customHeight="1" x14ac:dyDescent="0.25">
      <c r="A3029" s="36">
        <f>IF(ORCAMENTOS!A3037="","",ORCAMENTOS!A3037)</f>
        <v>46157</v>
      </c>
      <c r="B3029" s="46">
        <f>IF(ORCAMENTOS!B3037="","",ORCAMENTOS!B3037)</f>
        <v>852</v>
      </c>
      <c r="C3029" s="46" t="str">
        <f>IF(ORCAMENTOS!C3037="","",ORCAMENTOS!C3037)</f>
        <v/>
      </c>
      <c r="D3029" s="37" t="str">
        <f>IF(ORCAMENTOS!D3037="","",ORCAMENTOS!D3037)</f>
        <v>ADRIATIC</v>
      </c>
      <c r="E3029" s="38" t="str">
        <f>IF(ORCAMENTOS!E3037="","",ORCAMENTOS!E3037)</f>
        <v>C&amp;A IBI 100 - SHOPPING IBIRAPUERA - SP</v>
      </c>
      <c r="F3029" s="37" t="str">
        <f>IF(ORCAMENTOS!G3037="","",ORCAMENTOS!G3037)</f>
        <v>Emanuel</v>
      </c>
      <c r="G3029" s="37" t="str">
        <f>IF(ORCAMENTOS!H3037="","",ORCAMENTOS!H3037)</f>
        <v>Erika</v>
      </c>
      <c r="H3029" s="39">
        <f>IF(ORCAMENTOS!I3037="","",ORCAMENTOS!I3037)</f>
        <v>24128.17</v>
      </c>
      <c r="I3029" s="60">
        <f>IF(ORCAMENTOS!J3037="","",ORCAMENTOS!J3037)</f>
        <v>0.05</v>
      </c>
      <c r="J3029" s="40" t="str">
        <f>IF(ORCAMENTOS!L3037="","",ORCAMENTOS!L3037)</f>
        <v>COMPRA</v>
      </c>
      <c r="K3029" s="34" t="str">
        <f>IF(ORCAMENTOS!M3037="","",ORCAMENTOS!M3037)</f>
        <v>-</v>
      </c>
      <c r="L3029" t="str">
        <f>IF(ORCAMENTOS!R3037="","",ORCAMENTOS!R3037)</f>
        <v>MPU</v>
      </c>
    </row>
    <row r="3030" spans="1:12" ht="15.75" hidden="1" customHeight="1" x14ac:dyDescent="0.25">
      <c r="A3030" s="36">
        <f>IF(ORCAMENTOS!A3038="","",ORCAMENTOS!A3038)</f>
        <v>46157</v>
      </c>
      <c r="B3030" s="46">
        <f>IF(ORCAMENTOS!B3038="","",ORCAMENTOS!B3038)</f>
        <v>853</v>
      </c>
      <c r="C3030" s="46" t="str">
        <f>IF(ORCAMENTOS!C3038="","",ORCAMENTOS!C3038)</f>
        <v/>
      </c>
      <c r="D3030" s="37" t="str">
        <f>IF(ORCAMENTOS!D3038="","",ORCAMENTOS!D3038)</f>
        <v>AR SET</v>
      </c>
      <c r="E3030" s="38" t="str">
        <f>IF(ORCAMENTOS!E3038="","",ORCAMENTOS!E3038)</f>
        <v>8168-25634 MELANIE CHEVRIER</v>
      </c>
      <c r="F3030" s="37" t="str">
        <f>IF(ORCAMENTOS!G3038="","",ORCAMENTOS!G3038)</f>
        <v>Fernando</v>
      </c>
      <c r="G3030" s="37" t="str">
        <f>IF(ORCAMENTOS!H3038="","",ORCAMENTOS!H3038)</f>
        <v>Danilo</v>
      </c>
      <c r="H3030" s="39">
        <f>IF(ORCAMENTOS!I3038="","",ORCAMENTOS!I3038)</f>
        <v>881.27</v>
      </c>
      <c r="I3030" s="60">
        <f>IF(ORCAMENTOS!J3038="","",ORCAMENTOS!J3038)</f>
        <v>7.0000000000000007E-2</v>
      </c>
      <c r="J3030" s="40" t="str">
        <f>IF(ORCAMENTOS!L3038="","",ORCAMENTOS!L3038)</f>
        <v>FECHADO</v>
      </c>
      <c r="K3030" s="34" t="str">
        <f>IF(ORCAMENTOS!M3038="","",ORCAMENTOS!M3038)</f>
        <v>-</v>
      </c>
      <c r="L3030" t="str">
        <f>IF(ORCAMENTOS!R3038="","",ORCAMENTOS!R3038)</f>
        <v>-</v>
      </c>
    </row>
    <row r="3031" spans="1:12" ht="15.75" hidden="1" customHeight="1" x14ac:dyDescent="0.25">
      <c r="A3031" s="36">
        <f>IF(ORCAMENTOS!A3039="","",ORCAMENTOS!A3039)</f>
        <v>46157</v>
      </c>
      <c r="B3031" s="46">
        <f>IF(ORCAMENTOS!B3039="","",ORCAMENTOS!B3039)</f>
        <v>854</v>
      </c>
      <c r="C3031" s="46" t="str">
        <f>IF(ORCAMENTOS!C3039="","",ORCAMENTOS!C3039)</f>
        <v/>
      </c>
      <c r="D3031" s="37" t="str">
        <f>IF(ORCAMENTOS!D3039="","",ORCAMENTOS!D3039)</f>
        <v>AIRPLAN</v>
      </c>
      <c r="E3031" s="38" t="str">
        <f>IF(ORCAMENTOS!E3039="","",ORCAMENTOS!E3039)</f>
        <v>RIACHUELO - PLAZA MACAE</v>
      </c>
      <c r="F3031" s="37" t="str">
        <f>IF(ORCAMENTOS!G3039="","",ORCAMENTOS!G3039)</f>
        <v>Guilherme</v>
      </c>
      <c r="G3031" s="37" t="str">
        <f>IF(ORCAMENTOS!H3039="","",ORCAMENTOS!H3039)</f>
        <v>Gabriel</v>
      </c>
      <c r="H3031" s="39">
        <f>IF(ORCAMENTOS!I3039="","",ORCAMENTOS!I3039)</f>
        <v>85842.8</v>
      </c>
      <c r="I3031" s="60">
        <f>IF(ORCAMENTOS!J3039="","",ORCAMENTOS!J3039)</f>
        <v>7.0000000000000007E-2</v>
      </c>
      <c r="J3031" s="40" t="str">
        <f>IF(ORCAMENTOS!L3039="","",ORCAMENTOS!L3039)</f>
        <v>ORCAMENTO</v>
      </c>
      <c r="K3031" s="34" t="str">
        <f>IF(ORCAMENTOS!M3039="","",ORCAMENTOS!M3039)</f>
        <v>-</v>
      </c>
      <c r="L3031" t="str">
        <f>IF(ORCAMENTOS!R3039="","",ORCAMENTOS!R3039)</f>
        <v>MPU</v>
      </c>
    </row>
    <row r="3032" spans="1:12" ht="15.75" hidden="1" customHeight="1" x14ac:dyDescent="0.25">
      <c r="A3032" s="36">
        <f>IF(ORCAMENTOS!A3040="","",ORCAMENTOS!A3040)</f>
        <v>46160</v>
      </c>
      <c r="B3032" s="46">
        <f>IF(ORCAMENTOS!B3040="","",ORCAMENTOS!B3040)</f>
        <v>855</v>
      </c>
      <c r="C3032" s="46" t="str">
        <f>IF(ORCAMENTOS!C3040="","",ORCAMENTOS!C3040)</f>
        <v>R2</v>
      </c>
      <c r="D3032" s="37" t="str">
        <f>IF(ORCAMENTOS!D3040="","",ORCAMENTOS!D3040)</f>
        <v>ARDORO</v>
      </c>
      <c r="E3032" s="38" t="str">
        <f>IF(ORCAMENTOS!E3040="","",ORCAMENTOS!E3040)</f>
        <v>RIO NEGRO</v>
      </c>
      <c r="F3032" s="37" t="str">
        <f>IF(ORCAMENTOS!G3040="","",ORCAMENTOS!G3040)</f>
        <v>Emanuel</v>
      </c>
      <c r="G3032" s="37" t="str">
        <f>IF(ORCAMENTOS!H3040="","",ORCAMENTOS!H3040)</f>
        <v>Andre</v>
      </c>
      <c r="H3032" s="39">
        <f>IF(ORCAMENTOS!I3040="","",ORCAMENTOS!I3040)</f>
        <v>4800.0200000000004</v>
      </c>
      <c r="I3032" s="60">
        <f>IF(ORCAMENTOS!J3040="","",ORCAMENTOS!J3040)</f>
        <v>7.0000000000000007E-2</v>
      </c>
      <c r="J3032" s="40" t="str">
        <f>IF(ORCAMENTOS!L3040="","",ORCAMENTOS!L3040)</f>
        <v>FECHADO</v>
      </c>
      <c r="K3032" s="34" t="str">
        <f>IF(ORCAMENTOS!M3040="","",ORCAMENTOS!M3040)</f>
        <v>-</v>
      </c>
      <c r="L3032" t="str">
        <f>IF(ORCAMENTOS!R3040="","",ORCAMENTOS!R3040)</f>
        <v>-</v>
      </c>
    </row>
    <row r="3033" spans="1:12" ht="15.75" hidden="1" customHeight="1" x14ac:dyDescent="0.25">
      <c r="A3033" s="36">
        <f>IF(ORCAMENTOS!A3041="","",ORCAMENTOS!A3041)</f>
        <v>46157</v>
      </c>
      <c r="B3033" s="46">
        <f>IF(ORCAMENTOS!B3041="","",ORCAMENTOS!B3041)</f>
        <v>856</v>
      </c>
      <c r="C3033" s="46" t="str">
        <f>IF(ORCAMENTOS!C3041="","",ORCAMENTOS!C3041)</f>
        <v/>
      </c>
      <c r="D3033" s="37" t="str">
        <f>IF(ORCAMENTOS!D3041="","",ORCAMENTOS!D3041)</f>
        <v>SOLAR AR CONDICIONADO</v>
      </c>
      <c r="E3033" s="38" t="str">
        <f>IF(ORCAMENTOS!E3041="","",ORCAMENTOS!E3041)</f>
        <v>-</v>
      </c>
      <c r="F3033" s="37" t="str">
        <f>IF(ORCAMENTOS!G3041="","",ORCAMENTOS!G3041)</f>
        <v>Michel</v>
      </c>
      <c r="G3033" s="37" t="str">
        <f>IF(ORCAMENTOS!H3041="","",ORCAMENTOS!H3041)</f>
        <v>Pedro</v>
      </c>
      <c r="H3033" s="39">
        <f>IF(ORCAMENTOS!I3041="","",ORCAMENTOS!I3041)</f>
        <v>14506.59</v>
      </c>
      <c r="I3033" s="60">
        <f>IF(ORCAMENTOS!J3041="","",ORCAMENTOS!J3041)</f>
        <v>7.0000000000000007E-2</v>
      </c>
      <c r="J3033" s="40" t="str">
        <f>IF(ORCAMENTOS!L3041="","",ORCAMENTOS!L3041)</f>
        <v>ORCAMENTO</v>
      </c>
      <c r="K3033" s="34" t="str">
        <f>IF(ORCAMENTOS!M3041="","",ORCAMENTOS!M3041)</f>
        <v>-</v>
      </c>
      <c r="L3033" t="str">
        <f>IF(ORCAMENTOS!R3041="","",ORCAMENTOS!R3041)</f>
        <v>-</v>
      </c>
    </row>
    <row r="3034" spans="1:12" ht="15.75" hidden="1" customHeight="1" x14ac:dyDescent="0.25">
      <c r="A3034" s="36">
        <f>IF(ORCAMENTOS!A3042="","",ORCAMENTOS!A3042)</f>
        <v>46160</v>
      </c>
      <c r="B3034" s="46">
        <f>IF(ORCAMENTOS!B3042="","",ORCAMENTOS!B3042)</f>
        <v>857</v>
      </c>
      <c r="C3034" s="46" t="str">
        <f>IF(ORCAMENTOS!C3042="","",ORCAMENTOS!C3042)</f>
        <v>R1</v>
      </c>
      <c r="D3034" s="37" t="str">
        <f>IF(ORCAMENTOS!D3042="","",ORCAMENTOS!D3042)</f>
        <v>MOVE AR</v>
      </c>
      <c r="E3034" s="38" t="str">
        <f>IF(ORCAMENTOS!E3042="","",ORCAMENTOS!E3042)</f>
        <v>-</v>
      </c>
      <c r="F3034" s="37" t="str">
        <f>IF(ORCAMENTOS!G3042="","",ORCAMENTOS!G3042)</f>
        <v>Gabriel</v>
      </c>
      <c r="G3034" s="37" t="str">
        <f>IF(ORCAMENTOS!H3042="","",ORCAMENTOS!H3042)</f>
        <v>Debora</v>
      </c>
      <c r="H3034" s="39">
        <f>IF(ORCAMENTOS!I3042="","",ORCAMENTOS!I3042)</f>
        <v>6377.44</v>
      </c>
      <c r="I3034" s="60">
        <f>IF(ORCAMENTOS!J3042="","",ORCAMENTOS!J3042)</f>
        <v>7.0000000000000007E-2</v>
      </c>
      <c r="J3034" s="40" t="str">
        <f>IF(ORCAMENTOS!L3042="","",ORCAMENTOS!L3042)</f>
        <v>ORCAMENTO</v>
      </c>
      <c r="K3034" s="34" t="str">
        <f>IF(ORCAMENTOS!M3042="","",ORCAMENTOS!M3042)</f>
        <v>-</v>
      </c>
      <c r="L3034" t="str">
        <f>IF(ORCAMENTOS!R3042="","",ORCAMENTOS!R3042)</f>
        <v>-</v>
      </c>
    </row>
    <row r="3035" spans="1:12" ht="15.75" hidden="1" customHeight="1" x14ac:dyDescent="0.25">
      <c r="A3035" s="36">
        <f>IF(ORCAMENTOS!A3043="","",ORCAMENTOS!A3043)</f>
        <v>46157</v>
      </c>
      <c r="B3035" s="46">
        <f>IF(ORCAMENTOS!B3043="","",ORCAMENTOS!B3043)</f>
        <v>858</v>
      </c>
      <c r="C3035" s="46" t="str">
        <f>IF(ORCAMENTOS!C3043="","",ORCAMENTOS!C3043)</f>
        <v/>
      </c>
      <c r="D3035" s="37" t="str">
        <f>IF(ORCAMENTOS!D3043="","",ORCAMENTOS!D3043)</f>
        <v>AIRPLAN</v>
      </c>
      <c r="E3035" s="38" t="str">
        <f>IF(ORCAMENTOS!E3043="","",ORCAMENTOS!E3043)</f>
        <v>RIACHUELO - RIO ILHA PLAZA SHOP - RJ</v>
      </c>
      <c r="F3035" s="37" t="str">
        <f>IF(ORCAMENTOS!G3043="","",ORCAMENTOS!G3043)</f>
        <v>Guilherme</v>
      </c>
      <c r="G3035" s="37" t="str">
        <f>IF(ORCAMENTOS!H3043="","",ORCAMENTOS!H3043)</f>
        <v>Gabriel</v>
      </c>
      <c r="H3035" s="39">
        <f>IF(ORCAMENTOS!I3043="","",ORCAMENTOS!I3043)</f>
        <v>42145.75</v>
      </c>
      <c r="I3035" s="60">
        <f>IF(ORCAMENTOS!J3043="","",ORCAMENTOS!J3043)</f>
        <v>7.0000000000000007E-2</v>
      </c>
      <c r="J3035" s="40" t="str">
        <f>IF(ORCAMENTOS!L3043="","",ORCAMENTOS!L3043)</f>
        <v>ORCAMENTO</v>
      </c>
      <c r="K3035" s="34" t="str">
        <f>IF(ORCAMENTOS!M3043="","",ORCAMENTOS!M3043)</f>
        <v>-</v>
      </c>
      <c r="L3035" t="str">
        <f>IF(ORCAMENTOS!R3043="","",ORCAMENTOS!R3043)</f>
        <v>MPU</v>
      </c>
    </row>
    <row r="3036" spans="1:12" ht="15.75" hidden="1" customHeight="1" x14ac:dyDescent="0.25">
      <c r="A3036" s="36">
        <f>IF(ORCAMENTOS!A3044="","",ORCAMENTOS!A3044)</f>
        <v>46162</v>
      </c>
      <c r="B3036" s="46">
        <f>IF(ORCAMENTOS!B3044="","",ORCAMENTOS!B3044)</f>
        <v>859</v>
      </c>
      <c r="C3036" s="46" t="str">
        <f>IF(ORCAMENTOS!C3044="","",ORCAMENTOS!C3044)</f>
        <v>R1</v>
      </c>
      <c r="D3036" s="37" t="str">
        <f>IF(ORCAMENTOS!D3044="","",ORCAMENTOS!D3044)</f>
        <v>COMPARCO</v>
      </c>
      <c r="E3036" s="38" t="str">
        <f>IF(ORCAMENTOS!E3044="","",ORCAMENTOS!E3044)</f>
        <v>-</v>
      </c>
      <c r="F3036" s="37" t="str">
        <f>IF(ORCAMENTOS!G3044="","",ORCAMENTOS!G3044)</f>
        <v>Gabriel</v>
      </c>
      <c r="G3036" s="37" t="str">
        <f>IF(ORCAMENTOS!H3044="","",ORCAMENTOS!H3044)</f>
        <v>Eliane</v>
      </c>
      <c r="H3036" s="39">
        <f>IF(ORCAMENTOS!I3044="","",ORCAMENTOS!I3044)</f>
        <v>3026.05</v>
      </c>
      <c r="I3036" s="60">
        <f>IF(ORCAMENTOS!J3044="","",ORCAMENTOS!J3044)</f>
        <v>7.0000000000000007E-2</v>
      </c>
      <c r="J3036" s="40" t="str">
        <f>IF(ORCAMENTOS!L3044="","",ORCAMENTOS!L3044)</f>
        <v>FECHADO</v>
      </c>
      <c r="K3036" s="34" t="str">
        <f>IF(ORCAMENTOS!M3044="","",ORCAMENTOS!M3044)</f>
        <v>-</v>
      </c>
      <c r="L3036" t="str">
        <f>IF(ORCAMENTOS!R3044="","",ORCAMENTOS!R3044)</f>
        <v>-</v>
      </c>
    </row>
    <row r="3037" spans="1:12" ht="15.75" hidden="1" customHeight="1" x14ac:dyDescent="0.25">
      <c r="A3037" s="36">
        <f>IF(ORCAMENTOS!A3045="","",ORCAMENTOS!A3045)</f>
        <v>46160</v>
      </c>
      <c r="B3037" s="46">
        <f>IF(ORCAMENTOS!B3045="","",ORCAMENTOS!B3045)</f>
        <v>860</v>
      </c>
      <c r="C3037" s="46" t="str">
        <f>IF(ORCAMENTOS!C3045="","",ORCAMENTOS!C3045)</f>
        <v/>
      </c>
      <c r="D3037" s="37" t="str">
        <f>IF(ORCAMENTOS!D3045="","",ORCAMENTOS!D3045)</f>
        <v>RICH ENGENHARIA</v>
      </c>
      <c r="E3037" s="38" t="str">
        <f>IF(ORCAMENTOS!E3045="","",ORCAMENTOS!E3045)</f>
        <v>ARCOS RESTAURANTE - SÃO PAULO - SP</v>
      </c>
      <c r="F3037" s="37" t="str">
        <f>IF(ORCAMENTOS!G3045="","",ORCAMENTOS!G3045)</f>
        <v>Guilherme</v>
      </c>
      <c r="G3037" s="37" t="str">
        <f>IF(ORCAMENTOS!H3045="","",ORCAMENTOS!H3045)</f>
        <v>Ricardo</v>
      </c>
      <c r="H3037" s="39">
        <f>IF(ORCAMENTOS!I3045="","",ORCAMENTOS!I3045)</f>
        <v>137971.79</v>
      </c>
      <c r="I3037" s="60">
        <f>IF(ORCAMENTOS!J3045="","",ORCAMENTOS!J3045)</f>
        <v>7.0000000000000007E-2</v>
      </c>
      <c r="J3037" s="40" t="str">
        <f>IF(ORCAMENTOS!L3045="","",ORCAMENTOS!L3045)</f>
        <v>ORCAMENTO</v>
      </c>
      <c r="K3037" s="34" t="str">
        <f>IF(ORCAMENTOS!M3045="","",ORCAMENTOS!M3045)</f>
        <v>-</v>
      </c>
      <c r="L3037" t="str">
        <f>IF(ORCAMENTOS!R3045="","",ORCAMENTOS!R3045)</f>
        <v>MPU</v>
      </c>
    </row>
    <row r="3038" spans="1:12" ht="15.75" hidden="1" customHeight="1" x14ac:dyDescent="0.25">
      <c r="A3038" s="36">
        <f>IF(ORCAMENTOS!A3046="","",ORCAMENTOS!A3046)</f>
        <v>46160</v>
      </c>
      <c r="B3038" s="46">
        <f>IF(ORCAMENTOS!B3046="","",ORCAMENTOS!B3046)</f>
        <v>861</v>
      </c>
      <c r="C3038" s="46" t="str">
        <f>IF(ORCAMENTOS!C3046="","",ORCAMENTOS!C3046)</f>
        <v/>
      </c>
      <c r="D3038" s="37" t="str">
        <f>IF(ORCAMENTOS!D3046="","",ORCAMENTOS!D3046)</f>
        <v>TERMOCLIMA</v>
      </c>
      <c r="E3038" s="38" t="str">
        <f>IF(ORCAMENTOS!E3046="","",ORCAMENTOS!E3046)</f>
        <v>ASSAI - AV SANTA CATARINA - SP</v>
      </c>
      <c r="F3038" s="37" t="str">
        <f>IF(ORCAMENTOS!G3046="","",ORCAMENTOS!G3046)</f>
        <v>Gabriel</v>
      </c>
      <c r="G3038" s="37" t="str">
        <f>IF(ORCAMENTOS!H3046="","",ORCAMENTOS!H3046)</f>
        <v>Pedro</v>
      </c>
      <c r="H3038" s="39">
        <f>IF(ORCAMENTOS!I3046="","",ORCAMENTOS!I3046)</f>
        <v>28407.71</v>
      </c>
      <c r="I3038" s="60">
        <f>IF(ORCAMENTOS!J3046="","",ORCAMENTOS!J3046)</f>
        <v>7.0000000000000007E-2</v>
      </c>
      <c r="J3038" s="40" t="str">
        <f>IF(ORCAMENTOS!L3046="","",ORCAMENTOS!L3046)</f>
        <v>ORCAMENTO</v>
      </c>
      <c r="K3038" s="34" t="str">
        <f>IF(ORCAMENTOS!M3046="","",ORCAMENTOS!M3046)</f>
        <v>-</v>
      </c>
      <c r="L3038" t="str">
        <f>IF(ORCAMENTOS!R3046="","",ORCAMENTOS!R3046)</f>
        <v>-</v>
      </c>
    </row>
    <row r="3039" spans="1:12" ht="15.75" hidden="1" customHeight="1" x14ac:dyDescent="0.25">
      <c r="A3039" s="36">
        <f>IF(ORCAMENTOS!A3047="","",ORCAMENTOS!A3047)</f>
        <v>46160</v>
      </c>
      <c r="B3039" s="46">
        <f>IF(ORCAMENTOS!B3047="","",ORCAMENTOS!B3047)</f>
        <v>862</v>
      </c>
      <c r="C3039" s="46" t="str">
        <f>IF(ORCAMENTOS!C3047="","",ORCAMENTOS!C3047)</f>
        <v/>
      </c>
      <c r="D3039" s="37" t="str">
        <f>IF(ORCAMENTOS!D3047="","",ORCAMENTOS!D3047)</f>
        <v>TERMOCLIMA</v>
      </c>
      <c r="E3039" s="38" t="str">
        <f>IF(ORCAMENTOS!E3047="","",ORCAMENTOS!E3047)</f>
        <v>ASSAI - ITAVUVU - SOROCABA - SP</v>
      </c>
      <c r="F3039" s="37" t="str">
        <f>IF(ORCAMENTOS!G3047="","",ORCAMENTOS!G3047)</f>
        <v>Gabriel</v>
      </c>
      <c r="G3039" s="37" t="str">
        <f>IF(ORCAMENTOS!H3047="","",ORCAMENTOS!H3047)</f>
        <v>Pedro</v>
      </c>
      <c r="H3039" s="39">
        <f>IF(ORCAMENTOS!I3047="","",ORCAMENTOS!I3047)</f>
        <v>28376.35</v>
      </c>
      <c r="I3039" s="60">
        <f>IF(ORCAMENTOS!J3047="","",ORCAMENTOS!J3047)</f>
        <v>7.0000000000000007E-2</v>
      </c>
      <c r="J3039" s="40" t="str">
        <f>IF(ORCAMENTOS!L3047="","",ORCAMENTOS!L3047)</f>
        <v>ORCAMENTO</v>
      </c>
      <c r="K3039" s="34" t="str">
        <f>IF(ORCAMENTOS!M3047="","",ORCAMENTOS!M3047)</f>
        <v>-</v>
      </c>
      <c r="L3039" t="str">
        <f>IF(ORCAMENTOS!R3047="","",ORCAMENTOS!R3047)</f>
        <v>-</v>
      </c>
    </row>
    <row r="3040" spans="1:12" ht="15.75" hidden="1" customHeight="1" x14ac:dyDescent="0.25">
      <c r="A3040" s="36">
        <f>IF(ORCAMENTOS!A3048="","",ORCAMENTOS!A3048)</f>
        <v>46160</v>
      </c>
      <c r="B3040" s="46">
        <f>IF(ORCAMENTOS!B3048="","",ORCAMENTOS!B3048)</f>
        <v>863</v>
      </c>
      <c r="C3040" s="46" t="str">
        <f>IF(ORCAMENTOS!C3048="","",ORCAMENTOS!C3048)</f>
        <v/>
      </c>
      <c r="D3040" s="37" t="str">
        <f>IF(ORCAMENTOS!D3048="","",ORCAMENTOS!D3048)</f>
        <v>TERMOCLIMA</v>
      </c>
      <c r="E3040" s="38" t="str">
        <f>IF(ORCAMENTOS!E3048="","",ORCAMENTOS!E3048)</f>
        <v>ASSAI - PRAIA GRANDE - SP</v>
      </c>
      <c r="F3040" s="37" t="str">
        <f>IF(ORCAMENTOS!G3048="","",ORCAMENTOS!G3048)</f>
        <v>Gabriel</v>
      </c>
      <c r="G3040" s="37" t="str">
        <f>IF(ORCAMENTOS!H3048="","",ORCAMENTOS!H3048)</f>
        <v>Pedro</v>
      </c>
      <c r="H3040" s="39">
        <f>IF(ORCAMENTOS!I3048="","",ORCAMENTOS!I3048)</f>
        <v>35601.53</v>
      </c>
      <c r="I3040" s="60">
        <f>IF(ORCAMENTOS!J3048="","",ORCAMENTOS!J3048)</f>
        <v>7.0000000000000007E-2</v>
      </c>
      <c r="J3040" s="40" t="str">
        <f>IF(ORCAMENTOS!L3048="","",ORCAMENTOS!L3048)</f>
        <v>ORCAMENTO</v>
      </c>
      <c r="K3040" s="34" t="str">
        <f>IF(ORCAMENTOS!M3048="","",ORCAMENTOS!M3048)</f>
        <v>-</v>
      </c>
      <c r="L3040" t="str">
        <f>IF(ORCAMENTOS!R3048="","",ORCAMENTOS!R3048)</f>
        <v>-</v>
      </c>
    </row>
    <row r="3041" spans="1:12" ht="15.75" hidden="1" customHeight="1" x14ac:dyDescent="0.25">
      <c r="A3041" s="36">
        <f>IF(ORCAMENTOS!A3049="","",ORCAMENTOS!A3049)</f>
        <v>46160</v>
      </c>
      <c r="B3041" s="46">
        <f>IF(ORCAMENTOS!B3049="","",ORCAMENTOS!B3049)</f>
        <v>864</v>
      </c>
      <c r="C3041" s="46" t="str">
        <f>IF(ORCAMENTOS!C3049="","",ORCAMENTOS!C3049)</f>
        <v/>
      </c>
      <c r="D3041" s="37" t="str">
        <f>IF(ORCAMENTOS!D3049="","",ORCAMENTOS!D3049)</f>
        <v>TERMOCLIMA</v>
      </c>
      <c r="E3041" s="38" t="str">
        <f>IF(ORCAMENTOS!E3049="","",ORCAMENTOS!E3049)</f>
        <v>ASSAI - CASA VERDE - SP</v>
      </c>
      <c r="F3041" s="37" t="str">
        <f>IF(ORCAMENTOS!G3049="","",ORCAMENTOS!G3049)</f>
        <v>Gabriel</v>
      </c>
      <c r="G3041" s="37" t="str">
        <f>IF(ORCAMENTOS!H3049="","",ORCAMENTOS!H3049)</f>
        <v>Pedro</v>
      </c>
      <c r="H3041" s="39">
        <f>IF(ORCAMENTOS!I3049="","",ORCAMENTOS!I3049)</f>
        <v>23391.45</v>
      </c>
      <c r="I3041" s="60">
        <f>IF(ORCAMENTOS!J3049="","",ORCAMENTOS!J3049)</f>
        <v>7.0000000000000007E-2</v>
      </c>
      <c r="J3041" s="40" t="str">
        <f>IF(ORCAMENTOS!L3049="","",ORCAMENTOS!L3049)</f>
        <v>ORCAMENTO</v>
      </c>
      <c r="K3041" s="34" t="str">
        <f>IF(ORCAMENTOS!M3049="","",ORCAMENTOS!M3049)</f>
        <v>-</v>
      </c>
      <c r="L3041" t="str">
        <f>IF(ORCAMENTOS!R3049="","",ORCAMENTOS!R3049)</f>
        <v>-</v>
      </c>
    </row>
    <row r="3042" spans="1:12" ht="15.75" hidden="1" customHeight="1" x14ac:dyDescent="0.25">
      <c r="A3042" s="36">
        <f>IF(ORCAMENTOS!A3050="","",ORCAMENTOS!A3050)</f>
        <v>46160</v>
      </c>
      <c r="B3042" s="46">
        <f>IF(ORCAMENTOS!B3050="","",ORCAMENTOS!B3050)</f>
        <v>865</v>
      </c>
      <c r="C3042" s="46" t="str">
        <f>IF(ORCAMENTOS!C3050="","",ORCAMENTOS!C3050)</f>
        <v/>
      </c>
      <c r="D3042" s="37" t="str">
        <f>IF(ORCAMENTOS!D3050="","",ORCAMENTOS!D3050)</f>
        <v>TERMOCLIMA</v>
      </c>
      <c r="E3042" s="38" t="str">
        <f>IF(ORCAMENTOS!E3050="","",ORCAMENTOS!E3050)</f>
        <v>ASSAI - LOJA ITAQUERA - SP</v>
      </c>
      <c r="F3042" s="37" t="str">
        <f>IF(ORCAMENTOS!G3050="","",ORCAMENTOS!G3050)</f>
        <v>Gabriel</v>
      </c>
      <c r="G3042" s="37" t="str">
        <f>IF(ORCAMENTOS!H3050="","",ORCAMENTOS!H3050)</f>
        <v>Pedro</v>
      </c>
      <c r="H3042" s="39">
        <f>IF(ORCAMENTOS!I3050="","",ORCAMENTOS!I3050)</f>
        <v>49081.61</v>
      </c>
      <c r="I3042" s="60">
        <f>IF(ORCAMENTOS!J3050="","",ORCAMENTOS!J3050)</f>
        <v>7.0000000000000007E-2</v>
      </c>
      <c r="J3042" s="40" t="str">
        <f>IF(ORCAMENTOS!L3050="","",ORCAMENTOS!L3050)</f>
        <v>ORCAMENTO</v>
      </c>
      <c r="K3042" s="34" t="str">
        <f>IF(ORCAMENTOS!M3050="","",ORCAMENTOS!M3050)</f>
        <v>-</v>
      </c>
      <c r="L3042" t="str">
        <f>IF(ORCAMENTOS!R3050="","",ORCAMENTOS!R3050)</f>
        <v>-</v>
      </c>
    </row>
    <row r="3043" spans="1:12" ht="15.75" hidden="1" customHeight="1" x14ac:dyDescent="0.25">
      <c r="A3043" s="36">
        <f>IF(ORCAMENTOS!A3051="","",ORCAMENTOS!A3051)</f>
        <v>46160</v>
      </c>
      <c r="B3043" s="46">
        <f>IF(ORCAMENTOS!B3051="","",ORCAMENTOS!B3051)</f>
        <v>866</v>
      </c>
      <c r="C3043" s="46" t="str">
        <f>IF(ORCAMENTOS!C3051="","",ORCAMENTOS!C3051)</f>
        <v/>
      </c>
      <c r="D3043" s="37" t="str">
        <f>IF(ORCAMENTOS!D3051="","",ORCAMENTOS!D3051)</f>
        <v>EXAUSTAR</v>
      </c>
      <c r="E3043" s="38" t="str">
        <f>IF(ORCAMENTOS!E3051="","",ORCAMENTOS!E3051)</f>
        <v>-</v>
      </c>
      <c r="F3043" s="37" t="str">
        <f>IF(ORCAMENTOS!G3051="","",ORCAMENTOS!G3051)</f>
        <v>Gabriel</v>
      </c>
      <c r="G3043" s="37" t="str">
        <f>IF(ORCAMENTOS!H3051="","",ORCAMENTOS!H3051)</f>
        <v>Guilherme</v>
      </c>
      <c r="H3043" s="39">
        <f>IF(ORCAMENTOS!I3051="","",ORCAMENTOS!I3051)</f>
        <v>601.20000000000005</v>
      </c>
      <c r="I3043" s="60">
        <f>IF(ORCAMENTOS!J3051="","",ORCAMENTOS!J3051)</f>
        <v>7.0000000000000007E-2</v>
      </c>
      <c r="J3043" s="40" t="str">
        <f>IF(ORCAMENTOS!L3051="","",ORCAMENTOS!L3051)</f>
        <v>ORCAMENTO</v>
      </c>
      <c r="K3043" s="34" t="str">
        <f>IF(ORCAMENTOS!M3051="","",ORCAMENTOS!M3051)</f>
        <v>-</v>
      </c>
      <c r="L3043" t="str">
        <f>IF(ORCAMENTOS!R3051="","",ORCAMENTOS!R3051)</f>
        <v>-</v>
      </c>
    </row>
    <row r="3044" spans="1:12" ht="15.75" hidden="1" customHeight="1" x14ac:dyDescent="0.25">
      <c r="A3044" s="36">
        <f>IF(ORCAMENTOS!A3052="","",ORCAMENTOS!A3052)</f>
        <v>46160</v>
      </c>
      <c r="B3044" s="46">
        <f>IF(ORCAMENTOS!B3052="","",ORCAMENTOS!B3052)</f>
        <v>867</v>
      </c>
      <c r="C3044" s="46" t="str">
        <f>IF(ORCAMENTOS!C3052="","",ORCAMENTOS!C3052)</f>
        <v/>
      </c>
      <c r="D3044" s="37" t="str">
        <f>IF(ORCAMENTOS!D3052="","",ORCAMENTOS!D3052)</f>
        <v>BIOTEC</v>
      </c>
      <c r="E3044" s="38" t="str">
        <f>IF(ORCAMENTOS!E3052="","",ORCAMENTOS!E3052)</f>
        <v>MAXIMUS - CASA DE SHOW - JARDIM PANAMERICANO - SP</v>
      </c>
      <c r="F3044" s="37" t="str">
        <f>IF(ORCAMENTOS!G3052="","",ORCAMENTOS!G3052)</f>
        <v>Emanuel</v>
      </c>
      <c r="G3044" s="37" t="str">
        <f>IF(ORCAMENTOS!H3052="","",ORCAMENTOS!H3052)</f>
        <v>Paulo</v>
      </c>
      <c r="H3044" s="39">
        <f>IF(ORCAMENTOS!I3052="","",ORCAMENTOS!I3052)</f>
        <v>12289.32</v>
      </c>
      <c r="I3044" s="60">
        <f>IF(ORCAMENTOS!J3052="","",ORCAMENTOS!J3052)</f>
        <v>7.0000000000000007E-2</v>
      </c>
      <c r="J3044" s="40" t="str">
        <f>IF(ORCAMENTOS!L3052="","",ORCAMENTOS!L3052)</f>
        <v>ORCAMENTO</v>
      </c>
      <c r="K3044" s="34" t="str">
        <f>IF(ORCAMENTOS!M3052="","",ORCAMENTOS!M3052)</f>
        <v>-</v>
      </c>
      <c r="L3044" t="str">
        <f>IF(ORCAMENTOS!R3052="","",ORCAMENTOS!R3052)</f>
        <v>-</v>
      </c>
    </row>
    <row r="3045" spans="1:12" ht="15.75" hidden="1" customHeight="1" x14ac:dyDescent="0.25">
      <c r="A3045" s="36">
        <f>IF(ORCAMENTOS!A3053="","",ORCAMENTOS!A3053)</f>
        <v>46160</v>
      </c>
      <c r="B3045" s="46">
        <f>IF(ORCAMENTOS!B3053="","",ORCAMENTOS!B3053)</f>
        <v>868</v>
      </c>
      <c r="C3045" s="46" t="str">
        <f>IF(ORCAMENTOS!C3053="","",ORCAMENTOS!C3053)</f>
        <v/>
      </c>
      <c r="D3045" s="37" t="str">
        <f>IF(ORCAMENTOS!D3053="","",ORCAMENTOS!D3053)</f>
        <v>RONALDO DONIZETE</v>
      </c>
      <c r="E3045" s="38" t="str">
        <f>IF(ORCAMENTOS!E3053="","",ORCAMENTOS!E3053)</f>
        <v>SMART FIT - GARANHUNS - PE</v>
      </c>
      <c r="F3045" s="37" t="str">
        <f>IF(ORCAMENTOS!G3053="","",ORCAMENTOS!G3053)</f>
        <v>Michel</v>
      </c>
      <c r="G3045" s="37" t="str">
        <f>IF(ORCAMENTOS!H3053="","",ORCAMENTOS!H3053)</f>
        <v>Ronaldo</v>
      </c>
      <c r="H3045" s="39">
        <f>IF(ORCAMENTOS!I3053="","",ORCAMENTOS!I3053)</f>
        <v>97336.12</v>
      </c>
      <c r="I3045" s="60">
        <f>IF(ORCAMENTOS!J3053="","",ORCAMENTOS!J3053)</f>
        <v>7.0000000000000007E-2</v>
      </c>
      <c r="J3045" s="40" t="str">
        <f>IF(ORCAMENTOS!L3053="","",ORCAMENTOS!L3053)</f>
        <v>ORCAMENTO</v>
      </c>
      <c r="K3045" s="34" t="str">
        <f>IF(ORCAMENTOS!M3053="","",ORCAMENTOS!M3053)</f>
        <v>-</v>
      </c>
      <c r="L3045" t="str">
        <f>IF(ORCAMENTOS!R3053="","",ORCAMENTOS!R3053)</f>
        <v>MPU</v>
      </c>
    </row>
    <row r="3046" spans="1:12" ht="15.75" hidden="1" customHeight="1" x14ac:dyDescent="0.25">
      <c r="A3046" s="36">
        <f>IF(ORCAMENTOS!A3054="","",ORCAMENTOS!A3054)</f>
        <v>46160</v>
      </c>
      <c r="B3046" s="46">
        <f>IF(ORCAMENTOS!B3054="","",ORCAMENTOS!B3054)</f>
        <v>869</v>
      </c>
      <c r="C3046" s="46" t="str">
        <f>IF(ORCAMENTOS!C3054="","",ORCAMENTOS!C3054)</f>
        <v/>
      </c>
      <c r="D3046" s="37" t="str">
        <f>IF(ORCAMENTOS!D3054="","",ORCAMENTOS!D3054)</f>
        <v>GENIAIR</v>
      </c>
      <c r="E3046" s="38" t="str">
        <f>IF(ORCAMENTOS!E3054="","",ORCAMENTOS!E3054)</f>
        <v>-</v>
      </c>
      <c r="F3046" s="37" t="str">
        <f>IF(ORCAMENTOS!G3054="","",ORCAMENTOS!G3054)</f>
        <v>Gabriel</v>
      </c>
      <c r="G3046" s="37" t="str">
        <f>IF(ORCAMENTOS!H3054="","",ORCAMENTOS!H3054)</f>
        <v>Marcos</v>
      </c>
      <c r="H3046" s="39">
        <f>IF(ORCAMENTOS!I3054="","",ORCAMENTOS!I3054)</f>
        <v>3924.83</v>
      </c>
      <c r="I3046" s="60">
        <f>IF(ORCAMENTOS!J3054="","",ORCAMENTOS!J3054)</f>
        <v>7.0000000000000007E-2</v>
      </c>
      <c r="J3046" s="40" t="str">
        <f>IF(ORCAMENTOS!L3054="","",ORCAMENTOS!L3054)</f>
        <v>ORCAMENTO</v>
      </c>
      <c r="K3046" s="34" t="str">
        <f>IF(ORCAMENTOS!M3054="","",ORCAMENTOS!M3054)</f>
        <v>-</v>
      </c>
      <c r="L3046" t="str">
        <f>IF(ORCAMENTOS!R3054="","",ORCAMENTOS!R3054)</f>
        <v>-</v>
      </c>
    </row>
    <row r="3047" spans="1:12" ht="15.75" hidden="1" customHeight="1" x14ac:dyDescent="0.25">
      <c r="A3047" s="36">
        <f>IF(ORCAMENTOS!A3055="","",ORCAMENTOS!A3055)</f>
        <v>46160</v>
      </c>
      <c r="B3047" s="46">
        <f>IF(ORCAMENTOS!B3055="","",ORCAMENTOS!B3055)</f>
        <v>870</v>
      </c>
      <c r="C3047" s="46" t="str">
        <f>IF(ORCAMENTOS!C3055="","",ORCAMENTOS!C3055)</f>
        <v/>
      </c>
      <c r="D3047" s="37" t="str">
        <f>IF(ORCAMENTOS!D3055="","",ORCAMENTOS!D3055)</f>
        <v>NEWSET</v>
      </c>
      <c r="E3047" s="38" t="str">
        <f>IF(ORCAMENTOS!E3055="","",ORCAMENTOS!E3055)</f>
        <v>ED. IGUATEMI - RETROFIT</v>
      </c>
      <c r="F3047" s="37" t="str">
        <f>IF(ORCAMENTOS!G3055="","",ORCAMENTOS!G3055)</f>
        <v xml:space="preserve">Aldavir </v>
      </c>
      <c r="G3047" s="37" t="str">
        <f>IF(ORCAMENTOS!H3055="","",ORCAMENTOS!H3055)</f>
        <v>Andressa</v>
      </c>
      <c r="H3047" s="39">
        <f>IF(ORCAMENTOS!I3055="","",ORCAMENTOS!I3055)</f>
        <v>1821.83</v>
      </c>
      <c r="I3047" s="60">
        <f>IF(ORCAMENTOS!J3055="","",ORCAMENTOS!J3055)</f>
        <v>0.06</v>
      </c>
      <c r="J3047" s="40" t="str">
        <f>IF(ORCAMENTOS!L3055="","",ORCAMENTOS!L3055)</f>
        <v>FECHADO</v>
      </c>
      <c r="K3047" s="34" t="str">
        <f>IF(ORCAMENTOS!M3055="","",ORCAMENTOS!M3055)</f>
        <v>-</v>
      </c>
      <c r="L3047" t="str">
        <f>IF(ORCAMENTOS!R3055="","",ORCAMENTOS!R3055)</f>
        <v>-</v>
      </c>
    </row>
    <row r="3048" spans="1:12" ht="15.75" hidden="1" customHeight="1" x14ac:dyDescent="0.25">
      <c r="A3048" s="36">
        <f>IF(ORCAMENTOS!A3056="","",ORCAMENTOS!A3056)</f>
        <v>46160</v>
      </c>
      <c r="B3048" s="46">
        <f>IF(ORCAMENTOS!B3056="","",ORCAMENTOS!B3056)</f>
        <v>871</v>
      </c>
      <c r="C3048" s="46" t="str">
        <f>IF(ORCAMENTOS!C3056="","",ORCAMENTOS!C3056)</f>
        <v/>
      </c>
      <c r="D3048" s="37" t="str">
        <f>IF(ORCAMENTOS!D3056="","",ORCAMENTOS!D3056)</f>
        <v>TECNOVENTI</v>
      </c>
      <c r="E3048" s="38" t="str">
        <f>IF(ORCAMENTOS!E3056="","",ORCAMENTOS!E3056)</f>
        <v>-</v>
      </c>
      <c r="F3048" s="37" t="str">
        <f>IF(ORCAMENTOS!G3056="","",ORCAMENTOS!G3056)</f>
        <v>Gabriel</v>
      </c>
      <c r="G3048" s="37" t="str">
        <f>IF(ORCAMENTOS!H3056="","",ORCAMENTOS!H3056)</f>
        <v>Kenedy</v>
      </c>
      <c r="H3048" s="39">
        <f>IF(ORCAMENTOS!I3056="","",ORCAMENTOS!I3056)</f>
        <v>9915.2999999999993</v>
      </c>
      <c r="I3048" s="60">
        <f>IF(ORCAMENTOS!J3056="","",ORCAMENTOS!J3056)</f>
        <v>0.03</v>
      </c>
      <c r="J3048" s="40" t="str">
        <f>IF(ORCAMENTOS!L3056="","",ORCAMENTOS!L3056)</f>
        <v>FECHADO</v>
      </c>
      <c r="K3048" s="34" t="str">
        <f>IF(ORCAMENTOS!M3056="","",ORCAMENTOS!M3056)</f>
        <v>-</v>
      </c>
      <c r="L3048" t="str">
        <f>IF(ORCAMENTOS!R3056="","",ORCAMENTOS!R3056)</f>
        <v>-</v>
      </c>
    </row>
    <row r="3049" spans="1:12" ht="15.75" hidden="1" customHeight="1" x14ac:dyDescent="0.25">
      <c r="A3049" s="36">
        <f>IF(ORCAMENTOS!A3057="","",ORCAMENTOS!A3057)</f>
        <v>46160</v>
      </c>
      <c r="B3049" s="46">
        <f>IF(ORCAMENTOS!B3057="","",ORCAMENTOS!B3057)</f>
        <v>872</v>
      </c>
      <c r="C3049" s="46" t="str">
        <f>IF(ORCAMENTOS!C3057="","",ORCAMENTOS!C3057)</f>
        <v>R1</v>
      </c>
      <c r="D3049" s="37" t="str">
        <f>IF(ORCAMENTOS!D3057="","",ORCAMENTOS!D3057)</f>
        <v>TARKAT REFRIGERACAO</v>
      </c>
      <c r="E3049" s="38" t="str">
        <f>IF(ORCAMENTOS!E3057="","",ORCAMENTOS!E3057)</f>
        <v>-</v>
      </c>
      <c r="F3049" s="37" t="str">
        <f>IF(ORCAMENTOS!G3057="","",ORCAMENTOS!G3057)</f>
        <v>Michel</v>
      </c>
      <c r="G3049" s="37" t="str">
        <f>IF(ORCAMENTOS!H3057="","",ORCAMENTOS!H3057)</f>
        <v>Igor</v>
      </c>
      <c r="H3049" s="39">
        <f>IF(ORCAMENTOS!I3057="","",ORCAMENTOS!I3057)</f>
        <v>10030.33</v>
      </c>
      <c r="I3049" s="60">
        <f>IF(ORCAMENTOS!J3057="","",ORCAMENTOS!J3057)</f>
        <v>0.04</v>
      </c>
      <c r="J3049" s="40" t="str">
        <f>IF(ORCAMENTOS!L3057="","",ORCAMENTOS!L3057)</f>
        <v>FECHADO</v>
      </c>
      <c r="K3049" s="34" t="str">
        <f>IF(ORCAMENTOS!M3057="","",ORCAMENTOS!M3057)</f>
        <v>-</v>
      </c>
      <c r="L3049" t="str">
        <f>IF(ORCAMENTOS!R3057="","",ORCAMENTOS!R3057)</f>
        <v>-</v>
      </c>
    </row>
    <row r="3050" spans="1:12" ht="15.75" hidden="1" customHeight="1" x14ac:dyDescent="0.25">
      <c r="A3050" s="36">
        <f>IF(ORCAMENTOS!A3058="","",ORCAMENTOS!A3058)</f>
        <v>46161</v>
      </c>
      <c r="B3050" s="46">
        <f>IF(ORCAMENTOS!B3058="","",ORCAMENTOS!B3058)</f>
        <v>873</v>
      </c>
      <c r="C3050" s="46" t="str">
        <f>IF(ORCAMENTOS!C3058="","",ORCAMENTOS!C3058)</f>
        <v>R3</v>
      </c>
      <c r="D3050" s="37" t="str">
        <f>IF(ORCAMENTOS!D3058="","",ORCAMENTOS!D3058)</f>
        <v>INTEG MONTAGEM</v>
      </c>
      <c r="E3050" s="38" t="str">
        <f>IF(ORCAMENTOS!E3058="","",ORCAMENTOS!E3058)</f>
        <v>MC DONALDS</v>
      </c>
      <c r="F3050" s="37" t="str">
        <f>IF(ORCAMENTOS!G3058="","",ORCAMENTOS!G3058)</f>
        <v>Fernando</v>
      </c>
      <c r="G3050" s="37" t="str">
        <f>IF(ORCAMENTOS!H3058="","",ORCAMENTOS!H3058)</f>
        <v/>
      </c>
      <c r="H3050" s="39">
        <f>IF(ORCAMENTOS!I3058="","",ORCAMENTOS!I3058)</f>
        <v>75788.679999999993</v>
      </c>
      <c r="I3050" s="60">
        <f>IF(ORCAMENTOS!J3058="","",ORCAMENTOS!J3058)</f>
        <v>0.03</v>
      </c>
      <c r="J3050" s="40" t="str">
        <f>IF(ORCAMENTOS!L3058="","",ORCAMENTOS!L3058)</f>
        <v>FECHADO</v>
      </c>
      <c r="K3050" s="34" t="str">
        <f>IF(ORCAMENTOS!M3058="","",ORCAMENTOS!M3058)</f>
        <v>-</v>
      </c>
      <c r="L3050" t="str">
        <f>IF(ORCAMENTOS!R3058="","",ORCAMENTOS!R3058)</f>
        <v>-</v>
      </c>
    </row>
    <row r="3051" spans="1:12" ht="15.75" hidden="1" customHeight="1" x14ac:dyDescent="0.25">
      <c r="A3051" s="36">
        <f>IF(ORCAMENTOS!A3059="","",ORCAMENTOS!A3059)</f>
        <v>46160</v>
      </c>
      <c r="B3051" s="46">
        <f>IF(ORCAMENTOS!B3059="","",ORCAMENTOS!B3059)</f>
        <v>874</v>
      </c>
      <c r="C3051" s="46" t="str">
        <f>IF(ORCAMENTOS!C3059="","",ORCAMENTOS!C3059)</f>
        <v/>
      </c>
      <c r="D3051" s="37" t="str">
        <f>IF(ORCAMENTOS!D3059="","",ORCAMENTOS!D3059)</f>
        <v>HEATING COOLING</v>
      </c>
      <c r="E3051" s="38" t="str">
        <f>IF(ORCAMENTOS!E3059="","",ORCAMENTOS!E3059)</f>
        <v>DECEM - CARDIO PULMONAR</v>
      </c>
      <c r="F3051" s="37" t="str">
        <f>IF(ORCAMENTOS!G3059="","",ORCAMENTOS!G3059)</f>
        <v>Gabriel</v>
      </c>
      <c r="G3051" s="37" t="str">
        <f>IF(ORCAMENTOS!H3059="","",ORCAMENTOS!H3059)</f>
        <v>Augusto</v>
      </c>
      <c r="H3051" s="39">
        <f>IF(ORCAMENTOS!I3059="","",ORCAMENTOS!I3059)</f>
        <v>11584.66</v>
      </c>
      <c r="I3051" s="60">
        <f>IF(ORCAMENTOS!J3059="","",ORCAMENTOS!J3059)</f>
        <v>7.0000000000000007E-2</v>
      </c>
      <c r="J3051" s="40" t="str">
        <f>IF(ORCAMENTOS!L3059="","",ORCAMENTOS!L3059)</f>
        <v>ORCAMENTO</v>
      </c>
      <c r="K3051" s="34" t="str">
        <f>IF(ORCAMENTOS!M3059="","",ORCAMENTOS!M3059)</f>
        <v>-</v>
      </c>
      <c r="L3051" t="str">
        <f>IF(ORCAMENTOS!R3059="","",ORCAMENTOS!R3059)</f>
        <v>-</v>
      </c>
    </row>
    <row r="3052" spans="1:12" ht="15.75" customHeight="1" x14ac:dyDescent="0.25">
      <c r="A3052" s="36">
        <f>IF(ORCAMENTOS!A3060="","",ORCAMENTOS!A3060)</f>
        <v>46162</v>
      </c>
      <c r="B3052" s="46">
        <f>IF(ORCAMENTOS!B3060="","",ORCAMENTOS!B3060)</f>
        <v>875</v>
      </c>
      <c r="C3052" s="46" t="str">
        <f>IF(ORCAMENTOS!C3060="","",ORCAMENTOS!C3060)</f>
        <v>R1</v>
      </c>
      <c r="D3052" s="37" t="str">
        <f>IF(ORCAMENTOS!D3060="","",ORCAMENTOS!D3060)</f>
        <v>ANALISEPLAN</v>
      </c>
      <c r="E3052" s="38" t="str">
        <f>IF(ORCAMENTOS!E3060="","",ORCAMENTOS!E3060)</f>
        <v>-</v>
      </c>
      <c r="F3052" s="37" t="str">
        <f>IF(ORCAMENTOS!G3060="","",ORCAMENTOS!G3060)</f>
        <v>Michel</v>
      </c>
      <c r="G3052" s="37" t="str">
        <f>IF(ORCAMENTOS!H3060="","",ORCAMENTOS!H3060)</f>
        <v>Marcio</v>
      </c>
      <c r="H3052" s="39">
        <f>IF(ORCAMENTOS!I3060="","",ORCAMENTOS!I3060)</f>
        <v>36744.71</v>
      </c>
      <c r="I3052" s="60">
        <f>IF(ORCAMENTOS!J3060="","",ORCAMENTOS!J3060)</f>
        <v>0.04</v>
      </c>
      <c r="J3052" s="40" t="str">
        <f>IF(ORCAMENTOS!L3060="","",ORCAMENTOS!L3060)</f>
        <v>COMPRA</v>
      </c>
      <c r="K3052" s="34" t="str">
        <f>IF(ORCAMENTOS!M3060="","",ORCAMENTOS!M3060)</f>
        <v>-</v>
      </c>
      <c r="L3052" t="str">
        <f>IF(ORCAMENTOS!R3060="","",ORCAMENTOS!R3060)</f>
        <v>-</v>
      </c>
    </row>
    <row r="3053" spans="1:12" ht="15.75" hidden="1" customHeight="1" x14ac:dyDescent="0.25">
      <c r="A3053" s="36">
        <f>IF(ORCAMENTOS!A3061="","",ORCAMENTOS!A3061)</f>
        <v>46161</v>
      </c>
      <c r="B3053" s="46">
        <f>IF(ORCAMENTOS!B3061="","",ORCAMENTOS!B3061)</f>
        <v>876</v>
      </c>
      <c r="C3053" s="46" t="str">
        <f>IF(ORCAMENTOS!C3061="","",ORCAMENTOS!C3061)</f>
        <v>R1</v>
      </c>
      <c r="D3053" s="37" t="str">
        <f>IF(ORCAMENTOS!D3061="","",ORCAMENTOS!D3061)</f>
        <v>SO AR CLIMATIZACAO</v>
      </c>
      <c r="E3053" s="38" t="str">
        <f>IF(ORCAMENTOS!E3061="","",ORCAMENTOS!E3061)</f>
        <v>-</v>
      </c>
      <c r="F3053" s="37" t="str">
        <f>IF(ORCAMENTOS!G3061="","",ORCAMENTOS!G3061)</f>
        <v>Gabriel</v>
      </c>
      <c r="G3053" s="37" t="str">
        <f>IF(ORCAMENTOS!H3061="","",ORCAMENTOS!H3061)</f>
        <v>Gabriel</v>
      </c>
      <c r="H3053" s="39">
        <f>IF(ORCAMENTOS!I3061="","",ORCAMENTOS!I3061)</f>
        <v>2981.46</v>
      </c>
      <c r="I3053" s="60">
        <f>IF(ORCAMENTOS!J3061="","",ORCAMENTOS!J3061)</f>
        <v>0.05</v>
      </c>
      <c r="J3053" s="40" t="str">
        <f>IF(ORCAMENTOS!L3061="","",ORCAMENTOS!L3061)</f>
        <v>FECHADO</v>
      </c>
      <c r="K3053" s="34" t="str">
        <f>IF(ORCAMENTOS!M3061="","",ORCAMENTOS!M3061)</f>
        <v>-</v>
      </c>
      <c r="L3053" t="str">
        <f>IF(ORCAMENTOS!R3061="","",ORCAMENTOS!R3061)</f>
        <v>-</v>
      </c>
    </row>
    <row r="3054" spans="1:12" ht="15.75" hidden="1" customHeight="1" x14ac:dyDescent="0.25">
      <c r="A3054" s="36">
        <f>IF(ORCAMENTOS!A3062="","",ORCAMENTOS!A3062)</f>
        <v>46161</v>
      </c>
      <c r="B3054" s="46">
        <f>IF(ORCAMENTOS!B3062="","",ORCAMENTOS!B3062)</f>
        <v>877</v>
      </c>
      <c r="C3054" s="46" t="str">
        <f>IF(ORCAMENTOS!C3062="","",ORCAMENTOS!C3062)</f>
        <v/>
      </c>
      <c r="D3054" s="37" t="str">
        <f>IF(ORCAMENTOS!D3062="","",ORCAMENTOS!D3062)</f>
        <v>K SET</v>
      </c>
      <c r="E3054" s="38" t="str">
        <f>IF(ORCAMENTOS!E3062="","",ORCAMENTOS!E3062)</f>
        <v>-</v>
      </c>
      <c r="F3054" s="37" t="str">
        <f>IF(ORCAMENTOS!G3062="","",ORCAMENTOS!G3062)</f>
        <v>Gabriel</v>
      </c>
      <c r="G3054" s="37" t="str">
        <f>IF(ORCAMENTOS!H3062="","",ORCAMENTOS!H3062)</f>
        <v>Bruna</v>
      </c>
      <c r="H3054" s="39">
        <f>IF(ORCAMENTOS!I3062="","",ORCAMENTOS!I3062)</f>
        <v>3618.29</v>
      </c>
      <c r="I3054" s="60">
        <f>IF(ORCAMENTOS!J3062="","",ORCAMENTOS!J3062)</f>
        <v>7.0000000000000007E-2</v>
      </c>
      <c r="J3054" s="40" t="str">
        <f>IF(ORCAMENTOS!L3062="","",ORCAMENTOS!L3062)</f>
        <v>ORCAMENTO</v>
      </c>
      <c r="K3054" s="34" t="str">
        <f>IF(ORCAMENTOS!M3062="","",ORCAMENTOS!M3062)</f>
        <v>-</v>
      </c>
      <c r="L3054" t="str">
        <f>IF(ORCAMENTOS!R3062="","",ORCAMENTOS!R3062)</f>
        <v>-</v>
      </c>
    </row>
    <row r="3055" spans="1:12" ht="15.75" hidden="1" customHeight="1" x14ac:dyDescent="0.25">
      <c r="A3055" s="36">
        <f>IF(ORCAMENTOS!A3063="","",ORCAMENTOS!A3063)</f>
        <v>46162</v>
      </c>
      <c r="B3055" s="46">
        <f>IF(ORCAMENTOS!B3063="","",ORCAMENTOS!B3063)</f>
        <v>878</v>
      </c>
      <c r="C3055" s="46" t="str">
        <f>IF(ORCAMENTOS!C3063="","",ORCAMENTOS!C3063)</f>
        <v/>
      </c>
      <c r="D3055" s="37" t="str">
        <f>IF(ORCAMENTOS!D3063="","",ORCAMENTOS!D3063)</f>
        <v>SPECIAL AIR</v>
      </c>
      <c r="E3055" s="38" t="str">
        <f>IF(ORCAMENTOS!E3063="","",ORCAMENTOS!E3063)</f>
        <v>-</v>
      </c>
      <c r="F3055" s="37" t="str">
        <f>IF(ORCAMENTOS!G3063="","",ORCAMENTOS!G3063)</f>
        <v>Gabriel</v>
      </c>
      <c r="G3055" s="37" t="str">
        <f>IF(ORCAMENTOS!H3063="","",ORCAMENTOS!H3063)</f>
        <v>Henrique</v>
      </c>
      <c r="H3055" s="39">
        <f>IF(ORCAMENTOS!I3063="","",ORCAMENTOS!I3063)</f>
        <v>16167.36</v>
      </c>
      <c r="I3055" s="60">
        <f>IF(ORCAMENTOS!J3063="","",ORCAMENTOS!J3063)</f>
        <v>0.05</v>
      </c>
      <c r="J3055" s="40" t="str">
        <f>IF(ORCAMENTOS!L3063="","",ORCAMENTOS!L3063)</f>
        <v>ORCAMENTO</v>
      </c>
      <c r="K3055" s="34" t="str">
        <f>IF(ORCAMENTOS!M3063="","",ORCAMENTOS!M3063)</f>
        <v>-</v>
      </c>
      <c r="L3055" t="str">
        <f>IF(ORCAMENTOS!R3063="","",ORCAMENTOS!R3063)</f>
        <v>-</v>
      </c>
    </row>
    <row r="3056" spans="1:12" ht="15.75" hidden="1" customHeight="1" x14ac:dyDescent="0.25">
      <c r="A3056" s="36">
        <f>IF(ORCAMENTOS!A3064="","",ORCAMENTOS!A3064)</f>
        <v>46161</v>
      </c>
      <c r="B3056" s="46">
        <f>IF(ORCAMENTOS!B3064="","",ORCAMENTOS!B3064)</f>
        <v>879</v>
      </c>
      <c r="C3056" s="46" t="str">
        <f>IF(ORCAMENTOS!C3064="","",ORCAMENTOS!C3064)</f>
        <v/>
      </c>
      <c r="D3056" s="37" t="str">
        <f>IF(ORCAMENTOS!D3064="","",ORCAMENTOS!D3064)</f>
        <v>AGEPLAN</v>
      </c>
      <c r="E3056" s="38" t="str">
        <f>IF(ORCAMENTOS!E3064="","",ORCAMENTOS!E3064)</f>
        <v>HUB RECREIO - RJ</v>
      </c>
      <c r="F3056" s="37" t="str">
        <f>IF(ORCAMENTOS!G3064="","",ORCAMENTOS!G3064)</f>
        <v>Fernando</v>
      </c>
      <c r="G3056" s="37" t="str">
        <f>IF(ORCAMENTOS!H3064="","",ORCAMENTOS!H3064)</f>
        <v>Guilherme</v>
      </c>
      <c r="H3056" s="39">
        <f>IF(ORCAMENTOS!I3064="","",ORCAMENTOS!I3064)</f>
        <v>3020.85</v>
      </c>
      <c r="I3056" s="60">
        <f>IF(ORCAMENTOS!J3064="","",ORCAMENTOS!J3064)</f>
        <v>7.0000000000000007E-2</v>
      </c>
      <c r="J3056" s="40" t="str">
        <f>IF(ORCAMENTOS!L3064="","",ORCAMENTOS!L3064)</f>
        <v>ORCAMENTO</v>
      </c>
      <c r="K3056" s="34" t="str">
        <f>IF(ORCAMENTOS!M3064="","",ORCAMENTOS!M3064)</f>
        <v>-</v>
      </c>
      <c r="L3056" t="str">
        <f>IF(ORCAMENTOS!R3064="","",ORCAMENTOS!R3064)</f>
        <v>-</v>
      </c>
    </row>
    <row r="3057" spans="1:12" ht="15.75" hidden="1" customHeight="1" x14ac:dyDescent="0.25">
      <c r="A3057" s="36">
        <f>IF(ORCAMENTOS!A3065="","",ORCAMENTOS!A3065)</f>
        <v>46161</v>
      </c>
      <c r="B3057" s="46">
        <f>IF(ORCAMENTOS!B3065="","",ORCAMENTOS!B3065)</f>
        <v>880</v>
      </c>
      <c r="C3057" s="46" t="str">
        <f>IF(ORCAMENTOS!C3065="","",ORCAMENTOS!C3065)</f>
        <v>R1</v>
      </c>
      <c r="D3057" s="37" t="str">
        <f>IF(ORCAMENTOS!D3065="","",ORCAMENTOS!D3065)</f>
        <v>ENGPLAN</v>
      </c>
      <c r="E3057" s="38" t="str">
        <f>IF(ORCAMENTOS!E3065="","",ORCAMENTOS!E3065)</f>
        <v>-</v>
      </c>
      <c r="F3057" s="37" t="str">
        <f>IF(ORCAMENTOS!G3065="","",ORCAMENTOS!G3065)</f>
        <v>Fernando</v>
      </c>
      <c r="G3057" s="37" t="str">
        <f>IF(ORCAMENTOS!H3065="","",ORCAMENTOS!H3065)</f>
        <v>Jandira</v>
      </c>
      <c r="H3057" s="39">
        <f>IF(ORCAMENTOS!I3065="","",ORCAMENTOS!I3065)</f>
        <v>11048.6</v>
      </c>
      <c r="I3057" s="60">
        <f>IF(ORCAMENTOS!J3065="","",ORCAMENTOS!J3065)</f>
        <v>0.04</v>
      </c>
      <c r="J3057" s="40" t="str">
        <f>IF(ORCAMENTOS!L3065="","",ORCAMENTOS!L3065)</f>
        <v>FECHADO</v>
      </c>
      <c r="K3057" s="34" t="str">
        <f>IF(ORCAMENTOS!M3065="","",ORCAMENTOS!M3065)</f>
        <v>-</v>
      </c>
      <c r="L3057" t="str">
        <f>IF(ORCAMENTOS!R3065="","",ORCAMENTOS!R3065)</f>
        <v>-</v>
      </c>
    </row>
    <row r="3058" spans="1:12" ht="15.75" hidden="1" customHeight="1" x14ac:dyDescent="0.25">
      <c r="A3058" s="36">
        <f>IF(ORCAMENTOS!A3066="","",ORCAMENTOS!A3066)</f>
        <v>46161</v>
      </c>
      <c r="B3058" s="46">
        <f>IF(ORCAMENTOS!B3066="","",ORCAMENTOS!B3066)</f>
        <v>881</v>
      </c>
      <c r="C3058" s="46" t="str">
        <f>IF(ORCAMENTOS!C3066="","",ORCAMENTOS!C3066)</f>
        <v/>
      </c>
      <c r="D3058" s="37" t="str">
        <f>IF(ORCAMENTOS!D3066="","",ORCAMENTOS!D3066)</f>
        <v>MIT TECH</v>
      </c>
      <c r="E3058" s="38" t="str">
        <f>IF(ORCAMENTOS!E3066="","",ORCAMENTOS!E3066)</f>
        <v>SEB - 7º PAVIMENTO - PINHEIROS - SP</v>
      </c>
      <c r="F3058" s="37" t="str">
        <f>IF(ORCAMENTOS!G3066="","",ORCAMENTOS!G3066)</f>
        <v>Guilherme</v>
      </c>
      <c r="G3058" s="37" t="str">
        <f>IF(ORCAMENTOS!H3066="","",ORCAMENTOS!H3066)</f>
        <v>Victor</v>
      </c>
      <c r="H3058" s="39">
        <f>IF(ORCAMENTOS!I3066="","",ORCAMENTOS!I3066)</f>
        <v>12717.98</v>
      </c>
      <c r="I3058" s="60">
        <f>IF(ORCAMENTOS!J3066="","",ORCAMENTOS!J3066)</f>
        <v>7.0000000000000007E-2</v>
      </c>
      <c r="J3058" s="40" t="str">
        <f>IF(ORCAMENTOS!L3066="","",ORCAMENTOS!L3066)</f>
        <v>ORCAMENTO</v>
      </c>
      <c r="K3058" s="34" t="str">
        <f>IF(ORCAMENTOS!M3066="","",ORCAMENTOS!M3066)</f>
        <v>-</v>
      </c>
      <c r="L3058" t="str">
        <f>IF(ORCAMENTOS!R3066="","",ORCAMENTOS!R3066)</f>
        <v>-</v>
      </c>
    </row>
    <row r="3059" spans="1:12" ht="15.75" hidden="1" customHeight="1" x14ac:dyDescent="0.25">
      <c r="A3059" s="36">
        <f>IF(ORCAMENTOS!A3067="","",ORCAMENTOS!A3067)</f>
        <v>46161</v>
      </c>
      <c r="B3059" s="46">
        <f>IF(ORCAMENTOS!B3067="","",ORCAMENTOS!B3067)</f>
        <v>882</v>
      </c>
      <c r="C3059" s="46" t="str">
        <f>IF(ORCAMENTOS!C3067="","",ORCAMENTOS!C3067)</f>
        <v/>
      </c>
      <c r="D3059" s="37" t="str">
        <f>IF(ORCAMENTOS!D3067="","",ORCAMENTOS!D3067)</f>
        <v>OPUS GLOBAL</v>
      </c>
      <c r="E3059" s="38" t="str">
        <f>IF(ORCAMENTOS!E3067="","",ORCAMENTOS!E3067)</f>
        <v>-</v>
      </c>
      <c r="F3059" s="37" t="str">
        <f>IF(ORCAMENTOS!G3067="","",ORCAMENTOS!G3067)</f>
        <v>Michel</v>
      </c>
      <c r="G3059" s="37" t="str">
        <f>IF(ORCAMENTOS!H3067="","",ORCAMENTOS!H3067)</f>
        <v>Tassio</v>
      </c>
      <c r="H3059" s="39">
        <f>IF(ORCAMENTOS!I3067="","",ORCAMENTOS!I3067)</f>
        <v>6483.65</v>
      </c>
      <c r="I3059" s="60">
        <f>IF(ORCAMENTOS!J3067="","",ORCAMENTOS!J3067)</f>
        <v>0.04</v>
      </c>
      <c r="J3059" s="40" t="str">
        <f>IF(ORCAMENTOS!L3067="","",ORCAMENTOS!L3067)</f>
        <v>FECHADO</v>
      </c>
      <c r="K3059" s="34" t="str">
        <f>IF(ORCAMENTOS!M3067="","",ORCAMENTOS!M3067)</f>
        <v>-</v>
      </c>
      <c r="L3059" t="str">
        <f>IF(ORCAMENTOS!R3067="","",ORCAMENTOS!R3067)</f>
        <v>-</v>
      </c>
    </row>
    <row r="3060" spans="1:12" ht="15.75" hidden="1" customHeight="1" x14ac:dyDescent="0.25">
      <c r="A3060" s="36">
        <f>IF(ORCAMENTOS!A3068="","",ORCAMENTOS!A3068)</f>
        <v>46162</v>
      </c>
      <c r="B3060" s="46">
        <f>IF(ORCAMENTOS!B3068="","",ORCAMENTOS!B3068)</f>
        <v>883</v>
      </c>
      <c r="C3060" s="46" t="str">
        <f>IF(ORCAMENTOS!C3068="","",ORCAMENTOS!C3068)</f>
        <v/>
      </c>
      <c r="D3060" s="37" t="str">
        <f>IF(ORCAMENTOS!D3068="","",ORCAMENTOS!D3068)</f>
        <v>ADRIATIC</v>
      </c>
      <c r="E3060" s="38" t="str">
        <f>IF(ORCAMENTOS!E3068="","",ORCAMENTOS!E3068)</f>
        <v>C&amp;A 538 MCS - PARQUE SHOPPING - MACEIO</v>
      </c>
      <c r="F3060" s="37" t="str">
        <f>IF(ORCAMENTOS!G3068="","",ORCAMENTOS!G3068)</f>
        <v>Emanuel</v>
      </c>
      <c r="G3060" s="37" t="str">
        <f>IF(ORCAMENTOS!H3068="","",ORCAMENTOS!H3068)</f>
        <v>Renato</v>
      </c>
      <c r="H3060" s="39">
        <f>IF(ORCAMENTOS!I3068="","",ORCAMENTOS!I3068)</f>
        <v>49162.73</v>
      </c>
      <c r="I3060" s="60">
        <f>IF(ORCAMENTOS!J3068="","",ORCAMENTOS!J3068)</f>
        <v>0.05</v>
      </c>
      <c r="J3060" s="40" t="str">
        <f>IF(ORCAMENTOS!L3068="","",ORCAMENTOS!L3068)</f>
        <v>ORCAMENTO</v>
      </c>
      <c r="K3060" s="34" t="str">
        <f>IF(ORCAMENTOS!M3068="","",ORCAMENTOS!M3068)</f>
        <v>-</v>
      </c>
      <c r="L3060" t="str">
        <f>IF(ORCAMENTOS!R3068="","",ORCAMENTOS!R3068)</f>
        <v/>
      </c>
    </row>
    <row r="3061" spans="1:12" ht="15.75" hidden="1" customHeight="1" x14ac:dyDescent="0.25">
      <c r="A3061" s="36">
        <f>IF(ORCAMENTOS!A3069="","",ORCAMENTOS!A3069)</f>
        <v>46162</v>
      </c>
      <c r="B3061" s="46">
        <f>IF(ORCAMENTOS!B3069="","",ORCAMENTOS!B3069)</f>
        <v>884</v>
      </c>
      <c r="C3061" s="46" t="str">
        <f>IF(ORCAMENTOS!C3069="","",ORCAMENTOS!C3069)</f>
        <v/>
      </c>
      <c r="D3061" s="37" t="str">
        <f>IF(ORCAMENTOS!D3069="","",ORCAMENTOS!D3069)</f>
        <v>DUTOLEVE</v>
      </c>
      <c r="E3061" s="38" t="str">
        <f>IF(ORCAMENTOS!E3069="","",ORCAMENTOS!E3069)</f>
        <v>CASA DO COMERCIO - RIO BRANCO - CENTRO</v>
      </c>
      <c r="F3061" s="37" t="str">
        <f>IF(ORCAMENTOS!G3069="","",ORCAMENTOS!G3069)</f>
        <v>Gabriel</v>
      </c>
      <c r="G3061" s="37" t="str">
        <f>IF(ORCAMENTOS!H3069="","",ORCAMENTOS!H3069)</f>
        <v>Newton</v>
      </c>
      <c r="H3061" s="39">
        <f>IF(ORCAMENTOS!I3069="","",ORCAMENTOS!I3069)</f>
        <v>72257.52</v>
      </c>
      <c r="I3061" s="60">
        <f>IF(ORCAMENTOS!J3069="","",ORCAMENTOS!J3069)</f>
        <v>0.06</v>
      </c>
      <c r="J3061" s="40" t="str">
        <f>IF(ORCAMENTOS!L3069="","",ORCAMENTOS!L3069)</f>
        <v>ORCAMENTO</v>
      </c>
      <c r="K3061" s="34" t="str">
        <f>IF(ORCAMENTOS!M3069="","",ORCAMENTOS!M3069)</f>
        <v>-</v>
      </c>
      <c r="L3061" t="str">
        <f>IF(ORCAMENTOS!R3069="","",ORCAMENTOS!R3069)</f>
        <v>N/E</v>
      </c>
    </row>
    <row r="3062" spans="1:12" ht="15.75" hidden="1" customHeight="1" x14ac:dyDescent="0.25">
      <c r="A3062" s="36">
        <f>IF(ORCAMENTOS!A3070="","",ORCAMENTOS!A3070)</f>
        <v>46162</v>
      </c>
      <c r="B3062" s="46">
        <f>IF(ORCAMENTOS!B3070="","",ORCAMENTOS!B3070)</f>
        <v>885</v>
      </c>
      <c r="C3062" s="46" t="str">
        <f>IF(ORCAMENTOS!C3070="","",ORCAMENTOS!C3070)</f>
        <v/>
      </c>
      <c r="D3062" s="37" t="str">
        <f>IF(ORCAMENTOS!D3070="","",ORCAMENTOS!D3070)</f>
        <v>RM3 ENGENHARIA</v>
      </c>
      <c r="E3062" s="38" t="str">
        <f>IF(ORCAMENTOS!E3070="","",ORCAMENTOS!E3070)</f>
        <v>HOSPITALAR</v>
      </c>
      <c r="F3062" s="37" t="str">
        <f>IF(ORCAMENTOS!G3070="","",ORCAMENTOS!G3070)</f>
        <v>Guilherme</v>
      </c>
      <c r="G3062" s="37" t="str">
        <f>IF(ORCAMENTOS!H3070="","",ORCAMENTOS!H3070)</f>
        <v>Jaime</v>
      </c>
      <c r="H3062" s="39">
        <f>IF(ORCAMENTOS!I3070="","",ORCAMENTOS!I3070)</f>
        <v>32516.95</v>
      </c>
      <c r="I3062" s="60">
        <f>IF(ORCAMENTOS!J3070="","",ORCAMENTOS!J3070)</f>
        <v>0.05</v>
      </c>
      <c r="J3062" s="40" t="str">
        <f>IF(ORCAMENTOS!L3070="","",ORCAMENTOS!L3070)</f>
        <v>ORCAMENTO</v>
      </c>
      <c r="K3062" s="34" t="str">
        <f>IF(ORCAMENTOS!M3070="","",ORCAMENTOS!M3070)</f>
        <v>-</v>
      </c>
      <c r="L3062" t="str">
        <f>IF(ORCAMENTOS!R3070="","",ORCAMENTOS!R3070)</f>
        <v>-</v>
      </c>
    </row>
    <row r="3063" spans="1:12" ht="15.75" hidden="1" customHeight="1" x14ac:dyDescent="0.25">
      <c r="A3063" s="36">
        <f>IF(ORCAMENTOS!A3071="","",ORCAMENTOS!A3071)</f>
        <v>46162</v>
      </c>
      <c r="B3063" s="46">
        <f>IF(ORCAMENTOS!B3071="","",ORCAMENTOS!B3071)</f>
        <v>886</v>
      </c>
      <c r="C3063" s="46" t="str">
        <f>IF(ORCAMENTOS!C3071="","",ORCAMENTOS!C3071)</f>
        <v/>
      </c>
      <c r="D3063" s="37" t="str">
        <f>IF(ORCAMENTOS!D3071="","",ORCAMENTOS!D3071)</f>
        <v>HEATING COOLING</v>
      </c>
      <c r="E3063" s="38" t="str">
        <f>IF(ORCAMENTOS!E3071="","",ORCAMENTOS!E3071)</f>
        <v>REDE DOR - CARDIO PULMONAR - SALVADOR - BA</v>
      </c>
      <c r="F3063" s="37" t="str">
        <f>IF(ORCAMENTOS!G3071="","",ORCAMENTOS!G3071)</f>
        <v>Gabriel</v>
      </c>
      <c r="G3063" s="37" t="str">
        <f>IF(ORCAMENTOS!H3071="","",ORCAMENTOS!H3071)</f>
        <v>Larissa</v>
      </c>
      <c r="H3063" s="39">
        <f>IF(ORCAMENTOS!I3071="","",ORCAMENTOS!I3071)</f>
        <v>50415.76</v>
      </c>
      <c r="I3063" s="60">
        <f>IF(ORCAMENTOS!J3071="","",ORCAMENTOS!J3071)</f>
        <v>7.0000000000000007E-2</v>
      </c>
      <c r="J3063" s="40" t="str">
        <f>IF(ORCAMENTOS!L3071="","",ORCAMENTOS!L3071)</f>
        <v>ORCAMENTO</v>
      </c>
      <c r="K3063" s="34" t="str">
        <f>IF(ORCAMENTOS!M3071="","",ORCAMENTOS!M3071)</f>
        <v>-</v>
      </c>
      <c r="L3063" t="str">
        <f>IF(ORCAMENTOS!R3071="","",ORCAMENTOS!R3071)</f>
        <v>-</v>
      </c>
    </row>
    <row r="3064" spans="1:12" ht="15.75" hidden="1" customHeight="1" x14ac:dyDescent="0.25">
      <c r="A3064" s="36">
        <f>IF(ORCAMENTOS!A3072="","",ORCAMENTOS!A3072)</f>
        <v>46162</v>
      </c>
      <c r="B3064" s="46">
        <f>IF(ORCAMENTOS!B3072="","",ORCAMENTOS!B3072)</f>
        <v>887</v>
      </c>
      <c r="C3064" s="46" t="str">
        <f>IF(ORCAMENTOS!C3072="","",ORCAMENTOS!C3072)</f>
        <v/>
      </c>
      <c r="D3064" s="37" t="str">
        <f>IF(ORCAMENTOS!D3072="","",ORCAMENTOS!D3072)</f>
        <v>AR SET</v>
      </c>
      <c r="E3064" s="38" t="str">
        <f>IF(ORCAMENTOS!E3072="","",ORCAMENTOS!E3072)</f>
        <v>DIG CONSIG (AKRK ANTÔNIO DE BARROS</v>
      </c>
      <c r="F3064" s="37" t="str">
        <f>IF(ORCAMENTOS!G3072="","",ORCAMENTOS!G3072)</f>
        <v>Fernando</v>
      </c>
      <c r="G3064" s="37" t="str">
        <f>IF(ORCAMENTOS!H3072="","",ORCAMENTOS!H3072)</f>
        <v>Danilo</v>
      </c>
      <c r="H3064" s="39">
        <f>IF(ORCAMENTOS!I3072="","",ORCAMENTOS!I3072)</f>
        <v>6310.95</v>
      </c>
      <c r="I3064" s="60">
        <f>IF(ORCAMENTOS!J3072="","",ORCAMENTOS!J3072)</f>
        <v>7.0000000000000007E-2</v>
      </c>
      <c r="J3064" s="40" t="str">
        <f>IF(ORCAMENTOS!L3072="","",ORCAMENTOS!L3072)</f>
        <v>PERDIDO</v>
      </c>
      <c r="K3064" s="34" t="str">
        <f>IF(ORCAMENTOS!M3072="","",ORCAMENTOS!M3072)</f>
        <v>MT + MO</v>
      </c>
      <c r="L3064" t="str">
        <f>IF(ORCAMENTOS!R3072="","",ORCAMENTOS!R3072)</f>
        <v>-</v>
      </c>
    </row>
    <row r="3065" spans="1:12" ht="15.75" hidden="1" customHeight="1" x14ac:dyDescent="0.25">
      <c r="A3065" s="36">
        <f>IF(ORCAMENTOS!A3073="","",ORCAMENTOS!A3073)</f>
        <v>46162</v>
      </c>
      <c r="B3065" s="46">
        <f>IF(ORCAMENTOS!B3073="","",ORCAMENTOS!B3073)</f>
        <v>888</v>
      </c>
      <c r="C3065" s="46" t="str">
        <f>IF(ORCAMENTOS!C3073="","",ORCAMENTOS!C3073)</f>
        <v/>
      </c>
      <c r="D3065" s="37" t="str">
        <f>IF(ORCAMENTOS!D3073="","",ORCAMENTOS!D3073)</f>
        <v>ARCLEAN</v>
      </c>
      <c r="E3065" s="38" t="str">
        <f>IF(ORCAMENTOS!E3073="","",ORCAMENTOS!E3073)</f>
        <v>AMAZON - GCH9</v>
      </c>
      <c r="F3065" s="37" t="str">
        <f>IF(ORCAMENTOS!G3073="","",ORCAMENTOS!G3073)</f>
        <v xml:space="preserve">Aldavir </v>
      </c>
      <c r="G3065" s="37" t="str">
        <f>IF(ORCAMENTOS!H3073="","",ORCAMENTOS!H3073)</f>
        <v>Malanie</v>
      </c>
      <c r="H3065" s="39">
        <f>IF(ORCAMENTOS!I3073="","",ORCAMENTOS!I3073)</f>
        <v>164341.95000000001</v>
      </c>
      <c r="I3065" s="60">
        <f>IF(ORCAMENTOS!J3073="","",ORCAMENTOS!J3073)</f>
        <v>7.0000000000000007E-2</v>
      </c>
      <c r="J3065" s="40" t="str">
        <f>IF(ORCAMENTOS!L3073="","",ORCAMENTOS!L3073)</f>
        <v>ORCAMENTO</v>
      </c>
      <c r="K3065" s="34" t="str">
        <f>IF(ORCAMENTOS!M3073="","",ORCAMENTOS!M3073)</f>
        <v>-</v>
      </c>
      <c r="L3065" t="str">
        <f>IF(ORCAMENTOS!R3073="","",ORCAMENTOS!R3073)</f>
        <v>N/E</v>
      </c>
    </row>
    <row r="3066" spans="1:12" ht="15.75" hidden="1" customHeight="1" x14ac:dyDescent="0.25">
      <c r="A3066" s="36">
        <f>IF(ORCAMENTOS!A3074="","",ORCAMENTOS!A3074)</f>
        <v>46162</v>
      </c>
      <c r="B3066" s="46">
        <f>IF(ORCAMENTOS!B3074="","",ORCAMENTOS!B3074)</f>
        <v>889</v>
      </c>
      <c r="C3066" s="46" t="str">
        <f>IF(ORCAMENTOS!C3074="","",ORCAMENTOS!C3074)</f>
        <v/>
      </c>
      <c r="D3066" s="37" t="str">
        <f>IF(ORCAMENTOS!D3074="","",ORCAMENTOS!D3074)</f>
        <v>L MONTE</v>
      </c>
      <c r="E3066" s="38" t="str">
        <f>IF(ORCAMENTOS!E3074="","",ORCAMENTOS!E3074)</f>
        <v>-</v>
      </c>
      <c r="F3066" s="37" t="str">
        <f>IF(ORCAMENTOS!G3074="","",ORCAMENTOS!G3074)</f>
        <v xml:space="preserve">Aldavir </v>
      </c>
      <c r="G3066" s="37" t="str">
        <f>IF(ORCAMENTOS!H3074="","",ORCAMENTOS!H3074)</f>
        <v>Gurgel</v>
      </c>
      <c r="H3066" s="39">
        <f>IF(ORCAMENTOS!I3074="","",ORCAMENTOS!I3074)</f>
        <v>551.70000000000005</v>
      </c>
      <c r="I3066" s="60">
        <f>IF(ORCAMENTOS!J3074="","",ORCAMENTOS!J3074)</f>
        <v>7.0000000000000007E-2</v>
      </c>
      <c r="J3066" s="40" t="str">
        <f>IF(ORCAMENTOS!L3074="","",ORCAMENTOS!L3074)</f>
        <v>CANCELADO</v>
      </c>
      <c r="K3066" s="34" t="str">
        <f>IF(ORCAMENTOS!M3074="","",ORCAMENTOS!M3074)</f>
        <v>-</v>
      </c>
      <c r="L3066" t="str">
        <f>IF(ORCAMENTOS!R3074="","",ORCAMENTOS!R3074)</f>
        <v>-</v>
      </c>
    </row>
    <row r="3067" spans="1:12" ht="15.75" hidden="1" customHeight="1" x14ac:dyDescent="0.25">
      <c r="A3067" s="36">
        <f>IF(ORCAMENTOS!A3075="","",ORCAMENTOS!A3075)</f>
        <v>46162</v>
      </c>
      <c r="B3067" s="46">
        <f>IF(ORCAMENTOS!B3075="","",ORCAMENTOS!B3075)</f>
        <v>890</v>
      </c>
      <c r="C3067" s="46" t="str">
        <f>IF(ORCAMENTOS!C3075="","",ORCAMENTOS!C3075)</f>
        <v/>
      </c>
      <c r="D3067" s="37" t="str">
        <f>IF(ORCAMENTOS!D3075="","",ORCAMENTOS!D3075)</f>
        <v>TAQUARAL</v>
      </c>
      <c r="E3067" s="38" t="str">
        <f>IF(ORCAMENTOS!E3075="","",ORCAMENTOS!E3075)</f>
        <v>-</v>
      </c>
      <c r="F3067" s="37" t="str">
        <f>IF(ORCAMENTOS!G3075="","",ORCAMENTOS!G3075)</f>
        <v>Gabriel</v>
      </c>
      <c r="G3067" s="37" t="str">
        <f>IF(ORCAMENTOS!H3075="","",ORCAMENTOS!H3075)</f>
        <v>Marcio</v>
      </c>
      <c r="H3067" s="39">
        <f>IF(ORCAMENTOS!I3075="","",ORCAMENTOS!I3075)</f>
        <v>1269.2</v>
      </c>
      <c r="I3067" s="60">
        <f>IF(ORCAMENTOS!J3075="","",ORCAMENTOS!J3075)</f>
        <v>7.0000000000000007E-2</v>
      </c>
      <c r="J3067" s="40" t="str">
        <f>IF(ORCAMENTOS!L3075="","",ORCAMENTOS!L3075)</f>
        <v>ORCAMENTO</v>
      </c>
      <c r="K3067" s="34" t="str">
        <f>IF(ORCAMENTOS!M3075="","",ORCAMENTOS!M3075)</f>
        <v>-</v>
      </c>
      <c r="L3067" t="str">
        <f>IF(ORCAMENTOS!R3075="","",ORCAMENTOS!R3075)</f>
        <v>-</v>
      </c>
    </row>
    <row r="3068" spans="1:12" ht="15.75" hidden="1" customHeight="1" x14ac:dyDescent="0.25">
      <c r="A3068" s="36">
        <f>IF(ORCAMENTOS!A3076="","",ORCAMENTOS!A3076)</f>
        <v>46162</v>
      </c>
      <c r="B3068" s="46">
        <f>IF(ORCAMENTOS!B3076="","",ORCAMENTOS!B3076)</f>
        <v>891</v>
      </c>
      <c r="C3068" s="46" t="str">
        <f>IF(ORCAMENTOS!C3076="","",ORCAMENTOS!C3076)</f>
        <v/>
      </c>
      <c r="D3068" s="37" t="str">
        <f>IF(ORCAMENTOS!D3076="","",ORCAMENTOS!D3076)</f>
        <v>SESIL AR</v>
      </c>
      <c r="E3068" s="38" t="str">
        <f>IF(ORCAMENTOS!E3076="","",ORCAMENTOS!E3076)</f>
        <v>SMART FIT - TAGUATINGA SUL - BRASILIA - DF</v>
      </c>
      <c r="F3068" s="37" t="str">
        <f>IF(ORCAMENTOS!G3076="","",ORCAMENTOS!G3076)</f>
        <v>Fernando</v>
      </c>
      <c r="G3068" s="37" t="str">
        <f>IF(ORCAMENTOS!H3076="","",ORCAMENTOS!H3076)</f>
        <v>Willian</v>
      </c>
      <c r="H3068" s="39">
        <f>IF(ORCAMENTOS!I3076="","",ORCAMENTOS!I3076)</f>
        <v>28756.04</v>
      </c>
      <c r="I3068" s="60">
        <f>IF(ORCAMENTOS!J3076="","",ORCAMENTOS!J3076)</f>
        <v>7.0000000000000007E-2</v>
      </c>
      <c r="J3068" s="40" t="str">
        <f>IF(ORCAMENTOS!L3076="","",ORCAMENTOS!L3076)</f>
        <v>FECHADO</v>
      </c>
      <c r="K3068" s="34" t="str">
        <f>IF(ORCAMENTOS!M3076="","",ORCAMENTOS!M3076)</f>
        <v>-</v>
      </c>
      <c r="L3068" t="str">
        <f>IF(ORCAMENTOS!R3076="","",ORCAMENTOS!R3076)</f>
        <v/>
      </c>
    </row>
    <row r="3069" spans="1:12" ht="15.75" hidden="1" customHeight="1" x14ac:dyDescent="0.25">
      <c r="A3069" s="36">
        <f>IF(ORCAMENTOS!A3077="","",ORCAMENTOS!A3077)</f>
        <v>46164</v>
      </c>
      <c r="B3069" s="46">
        <f>IF(ORCAMENTOS!B3077="","",ORCAMENTOS!B3077)</f>
        <v>892</v>
      </c>
      <c r="C3069" s="46" t="str">
        <f>IF(ORCAMENTOS!C3077="","",ORCAMENTOS!C3077)</f>
        <v>R2</v>
      </c>
      <c r="D3069" s="37" t="str">
        <f>IF(ORCAMENTOS!D3077="","",ORCAMENTOS!D3077)</f>
        <v>ACSISTEM</v>
      </c>
      <c r="E3069" s="38" t="str">
        <f>IF(ORCAMENTOS!E3077="","",ORCAMENTOS!E3077)</f>
        <v>PETZ JAÇANÃ</v>
      </c>
      <c r="F3069" s="37" t="str">
        <f>IF(ORCAMENTOS!G3077="","",ORCAMENTOS!G3077)</f>
        <v>Emanuel</v>
      </c>
      <c r="G3069" s="37" t="str">
        <f>IF(ORCAMENTOS!H3077="","",ORCAMENTOS!H3077)</f>
        <v>Matheus</v>
      </c>
      <c r="H3069" s="39">
        <f>IF(ORCAMENTOS!I3077="","",ORCAMENTOS!I3077)</f>
        <v>22718.57</v>
      </c>
      <c r="I3069" s="60">
        <f>IF(ORCAMENTOS!J3077="","",ORCAMENTOS!J3077)</f>
        <v>0.04</v>
      </c>
      <c r="J3069" s="40" t="str">
        <f>IF(ORCAMENTOS!L3077="","",ORCAMENTOS!L3077)</f>
        <v>FECHADO</v>
      </c>
      <c r="K3069" s="34" t="str">
        <f>IF(ORCAMENTOS!M3077="","",ORCAMENTOS!M3077)</f>
        <v>-</v>
      </c>
      <c r="L3069" t="str">
        <f>IF(ORCAMENTOS!R3077="","",ORCAMENTOS!R3077)</f>
        <v>-</v>
      </c>
    </row>
    <row r="3070" spans="1:12" ht="15.75" hidden="1" customHeight="1" x14ac:dyDescent="0.25">
      <c r="A3070" s="36">
        <f>IF(ORCAMENTOS!A3078="","",ORCAMENTOS!A3078)</f>
        <v>46163</v>
      </c>
      <c r="B3070" s="46">
        <f>IF(ORCAMENTOS!B3078="","",ORCAMENTOS!B3078)</f>
        <v>893</v>
      </c>
      <c r="C3070" s="46" t="str">
        <f>IF(ORCAMENTOS!C3078="","",ORCAMENTOS!C3078)</f>
        <v/>
      </c>
      <c r="D3070" s="37" t="str">
        <f>IF(ORCAMENTOS!D3078="","",ORCAMENTOS!D3078)</f>
        <v>KONAR</v>
      </c>
      <c r="E3070" s="38" t="str">
        <f>IF(ORCAMENTOS!E3078="","",ORCAMENTOS!E3078)</f>
        <v>426-23 - Libercon - KSM LOG Guarulhos</v>
      </c>
      <c r="F3070" s="37" t="str">
        <f>IF(ORCAMENTOS!G3078="","",ORCAMENTOS!G3078)</f>
        <v>Michel</v>
      </c>
      <c r="G3070" s="37" t="str">
        <f>IF(ORCAMENTOS!H3078="","",ORCAMENTOS!H3078)</f>
        <v>Fabio</v>
      </c>
      <c r="H3070" s="39">
        <f>IF(ORCAMENTOS!I3078="","",ORCAMENTOS!I3078)</f>
        <v>10419.89</v>
      </c>
      <c r="I3070" s="60">
        <f>IF(ORCAMENTOS!J3078="","",ORCAMENTOS!J3078)</f>
        <v>0.04</v>
      </c>
      <c r="J3070" s="40" t="str">
        <f>IF(ORCAMENTOS!L3078="","",ORCAMENTOS!L3078)</f>
        <v>FECHADO</v>
      </c>
      <c r="K3070" s="34" t="str">
        <f>IF(ORCAMENTOS!M3078="","",ORCAMENTOS!M3078)</f>
        <v>-</v>
      </c>
      <c r="L3070" t="str">
        <f>IF(ORCAMENTOS!R3078="","",ORCAMENTOS!R3078)</f>
        <v>-</v>
      </c>
    </row>
    <row r="3071" spans="1:12" ht="15.75" hidden="1" customHeight="1" x14ac:dyDescent="0.25">
      <c r="A3071" s="36">
        <f>IF(ORCAMENTOS!A3079="","",ORCAMENTOS!A3079)</f>
        <v>46163</v>
      </c>
      <c r="B3071" s="46">
        <f>IF(ORCAMENTOS!B3079="","",ORCAMENTOS!B3079)</f>
        <v>894</v>
      </c>
      <c r="C3071" s="46" t="str">
        <f>IF(ORCAMENTOS!C3079="","",ORCAMENTOS!C3079)</f>
        <v>R1</v>
      </c>
      <c r="D3071" s="37" t="str">
        <f>IF(ORCAMENTOS!D3079="","",ORCAMENTOS!D3079)</f>
        <v>RM3 ENGENHARIA</v>
      </c>
      <c r="E3071" s="38" t="str">
        <f>IF(ORCAMENTOS!E3079="","",ORCAMENTOS!E3079)</f>
        <v>CD - LONDRINA - PR</v>
      </c>
      <c r="F3071" s="37" t="str">
        <f>IF(ORCAMENTOS!G3079="","",ORCAMENTOS!G3079)</f>
        <v>Guilherme</v>
      </c>
      <c r="G3071" s="37" t="str">
        <f>IF(ORCAMENTOS!H3079="","",ORCAMENTOS!H3079)</f>
        <v>Angelica</v>
      </c>
      <c r="H3071" s="39">
        <f>IF(ORCAMENTOS!I3079="","",ORCAMENTOS!I3079)</f>
        <v>88568.57</v>
      </c>
      <c r="I3071" s="60">
        <f>IF(ORCAMENTOS!J3079="","",ORCAMENTOS!J3079)</f>
        <v>0.04</v>
      </c>
      <c r="J3071" s="40" t="str">
        <f>IF(ORCAMENTOS!L3079="","",ORCAMENTOS!L3079)</f>
        <v>ORCAMENTO</v>
      </c>
      <c r="K3071" s="34" t="str">
        <f>IF(ORCAMENTOS!M3079="","",ORCAMENTOS!M3079)</f>
        <v>-</v>
      </c>
      <c r="L3071" t="str">
        <f>IF(ORCAMENTOS!R3079="","",ORCAMENTOS!R3079)</f>
        <v>-</v>
      </c>
    </row>
    <row r="3072" spans="1:12" ht="15.75" hidden="1" customHeight="1" x14ac:dyDescent="0.25">
      <c r="A3072" s="36">
        <f>IF(ORCAMENTOS!A3080="","",ORCAMENTOS!A3080)</f>
        <v>46163</v>
      </c>
      <c r="B3072" s="46">
        <f>IF(ORCAMENTOS!B3080="","",ORCAMENTOS!B3080)</f>
        <v>895</v>
      </c>
      <c r="C3072" s="46" t="str">
        <f>IF(ORCAMENTOS!C3080="","",ORCAMENTOS!C3080)</f>
        <v/>
      </c>
      <c r="D3072" s="37" t="str">
        <f>IF(ORCAMENTOS!D3080="","",ORCAMENTOS!D3080)</f>
        <v>RICH ENGENHARIA</v>
      </c>
      <c r="E3072" s="38" t="str">
        <f>IF(ORCAMENTOS!E3080="","",ORCAMENTOS!E3080)</f>
        <v>GILBERTO SCHINCARIOL - ITU - SP</v>
      </c>
      <c r="F3072" s="37" t="str">
        <f>IF(ORCAMENTOS!G3080="","",ORCAMENTOS!G3080)</f>
        <v>Guilherme</v>
      </c>
      <c r="G3072" s="37" t="str">
        <f>IF(ORCAMENTOS!H3080="","",ORCAMENTOS!H3080)</f>
        <v>Ricardo</v>
      </c>
      <c r="H3072" s="39">
        <f>IF(ORCAMENTOS!I3080="","",ORCAMENTOS!I3080)</f>
        <v>21584.05</v>
      </c>
      <c r="I3072" s="60">
        <f>IF(ORCAMENTOS!J3080="","",ORCAMENTOS!J3080)</f>
        <v>7.0000000000000007E-2</v>
      </c>
      <c r="J3072" s="40" t="str">
        <f>IF(ORCAMENTOS!L3080="","",ORCAMENTOS!L3080)</f>
        <v>ORCAMENTO</v>
      </c>
      <c r="K3072" s="34" t="str">
        <f>IF(ORCAMENTOS!M3080="","",ORCAMENTOS!M3080)</f>
        <v>-</v>
      </c>
      <c r="L3072" t="str">
        <f>IF(ORCAMENTOS!R3080="","",ORCAMENTOS!R3080)</f>
        <v/>
      </c>
    </row>
    <row r="3073" spans="1:12" ht="15.75" hidden="1" customHeight="1" x14ac:dyDescent="0.25">
      <c r="A3073" s="36">
        <f>IF(ORCAMENTOS!A3081="","",ORCAMENTOS!A3081)</f>
        <v>46163</v>
      </c>
      <c r="B3073" s="46">
        <f>IF(ORCAMENTOS!B3081="","",ORCAMENTOS!B3081)</f>
        <v>896</v>
      </c>
      <c r="C3073" s="46" t="str">
        <f>IF(ORCAMENTOS!C3081="","",ORCAMENTOS!C3081)</f>
        <v>R1</v>
      </c>
      <c r="D3073" s="37" t="str">
        <f>IF(ORCAMENTOS!D3081="","",ORCAMENTOS!D3081)</f>
        <v>AMS INSTALACOES</v>
      </c>
      <c r="E3073" s="38" t="str">
        <f>IF(ORCAMENTOS!E3081="","",ORCAMENTOS!E3081)</f>
        <v>FORT ATACADISTA 435 - PALMIRO - SP</v>
      </c>
      <c r="F3073" s="37" t="str">
        <f>IF(ORCAMENTOS!G3081="","",ORCAMENTOS!G3081)</f>
        <v>Gabriel</v>
      </c>
      <c r="G3073" s="37" t="str">
        <f>IF(ORCAMENTOS!H3081="","",ORCAMENTOS!H3081)</f>
        <v>Albertino</v>
      </c>
      <c r="H3073" s="39">
        <f>IF(ORCAMENTOS!I3081="","",ORCAMENTOS!I3081)</f>
        <v>129446.2</v>
      </c>
      <c r="I3073" s="60">
        <f>IF(ORCAMENTOS!J3081="","",ORCAMENTOS!J3081)</f>
        <v>7.0000000000000007E-2</v>
      </c>
      <c r="J3073" s="40" t="str">
        <f>IF(ORCAMENTOS!L3081="","",ORCAMENTOS!L3081)</f>
        <v>ORCAMENTO</v>
      </c>
      <c r="K3073" s="34" t="str">
        <f>IF(ORCAMENTOS!M3081="","",ORCAMENTOS!M3081)</f>
        <v>-</v>
      </c>
      <c r="L3073" t="str">
        <f>IF(ORCAMENTOS!R3081="","",ORCAMENTOS!R3081)</f>
        <v/>
      </c>
    </row>
    <row r="3074" spans="1:12" ht="15.75" hidden="1" customHeight="1" x14ac:dyDescent="0.25">
      <c r="A3074" s="36">
        <f>IF(ORCAMENTOS!A3082="","",ORCAMENTOS!A3082)</f>
        <v>46163</v>
      </c>
      <c r="B3074" s="46">
        <f>IF(ORCAMENTOS!B3082="","",ORCAMENTOS!B3082)</f>
        <v>897</v>
      </c>
      <c r="C3074" s="46" t="str">
        <f>IF(ORCAMENTOS!C3082="","",ORCAMENTOS!C3082)</f>
        <v>R1</v>
      </c>
      <c r="D3074" s="37" t="str">
        <f>IF(ORCAMENTOS!D3082="","",ORCAMENTOS!D3082)</f>
        <v>ISOLEV</v>
      </c>
      <c r="E3074" s="38" t="str">
        <f>IF(ORCAMENTOS!E3082="","",ORCAMENTOS!E3082)</f>
        <v>HILTON-MORUMB</v>
      </c>
      <c r="F3074" s="37" t="str">
        <f>IF(ORCAMENTOS!G3082="","",ORCAMENTOS!G3082)</f>
        <v>Michel</v>
      </c>
      <c r="G3074" s="37" t="str">
        <f>IF(ORCAMENTOS!H3082="","",ORCAMENTOS!H3082)</f>
        <v>Antonio</v>
      </c>
      <c r="H3074" s="39">
        <f>IF(ORCAMENTOS!I3082="","",ORCAMENTOS!I3082)</f>
        <v>2250.89</v>
      </c>
      <c r="I3074" s="60">
        <f>IF(ORCAMENTOS!J3082="","",ORCAMENTOS!J3082)</f>
        <v>0.04</v>
      </c>
      <c r="J3074" s="40" t="str">
        <f>IF(ORCAMENTOS!L3082="","",ORCAMENTOS!L3082)</f>
        <v>FECHADO</v>
      </c>
      <c r="K3074" s="34" t="str">
        <f>IF(ORCAMENTOS!M3082="","",ORCAMENTOS!M3082)</f>
        <v>-</v>
      </c>
      <c r="L3074" t="str">
        <f>IF(ORCAMENTOS!R3082="","",ORCAMENTOS!R3082)</f>
        <v>-</v>
      </c>
    </row>
    <row r="3075" spans="1:12" ht="15.75" hidden="1" customHeight="1" x14ac:dyDescent="0.25">
      <c r="A3075" s="36">
        <f>IF(ORCAMENTOS!A3083="","",ORCAMENTOS!A3083)</f>
        <v>46163</v>
      </c>
      <c r="B3075" s="46">
        <f>IF(ORCAMENTOS!B3083="","",ORCAMENTOS!B3083)</f>
        <v>898</v>
      </c>
      <c r="C3075" s="46" t="str">
        <f>IF(ORCAMENTOS!C3083="","",ORCAMENTOS!C3083)</f>
        <v/>
      </c>
      <c r="D3075" s="37" t="str">
        <f>IF(ORCAMENTOS!D3083="","",ORCAMENTOS!D3083)</f>
        <v>HEATING COOLING</v>
      </c>
      <c r="E3075" s="38">
        <f>IF(ORCAMENTOS!E3083="","",ORCAMENTOS!E3083)</f>
        <v>65808</v>
      </c>
      <c r="F3075" s="37" t="str">
        <f>IF(ORCAMENTOS!G3083="","",ORCAMENTOS!G3083)</f>
        <v>Gabriel</v>
      </c>
      <c r="G3075" s="37" t="str">
        <f>IF(ORCAMENTOS!H3083="","",ORCAMENTOS!H3083)</f>
        <v>Giulia</v>
      </c>
      <c r="H3075" s="39">
        <f>IF(ORCAMENTOS!I3083="","",ORCAMENTOS!I3083)</f>
        <v>619.70000000000005</v>
      </c>
      <c r="I3075" s="60">
        <f>IF(ORCAMENTOS!J3083="","",ORCAMENTOS!J3083)</f>
        <v>7.0000000000000007E-2</v>
      </c>
      <c r="J3075" s="40" t="str">
        <f>IF(ORCAMENTOS!L3083="","",ORCAMENTOS!L3083)</f>
        <v>ORCAMENTO</v>
      </c>
      <c r="K3075" s="34" t="str">
        <f>IF(ORCAMENTOS!M3083="","",ORCAMENTOS!M3083)</f>
        <v>-</v>
      </c>
      <c r="L3075" t="str">
        <f>IF(ORCAMENTOS!R3083="","",ORCAMENTOS!R3083)</f>
        <v>-</v>
      </c>
    </row>
    <row r="3076" spans="1:12" ht="15.75" hidden="1" customHeight="1" x14ac:dyDescent="0.25">
      <c r="A3076" s="36">
        <f>IF(ORCAMENTOS!A3084="","",ORCAMENTOS!A3084)</f>
        <v>46163</v>
      </c>
      <c r="B3076" s="46">
        <f>IF(ORCAMENTOS!B3084="","",ORCAMENTOS!B3084)</f>
        <v>899</v>
      </c>
      <c r="C3076" s="46" t="str">
        <f>IF(ORCAMENTOS!C3084="","",ORCAMENTOS!C3084)</f>
        <v/>
      </c>
      <c r="D3076" s="37" t="str">
        <f>IF(ORCAMENTOS!D3084="","",ORCAMENTOS!D3084)</f>
        <v>INTERA ENGENHARIA</v>
      </c>
      <c r="E3076" s="38" t="str">
        <f>IF(ORCAMENTOS!E3084="","",ORCAMENTOS!E3084)</f>
        <v>SEW EURODRIVE - MONTADORA - RIO CLARO - SP</v>
      </c>
      <c r="F3076" s="37" t="str">
        <f>IF(ORCAMENTOS!G3084="","",ORCAMENTOS!G3084)</f>
        <v>Michel</v>
      </c>
      <c r="G3076" s="37" t="str">
        <f>IF(ORCAMENTOS!H3084="","",ORCAMENTOS!H3084)</f>
        <v>Jessica</v>
      </c>
      <c r="H3076" s="39">
        <f>IF(ORCAMENTOS!I3084="","",ORCAMENTOS!I3084)</f>
        <v>19758.38</v>
      </c>
      <c r="I3076" s="60">
        <f>IF(ORCAMENTOS!J3084="","",ORCAMENTOS!J3084)</f>
        <v>7.0000000000000007E-2</v>
      </c>
      <c r="J3076" s="40" t="str">
        <f>IF(ORCAMENTOS!L3084="","",ORCAMENTOS!L3084)</f>
        <v>ORCAMENTO</v>
      </c>
      <c r="K3076" s="34" t="str">
        <f>IF(ORCAMENTOS!M3084="","",ORCAMENTOS!M3084)</f>
        <v>-</v>
      </c>
      <c r="L3076" t="str">
        <f>IF(ORCAMENTOS!R3084="","",ORCAMENTOS!R3084)</f>
        <v/>
      </c>
    </row>
    <row r="3077" spans="1:12" ht="15.75" hidden="1" customHeight="1" x14ac:dyDescent="0.25">
      <c r="A3077" s="36">
        <f>IF(ORCAMENTOS!A3085="","",ORCAMENTOS!A3085)</f>
        <v>46163</v>
      </c>
      <c r="B3077" s="46">
        <f>IF(ORCAMENTOS!B3085="","",ORCAMENTOS!B3085)</f>
        <v>900</v>
      </c>
      <c r="C3077" s="46" t="str">
        <f>IF(ORCAMENTOS!C3085="","",ORCAMENTOS!C3085)</f>
        <v/>
      </c>
      <c r="D3077" s="37" t="str">
        <f>IF(ORCAMENTOS!D3085="","",ORCAMENTOS!D3085)</f>
        <v xml:space="preserve">K.M. TADA ENGENHARIA </v>
      </c>
      <c r="E3077" s="38" t="str">
        <f>IF(ORCAMENTOS!E3085="","",ORCAMENTOS!E3085)</f>
        <v>SINAPSE FARMA</v>
      </c>
      <c r="F3077" s="37" t="str">
        <f>IF(ORCAMENTOS!G3085="","",ORCAMENTOS!G3085)</f>
        <v xml:space="preserve">Aldavir </v>
      </c>
      <c r="G3077" s="37" t="str">
        <f>IF(ORCAMENTOS!H3085="","",ORCAMENTOS!H3085)</f>
        <v>Carlos Mazzini</v>
      </c>
      <c r="H3077" s="39">
        <f>IF(ORCAMENTOS!I3085="","",ORCAMENTOS!I3085)</f>
        <v>43192.160000000003</v>
      </c>
      <c r="I3077" s="60">
        <f>IF(ORCAMENTOS!J3085="","",ORCAMENTOS!J3085)</f>
        <v>7.0000000000000007E-2</v>
      </c>
      <c r="J3077" s="40" t="str">
        <f>IF(ORCAMENTOS!L3085="","",ORCAMENTOS!L3085)</f>
        <v>ORCAMENTO</v>
      </c>
      <c r="K3077" s="34" t="str">
        <f>IF(ORCAMENTOS!M3085="","",ORCAMENTOS!M3085)</f>
        <v/>
      </c>
      <c r="L3077" t="str">
        <f>IF(ORCAMENTOS!R3085="","",ORCAMENTOS!R3085)</f>
        <v/>
      </c>
    </row>
    <row r="3078" spans="1:12" ht="15.75" hidden="1" customHeight="1" x14ac:dyDescent="0.25">
      <c r="A3078" s="36">
        <f>IF(ORCAMENTOS!A3086="","",ORCAMENTOS!A3086)</f>
        <v>46163</v>
      </c>
      <c r="B3078" s="46">
        <f>IF(ORCAMENTOS!B3086="","",ORCAMENTOS!B3086)</f>
        <v>901</v>
      </c>
      <c r="C3078" s="46" t="str">
        <f>IF(ORCAMENTOS!C3086="","",ORCAMENTOS!C3086)</f>
        <v>R1</v>
      </c>
      <c r="D3078" s="37" t="str">
        <f>IF(ORCAMENTOS!D3086="","",ORCAMENTOS!D3086)</f>
        <v>INOVECTOR</v>
      </c>
      <c r="E3078" s="38" t="str">
        <f>IF(ORCAMENTOS!E3086="","",ORCAMENTOS!E3086)</f>
        <v>BENEFICÊNCIA PORTUGUESA - UTI 1º ANDAR - T1</v>
      </c>
      <c r="F3078" s="37" t="str">
        <f>IF(ORCAMENTOS!G3086="","",ORCAMENTOS!G3086)</f>
        <v>Fernando</v>
      </c>
      <c r="G3078" s="37" t="str">
        <f>IF(ORCAMENTOS!H3086="","",ORCAMENTOS!H3086)</f>
        <v>Cristina</v>
      </c>
      <c r="H3078" s="39">
        <f>IF(ORCAMENTOS!I3086="","",ORCAMENTOS!I3086)</f>
        <v>852.32</v>
      </c>
      <c r="I3078" s="60">
        <f>IF(ORCAMENTOS!J3086="","",ORCAMENTOS!J3086)</f>
        <v>7.0000000000000007E-2</v>
      </c>
      <c r="J3078" s="40" t="str">
        <f>IF(ORCAMENTOS!L3086="","",ORCAMENTOS!L3086)</f>
        <v>FECHADO</v>
      </c>
      <c r="K3078" s="34" t="str">
        <f>IF(ORCAMENTOS!M3086="","",ORCAMENTOS!M3086)</f>
        <v>-</v>
      </c>
      <c r="L3078" t="str">
        <f>IF(ORCAMENTOS!R3086="","",ORCAMENTOS!R3086)</f>
        <v>-</v>
      </c>
    </row>
    <row r="3079" spans="1:12" ht="15.75" hidden="1" customHeight="1" x14ac:dyDescent="0.25">
      <c r="A3079" s="36">
        <f>IF(ORCAMENTOS!A3087="","",ORCAMENTOS!A3087)</f>
        <v>46164</v>
      </c>
      <c r="B3079" s="46">
        <f>IF(ORCAMENTOS!B3087="","",ORCAMENTOS!B3087)</f>
        <v>902</v>
      </c>
      <c r="C3079" s="46" t="str">
        <f>IF(ORCAMENTOS!C3087="","",ORCAMENTOS!C3087)</f>
        <v/>
      </c>
      <c r="D3079" s="37" t="str">
        <f>IF(ORCAMENTOS!D3087="","",ORCAMENTOS!D3087)</f>
        <v>CACR ENGENHARIA</v>
      </c>
      <c r="E3079" s="38" t="str">
        <f>IF(ORCAMENTOS!E3087="","",ORCAMENTOS!E3087)</f>
        <v>UNIGRA - 1919 - EDUARDO</v>
      </c>
      <c r="F3079" s="37" t="str">
        <f>IF(ORCAMENTOS!G3087="","",ORCAMENTOS!G3087)</f>
        <v xml:space="preserve">Aldavir </v>
      </c>
      <c r="G3079" s="37" t="str">
        <f>IF(ORCAMENTOS!H3087="","",ORCAMENTOS!H3087)</f>
        <v>Marcelo</v>
      </c>
      <c r="H3079" s="39">
        <f>IF(ORCAMENTOS!I3087="","",ORCAMENTOS!I3087)</f>
        <v>5230.1400000000003</v>
      </c>
      <c r="I3079" s="60">
        <f>IF(ORCAMENTOS!J3087="","",ORCAMENTOS!J3087)</f>
        <v>7.0000000000000007E-2</v>
      </c>
      <c r="J3079" s="40" t="str">
        <f>IF(ORCAMENTOS!L3087="","",ORCAMENTOS!L3087)</f>
        <v>FECHADO</v>
      </c>
      <c r="K3079" s="34" t="str">
        <f>IF(ORCAMENTOS!M3087="","",ORCAMENTOS!M3087)</f>
        <v>-</v>
      </c>
      <c r="L3079" t="str">
        <f>IF(ORCAMENTOS!R3087="","",ORCAMENTOS!R3087)</f>
        <v>-</v>
      </c>
    </row>
    <row r="3080" spans="1:12" ht="15.75" hidden="1" customHeight="1" x14ac:dyDescent="0.25">
      <c r="A3080" s="36">
        <f>IF(ORCAMENTOS!A3088="","",ORCAMENTOS!A3088)</f>
        <v>46168</v>
      </c>
      <c r="B3080" s="46">
        <f>IF(ORCAMENTOS!B3088="","",ORCAMENTOS!B3088)</f>
        <v>903</v>
      </c>
      <c r="C3080" s="46" t="str">
        <f>IF(ORCAMENTOS!C3088="","",ORCAMENTOS!C3088)</f>
        <v>R1</v>
      </c>
      <c r="D3080" s="37" t="str">
        <f>IF(ORCAMENTOS!D3088="","",ORCAMENTOS!D3088)</f>
        <v>KONAR</v>
      </c>
      <c r="E3080" s="38" t="str">
        <f>IF(ORCAMENTOS!E3088="","",ORCAMENTOS!E3088)</f>
        <v>021-26 - CONSTRUTORA LAMMART - MARCOS GUERRA</v>
      </c>
      <c r="F3080" s="37" t="str">
        <f>IF(ORCAMENTOS!G3088="","",ORCAMENTOS!G3088)</f>
        <v>Michel</v>
      </c>
      <c r="G3080" s="37" t="str">
        <f>IF(ORCAMENTOS!H3088="","",ORCAMENTOS!H3088)</f>
        <v>Pedro</v>
      </c>
      <c r="H3080" s="39">
        <f>IF(ORCAMENTOS!I3088="","",ORCAMENTOS!I3088)</f>
        <v>6907.41</v>
      </c>
      <c r="I3080" s="60">
        <f>IF(ORCAMENTOS!J3088="","",ORCAMENTOS!J3088)</f>
        <v>0.04</v>
      </c>
      <c r="J3080" s="40" t="str">
        <f>IF(ORCAMENTOS!L3088="","",ORCAMENTOS!L3088)</f>
        <v>FECHADO</v>
      </c>
      <c r="K3080" s="34" t="str">
        <f>IF(ORCAMENTOS!M3088="","",ORCAMENTOS!M3088)</f>
        <v>-</v>
      </c>
      <c r="L3080" t="str">
        <f>IF(ORCAMENTOS!R3088="","",ORCAMENTOS!R3088)</f>
        <v>-</v>
      </c>
    </row>
    <row r="3081" spans="1:12" ht="15.75" hidden="1" customHeight="1" x14ac:dyDescent="0.25">
      <c r="A3081" s="36">
        <f>IF(ORCAMENTOS!A3089="","",ORCAMENTOS!A3089)</f>
        <v>46167</v>
      </c>
      <c r="B3081" s="46">
        <f>IF(ORCAMENTOS!B3089="","",ORCAMENTOS!B3089)</f>
        <v>904</v>
      </c>
      <c r="C3081" s="46" t="str">
        <f>IF(ORCAMENTOS!C3089="","",ORCAMENTOS!C3089)</f>
        <v/>
      </c>
      <c r="D3081" s="37" t="str">
        <f>IF(ORCAMENTOS!D3089="","",ORCAMENTOS!D3089)</f>
        <v>TERMOCLIMA</v>
      </c>
      <c r="E3081" s="38" t="str">
        <f>IF(ORCAMENTOS!E3089="","",ORCAMENTOS!E3089)</f>
        <v>ASSAI - LOJA COTIA - SP</v>
      </c>
      <c r="F3081" s="37" t="str">
        <f>IF(ORCAMENTOS!G3089="","",ORCAMENTOS!G3089)</f>
        <v>Gabriel</v>
      </c>
      <c r="G3081" s="37" t="str">
        <f>IF(ORCAMENTOS!H3089="","",ORCAMENTOS!H3089)</f>
        <v>Pedro</v>
      </c>
      <c r="H3081" s="39">
        <f>IF(ORCAMENTOS!I3089="","",ORCAMENTOS!I3089)</f>
        <v>30798.18</v>
      </c>
      <c r="I3081" s="60">
        <f>IF(ORCAMENTOS!J3089="","",ORCAMENTOS!J3089)</f>
        <v>7.0000000000000007E-2</v>
      </c>
      <c r="J3081" s="40" t="str">
        <f>IF(ORCAMENTOS!L3089="","",ORCAMENTOS!L3089)</f>
        <v>ORCAMENTO</v>
      </c>
      <c r="K3081" s="34" t="str">
        <f>IF(ORCAMENTOS!M3089="","",ORCAMENTOS!M3089)</f>
        <v>-</v>
      </c>
      <c r="L3081" t="str">
        <f>IF(ORCAMENTOS!R3089="","",ORCAMENTOS!R3089)</f>
        <v>-</v>
      </c>
    </row>
    <row r="3082" spans="1:12" ht="15.75" hidden="1" customHeight="1" x14ac:dyDescent="0.25">
      <c r="A3082" s="36">
        <f>IF(ORCAMENTOS!A3090="","",ORCAMENTOS!A3090)</f>
        <v>46167</v>
      </c>
      <c r="B3082" s="46">
        <f>IF(ORCAMENTOS!B3090="","",ORCAMENTOS!B3090)</f>
        <v>905</v>
      </c>
      <c r="C3082" s="46" t="str">
        <f>IF(ORCAMENTOS!C3090="","",ORCAMENTOS!C3090)</f>
        <v/>
      </c>
      <c r="D3082" s="37" t="str">
        <f>IF(ORCAMENTOS!D3090="","",ORCAMENTOS!D3090)</f>
        <v>TERMOCLIMA</v>
      </c>
      <c r="E3082" s="38" t="str">
        <f>IF(ORCAMENTOS!E3090="","",ORCAMENTOS!E3090)</f>
        <v>ASSAI - LOJA 012 - JUNDIAI - SP</v>
      </c>
      <c r="F3082" s="37" t="str">
        <f>IF(ORCAMENTOS!G3090="","",ORCAMENTOS!G3090)</f>
        <v>Gabriel</v>
      </c>
      <c r="G3082" s="37" t="str">
        <f>IF(ORCAMENTOS!H3090="","",ORCAMENTOS!H3090)</f>
        <v>Pedro</v>
      </c>
      <c r="H3082" s="39">
        <f>IF(ORCAMENTOS!I3090="","",ORCAMENTOS!I3090)</f>
        <v>37226.51</v>
      </c>
      <c r="I3082" s="60">
        <f>IF(ORCAMENTOS!J3090="","",ORCAMENTOS!J3090)</f>
        <v>7.0000000000000007E-2</v>
      </c>
      <c r="J3082" s="40" t="str">
        <f>IF(ORCAMENTOS!L3090="","",ORCAMENTOS!L3090)</f>
        <v>ORCAMENTO</v>
      </c>
      <c r="K3082" s="34" t="str">
        <f>IF(ORCAMENTOS!M3090="","",ORCAMENTOS!M3090)</f>
        <v>-</v>
      </c>
      <c r="L3082" t="str">
        <f>IF(ORCAMENTOS!R3090="","",ORCAMENTOS!R3090)</f>
        <v>-</v>
      </c>
    </row>
    <row r="3083" spans="1:12" ht="15.75" hidden="1" customHeight="1" x14ac:dyDescent="0.25">
      <c r="A3083" s="36">
        <f>IF(ORCAMENTOS!A3091="","",ORCAMENTOS!A3091)</f>
        <v>46167</v>
      </c>
      <c r="B3083" s="46">
        <f>IF(ORCAMENTOS!B3091="","",ORCAMENTOS!B3091)</f>
        <v>906</v>
      </c>
      <c r="C3083" s="46" t="str">
        <f>IF(ORCAMENTOS!C3091="","",ORCAMENTOS!C3091)</f>
        <v/>
      </c>
      <c r="D3083" s="37" t="str">
        <f>IF(ORCAMENTOS!D3091="","",ORCAMENTOS!D3091)</f>
        <v>TERMOCLIMA</v>
      </c>
      <c r="E3083" s="38" t="str">
        <f>IF(ORCAMENTOS!E3091="","",ORCAMENTOS!E3091)</f>
        <v>ASSAI - JACANA - SP</v>
      </c>
      <c r="F3083" s="37" t="str">
        <f>IF(ORCAMENTOS!G3091="","",ORCAMENTOS!G3091)</f>
        <v>Gabriel</v>
      </c>
      <c r="G3083" s="37" t="str">
        <f>IF(ORCAMENTOS!H3091="","",ORCAMENTOS!H3091)</f>
        <v>Pedro</v>
      </c>
      <c r="H3083" s="39">
        <f>IF(ORCAMENTOS!I3091="","",ORCAMENTOS!I3091)</f>
        <v>61039.17</v>
      </c>
      <c r="I3083" s="60">
        <f>IF(ORCAMENTOS!J3091="","",ORCAMENTOS!J3091)</f>
        <v>7.0000000000000007E-2</v>
      </c>
      <c r="J3083" s="40" t="str">
        <f>IF(ORCAMENTOS!L3091="","",ORCAMENTOS!L3091)</f>
        <v>ORCAMENTO</v>
      </c>
      <c r="K3083" s="34" t="str">
        <f>IF(ORCAMENTOS!M3091="","",ORCAMENTOS!M3091)</f>
        <v>-</v>
      </c>
      <c r="L3083" t="str">
        <f>IF(ORCAMENTOS!R3091="","",ORCAMENTOS!R3091)</f>
        <v>-</v>
      </c>
    </row>
    <row r="3084" spans="1:12" ht="15.75" hidden="1" customHeight="1" x14ac:dyDescent="0.25">
      <c r="A3084" s="36">
        <f>IF(ORCAMENTOS!A3092="","",ORCAMENTOS!A3092)</f>
        <v>46167</v>
      </c>
      <c r="B3084" s="46">
        <f>IF(ORCAMENTOS!B3092="","",ORCAMENTOS!B3092)</f>
        <v>907</v>
      </c>
      <c r="C3084" s="46" t="str">
        <f>IF(ORCAMENTOS!C3092="","",ORCAMENTOS!C3092)</f>
        <v/>
      </c>
      <c r="D3084" s="37" t="str">
        <f>IF(ORCAMENTOS!D3092="","",ORCAMENTOS!D3092)</f>
        <v>TERMOCLIMA</v>
      </c>
      <c r="E3084" s="38" t="str">
        <f>IF(ORCAMENTOS!E3092="","",ORCAMENTOS!E3092)</f>
        <v>ASSAI - LOJA SANTO ANDRE - SP</v>
      </c>
      <c r="F3084" s="37" t="str">
        <f>IF(ORCAMENTOS!G3092="","",ORCAMENTOS!G3092)</f>
        <v>Gabriel</v>
      </c>
      <c r="G3084" s="37" t="str">
        <f>IF(ORCAMENTOS!H3092="","",ORCAMENTOS!H3092)</f>
        <v>Pedro</v>
      </c>
      <c r="H3084" s="39">
        <f>IF(ORCAMENTOS!I3092="","",ORCAMENTOS!I3092)</f>
        <v>30916.81</v>
      </c>
      <c r="I3084" s="60">
        <f>IF(ORCAMENTOS!J3092="","",ORCAMENTOS!J3092)</f>
        <v>7.0000000000000007E-2</v>
      </c>
      <c r="J3084" s="40" t="str">
        <f>IF(ORCAMENTOS!L3092="","",ORCAMENTOS!L3092)</f>
        <v>ORCAMENTO</v>
      </c>
      <c r="K3084" s="34" t="str">
        <f>IF(ORCAMENTOS!M3092="","",ORCAMENTOS!M3092)</f>
        <v>-</v>
      </c>
      <c r="L3084" t="str">
        <f>IF(ORCAMENTOS!R3092="","",ORCAMENTOS!R3092)</f>
        <v>-</v>
      </c>
    </row>
    <row r="3085" spans="1:12" ht="15.75" hidden="1" customHeight="1" x14ac:dyDescent="0.25">
      <c r="A3085" s="36">
        <f>IF(ORCAMENTOS!A3093="","",ORCAMENTOS!A3093)</f>
        <v>46167</v>
      </c>
      <c r="B3085" s="46">
        <f>IF(ORCAMENTOS!B3093="","",ORCAMENTOS!B3093)</f>
        <v>908</v>
      </c>
      <c r="C3085" s="46" t="str">
        <f>IF(ORCAMENTOS!C3093="","",ORCAMENTOS!C3093)</f>
        <v/>
      </c>
      <c r="D3085" s="37" t="str">
        <f>IF(ORCAMENTOS!D3093="","",ORCAMENTOS!D3093)</f>
        <v>TERMOCLIMA</v>
      </c>
      <c r="E3085" s="38" t="str">
        <f>IF(ORCAMENTOS!E3093="","",ORCAMENTOS!E3093)</f>
        <v>ASSAI - LOJA SÃO MIGUEL - SP</v>
      </c>
      <c r="F3085" s="37" t="str">
        <f>IF(ORCAMENTOS!G3093="","",ORCAMENTOS!G3093)</f>
        <v>Gabriel</v>
      </c>
      <c r="G3085" s="37" t="str">
        <f>IF(ORCAMENTOS!H3093="","",ORCAMENTOS!H3093)</f>
        <v>Pedro</v>
      </c>
      <c r="H3085" s="39">
        <f>IF(ORCAMENTOS!I3093="","",ORCAMENTOS!I3093)</f>
        <v>28491.33</v>
      </c>
      <c r="I3085" s="60">
        <f>IF(ORCAMENTOS!J3093="","",ORCAMENTOS!J3093)</f>
        <v>7.0000000000000007E-2</v>
      </c>
      <c r="J3085" s="40" t="str">
        <f>IF(ORCAMENTOS!L3093="","",ORCAMENTOS!L3093)</f>
        <v>ORCAMENTO</v>
      </c>
      <c r="K3085" s="34" t="str">
        <f>IF(ORCAMENTOS!M3093="","",ORCAMENTOS!M3093)</f>
        <v>-</v>
      </c>
      <c r="L3085" t="str">
        <f>IF(ORCAMENTOS!R3093="","",ORCAMENTOS!R3093)</f>
        <v>-</v>
      </c>
    </row>
    <row r="3086" spans="1:12" ht="15.75" hidden="1" customHeight="1" x14ac:dyDescent="0.25">
      <c r="A3086" s="36">
        <f>IF(ORCAMENTOS!A3094="","",ORCAMENTOS!A3094)</f>
        <v>46167</v>
      </c>
      <c r="B3086" s="46">
        <f>IF(ORCAMENTOS!B3094="","",ORCAMENTOS!B3094)</f>
        <v>909</v>
      </c>
      <c r="C3086" s="46" t="str">
        <f>IF(ORCAMENTOS!C3094="","",ORCAMENTOS!C3094)</f>
        <v/>
      </c>
      <c r="D3086" s="37" t="str">
        <f>IF(ORCAMENTOS!D3094="","",ORCAMENTOS!D3094)</f>
        <v>TECNOVENTI</v>
      </c>
      <c r="E3086" s="38" t="str">
        <f>IF(ORCAMENTOS!E3094="","",ORCAMENTOS!E3094)</f>
        <v>-</v>
      </c>
      <c r="F3086" s="37" t="str">
        <f>IF(ORCAMENTOS!G3094="","",ORCAMENTOS!G3094)</f>
        <v>Gabriel</v>
      </c>
      <c r="G3086" s="37" t="str">
        <f>IF(ORCAMENTOS!H3094="","",ORCAMENTOS!H3094)</f>
        <v>Kenedy</v>
      </c>
      <c r="H3086" s="39">
        <f>IF(ORCAMENTOS!I3094="","",ORCAMENTOS!I3094)</f>
        <v>379.13</v>
      </c>
      <c r="I3086" s="60">
        <f>IF(ORCAMENTOS!J3094="","",ORCAMENTOS!J3094)</f>
        <v>7.0000000000000007E-2</v>
      </c>
      <c r="J3086" s="40" t="str">
        <f>IF(ORCAMENTOS!L3094="","",ORCAMENTOS!L3094)</f>
        <v>FECHADO</v>
      </c>
      <c r="K3086" s="34" t="str">
        <f>IF(ORCAMENTOS!M3094="","",ORCAMENTOS!M3094)</f>
        <v>-</v>
      </c>
      <c r="L3086" t="str">
        <f>IF(ORCAMENTOS!R3094="","",ORCAMENTOS!R3094)</f>
        <v>-</v>
      </c>
    </row>
    <row r="3087" spans="1:12" ht="15.75" hidden="1" customHeight="1" x14ac:dyDescent="0.25">
      <c r="A3087" s="36">
        <f>IF(ORCAMENTOS!A3095="","",ORCAMENTOS!A3095)</f>
        <v>46167</v>
      </c>
      <c r="B3087" s="46">
        <f>IF(ORCAMENTOS!B3095="","",ORCAMENTOS!B3095)</f>
        <v>910</v>
      </c>
      <c r="C3087" s="46" t="str">
        <f>IF(ORCAMENTOS!C3095="","",ORCAMENTOS!C3095)</f>
        <v/>
      </c>
      <c r="D3087" s="37" t="str">
        <f>IF(ORCAMENTOS!D3095="","",ORCAMENTOS!D3095)</f>
        <v>WH ENGENHARIA</v>
      </c>
      <c r="E3087" s="38" t="str">
        <f>IF(ORCAMENTOS!E3095="","",ORCAMENTOS!E3095)</f>
        <v>ELDORADO - CSA3M - CAMPINAS - SP</v>
      </c>
      <c r="F3087" s="37" t="str">
        <f>IF(ORCAMENTOS!G3095="","",ORCAMENTOS!G3095)</f>
        <v>Michel</v>
      </c>
      <c r="G3087" s="37" t="str">
        <f>IF(ORCAMENTOS!H3095="","",ORCAMENTOS!H3095)</f>
        <v>Thiago</v>
      </c>
      <c r="H3087" s="39">
        <f>IF(ORCAMENTOS!I3095="","",ORCAMENTOS!I3095)</f>
        <v>11339.69</v>
      </c>
      <c r="I3087" s="60">
        <f>IF(ORCAMENTOS!J3095="","",ORCAMENTOS!J3095)</f>
        <v>0.04</v>
      </c>
      <c r="J3087" s="40" t="str">
        <f>IF(ORCAMENTOS!L3095="","",ORCAMENTOS!L3095)</f>
        <v>ORCAMENTO</v>
      </c>
      <c r="K3087" s="34" t="str">
        <f>IF(ORCAMENTOS!M3095="","",ORCAMENTOS!M3095)</f>
        <v>-</v>
      </c>
      <c r="L3087" t="str">
        <f>IF(ORCAMENTOS!R3095="","",ORCAMENTOS!R3095)</f>
        <v/>
      </c>
    </row>
    <row r="3088" spans="1:12" ht="15.75" hidden="1" customHeight="1" x14ac:dyDescent="0.25">
      <c r="A3088" s="36">
        <f>IF(ORCAMENTOS!A3096="","",ORCAMENTOS!A3096)</f>
        <v>46167</v>
      </c>
      <c r="B3088" s="46">
        <f>IF(ORCAMENTOS!B3096="","",ORCAMENTOS!B3096)</f>
        <v>911</v>
      </c>
      <c r="C3088" s="46" t="str">
        <f>IF(ORCAMENTOS!C3096="","",ORCAMENTOS!C3096)</f>
        <v/>
      </c>
      <c r="D3088" s="37" t="str">
        <f>IF(ORCAMENTOS!D3096="","",ORCAMENTOS!D3096)</f>
        <v>UNION RHAC</v>
      </c>
      <c r="E3088" s="38" t="str">
        <f>IF(ORCAMENTOS!E3096="","",ORCAMENTOS!E3096)</f>
        <v>-</v>
      </c>
      <c r="F3088" s="37" t="str">
        <f>IF(ORCAMENTOS!G3096="","",ORCAMENTOS!G3096)</f>
        <v>Emanuel</v>
      </c>
      <c r="G3088" s="37" t="str">
        <f>IF(ORCAMENTOS!H3096="","",ORCAMENTOS!H3096)</f>
        <v>Rosana</v>
      </c>
      <c r="H3088" s="39">
        <f>IF(ORCAMENTOS!I3096="","",ORCAMENTOS!I3096)</f>
        <v>57661.74</v>
      </c>
      <c r="I3088" s="60">
        <f>IF(ORCAMENTOS!J3096="","",ORCAMENTOS!J3096)</f>
        <v>7.0000000000000007E-2</v>
      </c>
      <c r="J3088" s="40" t="str">
        <f>IF(ORCAMENTOS!L3096="","",ORCAMENTOS!L3096)</f>
        <v>ORCAMENTO</v>
      </c>
      <c r="K3088" s="34" t="str">
        <f>IF(ORCAMENTOS!M3096="","",ORCAMENTOS!M3096)</f>
        <v>-</v>
      </c>
      <c r="L3088" t="str">
        <f>IF(ORCAMENTOS!R3096="","",ORCAMENTOS!R3096)</f>
        <v>-</v>
      </c>
    </row>
    <row r="3089" spans="1:12" ht="15.75" hidden="1" customHeight="1" x14ac:dyDescent="0.25">
      <c r="A3089" s="36">
        <f>IF(ORCAMENTOS!A3097="","",ORCAMENTOS!A3097)</f>
        <v>46167</v>
      </c>
      <c r="B3089" s="46">
        <f>IF(ORCAMENTOS!B3097="","",ORCAMENTOS!B3097)</f>
        <v>912</v>
      </c>
      <c r="C3089" s="46" t="str">
        <f>IF(ORCAMENTOS!C3097="","",ORCAMENTOS!C3097)</f>
        <v/>
      </c>
      <c r="D3089" s="37" t="str">
        <f>IF(ORCAMENTOS!D3097="","",ORCAMENTOS!D3097)</f>
        <v>AIR NET</v>
      </c>
      <c r="E3089" s="38" t="str">
        <f>IF(ORCAMENTOS!E3097="","",ORCAMENTOS!E3097)</f>
        <v>TAUSTE SANTANA</v>
      </c>
      <c r="F3089" s="37" t="str">
        <f>IF(ORCAMENTOS!G3097="","",ORCAMENTOS!G3097)</f>
        <v>Fernando</v>
      </c>
      <c r="G3089" s="37" t="str">
        <f>IF(ORCAMENTOS!H3097="","",ORCAMENTOS!H3097)</f>
        <v>Gardner</v>
      </c>
      <c r="H3089" s="39">
        <f>IF(ORCAMENTOS!I3097="","",ORCAMENTOS!I3097)</f>
        <v>7287.37</v>
      </c>
      <c r="I3089" s="60">
        <f>IF(ORCAMENTOS!J3097="","",ORCAMENTOS!J3097)</f>
        <v>7.0000000000000007E-2</v>
      </c>
      <c r="J3089" s="40" t="str">
        <f>IF(ORCAMENTOS!L3097="","",ORCAMENTOS!L3097)</f>
        <v>COMPRA</v>
      </c>
      <c r="K3089" s="34" t="str">
        <f>IF(ORCAMENTOS!M3097="","",ORCAMENTOS!M3097)</f>
        <v>-</v>
      </c>
      <c r="L3089" t="str">
        <f>IF(ORCAMENTOS!R3097="","",ORCAMENTOS!R3097)</f>
        <v>-</v>
      </c>
    </row>
    <row r="3090" spans="1:12" ht="15.75" hidden="1" customHeight="1" x14ac:dyDescent="0.25">
      <c r="A3090" s="36">
        <f>IF(ORCAMENTOS!A3098="","",ORCAMENTOS!A3098)</f>
        <v>46167</v>
      </c>
      <c r="B3090" s="46">
        <f>IF(ORCAMENTOS!B3098="","",ORCAMENTOS!B3098)</f>
        <v>913</v>
      </c>
      <c r="C3090" s="46" t="str">
        <f>IF(ORCAMENTOS!C3098="","",ORCAMENTOS!C3098)</f>
        <v/>
      </c>
      <c r="D3090" s="37" t="str">
        <f>IF(ORCAMENTOS!D3098="","",ORCAMENTOS!D3098)</f>
        <v>ECOLOGIC AIR</v>
      </c>
      <c r="E3090" s="38" t="str">
        <f>IF(ORCAMENTOS!E3098="","",ORCAMENTOS!E3098)</f>
        <v>-</v>
      </c>
      <c r="F3090" s="37" t="str">
        <f>IF(ORCAMENTOS!G3098="","",ORCAMENTOS!G3098)</f>
        <v>Michel</v>
      </c>
      <c r="G3090" s="37" t="str">
        <f>IF(ORCAMENTOS!H3098="","",ORCAMENTOS!H3098)</f>
        <v>Vinicius</v>
      </c>
      <c r="H3090" s="39">
        <f>IF(ORCAMENTOS!I3098="","",ORCAMENTOS!I3098)</f>
        <v>6379.34</v>
      </c>
      <c r="I3090" s="60">
        <f>IF(ORCAMENTOS!J3098="","",ORCAMENTOS!J3098)</f>
        <v>7.0000000000000007E-2</v>
      </c>
      <c r="J3090" s="40" t="str">
        <f>IF(ORCAMENTOS!L3098="","",ORCAMENTOS!L3098)</f>
        <v>ORCAMENTO</v>
      </c>
      <c r="K3090" s="34" t="str">
        <f>IF(ORCAMENTOS!M3098="","",ORCAMENTOS!M3098)</f>
        <v>-</v>
      </c>
      <c r="L3090" t="str">
        <f>IF(ORCAMENTOS!R3098="","",ORCAMENTOS!R3098)</f>
        <v>-</v>
      </c>
    </row>
    <row r="3091" spans="1:12" ht="15.75" hidden="1" customHeight="1" x14ac:dyDescent="0.25">
      <c r="A3091" s="36">
        <f>IF(ORCAMENTOS!A3099="","",ORCAMENTOS!A3099)</f>
        <v>46167</v>
      </c>
      <c r="B3091" s="46">
        <f>IF(ORCAMENTOS!B3099="","",ORCAMENTOS!B3099)</f>
        <v>914</v>
      </c>
      <c r="C3091" s="46" t="str">
        <f>IF(ORCAMENTOS!C3099="","",ORCAMENTOS!C3099)</f>
        <v/>
      </c>
      <c r="D3091" s="37" t="str">
        <f>IF(ORCAMENTOS!D3099="","",ORCAMENTOS!D3099)</f>
        <v>BMS ENGENHARIA</v>
      </c>
      <c r="E3091" s="38" t="str">
        <f>IF(ORCAMENTOS!E3099="","",ORCAMENTOS!E3099)</f>
        <v>CANPACK</v>
      </c>
      <c r="F3091" s="37" t="str">
        <f>IF(ORCAMENTOS!G3099="","",ORCAMENTOS!G3099)</f>
        <v>Guilherme</v>
      </c>
      <c r="G3091" s="37" t="str">
        <f>IF(ORCAMENTOS!H3099="","",ORCAMENTOS!H3099)</f>
        <v>Jesse</v>
      </c>
      <c r="H3091" s="39">
        <f>IF(ORCAMENTOS!I3099="","",ORCAMENTOS!I3099)</f>
        <v>178649.62</v>
      </c>
      <c r="I3091" s="60">
        <f>IF(ORCAMENTOS!J3099="","",ORCAMENTOS!J3099)</f>
        <v>7.0000000000000007E-2</v>
      </c>
      <c r="J3091" s="40" t="str">
        <f>IF(ORCAMENTOS!L3099="","",ORCAMENTOS!L3099)</f>
        <v>ORCAMENTO</v>
      </c>
      <c r="K3091" s="34" t="str">
        <f>IF(ORCAMENTOS!M3099="","",ORCAMENTOS!M3099)</f>
        <v>-</v>
      </c>
      <c r="L3091" t="str">
        <f>IF(ORCAMENTOS!R3099="","",ORCAMENTOS!R3099)</f>
        <v>-</v>
      </c>
    </row>
    <row r="3092" spans="1:12" ht="15.75" hidden="1" customHeight="1" x14ac:dyDescent="0.25">
      <c r="A3092" s="36">
        <f>IF(ORCAMENTOS!A3100="","",ORCAMENTOS!A3100)</f>
        <v>46167</v>
      </c>
      <c r="B3092" s="46">
        <f>IF(ORCAMENTOS!B3100="","",ORCAMENTOS!B3100)</f>
        <v>915</v>
      </c>
      <c r="C3092" s="46" t="str">
        <f>IF(ORCAMENTOS!C3100="","",ORCAMENTOS!C3100)</f>
        <v/>
      </c>
      <c r="D3092" s="37" t="str">
        <f>IF(ORCAMENTOS!D3100="","",ORCAMENTOS!D3100)</f>
        <v>INOVECTOR</v>
      </c>
      <c r="E3092" s="38" t="str">
        <f>IF(ORCAMENTOS!E3100="","",ORCAMENTOS!E3100)</f>
        <v>-</v>
      </c>
      <c r="F3092" s="37" t="str">
        <f>IF(ORCAMENTOS!G3100="","",ORCAMENTOS!G3100)</f>
        <v>Fernando</v>
      </c>
      <c r="G3092" s="37" t="str">
        <f>IF(ORCAMENTOS!H3100="","",ORCAMENTOS!H3100)</f>
        <v>Eliete</v>
      </c>
      <c r="H3092" s="39">
        <f>IF(ORCAMENTOS!I3100="","",ORCAMENTOS!I3100)</f>
        <v>12221.64</v>
      </c>
      <c r="I3092" s="60">
        <f>IF(ORCAMENTOS!J3100="","",ORCAMENTOS!J3100)</f>
        <v>0.04</v>
      </c>
      <c r="J3092" s="40" t="str">
        <f>IF(ORCAMENTOS!L3100="","",ORCAMENTOS!L3100)</f>
        <v>FECHADO</v>
      </c>
      <c r="K3092" s="34" t="str">
        <f>IF(ORCAMENTOS!M3100="","",ORCAMENTOS!M3100)</f>
        <v>-</v>
      </c>
      <c r="L3092" t="str">
        <f>IF(ORCAMENTOS!R3100="","",ORCAMENTOS!R3100)</f>
        <v>-</v>
      </c>
    </row>
    <row r="3093" spans="1:12" ht="15.75" hidden="1" customHeight="1" x14ac:dyDescent="0.25">
      <c r="A3093" s="36">
        <f>IF(ORCAMENTOS!A3101="","",ORCAMENTOS!A3101)</f>
        <v>46167</v>
      </c>
      <c r="B3093" s="46">
        <f>IF(ORCAMENTOS!B3101="","",ORCAMENTOS!B3101)</f>
        <v>916</v>
      </c>
      <c r="C3093" s="46" t="str">
        <f>IF(ORCAMENTOS!C3101="","",ORCAMENTOS!C3101)</f>
        <v/>
      </c>
      <c r="D3093" s="37" t="str">
        <f>IF(ORCAMENTOS!D3101="","",ORCAMENTOS!D3101)</f>
        <v>FRM FABRICA</v>
      </c>
      <c r="E3093" s="38" t="str">
        <f>IF(ORCAMENTOS!E3101="","",ORCAMENTOS!E3101)</f>
        <v>SEINFRA - SECRETARIA DE INFRAESTRUTURA DA BAHIA</v>
      </c>
      <c r="F3093" s="37" t="str">
        <f>IF(ORCAMENTOS!G3101="","",ORCAMENTOS!G3101)</f>
        <v>Gabriel</v>
      </c>
      <c r="G3093" s="37" t="str">
        <f>IF(ORCAMENTOS!H3101="","",ORCAMENTOS!H3101)</f>
        <v>Matheus</v>
      </c>
      <c r="H3093" s="39">
        <f>IF(ORCAMENTOS!I3101="","",ORCAMENTOS!I3101)</f>
        <v>59626.52</v>
      </c>
      <c r="I3093" s="60">
        <f>IF(ORCAMENTOS!J3101="","",ORCAMENTOS!J3101)</f>
        <v>7.0000000000000007E-2</v>
      </c>
      <c r="J3093" s="40" t="str">
        <f>IF(ORCAMENTOS!L3101="","",ORCAMENTOS!L3101)</f>
        <v>ORCAMENTO</v>
      </c>
      <c r="K3093" s="34" t="str">
        <f>IF(ORCAMENTOS!M3101="","",ORCAMENTOS!M3101)</f>
        <v>-</v>
      </c>
      <c r="L3093" t="str">
        <f>IF(ORCAMENTOS!R3101="","",ORCAMENTOS!R3101)</f>
        <v>N/E</v>
      </c>
    </row>
    <row r="3094" spans="1:12" ht="15.75" hidden="1" customHeight="1" x14ac:dyDescent="0.25">
      <c r="A3094" s="36">
        <f>IF(ORCAMENTOS!A3102="","",ORCAMENTOS!A3102)</f>
        <v>46168</v>
      </c>
      <c r="B3094" s="46">
        <f>IF(ORCAMENTOS!B3102="","",ORCAMENTOS!B3102)</f>
        <v>917</v>
      </c>
      <c r="C3094" s="46" t="str">
        <f>IF(ORCAMENTOS!C3102="","",ORCAMENTOS!C3102)</f>
        <v/>
      </c>
      <c r="D3094" s="37" t="str">
        <f>IF(ORCAMENTOS!D3102="","",ORCAMENTOS!D3102)</f>
        <v>UNION RHAC</v>
      </c>
      <c r="E3094" s="38" t="str">
        <f>IF(ORCAMENTOS!E3102="","",ORCAMENTOS!E3102)</f>
        <v>NISSIN PARANA</v>
      </c>
      <c r="F3094" s="37" t="str">
        <f>IF(ORCAMENTOS!G3102="","",ORCAMENTOS!G3102)</f>
        <v>Emanuel</v>
      </c>
      <c r="G3094" s="37" t="str">
        <f>IF(ORCAMENTOS!H3102="","",ORCAMENTOS!H3102)</f>
        <v>Vinicius</v>
      </c>
      <c r="H3094" s="39">
        <f>IF(ORCAMENTOS!I3102="","",ORCAMENTOS!I3102)</f>
        <v>7588.1</v>
      </c>
      <c r="I3094" s="60">
        <f>IF(ORCAMENTOS!J3102="","",ORCAMENTOS!J3102)</f>
        <v>7.0000000000000007E-2</v>
      </c>
      <c r="J3094" s="40" t="str">
        <f>IF(ORCAMENTOS!L3102="","",ORCAMENTOS!L3102)</f>
        <v>FECHADO</v>
      </c>
      <c r="K3094" s="34" t="str">
        <f>IF(ORCAMENTOS!M3102="","",ORCAMENTOS!M3102)</f>
        <v>-</v>
      </c>
      <c r="L3094" t="str">
        <f>IF(ORCAMENTOS!R3102="","",ORCAMENTOS!R3102)</f>
        <v>-</v>
      </c>
    </row>
    <row r="3095" spans="1:12" ht="15.75" hidden="1" customHeight="1" x14ac:dyDescent="0.25">
      <c r="A3095" s="36">
        <f>IF(ORCAMENTOS!A3103="","",ORCAMENTOS!A3103)</f>
        <v>46169</v>
      </c>
      <c r="B3095" s="46">
        <f>IF(ORCAMENTOS!B3103="","",ORCAMENTOS!B3103)</f>
        <v>918</v>
      </c>
      <c r="C3095" s="46" t="str">
        <f>IF(ORCAMENTOS!C3103="","",ORCAMENTOS!C3103)</f>
        <v>R2</v>
      </c>
      <c r="D3095" s="37" t="str">
        <f>IF(ORCAMENTOS!D3103="","",ORCAMENTOS!D3103)</f>
        <v>AR SET</v>
      </c>
      <c r="E3095" s="38" t="str">
        <f>IF(ORCAMENTOS!E3103="","",ORCAMENTOS!E3103)</f>
        <v>-</v>
      </c>
      <c r="F3095" s="37" t="str">
        <f>IF(ORCAMENTOS!G3103="","",ORCAMENTOS!G3103)</f>
        <v>Fernando</v>
      </c>
      <c r="G3095" s="37" t="str">
        <f>IF(ORCAMENTOS!H3103="","",ORCAMENTOS!H3103)</f>
        <v>Danilo</v>
      </c>
      <c r="H3095" s="39">
        <f>IF(ORCAMENTOS!I3103="","",ORCAMENTOS!I3103)</f>
        <v>2789.58</v>
      </c>
      <c r="I3095" s="60">
        <f>IF(ORCAMENTOS!J3103="","",ORCAMENTOS!J3103)</f>
        <v>0.04</v>
      </c>
      <c r="J3095" s="40" t="str">
        <f>IF(ORCAMENTOS!L3103="","",ORCAMENTOS!L3103)</f>
        <v>FECHADO</v>
      </c>
      <c r="K3095" s="34" t="str">
        <f>IF(ORCAMENTOS!M3103="","",ORCAMENTOS!M3103)</f>
        <v/>
      </c>
      <c r="L3095" t="str">
        <f>IF(ORCAMENTOS!R3103="","",ORCAMENTOS!R3103)</f>
        <v>-</v>
      </c>
    </row>
    <row r="3096" spans="1:12" ht="15.75" hidden="1" customHeight="1" x14ac:dyDescent="0.25">
      <c r="A3096" s="36">
        <f>IF(ORCAMENTOS!A3104="","",ORCAMENTOS!A3104)</f>
        <v>46168</v>
      </c>
      <c r="B3096" s="46">
        <f>IF(ORCAMENTOS!B3104="","",ORCAMENTOS!B3104)</f>
        <v>919</v>
      </c>
      <c r="C3096" s="46" t="str">
        <f>IF(ORCAMENTOS!C3104="","",ORCAMENTOS!C3104)</f>
        <v/>
      </c>
      <c r="D3096" s="37" t="str">
        <f>IF(ORCAMENTOS!D3104="","",ORCAMENTOS!D3104)</f>
        <v>ECOPOLI</v>
      </c>
      <c r="E3096" s="38" t="str">
        <f>IF(ORCAMENTOS!E3104="","",ORCAMENTOS!E3104)</f>
        <v>SENAC - CAMPOS DO JORDAO</v>
      </c>
      <c r="F3096" s="37" t="str">
        <f>IF(ORCAMENTOS!G3104="","",ORCAMENTOS!G3104)</f>
        <v>Emanuel</v>
      </c>
      <c r="G3096" s="37" t="str">
        <f>IF(ORCAMENTOS!H3104="","",ORCAMENTOS!H3104)</f>
        <v>Marcos</v>
      </c>
      <c r="H3096" s="39">
        <f>IF(ORCAMENTOS!I3104="","",ORCAMENTOS!I3104)</f>
        <v>89097.61</v>
      </c>
      <c r="I3096" s="60">
        <f>IF(ORCAMENTOS!J3104="","",ORCAMENTOS!J3104)</f>
        <v>7.0000000000000007E-2</v>
      </c>
      <c r="J3096" s="40" t="str">
        <f>IF(ORCAMENTOS!L3104="","",ORCAMENTOS!L3104)</f>
        <v>ORCAMENTO</v>
      </c>
      <c r="K3096" s="34" t="str">
        <f>IF(ORCAMENTOS!M3104="","",ORCAMENTOS!M3104)</f>
        <v>-</v>
      </c>
      <c r="L3096" t="str">
        <f>IF(ORCAMENTOS!R3104="","",ORCAMENTOS!R3104)</f>
        <v/>
      </c>
    </row>
    <row r="3097" spans="1:12" ht="15.75" hidden="1" customHeight="1" x14ac:dyDescent="0.25">
      <c r="A3097" s="36">
        <f>IF(ORCAMENTOS!A3105="","",ORCAMENTOS!A3105)</f>
        <v>46168</v>
      </c>
      <c r="B3097" s="46">
        <f>IF(ORCAMENTOS!B3105="","",ORCAMENTOS!B3105)</f>
        <v>920</v>
      </c>
      <c r="C3097" s="46" t="str">
        <f>IF(ORCAMENTOS!C3105="","",ORCAMENTOS!C3105)</f>
        <v/>
      </c>
      <c r="D3097" s="37" t="str">
        <f>IF(ORCAMENTOS!D3105="","",ORCAMENTOS!D3105)</f>
        <v>AMS INSTALACOES</v>
      </c>
      <c r="E3097" s="38" t="str">
        <f>IF(ORCAMENTOS!E3105="","",ORCAMENTOS!E3105)</f>
        <v>ASSAI - SANTOS - SP</v>
      </c>
      <c r="F3097" s="37" t="str">
        <f>IF(ORCAMENTOS!G3105="","",ORCAMENTOS!G3105)</f>
        <v>Gabriel</v>
      </c>
      <c r="G3097" s="37" t="str">
        <f>IF(ORCAMENTOS!H3105="","",ORCAMENTOS!H3105)</f>
        <v>Albertino</v>
      </c>
      <c r="H3097" s="39">
        <f>IF(ORCAMENTOS!I3105="","",ORCAMENTOS!I3105)</f>
        <v>61128.54</v>
      </c>
      <c r="I3097" s="60">
        <f>IF(ORCAMENTOS!J3105="","",ORCAMENTOS!J3105)</f>
        <v>7.0000000000000007E-2</v>
      </c>
      <c r="J3097" s="40" t="str">
        <f>IF(ORCAMENTOS!L3105="","",ORCAMENTOS!L3105)</f>
        <v>ORCAMENTO</v>
      </c>
      <c r="K3097" s="34" t="str">
        <f>IF(ORCAMENTOS!M3105="","",ORCAMENTOS!M3105)</f>
        <v>-</v>
      </c>
      <c r="L3097" t="str">
        <f>IF(ORCAMENTOS!R3105="","",ORCAMENTOS!R3105)</f>
        <v>MPU</v>
      </c>
    </row>
    <row r="3098" spans="1:12" ht="15.75" hidden="1" customHeight="1" x14ac:dyDescent="0.25">
      <c r="A3098" s="36">
        <f>IF(ORCAMENTOS!A3106="","",ORCAMENTOS!A3106)</f>
        <v>46169</v>
      </c>
      <c r="B3098" s="46">
        <f>IF(ORCAMENTOS!B3106="","",ORCAMENTOS!B3106)</f>
        <v>921</v>
      </c>
      <c r="C3098" s="46" t="str">
        <f>IF(ORCAMENTOS!C3106="","",ORCAMENTOS!C3106)</f>
        <v/>
      </c>
      <c r="D3098" s="37" t="str">
        <f>IF(ORCAMENTOS!D3106="","",ORCAMENTOS!D3106)</f>
        <v>AR SISTEMAS</v>
      </c>
      <c r="E3098" s="38" t="str">
        <f>IF(ORCAMENTOS!E3106="","",ORCAMENTOS!E3106)</f>
        <v>(335) LIEBHERR - GALPAO 2 - VILA BELA - GUARATINGUETA - SP</v>
      </c>
      <c r="F3098" s="37" t="str">
        <f>IF(ORCAMENTOS!G3106="","",ORCAMENTOS!G3106)</f>
        <v>Michel</v>
      </c>
      <c r="G3098" s="37" t="str">
        <f>IF(ORCAMENTOS!H3106="","",ORCAMENTOS!H3106)</f>
        <v>Andre</v>
      </c>
      <c r="H3098" s="39">
        <f>IF(ORCAMENTOS!I3106="","",ORCAMENTOS!I3106)</f>
        <v>32521.07</v>
      </c>
      <c r="I3098" s="60">
        <f>IF(ORCAMENTOS!J3106="","",ORCAMENTOS!J3106)</f>
        <v>0.04</v>
      </c>
      <c r="J3098" s="40" t="str">
        <f>IF(ORCAMENTOS!L3106="","",ORCAMENTOS!L3106)</f>
        <v>ORCAMENTO</v>
      </c>
      <c r="K3098" s="34" t="str">
        <f>IF(ORCAMENTOS!M3106="","",ORCAMENTOS!M3106)</f>
        <v>-</v>
      </c>
      <c r="L3098" t="str">
        <f>IF(ORCAMENTOS!R3106="","",ORCAMENTOS!R3106)</f>
        <v>-</v>
      </c>
    </row>
    <row r="3099" spans="1:12" ht="15.75" hidden="1" customHeight="1" x14ac:dyDescent="0.25">
      <c r="A3099" s="36">
        <f>IF(ORCAMENTOS!A3107="","",ORCAMENTOS!A3107)</f>
        <v>46169</v>
      </c>
      <c r="B3099" s="46">
        <f>IF(ORCAMENTOS!B3107="","",ORCAMENTOS!B3107)</f>
        <v>922</v>
      </c>
      <c r="C3099" s="46" t="str">
        <f>IF(ORCAMENTOS!C3107="","",ORCAMENTOS!C3107)</f>
        <v/>
      </c>
      <c r="D3099" s="37" t="str">
        <f>IF(ORCAMENTOS!D3107="","",ORCAMENTOS!D3107)</f>
        <v>CONTROLE CLIMA</v>
      </c>
      <c r="E3099" s="38" t="str">
        <f>IF(ORCAMENTOS!E3107="","",ORCAMENTOS!E3107)</f>
        <v>SMART FIT - BARRETOS CENTRO - SP</v>
      </c>
      <c r="F3099" s="37" t="str">
        <f>IF(ORCAMENTOS!G3107="","",ORCAMENTOS!G3107)</f>
        <v>Gabriel</v>
      </c>
      <c r="G3099" s="37" t="str">
        <f>IF(ORCAMENTOS!H3107="","",ORCAMENTOS!H3107)</f>
        <v>Samuel</v>
      </c>
      <c r="H3099" s="39">
        <f>IF(ORCAMENTOS!I3107="","",ORCAMENTOS!I3107)</f>
        <v>112827.74</v>
      </c>
      <c r="I3099" s="60">
        <f>IF(ORCAMENTOS!J3107="","",ORCAMENTOS!J3107)</f>
        <v>7.0000000000000007E-2</v>
      </c>
      <c r="J3099" s="40" t="str">
        <f>IF(ORCAMENTOS!L3107="","",ORCAMENTOS!L3107)</f>
        <v>ORCAMENTO</v>
      </c>
      <c r="K3099" s="34" t="str">
        <f>IF(ORCAMENTOS!M3107="","",ORCAMENTOS!M3107)</f>
        <v>-</v>
      </c>
      <c r="L3099" t="str">
        <f>IF(ORCAMENTOS!R3107="","",ORCAMENTOS!R3107)</f>
        <v>MPU</v>
      </c>
    </row>
    <row r="3100" spans="1:12" ht="15.75" hidden="1" customHeight="1" x14ac:dyDescent="0.25">
      <c r="A3100" s="36">
        <f>IF(ORCAMENTOS!A3108="","",ORCAMENTOS!A3108)</f>
        <v>46169</v>
      </c>
      <c r="B3100" s="46">
        <f>IF(ORCAMENTOS!B3108="","",ORCAMENTOS!B3108)</f>
        <v>923</v>
      </c>
      <c r="C3100" s="46" t="str">
        <f>IF(ORCAMENTOS!C3108="","",ORCAMENTOS!C3108)</f>
        <v/>
      </c>
      <c r="D3100" s="37" t="str">
        <f>IF(ORCAMENTOS!D3108="","",ORCAMENTOS!D3108)</f>
        <v>TARKAT REFRIGERACAO</v>
      </c>
      <c r="E3100" s="38" t="str">
        <f>IF(ORCAMENTOS!E3108="","",ORCAMENTOS!E3108)</f>
        <v>-</v>
      </c>
      <c r="F3100" s="37" t="str">
        <f>IF(ORCAMENTOS!G3108="","",ORCAMENTOS!G3108)</f>
        <v>Michel</v>
      </c>
      <c r="G3100" s="37" t="str">
        <f>IF(ORCAMENTOS!H3108="","",ORCAMENTOS!H3108)</f>
        <v>Igor</v>
      </c>
      <c r="H3100" s="39">
        <f>IF(ORCAMENTOS!I3108="","",ORCAMENTOS!I3108)</f>
        <v>10030.33</v>
      </c>
      <c r="I3100" s="60">
        <f>IF(ORCAMENTOS!J3108="","",ORCAMENTOS!J3108)</f>
        <v>0.04</v>
      </c>
      <c r="J3100" s="40" t="str">
        <f>IF(ORCAMENTOS!L3108="","",ORCAMENTOS!L3108)</f>
        <v>FECHADO</v>
      </c>
      <c r="K3100" s="34" t="str">
        <f>IF(ORCAMENTOS!M3108="","",ORCAMENTOS!M3108)</f>
        <v>-</v>
      </c>
      <c r="L3100" t="str">
        <f>IF(ORCAMENTOS!R3108="","",ORCAMENTOS!R3108)</f>
        <v>-</v>
      </c>
    </row>
    <row r="3101" spans="1:12" ht="15.75" hidden="1" customHeight="1" x14ac:dyDescent="0.25">
      <c r="A3101" s="36">
        <f>IF(ORCAMENTOS!A3109="","",ORCAMENTOS!A3109)</f>
        <v>46169</v>
      </c>
      <c r="B3101" s="46">
        <f>IF(ORCAMENTOS!B3109="","",ORCAMENTOS!B3109)</f>
        <v>924</v>
      </c>
      <c r="C3101" s="46" t="str">
        <f>IF(ORCAMENTOS!C3109="","",ORCAMENTOS!C3109)</f>
        <v/>
      </c>
      <c r="D3101" s="37" t="str">
        <f>IF(ORCAMENTOS!D3109="","",ORCAMENTOS!D3109)</f>
        <v>ENGEMAC</v>
      </c>
      <c r="E3101" s="38" t="str">
        <f>IF(ORCAMENTOS!E3109="","",ORCAMENTOS!E3109)</f>
        <v>IMPRESSÃO - AMPARO</v>
      </c>
      <c r="F3101" s="37" t="str">
        <f>IF(ORCAMENTOS!G3109="","",ORCAMENTOS!G3109)</f>
        <v>Fernando</v>
      </c>
      <c r="G3101" s="37" t="str">
        <f>IF(ORCAMENTOS!H3109="","",ORCAMENTOS!H3109)</f>
        <v>Carlos</v>
      </c>
      <c r="H3101" s="39">
        <f>IF(ORCAMENTOS!I3109="","",ORCAMENTOS!I3109)</f>
        <v>7908.95</v>
      </c>
      <c r="I3101" s="60">
        <f>IF(ORCAMENTOS!J3109="","",ORCAMENTOS!J3109)</f>
        <v>0.04</v>
      </c>
      <c r="J3101" s="40" t="str">
        <f>IF(ORCAMENTOS!L3109="","",ORCAMENTOS!L3109)</f>
        <v>ORCAMENTO</v>
      </c>
      <c r="K3101" s="34" t="str">
        <f>IF(ORCAMENTOS!M3109="","",ORCAMENTOS!M3109)</f>
        <v>-</v>
      </c>
      <c r="L3101" t="str">
        <f>IF(ORCAMENTOS!R3109="","",ORCAMENTOS!R3109)</f>
        <v>-</v>
      </c>
    </row>
    <row r="3102" spans="1:12" ht="15.75" hidden="1" customHeight="1" x14ac:dyDescent="0.25">
      <c r="A3102" s="36">
        <f>IF(ORCAMENTOS!A3110="","",ORCAMENTOS!A3110)</f>
        <v>46169</v>
      </c>
      <c r="B3102" s="46">
        <f>IF(ORCAMENTOS!B3110="","",ORCAMENTOS!B3110)</f>
        <v>925</v>
      </c>
      <c r="C3102" s="46" t="str">
        <f>IF(ORCAMENTOS!C3110="","",ORCAMENTOS!C3110)</f>
        <v/>
      </c>
      <c r="D3102" s="37" t="str">
        <f>IF(ORCAMENTOS!D3110="","",ORCAMENTOS!D3110)</f>
        <v>CLIMA SPACE</v>
      </c>
      <c r="E3102" s="38" t="str">
        <f>IF(ORCAMENTOS!E3110="","",ORCAMENTOS!E3110)</f>
        <v>-</v>
      </c>
      <c r="F3102" s="37" t="str">
        <f>IF(ORCAMENTOS!G3110="","",ORCAMENTOS!G3110)</f>
        <v xml:space="preserve">Aldavir </v>
      </c>
      <c r="G3102" s="37" t="str">
        <f>IF(ORCAMENTOS!H3110="","",ORCAMENTOS!H3110)</f>
        <v>Sirley</v>
      </c>
      <c r="H3102" s="39">
        <f>IF(ORCAMENTOS!I3110="","",ORCAMENTOS!I3110)</f>
        <v>7362.38</v>
      </c>
      <c r="I3102" s="60">
        <f>IF(ORCAMENTOS!J3110="","",ORCAMENTOS!J3110)</f>
        <v>7.0000000000000007E-2</v>
      </c>
      <c r="J3102" s="40" t="str">
        <f>IF(ORCAMENTOS!L3110="","",ORCAMENTOS!L3110)</f>
        <v>FECHADO</v>
      </c>
      <c r="K3102" s="34" t="str">
        <f>IF(ORCAMENTOS!M3110="","",ORCAMENTOS!M3110)</f>
        <v>-</v>
      </c>
      <c r="L3102" t="str">
        <f>IF(ORCAMENTOS!R3110="","",ORCAMENTOS!R3110)</f>
        <v>-</v>
      </c>
    </row>
    <row r="3103" spans="1:12" ht="15.75" hidden="1" customHeight="1" x14ac:dyDescent="0.25">
      <c r="A3103" s="36">
        <f>IF(ORCAMENTOS!A3111="","",ORCAMENTOS!A3111)</f>
        <v>46169</v>
      </c>
      <c r="B3103" s="46">
        <f>IF(ORCAMENTOS!B3111="","",ORCAMENTOS!B3111)</f>
        <v>926</v>
      </c>
      <c r="C3103" s="46" t="str">
        <f>IF(ORCAMENTOS!C3111="","",ORCAMENTOS!C3111)</f>
        <v>R1</v>
      </c>
      <c r="D3103" s="37" t="str">
        <f>IF(ORCAMENTOS!D3111="","",ORCAMENTOS!D3111)</f>
        <v>ACSISTEM</v>
      </c>
      <c r="E3103" s="38" t="str">
        <f>IF(ORCAMENTOS!E3111="","",ORCAMENTOS!E3111)</f>
        <v>SMARTFIT - LONDRINA CELSO GARCIA</v>
      </c>
      <c r="F3103" s="37" t="str">
        <f>IF(ORCAMENTOS!G3111="","",ORCAMENTOS!G3111)</f>
        <v>Emanuel</v>
      </c>
      <c r="G3103" s="37" t="str">
        <f>IF(ORCAMENTOS!H3111="","",ORCAMENTOS!H3111)</f>
        <v>Henrique</v>
      </c>
      <c r="H3103" s="39">
        <f>IF(ORCAMENTOS!I3111="","",ORCAMENTOS!I3111)</f>
        <v>39228.019999999997</v>
      </c>
      <c r="I3103" s="60">
        <f>IF(ORCAMENTOS!J3111="","",ORCAMENTOS!J3111)</f>
        <v>0.04</v>
      </c>
      <c r="J3103" s="40" t="str">
        <f>IF(ORCAMENTOS!L3111="","",ORCAMENTOS!L3111)</f>
        <v>FECHADO</v>
      </c>
      <c r="K3103" s="34" t="str">
        <f>IF(ORCAMENTOS!M3111="","",ORCAMENTOS!M3111)</f>
        <v>-</v>
      </c>
      <c r="L3103" t="str">
        <f>IF(ORCAMENTOS!R3111="","",ORCAMENTOS!R3111)</f>
        <v>-</v>
      </c>
    </row>
    <row r="3104" spans="1:12" ht="15.75" hidden="1" customHeight="1" x14ac:dyDescent="0.25">
      <c r="A3104" s="36">
        <f>IF(ORCAMENTOS!A3112="","",ORCAMENTOS!A3112)</f>
        <v>46169</v>
      </c>
      <c r="B3104" s="46">
        <f>IF(ORCAMENTOS!B3112="","",ORCAMENTOS!B3112)</f>
        <v>927</v>
      </c>
      <c r="C3104" s="46" t="str">
        <f>IF(ORCAMENTOS!C3112="","",ORCAMENTOS!C3112)</f>
        <v/>
      </c>
      <c r="D3104" s="37" t="str">
        <f>IF(ORCAMENTOS!D3112="","",ORCAMENTOS!D3112)</f>
        <v>PRINSTARC</v>
      </c>
      <c r="E3104" s="38" t="str">
        <f>IF(ORCAMENTOS!E3112="","",ORCAMENTOS!E3112)</f>
        <v>SEW</v>
      </c>
      <c r="F3104" s="37" t="str">
        <f>IF(ORCAMENTOS!G3112="","",ORCAMENTOS!G3112)</f>
        <v>Gabriel</v>
      </c>
      <c r="G3104" s="37" t="str">
        <f>IF(ORCAMENTOS!H3112="","",ORCAMENTOS!H3112)</f>
        <v>Glauco</v>
      </c>
      <c r="H3104" s="39">
        <f>IF(ORCAMENTOS!I3112="","",ORCAMENTOS!I3112)</f>
        <v>8332.91</v>
      </c>
      <c r="I3104" s="60">
        <f>IF(ORCAMENTOS!J3112="","",ORCAMENTOS!J3112)</f>
        <v>7.0000000000000007E-2</v>
      </c>
      <c r="J3104" s="40" t="str">
        <f>IF(ORCAMENTOS!L3112="","",ORCAMENTOS!L3112)</f>
        <v>ORCAMENTO</v>
      </c>
      <c r="K3104" s="34" t="str">
        <f>IF(ORCAMENTOS!M3112="","",ORCAMENTOS!M3112)</f>
        <v>-</v>
      </c>
      <c r="L3104" t="str">
        <f>IF(ORCAMENTOS!R3112="","",ORCAMENTOS!R3112)</f>
        <v>-</v>
      </c>
    </row>
    <row r="3105" spans="1:12" ht="15.75" hidden="1" customHeight="1" x14ac:dyDescent="0.25">
      <c r="A3105" s="36">
        <f>IF(ORCAMENTOS!A3113="","",ORCAMENTOS!A3113)</f>
        <v>46169</v>
      </c>
      <c r="B3105" s="46">
        <f>IF(ORCAMENTOS!B3113="","",ORCAMENTOS!B3113)</f>
        <v>928</v>
      </c>
      <c r="C3105" s="46" t="str">
        <f>IF(ORCAMENTOS!C3113="","",ORCAMENTOS!C3113)</f>
        <v/>
      </c>
      <c r="D3105" s="37" t="str">
        <f>IF(ORCAMENTOS!D3113="","",ORCAMENTOS!D3113)</f>
        <v>NEWSET</v>
      </c>
      <c r="E3105" s="38" t="str">
        <f>IF(ORCAMENTOS!E3113="","",ORCAMENTOS!E3113)</f>
        <v>NISSIN FOODS DO BRASIL LTDA</v>
      </c>
      <c r="F3105" s="37" t="str">
        <f>IF(ORCAMENTOS!G3113="","",ORCAMENTOS!G3113)</f>
        <v xml:space="preserve">Aldavir </v>
      </c>
      <c r="G3105" s="37" t="str">
        <f>IF(ORCAMENTOS!H3113="","",ORCAMENTOS!H3113)</f>
        <v>Andressa</v>
      </c>
      <c r="H3105" s="39">
        <f>IF(ORCAMENTOS!I3113="","",ORCAMENTOS!I3113)</f>
        <v>38472.54</v>
      </c>
      <c r="I3105" s="60">
        <f>IF(ORCAMENTOS!J3113="","",ORCAMENTOS!J3113)</f>
        <v>7.0000000000000007E-2</v>
      </c>
      <c r="J3105" s="40" t="str">
        <f>IF(ORCAMENTOS!L3113="","",ORCAMENTOS!L3113)</f>
        <v>COMPRA</v>
      </c>
      <c r="K3105" s="34" t="str">
        <f>IF(ORCAMENTOS!M3113="","",ORCAMENTOS!M3113)</f>
        <v>-</v>
      </c>
      <c r="L3105" t="str">
        <f>IF(ORCAMENTOS!R3113="","",ORCAMENTOS!R3113)</f>
        <v>-</v>
      </c>
    </row>
    <row r="3106" spans="1:12" ht="15.75" hidden="1" customHeight="1" x14ac:dyDescent="0.25">
      <c r="A3106" s="36">
        <f>IF(ORCAMENTOS!A3114="","",ORCAMENTOS!A3114)</f>
        <v>46169</v>
      </c>
      <c r="B3106" s="46">
        <f>IF(ORCAMENTOS!B3114="","",ORCAMENTOS!B3114)</f>
        <v>929</v>
      </c>
      <c r="C3106" s="46" t="str">
        <f>IF(ORCAMENTOS!C3114="","",ORCAMENTOS!C3114)</f>
        <v/>
      </c>
      <c r="D3106" s="37" t="str">
        <f>IF(ORCAMENTOS!D3114="","",ORCAMENTOS!D3114)</f>
        <v>AWA AR CONDICIONADO</v>
      </c>
      <c r="E3106" s="38" t="str">
        <f>IF(ORCAMENTOS!E3114="","",ORCAMENTOS!E3114)</f>
        <v>OBRAMAX - CAMPO GRANDE - RJ</v>
      </c>
      <c r="F3106" s="37" t="str">
        <f>IF(ORCAMENTOS!G3114="","",ORCAMENTOS!G3114)</f>
        <v>Gabriel</v>
      </c>
      <c r="G3106" s="37" t="str">
        <f>IF(ORCAMENTOS!H3114="","",ORCAMENTOS!H3114)</f>
        <v>Gustavo</v>
      </c>
      <c r="H3106" s="39">
        <f>IF(ORCAMENTOS!I3114="","",ORCAMENTOS!I3114)</f>
        <v>148800.35999999999</v>
      </c>
      <c r="I3106" s="60">
        <f>IF(ORCAMENTOS!J3114="","",ORCAMENTOS!J3114)</f>
        <v>0.05</v>
      </c>
      <c r="J3106" s="40" t="str">
        <f>IF(ORCAMENTOS!L3114="","",ORCAMENTOS!L3114)</f>
        <v>ORCAMENTO</v>
      </c>
      <c r="K3106" s="34" t="str">
        <f>IF(ORCAMENTOS!M3114="","",ORCAMENTOS!M3114)</f>
        <v>-</v>
      </c>
      <c r="L3106" t="str">
        <f>IF(ORCAMENTOS!R3114="","",ORCAMENTOS!R3114)</f>
        <v>N/E</v>
      </c>
    </row>
    <row r="3107" spans="1:12" ht="15.75" hidden="1" customHeight="1" x14ac:dyDescent="0.25">
      <c r="A3107" s="36">
        <f>IF(ORCAMENTOS!A3115="","",ORCAMENTOS!A3115)</f>
        <v>46169</v>
      </c>
      <c r="B3107" s="46">
        <f>IF(ORCAMENTOS!B3115="","",ORCAMENTOS!B3115)</f>
        <v>930</v>
      </c>
      <c r="C3107" s="46" t="str">
        <f>IF(ORCAMENTOS!C3115="","",ORCAMENTOS!C3115)</f>
        <v/>
      </c>
      <c r="D3107" s="37" t="str">
        <f>IF(ORCAMENTOS!D3115="","",ORCAMENTOS!D3115)</f>
        <v>RICH ENGENHARIA</v>
      </c>
      <c r="E3107" s="38" t="str">
        <f>IF(ORCAMENTOS!E3115="","",ORCAMENTOS!E3115)</f>
        <v>CLUBE TERMAS DE ITU - ACADEMIA TERRAS 2 - COBERTURA</v>
      </c>
      <c r="F3107" s="37" t="str">
        <f>IF(ORCAMENTOS!G3115="","",ORCAMENTOS!G3115)</f>
        <v>Guilherme</v>
      </c>
      <c r="G3107" s="37" t="str">
        <f>IF(ORCAMENTOS!H3115="","",ORCAMENTOS!H3115)</f>
        <v>Ricardo</v>
      </c>
      <c r="H3107" s="39">
        <f>IF(ORCAMENTOS!I3115="","",ORCAMENTOS!I3115)</f>
        <v>3440.45</v>
      </c>
      <c r="I3107" s="60">
        <f>IF(ORCAMENTOS!J3115="","",ORCAMENTOS!J3115)</f>
        <v>7.0000000000000007E-2</v>
      </c>
      <c r="J3107" s="40" t="str">
        <f>IF(ORCAMENTOS!L3115="","",ORCAMENTOS!L3115)</f>
        <v>ORCAMENTO</v>
      </c>
      <c r="K3107" s="34" t="str">
        <f>IF(ORCAMENTOS!M3115="","",ORCAMENTOS!M3115)</f>
        <v>-</v>
      </c>
      <c r="L3107" t="str">
        <f>IF(ORCAMENTOS!R3115="","",ORCAMENTOS!R3115)</f>
        <v>-</v>
      </c>
    </row>
    <row r="3108" spans="1:12" ht="15.75" hidden="1" customHeight="1" x14ac:dyDescent="0.25">
      <c r="A3108" s="36">
        <f>IF(ORCAMENTOS!A3116="","",ORCAMENTOS!A3116)</f>
        <v>46169</v>
      </c>
      <c r="B3108" s="46">
        <f>IF(ORCAMENTOS!B3116="","",ORCAMENTOS!B3116)</f>
        <v>931</v>
      </c>
      <c r="C3108" s="46" t="str">
        <f>IF(ORCAMENTOS!C3116="","",ORCAMENTOS!C3116)</f>
        <v/>
      </c>
      <c r="D3108" s="37" t="str">
        <f>IF(ORCAMENTOS!D3116="","",ORCAMENTOS!D3116)</f>
        <v>RICH ENGENHARIA</v>
      </c>
      <c r="E3108" s="38" t="str">
        <f>IF(ORCAMENTOS!E3116="","",ORCAMENTOS!E3116)</f>
        <v>CLUBE TERMAS DE ITU - ACADEMIA TERRAS 2 - TERREO</v>
      </c>
      <c r="F3108" s="37" t="str">
        <f>IF(ORCAMENTOS!G3116="","",ORCAMENTOS!G3116)</f>
        <v>Guilherme</v>
      </c>
      <c r="G3108" s="37" t="str">
        <f>IF(ORCAMENTOS!H3116="","",ORCAMENTOS!H3116)</f>
        <v>Ricardo</v>
      </c>
      <c r="H3108" s="39">
        <f>IF(ORCAMENTOS!I3116="","",ORCAMENTOS!I3116)</f>
        <v>6198.52</v>
      </c>
      <c r="I3108" s="60">
        <f>IF(ORCAMENTOS!J3116="","",ORCAMENTOS!J3116)</f>
        <v>7.0000000000000007E-2</v>
      </c>
      <c r="J3108" s="40" t="str">
        <f>IF(ORCAMENTOS!L3116="","",ORCAMENTOS!L3116)</f>
        <v>ORCAMENTO</v>
      </c>
      <c r="K3108" s="34" t="str">
        <f>IF(ORCAMENTOS!M3116="","",ORCAMENTOS!M3116)</f>
        <v>-</v>
      </c>
      <c r="L3108" t="str">
        <f>IF(ORCAMENTOS!R3116="","",ORCAMENTOS!R3116)</f>
        <v>-</v>
      </c>
    </row>
    <row r="3109" spans="1:12" ht="15.75" hidden="1" customHeight="1" x14ac:dyDescent="0.25">
      <c r="A3109" s="36">
        <f>IF(ORCAMENTOS!A3117="","",ORCAMENTOS!A3117)</f>
        <v>46169</v>
      </c>
      <c r="B3109" s="46">
        <f>IF(ORCAMENTOS!B3117="","",ORCAMENTOS!B3117)</f>
        <v>932</v>
      </c>
      <c r="C3109" s="46" t="str">
        <f>IF(ORCAMENTOS!C3117="","",ORCAMENTOS!C3117)</f>
        <v/>
      </c>
      <c r="D3109" s="37" t="str">
        <f>IF(ORCAMENTOS!D3117="","",ORCAMENTOS!D3117)</f>
        <v>RICH ENGENHARIA</v>
      </c>
      <c r="E3109" s="38" t="str">
        <f>IF(ORCAMENTOS!E3117="","",ORCAMENTOS!E3117)</f>
        <v>CLUBE TERMAS DE ITU - ACADEMIA TERRAS 2 - SUBSOLO</v>
      </c>
      <c r="F3109" s="37" t="str">
        <f>IF(ORCAMENTOS!G3117="","",ORCAMENTOS!G3117)</f>
        <v>Guilherme</v>
      </c>
      <c r="G3109" s="37" t="str">
        <f>IF(ORCAMENTOS!H3117="","",ORCAMENTOS!H3117)</f>
        <v>Ricardo</v>
      </c>
      <c r="H3109" s="39">
        <f>IF(ORCAMENTOS!I3117="","",ORCAMENTOS!I3117)</f>
        <v>3618.37</v>
      </c>
      <c r="I3109" s="60">
        <f>IF(ORCAMENTOS!J3117="","",ORCAMENTOS!J3117)</f>
        <v>7.0000000000000007E-2</v>
      </c>
      <c r="J3109" s="40" t="str">
        <f>IF(ORCAMENTOS!L3117="","",ORCAMENTOS!L3117)</f>
        <v>ORCAMENTO</v>
      </c>
      <c r="K3109" s="34" t="str">
        <f>IF(ORCAMENTOS!M3117="","",ORCAMENTOS!M3117)</f>
        <v>-</v>
      </c>
      <c r="L3109" t="str">
        <f>IF(ORCAMENTOS!R3117="","",ORCAMENTOS!R3117)</f>
        <v>-</v>
      </c>
    </row>
    <row r="3110" spans="1:12" ht="15.75" hidden="1" customHeight="1" x14ac:dyDescent="0.25">
      <c r="A3110" s="36">
        <f>IF(ORCAMENTOS!A3118="","",ORCAMENTOS!A3118)</f>
        <v>46169</v>
      </c>
      <c r="B3110" s="46">
        <f>IF(ORCAMENTOS!B3118="","",ORCAMENTOS!B3118)</f>
        <v>933</v>
      </c>
      <c r="C3110" s="46" t="str">
        <f>IF(ORCAMENTOS!C3118="","",ORCAMENTOS!C3118)</f>
        <v/>
      </c>
      <c r="D3110" s="37" t="str">
        <f>IF(ORCAMENTOS!D3118="","",ORCAMENTOS!D3118)</f>
        <v>DIAGRAMA</v>
      </c>
      <c r="E3110" s="38" t="str">
        <f>IF(ORCAMENTOS!E3118="","",ORCAMENTOS!E3118)</f>
        <v>7539 - RJ</v>
      </c>
      <c r="F3110" s="37" t="str">
        <f>IF(ORCAMENTOS!G3118="","",ORCAMENTOS!G3118)</f>
        <v>Guilherme</v>
      </c>
      <c r="G3110" s="37" t="str">
        <f>IF(ORCAMENTOS!H3118="","",ORCAMENTOS!H3118)</f>
        <v>Thaina</v>
      </c>
      <c r="H3110" s="39">
        <f>IF(ORCAMENTOS!I3118="","",ORCAMENTOS!I3118)</f>
        <v>110306.21</v>
      </c>
      <c r="I3110" s="60">
        <f>IF(ORCAMENTOS!J3118="","",ORCAMENTOS!J3118)</f>
        <v>7.0000000000000007E-2</v>
      </c>
      <c r="J3110" s="40" t="str">
        <f>IF(ORCAMENTOS!L3118="","",ORCAMENTOS!L3118)</f>
        <v>ORCAMENTO</v>
      </c>
      <c r="K3110" s="34" t="str">
        <f>IF(ORCAMENTOS!M3118="","",ORCAMENTOS!M3118)</f>
        <v>-</v>
      </c>
      <c r="L3110" t="str">
        <f>IF(ORCAMENTOS!R3118="","",ORCAMENTOS!R3118)</f>
        <v>-</v>
      </c>
    </row>
    <row r="3111" spans="1:12" ht="15.75" hidden="1" customHeight="1" x14ac:dyDescent="0.25">
      <c r="A3111" s="36">
        <f>IF(ORCAMENTOS!A3119="","",ORCAMENTOS!A3119)</f>
        <v>46169</v>
      </c>
      <c r="B3111" s="46">
        <f>IF(ORCAMENTOS!B3119="","",ORCAMENTOS!B3119)</f>
        <v>934</v>
      </c>
      <c r="C3111" s="46" t="str">
        <f>IF(ORCAMENTOS!C3119="","",ORCAMENTOS!C3119)</f>
        <v/>
      </c>
      <c r="D3111" s="37" t="str">
        <f>IF(ORCAMENTOS!D3119="","",ORCAMENTOS!D3119)</f>
        <v>AIR COOLER</v>
      </c>
      <c r="E3111" s="38" t="str">
        <f>IF(ORCAMENTOS!E3119="","",ORCAMENTOS!E3119)</f>
        <v>BRADESCO - JARDIM PAULISTA - SP</v>
      </c>
      <c r="F3111" s="37" t="str">
        <f>IF(ORCAMENTOS!G3119="","",ORCAMENTOS!G3119)</f>
        <v>Emanuel</v>
      </c>
      <c r="G3111" s="37" t="str">
        <f>IF(ORCAMENTOS!H3119="","",ORCAMENTOS!H3119)</f>
        <v>Sidnei</v>
      </c>
      <c r="H3111" s="39">
        <f>IF(ORCAMENTOS!I3119="","",ORCAMENTOS!I3119)</f>
        <v>35668.019999999997</v>
      </c>
      <c r="I3111" s="60">
        <f>IF(ORCAMENTOS!J3119="","",ORCAMENTOS!J3119)</f>
        <v>7.0000000000000007E-2</v>
      </c>
      <c r="J3111" s="40" t="str">
        <f>IF(ORCAMENTOS!L3119="","",ORCAMENTOS!L3119)</f>
        <v>ORCAMENTO</v>
      </c>
      <c r="K3111" s="34" t="str">
        <f>IF(ORCAMENTOS!M3119="","",ORCAMENTOS!M3119)</f>
        <v>-</v>
      </c>
      <c r="L3111" t="str">
        <f>IF(ORCAMENTOS!R3119="","",ORCAMENTOS!R3119)</f>
        <v>MPU</v>
      </c>
    </row>
    <row r="3112" spans="1:12" ht="15.75" hidden="1" customHeight="1" x14ac:dyDescent="0.25">
      <c r="A3112" s="36">
        <f>IF(ORCAMENTOS!A3120="","",ORCAMENTOS!A3120)</f>
        <v>46169</v>
      </c>
      <c r="B3112" s="46">
        <f>IF(ORCAMENTOS!B3120="","",ORCAMENTOS!B3120)</f>
        <v>935</v>
      </c>
      <c r="C3112" s="46" t="str">
        <f>IF(ORCAMENTOS!C3120="","",ORCAMENTOS!C3120)</f>
        <v/>
      </c>
      <c r="D3112" s="37" t="str">
        <f>IF(ORCAMENTOS!D3120="","",ORCAMENTOS!D3120)</f>
        <v>HEATING COOLING</v>
      </c>
      <c r="E3112" s="38">
        <f>IF(ORCAMENTOS!E3120="","",ORCAMENTOS!E3120)</f>
        <v>65930</v>
      </c>
      <c r="F3112" s="37" t="str">
        <f>IF(ORCAMENTOS!G3120="","",ORCAMENTOS!G3120)</f>
        <v>Gabriel</v>
      </c>
      <c r="G3112" s="37" t="str">
        <f>IF(ORCAMENTOS!H3120="","",ORCAMENTOS!H3120)</f>
        <v>Vanessa</v>
      </c>
      <c r="H3112" s="39">
        <f>IF(ORCAMENTOS!I3120="","",ORCAMENTOS!I3120)</f>
        <v>43462.35</v>
      </c>
      <c r="I3112" s="60">
        <f>IF(ORCAMENTOS!J3120="","",ORCAMENTOS!J3120)</f>
        <v>7.0000000000000007E-2</v>
      </c>
      <c r="J3112" s="40" t="str">
        <f>IF(ORCAMENTOS!L3120="","",ORCAMENTOS!L3120)</f>
        <v>ORCAMENTO</v>
      </c>
      <c r="K3112" s="34" t="str">
        <f>IF(ORCAMENTOS!M3120="","",ORCAMENTOS!M3120)</f>
        <v>-</v>
      </c>
      <c r="L3112" t="str">
        <f>IF(ORCAMENTOS!R3120="","",ORCAMENTOS!R3120)</f>
        <v>-</v>
      </c>
    </row>
    <row r="3113" spans="1:12" ht="15.75" hidden="1" customHeight="1" x14ac:dyDescent="0.25">
      <c r="A3113" s="36">
        <f>IF(ORCAMENTOS!A3121="","",ORCAMENTOS!A3121)</f>
        <v>46169</v>
      </c>
      <c r="B3113" s="46">
        <f>IF(ORCAMENTOS!B3121="","",ORCAMENTOS!B3121)</f>
        <v>936</v>
      </c>
      <c r="C3113" s="46" t="str">
        <f>IF(ORCAMENTOS!C3121="","",ORCAMENTOS!C3121)</f>
        <v/>
      </c>
      <c r="D3113" s="37" t="str">
        <f>IF(ORCAMENTOS!D3121="","",ORCAMENTOS!D3121)</f>
        <v>AIR GREEN</v>
      </c>
      <c r="E3113" s="38" t="str">
        <f>IF(ORCAMENTOS!E3121="","",ORCAMENTOS!E3121)</f>
        <v>-</v>
      </c>
      <c r="F3113" s="37" t="str">
        <f>IF(ORCAMENTOS!G3121="","",ORCAMENTOS!G3121)</f>
        <v>Fernando</v>
      </c>
      <c r="G3113" s="37" t="str">
        <f>IF(ORCAMENTOS!H3121="","",ORCAMENTOS!H3121)</f>
        <v>Renata</v>
      </c>
      <c r="H3113" s="39">
        <f>IF(ORCAMENTOS!I3121="","",ORCAMENTOS!I3121)</f>
        <v>2424.04</v>
      </c>
      <c r="I3113" s="60">
        <f>IF(ORCAMENTOS!J3121="","",ORCAMENTOS!J3121)</f>
        <v>7.0000000000000007E-2</v>
      </c>
      <c r="J3113" s="40" t="str">
        <f>IF(ORCAMENTOS!L3121="","",ORCAMENTOS!L3121)</f>
        <v>FECHADO</v>
      </c>
      <c r="K3113" s="34" t="str">
        <f>IF(ORCAMENTOS!M3121="","",ORCAMENTOS!M3121)</f>
        <v>-</v>
      </c>
      <c r="L3113" t="str">
        <f>IF(ORCAMENTOS!R3121="","",ORCAMENTOS!R3121)</f>
        <v>-</v>
      </c>
    </row>
    <row r="3114" spans="1:12" ht="15.75" hidden="1" customHeight="1" x14ac:dyDescent="0.25">
      <c r="A3114" s="36">
        <f>IF(ORCAMENTOS!A3122="","",ORCAMENTOS!A3122)</f>
        <v>46166</v>
      </c>
      <c r="B3114" s="46">
        <f>IF(ORCAMENTOS!B3122="","",ORCAMENTOS!B3122)</f>
        <v>937</v>
      </c>
      <c r="C3114" s="46" t="str">
        <f>IF(ORCAMENTOS!C3122="","",ORCAMENTOS!C3122)</f>
        <v/>
      </c>
      <c r="D3114" s="37" t="str">
        <f>IF(ORCAMENTOS!D3122="","",ORCAMENTOS!D3122)</f>
        <v>DIAGRAMA</v>
      </c>
      <c r="E3114" s="38" t="str">
        <f>IF(ORCAMENTOS!E3122="","",ORCAMENTOS!E3122)</f>
        <v>AEROPORTO</v>
      </c>
      <c r="F3114" s="37" t="str">
        <f>IF(ORCAMENTOS!G3122="","",ORCAMENTOS!G3122)</f>
        <v>Guilherme</v>
      </c>
      <c r="G3114" s="37" t="str">
        <f>IF(ORCAMENTOS!H3122="","",ORCAMENTOS!H3122)</f>
        <v>Silvia</v>
      </c>
      <c r="H3114" s="39">
        <f>IF(ORCAMENTOS!I3122="","",ORCAMENTOS!I3122)</f>
        <v>25089.45</v>
      </c>
      <c r="I3114" s="60">
        <f>IF(ORCAMENTOS!J3122="","",ORCAMENTOS!J3122)</f>
        <v>0.04</v>
      </c>
      <c r="J3114" s="40" t="str">
        <f>IF(ORCAMENTOS!L3122="","",ORCAMENTOS!L3122)</f>
        <v>FECHADO</v>
      </c>
      <c r="K3114" s="34" t="str">
        <f>IF(ORCAMENTOS!M3122="","",ORCAMENTOS!M3122)</f>
        <v>-</v>
      </c>
      <c r="L3114" t="str">
        <f>IF(ORCAMENTOS!R3122="","",ORCAMENTOS!R3122)</f>
        <v>-</v>
      </c>
    </row>
    <row r="3115" spans="1:12" ht="15.75" hidden="1" customHeight="1" x14ac:dyDescent="0.25">
      <c r="A3115" s="36">
        <f>IF(ORCAMENTOS!A3123="","",ORCAMENTOS!A3123)</f>
        <v>46175</v>
      </c>
      <c r="B3115" s="46">
        <f>IF(ORCAMENTOS!B3123="","",ORCAMENTOS!B3123)</f>
        <v>938</v>
      </c>
      <c r="C3115" s="46" t="str">
        <f>IF(ORCAMENTOS!C3123="","",ORCAMENTOS!C3123)</f>
        <v>R1</v>
      </c>
      <c r="D3115" s="37" t="str">
        <f>IF(ORCAMENTOS!D3123="","",ORCAMENTOS!D3123)</f>
        <v>INOVECTOR</v>
      </c>
      <c r="E3115" s="38" t="str">
        <f>IF(ORCAMENTOS!E3123="","",ORCAMENTOS!E3123)</f>
        <v>OSASCO UTI</v>
      </c>
      <c r="F3115" s="37" t="str">
        <f>IF(ORCAMENTOS!G3123="","",ORCAMENTOS!G3123)</f>
        <v>Fernando</v>
      </c>
      <c r="G3115" s="37" t="str">
        <f>IF(ORCAMENTOS!H3123="","",ORCAMENTOS!H3123)</f>
        <v>Eliete</v>
      </c>
      <c r="H3115" s="39">
        <f>IF(ORCAMENTOS!I3123="","",ORCAMENTOS!I3123)</f>
        <v>26249.13</v>
      </c>
      <c r="I3115" s="60">
        <f>IF(ORCAMENTOS!J3123="","",ORCAMENTOS!J3123)</f>
        <v>0.04</v>
      </c>
      <c r="J3115" s="40" t="str">
        <f>IF(ORCAMENTOS!L3123="","",ORCAMENTOS!L3123)</f>
        <v>COMPRA</v>
      </c>
      <c r="K3115" s="34" t="str">
        <f>IF(ORCAMENTOS!M3123="","",ORCAMENTOS!M3123)</f>
        <v>-</v>
      </c>
      <c r="L3115" t="str">
        <f>IF(ORCAMENTOS!R3123="","",ORCAMENTOS!R3123)</f>
        <v>-</v>
      </c>
    </row>
    <row r="3116" spans="1:12" ht="15.75" hidden="1" customHeight="1" x14ac:dyDescent="0.25">
      <c r="A3116" s="36">
        <f>IF(ORCAMENTOS!A3124="","",ORCAMENTOS!A3124)</f>
        <v>46170</v>
      </c>
      <c r="B3116" s="46">
        <f>IF(ORCAMENTOS!B3124="","",ORCAMENTOS!B3124)</f>
        <v>939</v>
      </c>
      <c r="C3116" s="46" t="str">
        <f>IF(ORCAMENTOS!C3124="","",ORCAMENTOS!C3124)</f>
        <v/>
      </c>
      <c r="D3116" s="37" t="str">
        <f>IF(ORCAMENTOS!D3124="","",ORCAMENTOS!D3124)</f>
        <v>AIRPLAN</v>
      </c>
      <c r="E3116" s="38" t="str">
        <f>IF(ORCAMENTOS!E3124="","",ORCAMENTOS!E3124)</f>
        <v>RIACHUELO - CONTINENTAL SHOP - SÃO PAULO - SP</v>
      </c>
      <c r="F3116" s="37" t="str">
        <f>IF(ORCAMENTOS!G3124="","",ORCAMENTOS!G3124)</f>
        <v>Guilherme</v>
      </c>
      <c r="G3116" s="37" t="str">
        <f>IF(ORCAMENTOS!H3124="","",ORCAMENTOS!H3124)</f>
        <v>Gabriel</v>
      </c>
      <c r="H3116" s="39">
        <f>IF(ORCAMENTOS!I3124="","",ORCAMENTOS!I3124)</f>
        <v>76228.22</v>
      </c>
      <c r="I3116" s="60">
        <f>IF(ORCAMENTOS!J3124="","",ORCAMENTOS!J3124)</f>
        <v>7.0000000000000007E-2</v>
      </c>
      <c r="J3116" s="40" t="str">
        <f>IF(ORCAMENTOS!L3124="","",ORCAMENTOS!L3124)</f>
        <v>ORCAMENTO</v>
      </c>
      <c r="K3116" s="34" t="str">
        <f>IF(ORCAMENTOS!M3124="","",ORCAMENTOS!M3124)</f>
        <v>-</v>
      </c>
      <c r="L3116" t="str">
        <f>IF(ORCAMENTOS!R3124="","",ORCAMENTOS!R3124)</f>
        <v>MPU</v>
      </c>
    </row>
    <row r="3117" spans="1:12" ht="15.75" hidden="1" customHeight="1" x14ac:dyDescent="0.25">
      <c r="A3117" s="36">
        <f>IF(ORCAMENTOS!A3125="","",ORCAMENTOS!A3125)</f>
        <v>46175</v>
      </c>
      <c r="B3117" s="46">
        <f>IF(ORCAMENTOS!B3125="","",ORCAMENTOS!B3125)</f>
        <v>940</v>
      </c>
      <c r="C3117" s="46" t="str">
        <f>IF(ORCAMENTOS!C3125="","",ORCAMENTOS!C3125)</f>
        <v>R1</v>
      </c>
      <c r="D3117" s="37" t="str">
        <f>IF(ORCAMENTOS!D3125="","",ORCAMENTOS!D3125)</f>
        <v>2XR ENGENHARIA</v>
      </c>
      <c r="E3117" s="38" t="str">
        <f>IF(ORCAMENTOS!E3125="","",ORCAMENTOS!E3125)</f>
        <v>-</v>
      </c>
      <c r="F3117" s="37" t="str">
        <f>IF(ORCAMENTOS!G3125="","",ORCAMENTOS!G3125)</f>
        <v>Gabriel</v>
      </c>
      <c r="G3117" s="37" t="str">
        <f>IF(ORCAMENTOS!H3125="","",ORCAMENTOS!H3125)</f>
        <v>Barbara</v>
      </c>
      <c r="H3117" s="39">
        <f>IF(ORCAMENTOS!I3125="","",ORCAMENTOS!I3125)</f>
        <v>2059.6999999999998</v>
      </c>
      <c r="I3117" s="60">
        <f>IF(ORCAMENTOS!J3125="","",ORCAMENTOS!J3125)</f>
        <v>7.0000000000000007E-2</v>
      </c>
      <c r="J3117" s="40" t="str">
        <f>IF(ORCAMENTOS!L3125="","",ORCAMENTOS!L3125)</f>
        <v>FECHADO</v>
      </c>
      <c r="K3117" s="34" t="str">
        <f>IF(ORCAMENTOS!M3125="","",ORCAMENTOS!M3125)</f>
        <v>-</v>
      </c>
      <c r="L3117" t="str">
        <f>IF(ORCAMENTOS!R3125="","",ORCAMENTOS!R3125)</f>
        <v>-</v>
      </c>
    </row>
    <row r="3118" spans="1:12" ht="15.75" hidden="1" customHeight="1" x14ac:dyDescent="0.25">
      <c r="A3118" s="36">
        <f>IF(ORCAMENTOS!A3126="","",ORCAMENTOS!A3126)</f>
        <v>46170</v>
      </c>
      <c r="B3118" s="46">
        <f>IF(ORCAMENTOS!B3126="","",ORCAMENTOS!B3126)</f>
        <v>941</v>
      </c>
      <c r="C3118" s="46" t="str">
        <f>IF(ORCAMENTOS!C3126="","",ORCAMENTOS!C3126)</f>
        <v/>
      </c>
      <c r="D3118" s="37" t="str">
        <f>IF(ORCAMENTOS!D3126="","",ORCAMENTOS!D3126)</f>
        <v>RICH ENGENHARIA</v>
      </c>
      <c r="E3118" s="38" t="str">
        <f>IF(ORCAMENTOS!E3126="","",ORCAMENTOS!E3126)</f>
        <v>UPA III - ITAQUERA - SP</v>
      </c>
      <c r="F3118" s="37" t="str">
        <f>IF(ORCAMENTOS!G3126="","",ORCAMENTOS!G3126)</f>
        <v>Guilherme</v>
      </c>
      <c r="G3118" s="37" t="str">
        <f>IF(ORCAMENTOS!H3126="","",ORCAMENTOS!H3126)</f>
        <v>Ricardo</v>
      </c>
      <c r="H3118" s="39">
        <f>IF(ORCAMENTOS!I3126="","",ORCAMENTOS!I3126)</f>
        <v>95757.77</v>
      </c>
      <c r="I3118" s="60">
        <f>IF(ORCAMENTOS!J3126="","",ORCAMENTOS!J3126)</f>
        <v>7.0000000000000007E-2</v>
      </c>
      <c r="J3118" s="40" t="str">
        <f>IF(ORCAMENTOS!L3126="","",ORCAMENTOS!L3126)</f>
        <v>ORCAMENTO</v>
      </c>
      <c r="K3118" s="34" t="str">
        <f>IF(ORCAMENTOS!M3126="","",ORCAMENTOS!M3126)</f>
        <v>-</v>
      </c>
      <c r="L3118" t="str">
        <f>IF(ORCAMENTOS!R3126="","",ORCAMENTOS!R3126)</f>
        <v>-</v>
      </c>
    </row>
    <row r="3119" spans="1:12" ht="15.75" hidden="1" customHeight="1" x14ac:dyDescent="0.25">
      <c r="A3119" s="36">
        <f>IF(ORCAMENTOS!A3127="","",ORCAMENTOS!A3127)</f>
        <v>46171</v>
      </c>
      <c r="B3119" s="46">
        <f>IF(ORCAMENTOS!B3127="","",ORCAMENTOS!B3127)</f>
        <v>942</v>
      </c>
      <c r="C3119" s="46" t="str">
        <f>IF(ORCAMENTOS!C3127="","",ORCAMENTOS!C3127)</f>
        <v>R1</v>
      </c>
      <c r="D3119" s="37" t="str">
        <f>IF(ORCAMENTOS!D3127="","",ORCAMENTOS!D3127)</f>
        <v>COLDTERMICA</v>
      </c>
      <c r="E3119" s="38" t="str">
        <f>IF(ORCAMENTOS!E3127="","",ORCAMENTOS!E3127)</f>
        <v>Renner SH Pitaguary</v>
      </c>
      <c r="F3119" s="37" t="str">
        <f>IF(ORCAMENTOS!G3127="","",ORCAMENTOS!G3127)</f>
        <v>Gabriel</v>
      </c>
      <c r="G3119" s="37" t="str">
        <f>IF(ORCAMENTOS!H3127="","",ORCAMENTOS!H3127)</f>
        <v>Nice</v>
      </c>
      <c r="H3119" s="39">
        <f>IF(ORCAMENTOS!I3127="","",ORCAMENTOS!I3127)</f>
        <v>50853</v>
      </c>
      <c r="I3119" s="60">
        <f>IF(ORCAMENTOS!J3127="","",ORCAMENTOS!J3127)</f>
        <v>7.0000000000000007E-2</v>
      </c>
      <c r="J3119" s="40" t="str">
        <f>IF(ORCAMENTOS!L3127="","",ORCAMENTOS!L3127)</f>
        <v>COMPRA</v>
      </c>
      <c r="K3119" s="34" t="str">
        <f>IF(ORCAMENTOS!M3127="","",ORCAMENTOS!M3127)</f>
        <v>-</v>
      </c>
      <c r="L3119" t="str">
        <f>IF(ORCAMENTOS!R3127="","",ORCAMENTOS!R3127)</f>
        <v>-</v>
      </c>
    </row>
    <row r="3120" spans="1:12" ht="15.75" customHeight="1" x14ac:dyDescent="0.25">
      <c r="A3120" s="36">
        <f>IF(ORCAMENTOS!A3128="","",ORCAMENTOS!A3128)</f>
        <v>46171</v>
      </c>
      <c r="B3120" s="46">
        <f>IF(ORCAMENTOS!B3128="","",ORCAMENTOS!B3128)</f>
        <v>943</v>
      </c>
      <c r="C3120" s="46" t="str">
        <f>IF(ORCAMENTOS!C3128="","",ORCAMENTOS!C3128)</f>
        <v>R1</v>
      </c>
      <c r="D3120" s="37" t="str">
        <f>IF(ORCAMENTOS!D3128="","",ORCAMENTOS!D3128)</f>
        <v>CESTAC</v>
      </c>
      <c r="E3120" s="38" t="str">
        <f>IF(ORCAMENTOS!E3128="","",ORCAMENTOS!E3128)</f>
        <v>-</v>
      </c>
      <c r="F3120" s="37" t="str">
        <f>IF(ORCAMENTOS!G3128="","",ORCAMENTOS!G3128)</f>
        <v>Michel</v>
      </c>
      <c r="G3120" s="37" t="str">
        <f>IF(ORCAMENTOS!H3128="","",ORCAMENTOS!H3128)</f>
        <v>Eduardo</v>
      </c>
      <c r="H3120" s="39">
        <f>IF(ORCAMENTOS!I3128="","",ORCAMENTOS!I3128)</f>
        <v>8340.57</v>
      </c>
      <c r="I3120" s="60">
        <f>IF(ORCAMENTOS!J3128="","",ORCAMENTOS!J3128)</f>
        <v>0.04</v>
      </c>
      <c r="J3120" s="40" t="str">
        <f>IF(ORCAMENTOS!L3128="","",ORCAMENTOS!L3128)</f>
        <v>COMPRA</v>
      </c>
      <c r="K3120" s="34" t="str">
        <f>IF(ORCAMENTOS!M3128="","",ORCAMENTOS!M3128)</f>
        <v>-</v>
      </c>
      <c r="L3120" t="str">
        <f>IF(ORCAMENTOS!R3128="","",ORCAMENTOS!R3128)</f>
        <v>-</v>
      </c>
    </row>
    <row r="3121" spans="1:12" ht="15.75" hidden="1" customHeight="1" x14ac:dyDescent="0.25">
      <c r="A3121" s="36">
        <f>IF(ORCAMENTOS!A3129="","",ORCAMENTOS!A3129)</f>
        <v>46170</v>
      </c>
      <c r="B3121" s="46">
        <f>IF(ORCAMENTOS!B3129="","",ORCAMENTOS!B3129)</f>
        <v>944</v>
      </c>
      <c r="C3121" s="46" t="str">
        <f>IF(ORCAMENTOS!C3129="","",ORCAMENTOS!C3129)</f>
        <v/>
      </c>
      <c r="D3121" s="37" t="str">
        <f>IF(ORCAMENTOS!D3129="","",ORCAMENTOS!D3129)</f>
        <v>MJ CLIMATIZACAO</v>
      </c>
      <c r="E3121" s="38" t="str">
        <f>IF(ORCAMENTOS!E3129="","",ORCAMENTOS!E3129)</f>
        <v>PETZ - PEREIRA BARRETO - SAO BERNARDO DO CAMPO - SP</v>
      </c>
      <c r="F3121" s="37" t="str">
        <f>IF(ORCAMENTOS!G3129="","",ORCAMENTOS!G3129)</f>
        <v>Emanuel</v>
      </c>
      <c r="G3121" s="37" t="str">
        <f>IF(ORCAMENTOS!H3129="","",ORCAMENTOS!H3129)</f>
        <v>Andreia</v>
      </c>
      <c r="H3121" s="39">
        <f>IF(ORCAMENTOS!I3129="","",ORCAMENTOS!I3129)</f>
        <v>47838.17</v>
      </c>
      <c r="I3121" s="60">
        <f>IF(ORCAMENTOS!J3129="","",ORCAMENTOS!J3129)</f>
        <v>7.0000000000000007E-2</v>
      </c>
      <c r="J3121" s="40" t="str">
        <f>IF(ORCAMENTOS!L3129="","",ORCAMENTOS!L3129)</f>
        <v>ORCAMENTO</v>
      </c>
      <c r="K3121" s="34" t="str">
        <f>IF(ORCAMENTOS!M3129="","",ORCAMENTOS!M3129)</f>
        <v>-</v>
      </c>
      <c r="L3121" t="str">
        <f>IF(ORCAMENTOS!R3129="","",ORCAMENTOS!R3129)</f>
        <v>MPU</v>
      </c>
    </row>
    <row r="3122" spans="1:12" ht="15.75" hidden="1" customHeight="1" x14ac:dyDescent="0.25">
      <c r="A3122" s="36">
        <f>IF(ORCAMENTOS!A3130="","",ORCAMENTOS!A3130)</f>
        <v>46170</v>
      </c>
      <c r="B3122" s="46">
        <f>IF(ORCAMENTOS!B3130="","",ORCAMENTOS!B3130)</f>
        <v>945</v>
      </c>
      <c r="C3122" s="46" t="str">
        <f>IF(ORCAMENTOS!C3130="","",ORCAMENTOS!C3130)</f>
        <v>R1</v>
      </c>
      <c r="D3122" s="37" t="str">
        <f>IF(ORCAMENTOS!D3130="","",ORCAMENTOS!D3130)</f>
        <v>R1 SOLUCOES</v>
      </c>
      <c r="E3122" s="38" t="str">
        <f>IF(ORCAMENTOS!E3130="","",ORCAMENTOS!E3130)</f>
        <v>-</v>
      </c>
      <c r="F3122" s="37" t="str">
        <f>IF(ORCAMENTOS!G3130="","",ORCAMENTOS!G3130)</f>
        <v>Gabriel</v>
      </c>
      <c r="G3122" s="37" t="str">
        <f>IF(ORCAMENTOS!H3130="","",ORCAMENTOS!H3130)</f>
        <v>Janaina</v>
      </c>
      <c r="H3122" s="39">
        <f>IF(ORCAMENTOS!I3130="","",ORCAMENTOS!I3130)</f>
        <v>11541.27</v>
      </c>
      <c r="I3122" s="60">
        <f>IF(ORCAMENTOS!J3130="","",ORCAMENTOS!J3130)</f>
        <v>7.0000000000000007E-2</v>
      </c>
      <c r="J3122" s="40" t="str">
        <f>IF(ORCAMENTOS!L3130="","",ORCAMENTOS!L3130)</f>
        <v>ORCAMENTO</v>
      </c>
      <c r="K3122" s="34" t="str">
        <f>IF(ORCAMENTOS!M3130="","",ORCAMENTOS!M3130)</f>
        <v>-</v>
      </c>
      <c r="L3122" t="str">
        <f>IF(ORCAMENTOS!R3130="","",ORCAMENTOS!R3130)</f>
        <v>-</v>
      </c>
    </row>
    <row r="3123" spans="1:12" ht="15.75" hidden="1" customHeight="1" x14ac:dyDescent="0.25">
      <c r="A3123" s="36">
        <f>IF(ORCAMENTOS!A3131="","",ORCAMENTOS!A3131)</f>
        <v>46171</v>
      </c>
      <c r="B3123" s="46">
        <f>IF(ORCAMENTOS!B3131="","",ORCAMENTOS!B3131)</f>
        <v>946</v>
      </c>
      <c r="C3123" s="46" t="str">
        <f>IF(ORCAMENTOS!C3131="","",ORCAMENTOS!C3131)</f>
        <v>R3</v>
      </c>
      <c r="D3123" s="37" t="str">
        <f>IF(ORCAMENTOS!D3131="","",ORCAMENTOS!D3131)</f>
        <v>RECLIMA</v>
      </c>
      <c r="E3123" s="38" t="str">
        <f>IF(ORCAMENTOS!E3131="","",ORCAMENTOS!E3131)</f>
        <v>-</v>
      </c>
      <c r="F3123" s="37" t="str">
        <f>IF(ORCAMENTOS!G3131="","",ORCAMENTOS!G3131)</f>
        <v>Michel</v>
      </c>
      <c r="G3123" s="37" t="str">
        <f>IF(ORCAMENTOS!H3131="","",ORCAMENTOS!H3131)</f>
        <v>Renata</v>
      </c>
      <c r="H3123" s="39">
        <f>IF(ORCAMENTOS!I3131="","",ORCAMENTOS!I3131)</f>
        <v>21234.23</v>
      </c>
      <c r="I3123" s="60">
        <f>IF(ORCAMENTOS!J3131="","",ORCAMENTOS!J3131)</f>
        <v>0.05</v>
      </c>
      <c r="J3123" s="40" t="str">
        <f>IF(ORCAMENTOS!L3131="","",ORCAMENTOS!L3131)</f>
        <v>FECHADO</v>
      </c>
      <c r="K3123" s="34" t="str">
        <f>IF(ORCAMENTOS!M3131="","",ORCAMENTOS!M3131)</f>
        <v>-</v>
      </c>
      <c r="L3123" t="str">
        <f>IF(ORCAMENTOS!R3131="","",ORCAMENTOS!R3131)</f>
        <v>-</v>
      </c>
    </row>
    <row r="3124" spans="1:12" ht="15.75" hidden="1" customHeight="1" x14ac:dyDescent="0.25">
      <c r="A3124" s="36">
        <f>IF(ORCAMENTOS!A3132="","",ORCAMENTOS!A3132)</f>
        <v>46171</v>
      </c>
      <c r="B3124" s="46">
        <f>IF(ORCAMENTOS!B3132="","",ORCAMENTOS!B3132)</f>
        <v>947</v>
      </c>
      <c r="C3124" s="46" t="str">
        <f>IF(ORCAMENTOS!C3132="","",ORCAMENTOS!C3132)</f>
        <v/>
      </c>
      <c r="D3124" s="37" t="str">
        <f>IF(ORCAMENTOS!D3132="","",ORCAMENTOS!D3132)</f>
        <v>RECLIMA</v>
      </c>
      <c r="E3124" s="38" t="str">
        <f>IF(ORCAMENTOS!E3132="","",ORCAMENTOS!E3132)</f>
        <v>-</v>
      </c>
      <c r="F3124" s="37" t="str">
        <f>IF(ORCAMENTOS!G3132="","",ORCAMENTOS!G3132)</f>
        <v>Michel</v>
      </c>
      <c r="G3124" s="37" t="str">
        <f>IF(ORCAMENTOS!H3132="","",ORCAMENTOS!H3132)</f>
        <v>Renata</v>
      </c>
      <c r="H3124" s="39">
        <f>IF(ORCAMENTOS!I3132="","",ORCAMENTOS!I3132)</f>
        <v>4510.5</v>
      </c>
      <c r="I3124" s="60">
        <f>IF(ORCAMENTOS!J3132="","",ORCAMENTOS!J3132)</f>
        <v>7.0000000000000007E-2</v>
      </c>
      <c r="J3124" s="40" t="str">
        <f>IF(ORCAMENTOS!L3132="","",ORCAMENTOS!L3132)</f>
        <v>ORCAMENTO</v>
      </c>
      <c r="K3124" s="34" t="str">
        <f>IF(ORCAMENTOS!M3132="","",ORCAMENTOS!M3132)</f>
        <v>-</v>
      </c>
      <c r="L3124" t="str">
        <f>IF(ORCAMENTOS!R3132="","",ORCAMENTOS!R3132)</f>
        <v>-</v>
      </c>
    </row>
    <row r="3125" spans="1:12" ht="15.75" hidden="1" customHeight="1" x14ac:dyDescent="0.25">
      <c r="A3125" s="36">
        <f>IF(ORCAMENTOS!A3133="","",ORCAMENTOS!A3133)</f>
        <v>46171</v>
      </c>
      <c r="B3125" s="46">
        <f>IF(ORCAMENTOS!B3133="","",ORCAMENTOS!B3133)</f>
        <v>948</v>
      </c>
      <c r="C3125" s="46" t="str">
        <f>IF(ORCAMENTOS!C3133="","",ORCAMENTOS!C3133)</f>
        <v/>
      </c>
      <c r="D3125" s="37" t="str">
        <f>IF(ORCAMENTOS!D3133="","",ORCAMENTOS!D3133)</f>
        <v>AEROTHERMIC</v>
      </c>
      <c r="E3125" s="38" t="str">
        <f>IF(ORCAMENTOS!E3133="","",ORCAMENTOS!E3133)</f>
        <v>-</v>
      </c>
      <c r="F3125" s="37" t="str">
        <f>IF(ORCAMENTOS!G3133="","",ORCAMENTOS!G3133)</f>
        <v>Fernando</v>
      </c>
      <c r="G3125" s="37" t="str">
        <f>IF(ORCAMENTOS!H3133="","",ORCAMENTOS!H3133)</f>
        <v>Claudio</v>
      </c>
      <c r="H3125" s="39">
        <f>IF(ORCAMENTOS!I3133="","",ORCAMENTOS!I3133)</f>
        <v>37485.57</v>
      </c>
      <c r="I3125" s="60">
        <f>IF(ORCAMENTOS!J3133="","",ORCAMENTOS!J3133)</f>
        <v>7.0000000000000007E-2</v>
      </c>
      <c r="J3125" s="40" t="str">
        <f>IF(ORCAMENTOS!L3133="","",ORCAMENTOS!L3133)</f>
        <v>ORCAMENTO</v>
      </c>
      <c r="K3125" s="34" t="str">
        <f>IF(ORCAMENTOS!M3133="","",ORCAMENTOS!M3133)</f>
        <v>-</v>
      </c>
      <c r="L3125" t="str">
        <f>IF(ORCAMENTOS!R3133="","",ORCAMENTOS!R3133)</f>
        <v>-</v>
      </c>
    </row>
    <row r="3126" spans="1:12" ht="15.75" hidden="1" customHeight="1" x14ac:dyDescent="0.25">
      <c r="A3126" s="36">
        <f>IF(ORCAMENTOS!A3134="","",ORCAMENTOS!A3134)</f>
        <v>46171</v>
      </c>
      <c r="B3126" s="46">
        <f>IF(ORCAMENTOS!B3134="","",ORCAMENTOS!B3134)</f>
        <v>949</v>
      </c>
      <c r="C3126" s="46" t="str">
        <f>IF(ORCAMENTOS!C3134="","",ORCAMENTOS!C3134)</f>
        <v/>
      </c>
      <c r="D3126" s="37" t="str">
        <f>IF(ORCAMENTOS!D3134="","",ORCAMENTOS!D3134)</f>
        <v>AIR CONDYGIO</v>
      </c>
      <c r="E3126" s="38" t="str">
        <f>IF(ORCAMENTOS!E3134="","",ORCAMENTOS!E3134)</f>
        <v>W PREMIUM GROUP SERVICOS AUXILIARES EM PORTOS E AEROPORTOS LTDA</v>
      </c>
      <c r="F3126" s="37" t="str">
        <f>IF(ORCAMENTOS!G3134="","",ORCAMENTOS!G3134)</f>
        <v>Gabriel</v>
      </c>
      <c r="G3126" s="37" t="str">
        <f>IF(ORCAMENTOS!H3134="","",ORCAMENTOS!H3134)</f>
        <v>David</v>
      </c>
      <c r="H3126" s="39">
        <f>IF(ORCAMENTOS!I3134="","",ORCAMENTOS!I3134)</f>
        <v>31382</v>
      </c>
      <c r="I3126" s="60">
        <f>IF(ORCAMENTOS!J3134="","",ORCAMENTOS!J3134)</f>
        <v>7.0000000000000007E-2</v>
      </c>
      <c r="J3126" s="40" t="str">
        <f>IF(ORCAMENTOS!L3134="","",ORCAMENTOS!L3134)</f>
        <v>ORCAMENTO</v>
      </c>
      <c r="K3126" s="34" t="str">
        <f>IF(ORCAMENTOS!M3134="","",ORCAMENTOS!M3134)</f>
        <v>-</v>
      </c>
      <c r="L3126" t="str">
        <f>IF(ORCAMENTOS!R3134="","",ORCAMENTOS!R3134)</f>
        <v>N/E</v>
      </c>
    </row>
    <row r="3127" spans="1:12" ht="15.75" hidden="1" customHeight="1" x14ac:dyDescent="0.25">
      <c r="A3127" s="36">
        <f>IF(ORCAMENTOS!A3135="","",ORCAMENTOS!A3135)</f>
        <v>46171</v>
      </c>
      <c r="B3127" s="46">
        <f>IF(ORCAMENTOS!B3135="","",ORCAMENTOS!B3135)</f>
        <v>950</v>
      </c>
      <c r="C3127" s="46" t="str">
        <f>IF(ORCAMENTOS!C3135="","",ORCAMENTOS!C3135)</f>
        <v/>
      </c>
      <c r="D3127" s="37" t="str">
        <f>IF(ORCAMENTOS!D3135="","",ORCAMENTOS!D3135)</f>
        <v>DUTOLEVE</v>
      </c>
      <c r="E3127" s="38" t="str">
        <f>IF(ORCAMENTOS!E3135="","",ORCAMENTOS!E3135)</f>
        <v>UNIVERSIDADE DE SAO PAULO - USP - CAMPUS CAPITAL</v>
      </c>
      <c r="F3127" s="37" t="str">
        <f>IF(ORCAMENTOS!G3135="","",ORCAMENTOS!G3135)</f>
        <v>Gabriel</v>
      </c>
      <c r="G3127" s="37" t="str">
        <f>IF(ORCAMENTOS!H3135="","",ORCAMENTOS!H3135)</f>
        <v>Newton</v>
      </c>
      <c r="H3127" s="39">
        <f>IF(ORCAMENTOS!I3135="","",ORCAMENTOS!I3135)</f>
        <v>77663.08</v>
      </c>
      <c r="I3127" s="60">
        <f>IF(ORCAMENTOS!J3135="","",ORCAMENTOS!J3135)</f>
        <v>7.0000000000000007E-2</v>
      </c>
      <c r="J3127" s="40" t="str">
        <f>IF(ORCAMENTOS!L3135="","",ORCAMENTOS!L3135)</f>
        <v>ORCAMENTO</v>
      </c>
      <c r="K3127" s="34" t="str">
        <f>IF(ORCAMENTOS!M3135="","",ORCAMENTOS!M3135)</f>
        <v>-</v>
      </c>
      <c r="L3127" t="str">
        <f>IF(ORCAMENTOS!R3135="","",ORCAMENTOS!R3135)</f>
        <v>CHAPA DE ACO GALVANIZADO</v>
      </c>
    </row>
    <row r="3128" spans="1:12" ht="15.75" hidden="1" customHeight="1" x14ac:dyDescent="0.25">
      <c r="A3128" s="36">
        <f>IF(ORCAMENTOS!A3136="","",ORCAMENTOS!A3136)</f>
        <v>46171</v>
      </c>
      <c r="B3128" s="46">
        <f>IF(ORCAMENTOS!B3136="","",ORCAMENTOS!B3136)</f>
        <v>951</v>
      </c>
      <c r="C3128" s="46" t="str">
        <f>IF(ORCAMENTOS!C3136="","",ORCAMENTOS!C3136)</f>
        <v/>
      </c>
      <c r="D3128" s="37" t="str">
        <f>IF(ORCAMENTOS!D3136="","",ORCAMENTOS!D3136)</f>
        <v>INTERA ENGENHARIA</v>
      </c>
      <c r="E3128" s="38" t="str">
        <f>IF(ORCAMENTOS!E3136="","",ORCAMENTOS!E3136)</f>
        <v>ELDORADO - CSA3M - CAMPINAS - SP</v>
      </c>
      <c r="F3128" s="37" t="str">
        <f>IF(ORCAMENTOS!G3136="","",ORCAMENTOS!G3136)</f>
        <v>Michel</v>
      </c>
      <c r="G3128" s="37" t="str">
        <f>IF(ORCAMENTOS!H3136="","",ORCAMENTOS!H3136)</f>
        <v>Jessica</v>
      </c>
      <c r="H3128" s="39">
        <f>IF(ORCAMENTOS!I3136="","",ORCAMENTOS!I3136)</f>
        <v>13297.21</v>
      </c>
      <c r="I3128" s="60">
        <f>IF(ORCAMENTOS!J3136="","",ORCAMENTOS!J3136)</f>
        <v>7.0000000000000007E-2</v>
      </c>
      <c r="J3128" s="40" t="str">
        <f>IF(ORCAMENTOS!L3136="","",ORCAMENTOS!L3136)</f>
        <v>ORCAMENTO</v>
      </c>
      <c r="K3128" s="34" t="str">
        <f>IF(ORCAMENTOS!M3136="","",ORCAMENTOS!M3136)</f>
        <v>-</v>
      </c>
      <c r="L3128" t="str">
        <f>IF(ORCAMENTOS!R3136="","",ORCAMENTOS!R3136)</f>
        <v>-</v>
      </c>
    </row>
    <row r="3129" spans="1:12" ht="15.75" hidden="1" customHeight="1" x14ac:dyDescent="0.25">
      <c r="A3129" s="36">
        <f>IF(ORCAMENTOS!A3137="","",ORCAMENTOS!A3137)</f>
        <v>46175</v>
      </c>
      <c r="B3129" s="46">
        <f>IF(ORCAMENTOS!B3137="","",ORCAMENTOS!B3137)</f>
        <v>952</v>
      </c>
      <c r="C3129" s="46" t="str">
        <f>IF(ORCAMENTOS!C3137="","",ORCAMENTOS!C3137)</f>
        <v>R1</v>
      </c>
      <c r="D3129" s="37" t="str">
        <f>IF(ORCAMENTOS!D3137="","",ORCAMENTOS!D3137)</f>
        <v>AMARAL CARVALHO</v>
      </c>
      <c r="E3129" s="38" t="str">
        <f>IF(ORCAMENTOS!E3137="","",ORCAMENTOS!E3137)</f>
        <v>-</v>
      </c>
      <c r="F3129" s="37" t="str">
        <f>IF(ORCAMENTOS!G3137="","",ORCAMENTOS!G3137)</f>
        <v>Gabriel</v>
      </c>
      <c r="G3129" s="37" t="str">
        <f>IF(ORCAMENTOS!H3137="","",ORCAMENTOS!H3137)</f>
        <v>Adriano</v>
      </c>
      <c r="H3129" s="39">
        <f>IF(ORCAMENTOS!I3137="","",ORCAMENTOS!I3137)</f>
        <v>12595.97</v>
      </c>
      <c r="I3129" s="60">
        <f>IF(ORCAMENTOS!J3137="","",ORCAMENTOS!J3137)</f>
        <v>0.05</v>
      </c>
      <c r="J3129" s="40" t="str">
        <f>IF(ORCAMENTOS!L3137="","",ORCAMENTOS!L3137)</f>
        <v>ORCAMENTO</v>
      </c>
      <c r="K3129" s="34" t="str">
        <f>IF(ORCAMENTOS!M3137="","",ORCAMENTOS!M3137)</f>
        <v>-</v>
      </c>
      <c r="L3129" t="str">
        <f>IF(ORCAMENTOS!R3137="","",ORCAMENTOS!R3137)</f>
        <v>-</v>
      </c>
    </row>
    <row r="3130" spans="1:12" ht="15.75" hidden="1" customHeight="1" x14ac:dyDescent="0.25">
      <c r="A3130" s="36">
        <f>IF(ORCAMENTOS!A3138="","",ORCAMENTOS!A3138)</f>
        <v>46171</v>
      </c>
      <c r="B3130" s="46">
        <f>IF(ORCAMENTOS!B3138="","",ORCAMENTOS!B3138)</f>
        <v>953</v>
      </c>
      <c r="C3130" s="46" t="str">
        <f>IF(ORCAMENTOS!C3138="","",ORCAMENTOS!C3138)</f>
        <v/>
      </c>
      <c r="D3130" s="37" t="str">
        <f>IF(ORCAMENTOS!D3138="","",ORCAMENTOS!D3138)</f>
        <v>ACSISTEM</v>
      </c>
      <c r="E3130" s="38" t="str">
        <f>IF(ORCAMENTOS!E3138="","",ORCAMENTOS!E3138)</f>
        <v>SF CURITIBA</v>
      </c>
      <c r="F3130" s="37" t="str">
        <f>IF(ORCAMENTOS!G3138="","",ORCAMENTOS!G3138)</f>
        <v>Emanuel</v>
      </c>
      <c r="G3130" s="37" t="str">
        <f>IF(ORCAMENTOS!H3138="","",ORCAMENTOS!H3138)</f>
        <v>Henrique</v>
      </c>
      <c r="H3130" s="39">
        <f>IF(ORCAMENTOS!I3138="","",ORCAMENTOS!I3138)</f>
        <v>31166.959999999999</v>
      </c>
      <c r="I3130" s="60">
        <f>IF(ORCAMENTOS!J3138="","",ORCAMENTOS!J3138)</f>
        <v>0.04</v>
      </c>
      <c r="J3130" s="40" t="str">
        <f>IF(ORCAMENTOS!L3138="","",ORCAMENTOS!L3138)</f>
        <v>FECHADO</v>
      </c>
      <c r="K3130" s="34" t="str">
        <f>IF(ORCAMENTOS!M3138="","",ORCAMENTOS!M3138)</f>
        <v>-</v>
      </c>
      <c r="L3130" t="str">
        <f>IF(ORCAMENTOS!R3138="","",ORCAMENTOS!R3138)</f>
        <v>-</v>
      </c>
    </row>
    <row r="3131" spans="1:12" ht="15.75" customHeight="1" x14ac:dyDescent="0.25">
      <c r="A3131" s="36">
        <f>IF(ORCAMENTOS!A3139="","",ORCAMENTOS!A3139)</f>
        <v>46174</v>
      </c>
      <c r="B3131" s="46">
        <f>IF(ORCAMENTOS!B3139="","",ORCAMENTOS!B3139)</f>
        <v>954</v>
      </c>
      <c r="C3131" s="46" t="str">
        <f>IF(ORCAMENTOS!C3139="","",ORCAMENTOS!C3139)</f>
        <v>R1</v>
      </c>
      <c r="D3131" s="37" t="str">
        <f>IF(ORCAMENTOS!D3139="","",ORCAMENTOS!D3139)</f>
        <v>CESTAC</v>
      </c>
      <c r="E3131" s="38" t="str">
        <f>IF(ORCAMENTOS!E3139="","",ORCAMENTOS!E3139)</f>
        <v>-</v>
      </c>
      <c r="F3131" s="37" t="str">
        <f>IF(ORCAMENTOS!G3139="","",ORCAMENTOS!G3139)</f>
        <v>Michel</v>
      </c>
      <c r="G3131" s="37" t="str">
        <f>IF(ORCAMENTOS!H3139="","",ORCAMENTOS!H3139)</f>
        <v>Eduardo</v>
      </c>
      <c r="H3131" s="39">
        <f>IF(ORCAMENTOS!I3139="","",ORCAMENTOS!I3139)</f>
        <v>114618.75</v>
      </c>
      <c r="I3131" s="60">
        <f>IF(ORCAMENTOS!J3139="","",ORCAMENTOS!J3139)</f>
        <v>0.04</v>
      </c>
      <c r="J3131" s="40" t="str">
        <f>IF(ORCAMENTOS!L3139="","",ORCAMENTOS!L3139)</f>
        <v>COMPRA</v>
      </c>
      <c r="K3131" s="34" t="str">
        <f>IF(ORCAMENTOS!M3139="","",ORCAMENTOS!M3139)</f>
        <v>-</v>
      </c>
      <c r="L3131" t="str">
        <f>IF(ORCAMENTOS!R3139="","",ORCAMENTOS!R3139)</f>
        <v>-</v>
      </c>
    </row>
    <row r="3132" spans="1:12" ht="15.75" hidden="1" customHeight="1" x14ac:dyDescent="0.25">
      <c r="A3132" s="36">
        <f>IF(ORCAMENTOS!A3140="","",ORCAMENTOS!A3140)</f>
        <v>46174</v>
      </c>
      <c r="B3132" s="46">
        <f>IF(ORCAMENTOS!B3140="","",ORCAMENTOS!B3140)</f>
        <v>955</v>
      </c>
      <c r="C3132" s="46" t="str">
        <f>IF(ORCAMENTOS!C3140="","",ORCAMENTOS!C3140)</f>
        <v/>
      </c>
      <c r="D3132" s="37" t="str">
        <f>IF(ORCAMENTOS!D3140="","",ORCAMENTOS!D3140)</f>
        <v>ENGEMAC</v>
      </c>
      <c r="E3132" s="38" t="str">
        <f>IF(ORCAMENTOS!E3140="","",ORCAMENTOS!E3140)</f>
        <v>UNIMED - BOITUVA</v>
      </c>
      <c r="F3132" s="37" t="str">
        <f>IF(ORCAMENTOS!G3140="","",ORCAMENTOS!G3140)</f>
        <v>Fernando</v>
      </c>
      <c r="G3132" s="37" t="str">
        <f>IF(ORCAMENTOS!H3140="","",ORCAMENTOS!H3140)</f>
        <v>Rodrigo</v>
      </c>
      <c r="H3132" s="39">
        <f>IF(ORCAMENTOS!I3140="","",ORCAMENTOS!I3140)</f>
        <v>274976.90999999997</v>
      </c>
      <c r="I3132" s="60">
        <f>IF(ORCAMENTOS!J3140="","",ORCAMENTOS!J3140)</f>
        <v>0.04</v>
      </c>
      <c r="J3132" s="40" t="str">
        <f>IF(ORCAMENTOS!L3140="","",ORCAMENTOS!L3140)</f>
        <v>ORCAMENTO</v>
      </c>
      <c r="K3132" s="34" t="str">
        <f>IF(ORCAMENTOS!M3140="","",ORCAMENTOS!M3140)</f>
        <v>-</v>
      </c>
      <c r="L3132" t="str">
        <f>IF(ORCAMENTOS!R3140="","",ORCAMENTOS!R3140)</f>
        <v>-</v>
      </c>
    </row>
    <row r="3133" spans="1:12" ht="15.75" hidden="1" customHeight="1" x14ac:dyDescent="0.25">
      <c r="A3133" s="36">
        <f>IF(ORCAMENTOS!A3141="","",ORCAMENTOS!A3141)</f>
        <v>46175</v>
      </c>
      <c r="B3133" s="46">
        <f>IF(ORCAMENTOS!B3141="","",ORCAMENTOS!B3141)</f>
        <v>956</v>
      </c>
      <c r="C3133" s="46" t="str">
        <f>IF(ORCAMENTOS!C3141="","",ORCAMENTOS!C3141)</f>
        <v>R1</v>
      </c>
      <c r="D3133" s="37" t="str">
        <f>IF(ORCAMENTOS!D3141="","",ORCAMENTOS!D3141)</f>
        <v>HVAC ENGENHARIA</v>
      </c>
      <c r="E3133" s="38" t="str">
        <f>IF(ORCAMENTOS!E3141="","",ORCAMENTOS!E3141)</f>
        <v>OBRAMAX - CONTAGEM</v>
      </c>
      <c r="F3133" s="37" t="str">
        <f>IF(ORCAMENTOS!G3141="","",ORCAMENTOS!G3141)</f>
        <v>Michel</v>
      </c>
      <c r="G3133" s="37" t="str">
        <f>IF(ORCAMENTOS!H3141="","",ORCAMENTOS!H3141)</f>
        <v>Anders</v>
      </c>
      <c r="H3133" s="39">
        <f>IF(ORCAMENTOS!I3141="","",ORCAMENTOS!I3141)</f>
        <v>8931.33</v>
      </c>
      <c r="I3133" s="60">
        <f>IF(ORCAMENTOS!J3141="","",ORCAMENTOS!J3141)</f>
        <v>0.04</v>
      </c>
      <c r="J3133" s="40" t="str">
        <f>IF(ORCAMENTOS!L3141="","",ORCAMENTOS!L3141)</f>
        <v>FECHADO</v>
      </c>
      <c r="K3133" s="34" t="str">
        <f>IF(ORCAMENTOS!M3141="","",ORCAMENTOS!M3141)</f>
        <v>-</v>
      </c>
      <c r="L3133" t="str">
        <f>IF(ORCAMENTOS!R3141="","",ORCAMENTOS!R3141)</f>
        <v>-</v>
      </c>
    </row>
    <row r="3134" spans="1:12" ht="15.75" hidden="1" customHeight="1" x14ac:dyDescent="0.25">
      <c r="A3134" s="36">
        <f>IF(ORCAMENTOS!A3142="","",ORCAMENTOS!A3142)</f>
        <v>46174</v>
      </c>
      <c r="B3134" s="46">
        <f>IF(ORCAMENTOS!B3142="","",ORCAMENTOS!B3142)</f>
        <v>957</v>
      </c>
      <c r="C3134" s="46" t="str">
        <f>IF(ORCAMENTOS!C3142="","",ORCAMENTOS!C3142)</f>
        <v>R1</v>
      </c>
      <c r="D3134" s="37" t="str">
        <f>IF(ORCAMENTOS!D3142="","",ORCAMENTOS!D3142)</f>
        <v>SOMMARE</v>
      </c>
      <c r="E3134" s="38" t="str">
        <f>IF(ORCAMENTOS!E3142="","",ORCAMENTOS!E3142)</f>
        <v>OBRAMAX - CONTAGEM</v>
      </c>
      <c r="F3134" s="37" t="str">
        <f>IF(ORCAMENTOS!G3142="","",ORCAMENTOS!G3142)</f>
        <v>Gabriel</v>
      </c>
      <c r="G3134" s="37" t="str">
        <f>IF(ORCAMENTOS!H3142="","",ORCAMENTOS!H3142)</f>
        <v>Carlos</v>
      </c>
      <c r="H3134" s="39">
        <f>IF(ORCAMENTOS!I3142="","",ORCAMENTOS!I3142)</f>
        <v>9331.3799999999992</v>
      </c>
      <c r="I3134" s="60">
        <f>IF(ORCAMENTOS!J3142="","",ORCAMENTOS!J3142)</f>
        <v>7.0000000000000007E-2</v>
      </c>
      <c r="J3134" s="40" t="str">
        <f>IF(ORCAMENTOS!L3142="","",ORCAMENTOS!L3142)</f>
        <v>ORCAMENTO</v>
      </c>
      <c r="K3134" s="34" t="str">
        <f>IF(ORCAMENTOS!M3142="","",ORCAMENTOS!M3142)</f>
        <v>-</v>
      </c>
      <c r="L3134" t="str">
        <f>IF(ORCAMENTOS!R3142="","",ORCAMENTOS!R3142)</f>
        <v/>
      </c>
    </row>
    <row r="3135" spans="1:12" ht="15.75" hidden="1" customHeight="1" x14ac:dyDescent="0.25">
      <c r="A3135" s="36">
        <f>IF(ORCAMENTOS!A3143="","",ORCAMENTOS!A3143)</f>
        <v>46174</v>
      </c>
      <c r="B3135" s="46">
        <f>IF(ORCAMENTOS!B3143="","",ORCAMENTOS!B3143)</f>
        <v>958</v>
      </c>
      <c r="C3135" s="46" t="str">
        <f>IF(ORCAMENTOS!C3143="","",ORCAMENTOS!C3143)</f>
        <v/>
      </c>
      <c r="D3135" s="37" t="str">
        <f>IF(ORCAMENTOS!D3143="","",ORCAMENTOS!D3143)</f>
        <v>AWA AR CONDICIONADO</v>
      </c>
      <c r="E3135" s="38" t="str">
        <f>IF(ORCAMENTOS!E3143="","",ORCAMENTOS!E3143)</f>
        <v>MIX PEDREIRA - INFRAERO - BELEM - PA</v>
      </c>
      <c r="F3135" s="37" t="str">
        <f>IF(ORCAMENTOS!G3143="","",ORCAMENTOS!G3143)</f>
        <v>Guilherme</v>
      </c>
      <c r="G3135" s="37" t="str">
        <f>IF(ORCAMENTOS!H3143="","",ORCAMENTOS!H3143)</f>
        <v>Guilherme</v>
      </c>
      <c r="H3135" s="39">
        <f>IF(ORCAMENTOS!I3143="","",ORCAMENTOS!I3143)</f>
        <v>3736.08</v>
      </c>
      <c r="I3135" s="60">
        <f>IF(ORCAMENTOS!J3143="","",ORCAMENTOS!J3143)</f>
        <v>0.05</v>
      </c>
      <c r="J3135" s="40" t="str">
        <f>IF(ORCAMENTOS!L3143="","",ORCAMENTOS!L3143)</f>
        <v>ORCAMENTO</v>
      </c>
      <c r="K3135" s="34" t="str">
        <f>IF(ORCAMENTOS!M3143="","",ORCAMENTOS!M3143)</f>
        <v>-</v>
      </c>
      <c r="L3135" t="str">
        <f>IF(ORCAMENTOS!R3143="","",ORCAMENTOS!R3143)</f>
        <v>MPU</v>
      </c>
    </row>
    <row r="3136" spans="1:12" ht="15.75" hidden="1" customHeight="1" x14ac:dyDescent="0.25">
      <c r="A3136" s="36">
        <f>IF(ORCAMENTOS!A3144="","",ORCAMENTOS!A3144)</f>
        <v>46174</v>
      </c>
      <c r="B3136" s="46">
        <f>IF(ORCAMENTOS!B3144="","",ORCAMENTOS!B3144)</f>
        <v>959</v>
      </c>
      <c r="C3136" s="46" t="str">
        <f>IF(ORCAMENTOS!C3144="","",ORCAMENTOS!C3144)</f>
        <v/>
      </c>
      <c r="D3136" s="37" t="str">
        <f>IF(ORCAMENTOS!D3144="","",ORCAMENTOS!D3144)</f>
        <v>NP CLIMATIZAÇÃO</v>
      </c>
      <c r="E3136" s="38" t="str">
        <f>IF(ORCAMENTOS!E3144="","",ORCAMENTOS!E3144)</f>
        <v>LUCI PATRIANI GONCALVES - SANTANA DE PARNAIBA - SP</v>
      </c>
      <c r="F3136" s="37" t="str">
        <f>IF(ORCAMENTOS!G3144="","",ORCAMENTOS!G3144)</f>
        <v>Guilherme</v>
      </c>
      <c r="G3136" s="37" t="str">
        <f>IF(ORCAMENTOS!H3144="","",ORCAMENTOS!H3144)</f>
        <v>Maria</v>
      </c>
      <c r="H3136" s="39">
        <f>IF(ORCAMENTOS!I3144="","",ORCAMENTOS!I3144)</f>
        <v>8210.15</v>
      </c>
      <c r="I3136" s="60">
        <f>IF(ORCAMENTOS!J3144="","",ORCAMENTOS!J3144)</f>
        <v>7.0000000000000007E-2</v>
      </c>
      <c r="J3136" s="40" t="str">
        <f>IF(ORCAMENTOS!L3144="","",ORCAMENTOS!L3144)</f>
        <v>ORCAMENTO</v>
      </c>
      <c r="K3136" s="34" t="str">
        <f>IF(ORCAMENTOS!M3144="","",ORCAMENTOS!M3144)</f>
        <v>-</v>
      </c>
      <c r="L3136" t="str">
        <f>IF(ORCAMENTOS!R3144="","",ORCAMENTOS!R3144)</f>
        <v>-</v>
      </c>
    </row>
    <row r="3137" spans="1:12" ht="15.75" hidden="1" customHeight="1" x14ac:dyDescent="0.25">
      <c r="A3137" s="36">
        <f>IF(ORCAMENTOS!A3145="","",ORCAMENTOS!A3145)</f>
        <v>46174</v>
      </c>
      <c r="B3137" s="46">
        <f>IF(ORCAMENTOS!B3145="","",ORCAMENTOS!B3145)</f>
        <v>960</v>
      </c>
      <c r="C3137" s="46" t="str">
        <f>IF(ORCAMENTOS!C3145="","",ORCAMENTOS!C3145)</f>
        <v/>
      </c>
      <c r="D3137" s="37" t="str">
        <f>IF(ORCAMENTOS!D3145="","",ORCAMENTOS!D3145)</f>
        <v>GRASCON</v>
      </c>
      <c r="E3137" s="38" t="str">
        <f>IF(ORCAMENTOS!E3145="","",ORCAMENTOS!E3145)</f>
        <v>-</v>
      </c>
      <c r="F3137" s="37" t="str">
        <f>IF(ORCAMENTOS!G3145="","",ORCAMENTOS!G3145)</f>
        <v>Gabriel</v>
      </c>
      <c r="G3137" s="37" t="str">
        <f>IF(ORCAMENTOS!H3145="","",ORCAMENTOS!H3145)</f>
        <v>Elisangela</v>
      </c>
      <c r="H3137" s="39">
        <f>IF(ORCAMENTOS!I3145="","",ORCAMENTOS!I3145)</f>
        <v>1889.19</v>
      </c>
      <c r="I3137" s="60">
        <f>IF(ORCAMENTOS!J3145="","",ORCAMENTOS!J3145)</f>
        <v>7.0000000000000007E-2</v>
      </c>
      <c r="J3137" s="40" t="str">
        <f>IF(ORCAMENTOS!L3145="","",ORCAMENTOS!L3145)</f>
        <v>FECHADO</v>
      </c>
      <c r="K3137" s="34" t="str">
        <f>IF(ORCAMENTOS!M3145="","",ORCAMENTOS!M3145)</f>
        <v>-</v>
      </c>
      <c r="L3137" t="str">
        <f>IF(ORCAMENTOS!R3145="","",ORCAMENTOS!R3145)</f>
        <v>-</v>
      </c>
    </row>
    <row r="3138" spans="1:12" ht="15.75" hidden="1" customHeight="1" x14ac:dyDescent="0.25">
      <c r="A3138" s="36">
        <f>IF(ORCAMENTOS!A3146="","",ORCAMENTOS!A3146)</f>
        <v>46175</v>
      </c>
      <c r="B3138" s="46">
        <f>IF(ORCAMENTOS!B3146="","",ORCAMENTOS!B3146)</f>
        <v>961</v>
      </c>
      <c r="C3138" s="46" t="str">
        <f>IF(ORCAMENTOS!C3146="","",ORCAMENTOS!C3146)</f>
        <v>R1</v>
      </c>
      <c r="D3138" s="37" t="str">
        <f>IF(ORCAMENTOS!D3146="","",ORCAMENTOS!D3146)</f>
        <v>ACSISTEM</v>
      </c>
      <c r="E3138" s="38" t="str">
        <f>IF(ORCAMENTOS!E3146="","",ORCAMENTOS!E3146)</f>
        <v>PETZ JACANA</v>
      </c>
      <c r="F3138" s="37" t="str">
        <f>IF(ORCAMENTOS!G3146="","",ORCAMENTOS!G3146)</f>
        <v>Emanuel</v>
      </c>
      <c r="G3138" s="37" t="str">
        <f>IF(ORCAMENTOS!H3146="","",ORCAMENTOS!H3146)</f>
        <v>Henrique</v>
      </c>
      <c r="H3138" s="39">
        <f>IF(ORCAMENTOS!I3146="","",ORCAMENTOS!I3146)</f>
        <v>5325.44</v>
      </c>
      <c r="I3138" s="60">
        <f>IF(ORCAMENTOS!J3146="","",ORCAMENTOS!J3146)</f>
        <v>0.05</v>
      </c>
      <c r="J3138" s="40" t="str">
        <f>IF(ORCAMENTOS!L3146="","",ORCAMENTOS!L3146)</f>
        <v>FECHADO</v>
      </c>
      <c r="K3138" s="34" t="str">
        <f>IF(ORCAMENTOS!M3146="","",ORCAMENTOS!M3146)</f>
        <v>-</v>
      </c>
      <c r="L3138" t="str">
        <f>IF(ORCAMENTOS!R3146="","",ORCAMENTOS!R3146)</f>
        <v>-</v>
      </c>
    </row>
    <row r="3139" spans="1:12" ht="15.75" hidden="1" customHeight="1" x14ac:dyDescent="0.25">
      <c r="A3139" s="36">
        <f>IF(ORCAMENTOS!A3147="","",ORCAMENTOS!A3147)</f>
        <v>46175</v>
      </c>
      <c r="B3139" s="46">
        <f>IF(ORCAMENTOS!B3147="","",ORCAMENTOS!B3147)</f>
        <v>962</v>
      </c>
      <c r="C3139" s="46" t="str">
        <f>IF(ORCAMENTOS!C3147="","",ORCAMENTOS!C3147)</f>
        <v/>
      </c>
      <c r="D3139" s="37" t="str">
        <f>IF(ORCAMENTOS!D3147="","",ORCAMENTOS!D3147)</f>
        <v>CRUZ ENGENHARIA</v>
      </c>
      <c r="E3139" s="38" t="str">
        <f>IF(ORCAMENTOS!E3147="","",ORCAMENTOS!E3147)</f>
        <v>-</v>
      </c>
      <c r="F3139" s="37" t="str">
        <f>IF(ORCAMENTOS!G3147="","",ORCAMENTOS!G3147)</f>
        <v>Gabriel</v>
      </c>
      <c r="G3139" s="37" t="str">
        <f>IF(ORCAMENTOS!H3147="","",ORCAMENTOS!H3147)</f>
        <v>Luiz</v>
      </c>
      <c r="H3139" s="39">
        <f>IF(ORCAMENTOS!I3147="","",ORCAMENTOS!I3147)</f>
        <v>21409.26</v>
      </c>
      <c r="I3139" s="60">
        <f>IF(ORCAMENTOS!J3147="","",ORCAMENTOS!J3147)</f>
        <v>7.0000000000000007E-2</v>
      </c>
      <c r="J3139" s="40" t="str">
        <f>IF(ORCAMENTOS!L3147="","",ORCAMENTOS!L3147)</f>
        <v>ORCAMENTO</v>
      </c>
      <c r="K3139" s="34" t="str">
        <f>IF(ORCAMENTOS!M3147="","",ORCAMENTOS!M3147)</f>
        <v>-</v>
      </c>
      <c r="L3139" t="str">
        <f>IF(ORCAMENTOS!R3147="","",ORCAMENTOS!R3147)</f>
        <v>-</v>
      </c>
    </row>
    <row r="3140" spans="1:12" ht="15.75" hidden="1" customHeight="1" x14ac:dyDescent="0.25">
      <c r="A3140" s="36">
        <f>IF(ORCAMENTOS!A3148="","",ORCAMENTOS!A3148)</f>
        <v>46174</v>
      </c>
      <c r="B3140" s="46">
        <f>IF(ORCAMENTOS!B3148="","",ORCAMENTOS!B3148)</f>
        <v>963</v>
      </c>
      <c r="C3140" s="46" t="str">
        <f>IF(ORCAMENTOS!C3148="","",ORCAMENTOS!C3148)</f>
        <v/>
      </c>
      <c r="D3140" s="37" t="str">
        <f>IF(ORCAMENTOS!D3148="","",ORCAMENTOS!D3148)</f>
        <v>AWA AR CONDICIONADO</v>
      </c>
      <c r="E3140" s="38" t="str">
        <f>IF(ORCAMENTOS!E3148="","",ORCAMENTOS!E3148)</f>
        <v>RENNER - RNR SHP - AGUAS LINDAS - SANTA LUZIA</v>
      </c>
      <c r="F3140" s="37" t="str">
        <f>IF(ORCAMENTOS!G3148="","",ORCAMENTOS!G3148)</f>
        <v>Guilherme</v>
      </c>
      <c r="G3140" s="37" t="str">
        <f>IF(ORCAMENTOS!H3148="","",ORCAMENTOS!H3148)</f>
        <v>Guilherme</v>
      </c>
      <c r="H3140" s="39">
        <f>IF(ORCAMENTOS!I3148="","",ORCAMENTOS!I3148)</f>
        <v>57895.28</v>
      </c>
      <c r="I3140" s="60">
        <f>IF(ORCAMENTOS!J3148="","",ORCAMENTOS!J3148)</f>
        <v>0.05</v>
      </c>
      <c r="J3140" s="40" t="str">
        <f>IF(ORCAMENTOS!L3148="","",ORCAMENTOS!L3148)</f>
        <v>ORCAMENTO</v>
      </c>
      <c r="K3140" s="34" t="str">
        <f>IF(ORCAMENTOS!M3148="","",ORCAMENTOS!M3148)</f>
        <v>-</v>
      </c>
      <c r="L3140" t="str">
        <f>IF(ORCAMENTOS!R3148="","",ORCAMENTOS!R3148)</f>
        <v>MPU</v>
      </c>
    </row>
    <row r="3141" spans="1:12" ht="15.75" hidden="1" customHeight="1" x14ac:dyDescent="0.25">
      <c r="A3141" s="36">
        <f>IF(ORCAMENTOS!A3149="","",ORCAMENTOS!A3149)</f>
        <v>46174</v>
      </c>
      <c r="B3141" s="46">
        <f>IF(ORCAMENTOS!B3149="","",ORCAMENTOS!B3149)</f>
        <v>694</v>
      </c>
      <c r="C3141" s="46" t="str">
        <f>IF(ORCAMENTOS!C3149="","",ORCAMENTOS!C3149)</f>
        <v/>
      </c>
      <c r="D3141" s="37" t="str">
        <f>IF(ORCAMENTOS!D3149="","",ORCAMENTOS!D3149)</f>
        <v>AWA AR CONDICIONADO</v>
      </c>
      <c r="E3141" s="38" t="str">
        <f>IF(ORCAMENTOS!E3149="","",ORCAMENTOS!E3149)</f>
        <v>RENNER - PETROLINA RIVER SHOPPING - PE</v>
      </c>
      <c r="F3141" s="37" t="str">
        <f>IF(ORCAMENTOS!G3149="","",ORCAMENTOS!G3149)</f>
        <v>Guilherme</v>
      </c>
      <c r="G3141" s="37" t="str">
        <f>IF(ORCAMENTOS!H3149="","",ORCAMENTOS!H3149)</f>
        <v>Guilherme</v>
      </c>
      <c r="H3141" s="39">
        <f>IF(ORCAMENTOS!I3149="","",ORCAMENTOS!I3149)</f>
        <v>103421.56</v>
      </c>
      <c r="I3141" s="60">
        <f>IF(ORCAMENTOS!J3149="","",ORCAMENTOS!J3149)</f>
        <v>0.05</v>
      </c>
      <c r="J3141" s="40" t="str">
        <f>IF(ORCAMENTOS!L3149="","",ORCAMENTOS!L3149)</f>
        <v>ORCAMENTO</v>
      </c>
      <c r="K3141" s="34" t="str">
        <f>IF(ORCAMENTOS!M3149="","",ORCAMENTOS!M3149)</f>
        <v>-</v>
      </c>
      <c r="L3141" t="str">
        <f>IF(ORCAMENTOS!R3149="","",ORCAMENTOS!R3149)</f>
        <v>MPU</v>
      </c>
    </row>
    <row r="3142" spans="1:12" ht="15.75" hidden="1" customHeight="1" x14ac:dyDescent="0.25">
      <c r="A3142" s="36">
        <f>IF(ORCAMENTOS!A3150="","",ORCAMENTOS!A3150)</f>
        <v>46175</v>
      </c>
      <c r="B3142" s="46">
        <f>IF(ORCAMENTOS!B3150="","",ORCAMENTOS!B3150)</f>
        <v>965</v>
      </c>
      <c r="C3142" s="46" t="str">
        <f>IF(ORCAMENTOS!C3150="","",ORCAMENTOS!C3150)</f>
        <v/>
      </c>
      <c r="D3142" s="37" t="str">
        <f>IF(ORCAMENTOS!D3150="","",ORCAMENTOS!D3150)</f>
        <v>GLACIAL AR</v>
      </c>
      <c r="E3142" s="38" t="str">
        <f>IF(ORCAMENTOS!E3150="","",ORCAMENTOS!E3150)</f>
        <v>PRÉDIO DO ADMINISTRATIVO - USINA DE ETANOL - RIO VERDE - GOIAS</v>
      </c>
      <c r="F3142" s="37" t="str">
        <f>IF(ORCAMENTOS!G3150="","",ORCAMENTOS!G3150)</f>
        <v>Fernando</v>
      </c>
      <c r="G3142" s="37" t="str">
        <f>IF(ORCAMENTOS!H3150="","",ORCAMENTOS!H3150)</f>
        <v>Gilvan</v>
      </c>
      <c r="H3142" s="39">
        <f>IF(ORCAMENTOS!I3150="","",ORCAMENTOS!I3150)</f>
        <v>15701.51</v>
      </c>
      <c r="I3142" s="60">
        <f>IF(ORCAMENTOS!J3150="","",ORCAMENTOS!J3150)</f>
        <v>7.0000000000000007E-2</v>
      </c>
      <c r="J3142" s="40" t="str">
        <f>IF(ORCAMENTOS!L3150="","",ORCAMENTOS!L3150)</f>
        <v>ORCAMENTO</v>
      </c>
      <c r="K3142" s="34" t="str">
        <f>IF(ORCAMENTOS!M3150="","",ORCAMENTOS!M3150)</f>
        <v>-</v>
      </c>
      <c r="L3142" t="str">
        <f>IF(ORCAMENTOS!R3150="","",ORCAMENTOS!R3150)</f>
        <v>-</v>
      </c>
    </row>
    <row r="3143" spans="1:12" ht="15.75" hidden="1" customHeight="1" x14ac:dyDescent="0.25">
      <c r="A3143" s="36">
        <f>IF(ORCAMENTOS!A3151="","",ORCAMENTOS!A3151)</f>
        <v>46175</v>
      </c>
      <c r="B3143" s="46">
        <f>IF(ORCAMENTOS!B3151="","",ORCAMENTOS!B3151)</f>
        <v>966</v>
      </c>
      <c r="C3143" s="46" t="str">
        <f>IF(ORCAMENTOS!C3151="","",ORCAMENTOS!C3151)</f>
        <v>R1</v>
      </c>
      <c r="D3143" s="37" t="str">
        <f>IF(ORCAMENTOS!D3151="","",ORCAMENTOS!D3151)</f>
        <v>APICE CLIMA</v>
      </c>
      <c r="E3143" s="38" t="str">
        <f>IF(ORCAMENTOS!E3151="","",ORCAMENTOS!E3151)</f>
        <v>BB ESTILO BARÃO DE ITAPURA – AV BARÃO DE ITAPURA, 863 – BOTAFOGO – CAMPINAS – SP</v>
      </c>
      <c r="F3143" s="37" t="str">
        <f>IF(ORCAMENTOS!G3151="","",ORCAMENTOS!G3151)</f>
        <v>Michel</v>
      </c>
      <c r="G3143" s="37" t="str">
        <f>IF(ORCAMENTOS!H3151="","",ORCAMENTOS!H3151)</f>
        <v>Djair</v>
      </c>
      <c r="H3143" s="39">
        <f>IF(ORCAMENTOS!I3151="","",ORCAMENTOS!I3151)</f>
        <v>30215.24</v>
      </c>
      <c r="I3143" s="60">
        <f>IF(ORCAMENTOS!J3151="","",ORCAMENTOS!J3151)</f>
        <v>7.0000000000000007E-2</v>
      </c>
      <c r="J3143" s="40" t="str">
        <f>IF(ORCAMENTOS!L3151="","",ORCAMENTOS!L3151)</f>
        <v>ORCAMENTO</v>
      </c>
      <c r="K3143" s="34" t="str">
        <f>IF(ORCAMENTOS!M3151="","",ORCAMENTOS!M3151)</f>
        <v>-</v>
      </c>
      <c r="L3143" t="str">
        <f>IF(ORCAMENTOS!R3151="","",ORCAMENTOS!R3151)</f>
        <v>N/E</v>
      </c>
    </row>
    <row r="3144" spans="1:12" ht="15.75" hidden="1" customHeight="1" x14ac:dyDescent="0.25">
      <c r="A3144" s="36">
        <f>IF(ORCAMENTOS!A3152="","",ORCAMENTOS!A3152)</f>
        <v>46175</v>
      </c>
      <c r="B3144" s="46">
        <f>IF(ORCAMENTOS!B3152="","",ORCAMENTOS!B3152)</f>
        <v>967</v>
      </c>
      <c r="C3144" s="46" t="str">
        <f>IF(ORCAMENTOS!C3152="","",ORCAMENTOS!C3152)</f>
        <v/>
      </c>
      <c r="D3144" s="37" t="str">
        <f>IF(ORCAMENTOS!D3152="","",ORCAMENTOS!D3152)</f>
        <v>GDM AR CONDICIONADO</v>
      </c>
      <c r="E3144" s="38" t="str">
        <f>IF(ORCAMENTOS!E3152="","",ORCAMENTOS!E3152)</f>
        <v>HOSPITAL SAPEZAL - MIT - CENTRO CIRURGICO</v>
      </c>
      <c r="F3144" s="37" t="str">
        <f>IF(ORCAMENTOS!G3152="","",ORCAMENTOS!G3152)</f>
        <v>Guilherme</v>
      </c>
      <c r="G3144" s="37" t="str">
        <f>IF(ORCAMENTOS!H3152="","",ORCAMENTOS!H3152)</f>
        <v>Daniel</v>
      </c>
      <c r="H3144" s="39">
        <f>IF(ORCAMENTOS!I3152="","",ORCAMENTOS!I3152)</f>
        <v>70508.009999999995</v>
      </c>
      <c r="I3144" s="60">
        <f>IF(ORCAMENTOS!J3152="","",ORCAMENTOS!J3152)</f>
        <v>7.0000000000000007E-2</v>
      </c>
      <c r="J3144" s="40" t="str">
        <f>IF(ORCAMENTOS!L3152="","",ORCAMENTOS!L3152)</f>
        <v>ORCAMENTO</v>
      </c>
      <c r="K3144" s="34" t="str">
        <f>IF(ORCAMENTOS!M3152="","",ORCAMENTOS!M3152)</f>
        <v>-</v>
      </c>
      <c r="L3144" t="str">
        <f>IF(ORCAMENTOS!R3152="","",ORCAMENTOS!R3152)</f>
        <v/>
      </c>
    </row>
    <row r="3145" spans="1:12" ht="15.75" hidden="1" customHeight="1" x14ac:dyDescent="0.25">
      <c r="A3145" s="36">
        <f>IF(ORCAMENTOS!A3153="","",ORCAMENTOS!A3153)</f>
        <v>46175</v>
      </c>
      <c r="B3145" s="46">
        <f>IF(ORCAMENTOS!B3153="","",ORCAMENTOS!B3153)</f>
        <v>968</v>
      </c>
      <c r="C3145" s="46" t="str">
        <f>IF(ORCAMENTOS!C3153="","",ORCAMENTOS!C3153)</f>
        <v>R1</v>
      </c>
      <c r="D3145" s="37" t="str">
        <f>IF(ORCAMENTOS!D3153="","",ORCAMENTOS!D3153)</f>
        <v>MANENG</v>
      </c>
      <c r="E3145" s="38" t="str">
        <f>IF(ORCAMENTOS!E3153="","",ORCAMENTOS!E3153)</f>
        <v>-</v>
      </c>
      <c r="F3145" s="37" t="str">
        <f>IF(ORCAMENTOS!G3153="","",ORCAMENTOS!G3153)</f>
        <v>Guilherme</v>
      </c>
      <c r="G3145" s="37" t="str">
        <f>IF(ORCAMENTOS!H3153="","",ORCAMENTOS!H3153)</f>
        <v>Hanna</v>
      </c>
      <c r="H3145" s="39">
        <f>IF(ORCAMENTOS!I3153="","",ORCAMENTOS!I3153)</f>
        <v>5551.3</v>
      </c>
      <c r="I3145" s="60">
        <f>IF(ORCAMENTOS!J3153="","",ORCAMENTOS!J3153)</f>
        <v>0.04</v>
      </c>
      <c r="J3145" s="40" t="str">
        <f>IF(ORCAMENTOS!L3153="","",ORCAMENTOS!L3153)</f>
        <v>COMPRA</v>
      </c>
      <c r="K3145" s="34" t="str">
        <f>IF(ORCAMENTOS!M3153="","",ORCAMENTOS!M3153)</f>
        <v>-</v>
      </c>
      <c r="L3145" t="str">
        <f>IF(ORCAMENTOS!R3153="","",ORCAMENTOS!R3153)</f>
        <v>-</v>
      </c>
    </row>
    <row r="3146" spans="1:12" ht="15.75" hidden="1" customHeight="1" x14ac:dyDescent="0.25">
      <c r="A3146" s="36">
        <f>IF(ORCAMENTOS!A3154="","",ORCAMENTOS!A3154)</f>
        <v>46175</v>
      </c>
      <c r="B3146" s="46">
        <f>IF(ORCAMENTOS!B3154="","",ORCAMENTOS!B3154)</f>
        <v>969</v>
      </c>
      <c r="C3146" s="46" t="str">
        <f>IF(ORCAMENTOS!C3154="","",ORCAMENTOS!C3154)</f>
        <v/>
      </c>
      <c r="D3146" s="37" t="str">
        <f>IF(ORCAMENTOS!D3154="","",ORCAMENTOS!D3154)</f>
        <v>RONALDO DONIZETE</v>
      </c>
      <c r="E3146" s="38" t="str">
        <f>IF(ORCAMENTOS!E3154="","",ORCAMENTOS!E3154)</f>
        <v>MAUA</v>
      </c>
      <c r="F3146" s="37" t="str">
        <f>IF(ORCAMENTOS!G3154="","",ORCAMENTOS!G3154)</f>
        <v>Michel</v>
      </c>
      <c r="G3146" s="37" t="str">
        <f>IF(ORCAMENTOS!H3154="","",ORCAMENTOS!H3154)</f>
        <v>Ronaldo</v>
      </c>
      <c r="H3146" s="39">
        <f>IF(ORCAMENTOS!I3154="","",ORCAMENTOS!I3154)</f>
        <v>63797.279999999999</v>
      </c>
      <c r="I3146" s="60">
        <f>IF(ORCAMENTOS!J3154="","",ORCAMENTOS!J3154)</f>
        <v>7.0000000000000007E-2</v>
      </c>
      <c r="J3146" s="40" t="str">
        <f>IF(ORCAMENTOS!L3154="","",ORCAMENTOS!L3154)</f>
        <v>ORCAMENTO</v>
      </c>
      <c r="K3146" s="34" t="str">
        <f>IF(ORCAMENTOS!M3154="","",ORCAMENTOS!M3154)</f>
        <v>-</v>
      </c>
      <c r="L3146" t="str">
        <f>IF(ORCAMENTOS!R3154="","",ORCAMENTOS!R3154)</f>
        <v>-</v>
      </c>
    </row>
    <row r="3147" spans="1:12" ht="15.75" hidden="1" customHeight="1" x14ac:dyDescent="0.25">
      <c r="A3147" s="36">
        <f>IF(ORCAMENTOS!A3155="","",ORCAMENTOS!A3155)</f>
        <v>46175</v>
      </c>
      <c r="B3147" s="46">
        <f>IF(ORCAMENTOS!B3155="","",ORCAMENTOS!B3155)</f>
        <v>970</v>
      </c>
      <c r="C3147" s="46" t="str">
        <f>IF(ORCAMENTOS!C3155="","",ORCAMENTOS!C3155)</f>
        <v/>
      </c>
      <c r="D3147" s="37" t="str">
        <f>IF(ORCAMENTOS!D3155="","",ORCAMENTOS!D3155)</f>
        <v>ITALO NASCIMENTO</v>
      </c>
      <c r="E3147" s="38" t="str">
        <f>IF(ORCAMENTOS!E3155="","",ORCAMENTOS!E3155)</f>
        <v>HOSPITAL PEQUENO PRINCIPE - CURITIBA - PR</v>
      </c>
      <c r="F3147" s="37" t="str">
        <f>IF(ORCAMENTOS!G3155="","",ORCAMENTOS!G3155)</f>
        <v>Gabriel</v>
      </c>
      <c r="G3147" s="37" t="str">
        <f>IF(ORCAMENTOS!H3155="","",ORCAMENTOS!H3155)</f>
        <v>Italo</v>
      </c>
      <c r="H3147" s="39">
        <f>IF(ORCAMENTOS!I3155="","",ORCAMENTOS!I3155)</f>
        <v>11955.61</v>
      </c>
      <c r="I3147" s="60">
        <f>IF(ORCAMENTOS!J3155="","",ORCAMENTOS!J3155)</f>
        <v>7.0000000000000007E-2</v>
      </c>
      <c r="J3147" s="40" t="str">
        <f>IF(ORCAMENTOS!L3155="","",ORCAMENTOS!L3155)</f>
        <v>ORCAMENTO</v>
      </c>
      <c r="K3147" s="34" t="str">
        <f>IF(ORCAMENTOS!M3155="","",ORCAMENTOS!M3155)</f>
        <v>-</v>
      </c>
      <c r="L3147" t="str">
        <f>IF(ORCAMENTOS!R3155="","",ORCAMENTOS!R3155)</f>
        <v>N/E</v>
      </c>
    </row>
    <row r="3148" spans="1:12" ht="15.75" hidden="1" customHeight="1" x14ac:dyDescent="0.25">
      <c r="A3148" s="36">
        <f>IF(ORCAMENTOS!A3156="","",ORCAMENTOS!A3156)</f>
        <v>46175</v>
      </c>
      <c r="B3148" s="46">
        <f>IF(ORCAMENTOS!B3156="","",ORCAMENTOS!B3156)</f>
        <v>971</v>
      </c>
      <c r="C3148" s="46" t="str">
        <f>IF(ORCAMENTOS!C3156="","",ORCAMENTOS!C3156)</f>
        <v/>
      </c>
      <c r="D3148" s="37" t="str">
        <f>IF(ORCAMENTOS!D3156="","",ORCAMENTOS!D3156)</f>
        <v>RGB LICENCE</v>
      </c>
      <c r="E3148" s="38" t="str">
        <f>IF(ORCAMENTOS!E3156="","",ORCAMENTOS!E3156)</f>
        <v>AEROPOSTALE - SHOPPING IBIRAPUERA</v>
      </c>
      <c r="F3148" s="37" t="str">
        <f>IF(ORCAMENTOS!G3156="","",ORCAMENTOS!G3156)</f>
        <v>Gabriel</v>
      </c>
      <c r="G3148" s="37" t="str">
        <f>IF(ORCAMENTOS!H3156="","",ORCAMENTOS!H3156)</f>
        <v>Fabricio</v>
      </c>
      <c r="H3148" s="39">
        <f>IF(ORCAMENTOS!I3156="","",ORCAMENTOS!I3156)</f>
        <v>9113.25</v>
      </c>
      <c r="I3148" s="60">
        <f>IF(ORCAMENTOS!J3156="","",ORCAMENTOS!J3156)</f>
        <v>7.0000000000000007E-2</v>
      </c>
      <c r="J3148" s="40" t="str">
        <f>IF(ORCAMENTOS!L3156="","",ORCAMENTOS!L3156)</f>
        <v>ORCAMENTO</v>
      </c>
      <c r="K3148" s="34" t="str">
        <f>IF(ORCAMENTOS!M3156="","",ORCAMENTOS!M3156)</f>
        <v>-</v>
      </c>
      <c r="L3148" t="str">
        <f>IF(ORCAMENTOS!R3156="","",ORCAMENTOS!R3156)</f>
        <v>MPU</v>
      </c>
    </row>
    <row r="3149" spans="1:12" ht="15.75" hidden="1" customHeight="1" x14ac:dyDescent="0.25">
      <c r="A3149" s="36">
        <f>IF(ORCAMENTOS!A3157="","",ORCAMENTOS!A3157)</f>
        <v>46175</v>
      </c>
      <c r="B3149" s="46">
        <f>IF(ORCAMENTOS!B3157="","",ORCAMENTOS!B3157)</f>
        <v>972</v>
      </c>
      <c r="C3149" s="46" t="str">
        <f>IF(ORCAMENTOS!C3157="","",ORCAMENTOS!C3157)</f>
        <v/>
      </c>
      <c r="D3149" s="37" t="str">
        <f>IF(ORCAMENTOS!D3157="","",ORCAMENTOS!D3157)</f>
        <v>ZEON REFRIGERACAO</v>
      </c>
      <c r="E3149" s="38" t="str">
        <f>IF(ORCAMENTOS!E3157="","",ORCAMENTOS!E3157)</f>
        <v>-</v>
      </c>
      <c r="F3149" s="37" t="str">
        <f>IF(ORCAMENTOS!G3157="","",ORCAMENTOS!G3157)</f>
        <v>Gabriel</v>
      </c>
      <c r="G3149" s="37" t="str">
        <f>IF(ORCAMENTOS!H3157="","",ORCAMENTOS!H3157)</f>
        <v>Marcos</v>
      </c>
      <c r="H3149" s="39">
        <f>IF(ORCAMENTOS!I3157="","",ORCAMENTOS!I3157)</f>
        <v>13082.2</v>
      </c>
      <c r="I3149" s="60">
        <f>IF(ORCAMENTOS!J3157="","",ORCAMENTOS!J3157)</f>
        <v>7.0000000000000007E-2</v>
      </c>
      <c r="J3149" s="40" t="str">
        <f>IF(ORCAMENTOS!L3157="","",ORCAMENTOS!L3157)</f>
        <v>ORCAMENTO</v>
      </c>
      <c r="K3149" s="34" t="str">
        <f>IF(ORCAMENTOS!M3157="","",ORCAMENTOS!M3157)</f>
        <v>-</v>
      </c>
      <c r="L3149" t="str">
        <f>IF(ORCAMENTOS!R3157="","",ORCAMENTOS!R3157)</f>
        <v>-</v>
      </c>
    </row>
    <row r="3150" spans="1:12" ht="15.75" hidden="1" customHeight="1" x14ac:dyDescent="0.25">
      <c r="A3150" s="36">
        <f>IF(ORCAMENTOS!A3158="","",ORCAMENTOS!A3158)</f>
        <v>46175</v>
      </c>
      <c r="B3150" s="46">
        <f>IF(ORCAMENTOS!B3158="","",ORCAMENTOS!B3158)</f>
        <v>973</v>
      </c>
      <c r="C3150" s="46" t="str">
        <f>IF(ORCAMENTOS!C3158="","",ORCAMENTOS!C3158)</f>
        <v/>
      </c>
      <c r="D3150" s="37" t="str">
        <f>IF(ORCAMENTOS!D3158="","",ORCAMENTOS!D3158)</f>
        <v>CEC SOLUCOES</v>
      </c>
      <c r="E3150" s="38" t="str">
        <f>IF(ORCAMENTOS!E3158="","",ORCAMENTOS!E3158)</f>
        <v>BANCO DO BRASIL - AVENIDA DOUTOR NELSON D AVILA - CENTRO</v>
      </c>
      <c r="F3150" s="37" t="str">
        <f>IF(ORCAMENTOS!G3158="","",ORCAMENTOS!G3158)</f>
        <v>Gabriel</v>
      </c>
      <c r="G3150" s="37" t="str">
        <f>IF(ORCAMENTOS!H3158="","",ORCAMENTOS!H3158)</f>
        <v>Cristiano</v>
      </c>
      <c r="H3150" s="39">
        <f>IF(ORCAMENTOS!I3158="","",ORCAMENTOS!I3158)</f>
        <v>28568.44</v>
      </c>
      <c r="I3150" s="60">
        <f>IF(ORCAMENTOS!J3158="","",ORCAMENTOS!J3158)</f>
        <v>7.0000000000000007E-2</v>
      </c>
      <c r="J3150" s="40" t="str">
        <f>IF(ORCAMENTOS!L3158="","",ORCAMENTOS!L3158)</f>
        <v>ORCAMENTO</v>
      </c>
      <c r="K3150" s="34" t="str">
        <f>IF(ORCAMENTOS!M3158="","",ORCAMENTOS!M3158)</f>
        <v>-</v>
      </c>
      <c r="L3150" t="str">
        <f>IF(ORCAMENTOS!R3158="","",ORCAMENTOS!R3158)</f>
        <v>N/E</v>
      </c>
    </row>
    <row r="3151" spans="1:12" ht="15.75" hidden="1" customHeight="1" x14ac:dyDescent="0.25">
      <c r="A3151" s="36">
        <f>IF(ORCAMENTOS!A3159="","",ORCAMENTOS!A3159)</f>
        <v>46175</v>
      </c>
      <c r="B3151" s="46">
        <f>IF(ORCAMENTOS!B3159="","",ORCAMENTOS!B3159)</f>
        <v>974</v>
      </c>
      <c r="C3151" s="46" t="str">
        <f>IF(ORCAMENTOS!C3159="","",ORCAMENTOS!C3159)</f>
        <v/>
      </c>
      <c r="D3151" s="37" t="str">
        <f>IF(ORCAMENTOS!D3159="","",ORCAMENTOS!D3159)</f>
        <v>HARCO ENGENHARIA</v>
      </c>
      <c r="E3151" s="38" t="str">
        <f>IF(ORCAMENTOS!E3159="","",ORCAMENTOS!E3159)</f>
        <v>-</v>
      </c>
      <c r="F3151" s="37" t="str">
        <f>IF(ORCAMENTOS!G3159="","",ORCAMENTOS!G3159)</f>
        <v>Emanuel</v>
      </c>
      <c r="G3151" s="37" t="str">
        <f>IF(ORCAMENTOS!H3159="","",ORCAMENTOS!H3159)</f>
        <v>Joao</v>
      </c>
      <c r="H3151" s="39">
        <f>IF(ORCAMENTOS!I3159="","",ORCAMENTOS!I3159)</f>
        <v>5954.22</v>
      </c>
      <c r="I3151" s="60">
        <f>IF(ORCAMENTOS!J3159="","",ORCAMENTOS!J3159)</f>
        <v>0.04</v>
      </c>
      <c r="J3151" s="40" t="str">
        <f>IF(ORCAMENTOS!L3159="","",ORCAMENTOS!L3159)</f>
        <v>ORCAMENTO</v>
      </c>
      <c r="K3151" s="34" t="str">
        <f>IF(ORCAMENTOS!M3159="","",ORCAMENTOS!M3159)</f>
        <v>-</v>
      </c>
      <c r="L3151" t="str">
        <f>IF(ORCAMENTOS!R3159="","",ORCAMENTOS!R3159)</f>
        <v>-</v>
      </c>
    </row>
    <row r="3152" spans="1:12" ht="15.75" hidden="1" customHeight="1" x14ac:dyDescent="0.25">
      <c r="A3152" s="36">
        <f>IF(ORCAMENTOS!A3160="","",ORCAMENTOS!A3160)</f>
        <v>46175</v>
      </c>
      <c r="B3152" s="46">
        <f>IF(ORCAMENTOS!B3160="","",ORCAMENTOS!B3160)</f>
        <v>975</v>
      </c>
      <c r="C3152" s="46" t="str">
        <f>IF(ORCAMENTOS!C3160="","",ORCAMENTOS!C3160)</f>
        <v/>
      </c>
      <c r="D3152" s="37" t="str">
        <f>IF(ORCAMENTOS!D3160="","",ORCAMENTOS!D3160)</f>
        <v>NP CLIMATIZAÇÃO</v>
      </c>
      <c r="E3152" s="38" t="str">
        <f>IF(ORCAMENTOS!E3160="","",ORCAMENTOS!E3160)</f>
        <v>PAROQUIA SÃO INACIO DE LOYOLA</v>
      </c>
      <c r="F3152" s="37" t="str">
        <f>IF(ORCAMENTOS!G3160="","",ORCAMENTOS!G3160)</f>
        <v>Guilherme</v>
      </c>
      <c r="G3152" s="37" t="str">
        <f>IF(ORCAMENTOS!H3160="","",ORCAMENTOS!H3160)</f>
        <v>Maria</v>
      </c>
      <c r="H3152" s="39">
        <f>IF(ORCAMENTOS!I3160="","",ORCAMENTOS!I3160)</f>
        <v>12257.34</v>
      </c>
      <c r="I3152" s="60">
        <f>IF(ORCAMENTOS!J3160="","",ORCAMENTOS!J3160)</f>
        <v>7.0000000000000007E-2</v>
      </c>
      <c r="J3152" s="40" t="str">
        <f>IF(ORCAMENTOS!L3160="","",ORCAMENTOS!L3160)</f>
        <v>ORCAMENTO</v>
      </c>
      <c r="K3152" s="34" t="str">
        <f>IF(ORCAMENTOS!M3160="","",ORCAMENTOS!M3160)</f>
        <v>-</v>
      </c>
      <c r="L3152" t="str">
        <f>IF(ORCAMENTOS!R3160="","",ORCAMENTOS!R3160)</f>
        <v>N/E</v>
      </c>
    </row>
    <row r="3153" spans="1:12" ht="15.75" hidden="1" customHeight="1" x14ac:dyDescent="0.25">
      <c r="A3153" s="36">
        <f>IF(ORCAMENTOS!A3161="","",ORCAMENTOS!A3161)</f>
        <v>46175</v>
      </c>
      <c r="B3153" s="46">
        <f>IF(ORCAMENTOS!B3161="","",ORCAMENTOS!B3161)</f>
        <v>976</v>
      </c>
      <c r="C3153" s="46" t="str">
        <f>IF(ORCAMENTOS!C3161="","",ORCAMENTOS!C3161)</f>
        <v/>
      </c>
      <c r="D3153" s="37" t="str">
        <f>IF(ORCAMENTOS!D3161="","",ORCAMENTOS!D3161)</f>
        <v>ZEON REFRIGERACAO</v>
      </c>
      <c r="E3153" s="38" t="str">
        <f>IF(ORCAMENTOS!E3161="","",ORCAMENTOS!E3161)</f>
        <v>-</v>
      </c>
      <c r="F3153" s="37" t="str">
        <f>IF(ORCAMENTOS!G3161="","",ORCAMENTOS!G3161)</f>
        <v>Gabriel</v>
      </c>
      <c r="G3153" s="37" t="str">
        <f>IF(ORCAMENTOS!H3161="","",ORCAMENTOS!H3161)</f>
        <v>Marcos</v>
      </c>
      <c r="H3153" s="39">
        <f>IF(ORCAMENTOS!I3161="","",ORCAMENTOS!I3161)</f>
        <v>25640</v>
      </c>
      <c r="I3153" s="60">
        <f>IF(ORCAMENTOS!J3161="","",ORCAMENTOS!J3161)</f>
        <v>0.03</v>
      </c>
      <c r="J3153" s="40" t="str">
        <f>IF(ORCAMENTOS!L3161="","",ORCAMENTOS!L3161)</f>
        <v>FECHADO</v>
      </c>
      <c r="K3153" s="34" t="str">
        <f>IF(ORCAMENTOS!M3161="","",ORCAMENTOS!M3161)</f>
        <v>REVENDA</v>
      </c>
      <c r="L3153" t="str">
        <f>IF(ORCAMENTOS!R3161="","",ORCAMENTOS!R3161)</f>
        <v>-</v>
      </c>
    </row>
    <row r="3154" spans="1:12" ht="15.75" hidden="1" customHeight="1" x14ac:dyDescent="0.25">
      <c r="A3154" s="36">
        <f>IF(ORCAMENTOS!A3162="","",ORCAMENTOS!A3162)</f>
        <v>46175</v>
      </c>
      <c r="B3154" s="46">
        <f>IF(ORCAMENTOS!B3162="","",ORCAMENTOS!B3162)</f>
        <v>977</v>
      </c>
      <c r="C3154" s="46" t="str">
        <f>IF(ORCAMENTOS!C3162="","",ORCAMENTOS!C3162)</f>
        <v/>
      </c>
      <c r="D3154" s="37" t="str">
        <f>IF(ORCAMENTOS!D3162="","",ORCAMENTOS!D3162)</f>
        <v>AWA AR CONDICIONADO</v>
      </c>
      <c r="E3154" s="38" t="str">
        <f>IF(ORCAMENTOS!E3162="","",ORCAMENTOS!E3162)</f>
        <v>RENNER - SHOPPING IPE - MINEIROS - GO</v>
      </c>
      <c r="F3154" s="37" t="str">
        <f>IF(ORCAMENTOS!G3162="","",ORCAMENTOS!G3162)</f>
        <v>Guilherme</v>
      </c>
      <c r="G3154" s="37" t="str">
        <f>IF(ORCAMENTOS!H3162="","",ORCAMENTOS!H3162)</f>
        <v>Guilherme</v>
      </c>
      <c r="H3154" s="39">
        <f>IF(ORCAMENTOS!I3162="","",ORCAMENTOS!I3162)</f>
        <v>60153.56</v>
      </c>
      <c r="I3154" s="60">
        <f>IF(ORCAMENTOS!J3162="","",ORCAMENTOS!J3162)</f>
        <v>0.05</v>
      </c>
      <c r="J3154" s="40" t="str">
        <f>IF(ORCAMENTOS!L3162="","",ORCAMENTOS!L3162)</f>
        <v>ORCAMENTO</v>
      </c>
      <c r="K3154" s="34" t="str">
        <f>IF(ORCAMENTOS!M3162="","",ORCAMENTOS!M3162)</f>
        <v>-</v>
      </c>
      <c r="L3154" t="str">
        <f>IF(ORCAMENTOS!R3162="","",ORCAMENTOS!R3162)</f>
        <v>MPU</v>
      </c>
    </row>
    <row r="3155" spans="1:12" ht="15.75" hidden="1" customHeight="1" x14ac:dyDescent="0.25">
      <c r="A3155" s="36">
        <f>IF(ORCAMENTOS!A3163="","",ORCAMENTOS!A3163)</f>
        <v>46175</v>
      </c>
      <c r="B3155" s="46">
        <f>IF(ORCAMENTOS!B3163="","",ORCAMENTOS!B3163)</f>
        <v>978</v>
      </c>
      <c r="C3155" s="46" t="str">
        <f>IF(ORCAMENTOS!C3163="","",ORCAMENTOS!C3163)</f>
        <v/>
      </c>
      <c r="D3155" s="37" t="str">
        <f>IF(ORCAMENTOS!D3163="","",ORCAMENTOS!D3163)</f>
        <v>ECOTHERM</v>
      </c>
      <c r="E3155" s="38" t="str">
        <f>IF(ORCAMENTOS!E3163="","",ORCAMENTOS!E3163)</f>
        <v>Ribeirão Preto - Rede Dor</v>
      </c>
      <c r="F3155" s="37" t="str">
        <f>IF(ORCAMENTOS!G3163="","",ORCAMENTOS!G3163)</f>
        <v>Emanuel</v>
      </c>
      <c r="G3155" s="37" t="str">
        <f>IF(ORCAMENTOS!H3163="","",ORCAMENTOS!H3163)</f>
        <v>Helida</v>
      </c>
      <c r="H3155" s="39">
        <f>IF(ORCAMENTOS!I3163="","",ORCAMENTOS!I3163)</f>
        <v>107008.93</v>
      </c>
      <c r="I3155" s="60">
        <f>IF(ORCAMENTOS!J3163="","",ORCAMENTOS!J3163)</f>
        <v>0.03</v>
      </c>
      <c r="J3155" s="40" t="str">
        <f>IF(ORCAMENTOS!L3163="","",ORCAMENTOS!L3163)</f>
        <v>COMPRA</v>
      </c>
      <c r="K3155" s="34" t="str">
        <f>IF(ORCAMENTOS!M3163="","",ORCAMENTOS!M3163)</f>
        <v>-</v>
      </c>
      <c r="L3155" t="str">
        <f>IF(ORCAMENTOS!R3163="","",ORCAMENTOS!R3163)</f>
        <v>-</v>
      </c>
    </row>
    <row r="3156" spans="1:12" ht="15.75" hidden="1" customHeight="1" x14ac:dyDescent="0.25">
      <c r="A3156" s="36">
        <f>IF(ORCAMENTOS!A3164="","",ORCAMENTOS!A3164)</f>
        <v>46175</v>
      </c>
      <c r="B3156" s="46">
        <f>IF(ORCAMENTOS!B3164="","",ORCAMENTOS!B3164)</f>
        <v>979</v>
      </c>
      <c r="C3156" s="46" t="str">
        <f>IF(ORCAMENTOS!C3164="","",ORCAMENTOS!C3164)</f>
        <v/>
      </c>
      <c r="D3156" s="37" t="str">
        <f>IF(ORCAMENTOS!D3164="","",ORCAMENTOS!D3164)</f>
        <v>ZEON REFRIGERACAO</v>
      </c>
      <c r="E3156" s="38" t="str">
        <f>IF(ORCAMENTOS!E3164="","",ORCAMENTOS!E3164)</f>
        <v>-</v>
      </c>
      <c r="F3156" s="37" t="str">
        <f>IF(ORCAMENTOS!G3164="","",ORCAMENTOS!G3164)</f>
        <v>Gabriel</v>
      </c>
      <c r="G3156" s="37" t="str">
        <f>IF(ORCAMENTOS!H3164="","",ORCAMENTOS!H3164)</f>
        <v>Marcos</v>
      </c>
      <c r="H3156" s="39">
        <f>IF(ORCAMENTOS!I3164="","",ORCAMENTOS!I3164)</f>
        <v>1148.99</v>
      </c>
      <c r="I3156" s="60">
        <f>IF(ORCAMENTOS!J3164="","",ORCAMENTOS!J3164)</f>
        <v>7.0000000000000007E-2</v>
      </c>
      <c r="J3156" s="40" t="str">
        <f>IF(ORCAMENTOS!L3164="","",ORCAMENTOS!L3164)</f>
        <v>ORCAMENTO</v>
      </c>
      <c r="K3156" s="34" t="str">
        <f>IF(ORCAMENTOS!M3164="","",ORCAMENTOS!M3164)</f>
        <v>-</v>
      </c>
      <c r="L3156" t="str">
        <f>IF(ORCAMENTOS!R3164="","",ORCAMENTOS!R3164)</f>
        <v>-</v>
      </c>
    </row>
    <row r="3157" spans="1:12" ht="15.75" hidden="1" customHeight="1" x14ac:dyDescent="0.25">
      <c r="A3157" s="36">
        <f>IF(ORCAMENTOS!A3165="","",ORCAMENTOS!A3165)</f>
        <v>46175</v>
      </c>
      <c r="B3157" s="46">
        <f>IF(ORCAMENTOS!B3165="","",ORCAMENTOS!B3165)</f>
        <v>980</v>
      </c>
      <c r="C3157" s="46" t="str">
        <f>IF(ORCAMENTOS!C3165="","",ORCAMENTOS!C3165)</f>
        <v/>
      </c>
      <c r="D3157" s="37" t="str">
        <f>IF(ORCAMENTOS!D3165="","",ORCAMENTOS!D3165)</f>
        <v>TECNOVENTI</v>
      </c>
      <c r="E3157" s="38" t="str">
        <f>IF(ORCAMENTOS!E3165="","",ORCAMENTOS!E3165)</f>
        <v>-</v>
      </c>
      <c r="F3157" s="37" t="str">
        <f>IF(ORCAMENTOS!G3165="","",ORCAMENTOS!G3165)</f>
        <v>Gabriel</v>
      </c>
      <c r="G3157" s="37" t="str">
        <f>IF(ORCAMENTOS!H3165="","",ORCAMENTOS!H3165)</f>
        <v>Kenedy</v>
      </c>
      <c r="H3157" s="39">
        <f>IF(ORCAMENTOS!I3165="","",ORCAMENTOS!I3165)</f>
        <v>12711.29</v>
      </c>
      <c r="I3157" s="60">
        <f>IF(ORCAMENTOS!J3165="","",ORCAMENTOS!J3165)</f>
        <v>0.04</v>
      </c>
      <c r="J3157" s="40" t="str">
        <f>IF(ORCAMENTOS!L3165="","",ORCAMENTOS!L3165)</f>
        <v>COMPRA</v>
      </c>
      <c r="K3157" s="34" t="str">
        <f>IF(ORCAMENTOS!M3165="","",ORCAMENTOS!M3165)</f>
        <v>-</v>
      </c>
      <c r="L3157" t="str">
        <f>IF(ORCAMENTOS!R3165="","",ORCAMENTOS!R3165)</f>
        <v>-</v>
      </c>
    </row>
    <row r="3158" spans="1:12" ht="15.75" hidden="1" customHeight="1" x14ac:dyDescent="0.25">
      <c r="A3158" s="36">
        <f>IF(ORCAMENTOS!A3166="","",ORCAMENTOS!A3166)</f>
        <v>46176</v>
      </c>
      <c r="B3158" s="46">
        <f>IF(ORCAMENTOS!B3166="","",ORCAMENTOS!B3166)</f>
        <v>981</v>
      </c>
      <c r="C3158" s="46" t="str">
        <f>IF(ORCAMENTOS!C3166="","",ORCAMENTOS!C3166)</f>
        <v/>
      </c>
      <c r="D3158" s="37" t="str">
        <f>IF(ORCAMENTOS!D3166="","",ORCAMENTOS!D3166)</f>
        <v>AR CONDICIONADO JWA</v>
      </c>
      <c r="E3158" s="38" t="str">
        <f>IF(ORCAMENTOS!E3166="","",ORCAMENTOS!E3166)</f>
        <v>-</v>
      </c>
      <c r="F3158" s="37" t="str">
        <f>IF(ORCAMENTOS!G3166="","",ORCAMENTOS!G3166)</f>
        <v>Gabriel</v>
      </c>
      <c r="G3158" s="37" t="str">
        <f>IF(ORCAMENTOS!H3166="","",ORCAMENTOS!H3166)</f>
        <v>Wesley</v>
      </c>
      <c r="H3158" s="39">
        <f>IF(ORCAMENTOS!I3166="","",ORCAMENTOS!I3166)</f>
        <v>3684.89</v>
      </c>
      <c r="I3158" s="60">
        <f>IF(ORCAMENTOS!J3166="","",ORCAMENTOS!J3166)</f>
        <v>0.05</v>
      </c>
      <c r="J3158" s="40" t="str">
        <f>IF(ORCAMENTOS!L3166="","",ORCAMENTOS!L3166)</f>
        <v>FECHADO</v>
      </c>
      <c r="K3158" s="34" t="str">
        <f>IF(ORCAMENTOS!M3166="","",ORCAMENTOS!M3166)</f>
        <v>-</v>
      </c>
      <c r="L3158" t="str">
        <f>IF(ORCAMENTOS!R3166="","",ORCAMENTOS!R3166)</f>
        <v>-</v>
      </c>
    </row>
    <row r="3159" spans="1:12" ht="15.75" hidden="1" customHeight="1" x14ac:dyDescent="0.25">
      <c r="A3159" s="36" t="str">
        <f>IF(ORCAMENTOS!A3167="","",ORCAMENTOS!A3167)</f>
        <v/>
      </c>
      <c r="B3159" s="46" t="str">
        <f>IF(ORCAMENTOS!B3167="","",ORCAMENTOS!B3167)</f>
        <v/>
      </c>
      <c r="C3159" s="46" t="str">
        <f>IF(ORCAMENTOS!C3167="","",ORCAMENTOS!C3167)</f>
        <v/>
      </c>
      <c r="D3159" s="37" t="str">
        <f>IF(ORCAMENTOS!D3167="","",ORCAMENTOS!D3167)</f>
        <v/>
      </c>
      <c r="E3159" s="38" t="str">
        <f>IF(ORCAMENTOS!E3167="","",ORCAMENTOS!E3167)</f>
        <v/>
      </c>
      <c r="F3159" s="37" t="str">
        <f>IF(ORCAMENTOS!G3167="","",ORCAMENTOS!G3167)</f>
        <v/>
      </c>
      <c r="G3159" s="37" t="str">
        <f>IF(ORCAMENTOS!H3167="","",ORCAMENTOS!H3167)</f>
        <v/>
      </c>
      <c r="H3159" s="39" t="str">
        <f>IF(ORCAMENTOS!I3167="","",ORCAMENTOS!I3167)</f>
        <v/>
      </c>
      <c r="I3159" s="60" t="str">
        <f>IF(ORCAMENTOS!J3167="","",ORCAMENTOS!J3167)</f>
        <v/>
      </c>
      <c r="J3159" s="40" t="str">
        <f>IF(ORCAMENTOS!L3167="","",ORCAMENTOS!L3167)</f>
        <v/>
      </c>
      <c r="K3159" s="34" t="str">
        <f>IF(ORCAMENTOS!M3167="","",ORCAMENTOS!M3167)</f>
        <v/>
      </c>
      <c r="L3159" t="str">
        <f>IF(ORCAMENTOS!R3167="","",ORCAMENTOS!R3167)</f>
        <v/>
      </c>
    </row>
    <row r="3160" spans="1:12" ht="15.75" hidden="1" customHeight="1" x14ac:dyDescent="0.25">
      <c r="A3160" s="36" t="str">
        <f>IF(ORCAMENTOS!A3168="","",ORCAMENTOS!A3168)</f>
        <v/>
      </c>
      <c r="B3160" s="46" t="str">
        <f>IF(ORCAMENTOS!B3168="","",ORCAMENTOS!B3168)</f>
        <v/>
      </c>
      <c r="C3160" s="46" t="str">
        <f>IF(ORCAMENTOS!C3168="","",ORCAMENTOS!C3168)</f>
        <v/>
      </c>
      <c r="D3160" s="37" t="str">
        <f>IF(ORCAMENTOS!D3168="","",ORCAMENTOS!D3168)</f>
        <v/>
      </c>
      <c r="E3160" s="38" t="str">
        <f>IF(ORCAMENTOS!E3168="","",ORCAMENTOS!E3168)</f>
        <v/>
      </c>
      <c r="F3160" s="37" t="str">
        <f>IF(ORCAMENTOS!G3168="","",ORCAMENTOS!G3168)</f>
        <v/>
      </c>
      <c r="G3160" s="37" t="str">
        <f>IF(ORCAMENTOS!H3168="","",ORCAMENTOS!H3168)</f>
        <v/>
      </c>
      <c r="H3160" s="39" t="str">
        <f>IF(ORCAMENTOS!I3168="","",ORCAMENTOS!I3168)</f>
        <v/>
      </c>
      <c r="I3160" s="60" t="str">
        <f>IF(ORCAMENTOS!J3168="","",ORCAMENTOS!J3168)</f>
        <v/>
      </c>
      <c r="J3160" s="40" t="str">
        <f>IF(ORCAMENTOS!L3168="","",ORCAMENTOS!L3168)</f>
        <v/>
      </c>
      <c r="K3160" s="34" t="str">
        <f>IF(ORCAMENTOS!M3168="","",ORCAMENTOS!M3168)</f>
        <v/>
      </c>
      <c r="L3160" t="str">
        <f>IF(ORCAMENTOS!R3168="","",ORCAMENTOS!R3168)</f>
        <v/>
      </c>
    </row>
    <row r="3161" spans="1:12" ht="15.75" hidden="1" customHeight="1" x14ac:dyDescent="0.25">
      <c r="A3161" s="36" t="str">
        <f>IF(ORCAMENTOS!A3169="","",ORCAMENTOS!A3169)</f>
        <v/>
      </c>
      <c r="B3161" s="46" t="str">
        <f>IF(ORCAMENTOS!B3169="","",ORCAMENTOS!B3169)</f>
        <v/>
      </c>
      <c r="C3161" s="46" t="str">
        <f>IF(ORCAMENTOS!C3169="","",ORCAMENTOS!C3169)</f>
        <v/>
      </c>
      <c r="D3161" s="37" t="str">
        <f>IF(ORCAMENTOS!D3169="","",ORCAMENTOS!D3169)</f>
        <v/>
      </c>
      <c r="E3161" s="38" t="str">
        <f>IF(ORCAMENTOS!E3169="","",ORCAMENTOS!E3169)</f>
        <v/>
      </c>
      <c r="F3161" s="37" t="str">
        <f>IF(ORCAMENTOS!G3169="","",ORCAMENTOS!G3169)</f>
        <v/>
      </c>
      <c r="G3161" s="37" t="str">
        <f>IF(ORCAMENTOS!H3169="","",ORCAMENTOS!H3169)</f>
        <v/>
      </c>
      <c r="H3161" s="39" t="str">
        <f>IF(ORCAMENTOS!I3169="","",ORCAMENTOS!I3169)</f>
        <v/>
      </c>
      <c r="I3161" s="60" t="str">
        <f>IF(ORCAMENTOS!J3169="","",ORCAMENTOS!J3169)</f>
        <v/>
      </c>
      <c r="J3161" s="40" t="str">
        <f>IF(ORCAMENTOS!L3169="","",ORCAMENTOS!L3169)</f>
        <v/>
      </c>
      <c r="K3161" s="34" t="str">
        <f>IF(ORCAMENTOS!M3169="","",ORCAMENTOS!M3169)</f>
        <v/>
      </c>
      <c r="L3161" t="str">
        <f>IF(ORCAMENTOS!R3169="","",ORCAMENTOS!R3169)</f>
        <v/>
      </c>
    </row>
    <row r="3162" spans="1:12" ht="15.75" hidden="1" customHeight="1" x14ac:dyDescent="0.25">
      <c r="A3162" s="36" t="str">
        <f>IF(ORCAMENTOS!A3170="","",ORCAMENTOS!A3170)</f>
        <v/>
      </c>
      <c r="B3162" s="46" t="str">
        <f>IF(ORCAMENTOS!B3170="","",ORCAMENTOS!B3170)</f>
        <v/>
      </c>
      <c r="C3162" s="46" t="str">
        <f>IF(ORCAMENTOS!C3170="","",ORCAMENTOS!C3170)</f>
        <v/>
      </c>
      <c r="D3162" s="37" t="str">
        <f>IF(ORCAMENTOS!D3170="","",ORCAMENTOS!D3170)</f>
        <v/>
      </c>
      <c r="E3162" s="38" t="str">
        <f>IF(ORCAMENTOS!E3170="","",ORCAMENTOS!E3170)</f>
        <v/>
      </c>
      <c r="F3162" s="37" t="str">
        <f>IF(ORCAMENTOS!G3170="","",ORCAMENTOS!G3170)</f>
        <v/>
      </c>
      <c r="G3162" s="37" t="str">
        <f>IF(ORCAMENTOS!H3170="","",ORCAMENTOS!H3170)</f>
        <v/>
      </c>
      <c r="H3162" s="39" t="str">
        <f>IF(ORCAMENTOS!I3170="","",ORCAMENTOS!I3170)</f>
        <v/>
      </c>
      <c r="I3162" s="60" t="str">
        <f>IF(ORCAMENTOS!J3170="","",ORCAMENTOS!J3170)</f>
        <v/>
      </c>
      <c r="J3162" s="40" t="str">
        <f>IF(ORCAMENTOS!L3170="","",ORCAMENTOS!L3170)</f>
        <v/>
      </c>
      <c r="K3162" s="34" t="str">
        <f>IF(ORCAMENTOS!M3170="","",ORCAMENTOS!M3170)</f>
        <v/>
      </c>
      <c r="L3162" t="str">
        <f>IF(ORCAMENTOS!R3170="","",ORCAMENTOS!R3170)</f>
        <v/>
      </c>
    </row>
    <row r="3163" spans="1:12" ht="15.75" hidden="1" customHeight="1" x14ac:dyDescent="0.25">
      <c r="A3163" s="36" t="str">
        <f>IF(ORCAMENTOS!A3171="","",ORCAMENTOS!A3171)</f>
        <v/>
      </c>
      <c r="B3163" s="46" t="str">
        <f>IF(ORCAMENTOS!B3171="","",ORCAMENTOS!B3171)</f>
        <v/>
      </c>
      <c r="C3163" s="46" t="str">
        <f>IF(ORCAMENTOS!C3171="","",ORCAMENTOS!C3171)</f>
        <v/>
      </c>
      <c r="D3163" s="37" t="str">
        <f>IF(ORCAMENTOS!D3171="","",ORCAMENTOS!D3171)</f>
        <v/>
      </c>
      <c r="E3163" s="38" t="str">
        <f>IF(ORCAMENTOS!E3171="","",ORCAMENTOS!E3171)</f>
        <v/>
      </c>
      <c r="F3163" s="37" t="str">
        <f>IF(ORCAMENTOS!G3171="","",ORCAMENTOS!G3171)</f>
        <v/>
      </c>
      <c r="G3163" s="37" t="str">
        <f>IF(ORCAMENTOS!H3171="","",ORCAMENTOS!H3171)</f>
        <v/>
      </c>
      <c r="H3163" s="39" t="str">
        <f>IF(ORCAMENTOS!I3171="","",ORCAMENTOS!I3171)</f>
        <v/>
      </c>
      <c r="I3163" s="60" t="str">
        <f>IF(ORCAMENTOS!J3171="","",ORCAMENTOS!J3171)</f>
        <v/>
      </c>
      <c r="J3163" s="40" t="str">
        <f>IF(ORCAMENTOS!L3171="","",ORCAMENTOS!L3171)</f>
        <v/>
      </c>
      <c r="K3163" s="34" t="str">
        <f>IF(ORCAMENTOS!M3171="","",ORCAMENTOS!M3171)</f>
        <v/>
      </c>
      <c r="L3163" t="str">
        <f>IF(ORCAMENTOS!R3171="","",ORCAMENTOS!R3171)</f>
        <v/>
      </c>
    </row>
    <row r="3164" spans="1:12" ht="15.75" hidden="1" customHeight="1" x14ac:dyDescent="0.25">
      <c r="A3164" s="36" t="str">
        <f>IF(ORCAMENTOS!A3172="","",ORCAMENTOS!A3172)</f>
        <v/>
      </c>
      <c r="B3164" s="46" t="str">
        <f>IF(ORCAMENTOS!B3172="","",ORCAMENTOS!B3172)</f>
        <v/>
      </c>
      <c r="C3164" s="46" t="str">
        <f>IF(ORCAMENTOS!C3172="","",ORCAMENTOS!C3172)</f>
        <v/>
      </c>
      <c r="D3164" s="37" t="str">
        <f>IF(ORCAMENTOS!D3172="","",ORCAMENTOS!D3172)</f>
        <v/>
      </c>
      <c r="E3164" s="38" t="str">
        <f>IF(ORCAMENTOS!E3172="","",ORCAMENTOS!E3172)</f>
        <v/>
      </c>
      <c r="F3164" s="37" t="str">
        <f>IF(ORCAMENTOS!G3172="","",ORCAMENTOS!G3172)</f>
        <v/>
      </c>
      <c r="G3164" s="37" t="str">
        <f>IF(ORCAMENTOS!H3172="","",ORCAMENTOS!H3172)</f>
        <v/>
      </c>
      <c r="H3164" s="39" t="str">
        <f>IF(ORCAMENTOS!I3172="","",ORCAMENTOS!I3172)</f>
        <v/>
      </c>
      <c r="I3164" s="60" t="str">
        <f>IF(ORCAMENTOS!J3172="","",ORCAMENTOS!J3172)</f>
        <v/>
      </c>
      <c r="J3164" s="40" t="str">
        <f>IF(ORCAMENTOS!L3172="","",ORCAMENTOS!L3172)</f>
        <v/>
      </c>
      <c r="K3164" s="34" t="str">
        <f>IF(ORCAMENTOS!M3172="","",ORCAMENTOS!M3172)</f>
        <v/>
      </c>
      <c r="L3164" t="str">
        <f>IF(ORCAMENTOS!R3172="","",ORCAMENTOS!R3172)</f>
        <v/>
      </c>
    </row>
    <row r="3165" spans="1:12" ht="15.75" hidden="1" customHeight="1" x14ac:dyDescent="0.25">
      <c r="A3165" s="36" t="str">
        <f>IF(ORCAMENTOS!A3173="","",ORCAMENTOS!A3173)</f>
        <v/>
      </c>
      <c r="B3165" s="46" t="str">
        <f>IF(ORCAMENTOS!B3173="","",ORCAMENTOS!B3173)</f>
        <v/>
      </c>
      <c r="C3165" s="46" t="str">
        <f>IF(ORCAMENTOS!C3173="","",ORCAMENTOS!C3173)</f>
        <v/>
      </c>
      <c r="D3165" s="37" t="str">
        <f>IF(ORCAMENTOS!D3173="","",ORCAMENTOS!D3173)</f>
        <v/>
      </c>
      <c r="E3165" s="38" t="str">
        <f>IF(ORCAMENTOS!E3173="","",ORCAMENTOS!E3173)</f>
        <v/>
      </c>
      <c r="F3165" s="37" t="str">
        <f>IF(ORCAMENTOS!G3173="","",ORCAMENTOS!G3173)</f>
        <v/>
      </c>
      <c r="G3165" s="37" t="str">
        <f>IF(ORCAMENTOS!H3173="","",ORCAMENTOS!H3173)</f>
        <v/>
      </c>
      <c r="H3165" s="39" t="str">
        <f>IF(ORCAMENTOS!I3173="","",ORCAMENTOS!I3173)</f>
        <v/>
      </c>
      <c r="I3165" s="60" t="str">
        <f>IF(ORCAMENTOS!J3173="","",ORCAMENTOS!J3173)</f>
        <v/>
      </c>
      <c r="J3165" s="40" t="str">
        <f>IF(ORCAMENTOS!L3173="","",ORCAMENTOS!L3173)</f>
        <v/>
      </c>
      <c r="K3165" s="34" t="str">
        <f>IF(ORCAMENTOS!M3173="","",ORCAMENTOS!M3173)</f>
        <v/>
      </c>
      <c r="L3165" t="str">
        <f>IF(ORCAMENTOS!R3173="","",ORCAMENTOS!R3173)</f>
        <v/>
      </c>
    </row>
    <row r="3166" spans="1:12" ht="15.75" hidden="1" customHeight="1" x14ac:dyDescent="0.25">
      <c r="A3166" s="36" t="str">
        <f>IF(ORCAMENTOS!A3174="","",ORCAMENTOS!A3174)</f>
        <v/>
      </c>
      <c r="B3166" s="46" t="str">
        <f>IF(ORCAMENTOS!B3174="","",ORCAMENTOS!B3174)</f>
        <v/>
      </c>
      <c r="C3166" s="46" t="str">
        <f>IF(ORCAMENTOS!C3174="","",ORCAMENTOS!C3174)</f>
        <v/>
      </c>
      <c r="D3166" s="37" t="str">
        <f>IF(ORCAMENTOS!D3174="","",ORCAMENTOS!D3174)</f>
        <v/>
      </c>
      <c r="E3166" s="38" t="str">
        <f>IF(ORCAMENTOS!E3174="","",ORCAMENTOS!E3174)</f>
        <v/>
      </c>
      <c r="F3166" s="37" t="str">
        <f>IF(ORCAMENTOS!G3174="","",ORCAMENTOS!G3174)</f>
        <v/>
      </c>
      <c r="G3166" s="37" t="str">
        <f>IF(ORCAMENTOS!H3174="","",ORCAMENTOS!H3174)</f>
        <v/>
      </c>
      <c r="H3166" s="39" t="str">
        <f>IF(ORCAMENTOS!I3174="","",ORCAMENTOS!I3174)</f>
        <v/>
      </c>
      <c r="I3166" s="60" t="str">
        <f>IF(ORCAMENTOS!J3174="","",ORCAMENTOS!J3174)</f>
        <v/>
      </c>
      <c r="J3166" s="40" t="str">
        <f>IF(ORCAMENTOS!L3174="","",ORCAMENTOS!L3174)</f>
        <v/>
      </c>
      <c r="K3166" s="34" t="str">
        <f>IF(ORCAMENTOS!M3174="","",ORCAMENTOS!M3174)</f>
        <v/>
      </c>
      <c r="L3166" t="str">
        <f>IF(ORCAMENTOS!R3174="","",ORCAMENTOS!R3174)</f>
        <v/>
      </c>
    </row>
    <row r="3167" spans="1:12" ht="15.75" hidden="1" customHeight="1" x14ac:dyDescent="0.25">
      <c r="A3167" s="36" t="str">
        <f>IF(ORCAMENTOS!A3175="","",ORCAMENTOS!A3175)</f>
        <v/>
      </c>
      <c r="B3167" s="46" t="str">
        <f>IF(ORCAMENTOS!B3175="","",ORCAMENTOS!B3175)</f>
        <v/>
      </c>
      <c r="C3167" s="46" t="str">
        <f>IF(ORCAMENTOS!C3175="","",ORCAMENTOS!C3175)</f>
        <v/>
      </c>
      <c r="D3167" s="37" t="str">
        <f>IF(ORCAMENTOS!D3175="","",ORCAMENTOS!D3175)</f>
        <v/>
      </c>
      <c r="E3167" s="38" t="str">
        <f>IF(ORCAMENTOS!E3175="","",ORCAMENTOS!E3175)</f>
        <v/>
      </c>
      <c r="F3167" s="37" t="str">
        <f>IF(ORCAMENTOS!G3175="","",ORCAMENTOS!G3175)</f>
        <v/>
      </c>
      <c r="G3167" s="37" t="str">
        <f>IF(ORCAMENTOS!H3175="","",ORCAMENTOS!H3175)</f>
        <v/>
      </c>
      <c r="H3167" s="39" t="str">
        <f>IF(ORCAMENTOS!I3175="","",ORCAMENTOS!I3175)</f>
        <v/>
      </c>
      <c r="I3167" s="60" t="str">
        <f>IF(ORCAMENTOS!J3175="","",ORCAMENTOS!J3175)</f>
        <v/>
      </c>
      <c r="J3167" s="40" t="str">
        <f>IF(ORCAMENTOS!L3175="","",ORCAMENTOS!L3175)</f>
        <v/>
      </c>
      <c r="K3167" s="34" t="str">
        <f>IF(ORCAMENTOS!M3175="","",ORCAMENTOS!M3175)</f>
        <v/>
      </c>
      <c r="L3167" t="str">
        <f>IF(ORCAMENTOS!R3175="","",ORCAMENTOS!R3175)</f>
        <v/>
      </c>
    </row>
    <row r="3168" spans="1:12" ht="15.75" hidden="1" customHeight="1" x14ac:dyDescent="0.25">
      <c r="A3168" s="36" t="str">
        <f>IF(ORCAMENTOS!A3176="","",ORCAMENTOS!A3176)</f>
        <v/>
      </c>
      <c r="B3168" s="46" t="str">
        <f>IF(ORCAMENTOS!B3176="","",ORCAMENTOS!B3176)</f>
        <v/>
      </c>
      <c r="C3168" s="46" t="str">
        <f>IF(ORCAMENTOS!C3176="","",ORCAMENTOS!C3176)</f>
        <v/>
      </c>
      <c r="D3168" s="37" t="str">
        <f>IF(ORCAMENTOS!D3176="","",ORCAMENTOS!D3176)</f>
        <v/>
      </c>
      <c r="E3168" s="38" t="str">
        <f>IF(ORCAMENTOS!E3176="","",ORCAMENTOS!E3176)</f>
        <v/>
      </c>
      <c r="F3168" s="37" t="str">
        <f>IF(ORCAMENTOS!G3176="","",ORCAMENTOS!G3176)</f>
        <v/>
      </c>
      <c r="G3168" s="37" t="str">
        <f>IF(ORCAMENTOS!H3176="","",ORCAMENTOS!H3176)</f>
        <v/>
      </c>
      <c r="H3168" s="39" t="str">
        <f>IF(ORCAMENTOS!I3176="","",ORCAMENTOS!I3176)</f>
        <v/>
      </c>
      <c r="I3168" s="60" t="str">
        <f>IF(ORCAMENTOS!J3176="","",ORCAMENTOS!J3176)</f>
        <v/>
      </c>
      <c r="J3168" s="40" t="str">
        <f>IF(ORCAMENTOS!L3176="","",ORCAMENTOS!L3176)</f>
        <v/>
      </c>
      <c r="K3168" s="34" t="str">
        <f>IF(ORCAMENTOS!M3176="","",ORCAMENTOS!M3176)</f>
        <v/>
      </c>
      <c r="L3168" t="str">
        <f>IF(ORCAMENTOS!R3176="","",ORCAMENTOS!R3176)</f>
        <v/>
      </c>
    </row>
    <row r="3169" spans="1:12" ht="15.75" hidden="1" customHeight="1" x14ac:dyDescent="0.25">
      <c r="A3169" s="36" t="str">
        <f>IF(ORCAMENTOS!A3177="","",ORCAMENTOS!A3177)</f>
        <v/>
      </c>
      <c r="B3169" s="46" t="str">
        <f>IF(ORCAMENTOS!B3177="","",ORCAMENTOS!B3177)</f>
        <v/>
      </c>
      <c r="C3169" s="46" t="str">
        <f>IF(ORCAMENTOS!C3177="","",ORCAMENTOS!C3177)</f>
        <v/>
      </c>
      <c r="D3169" s="37" t="str">
        <f>IF(ORCAMENTOS!D3177="","",ORCAMENTOS!D3177)</f>
        <v/>
      </c>
      <c r="E3169" s="38" t="str">
        <f>IF(ORCAMENTOS!E3177="","",ORCAMENTOS!E3177)</f>
        <v/>
      </c>
      <c r="F3169" s="37" t="str">
        <f>IF(ORCAMENTOS!G3177="","",ORCAMENTOS!G3177)</f>
        <v/>
      </c>
      <c r="G3169" s="37" t="str">
        <f>IF(ORCAMENTOS!H3177="","",ORCAMENTOS!H3177)</f>
        <v/>
      </c>
      <c r="H3169" s="39" t="str">
        <f>IF(ORCAMENTOS!I3177="","",ORCAMENTOS!I3177)</f>
        <v/>
      </c>
      <c r="I3169" s="60" t="str">
        <f>IF(ORCAMENTOS!J3177="","",ORCAMENTOS!J3177)</f>
        <v/>
      </c>
      <c r="J3169" s="40" t="str">
        <f>IF(ORCAMENTOS!L3177="","",ORCAMENTOS!L3177)</f>
        <v/>
      </c>
      <c r="K3169" s="34" t="str">
        <f>IF(ORCAMENTOS!M3177="","",ORCAMENTOS!M3177)</f>
        <v/>
      </c>
      <c r="L3169" t="str">
        <f>IF(ORCAMENTOS!R3177="","",ORCAMENTOS!R3177)</f>
        <v/>
      </c>
    </row>
    <row r="3170" spans="1:12" ht="15.75" hidden="1" customHeight="1" x14ac:dyDescent="0.25">
      <c r="A3170" s="36" t="str">
        <f>IF(ORCAMENTOS!A3178="","",ORCAMENTOS!A3178)</f>
        <v/>
      </c>
      <c r="B3170" s="46" t="str">
        <f>IF(ORCAMENTOS!B3178="","",ORCAMENTOS!B3178)</f>
        <v/>
      </c>
      <c r="C3170" s="46" t="str">
        <f>IF(ORCAMENTOS!C3178="","",ORCAMENTOS!C3178)</f>
        <v/>
      </c>
      <c r="D3170" s="37" t="str">
        <f>IF(ORCAMENTOS!D3178="","",ORCAMENTOS!D3178)</f>
        <v/>
      </c>
      <c r="E3170" s="38" t="str">
        <f>IF(ORCAMENTOS!E3178="","",ORCAMENTOS!E3178)</f>
        <v/>
      </c>
      <c r="F3170" s="37" t="str">
        <f>IF(ORCAMENTOS!G3178="","",ORCAMENTOS!G3178)</f>
        <v/>
      </c>
      <c r="G3170" s="37" t="str">
        <f>IF(ORCAMENTOS!H3178="","",ORCAMENTOS!H3178)</f>
        <v/>
      </c>
      <c r="H3170" s="39" t="str">
        <f>IF(ORCAMENTOS!I3178="","",ORCAMENTOS!I3178)</f>
        <v/>
      </c>
      <c r="I3170" s="60" t="str">
        <f>IF(ORCAMENTOS!J3178="","",ORCAMENTOS!J3178)</f>
        <v/>
      </c>
      <c r="J3170" s="40" t="str">
        <f>IF(ORCAMENTOS!L3178="","",ORCAMENTOS!L3178)</f>
        <v/>
      </c>
      <c r="K3170" s="34" t="str">
        <f>IF(ORCAMENTOS!M3178="","",ORCAMENTOS!M3178)</f>
        <v/>
      </c>
      <c r="L3170" t="str">
        <f>IF(ORCAMENTOS!R3178="","",ORCAMENTOS!R3178)</f>
        <v/>
      </c>
    </row>
    <row r="3171" spans="1:12" ht="15.75" hidden="1" customHeight="1" x14ac:dyDescent="0.25">
      <c r="A3171" s="36" t="str">
        <f>IF(ORCAMENTOS!A3179="","",ORCAMENTOS!A3179)</f>
        <v/>
      </c>
      <c r="B3171" s="46" t="str">
        <f>IF(ORCAMENTOS!B3179="","",ORCAMENTOS!B3179)</f>
        <v/>
      </c>
      <c r="C3171" s="46" t="str">
        <f>IF(ORCAMENTOS!C3179="","",ORCAMENTOS!C3179)</f>
        <v/>
      </c>
      <c r="D3171" s="37" t="str">
        <f>IF(ORCAMENTOS!D3179="","",ORCAMENTOS!D3179)</f>
        <v/>
      </c>
      <c r="E3171" s="38" t="str">
        <f>IF(ORCAMENTOS!E3179="","",ORCAMENTOS!E3179)</f>
        <v/>
      </c>
      <c r="F3171" s="37" t="str">
        <f>IF(ORCAMENTOS!G3179="","",ORCAMENTOS!G3179)</f>
        <v/>
      </c>
      <c r="G3171" s="37" t="str">
        <f>IF(ORCAMENTOS!H3179="","",ORCAMENTOS!H3179)</f>
        <v/>
      </c>
      <c r="H3171" s="39" t="str">
        <f>IF(ORCAMENTOS!I3179="","",ORCAMENTOS!I3179)</f>
        <v/>
      </c>
      <c r="I3171" s="60" t="str">
        <f>IF(ORCAMENTOS!J3179="","",ORCAMENTOS!J3179)</f>
        <v/>
      </c>
      <c r="J3171" s="40" t="str">
        <f>IF(ORCAMENTOS!L3179="","",ORCAMENTOS!L3179)</f>
        <v/>
      </c>
      <c r="K3171" s="34" t="str">
        <f>IF(ORCAMENTOS!M3179="","",ORCAMENTOS!M3179)</f>
        <v/>
      </c>
      <c r="L3171" t="str">
        <f>IF(ORCAMENTOS!R3179="","",ORCAMENTOS!R3179)</f>
        <v/>
      </c>
    </row>
    <row r="3172" spans="1:12" ht="15.75" hidden="1" customHeight="1" x14ac:dyDescent="0.25">
      <c r="A3172" s="36" t="str">
        <f>IF(ORCAMENTOS!A3180="","",ORCAMENTOS!A3180)</f>
        <v/>
      </c>
      <c r="B3172" s="46" t="str">
        <f>IF(ORCAMENTOS!B3180="","",ORCAMENTOS!B3180)</f>
        <v/>
      </c>
      <c r="C3172" s="46" t="str">
        <f>IF(ORCAMENTOS!C3180="","",ORCAMENTOS!C3180)</f>
        <v/>
      </c>
      <c r="D3172" s="37" t="str">
        <f>IF(ORCAMENTOS!D3180="","",ORCAMENTOS!D3180)</f>
        <v/>
      </c>
      <c r="E3172" s="38" t="str">
        <f>IF(ORCAMENTOS!E3180="","",ORCAMENTOS!E3180)</f>
        <v/>
      </c>
      <c r="F3172" s="37" t="str">
        <f>IF(ORCAMENTOS!G3180="","",ORCAMENTOS!G3180)</f>
        <v/>
      </c>
      <c r="G3172" s="37" t="str">
        <f>IF(ORCAMENTOS!H3180="","",ORCAMENTOS!H3180)</f>
        <v/>
      </c>
      <c r="H3172" s="39" t="str">
        <f>IF(ORCAMENTOS!I3180="","",ORCAMENTOS!I3180)</f>
        <v/>
      </c>
      <c r="I3172" s="60" t="str">
        <f>IF(ORCAMENTOS!J3180="","",ORCAMENTOS!J3180)</f>
        <v/>
      </c>
      <c r="J3172" s="40" t="str">
        <f>IF(ORCAMENTOS!L3180="","",ORCAMENTOS!L3180)</f>
        <v/>
      </c>
      <c r="K3172" s="34" t="str">
        <f>IF(ORCAMENTOS!M3180="","",ORCAMENTOS!M3180)</f>
        <v/>
      </c>
      <c r="L3172" t="str">
        <f>IF(ORCAMENTOS!R3180="","",ORCAMENTOS!R3180)</f>
        <v/>
      </c>
    </row>
    <row r="3173" spans="1:12" ht="15.75" hidden="1" customHeight="1" x14ac:dyDescent="0.25">
      <c r="A3173" s="36" t="str">
        <f>IF(ORCAMENTOS!A3181="","",ORCAMENTOS!A3181)</f>
        <v/>
      </c>
      <c r="B3173" s="46" t="str">
        <f>IF(ORCAMENTOS!B3181="","",ORCAMENTOS!B3181)</f>
        <v/>
      </c>
      <c r="C3173" s="46" t="str">
        <f>IF(ORCAMENTOS!C3181="","",ORCAMENTOS!C3181)</f>
        <v/>
      </c>
      <c r="D3173" s="37" t="str">
        <f>IF(ORCAMENTOS!D3181="","",ORCAMENTOS!D3181)</f>
        <v/>
      </c>
      <c r="E3173" s="38" t="str">
        <f>IF(ORCAMENTOS!E3181="","",ORCAMENTOS!E3181)</f>
        <v/>
      </c>
      <c r="F3173" s="37" t="str">
        <f>IF(ORCAMENTOS!G3181="","",ORCAMENTOS!G3181)</f>
        <v/>
      </c>
      <c r="G3173" s="37" t="str">
        <f>IF(ORCAMENTOS!H3181="","",ORCAMENTOS!H3181)</f>
        <v/>
      </c>
      <c r="H3173" s="39" t="str">
        <f>IF(ORCAMENTOS!I3181="","",ORCAMENTOS!I3181)</f>
        <v/>
      </c>
      <c r="I3173" s="60" t="str">
        <f>IF(ORCAMENTOS!J3181="","",ORCAMENTOS!J3181)</f>
        <v/>
      </c>
      <c r="J3173" s="40" t="str">
        <f>IF(ORCAMENTOS!L3181="","",ORCAMENTOS!L3181)</f>
        <v/>
      </c>
      <c r="K3173" s="34" t="str">
        <f>IF(ORCAMENTOS!M3181="","",ORCAMENTOS!M3181)</f>
        <v/>
      </c>
      <c r="L3173" t="str">
        <f>IF(ORCAMENTOS!R3181="","",ORCAMENTOS!R3181)</f>
        <v/>
      </c>
    </row>
    <row r="3174" spans="1:12" ht="15.75" hidden="1" customHeight="1" x14ac:dyDescent="0.25">
      <c r="A3174" s="36" t="str">
        <f>IF(ORCAMENTOS!A3182="","",ORCAMENTOS!A3182)</f>
        <v/>
      </c>
      <c r="B3174" s="46" t="str">
        <f>IF(ORCAMENTOS!B3182="","",ORCAMENTOS!B3182)</f>
        <v/>
      </c>
      <c r="C3174" s="46" t="str">
        <f>IF(ORCAMENTOS!C3182="","",ORCAMENTOS!C3182)</f>
        <v/>
      </c>
      <c r="D3174" s="37" t="str">
        <f>IF(ORCAMENTOS!D3182="","",ORCAMENTOS!D3182)</f>
        <v/>
      </c>
      <c r="E3174" s="38" t="str">
        <f>IF(ORCAMENTOS!E3182="","",ORCAMENTOS!E3182)</f>
        <v/>
      </c>
      <c r="F3174" s="37" t="str">
        <f>IF(ORCAMENTOS!G3182="","",ORCAMENTOS!G3182)</f>
        <v/>
      </c>
      <c r="G3174" s="37" t="str">
        <f>IF(ORCAMENTOS!H3182="","",ORCAMENTOS!H3182)</f>
        <v/>
      </c>
      <c r="H3174" s="39" t="str">
        <f>IF(ORCAMENTOS!I3182="","",ORCAMENTOS!I3182)</f>
        <v/>
      </c>
      <c r="I3174" s="60" t="str">
        <f>IF(ORCAMENTOS!J3182="","",ORCAMENTOS!J3182)</f>
        <v/>
      </c>
      <c r="J3174" s="40" t="str">
        <f>IF(ORCAMENTOS!L3182="","",ORCAMENTOS!L3182)</f>
        <v/>
      </c>
      <c r="K3174" s="34" t="str">
        <f>IF(ORCAMENTOS!M3182="","",ORCAMENTOS!M3182)</f>
        <v/>
      </c>
      <c r="L3174" t="str">
        <f>IF(ORCAMENTOS!R3182="","",ORCAMENTOS!R3182)</f>
        <v/>
      </c>
    </row>
    <row r="3175" spans="1:12" ht="15.75" hidden="1" customHeight="1" x14ac:dyDescent="0.25">
      <c r="A3175" s="36" t="str">
        <f>IF(ORCAMENTOS!A3183="","",ORCAMENTOS!A3183)</f>
        <v/>
      </c>
      <c r="B3175" s="46" t="str">
        <f>IF(ORCAMENTOS!B3183="","",ORCAMENTOS!B3183)</f>
        <v/>
      </c>
      <c r="C3175" s="46" t="str">
        <f>IF(ORCAMENTOS!C3183="","",ORCAMENTOS!C3183)</f>
        <v/>
      </c>
      <c r="D3175" s="37" t="str">
        <f>IF(ORCAMENTOS!D3183="","",ORCAMENTOS!D3183)</f>
        <v/>
      </c>
      <c r="E3175" s="38" t="str">
        <f>IF(ORCAMENTOS!E3183="","",ORCAMENTOS!E3183)</f>
        <v/>
      </c>
      <c r="F3175" s="37" t="str">
        <f>IF(ORCAMENTOS!G3183="","",ORCAMENTOS!G3183)</f>
        <v/>
      </c>
      <c r="G3175" s="37" t="str">
        <f>IF(ORCAMENTOS!H3183="","",ORCAMENTOS!H3183)</f>
        <v/>
      </c>
      <c r="H3175" s="39" t="str">
        <f>IF(ORCAMENTOS!I3183="","",ORCAMENTOS!I3183)</f>
        <v/>
      </c>
      <c r="I3175" s="60" t="str">
        <f>IF(ORCAMENTOS!J3183="","",ORCAMENTOS!J3183)</f>
        <v/>
      </c>
      <c r="J3175" s="40" t="str">
        <f>IF(ORCAMENTOS!L3183="","",ORCAMENTOS!L3183)</f>
        <v/>
      </c>
      <c r="K3175" s="34" t="str">
        <f>IF(ORCAMENTOS!M3183="","",ORCAMENTOS!M3183)</f>
        <v/>
      </c>
      <c r="L3175" t="str">
        <f>IF(ORCAMENTOS!R3183="","",ORCAMENTOS!R3183)</f>
        <v/>
      </c>
    </row>
    <row r="3176" spans="1:12" ht="15.75" hidden="1" customHeight="1" x14ac:dyDescent="0.25">
      <c r="A3176" s="36" t="str">
        <f>IF(ORCAMENTOS!A3184="","",ORCAMENTOS!A3184)</f>
        <v/>
      </c>
      <c r="B3176" s="46" t="str">
        <f>IF(ORCAMENTOS!B3184="","",ORCAMENTOS!B3184)</f>
        <v/>
      </c>
      <c r="C3176" s="46" t="str">
        <f>IF(ORCAMENTOS!C3184="","",ORCAMENTOS!C3184)</f>
        <v/>
      </c>
      <c r="D3176" s="37" t="str">
        <f>IF(ORCAMENTOS!D3184="","",ORCAMENTOS!D3184)</f>
        <v/>
      </c>
      <c r="E3176" s="38" t="str">
        <f>IF(ORCAMENTOS!E3184="","",ORCAMENTOS!E3184)</f>
        <v/>
      </c>
      <c r="F3176" s="37" t="str">
        <f>IF(ORCAMENTOS!G3184="","",ORCAMENTOS!G3184)</f>
        <v/>
      </c>
      <c r="G3176" s="37" t="str">
        <f>IF(ORCAMENTOS!H3184="","",ORCAMENTOS!H3184)</f>
        <v/>
      </c>
      <c r="H3176" s="39" t="str">
        <f>IF(ORCAMENTOS!I3184="","",ORCAMENTOS!I3184)</f>
        <v/>
      </c>
      <c r="I3176" s="60" t="str">
        <f>IF(ORCAMENTOS!J3184="","",ORCAMENTOS!J3184)</f>
        <v/>
      </c>
      <c r="J3176" s="40" t="str">
        <f>IF(ORCAMENTOS!L3184="","",ORCAMENTOS!L3184)</f>
        <v/>
      </c>
      <c r="K3176" s="34" t="str">
        <f>IF(ORCAMENTOS!M3184="","",ORCAMENTOS!M3184)</f>
        <v/>
      </c>
      <c r="L3176" t="str">
        <f>IF(ORCAMENTOS!R3184="","",ORCAMENTOS!R3184)</f>
        <v/>
      </c>
    </row>
    <row r="3177" spans="1:12" ht="15.75" hidden="1" customHeight="1" x14ac:dyDescent="0.25">
      <c r="A3177" s="36" t="str">
        <f>IF(ORCAMENTOS!A3185="","",ORCAMENTOS!A3185)</f>
        <v/>
      </c>
      <c r="B3177" s="46" t="str">
        <f>IF(ORCAMENTOS!B3185="","",ORCAMENTOS!B3185)</f>
        <v/>
      </c>
      <c r="C3177" s="46" t="str">
        <f>IF(ORCAMENTOS!C3185="","",ORCAMENTOS!C3185)</f>
        <v/>
      </c>
      <c r="D3177" s="37" t="str">
        <f>IF(ORCAMENTOS!D3185="","",ORCAMENTOS!D3185)</f>
        <v/>
      </c>
      <c r="E3177" s="38" t="str">
        <f>IF(ORCAMENTOS!E3185="","",ORCAMENTOS!E3185)</f>
        <v/>
      </c>
      <c r="F3177" s="37" t="str">
        <f>IF(ORCAMENTOS!G3185="","",ORCAMENTOS!G3185)</f>
        <v/>
      </c>
      <c r="G3177" s="37" t="str">
        <f>IF(ORCAMENTOS!H3185="","",ORCAMENTOS!H3185)</f>
        <v/>
      </c>
      <c r="H3177" s="39" t="str">
        <f>IF(ORCAMENTOS!I3185="","",ORCAMENTOS!I3185)</f>
        <v/>
      </c>
      <c r="I3177" s="60" t="str">
        <f>IF(ORCAMENTOS!J3185="","",ORCAMENTOS!J3185)</f>
        <v/>
      </c>
      <c r="J3177" s="40" t="str">
        <f>IF(ORCAMENTOS!L3185="","",ORCAMENTOS!L3185)</f>
        <v/>
      </c>
      <c r="K3177" s="34" t="str">
        <f>IF(ORCAMENTOS!M3185="","",ORCAMENTOS!M3185)</f>
        <v/>
      </c>
      <c r="L3177" t="str">
        <f>IF(ORCAMENTOS!R3185="","",ORCAMENTOS!R3185)</f>
        <v/>
      </c>
    </row>
    <row r="3178" spans="1:12" ht="15.75" hidden="1" customHeight="1" x14ac:dyDescent="0.25">
      <c r="A3178" s="36" t="str">
        <f>IF(ORCAMENTOS!A3186="","",ORCAMENTOS!A3186)</f>
        <v/>
      </c>
      <c r="B3178" s="46" t="str">
        <f>IF(ORCAMENTOS!B3186="","",ORCAMENTOS!B3186)</f>
        <v/>
      </c>
      <c r="C3178" s="46" t="str">
        <f>IF(ORCAMENTOS!C3186="","",ORCAMENTOS!C3186)</f>
        <v/>
      </c>
      <c r="D3178" s="37" t="str">
        <f>IF(ORCAMENTOS!D3186="","",ORCAMENTOS!D3186)</f>
        <v/>
      </c>
      <c r="E3178" s="38" t="str">
        <f>IF(ORCAMENTOS!E3186="","",ORCAMENTOS!E3186)</f>
        <v/>
      </c>
      <c r="F3178" s="37" t="str">
        <f>IF(ORCAMENTOS!G3186="","",ORCAMENTOS!G3186)</f>
        <v/>
      </c>
      <c r="G3178" s="37" t="str">
        <f>IF(ORCAMENTOS!H3186="","",ORCAMENTOS!H3186)</f>
        <v/>
      </c>
      <c r="H3178" s="39" t="str">
        <f>IF(ORCAMENTOS!I3186="","",ORCAMENTOS!I3186)</f>
        <v/>
      </c>
      <c r="I3178" s="60" t="str">
        <f>IF(ORCAMENTOS!J3186="","",ORCAMENTOS!J3186)</f>
        <v/>
      </c>
      <c r="J3178" s="40" t="str">
        <f>IF(ORCAMENTOS!L3186="","",ORCAMENTOS!L3186)</f>
        <v/>
      </c>
      <c r="K3178" s="34" t="str">
        <f>IF(ORCAMENTOS!M3186="","",ORCAMENTOS!M3186)</f>
        <v/>
      </c>
      <c r="L3178" t="str">
        <f>IF(ORCAMENTOS!R3186="","",ORCAMENTOS!R3186)</f>
        <v/>
      </c>
    </row>
    <row r="3179" spans="1:12" ht="15.75" hidden="1" customHeight="1" x14ac:dyDescent="0.25">
      <c r="A3179" s="36" t="str">
        <f>IF(ORCAMENTOS!A3187="","",ORCAMENTOS!A3187)</f>
        <v/>
      </c>
      <c r="B3179" s="46" t="str">
        <f>IF(ORCAMENTOS!B3187="","",ORCAMENTOS!B3187)</f>
        <v/>
      </c>
      <c r="C3179" s="46" t="str">
        <f>IF(ORCAMENTOS!C3187="","",ORCAMENTOS!C3187)</f>
        <v/>
      </c>
      <c r="D3179" s="37" t="str">
        <f>IF(ORCAMENTOS!D3187="","",ORCAMENTOS!D3187)</f>
        <v/>
      </c>
      <c r="E3179" s="38" t="str">
        <f>IF(ORCAMENTOS!E3187="","",ORCAMENTOS!E3187)</f>
        <v/>
      </c>
      <c r="F3179" s="37" t="str">
        <f>IF(ORCAMENTOS!G3187="","",ORCAMENTOS!G3187)</f>
        <v/>
      </c>
      <c r="G3179" s="37" t="str">
        <f>IF(ORCAMENTOS!H3187="","",ORCAMENTOS!H3187)</f>
        <v/>
      </c>
      <c r="H3179" s="39" t="str">
        <f>IF(ORCAMENTOS!I3187="","",ORCAMENTOS!I3187)</f>
        <v/>
      </c>
      <c r="I3179" s="60" t="str">
        <f>IF(ORCAMENTOS!J3187="","",ORCAMENTOS!J3187)</f>
        <v/>
      </c>
      <c r="J3179" s="40" t="str">
        <f>IF(ORCAMENTOS!L3187="","",ORCAMENTOS!L3187)</f>
        <v/>
      </c>
      <c r="K3179" s="34" t="str">
        <f>IF(ORCAMENTOS!M3187="","",ORCAMENTOS!M3187)</f>
        <v/>
      </c>
      <c r="L3179" t="str">
        <f>IF(ORCAMENTOS!R3187="","",ORCAMENTOS!R3187)</f>
        <v/>
      </c>
    </row>
    <row r="3180" spans="1:12" ht="15.75" hidden="1" customHeight="1" x14ac:dyDescent="0.25">
      <c r="A3180" s="36" t="str">
        <f>IF(ORCAMENTOS!A3188="","",ORCAMENTOS!A3188)</f>
        <v/>
      </c>
      <c r="B3180" s="46" t="str">
        <f>IF(ORCAMENTOS!B3188="","",ORCAMENTOS!B3188)</f>
        <v/>
      </c>
      <c r="C3180" s="46" t="str">
        <f>IF(ORCAMENTOS!C3188="","",ORCAMENTOS!C3188)</f>
        <v/>
      </c>
      <c r="D3180" s="37" t="str">
        <f>IF(ORCAMENTOS!D3188="","",ORCAMENTOS!D3188)</f>
        <v/>
      </c>
      <c r="E3180" s="38" t="str">
        <f>IF(ORCAMENTOS!E3188="","",ORCAMENTOS!E3188)</f>
        <v/>
      </c>
      <c r="F3180" s="37" t="str">
        <f>IF(ORCAMENTOS!G3188="","",ORCAMENTOS!G3188)</f>
        <v/>
      </c>
      <c r="G3180" s="37" t="str">
        <f>IF(ORCAMENTOS!H3188="","",ORCAMENTOS!H3188)</f>
        <v/>
      </c>
      <c r="H3180" s="39" t="str">
        <f>IF(ORCAMENTOS!I3188="","",ORCAMENTOS!I3188)</f>
        <v/>
      </c>
      <c r="I3180" s="60" t="str">
        <f>IF(ORCAMENTOS!J3188="","",ORCAMENTOS!J3188)</f>
        <v/>
      </c>
      <c r="J3180" s="40" t="str">
        <f>IF(ORCAMENTOS!L3188="","",ORCAMENTOS!L3188)</f>
        <v/>
      </c>
      <c r="K3180" s="34" t="str">
        <f>IF(ORCAMENTOS!M3188="","",ORCAMENTOS!M3188)</f>
        <v/>
      </c>
      <c r="L3180" t="str">
        <f>IF(ORCAMENTOS!R3188="","",ORCAMENTOS!R3188)</f>
        <v/>
      </c>
    </row>
    <row r="3181" spans="1:12" ht="15.75" hidden="1" customHeight="1" x14ac:dyDescent="0.25">
      <c r="A3181" s="36" t="str">
        <f>IF(ORCAMENTOS!A3189="","",ORCAMENTOS!A3189)</f>
        <v/>
      </c>
      <c r="B3181" s="46" t="str">
        <f>IF(ORCAMENTOS!B3189="","",ORCAMENTOS!B3189)</f>
        <v/>
      </c>
      <c r="C3181" s="46" t="str">
        <f>IF(ORCAMENTOS!C3189="","",ORCAMENTOS!C3189)</f>
        <v/>
      </c>
      <c r="D3181" s="37" t="str">
        <f>IF(ORCAMENTOS!D3189="","",ORCAMENTOS!D3189)</f>
        <v/>
      </c>
      <c r="E3181" s="38" t="str">
        <f>IF(ORCAMENTOS!E3189="","",ORCAMENTOS!E3189)</f>
        <v/>
      </c>
      <c r="F3181" s="37" t="str">
        <f>IF(ORCAMENTOS!G3189="","",ORCAMENTOS!G3189)</f>
        <v/>
      </c>
      <c r="G3181" s="37" t="str">
        <f>IF(ORCAMENTOS!H3189="","",ORCAMENTOS!H3189)</f>
        <v/>
      </c>
      <c r="H3181" s="39" t="str">
        <f>IF(ORCAMENTOS!I3189="","",ORCAMENTOS!I3189)</f>
        <v/>
      </c>
      <c r="I3181" s="60" t="str">
        <f>IF(ORCAMENTOS!J3189="","",ORCAMENTOS!J3189)</f>
        <v/>
      </c>
      <c r="J3181" s="40" t="str">
        <f>IF(ORCAMENTOS!L3189="","",ORCAMENTOS!L3189)</f>
        <v/>
      </c>
      <c r="K3181" s="34" t="str">
        <f>IF(ORCAMENTOS!M3189="","",ORCAMENTOS!M3189)</f>
        <v/>
      </c>
      <c r="L3181" t="str">
        <f>IF(ORCAMENTOS!R3189="","",ORCAMENTOS!R3189)</f>
        <v/>
      </c>
    </row>
    <row r="3182" spans="1:12" ht="15.75" hidden="1" customHeight="1" x14ac:dyDescent="0.25">
      <c r="A3182" s="36" t="str">
        <f>IF(ORCAMENTOS!A3190="","",ORCAMENTOS!A3190)</f>
        <v/>
      </c>
      <c r="B3182" s="46" t="str">
        <f>IF(ORCAMENTOS!B3190="","",ORCAMENTOS!B3190)</f>
        <v/>
      </c>
      <c r="C3182" s="46" t="str">
        <f>IF(ORCAMENTOS!C3190="","",ORCAMENTOS!C3190)</f>
        <v/>
      </c>
      <c r="D3182" s="37" t="str">
        <f>IF(ORCAMENTOS!D3190="","",ORCAMENTOS!D3190)</f>
        <v/>
      </c>
      <c r="E3182" s="38" t="str">
        <f>IF(ORCAMENTOS!E3190="","",ORCAMENTOS!E3190)</f>
        <v/>
      </c>
      <c r="F3182" s="37" t="str">
        <f>IF(ORCAMENTOS!G3190="","",ORCAMENTOS!G3190)</f>
        <v/>
      </c>
      <c r="G3182" s="37" t="str">
        <f>IF(ORCAMENTOS!H3190="","",ORCAMENTOS!H3190)</f>
        <v/>
      </c>
      <c r="H3182" s="39" t="str">
        <f>IF(ORCAMENTOS!I3190="","",ORCAMENTOS!I3190)</f>
        <v/>
      </c>
      <c r="I3182" s="60" t="str">
        <f>IF(ORCAMENTOS!J3190="","",ORCAMENTOS!J3190)</f>
        <v/>
      </c>
      <c r="J3182" s="40" t="str">
        <f>IF(ORCAMENTOS!L3190="","",ORCAMENTOS!L3190)</f>
        <v/>
      </c>
      <c r="K3182" s="34" t="str">
        <f>IF(ORCAMENTOS!M3190="","",ORCAMENTOS!M3190)</f>
        <v/>
      </c>
      <c r="L3182" t="str">
        <f>IF(ORCAMENTOS!R3190="","",ORCAMENTOS!R3190)</f>
        <v/>
      </c>
    </row>
    <row r="3183" spans="1:12" ht="15.75" hidden="1" customHeight="1" x14ac:dyDescent="0.25">
      <c r="A3183" s="36" t="str">
        <f>IF(ORCAMENTOS!A3191="","",ORCAMENTOS!A3191)</f>
        <v/>
      </c>
      <c r="B3183" s="46" t="str">
        <f>IF(ORCAMENTOS!B3191="","",ORCAMENTOS!B3191)</f>
        <v/>
      </c>
      <c r="C3183" s="46" t="str">
        <f>IF(ORCAMENTOS!C3191="","",ORCAMENTOS!C3191)</f>
        <v/>
      </c>
      <c r="D3183" s="37" t="str">
        <f>IF(ORCAMENTOS!D3191="","",ORCAMENTOS!D3191)</f>
        <v/>
      </c>
      <c r="E3183" s="38" t="str">
        <f>IF(ORCAMENTOS!E3191="","",ORCAMENTOS!E3191)</f>
        <v/>
      </c>
      <c r="F3183" s="37" t="str">
        <f>IF(ORCAMENTOS!G3191="","",ORCAMENTOS!G3191)</f>
        <v/>
      </c>
      <c r="G3183" s="37" t="str">
        <f>IF(ORCAMENTOS!H3191="","",ORCAMENTOS!H3191)</f>
        <v/>
      </c>
      <c r="H3183" s="39" t="str">
        <f>IF(ORCAMENTOS!I3191="","",ORCAMENTOS!I3191)</f>
        <v/>
      </c>
      <c r="I3183" s="60" t="str">
        <f>IF(ORCAMENTOS!J3191="","",ORCAMENTOS!J3191)</f>
        <v/>
      </c>
      <c r="J3183" s="40" t="str">
        <f>IF(ORCAMENTOS!L3191="","",ORCAMENTOS!L3191)</f>
        <v/>
      </c>
      <c r="K3183" s="34" t="str">
        <f>IF(ORCAMENTOS!M3191="","",ORCAMENTOS!M3191)</f>
        <v/>
      </c>
      <c r="L3183" t="str">
        <f>IF(ORCAMENTOS!R3191="","",ORCAMENTOS!R3191)</f>
        <v/>
      </c>
    </row>
    <row r="3184" spans="1:12" ht="15.75" hidden="1" customHeight="1" x14ac:dyDescent="0.25">
      <c r="A3184" s="36" t="str">
        <f>IF(ORCAMENTOS!A3192="","",ORCAMENTOS!A3192)</f>
        <v/>
      </c>
      <c r="B3184" s="46" t="str">
        <f>IF(ORCAMENTOS!B3192="","",ORCAMENTOS!B3192)</f>
        <v/>
      </c>
      <c r="C3184" s="46" t="str">
        <f>IF(ORCAMENTOS!C3192="","",ORCAMENTOS!C3192)</f>
        <v/>
      </c>
      <c r="D3184" s="37" t="str">
        <f>IF(ORCAMENTOS!D3192="","",ORCAMENTOS!D3192)</f>
        <v/>
      </c>
      <c r="E3184" s="38" t="str">
        <f>IF(ORCAMENTOS!E3192="","",ORCAMENTOS!E3192)</f>
        <v/>
      </c>
      <c r="F3184" s="37" t="str">
        <f>IF(ORCAMENTOS!G3192="","",ORCAMENTOS!G3192)</f>
        <v/>
      </c>
      <c r="G3184" s="37" t="str">
        <f>IF(ORCAMENTOS!H3192="","",ORCAMENTOS!H3192)</f>
        <v/>
      </c>
      <c r="H3184" s="39" t="str">
        <f>IF(ORCAMENTOS!I3192="","",ORCAMENTOS!I3192)</f>
        <v/>
      </c>
      <c r="I3184" s="60" t="str">
        <f>IF(ORCAMENTOS!J3192="","",ORCAMENTOS!J3192)</f>
        <v/>
      </c>
      <c r="J3184" s="40" t="str">
        <f>IF(ORCAMENTOS!L3192="","",ORCAMENTOS!L3192)</f>
        <v/>
      </c>
      <c r="K3184" s="34" t="str">
        <f>IF(ORCAMENTOS!M3192="","",ORCAMENTOS!M3192)</f>
        <v/>
      </c>
      <c r="L3184" t="str">
        <f>IF(ORCAMENTOS!R3192="","",ORCAMENTOS!R3192)</f>
        <v/>
      </c>
    </row>
    <row r="3185" spans="1:12" ht="15.75" hidden="1" customHeight="1" x14ac:dyDescent="0.25">
      <c r="A3185" s="36" t="str">
        <f>IF(ORCAMENTOS!A3193="","",ORCAMENTOS!A3193)</f>
        <v/>
      </c>
      <c r="B3185" s="46" t="str">
        <f>IF(ORCAMENTOS!B3193="","",ORCAMENTOS!B3193)</f>
        <v/>
      </c>
      <c r="C3185" s="46" t="str">
        <f>IF(ORCAMENTOS!C3193="","",ORCAMENTOS!C3193)</f>
        <v/>
      </c>
      <c r="D3185" s="37" t="str">
        <f>IF(ORCAMENTOS!D3193="","",ORCAMENTOS!D3193)</f>
        <v/>
      </c>
      <c r="E3185" s="38" t="str">
        <f>IF(ORCAMENTOS!E3193="","",ORCAMENTOS!E3193)</f>
        <v/>
      </c>
      <c r="F3185" s="37" t="str">
        <f>IF(ORCAMENTOS!G3193="","",ORCAMENTOS!G3193)</f>
        <v/>
      </c>
      <c r="G3185" s="37" t="str">
        <f>IF(ORCAMENTOS!H3193="","",ORCAMENTOS!H3193)</f>
        <v/>
      </c>
      <c r="H3185" s="39" t="str">
        <f>IF(ORCAMENTOS!I3193="","",ORCAMENTOS!I3193)</f>
        <v/>
      </c>
      <c r="I3185" s="60" t="str">
        <f>IF(ORCAMENTOS!J3193="","",ORCAMENTOS!J3193)</f>
        <v/>
      </c>
      <c r="J3185" s="40" t="str">
        <f>IF(ORCAMENTOS!L3193="","",ORCAMENTOS!L3193)</f>
        <v/>
      </c>
      <c r="K3185" s="34" t="str">
        <f>IF(ORCAMENTOS!M3193="","",ORCAMENTOS!M3193)</f>
        <v/>
      </c>
      <c r="L3185" t="str">
        <f>IF(ORCAMENTOS!R3193="","",ORCAMENTOS!R3193)</f>
        <v/>
      </c>
    </row>
    <row r="3186" spans="1:12" ht="15.75" hidden="1" customHeight="1" x14ac:dyDescent="0.25">
      <c r="A3186" s="36" t="str">
        <f>IF(ORCAMENTOS!A3194="","",ORCAMENTOS!A3194)</f>
        <v/>
      </c>
      <c r="B3186" s="46" t="str">
        <f>IF(ORCAMENTOS!B3194="","",ORCAMENTOS!B3194)</f>
        <v/>
      </c>
      <c r="C3186" s="46" t="str">
        <f>IF(ORCAMENTOS!C3194="","",ORCAMENTOS!C3194)</f>
        <v/>
      </c>
      <c r="D3186" s="37" t="str">
        <f>IF(ORCAMENTOS!D3194="","",ORCAMENTOS!D3194)</f>
        <v/>
      </c>
      <c r="E3186" s="38" t="str">
        <f>IF(ORCAMENTOS!E3194="","",ORCAMENTOS!E3194)</f>
        <v/>
      </c>
      <c r="F3186" s="37" t="str">
        <f>IF(ORCAMENTOS!G3194="","",ORCAMENTOS!G3194)</f>
        <v/>
      </c>
      <c r="G3186" s="37" t="str">
        <f>IF(ORCAMENTOS!H3194="","",ORCAMENTOS!H3194)</f>
        <v/>
      </c>
      <c r="H3186" s="39" t="str">
        <f>IF(ORCAMENTOS!I3194="","",ORCAMENTOS!I3194)</f>
        <v/>
      </c>
      <c r="I3186" s="60" t="str">
        <f>IF(ORCAMENTOS!J3194="","",ORCAMENTOS!J3194)</f>
        <v/>
      </c>
      <c r="J3186" s="40" t="str">
        <f>IF(ORCAMENTOS!L3194="","",ORCAMENTOS!L3194)</f>
        <v/>
      </c>
      <c r="K3186" s="34" t="str">
        <f>IF(ORCAMENTOS!M3194="","",ORCAMENTOS!M3194)</f>
        <v/>
      </c>
      <c r="L3186" t="str">
        <f>IF(ORCAMENTOS!R3194="","",ORCAMENTOS!R3194)</f>
        <v/>
      </c>
    </row>
    <row r="3187" spans="1:12" ht="15.75" customHeight="1" thickBot="1" x14ac:dyDescent="0.3">
      <c r="A3187" s="51"/>
      <c r="B3187" s="1"/>
      <c r="C3187" s="1"/>
      <c r="E3187" s="8"/>
      <c r="H3187" s="52"/>
      <c r="I3187" s="62"/>
      <c r="J3187" s="53"/>
      <c r="K3187" s="34"/>
    </row>
    <row r="3188" spans="1:12" ht="15.75" customHeight="1" x14ac:dyDescent="0.25">
      <c r="D3188" s="77">
        <f>SUBTOTAL(9,H3:H3186)</f>
        <v>171059.66999999998</v>
      </c>
      <c r="E3188" s="78"/>
      <c r="F3188" s="78"/>
      <c r="G3188" s="79"/>
      <c r="L3188" t="str">
        <f>IF(ORCAMENTOS!R704="","",ORCAMENTOS!R704)</f>
        <v>-</v>
      </c>
    </row>
    <row r="3189" spans="1:12" x14ac:dyDescent="0.25">
      <c r="D3189" s="80"/>
      <c r="E3189" s="81"/>
      <c r="F3189" s="81"/>
      <c r="G3189" s="82"/>
      <c r="L3189" t="str">
        <f>IF(ORCAMENTOS!R705="","",ORCAMENTOS!R705)</f>
        <v>-</v>
      </c>
    </row>
    <row r="3190" spans="1:12" ht="15.75" thickBot="1" x14ac:dyDescent="0.3">
      <c r="D3190" s="83"/>
      <c r="E3190" s="84"/>
      <c r="F3190" s="84"/>
      <c r="G3190" s="85"/>
      <c r="L3190" t="str">
        <f>IF(ORCAMENTOS!R706="","",ORCAMENTOS!R706)</f>
        <v>-</v>
      </c>
    </row>
  </sheetData>
  <sheetProtection sheet="1" autoFilter="0"/>
  <autoFilter ref="A2:J3186" xr:uid="{9C51D405-430B-47F6-B172-72135D7039B2}">
    <filterColumn colId="5">
      <filters>
        <filter val="Michel"/>
      </filters>
    </filterColumn>
    <filterColumn colId="9">
      <filters>
        <filter val="COMPRA"/>
      </filters>
    </filterColumn>
  </autoFilter>
  <mergeCells count="2">
    <mergeCell ref="D3188:G3190"/>
    <mergeCell ref="B1:J1"/>
  </mergeCells>
  <conditionalFormatting sqref="E3:L3187">
    <cfRule type="expression" dxfId="1" priority="1" stopIfTrue="1">
      <formula>SEARCH("ALUPIR",$L3)&gt;0</formula>
    </cfRule>
    <cfRule type="expression" dxfId="0" priority="2" stopIfTrue="1">
      <formula>SEARCH("MPU",$L3)&gt;0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ORCAMENTOS</vt:lpstr>
      <vt:lpstr>FOLLOW-UP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Araujo</dc:creator>
  <cp:lastModifiedBy>Gabriel Soares Lopes</cp:lastModifiedBy>
  <dcterms:created xsi:type="dcterms:W3CDTF">2024-08-29T13:34:52Z</dcterms:created>
  <dcterms:modified xsi:type="dcterms:W3CDTF">2026-06-03T14:36:04Z</dcterms:modified>
</cp:coreProperties>
</file>